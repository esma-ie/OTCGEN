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AD55C210-7FBA-4C3E-BF47-E217ECA3F6F8}" xr6:coauthVersionLast="47" xr6:coauthVersionMax="47" xr10:uidLastSave="{00000000-0000-0000-0000-000000000000}"/>
  <bookViews>
    <workbookView xWindow="-120" yWindow="-120" windowWidth="25440" windowHeight="15270" firstSheet="9" activeTab="9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COM TECH" sheetId="5" r:id="rId5"/>
    <sheet name="COM RESID" sheetId="6" r:id="rId6"/>
    <sheet name="&gt;&gt;&gt; Data" sheetId="7" r:id="rId7"/>
    <sheet name="Selected_constraint_UC" sheetId="8" r:id="rId8"/>
    <sheet name="&gt;&gt; TIMES" sheetId="9" r:id="rId9"/>
    <sheet name="UC" sheetId="10" r:id="rId10"/>
    <sheet name="UC_New" sheetId="11" r:id="rId11"/>
  </sheets>
  <definedNames>
    <definedName name="_Fill" localSheetId="2" hidden="1">#REF!</definedName>
    <definedName name="_Fill" hidden="1">#REF!</definedName>
    <definedName name="_xlnm._FilterDatabase" localSheetId="5" hidden="1">'COM RESID'!$A$1:$W$337</definedName>
    <definedName name="_xlnm._FilterDatabase" localSheetId="4" hidden="1">'COM TECH'!$A$2:$AA$3011</definedName>
    <definedName name="_xlnm._FilterDatabase" localSheetId="9" hidden="1">UC!$A$4:$AC$676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8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8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8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8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8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8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75" i="11" l="1"/>
  <c r="W676" i="11" s="1"/>
  <c r="W674" i="11"/>
  <c r="I674" i="11"/>
  <c r="I675" i="11" s="1"/>
  <c r="I676" i="11" s="1"/>
  <c r="V673" i="11"/>
  <c r="W671" i="11"/>
  <c r="W672" i="11" s="1"/>
  <c r="W670" i="11"/>
  <c r="I670" i="11"/>
  <c r="I671" i="11" s="1"/>
  <c r="I672" i="11" s="1"/>
  <c r="V669" i="11"/>
  <c r="W667" i="11"/>
  <c r="W668" i="11" s="1"/>
  <c r="I667" i="11"/>
  <c r="I668" i="11" s="1"/>
  <c r="W666" i="11"/>
  <c r="I666" i="11"/>
  <c r="V665" i="11"/>
  <c r="I663" i="11"/>
  <c r="I664" i="11" s="1"/>
  <c r="W662" i="11"/>
  <c r="W663" i="11" s="1"/>
  <c r="W664" i="11" s="1"/>
  <c r="I662" i="11"/>
  <c r="V661" i="11"/>
  <c r="W659" i="11"/>
  <c r="W660" i="11" s="1"/>
  <c r="I659" i="11"/>
  <c r="I660" i="11" s="1"/>
  <c r="W658" i="11"/>
  <c r="I658" i="11"/>
  <c r="V657" i="11"/>
  <c r="W655" i="11"/>
  <c r="W656" i="11" s="1"/>
  <c r="W654" i="11"/>
  <c r="I654" i="11"/>
  <c r="I655" i="11" s="1"/>
  <c r="I656" i="11" s="1"/>
  <c r="V653" i="11"/>
  <c r="W651" i="11"/>
  <c r="W652" i="11" s="1"/>
  <c r="I651" i="11"/>
  <c r="I652" i="11" s="1"/>
  <c r="W650" i="11"/>
  <c r="I650" i="11"/>
  <c r="V649" i="11"/>
  <c r="I647" i="11"/>
  <c r="I648" i="11" s="1"/>
  <c r="W646" i="11"/>
  <c r="W647" i="11" s="1"/>
  <c r="W648" i="11" s="1"/>
  <c r="I646" i="11"/>
  <c r="V645" i="11"/>
  <c r="W643" i="11"/>
  <c r="W644" i="11" s="1"/>
  <c r="W642" i="11"/>
  <c r="I642" i="11"/>
  <c r="I643" i="11" s="1"/>
  <c r="I644" i="11" s="1"/>
  <c r="V641" i="11"/>
  <c r="W639" i="11"/>
  <c r="W640" i="11" s="1"/>
  <c r="W638" i="11"/>
  <c r="I638" i="11"/>
  <c r="I639" i="11" s="1"/>
  <c r="I640" i="11" s="1"/>
  <c r="V637" i="11"/>
  <c r="I635" i="11"/>
  <c r="I636" i="11" s="1"/>
  <c r="W634" i="11"/>
  <c r="W635" i="11" s="1"/>
  <c r="W636" i="11" s="1"/>
  <c r="I634" i="11"/>
  <c r="V633" i="11"/>
  <c r="I631" i="11"/>
  <c r="I632" i="11" s="1"/>
  <c r="W630" i="11"/>
  <c r="W631" i="11" s="1"/>
  <c r="W632" i="11" s="1"/>
  <c r="I630" i="11"/>
  <c r="V629" i="11"/>
  <c r="W627" i="11"/>
  <c r="W628" i="11" s="1"/>
  <c r="I627" i="11"/>
  <c r="I628" i="11" s="1"/>
  <c r="W626" i="11"/>
  <c r="I626" i="11"/>
  <c r="V625" i="11"/>
  <c r="W623" i="11"/>
  <c r="W624" i="11" s="1"/>
  <c r="W622" i="11"/>
  <c r="I622" i="11"/>
  <c r="I623" i="11" s="1"/>
  <c r="I624" i="11" s="1"/>
  <c r="V621" i="11"/>
  <c r="I619" i="11"/>
  <c r="I620" i="11" s="1"/>
  <c r="W618" i="11"/>
  <c r="W619" i="11" s="1"/>
  <c r="W620" i="11" s="1"/>
  <c r="I618" i="11"/>
  <c r="V617" i="11"/>
  <c r="I615" i="11"/>
  <c r="I616" i="11" s="1"/>
  <c r="W614" i="11"/>
  <c r="W615" i="11" s="1"/>
  <c r="W616" i="11" s="1"/>
  <c r="I614" i="11"/>
  <c r="V613" i="11"/>
  <c r="I612" i="11"/>
  <c r="W611" i="11"/>
  <c r="W612" i="11" s="1"/>
  <c r="I611" i="11"/>
  <c r="W610" i="11"/>
  <c r="I610" i="11"/>
  <c r="V609" i="11"/>
  <c r="W607" i="11"/>
  <c r="W608" i="11" s="1"/>
  <c r="W606" i="11"/>
  <c r="I606" i="11"/>
  <c r="I607" i="11" s="1"/>
  <c r="I608" i="11" s="1"/>
  <c r="V605" i="11"/>
  <c r="W602" i="11"/>
  <c r="W603" i="11" s="1"/>
  <c r="W604" i="11" s="1"/>
  <c r="I602" i="11"/>
  <c r="I603" i="11" s="1"/>
  <c r="I604" i="11" s="1"/>
  <c r="V601" i="11"/>
  <c r="W599" i="11"/>
  <c r="W600" i="11" s="1"/>
  <c r="I599" i="11"/>
  <c r="I600" i="11" s="1"/>
  <c r="W598" i="11"/>
  <c r="I598" i="11"/>
  <c r="V597" i="11"/>
  <c r="I595" i="11"/>
  <c r="I596" i="11" s="1"/>
  <c r="W594" i="11"/>
  <c r="W595" i="11" s="1"/>
  <c r="W596" i="11" s="1"/>
  <c r="I594" i="11"/>
  <c r="V593" i="11"/>
  <c r="W591" i="11"/>
  <c r="W592" i="11" s="1"/>
  <c r="W590" i="11"/>
  <c r="I590" i="11"/>
  <c r="I591" i="11" s="1"/>
  <c r="I592" i="11" s="1"/>
  <c r="V589" i="11"/>
  <c r="W587" i="11"/>
  <c r="W588" i="11" s="1"/>
  <c r="W586" i="11"/>
  <c r="I586" i="11"/>
  <c r="I587" i="11" s="1"/>
  <c r="I588" i="11" s="1"/>
  <c r="V585" i="11"/>
  <c r="W583" i="11"/>
  <c r="W584" i="11" s="1"/>
  <c r="W582" i="11"/>
  <c r="I582" i="11"/>
  <c r="I583" i="11" s="1"/>
  <c r="I584" i="11" s="1"/>
  <c r="V581" i="11"/>
  <c r="I579" i="11"/>
  <c r="I580" i="11" s="1"/>
  <c r="W578" i="11"/>
  <c r="W579" i="11" s="1"/>
  <c r="W580" i="11" s="1"/>
  <c r="I578" i="11"/>
  <c r="V577" i="11"/>
  <c r="W576" i="11"/>
  <c r="I575" i="11"/>
  <c r="I576" i="11" s="1"/>
  <c r="W574" i="11"/>
  <c r="W575" i="11" s="1"/>
  <c r="I574" i="11"/>
  <c r="V573" i="11"/>
  <c r="W571" i="11"/>
  <c r="W572" i="11" s="1"/>
  <c r="I571" i="11"/>
  <c r="I572" i="11" s="1"/>
  <c r="W570" i="11"/>
  <c r="I570" i="11"/>
  <c r="V569" i="11"/>
  <c r="W568" i="11"/>
  <c r="W567" i="11"/>
  <c r="W566" i="11"/>
  <c r="I566" i="11"/>
  <c r="I567" i="11" s="1"/>
  <c r="I568" i="11" s="1"/>
  <c r="V565" i="11"/>
  <c r="I564" i="11"/>
  <c r="W563" i="11"/>
  <c r="W564" i="11" s="1"/>
  <c r="I563" i="11"/>
  <c r="W562" i="11"/>
  <c r="I562" i="11"/>
  <c r="V561" i="11"/>
  <c r="I560" i="11"/>
  <c r="I559" i="11"/>
  <c r="W558" i="11"/>
  <c r="W559" i="11" s="1"/>
  <c r="W560" i="11" s="1"/>
  <c r="I558" i="11"/>
  <c r="V557" i="11"/>
  <c r="I555" i="11"/>
  <c r="I556" i="11" s="1"/>
  <c r="W554" i="11"/>
  <c r="W555" i="11" s="1"/>
  <c r="W556" i="11" s="1"/>
  <c r="I554" i="11"/>
  <c r="V553" i="11"/>
  <c r="W550" i="11"/>
  <c r="W551" i="11" s="1"/>
  <c r="W552" i="11" s="1"/>
  <c r="I550" i="11"/>
  <c r="I551" i="11" s="1"/>
  <c r="I552" i="11" s="1"/>
  <c r="V549" i="11"/>
  <c r="W547" i="11"/>
  <c r="W548" i="11" s="1"/>
  <c r="I547" i="11"/>
  <c r="I548" i="11" s="1"/>
  <c r="W546" i="11"/>
  <c r="I546" i="11"/>
  <c r="V545" i="11"/>
  <c r="W542" i="11"/>
  <c r="W543" i="11" s="1"/>
  <c r="W544" i="11" s="1"/>
  <c r="I542" i="11"/>
  <c r="I543" i="11" s="1"/>
  <c r="I544" i="11" s="1"/>
  <c r="V541" i="11"/>
  <c r="W539" i="11"/>
  <c r="W540" i="11" s="1"/>
  <c r="I539" i="11"/>
  <c r="I540" i="11" s="1"/>
  <c r="W538" i="11"/>
  <c r="I538" i="11"/>
  <c r="V537" i="11"/>
  <c r="W534" i="11"/>
  <c r="W535" i="11" s="1"/>
  <c r="W536" i="11" s="1"/>
  <c r="I534" i="11"/>
  <c r="I535" i="11" s="1"/>
  <c r="I536" i="11" s="1"/>
  <c r="V533" i="11"/>
  <c r="W532" i="11"/>
  <c r="W531" i="11"/>
  <c r="I531" i="11"/>
  <c r="I532" i="11" s="1"/>
  <c r="W530" i="11"/>
  <c r="I530" i="11"/>
  <c r="V529" i="11"/>
  <c r="W526" i="11"/>
  <c r="W527" i="11" s="1"/>
  <c r="W528" i="11" s="1"/>
  <c r="I526" i="11"/>
  <c r="I527" i="11" s="1"/>
  <c r="I528" i="11" s="1"/>
  <c r="V525" i="11"/>
  <c r="W523" i="11"/>
  <c r="W524" i="11" s="1"/>
  <c r="W522" i="11"/>
  <c r="I522" i="11"/>
  <c r="I523" i="11" s="1"/>
  <c r="I524" i="11" s="1"/>
  <c r="V521" i="11"/>
  <c r="W520" i="11"/>
  <c r="W518" i="11"/>
  <c r="W519" i="11" s="1"/>
  <c r="I518" i="11"/>
  <c r="I519" i="11" s="1"/>
  <c r="I520" i="11" s="1"/>
  <c r="V517" i="11"/>
  <c r="W515" i="11"/>
  <c r="W516" i="11" s="1"/>
  <c r="I515" i="11"/>
  <c r="I516" i="11" s="1"/>
  <c r="W514" i="11"/>
  <c r="I514" i="11"/>
  <c r="V513" i="11"/>
  <c r="W510" i="11"/>
  <c r="W511" i="11" s="1"/>
  <c r="W512" i="11" s="1"/>
  <c r="I510" i="11"/>
  <c r="I511" i="11" s="1"/>
  <c r="I512" i="11" s="1"/>
  <c r="V509" i="11"/>
  <c r="W507" i="11"/>
  <c r="W508" i="11" s="1"/>
  <c r="W506" i="11"/>
  <c r="I506" i="11"/>
  <c r="I507" i="11" s="1"/>
  <c r="I508" i="11" s="1"/>
  <c r="V505" i="11"/>
  <c r="W504" i="11"/>
  <c r="W502" i="11"/>
  <c r="W503" i="11" s="1"/>
  <c r="I502" i="11"/>
  <c r="I503" i="11" s="1"/>
  <c r="I504" i="11" s="1"/>
  <c r="V501" i="11"/>
  <c r="W498" i="11"/>
  <c r="W499" i="11" s="1"/>
  <c r="W500" i="11" s="1"/>
  <c r="I498" i="11"/>
  <c r="I499" i="11" s="1"/>
  <c r="I500" i="11" s="1"/>
  <c r="V497" i="11"/>
  <c r="W494" i="11"/>
  <c r="W495" i="11" s="1"/>
  <c r="W496" i="11" s="1"/>
  <c r="I494" i="11"/>
  <c r="I495" i="11" s="1"/>
  <c r="I496" i="11" s="1"/>
  <c r="V493" i="11"/>
  <c r="I492" i="11"/>
  <c r="W491" i="11"/>
  <c r="W492" i="11" s="1"/>
  <c r="I491" i="11"/>
  <c r="W490" i="11"/>
  <c r="I490" i="11"/>
  <c r="V489" i="11"/>
  <c r="W486" i="11"/>
  <c r="W487" i="11" s="1"/>
  <c r="W488" i="11" s="1"/>
  <c r="I486" i="11"/>
  <c r="I487" i="11" s="1"/>
  <c r="I488" i="11" s="1"/>
  <c r="V485" i="11"/>
  <c r="W484" i="11"/>
  <c r="W483" i="11"/>
  <c r="I483" i="11"/>
  <c r="I484" i="11" s="1"/>
  <c r="W482" i="11"/>
  <c r="I482" i="11"/>
  <c r="V481" i="11"/>
  <c r="W478" i="11"/>
  <c r="W479" i="11" s="1"/>
  <c r="W480" i="11" s="1"/>
  <c r="I478" i="11"/>
  <c r="I479" i="11" s="1"/>
  <c r="I480" i="11" s="1"/>
  <c r="V477" i="11"/>
  <c r="W475" i="11"/>
  <c r="W476" i="11" s="1"/>
  <c r="I475" i="11"/>
  <c r="I476" i="11" s="1"/>
  <c r="W474" i="11"/>
  <c r="I474" i="11"/>
  <c r="V473" i="11"/>
  <c r="W470" i="11"/>
  <c r="W471" i="11" s="1"/>
  <c r="W472" i="11" s="1"/>
  <c r="I470" i="11"/>
  <c r="I471" i="11" s="1"/>
  <c r="I472" i="11" s="1"/>
  <c r="V469" i="11"/>
  <c r="W468" i="11"/>
  <c r="W467" i="11"/>
  <c r="I467" i="11"/>
  <c r="I468" i="11" s="1"/>
  <c r="W466" i="11"/>
  <c r="I466" i="11"/>
  <c r="V465" i="11"/>
  <c r="W463" i="11"/>
  <c r="W464" i="11" s="1"/>
  <c r="W462" i="11"/>
  <c r="I462" i="11"/>
  <c r="I463" i="11" s="1"/>
  <c r="I464" i="11" s="1"/>
  <c r="V461" i="11"/>
  <c r="W459" i="11"/>
  <c r="W460" i="11" s="1"/>
  <c r="W458" i="11"/>
  <c r="I458" i="11"/>
  <c r="I459" i="11" s="1"/>
  <c r="I460" i="11" s="1"/>
  <c r="V457" i="11"/>
  <c r="W455" i="11"/>
  <c r="W456" i="11" s="1"/>
  <c r="W454" i="11"/>
  <c r="I454" i="11"/>
  <c r="I455" i="11" s="1"/>
  <c r="I456" i="11" s="1"/>
  <c r="V453" i="11"/>
  <c r="W452" i="11"/>
  <c r="W451" i="11"/>
  <c r="I451" i="11"/>
  <c r="I452" i="11" s="1"/>
  <c r="W450" i="11"/>
  <c r="I450" i="11"/>
  <c r="V449" i="11"/>
  <c r="I448" i="11"/>
  <c r="W447" i="11"/>
  <c r="W448" i="11" s="1"/>
  <c r="I447" i="11"/>
  <c r="W446" i="11"/>
  <c r="I446" i="11"/>
  <c r="V445" i="11"/>
  <c r="W443" i="11"/>
  <c r="W444" i="11" s="1"/>
  <c r="W442" i="11"/>
  <c r="I442" i="11"/>
  <c r="I443" i="11" s="1"/>
  <c r="I444" i="11" s="1"/>
  <c r="V441" i="11"/>
  <c r="W438" i="11"/>
  <c r="W439" i="11" s="1"/>
  <c r="W440" i="11" s="1"/>
  <c r="I438" i="11"/>
  <c r="I439" i="11" s="1"/>
  <c r="I440" i="11" s="1"/>
  <c r="V437" i="11"/>
  <c r="I435" i="11"/>
  <c r="I436" i="11" s="1"/>
  <c r="W434" i="11"/>
  <c r="W435" i="11" s="1"/>
  <c r="W436" i="11" s="1"/>
  <c r="I434" i="11"/>
  <c r="V433" i="11"/>
  <c r="I431" i="11"/>
  <c r="I432" i="11" s="1"/>
  <c r="W430" i="11"/>
  <c r="W431" i="11" s="1"/>
  <c r="W432" i="11" s="1"/>
  <c r="I430" i="11"/>
  <c r="V429" i="11"/>
  <c r="W427" i="11"/>
  <c r="W428" i="11" s="1"/>
  <c r="W426" i="11"/>
  <c r="I426" i="11"/>
  <c r="I427" i="11" s="1"/>
  <c r="I428" i="11" s="1"/>
  <c r="V425" i="11"/>
  <c r="W423" i="11"/>
  <c r="W424" i="11" s="1"/>
  <c r="W422" i="11"/>
  <c r="I422" i="11"/>
  <c r="I423" i="11" s="1"/>
  <c r="I424" i="11" s="1"/>
  <c r="V421" i="11"/>
  <c r="I419" i="11"/>
  <c r="I420" i="11" s="1"/>
  <c r="W418" i="11"/>
  <c r="W419" i="11" s="1"/>
  <c r="W420" i="11" s="1"/>
  <c r="I418" i="11"/>
  <c r="V417" i="11"/>
  <c r="I415" i="11"/>
  <c r="I416" i="11" s="1"/>
  <c r="W414" i="11"/>
  <c r="W415" i="11" s="1"/>
  <c r="W416" i="11" s="1"/>
  <c r="I414" i="11"/>
  <c r="V413" i="11"/>
  <c r="W410" i="11"/>
  <c r="W411" i="11" s="1"/>
  <c r="W412" i="11" s="1"/>
  <c r="I410" i="11"/>
  <c r="I411" i="11" s="1"/>
  <c r="I412" i="11" s="1"/>
  <c r="V409" i="11"/>
  <c r="W407" i="11"/>
  <c r="W408" i="11" s="1"/>
  <c r="W406" i="11"/>
  <c r="I406" i="11"/>
  <c r="I407" i="11" s="1"/>
  <c r="I408" i="11" s="1"/>
  <c r="V405" i="11"/>
  <c r="W402" i="11"/>
  <c r="W403" i="11" s="1"/>
  <c r="W404" i="11" s="1"/>
  <c r="I402" i="11"/>
  <c r="I403" i="11" s="1"/>
  <c r="I404" i="11" s="1"/>
  <c r="V401" i="11"/>
  <c r="I399" i="11"/>
  <c r="I400" i="11" s="1"/>
  <c r="W398" i="11"/>
  <c r="W399" i="11" s="1"/>
  <c r="W400" i="11" s="1"/>
  <c r="I398" i="11"/>
  <c r="V397" i="11"/>
  <c r="W395" i="11"/>
  <c r="W396" i="11" s="1"/>
  <c r="W394" i="11"/>
  <c r="I394" i="11"/>
  <c r="I395" i="11" s="1"/>
  <c r="I396" i="11" s="1"/>
  <c r="V393" i="11"/>
  <c r="I392" i="11"/>
  <c r="W390" i="11"/>
  <c r="W391" i="11" s="1"/>
  <c r="W392" i="11" s="1"/>
  <c r="I390" i="11"/>
  <c r="I391" i="11" s="1"/>
  <c r="V389" i="11"/>
  <c r="W387" i="11"/>
  <c r="W388" i="11" s="1"/>
  <c r="I387" i="11"/>
  <c r="I388" i="11" s="1"/>
  <c r="W386" i="11"/>
  <c r="I386" i="11"/>
  <c r="V385" i="11"/>
  <c r="W384" i="11"/>
  <c r="W382" i="11"/>
  <c r="W383" i="11" s="1"/>
  <c r="I382" i="11"/>
  <c r="I383" i="11" s="1"/>
  <c r="I384" i="11" s="1"/>
  <c r="V381" i="11"/>
  <c r="I380" i="11"/>
  <c r="I379" i="11"/>
  <c r="W378" i="11"/>
  <c r="W379" i="11" s="1"/>
  <c r="W380" i="11" s="1"/>
  <c r="I378" i="11"/>
  <c r="V377" i="11"/>
  <c r="W375" i="11"/>
  <c r="W376" i="11" s="1"/>
  <c r="W374" i="11"/>
  <c r="I374" i="11"/>
  <c r="I375" i="11" s="1"/>
  <c r="I376" i="11" s="1"/>
  <c r="V373" i="11"/>
  <c r="I371" i="11"/>
  <c r="I372" i="11" s="1"/>
  <c r="W370" i="11"/>
  <c r="W371" i="11" s="1"/>
  <c r="W372" i="11" s="1"/>
  <c r="I370" i="11"/>
  <c r="V369" i="11"/>
  <c r="I367" i="11"/>
  <c r="I368" i="11" s="1"/>
  <c r="W366" i="11"/>
  <c r="W367" i="11" s="1"/>
  <c r="W368" i="11" s="1"/>
  <c r="I366" i="11"/>
  <c r="V365" i="11"/>
  <c r="W362" i="11"/>
  <c r="W363" i="11" s="1"/>
  <c r="W364" i="11" s="1"/>
  <c r="I362" i="11"/>
  <c r="I363" i="11" s="1"/>
  <c r="I364" i="11" s="1"/>
  <c r="V361" i="11"/>
  <c r="W358" i="11"/>
  <c r="W359" i="11" s="1"/>
  <c r="W360" i="11" s="1"/>
  <c r="I358" i="11"/>
  <c r="I359" i="11" s="1"/>
  <c r="I360" i="11" s="1"/>
  <c r="V357" i="11"/>
  <c r="I355" i="11"/>
  <c r="I356" i="11" s="1"/>
  <c r="W354" i="11"/>
  <c r="W355" i="11" s="1"/>
  <c r="W356" i="11" s="1"/>
  <c r="I354" i="11"/>
  <c r="V353" i="11"/>
  <c r="W350" i="11"/>
  <c r="W351" i="11" s="1"/>
  <c r="W352" i="11" s="1"/>
  <c r="I350" i="11"/>
  <c r="I351" i="11" s="1"/>
  <c r="I352" i="11" s="1"/>
  <c r="V349" i="11"/>
  <c r="W347" i="11"/>
  <c r="W348" i="11" s="1"/>
  <c r="W346" i="11"/>
  <c r="I346" i="11"/>
  <c r="I347" i="11" s="1"/>
  <c r="I348" i="11" s="1"/>
  <c r="V345" i="11"/>
  <c r="W342" i="11"/>
  <c r="W343" i="11" s="1"/>
  <c r="W344" i="11" s="1"/>
  <c r="I342" i="11"/>
  <c r="I343" i="11" s="1"/>
  <c r="I344" i="11" s="1"/>
  <c r="V341" i="11"/>
  <c r="I339" i="11"/>
  <c r="I340" i="11" s="1"/>
  <c r="W338" i="11"/>
  <c r="W339" i="11" s="1"/>
  <c r="W340" i="11" s="1"/>
  <c r="I338" i="11"/>
  <c r="V337" i="11"/>
  <c r="W334" i="11"/>
  <c r="W335" i="11" s="1"/>
  <c r="W336" i="11" s="1"/>
  <c r="I334" i="11"/>
  <c r="I335" i="11" s="1"/>
  <c r="I336" i="11" s="1"/>
  <c r="V333" i="11"/>
  <c r="W331" i="11"/>
  <c r="W332" i="11" s="1"/>
  <c r="W330" i="11"/>
  <c r="I330" i="11"/>
  <c r="I331" i="11" s="1"/>
  <c r="I332" i="11" s="1"/>
  <c r="V329" i="11"/>
  <c r="W327" i="11"/>
  <c r="W328" i="11" s="1"/>
  <c r="W326" i="11"/>
  <c r="I326" i="11"/>
  <c r="I327" i="11" s="1"/>
  <c r="I328" i="11" s="1"/>
  <c r="V325" i="11"/>
  <c r="I323" i="11"/>
  <c r="I324" i="11" s="1"/>
  <c r="W322" i="11"/>
  <c r="W323" i="11" s="1"/>
  <c r="W324" i="11" s="1"/>
  <c r="I322" i="11"/>
  <c r="V321" i="11"/>
  <c r="W320" i="11"/>
  <c r="W318" i="11"/>
  <c r="W319" i="11" s="1"/>
  <c r="I318" i="11"/>
  <c r="I319" i="11" s="1"/>
  <c r="I320" i="11" s="1"/>
  <c r="V317" i="11"/>
  <c r="I316" i="11"/>
  <c r="W314" i="11"/>
  <c r="W315" i="11" s="1"/>
  <c r="W316" i="11" s="1"/>
  <c r="I314" i="11"/>
  <c r="I315" i="11" s="1"/>
  <c r="V313" i="11"/>
  <c r="W311" i="11"/>
  <c r="W312" i="11" s="1"/>
  <c r="W310" i="11"/>
  <c r="I310" i="11"/>
  <c r="I311" i="11" s="1"/>
  <c r="I312" i="11" s="1"/>
  <c r="V309" i="11"/>
  <c r="W306" i="11"/>
  <c r="W307" i="11" s="1"/>
  <c r="W308" i="11" s="1"/>
  <c r="I306" i="11"/>
  <c r="I307" i="11" s="1"/>
  <c r="I308" i="11" s="1"/>
  <c r="V305" i="11"/>
  <c r="W302" i="11"/>
  <c r="W303" i="11" s="1"/>
  <c r="W304" i="11" s="1"/>
  <c r="I302" i="11"/>
  <c r="I303" i="11" s="1"/>
  <c r="I304" i="11" s="1"/>
  <c r="V301" i="11"/>
  <c r="W299" i="11"/>
  <c r="W300" i="11" s="1"/>
  <c r="W298" i="11"/>
  <c r="I298" i="11"/>
  <c r="I299" i="11" s="1"/>
  <c r="I300" i="11" s="1"/>
  <c r="V297" i="11"/>
  <c r="W296" i="11"/>
  <c r="W295" i="11"/>
  <c r="W294" i="11"/>
  <c r="I294" i="11"/>
  <c r="I295" i="11" s="1"/>
  <c r="I296" i="11" s="1"/>
  <c r="V293" i="11"/>
  <c r="W291" i="11"/>
  <c r="W292" i="11" s="1"/>
  <c r="W290" i="11"/>
  <c r="I290" i="11"/>
  <c r="I291" i="11" s="1"/>
  <c r="I292" i="11" s="1"/>
  <c r="V289" i="11"/>
  <c r="W286" i="11"/>
  <c r="W287" i="11" s="1"/>
  <c r="W288" i="11" s="1"/>
  <c r="I286" i="11"/>
  <c r="I287" i="11" s="1"/>
  <c r="I288" i="11" s="1"/>
  <c r="V285" i="11"/>
  <c r="W282" i="11"/>
  <c r="W283" i="11" s="1"/>
  <c r="W284" i="11" s="1"/>
  <c r="I282" i="11"/>
  <c r="I283" i="11" s="1"/>
  <c r="I284" i="11" s="1"/>
  <c r="V281" i="11"/>
  <c r="I280" i="11"/>
  <c r="W278" i="11"/>
  <c r="W279" i="11" s="1"/>
  <c r="W280" i="11" s="1"/>
  <c r="I278" i="11"/>
  <c r="I279" i="11" s="1"/>
  <c r="V277" i="11"/>
  <c r="W274" i="11"/>
  <c r="W275" i="11" s="1"/>
  <c r="W276" i="11" s="1"/>
  <c r="I274" i="11"/>
  <c r="I275" i="11" s="1"/>
  <c r="I276" i="11" s="1"/>
  <c r="V273" i="11"/>
  <c r="I271" i="11"/>
  <c r="I272" i="11" s="1"/>
  <c r="W270" i="11"/>
  <c r="W271" i="11" s="1"/>
  <c r="W272" i="11" s="1"/>
  <c r="I270" i="11"/>
  <c r="V269" i="11"/>
  <c r="I267" i="11"/>
  <c r="I268" i="11" s="1"/>
  <c r="W266" i="11"/>
  <c r="W267" i="11" s="1"/>
  <c r="W268" i="11" s="1"/>
  <c r="I266" i="11"/>
  <c r="V265" i="11"/>
  <c r="I264" i="11"/>
  <c r="W262" i="11"/>
  <c r="W263" i="11" s="1"/>
  <c r="W264" i="11" s="1"/>
  <c r="I262" i="11"/>
  <c r="I263" i="11" s="1"/>
  <c r="V261" i="11"/>
  <c r="W259" i="11"/>
  <c r="W260" i="11" s="1"/>
  <c r="I259" i="11"/>
  <c r="I260" i="11" s="1"/>
  <c r="W258" i="11"/>
  <c r="I258" i="11"/>
  <c r="V257" i="11"/>
  <c r="W256" i="11"/>
  <c r="I256" i="11"/>
  <c r="I255" i="11"/>
  <c r="W254" i="11"/>
  <c r="W255" i="11" s="1"/>
  <c r="I254" i="11"/>
  <c r="V253" i="11"/>
  <c r="W250" i="11"/>
  <c r="W251" i="11" s="1"/>
  <c r="W252" i="11" s="1"/>
  <c r="I250" i="11"/>
  <c r="I251" i="11" s="1"/>
  <c r="I252" i="11" s="1"/>
  <c r="V249" i="11"/>
  <c r="W247" i="11"/>
  <c r="W248" i="11" s="1"/>
  <c r="W246" i="11"/>
  <c r="I246" i="11"/>
  <c r="I247" i="11" s="1"/>
  <c r="I248" i="11" s="1"/>
  <c r="V245" i="11"/>
  <c r="W242" i="11"/>
  <c r="W243" i="11" s="1"/>
  <c r="W244" i="11" s="1"/>
  <c r="I242" i="11"/>
  <c r="I243" i="11" s="1"/>
  <c r="I244" i="11" s="1"/>
  <c r="V241" i="11"/>
  <c r="W239" i="11"/>
  <c r="W240" i="11" s="1"/>
  <c r="I239" i="11"/>
  <c r="I240" i="11" s="1"/>
  <c r="W238" i="11"/>
  <c r="I238" i="11"/>
  <c r="V237" i="11"/>
  <c r="W235" i="11"/>
  <c r="W236" i="11" s="1"/>
  <c r="W234" i="11"/>
  <c r="I234" i="11"/>
  <c r="I235" i="11" s="1"/>
  <c r="I236" i="11" s="1"/>
  <c r="V233" i="11"/>
  <c r="W231" i="11"/>
  <c r="W232" i="11" s="1"/>
  <c r="I231" i="11"/>
  <c r="I232" i="11" s="1"/>
  <c r="W230" i="11"/>
  <c r="I230" i="11"/>
  <c r="V229" i="11"/>
  <c r="I227" i="11"/>
  <c r="I228" i="11" s="1"/>
  <c r="W226" i="11"/>
  <c r="W227" i="11" s="1"/>
  <c r="W228" i="11" s="1"/>
  <c r="I226" i="11"/>
  <c r="V225" i="11"/>
  <c r="I224" i="11"/>
  <c r="W223" i="11"/>
  <c r="W224" i="11" s="1"/>
  <c r="W222" i="11"/>
  <c r="I222" i="11"/>
  <c r="I223" i="11" s="1"/>
  <c r="V221" i="11"/>
  <c r="W218" i="11"/>
  <c r="W219" i="11" s="1"/>
  <c r="W220" i="11" s="1"/>
  <c r="I218" i="11"/>
  <c r="I219" i="11" s="1"/>
  <c r="I220" i="11" s="1"/>
  <c r="V217" i="11"/>
  <c r="W215" i="11"/>
  <c r="W216" i="11" s="1"/>
  <c r="I215" i="11"/>
  <c r="I216" i="11" s="1"/>
  <c r="W214" i="11"/>
  <c r="I214" i="11"/>
  <c r="V213" i="11"/>
  <c r="I211" i="11"/>
  <c r="I212" i="11" s="1"/>
  <c r="W210" i="11"/>
  <c r="W211" i="11" s="1"/>
  <c r="W212" i="11" s="1"/>
  <c r="I210" i="11"/>
  <c r="V209" i="11"/>
  <c r="W207" i="11"/>
  <c r="W208" i="11" s="1"/>
  <c r="W206" i="11"/>
  <c r="I206" i="11"/>
  <c r="I207" i="11" s="1"/>
  <c r="I208" i="11" s="1"/>
  <c r="V205" i="11"/>
  <c r="W203" i="11"/>
  <c r="W204" i="11" s="1"/>
  <c r="I203" i="11"/>
  <c r="I204" i="11" s="1"/>
  <c r="W202" i="11"/>
  <c r="I202" i="11"/>
  <c r="V201" i="11"/>
  <c r="I199" i="11"/>
  <c r="I200" i="11" s="1"/>
  <c r="W198" i="11"/>
  <c r="W199" i="11" s="1"/>
  <c r="W200" i="11" s="1"/>
  <c r="I198" i="11"/>
  <c r="V197" i="11"/>
  <c r="W194" i="11"/>
  <c r="W195" i="11" s="1"/>
  <c r="W196" i="11" s="1"/>
  <c r="I194" i="11"/>
  <c r="I195" i="11" s="1"/>
  <c r="I196" i="11" s="1"/>
  <c r="V193" i="11"/>
  <c r="W191" i="11"/>
  <c r="W192" i="11" s="1"/>
  <c r="W190" i="11"/>
  <c r="I190" i="11"/>
  <c r="I191" i="11" s="1"/>
  <c r="I192" i="11" s="1"/>
  <c r="V189" i="11"/>
  <c r="W188" i="11"/>
  <c r="W186" i="11"/>
  <c r="W187" i="11" s="1"/>
  <c r="I186" i="11"/>
  <c r="I187" i="11" s="1"/>
  <c r="I188" i="11" s="1"/>
  <c r="V185" i="11"/>
  <c r="W183" i="11"/>
  <c r="W184" i="11" s="1"/>
  <c r="I183" i="11"/>
  <c r="I184" i="11" s="1"/>
  <c r="W182" i="11"/>
  <c r="I182" i="11"/>
  <c r="V181" i="11"/>
  <c r="W180" i="11"/>
  <c r="W179" i="11"/>
  <c r="I179" i="11"/>
  <c r="I180" i="11" s="1"/>
  <c r="W178" i="11"/>
  <c r="I178" i="11"/>
  <c r="V177" i="11"/>
  <c r="W175" i="11"/>
  <c r="W176" i="11" s="1"/>
  <c r="W174" i="11"/>
  <c r="I174" i="11"/>
  <c r="I175" i="11" s="1"/>
  <c r="I176" i="11" s="1"/>
  <c r="V173" i="11"/>
  <c r="W171" i="11"/>
  <c r="W172" i="11" s="1"/>
  <c r="I171" i="11"/>
  <c r="I172" i="11" s="1"/>
  <c r="W170" i="11"/>
  <c r="I170" i="11"/>
  <c r="V169" i="11"/>
  <c r="W168" i="11"/>
  <c r="I167" i="11"/>
  <c r="I168" i="11" s="1"/>
  <c r="W166" i="11"/>
  <c r="W167" i="11" s="1"/>
  <c r="I166" i="11"/>
  <c r="V165" i="11"/>
  <c r="W164" i="11"/>
  <c r="W162" i="11"/>
  <c r="W163" i="11" s="1"/>
  <c r="I162" i="11"/>
  <c r="I163" i="11" s="1"/>
  <c r="I164" i="11" s="1"/>
  <c r="V161" i="11"/>
  <c r="I159" i="11"/>
  <c r="I160" i="11" s="1"/>
  <c r="W158" i="11"/>
  <c r="W159" i="11" s="1"/>
  <c r="W160" i="11" s="1"/>
  <c r="I158" i="11"/>
  <c r="V157" i="11"/>
  <c r="I156" i="11"/>
  <c r="W155" i="11"/>
  <c r="W156" i="11" s="1"/>
  <c r="W154" i="11"/>
  <c r="I154" i="11"/>
  <c r="I155" i="11" s="1"/>
  <c r="V153" i="11"/>
  <c r="I151" i="11"/>
  <c r="I152" i="11" s="1"/>
  <c r="W150" i="11"/>
  <c r="W151" i="11" s="1"/>
  <c r="W152" i="11" s="1"/>
  <c r="I150" i="11"/>
  <c r="V149" i="11"/>
  <c r="W146" i="11"/>
  <c r="W147" i="11" s="1"/>
  <c r="W148" i="11" s="1"/>
  <c r="I146" i="11"/>
  <c r="I147" i="11" s="1"/>
  <c r="I148" i="11" s="1"/>
  <c r="V145" i="11"/>
  <c r="W142" i="11"/>
  <c r="W143" i="11" s="1"/>
  <c r="W144" i="11" s="1"/>
  <c r="I142" i="11"/>
  <c r="I143" i="11" s="1"/>
  <c r="I144" i="11" s="1"/>
  <c r="V141" i="11"/>
  <c r="W139" i="11"/>
  <c r="W140" i="11" s="1"/>
  <c r="W138" i="11"/>
  <c r="I138" i="11"/>
  <c r="I139" i="11" s="1"/>
  <c r="I140" i="11" s="1"/>
  <c r="V137" i="11"/>
  <c r="W134" i="11"/>
  <c r="W135" i="11" s="1"/>
  <c r="W136" i="11" s="1"/>
  <c r="I134" i="11"/>
  <c r="I135" i="11" s="1"/>
  <c r="I136" i="11" s="1"/>
  <c r="V133" i="11"/>
  <c r="I131" i="11"/>
  <c r="I132" i="11" s="1"/>
  <c r="W130" i="11"/>
  <c r="W131" i="11" s="1"/>
  <c r="W132" i="11" s="1"/>
  <c r="I130" i="11"/>
  <c r="V129" i="11"/>
  <c r="I127" i="11"/>
  <c r="I128" i="11" s="1"/>
  <c r="W126" i="11"/>
  <c r="W127" i="11" s="1"/>
  <c r="W128" i="11" s="1"/>
  <c r="I126" i="11"/>
  <c r="V125" i="11"/>
  <c r="I124" i="11"/>
  <c r="W122" i="11"/>
  <c r="W123" i="11" s="1"/>
  <c r="W124" i="11" s="1"/>
  <c r="I122" i="11"/>
  <c r="I123" i="11" s="1"/>
  <c r="V121" i="11"/>
  <c r="W119" i="11"/>
  <c r="W120" i="11" s="1"/>
  <c r="I119" i="11"/>
  <c r="I120" i="11" s="1"/>
  <c r="W118" i="11"/>
  <c r="I118" i="11"/>
  <c r="V117" i="11"/>
  <c r="W116" i="11"/>
  <c r="W114" i="11"/>
  <c r="W115" i="11" s="1"/>
  <c r="I114" i="11"/>
  <c r="I115" i="11" s="1"/>
  <c r="I116" i="11" s="1"/>
  <c r="V113" i="11"/>
  <c r="W110" i="11"/>
  <c r="W111" i="11" s="1"/>
  <c r="W112" i="11" s="1"/>
  <c r="I110" i="11"/>
  <c r="I111" i="11" s="1"/>
  <c r="I112" i="11" s="1"/>
  <c r="V109" i="11"/>
  <c r="W107" i="11"/>
  <c r="W108" i="11" s="1"/>
  <c r="W106" i="11"/>
  <c r="I106" i="11"/>
  <c r="I107" i="11" s="1"/>
  <c r="I108" i="11" s="1"/>
  <c r="V105" i="11"/>
  <c r="W104" i="11"/>
  <c r="W102" i="11"/>
  <c r="W103" i="11" s="1"/>
  <c r="I102" i="11"/>
  <c r="I103" i="11" s="1"/>
  <c r="I104" i="11" s="1"/>
  <c r="V101" i="11"/>
  <c r="I99" i="11"/>
  <c r="I100" i="11" s="1"/>
  <c r="W98" i="11"/>
  <c r="W99" i="11" s="1"/>
  <c r="W100" i="11" s="1"/>
  <c r="I98" i="11"/>
  <c r="V97" i="11"/>
  <c r="W95" i="11"/>
  <c r="W96" i="11" s="1"/>
  <c r="W94" i="11"/>
  <c r="I94" i="11"/>
  <c r="I95" i="11" s="1"/>
  <c r="I96" i="11" s="1"/>
  <c r="V93" i="11"/>
  <c r="I92" i="11"/>
  <c r="W90" i="11"/>
  <c r="W91" i="11" s="1"/>
  <c r="W92" i="11" s="1"/>
  <c r="I90" i="11"/>
  <c r="I91" i="11" s="1"/>
  <c r="V89" i="11"/>
  <c r="W87" i="11"/>
  <c r="W88" i="11" s="1"/>
  <c r="W86" i="11"/>
  <c r="I86" i="11"/>
  <c r="I87" i="11" s="1"/>
  <c r="I88" i="11" s="1"/>
  <c r="V85" i="11"/>
  <c r="W84" i="11"/>
  <c r="I84" i="11"/>
  <c r="W82" i="11"/>
  <c r="W83" i="11" s="1"/>
  <c r="I82" i="11"/>
  <c r="I83" i="11" s="1"/>
  <c r="V81" i="11"/>
  <c r="W78" i="11"/>
  <c r="W79" i="11" s="1"/>
  <c r="W80" i="11" s="1"/>
  <c r="I78" i="11"/>
  <c r="I79" i="11" s="1"/>
  <c r="I80" i="11" s="1"/>
  <c r="V77" i="11"/>
  <c r="W75" i="11"/>
  <c r="W76" i="11" s="1"/>
  <c r="W74" i="11"/>
  <c r="I74" i="11"/>
  <c r="I75" i="11" s="1"/>
  <c r="I76" i="11" s="1"/>
  <c r="V73" i="11"/>
  <c r="I71" i="11"/>
  <c r="I72" i="11" s="1"/>
  <c r="W70" i="11"/>
  <c r="W71" i="11" s="1"/>
  <c r="W72" i="11" s="1"/>
  <c r="I70" i="11"/>
  <c r="V69" i="11"/>
  <c r="W67" i="11"/>
  <c r="W68" i="11" s="1"/>
  <c r="W66" i="11"/>
  <c r="I66" i="11"/>
  <c r="I67" i="11" s="1"/>
  <c r="I68" i="11" s="1"/>
  <c r="V65" i="11"/>
  <c r="W63" i="11"/>
  <c r="W64" i="11" s="1"/>
  <c r="W62" i="11"/>
  <c r="I62" i="11"/>
  <c r="I63" i="11" s="1"/>
  <c r="I64" i="11" s="1"/>
  <c r="V61" i="11"/>
  <c r="W59" i="11"/>
  <c r="W60" i="11" s="1"/>
  <c r="I59" i="11"/>
  <c r="I60" i="11" s="1"/>
  <c r="W58" i="11"/>
  <c r="I58" i="11"/>
  <c r="V57" i="11"/>
  <c r="I55" i="11"/>
  <c r="I56" i="11" s="1"/>
  <c r="W54" i="11"/>
  <c r="W55" i="11" s="1"/>
  <c r="W56" i="11" s="1"/>
  <c r="I54" i="11"/>
  <c r="V53" i="11"/>
  <c r="W51" i="11"/>
  <c r="W52" i="11" s="1"/>
  <c r="W50" i="11"/>
  <c r="I50" i="11"/>
  <c r="I51" i="11" s="1"/>
  <c r="I52" i="11" s="1"/>
  <c r="V49" i="11"/>
  <c r="W47" i="11"/>
  <c r="W48" i="11" s="1"/>
  <c r="W46" i="11"/>
  <c r="I46" i="11"/>
  <c r="I47" i="11" s="1"/>
  <c r="I48" i="11" s="1"/>
  <c r="V45" i="11"/>
  <c r="W44" i="11"/>
  <c r="W43" i="11"/>
  <c r="W42" i="11"/>
  <c r="I42" i="11"/>
  <c r="I43" i="11" s="1"/>
  <c r="I44" i="11" s="1"/>
  <c r="V41" i="11"/>
  <c r="W39" i="11"/>
  <c r="W40" i="11" s="1"/>
  <c r="I39" i="11"/>
  <c r="I40" i="11" s="1"/>
  <c r="W38" i="11"/>
  <c r="I38" i="11"/>
  <c r="V37" i="11"/>
  <c r="I35" i="11"/>
  <c r="I36" i="11" s="1"/>
  <c r="W34" i="11"/>
  <c r="W35" i="11" s="1"/>
  <c r="W36" i="11" s="1"/>
  <c r="I34" i="11"/>
  <c r="V33" i="11"/>
  <c r="W31" i="11"/>
  <c r="W32" i="11" s="1"/>
  <c r="W30" i="11"/>
  <c r="I30" i="11"/>
  <c r="I31" i="11" s="1"/>
  <c r="I32" i="11" s="1"/>
  <c r="V29" i="11"/>
  <c r="W27" i="11"/>
  <c r="W28" i="11" s="1"/>
  <c r="W26" i="11"/>
  <c r="I26" i="11"/>
  <c r="I27" i="11" s="1"/>
  <c r="I28" i="11" s="1"/>
  <c r="V25" i="11"/>
  <c r="W24" i="11"/>
  <c r="W23" i="11"/>
  <c r="I23" i="11"/>
  <c r="I24" i="11" s="1"/>
  <c r="W22" i="11"/>
  <c r="I22" i="11"/>
  <c r="V21" i="11"/>
  <c r="I19" i="11"/>
  <c r="I20" i="11" s="1"/>
  <c r="W18" i="11"/>
  <c r="W19" i="11" s="1"/>
  <c r="W20" i="11" s="1"/>
  <c r="I18" i="11"/>
  <c r="V17" i="11"/>
  <c r="W15" i="11"/>
  <c r="W16" i="11" s="1"/>
  <c r="W14" i="11"/>
  <c r="I14" i="11"/>
  <c r="I15" i="11" s="1"/>
  <c r="I16" i="11" s="1"/>
  <c r="V13" i="11"/>
  <c r="A13" i="11"/>
  <c r="A14" i="11" s="1"/>
  <c r="A15" i="11" s="1"/>
  <c r="A16" i="11" s="1"/>
  <c r="W12" i="11"/>
  <c r="I12" i="11"/>
  <c r="W11" i="11"/>
  <c r="I11" i="11"/>
  <c r="W10" i="11"/>
  <c r="I10" i="11"/>
  <c r="V9" i="11"/>
  <c r="A9" i="11"/>
  <c r="A10" i="11" s="1"/>
  <c r="A11" i="11" s="1"/>
  <c r="A12" i="11" s="1"/>
  <c r="I7" i="11"/>
  <c r="I8" i="11" s="1"/>
  <c r="A7" i="11"/>
  <c r="A8" i="11" s="1"/>
  <c r="W6" i="11"/>
  <c r="W7" i="11" s="1"/>
  <c r="W8" i="11" s="1"/>
  <c r="I6" i="11"/>
  <c r="A6" i="11"/>
  <c r="V5" i="11"/>
  <c r="W674" i="10"/>
  <c r="W675" i="10" s="1"/>
  <c r="W676" i="10" s="1"/>
  <c r="I674" i="10"/>
  <c r="I675" i="10" s="1"/>
  <c r="I676" i="10" s="1"/>
  <c r="W670" i="10"/>
  <c r="W671" i="10" s="1"/>
  <c r="W672" i="10" s="1"/>
  <c r="I670" i="10"/>
  <c r="I671" i="10" s="1"/>
  <c r="I672" i="10" s="1"/>
  <c r="W666" i="10"/>
  <c r="W667" i="10" s="1"/>
  <c r="W668" i="10" s="1"/>
  <c r="I666" i="10"/>
  <c r="I667" i="10" s="1"/>
  <c r="I668" i="10" s="1"/>
  <c r="I663" i="10"/>
  <c r="I664" i="10" s="1"/>
  <c r="W662" i="10"/>
  <c r="W663" i="10" s="1"/>
  <c r="W664" i="10" s="1"/>
  <c r="I662" i="10"/>
  <c r="I660" i="10"/>
  <c r="W659" i="10"/>
  <c r="W660" i="10" s="1"/>
  <c r="I659" i="10"/>
  <c r="W658" i="10"/>
  <c r="I658" i="10"/>
  <c r="I655" i="10"/>
  <c r="I656" i="10" s="1"/>
  <c r="W654" i="10"/>
  <c r="W655" i="10" s="1"/>
  <c r="W656" i="10" s="1"/>
  <c r="I654" i="10"/>
  <c r="W651" i="10"/>
  <c r="W652" i="10" s="1"/>
  <c r="W650" i="10"/>
  <c r="I650" i="10"/>
  <c r="I651" i="10" s="1"/>
  <c r="I652" i="10" s="1"/>
  <c r="W646" i="10"/>
  <c r="W647" i="10" s="1"/>
  <c r="W648" i="10" s="1"/>
  <c r="I646" i="10"/>
  <c r="I647" i="10" s="1"/>
  <c r="I648" i="10" s="1"/>
  <c r="I643" i="10"/>
  <c r="I644" i="10" s="1"/>
  <c r="W642" i="10"/>
  <c r="W643" i="10" s="1"/>
  <c r="W644" i="10" s="1"/>
  <c r="I642" i="10"/>
  <c r="W640" i="10"/>
  <c r="W639" i="10"/>
  <c r="I639" i="10"/>
  <c r="I640" i="10" s="1"/>
  <c r="W638" i="10"/>
  <c r="I638" i="10"/>
  <c r="W634" i="10"/>
  <c r="W635" i="10" s="1"/>
  <c r="W636" i="10" s="1"/>
  <c r="I634" i="10"/>
  <c r="I635" i="10" s="1"/>
  <c r="I636" i="10" s="1"/>
  <c r="W631" i="10"/>
  <c r="W632" i="10" s="1"/>
  <c r="W630" i="10"/>
  <c r="I630" i="10"/>
  <c r="I631" i="10" s="1"/>
  <c r="I632" i="10" s="1"/>
  <c r="I627" i="10"/>
  <c r="I628" i="10" s="1"/>
  <c r="W626" i="10"/>
  <c r="W627" i="10" s="1"/>
  <c r="W628" i="10" s="1"/>
  <c r="I626" i="10"/>
  <c r="W622" i="10"/>
  <c r="W623" i="10" s="1"/>
  <c r="W624" i="10" s="1"/>
  <c r="I622" i="10"/>
  <c r="I623" i="10" s="1"/>
  <c r="I624" i="10" s="1"/>
  <c r="W619" i="10"/>
  <c r="W620" i="10" s="1"/>
  <c r="W618" i="10"/>
  <c r="I618" i="10"/>
  <c r="I619" i="10" s="1"/>
  <c r="I620" i="10" s="1"/>
  <c r="I616" i="10"/>
  <c r="W615" i="10"/>
  <c r="W616" i="10" s="1"/>
  <c r="I615" i="10"/>
  <c r="W614" i="10"/>
  <c r="I614" i="10"/>
  <c r="W612" i="10"/>
  <c r="W610" i="10"/>
  <c r="W611" i="10" s="1"/>
  <c r="I610" i="10"/>
  <c r="I611" i="10" s="1"/>
  <c r="I612" i="10" s="1"/>
  <c r="W606" i="10"/>
  <c r="W607" i="10" s="1"/>
  <c r="W608" i="10" s="1"/>
  <c r="I606" i="10"/>
  <c r="I607" i="10" s="1"/>
  <c r="I608" i="10" s="1"/>
  <c r="W602" i="10"/>
  <c r="W603" i="10" s="1"/>
  <c r="W604" i="10" s="1"/>
  <c r="I602" i="10"/>
  <c r="I603" i="10" s="1"/>
  <c r="I604" i="10" s="1"/>
  <c r="W600" i="10"/>
  <c r="W598" i="10"/>
  <c r="W599" i="10" s="1"/>
  <c r="I598" i="10"/>
  <c r="I599" i="10" s="1"/>
  <c r="I600" i="10" s="1"/>
  <c r="W596" i="10"/>
  <c r="I596" i="10"/>
  <c r="W595" i="10"/>
  <c r="I595" i="10"/>
  <c r="W594" i="10"/>
  <c r="I594" i="10"/>
  <c r="W592" i="10"/>
  <c r="W591" i="10"/>
  <c r="I591" i="10"/>
  <c r="I592" i="10" s="1"/>
  <c r="W590" i="10"/>
  <c r="I590" i="10"/>
  <c r="W586" i="10"/>
  <c r="W587" i="10" s="1"/>
  <c r="W588" i="10" s="1"/>
  <c r="I586" i="10"/>
  <c r="I587" i="10" s="1"/>
  <c r="I588" i="10" s="1"/>
  <c r="W582" i="10"/>
  <c r="W583" i="10" s="1"/>
  <c r="W584" i="10" s="1"/>
  <c r="I582" i="10"/>
  <c r="I583" i="10" s="1"/>
  <c r="I584" i="10" s="1"/>
  <c r="W578" i="10"/>
  <c r="W579" i="10" s="1"/>
  <c r="W580" i="10" s="1"/>
  <c r="I578" i="10"/>
  <c r="I579" i="10" s="1"/>
  <c r="I580" i="10" s="1"/>
  <c r="I575" i="10"/>
  <c r="I576" i="10" s="1"/>
  <c r="W574" i="10"/>
  <c r="W575" i="10" s="1"/>
  <c r="W576" i="10" s="1"/>
  <c r="I574" i="10"/>
  <c r="W571" i="10"/>
  <c r="W572" i="10" s="1"/>
  <c r="W570" i="10"/>
  <c r="I570" i="10"/>
  <c r="I571" i="10" s="1"/>
  <c r="I572" i="10" s="1"/>
  <c r="W568" i="10"/>
  <c r="W567" i="10"/>
  <c r="W566" i="10"/>
  <c r="I566" i="10"/>
  <c r="I567" i="10" s="1"/>
  <c r="I568" i="10" s="1"/>
  <c r="I563" i="10"/>
  <c r="I564" i="10" s="1"/>
  <c r="W562" i="10"/>
  <c r="W563" i="10" s="1"/>
  <c r="W564" i="10" s="1"/>
  <c r="I562" i="10"/>
  <c r="W559" i="10"/>
  <c r="W560" i="10" s="1"/>
  <c r="I559" i="10"/>
  <c r="I560" i="10" s="1"/>
  <c r="W558" i="10"/>
  <c r="I558" i="10"/>
  <c r="W554" i="10"/>
  <c r="W555" i="10" s="1"/>
  <c r="W556" i="10" s="1"/>
  <c r="I554" i="10"/>
  <c r="I555" i="10" s="1"/>
  <c r="I556" i="10" s="1"/>
  <c r="I552" i="10"/>
  <c r="W551" i="10"/>
  <c r="W552" i="10" s="1"/>
  <c r="I551" i="10"/>
  <c r="W550" i="10"/>
  <c r="I550" i="10"/>
  <c r="W546" i="10"/>
  <c r="W547" i="10" s="1"/>
  <c r="W548" i="10" s="1"/>
  <c r="I546" i="10"/>
  <c r="I547" i="10" s="1"/>
  <c r="I548" i="10" s="1"/>
  <c r="I543" i="10"/>
  <c r="I544" i="10" s="1"/>
  <c r="W542" i="10"/>
  <c r="W543" i="10" s="1"/>
  <c r="W544" i="10" s="1"/>
  <c r="I542" i="10"/>
  <c r="W539" i="10"/>
  <c r="W540" i="10" s="1"/>
  <c r="I539" i="10"/>
  <c r="I540" i="10" s="1"/>
  <c r="W538" i="10"/>
  <c r="I538" i="10"/>
  <c r="W534" i="10"/>
  <c r="W535" i="10" s="1"/>
  <c r="W536" i="10" s="1"/>
  <c r="I534" i="10"/>
  <c r="I535" i="10" s="1"/>
  <c r="I536" i="10" s="1"/>
  <c r="W530" i="10"/>
  <c r="W531" i="10" s="1"/>
  <c r="W532" i="10" s="1"/>
  <c r="I530" i="10"/>
  <c r="I531" i="10" s="1"/>
  <c r="I532" i="10" s="1"/>
  <c r="W528" i="10"/>
  <c r="W527" i="10"/>
  <c r="I527" i="10"/>
  <c r="I528" i="10" s="1"/>
  <c r="W526" i="10"/>
  <c r="I526" i="10"/>
  <c r="W524" i="10"/>
  <c r="I524" i="10"/>
  <c r="W522" i="10"/>
  <c r="W523" i="10" s="1"/>
  <c r="I522" i="10"/>
  <c r="I523" i="10" s="1"/>
  <c r="W518" i="10"/>
  <c r="W519" i="10" s="1"/>
  <c r="W520" i="10" s="1"/>
  <c r="I518" i="10"/>
  <c r="I519" i="10" s="1"/>
  <c r="I520" i="10" s="1"/>
  <c r="W516" i="10"/>
  <c r="I516" i="10"/>
  <c r="W515" i="10"/>
  <c r="I515" i="10"/>
  <c r="W514" i="10"/>
  <c r="I514" i="10"/>
  <c r="I512" i="10"/>
  <c r="W510" i="10"/>
  <c r="W511" i="10" s="1"/>
  <c r="W512" i="10" s="1"/>
  <c r="I510" i="10"/>
  <c r="I511" i="10" s="1"/>
  <c r="W507" i="10"/>
  <c r="W508" i="10" s="1"/>
  <c r="W506" i="10"/>
  <c r="I506" i="10"/>
  <c r="I507" i="10" s="1"/>
  <c r="I508" i="10" s="1"/>
  <c r="I503" i="10"/>
  <c r="I504" i="10" s="1"/>
  <c r="W502" i="10"/>
  <c r="W503" i="10" s="1"/>
  <c r="W504" i="10" s="1"/>
  <c r="I502" i="10"/>
  <c r="W498" i="10"/>
  <c r="W499" i="10" s="1"/>
  <c r="W500" i="10" s="1"/>
  <c r="I498" i="10"/>
  <c r="I499" i="10" s="1"/>
  <c r="I500" i="10" s="1"/>
  <c r="W495" i="10"/>
  <c r="W496" i="10" s="1"/>
  <c r="W494" i="10"/>
  <c r="I494" i="10"/>
  <c r="I495" i="10" s="1"/>
  <c r="I496" i="10" s="1"/>
  <c r="I491" i="10"/>
  <c r="I492" i="10" s="1"/>
  <c r="W490" i="10"/>
  <c r="W491" i="10" s="1"/>
  <c r="W492" i="10" s="1"/>
  <c r="I490" i="10"/>
  <c r="W486" i="10"/>
  <c r="W487" i="10" s="1"/>
  <c r="W488" i="10" s="1"/>
  <c r="I486" i="10"/>
  <c r="I487" i="10" s="1"/>
  <c r="I488" i="10" s="1"/>
  <c r="W482" i="10"/>
  <c r="W483" i="10" s="1"/>
  <c r="W484" i="10" s="1"/>
  <c r="I482" i="10"/>
  <c r="I483" i="10" s="1"/>
  <c r="I484" i="10" s="1"/>
  <c r="W479" i="10"/>
  <c r="W480" i="10" s="1"/>
  <c r="I479" i="10"/>
  <c r="I480" i="10" s="1"/>
  <c r="W478" i="10"/>
  <c r="I478" i="10"/>
  <c r="W476" i="10"/>
  <c r="W474" i="10"/>
  <c r="W475" i="10" s="1"/>
  <c r="I474" i="10"/>
  <c r="I475" i="10" s="1"/>
  <c r="I476" i="10" s="1"/>
  <c r="W470" i="10"/>
  <c r="W471" i="10" s="1"/>
  <c r="W472" i="10" s="1"/>
  <c r="I470" i="10"/>
  <c r="I471" i="10" s="1"/>
  <c r="I472" i="10" s="1"/>
  <c r="I467" i="10"/>
  <c r="I468" i="10" s="1"/>
  <c r="W466" i="10"/>
  <c r="W467" i="10" s="1"/>
  <c r="W468" i="10" s="1"/>
  <c r="I466" i="10"/>
  <c r="I464" i="10"/>
  <c r="W463" i="10"/>
  <c r="W464" i="10" s="1"/>
  <c r="W462" i="10"/>
  <c r="I462" i="10"/>
  <c r="I463" i="10" s="1"/>
  <c r="I460" i="10"/>
  <c r="I459" i="10"/>
  <c r="W458" i="10"/>
  <c r="W459" i="10" s="1"/>
  <c r="W460" i="10" s="1"/>
  <c r="I458" i="10"/>
  <c r="I456" i="10"/>
  <c r="I455" i="10"/>
  <c r="W454" i="10"/>
  <c r="W455" i="10" s="1"/>
  <c r="W456" i="10" s="1"/>
  <c r="I454" i="10"/>
  <c r="W452" i="10"/>
  <c r="W451" i="10"/>
  <c r="W450" i="10"/>
  <c r="I450" i="10"/>
  <c r="I451" i="10" s="1"/>
  <c r="I452" i="10" s="1"/>
  <c r="W446" i="10"/>
  <c r="W447" i="10" s="1"/>
  <c r="W448" i="10" s="1"/>
  <c r="I446" i="10"/>
  <c r="I447" i="10" s="1"/>
  <c r="I448" i="10" s="1"/>
  <c r="W443" i="10"/>
  <c r="W444" i="10" s="1"/>
  <c r="W442" i="10"/>
  <c r="I442" i="10"/>
  <c r="I443" i="10" s="1"/>
  <c r="I444" i="10" s="1"/>
  <c r="W439" i="10"/>
  <c r="W440" i="10" s="1"/>
  <c r="I439" i="10"/>
  <c r="I440" i="10" s="1"/>
  <c r="W438" i="10"/>
  <c r="I438" i="10"/>
  <c r="W436" i="10"/>
  <c r="W434" i="10"/>
  <c r="W435" i="10" s="1"/>
  <c r="I434" i="10"/>
  <c r="I435" i="10" s="1"/>
  <c r="I436" i="10" s="1"/>
  <c r="W430" i="10"/>
  <c r="W431" i="10" s="1"/>
  <c r="W432" i="10" s="1"/>
  <c r="I430" i="10"/>
  <c r="I431" i="10" s="1"/>
  <c r="I432" i="10" s="1"/>
  <c r="I428" i="10"/>
  <c r="I427" i="10"/>
  <c r="W426" i="10"/>
  <c r="W427" i="10" s="1"/>
  <c r="W428" i="10" s="1"/>
  <c r="I426" i="10"/>
  <c r="W424" i="10"/>
  <c r="W422" i="10"/>
  <c r="W423" i="10" s="1"/>
  <c r="I422" i="10"/>
  <c r="I423" i="10" s="1"/>
  <c r="I424" i="10" s="1"/>
  <c r="W419" i="10"/>
  <c r="W420" i="10" s="1"/>
  <c r="I419" i="10"/>
  <c r="I420" i="10" s="1"/>
  <c r="W418" i="10"/>
  <c r="I418" i="10"/>
  <c r="I415" i="10"/>
  <c r="I416" i="10" s="1"/>
  <c r="W414" i="10"/>
  <c r="W415" i="10" s="1"/>
  <c r="W416" i="10" s="1"/>
  <c r="I414" i="10"/>
  <c r="W410" i="10"/>
  <c r="W411" i="10" s="1"/>
  <c r="W412" i="10" s="1"/>
  <c r="I410" i="10"/>
  <c r="I411" i="10" s="1"/>
  <c r="I412" i="10" s="1"/>
  <c r="I407" i="10"/>
  <c r="I408" i="10" s="1"/>
  <c r="W406" i="10"/>
  <c r="W407" i="10" s="1"/>
  <c r="W408" i="10" s="1"/>
  <c r="I406" i="10"/>
  <c r="W403" i="10"/>
  <c r="W404" i="10" s="1"/>
  <c r="I403" i="10"/>
  <c r="I404" i="10" s="1"/>
  <c r="W402" i="10"/>
  <c r="I402" i="10"/>
  <c r="W398" i="10"/>
  <c r="W399" i="10" s="1"/>
  <c r="W400" i="10" s="1"/>
  <c r="I398" i="10"/>
  <c r="I399" i="10" s="1"/>
  <c r="I400" i="10" s="1"/>
  <c r="I395" i="10"/>
  <c r="I396" i="10" s="1"/>
  <c r="W394" i="10"/>
  <c r="W395" i="10" s="1"/>
  <c r="W396" i="10" s="1"/>
  <c r="I394" i="10"/>
  <c r="W391" i="10"/>
  <c r="W392" i="10" s="1"/>
  <c r="I391" i="10"/>
  <c r="I392" i="10" s="1"/>
  <c r="W390" i="10"/>
  <c r="I390" i="10"/>
  <c r="W386" i="10"/>
  <c r="W387" i="10" s="1"/>
  <c r="W388" i="10" s="1"/>
  <c r="I386" i="10"/>
  <c r="I387" i="10" s="1"/>
  <c r="I388" i="10" s="1"/>
  <c r="W382" i="10"/>
  <c r="W383" i="10" s="1"/>
  <c r="W384" i="10" s="1"/>
  <c r="I382" i="10"/>
  <c r="I383" i="10" s="1"/>
  <c r="I384" i="10" s="1"/>
  <c r="I379" i="10"/>
  <c r="I380" i="10" s="1"/>
  <c r="W378" i="10"/>
  <c r="W379" i="10" s="1"/>
  <c r="W380" i="10" s="1"/>
  <c r="I378" i="10"/>
  <c r="W374" i="10"/>
  <c r="W375" i="10" s="1"/>
  <c r="W376" i="10" s="1"/>
  <c r="I374" i="10"/>
  <c r="I375" i="10" s="1"/>
  <c r="I376" i="10" s="1"/>
  <c r="W371" i="10"/>
  <c r="W372" i="10" s="1"/>
  <c r="W370" i="10"/>
  <c r="I370" i="10"/>
  <c r="I371" i="10" s="1"/>
  <c r="I372" i="10" s="1"/>
  <c r="I368" i="10"/>
  <c r="I367" i="10"/>
  <c r="W366" i="10"/>
  <c r="W367" i="10" s="1"/>
  <c r="W368" i="10" s="1"/>
  <c r="I366" i="10"/>
  <c r="I363" i="10"/>
  <c r="I364" i="10" s="1"/>
  <c r="W362" i="10"/>
  <c r="W363" i="10" s="1"/>
  <c r="W364" i="10" s="1"/>
  <c r="I362" i="10"/>
  <c r="I359" i="10"/>
  <c r="I360" i="10" s="1"/>
  <c r="W358" i="10"/>
  <c r="W359" i="10" s="1"/>
  <c r="W360" i="10" s="1"/>
  <c r="I358" i="10"/>
  <c r="W355" i="10"/>
  <c r="W356" i="10" s="1"/>
  <c r="I355" i="10"/>
  <c r="I356" i="10" s="1"/>
  <c r="W354" i="10"/>
  <c r="I354" i="10"/>
  <c r="W352" i="10"/>
  <c r="W350" i="10"/>
  <c r="W351" i="10" s="1"/>
  <c r="I350" i="10"/>
  <c r="I351" i="10" s="1"/>
  <c r="I352" i="10" s="1"/>
  <c r="W346" i="10"/>
  <c r="W347" i="10" s="1"/>
  <c r="W348" i="10" s="1"/>
  <c r="I346" i="10"/>
  <c r="I347" i="10" s="1"/>
  <c r="I348" i="10" s="1"/>
  <c r="W344" i="10"/>
  <c r="W343" i="10"/>
  <c r="W342" i="10"/>
  <c r="I342" i="10"/>
  <c r="I343" i="10" s="1"/>
  <c r="I344" i="10" s="1"/>
  <c r="I340" i="10"/>
  <c r="W338" i="10"/>
  <c r="W339" i="10" s="1"/>
  <c r="W340" i="10" s="1"/>
  <c r="I338" i="10"/>
  <c r="I339" i="10" s="1"/>
  <c r="W335" i="10"/>
  <c r="W336" i="10" s="1"/>
  <c r="W334" i="10"/>
  <c r="I334" i="10"/>
  <c r="I335" i="10" s="1"/>
  <c r="I336" i="10" s="1"/>
  <c r="I331" i="10"/>
  <c r="I332" i="10" s="1"/>
  <c r="W330" i="10"/>
  <c r="W331" i="10" s="1"/>
  <c r="W332" i="10" s="1"/>
  <c r="I330" i="10"/>
  <c r="W326" i="10"/>
  <c r="W327" i="10" s="1"/>
  <c r="W328" i="10" s="1"/>
  <c r="I326" i="10"/>
  <c r="I327" i="10" s="1"/>
  <c r="I328" i="10" s="1"/>
  <c r="W322" i="10"/>
  <c r="W323" i="10" s="1"/>
  <c r="W324" i="10" s="1"/>
  <c r="I322" i="10"/>
  <c r="I323" i="10" s="1"/>
  <c r="I324" i="10" s="1"/>
  <c r="W319" i="10"/>
  <c r="W320" i="10" s="1"/>
  <c r="W318" i="10"/>
  <c r="I318" i="10"/>
  <c r="I319" i="10" s="1"/>
  <c r="I320" i="10" s="1"/>
  <c r="W316" i="10"/>
  <c r="I316" i="10"/>
  <c r="W315" i="10"/>
  <c r="W314" i="10"/>
  <c r="I314" i="10"/>
  <c r="I315" i="10" s="1"/>
  <c r="W310" i="10"/>
  <c r="W311" i="10" s="1"/>
  <c r="W312" i="10" s="1"/>
  <c r="I310" i="10"/>
  <c r="I311" i="10" s="1"/>
  <c r="I312" i="10" s="1"/>
  <c r="W308" i="10"/>
  <c r="W307" i="10"/>
  <c r="I307" i="10"/>
  <c r="I308" i="10" s="1"/>
  <c r="W306" i="10"/>
  <c r="I306" i="10"/>
  <c r="I304" i="10"/>
  <c r="I303" i="10"/>
  <c r="W302" i="10"/>
  <c r="W303" i="10" s="1"/>
  <c r="W304" i="10" s="1"/>
  <c r="I302" i="10"/>
  <c r="I300" i="10"/>
  <c r="W298" i="10"/>
  <c r="W299" i="10" s="1"/>
  <c r="W300" i="10" s="1"/>
  <c r="I298" i="10"/>
  <c r="I299" i="10" s="1"/>
  <c r="W295" i="10"/>
  <c r="W296" i="10" s="1"/>
  <c r="W294" i="10"/>
  <c r="I294" i="10"/>
  <c r="I295" i="10" s="1"/>
  <c r="I296" i="10" s="1"/>
  <c r="I291" i="10"/>
  <c r="I292" i="10" s="1"/>
  <c r="W290" i="10"/>
  <c r="W291" i="10" s="1"/>
  <c r="W292" i="10" s="1"/>
  <c r="I290" i="10"/>
  <c r="W286" i="10"/>
  <c r="W287" i="10" s="1"/>
  <c r="W288" i="10" s="1"/>
  <c r="I286" i="10"/>
  <c r="I287" i="10" s="1"/>
  <c r="I288" i="10" s="1"/>
  <c r="W282" i="10"/>
  <c r="W283" i="10" s="1"/>
  <c r="W284" i="10" s="1"/>
  <c r="I282" i="10"/>
  <c r="I283" i="10" s="1"/>
  <c r="I284" i="10" s="1"/>
  <c r="W279" i="10"/>
  <c r="W280" i="10" s="1"/>
  <c r="W278" i="10"/>
  <c r="I278" i="10"/>
  <c r="I279" i="10" s="1"/>
  <c r="I280" i="10" s="1"/>
  <c r="W274" i="10"/>
  <c r="W275" i="10" s="1"/>
  <c r="W276" i="10" s="1"/>
  <c r="I274" i="10"/>
  <c r="I275" i="10" s="1"/>
  <c r="I276" i="10" s="1"/>
  <c r="W270" i="10"/>
  <c r="W271" i="10" s="1"/>
  <c r="W272" i="10" s="1"/>
  <c r="I270" i="10"/>
  <c r="I271" i="10" s="1"/>
  <c r="I272" i="10" s="1"/>
  <c r="W268" i="10"/>
  <c r="W267" i="10"/>
  <c r="I267" i="10"/>
  <c r="I268" i="10" s="1"/>
  <c r="W266" i="10"/>
  <c r="I266" i="10"/>
  <c r="W262" i="10"/>
  <c r="W263" i="10" s="1"/>
  <c r="W264" i="10" s="1"/>
  <c r="I262" i="10"/>
  <c r="I263" i="10" s="1"/>
  <c r="I264" i="10" s="1"/>
  <c r="W258" i="10"/>
  <c r="W259" i="10" s="1"/>
  <c r="W260" i="10" s="1"/>
  <c r="I258" i="10"/>
  <c r="I259" i="10" s="1"/>
  <c r="I260" i="10" s="1"/>
  <c r="W255" i="10"/>
  <c r="W256" i="10" s="1"/>
  <c r="I255" i="10"/>
  <c r="I256" i="10" s="1"/>
  <c r="W254" i="10"/>
  <c r="I254" i="10"/>
  <c r="I252" i="10"/>
  <c r="W250" i="10"/>
  <c r="W251" i="10" s="1"/>
  <c r="W252" i="10" s="1"/>
  <c r="I250" i="10"/>
  <c r="I251" i="10" s="1"/>
  <c r="W246" i="10"/>
  <c r="W247" i="10" s="1"/>
  <c r="W248" i="10" s="1"/>
  <c r="I246" i="10"/>
  <c r="I247" i="10" s="1"/>
  <c r="I248" i="10" s="1"/>
  <c r="I243" i="10"/>
  <c r="I244" i="10" s="1"/>
  <c r="W242" i="10"/>
  <c r="W243" i="10" s="1"/>
  <c r="W244" i="10" s="1"/>
  <c r="I242" i="10"/>
  <c r="W240" i="10"/>
  <c r="W238" i="10"/>
  <c r="W239" i="10" s="1"/>
  <c r="I238" i="10"/>
  <c r="I239" i="10" s="1"/>
  <c r="I240" i="10" s="1"/>
  <c r="W234" i="10"/>
  <c r="W235" i="10" s="1"/>
  <c r="W236" i="10" s="1"/>
  <c r="I234" i="10"/>
  <c r="I235" i="10" s="1"/>
  <c r="I236" i="10" s="1"/>
  <c r="W231" i="10"/>
  <c r="W232" i="10" s="1"/>
  <c r="W230" i="10"/>
  <c r="I230" i="10"/>
  <c r="I231" i="10" s="1"/>
  <c r="I232" i="10" s="1"/>
  <c r="W226" i="10"/>
  <c r="W227" i="10" s="1"/>
  <c r="W228" i="10" s="1"/>
  <c r="I226" i="10"/>
  <c r="I227" i="10" s="1"/>
  <c r="I228" i="10" s="1"/>
  <c r="W222" i="10"/>
  <c r="W223" i="10" s="1"/>
  <c r="W224" i="10" s="1"/>
  <c r="I222" i="10"/>
  <c r="I223" i="10" s="1"/>
  <c r="I224" i="10" s="1"/>
  <c r="W219" i="10"/>
  <c r="W220" i="10" s="1"/>
  <c r="I219" i="10"/>
  <c r="I220" i="10" s="1"/>
  <c r="W218" i="10"/>
  <c r="I218" i="10"/>
  <c r="W214" i="10"/>
  <c r="W215" i="10" s="1"/>
  <c r="W216" i="10" s="1"/>
  <c r="I214" i="10"/>
  <c r="I215" i="10" s="1"/>
  <c r="I216" i="10" s="1"/>
  <c r="W210" i="10"/>
  <c r="W211" i="10" s="1"/>
  <c r="W212" i="10" s="1"/>
  <c r="I210" i="10"/>
  <c r="I211" i="10" s="1"/>
  <c r="I212" i="10" s="1"/>
  <c r="W208" i="10"/>
  <c r="I208" i="10"/>
  <c r="W207" i="10"/>
  <c r="I207" i="10"/>
  <c r="W206" i="10"/>
  <c r="I206" i="10"/>
  <c r="I204" i="10"/>
  <c r="W202" i="10"/>
  <c r="W203" i="10" s="1"/>
  <c r="W204" i="10" s="1"/>
  <c r="I202" i="10"/>
  <c r="I203" i="10" s="1"/>
  <c r="W199" i="10"/>
  <c r="W200" i="10" s="1"/>
  <c r="I199" i="10"/>
  <c r="I200" i="10" s="1"/>
  <c r="W198" i="10"/>
  <c r="I198" i="10"/>
  <c r="W196" i="10"/>
  <c r="W195" i="10"/>
  <c r="I195" i="10"/>
  <c r="I196" i="10" s="1"/>
  <c r="W194" i="10"/>
  <c r="I194" i="10"/>
  <c r="W190" i="10"/>
  <c r="W191" i="10" s="1"/>
  <c r="W192" i="10" s="1"/>
  <c r="I190" i="10"/>
  <c r="I191" i="10" s="1"/>
  <c r="I192" i="10" s="1"/>
  <c r="W187" i="10"/>
  <c r="W188" i="10" s="1"/>
  <c r="W186" i="10"/>
  <c r="I186" i="10"/>
  <c r="I187" i="10" s="1"/>
  <c r="I188" i="10" s="1"/>
  <c r="W184" i="10"/>
  <c r="I184" i="10"/>
  <c r="W183" i="10"/>
  <c r="W182" i="10"/>
  <c r="I182" i="10"/>
  <c r="I183" i="10" s="1"/>
  <c r="W178" i="10"/>
  <c r="W179" i="10" s="1"/>
  <c r="W180" i="10" s="1"/>
  <c r="I178" i="10"/>
  <c r="I179" i="10" s="1"/>
  <c r="I180" i="10" s="1"/>
  <c r="W175" i="10"/>
  <c r="W176" i="10" s="1"/>
  <c r="I175" i="10"/>
  <c r="I176" i="10" s="1"/>
  <c r="W174" i="10"/>
  <c r="I174" i="10"/>
  <c r="I172" i="10"/>
  <c r="W171" i="10"/>
  <c r="W172" i="10" s="1"/>
  <c r="I171" i="10"/>
  <c r="W170" i="10"/>
  <c r="I170" i="10"/>
  <c r="W166" i="10"/>
  <c r="W167" i="10" s="1"/>
  <c r="W168" i="10" s="1"/>
  <c r="I166" i="10"/>
  <c r="I167" i="10" s="1"/>
  <c r="I168" i="10" s="1"/>
  <c r="W162" i="10"/>
  <c r="W163" i="10" s="1"/>
  <c r="W164" i="10" s="1"/>
  <c r="I162" i="10"/>
  <c r="I163" i="10" s="1"/>
  <c r="I164" i="10" s="1"/>
  <c r="I160" i="10"/>
  <c r="I159" i="10"/>
  <c r="W158" i="10"/>
  <c r="W159" i="10" s="1"/>
  <c r="W160" i="10" s="1"/>
  <c r="I158" i="10"/>
  <c r="W156" i="10"/>
  <c r="W154" i="10"/>
  <c r="W155" i="10" s="1"/>
  <c r="I154" i="10"/>
  <c r="I155" i="10" s="1"/>
  <c r="I156" i="10" s="1"/>
  <c r="W151" i="10"/>
  <c r="W152" i="10" s="1"/>
  <c r="I151" i="10"/>
  <c r="I152" i="10" s="1"/>
  <c r="W150" i="10"/>
  <c r="I150" i="10"/>
  <c r="W147" i="10"/>
  <c r="W148" i="10" s="1"/>
  <c r="I147" i="10"/>
  <c r="I148" i="10" s="1"/>
  <c r="W146" i="10"/>
  <c r="I146" i="10"/>
  <c r="W144" i="10"/>
  <c r="W142" i="10"/>
  <c r="W143" i="10" s="1"/>
  <c r="I142" i="10"/>
  <c r="I143" i="10" s="1"/>
  <c r="I144" i="10" s="1"/>
  <c r="W138" i="10"/>
  <c r="W139" i="10" s="1"/>
  <c r="W140" i="10" s="1"/>
  <c r="I138" i="10"/>
  <c r="I139" i="10" s="1"/>
  <c r="I140" i="10" s="1"/>
  <c r="W135" i="10"/>
  <c r="W136" i="10" s="1"/>
  <c r="W134" i="10"/>
  <c r="I134" i="10"/>
  <c r="I135" i="10" s="1"/>
  <c r="I136" i="10" s="1"/>
  <c r="W130" i="10"/>
  <c r="W131" i="10" s="1"/>
  <c r="W132" i="10" s="1"/>
  <c r="I130" i="10"/>
  <c r="I131" i="10" s="1"/>
  <c r="I132" i="10" s="1"/>
  <c r="W127" i="10"/>
  <c r="W128" i="10" s="1"/>
  <c r="W126" i="10"/>
  <c r="I126" i="10"/>
  <c r="I127" i="10" s="1"/>
  <c r="I128" i="10" s="1"/>
  <c r="I123" i="10"/>
  <c r="I124" i="10" s="1"/>
  <c r="W122" i="10"/>
  <c r="W123" i="10" s="1"/>
  <c r="W124" i="10" s="1"/>
  <c r="I122" i="10"/>
  <c r="I120" i="10"/>
  <c r="W118" i="10"/>
  <c r="W119" i="10" s="1"/>
  <c r="W120" i="10" s="1"/>
  <c r="I118" i="10"/>
  <c r="I119" i="10" s="1"/>
  <c r="W114" i="10"/>
  <c r="W115" i="10" s="1"/>
  <c r="W116" i="10" s="1"/>
  <c r="I114" i="10"/>
  <c r="I115" i="10" s="1"/>
  <c r="I116" i="10" s="1"/>
  <c r="I111" i="10"/>
  <c r="I112" i="10" s="1"/>
  <c r="W110" i="10"/>
  <c r="W111" i="10" s="1"/>
  <c r="W112" i="10" s="1"/>
  <c r="I110" i="10"/>
  <c r="W106" i="10"/>
  <c r="W107" i="10" s="1"/>
  <c r="W108" i="10" s="1"/>
  <c r="I106" i="10"/>
  <c r="I107" i="10" s="1"/>
  <c r="I108" i="10" s="1"/>
  <c r="I104" i="10"/>
  <c r="I103" i="10"/>
  <c r="W102" i="10"/>
  <c r="W103" i="10" s="1"/>
  <c r="W104" i="10" s="1"/>
  <c r="I102" i="10"/>
  <c r="W99" i="10"/>
  <c r="W100" i="10" s="1"/>
  <c r="I99" i="10"/>
  <c r="I100" i="10" s="1"/>
  <c r="W98" i="10"/>
  <c r="I98" i="10"/>
  <c r="W96" i="10"/>
  <c r="W94" i="10"/>
  <c r="W95" i="10" s="1"/>
  <c r="I94" i="10"/>
  <c r="I95" i="10" s="1"/>
  <c r="I96" i="10" s="1"/>
  <c r="W90" i="10"/>
  <c r="W91" i="10" s="1"/>
  <c r="W92" i="10" s="1"/>
  <c r="I90" i="10"/>
  <c r="I91" i="10" s="1"/>
  <c r="I92" i="10" s="1"/>
  <c r="W87" i="10"/>
  <c r="W88" i="10" s="1"/>
  <c r="I87" i="10"/>
  <c r="I88" i="10" s="1"/>
  <c r="W86" i="10"/>
  <c r="I86" i="10"/>
  <c r="W82" i="10"/>
  <c r="W83" i="10" s="1"/>
  <c r="W84" i="10" s="1"/>
  <c r="I82" i="10"/>
  <c r="I83" i="10" s="1"/>
  <c r="I84" i="10" s="1"/>
  <c r="W78" i="10"/>
  <c r="W79" i="10" s="1"/>
  <c r="W80" i="10" s="1"/>
  <c r="I78" i="10"/>
  <c r="I79" i="10" s="1"/>
  <c r="I80" i="10" s="1"/>
  <c r="I75" i="10"/>
  <c r="I76" i="10" s="1"/>
  <c r="W74" i="10"/>
  <c r="W75" i="10" s="1"/>
  <c r="W76" i="10" s="1"/>
  <c r="I74" i="10"/>
  <c r="W70" i="10"/>
  <c r="W71" i="10" s="1"/>
  <c r="W72" i="10" s="1"/>
  <c r="I70" i="10"/>
  <c r="I71" i="10" s="1"/>
  <c r="I72" i="10" s="1"/>
  <c r="W66" i="10"/>
  <c r="W67" i="10" s="1"/>
  <c r="W68" i="10" s="1"/>
  <c r="I66" i="10"/>
  <c r="I67" i="10" s="1"/>
  <c r="I68" i="10" s="1"/>
  <c r="I63" i="10"/>
  <c r="I64" i="10" s="1"/>
  <c r="W62" i="10"/>
  <c r="W63" i="10" s="1"/>
  <c r="W64" i="10" s="1"/>
  <c r="I62" i="10"/>
  <c r="W58" i="10"/>
  <c r="W59" i="10" s="1"/>
  <c r="W60" i="10" s="1"/>
  <c r="I58" i="10"/>
  <c r="I59" i="10" s="1"/>
  <c r="I60" i="10" s="1"/>
  <c r="I55" i="10"/>
  <c r="I56" i="10" s="1"/>
  <c r="W54" i="10"/>
  <c r="W55" i="10" s="1"/>
  <c r="W56" i="10" s="1"/>
  <c r="I54" i="10"/>
  <c r="W51" i="10"/>
  <c r="W52" i="10" s="1"/>
  <c r="W50" i="10"/>
  <c r="I50" i="10"/>
  <c r="I51" i="10" s="1"/>
  <c r="I52" i="10" s="1"/>
  <c r="W48" i="10"/>
  <c r="W46" i="10"/>
  <c r="W47" i="10" s="1"/>
  <c r="I46" i="10"/>
  <c r="I47" i="10" s="1"/>
  <c r="I48" i="10" s="1"/>
  <c r="W42" i="10"/>
  <c r="W43" i="10" s="1"/>
  <c r="W44" i="10" s="1"/>
  <c r="I42" i="10"/>
  <c r="I43" i="10" s="1"/>
  <c r="I44" i="10" s="1"/>
  <c r="W39" i="10"/>
  <c r="W40" i="10" s="1"/>
  <c r="W38" i="10"/>
  <c r="I38" i="10"/>
  <c r="I39" i="10" s="1"/>
  <c r="I40" i="10" s="1"/>
  <c r="W34" i="10"/>
  <c r="W35" i="10" s="1"/>
  <c r="W36" i="10" s="1"/>
  <c r="I34" i="10"/>
  <c r="I35" i="10" s="1"/>
  <c r="I36" i="10" s="1"/>
  <c r="W31" i="10"/>
  <c r="W32" i="10" s="1"/>
  <c r="W30" i="10"/>
  <c r="I30" i="10"/>
  <c r="I31" i="10" s="1"/>
  <c r="I32" i="10" s="1"/>
  <c r="W27" i="10"/>
  <c r="W28" i="10" s="1"/>
  <c r="W26" i="10"/>
  <c r="I26" i="10"/>
  <c r="I27" i="10" s="1"/>
  <c r="I28" i="10" s="1"/>
  <c r="W24" i="10"/>
  <c r="W23" i="10"/>
  <c r="I23" i="10"/>
  <c r="I24" i="10" s="1"/>
  <c r="W22" i="10"/>
  <c r="I22" i="10"/>
  <c r="W20" i="10"/>
  <c r="W18" i="10"/>
  <c r="W19" i="10" s="1"/>
  <c r="I18" i="10"/>
  <c r="I19" i="10" s="1"/>
  <c r="I20" i="10" s="1"/>
  <c r="W15" i="10"/>
  <c r="W16" i="10" s="1"/>
  <c r="W14" i="10"/>
  <c r="I14" i="10"/>
  <c r="I15" i="10" s="1"/>
  <c r="I16" i="10" s="1"/>
  <c r="I12" i="10"/>
  <c r="W11" i="10"/>
  <c r="W12" i="10" s="1"/>
  <c r="I11" i="10"/>
  <c r="W10" i="10"/>
  <c r="I10" i="10"/>
  <c r="A9" i="10"/>
  <c r="A7" i="10"/>
  <c r="A8" i="10" s="1"/>
  <c r="W6" i="10"/>
  <c r="W7" i="10" s="1"/>
  <c r="W8" i="10" s="1"/>
  <c r="I6" i="10"/>
  <c r="I7" i="10" s="1"/>
  <c r="I8" i="10" s="1"/>
  <c r="A6" i="10"/>
  <c r="V5" i="10"/>
  <c r="B1" i="8" a="1"/>
  <c r="B165" i="8" s="1"/>
  <c r="B6" i="8" l="1"/>
  <c r="C13" i="8"/>
  <c r="D13" i="8" s="1" a="1"/>
  <c r="D13" i="8" s="1"/>
  <c r="C20" i="8"/>
  <c r="D20" i="8" s="1" a="1"/>
  <c r="D20" i="8" s="1"/>
  <c r="C27" i="8"/>
  <c r="D27" i="8" s="1" a="1"/>
  <c r="D27" i="8" s="1"/>
  <c r="C34" i="8"/>
  <c r="D34" i="8" s="1" a="1"/>
  <c r="D34" i="8" s="1"/>
  <c r="B42" i="8"/>
  <c r="C49" i="8"/>
  <c r="D49" i="8" s="1" a="1"/>
  <c r="D49" i="8" s="1"/>
  <c r="C56" i="8"/>
  <c r="D56" i="8" s="1" a="1"/>
  <c r="D56" i="8" s="1"/>
  <c r="C63" i="8"/>
  <c r="D63" i="8" s="1" a="1"/>
  <c r="D63" i="8" s="1"/>
  <c r="C70" i="8"/>
  <c r="D70" i="8" s="1" a="1"/>
  <c r="D70" i="8" s="1"/>
  <c r="B78" i="8"/>
  <c r="C85" i="8"/>
  <c r="D85" i="8" s="1" a="1"/>
  <c r="D85" i="8" s="1"/>
  <c r="C92" i="8"/>
  <c r="D92" i="8" s="1" a="1"/>
  <c r="D92" i="8" s="1"/>
  <c r="C99" i="8"/>
  <c r="D99" i="8" s="1" a="1"/>
  <c r="D99" i="8" s="1"/>
  <c r="C106" i="8"/>
  <c r="D106" i="8" s="1" a="1"/>
  <c r="D106" i="8" s="1"/>
  <c r="B114" i="8"/>
  <c r="C121" i="8"/>
  <c r="D121" i="8" s="1" a="1"/>
  <c r="D121" i="8" s="1"/>
  <c r="C128" i="8"/>
  <c r="D128" i="8" s="1" a="1"/>
  <c r="D128" i="8" s="1"/>
  <c r="C135" i="8"/>
  <c r="D135" i="8" s="1" a="1"/>
  <c r="D135" i="8" s="1"/>
  <c r="C142" i="8"/>
  <c r="D142" i="8" s="1" a="1"/>
  <c r="D142" i="8" s="1"/>
  <c r="B150" i="8"/>
  <c r="C157" i="8"/>
  <c r="D157" i="8" s="1" a="1"/>
  <c r="D157" i="8" s="1"/>
  <c r="C164" i="8"/>
  <c r="D164" i="8" s="1" a="1"/>
  <c r="D164" i="8" s="1"/>
  <c r="B7" i="8"/>
  <c r="B14" i="8"/>
  <c r="B21" i="8"/>
  <c r="B28" i="8"/>
  <c r="C35" i="8"/>
  <c r="D35" i="8" s="1" a="1"/>
  <c r="D35" i="8" s="1"/>
  <c r="B43" i="8"/>
  <c r="B50" i="8"/>
  <c r="B57" i="8"/>
  <c r="B64" i="8"/>
  <c r="C71" i="8"/>
  <c r="D71" i="8" s="1" a="1"/>
  <c r="D71" i="8" s="1"/>
  <c r="B79" i="8"/>
  <c r="B86" i="8"/>
  <c r="B93" i="8"/>
  <c r="B100" i="8"/>
  <c r="C107" i="8"/>
  <c r="D107" i="8" s="1" a="1"/>
  <c r="D107" i="8" s="1"/>
  <c r="B115" i="8"/>
  <c r="B122" i="8"/>
  <c r="B129" i="8"/>
  <c r="B136" i="8"/>
  <c r="C143" i="8"/>
  <c r="D143" i="8" s="1" a="1"/>
  <c r="D143" i="8" s="1"/>
  <c r="B151" i="8"/>
  <c r="B158" i="8"/>
  <c r="C168" i="8"/>
  <c r="D168" i="8" s="1" a="1"/>
  <c r="D168" i="8" s="1"/>
  <c r="C162" i="8"/>
  <c r="D162" i="8" s="1" a="1"/>
  <c r="D162" i="8" s="1"/>
  <c r="C156" i="8"/>
  <c r="D156" i="8" s="1" a="1"/>
  <c r="D156" i="8" s="1"/>
  <c r="C150" i="8"/>
  <c r="D150" i="8" s="1" a="1"/>
  <c r="D150" i="8" s="1"/>
  <c r="C144" i="8"/>
  <c r="D144" i="8" s="1" a="1"/>
  <c r="D144" i="8" s="1"/>
  <c r="C138" i="8"/>
  <c r="D138" i="8" s="1" a="1"/>
  <c r="D138" i="8" s="1"/>
  <c r="C132" i="8"/>
  <c r="D132" i="8" s="1" a="1"/>
  <c r="D132" i="8" s="1"/>
  <c r="C126" i="8"/>
  <c r="D126" i="8" s="1" a="1"/>
  <c r="D126" i="8" s="1"/>
  <c r="C120" i="8"/>
  <c r="D120" i="8" s="1" a="1"/>
  <c r="D120" i="8" s="1"/>
  <c r="C114" i="8"/>
  <c r="D114" i="8" s="1" a="1"/>
  <c r="D114" i="8" s="1"/>
  <c r="C108" i="8"/>
  <c r="D108" i="8" s="1" a="1"/>
  <c r="D108" i="8" s="1"/>
  <c r="C102" i="8"/>
  <c r="D102" i="8" s="1" a="1"/>
  <c r="D102" i="8" s="1"/>
  <c r="C96" i="8"/>
  <c r="D96" i="8" s="1" a="1"/>
  <c r="D96" i="8" s="1"/>
  <c r="C90" i="8"/>
  <c r="D90" i="8" s="1" a="1"/>
  <c r="D90" i="8" s="1"/>
  <c r="C84" i="8"/>
  <c r="D84" i="8" s="1" a="1"/>
  <c r="D84" i="8" s="1"/>
  <c r="C78" i="8"/>
  <c r="D78" i="8" s="1" a="1"/>
  <c r="D78" i="8" s="1"/>
  <c r="C72" i="8"/>
  <c r="D72" i="8" s="1" a="1"/>
  <c r="D72" i="8" s="1"/>
  <c r="C66" i="8"/>
  <c r="D66" i="8" s="1" a="1"/>
  <c r="D66" i="8" s="1"/>
  <c r="C60" i="8"/>
  <c r="D60" i="8" s="1" a="1"/>
  <c r="D60" i="8" s="1"/>
  <c r="C54" i="8"/>
  <c r="D54" i="8" s="1" a="1"/>
  <c r="D54" i="8" s="1"/>
  <c r="C48" i="8"/>
  <c r="D48" i="8" s="1" a="1"/>
  <c r="D48" i="8" s="1"/>
  <c r="C42" i="8"/>
  <c r="D42" i="8" s="1" a="1"/>
  <c r="D42" i="8" s="1"/>
  <c r="C36" i="8"/>
  <c r="D36" i="8" s="1" a="1"/>
  <c r="D36" i="8" s="1"/>
  <c r="C30" i="8"/>
  <c r="D30" i="8" s="1" a="1"/>
  <c r="D30" i="8" s="1"/>
  <c r="C24" i="8"/>
  <c r="D24" i="8" s="1" a="1"/>
  <c r="D24" i="8" s="1"/>
  <c r="C18" i="8"/>
  <c r="D18" i="8" s="1" a="1"/>
  <c r="D18" i="8" s="1"/>
  <c r="C12" i="8"/>
  <c r="D12" i="8" s="1" a="1"/>
  <c r="D12" i="8" s="1"/>
  <c r="C6" i="8"/>
  <c r="D6" i="8" s="1" a="1"/>
  <c r="D6" i="8" s="1"/>
  <c r="B1" i="8"/>
  <c r="B167" i="8"/>
  <c r="B161" i="8"/>
  <c r="B155" i="8"/>
  <c r="B149" i="8"/>
  <c r="B143" i="8"/>
  <c r="B137" i="8"/>
  <c r="B131" i="8"/>
  <c r="B125" i="8"/>
  <c r="B119" i="8"/>
  <c r="B113" i="8"/>
  <c r="B107" i="8"/>
  <c r="B101" i="8"/>
  <c r="B95" i="8"/>
  <c r="B89" i="8"/>
  <c r="B83" i="8"/>
  <c r="B77" i="8"/>
  <c r="B71" i="8"/>
  <c r="B65" i="8"/>
  <c r="B59" i="8"/>
  <c r="B53" i="8"/>
  <c r="B47" i="8"/>
  <c r="B41" i="8"/>
  <c r="B35" i="8"/>
  <c r="B29" i="8"/>
  <c r="B23" i="8"/>
  <c r="B17" i="8"/>
  <c r="B11" i="8"/>
  <c r="B5" i="8"/>
  <c r="B8" i="8"/>
  <c r="B15" i="8"/>
  <c r="B22" i="8"/>
  <c r="C29" i="8"/>
  <c r="D29" i="8" s="1" a="1"/>
  <c r="D29" i="8" s="1"/>
  <c r="B37" i="8"/>
  <c r="B44" i="8"/>
  <c r="B51" i="8"/>
  <c r="B58" i="8"/>
  <c r="C65" i="8"/>
  <c r="D65" i="8" s="1" a="1"/>
  <c r="D65" i="8" s="1"/>
  <c r="B73" i="8"/>
  <c r="B80" i="8"/>
  <c r="B87" i="8"/>
  <c r="B94" i="8"/>
  <c r="C101" i="8"/>
  <c r="D101" i="8" s="1" a="1"/>
  <c r="D101" i="8" s="1"/>
  <c r="B109" i="8"/>
  <c r="B116" i="8"/>
  <c r="B123" i="8"/>
  <c r="B130" i="8"/>
  <c r="C137" i="8"/>
  <c r="D137" i="8" s="1" a="1"/>
  <c r="D137" i="8" s="1"/>
  <c r="B145" i="8"/>
  <c r="B152" i="8"/>
  <c r="B159" i="8"/>
  <c r="B166" i="8"/>
  <c r="A13" i="10"/>
  <c r="A10" i="10"/>
  <c r="A11" i="10" s="1"/>
  <c r="A12" i="10" s="1"/>
  <c r="B2" i="8"/>
  <c r="B9" i="8"/>
  <c r="B16" i="8"/>
  <c r="C23" i="8"/>
  <c r="D23" i="8" s="1" a="1"/>
  <c r="D23" i="8" s="1"/>
  <c r="B31" i="8"/>
  <c r="B38" i="8"/>
  <c r="B45" i="8"/>
  <c r="B52" i="8"/>
  <c r="C59" i="8"/>
  <c r="D59" i="8" s="1" a="1"/>
  <c r="D59" i="8" s="1"/>
  <c r="B67" i="8"/>
  <c r="B74" i="8"/>
  <c r="B81" i="8"/>
  <c r="B88" i="8"/>
  <c r="C95" i="8"/>
  <c r="D95" i="8" s="1" a="1"/>
  <c r="D95" i="8" s="1"/>
  <c r="B103" i="8"/>
  <c r="B110" i="8"/>
  <c r="B117" i="8"/>
  <c r="B124" i="8"/>
  <c r="C131" i="8"/>
  <c r="D131" i="8" s="1" a="1"/>
  <c r="D131" i="8" s="1"/>
  <c r="B139" i="8"/>
  <c r="B146" i="8"/>
  <c r="B153" i="8"/>
  <c r="B160" i="8"/>
  <c r="C167" i="8"/>
  <c r="D167" i="8" s="1" a="1"/>
  <c r="D167" i="8" s="1"/>
  <c r="C2" i="8"/>
  <c r="D2" i="8" s="1" a="1"/>
  <c r="D2" i="8" s="1"/>
  <c r="C9" i="8"/>
  <c r="D9" i="8" s="1" a="1"/>
  <c r="D9" i="8" s="1"/>
  <c r="C16" i="8"/>
  <c r="D16" i="8" s="1" a="1"/>
  <c r="D16" i="8" s="1"/>
  <c r="B24" i="8"/>
  <c r="C31" i="8"/>
  <c r="D31" i="8" s="1" a="1"/>
  <c r="D31" i="8" s="1"/>
  <c r="C38" i="8"/>
  <c r="D38" i="8" s="1" a="1"/>
  <c r="D38" i="8" s="1"/>
  <c r="C45" i="8"/>
  <c r="D45" i="8" s="1" a="1"/>
  <c r="D45" i="8" s="1"/>
  <c r="C52" i="8"/>
  <c r="D52" i="8" s="1" a="1"/>
  <c r="D52" i="8" s="1"/>
  <c r="B60" i="8"/>
  <c r="C67" i="8"/>
  <c r="D67" i="8" s="1" a="1"/>
  <c r="D67" i="8" s="1"/>
  <c r="C74" i="8"/>
  <c r="D74" i="8" s="1" a="1"/>
  <c r="D74" i="8" s="1"/>
  <c r="C81" i="8"/>
  <c r="D81" i="8" s="1" a="1"/>
  <c r="D81" i="8" s="1"/>
  <c r="C88" i="8"/>
  <c r="D88" i="8" s="1" a="1"/>
  <c r="D88" i="8" s="1"/>
  <c r="B96" i="8"/>
  <c r="C103" i="8"/>
  <c r="D103" i="8" s="1" a="1"/>
  <c r="D103" i="8" s="1"/>
  <c r="C110" i="8"/>
  <c r="D110" i="8" s="1" a="1"/>
  <c r="D110" i="8" s="1"/>
  <c r="C117" i="8"/>
  <c r="D117" i="8" s="1" a="1"/>
  <c r="D117" i="8" s="1"/>
  <c r="C124" i="8"/>
  <c r="D124" i="8" s="1" a="1"/>
  <c r="D124" i="8" s="1"/>
  <c r="B132" i="8"/>
  <c r="C139" i="8"/>
  <c r="D139" i="8" s="1" a="1"/>
  <c r="D139" i="8" s="1"/>
  <c r="C146" i="8"/>
  <c r="D146" i="8" s="1" a="1"/>
  <c r="D146" i="8" s="1"/>
  <c r="C153" i="8"/>
  <c r="D153" i="8" s="1" a="1"/>
  <c r="D153" i="8" s="1"/>
  <c r="C160" i="8"/>
  <c r="D160" i="8" s="1" a="1"/>
  <c r="D160" i="8" s="1"/>
  <c r="B168" i="8"/>
  <c r="B3" i="8"/>
  <c r="B10" i="8"/>
  <c r="C17" i="8"/>
  <c r="D17" i="8" s="1" a="1"/>
  <c r="D17" i="8" s="1"/>
  <c r="B25" i="8"/>
  <c r="B32" i="8"/>
  <c r="B39" i="8"/>
  <c r="B46" i="8"/>
  <c r="C53" i="8"/>
  <c r="D53" i="8" s="1" a="1"/>
  <c r="D53" i="8" s="1"/>
  <c r="B61" i="8"/>
  <c r="B68" i="8"/>
  <c r="B75" i="8"/>
  <c r="B82" i="8"/>
  <c r="C89" i="8"/>
  <c r="D89" i="8" s="1" a="1"/>
  <c r="D89" i="8" s="1"/>
  <c r="B97" i="8"/>
  <c r="B104" i="8"/>
  <c r="B111" i="8"/>
  <c r="B118" i="8"/>
  <c r="C125" i="8"/>
  <c r="D125" i="8" s="1" a="1"/>
  <c r="D125" i="8" s="1"/>
  <c r="B133" i="8"/>
  <c r="B140" i="8"/>
  <c r="B147" i="8"/>
  <c r="B154" i="8"/>
  <c r="C161" i="8"/>
  <c r="D161" i="8" s="1" a="1"/>
  <c r="D161" i="8" s="1"/>
  <c r="B169" i="8"/>
  <c r="C1" i="8"/>
  <c r="C8" i="8"/>
  <c r="D8" i="8" s="1" a="1"/>
  <c r="D8" i="8" s="1"/>
  <c r="C15" i="8"/>
  <c r="D15" i="8" s="1" a="1"/>
  <c r="D15" i="8" s="1"/>
  <c r="C22" i="8"/>
  <c r="D22" i="8" s="1" a="1"/>
  <c r="D22" i="8" s="1"/>
  <c r="B30" i="8"/>
  <c r="C37" i="8"/>
  <c r="D37" i="8" s="1" a="1"/>
  <c r="D37" i="8" s="1"/>
  <c r="C44" i="8"/>
  <c r="D44" i="8" s="1" a="1"/>
  <c r="D44" i="8" s="1"/>
  <c r="C51" i="8"/>
  <c r="D51" i="8" s="1" a="1"/>
  <c r="D51" i="8" s="1"/>
  <c r="C58" i="8"/>
  <c r="D58" i="8" s="1" a="1"/>
  <c r="D58" i="8" s="1"/>
  <c r="B66" i="8"/>
  <c r="C73" i="8"/>
  <c r="D73" i="8" s="1" a="1"/>
  <c r="D73" i="8" s="1"/>
  <c r="C80" i="8"/>
  <c r="D80" i="8" s="1" a="1"/>
  <c r="D80" i="8" s="1"/>
  <c r="C87" i="8"/>
  <c r="D87" i="8" s="1" a="1"/>
  <c r="D87" i="8" s="1"/>
  <c r="C94" i="8"/>
  <c r="D94" i="8" s="1" a="1"/>
  <c r="D94" i="8" s="1"/>
  <c r="B102" i="8"/>
  <c r="C109" i="8"/>
  <c r="D109" i="8" s="1" a="1"/>
  <c r="D109" i="8" s="1"/>
  <c r="C116" i="8"/>
  <c r="D116" i="8" s="1" a="1"/>
  <c r="D116" i="8" s="1"/>
  <c r="C123" i="8"/>
  <c r="D123" i="8" s="1" a="1"/>
  <c r="D123" i="8" s="1"/>
  <c r="C130" i="8"/>
  <c r="D130" i="8" s="1" a="1"/>
  <c r="D130" i="8" s="1"/>
  <c r="B138" i="8"/>
  <c r="C145" i="8"/>
  <c r="D145" i="8" s="1" a="1"/>
  <c r="D145" i="8" s="1"/>
  <c r="C152" i="8"/>
  <c r="D152" i="8" s="1" a="1"/>
  <c r="D152" i="8" s="1"/>
  <c r="C159" i="8"/>
  <c r="D159" i="8" s="1" a="1"/>
  <c r="D159" i="8" s="1"/>
  <c r="C166" i="8"/>
  <c r="D166" i="8" s="1" a="1"/>
  <c r="D166" i="8" s="1"/>
  <c r="C3" i="8"/>
  <c r="D3" i="8" s="1" a="1"/>
  <c r="D3" i="8" s="1"/>
  <c r="C10" i="8"/>
  <c r="D10" i="8" s="1" a="1"/>
  <c r="D10" i="8" s="1"/>
  <c r="B18" i="8"/>
  <c r="C25" i="8"/>
  <c r="D25" i="8" s="1" a="1"/>
  <c r="D25" i="8" s="1"/>
  <c r="C32" i="8"/>
  <c r="D32" i="8" s="1" a="1"/>
  <c r="D32" i="8" s="1"/>
  <c r="C39" i="8"/>
  <c r="D39" i="8" s="1" a="1"/>
  <c r="D39" i="8" s="1"/>
  <c r="C46" i="8"/>
  <c r="D46" i="8" s="1" a="1"/>
  <c r="D46" i="8" s="1"/>
  <c r="B54" i="8"/>
  <c r="C61" i="8"/>
  <c r="D61" i="8" s="1" a="1"/>
  <c r="D61" i="8" s="1"/>
  <c r="C68" i="8"/>
  <c r="D68" i="8" s="1" a="1"/>
  <c r="D68" i="8" s="1"/>
  <c r="C75" i="8"/>
  <c r="D75" i="8" s="1" a="1"/>
  <c r="D75" i="8" s="1"/>
  <c r="C82" i="8"/>
  <c r="D82" i="8" s="1" a="1"/>
  <c r="D82" i="8" s="1"/>
  <c r="B90" i="8"/>
  <c r="C97" i="8"/>
  <c r="D97" i="8" s="1" a="1"/>
  <c r="D97" i="8" s="1"/>
  <c r="C104" i="8"/>
  <c r="D104" i="8" s="1" a="1"/>
  <c r="D104" i="8" s="1"/>
  <c r="C111" i="8"/>
  <c r="D111" i="8" s="1" a="1"/>
  <c r="D111" i="8" s="1"/>
  <c r="C118" i="8"/>
  <c r="D118" i="8" s="1" a="1"/>
  <c r="D118" i="8" s="1"/>
  <c r="B126" i="8"/>
  <c r="C133" i="8"/>
  <c r="D133" i="8" s="1" a="1"/>
  <c r="D133" i="8" s="1"/>
  <c r="C140" i="8"/>
  <c r="D140" i="8" s="1" a="1"/>
  <c r="D140" i="8" s="1"/>
  <c r="C147" i="8"/>
  <c r="D147" i="8" s="1" a="1"/>
  <c r="D147" i="8" s="1"/>
  <c r="C154" i="8"/>
  <c r="D154" i="8" s="1" a="1"/>
  <c r="D154" i="8" s="1"/>
  <c r="B162" i="8"/>
  <c r="C169" i="8"/>
  <c r="D169" i="8" s="1" a="1"/>
  <c r="D169" i="8" s="1"/>
  <c r="B4" i="8"/>
  <c r="C11" i="8"/>
  <c r="D11" i="8" s="1" a="1"/>
  <c r="D11" i="8" s="1"/>
  <c r="B19" i="8"/>
  <c r="B26" i="8"/>
  <c r="B33" i="8"/>
  <c r="B40" i="8"/>
  <c r="C47" i="8"/>
  <c r="D47" i="8" s="1" a="1"/>
  <c r="D47" i="8" s="1"/>
  <c r="B55" i="8"/>
  <c r="B62" i="8"/>
  <c r="B69" i="8"/>
  <c r="B76" i="8"/>
  <c r="C83" i="8"/>
  <c r="D83" i="8" s="1" a="1"/>
  <c r="D83" i="8" s="1"/>
  <c r="B91" i="8"/>
  <c r="B98" i="8"/>
  <c r="B105" i="8"/>
  <c r="B112" i="8"/>
  <c r="C119" i="8"/>
  <c r="D119" i="8" s="1" a="1"/>
  <c r="D119" i="8" s="1"/>
  <c r="B127" i="8"/>
  <c r="B134" i="8"/>
  <c r="B141" i="8"/>
  <c r="B148" i="8"/>
  <c r="C155" i="8"/>
  <c r="D155" i="8" s="1" a="1"/>
  <c r="D155" i="8" s="1"/>
  <c r="B163" i="8"/>
  <c r="C4" i="8"/>
  <c r="D4" i="8" s="1" a="1"/>
  <c r="D4" i="8" s="1"/>
  <c r="B12" i="8"/>
  <c r="C19" i="8"/>
  <c r="D19" i="8" s="1" a="1"/>
  <c r="D19" i="8" s="1"/>
  <c r="C26" i="8"/>
  <c r="D26" i="8" s="1" a="1"/>
  <c r="D26" i="8" s="1"/>
  <c r="C33" i="8"/>
  <c r="D33" i="8" s="1" a="1"/>
  <c r="D33" i="8" s="1"/>
  <c r="C40" i="8"/>
  <c r="D40" i="8" s="1" a="1"/>
  <c r="D40" i="8" s="1"/>
  <c r="B48" i="8"/>
  <c r="C55" i="8"/>
  <c r="D55" i="8" s="1" a="1"/>
  <c r="D55" i="8" s="1"/>
  <c r="C62" i="8"/>
  <c r="D62" i="8" s="1" a="1"/>
  <c r="D62" i="8" s="1"/>
  <c r="C69" i="8"/>
  <c r="D69" i="8" s="1" a="1"/>
  <c r="D69" i="8" s="1"/>
  <c r="C76" i="8"/>
  <c r="D76" i="8" s="1" a="1"/>
  <c r="D76" i="8" s="1"/>
  <c r="B84" i="8"/>
  <c r="C91" i="8"/>
  <c r="D91" i="8" s="1" a="1"/>
  <c r="D91" i="8" s="1"/>
  <c r="C98" i="8"/>
  <c r="D98" i="8" s="1" a="1"/>
  <c r="D98" i="8" s="1"/>
  <c r="C105" i="8"/>
  <c r="D105" i="8" s="1" a="1"/>
  <c r="D105" i="8" s="1"/>
  <c r="C112" i="8"/>
  <c r="D112" i="8" s="1" a="1"/>
  <c r="D112" i="8" s="1"/>
  <c r="B120" i="8"/>
  <c r="C127" i="8"/>
  <c r="D127" i="8" s="1" a="1"/>
  <c r="D127" i="8" s="1"/>
  <c r="C134" i="8"/>
  <c r="D134" i="8" s="1" a="1"/>
  <c r="D134" i="8" s="1"/>
  <c r="C141" i="8"/>
  <c r="D141" i="8" s="1" a="1"/>
  <c r="D141" i="8" s="1"/>
  <c r="C148" i="8"/>
  <c r="D148" i="8" s="1" a="1"/>
  <c r="D148" i="8" s="1"/>
  <c r="B156" i="8"/>
  <c r="C163" i="8"/>
  <c r="D163" i="8" s="1" a="1"/>
  <c r="D163" i="8" s="1"/>
  <c r="C7" i="8"/>
  <c r="D7" i="8" s="1" a="1"/>
  <c r="D7" i="8" s="1"/>
  <c r="C14" i="8"/>
  <c r="D14" i="8" s="1" a="1"/>
  <c r="D14" i="8" s="1"/>
  <c r="C21" i="8"/>
  <c r="D21" i="8" s="1" a="1"/>
  <c r="D21" i="8" s="1"/>
  <c r="C28" i="8"/>
  <c r="D28" i="8" s="1" a="1"/>
  <c r="D28" i="8" s="1"/>
  <c r="B36" i="8"/>
  <c r="C43" i="8"/>
  <c r="D43" i="8" s="1" a="1"/>
  <c r="D43" i="8" s="1"/>
  <c r="C50" i="8"/>
  <c r="D50" i="8" s="1" a="1"/>
  <c r="D50" i="8" s="1"/>
  <c r="C57" i="8"/>
  <c r="D57" i="8" s="1" a="1"/>
  <c r="D57" i="8" s="1"/>
  <c r="C64" i="8"/>
  <c r="D64" i="8" s="1" a="1"/>
  <c r="D64" i="8" s="1"/>
  <c r="B72" i="8"/>
  <c r="C79" i="8"/>
  <c r="D79" i="8" s="1" a="1"/>
  <c r="D79" i="8" s="1"/>
  <c r="C86" i="8"/>
  <c r="D86" i="8" s="1" a="1"/>
  <c r="D86" i="8" s="1"/>
  <c r="C93" i="8"/>
  <c r="D93" i="8" s="1" a="1"/>
  <c r="D93" i="8" s="1"/>
  <c r="C100" i="8"/>
  <c r="D100" i="8" s="1" a="1"/>
  <c r="D100" i="8" s="1"/>
  <c r="B108" i="8"/>
  <c r="C115" i="8"/>
  <c r="D115" i="8" s="1" a="1"/>
  <c r="D115" i="8" s="1"/>
  <c r="C122" i="8"/>
  <c r="D122" i="8" s="1" a="1"/>
  <c r="D122" i="8" s="1"/>
  <c r="C129" i="8"/>
  <c r="D129" i="8" s="1" a="1"/>
  <c r="D129" i="8" s="1"/>
  <c r="C136" i="8"/>
  <c r="D136" i="8" s="1" a="1"/>
  <c r="D136" i="8" s="1"/>
  <c r="B144" i="8"/>
  <c r="C151" i="8"/>
  <c r="D151" i="8" s="1" a="1"/>
  <c r="D151" i="8" s="1"/>
  <c r="C158" i="8"/>
  <c r="D158" i="8" s="1" a="1"/>
  <c r="D158" i="8" s="1"/>
  <c r="C165" i="8"/>
  <c r="D165" i="8" s="1" a="1"/>
  <c r="D165" i="8" s="1"/>
  <c r="C5" i="8"/>
  <c r="D5" i="8" s="1" a="1"/>
  <c r="D5" i="8" s="1"/>
  <c r="B13" i="8"/>
  <c r="B20" i="8"/>
  <c r="B27" i="8"/>
  <c r="B34" i="8"/>
  <c r="C41" i="8"/>
  <c r="D41" i="8" s="1" a="1"/>
  <c r="D41" i="8" s="1"/>
  <c r="B49" i="8"/>
  <c r="B56" i="8"/>
  <c r="B63" i="8"/>
  <c r="B70" i="8"/>
  <c r="C77" i="8"/>
  <c r="D77" i="8" s="1" a="1"/>
  <c r="D77" i="8" s="1"/>
  <c r="B85" i="8"/>
  <c r="B92" i="8"/>
  <c r="B99" i="8"/>
  <c r="B106" i="8"/>
  <c r="C113" i="8"/>
  <c r="D113" i="8" s="1" a="1"/>
  <c r="D113" i="8" s="1"/>
  <c r="B121" i="8"/>
  <c r="B128" i="8"/>
  <c r="B135" i="8"/>
  <c r="B142" i="8"/>
  <c r="C149" i="8"/>
  <c r="D149" i="8" s="1" a="1"/>
  <c r="D149" i="8" s="1"/>
  <c r="B157" i="8"/>
  <c r="B164" i="8"/>
  <c r="A17" i="11"/>
  <c r="A18" i="11" l="1"/>
  <c r="A19" i="11" s="1"/>
  <c r="A20" i="11" s="1"/>
  <c r="A21" i="11"/>
  <c r="A14" i="10"/>
  <c r="A15" i="10" s="1"/>
  <c r="A16" i="10" s="1"/>
  <c r="A17" i="10"/>
  <c r="F13" i="10"/>
  <c r="A166" i="8"/>
  <c r="A162" i="8"/>
  <c r="A158" i="8"/>
  <c r="A154" i="8"/>
  <c r="A150" i="8"/>
  <c r="A146" i="8"/>
  <c r="A142" i="8"/>
  <c r="A138" i="8"/>
  <c r="A134" i="8"/>
  <c r="A130" i="8"/>
  <c r="A169" i="8"/>
  <c r="A165" i="8"/>
  <c r="A161" i="8"/>
  <c r="A157" i="8"/>
  <c r="A153" i="8"/>
  <c r="A149" i="8"/>
  <c r="A145" i="8"/>
  <c r="A141" i="8"/>
  <c r="A137" i="8"/>
  <c r="A133" i="8"/>
  <c r="A129" i="8"/>
  <c r="A125" i="8"/>
  <c r="A121" i="8"/>
  <c r="A117" i="8"/>
  <c r="A113" i="8"/>
  <c r="A109" i="8"/>
  <c r="A105" i="8"/>
  <c r="A101" i="8"/>
  <c r="A97" i="8"/>
  <c r="A93" i="8"/>
  <c r="A89" i="8"/>
  <c r="A85" i="8"/>
  <c r="A81" i="8"/>
  <c r="A77" i="8"/>
  <c r="A73" i="8"/>
  <c r="A69" i="8"/>
  <c r="A65" i="8"/>
  <c r="A61" i="8"/>
  <c r="A57" i="8"/>
  <c r="A53" i="8"/>
  <c r="A49" i="8"/>
  <c r="A45" i="8"/>
  <c r="A41" i="8"/>
  <c r="A37" i="8"/>
  <c r="A33" i="8"/>
  <c r="A29" i="8"/>
  <c r="A25" i="8"/>
  <c r="A21" i="8"/>
  <c r="A17" i="8"/>
  <c r="A13" i="8"/>
  <c r="A9" i="8"/>
  <c r="A5" i="8"/>
  <c r="A168" i="8"/>
  <c r="A164" i="8"/>
  <c r="A160" i="8"/>
  <c r="A156" i="8"/>
  <c r="A152" i="8"/>
  <c r="A148" i="8"/>
  <c r="A144" i="8"/>
  <c r="A140" i="8"/>
  <c r="A136" i="8"/>
  <c r="A132" i="8"/>
  <c r="A128" i="8"/>
  <c r="A124" i="8"/>
  <c r="A120" i="8"/>
  <c r="A116" i="8"/>
  <c r="A112" i="8"/>
  <c r="A108" i="8"/>
  <c r="A104" i="8"/>
  <c r="A100" i="8"/>
  <c r="A96" i="8"/>
  <c r="A92" i="8"/>
  <c r="A88" i="8"/>
  <c r="A84" i="8"/>
  <c r="A80" i="8"/>
  <c r="A76" i="8"/>
  <c r="A72" i="8"/>
  <c r="A68" i="8"/>
  <c r="A64" i="8"/>
  <c r="A60" i="8"/>
  <c r="A56" i="8"/>
  <c r="A52" i="8"/>
  <c r="A48" i="8"/>
  <c r="A44" i="8"/>
  <c r="A40" i="8"/>
  <c r="A36" i="8"/>
  <c r="A32" i="8"/>
  <c r="A28" i="8"/>
  <c r="A24" i="8"/>
  <c r="A20" i="8"/>
  <c r="A16" i="8"/>
  <c r="A12" i="8"/>
  <c r="A8" i="8"/>
  <c r="A4" i="8"/>
  <c r="A118" i="8"/>
  <c r="A94" i="8"/>
  <c r="A70" i="8"/>
  <c r="A46" i="8"/>
  <c r="A22" i="8"/>
  <c r="A103" i="8"/>
  <c r="A127" i="8"/>
  <c r="A79" i="8"/>
  <c r="A7" i="8"/>
  <c r="A155" i="8"/>
  <c r="A143" i="8"/>
  <c r="A122" i="8"/>
  <c r="A98" i="8"/>
  <c r="A74" i="8"/>
  <c r="A50" i="8"/>
  <c r="A26" i="8"/>
  <c r="A2" i="8"/>
  <c r="A11" i="8"/>
  <c r="A15" i="8"/>
  <c r="A95" i="8"/>
  <c r="A167" i="8"/>
  <c r="A107" i="8"/>
  <c r="A83" i="8"/>
  <c r="A59" i="8"/>
  <c r="A35" i="8"/>
  <c r="A47" i="8"/>
  <c r="A131" i="8"/>
  <c r="A126" i="8"/>
  <c r="A102" i="8"/>
  <c r="A78" i="8"/>
  <c r="A54" i="8"/>
  <c r="A30" i="8"/>
  <c r="A6" i="8"/>
  <c r="A87" i="8"/>
  <c r="A39" i="8"/>
  <c r="A111" i="8"/>
  <c r="A63" i="8"/>
  <c r="A159" i="8"/>
  <c r="A147" i="8"/>
  <c r="A106" i="8"/>
  <c r="A82" i="8"/>
  <c r="A58" i="8"/>
  <c r="A34" i="8"/>
  <c r="A10" i="8"/>
  <c r="A135" i="8"/>
  <c r="A91" i="8"/>
  <c r="A43" i="8"/>
  <c r="A19" i="8"/>
  <c r="A23" i="8"/>
  <c r="A115" i="8"/>
  <c r="A67" i="8"/>
  <c r="A71" i="8"/>
  <c r="A110" i="8"/>
  <c r="A86" i="8"/>
  <c r="A62" i="8"/>
  <c r="A38" i="8"/>
  <c r="A14" i="8"/>
  <c r="A119" i="8"/>
  <c r="A163" i="8"/>
  <c r="A151" i="8"/>
  <c r="A139" i="8"/>
  <c r="A114" i="8"/>
  <c r="A90" i="8"/>
  <c r="A66" i="8"/>
  <c r="A42" i="8"/>
  <c r="A18" i="8"/>
  <c r="A123" i="8"/>
  <c r="A75" i="8"/>
  <c r="A27" i="8"/>
  <c r="A55" i="8"/>
  <c r="A31" i="8"/>
  <c r="A99" i="8"/>
  <c r="A51" i="8"/>
  <c r="A3" i="8"/>
  <c r="F17" i="11" s="1"/>
  <c r="T17" i="11" l="1"/>
  <c r="F18" i="11"/>
  <c r="G17" i="11"/>
  <c r="A18" i="10"/>
  <c r="A19" i="10" s="1"/>
  <c r="A20" i="10" s="1"/>
  <c r="A21" i="10"/>
  <c r="F17" i="10"/>
  <c r="E17" i="10"/>
  <c r="F5" i="11"/>
  <c r="F9" i="11"/>
  <c r="E5" i="11"/>
  <c r="F5" i="10"/>
  <c r="E5" i="10"/>
  <c r="F9" i="10"/>
  <c r="F13" i="11"/>
  <c r="E9" i="10"/>
  <c r="E13" i="11"/>
  <c r="E9" i="11"/>
  <c r="E13" i="10"/>
  <c r="F21" i="11"/>
  <c r="E21" i="11"/>
  <c r="A22" i="11"/>
  <c r="A23" i="11" s="1"/>
  <c r="A24" i="11" s="1"/>
  <c r="A25" i="11"/>
  <c r="E17" i="11"/>
  <c r="G13" i="10"/>
  <c r="F14" i="10"/>
  <c r="T13" i="10"/>
  <c r="U13" i="10" l="1"/>
  <c r="G14" i="10"/>
  <c r="C5" i="10"/>
  <c r="S5" i="10"/>
  <c r="K5" i="10"/>
  <c r="K5" i="11" s="1"/>
  <c r="E6" i="10"/>
  <c r="Y5" i="10"/>
  <c r="Y5" i="11" s="1"/>
  <c r="S17" i="11"/>
  <c r="E18" i="11"/>
  <c r="F6" i="10"/>
  <c r="T5" i="10"/>
  <c r="G5" i="10"/>
  <c r="S21" i="11"/>
  <c r="E22" i="11"/>
  <c r="T17" i="10"/>
  <c r="G17" i="10"/>
  <c r="F18" i="10"/>
  <c r="E10" i="11"/>
  <c r="S9" i="11"/>
  <c r="F21" i="10"/>
  <c r="E21" i="10"/>
  <c r="A22" i="10"/>
  <c r="A23" i="10" s="1"/>
  <c r="A24" i="10" s="1"/>
  <c r="A25" i="10"/>
  <c r="G9" i="11"/>
  <c r="F10" i="11"/>
  <c r="T9" i="11"/>
  <c r="S13" i="11"/>
  <c r="E14" i="11"/>
  <c r="E25" i="11"/>
  <c r="A29" i="11"/>
  <c r="F25" i="11"/>
  <c r="A26" i="11"/>
  <c r="A27" i="11" s="1"/>
  <c r="A28" i="11" s="1"/>
  <c r="G21" i="11"/>
  <c r="F22" i="11"/>
  <c r="T21" i="11"/>
  <c r="E14" i="10"/>
  <c r="C13" i="10"/>
  <c r="Y13" i="10"/>
  <c r="Y13" i="11" s="1"/>
  <c r="K13" i="10"/>
  <c r="K13" i="11" s="1"/>
  <c r="S13" i="10"/>
  <c r="S9" i="10"/>
  <c r="K9" i="10"/>
  <c r="K9" i="11" s="1"/>
  <c r="E10" i="10"/>
  <c r="C9" i="10"/>
  <c r="Y9" i="10"/>
  <c r="Y9" i="11" s="1"/>
  <c r="G18" i="11"/>
  <c r="U17" i="11"/>
  <c r="T5" i="11"/>
  <c r="G5" i="11"/>
  <c r="F6" i="11"/>
  <c r="T13" i="11"/>
  <c r="F14" i="11"/>
  <c r="G13" i="11"/>
  <c r="T18" i="11"/>
  <c r="F19" i="11"/>
  <c r="S5" i="11"/>
  <c r="E6" i="11"/>
  <c r="S17" i="10"/>
  <c r="K17" i="10"/>
  <c r="K17" i="11" s="1"/>
  <c r="E18" i="10"/>
  <c r="C17" i="10"/>
  <c r="Y17" i="10"/>
  <c r="Y17" i="11" s="1"/>
  <c r="F15" i="10"/>
  <c r="T14" i="10"/>
  <c r="G9" i="10"/>
  <c r="F10" i="10"/>
  <c r="T9" i="10"/>
  <c r="C17" i="11" l="1"/>
  <c r="Q17" i="10"/>
  <c r="Q17" i="11" s="1"/>
  <c r="C18" i="10"/>
  <c r="G6" i="11"/>
  <c r="U5" i="11"/>
  <c r="S18" i="10"/>
  <c r="K18" i="10"/>
  <c r="K18" i="11" s="1"/>
  <c r="E19" i="10"/>
  <c r="Y14" i="10"/>
  <c r="Y14" i="11" s="1"/>
  <c r="K14" i="10"/>
  <c r="K14" i="11" s="1"/>
  <c r="E15" i="10"/>
  <c r="S14" i="10"/>
  <c r="AC14" i="10" s="1"/>
  <c r="G10" i="11"/>
  <c r="U9" i="11"/>
  <c r="U5" i="10"/>
  <c r="G6" i="10"/>
  <c r="T15" i="10"/>
  <c r="F16" i="10"/>
  <c r="T16" i="10" s="1"/>
  <c r="A26" i="10"/>
  <c r="A27" i="10" s="1"/>
  <c r="A28" i="10" s="1"/>
  <c r="A29" i="10"/>
  <c r="F25" i="10"/>
  <c r="E25" i="10"/>
  <c r="T6" i="11"/>
  <c r="F7" i="11"/>
  <c r="U18" i="11"/>
  <c r="G19" i="11"/>
  <c r="F23" i="11"/>
  <c r="T22" i="11"/>
  <c r="T6" i="10"/>
  <c r="F7" i="10"/>
  <c r="S6" i="11"/>
  <c r="E7" i="11"/>
  <c r="G22" i="11"/>
  <c r="U21" i="11"/>
  <c r="E22" i="10"/>
  <c r="C21" i="10"/>
  <c r="Y21" i="10"/>
  <c r="Y21" i="11" s="1"/>
  <c r="S21" i="10"/>
  <c r="K21" i="10"/>
  <c r="K21" i="11" s="1"/>
  <c r="S18" i="11"/>
  <c r="E19" i="11"/>
  <c r="C9" i="11"/>
  <c r="Q9" i="10"/>
  <c r="Q9" i="11" s="1"/>
  <c r="C10" i="10"/>
  <c r="G21" i="10"/>
  <c r="F22" i="10"/>
  <c r="T21" i="10"/>
  <c r="T19" i="11"/>
  <c r="F20" i="11"/>
  <c r="T20" i="11" s="1"/>
  <c r="S10" i="10"/>
  <c r="K10" i="10"/>
  <c r="K10" i="11" s="1"/>
  <c r="E11" i="10"/>
  <c r="G25" i="11"/>
  <c r="T25" i="11"/>
  <c r="F26" i="11"/>
  <c r="F11" i="10"/>
  <c r="T10" i="10"/>
  <c r="F29" i="11"/>
  <c r="E29" i="11"/>
  <c r="A30" i="11"/>
  <c r="A31" i="11" s="1"/>
  <c r="A32" i="11" s="1"/>
  <c r="A33" i="11"/>
  <c r="E11" i="11"/>
  <c r="S10" i="11"/>
  <c r="S6" i="10"/>
  <c r="AC6" i="10" s="1"/>
  <c r="Y6" i="10" s="1"/>
  <c r="Y6" i="11" s="1"/>
  <c r="E7" i="10"/>
  <c r="K6" i="10"/>
  <c r="K6" i="11" s="1"/>
  <c r="U9" i="10"/>
  <c r="G10" i="10"/>
  <c r="G14" i="11"/>
  <c r="U13" i="11"/>
  <c r="E26" i="11"/>
  <c r="S25" i="11"/>
  <c r="T18" i="10"/>
  <c r="F19" i="10"/>
  <c r="T14" i="11"/>
  <c r="F15" i="11"/>
  <c r="S14" i="11"/>
  <c r="E15" i="11"/>
  <c r="U17" i="10"/>
  <c r="G18" i="10"/>
  <c r="C5" i="11"/>
  <c r="C6" i="10"/>
  <c r="Q5" i="10"/>
  <c r="Q5" i="11" s="1"/>
  <c r="E23" i="11"/>
  <c r="S22" i="11"/>
  <c r="U14" i="10"/>
  <c r="G15" i="10"/>
  <c r="C13" i="11"/>
  <c r="C14" i="10"/>
  <c r="Q13" i="10"/>
  <c r="Q13" i="11" s="1"/>
  <c r="F11" i="11"/>
  <c r="T10" i="11"/>
  <c r="C21" i="11" l="1"/>
  <c r="Q21" i="10"/>
  <c r="Q21" i="11" s="1"/>
  <c r="C22" i="10"/>
  <c r="F8" i="11"/>
  <c r="T8" i="11" s="1"/>
  <c r="T7" i="11"/>
  <c r="U14" i="11"/>
  <c r="G15" i="11"/>
  <c r="F30" i="11"/>
  <c r="T29" i="11"/>
  <c r="G29" i="11"/>
  <c r="E23" i="10"/>
  <c r="S22" i="10"/>
  <c r="K22" i="10"/>
  <c r="K22" i="11" s="1"/>
  <c r="S15" i="10"/>
  <c r="AC15" i="10" s="1"/>
  <c r="Y15" i="10" s="1"/>
  <c r="Y15" i="11" s="1"/>
  <c r="E16" i="10"/>
  <c r="K15" i="10"/>
  <c r="K15" i="11" s="1"/>
  <c r="U18" i="10"/>
  <c r="G19" i="10"/>
  <c r="U10" i="10"/>
  <c r="G11" i="10"/>
  <c r="F23" i="10"/>
  <c r="T22" i="10"/>
  <c r="E26" i="10"/>
  <c r="C25" i="10"/>
  <c r="Y25" i="10"/>
  <c r="Y25" i="11" s="1"/>
  <c r="S25" i="10"/>
  <c r="K25" i="10"/>
  <c r="K25" i="11" s="1"/>
  <c r="G26" i="11"/>
  <c r="U25" i="11"/>
  <c r="T7" i="10"/>
  <c r="F8" i="10"/>
  <c r="T8" i="10" s="1"/>
  <c r="AC18" i="10"/>
  <c r="Y18" i="10" s="1"/>
  <c r="Y18" i="11" s="1"/>
  <c r="U15" i="10"/>
  <c r="G16" i="10"/>
  <c r="U16" i="10" s="1"/>
  <c r="E20" i="11"/>
  <c r="S20" i="11" s="1"/>
  <c r="S19" i="11"/>
  <c r="F20" i="10"/>
  <c r="T20" i="10" s="1"/>
  <c r="T19" i="10"/>
  <c r="S11" i="10"/>
  <c r="AC11" i="10" s="1"/>
  <c r="K11" i="10"/>
  <c r="K11" i="11" s="1"/>
  <c r="E12" i="10"/>
  <c r="Y11" i="10"/>
  <c r="Y11" i="11" s="1"/>
  <c r="U6" i="10"/>
  <c r="G7" i="10"/>
  <c r="F12" i="11"/>
  <c r="T12" i="11" s="1"/>
  <c r="T11" i="11"/>
  <c r="F12" i="10"/>
  <c r="T12" i="10" s="1"/>
  <c r="T11" i="10"/>
  <c r="G22" i="10"/>
  <c r="U21" i="10"/>
  <c r="G23" i="11"/>
  <c r="U22" i="11"/>
  <c r="T25" i="10"/>
  <c r="F26" i="10"/>
  <c r="G25" i="10"/>
  <c r="S15" i="11"/>
  <c r="E16" i="11"/>
  <c r="S16" i="11" s="1"/>
  <c r="C10" i="11"/>
  <c r="Q10" i="10"/>
  <c r="Q10" i="11" s="1"/>
  <c r="C11" i="10"/>
  <c r="S7" i="11"/>
  <c r="E8" i="11"/>
  <c r="S8" i="11" s="1"/>
  <c r="F29" i="10"/>
  <c r="E29" i="10"/>
  <c r="A33" i="10"/>
  <c r="A30" i="10"/>
  <c r="A31" i="10" s="1"/>
  <c r="A32" i="10" s="1"/>
  <c r="S19" i="10"/>
  <c r="AC19" i="10" s="1"/>
  <c r="Y19" i="10" s="1"/>
  <c r="Y19" i="11" s="1"/>
  <c r="K19" i="10"/>
  <c r="K19" i="11" s="1"/>
  <c r="E20" i="10"/>
  <c r="S7" i="10"/>
  <c r="AC7" i="10" s="1"/>
  <c r="Y7" i="10" s="1"/>
  <c r="Y7" i="11" s="1"/>
  <c r="K7" i="10"/>
  <c r="K7" i="11" s="1"/>
  <c r="E8" i="10"/>
  <c r="F24" i="11"/>
  <c r="T24" i="11" s="1"/>
  <c r="T23" i="11"/>
  <c r="G7" i="11"/>
  <c r="U6" i="11"/>
  <c r="S23" i="11"/>
  <c r="E24" i="11"/>
  <c r="S24" i="11" s="1"/>
  <c r="E33" i="11"/>
  <c r="A34" i="11"/>
  <c r="A35" i="11" s="1"/>
  <c r="A36" i="11" s="1"/>
  <c r="A37" i="11"/>
  <c r="F33" i="11"/>
  <c r="AC10" i="10"/>
  <c r="Y10" i="10" s="1"/>
  <c r="Y10" i="11" s="1"/>
  <c r="U19" i="11"/>
  <c r="G20" i="11"/>
  <c r="U20" i="11" s="1"/>
  <c r="C18" i="11"/>
  <c r="Q18" i="10"/>
  <c r="Q18" i="11" s="1"/>
  <c r="C19" i="10"/>
  <c r="F27" i="11"/>
  <c r="T26" i="11"/>
  <c r="C14" i="11"/>
  <c r="C15" i="10"/>
  <c r="Q14" i="10"/>
  <c r="Q14" i="11" s="1"/>
  <c r="G11" i="11"/>
  <c r="U10" i="11"/>
  <c r="T15" i="11"/>
  <c r="F16" i="11"/>
  <c r="T16" i="11" s="1"/>
  <c r="E12" i="11"/>
  <c r="S12" i="11" s="1"/>
  <c r="S11" i="11"/>
  <c r="E27" i="11"/>
  <c r="S26" i="11"/>
  <c r="C6" i="11"/>
  <c r="C7" i="10"/>
  <c r="Q6" i="10"/>
  <c r="Q6" i="11" s="1"/>
  <c r="E30" i="11"/>
  <c r="S29" i="11"/>
  <c r="C25" i="11" l="1"/>
  <c r="Q25" i="10"/>
  <c r="Q25" i="11" s="1"/>
  <c r="C26" i="10"/>
  <c r="E31" i="11"/>
  <c r="S30" i="11"/>
  <c r="A38" i="11"/>
  <c r="A39" i="11" s="1"/>
  <c r="A40" i="11" s="1"/>
  <c r="A41" i="11"/>
  <c r="F37" i="11"/>
  <c r="E37" i="11"/>
  <c r="C15" i="11"/>
  <c r="C16" i="10"/>
  <c r="Q15" i="10"/>
  <c r="Q15" i="11" s="1"/>
  <c r="G12" i="10"/>
  <c r="U12" i="10" s="1"/>
  <c r="U11" i="10"/>
  <c r="C11" i="11"/>
  <c r="C12" i="10"/>
  <c r="Q11" i="10"/>
  <c r="Q11" i="11" s="1"/>
  <c r="C7" i="11"/>
  <c r="Q7" i="10"/>
  <c r="Q7" i="11" s="1"/>
  <c r="C8" i="10"/>
  <c r="S33" i="11"/>
  <c r="E34" i="11"/>
  <c r="S20" i="10"/>
  <c r="AC20" i="10" s="1"/>
  <c r="Y20" i="10" s="1"/>
  <c r="Y20" i="11" s="1"/>
  <c r="K20" i="10"/>
  <c r="K20" i="11" s="1"/>
  <c r="F24" i="10"/>
  <c r="T24" i="10" s="1"/>
  <c r="T23" i="10"/>
  <c r="K23" i="10"/>
  <c r="K23" i="11" s="1"/>
  <c r="E24" i="10"/>
  <c r="S23" i="10"/>
  <c r="AC23" i="10" s="1"/>
  <c r="Y23" i="10" s="1"/>
  <c r="Y23" i="11" s="1"/>
  <c r="C19" i="11"/>
  <c r="Q19" i="10"/>
  <c r="Q19" i="11" s="1"/>
  <c r="C20" i="10"/>
  <c r="T26" i="10"/>
  <c r="F27" i="10"/>
  <c r="T29" i="10"/>
  <c r="G29" i="10"/>
  <c r="F30" i="10"/>
  <c r="G24" i="11"/>
  <c r="U24" i="11" s="1"/>
  <c r="U23" i="11"/>
  <c r="S16" i="10"/>
  <c r="AC16" i="10" s="1"/>
  <c r="K16" i="10"/>
  <c r="K16" i="11" s="1"/>
  <c r="Y16" i="10"/>
  <c r="Y16" i="11" s="1"/>
  <c r="U19" i="10"/>
  <c r="G20" i="10"/>
  <c r="U20" i="10" s="1"/>
  <c r="F33" i="10"/>
  <c r="A37" i="10"/>
  <c r="E33" i="10"/>
  <c r="A34" i="10"/>
  <c r="A35" i="10" s="1"/>
  <c r="A36" i="10" s="1"/>
  <c r="K12" i="10"/>
  <c r="K12" i="11" s="1"/>
  <c r="S12" i="10"/>
  <c r="AC12" i="10" s="1"/>
  <c r="Y12" i="10" s="1"/>
  <c r="Y12" i="11" s="1"/>
  <c r="K29" i="10"/>
  <c r="K29" i="11" s="1"/>
  <c r="C29" i="10"/>
  <c r="E30" i="10"/>
  <c r="Y29" i="10"/>
  <c r="Y29" i="11" s="1"/>
  <c r="S29" i="10"/>
  <c r="S8" i="10"/>
  <c r="AC8" i="10" s="1"/>
  <c r="Y8" i="10" s="1"/>
  <c r="Y8" i="11" s="1"/>
  <c r="K8" i="10"/>
  <c r="K8" i="11" s="1"/>
  <c r="G23" i="10"/>
  <c r="U22" i="10"/>
  <c r="C22" i="11"/>
  <c r="Q22" i="10"/>
  <c r="Q22" i="11" s="1"/>
  <c r="C23" i="10"/>
  <c r="U26" i="11"/>
  <c r="G27" i="11"/>
  <c r="G12" i="11"/>
  <c r="U12" i="11" s="1"/>
  <c r="U11" i="11"/>
  <c r="T33" i="11"/>
  <c r="G33" i="11"/>
  <c r="F34" i="11"/>
  <c r="U7" i="10"/>
  <c r="G8" i="10"/>
  <c r="U8" i="10" s="1"/>
  <c r="G30" i="11"/>
  <c r="U29" i="11"/>
  <c r="F28" i="11"/>
  <c r="T28" i="11" s="1"/>
  <c r="T27" i="11"/>
  <c r="U25" i="10"/>
  <c r="G26" i="10"/>
  <c r="E28" i="11"/>
  <c r="S28" i="11" s="1"/>
  <c r="S27" i="11"/>
  <c r="F31" i="11"/>
  <c r="T30" i="11"/>
  <c r="U7" i="11"/>
  <c r="G8" i="11"/>
  <c r="U8" i="11" s="1"/>
  <c r="U15" i="11"/>
  <c r="G16" i="11"/>
  <c r="U16" i="11" s="1"/>
  <c r="S26" i="10"/>
  <c r="AC26" i="10" s="1"/>
  <c r="Y26" i="10" s="1"/>
  <c r="Y26" i="11" s="1"/>
  <c r="K26" i="10"/>
  <c r="K26" i="11" s="1"/>
  <c r="E27" i="10"/>
  <c r="AC22" i="10"/>
  <c r="Y22" i="10" s="1"/>
  <c r="Y22" i="11" s="1"/>
  <c r="C20" i="11" l="1"/>
  <c r="Q20" i="10"/>
  <c r="Q20" i="11" s="1"/>
  <c r="F32" i="11"/>
  <c r="T32" i="11" s="1"/>
  <c r="T31" i="11"/>
  <c r="G34" i="11"/>
  <c r="U33" i="11"/>
  <c r="F37" i="10"/>
  <c r="E37" i="10"/>
  <c r="A41" i="10"/>
  <c r="A38" i="10"/>
  <c r="A39" i="10" s="1"/>
  <c r="A40" i="10" s="1"/>
  <c r="T27" i="10"/>
  <c r="F28" i="10"/>
  <c r="T28" i="10" s="1"/>
  <c r="T33" i="10"/>
  <c r="G33" i="10"/>
  <c r="F34" i="10"/>
  <c r="C16" i="11"/>
  <c r="Q16" i="10"/>
  <c r="Q16" i="11" s="1"/>
  <c r="C8" i="11"/>
  <c r="Q8" i="10"/>
  <c r="Q8" i="11" s="1"/>
  <c r="T37" i="11"/>
  <c r="F38" i="11"/>
  <c r="G37" i="11"/>
  <c r="C29" i="11"/>
  <c r="Q29" i="10"/>
  <c r="Q29" i="11" s="1"/>
  <c r="C30" i="10"/>
  <c r="G31" i="11"/>
  <c r="U30" i="11"/>
  <c r="C12" i="11"/>
  <c r="Q12" i="10"/>
  <c r="Q12" i="11" s="1"/>
  <c r="S31" i="11"/>
  <c r="E32" i="11"/>
  <c r="S32" i="11" s="1"/>
  <c r="S34" i="11"/>
  <c r="E35" i="11"/>
  <c r="S27" i="10"/>
  <c r="AC27" i="10" s="1"/>
  <c r="Y27" i="10" s="1"/>
  <c r="Y27" i="11" s="1"/>
  <c r="K27" i="10"/>
  <c r="K27" i="11" s="1"/>
  <c r="E28" i="10"/>
  <c r="U26" i="10"/>
  <c r="G27" i="10"/>
  <c r="S37" i="11"/>
  <c r="E38" i="11"/>
  <c r="U27" i="11"/>
  <c r="G28" i="11"/>
  <c r="U28" i="11" s="1"/>
  <c r="S30" i="10"/>
  <c r="AC30" i="10" s="1"/>
  <c r="Y30" i="10" s="1"/>
  <c r="Y30" i="11" s="1"/>
  <c r="K30" i="10"/>
  <c r="K30" i="11" s="1"/>
  <c r="E31" i="10"/>
  <c r="E41" i="11"/>
  <c r="F41" i="11"/>
  <c r="A42" i="11"/>
  <c r="A43" i="11" s="1"/>
  <c r="A44" i="11" s="1"/>
  <c r="A45" i="11"/>
  <c r="C23" i="11"/>
  <c r="C24" i="10"/>
  <c r="Q23" i="10"/>
  <c r="Q23" i="11" s="1"/>
  <c r="S24" i="10"/>
  <c r="AC24" i="10" s="1"/>
  <c r="Y24" i="10" s="1"/>
  <c r="Y24" i="11" s="1"/>
  <c r="K24" i="10"/>
  <c r="K24" i="11" s="1"/>
  <c r="T30" i="10"/>
  <c r="F31" i="10"/>
  <c r="C26" i="11"/>
  <c r="Q26" i="10"/>
  <c r="Q26" i="11" s="1"/>
  <c r="C27" i="10"/>
  <c r="U23" i="10"/>
  <c r="G24" i="10"/>
  <c r="U24" i="10" s="1"/>
  <c r="U29" i="10"/>
  <c r="G30" i="10"/>
  <c r="T34" i="11"/>
  <c r="F35" i="11"/>
  <c r="Y33" i="10"/>
  <c r="Y33" i="11" s="1"/>
  <c r="S33" i="10"/>
  <c r="K33" i="10"/>
  <c r="K33" i="11" s="1"/>
  <c r="E34" i="10"/>
  <c r="C33" i="10"/>
  <c r="E35" i="10" l="1"/>
  <c r="S34" i="10"/>
  <c r="K34" i="10"/>
  <c r="K34" i="11" s="1"/>
  <c r="E42" i="11"/>
  <c r="S41" i="11"/>
  <c r="T31" i="10"/>
  <c r="F32" i="10"/>
  <c r="T32" i="10" s="1"/>
  <c r="S31" i="10"/>
  <c r="AC31" i="10" s="1"/>
  <c r="Y31" i="10" s="1"/>
  <c r="Y31" i="11" s="1"/>
  <c r="K31" i="10"/>
  <c r="K31" i="11" s="1"/>
  <c r="E32" i="10"/>
  <c r="S35" i="11"/>
  <c r="E36" i="11"/>
  <c r="S36" i="11" s="1"/>
  <c r="T35" i="11"/>
  <c r="F36" i="11"/>
  <c r="T36" i="11" s="1"/>
  <c r="F38" i="10"/>
  <c r="T37" i="10"/>
  <c r="G37" i="10"/>
  <c r="G31" i="10"/>
  <c r="U30" i="10"/>
  <c r="C24" i="11"/>
  <c r="Q24" i="10"/>
  <c r="Q24" i="11" s="1"/>
  <c r="E39" i="11"/>
  <c r="S38" i="11"/>
  <c r="U34" i="11"/>
  <c r="G35" i="11"/>
  <c r="U37" i="11"/>
  <c r="G38" i="11"/>
  <c r="E38" i="10"/>
  <c r="C37" i="10"/>
  <c r="Y37" i="10"/>
  <c r="Y37" i="11" s="1"/>
  <c r="S37" i="10"/>
  <c r="K37" i="10"/>
  <c r="K37" i="11" s="1"/>
  <c r="T38" i="11"/>
  <c r="F39" i="11"/>
  <c r="A45" i="10"/>
  <c r="F41" i="10"/>
  <c r="E41" i="10"/>
  <c r="A42" i="10"/>
  <c r="A43" i="10" s="1"/>
  <c r="A44" i="10" s="1"/>
  <c r="A46" i="11"/>
  <c r="A47" i="11" s="1"/>
  <c r="A48" i="11" s="1"/>
  <c r="A49" i="11"/>
  <c r="E45" i="11"/>
  <c r="F45" i="11"/>
  <c r="U27" i="10"/>
  <c r="G28" i="10"/>
  <c r="U28" i="10" s="1"/>
  <c r="T34" i="10"/>
  <c r="F35" i="10"/>
  <c r="C27" i="11"/>
  <c r="Q27" i="10"/>
  <c r="Q27" i="11" s="1"/>
  <c r="C28" i="10"/>
  <c r="U31" i="11"/>
  <c r="G32" i="11"/>
  <c r="U32" i="11" s="1"/>
  <c r="G34" i="10"/>
  <c r="U33" i="10"/>
  <c r="C33" i="11"/>
  <c r="Q33" i="10"/>
  <c r="Q33" i="11" s="1"/>
  <c r="C34" i="10"/>
  <c r="G41" i="11"/>
  <c r="F42" i="11"/>
  <c r="T41" i="11"/>
  <c r="S28" i="10"/>
  <c r="AC28" i="10" s="1"/>
  <c r="Y28" i="10" s="1"/>
  <c r="Y28" i="11" s="1"/>
  <c r="K28" i="10"/>
  <c r="K28" i="11" s="1"/>
  <c r="C30" i="11"/>
  <c r="Q30" i="10"/>
  <c r="Q30" i="11" s="1"/>
  <c r="C31" i="10"/>
  <c r="C34" i="11" l="1"/>
  <c r="Q34" i="10"/>
  <c r="Q34" i="11" s="1"/>
  <c r="C35" i="10"/>
  <c r="F43" i="11"/>
  <c r="T42" i="11"/>
  <c r="F36" i="10"/>
  <c r="T36" i="10" s="1"/>
  <c r="T35" i="10"/>
  <c r="F40" i="11"/>
  <c r="T40" i="11" s="1"/>
  <c r="T39" i="11"/>
  <c r="E40" i="11"/>
  <c r="S40" i="11" s="1"/>
  <c r="S39" i="11"/>
  <c r="S32" i="10"/>
  <c r="AC32" i="10" s="1"/>
  <c r="Y32" i="10" s="1"/>
  <c r="Y32" i="11" s="1"/>
  <c r="K32" i="10"/>
  <c r="K32" i="11" s="1"/>
  <c r="G42" i="11"/>
  <c r="U41" i="11"/>
  <c r="C37" i="11"/>
  <c r="C38" i="10"/>
  <c r="Q37" i="10"/>
  <c r="Q37" i="11" s="1"/>
  <c r="G38" i="10"/>
  <c r="U37" i="10"/>
  <c r="U34" i="10"/>
  <c r="G35" i="10"/>
  <c r="K38" i="10"/>
  <c r="K38" i="11" s="1"/>
  <c r="E39" i="10"/>
  <c r="S38" i="10"/>
  <c r="G39" i="11"/>
  <c r="U38" i="11"/>
  <c r="F39" i="10"/>
  <c r="T38" i="10"/>
  <c r="S42" i="11"/>
  <c r="E43" i="11"/>
  <c r="K41" i="10"/>
  <c r="K41" i="11" s="1"/>
  <c r="C41" i="10"/>
  <c r="E42" i="10"/>
  <c r="S41" i="10"/>
  <c r="Y41" i="10"/>
  <c r="Y41" i="11" s="1"/>
  <c r="U35" i="11"/>
  <c r="G36" i="11"/>
  <c r="U36" i="11" s="1"/>
  <c r="AC34" i="10"/>
  <c r="Y34" i="10" s="1"/>
  <c r="Y34" i="11" s="1"/>
  <c r="T45" i="11"/>
  <c r="G45" i="11"/>
  <c r="F46" i="11"/>
  <c r="T41" i="10"/>
  <c r="G41" i="10"/>
  <c r="F42" i="10"/>
  <c r="U31" i="10"/>
  <c r="G32" i="10"/>
  <c r="U32" i="10" s="1"/>
  <c r="C31" i="11"/>
  <c r="Q31" i="10"/>
  <c r="Q31" i="11" s="1"/>
  <c r="C32" i="10"/>
  <c r="S45" i="11"/>
  <c r="E46" i="11"/>
  <c r="F49" i="11"/>
  <c r="E49" i="11"/>
  <c r="A50" i="11"/>
  <c r="A51" i="11" s="1"/>
  <c r="A52" i="11" s="1"/>
  <c r="A53" i="11"/>
  <c r="C28" i="11"/>
  <c r="Q28" i="10"/>
  <c r="Q28" i="11" s="1"/>
  <c r="F45" i="10"/>
  <c r="A49" i="10"/>
  <c r="E45" i="10"/>
  <c r="A46" i="10"/>
  <c r="A47" i="10" s="1"/>
  <c r="A48" i="10" s="1"/>
  <c r="E36" i="10"/>
  <c r="S35" i="10"/>
  <c r="AC35" i="10" s="1"/>
  <c r="Y35" i="10" s="1"/>
  <c r="Y35" i="11" s="1"/>
  <c r="K35" i="10"/>
  <c r="K35" i="11" s="1"/>
  <c r="C41" i="11" l="1"/>
  <c r="Q41" i="10"/>
  <c r="Q41" i="11" s="1"/>
  <c r="C42" i="10"/>
  <c r="U35" i="10"/>
  <c r="G36" i="10"/>
  <c r="U36" i="10" s="1"/>
  <c r="K42" i="10"/>
  <c r="K42" i="11" s="1"/>
  <c r="S42" i="10"/>
  <c r="E43" i="10"/>
  <c r="T42" i="10"/>
  <c r="F43" i="10"/>
  <c r="A57" i="11"/>
  <c r="F53" i="11"/>
  <c r="E53" i="11"/>
  <c r="A54" i="11"/>
  <c r="A55" i="11" s="1"/>
  <c r="A56" i="11" s="1"/>
  <c r="G42" i="10"/>
  <c r="U41" i="10"/>
  <c r="E50" i="11"/>
  <c r="S49" i="11"/>
  <c r="T46" i="11"/>
  <c r="F47" i="11"/>
  <c r="G39" i="10"/>
  <c r="U38" i="10"/>
  <c r="U45" i="11"/>
  <c r="G46" i="11"/>
  <c r="S46" i="11"/>
  <c r="E47" i="11"/>
  <c r="C38" i="11"/>
  <c r="C39" i="10"/>
  <c r="Q38" i="10"/>
  <c r="Q38" i="11" s="1"/>
  <c r="S36" i="10"/>
  <c r="AC36" i="10" s="1"/>
  <c r="Y36" i="10" s="1"/>
  <c r="Y36" i="11" s="1"/>
  <c r="K36" i="10"/>
  <c r="K36" i="11" s="1"/>
  <c r="C32" i="11"/>
  <c r="Q32" i="10"/>
  <c r="Q32" i="11" s="1"/>
  <c r="G40" i="11"/>
  <c r="U40" i="11" s="1"/>
  <c r="U39" i="11"/>
  <c r="T43" i="11"/>
  <c r="F44" i="11"/>
  <c r="T44" i="11" s="1"/>
  <c r="T39" i="10"/>
  <c r="F40" i="10"/>
  <c r="T40" i="10" s="1"/>
  <c r="Y45" i="10"/>
  <c r="Y45" i="11" s="1"/>
  <c r="S45" i="10"/>
  <c r="K45" i="10"/>
  <c r="K45" i="11" s="1"/>
  <c r="C45" i="10"/>
  <c r="E46" i="10"/>
  <c r="AC38" i="10"/>
  <c r="Y38" i="10" s="1"/>
  <c r="Y38" i="11" s="1"/>
  <c r="G43" i="11"/>
  <c r="U42" i="11"/>
  <c r="C35" i="11"/>
  <c r="C36" i="10"/>
  <c r="Q35" i="10"/>
  <c r="Q35" i="11" s="1"/>
  <c r="E44" i="11"/>
  <c r="S44" i="11" s="1"/>
  <c r="S43" i="11"/>
  <c r="T49" i="11"/>
  <c r="G49" i="11"/>
  <c r="F50" i="11"/>
  <c r="A53" i="10"/>
  <c r="A50" i="10"/>
  <c r="A51" i="10" s="1"/>
  <c r="A52" i="10" s="1"/>
  <c r="F49" i="10"/>
  <c r="E49" i="10"/>
  <c r="T45" i="10"/>
  <c r="G45" i="10"/>
  <c r="F46" i="10"/>
  <c r="E40" i="10"/>
  <c r="K39" i="10"/>
  <c r="K39" i="11" s="1"/>
  <c r="S39" i="10"/>
  <c r="AC39" i="10" s="1"/>
  <c r="Y39" i="10" s="1"/>
  <c r="Y39" i="11" s="1"/>
  <c r="F50" i="10" l="1"/>
  <c r="T49" i="10"/>
  <c r="G49" i="10"/>
  <c r="G44" i="11"/>
  <c r="U44" i="11" s="1"/>
  <c r="U43" i="11"/>
  <c r="E57" i="11"/>
  <c r="A58" i="11"/>
  <c r="A59" i="11" s="1"/>
  <c r="A60" i="11" s="1"/>
  <c r="A61" i="11"/>
  <c r="F57" i="11"/>
  <c r="T43" i="10"/>
  <c r="F44" i="10"/>
  <c r="T44" i="10" s="1"/>
  <c r="E44" i="10"/>
  <c r="S43" i="10"/>
  <c r="AC43" i="10" s="1"/>
  <c r="Y43" i="10" s="1"/>
  <c r="Y43" i="11" s="1"/>
  <c r="K43" i="10"/>
  <c r="K43" i="11" s="1"/>
  <c r="S50" i="11"/>
  <c r="E51" i="11"/>
  <c r="C39" i="11"/>
  <c r="C40" i="10"/>
  <c r="Q39" i="10"/>
  <c r="Q39" i="11" s="1"/>
  <c r="C45" i="11"/>
  <c r="C46" i="10"/>
  <c r="Q45" i="10"/>
  <c r="Q45" i="11" s="1"/>
  <c r="T46" i="10"/>
  <c r="F47" i="10"/>
  <c r="G43" i="10"/>
  <c r="U42" i="10"/>
  <c r="G46" i="10"/>
  <c r="U45" i="10"/>
  <c r="C36" i="11"/>
  <c r="Q36" i="10"/>
  <c r="Q36" i="11" s="1"/>
  <c r="E48" i="11"/>
  <c r="S48" i="11" s="1"/>
  <c r="S47" i="11"/>
  <c r="C42" i="11"/>
  <c r="Q42" i="10"/>
  <c r="Q42" i="11" s="1"/>
  <c r="C43" i="10"/>
  <c r="A57" i="10"/>
  <c r="E53" i="10"/>
  <c r="F53" i="10"/>
  <c r="A54" i="10"/>
  <c r="A55" i="10" s="1"/>
  <c r="A56" i="10" s="1"/>
  <c r="E47" i="10"/>
  <c r="S46" i="10"/>
  <c r="AC46" i="10" s="1"/>
  <c r="Y46" i="10" s="1"/>
  <c r="Y46" i="11" s="1"/>
  <c r="K46" i="10"/>
  <c r="K46" i="11" s="1"/>
  <c r="G40" i="10"/>
  <c r="U40" i="10" s="1"/>
  <c r="U39" i="10"/>
  <c r="F51" i="11"/>
  <c r="T50" i="11"/>
  <c r="S40" i="10"/>
  <c r="AC40" i="10" s="1"/>
  <c r="Y40" i="10" s="1"/>
  <c r="Y40" i="11" s="1"/>
  <c r="K40" i="10"/>
  <c r="K40" i="11" s="1"/>
  <c r="S53" i="11"/>
  <c r="E54" i="11"/>
  <c r="F48" i="11"/>
  <c r="T48" i="11" s="1"/>
  <c r="T47" i="11"/>
  <c r="G50" i="11"/>
  <c r="U49" i="11"/>
  <c r="AC42" i="10"/>
  <c r="Y42" i="10" s="1"/>
  <c r="Y42" i="11" s="1"/>
  <c r="Y49" i="10"/>
  <c r="Y49" i="11" s="1"/>
  <c r="S49" i="10"/>
  <c r="C49" i="10"/>
  <c r="E50" i="10"/>
  <c r="K49" i="10"/>
  <c r="K49" i="11" s="1"/>
  <c r="U46" i="11"/>
  <c r="G47" i="11"/>
  <c r="T53" i="11"/>
  <c r="G53" i="11"/>
  <c r="F54" i="11"/>
  <c r="K53" i="10" l="1"/>
  <c r="K53" i="11" s="1"/>
  <c r="C53" i="10"/>
  <c r="E54" i="10"/>
  <c r="Y53" i="10"/>
  <c r="Y53" i="11" s="1"/>
  <c r="S53" i="10"/>
  <c r="U43" i="10"/>
  <c r="G44" i="10"/>
  <c r="U44" i="10" s="1"/>
  <c r="C43" i="11"/>
  <c r="Q43" i="10"/>
  <c r="Q43" i="11" s="1"/>
  <c r="C44" i="10"/>
  <c r="S44" i="10"/>
  <c r="AC44" i="10" s="1"/>
  <c r="K44" i="10"/>
  <c r="K44" i="11" s="1"/>
  <c r="Y44" i="10"/>
  <c r="Y44" i="11" s="1"/>
  <c r="T51" i="11"/>
  <c r="F52" i="11"/>
  <c r="T52" i="11" s="1"/>
  <c r="C40" i="11"/>
  <c r="Q40" i="10"/>
  <c r="Q40" i="11" s="1"/>
  <c r="E58" i="11"/>
  <c r="S57" i="11"/>
  <c r="U47" i="11"/>
  <c r="G48" i="11"/>
  <c r="U48" i="11" s="1"/>
  <c r="S54" i="11"/>
  <c r="E55" i="11"/>
  <c r="S47" i="10"/>
  <c r="AC47" i="10" s="1"/>
  <c r="Y47" i="10" s="1"/>
  <c r="Y47" i="11" s="1"/>
  <c r="K47" i="10"/>
  <c r="K47" i="11" s="1"/>
  <c r="E48" i="10"/>
  <c r="E52" i="11"/>
  <c r="S52" i="11" s="1"/>
  <c r="S51" i="11"/>
  <c r="U46" i="10"/>
  <c r="G47" i="10"/>
  <c r="F54" i="10"/>
  <c r="G53" i="10"/>
  <c r="T53" i="10"/>
  <c r="G50" i="10"/>
  <c r="U49" i="10"/>
  <c r="C46" i="11"/>
  <c r="Q46" i="10"/>
  <c r="Q46" i="11" s="1"/>
  <c r="C47" i="10"/>
  <c r="G57" i="11"/>
  <c r="F58" i="11"/>
  <c r="T57" i="11"/>
  <c r="T54" i="11"/>
  <c r="F55" i="11"/>
  <c r="U50" i="11"/>
  <c r="G51" i="11"/>
  <c r="F61" i="11"/>
  <c r="E61" i="11"/>
  <c r="A62" i="11"/>
  <c r="A63" i="11" s="1"/>
  <c r="A64" i="11" s="1"/>
  <c r="A65" i="11"/>
  <c r="U53" i="11"/>
  <c r="G54" i="11"/>
  <c r="S50" i="10"/>
  <c r="AC50" i="10" s="1"/>
  <c r="Y50" i="10" s="1"/>
  <c r="Y50" i="11" s="1"/>
  <c r="E51" i="10"/>
  <c r="K50" i="10"/>
  <c r="K50" i="11" s="1"/>
  <c r="C49" i="11"/>
  <c r="C50" i="10"/>
  <c r="Q49" i="10"/>
  <c r="Q49" i="11" s="1"/>
  <c r="F57" i="10"/>
  <c r="E57" i="10"/>
  <c r="A58" i="10"/>
  <c r="A59" i="10" s="1"/>
  <c r="A60" i="10" s="1"/>
  <c r="A61" i="10"/>
  <c r="T47" i="10"/>
  <c r="F48" i="10"/>
  <c r="T48" i="10" s="1"/>
  <c r="F51" i="10"/>
  <c r="T50" i="10"/>
  <c r="G52" i="11" l="1"/>
  <c r="U52" i="11" s="1"/>
  <c r="U51" i="11"/>
  <c r="F56" i="11"/>
  <c r="T56" i="11" s="1"/>
  <c r="T55" i="11"/>
  <c r="U47" i="10"/>
  <c r="G48" i="10"/>
  <c r="U48" i="10" s="1"/>
  <c r="T51" i="10"/>
  <c r="F52" i="10"/>
  <c r="T52" i="10" s="1"/>
  <c r="S57" i="10"/>
  <c r="K57" i="10"/>
  <c r="K57" i="11" s="1"/>
  <c r="C57" i="10"/>
  <c r="Y57" i="10"/>
  <c r="Y57" i="11" s="1"/>
  <c r="E58" i="10"/>
  <c r="K51" i="10"/>
  <c r="K51" i="11" s="1"/>
  <c r="E52" i="10"/>
  <c r="S51" i="10"/>
  <c r="AC51" i="10" s="1"/>
  <c r="Y51" i="10" s="1"/>
  <c r="Y51" i="11" s="1"/>
  <c r="T57" i="10"/>
  <c r="G57" i="10"/>
  <c r="F58" i="10"/>
  <c r="S61" i="11"/>
  <c r="E62" i="11"/>
  <c r="G61" i="11"/>
  <c r="F62" i="11"/>
  <c r="T61" i="11"/>
  <c r="U50" i="10"/>
  <c r="G51" i="10"/>
  <c r="S55" i="11"/>
  <c r="E56" i="11"/>
  <c r="S56" i="11" s="1"/>
  <c r="C50" i="11"/>
  <c r="C51" i="10"/>
  <c r="Q50" i="10"/>
  <c r="Q50" i="11" s="1"/>
  <c r="C44" i="11"/>
  <c r="Q44" i="10"/>
  <c r="Q44" i="11" s="1"/>
  <c r="G54" i="10"/>
  <c r="U53" i="10"/>
  <c r="F59" i="11"/>
  <c r="T58" i="11"/>
  <c r="G55" i="11"/>
  <c r="U54" i="11"/>
  <c r="G58" i="11"/>
  <c r="U57" i="11"/>
  <c r="A65" i="10"/>
  <c r="A62" i="10"/>
  <c r="A63" i="10" s="1"/>
  <c r="A64" i="10" s="1"/>
  <c r="F61" i="10"/>
  <c r="E61" i="10"/>
  <c r="C47" i="11"/>
  <c r="C48" i="10"/>
  <c r="Q47" i="10"/>
  <c r="Q47" i="11" s="1"/>
  <c r="S48" i="10"/>
  <c r="AC48" i="10" s="1"/>
  <c r="Y48" i="10" s="1"/>
  <c r="Y48" i="11" s="1"/>
  <c r="K48" i="10"/>
  <c r="K48" i="11" s="1"/>
  <c r="K54" i="10"/>
  <c r="K54" i="11" s="1"/>
  <c r="S54" i="10"/>
  <c r="E55" i="10"/>
  <c r="F55" i="10"/>
  <c r="T54" i="10"/>
  <c r="E59" i="11"/>
  <c r="S58" i="11"/>
  <c r="A66" i="11"/>
  <c r="A67" i="11" s="1"/>
  <c r="A68" i="11" s="1"/>
  <c r="A69" i="11"/>
  <c r="E65" i="11"/>
  <c r="F65" i="11"/>
  <c r="C53" i="11"/>
  <c r="C54" i="10"/>
  <c r="Q53" i="10"/>
  <c r="Q53" i="11" s="1"/>
  <c r="S61" i="10" l="1"/>
  <c r="E62" i="10"/>
  <c r="Y61" i="10"/>
  <c r="Y61" i="11" s="1"/>
  <c r="K61" i="10"/>
  <c r="K61" i="11" s="1"/>
  <c r="C61" i="10"/>
  <c r="S62" i="11"/>
  <c r="E63" i="11"/>
  <c r="G61" i="10"/>
  <c r="T61" i="10"/>
  <c r="F62" i="10"/>
  <c r="T58" i="10"/>
  <c r="F59" i="10"/>
  <c r="E56" i="10"/>
  <c r="S55" i="10"/>
  <c r="AC55" i="10" s="1"/>
  <c r="K55" i="10"/>
  <c r="K55" i="11" s="1"/>
  <c r="Y55" i="10"/>
  <c r="Y55" i="11" s="1"/>
  <c r="E65" i="10"/>
  <c r="A66" i="10"/>
  <c r="A67" i="10" s="1"/>
  <c r="A68" i="10" s="1"/>
  <c r="F65" i="10"/>
  <c r="A69" i="10"/>
  <c r="C54" i="11"/>
  <c r="C55" i="10"/>
  <c r="Q54" i="10"/>
  <c r="Q54" i="11" s="1"/>
  <c r="U55" i="11"/>
  <c r="G56" i="11"/>
  <c r="U56" i="11" s="1"/>
  <c r="G52" i="10"/>
  <c r="U52" i="10" s="1"/>
  <c r="U51" i="10"/>
  <c r="K52" i="10"/>
  <c r="K52" i="11" s="1"/>
  <c r="S52" i="10"/>
  <c r="AC52" i="10" s="1"/>
  <c r="Y52" i="10" s="1"/>
  <c r="Y52" i="11" s="1"/>
  <c r="F69" i="11"/>
  <c r="A70" i="11"/>
  <c r="A71" i="11" s="1"/>
  <c r="A72" i="11" s="1"/>
  <c r="A73" i="11"/>
  <c r="E69" i="11"/>
  <c r="S58" i="10"/>
  <c r="AC58" i="10" s="1"/>
  <c r="Y58" i="10" s="1"/>
  <c r="Y58" i="11" s="1"/>
  <c r="K58" i="10"/>
  <c r="K58" i="11" s="1"/>
  <c r="E59" i="10"/>
  <c r="C48" i="11"/>
  <c r="Q48" i="10"/>
  <c r="Q48" i="11" s="1"/>
  <c r="T62" i="11"/>
  <c r="F63" i="11"/>
  <c r="E60" i="11"/>
  <c r="S60" i="11" s="1"/>
  <c r="S59" i="11"/>
  <c r="G55" i="10"/>
  <c r="U54" i="10"/>
  <c r="G62" i="11"/>
  <c r="U61" i="11"/>
  <c r="C57" i="11"/>
  <c r="C58" i="10"/>
  <c r="Q57" i="10"/>
  <c r="Q57" i="11" s="1"/>
  <c r="G59" i="11"/>
  <c r="U58" i="11"/>
  <c r="T65" i="11"/>
  <c r="G65" i="11"/>
  <c r="F66" i="11"/>
  <c r="F56" i="10"/>
  <c r="T56" i="10" s="1"/>
  <c r="T55" i="10"/>
  <c r="C51" i="11"/>
  <c r="C52" i="10"/>
  <c r="Q51" i="10"/>
  <c r="Q51" i="11" s="1"/>
  <c r="U57" i="10"/>
  <c r="G58" i="10"/>
  <c r="AC54" i="10"/>
  <c r="Y54" i="10" s="1"/>
  <c r="Y54" i="11" s="1"/>
  <c r="E66" i="11"/>
  <c r="S65" i="11"/>
  <c r="F60" i="11"/>
  <c r="T60" i="11" s="1"/>
  <c r="T59" i="11"/>
  <c r="C55" i="11" l="1"/>
  <c r="Q55" i="10"/>
  <c r="Q55" i="11" s="1"/>
  <c r="C56" i="10"/>
  <c r="U58" i="10"/>
  <c r="G59" i="10"/>
  <c r="C52" i="11"/>
  <c r="Q52" i="10"/>
  <c r="Q52" i="11" s="1"/>
  <c r="T59" i="10"/>
  <c r="F60" i="10"/>
  <c r="T60" i="10" s="1"/>
  <c r="G60" i="11"/>
  <c r="U60" i="11" s="1"/>
  <c r="U59" i="11"/>
  <c r="G63" i="11"/>
  <c r="U62" i="11"/>
  <c r="C65" i="10"/>
  <c r="E66" i="10"/>
  <c r="Y65" i="10"/>
  <c r="Y65" i="11" s="1"/>
  <c r="S65" i="10"/>
  <c r="K65" i="10"/>
  <c r="K65" i="11" s="1"/>
  <c r="C61" i="11"/>
  <c r="C62" i="10"/>
  <c r="Q61" i="10"/>
  <c r="Q61" i="11" s="1"/>
  <c r="A74" i="11"/>
  <c r="A75" i="11" s="1"/>
  <c r="A76" i="11" s="1"/>
  <c r="A77" i="11"/>
  <c r="F73" i="11"/>
  <c r="E73" i="11"/>
  <c r="F69" i="10"/>
  <c r="E69" i="10"/>
  <c r="A73" i="10"/>
  <c r="A70" i="10"/>
  <c r="A71" i="10" s="1"/>
  <c r="A72" i="10" s="1"/>
  <c r="U61" i="10"/>
  <c r="G62" i="10"/>
  <c r="U65" i="11"/>
  <c r="G66" i="11"/>
  <c r="F70" i="11"/>
  <c r="T69" i="11"/>
  <c r="G69" i="11"/>
  <c r="F66" i="10"/>
  <c r="T65" i="10"/>
  <c r="G65" i="10"/>
  <c r="S63" i="11"/>
  <c r="E64" i="11"/>
  <c r="S64" i="11" s="1"/>
  <c r="T63" i="11"/>
  <c r="F64" i="11"/>
  <c r="T64" i="11" s="1"/>
  <c r="S66" i="11"/>
  <c r="E67" i="11"/>
  <c r="F63" i="10"/>
  <c r="T62" i="10"/>
  <c r="G56" i="10"/>
  <c r="U56" i="10" s="1"/>
  <c r="U55" i="10"/>
  <c r="F67" i="11"/>
  <c r="T66" i="11"/>
  <c r="C58" i="11"/>
  <c r="Q58" i="10"/>
  <c r="Q58" i="11" s="1"/>
  <c r="C59" i="10"/>
  <c r="S59" i="10"/>
  <c r="AC59" i="10" s="1"/>
  <c r="Y59" i="10" s="1"/>
  <c r="Y59" i="11" s="1"/>
  <c r="K59" i="10"/>
  <c r="K59" i="11" s="1"/>
  <c r="E60" i="10"/>
  <c r="S62" i="10"/>
  <c r="AC62" i="10" s="1"/>
  <c r="Y62" i="10" s="1"/>
  <c r="Y62" i="11" s="1"/>
  <c r="K62" i="10"/>
  <c r="K62" i="11" s="1"/>
  <c r="E63" i="10"/>
  <c r="S69" i="11"/>
  <c r="E70" i="11"/>
  <c r="S56" i="10"/>
  <c r="AC56" i="10" s="1"/>
  <c r="K56" i="10"/>
  <c r="K56" i="11" s="1"/>
  <c r="Y56" i="10"/>
  <c r="Y56" i="11" s="1"/>
  <c r="E71" i="11" l="1"/>
  <c r="S70" i="11"/>
  <c r="K63" i="10"/>
  <c r="K63" i="11" s="1"/>
  <c r="E64" i="10"/>
  <c r="S63" i="10"/>
  <c r="AC63" i="10" s="1"/>
  <c r="Y63" i="10" s="1"/>
  <c r="Y63" i="11" s="1"/>
  <c r="G69" i="10"/>
  <c r="F70" i="10"/>
  <c r="T69" i="10"/>
  <c r="U69" i="11"/>
  <c r="G70" i="11"/>
  <c r="G73" i="11"/>
  <c r="T73" i="11"/>
  <c r="F74" i="11"/>
  <c r="U63" i="11"/>
  <c r="G64" i="11"/>
  <c r="U64" i="11" s="1"/>
  <c r="A74" i="10"/>
  <c r="A75" i="10" s="1"/>
  <c r="A76" i="10" s="1"/>
  <c r="A77" i="10"/>
  <c r="F73" i="10"/>
  <c r="E73" i="10"/>
  <c r="A81" i="11"/>
  <c r="F77" i="11"/>
  <c r="A78" i="11"/>
  <c r="A79" i="11" s="1"/>
  <c r="A80" i="11" s="1"/>
  <c r="E77" i="11"/>
  <c r="T63" i="10"/>
  <c r="F64" i="10"/>
  <c r="T64" i="10" s="1"/>
  <c r="T70" i="11"/>
  <c r="F71" i="11"/>
  <c r="U66" i="11"/>
  <c r="G67" i="11"/>
  <c r="C62" i="11"/>
  <c r="C63" i="10"/>
  <c r="Q62" i="10"/>
  <c r="Q62" i="11" s="1"/>
  <c r="U59" i="10"/>
  <c r="G60" i="10"/>
  <c r="U60" i="10" s="1"/>
  <c r="K60" i="10"/>
  <c r="K60" i="11" s="1"/>
  <c r="Y60" i="10"/>
  <c r="Y60" i="11" s="1"/>
  <c r="S60" i="10"/>
  <c r="AC60" i="10" s="1"/>
  <c r="E68" i="11"/>
  <c r="S68" i="11" s="1"/>
  <c r="S67" i="11"/>
  <c r="U62" i="10"/>
  <c r="G63" i="10"/>
  <c r="C59" i="11"/>
  <c r="Q59" i="10"/>
  <c r="Q59" i="11" s="1"/>
  <c r="C60" i="10"/>
  <c r="G66" i="10"/>
  <c r="U65" i="10"/>
  <c r="S69" i="10"/>
  <c r="K69" i="10"/>
  <c r="K69" i="11" s="1"/>
  <c r="C69" i="10"/>
  <c r="E70" i="10"/>
  <c r="Y69" i="10"/>
  <c r="Y69" i="11" s="1"/>
  <c r="K66" i="10"/>
  <c r="K66" i="11" s="1"/>
  <c r="E67" i="10"/>
  <c r="S66" i="10"/>
  <c r="AC66" i="10" s="1"/>
  <c r="Y66" i="10" s="1"/>
  <c r="Y66" i="11" s="1"/>
  <c r="C56" i="11"/>
  <c r="Q56" i="10"/>
  <c r="Q56" i="11" s="1"/>
  <c r="T67" i="11"/>
  <c r="F68" i="11"/>
  <c r="T68" i="11" s="1"/>
  <c r="C65" i="11"/>
  <c r="C66" i="10"/>
  <c r="Q65" i="10"/>
  <c r="Q65" i="11" s="1"/>
  <c r="F67" i="10"/>
  <c r="T66" i="10"/>
  <c r="S73" i="11"/>
  <c r="E74" i="11"/>
  <c r="E78" i="11" l="1"/>
  <c r="S77" i="11"/>
  <c r="G74" i="11"/>
  <c r="U73" i="11"/>
  <c r="U70" i="11"/>
  <c r="G71" i="11"/>
  <c r="G64" i="10"/>
  <c r="U64" i="10" s="1"/>
  <c r="U63" i="10"/>
  <c r="G68" i="11"/>
  <c r="U68" i="11" s="1"/>
  <c r="U67" i="11"/>
  <c r="A78" i="10"/>
  <c r="A79" i="10" s="1"/>
  <c r="A80" i="10" s="1"/>
  <c r="A81" i="10"/>
  <c r="F77" i="10"/>
  <c r="E77" i="10"/>
  <c r="C63" i="11"/>
  <c r="C64" i="10"/>
  <c r="Q63" i="10"/>
  <c r="Q63" i="11" s="1"/>
  <c r="T70" i="10"/>
  <c r="F71" i="10"/>
  <c r="G73" i="10"/>
  <c r="T73" i="10"/>
  <c r="F74" i="10"/>
  <c r="U69" i="10"/>
  <c r="G70" i="10"/>
  <c r="E74" i="10"/>
  <c r="C73" i="10"/>
  <c r="Y73" i="10"/>
  <c r="Y73" i="11" s="1"/>
  <c r="S73" i="10"/>
  <c r="K73" i="10"/>
  <c r="K73" i="11" s="1"/>
  <c r="E75" i="11"/>
  <c r="S74" i="11"/>
  <c r="K67" i="10"/>
  <c r="K67" i="11" s="1"/>
  <c r="E68" i="10"/>
  <c r="S67" i="10"/>
  <c r="AC67" i="10" s="1"/>
  <c r="Y67" i="10" s="1"/>
  <c r="Y67" i="11" s="1"/>
  <c r="F68" i="10"/>
  <c r="T68" i="10" s="1"/>
  <c r="T67" i="10"/>
  <c r="G67" i="10"/>
  <c r="U66" i="10"/>
  <c r="C60" i="11"/>
  <c r="Q60" i="10"/>
  <c r="Q60" i="11" s="1"/>
  <c r="A82" i="11"/>
  <c r="A83" i="11" s="1"/>
  <c r="A84" i="11" s="1"/>
  <c r="A85" i="11"/>
  <c r="F81" i="11"/>
  <c r="E81" i="11"/>
  <c r="T71" i="11"/>
  <c r="F72" i="11"/>
  <c r="T72" i="11" s="1"/>
  <c r="Y64" i="10"/>
  <c r="Y64" i="11" s="1"/>
  <c r="S64" i="10"/>
  <c r="AC64" i="10" s="1"/>
  <c r="K64" i="10"/>
  <c r="K64" i="11" s="1"/>
  <c r="S70" i="10"/>
  <c r="AC70" i="10" s="1"/>
  <c r="Y70" i="10" s="1"/>
  <c r="Y70" i="11" s="1"/>
  <c r="K70" i="10"/>
  <c r="K70" i="11" s="1"/>
  <c r="E71" i="10"/>
  <c r="C66" i="11"/>
  <c r="C67" i="10"/>
  <c r="Q66" i="10"/>
  <c r="Q66" i="11" s="1"/>
  <c r="C69" i="11"/>
  <c r="Q69" i="10"/>
  <c r="Q69" i="11" s="1"/>
  <c r="C70" i="10"/>
  <c r="F75" i="11"/>
  <c r="T74" i="11"/>
  <c r="F78" i="11"/>
  <c r="T77" i="11"/>
  <c r="G77" i="11"/>
  <c r="E72" i="11"/>
  <c r="S72" i="11" s="1"/>
  <c r="S71" i="11"/>
  <c r="C70" i="11" l="1"/>
  <c r="Q70" i="10"/>
  <c r="Q70" i="11" s="1"/>
  <c r="C71" i="10"/>
  <c r="U70" i="10"/>
  <c r="G71" i="10"/>
  <c r="F81" i="10"/>
  <c r="E81" i="10"/>
  <c r="A82" i="10"/>
  <c r="A83" i="10" s="1"/>
  <c r="A84" i="10" s="1"/>
  <c r="A85" i="10"/>
  <c r="U73" i="10"/>
  <c r="G74" i="10"/>
  <c r="F85" i="11"/>
  <c r="E85" i="11"/>
  <c r="A89" i="11"/>
  <c r="A86" i="11"/>
  <c r="A87" i="11" s="1"/>
  <c r="A88" i="11" s="1"/>
  <c r="F72" i="10"/>
  <c r="T72" i="10" s="1"/>
  <c r="T71" i="10"/>
  <c r="E76" i="11"/>
  <c r="S76" i="11" s="1"/>
  <c r="S75" i="11"/>
  <c r="U71" i="11"/>
  <c r="G72" i="11"/>
  <c r="U72" i="11" s="1"/>
  <c r="E82" i="11"/>
  <c r="S81" i="11"/>
  <c r="F82" i="11"/>
  <c r="T81" i="11"/>
  <c r="G81" i="11"/>
  <c r="G78" i="11"/>
  <c r="U77" i="11"/>
  <c r="S71" i="10"/>
  <c r="AC71" i="10" s="1"/>
  <c r="Y71" i="10" s="1"/>
  <c r="Y71" i="11" s="1"/>
  <c r="K71" i="10"/>
  <c r="K71" i="11" s="1"/>
  <c r="E72" i="10"/>
  <c r="C64" i="11"/>
  <c r="Q64" i="10"/>
  <c r="Q64" i="11" s="1"/>
  <c r="G75" i="11"/>
  <c r="U74" i="11"/>
  <c r="C73" i="11"/>
  <c r="Q73" i="10"/>
  <c r="Q73" i="11" s="1"/>
  <c r="C74" i="10"/>
  <c r="C77" i="10"/>
  <c r="E78" i="10"/>
  <c r="Y77" i="10"/>
  <c r="Y77" i="11" s="1"/>
  <c r="S77" i="10"/>
  <c r="K77" i="10"/>
  <c r="K77" i="11" s="1"/>
  <c r="F75" i="10"/>
  <c r="T74" i="10"/>
  <c r="S68" i="10"/>
  <c r="AC68" i="10" s="1"/>
  <c r="Y68" i="10" s="1"/>
  <c r="Y68" i="11" s="1"/>
  <c r="K68" i="10"/>
  <c r="K68" i="11" s="1"/>
  <c r="C67" i="11"/>
  <c r="C68" i="10"/>
  <c r="Q67" i="10"/>
  <c r="Q67" i="11" s="1"/>
  <c r="F79" i="11"/>
  <c r="T78" i="11"/>
  <c r="U67" i="10"/>
  <c r="G68" i="10"/>
  <c r="U68" i="10" s="1"/>
  <c r="F76" i="11"/>
  <c r="T76" i="11" s="1"/>
  <c r="T75" i="11"/>
  <c r="S74" i="10"/>
  <c r="AC74" i="10" s="1"/>
  <c r="Y74" i="10" s="1"/>
  <c r="Y74" i="11" s="1"/>
  <c r="K74" i="10"/>
  <c r="K74" i="11" s="1"/>
  <c r="E75" i="10"/>
  <c r="T77" i="10"/>
  <c r="F78" i="10"/>
  <c r="G77" i="10"/>
  <c r="E79" i="11"/>
  <c r="S78" i="11"/>
  <c r="F83" i="11" l="1"/>
  <c r="T82" i="11"/>
  <c r="F86" i="11"/>
  <c r="T85" i="11"/>
  <c r="G85" i="11"/>
  <c r="G76" i="11"/>
  <c r="U76" i="11" s="1"/>
  <c r="U75" i="11"/>
  <c r="U74" i="10"/>
  <c r="G75" i="10"/>
  <c r="T79" i="11"/>
  <c r="F80" i="11"/>
  <c r="T80" i="11" s="1"/>
  <c r="C77" i="11"/>
  <c r="C78" i="10"/>
  <c r="Q77" i="10"/>
  <c r="Q77" i="11" s="1"/>
  <c r="S82" i="11"/>
  <c r="E83" i="11"/>
  <c r="T75" i="10"/>
  <c r="F76" i="10"/>
  <c r="T76" i="10" s="1"/>
  <c r="F85" i="10"/>
  <c r="E85" i="10"/>
  <c r="A89" i="10"/>
  <c r="A86" i="10"/>
  <c r="A87" i="10" s="1"/>
  <c r="A88" i="10" s="1"/>
  <c r="U71" i="10"/>
  <c r="G72" i="10"/>
  <c r="U72" i="10" s="1"/>
  <c r="T78" i="10"/>
  <c r="F79" i="10"/>
  <c r="C68" i="11"/>
  <c r="Q68" i="10"/>
  <c r="Q68" i="11" s="1"/>
  <c r="C74" i="11"/>
  <c r="Q74" i="10"/>
  <c r="Q74" i="11" s="1"/>
  <c r="C75" i="10"/>
  <c r="U78" i="11"/>
  <c r="G79" i="11"/>
  <c r="C71" i="11"/>
  <c r="Q71" i="10"/>
  <c r="Q71" i="11" s="1"/>
  <c r="C72" i="10"/>
  <c r="G81" i="10"/>
  <c r="F82" i="10"/>
  <c r="T81" i="10"/>
  <c r="G78" i="10"/>
  <c r="U77" i="10"/>
  <c r="E79" i="10"/>
  <c r="S78" i="10"/>
  <c r="AC78" i="10" s="1"/>
  <c r="Y78" i="10" s="1"/>
  <c r="Y78" i="11" s="1"/>
  <c r="K78" i="10"/>
  <c r="K78" i="11" s="1"/>
  <c r="Y75" i="10"/>
  <c r="Y75" i="11" s="1"/>
  <c r="S75" i="10"/>
  <c r="AC75" i="10" s="1"/>
  <c r="K75" i="10"/>
  <c r="K75" i="11" s="1"/>
  <c r="E76" i="10"/>
  <c r="U81" i="11"/>
  <c r="G82" i="11"/>
  <c r="A90" i="11"/>
  <c r="A91" i="11" s="1"/>
  <c r="A92" i="11" s="1"/>
  <c r="A93" i="11"/>
  <c r="E89" i="11"/>
  <c r="F89" i="11"/>
  <c r="K72" i="10"/>
  <c r="K72" i="11" s="1"/>
  <c r="S72" i="10"/>
  <c r="AC72" i="10" s="1"/>
  <c r="Y72" i="10" s="1"/>
  <c r="Y72" i="11" s="1"/>
  <c r="K81" i="10"/>
  <c r="K81" i="11" s="1"/>
  <c r="C81" i="10"/>
  <c r="E82" i="10"/>
  <c r="Y81" i="10"/>
  <c r="Y81" i="11" s="1"/>
  <c r="S81" i="10"/>
  <c r="S79" i="11"/>
  <c r="E80" i="11"/>
  <c r="S80" i="11" s="1"/>
  <c r="S85" i="11"/>
  <c r="E86" i="11"/>
  <c r="C72" i="11" l="1"/>
  <c r="Q72" i="10"/>
  <c r="Q72" i="11" s="1"/>
  <c r="A93" i="10"/>
  <c r="A90" i="10"/>
  <c r="A91" i="10" s="1"/>
  <c r="A92" i="10" s="1"/>
  <c r="F89" i="10"/>
  <c r="E89" i="10"/>
  <c r="E86" i="10"/>
  <c r="C85" i="10"/>
  <c r="Y85" i="10"/>
  <c r="Y85" i="11" s="1"/>
  <c r="S85" i="10"/>
  <c r="K85" i="10"/>
  <c r="K85" i="11" s="1"/>
  <c r="S86" i="11"/>
  <c r="E87" i="11"/>
  <c r="E80" i="10"/>
  <c r="K79" i="10"/>
  <c r="K79" i="11" s="1"/>
  <c r="S79" i="10"/>
  <c r="AC79" i="10" s="1"/>
  <c r="Y79" i="10" s="1"/>
  <c r="Y79" i="11" s="1"/>
  <c r="C75" i="11"/>
  <c r="C76" i="10"/>
  <c r="Q75" i="10"/>
  <c r="Q75" i="11" s="1"/>
  <c r="U85" i="11"/>
  <c r="G86" i="11"/>
  <c r="S89" i="11"/>
  <c r="E90" i="11"/>
  <c r="G80" i="11"/>
  <c r="U80" i="11" s="1"/>
  <c r="U79" i="11"/>
  <c r="U75" i="10"/>
  <c r="G76" i="10"/>
  <c r="U76" i="10" s="1"/>
  <c r="T85" i="10"/>
  <c r="G85" i="10"/>
  <c r="F86" i="10"/>
  <c r="A97" i="11"/>
  <c r="F93" i="11"/>
  <c r="E93" i="11"/>
  <c r="A94" i="11"/>
  <c r="A95" i="11" s="1"/>
  <c r="A96" i="11" s="1"/>
  <c r="E84" i="11"/>
  <c r="S84" i="11" s="1"/>
  <c r="S83" i="11"/>
  <c r="U82" i="11"/>
  <c r="G83" i="11"/>
  <c r="T86" i="11"/>
  <c r="F87" i="11"/>
  <c r="G89" i="11"/>
  <c r="T89" i="11"/>
  <c r="F90" i="11"/>
  <c r="G79" i="10"/>
  <c r="U78" i="10"/>
  <c r="C81" i="11"/>
  <c r="Q81" i="10"/>
  <c r="Q81" i="11" s="1"/>
  <c r="C82" i="10"/>
  <c r="T82" i="10"/>
  <c r="F83" i="10"/>
  <c r="F80" i="10"/>
  <c r="T80" i="10" s="1"/>
  <c r="T79" i="10"/>
  <c r="E83" i="10"/>
  <c r="S82" i="10"/>
  <c r="AC82" i="10" s="1"/>
  <c r="K82" i="10"/>
  <c r="K82" i="11" s="1"/>
  <c r="Y82" i="10"/>
  <c r="Y82" i="11" s="1"/>
  <c r="Y76" i="10"/>
  <c r="Y76" i="11" s="1"/>
  <c r="S76" i="10"/>
  <c r="AC76" i="10" s="1"/>
  <c r="K76" i="10"/>
  <c r="K76" i="11" s="1"/>
  <c r="G82" i="10"/>
  <c r="U81" i="10"/>
  <c r="C78" i="11"/>
  <c r="C79" i="10"/>
  <c r="Q78" i="10"/>
  <c r="Q78" i="11" s="1"/>
  <c r="T83" i="11"/>
  <c r="F84" i="11"/>
  <c r="T84" i="11" s="1"/>
  <c r="S90" i="11" l="1"/>
  <c r="E91" i="11"/>
  <c r="E94" i="11"/>
  <c r="S93" i="11"/>
  <c r="G87" i="11"/>
  <c r="U86" i="11"/>
  <c r="U79" i="10"/>
  <c r="G80" i="10"/>
  <c r="U80" i="10" s="1"/>
  <c r="F94" i="11"/>
  <c r="T93" i="11"/>
  <c r="G93" i="11"/>
  <c r="T86" i="10"/>
  <c r="F87" i="10"/>
  <c r="F91" i="11"/>
  <c r="T90" i="11"/>
  <c r="A98" i="11"/>
  <c r="A99" i="11" s="1"/>
  <c r="A100" i="11" s="1"/>
  <c r="A101" i="11"/>
  <c r="E97" i="11"/>
  <c r="F97" i="11"/>
  <c r="S83" i="10"/>
  <c r="AC83" i="10" s="1"/>
  <c r="Y83" i="10" s="1"/>
  <c r="Y83" i="11" s="1"/>
  <c r="K83" i="10"/>
  <c r="K83" i="11" s="1"/>
  <c r="E84" i="10"/>
  <c r="C85" i="11"/>
  <c r="Q85" i="10"/>
  <c r="Q85" i="11" s="1"/>
  <c r="C86" i="10"/>
  <c r="C76" i="11"/>
  <c r="Q76" i="10"/>
  <c r="Q76" i="11" s="1"/>
  <c r="S86" i="10"/>
  <c r="AC86" i="10" s="1"/>
  <c r="Y86" i="10" s="1"/>
  <c r="Y86" i="11" s="1"/>
  <c r="K86" i="10"/>
  <c r="K86" i="11" s="1"/>
  <c r="E87" i="10"/>
  <c r="G90" i="11"/>
  <c r="U89" i="11"/>
  <c r="U85" i="10"/>
  <c r="G86" i="10"/>
  <c r="K89" i="10"/>
  <c r="K89" i="11" s="1"/>
  <c r="E90" i="10"/>
  <c r="Y89" i="10"/>
  <c r="Y89" i="11" s="1"/>
  <c r="S89" i="10"/>
  <c r="C89" i="10"/>
  <c r="F88" i="11"/>
  <c r="T88" i="11" s="1"/>
  <c r="T87" i="11"/>
  <c r="T89" i="10"/>
  <c r="G89" i="10"/>
  <c r="F90" i="10"/>
  <c r="C79" i="11"/>
  <c r="Q79" i="10"/>
  <c r="Q79" i="11" s="1"/>
  <c r="C80" i="10"/>
  <c r="F84" i="10"/>
  <c r="T84" i="10" s="1"/>
  <c r="T83" i="10"/>
  <c r="G84" i="11"/>
  <c r="U84" i="11" s="1"/>
  <c r="U83" i="11"/>
  <c r="F93" i="10"/>
  <c r="E93" i="10"/>
  <c r="A94" i="10"/>
  <c r="A95" i="10" s="1"/>
  <c r="A96" i="10" s="1"/>
  <c r="A97" i="10"/>
  <c r="S80" i="10"/>
  <c r="AC80" i="10" s="1"/>
  <c r="Y80" i="10" s="1"/>
  <c r="Y80" i="11" s="1"/>
  <c r="K80" i="10"/>
  <c r="K80" i="11" s="1"/>
  <c r="G83" i="10"/>
  <c r="U82" i="10"/>
  <c r="C82" i="11"/>
  <c r="Q82" i="10"/>
  <c r="Q82" i="11" s="1"/>
  <c r="C83" i="10"/>
  <c r="S87" i="11"/>
  <c r="E88" i="11"/>
  <c r="S88" i="11" s="1"/>
  <c r="T90" i="10" l="1"/>
  <c r="F91" i="10"/>
  <c r="S84" i="10"/>
  <c r="AC84" i="10" s="1"/>
  <c r="Y84" i="10" s="1"/>
  <c r="Y84" i="11" s="1"/>
  <c r="K84" i="10"/>
  <c r="K84" i="11" s="1"/>
  <c r="U86" i="10"/>
  <c r="G87" i="10"/>
  <c r="G84" i="10"/>
  <c r="U84" i="10" s="1"/>
  <c r="U83" i="10"/>
  <c r="C80" i="11"/>
  <c r="Q80" i="10"/>
  <c r="Q80" i="11" s="1"/>
  <c r="G94" i="11"/>
  <c r="U93" i="11"/>
  <c r="C89" i="11"/>
  <c r="C90" i="10"/>
  <c r="Q89" i="10"/>
  <c r="Q89" i="11" s="1"/>
  <c r="E101" i="11"/>
  <c r="A102" i="11"/>
  <c r="A103" i="11" s="1"/>
  <c r="A104" i="11" s="1"/>
  <c r="A105" i="11"/>
  <c r="F101" i="11"/>
  <c r="U87" i="11"/>
  <c r="G88" i="11"/>
  <c r="U88" i="11" s="1"/>
  <c r="F97" i="10"/>
  <c r="E97" i="10"/>
  <c r="A98" i="10"/>
  <c r="A99" i="10" s="1"/>
  <c r="A100" i="10" s="1"/>
  <c r="A101" i="10"/>
  <c r="U89" i="10"/>
  <c r="G90" i="10"/>
  <c r="U90" i="11"/>
  <c r="G91" i="11"/>
  <c r="T97" i="11"/>
  <c r="G97" i="11"/>
  <c r="F98" i="11"/>
  <c r="S97" i="11"/>
  <c r="E98" i="11"/>
  <c r="C83" i="11"/>
  <c r="Q83" i="10"/>
  <c r="Q83" i="11" s="1"/>
  <c r="C84" i="10"/>
  <c r="E95" i="11"/>
  <c r="S94" i="11"/>
  <c r="K90" i="10"/>
  <c r="K90" i="11" s="1"/>
  <c r="E91" i="10"/>
  <c r="S90" i="10"/>
  <c r="AC90" i="10" s="1"/>
  <c r="Y90" i="10" s="1"/>
  <c r="Y90" i="11" s="1"/>
  <c r="C86" i="11"/>
  <c r="Q86" i="10"/>
  <c r="Q86" i="11" s="1"/>
  <c r="C87" i="10"/>
  <c r="F92" i="11"/>
  <c r="T92" i="11" s="1"/>
  <c r="T91" i="11"/>
  <c r="E92" i="11"/>
  <c r="S92" i="11" s="1"/>
  <c r="S91" i="11"/>
  <c r="F95" i="11"/>
  <c r="T94" i="11"/>
  <c r="S87" i="10"/>
  <c r="AC87" i="10" s="1"/>
  <c r="Y87" i="10" s="1"/>
  <c r="Y87" i="11" s="1"/>
  <c r="K87" i="10"/>
  <c r="K87" i="11" s="1"/>
  <c r="E88" i="10"/>
  <c r="C93" i="10"/>
  <c r="E94" i="10"/>
  <c r="Y93" i="10"/>
  <c r="Y93" i="11" s="1"/>
  <c r="K93" i="10"/>
  <c r="K93" i="11" s="1"/>
  <c r="S93" i="10"/>
  <c r="G93" i="10"/>
  <c r="F94" i="10"/>
  <c r="T93" i="10"/>
  <c r="T87" i="10"/>
  <c r="F88" i="10"/>
  <c r="T88" i="10" s="1"/>
  <c r="Y97" i="10" l="1"/>
  <c r="Y97" i="11" s="1"/>
  <c r="S97" i="10"/>
  <c r="K97" i="10"/>
  <c r="K97" i="11" s="1"/>
  <c r="C97" i="10"/>
  <c r="E98" i="10"/>
  <c r="G95" i="11"/>
  <c r="U94" i="11"/>
  <c r="A109" i="11"/>
  <c r="F105" i="11"/>
  <c r="E105" i="11"/>
  <c r="A106" i="11"/>
  <c r="A107" i="11" s="1"/>
  <c r="A108" i="11" s="1"/>
  <c r="E92" i="10"/>
  <c r="S91" i="10"/>
  <c r="AC91" i="10" s="1"/>
  <c r="Y91" i="10" s="1"/>
  <c r="Y91" i="11" s="1"/>
  <c r="K91" i="10"/>
  <c r="K91" i="11" s="1"/>
  <c r="G92" i="11"/>
  <c r="U92" i="11" s="1"/>
  <c r="U91" i="11"/>
  <c r="S101" i="11"/>
  <c r="E102" i="11"/>
  <c r="F95" i="10"/>
  <c r="T94" i="10"/>
  <c r="G94" i="10"/>
  <c r="U93" i="10"/>
  <c r="C90" i="11"/>
  <c r="C91" i="10"/>
  <c r="Q90" i="10"/>
  <c r="Q90" i="11" s="1"/>
  <c r="E95" i="10"/>
  <c r="K94" i="10"/>
  <c r="K94" i="11" s="1"/>
  <c r="S94" i="10"/>
  <c r="C87" i="11"/>
  <c r="Q87" i="10"/>
  <c r="Q87" i="11" s="1"/>
  <c r="C88" i="10"/>
  <c r="S98" i="11"/>
  <c r="E99" i="11"/>
  <c r="T97" i="10"/>
  <c r="G97" i="10"/>
  <c r="F98" i="10"/>
  <c r="U97" i="11"/>
  <c r="G98" i="11"/>
  <c r="S88" i="10"/>
  <c r="AC88" i="10" s="1"/>
  <c r="Y88" i="10" s="1"/>
  <c r="Y88" i="11" s="1"/>
  <c r="K88" i="10"/>
  <c r="K88" i="11" s="1"/>
  <c r="T98" i="11"/>
  <c r="F99" i="11"/>
  <c r="G101" i="11"/>
  <c r="F102" i="11"/>
  <c r="T101" i="11"/>
  <c r="U87" i="10"/>
  <c r="G88" i="10"/>
  <c r="U88" i="10" s="1"/>
  <c r="S95" i="11"/>
  <c r="E96" i="11"/>
  <c r="S96" i="11" s="1"/>
  <c r="C84" i="11"/>
  <c r="Q84" i="10"/>
  <c r="Q84" i="11" s="1"/>
  <c r="A105" i="10"/>
  <c r="E101" i="10"/>
  <c r="A102" i="10"/>
  <c r="A103" i="10" s="1"/>
  <c r="A104" i="10" s="1"/>
  <c r="F101" i="10"/>
  <c r="F92" i="10"/>
  <c r="T92" i="10" s="1"/>
  <c r="T91" i="10"/>
  <c r="C93" i="11"/>
  <c r="C94" i="10"/>
  <c r="Q93" i="10"/>
  <c r="Q93" i="11" s="1"/>
  <c r="F96" i="11"/>
  <c r="T96" i="11" s="1"/>
  <c r="T95" i="11"/>
  <c r="G91" i="10"/>
  <c r="U90" i="10"/>
  <c r="F102" i="10" l="1"/>
  <c r="T101" i="10"/>
  <c r="G101" i="10"/>
  <c r="U101" i="11"/>
  <c r="G102" i="11"/>
  <c r="C94" i="11"/>
  <c r="Q94" i="10"/>
  <c r="Q94" i="11" s="1"/>
  <c r="C95" i="10"/>
  <c r="T98" i="10"/>
  <c r="F99" i="10"/>
  <c r="G98" i="10"/>
  <c r="U97" i="10"/>
  <c r="C91" i="11"/>
  <c r="Q91" i="10"/>
  <c r="Q91" i="11" s="1"/>
  <c r="C92" i="10"/>
  <c r="S92" i="10"/>
  <c r="AC92" i="10" s="1"/>
  <c r="Y92" i="10" s="1"/>
  <c r="Y92" i="11" s="1"/>
  <c r="K92" i="10"/>
  <c r="K92" i="11" s="1"/>
  <c r="K95" i="10"/>
  <c r="K95" i="11" s="1"/>
  <c r="E96" i="10"/>
  <c r="S95" i="10"/>
  <c r="AC95" i="10" s="1"/>
  <c r="Y95" i="10" s="1"/>
  <c r="Y95" i="11" s="1"/>
  <c r="T102" i="11"/>
  <c r="F103" i="11"/>
  <c r="S99" i="11"/>
  <c r="E100" i="11"/>
  <c r="S100" i="11" s="1"/>
  <c r="U91" i="10"/>
  <c r="G92" i="10"/>
  <c r="U92" i="10" s="1"/>
  <c r="AC94" i="10"/>
  <c r="Y94" i="10" s="1"/>
  <c r="Y94" i="11" s="1"/>
  <c r="G96" i="11"/>
  <c r="U96" i="11" s="1"/>
  <c r="U95" i="11"/>
  <c r="S98" i="10"/>
  <c r="K98" i="10"/>
  <c r="K98" i="11" s="1"/>
  <c r="E99" i="10"/>
  <c r="C97" i="11"/>
  <c r="Q97" i="10"/>
  <c r="Q97" i="11" s="1"/>
  <c r="C98" i="10"/>
  <c r="S105" i="11"/>
  <c r="E106" i="11"/>
  <c r="T99" i="11"/>
  <c r="F100" i="11"/>
  <c r="T100" i="11" s="1"/>
  <c r="C88" i="11"/>
  <c r="Q88" i="10"/>
  <c r="Q88" i="11" s="1"/>
  <c r="K101" i="10"/>
  <c r="K101" i="11" s="1"/>
  <c r="Y101" i="10"/>
  <c r="Y101" i="11" s="1"/>
  <c r="S101" i="10"/>
  <c r="C101" i="10"/>
  <c r="E102" i="10"/>
  <c r="F96" i="10"/>
  <c r="T96" i="10" s="1"/>
  <c r="T95" i="10"/>
  <c r="A113" i="11"/>
  <c r="F109" i="11"/>
  <c r="A110" i="11"/>
  <c r="A111" i="11" s="1"/>
  <c r="A112" i="11" s="1"/>
  <c r="E109" i="11"/>
  <c r="G95" i="10"/>
  <c r="U94" i="10"/>
  <c r="G105" i="11"/>
  <c r="F106" i="11"/>
  <c r="T105" i="11"/>
  <c r="E105" i="10"/>
  <c r="A106" i="10"/>
  <c r="A107" i="10" s="1"/>
  <c r="A108" i="10" s="1"/>
  <c r="A109" i="10"/>
  <c r="F105" i="10"/>
  <c r="E103" i="11"/>
  <c r="S102" i="11"/>
  <c r="U98" i="11"/>
  <c r="G99" i="11"/>
  <c r="C101" i="11" l="1"/>
  <c r="Q101" i="10"/>
  <c r="Q101" i="11" s="1"/>
  <c r="C102" i="10"/>
  <c r="F104" i="11"/>
  <c r="T104" i="11" s="1"/>
  <c r="T103" i="11"/>
  <c r="S103" i="11"/>
  <c r="E104" i="11"/>
  <c r="S104" i="11" s="1"/>
  <c r="F107" i="11"/>
  <c r="T106" i="11"/>
  <c r="U98" i="10"/>
  <c r="G99" i="10"/>
  <c r="G106" i="11"/>
  <c r="U105" i="11"/>
  <c r="U102" i="11"/>
  <c r="G103" i="11"/>
  <c r="U99" i="11"/>
  <c r="G100" i="11"/>
  <c r="U100" i="11" s="1"/>
  <c r="G96" i="10"/>
  <c r="U96" i="10" s="1"/>
  <c r="U95" i="10"/>
  <c r="K96" i="10"/>
  <c r="K96" i="11" s="1"/>
  <c r="S96" i="10"/>
  <c r="AC96" i="10" s="1"/>
  <c r="Y96" i="10" s="1"/>
  <c r="Y96" i="11" s="1"/>
  <c r="S109" i="11"/>
  <c r="E110" i="11"/>
  <c r="F110" i="11"/>
  <c r="T109" i="11"/>
  <c r="G109" i="11"/>
  <c r="K99" i="10"/>
  <c r="K99" i="11" s="1"/>
  <c r="S99" i="10"/>
  <c r="AC99" i="10" s="1"/>
  <c r="E100" i="10"/>
  <c r="Y99" i="10"/>
  <c r="Y99" i="11" s="1"/>
  <c r="T99" i="10"/>
  <c r="F100" i="10"/>
  <c r="T100" i="10" s="1"/>
  <c r="C95" i="11"/>
  <c r="Q95" i="10"/>
  <c r="Q95" i="11" s="1"/>
  <c r="C96" i="10"/>
  <c r="F106" i="10"/>
  <c r="T105" i="10"/>
  <c r="G105" i="10"/>
  <c r="U101" i="10"/>
  <c r="G102" i="10"/>
  <c r="AC98" i="10"/>
  <c r="Y98" i="10" s="1"/>
  <c r="Y98" i="11" s="1"/>
  <c r="A114" i="11"/>
  <c r="A115" i="11" s="1"/>
  <c r="A116" i="11" s="1"/>
  <c r="F113" i="11"/>
  <c r="E113" i="11"/>
  <c r="A117" i="11"/>
  <c r="S106" i="11"/>
  <c r="E107" i="11"/>
  <c r="F109" i="10"/>
  <c r="E109" i="10"/>
  <c r="A113" i="10"/>
  <c r="A110" i="10"/>
  <c r="A111" i="10" s="1"/>
  <c r="A112" i="10" s="1"/>
  <c r="C92" i="11"/>
  <c r="Q92" i="10"/>
  <c r="Q92" i="11" s="1"/>
  <c r="C98" i="11"/>
  <c r="Q98" i="10"/>
  <c r="Q98" i="11" s="1"/>
  <c r="C99" i="10"/>
  <c r="C105" i="10"/>
  <c r="E106" i="10"/>
  <c r="Y105" i="10"/>
  <c r="Y105" i="11" s="1"/>
  <c r="S105" i="10"/>
  <c r="K105" i="10"/>
  <c r="K105" i="11" s="1"/>
  <c r="K102" i="10"/>
  <c r="K102" i="11" s="1"/>
  <c r="S102" i="10"/>
  <c r="E103" i="10"/>
  <c r="T102" i="10"/>
  <c r="F103" i="10"/>
  <c r="E108" i="11" l="1"/>
  <c r="S108" i="11" s="1"/>
  <c r="S107" i="11"/>
  <c r="C96" i="11"/>
  <c r="Q96" i="10"/>
  <c r="Q96" i="11" s="1"/>
  <c r="E111" i="11"/>
  <c r="S110" i="11"/>
  <c r="G107" i="11"/>
  <c r="U106" i="11"/>
  <c r="S100" i="10"/>
  <c r="AC100" i="10" s="1"/>
  <c r="Y100" i="10" s="1"/>
  <c r="Y100" i="11" s="1"/>
  <c r="K100" i="10"/>
  <c r="K100" i="11" s="1"/>
  <c r="E107" i="10"/>
  <c r="K106" i="10"/>
  <c r="K106" i="11" s="1"/>
  <c r="S106" i="10"/>
  <c r="G100" i="10"/>
  <c r="U100" i="10" s="1"/>
  <c r="U99" i="10"/>
  <c r="A118" i="11"/>
  <c r="A119" i="11" s="1"/>
  <c r="A120" i="11" s="1"/>
  <c r="A121" i="11"/>
  <c r="F117" i="11"/>
  <c r="E117" i="11"/>
  <c r="S113" i="11"/>
  <c r="E114" i="11"/>
  <c r="E104" i="10"/>
  <c r="S103" i="10"/>
  <c r="AC103" i="10" s="1"/>
  <c r="Y103" i="10" s="1"/>
  <c r="Y103" i="11" s="1"/>
  <c r="K103" i="10"/>
  <c r="K103" i="11" s="1"/>
  <c r="AC102" i="10"/>
  <c r="Y102" i="10" s="1"/>
  <c r="Y102" i="11" s="1"/>
  <c r="G103" i="10"/>
  <c r="U102" i="10"/>
  <c r="T103" i="10"/>
  <c r="F104" i="10"/>
  <c r="T104" i="10" s="1"/>
  <c r="C105" i="11"/>
  <c r="C106" i="10"/>
  <c r="Q105" i="10"/>
  <c r="Q105" i="11" s="1"/>
  <c r="C99" i="11"/>
  <c r="Q99" i="10"/>
  <c r="Q99" i="11" s="1"/>
  <c r="C100" i="10"/>
  <c r="G113" i="11"/>
  <c r="F114" i="11"/>
  <c r="T113" i="11"/>
  <c r="T107" i="11"/>
  <c r="F108" i="11"/>
  <c r="T108" i="11" s="1"/>
  <c r="E113" i="10"/>
  <c r="A114" i="10"/>
  <c r="A115" i="10" s="1"/>
  <c r="A116" i="10" s="1"/>
  <c r="A117" i="10"/>
  <c r="F113" i="10"/>
  <c r="U105" i="10"/>
  <c r="G106" i="10"/>
  <c r="G110" i="11"/>
  <c r="U109" i="11"/>
  <c r="G104" i="11"/>
  <c r="U104" i="11" s="1"/>
  <c r="U103" i="11"/>
  <c r="C102" i="11"/>
  <c r="C103" i="10"/>
  <c r="Q102" i="10"/>
  <c r="Q102" i="11" s="1"/>
  <c r="S109" i="10"/>
  <c r="K109" i="10"/>
  <c r="K109" i="11" s="1"/>
  <c r="C109" i="10"/>
  <c r="E110" i="10"/>
  <c r="Y109" i="10"/>
  <c r="Y109" i="11" s="1"/>
  <c r="G109" i="10"/>
  <c r="F110" i="10"/>
  <c r="T109" i="10"/>
  <c r="F107" i="10"/>
  <c r="T106" i="10"/>
  <c r="F111" i="11"/>
  <c r="T110" i="11"/>
  <c r="U106" i="10" l="1"/>
  <c r="G107" i="10"/>
  <c r="S110" i="10"/>
  <c r="AC110" i="10" s="1"/>
  <c r="Y110" i="10" s="1"/>
  <c r="Y110" i="11" s="1"/>
  <c r="K110" i="10"/>
  <c r="K110" i="11" s="1"/>
  <c r="E111" i="10"/>
  <c r="S104" i="10"/>
  <c r="AC104" i="10" s="1"/>
  <c r="Y104" i="10" s="1"/>
  <c r="Y104" i="11" s="1"/>
  <c r="K104" i="10"/>
  <c r="K104" i="11" s="1"/>
  <c r="S107" i="10"/>
  <c r="AC107" i="10" s="1"/>
  <c r="Y107" i="10" s="1"/>
  <c r="Y107" i="11" s="1"/>
  <c r="E108" i="10"/>
  <c r="K107" i="10"/>
  <c r="K107" i="11" s="1"/>
  <c r="C109" i="11"/>
  <c r="Q109" i="10"/>
  <c r="Q109" i="11" s="1"/>
  <c r="C110" i="10"/>
  <c r="F114" i="10"/>
  <c r="T113" i="10"/>
  <c r="G113" i="10"/>
  <c r="S114" i="11"/>
  <c r="E115" i="11"/>
  <c r="A121" i="10"/>
  <c r="A118" i="10"/>
  <c r="A119" i="10" s="1"/>
  <c r="A120" i="10" s="1"/>
  <c r="E117" i="10"/>
  <c r="F117" i="10"/>
  <c r="T117" i="11"/>
  <c r="G117" i="11"/>
  <c r="F118" i="11"/>
  <c r="F112" i="11"/>
  <c r="T112" i="11" s="1"/>
  <c r="T111" i="11"/>
  <c r="F121" i="11"/>
  <c r="E121" i="11"/>
  <c r="A122" i="11"/>
  <c r="A123" i="11" s="1"/>
  <c r="A124" i="11" s="1"/>
  <c r="A125" i="11"/>
  <c r="F108" i="10"/>
  <c r="T108" i="10" s="1"/>
  <c r="T107" i="10"/>
  <c r="U103" i="10"/>
  <c r="G104" i="10"/>
  <c r="U104" i="10" s="1"/>
  <c r="E112" i="11"/>
  <c r="S112" i="11" s="1"/>
  <c r="S111" i="11"/>
  <c r="F115" i="11"/>
  <c r="T114" i="11"/>
  <c r="F111" i="10"/>
  <c r="T110" i="10"/>
  <c r="G114" i="11"/>
  <c r="U113" i="11"/>
  <c r="S113" i="10"/>
  <c r="K113" i="10"/>
  <c r="K113" i="11" s="1"/>
  <c r="C113" i="10"/>
  <c r="Y113" i="10"/>
  <c r="Y113" i="11" s="1"/>
  <c r="E114" i="10"/>
  <c r="C103" i="11"/>
  <c r="C104" i="10"/>
  <c r="Q103" i="10"/>
  <c r="Q103" i="11" s="1"/>
  <c r="G108" i="11"/>
  <c r="U108" i="11" s="1"/>
  <c r="U107" i="11"/>
  <c r="C106" i="11"/>
  <c r="C107" i="10"/>
  <c r="Q106" i="10"/>
  <c r="Q106" i="11" s="1"/>
  <c r="S117" i="11"/>
  <c r="E118" i="11"/>
  <c r="AC106" i="10"/>
  <c r="Y106" i="10" s="1"/>
  <c r="Y106" i="11" s="1"/>
  <c r="G110" i="10"/>
  <c r="U109" i="10"/>
  <c r="U110" i="11"/>
  <c r="G111" i="11"/>
  <c r="C100" i="11"/>
  <c r="Q100" i="10"/>
  <c r="Q100" i="11" s="1"/>
  <c r="E119" i="11" l="1"/>
  <c r="S118" i="11"/>
  <c r="C113" i="11"/>
  <c r="Q113" i="10"/>
  <c r="Q113" i="11" s="1"/>
  <c r="C114" i="10"/>
  <c r="F118" i="10"/>
  <c r="T117" i="10"/>
  <c r="G117" i="10"/>
  <c r="E118" i="10"/>
  <c r="Y117" i="10"/>
  <c r="Y117" i="11" s="1"/>
  <c r="S117" i="10"/>
  <c r="K117" i="10"/>
  <c r="K117" i="11" s="1"/>
  <c r="C117" i="10"/>
  <c r="K108" i="10"/>
  <c r="K108" i="11" s="1"/>
  <c r="Y108" i="10"/>
  <c r="Y108" i="11" s="1"/>
  <c r="S108" i="10"/>
  <c r="AC108" i="10" s="1"/>
  <c r="C107" i="11"/>
  <c r="C108" i="10"/>
  <c r="Q107" i="10"/>
  <c r="Q107" i="11" s="1"/>
  <c r="S115" i="11"/>
  <c r="E116" i="11"/>
  <c r="S116" i="11" s="1"/>
  <c r="G121" i="11"/>
  <c r="F122" i="11"/>
  <c r="T121" i="11"/>
  <c r="U113" i="10"/>
  <c r="G114" i="10"/>
  <c r="G112" i="11"/>
  <c r="U112" i="11" s="1"/>
  <c r="U111" i="11"/>
  <c r="A129" i="11"/>
  <c r="F125" i="11"/>
  <c r="E125" i="11"/>
  <c r="A126" i="11"/>
  <c r="A127" i="11" s="1"/>
  <c r="A128" i="11" s="1"/>
  <c r="F121" i="10"/>
  <c r="E121" i="10"/>
  <c r="A122" i="10"/>
  <c r="A123" i="10" s="1"/>
  <c r="A124" i="10" s="1"/>
  <c r="A125" i="10"/>
  <c r="U114" i="11"/>
  <c r="G115" i="11"/>
  <c r="E122" i="11"/>
  <c r="S121" i="11"/>
  <c r="T111" i="10"/>
  <c r="F112" i="10"/>
  <c r="T112" i="10" s="1"/>
  <c r="C104" i="11"/>
  <c r="Q104" i="10"/>
  <c r="Q104" i="11" s="1"/>
  <c r="T115" i="11"/>
  <c r="F116" i="11"/>
  <c r="T116" i="11" s="1"/>
  <c r="T114" i="10"/>
  <c r="F115" i="10"/>
  <c r="K111" i="10"/>
  <c r="K111" i="11" s="1"/>
  <c r="S111" i="10"/>
  <c r="AC111" i="10" s="1"/>
  <c r="Y111" i="10" s="1"/>
  <c r="Y111" i="11" s="1"/>
  <c r="E112" i="10"/>
  <c r="T118" i="11"/>
  <c r="F119" i="11"/>
  <c r="C110" i="11"/>
  <c r="Q110" i="10"/>
  <c r="Q110" i="11" s="1"/>
  <c r="C111" i="10"/>
  <c r="G111" i="10"/>
  <c r="U110" i="10"/>
  <c r="G108" i="10"/>
  <c r="U108" i="10" s="1"/>
  <c r="U107" i="10"/>
  <c r="S114" i="10"/>
  <c r="AC114" i="10" s="1"/>
  <c r="Y114" i="10" s="1"/>
  <c r="Y114" i="11" s="1"/>
  <c r="K114" i="10"/>
  <c r="K114" i="11" s="1"/>
  <c r="E115" i="10"/>
  <c r="U117" i="11"/>
  <c r="G118" i="11"/>
  <c r="U115" i="11" l="1"/>
  <c r="G116" i="11"/>
  <c r="U116" i="11" s="1"/>
  <c r="U114" i="10"/>
  <c r="G115" i="10"/>
  <c r="C117" i="11"/>
  <c r="Q117" i="10"/>
  <c r="Q117" i="11" s="1"/>
  <c r="C118" i="10"/>
  <c r="T115" i="10"/>
  <c r="F116" i="10"/>
  <c r="T116" i="10" s="1"/>
  <c r="A126" i="10"/>
  <c r="A127" i="10" s="1"/>
  <c r="A128" i="10" s="1"/>
  <c r="F125" i="10"/>
  <c r="E125" i="10"/>
  <c r="A129" i="10"/>
  <c r="F123" i="11"/>
  <c r="T122" i="11"/>
  <c r="E122" i="10"/>
  <c r="C121" i="10"/>
  <c r="K121" i="10"/>
  <c r="K121" i="11" s="1"/>
  <c r="Y121" i="10"/>
  <c r="Y121" i="11" s="1"/>
  <c r="S121" i="10"/>
  <c r="G122" i="11"/>
  <c r="U121" i="11"/>
  <c r="C111" i="11"/>
  <c r="C112" i="10"/>
  <c r="Q111" i="10"/>
  <c r="Q111" i="11" s="1"/>
  <c r="U117" i="10"/>
  <c r="G118" i="10"/>
  <c r="U118" i="11"/>
  <c r="G119" i="11"/>
  <c r="S125" i="11"/>
  <c r="E126" i="11"/>
  <c r="F120" i="11"/>
  <c r="T120" i="11" s="1"/>
  <c r="T119" i="11"/>
  <c r="F126" i="11"/>
  <c r="T125" i="11"/>
  <c r="G125" i="11"/>
  <c r="C108" i="11"/>
  <c r="Q108" i="10"/>
  <c r="Q108" i="11" s="1"/>
  <c r="F119" i="10"/>
  <c r="T118" i="10"/>
  <c r="S115" i="10"/>
  <c r="AC115" i="10" s="1"/>
  <c r="Y115" i="10" s="1"/>
  <c r="Y115" i="11" s="1"/>
  <c r="K115" i="10"/>
  <c r="K115" i="11" s="1"/>
  <c r="E116" i="10"/>
  <c r="A130" i="11"/>
  <c r="A131" i="11" s="1"/>
  <c r="A132" i="11" s="1"/>
  <c r="F129" i="11"/>
  <c r="E129" i="11"/>
  <c r="A133" i="11"/>
  <c r="C114" i="11"/>
  <c r="C115" i="10"/>
  <c r="Q114" i="10"/>
  <c r="Q114" i="11" s="1"/>
  <c r="S112" i="10"/>
  <c r="AC112" i="10" s="1"/>
  <c r="Y112" i="10" s="1"/>
  <c r="Y112" i="11" s="1"/>
  <c r="K112" i="10"/>
  <c r="K112" i="11" s="1"/>
  <c r="S122" i="11"/>
  <c r="E123" i="11"/>
  <c r="G112" i="10"/>
  <c r="U112" i="10" s="1"/>
  <c r="U111" i="10"/>
  <c r="G121" i="10"/>
  <c r="F122" i="10"/>
  <c r="T121" i="10"/>
  <c r="E119" i="10"/>
  <c r="S118" i="10"/>
  <c r="AC118" i="10" s="1"/>
  <c r="Y118" i="10" s="1"/>
  <c r="Y118" i="11" s="1"/>
  <c r="K118" i="10"/>
  <c r="K118" i="11" s="1"/>
  <c r="S119" i="11"/>
  <c r="E120" i="11"/>
  <c r="S120" i="11" s="1"/>
  <c r="G129" i="11" l="1"/>
  <c r="F130" i="11"/>
  <c r="T129" i="11"/>
  <c r="S119" i="10"/>
  <c r="AC119" i="10" s="1"/>
  <c r="E120" i="10"/>
  <c r="Y119" i="10"/>
  <c r="Y119" i="11" s="1"/>
  <c r="K119" i="10"/>
  <c r="K119" i="11" s="1"/>
  <c r="C115" i="11"/>
  <c r="Q115" i="10"/>
  <c r="Q115" i="11" s="1"/>
  <c r="C116" i="10"/>
  <c r="F123" i="10"/>
  <c r="T122" i="10"/>
  <c r="A137" i="11"/>
  <c r="F133" i="11"/>
  <c r="E133" i="11"/>
  <c r="A134" i="11"/>
  <c r="A135" i="11" s="1"/>
  <c r="A136" i="11" s="1"/>
  <c r="U125" i="11"/>
  <c r="G126" i="11"/>
  <c r="C112" i="11"/>
  <c r="Q112" i="10"/>
  <c r="Q112" i="11" s="1"/>
  <c r="S125" i="10"/>
  <c r="K125" i="10"/>
  <c r="K125" i="11" s="1"/>
  <c r="C125" i="10"/>
  <c r="E126" i="10"/>
  <c r="Y125" i="10"/>
  <c r="Y125" i="11" s="1"/>
  <c r="E127" i="11"/>
  <c r="S126" i="11"/>
  <c r="C118" i="11"/>
  <c r="Q118" i="10"/>
  <c r="Q118" i="11" s="1"/>
  <c r="C119" i="10"/>
  <c r="G122" i="10"/>
  <c r="U121" i="10"/>
  <c r="E130" i="11"/>
  <c r="S129" i="11"/>
  <c r="T125" i="10"/>
  <c r="G125" i="10"/>
  <c r="F126" i="10"/>
  <c r="C121" i="11"/>
  <c r="C122" i="10"/>
  <c r="Q121" i="10"/>
  <c r="Q121" i="11" s="1"/>
  <c r="K122" i="10"/>
  <c r="K122" i="11" s="1"/>
  <c r="E123" i="10"/>
  <c r="S122" i="10"/>
  <c r="AC122" i="10" s="1"/>
  <c r="Y122" i="10" s="1"/>
  <c r="Y122" i="11" s="1"/>
  <c r="U115" i="10"/>
  <c r="G116" i="10"/>
  <c r="U116" i="10" s="1"/>
  <c r="G123" i="11"/>
  <c r="U122" i="11"/>
  <c r="E124" i="11"/>
  <c r="S124" i="11" s="1"/>
  <c r="S123" i="11"/>
  <c r="S116" i="10"/>
  <c r="AC116" i="10" s="1"/>
  <c r="Y116" i="10" s="1"/>
  <c r="Y116" i="11" s="1"/>
  <c r="K116" i="10"/>
  <c r="K116" i="11" s="1"/>
  <c r="U119" i="11"/>
  <c r="G120" i="11"/>
  <c r="U120" i="11" s="1"/>
  <c r="F120" i="10"/>
  <c r="T120" i="10" s="1"/>
  <c r="T119" i="10"/>
  <c r="U118" i="10"/>
  <c r="G119" i="10"/>
  <c r="T126" i="11"/>
  <c r="F127" i="11"/>
  <c r="T123" i="11"/>
  <c r="F124" i="11"/>
  <c r="T124" i="11" s="1"/>
  <c r="F129" i="10"/>
  <c r="A130" i="10"/>
  <c r="A131" i="10" s="1"/>
  <c r="A132" i="10" s="1"/>
  <c r="A133" i="10"/>
  <c r="E129" i="10"/>
  <c r="F133" i="10" l="1"/>
  <c r="E133" i="10"/>
  <c r="A137" i="10"/>
  <c r="A134" i="10"/>
  <c r="A135" i="10" s="1"/>
  <c r="A136" i="10" s="1"/>
  <c r="K123" i="10"/>
  <c r="K123" i="11" s="1"/>
  <c r="E124" i="10"/>
  <c r="S123" i="10"/>
  <c r="AC123" i="10" s="1"/>
  <c r="Y123" i="10" s="1"/>
  <c r="Y123" i="11" s="1"/>
  <c r="E128" i="11"/>
  <c r="S128" i="11" s="1"/>
  <c r="S127" i="11"/>
  <c r="F128" i="11"/>
  <c r="T128" i="11" s="1"/>
  <c r="T127" i="11"/>
  <c r="T126" i="10"/>
  <c r="F127" i="10"/>
  <c r="G126" i="10"/>
  <c r="U125" i="10"/>
  <c r="S126" i="10"/>
  <c r="AC126" i="10" s="1"/>
  <c r="Y126" i="10" s="1"/>
  <c r="Y126" i="11" s="1"/>
  <c r="K126" i="10"/>
  <c r="K126" i="11" s="1"/>
  <c r="E127" i="10"/>
  <c r="E131" i="11"/>
  <c r="S130" i="11"/>
  <c r="G120" i="10"/>
  <c r="U120" i="10" s="1"/>
  <c r="U119" i="10"/>
  <c r="G124" i="11"/>
  <c r="U124" i="11" s="1"/>
  <c r="U123" i="11"/>
  <c r="C125" i="11"/>
  <c r="Q125" i="10"/>
  <c r="Q125" i="11" s="1"/>
  <c r="C126" i="10"/>
  <c r="F124" i="10"/>
  <c r="T124" i="10" s="1"/>
  <c r="T123" i="10"/>
  <c r="C116" i="11"/>
  <c r="Q116" i="10"/>
  <c r="Q116" i="11" s="1"/>
  <c r="Y129" i="10"/>
  <c r="Y129" i="11" s="1"/>
  <c r="S129" i="10"/>
  <c r="K129" i="10"/>
  <c r="K129" i="11" s="1"/>
  <c r="E130" i="10"/>
  <c r="C129" i="10"/>
  <c r="K120" i="10"/>
  <c r="K120" i="11" s="1"/>
  <c r="Y120" i="10"/>
  <c r="Y120" i="11" s="1"/>
  <c r="S120" i="10"/>
  <c r="AC120" i="10" s="1"/>
  <c r="T129" i="10"/>
  <c r="G129" i="10"/>
  <c r="F130" i="10"/>
  <c r="C122" i="11"/>
  <c r="Q122" i="10"/>
  <c r="Q122" i="11" s="1"/>
  <c r="C123" i="10"/>
  <c r="S133" i="11"/>
  <c r="E134" i="11"/>
  <c r="G123" i="10"/>
  <c r="U122" i="10"/>
  <c r="C119" i="11"/>
  <c r="C120" i="10"/>
  <c r="Q119" i="10"/>
  <c r="Q119" i="11" s="1"/>
  <c r="U126" i="11"/>
  <c r="G127" i="11"/>
  <c r="T133" i="11"/>
  <c r="G133" i="11"/>
  <c r="F134" i="11"/>
  <c r="F131" i="11"/>
  <c r="T130" i="11"/>
  <c r="A138" i="11"/>
  <c r="A139" i="11" s="1"/>
  <c r="A140" i="11" s="1"/>
  <c r="A141" i="11"/>
  <c r="F137" i="11"/>
  <c r="E137" i="11"/>
  <c r="G130" i="11"/>
  <c r="U129" i="11"/>
  <c r="A145" i="11" l="1"/>
  <c r="F141" i="11"/>
  <c r="E141" i="11"/>
  <c r="A142" i="11"/>
  <c r="A143" i="11" s="1"/>
  <c r="A144" i="11" s="1"/>
  <c r="U126" i="10"/>
  <c r="G127" i="10"/>
  <c r="G124" i="10"/>
  <c r="U124" i="10" s="1"/>
  <c r="U123" i="10"/>
  <c r="T131" i="11"/>
  <c r="F132" i="11"/>
  <c r="T132" i="11" s="1"/>
  <c r="T134" i="11"/>
  <c r="F135" i="11"/>
  <c r="C123" i="11"/>
  <c r="C124" i="10"/>
  <c r="Q123" i="10"/>
  <c r="Q123" i="11" s="1"/>
  <c r="E132" i="11"/>
  <c r="S132" i="11" s="1"/>
  <c r="S131" i="11"/>
  <c r="U127" i="11"/>
  <c r="G128" i="11"/>
  <c r="U128" i="11" s="1"/>
  <c r="G130" i="10"/>
  <c r="U129" i="10"/>
  <c r="K124" i="10"/>
  <c r="K124" i="11" s="1"/>
  <c r="S124" i="10"/>
  <c r="AC124" i="10" s="1"/>
  <c r="Y124" i="10" s="1"/>
  <c r="Y124" i="11" s="1"/>
  <c r="U130" i="11"/>
  <c r="G131" i="11"/>
  <c r="E138" i="11"/>
  <c r="S137" i="11"/>
  <c r="C120" i="11"/>
  <c r="Q120" i="10"/>
  <c r="Q120" i="11" s="1"/>
  <c r="C126" i="11"/>
  <c r="Q126" i="10"/>
  <c r="Q126" i="11" s="1"/>
  <c r="C127" i="10"/>
  <c r="G137" i="11"/>
  <c r="F138" i="11"/>
  <c r="T137" i="11"/>
  <c r="U133" i="11"/>
  <c r="G134" i="11"/>
  <c r="A141" i="10"/>
  <c r="F137" i="10"/>
  <c r="E137" i="10"/>
  <c r="A138" i="10"/>
  <c r="A139" i="10" s="1"/>
  <c r="A140" i="10" s="1"/>
  <c r="T130" i="10"/>
  <c r="F131" i="10"/>
  <c r="S127" i="10"/>
  <c r="AC127" i="10" s="1"/>
  <c r="Y127" i="10" s="1"/>
  <c r="Y127" i="11" s="1"/>
  <c r="K127" i="10"/>
  <c r="K127" i="11" s="1"/>
  <c r="E128" i="10"/>
  <c r="C129" i="11"/>
  <c r="Q129" i="10"/>
  <c r="Q129" i="11" s="1"/>
  <c r="C130" i="10"/>
  <c r="T127" i="10"/>
  <c r="F128" i="10"/>
  <c r="T128" i="10" s="1"/>
  <c r="E134" i="10"/>
  <c r="C133" i="10"/>
  <c r="Y133" i="10"/>
  <c r="Y133" i="11" s="1"/>
  <c r="S133" i="10"/>
  <c r="K133" i="10"/>
  <c r="K133" i="11" s="1"/>
  <c r="S134" i="11"/>
  <c r="E135" i="11"/>
  <c r="E131" i="10"/>
  <c r="S130" i="10"/>
  <c r="AC130" i="10" s="1"/>
  <c r="Y130" i="10" s="1"/>
  <c r="Y130" i="11" s="1"/>
  <c r="K130" i="10"/>
  <c r="K130" i="11" s="1"/>
  <c r="F134" i="10"/>
  <c r="T133" i="10"/>
  <c r="G133" i="10"/>
  <c r="G132" i="11" l="1"/>
  <c r="U132" i="11" s="1"/>
  <c r="U131" i="11"/>
  <c r="C124" i="11"/>
  <c r="Q124" i="10"/>
  <c r="Q124" i="11" s="1"/>
  <c r="E132" i="10"/>
  <c r="S131" i="10"/>
  <c r="AC131" i="10" s="1"/>
  <c r="Y131" i="10" s="1"/>
  <c r="Y131" i="11" s="1"/>
  <c r="K131" i="10"/>
  <c r="K131" i="11" s="1"/>
  <c r="S135" i="11"/>
  <c r="E136" i="11"/>
  <c r="S136" i="11" s="1"/>
  <c r="S128" i="10"/>
  <c r="AC128" i="10" s="1"/>
  <c r="Y128" i="10" s="1"/>
  <c r="Y128" i="11" s="1"/>
  <c r="K128" i="10"/>
  <c r="K128" i="11" s="1"/>
  <c r="T135" i="11"/>
  <c r="F136" i="11"/>
  <c r="T136" i="11" s="1"/>
  <c r="F139" i="11"/>
  <c r="T138" i="11"/>
  <c r="G138" i="11"/>
  <c r="U137" i="11"/>
  <c r="U130" i="10"/>
  <c r="G131" i="10"/>
  <c r="G134" i="10"/>
  <c r="U133" i="10"/>
  <c r="C133" i="11"/>
  <c r="C134" i="10"/>
  <c r="Q133" i="10"/>
  <c r="Q133" i="11" s="1"/>
  <c r="K134" i="10"/>
  <c r="K134" i="11" s="1"/>
  <c r="E135" i="10"/>
  <c r="S134" i="10"/>
  <c r="AC134" i="10" s="1"/>
  <c r="Y134" i="10" s="1"/>
  <c r="Y134" i="11" s="1"/>
  <c r="U127" i="10"/>
  <c r="G128" i="10"/>
  <c r="U128" i="10" s="1"/>
  <c r="F135" i="10"/>
  <c r="T134" i="10"/>
  <c r="K137" i="10"/>
  <c r="K137" i="11" s="1"/>
  <c r="C137" i="10"/>
  <c r="E138" i="10"/>
  <c r="S137" i="10"/>
  <c r="Y137" i="10"/>
  <c r="Y137" i="11" s="1"/>
  <c r="C127" i="11"/>
  <c r="Q127" i="10"/>
  <c r="Q127" i="11" s="1"/>
  <c r="C128" i="10"/>
  <c r="T137" i="10"/>
  <c r="G137" i="10"/>
  <c r="F138" i="10"/>
  <c r="C130" i="11"/>
  <c r="Q130" i="10"/>
  <c r="Q130" i="11" s="1"/>
  <c r="C131" i="10"/>
  <c r="F141" i="10"/>
  <c r="A145" i="10"/>
  <c r="E141" i="10"/>
  <c r="A142" i="10"/>
  <c r="A143" i="10" s="1"/>
  <c r="A144" i="10" s="1"/>
  <c r="E139" i="11"/>
  <c r="S138" i="11"/>
  <c r="S141" i="11"/>
  <c r="E142" i="11"/>
  <c r="F132" i="10"/>
  <c r="T132" i="10" s="1"/>
  <c r="T131" i="10"/>
  <c r="F142" i="11"/>
  <c r="T141" i="11"/>
  <c r="G141" i="11"/>
  <c r="U134" i="11"/>
  <c r="G135" i="11"/>
  <c r="A149" i="11"/>
  <c r="A146" i="11"/>
  <c r="A147" i="11" s="1"/>
  <c r="A148" i="11" s="1"/>
  <c r="F145" i="11"/>
  <c r="E145" i="11"/>
  <c r="U131" i="10" l="1"/>
  <c r="G132" i="10"/>
  <c r="U132" i="10" s="1"/>
  <c r="G138" i="10"/>
  <c r="U137" i="10"/>
  <c r="E146" i="11"/>
  <c r="S145" i="11"/>
  <c r="G145" i="11"/>
  <c r="F146" i="11"/>
  <c r="T145" i="11"/>
  <c r="U135" i="11"/>
  <c r="G136" i="11"/>
  <c r="U136" i="11" s="1"/>
  <c r="Y141" i="10"/>
  <c r="Y141" i="11" s="1"/>
  <c r="S141" i="10"/>
  <c r="K141" i="10"/>
  <c r="K141" i="11" s="1"/>
  <c r="C141" i="10"/>
  <c r="E142" i="10"/>
  <c r="G142" i="11"/>
  <c r="U141" i="11"/>
  <c r="T141" i="10"/>
  <c r="G141" i="10"/>
  <c r="F142" i="10"/>
  <c r="K138" i="10"/>
  <c r="K138" i="11" s="1"/>
  <c r="S138" i="10"/>
  <c r="AC138" i="10" s="1"/>
  <c r="Y138" i="10" s="1"/>
  <c r="Y138" i="11" s="1"/>
  <c r="E139" i="10"/>
  <c r="C134" i="11"/>
  <c r="C135" i="10"/>
  <c r="Q134" i="10"/>
  <c r="Q134" i="11" s="1"/>
  <c r="C131" i="11"/>
  <c r="C132" i="10"/>
  <c r="Q131" i="10"/>
  <c r="Q131" i="11" s="1"/>
  <c r="C137" i="11"/>
  <c r="Q137" i="10"/>
  <c r="Q137" i="11" s="1"/>
  <c r="C138" i="10"/>
  <c r="G135" i="10"/>
  <c r="U134" i="10"/>
  <c r="T138" i="10"/>
  <c r="F139" i="10"/>
  <c r="T142" i="11"/>
  <c r="F143" i="11"/>
  <c r="G139" i="11"/>
  <c r="U138" i="11"/>
  <c r="E140" i="11"/>
  <c r="S140" i="11" s="1"/>
  <c r="S139" i="11"/>
  <c r="S132" i="10"/>
  <c r="AC132" i="10" s="1"/>
  <c r="Y132" i="10" s="1"/>
  <c r="Y132" i="11" s="1"/>
  <c r="K132" i="10"/>
  <c r="K132" i="11" s="1"/>
  <c r="C128" i="11"/>
  <c r="Q128" i="10"/>
  <c r="Q128" i="11" s="1"/>
  <c r="A150" i="11"/>
  <c r="A151" i="11" s="1"/>
  <c r="A152" i="11" s="1"/>
  <c r="A153" i="11"/>
  <c r="F149" i="11"/>
  <c r="E149" i="11"/>
  <c r="E136" i="10"/>
  <c r="K135" i="10"/>
  <c r="K135" i="11" s="1"/>
  <c r="S135" i="10"/>
  <c r="AC135" i="10" s="1"/>
  <c r="Y135" i="10" s="1"/>
  <c r="Y135" i="11" s="1"/>
  <c r="F140" i="11"/>
  <c r="T140" i="11" s="1"/>
  <c r="T139" i="11"/>
  <c r="A146" i="10"/>
  <c r="A147" i="10" s="1"/>
  <c r="A148" i="10" s="1"/>
  <c r="F145" i="10"/>
  <c r="E145" i="10"/>
  <c r="A149" i="10"/>
  <c r="T135" i="10"/>
  <c r="F136" i="10"/>
  <c r="T136" i="10" s="1"/>
  <c r="E143" i="11"/>
  <c r="S142" i="11"/>
  <c r="G136" i="10" l="1"/>
  <c r="U136" i="10" s="1"/>
  <c r="U135" i="10"/>
  <c r="G142" i="10"/>
  <c r="U141" i="10"/>
  <c r="F147" i="11"/>
  <c r="T146" i="11"/>
  <c r="S136" i="10"/>
  <c r="AC136" i="10" s="1"/>
  <c r="Y136" i="10" s="1"/>
  <c r="Y136" i="11" s="1"/>
  <c r="K136" i="10"/>
  <c r="K136" i="11" s="1"/>
  <c r="G146" i="11"/>
  <c r="U145" i="11"/>
  <c r="E144" i="11"/>
  <c r="S144" i="11" s="1"/>
  <c r="S143" i="11"/>
  <c r="C132" i="11"/>
  <c r="Q132" i="10"/>
  <c r="Q132" i="11" s="1"/>
  <c r="S149" i="11"/>
  <c r="E150" i="11"/>
  <c r="G140" i="11"/>
  <c r="U140" i="11" s="1"/>
  <c r="U139" i="11"/>
  <c r="U142" i="11"/>
  <c r="G143" i="11"/>
  <c r="S146" i="11"/>
  <c r="E147" i="11"/>
  <c r="E140" i="10"/>
  <c r="S139" i="10"/>
  <c r="AC139" i="10" s="1"/>
  <c r="Y139" i="10" s="1"/>
  <c r="Y139" i="11" s="1"/>
  <c r="K139" i="10"/>
  <c r="K139" i="11" s="1"/>
  <c r="C138" i="11"/>
  <c r="Q138" i="10"/>
  <c r="Q138" i="11" s="1"/>
  <c r="C139" i="10"/>
  <c r="T149" i="11"/>
  <c r="F150" i="11"/>
  <c r="G149" i="11"/>
  <c r="T143" i="11"/>
  <c r="F144" i="11"/>
  <c r="T144" i="11" s="1"/>
  <c r="E143" i="10"/>
  <c r="S142" i="10"/>
  <c r="K142" i="10"/>
  <c r="K142" i="11" s="1"/>
  <c r="C141" i="11"/>
  <c r="C142" i="10"/>
  <c r="Q141" i="10"/>
  <c r="Q141" i="11" s="1"/>
  <c r="G139" i="10"/>
  <c r="U138" i="10"/>
  <c r="T142" i="10"/>
  <c r="F143" i="10"/>
  <c r="A153" i="10"/>
  <c r="E149" i="10"/>
  <c r="A150" i="10"/>
  <c r="A151" i="10" s="1"/>
  <c r="A152" i="10" s="1"/>
  <c r="F149" i="10"/>
  <c r="A157" i="11"/>
  <c r="F153" i="11"/>
  <c r="E153" i="11"/>
  <c r="A154" i="11"/>
  <c r="A155" i="11" s="1"/>
  <c r="A156" i="11" s="1"/>
  <c r="C135" i="11"/>
  <c r="C136" i="10"/>
  <c r="Q135" i="10"/>
  <c r="Q135" i="11" s="1"/>
  <c r="Y145" i="10"/>
  <c r="Y145" i="11" s="1"/>
  <c r="S145" i="10"/>
  <c r="C145" i="10"/>
  <c r="E146" i="10"/>
  <c r="K145" i="10"/>
  <c r="K145" i="11" s="1"/>
  <c r="T139" i="10"/>
  <c r="F140" i="10"/>
  <c r="T140" i="10" s="1"/>
  <c r="F146" i="10"/>
  <c r="T145" i="10"/>
  <c r="G145" i="10"/>
  <c r="T143" i="10" l="1"/>
  <c r="F144" i="10"/>
  <c r="T144" i="10" s="1"/>
  <c r="U146" i="11"/>
  <c r="G147" i="11"/>
  <c r="U149" i="11"/>
  <c r="G150" i="11"/>
  <c r="A161" i="11"/>
  <c r="F157" i="11"/>
  <c r="E157" i="11"/>
  <c r="A158" i="11"/>
  <c r="A159" i="11" s="1"/>
  <c r="A160" i="11" s="1"/>
  <c r="Y149" i="10"/>
  <c r="Y149" i="11" s="1"/>
  <c r="K149" i="10"/>
  <c r="K149" i="11" s="1"/>
  <c r="E150" i="10"/>
  <c r="S149" i="10"/>
  <c r="C149" i="10"/>
  <c r="S143" i="10"/>
  <c r="AC143" i="10" s="1"/>
  <c r="Y143" i="10" s="1"/>
  <c r="Y143" i="11" s="1"/>
  <c r="K143" i="10"/>
  <c r="K143" i="11" s="1"/>
  <c r="E144" i="10"/>
  <c r="S140" i="10"/>
  <c r="AC140" i="10" s="1"/>
  <c r="K140" i="10"/>
  <c r="K140" i="11" s="1"/>
  <c r="Y140" i="10"/>
  <c r="Y140" i="11" s="1"/>
  <c r="C145" i="11"/>
  <c r="C146" i="10"/>
  <c r="Q145" i="10"/>
  <c r="Q145" i="11" s="1"/>
  <c r="A157" i="10"/>
  <c r="A154" i="10"/>
  <c r="A155" i="10" s="1"/>
  <c r="A156" i="10" s="1"/>
  <c r="F153" i="10"/>
  <c r="E153" i="10"/>
  <c r="E148" i="11"/>
  <c r="S148" i="11" s="1"/>
  <c r="S147" i="11"/>
  <c r="C136" i="11"/>
  <c r="Q136" i="10"/>
  <c r="Q136" i="11" s="1"/>
  <c r="T150" i="11"/>
  <c r="F151" i="11"/>
  <c r="G146" i="10"/>
  <c r="U145" i="10"/>
  <c r="U139" i="10"/>
  <c r="G140" i="10"/>
  <c r="U140" i="10" s="1"/>
  <c r="C139" i="11"/>
  <c r="Q139" i="10"/>
  <c r="Q139" i="11" s="1"/>
  <c r="C140" i="10"/>
  <c r="F147" i="10"/>
  <c r="T146" i="10"/>
  <c r="S153" i="11"/>
  <c r="E154" i="11"/>
  <c r="C142" i="11"/>
  <c r="Q142" i="10"/>
  <c r="Q142" i="11" s="1"/>
  <c r="C143" i="10"/>
  <c r="S150" i="11"/>
  <c r="E151" i="11"/>
  <c r="T147" i="11"/>
  <c r="F148" i="11"/>
  <c r="T148" i="11" s="1"/>
  <c r="T153" i="11"/>
  <c r="G153" i="11"/>
  <c r="F154" i="11"/>
  <c r="U142" i="10"/>
  <c r="G143" i="10"/>
  <c r="U143" i="11"/>
  <c r="G144" i="11"/>
  <c r="U144" i="11" s="1"/>
  <c r="G149" i="10"/>
  <c r="F150" i="10"/>
  <c r="T149" i="10"/>
  <c r="AC142" i="10"/>
  <c r="Y142" i="10" s="1"/>
  <c r="Y142" i="11" s="1"/>
  <c r="E147" i="10"/>
  <c r="S146" i="10"/>
  <c r="K146" i="10"/>
  <c r="K146" i="11" s="1"/>
  <c r="G151" i="11" l="1"/>
  <c r="U150" i="11"/>
  <c r="S157" i="11"/>
  <c r="E158" i="11"/>
  <c r="T154" i="11"/>
  <c r="F155" i="11"/>
  <c r="AC146" i="10"/>
  <c r="Y146" i="10" s="1"/>
  <c r="Y146" i="11" s="1"/>
  <c r="U147" i="11"/>
  <c r="G148" i="11"/>
  <c r="U148" i="11" s="1"/>
  <c r="A165" i="11"/>
  <c r="F161" i="11"/>
  <c r="E161" i="11"/>
  <c r="A162" i="11"/>
  <c r="A163" i="11" s="1"/>
  <c r="A164" i="11" s="1"/>
  <c r="C149" i="11"/>
  <c r="C150" i="10"/>
  <c r="Q149" i="10"/>
  <c r="Q149" i="11" s="1"/>
  <c r="U153" i="11"/>
  <c r="G154" i="11"/>
  <c r="T147" i="10"/>
  <c r="F148" i="10"/>
  <c r="T148" i="10" s="1"/>
  <c r="S144" i="10"/>
  <c r="AC144" i="10" s="1"/>
  <c r="Y144" i="10" s="1"/>
  <c r="Y144" i="11" s="1"/>
  <c r="K144" i="10"/>
  <c r="K144" i="11" s="1"/>
  <c r="C140" i="11"/>
  <c r="Q140" i="10"/>
  <c r="Q140" i="11" s="1"/>
  <c r="S147" i="10"/>
  <c r="AC147" i="10" s="1"/>
  <c r="K147" i="10"/>
  <c r="K147" i="11" s="1"/>
  <c r="E148" i="10"/>
  <c r="Y147" i="10"/>
  <c r="Y147" i="11" s="1"/>
  <c r="T153" i="10"/>
  <c r="G153" i="10"/>
  <c r="F154" i="10"/>
  <c r="S151" i="11"/>
  <c r="E152" i="11"/>
  <c r="S152" i="11" s="1"/>
  <c r="F151" i="10"/>
  <c r="T150" i="10"/>
  <c r="A161" i="10"/>
  <c r="A158" i="10"/>
  <c r="A159" i="10" s="1"/>
  <c r="A160" i="10" s="1"/>
  <c r="F157" i="10"/>
  <c r="E157" i="10"/>
  <c r="U146" i="10"/>
  <c r="G147" i="10"/>
  <c r="C146" i="11"/>
  <c r="C147" i="10"/>
  <c r="Q146" i="10"/>
  <c r="Q146" i="11" s="1"/>
  <c r="T151" i="11"/>
  <c r="F152" i="11"/>
  <c r="T152" i="11" s="1"/>
  <c r="U143" i="10"/>
  <c r="G144" i="10"/>
  <c r="U144" i="10" s="1"/>
  <c r="S154" i="11"/>
  <c r="E155" i="11"/>
  <c r="F158" i="11"/>
  <c r="T157" i="11"/>
  <c r="G157" i="11"/>
  <c r="K153" i="10"/>
  <c r="K153" i="11" s="1"/>
  <c r="E154" i="10"/>
  <c r="Y153" i="10"/>
  <c r="Y153" i="11" s="1"/>
  <c r="S153" i="10"/>
  <c r="C153" i="10"/>
  <c r="U149" i="10"/>
  <c r="G150" i="10"/>
  <c r="C143" i="11"/>
  <c r="C144" i="10"/>
  <c r="Q143" i="10"/>
  <c r="Q143" i="11" s="1"/>
  <c r="K150" i="10"/>
  <c r="K150" i="11" s="1"/>
  <c r="E151" i="10"/>
  <c r="S150" i="10"/>
  <c r="AC150" i="10" s="1"/>
  <c r="Y150" i="10" s="1"/>
  <c r="Y150" i="11" s="1"/>
  <c r="E162" i="11" l="1"/>
  <c r="S161" i="11"/>
  <c r="C153" i="11"/>
  <c r="C154" i="10"/>
  <c r="Q153" i="10"/>
  <c r="Q153" i="11" s="1"/>
  <c r="T151" i="10"/>
  <c r="F152" i="10"/>
  <c r="T152" i="10" s="1"/>
  <c r="G161" i="11"/>
  <c r="F162" i="11"/>
  <c r="T161" i="11"/>
  <c r="U153" i="10"/>
  <c r="G154" i="10"/>
  <c r="K154" i="10"/>
  <c r="K154" i="11" s="1"/>
  <c r="E155" i="10"/>
  <c r="S154" i="10"/>
  <c r="AC154" i="10" s="1"/>
  <c r="Y154" i="10" s="1"/>
  <c r="Y154" i="11" s="1"/>
  <c r="C147" i="11"/>
  <c r="C148" i="10"/>
  <c r="Q147" i="10"/>
  <c r="Q147" i="11" s="1"/>
  <c r="F155" i="10"/>
  <c r="T154" i="10"/>
  <c r="C150" i="11"/>
  <c r="C151" i="10"/>
  <c r="Q150" i="10"/>
  <c r="Q150" i="11" s="1"/>
  <c r="E152" i="10"/>
  <c r="K151" i="10"/>
  <c r="K151" i="11" s="1"/>
  <c r="S151" i="10"/>
  <c r="AC151" i="10" s="1"/>
  <c r="Y151" i="10" s="1"/>
  <c r="Y151" i="11" s="1"/>
  <c r="G158" i="11"/>
  <c r="U157" i="11"/>
  <c r="G148" i="10"/>
  <c r="U148" i="10" s="1"/>
  <c r="U147" i="10"/>
  <c r="U154" i="11"/>
  <c r="G155" i="11"/>
  <c r="T155" i="11"/>
  <c r="F156" i="11"/>
  <c r="T156" i="11" s="1"/>
  <c r="S157" i="10"/>
  <c r="E158" i="10"/>
  <c r="C157" i="10"/>
  <c r="Y157" i="10"/>
  <c r="Y157" i="11" s="1"/>
  <c r="K157" i="10"/>
  <c r="K157" i="11" s="1"/>
  <c r="K148" i="10"/>
  <c r="K148" i="11" s="1"/>
  <c r="S148" i="10"/>
  <c r="AC148" i="10" s="1"/>
  <c r="Y148" i="10" s="1"/>
  <c r="Y148" i="11" s="1"/>
  <c r="E159" i="11"/>
  <c r="S158" i="11"/>
  <c r="C144" i="11"/>
  <c r="Q144" i="10"/>
  <c r="Q144" i="11" s="1"/>
  <c r="S155" i="11"/>
  <c r="E156" i="11"/>
  <c r="S156" i="11" s="1"/>
  <c r="A169" i="11"/>
  <c r="A166" i="11"/>
  <c r="A167" i="11" s="1"/>
  <c r="A168" i="11" s="1"/>
  <c r="F165" i="11"/>
  <c r="E165" i="11"/>
  <c r="T158" i="11"/>
  <c r="F159" i="11"/>
  <c r="G157" i="10"/>
  <c r="F158" i="10"/>
  <c r="T157" i="10"/>
  <c r="G151" i="10"/>
  <c r="U150" i="10"/>
  <c r="A165" i="10"/>
  <c r="E161" i="10"/>
  <c r="A162" i="10"/>
  <c r="A163" i="10" s="1"/>
  <c r="A164" i="10" s="1"/>
  <c r="F161" i="10"/>
  <c r="U151" i="11"/>
  <c r="G152" i="11"/>
  <c r="U152" i="11" s="1"/>
  <c r="S161" i="10" l="1"/>
  <c r="K161" i="10"/>
  <c r="K161" i="11" s="1"/>
  <c r="E162" i="10"/>
  <c r="C161" i="10"/>
  <c r="Y161" i="10"/>
  <c r="Y161" i="11" s="1"/>
  <c r="E169" i="11"/>
  <c r="A173" i="11"/>
  <c r="A170" i="11"/>
  <c r="A171" i="11" s="1"/>
  <c r="A172" i="11" s="1"/>
  <c r="F169" i="11"/>
  <c r="S152" i="10"/>
  <c r="AC152" i="10" s="1"/>
  <c r="Y152" i="10" s="1"/>
  <c r="Y152" i="11" s="1"/>
  <c r="K152" i="10"/>
  <c r="K152" i="11" s="1"/>
  <c r="G152" i="10"/>
  <c r="U152" i="10" s="1"/>
  <c r="U151" i="10"/>
  <c r="G155" i="10"/>
  <c r="U154" i="10"/>
  <c r="C151" i="11"/>
  <c r="C152" i="10"/>
  <c r="Q151" i="10"/>
  <c r="Q151" i="11" s="1"/>
  <c r="E160" i="11"/>
  <c r="S160" i="11" s="1"/>
  <c r="S159" i="11"/>
  <c r="F163" i="11"/>
  <c r="T162" i="11"/>
  <c r="F160" i="11"/>
  <c r="T160" i="11" s="1"/>
  <c r="T159" i="11"/>
  <c r="F162" i="10"/>
  <c r="T161" i="10"/>
  <c r="G161" i="10"/>
  <c r="G159" i="11"/>
  <c r="U158" i="11"/>
  <c r="C154" i="11"/>
  <c r="C155" i="10"/>
  <c r="Q154" i="10"/>
  <c r="Q154" i="11" s="1"/>
  <c r="C157" i="11"/>
  <c r="C158" i="10"/>
  <c r="Q157" i="10"/>
  <c r="Q157" i="11" s="1"/>
  <c r="E156" i="10"/>
  <c r="S155" i="10"/>
  <c r="AC155" i="10" s="1"/>
  <c r="Y155" i="10" s="1"/>
  <c r="Y155" i="11" s="1"/>
  <c r="K155" i="10"/>
  <c r="K155" i="11" s="1"/>
  <c r="S165" i="11"/>
  <c r="E166" i="11"/>
  <c r="C148" i="11"/>
  <c r="Q148" i="10"/>
  <c r="Q148" i="11" s="1"/>
  <c r="E165" i="10"/>
  <c r="A166" i="10"/>
  <c r="A167" i="10" s="1"/>
  <c r="A168" i="10" s="1"/>
  <c r="F165" i="10"/>
  <c r="A169" i="10"/>
  <c r="S158" i="10"/>
  <c r="E159" i="10"/>
  <c r="K158" i="10"/>
  <c r="K158" i="11" s="1"/>
  <c r="F159" i="10"/>
  <c r="T158" i="10"/>
  <c r="G156" i="11"/>
  <c r="U156" i="11" s="1"/>
  <c r="U155" i="11"/>
  <c r="G158" i="10"/>
  <c r="U157" i="10"/>
  <c r="F156" i="10"/>
  <c r="T156" i="10" s="1"/>
  <c r="T155" i="10"/>
  <c r="G162" i="11"/>
  <c r="U161" i="11"/>
  <c r="F166" i="11"/>
  <c r="T165" i="11"/>
  <c r="G165" i="11"/>
  <c r="E163" i="11"/>
  <c r="S162" i="11"/>
  <c r="G162" i="10" l="1"/>
  <c r="U161" i="10"/>
  <c r="K159" i="10"/>
  <c r="K159" i="11" s="1"/>
  <c r="S159" i="10"/>
  <c r="AC159" i="10" s="1"/>
  <c r="Y159" i="10" s="1"/>
  <c r="Y159" i="11" s="1"/>
  <c r="E160" i="10"/>
  <c r="F169" i="10"/>
  <c r="E169" i="10"/>
  <c r="A170" i="10"/>
  <c r="A171" i="10" s="1"/>
  <c r="A172" i="10" s="1"/>
  <c r="A173" i="10"/>
  <c r="F166" i="10"/>
  <c r="T165" i="10"/>
  <c r="G165" i="10"/>
  <c r="C158" i="11"/>
  <c r="Q158" i="10"/>
  <c r="Q158" i="11" s="1"/>
  <c r="C159" i="10"/>
  <c r="T163" i="11"/>
  <c r="F164" i="11"/>
  <c r="T164" i="11" s="1"/>
  <c r="C161" i="11"/>
  <c r="C162" i="10"/>
  <c r="Q161" i="10"/>
  <c r="Q161" i="11" s="1"/>
  <c r="F167" i="11"/>
  <c r="T166" i="11"/>
  <c r="U155" i="10"/>
  <c r="G156" i="10"/>
  <c r="U156" i="10" s="1"/>
  <c r="S162" i="10"/>
  <c r="AC162" i="10" s="1"/>
  <c r="Y162" i="10" s="1"/>
  <c r="Y162" i="11" s="1"/>
  <c r="K162" i="10"/>
  <c r="K162" i="11" s="1"/>
  <c r="E163" i="10"/>
  <c r="G159" i="10"/>
  <c r="U158" i="10"/>
  <c r="G169" i="11"/>
  <c r="F170" i="11"/>
  <c r="T169" i="11"/>
  <c r="C155" i="11"/>
  <c r="C156" i="10"/>
  <c r="Q155" i="10"/>
  <c r="Q155" i="11" s="1"/>
  <c r="E167" i="11"/>
  <c r="S166" i="11"/>
  <c r="E170" i="11"/>
  <c r="S169" i="11"/>
  <c r="U165" i="11"/>
  <c r="G166" i="11"/>
  <c r="T159" i="10"/>
  <c r="F160" i="10"/>
  <c r="T160" i="10" s="1"/>
  <c r="G160" i="11"/>
  <c r="U160" i="11" s="1"/>
  <c r="U159" i="11"/>
  <c r="S165" i="10"/>
  <c r="C165" i="10"/>
  <c r="E166" i="10"/>
  <c r="K165" i="10"/>
  <c r="K165" i="11" s="1"/>
  <c r="Y165" i="10"/>
  <c r="Y165" i="11" s="1"/>
  <c r="A174" i="11"/>
  <c r="A175" i="11" s="1"/>
  <c r="A176" i="11" s="1"/>
  <c r="A177" i="11"/>
  <c r="F173" i="11"/>
  <c r="E173" i="11"/>
  <c r="E164" i="11"/>
  <c r="S164" i="11" s="1"/>
  <c r="S163" i="11"/>
  <c r="C152" i="11"/>
  <c r="Q152" i="10"/>
  <c r="Q152" i="11" s="1"/>
  <c r="T162" i="10"/>
  <c r="F163" i="10"/>
  <c r="U162" i="11"/>
  <c r="G163" i="11"/>
  <c r="AC158" i="10"/>
  <c r="Y158" i="10" s="1"/>
  <c r="Y158" i="11" s="1"/>
  <c r="S156" i="10"/>
  <c r="AC156" i="10" s="1"/>
  <c r="K156" i="10"/>
  <c r="K156" i="11" s="1"/>
  <c r="Y156" i="10"/>
  <c r="Y156" i="11" s="1"/>
  <c r="F168" i="11" l="1"/>
  <c r="T168" i="11" s="1"/>
  <c r="T167" i="11"/>
  <c r="S169" i="10"/>
  <c r="E170" i="10"/>
  <c r="C169" i="10"/>
  <c r="Y169" i="10"/>
  <c r="Y169" i="11" s="1"/>
  <c r="K169" i="10"/>
  <c r="K169" i="11" s="1"/>
  <c r="S166" i="10"/>
  <c r="AC166" i="10" s="1"/>
  <c r="Y166" i="10" s="1"/>
  <c r="Y166" i="11" s="1"/>
  <c r="E167" i="10"/>
  <c r="K166" i="10"/>
  <c r="K166" i="11" s="1"/>
  <c r="U165" i="10"/>
  <c r="G166" i="10"/>
  <c r="C156" i="11"/>
  <c r="Q156" i="10"/>
  <c r="Q156" i="11" s="1"/>
  <c r="E174" i="11"/>
  <c r="S173" i="11"/>
  <c r="C162" i="11"/>
  <c r="C163" i="10"/>
  <c r="Q162" i="10"/>
  <c r="Q162" i="11" s="1"/>
  <c r="C165" i="11"/>
  <c r="C166" i="10"/>
  <c r="Q165" i="10"/>
  <c r="Q165" i="11" s="1"/>
  <c r="T166" i="10"/>
  <c r="F167" i="10"/>
  <c r="G170" i="11"/>
  <c r="U169" i="11"/>
  <c r="S170" i="11"/>
  <c r="E171" i="11"/>
  <c r="C159" i="11"/>
  <c r="C160" i="10"/>
  <c r="Q159" i="10"/>
  <c r="Q159" i="11" s="1"/>
  <c r="E173" i="10"/>
  <c r="A174" i="10"/>
  <c r="A175" i="10" s="1"/>
  <c r="A176" i="10" s="1"/>
  <c r="A177" i="10"/>
  <c r="F173" i="10"/>
  <c r="F171" i="11"/>
  <c r="T170" i="11"/>
  <c r="G160" i="10"/>
  <c r="U160" i="10" s="1"/>
  <c r="U159" i="10"/>
  <c r="K163" i="10"/>
  <c r="K163" i="11" s="1"/>
  <c r="E164" i="10"/>
  <c r="S163" i="10"/>
  <c r="AC163" i="10" s="1"/>
  <c r="Y163" i="10" s="1"/>
  <c r="Y163" i="11" s="1"/>
  <c r="E168" i="11"/>
  <c r="S168" i="11" s="1"/>
  <c r="S167" i="11"/>
  <c r="T173" i="11"/>
  <c r="G173" i="11"/>
  <c r="F174" i="11"/>
  <c r="G167" i="11"/>
  <c r="U166" i="11"/>
  <c r="G169" i="10"/>
  <c r="F170" i="10"/>
  <c r="T169" i="10"/>
  <c r="F177" i="11"/>
  <c r="E177" i="11"/>
  <c r="A178" i="11"/>
  <c r="A179" i="11" s="1"/>
  <c r="A180" i="11" s="1"/>
  <c r="A181" i="11"/>
  <c r="Y160" i="10"/>
  <c r="Y160" i="11" s="1"/>
  <c r="S160" i="10"/>
  <c r="AC160" i="10" s="1"/>
  <c r="K160" i="10"/>
  <c r="K160" i="11" s="1"/>
  <c r="U163" i="11"/>
  <c r="G164" i="11"/>
  <c r="U164" i="11" s="1"/>
  <c r="F164" i="10"/>
  <c r="T164" i="10" s="1"/>
  <c r="T163" i="10"/>
  <c r="G163" i="10"/>
  <c r="U162" i="10"/>
  <c r="G164" i="10" l="1"/>
  <c r="U164" i="10" s="1"/>
  <c r="U163" i="10"/>
  <c r="G174" i="11"/>
  <c r="U173" i="11"/>
  <c r="G173" i="10"/>
  <c r="F174" i="10"/>
  <c r="T173" i="10"/>
  <c r="C169" i="11"/>
  <c r="Q169" i="10"/>
  <c r="Q169" i="11" s="1"/>
  <c r="C170" i="10"/>
  <c r="A185" i="11"/>
  <c r="F181" i="11"/>
  <c r="E181" i="11"/>
  <c r="A182" i="11"/>
  <c r="A183" i="11" s="1"/>
  <c r="A184" i="11" s="1"/>
  <c r="E174" i="10"/>
  <c r="C173" i="10"/>
  <c r="Y173" i="10"/>
  <c r="Y173" i="11" s="1"/>
  <c r="K173" i="10"/>
  <c r="K173" i="11" s="1"/>
  <c r="S173" i="10"/>
  <c r="S177" i="11"/>
  <c r="E178" i="11"/>
  <c r="T177" i="11"/>
  <c r="G177" i="11"/>
  <c r="F178" i="11"/>
  <c r="C163" i="11"/>
  <c r="Q163" i="10"/>
  <c r="Q163" i="11" s="1"/>
  <c r="C164" i="10"/>
  <c r="S164" i="10"/>
  <c r="AC164" i="10" s="1"/>
  <c r="Y164" i="10"/>
  <c r="Y164" i="11" s="1"/>
  <c r="K164" i="10"/>
  <c r="K164" i="11" s="1"/>
  <c r="A178" i="10"/>
  <c r="A179" i="10" s="1"/>
  <c r="A180" i="10" s="1"/>
  <c r="A181" i="10"/>
  <c r="F177" i="10"/>
  <c r="E177" i="10"/>
  <c r="S167" i="10"/>
  <c r="AC167" i="10" s="1"/>
  <c r="Y167" i="10" s="1"/>
  <c r="Y167" i="11" s="1"/>
  <c r="K167" i="10"/>
  <c r="K167" i="11" s="1"/>
  <c r="E168" i="10"/>
  <c r="E172" i="11"/>
  <c r="S172" i="11" s="1"/>
  <c r="S171" i="11"/>
  <c r="U169" i="10"/>
  <c r="G170" i="10"/>
  <c r="E175" i="11"/>
  <c r="S174" i="11"/>
  <c r="S170" i="10"/>
  <c r="AC170" i="10" s="1"/>
  <c r="Y170" i="10" s="1"/>
  <c r="Y170" i="11" s="1"/>
  <c r="E171" i="10"/>
  <c r="K170" i="10"/>
  <c r="K170" i="11" s="1"/>
  <c r="F171" i="10"/>
  <c r="T170" i="10"/>
  <c r="G168" i="11"/>
  <c r="U168" i="11" s="1"/>
  <c r="U167" i="11"/>
  <c r="G171" i="11"/>
  <c r="U170" i="11"/>
  <c r="C166" i="11"/>
  <c r="C167" i="10"/>
  <c r="Q166" i="10"/>
  <c r="Q166" i="11" s="1"/>
  <c r="C160" i="11"/>
  <c r="Q160" i="10"/>
  <c r="Q160" i="11" s="1"/>
  <c r="T174" i="11"/>
  <c r="F175" i="11"/>
  <c r="T171" i="11"/>
  <c r="F172" i="11"/>
  <c r="T172" i="11" s="1"/>
  <c r="F168" i="10"/>
  <c r="T168" i="10" s="1"/>
  <c r="T167" i="10"/>
  <c r="U166" i="10"/>
  <c r="G167" i="10"/>
  <c r="S171" i="10" l="1"/>
  <c r="AC171" i="10" s="1"/>
  <c r="Y171" i="10" s="1"/>
  <c r="Y171" i="11" s="1"/>
  <c r="K171" i="10"/>
  <c r="K171" i="11" s="1"/>
  <c r="E172" i="10"/>
  <c r="T178" i="11"/>
  <c r="F179" i="11"/>
  <c r="T181" i="11"/>
  <c r="G181" i="11"/>
  <c r="F182" i="11"/>
  <c r="G178" i="11"/>
  <c r="U177" i="11"/>
  <c r="E185" i="11"/>
  <c r="A186" i="11"/>
  <c r="A187" i="11" s="1"/>
  <c r="A188" i="11" s="1"/>
  <c r="A189" i="11"/>
  <c r="F185" i="11"/>
  <c r="S177" i="10"/>
  <c r="K177" i="10"/>
  <c r="K177" i="11" s="1"/>
  <c r="E178" i="10"/>
  <c r="Y177" i="10"/>
  <c r="Y177" i="11" s="1"/>
  <c r="C177" i="10"/>
  <c r="F175" i="10"/>
  <c r="T174" i="10"/>
  <c r="C170" i="11"/>
  <c r="Q170" i="10"/>
  <c r="Q170" i="11" s="1"/>
  <c r="C171" i="10"/>
  <c r="U173" i="10"/>
  <c r="G174" i="10"/>
  <c r="S178" i="11"/>
  <c r="E179" i="11"/>
  <c r="C167" i="11"/>
  <c r="Q167" i="10"/>
  <c r="Q167" i="11" s="1"/>
  <c r="C168" i="10"/>
  <c r="U167" i="10"/>
  <c r="G168" i="10"/>
  <c r="U168" i="10" s="1"/>
  <c r="E176" i="11"/>
  <c r="S176" i="11" s="1"/>
  <c r="S175" i="11"/>
  <c r="U170" i="10"/>
  <c r="G171" i="10"/>
  <c r="C173" i="11"/>
  <c r="C174" i="10"/>
  <c r="Q173" i="10"/>
  <c r="Q173" i="11" s="1"/>
  <c r="C164" i="11"/>
  <c r="Q164" i="10"/>
  <c r="Q164" i="11" s="1"/>
  <c r="K174" i="10"/>
  <c r="K174" i="11" s="1"/>
  <c r="E175" i="10"/>
  <c r="S174" i="10"/>
  <c r="AC174" i="10" s="1"/>
  <c r="Y174" i="10" s="1"/>
  <c r="Y174" i="11" s="1"/>
  <c r="U174" i="11"/>
  <c r="G175" i="11"/>
  <c r="T177" i="10"/>
  <c r="G177" i="10"/>
  <c r="F178" i="10"/>
  <c r="F181" i="10"/>
  <c r="E181" i="10"/>
  <c r="A182" i="10"/>
  <c r="A183" i="10" s="1"/>
  <c r="A184" i="10" s="1"/>
  <c r="A185" i="10"/>
  <c r="S168" i="10"/>
  <c r="AC168" i="10" s="1"/>
  <c r="K168" i="10"/>
  <c r="K168" i="11" s="1"/>
  <c r="Y168" i="10"/>
  <c r="Y168" i="11" s="1"/>
  <c r="U171" i="11"/>
  <c r="G172" i="11"/>
  <c r="U172" i="11" s="1"/>
  <c r="F176" i="11"/>
  <c r="T176" i="11" s="1"/>
  <c r="T175" i="11"/>
  <c r="F172" i="10"/>
  <c r="T172" i="10" s="1"/>
  <c r="T171" i="10"/>
  <c r="S181" i="11"/>
  <c r="E182" i="11"/>
  <c r="G172" i="10" l="1"/>
  <c r="U172" i="10" s="1"/>
  <c r="U171" i="10"/>
  <c r="F189" i="11"/>
  <c r="E189" i="11"/>
  <c r="A190" i="11"/>
  <c r="A191" i="11" s="1"/>
  <c r="A192" i="11" s="1"/>
  <c r="A193" i="11"/>
  <c r="U175" i="11"/>
  <c r="G176" i="11"/>
  <c r="U176" i="11" s="1"/>
  <c r="C171" i="11"/>
  <c r="C172" i="10"/>
  <c r="Q171" i="10"/>
  <c r="Q171" i="11" s="1"/>
  <c r="E186" i="11"/>
  <c r="S185" i="11"/>
  <c r="C177" i="11"/>
  <c r="Q177" i="10"/>
  <c r="Q177" i="11" s="1"/>
  <c r="C178" i="10"/>
  <c r="S182" i="11"/>
  <c r="E183" i="11"/>
  <c r="E182" i="10"/>
  <c r="C181" i="10"/>
  <c r="Y181" i="10"/>
  <c r="Y181" i="11" s="1"/>
  <c r="S181" i="10"/>
  <c r="K181" i="10"/>
  <c r="K181" i="11" s="1"/>
  <c r="S178" i="10"/>
  <c r="K178" i="10"/>
  <c r="K178" i="11" s="1"/>
  <c r="E179" i="10"/>
  <c r="T179" i="11"/>
  <c r="F180" i="11"/>
  <c r="T180" i="11" s="1"/>
  <c r="S175" i="10"/>
  <c r="AC175" i="10" s="1"/>
  <c r="Y175" i="10" s="1"/>
  <c r="Y175" i="11" s="1"/>
  <c r="E176" i="10"/>
  <c r="K175" i="10"/>
  <c r="K175" i="11" s="1"/>
  <c r="U178" i="11"/>
  <c r="G179" i="11"/>
  <c r="T175" i="10"/>
  <c r="F176" i="10"/>
  <c r="T176" i="10" s="1"/>
  <c r="T182" i="11"/>
  <c r="F183" i="11"/>
  <c r="A186" i="10"/>
  <c r="A187" i="10" s="1"/>
  <c r="A188" i="10" s="1"/>
  <c r="A189" i="10"/>
  <c r="E185" i="10"/>
  <c r="F185" i="10"/>
  <c r="C168" i="11"/>
  <c r="Q168" i="10"/>
  <c r="Q168" i="11" s="1"/>
  <c r="U181" i="11"/>
  <c r="G182" i="11"/>
  <c r="G181" i="10"/>
  <c r="F182" i="10"/>
  <c r="T181" i="10"/>
  <c r="E180" i="11"/>
  <c r="S180" i="11" s="1"/>
  <c r="S179" i="11"/>
  <c r="T178" i="10"/>
  <c r="F179" i="10"/>
  <c r="C174" i="11"/>
  <c r="C175" i="10"/>
  <c r="Q174" i="10"/>
  <c r="Q174" i="11" s="1"/>
  <c r="K172" i="10"/>
  <c r="K172" i="11" s="1"/>
  <c r="S172" i="10"/>
  <c r="AC172" i="10" s="1"/>
  <c r="Y172" i="10" s="1"/>
  <c r="Y172" i="11" s="1"/>
  <c r="U177" i="10"/>
  <c r="G178" i="10"/>
  <c r="U174" i="10"/>
  <c r="G175" i="10"/>
  <c r="G185" i="11"/>
  <c r="F186" i="11"/>
  <c r="T185" i="11"/>
  <c r="C172" i="11" l="1"/>
  <c r="Q172" i="10"/>
  <c r="Q172" i="11" s="1"/>
  <c r="G182" i="10"/>
  <c r="U181" i="10"/>
  <c r="E187" i="11"/>
  <c r="S186" i="11"/>
  <c r="C175" i="11"/>
  <c r="C176" i="10"/>
  <c r="Q175" i="10"/>
  <c r="Q175" i="11" s="1"/>
  <c r="G183" i="11"/>
  <c r="U182" i="11"/>
  <c r="U179" i="11"/>
  <c r="G180" i="11"/>
  <c r="U180" i="11" s="1"/>
  <c r="C181" i="11"/>
  <c r="Q181" i="10"/>
  <c r="Q181" i="11" s="1"/>
  <c r="C182" i="10"/>
  <c r="T185" i="10"/>
  <c r="F186" i="10"/>
  <c r="G185" i="10"/>
  <c r="F180" i="10"/>
  <c r="T180" i="10" s="1"/>
  <c r="T179" i="10"/>
  <c r="A193" i="10"/>
  <c r="F189" i="10"/>
  <c r="E189" i="10"/>
  <c r="A190" i="10"/>
  <c r="A191" i="10" s="1"/>
  <c r="A192" i="10" s="1"/>
  <c r="E183" i="10"/>
  <c r="S182" i="10"/>
  <c r="K182" i="10"/>
  <c r="K182" i="11" s="1"/>
  <c r="F187" i="11"/>
  <c r="T186" i="11"/>
  <c r="A194" i="11"/>
  <c r="A195" i="11" s="1"/>
  <c r="A196" i="11" s="1"/>
  <c r="A197" i="11"/>
  <c r="F193" i="11"/>
  <c r="E193" i="11"/>
  <c r="C178" i="11"/>
  <c r="Q178" i="10"/>
  <c r="Q178" i="11" s="1"/>
  <c r="C179" i="10"/>
  <c r="S189" i="11"/>
  <c r="E190" i="11"/>
  <c r="F184" i="11"/>
  <c r="T184" i="11" s="1"/>
  <c r="T183" i="11"/>
  <c r="S179" i="10"/>
  <c r="AC179" i="10" s="1"/>
  <c r="K179" i="10"/>
  <c r="K179" i="11" s="1"/>
  <c r="E180" i="10"/>
  <c r="Y179" i="10"/>
  <c r="Y179" i="11" s="1"/>
  <c r="G189" i="11"/>
  <c r="F190" i="11"/>
  <c r="T189" i="11"/>
  <c r="S176" i="10"/>
  <c r="AC176" i="10" s="1"/>
  <c r="Y176" i="10" s="1"/>
  <c r="Y176" i="11" s="1"/>
  <c r="K176" i="10"/>
  <c r="K176" i="11" s="1"/>
  <c r="E186" i="10"/>
  <c r="C185" i="10"/>
  <c r="Y185" i="10"/>
  <c r="Y185" i="11" s="1"/>
  <c r="S185" i="10"/>
  <c r="K185" i="10"/>
  <c r="K185" i="11" s="1"/>
  <c r="S183" i="11"/>
  <c r="E184" i="11"/>
  <c r="S184" i="11" s="1"/>
  <c r="G186" i="11"/>
  <c r="U185" i="11"/>
  <c r="U175" i="10"/>
  <c r="G176" i="10"/>
  <c r="U176" i="10" s="1"/>
  <c r="U178" i="10"/>
  <c r="G179" i="10"/>
  <c r="F183" i="10"/>
  <c r="T182" i="10"/>
  <c r="AC178" i="10"/>
  <c r="Y178" i="10" s="1"/>
  <c r="Y178" i="11" s="1"/>
  <c r="C176" i="11" l="1"/>
  <c r="Q176" i="10"/>
  <c r="Q176" i="11" s="1"/>
  <c r="F188" i="11"/>
  <c r="T188" i="11" s="1"/>
  <c r="T187" i="11"/>
  <c r="T186" i="10"/>
  <c r="F187" i="10"/>
  <c r="G187" i="11"/>
  <c r="U186" i="11"/>
  <c r="T190" i="11"/>
  <c r="F191" i="11"/>
  <c r="K189" i="10"/>
  <c r="K189" i="11" s="1"/>
  <c r="E190" i="10"/>
  <c r="C189" i="10"/>
  <c r="Y189" i="10"/>
  <c r="Y189" i="11" s="1"/>
  <c r="S189" i="10"/>
  <c r="U185" i="10"/>
  <c r="G186" i="10"/>
  <c r="F184" i="10"/>
  <c r="T184" i="10" s="1"/>
  <c r="T183" i="10"/>
  <c r="U179" i="10"/>
  <c r="G180" i="10"/>
  <c r="U180" i="10" s="1"/>
  <c r="G190" i="11"/>
  <c r="U189" i="11"/>
  <c r="S193" i="11"/>
  <c r="E194" i="11"/>
  <c r="T189" i="10"/>
  <c r="G189" i="10"/>
  <c r="F190" i="10"/>
  <c r="F193" i="10"/>
  <c r="A194" i="10"/>
  <c r="A195" i="10" s="1"/>
  <c r="A196" i="10" s="1"/>
  <c r="A197" i="10"/>
  <c r="E193" i="10"/>
  <c r="F197" i="11"/>
  <c r="E197" i="11"/>
  <c r="A198" i="11"/>
  <c r="A199" i="11" s="1"/>
  <c r="A200" i="11" s="1"/>
  <c r="A201" i="11"/>
  <c r="AC182" i="10"/>
  <c r="Y182" i="10" s="1"/>
  <c r="Y182" i="11" s="1"/>
  <c r="C182" i="11"/>
  <c r="Q182" i="10"/>
  <c r="Q182" i="11" s="1"/>
  <c r="C183" i="10"/>
  <c r="G183" i="10"/>
  <c r="U182" i="10"/>
  <c r="T193" i="11"/>
  <c r="F194" i="11"/>
  <c r="G193" i="11"/>
  <c r="U183" i="11"/>
  <c r="G184" i="11"/>
  <c r="U184" i="11" s="1"/>
  <c r="S180" i="10"/>
  <c r="AC180" i="10" s="1"/>
  <c r="K180" i="10"/>
  <c r="K180" i="11" s="1"/>
  <c r="Y180" i="10"/>
  <c r="Y180" i="11" s="1"/>
  <c r="C179" i="11"/>
  <c r="Q179" i="10"/>
  <c r="Q179" i="11" s="1"/>
  <c r="C180" i="10"/>
  <c r="K183" i="10"/>
  <c r="K183" i="11" s="1"/>
  <c r="E184" i="10"/>
  <c r="S183" i="10"/>
  <c r="AC183" i="10" s="1"/>
  <c r="Y183" i="10" s="1"/>
  <c r="Y183" i="11" s="1"/>
  <c r="C185" i="11"/>
  <c r="Q185" i="10"/>
  <c r="Q185" i="11" s="1"/>
  <c r="C186" i="10"/>
  <c r="S186" i="10"/>
  <c r="AC186" i="10" s="1"/>
  <c r="Y186" i="10" s="1"/>
  <c r="Y186" i="11" s="1"/>
  <c r="K186" i="10"/>
  <c r="K186" i="11" s="1"/>
  <c r="E187" i="10"/>
  <c r="E188" i="11"/>
  <c r="S188" i="11" s="1"/>
  <c r="S187" i="11"/>
  <c r="S190" i="11"/>
  <c r="E191" i="11"/>
  <c r="S194" i="11" l="1"/>
  <c r="E195" i="11"/>
  <c r="C186" i="11"/>
  <c r="Q186" i="10"/>
  <c r="Q186" i="11" s="1"/>
  <c r="C187" i="10"/>
  <c r="E201" i="11"/>
  <c r="A205" i="11"/>
  <c r="F201" i="11"/>
  <c r="A202" i="11"/>
  <c r="A203" i="11" s="1"/>
  <c r="A204" i="11" s="1"/>
  <c r="K190" i="10"/>
  <c r="K190" i="11" s="1"/>
  <c r="E191" i="10"/>
  <c r="S190" i="10"/>
  <c r="AC190" i="10" s="1"/>
  <c r="Y190" i="10" s="1"/>
  <c r="Y190" i="11" s="1"/>
  <c r="A201" i="10"/>
  <c r="F197" i="10"/>
  <c r="E197" i="10"/>
  <c r="A198" i="10"/>
  <c r="A199" i="10" s="1"/>
  <c r="A200" i="10" s="1"/>
  <c r="G188" i="11"/>
  <c r="U188" i="11" s="1"/>
  <c r="U187" i="11"/>
  <c r="T187" i="10"/>
  <c r="F188" i="10"/>
  <c r="T188" i="10" s="1"/>
  <c r="C180" i="11"/>
  <c r="Q180" i="10"/>
  <c r="Q180" i="11" s="1"/>
  <c r="U183" i="10"/>
  <c r="G184" i="10"/>
  <c r="U184" i="10" s="1"/>
  <c r="T193" i="10"/>
  <c r="G193" i="10"/>
  <c r="F194" i="10"/>
  <c r="U186" i="10"/>
  <c r="G187" i="10"/>
  <c r="G191" i="11"/>
  <c r="U190" i="11"/>
  <c r="T191" i="11"/>
  <c r="F192" i="11"/>
  <c r="T192" i="11" s="1"/>
  <c r="G197" i="11"/>
  <c r="F198" i="11"/>
  <c r="T197" i="11"/>
  <c r="S191" i="11"/>
  <c r="E192" i="11"/>
  <c r="S192" i="11" s="1"/>
  <c r="T194" i="11"/>
  <c r="F195" i="11"/>
  <c r="E194" i="10"/>
  <c r="C193" i="10"/>
  <c r="Y193" i="10"/>
  <c r="Y193" i="11" s="1"/>
  <c r="S193" i="10"/>
  <c r="K193" i="10"/>
  <c r="K193" i="11" s="1"/>
  <c r="S187" i="10"/>
  <c r="AC187" i="10" s="1"/>
  <c r="Y187" i="10" s="1"/>
  <c r="Y187" i="11" s="1"/>
  <c r="K187" i="10"/>
  <c r="K187" i="11" s="1"/>
  <c r="E188" i="10"/>
  <c r="C183" i="11"/>
  <c r="C184" i="10"/>
  <c r="Q183" i="10"/>
  <c r="Q183" i="11" s="1"/>
  <c r="T190" i="10"/>
  <c r="F191" i="10"/>
  <c r="S197" i="11"/>
  <c r="E198" i="11"/>
  <c r="U193" i="11"/>
  <c r="G194" i="11"/>
  <c r="S184" i="10"/>
  <c r="AC184" i="10" s="1"/>
  <c r="Y184" i="10" s="1"/>
  <c r="Y184" i="11" s="1"/>
  <c r="K184" i="10"/>
  <c r="K184" i="11" s="1"/>
  <c r="G190" i="10"/>
  <c r="U189" i="10"/>
  <c r="C189" i="11"/>
  <c r="Q189" i="10"/>
  <c r="Q189" i="11" s="1"/>
  <c r="C190" i="10"/>
  <c r="F199" i="11" l="1"/>
  <c r="T198" i="11"/>
  <c r="U194" i="11"/>
  <c r="G195" i="11"/>
  <c r="G198" i="11"/>
  <c r="U197" i="11"/>
  <c r="E192" i="10"/>
  <c r="S191" i="10"/>
  <c r="AC191" i="10" s="1"/>
  <c r="Y191" i="10" s="1"/>
  <c r="Y191" i="11" s="1"/>
  <c r="K191" i="10"/>
  <c r="K191" i="11" s="1"/>
  <c r="G201" i="11"/>
  <c r="T201" i="11"/>
  <c r="F202" i="11"/>
  <c r="C190" i="11"/>
  <c r="Q190" i="10"/>
  <c r="Q190" i="11" s="1"/>
  <c r="C191" i="10"/>
  <c r="F192" i="10"/>
  <c r="T192" i="10" s="1"/>
  <c r="T191" i="10"/>
  <c r="U191" i="11"/>
  <c r="G192" i="11"/>
  <c r="U192" i="11" s="1"/>
  <c r="E195" i="10"/>
  <c r="S194" i="10"/>
  <c r="AC194" i="10" s="1"/>
  <c r="Y194" i="10" s="1"/>
  <c r="Y194" i="11" s="1"/>
  <c r="K194" i="10"/>
  <c r="K194" i="11" s="1"/>
  <c r="U187" i="10"/>
  <c r="G188" i="10"/>
  <c r="U188" i="10" s="1"/>
  <c r="E202" i="11"/>
  <c r="S201" i="11"/>
  <c r="E199" i="11"/>
  <c r="S198" i="11"/>
  <c r="F205" i="11"/>
  <c r="E205" i="11"/>
  <c r="A206" i="11"/>
  <c r="A207" i="11" s="1"/>
  <c r="A208" i="11" s="1"/>
  <c r="A209" i="11"/>
  <c r="T195" i="11"/>
  <c r="F196" i="11"/>
  <c r="T196" i="11" s="1"/>
  <c r="T194" i="10"/>
  <c r="F195" i="10"/>
  <c r="Y197" i="10"/>
  <c r="Y197" i="11" s="1"/>
  <c r="S197" i="10"/>
  <c r="K197" i="10"/>
  <c r="K197" i="11" s="1"/>
  <c r="E198" i="10"/>
  <c r="C197" i="10"/>
  <c r="C193" i="11"/>
  <c r="C194" i="10"/>
  <c r="Q193" i="10"/>
  <c r="Q193" i="11" s="1"/>
  <c r="C187" i="11"/>
  <c r="Q187" i="10"/>
  <c r="Q187" i="11" s="1"/>
  <c r="C188" i="10"/>
  <c r="C184" i="11"/>
  <c r="Q184" i="10"/>
  <c r="Q184" i="11" s="1"/>
  <c r="G191" i="10"/>
  <c r="U190" i="10"/>
  <c r="G194" i="10"/>
  <c r="U193" i="10"/>
  <c r="T197" i="10"/>
  <c r="G197" i="10"/>
  <c r="F198" i="10"/>
  <c r="S188" i="10"/>
  <c r="AC188" i="10" s="1"/>
  <c r="Y188" i="10" s="1"/>
  <c r="Y188" i="11" s="1"/>
  <c r="K188" i="10"/>
  <c r="K188" i="11" s="1"/>
  <c r="A205" i="10"/>
  <c r="F201" i="10"/>
  <c r="E201" i="10"/>
  <c r="A202" i="10"/>
  <c r="A203" i="10" s="1"/>
  <c r="A204" i="10" s="1"/>
  <c r="E196" i="11"/>
  <c r="S196" i="11" s="1"/>
  <c r="S195" i="11"/>
  <c r="G202" i="11" l="1"/>
  <c r="U201" i="11"/>
  <c r="A213" i="11"/>
  <c r="F209" i="11"/>
  <c r="E209" i="11"/>
  <c r="A210" i="11"/>
  <c r="A211" i="11" s="1"/>
  <c r="A212" i="11" s="1"/>
  <c r="C194" i="11"/>
  <c r="C195" i="10"/>
  <c r="Q194" i="10"/>
  <c r="Q194" i="11" s="1"/>
  <c r="S195" i="10"/>
  <c r="AC195" i="10" s="1"/>
  <c r="Y195" i="10" s="1"/>
  <c r="Y195" i="11" s="1"/>
  <c r="K195" i="10"/>
  <c r="K195" i="11" s="1"/>
  <c r="E196" i="10"/>
  <c r="G205" i="11"/>
  <c r="F206" i="11"/>
  <c r="T205" i="11"/>
  <c r="K192" i="10"/>
  <c r="K192" i="11" s="1"/>
  <c r="S192" i="10"/>
  <c r="AC192" i="10" s="1"/>
  <c r="Y192" i="10" s="1"/>
  <c r="Y192" i="11" s="1"/>
  <c r="U194" i="10"/>
  <c r="G195" i="10"/>
  <c r="S198" i="10"/>
  <c r="AC198" i="10" s="1"/>
  <c r="Y198" i="10" s="1"/>
  <c r="Y198" i="11" s="1"/>
  <c r="K198" i="10"/>
  <c r="K198" i="11" s="1"/>
  <c r="E199" i="10"/>
  <c r="S199" i="11"/>
  <c r="E200" i="11"/>
  <c r="S200" i="11" s="1"/>
  <c r="G199" i="11"/>
  <c r="U198" i="11"/>
  <c r="T198" i="10"/>
  <c r="F199" i="10"/>
  <c r="S202" i="11"/>
  <c r="E203" i="11"/>
  <c r="U197" i="10"/>
  <c r="G198" i="10"/>
  <c r="E206" i="11"/>
  <c r="S205" i="11"/>
  <c r="U191" i="10"/>
  <c r="G192" i="10"/>
  <c r="U192" i="10" s="1"/>
  <c r="C197" i="11"/>
  <c r="Q197" i="10"/>
  <c r="Q197" i="11" s="1"/>
  <c r="C198" i="10"/>
  <c r="K201" i="10"/>
  <c r="K201" i="11" s="1"/>
  <c r="E202" i="10"/>
  <c r="C201" i="10"/>
  <c r="Y201" i="10"/>
  <c r="Y201" i="11" s="1"/>
  <c r="S201" i="10"/>
  <c r="C191" i="11"/>
  <c r="Q191" i="10"/>
  <c r="Q191" i="11" s="1"/>
  <c r="C192" i="10"/>
  <c r="U195" i="11"/>
  <c r="G196" i="11"/>
  <c r="U196" i="11" s="1"/>
  <c r="G201" i="10"/>
  <c r="F202" i="10"/>
  <c r="T201" i="10"/>
  <c r="A206" i="10"/>
  <c r="A207" i="10" s="1"/>
  <c r="A208" i="10" s="1"/>
  <c r="A209" i="10"/>
  <c r="E205" i="10"/>
  <c r="F205" i="10"/>
  <c r="T195" i="10"/>
  <c r="F196" i="10"/>
  <c r="T196" i="10" s="1"/>
  <c r="C188" i="11"/>
  <c r="Q188" i="10"/>
  <c r="Q188" i="11" s="1"/>
  <c r="F203" i="11"/>
  <c r="T202" i="11"/>
  <c r="F200" i="11"/>
  <c r="T200" i="11" s="1"/>
  <c r="T199" i="11"/>
  <c r="C201" i="11" l="1"/>
  <c r="C202" i="10"/>
  <c r="Q201" i="10"/>
  <c r="Q201" i="11" s="1"/>
  <c r="K202" i="10"/>
  <c r="K202" i="11" s="1"/>
  <c r="E203" i="10"/>
  <c r="S202" i="10"/>
  <c r="AC202" i="10" s="1"/>
  <c r="Y202" i="10" s="1"/>
  <c r="Y202" i="11" s="1"/>
  <c r="F209" i="10"/>
  <c r="A213" i="10"/>
  <c r="E209" i="10"/>
  <c r="A210" i="10"/>
  <c r="A211" i="10" s="1"/>
  <c r="A212" i="10" s="1"/>
  <c r="S209" i="11"/>
  <c r="E210" i="11"/>
  <c r="T205" i="10"/>
  <c r="G205" i="10"/>
  <c r="F206" i="10"/>
  <c r="U198" i="10"/>
  <c r="G199" i="10"/>
  <c r="Y205" i="10"/>
  <c r="Y205" i="11" s="1"/>
  <c r="S205" i="10"/>
  <c r="K205" i="10"/>
  <c r="K205" i="11" s="1"/>
  <c r="E206" i="10"/>
  <c r="C205" i="10"/>
  <c r="U195" i="10"/>
  <c r="G196" i="10"/>
  <c r="U196" i="10" s="1"/>
  <c r="G200" i="11"/>
  <c r="U200" i="11" s="1"/>
  <c r="U199" i="11"/>
  <c r="T209" i="11"/>
  <c r="G209" i="11"/>
  <c r="F210" i="11"/>
  <c r="E207" i="11"/>
  <c r="S206" i="11"/>
  <c r="S199" i="10"/>
  <c r="AC199" i="10" s="1"/>
  <c r="Y199" i="10" s="1"/>
  <c r="Y199" i="11" s="1"/>
  <c r="K199" i="10"/>
  <c r="K199" i="11" s="1"/>
  <c r="E200" i="10"/>
  <c r="T199" i="10"/>
  <c r="F200" i="10"/>
  <c r="T200" i="10" s="1"/>
  <c r="F203" i="10"/>
  <c r="T202" i="10"/>
  <c r="F207" i="11"/>
  <c r="T206" i="11"/>
  <c r="A214" i="11"/>
  <c r="A215" i="11" s="1"/>
  <c r="A216" i="11" s="1"/>
  <c r="A217" i="11"/>
  <c r="E213" i="11"/>
  <c r="F213" i="11"/>
  <c r="C192" i="11"/>
  <c r="Q192" i="10"/>
  <c r="Q192" i="11" s="1"/>
  <c r="G206" i="11"/>
  <c r="U205" i="11"/>
  <c r="E204" i="11"/>
  <c r="S204" i="11" s="1"/>
  <c r="S203" i="11"/>
  <c r="C195" i="11"/>
  <c r="Q195" i="10"/>
  <c r="Q195" i="11" s="1"/>
  <c r="C196" i="10"/>
  <c r="C198" i="11"/>
  <c r="Q198" i="10"/>
  <c r="Q198" i="11" s="1"/>
  <c r="C199" i="10"/>
  <c r="G202" i="10"/>
  <c r="U201" i="10"/>
  <c r="F204" i="11"/>
  <c r="T204" i="11" s="1"/>
  <c r="T203" i="11"/>
  <c r="S196" i="10"/>
  <c r="AC196" i="10" s="1"/>
  <c r="Y196" i="10" s="1"/>
  <c r="Y196" i="11" s="1"/>
  <c r="K196" i="10"/>
  <c r="K196" i="11" s="1"/>
  <c r="U202" i="11"/>
  <c r="G203" i="11"/>
  <c r="E217" i="11" l="1"/>
  <c r="F217" i="11"/>
  <c r="A218" i="11"/>
  <c r="A219" i="11" s="1"/>
  <c r="A220" i="11" s="1"/>
  <c r="A221" i="11"/>
  <c r="U203" i="11"/>
  <c r="G204" i="11"/>
  <c r="U204" i="11" s="1"/>
  <c r="C205" i="11"/>
  <c r="C206" i="10"/>
  <c r="Q205" i="10"/>
  <c r="Q205" i="11" s="1"/>
  <c r="F208" i="11"/>
  <c r="T208" i="11" s="1"/>
  <c r="T207" i="11"/>
  <c r="U209" i="11"/>
  <c r="G210" i="11"/>
  <c r="E204" i="10"/>
  <c r="Y203" i="10"/>
  <c r="Y203" i="11" s="1"/>
  <c r="S203" i="10"/>
  <c r="AC203" i="10" s="1"/>
  <c r="K203" i="10"/>
  <c r="K203" i="11" s="1"/>
  <c r="T213" i="11"/>
  <c r="G213" i="11"/>
  <c r="F214" i="11"/>
  <c r="S206" i="10"/>
  <c r="AC206" i="10" s="1"/>
  <c r="Y206" i="10" s="1"/>
  <c r="Y206" i="11" s="1"/>
  <c r="K206" i="10"/>
  <c r="K206" i="11" s="1"/>
  <c r="E207" i="10"/>
  <c r="S209" i="10"/>
  <c r="K209" i="10"/>
  <c r="K209" i="11" s="1"/>
  <c r="E210" i="10"/>
  <c r="C209" i="10"/>
  <c r="Y209" i="10"/>
  <c r="Y209" i="11" s="1"/>
  <c r="S213" i="11"/>
  <c r="E214" i="11"/>
  <c r="F213" i="10"/>
  <c r="E213" i="10"/>
  <c r="A214" i="10"/>
  <c r="A215" i="10" s="1"/>
  <c r="A216" i="10" s="1"/>
  <c r="A217" i="10"/>
  <c r="G203" i="10"/>
  <c r="U202" i="10"/>
  <c r="K200" i="10"/>
  <c r="K200" i="11" s="1"/>
  <c r="S200" i="10"/>
  <c r="AC200" i="10" s="1"/>
  <c r="Y200" i="10" s="1"/>
  <c r="Y200" i="11" s="1"/>
  <c r="T206" i="10"/>
  <c r="F207" i="10"/>
  <c r="T203" i="10"/>
  <c r="F204" i="10"/>
  <c r="T204" i="10" s="1"/>
  <c r="U205" i="10"/>
  <c r="G206" i="10"/>
  <c r="C199" i="11"/>
  <c r="Q199" i="10"/>
  <c r="Q199" i="11" s="1"/>
  <c r="C200" i="10"/>
  <c r="C202" i="11"/>
  <c r="C203" i="10"/>
  <c r="Q202" i="10"/>
  <c r="Q202" i="11" s="1"/>
  <c r="G209" i="10"/>
  <c r="F210" i="10"/>
  <c r="T209" i="10"/>
  <c r="C196" i="11"/>
  <c r="Q196" i="10"/>
  <c r="Q196" i="11" s="1"/>
  <c r="E208" i="11"/>
  <c r="S208" i="11" s="1"/>
  <c r="S207" i="11"/>
  <c r="T210" i="11"/>
  <c r="F211" i="11"/>
  <c r="G200" i="10"/>
  <c r="U200" i="10" s="1"/>
  <c r="U199" i="10"/>
  <c r="G207" i="11"/>
  <c r="U206" i="11"/>
  <c r="S210" i="11"/>
  <c r="E211" i="11"/>
  <c r="U203" i="10" l="1"/>
  <c r="G204" i="10"/>
  <c r="U204" i="10" s="1"/>
  <c r="S207" i="10"/>
  <c r="AC207" i="10" s="1"/>
  <c r="K207" i="10"/>
  <c r="K207" i="11" s="1"/>
  <c r="E208" i="10"/>
  <c r="Y207" i="10"/>
  <c r="Y207" i="11" s="1"/>
  <c r="G213" i="10"/>
  <c r="F214" i="10"/>
  <c r="T213" i="10"/>
  <c r="S211" i="11"/>
  <c r="E212" i="11"/>
  <c r="S212" i="11" s="1"/>
  <c r="T207" i="10"/>
  <c r="F208" i="10"/>
  <c r="T208" i="10" s="1"/>
  <c r="A221" i="10"/>
  <c r="A218" i="10"/>
  <c r="A219" i="10" s="1"/>
  <c r="A220" i="10" s="1"/>
  <c r="F217" i="10"/>
  <c r="E217" i="10"/>
  <c r="S213" i="10"/>
  <c r="K213" i="10"/>
  <c r="K213" i="11" s="1"/>
  <c r="C213" i="10"/>
  <c r="E214" i="10"/>
  <c r="Y213" i="10"/>
  <c r="Y213" i="11" s="1"/>
  <c r="C206" i="11"/>
  <c r="Q206" i="10"/>
  <c r="Q206" i="11" s="1"/>
  <c r="C207" i="10"/>
  <c r="U213" i="11"/>
  <c r="G214" i="11"/>
  <c r="U206" i="10"/>
  <c r="G207" i="10"/>
  <c r="T214" i="11"/>
  <c r="F215" i="11"/>
  <c r="G210" i="10"/>
  <c r="U209" i="10"/>
  <c r="C209" i="11"/>
  <c r="Q209" i="10"/>
  <c r="Q209" i="11" s="1"/>
  <c r="C210" i="10"/>
  <c r="A222" i="11"/>
  <c r="A223" i="11" s="1"/>
  <c r="A224" i="11" s="1"/>
  <c r="A225" i="11"/>
  <c r="F221" i="11"/>
  <c r="E221" i="11"/>
  <c r="C203" i="11"/>
  <c r="C204" i="10"/>
  <c r="Q203" i="10"/>
  <c r="Q203" i="11" s="1"/>
  <c r="S210" i="10"/>
  <c r="AC210" i="10" s="1"/>
  <c r="Y210" i="10" s="1"/>
  <c r="Y210" i="11" s="1"/>
  <c r="K210" i="10"/>
  <c r="K210" i="11" s="1"/>
  <c r="E211" i="10"/>
  <c r="E215" i="11"/>
  <c r="S214" i="11"/>
  <c r="F211" i="10"/>
  <c r="T210" i="10"/>
  <c r="S204" i="10"/>
  <c r="AC204" i="10" s="1"/>
  <c r="Y204" i="10" s="1"/>
  <c r="Y204" i="11" s="1"/>
  <c r="K204" i="10"/>
  <c r="K204" i="11" s="1"/>
  <c r="G217" i="11"/>
  <c r="F218" i="11"/>
  <c r="T217" i="11"/>
  <c r="U207" i="11"/>
  <c r="G208" i="11"/>
  <c r="U208" i="11" s="1"/>
  <c r="T211" i="11"/>
  <c r="F212" i="11"/>
  <c r="T212" i="11" s="1"/>
  <c r="C200" i="11"/>
  <c r="Q200" i="10"/>
  <c r="Q200" i="11" s="1"/>
  <c r="U210" i="11"/>
  <c r="G211" i="11"/>
  <c r="E218" i="11"/>
  <c r="S217" i="11"/>
  <c r="E215" i="10" l="1"/>
  <c r="S214" i="10"/>
  <c r="AC214" i="10" s="1"/>
  <c r="Y214" i="10" s="1"/>
  <c r="Y214" i="11" s="1"/>
  <c r="K214" i="10"/>
  <c r="K214" i="11" s="1"/>
  <c r="T214" i="10"/>
  <c r="F215" i="10"/>
  <c r="G218" i="11"/>
  <c r="U217" i="11"/>
  <c r="E216" i="11"/>
  <c r="S216" i="11" s="1"/>
  <c r="S215" i="11"/>
  <c r="C210" i="11"/>
  <c r="Q210" i="10"/>
  <c r="Q210" i="11" s="1"/>
  <c r="C211" i="10"/>
  <c r="C213" i="11"/>
  <c r="Q213" i="10"/>
  <c r="Q213" i="11" s="1"/>
  <c r="C214" i="10"/>
  <c r="K211" i="10"/>
  <c r="K211" i="11" s="1"/>
  <c r="E212" i="10"/>
  <c r="S211" i="10"/>
  <c r="AC211" i="10" s="1"/>
  <c r="Y211" i="10" s="1"/>
  <c r="Y211" i="11" s="1"/>
  <c r="F219" i="11"/>
  <c r="T218" i="11"/>
  <c r="G211" i="10"/>
  <c r="U210" i="10"/>
  <c r="F216" i="11"/>
  <c r="T216" i="11" s="1"/>
  <c r="T215" i="11"/>
  <c r="G214" i="10"/>
  <c r="U213" i="10"/>
  <c r="S218" i="11"/>
  <c r="E219" i="11"/>
  <c r="U207" i="10"/>
  <c r="G208" i="10"/>
  <c r="U208" i="10" s="1"/>
  <c r="E218" i="10"/>
  <c r="C217" i="10"/>
  <c r="Y217" i="10"/>
  <c r="Y217" i="11" s="1"/>
  <c r="S217" i="10"/>
  <c r="K217" i="10"/>
  <c r="K217" i="11" s="1"/>
  <c r="S208" i="10"/>
  <c r="AC208" i="10" s="1"/>
  <c r="Y208" i="10" s="1"/>
  <c r="Y208" i="11" s="1"/>
  <c r="K208" i="10"/>
  <c r="K208" i="11" s="1"/>
  <c r="G215" i="11"/>
  <c r="U214" i="11"/>
  <c r="C204" i="11"/>
  <c r="Q204" i="10"/>
  <c r="Q204" i="11" s="1"/>
  <c r="U211" i="11"/>
  <c r="G212" i="11"/>
  <c r="U212" i="11" s="1"/>
  <c r="T217" i="10"/>
  <c r="G217" i="10"/>
  <c r="F218" i="10"/>
  <c r="F225" i="11"/>
  <c r="E225" i="11"/>
  <c r="A226" i="11"/>
  <c r="A227" i="11" s="1"/>
  <c r="A228" i="11" s="1"/>
  <c r="A229" i="11"/>
  <c r="A225" i="10"/>
  <c r="A222" i="10"/>
  <c r="A223" i="10" s="1"/>
  <c r="A224" i="10" s="1"/>
  <c r="E221" i="10"/>
  <c r="F221" i="10"/>
  <c r="S221" i="11"/>
  <c r="E222" i="11"/>
  <c r="T221" i="11"/>
  <c r="G221" i="11"/>
  <c r="F222" i="11"/>
  <c r="F212" i="10"/>
  <c r="T212" i="10" s="1"/>
  <c r="T211" i="10"/>
  <c r="C207" i="11"/>
  <c r="Q207" i="10"/>
  <c r="Q207" i="11" s="1"/>
  <c r="C208" i="10"/>
  <c r="T221" i="10" l="1"/>
  <c r="F222" i="10"/>
  <c r="G221" i="10"/>
  <c r="T222" i="11"/>
  <c r="F223" i="11"/>
  <c r="T225" i="11"/>
  <c r="F226" i="11"/>
  <c r="G225" i="11"/>
  <c r="U221" i="11"/>
  <c r="G222" i="11"/>
  <c r="T218" i="10"/>
  <c r="F219" i="10"/>
  <c r="U217" i="10"/>
  <c r="G218" i="10"/>
  <c r="U211" i="10"/>
  <c r="G212" i="10"/>
  <c r="U212" i="10" s="1"/>
  <c r="C217" i="11"/>
  <c r="Q217" i="10"/>
  <c r="Q217" i="11" s="1"/>
  <c r="C218" i="10"/>
  <c r="T219" i="11"/>
  <c r="F220" i="11"/>
  <c r="T220" i="11" s="1"/>
  <c r="S222" i="11"/>
  <c r="E223" i="11"/>
  <c r="S218" i="10"/>
  <c r="AC218" i="10" s="1"/>
  <c r="Y218" i="10" s="1"/>
  <c r="Y218" i="11" s="1"/>
  <c r="K218" i="10"/>
  <c r="K218" i="11" s="1"/>
  <c r="E219" i="10"/>
  <c r="K221" i="10"/>
  <c r="K221" i="11" s="1"/>
  <c r="E222" i="10"/>
  <c r="Y221" i="10"/>
  <c r="Y221" i="11" s="1"/>
  <c r="S221" i="10"/>
  <c r="C221" i="10"/>
  <c r="C208" i="11"/>
  <c r="Q208" i="10"/>
  <c r="Q208" i="11" s="1"/>
  <c r="G219" i="11"/>
  <c r="U218" i="11"/>
  <c r="F225" i="10"/>
  <c r="E225" i="10"/>
  <c r="A226" i="10"/>
  <c r="A227" i="10" s="1"/>
  <c r="A228" i="10" s="1"/>
  <c r="A229" i="10"/>
  <c r="E220" i="11"/>
  <c r="S220" i="11" s="1"/>
  <c r="S219" i="11"/>
  <c r="S212" i="10"/>
  <c r="AC212" i="10" s="1"/>
  <c r="K212" i="10"/>
  <c r="K212" i="11" s="1"/>
  <c r="Y212" i="10"/>
  <c r="Y212" i="11" s="1"/>
  <c r="F216" i="10"/>
  <c r="T216" i="10" s="1"/>
  <c r="T215" i="10"/>
  <c r="F229" i="11"/>
  <c r="E229" i="11"/>
  <c r="A233" i="11"/>
  <c r="A230" i="11"/>
  <c r="A231" i="11" s="1"/>
  <c r="A232" i="11" s="1"/>
  <c r="G216" i="11"/>
  <c r="U216" i="11" s="1"/>
  <c r="U215" i="11"/>
  <c r="C214" i="11"/>
  <c r="Q214" i="10"/>
  <c r="Q214" i="11" s="1"/>
  <c r="C215" i="10"/>
  <c r="E226" i="11"/>
  <c r="S225" i="11"/>
  <c r="U214" i="10"/>
  <c r="G215" i="10"/>
  <c r="C211" i="11"/>
  <c r="Q211" i="10"/>
  <c r="Q211" i="11" s="1"/>
  <c r="C212" i="10"/>
  <c r="S215" i="10"/>
  <c r="AC215" i="10" s="1"/>
  <c r="Y215" i="10" s="1"/>
  <c r="Y215" i="11" s="1"/>
  <c r="K215" i="10"/>
  <c r="K215" i="11" s="1"/>
  <c r="E216" i="10"/>
  <c r="T223" i="11" l="1"/>
  <c r="F224" i="11"/>
  <c r="T224" i="11" s="1"/>
  <c r="K225" i="10"/>
  <c r="K225" i="11" s="1"/>
  <c r="C225" i="10"/>
  <c r="E226" i="10"/>
  <c r="Y225" i="10"/>
  <c r="Y225" i="11" s="1"/>
  <c r="S225" i="10"/>
  <c r="G225" i="10"/>
  <c r="F226" i="10"/>
  <c r="T225" i="10"/>
  <c r="U215" i="10"/>
  <c r="G216" i="10"/>
  <c r="U216" i="10" s="1"/>
  <c r="A237" i="11"/>
  <c r="E233" i="11"/>
  <c r="A234" i="11"/>
  <c r="A235" i="11" s="1"/>
  <c r="A236" i="11" s="1"/>
  <c r="F233" i="11"/>
  <c r="S229" i="11"/>
  <c r="E230" i="11"/>
  <c r="T229" i="11"/>
  <c r="G229" i="11"/>
  <c r="F230" i="11"/>
  <c r="T219" i="10"/>
  <c r="F220" i="10"/>
  <c r="T220" i="10" s="1"/>
  <c r="G220" i="11"/>
  <c r="U220" i="11" s="1"/>
  <c r="U219" i="11"/>
  <c r="E224" i="11"/>
  <c r="S224" i="11" s="1"/>
  <c r="S223" i="11"/>
  <c r="G226" i="11"/>
  <c r="U225" i="11"/>
  <c r="F229" i="10"/>
  <c r="E229" i="10"/>
  <c r="A233" i="10"/>
  <c r="A230" i="10"/>
  <c r="A231" i="10" s="1"/>
  <c r="A232" i="10" s="1"/>
  <c r="C212" i="11"/>
  <c r="Q212" i="10"/>
  <c r="Q212" i="11" s="1"/>
  <c r="S219" i="10"/>
  <c r="AC219" i="10" s="1"/>
  <c r="Y219" i="10" s="1"/>
  <c r="Y219" i="11" s="1"/>
  <c r="K219" i="10"/>
  <c r="K219" i="11" s="1"/>
  <c r="E220" i="10"/>
  <c r="U221" i="10"/>
  <c r="G222" i="10"/>
  <c r="U222" i="11"/>
  <c r="G223" i="11"/>
  <c r="S226" i="11"/>
  <c r="E227" i="11"/>
  <c r="C221" i="11"/>
  <c r="C222" i="10"/>
  <c r="Q221" i="10"/>
  <c r="Q221" i="11" s="1"/>
  <c r="C218" i="11"/>
  <c r="Q218" i="10"/>
  <c r="Q218" i="11" s="1"/>
  <c r="C219" i="10"/>
  <c r="S216" i="10"/>
  <c r="AC216" i="10" s="1"/>
  <c r="Y216" i="10" s="1"/>
  <c r="Y216" i="11" s="1"/>
  <c r="K216" i="10"/>
  <c r="K216" i="11" s="1"/>
  <c r="U218" i="10"/>
  <c r="G219" i="10"/>
  <c r="T222" i="10"/>
  <c r="F223" i="10"/>
  <c r="C215" i="11"/>
  <c r="Q215" i="10"/>
  <c r="Q215" i="11" s="1"/>
  <c r="C216" i="10"/>
  <c r="F227" i="11"/>
  <c r="T226" i="11"/>
  <c r="K222" i="10"/>
  <c r="K222" i="11" s="1"/>
  <c r="E223" i="10"/>
  <c r="S222" i="10"/>
  <c r="F227" i="10" l="1"/>
  <c r="T226" i="10"/>
  <c r="U219" i="10"/>
  <c r="G220" i="10"/>
  <c r="U220" i="10" s="1"/>
  <c r="U229" i="11"/>
  <c r="G230" i="11"/>
  <c r="G226" i="10"/>
  <c r="U225" i="10"/>
  <c r="Y229" i="10"/>
  <c r="Y229" i="11" s="1"/>
  <c r="S229" i="10"/>
  <c r="K229" i="10"/>
  <c r="K229" i="11" s="1"/>
  <c r="C229" i="10"/>
  <c r="E230" i="10"/>
  <c r="T229" i="10"/>
  <c r="G229" i="10"/>
  <c r="F230" i="10"/>
  <c r="E224" i="10"/>
  <c r="K223" i="10"/>
  <c r="K223" i="11" s="1"/>
  <c r="S223" i="10"/>
  <c r="AC223" i="10" s="1"/>
  <c r="Y223" i="10" s="1"/>
  <c r="Y223" i="11" s="1"/>
  <c r="S220" i="10"/>
  <c r="AC220" i="10" s="1"/>
  <c r="Y220" i="10" s="1"/>
  <c r="Y220" i="11" s="1"/>
  <c r="K220" i="10"/>
  <c r="K220" i="11" s="1"/>
  <c r="S230" i="11"/>
  <c r="E231" i="11"/>
  <c r="C219" i="11"/>
  <c r="Q219" i="10"/>
  <c r="Q219" i="11" s="1"/>
  <c r="C220" i="10"/>
  <c r="T227" i="11"/>
  <c r="F228" i="11"/>
  <c r="T228" i="11" s="1"/>
  <c r="C216" i="11"/>
  <c r="Q216" i="10"/>
  <c r="Q216" i="11" s="1"/>
  <c r="C222" i="11"/>
  <c r="C223" i="10"/>
  <c r="Q222" i="10"/>
  <c r="Q222" i="11" s="1"/>
  <c r="G223" i="10"/>
  <c r="U222" i="10"/>
  <c r="E227" i="10"/>
  <c r="S226" i="10"/>
  <c r="AC226" i="10" s="1"/>
  <c r="K226" i="10"/>
  <c r="K226" i="11" s="1"/>
  <c r="Y226" i="10"/>
  <c r="Y226" i="11" s="1"/>
  <c r="U226" i="11"/>
  <c r="G227" i="11"/>
  <c r="G233" i="11"/>
  <c r="F234" i="11"/>
  <c r="T233" i="11"/>
  <c r="C225" i="11"/>
  <c r="C226" i="10"/>
  <c r="Q225" i="10"/>
  <c r="Q225" i="11" s="1"/>
  <c r="F224" i="10"/>
  <c r="T224" i="10" s="1"/>
  <c r="T223" i="10"/>
  <c r="S233" i="11"/>
  <c r="E234" i="11"/>
  <c r="E228" i="11"/>
  <c r="S228" i="11" s="1"/>
  <c r="S227" i="11"/>
  <c r="T230" i="11"/>
  <c r="F231" i="11"/>
  <c r="A237" i="10"/>
  <c r="E233" i="10"/>
  <c r="A234" i="10"/>
  <c r="A235" i="10" s="1"/>
  <c r="A236" i="10" s="1"/>
  <c r="F233" i="10"/>
  <c r="AC222" i="10"/>
  <c r="Y222" i="10" s="1"/>
  <c r="Y222" i="11" s="1"/>
  <c r="U223" i="11"/>
  <c r="G224" i="11"/>
  <c r="U224" i="11" s="1"/>
  <c r="A241" i="11"/>
  <c r="F237" i="11"/>
  <c r="A238" i="11"/>
  <c r="A239" i="11" s="1"/>
  <c r="A240" i="11" s="1"/>
  <c r="E237" i="11"/>
  <c r="F232" i="11" l="1"/>
  <c r="T232" i="11" s="1"/>
  <c r="T231" i="11"/>
  <c r="F235" i="11"/>
  <c r="T234" i="11"/>
  <c r="S237" i="11"/>
  <c r="E238" i="11"/>
  <c r="G234" i="11"/>
  <c r="U233" i="11"/>
  <c r="G237" i="11"/>
  <c r="F238" i="11"/>
  <c r="T237" i="11"/>
  <c r="C226" i="11"/>
  <c r="Q226" i="10"/>
  <c r="Q226" i="11" s="1"/>
  <c r="C227" i="10"/>
  <c r="G224" i="10"/>
  <c r="U224" i="10" s="1"/>
  <c r="U223" i="10"/>
  <c r="C229" i="11"/>
  <c r="Q229" i="10"/>
  <c r="Q229" i="11" s="1"/>
  <c r="C230" i="10"/>
  <c r="C223" i="11"/>
  <c r="Q223" i="10"/>
  <c r="Q223" i="11" s="1"/>
  <c r="C224" i="10"/>
  <c r="Y224" i="10"/>
  <c r="Y224" i="11" s="1"/>
  <c r="K224" i="10"/>
  <c r="K224" i="11" s="1"/>
  <c r="S224" i="10"/>
  <c r="AC224" i="10" s="1"/>
  <c r="G228" i="11"/>
  <c r="U228" i="11" s="1"/>
  <c r="U227" i="11"/>
  <c r="G227" i="10"/>
  <c r="U226" i="10"/>
  <c r="G231" i="11"/>
  <c r="U230" i="11"/>
  <c r="E241" i="11"/>
  <c r="A245" i="11"/>
  <c r="A242" i="11"/>
  <c r="A243" i="11" s="1"/>
  <c r="A244" i="11" s="1"/>
  <c r="F241" i="11"/>
  <c r="S234" i="11"/>
  <c r="E235" i="11"/>
  <c r="C220" i="11"/>
  <c r="Q220" i="10"/>
  <c r="Q220" i="11" s="1"/>
  <c r="U229" i="10"/>
  <c r="G230" i="10"/>
  <c r="F237" i="10"/>
  <c r="E237" i="10"/>
  <c r="A238" i="10"/>
  <c r="A239" i="10" s="1"/>
  <c r="A240" i="10" s="1"/>
  <c r="A241" i="10"/>
  <c r="S227" i="10"/>
  <c r="AC227" i="10" s="1"/>
  <c r="Y227" i="10" s="1"/>
  <c r="Y227" i="11" s="1"/>
  <c r="K227" i="10"/>
  <c r="K227" i="11" s="1"/>
  <c r="E228" i="10"/>
  <c r="K233" i="10"/>
  <c r="K233" i="11" s="1"/>
  <c r="Y233" i="10"/>
  <c r="Y233" i="11" s="1"/>
  <c r="S233" i="10"/>
  <c r="E234" i="10"/>
  <c r="C233" i="10"/>
  <c r="T230" i="10"/>
  <c r="F231" i="10"/>
  <c r="F234" i="10"/>
  <c r="T233" i="10"/>
  <c r="G233" i="10"/>
  <c r="S231" i="11"/>
  <c r="E232" i="11"/>
  <c r="S232" i="11" s="1"/>
  <c r="S230" i="10"/>
  <c r="K230" i="10"/>
  <c r="K230" i="11" s="1"/>
  <c r="E231" i="10"/>
  <c r="F228" i="10"/>
  <c r="T228" i="10" s="1"/>
  <c r="T227" i="10"/>
  <c r="U233" i="10" l="1"/>
  <c r="G234" i="10"/>
  <c r="S228" i="10"/>
  <c r="AC228" i="10" s="1"/>
  <c r="Y228" i="10" s="1"/>
  <c r="Y228" i="11" s="1"/>
  <c r="K228" i="10"/>
  <c r="K228" i="11" s="1"/>
  <c r="A249" i="11"/>
  <c r="E245" i="11"/>
  <c r="A246" i="11"/>
  <c r="A247" i="11" s="1"/>
  <c r="A248" i="11" s="1"/>
  <c r="F245" i="11"/>
  <c r="G238" i="11"/>
  <c r="U237" i="11"/>
  <c r="T231" i="10"/>
  <c r="F232" i="10"/>
  <c r="T232" i="10" s="1"/>
  <c r="C237" i="10"/>
  <c r="E238" i="10"/>
  <c r="Y237" i="10"/>
  <c r="Y237" i="11" s="1"/>
  <c r="S237" i="10"/>
  <c r="K237" i="10"/>
  <c r="K237" i="11" s="1"/>
  <c r="G235" i="11"/>
  <c r="U234" i="11"/>
  <c r="F238" i="10"/>
  <c r="T237" i="10"/>
  <c r="G237" i="10"/>
  <c r="U231" i="11"/>
  <c r="G232" i="11"/>
  <c r="U232" i="11" s="1"/>
  <c r="E239" i="11"/>
  <c r="S238" i="11"/>
  <c r="K231" i="10"/>
  <c r="K231" i="11" s="1"/>
  <c r="S231" i="10"/>
  <c r="AC231" i="10" s="1"/>
  <c r="Y231" i="10" s="1"/>
  <c r="Y231" i="11" s="1"/>
  <c r="E232" i="10"/>
  <c r="K234" i="10"/>
  <c r="K234" i="11" s="1"/>
  <c r="E235" i="10"/>
  <c r="S234" i="10"/>
  <c r="AC234" i="10" s="1"/>
  <c r="Y234" i="10" s="1"/>
  <c r="Y234" i="11" s="1"/>
  <c r="U230" i="10"/>
  <c r="G231" i="10"/>
  <c r="G228" i="10"/>
  <c r="U228" i="10" s="1"/>
  <c r="U227" i="10"/>
  <c r="T235" i="11"/>
  <c r="F236" i="11"/>
  <c r="T236" i="11" s="1"/>
  <c r="C227" i="11"/>
  <c r="Q227" i="10"/>
  <c r="Q227" i="11" s="1"/>
  <c r="C228" i="10"/>
  <c r="T241" i="11"/>
  <c r="F242" i="11"/>
  <c r="G241" i="11"/>
  <c r="C224" i="11"/>
  <c r="Q224" i="10"/>
  <c r="Q224" i="11" s="1"/>
  <c r="F239" i="11"/>
  <c r="T238" i="11"/>
  <c r="T234" i="10"/>
  <c r="F235" i="10"/>
  <c r="F241" i="10"/>
  <c r="E241" i="10"/>
  <c r="A245" i="10"/>
  <c r="A242" i="10"/>
  <c r="A243" i="10" s="1"/>
  <c r="A244" i="10" s="1"/>
  <c r="E242" i="11"/>
  <c r="S241" i="11"/>
  <c r="C230" i="11"/>
  <c r="Q230" i="10"/>
  <c r="Q230" i="11" s="1"/>
  <c r="C231" i="10"/>
  <c r="C233" i="11"/>
  <c r="C234" i="10"/>
  <c r="Q233" i="10"/>
  <c r="Q233" i="11" s="1"/>
  <c r="AC230" i="10"/>
  <c r="Y230" i="10" s="1"/>
  <c r="Y230" i="11" s="1"/>
  <c r="E236" i="11"/>
  <c r="S236" i="11" s="1"/>
  <c r="S235" i="11"/>
  <c r="G236" i="11" l="1"/>
  <c r="U236" i="11" s="1"/>
  <c r="U235" i="11"/>
  <c r="E246" i="11"/>
  <c r="S245" i="11"/>
  <c r="U237" i="10"/>
  <c r="G238" i="10"/>
  <c r="U241" i="11"/>
  <c r="G242" i="11"/>
  <c r="G239" i="11"/>
  <c r="U238" i="11"/>
  <c r="A253" i="11"/>
  <c r="F249" i="11"/>
  <c r="E249" i="11"/>
  <c r="A250" i="11"/>
  <c r="A251" i="11" s="1"/>
  <c r="A252" i="11" s="1"/>
  <c r="T242" i="11"/>
  <c r="F243" i="11"/>
  <c r="S242" i="11"/>
  <c r="E243" i="11"/>
  <c r="E236" i="10"/>
  <c r="S235" i="10"/>
  <c r="AC235" i="10" s="1"/>
  <c r="Y235" i="10" s="1"/>
  <c r="Y235" i="11" s="1"/>
  <c r="K235" i="10"/>
  <c r="K235" i="11" s="1"/>
  <c r="F239" i="10"/>
  <c r="T238" i="10"/>
  <c r="K238" i="10"/>
  <c r="K238" i="11" s="1"/>
  <c r="E239" i="10"/>
  <c r="S238" i="10"/>
  <c r="AC238" i="10" s="1"/>
  <c r="Y238" i="10" s="1"/>
  <c r="Y238" i="11" s="1"/>
  <c r="F236" i="10"/>
  <c r="T236" i="10" s="1"/>
  <c r="T235" i="10"/>
  <c r="C231" i="11"/>
  <c r="Q231" i="10"/>
  <c r="Q231" i="11" s="1"/>
  <c r="C232" i="10"/>
  <c r="E240" i="11"/>
  <c r="S240" i="11" s="1"/>
  <c r="S239" i="11"/>
  <c r="C237" i="11"/>
  <c r="C238" i="10"/>
  <c r="Q237" i="10"/>
  <c r="Q237" i="11" s="1"/>
  <c r="G235" i="10"/>
  <c r="U234" i="10"/>
  <c r="G245" i="11"/>
  <c r="F246" i="11"/>
  <c r="T245" i="11"/>
  <c r="E245" i="10"/>
  <c r="A246" i="10"/>
  <c r="A247" i="10" s="1"/>
  <c r="A248" i="10" s="1"/>
  <c r="A249" i="10"/>
  <c r="F245" i="10"/>
  <c r="C228" i="11"/>
  <c r="Q228" i="10"/>
  <c r="Q228" i="11" s="1"/>
  <c r="S241" i="10"/>
  <c r="K241" i="10"/>
  <c r="K241" i="11" s="1"/>
  <c r="C241" i="10"/>
  <c r="E242" i="10"/>
  <c r="Y241" i="10"/>
  <c r="Y241" i="11" s="1"/>
  <c r="S232" i="10"/>
  <c r="AC232" i="10" s="1"/>
  <c r="Y232" i="10" s="1"/>
  <c r="Y232" i="11" s="1"/>
  <c r="K232" i="10"/>
  <c r="K232" i="11" s="1"/>
  <c r="G241" i="10"/>
  <c r="T241" i="10"/>
  <c r="F242" i="10"/>
  <c r="C234" i="11"/>
  <c r="C235" i="10"/>
  <c r="Q234" i="10"/>
  <c r="Q234" i="11" s="1"/>
  <c r="F240" i="11"/>
  <c r="T240" i="11" s="1"/>
  <c r="T239" i="11"/>
  <c r="G232" i="10"/>
  <c r="U232" i="10" s="1"/>
  <c r="U231" i="10"/>
  <c r="Y245" i="10" l="1"/>
  <c r="Y245" i="11" s="1"/>
  <c r="S245" i="10"/>
  <c r="K245" i="10"/>
  <c r="K245" i="11" s="1"/>
  <c r="C245" i="10"/>
  <c r="E246" i="10"/>
  <c r="C238" i="11"/>
  <c r="C239" i="10"/>
  <c r="Q238" i="10"/>
  <c r="Q238" i="11" s="1"/>
  <c r="F243" i="10"/>
  <c r="T242" i="10"/>
  <c r="F250" i="11"/>
  <c r="T249" i="11"/>
  <c r="G249" i="11"/>
  <c r="U239" i="11"/>
  <c r="G240" i="11"/>
  <c r="U240" i="11" s="1"/>
  <c r="F246" i="10"/>
  <c r="T245" i="10"/>
  <c r="G245" i="10"/>
  <c r="F240" i="10"/>
  <c r="T240" i="10" s="1"/>
  <c r="T239" i="10"/>
  <c r="A254" i="11"/>
  <c r="A255" i="11" s="1"/>
  <c r="A256" i="11" s="1"/>
  <c r="A257" i="11"/>
  <c r="F253" i="11"/>
  <c r="E253" i="11"/>
  <c r="F247" i="11"/>
  <c r="T246" i="11"/>
  <c r="S243" i="11"/>
  <c r="E244" i="11"/>
  <c r="S244" i="11" s="1"/>
  <c r="U238" i="10"/>
  <c r="G239" i="10"/>
  <c r="C232" i="11"/>
  <c r="Q232" i="10"/>
  <c r="Q232" i="11" s="1"/>
  <c r="U242" i="11"/>
  <c r="G243" i="11"/>
  <c r="S236" i="10"/>
  <c r="AC236" i="10" s="1"/>
  <c r="Y236" i="10" s="1"/>
  <c r="Y236" i="11" s="1"/>
  <c r="K236" i="10"/>
  <c r="K236" i="11" s="1"/>
  <c r="S242" i="10"/>
  <c r="K242" i="10"/>
  <c r="K242" i="11" s="1"/>
  <c r="E243" i="10"/>
  <c r="G246" i="11"/>
  <c r="U245" i="11"/>
  <c r="T243" i="11"/>
  <c r="F244" i="11"/>
  <c r="T244" i="11" s="1"/>
  <c r="G242" i="10"/>
  <c r="U241" i="10"/>
  <c r="A253" i="10"/>
  <c r="A250" i="10"/>
  <c r="A251" i="10" s="1"/>
  <c r="A252" i="10" s="1"/>
  <c r="F249" i="10"/>
  <c r="E249" i="10"/>
  <c r="U235" i="10"/>
  <c r="G236" i="10"/>
  <c r="U236" i="10" s="1"/>
  <c r="E247" i="11"/>
  <c r="S246" i="11"/>
  <c r="C241" i="11"/>
  <c r="Q241" i="10"/>
  <c r="Q241" i="11" s="1"/>
  <c r="C242" i="10"/>
  <c r="C235" i="11"/>
  <c r="C236" i="10"/>
  <c r="Q235" i="10"/>
  <c r="Q235" i="11" s="1"/>
  <c r="S239" i="10"/>
  <c r="AC239" i="10" s="1"/>
  <c r="Y239" i="10" s="1"/>
  <c r="Y239" i="11" s="1"/>
  <c r="K239" i="10"/>
  <c r="K239" i="11" s="1"/>
  <c r="E240" i="10"/>
  <c r="S249" i="11"/>
  <c r="E250" i="11"/>
  <c r="E254" i="11" l="1"/>
  <c r="S253" i="11"/>
  <c r="G250" i="11"/>
  <c r="U249" i="11"/>
  <c r="C236" i="11"/>
  <c r="Q236" i="10"/>
  <c r="Q236" i="11" s="1"/>
  <c r="F253" i="10"/>
  <c r="E253" i="10"/>
  <c r="A254" i="10"/>
  <c r="A255" i="10" s="1"/>
  <c r="A256" i="10" s="1"/>
  <c r="A257" i="10"/>
  <c r="T253" i="11"/>
  <c r="G253" i="11"/>
  <c r="F254" i="11"/>
  <c r="T250" i="11"/>
  <c r="F251" i="11"/>
  <c r="T247" i="11"/>
  <c r="F248" i="11"/>
  <c r="T248" i="11" s="1"/>
  <c r="C242" i="11"/>
  <c r="Q242" i="10"/>
  <c r="Q242" i="11" s="1"/>
  <c r="C243" i="10"/>
  <c r="F257" i="11"/>
  <c r="A261" i="11"/>
  <c r="A258" i="11"/>
  <c r="A259" i="11" s="1"/>
  <c r="A260" i="11" s="1"/>
  <c r="E257" i="11"/>
  <c r="C239" i="11"/>
  <c r="C240" i="10"/>
  <c r="Q239" i="10"/>
  <c r="Q239" i="11" s="1"/>
  <c r="U245" i="10"/>
  <c r="G246" i="10"/>
  <c r="C249" i="10"/>
  <c r="E250" i="10"/>
  <c r="Y249" i="10"/>
  <c r="Y249" i="11" s="1"/>
  <c r="S249" i="10"/>
  <c r="K249" i="10"/>
  <c r="K249" i="11" s="1"/>
  <c r="U242" i="10"/>
  <c r="G243" i="10"/>
  <c r="U243" i="11"/>
  <c r="G244" i="11"/>
  <c r="U244" i="11" s="1"/>
  <c r="T243" i="10"/>
  <c r="F244" i="10"/>
  <c r="T244" i="10" s="1"/>
  <c r="E251" i="11"/>
  <c r="S250" i="11"/>
  <c r="E248" i="11"/>
  <c r="S248" i="11" s="1"/>
  <c r="S247" i="11"/>
  <c r="G247" i="11"/>
  <c r="U246" i="11"/>
  <c r="G240" i="10"/>
  <c r="U240" i="10" s="1"/>
  <c r="U239" i="10"/>
  <c r="S246" i="10"/>
  <c r="K246" i="10"/>
  <c r="K246" i="11" s="1"/>
  <c r="E247" i="10"/>
  <c r="C245" i="11"/>
  <c r="Q245" i="10"/>
  <c r="Q245" i="11" s="1"/>
  <c r="C246" i="10"/>
  <c r="K240" i="10"/>
  <c r="K240" i="11" s="1"/>
  <c r="S240" i="10"/>
  <c r="AC240" i="10" s="1"/>
  <c r="Y240" i="10" s="1"/>
  <c r="Y240" i="11" s="1"/>
  <c r="K243" i="10"/>
  <c r="K243" i="11" s="1"/>
  <c r="S243" i="10"/>
  <c r="AC243" i="10" s="1"/>
  <c r="Y243" i="10" s="1"/>
  <c r="Y243" i="11" s="1"/>
  <c r="E244" i="10"/>
  <c r="T246" i="10"/>
  <c r="F247" i="10"/>
  <c r="F250" i="10"/>
  <c r="T249" i="10"/>
  <c r="G249" i="10"/>
  <c r="AC242" i="10"/>
  <c r="Y242" i="10" s="1"/>
  <c r="Y242" i="11" s="1"/>
  <c r="A262" i="11" l="1"/>
  <c r="A263" i="11" s="1"/>
  <c r="A264" i="11" s="1"/>
  <c r="A265" i="11"/>
  <c r="E261" i="11"/>
  <c r="F261" i="11"/>
  <c r="A258" i="10"/>
  <c r="A259" i="10" s="1"/>
  <c r="A260" i="10" s="1"/>
  <c r="F257" i="10"/>
  <c r="E257" i="10"/>
  <c r="A261" i="10"/>
  <c r="G248" i="11"/>
  <c r="U248" i="11" s="1"/>
  <c r="U247" i="11"/>
  <c r="G244" i="10"/>
  <c r="U244" i="10" s="1"/>
  <c r="U243" i="10"/>
  <c r="S257" i="11"/>
  <c r="E258" i="11"/>
  <c r="U253" i="11"/>
  <c r="G254" i="11"/>
  <c r="C243" i="11"/>
  <c r="C244" i="10"/>
  <c r="Q243" i="10"/>
  <c r="Q243" i="11" s="1"/>
  <c r="C249" i="11"/>
  <c r="Q249" i="10"/>
  <c r="Q249" i="11" s="1"/>
  <c r="C250" i="10"/>
  <c r="U246" i="10"/>
  <c r="G247" i="10"/>
  <c r="G257" i="11"/>
  <c r="F258" i="11"/>
  <c r="T257" i="11"/>
  <c r="E254" i="10"/>
  <c r="C253" i="10"/>
  <c r="K253" i="10"/>
  <c r="K253" i="11" s="1"/>
  <c r="Y253" i="10"/>
  <c r="Y253" i="11" s="1"/>
  <c r="S253" i="10"/>
  <c r="U249" i="10"/>
  <c r="G250" i="10"/>
  <c r="E251" i="10"/>
  <c r="K250" i="10"/>
  <c r="K250" i="11" s="1"/>
  <c r="S250" i="10"/>
  <c r="G253" i="10"/>
  <c r="F254" i="10"/>
  <c r="T253" i="10"/>
  <c r="F251" i="10"/>
  <c r="T250" i="10"/>
  <c r="E252" i="11"/>
  <c r="S252" i="11" s="1"/>
  <c r="S251" i="11"/>
  <c r="Y247" i="10"/>
  <c r="Y247" i="11" s="1"/>
  <c r="S247" i="10"/>
  <c r="AC247" i="10" s="1"/>
  <c r="K247" i="10"/>
  <c r="K247" i="11" s="1"/>
  <c r="E248" i="10"/>
  <c r="T251" i="11"/>
  <c r="F252" i="11"/>
  <c r="T252" i="11" s="1"/>
  <c r="U250" i="11"/>
  <c r="G251" i="11"/>
  <c r="C246" i="11"/>
  <c r="C247" i="10"/>
  <c r="Q246" i="10"/>
  <c r="Q246" i="11" s="1"/>
  <c r="T247" i="10"/>
  <c r="F248" i="10"/>
  <c r="T248" i="10" s="1"/>
  <c r="C240" i="11"/>
  <c r="Q240" i="10"/>
  <c r="Q240" i="11" s="1"/>
  <c r="AC246" i="10"/>
  <c r="Y246" i="10" s="1"/>
  <c r="Y246" i="11" s="1"/>
  <c r="S244" i="10"/>
  <c r="AC244" i="10" s="1"/>
  <c r="K244" i="10"/>
  <c r="K244" i="11" s="1"/>
  <c r="Y244" i="10"/>
  <c r="Y244" i="11" s="1"/>
  <c r="F255" i="11"/>
  <c r="T254" i="11"/>
  <c r="E255" i="11"/>
  <c r="S254" i="11"/>
  <c r="U247" i="10" l="1"/>
  <c r="G248" i="10"/>
  <c r="U248" i="10" s="1"/>
  <c r="S248" i="10"/>
  <c r="AC248" i="10" s="1"/>
  <c r="Y248" i="10" s="1"/>
  <c r="Y248" i="11" s="1"/>
  <c r="K248" i="10"/>
  <c r="K248" i="11" s="1"/>
  <c r="S251" i="10"/>
  <c r="AC251" i="10" s="1"/>
  <c r="E252" i="10"/>
  <c r="Y251" i="10"/>
  <c r="Y251" i="11" s="1"/>
  <c r="K251" i="10"/>
  <c r="K251" i="11" s="1"/>
  <c r="C244" i="11"/>
  <c r="Q244" i="10"/>
  <c r="Q244" i="11" s="1"/>
  <c r="T257" i="10"/>
  <c r="G257" i="10"/>
  <c r="F258" i="10"/>
  <c r="C253" i="11"/>
  <c r="Q253" i="10"/>
  <c r="Q253" i="11" s="1"/>
  <c r="C254" i="10"/>
  <c r="S257" i="10"/>
  <c r="K257" i="10"/>
  <c r="K257" i="11" s="1"/>
  <c r="C257" i="10"/>
  <c r="Y257" i="10"/>
  <c r="Y257" i="11" s="1"/>
  <c r="E258" i="10"/>
  <c r="F252" i="10"/>
  <c r="T252" i="10" s="1"/>
  <c r="T251" i="10"/>
  <c r="T255" i="11"/>
  <c r="F256" i="11"/>
  <c r="T256" i="11" s="1"/>
  <c r="U251" i="11"/>
  <c r="G252" i="11"/>
  <c r="U252" i="11" s="1"/>
  <c r="S254" i="10"/>
  <c r="AC254" i="10" s="1"/>
  <c r="Y254" i="10" s="1"/>
  <c r="Y254" i="11" s="1"/>
  <c r="K254" i="10"/>
  <c r="K254" i="11" s="1"/>
  <c r="E255" i="10"/>
  <c r="G261" i="11"/>
  <c r="T261" i="11"/>
  <c r="F262" i="11"/>
  <c r="C250" i="11"/>
  <c r="Q250" i="10"/>
  <c r="Q250" i="11" s="1"/>
  <c r="C251" i="10"/>
  <c r="G254" i="10"/>
  <c r="U253" i="10"/>
  <c r="S261" i="11"/>
  <c r="E262" i="11"/>
  <c r="F255" i="10"/>
  <c r="T254" i="10"/>
  <c r="U254" i="11"/>
  <c r="G255" i="11"/>
  <c r="AC250" i="10"/>
  <c r="Y250" i="10" s="1"/>
  <c r="Y250" i="11" s="1"/>
  <c r="T258" i="11"/>
  <c r="F259" i="11"/>
  <c r="S258" i="11"/>
  <c r="E259" i="11"/>
  <c r="A269" i="11"/>
  <c r="F265" i="11"/>
  <c r="E265" i="11"/>
  <c r="A266" i="11"/>
  <c r="A267" i="11" s="1"/>
  <c r="A268" i="11" s="1"/>
  <c r="U250" i="10"/>
  <c r="G251" i="10"/>
  <c r="F261" i="10"/>
  <c r="A262" i="10"/>
  <c r="A263" i="10" s="1"/>
  <c r="A264" i="10" s="1"/>
  <c r="A265" i="10"/>
  <c r="E261" i="10"/>
  <c r="E256" i="11"/>
  <c r="S256" i="11" s="1"/>
  <c r="S255" i="11"/>
  <c r="C247" i="11"/>
  <c r="C248" i="10"/>
  <c r="Q247" i="10"/>
  <c r="Q247" i="11" s="1"/>
  <c r="U257" i="11"/>
  <c r="G258" i="11"/>
  <c r="K252" i="10" l="1"/>
  <c r="K252" i="11" s="1"/>
  <c r="S252" i="10"/>
  <c r="AC252" i="10" s="1"/>
  <c r="Y252" i="10" s="1"/>
  <c r="Y252" i="11" s="1"/>
  <c r="F265" i="10"/>
  <c r="E265" i="10"/>
  <c r="A269" i="10"/>
  <c r="A266" i="10"/>
  <c r="A267" i="10" s="1"/>
  <c r="A268" i="10" s="1"/>
  <c r="F263" i="11"/>
  <c r="T262" i="11"/>
  <c r="T261" i="10"/>
  <c r="G261" i="10"/>
  <c r="F262" i="10"/>
  <c r="G256" i="11"/>
  <c r="U256" i="11" s="1"/>
  <c r="U255" i="11"/>
  <c r="S258" i="10"/>
  <c r="AC258" i="10" s="1"/>
  <c r="Y258" i="10" s="1"/>
  <c r="Y258" i="11" s="1"/>
  <c r="K258" i="10"/>
  <c r="K258" i="11" s="1"/>
  <c r="E259" i="10"/>
  <c r="G252" i="10"/>
  <c r="U252" i="10" s="1"/>
  <c r="U251" i="10"/>
  <c r="G262" i="11"/>
  <c r="U261" i="11"/>
  <c r="S255" i="10"/>
  <c r="AC255" i="10" s="1"/>
  <c r="Y255" i="10" s="1"/>
  <c r="Y255" i="11" s="1"/>
  <c r="K255" i="10"/>
  <c r="K255" i="11" s="1"/>
  <c r="E256" i="10"/>
  <c r="F266" i="11"/>
  <c r="G265" i="11"/>
  <c r="T265" i="11"/>
  <c r="C254" i="11"/>
  <c r="Q254" i="10"/>
  <c r="Q254" i="11" s="1"/>
  <c r="C255" i="10"/>
  <c r="A270" i="11"/>
  <c r="A271" i="11" s="1"/>
  <c r="A272" i="11" s="1"/>
  <c r="A273" i="11"/>
  <c r="E269" i="11"/>
  <c r="F269" i="11"/>
  <c r="G259" i="11"/>
  <c r="U258" i="11"/>
  <c r="S265" i="11"/>
  <c r="E266" i="11"/>
  <c r="C248" i="11"/>
  <c r="Q248" i="10"/>
  <c r="Q248" i="11" s="1"/>
  <c r="S259" i="11"/>
  <c r="E260" i="11"/>
  <c r="S260" i="11" s="1"/>
  <c r="G255" i="10"/>
  <c r="U254" i="10"/>
  <c r="C251" i="11"/>
  <c r="C252" i="10"/>
  <c r="Q251" i="10"/>
  <c r="Q251" i="11" s="1"/>
  <c r="T258" i="10"/>
  <c r="F259" i="10"/>
  <c r="C257" i="11"/>
  <c r="Q257" i="10"/>
  <c r="Q257" i="11" s="1"/>
  <c r="C258" i="10"/>
  <c r="F256" i="10"/>
  <c r="T256" i="10" s="1"/>
  <c r="T255" i="10"/>
  <c r="S262" i="11"/>
  <c r="E263" i="11"/>
  <c r="E262" i="10"/>
  <c r="Y261" i="10"/>
  <c r="Y261" i="11" s="1"/>
  <c r="S261" i="10"/>
  <c r="K261" i="10"/>
  <c r="K261" i="11" s="1"/>
  <c r="C261" i="10"/>
  <c r="T259" i="11"/>
  <c r="F260" i="11"/>
  <c r="T260" i="11" s="1"/>
  <c r="U257" i="10"/>
  <c r="G258" i="10"/>
  <c r="G263" i="11" l="1"/>
  <c r="U262" i="11"/>
  <c r="C255" i="11"/>
  <c r="C256" i="10"/>
  <c r="Q255" i="10"/>
  <c r="Q255" i="11" s="1"/>
  <c r="F264" i="11"/>
  <c r="T264" i="11" s="1"/>
  <c r="T263" i="11"/>
  <c r="U259" i="11"/>
  <c r="G260" i="11"/>
  <c r="U260" i="11" s="1"/>
  <c r="F263" i="10"/>
  <c r="T262" i="10"/>
  <c r="C252" i="11"/>
  <c r="Q252" i="10"/>
  <c r="Q252" i="11" s="1"/>
  <c r="T269" i="11"/>
  <c r="G269" i="11"/>
  <c r="F270" i="11"/>
  <c r="E263" i="10"/>
  <c r="S262" i="10"/>
  <c r="AC262" i="10" s="1"/>
  <c r="Y262" i="10" s="1"/>
  <c r="Y262" i="11" s="1"/>
  <c r="K262" i="10"/>
  <c r="K262" i="11" s="1"/>
  <c r="S269" i="11"/>
  <c r="E270" i="11"/>
  <c r="G262" i="10"/>
  <c r="U261" i="10"/>
  <c r="C258" i="11"/>
  <c r="Q258" i="10"/>
  <c r="Q258" i="11" s="1"/>
  <c r="C259" i="10"/>
  <c r="A273" i="10"/>
  <c r="F269" i="10"/>
  <c r="E269" i="10"/>
  <c r="A270" i="10"/>
  <c r="A271" i="10" s="1"/>
  <c r="A272" i="10" s="1"/>
  <c r="E266" i="10"/>
  <c r="C265" i="10"/>
  <c r="Y265" i="10"/>
  <c r="Y265" i="11" s="1"/>
  <c r="K265" i="10"/>
  <c r="K265" i="11" s="1"/>
  <c r="S265" i="10"/>
  <c r="G265" i="10"/>
  <c r="F266" i="10"/>
  <c r="T265" i="10"/>
  <c r="C261" i="11"/>
  <c r="Q261" i="10"/>
  <c r="Q261" i="11" s="1"/>
  <c r="C262" i="10"/>
  <c r="T259" i="10"/>
  <c r="F260" i="10"/>
  <c r="T260" i="10" s="1"/>
  <c r="T266" i="11"/>
  <c r="F267" i="11"/>
  <c r="E264" i="11"/>
  <c r="S264" i="11" s="1"/>
  <c r="S263" i="11"/>
  <c r="E273" i="11"/>
  <c r="A274" i="11"/>
  <c r="A275" i="11" s="1"/>
  <c r="A276" i="11" s="1"/>
  <c r="A277" i="11"/>
  <c r="F273" i="11"/>
  <c r="G256" i="10"/>
  <c r="U256" i="10" s="1"/>
  <c r="U255" i="10"/>
  <c r="U258" i="10"/>
  <c r="G259" i="10"/>
  <c r="S259" i="10"/>
  <c r="AC259" i="10" s="1"/>
  <c r="Y259" i="10" s="1"/>
  <c r="Y259" i="11" s="1"/>
  <c r="K259" i="10"/>
  <c r="K259" i="11" s="1"/>
  <c r="E260" i="10"/>
  <c r="E267" i="11"/>
  <c r="S266" i="11"/>
  <c r="G266" i="11"/>
  <c r="U265" i="11"/>
  <c r="S256" i="10"/>
  <c r="AC256" i="10" s="1"/>
  <c r="Y256" i="10" s="1"/>
  <c r="Y256" i="11" s="1"/>
  <c r="K256" i="10"/>
  <c r="K256" i="11" s="1"/>
  <c r="S260" i="10" l="1"/>
  <c r="AC260" i="10" s="1"/>
  <c r="Y260" i="10" s="1"/>
  <c r="Y260" i="11" s="1"/>
  <c r="K260" i="10"/>
  <c r="K260" i="11" s="1"/>
  <c r="U262" i="10"/>
  <c r="G263" i="10"/>
  <c r="F264" i="10"/>
  <c r="T264" i="10" s="1"/>
  <c r="T263" i="10"/>
  <c r="F268" i="11"/>
  <c r="T268" i="11" s="1"/>
  <c r="T267" i="11"/>
  <c r="E271" i="11"/>
  <c r="S270" i="11"/>
  <c r="K266" i="10"/>
  <c r="K266" i="11" s="1"/>
  <c r="E267" i="10"/>
  <c r="S266" i="10"/>
  <c r="K269" i="10"/>
  <c r="K269" i="11" s="1"/>
  <c r="S269" i="10"/>
  <c r="C269" i="10"/>
  <c r="E270" i="10"/>
  <c r="Y269" i="10"/>
  <c r="Y269" i="11" s="1"/>
  <c r="F273" i="10"/>
  <c r="A274" i="10"/>
  <c r="A275" i="10" s="1"/>
  <c r="A276" i="10" s="1"/>
  <c r="A277" i="10"/>
  <c r="E273" i="10"/>
  <c r="T270" i="11"/>
  <c r="F271" i="11"/>
  <c r="C256" i="11"/>
  <c r="Q256" i="10"/>
  <c r="Q256" i="11" s="1"/>
  <c r="E264" i="10"/>
  <c r="S263" i="10"/>
  <c r="AC263" i="10" s="1"/>
  <c r="Y263" i="10" s="1"/>
  <c r="Y263" i="11" s="1"/>
  <c r="K263" i="10"/>
  <c r="K263" i="11" s="1"/>
  <c r="A281" i="11"/>
  <c r="F277" i="11"/>
  <c r="E277" i="11"/>
  <c r="A278" i="11"/>
  <c r="A279" i="11" s="1"/>
  <c r="A280" i="11" s="1"/>
  <c r="C259" i="11"/>
  <c r="Q259" i="10"/>
  <c r="Q259" i="11" s="1"/>
  <c r="C260" i="10"/>
  <c r="U269" i="11"/>
  <c r="G270" i="11"/>
  <c r="T269" i="10"/>
  <c r="G269" i="10"/>
  <c r="F270" i="10"/>
  <c r="G267" i="11"/>
  <c r="U266" i="11"/>
  <c r="F267" i="10"/>
  <c r="T266" i="10"/>
  <c r="C265" i="11"/>
  <c r="C266" i="10"/>
  <c r="Q265" i="10"/>
  <c r="Q265" i="11" s="1"/>
  <c r="U259" i="10"/>
  <c r="G260" i="10"/>
  <c r="U260" i="10" s="1"/>
  <c r="C262" i="11"/>
  <c r="Q262" i="10"/>
  <c r="Q262" i="11" s="1"/>
  <c r="C263" i="10"/>
  <c r="G273" i="11"/>
  <c r="F274" i="11"/>
  <c r="T273" i="11"/>
  <c r="S267" i="11"/>
  <c r="E268" i="11"/>
  <c r="S268" i="11" s="1"/>
  <c r="S273" i="11"/>
  <c r="E274" i="11"/>
  <c r="G266" i="10"/>
  <c r="U265" i="10"/>
  <c r="G264" i="11"/>
  <c r="U264" i="11" s="1"/>
  <c r="U263" i="11"/>
  <c r="T273" i="10" l="1"/>
  <c r="G273" i="10"/>
  <c r="F274" i="10"/>
  <c r="G277" i="11"/>
  <c r="T277" i="11"/>
  <c r="F278" i="11"/>
  <c r="U273" i="11"/>
  <c r="G274" i="11"/>
  <c r="A285" i="11"/>
  <c r="F281" i="11"/>
  <c r="A282" i="11"/>
  <c r="A283" i="11" s="1"/>
  <c r="A284" i="11" s="1"/>
  <c r="E281" i="11"/>
  <c r="C263" i="11"/>
  <c r="C264" i="10"/>
  <c r="Q263" i="10"/>
  <c r="Q263" i="11" s="1"/>
  <c r="T270" i="10"/>
  <c r="F271" i="10"/>
  <c r="K267" i="10"/>
  <c r="K267" i="11" s="1"/>
  <c r="E268" i="10"/>
  <c r="S267" i="10"/>
  <c r="AC267" i="10" s="1"/>
  <c r="Y267" i="10" s="1"/>
  <c r="Y267" i="11" s="1"/>
  <c r="Y273" i="10"/>
  <c r="Y273" i="11" s="1"/>
  <c r="S273" i="10"/>
  <c r="K273" i="10"/>
  <c r="K273" i="11" s="1"/>
  <c r="E274" i="10"/>
  <c r="C273" i="10"/>
  <c r="T267" i="10"/>
  <c r="F268" i="10"/>
  <c r="T268" i="10" s="1"/>
  <c r="S277" i="11"/>
  <c r="E278" i="11"/>
  <c r="E277" i="10"/>
  <c r="A281" i="10"/>
  <c r="A278" i="10"/>
  <c r="A279" i="10" s="1"/>
  <c r="A280" i="10" s="1"/>
  <c r="F277" i="10"/>
  <c r="T274" i="11"/>
  <c r="F275" i="11"/>
  <c r="C269" i="11"/>
  <c r="Q269" i="10"/>
  <c r="Q269" i="11" s="1"/>
  <c r="C270" i="10"/>
  <c r="U270" i="11"/>
  <c r="G271" i="11"/>
  <c r="S264" i="10"/>
  <c r="AC264" i="10" s="1"/>
  <c r="Y264" i="10" s="1"/>
  <c r="Y264" i="11" s="1"/>
  <c r="K264" i="10"/>
  <c r="K264" i="11" s="1"/>
  <c r="G264" i="10"/>
  <c r="U264" i="10" s="1"/>
  <c r="U263" i="10"/>
  <c r="S271" i="11"/>
  <c r="E272" i="11"/>
  <c r="S272" i="11" s="1"/>
  <c r="U267" i="11"/>
  <c r="G268" i="11"/>
  <c r="U268" i="11" s="1"/>
  <c r="G270" i="10"/>
  <c r="U269" i="10"/>
  <c r="K270" i="10"/>
  <c r="K270" i="11" s="1"/>
  <c r="S270" i="10"/>
  <c r="AC270" i="10" s="1"/>
  <c r="E271" i="10"/>
  <c r="Y270" i="10"/>
  <c r="Y270" i="11" s="1"/>
  <c r="G267" i="10"/>
  <c r="U266" i="10"/>
  <c r="E275" i="11"/>
  <c r="S274" i="11"/>
  <c r="C260" i="11"/>
  <c r="Q260" i="10"/>
  <c r="Q260" i="11" s="1"/>
  <c r="AC266" i="10"/>
  <c r="Y266" i="10" s="1"/>
  <c r="Y266" i="11" s="1"/>
  <c r="C266" i="11"/>
  <c r="Q266" i="10"/>
  <c r="Q266" i="11" s="1"/>
  <c r="C267" i="10"/>
  <c r="T271" i="11"/>
  <c r="F272" i="11"/>
  <c r="T272" i="11" s="1"/>
  <c r="F282" i="11" l="1"/>
  <c r="G281" i="11"/>
  <c r="T281" i="11"/>
  <c r="E282" i="11"/>
  <c r="S281" i="11"/>
  <c r="G268" i="10"/>
  <c r="U268" i="10" s="1"/>
  <c r="U267" i="10"/>
  <c r="G275" i="11"/>
  <c r="U274" i="11"/>
  <c r="Y277" i="10"/>
  <c r="Y277" i="11" s="1"/>
  <c r="S277" i="10"/>
  <c r="C277" i="10"/>
  <c r="E278" i="10"/>
  <c r="K277" i="10"/>
  <c r="K277" i="11" s="1"/>
  <c r="C267" i="11"/>
  <c r="C268" i="10"/>
  <c r="Q267" i="10"/>
  <c r="Q267" i="11" s="1"/>
  <c r="S278" i="11"/>
  <c r="E279" i="11"/>
  <c r="T275" i="11"/>
  <c r="F276" i="11"/>
  <c r="T276" i="11" s="1"/>
  <c r="S275" i="11"/>
  <c r="E276" i="11"/>
  <c r="S276" i="11" s="1"/>
  <c r="U271" i="11"/>
  <c r="G272" i="11"/>
  <c r="U272" i="11" s="1"/>
  <c r="T271" i="10"/>
  <c r="F272" i="10"/>
  <c r="T272" i="10" s="1"/>
  <c r="G278" i="11"/>
  <c r="U277" i="11"/>
  <c r="F278" i="10"/>
  <c r="T277" i="10"/>
  <c r="G277" i="10"/>
  <c r="A286" i="11"/>
  <c r="A287" i="11" s="1"/>
  <c r="A288" i="11" s="1"/>
  <c r="F285" i="11"/>
  <c r="E285" i="11"/>
  <c r="A289" i="11"/>
  <c r="G271" i="10"/>
  <c r="U270" i="10"/>
  <c r="C270" i="11"/>
  <c r="Q270" i="10"/>
  <c r="Q270" i="11" s="1"/>
  <c r="C271" i="10"/>
  <c r="T274" i="10"/>
  <c r="F275" i="10"/>
  <c r="A285" i="10"/>
  <c r="E281" i="10"/>
  <c r="F281" i="10"/>
  <c r="A282" i="10"/>
  <c r="A283" i="10" s="1"/>
  <c r="A284" i="10" s="1"/>
  <c r="K268" i="10"/>
  <c r="K268" i="11" s="1"/>
  <c r="S268" i="10"/>
  <c r="AC268" i="10" s="1"/>
  <c r="Y268" i="10" s="1"/>
  <c r="Y268" i="11" s="1"/>
  <c r="E272" i="10"/>
  <c r="S271" i="10"/>
  <c r="AC271" i="10" s="1"/>
  <c r="K271" i="10"/>
  <c r="K271" i="11" s="1"/>
  <c r="Y271" i="10"/>
  <c r="Y271" i="11" s="1"/>
  <c r="C273" i="11"/>
  <c r="C274" i="10"/>
  <c r="Q273" i="10"/>
  <c r="Q273" i="11" s="1"/>
  <c r="C264" i="11"/>
  <c r="Q264" i="10"/>
  <c r="Q264" i="11" s="1"/>
  <c r="G274" i="10"/>
  <c r="U273" i="10"/>
  <c r="F279" i="11"/>
  <c r="T278" i="11"/>
  <c r="E275" i="10"/>
  <c r="S274" i="10"/>
  <c r="AC274" i="10" s="1"/>
  <c r="Y274" i="10" s="1"/>
  <c r="Y274" i="11" s="1"/>
  <c r="K274" i="10"/>
  <c r="K274" i="11" s="1"/>
  <c r="C277" i="11" l="1"/>
  <c r="C278" i="10"/>
  <c r="Q277" i="10"/>
  <c r="Q277" i="11" s="1"/>
  <c r="A290" i="11"/>
  <c r="A291" i="11" s="1"/>
  <c r="A292" i="11" s="1"/>
  <c r="A293" i="11"/>
  <c r="F289" i="11"/>
  <c r="E289" i="11"/>
  <c r="S285" i="11"/>
  <c r="E286" i="11"/>
  <c r="C271" i="11"/>
  <c r="Q271" i="10"/>
  <c r="Q271" i="11" s="1"/>
  <c r="C272" i="10"/>
  <c r="U274" i="10"/>
  <c r="G275" i="10"/>
  <c r="U278" i="11"/>
  <c r="G279" i="11"/>
  <c r="C268" i="11"/>
  <c r="Q268" i="10"/>
  <c r="Q268" i="11" s="1"/>
  <c r="E283" i="11"/>
  <c r="S282" i="11"/>
  <c r="F282" i="10"/>
  <c r="G281" i="10"/>
  <c r="T281" i="10"/>
  <c r="E276" i="10"/>
  <c r="S275" i="10"/>
  <c r="AC275" i="10" s="1"/>
  <c r="Y275" i="10" s="1"/>
  <c r="Y275" i="11" s="1"/>
  <c r="K275" i="10"/>
  <c r="K275" i="11" s="1"/>
  <c r="S272" i="10"/>
  <c r="AC272" i="10" s="1"/>
  <c r="K272" i="10"/>
  <c r="K272" i="11" s="1"/>
  <c r="Y272" i="10"/>
  <c r="Y272" i="11" s="1"/>
  <c r="G285" i="11"/>
  <c r="F286" i="11"/>
  <c r="T285" i="11"/>
  <c r="G282" i="11"/>
  <c r="U281" i="11"/>
  <c r="K281" i="10"/>
  <c r="K281" i="11" s="1"/>
  <c r="C281" i="10"/>
  <c r="E282" i="10"/>
  <c r="Y281" i="10"/>
  <c r="Y281" i="11" s="1"/>
  <c r="S281" i="10"/>
  <c r="C274" i="11"/>
  <c r="C275" i="10"/>
  <c r="Q274" i="10"/>
  <c r="Q274" i="11" s="1"/>
  <c r="A289" i="10"/>
  <c r="F285" i="10"/>
  <c r="E285" i="10"/>
  <c r="A286" i="10"/>
  <c r="A287" i="10" s="1"/>
  <c r="A288" i="10" s="1"/>
  <c r="G278" i="10"/>
  <c r="U277" i="10"/>
  <c r="G276" i="11"/>
  <c r="U276" i="11" s="1"/>
  <c r="U275" i="11"/>
  <c r="T275" i="10"/>
  <c r="F276" i="10"/>
  <c r="T276" i="10" s="1"/>
  <c r="E280" i="11"/>
  <c r="S280" i="11" s="1"/>
  <c r="S279" i="11"/>
  <c r="F279" i="10"/>
  <c r="T278" i="10"/>
  <c r="T279" i="11"/>
  <c r="F280" i="11"/>
  <c r="T280" i="11" s="1"/>
  <c r="U271" i="10"/>
  <c r="G272" i="10"/>
  <c r="U272" i="10" s="1"/>
  <c r="S278" i="10"/>
  <c r="AC278" i="10" s="1"/>
  <c r="Y278" i="10" s="1"/>
  <c r="Y278" i="11" s="1"/>
  <c r="E279" i="10"/>
  <c r="K278" i="10"/>
  <c r="K278" i="11" s="1"/>
  <c r="F283" i="11"/>
  <c r="T282" i="11"/>
  <c r="G283" i="11" l="1"/>
  <c r="U282" i="11"/>
  <c r="S286" i="11"/>
  <c r="E287" i="11"/>
  <c r="U285" i="11"/>
  <c r="G286" i="11"/>
  <c r="E284" i="11"/>
  <c r="S284" i="11" s="1"/>
  <c r="S283" i="11"/>
  <c r="S276" i="10"/>
  <c r="AC276" i="10" s="1"/>
  <c r="Y276" i="10" s="1"/>
  <c r="Y276" i="11" s="1"/>
  <c r="K276" i="10"/>
  <c r="K276" i="11" s="1"/>
  <c r="C272" i="11"/>
  <c r="Q272" i="10"/>
  <c r="Q272" i="11" s="1"/>
  <c r="F290" i="11"/>
  <c r="T289" i="11"/>
  <c r="G289" i="11"/>
  <c r="K279" i="10"/>
  <c r="K279" i="11" s="1"/>
  <c r="E280" i="10"/>
  <c r="S279" i="10"/>
  <c r="AC279" i="10" s="1"/>
  <c r="Y279" i="10" s="1"/>
  <c r="Y279" i="11" s="1"/>
  <c r="G279" i="10"/>
  <c r="U278" i="10"/>
  <c r="T285" i="10"/>
  <c r="G285" i="10"/>
  <c r="F286" i="10"/>
  <c r="T279" i="10"/>
  <c r="F280" i="10"/>
  <c r="T280" i="10" s="1"/>
  <c r="F287" i="11"/>
  <c r="T286" i="11"/>
  <c r="F293" i="11"/>
  <c r="E293" i="11"/>
  <c r="A294" i="11"/>
  <c r="A295" i="11" s="1"/>
  <c r="A296" i="11" s="1"/>
  <c r="A297" i="11"/>
  <c r="G280" i="11"/>
  <c r="U280" i="11" s="1"/>
  <c r="U279" i="11"/>
  <c r="A293" i="10"/>
  <c r="A290" i="10"/>
  <c r="A291" i="10" s="1"/>
  <c r="A292" i="10" s="1"/>
  <c r="E289" i="10"/>
  <c r="F289" i="10"/>
  <c r="S289" i="11"/>
  <c r="E290" i="11"/>
  <c r="F284" i="11"/>
  <c r="T284" i="11" s="1"/>
  <c r="T283" i="11"/>
  <c r="C275" i="11"/>
  <c r="C276" i="10"/>
  <c r="Q275" i="10"/>
  <c r="Q275" i="11" s="1"/>
  <c r="Y285" i="10"/>
  <c r="Y285" i="11" s="1"/>
  <c r="S285" i="10"/>
  <c r="K285" i="10"/>
  <c r="K285" i="11" s="1"/>
  <c r="C285" i="10"/>
  <c r="E286" i="10"/>
  <c r="G282" i="10"/>
  <c r="U281" i="10"/>
  <c r="T282" i="10"/>
  <c r="F283" i="10"/>
  <c r="K282" i="10"/>
  <c r="K282" i="11" s="1"/>
  <c r="S282" i="10"/>
  <c r="AC282" i="10" s="1"/>
  <c r="Y282" i="10" s="1"/>
  <c r="Y282" i="11" s="1"/>
  <c r="E283" i="10"/>
  <c r="U275" i="10"/>
  <c r="G276" i="10"/>
  <c r="U276" i="10" s="1"/>
  <c r="C278" i="11"/>
  <c r="C279" i="10"/>
  <c r="Q278" i="10"/>
  <c r="Q278" i="11" s="1"/>
  <c r="C281" i="11"/>
  <c r="Q281" i="10"/>
  <c r="Q281" i="11" s="1"/>
  <c r="C282" i="10"/>
  <c r="E293" i="10" l="1"/>
  <c r="A294" i="10"/>
  <c r="A295" i="10" s="1"/>
  <c r="A296" i="10" s="1"/>
  <c r="F293" i="10"/>
  <c r="A297" i="10"/>
  <c r="U285" i="10"/>
  <c r="G286" i="10"/>
  <c r="E284" i="10"/>
  <c r="S283" i="10"/>
  <c r="AC283" i="10" s="1"/>
  <c r="Y283" i="10" s="1"/>
  <c r="Y283" i="11" s="1"/>
  <c r="K283" i="10"/>
  <c r="K283" i="11" s="1"/>
  <c r="C276" i="11"/>
  <c r="Q276" i="10"/>
  <c r="Q276" i="11" s="1"/>
  <c r="A301" i="11"/>
  <c r="F297" i="11"/>
  <c r="A298" i="11"/>
  <c r="A299" i="11" s="1"/>
  <c r="A300" i="11" s="1"/>
  <c r="E297" i="11"/>
  <c r="G280" i="10"/>
  <c r="U280" i="10" s="1"/>
  <c r="U279" i="10"/>
  <c r="C282" i="11"/>
  <c r="C283" i="10"/>
  <c r="Q282" i="10"/>
  <c r="Q282" i="11" s="1"/>
  <c r="T283" i="10"/>
  <c r="F284" i="10"/>
  <c r="T284" i="10" s="1"/>
  <c r="G293" i="11"/>
  <c r="T293" i="11"/>
  <c r="F294" i="11"/>
  <c r="S280" i="10"/>
  <c r="AC280" i="10" s="1"/>
  <c r="Y280" i="10" s="1"/>
  <c r="Y280" i="11" s="1"/>
  <c r="K280" i="10"/>
  <c r="K280" i="11" s="1"/>
  <c r="E291" i="11"/>
  <c r="S290" i="11"/>
  <c r="G283" i="10"/>
  <c r="U282" i="10"/>
  <c r="T287" i="11"/>
  <c r="F288" i="11"/>
  <c r="T288" i="11" s="1"/>
  <c r="U289" i="11"/>
  <c r="G290" i="11"/>
  <c r="S287" i="11"/>
  <c r="E288" i="11"/>
  <c r="S288" i="11" s="1"/>
  <c r="E294" i="11"/>
  <c r="S293" i="11"/>
  <c r="U286" i="11"/>
  <c r="G287" i="11"/>
  <c r="C279" i="11"/>
  <c r="C280" i="10"/>
  <c r="Q279" i="10"/>
  <c r="Q279" i="11" s="1"/>
  <c r="S286" i="10"/>
  <c r="AC286" i="10" s="1"/>
  <c r="Y286" i="10" s="1"/>
  <c r="Y286" i="11" s="1"/>
  <c r="K286" i="10"/>
  <c r="K286" i="11" s="1"/>
  <c r="E287" i="10"/>
  <c r="G289" i="10"/>
  <c r="F290" i="10"/>
  <c r="T289" i="10"/>
  <c r="C285" i="11"/>
  <c r="C286" i="10"/>
  <c r="Q285" i="10"/>
  <c r="Q285" i="11" s="1"/>
  <c r="S289" i="10"/>
  <c r="E290" i="10"/>
  <c r="Y289" i="10"/>
  <c r="Y289" i="11" s="1"/>
  <c r="K289" i="10"/>
  <c r="K289" i="11" s="1"/>
  <c r="C289" i="10"/>
  <c r="T290" i="11"/>
  <c r="F291" i="11"/>
  <c r="T286" i="10"/>
  <c r="F287" i="10"/>
  <c r="G284" i="11"/>
  <c r="U284" i="11" s="1"/>
  <c r="U283" i="11"/>
  <c r="C280" i="11" l="1"/>
  <c r="Q280" i="10"/>
  <c r="Q280" i="11" s="1"/>
  <c r="G294" i="11"/>
  <c r="U293" i="11"/>
  <c r="S290" i="10"/>
  <c r="E291" i="10"/>
  <c r="K290" i="10"/>
  <c r="K290" i="11" s="1"/>
  <c r="E298" i="11"/>
  <c r="S297" i="11"/>
  <c r="F297" i="10"/>
  <c r="E297" i="10"/>
  <c r="A301" i="10"/>
  <c r="A298" i="10"/>
  <c r="A299" i="10" s="1"/>
  <c r="A300" i="10" s="1"/>
  <c r="G284" i="10"/>
  <c r="U284" i="10" s="1"/>
  <c r="U283" i="10"/>
  <c r="C283" i="11"/>
  <c r="Q283" i="10"/>
  <c r="Q283" i="11" s="1"/>
  <c r="C284" i="10"/>
  <c r="C286" i="11"/>
  <c r="Q286" i="10"/>
  <c r="Q286" i="11" s="1"/>
  <c r="C287" i="10"/>
  <c r="U287" i="11"/>
  <c r="G288" i="11"/>
  <c r="U288" i="11" s="1"/>
  <c r="S291" i="11"/>
  <c r="E292" i="11"/>
  <c r="S292" i="11" s="1"/>
  <c r="U286" i="10"/>
  <c r="G287" i="10"/>
  <c r="T287" i="10"/>
  <c r="F288" i="10"/>
  <c r="T288" i="10" s="1"/>
  <c r="F294" i="10"/>
  <c r="G293" i="10"/>
  <c r="T293" i="10"/>
  <c r="S284" i="10"/>
  <c r="AC284" i="10" s="1"/>
  <c r="Y284" i="10" s="1"/>
  <c r="Y284" i="11" s="1"/>
  <c r="K284" i="10"/>
  <c r="K284" i="11" s="1"/>
  <c r="F291" i="10"/>
  <c r="T290" i="10"/>
  <c r="S294" i="11"/>
  <c r="E295" i="11"/>
  <c r="F292" i="11"/>
  <c r="T292" i="11" s="1"/>
  <c r="T291" i="11"/>
  <c r="U289" i="10"/>
  <c r="G290" i="10"/>
  <c r="S287" i="10"/>
  <c r="AC287" i="10" s="1"/>
  <c r="Y287" i="10"/>
  <c r="Y287" i="11" s="1"/>
  <c r="K287" i="10"/>
  <c r="K287" i="11" s="1"/>
  <c r="E288" i="10"/>
  <c r="F295" i="11"/>
  <c r="T294" i="11"/>
  <c r="F298" i="11"/>
  <c r="T297" i="11"/>
  <c r="G297" i="11"/>
  <c r="C289" i="11"/>
  <c r="C290" i="10"/>
  <c r="Q289" i="10"/>
  <c r="Q289" i="11" s="1"/>
  <c r="G291" i="11"/>
  <c r="U290" i="11"/>
  <c r="A302" i="11"/>
  <c r="A303" i="11" s="1"/>
  <c r="A304" i="11" s="1"/>
  <c r="F301" i="11"/>
  <c r="E301" i="11"/>
  <c r="A305" i="11"/>
  <c r="C293" i="10"/>
  <c r="E294" i="10"/>
  <c r="Y293" i="10"/>
  <c r="Y293" i="11" s="1"/>
  <c r="K293" i="10"/>
  <c r="K293" i="11" s="1"/>
  <c r="S293" i="10"/>
  <c r="E299" i="11" l="1"/>
  <c r="S298" i="11"/>
  <c r="G301" i="11"/>
  <c r="F302" i="11"/>
  <c r="T301" i="11"/>
  <c r="K288" i="10"/>
  <c r="K288" i="11" s="1"/>
  <c r="S288" i="10"/>
  <c r="AC288" i="10" s="1"/>
  <c r="Y288" i="10" s="1"/>
  <c r="Y288" i="11" s="1"/>
  <c r="S297" i="10"/>
  <c r="K297" i="10"/>
  <c r="K297" i="11" s="1"/>
  <c r="C297" i="10"/>
  <c r="E298" i="10"/>
  <c r="Y297" i="10"/>
  <c r="Y297" i="11" s="1"/>
  <c r="T297" i="10"/>
  <c r="G297" i="10"/>
  <c r="F298" i="10"/>
  <c r="C290" i="11"/>
  <c r="C291" i="10"/>
  <c r="Q290" i="10"/>
  <c r="Q290" i="11" s="1"/>
  <c r="F295" i="10"/>
  <c r="T294" i="10"/>
  <c r="C284" i="11"/>
  <c r="Q284" i="10"/>
  <c r="Q284" i="11" s="1"/>
  <c r="AC290" i="10"/>
  <c r="Y290" i="10" s="1"/>
  <c r="Y290" i="11" s="1"/>
  <c r="C287" i="11"/>
  <c r="Q287" i="10"/>
  <c r="Q287" i="11" s="1"/>
  <c r="C288" i="10"/>
  <c r="U291" i="11"/>
  <c r="G292" i="11"/>
  <c r="U292" i="11" s="1"/>
  <c r="U290" i="10"/>
  <c r="G291" i="10"/>
  <c r="G294" i="10"/>
  <c r="U293" i="10"/>
  <c r="K291" i="10"/>
  <c r="K291" i="11" s="1"/>
  <c r="E292" i="10"/>
  <c r="Y291" i="10"/>
  <c r="Y291" i="11" s="1"/>
  <c r="S291" i="10"/>
  <c r="AC291" i="10" s="1"/>
  <c r="U297" i="11"/>
  <c r="G298" i="11"/>
  <c r="K294" i="10"/>
  <c r="K294" i="11" s="1"/>
  <c r="E295" i="10"/>
  <c r="S294" i="10"/>
  <c r="E296" i="11"/>
  <c r="S296" i="11" s="1"/>
  <c r="S295" i="11"/>
  <c r="U287" i="10"/>
  <c r="G288" i="10"/>
  <c r="U288" i="10" s="1"/>
  <c r="C293" i="11"/>
  <c r="C294" i="10"/>
  <c r="Q293" i="10"/>
  <c r="Q293" i="11" s="1"/>
  <c r="F299" i="11"/>
  <c r="T298" i="11"/>
  <c r="U294" i="11"/>
  <c r="G295" i="11"/>
  <c r="A306" i="11"/>
  <c r="A307" i="11" s="1"/>
  <c r="A308" i="11" s="1"/>
  <c r="A309" i="11"/>
  <c r="F305" i="11"/>
  <c r="E305" i="11"/>
  <c r="E302" i="11"/>
  <c r="S301" i="11"/>
  <c r="T295" i="11"/>
  <c r="F296" i="11"/>
  <c r="T296" i="11" s="1"/>
  <c r="F292" i="10"/>
  <c r="T292" i="10" s="1"/>
  <c r="T291" i="10"/>
  <c r="A302" i="10"/>
  <c r="A303" i="10" s="1"/>
  <c r="A304" i="10" s="1"/>
  <c r="A305" i="10"/>
  <c r="F301" i="10"/>
  <c r="E301" i="10"/>
  <c r="S298" i="10" l="1"/>
  <c r="AC298" i="10" s="1"/>
  <c r="Y298" i="10" s="1"/>
  <c r="Y298" i="11" s="1"/>
  <c r="K298" i="10"/>
  <c r="K298" i="11" s="1"/>
  <c r="E299" i="10"/>
  <c r="C297" i="11"/>
  <c r="Q297" i="10"/>
  <c r="Q297" i="11" s="1"/>
  <c r="C298" i="10"/>
  <c r="E303" i="11"/>
  <c r="S302" i="11"/>
  <c r="S305" i="11"/>
  <c r="E306" i="11"/>
  <c r="T305" i="11"/>
  <c r="G305" i="11"/>
  <c r="F306" i="11"/>
  <c r="F309" i="11"/>
  <c r="E309" i="11"/>
  <c r="A310" i="11"/>
  <c r="A311" i="11" s="1"/>
  <c r="A312" i="11" s="1"/>
  <c r="A313" i="11"/>
  <c r="G295" i="10"/>
  <c r="U294" i="10"/>
  <c r="F296" i="10"/>
  <c r="T296" i="10" s="1"/>
  <c r="T295" i="10"/>
  <c r="AC294" i="10"/>
  <c r="Y294" i="10" s="1"/>
  <c r="Y294" i="11" s="1"/>
  <c r="G292" i="10"/>
  <c r="U292" i="10" s="1"/>
  <c r="U291" i="10"/>
  <c r="G301" i="10"/>
  <c r="T301" i="10"/>
  <c r="F302" i="10"/>
  <c r="G296" i="11"/>
  <c r="U296" i="11" s="1"/>
  <c r="U295" i="11"/>
  <c r="F303" i="11"/>
  <c r="T302" i="11"/>
  <c r="E302" i="10"/>
  <c r="C301" i="10"/>
  <c r="Y301" i="10"/>
  <c r="Y301" i="11" s="1"/>
  <c r="S301" i="10"/>
  <c r="K301" i="10"/>
  <c r="K301" i="11" s="1"/>
  <c r="A306" i="10"/>
  <c r="A307" i="10" s="1"/>
  <c r="A308" i="10" s="1"/>
  <c r="E305" i="10"/>
  <c r="A309" i="10"/>
  <c r="F305" i="10"/>
  <c r="K295" i="10"/>
  <c r="K295" i="11" s="1"/>
  <c r="E296" i="10"/>
  <c r="S295" i="10"/>
  <c r="AC295" i="10" s="1"/>
  <c r="Y295" i="10" s="1"/>
  <c r="Y295" i="11" s="1"/>
  <c r="C291" i="11"/>
  <c r="C292" i="10"/>
  <c r="Q291" i="10"/>
  <c r="Q291" i="11" s="1"/>
  <c r="F300" i="11"/>
  <c r="T300" i="11" s="1"/>
  <c r="T299" i="11"/>
  <c r="G299" i="11"/>
  <c r="U298" i="11"/>
  <c r="C288" i="11"/>
  <c r="Q288" i="10"/>
  <c r="Q288" i="11" s="1"/>
  <c r="U297" i="10"/>
  <c r="G298" i="10"/>
  <c r="G302" i="11"/>
  <c r="U301" i="11"/>
  <c r="S292" i="10"/>
  <c r="AC292" i="10" s="1"/>
  <c r="Y292" i="10" s="1"/>
  <c r="Y292" i="11" s="1"/>
  <c r="K292" i="10"/>
  <c r="K292" i="11" s="1"/>
  <c r="T298" i="10"/>
  <c r="F299" i="10"/>
  <c r="C294" i="11"/>
  <c r="C295" i="10"/>
  <c r="Q294" i="10"/>
  <c r="Q294" i="11" s="1"/>
  <c r="E300" i="11"/>
  <c r="S300" i="11" s="1"/>
  <c r="S299" i="11"/>
  <c r="F300" i="10" l="1"/>
  <c r="T300" i="10" s="1"/>
  <c r="T299" i="10"/>
  <c r="G300" i="11"/>
  <c r="U300" i="11" s="1"/>
  <c r="U299" i="11"/>
  <c r="U301" i="10"/>
  <c r="G302" i="10"/>
  <c r="T306" i="11"/>
  <c r="F307" i="11"/>
  <c r="S306" i="11"/>
  <c r="E307" i="11"/>
  <c r="C292" i="11"/>
  <c r="Q292" i="10"/>
  <c r="Q292" i="11" s="1"/>
  <c r="U302" i="11"/>
  <c r="G303" i="11"/>
  <c r="U298" i="10"/>
  <c r="G299" i="10"/>
  <c r="S303" i="11"/>
  <c r="E304" i="11"/>
  <c r="S304" i="11" s="1"/>
  <c r="S296" i="10"/>
  <c r="AC296" i="10" s="1"/>
  <c r="K296" i="10"/>
  <c r="K296" i="11" s="1"/>
  <c r="Y296" i="10"/>
  <c r="Y296" i="11" s="1"/>
  <c r="T303" i="11"/>
  <c r="F304" i="11"/>
  <c r="T304" i="11" s="1"/>
  <c r="U295" i="10"/>
  <c r="G296" i="10"/>
  <c r="U296" i="10" s="1"/>
  <c r="C298" i="11"/>
  <c r="Q298" i="10"/>
  <c r="Q298" i="11" s="1"/>
  <c r="C299" i="10"/>
  <c r="A317" i="11"/>
  <c r="F313" i="11"/>
  <c r="E313" i="11"/>
  <c r="A314" i="11"/>
  <c r="A315" i="11" s="1"/>
  <c r="A316" i="11" s="1"/>
  <c r="C301" i="11"/>
  <c r="C302" i="10"/>
  <c r="Q301" i="10"/>
  <c r="Q301" i="11" s="1"/>
  <c r="S302" i="10"/>
  <c r="AC302" i="10" s="1"/>
  <c r="Y302" i="10" s="1"/>
  <c r="Y302" i="11" s="1"/>
  <c r="K302" i="10"/>
  <c r="K302" i="11" s="1"/>
  <c r="E303" i="10"/>
  <c r="G305" i="10"/>
  <c r="T305" i="10"/>
  <c r="F306" i="10"/>
  <c r="C295" i="11"/>
  <c r="Q295" i="10"/>
  <c r="Q295" i="11" s="1"/>
  <c r="C296" i="10"/>
  <c r="A310" i="10"/>
  <c r="A311" i="10" s="1"/>
  <c r="A312" i="10" s="1"/>
  <c r="A313" i="10"/>
  <c r="F309" i="10"/>
  <c r="E309" i="10"/>
  <c r="F303" i="10"/>
  <c r="T302" i="10"/>
  <c r="E310" i="11"/>
  <c r="S309" i="11"/>
  <c r="S299" i="10"/>
  <c r="AC299" i="10" s="1"/>
  <c r="Y299" i="10" s="1"/>
  <c r="Y299" i="11" s="1"/>
  <c r="K299" i="10"/>
  <c r="K299" i="11" s="1"/>
  <c r="E300" i="10"/>
  <c r="C305" i="10"/>
  <c r="E306" i="10"/>
  <c r="Y305" i="10"/>
  <c r="Y305" i="11" s="1"/>
  <c r="S305" i="10"/>
  <c r="K305" i="10"/>
  <c r="K305" i="11" s="1"/>
  <c r="G309" i="11"/>
  <c r="F310" i="11"/>
  <c r="T309" i="11"/>
  <c r="U305" i="11"/>
  <c r="G306" i="11"/>
  <c r="T303" i="10" l="1"/>
  <c r="F304" i="10"/>
  <c r="T304" i="10" s="1"/>
  <c r="K309" i="10"/>
  <c r="K309" i="11" s="1"/>
  <c r="E310" i="10"/>
  <c r="Y309" i="10"/>
  <c r="Y309" i="11" s="1"/>
  <c r="S309" i="10"/>
  <c r="C309" i="10"/>
  <c r="T309" i="10"/>
  <c r="F310" i="10"/>
  <c r="G309" i="10"/>
  <c r="C305" i="11"/>
  <c r="C306" i="10"/>
  <c r="Q305" i="10"/>
  <c r="Q305" i="11" s="1"/>
  <c r="K306" i="10"/>
  <c r="K306" i="11" s="1"/>
  <c r="E307" i="10"/>
  <c r="S306" i="10"/>
  <c r="AC306" i="10" s="1"/>
  <c r="Y306" i="10" s="1"/>
  <c r="Y306" i="11" s="1"/>
  <c r="F313" i="10"/>
  <c r="A314" i="10"/>
  <c r="A315" i="10" s="1"/>
  <c r="A316" i="10" s="1"/>
  <c r="A317" i="10"/>
  <c r="E313" i="10"/>
  <c r="S313" i="11"/>
  <c r="E314" i="11"/>
  <c r="F307" i="10"/>
  <c r="T306" i="10"/>
  <c r="T307" i="11"/>
  <c r="F308" i="11"/>
  <c r="T308" i="11" s="1"/>
  <c r="F314" i="11"/>
  <c r="T313" i="11"/>
  <c r="G313" i="11"/>
  <c r="A321" i="11"/>
  <c r="A318" i="11"/>
  <c r="A319" i="11" s="1"/>
  <c r="A320" i="11" s="1"/>
  <c r="F317" i="11"/>
  <c r="E317" i="11"/>
  <c r="U302" i="10"/>
  <c r="G303" i="10"/>
  <c r="F311" i="11"/>
  <c r="T310" i="11"/>
  <c r="E311" i="11"/>
  <c r="S310" i="11"/>
  <c r="G306" i="10"/>
  <c r="U305" i="10"/>
  <c r="C299" i="11"/>
  <c r="Q299" i="10"/>
  <c r="Q299" i="11" s="1"/>
  <c r="C300" i="10"/>
  <c r="U299" i="10"/>
  <c r="G300" i="10"/>
  <c r="U300" i="10" s="1"/>
  <c r="U306" i="11"/>
  <c r="G307" i="11"/>
  <c r="G310" i="11"/>
  <c r="U309" i="11"/>
  <c r="E304" i="10"/>
  <c r="S303" i="10"/>
  <c r="AC303" i="10" s="1"/>
  <c r="Y303" i="10" s="1"/>
  <c r="Y303" i="11" s="1"/>
  <c r="K303" i="10"/>
  <c r="K303" i="11" s="1"/>
  <c r="G304" i="11"/>
  <c r="U304" i="11" s="1"/>
  <c r="U303" i="11"/>
  <c r="C302" i="11"/>
  <c r="C303" i="10"/>
  <c r="Q302" i="10"/>
  <c r="Q302" i="11" s="1"/>
  <c r="S307" i="11"/>
  <c r="E308" i="11"/>
  <c r="S308" i="11" s="1"/>
  <c r="K300" i="10"/>
  <c r="K300" i="11" s="1"/>
  <c r="S300" i="10"/>
  <c r="AC300" i="10" s="1"/>
  <c r="Y300" i="10" s="1"/>
  <c r="Y300" i="11" s="1"/>
  <c r="C296" i="11"/>
  <c r="Q296" i="10"/>
  <c r="Q296" i="11" s="1"/>
  <c r="S304" i="10" l="1"/>
  <c r="AC304" i="10" s="1"/>
  <c r="Y304" i="10" s="1"/>
  <c r="Y304" i="11" s="1"/>
  <c r="K304" i="10"/>
  <c r="K304" i="11" s="1"/>
  <c r="G307" i="10"/>
  <c r="U306" i="10"/>
  <c r="U303" i="10"/>
  <c r="G304" i="10"/>
  <c r="U304" i="10" s="1"/>
  <c r="T307" i="10"/>
  <c r="F308" i="10"/>
  <c r="T308" i="10" s="1"/>
  <c r="C306" i="11"/>
  <c r="C307" i="10"/>
  <c r="Q306" i="10"/>
  <c r="Q306" i="11" s="1"/>
  <c r="A322" i="11"/>
  <c r="A323" i="11" s="1"/>
  <c r="A324" i="11" s="1"/>
  <c r="F321" i="11"/>
  <c r="E321" i="11"/>
  <c r="A325" i="11"/>
  <c r="C309" i="11"/>
  <c r="Q309" i="10"/>
  <c r="Q309" i="11" s="1"/>
  <c r="C310" i="10"/>
  <c r="C303" i="11"/>
  <c r="C304" i="10"/>
  <c r="Q303" i="10"/>
  <c r="Q303" i="11" s="1"/>
  <c r="E315" i="11"/>
  <c r="S314" i="11"/>
  <c r="U313" i="11"/>
  <c r="G314" i="11"/>
  <c r="G313" i="10"/>
  <c r="F314" i="10"/>
  <c r="T313" i="10"/>
  <c r="G317" i="11"/>
  <c r="F318" i="11"/>
  <c r="T317" i="11"/>
  <c r="U309" i="10"/>
  <c r="G310" i="10"/>
  <c r="E314" i="10"/>
  <c r="C313" i="10"/>
  <c r="Y313" i="10"/>
  <c r="Y313" i="11" s="1"/>
  <c r="S313" i="10"/>
  <c r="K313" i="10"/>
  <c r="K313" i="11" s="1"/>
  <c r="T310" i="10"/>
  <c r="F311" i="10"/>
  <c r="A318" i="10"/>
  <c r="A319" i="10" s="1"/>
  <c r="A320" i="10" s="1"/>
  <c r="A321" i="10"/>
  <c r="F317" i="10"/>
  <c r="E317" i="10"/>
  <c r="T314" i="11"/>
  <c r="F315" i="11"/>
  <c r="S307" i="10"/>
  <c r="AC307" i="10" s="1"/>
  <c r="K307" i="10"/>
  <c r="K307" i="11" s="1"/>
  <c r="E308" i="10"/>
  <c r="Y307" i="10"/>
  <c r="Y307" i="11" s="1"/>
  <c r="K310" i="10"/>
  <c r="K310" i="11" s="1"/>
  <c r="E311" i="10"/>
  <c r="S310" i="10"/>
  <c r="AC310" i="10" s="1"/>
  <c r="Y310" i="10" s="1"/>
  <c r="Y310" i="11" s="1"/>
  <c r="E312" i="11"/>
  <c r="S312" i="11" s="1"/>
  <c r="S311" i="11"/>
  <c r="G311" i="11"/>
  <c r="U310" i="11"/>
  <c r="E318" i="11"/>
  <c r="S317" i="11"/>
  <c r="C300" i="11"/>
  <c r="Q300" i="10"/>
  <c r="Q300" i="11" s="1"/>
  <c r="U307" i="11"/>
  <c r="G308" i="11"/>
  <c r="U308" i="11" s="1"/>
  <c r="F312" i="11"/>
  <c r="T312" i="11" s="1"/>
  <c r="T311" i="11"/>
  <c r="G314" i="10" l="1"/>
  <c r="U313" i="10"/>
  <c r="S308" i="10"/>
  <c r="AC308" i="10" s="1"/>
  <c r="Y308" i="10" s="1"/>
  <c r="Y308" i="11" s="1"/>
  <c r="K308" i="10"/>
  <c r="K308" i="11" s="1"/>
  <c r="U314" i="11"/>
  <c r="G315" i="11"/>
  <c r="F322" i="11"/>
  <c r="T321" i="11"/>
  <c r="G321" i="11"/>
  <c r="C313" i="11"/>
  <c r="Q313" i="10"/>
  <c r="Q313" i="11" s="1"/>
  <c r="C314" i="10"/>
  <c r="E319" i="11"/>
  <c r="S318" i="11"/>
  <c r="T315" i="11"/>
  <c r="F316" i="11"/>
  <c r="T316" i="11" s="1"/>
  <c r="E315" i="10"/>
  <c r="S314" i="10"/>
  <c r="K314" i="10"/>
  <c r="K314" i="11" s="1"/>
  <c r="E316" i="11"/>
  <c r="S316" i="11" s="1"/>
  <c r="S315" i="11"/>
  <c r="C307" i="11"/>
  <c r="C308" i="10"/>
  <c r="Q307" i="10"/>
  <c r="Q307" i="11" s="1"/>
  <c r="G312" i="11"/>
  <c r="U312" i="11" s="1"/>
  <c r="U311" i="11"/>
  <c r="U310" i="10"/>
  <c r="G311" i="10"/>
  <c r="E318" i="10"/>
  <c r="C317" i="10"/>
  <c r="Y317" i="10"/>
  <c r="Y317" i="11" s="1"/>
  <c r="S317" i="10"/>
  <c r="K317" i="10"/>
  <c r="K317" i="11" s="1"/>
  <c r="C304" i="11"/>
  <c r="Q304" i="10"/>
  <c r="Q304" i="11" s="1"/>
  <c r="T317" i="10"/>
  <c r="F318" i="10"/>
  <c r="G317" i="10"/>
  <c r="A325" i="10"/>
  <c r="F321" i="10"/>
  <c r="E321" i="10"/>
  <c r="A322" i="10"/>
  <c r="A323" i="10" s="1"/>
  <c r="A324" i="10" s="1"/>
  <c r="F319" i="11"/>
  <c r="T318" i="11"/>
  <c r="C310" i="11"/>
  <c r="Q310" i="10"/>
  <c r="Q310" i="11" s="1"/>
  <c r="C311" i="10"/>
  <c r="S311" i="10"/>
  <c r="AC311" i="10" s="1"/>
  <c r="Y311" i="10" s="1"/>
  <c r="Y311" i="11" s="1"/>
  <c r="E312" i="10"/>
  <c r="K311" i="10"/>
  <c r="K311" i="11" s="1"/>
  <c r="G318" i="11"/>
  <c r="U317" i="11"/>
  <c r="F312" i="10"/>
  <c r="T312" i="10" s="1"/>
  <c r="T311" i="10"/>
  <c r="F315" i="10"/>
  <c r="T314" i="10"/>
  <c r="F325" i="11"/>
  <c r="E325" i="11"/>
  <c r="A329" i="11"/>
  <c r="A326" i="11"/>
  <c r="A327" i="11" s="1"/>
  <c r="A328" i="11" s="1"/>
  <c r="U307" i="10"/>
  <c r="G308" i="10"/>
  <c r="U308" i="10" s="1"/>
  <c r="S321" i="11"/>
  <c r="E322" i="11"/>
  <c r="T325" i="11" l="1"/>
  <c r="G325" i="11"/>
  <c r="F326" i="11"/>
  <c r="U321" i="11"/>
  <c r="G322" i="11"/>
  <c r="T319" i="11"/>
  <c r="F320" i="11"/>
  <c r="T320" i="11" s="1"/>
  <c r="C317" i="11"/>
  <c r="Q317" i="10"/>
  <c r="Q317" i="11" s="1"/>
  <c r="C318" i="10"/>
  <c r="S322" i="11"/>
  <c r="E323" i="11"/>
  <c r="U318" i="11"/>
  <c r="G319" i="11"/>
  <c r="T321" i="10"/>
  <c r="G321" i="10"/>
  <c r="F322" i="10"/>
  <c r="U311" i="10"/>
  <c r="G312" i="10"/>
  <c r="U312" i="10" s="1"/>
  <c r="E316" i="10"/>
  <c r="S315" i="10"/>
  <c r="AC315" i="10" s="1"/>
  <c r="Y315" i="10" s="1"/>
  <c r="Y315" i="11" s="1"/>
  <c r="K315" i="10"/>
  <c r="K315" i="11" s="1"/>
  <c r="AC314" i="10"/>
  <c r="Y314" i="10" s="1"/>
  <c r="Y314" i="11" s="1"/>
  <c r="E325" i="10"/>
  <c r="A329" i="10"/>
  <c r="A326" i="10"/>
  <c r="A327" i="10" s="1"/>
  <c r="A328" i="10" s="1"/>
  <c r="F325" i="10"/>
  <c r="U317" i="10"/>
  <c r="G318" i="10"/>
  <c r="T322" i="11"/>
  <c r="F323" i="11"/>
  <c r="S318" i="10"/>
  <c r="AC318" i="10" s="1"/>
  <c r="Y318" i="10" s="1"/>
  <c r="Y318" i="11" s="1"/>
  <c r="K318" i="10"/>
  <c r="K318" i="11" s="1"/>
  <c r="E319" i="10"/>
  <c r="U315" i="11"/>
  <c r="G316" i="11"/>
  <c r="U316" i="11" s="1"/>
  <c r="S312" i="10"/>
  <c r="AC312" i="10" s="1"/>
  <c r="K312" i="10"/>
  <c r="K312" i="11" s="1"/>
  <c r="Y312" i="10"/>
  <c r="Y312" i="11" s="1"/>
  <c r="T318" i="10"/>
  <c r="F319" i="10"/>
  <c r="F316" i="10"/>
  <c r="T316" i="10" s="1"/>
  <c r="T315" i="10"/>
  <c r="K321" i="10"/>
  <c r="K321" i="11" s="1"/>
  <c r="E322" i="10"/>
  <c r="C321" i="10"/>
  <c r="Y321" i="10"/>
  <c r="Y321" i="11" s="1"/>
  <c r="S321" i="10"/>
  <c r="A333" i="11"/>
  <c r="F329" i="11"/>
  <c r="E329" i="11"/>
  <c r="A330" i="11"/>
  <c r="A331" i="11" s="1"/>
  <c r="A332" i="11" s="1"/>
  <c r="E320" i="11"/>
  <c r="S320" i="11" s="1"/>
  <c r="S319" i="11"/>
  <c r="E326" i="11"/>
  <c r="S325" i="11"/>
  <c r="C311" i="11"/>
  <c r="Q311" i="10"/>
  <c r="Q311" i="11" s="1"/>
  <c r="C312" i="10"/>
  <c r="C308" i="11"/>
  <c r="Q308" i="10"/>
  <c r="Q308" i="11" s="1"/>
  <c r="C314" i="11"/>
  <c r="Q314" i="10"/>
  <c r="Q314" i="11" s="1"/>
  <c r="C315" i="10"/>
  <c r="U314" i="10"/>
  <c r="G315" i="10"/>
  <c r="S323" i="11" l="1"/>
  <c r="E324" i="11"/>
  <c r="S324" i="11" s="1"/>
  <c r="C312" i="11"/>
  <c r="Q312" i="10"/>
  <c r="Q312" i="11" s="1"/>
  <c r="S319" i="10"/>
  <c r="AC319" i="10" s="1"/>
  <c r="Y319" i="10" s="1"/>
  <c r="Y319" i="11" s="1"/>
  <c r="K319" i="10"/>
  <c r="K319" i="11" s="1"/>
  <c r="E320" i="10"/>
  <c r="K322" i="10"/>
  <c r="K322" i="11" s="1"/>
  <c r="E323" i="10"/>
  <c r="S322" i="10"/>
  <c r="AC322" i="10" s="1"/>
  <c r="Y322" i="10" s="1"/>
  <c r="Y322" i="11" s="1"/>
  <c r="S326" i="11"/>
  <c r="E327" i="11"/>
  <c r="S316" i="10"/>
  <c r="AC316" i="10" s="1"/>
  <c r="Y316" i="10" s="1"/>
  <c r="Y316" i="11" s="1"/>
  <c r="K316" i="10"/>
  <c r="K316" i="11" s="1"/>
  <c r="U315" i="10"/>
  <c r="G316" i="10"/>
  <c r="U316" i="10" s="1"/>
  <c r="T323" i="11"/>
  <c r="F324" i="11"/>
  <c r="T324" i="11" s="1"/>
  <c r="T319" i="10"/>
  <c r="F320" i="10"/>
  <c r="T320" i="10" s="1"/>
  <c r="C315" i="11"/>
  <c r="C316" i="10"/>
  <c r="Q315" i="10"/>
  <c r="Q315" i="11" s="1"/>
  <c r="U318" i="10"/>
  <c r="G319" i="10"/>
  <c r="T322" i="10"/>
  <c r="F323" i="10"/>
  <c r="G323" i="11"/>
  <c r="U322" i="11"/>
  <c r="C321" i="11"/>
  <c r="Q321" i="10"/>
  <c r="Q321" i="11" s="1"/>
  <c r="C322" i="10"/>
  <c r="G325" i="10"/>
  <c r="F326" i="10"/>
  <c r="T325" i="10"/>
  <c r="G322" i="10"/>
  <c r="U321" i="10"/>
  <c r="A337" i="11"/>
  <c r="F333" i="11"/>
  <c r="E333" i="11"/>
  <c r="A334" i="11"/>
  <c r="A335" i="11" s="1"/>
  <c r="A336" i="11" s="1"/>
  <c r="T326" i="11"/>
  <c r="F327" i="11"/>
  <c r="C318" i="11"/>
  <c r="Q318" i="10"/>
  <c r="Q318" i="11" s="1"/>
  <c r="C319" i="10"/>
  <c r="S329" i="11"/>
  <c r="E330" i="11"/>
  <c r="F330" i="11"/>
  <c r="T329" i="11"/>
  <c r="G329" i="11"/>
  <c r="F329" i="10"/>
  <c r="E329" i="10"/>
  <c r="A333" i="10"/>
  <c r="A330" i="10"/>
  <c r="A331" i="10" s="1"/>
  <c r="A332" i="10" s="1"/>
  <c r="U319" i="11"/>
  <c r="G320" i="11"/>
  <c r="U320" i="11" s="1"/>
  <c r="U325" i="11"/>
  <c r="G326" i="11"/>
  <c r="C325" i="10"/>
  <c r="E326" i="10"/>
  <c r="Y325" i="10"/>
  <c r="Y325" i="11" s="1"/>
  <c r="S325" i="10"/>
  <c r="K325" i="10"/>
  <c r="K325" i="11" s="1"/>
  <c r="E324" i="10" l="1"/>
  <c r="S323" i="10"/>
  <c r="AC323" i="10" s="1"/>
  <c r="Y323" i="10" s="1"/>
  <c r="Y323" i="11" s="1"/>
  <c r="K323" i="10"/>
  <c r="K323" i="11" s="1"/>
  <c r="G329" i="10"/>
  <c r="T329" i="10"/>
  <c r="F330" i="10"/>
  <c r="E334" i="11"/>
  <c r="S333" i="11"/>
  <c r="U323" i="11"/>
  <c r="G324" i="11"/>
  <c r="U324" i="11" s="1"/>
  <c r="U329" i="11"/>
  <c r="G330" i="11"/>
  <c r="G326" i="10"/>
  <c r="U325" i="10"/>
  <c r="C322" i="11"/>
  <c r="Q322" i="10"/>
  <c r="Q322" i="11" s="1"/>
  <c r="C323" i="10"/>
  <c r="T327" i="11"/>
  <c r="F328" i="11"/>
  <c r="T328" i="11" s="1"/>
  <c r="A334" i="10"/>
  <c r="A335" i="10" s="1"/>
  <c r="A336" i="10" s="1"/>
  <c r="F333" i="10"/>
  <c r="E333" i="10"/>
  <c r="A337" i="10"/>
  <c r="E330" i="10"/>
  <c r="C329" i="10"/>
  <c r="K329" i="10"/>
  <c r="K329" i="11" s="1"/>
  <c r="Y329" i="10"/>
  <c r="Y329" i="11" s="1"/>
  <c r="S329" i="10"/>
  <c r="S320" i="10"/>
  <c r="AC320" i="10" s="1"/>
  <c r="Y320" i="10" s="1"/>
  <c r="Y320" i="11" s="1"/>
  <c r="K320" i="10"/>
  <c r="K320" i="11" s="1"/>
  <c r="F331" i="11"/>
  <c r="T330" i="11"/>
  <c r="K326" i="10"/>
  <c r="K326" i="11" s="1"/>
  <c r="E327" i="10"/>
  <c r="S326" i="10"/>
  <c r="E331" i="11"/>
  <c r="S330" i="11"/>
  <c r="G323" i="10"/>
  <c r="U322" i="10"/>
  <c r="G333" i="11"/>
  <c r="F334" i="11"/>
  <c r="T333" i="11"/>
  <c r="F324" i="10"/>
  <c r="T324" i="10" s="1"/>
  <c r="T323" i="10"/>
  <c r="A338" i="11"/>
  <c r="A339" i="11" s="1"/>
  <c r="A340" i="11" s="1"/>
  <c r="F337" i="11"/>
  <c r="E337" i="11"/>
  <c r="A341" i="11"/>
  <c r="U319" i="10"/>
  <c r="G320" i="10"/>
  <c r="U320" i="10" s="1"/>
  <c r="S327" i="11"/>
  <c r="E328" i="11"/>
  <c r="S328" i="11" s="1"/>
  <c r="C325" i="11"/>
  <c r="Q325" i="10"/>
  <c r="Q325" i="11" s="1"/>
  <c r="C326" i="10"/>
  <c r="U326" i="11"/>
  <c r="G327" i="11"/>
  <c r="C319" i="11"/>
  <c r="Q319" i="10"/>
  <c r="Q319" i="11" s="1"/>
  <c r="C320" i="10"/>
  <c r="F327" i="10"/>
  <c r="T326" i="10"/>
  <c r="C316" i="11"/>
  <c r="Q316" i="10"/>
  <c r="Q316" i="11" s="1"/>
  <c r="G328" i="11" l="1"/>
  <c r="U328" i="11" s="1"/>
  <c r="U327" i="11"/>
  <c r="S327" i="10"/>
  <c r="AC327" i="10" s="1"/>
  <c r="Y327" i="10" s="1"/>
  <c r="Y327" i="11" s="1"/>
  <c r="E328" i="10"/>
  <c r="K327" i="10"/>
  <c r="K327" i="11" s="1"/>
  <c r="F337" i="10"/>
  <c r="A338" i="10"/>
  <c r="A339" i="10" s="1"/>
  <c r="A340" i="10" s="1"/>
  <c r="A341" i="10"/>
  <c r="E337" i="10"/>
  <c r="C326" i="11"/>
  <c r="Q326" i="10"/>
  <c r="Q326" i="11" s="1"/>
  <c r="C327" i="10"/>
  <c r="S333" i="10"/>
  <c r="K333" i="10"/>
  <c r="K333" i="11" s="1"/>
  <c r="E334" i="10"/>
  <c r="Y333" i="10"/>
  <c r="Y333" i="11" s="1"/>
  <c r="C333" i="10"/>
  <c r="F331" i="10"/>
  <c r="T330" i="10"/>
  <c r="C323" i="11"/>
  <c r="Q323" i="10"/>
  <c r="Q323" i="11" s="1"/>
  <c r="C324" i="10"/>
  <c r="G324" i="10"/>
  <c r="U324" i="10" s="1"/>
  <c r="U323" i="10"/>
  <c r="G330" i="10"/>
  <c r="U329" i="10"/>
  <c r="F332" i="11"/>
  <c r="T332" i="11" s="1"/>
  <c r="T331" i="11"/>
  <c r="F335" i="11"/>
  <c r="T334" i="11"/>
  <c r="T333" i="10"/>
  <c r="G333" i="10"/>
  <c r="F334" i="10"/>
  <c r="E335" i="11"/>
  <c r="S334" i="11"/>
  <c r="G334" i="11"/>
  <c r="U333" i="11"/>
  <c r="F328" i="10"/>
  <c r="T328" i="10" s="1"/>
  <c r="T327" i="10"/>
  <c r="C329" i="11"/>
  <c r="Q329" i="10"/>
  <c r="Q329" i="11" s="1"/>
  <c r="C330" i="10"/>
  <c r="U326" i="10"/>
  <c r="G327" i="10"/>
  <c r="C320" i="11"/>
  <c r="Q320" i="10"/>
  <c r="Q320" i="11" s="1"/>
  <c r="E341" i="11"/>
  <c r="A342" i="11"/>
  <c r="A343" i="11" s="1"/>
  <c r="A344" i="11" s="1"/>
  <c r="A345" i="11"/>
  <c r="F341" i="11"/>
  <c r="E332" i="11"/>
  <c r="S332" i="11" s="1"/>
  <c r="S331" i="11"/>
  <c r="S337" i="11"/>
  <c r="E338" i="11"/>
  <c r="AC326" i="10"/>
  <c r="Y326" i="10" s="1"/>
  <c r="Y326" i="11" s="1"/>
  <c r="T337" i="11"/>
  <c r="G337" i="11"/>
  <c r="F338" i="11"/>
  <c r="S330" i="10"/>
  <c r="K330" i="10"/>
  <c r="K330" i="11" s="1"/>
  <c r="E331" i="10"/>
  <c r="G331" i="11"/>
  <c r="U330" i="11"/>
  <c r="S324" i="10"/>
  <c r="AC324" i="10" s="1"/>
  <c r="Y324" i="10" s="1"/>
  <c r="Y324" i="11" s="1"/>
  <c r="K324" i="10"/>
  <c r="K324" i="11" s="1"/>
  <c r="U333" i="10" l="1"/>
  <c r="G334" i="10"/>
  <c r="S338" i="11"/>
  <c r="E339" i="11"/>
  <c r="F332" i="10"/>
  <c r="T332" i="10" s="1"/>
  <c r="T331" i="10"/>
  <c r="AC330" i="10"/>
  <c r="Y330" i="10" s="1"/>
  <c r="Y330" i="11" s="1"/>
  <c r="E342" i="11"/>
  <c r="S341" i="11"/>
  <c r="C330" i="11"/>
  <c r="Q330" i="10"/>
  <c r="Q330" i="11" s="1"/>
  <c r="C331" i="10"/>
  <c r="T337" i="10"/>
  <c r="G337" i="10"/>
  <c r="F338" i="10"/>
  <c r="T338" i="11"/>
  <c r="F339" i="11"/>
  <c r="E336" i="11"/>
  <c r="S336" i="11" s="1"/>
  <c r="S335" i="11"/>
  <c r="C324" i="11"/>
  <c r="Q324" i="10"/>
  <c r="Q324" i="11" s="1"/>
  <c r="C337" i="10"/>
  <c r="E338" i="10"/>
  <c r="Y337" i="10"/>
  <c r="Y337" i="11" s="1"/>
  <c r="S337" i="10"/>
  <c r="K337" i="10"/>
  <c r="K337" i="11" s="1"/>
  <c r="U337" i="11"/>
  <c r="G338" i="11"/>
  <c r="T334" i="10"/>
  <c r="F335" i="10"/>
  <c r="G328" i="10"/>
  <c r="U328" i="10" s="1"/>
  <c r="U327" i="10"/>
  <c r="T335" i="11"/>
  <c r="F336" i="11"/>
  <c r="T336" i="11" s="1"/>
  <c r="G332" i="11"/>
  <c r="U332" i="11" s="1"/>
  <c r="U331" i="11"/>
  <c r="S334" i="10"/>
  <c r="K334" i="10"/>
  <c r="K334" i="11" s="1"/>
  <c r="E335" i="10"/>
  <c r="K328" i="10"/>
  <c r="K328" i="11" s="1"/>
  <c r="S328" i="10"/>
  <c r="AC328" i="10" s="1"/>
  <c r="Y328" i="10"/>
  <c r="Y328" i="11" s="1"/>
  <c r="F341" i="10"/>
  <c r="E341" i="10"/>
  <c r="A345" i="10"/>
  <c r="A342" i="10"/>
  <c r="A343" i="10" s="1"/>
  <c r="A344" i="10" s="1"/>
  <c r="C333" i="11"/>
  <c r="C334" i="10"/>
  <c r="Q333" i="10"/>
  <c r="Q333" i="11" s="1"/>
  <c r="T341" i="11"/>
  <c r="G341" i="11"/>
  <c r="F342" i="11"/>
  <c r="S331" i="10"/>
  <c r="AC331" i="10" s="1"/>
  <c r="Y331" i="10" s="1"/>
  <c r="Y331" i="11" s="1"/>
  <c r="K331" i="10"/>
  <c r="K331" i="11" s="1"/>
  <c r="E332" i="10"/>
  <c r="A349" i="11"/>
  <c r="F345" i="11"/>
  <c r="E345" i="11"/>
  <c r="A346" i="11"/>
  <c r="A347" i="11" s="1"/>
  <c r="A348" i="11" s="1"/>
  <c r="U330" i="10"/>
  <c r="G331" i="10"/>
  <c r="U334" i="11"/>
  <c r="G335" i="11"/>
  <c r="C327" i="11"/>
  <c r="Q327" i="10"/>
  <c r="Q327" i="11" s="1"/>
  <c r="C328" i="10"/>
  <c r="C331" i="11" l="1"/>
  <c r="C332" i="10"/>
  <c r="Q331" i="10"/>
  <c r="Q331" i="11" s="1"/>
  <c r="S345" i="11"/>
  <c r="E346" i="11"/>
  <c r="G345" i="11"/>
  <c r="F346" i="11"/>
  <c r="T345" i="11"/>
  <c r="E339" i="10"/>
  <c r="S338" i="10"/>
  <c r="AC338" i="10" s="1"/>
  <c r="Y338" i="10" s="1"/>
  <c r="Y338" i="11" s="1"/>
  <c r="K338" i="10"/>
  <c r="K338" i="11" s="1"/>
  <c r="T335" i="10"/>
  <c r="F336" i="10"/>
  <c r="T336" i="10" s="1"/>
  <c r="F340" i="11"/>
  <c r="T340" i="11" s="1"/>
  <c r="T339" i="11"/>
  <c r="A353" i="11"/>
  <c r="F349" i="11"/>
  <c r="E349" i="11"/>
  <c r="A350" i="11"/>
  <c r="A351" i="11" s="1"/>
  <c r="A352" i="11" s="1"/>
  <c r="E342" i="10"/>
  <c r="C341" i="10"/>
  <c r="Y341" i="10"/>
  <c r="Y341" i="11" s="1"/>
  <c r="S341" i="10"/>
  <c r="K341" i="10"/>
  <c r="K341" i="11" s="1"/>
  <c r="C328" i="11"/>
  <c r="Q328" i="10"/>
  <c r="Q328" i="11" s="1"/>
  <c r="G341" i="10"/>
  <c r="F342" i="10"/>
  <c r="T341" i="10"/>
  <c r="S342" i="11"/>
  <c r="E343" i="11"/>
  <c r="U335" i="11"/>
  <c r="G336" i="11"/>
  <c r="U336" i="11" s="1"/>
  <c r="T342" i="11"/>
  <c r="F343" i="11"/>
  <c r="U341" i="11"/>
  <c r="G342" i="11"/>
  <c r="Y335" i="10"/>
  <c r="Y335" i="11" s="1"/>
  <c r="S335" i="10"/>
  <c r="AC335" i="10" s="1"/>
  <c r="K335" i="10"/>
  <c r="K335" i="11" s="1"/>
  <c r="E336" i="10"/>
  <c r="G339" i="11"/>
  <c r="U338" i="11"/>
  <c r="S339" i="11"/>
  <c r="E340" i="11"/>
  <c r="S340" i="11" s="1"/>
  <c r="A349" i="10"/>
  <c r="F345" i="10"/>
  <c r="E345" i="10"/>
  <c r="A346" i="10"/>
  <c r="A347" i="10" s="1"/>
  <c r="A348" i="10" s="1"/>
  <c r="F339" i="10"/>
  <c r="T338" i="10"/>
  <c r="C337" i="11"/>
  <c r="Q337" i="10"/>
  <c r="Q337" i="11" s="1"/>
  <c r="C338" i="10"/>
  <c r="S332" i="10"/>
  <c r="AC332" i="10" s="1"/>
  <c r="K332" i="10"/>
  <c r="K332" i="11" s="1"/>
  <c r="Y332" i="10"/>
  <c r="Y332" i="11" s="1"/>
  <c r="G338" i="10"/>
  <c r="U337" i="10"/>
  <c r="U334" i="10"/>
  <c r="G335" i="10"/>
  <c r="U331" i="10"/>
  <c r="G332" i="10"/>
  <c r="U332" i="10" s="1"/>
  <c r="AC334" i="10"/>
  <c r="Y334" i="10" s="1"/>
  <c r="Y334" i="11" s="1"/>
  <c r="C334" i="11"/>
  <c r="C335" i="10"/>
  <c r="Q334" i="10"/>
  <c r="Q334" i="11" s="1"/>
  <c r="T343" i="11" l="1"/>
  <c r="F344" i="11"/>
  <c r="T344" i="11" s="1"/>
  <c r="C341" i="11"/>
  <c r="Q341" i="10"/>
  <c r="Q341" i="11" s="1"/>
  <c r="C342" i="10"/>
  <c r="K342" i="10"/>
  <c r="K342" i="11" s="1"/>
  <c r="E343" i="10"/>
  <c r="S342" i="10"/>
  <c r="AC342" i="10" s="1"/>
  <c r="Y342" i="10" s="1"/>
  <c r="Y342" i="11" s="1"/>
  <c r="C335" i="11"/>
  <c r="Q335" i="10"/>
  <c r="Q335" i="11" s="1"/>
  <c r="C336" i="10"/>
  <c r="C338" i="11"/>
  <c r="Q338" i="10"/>
  <c r="Q338" i="11" s="1"/>
  <c r="C339" i="10"/>
  <c r="U339" i="11"/>
  <c r="G340" i="11"/>
  <c r="U340" i="11" s="1"/>
  <c r="G349" i="11"/>
  <c r="F350" i="11"/>
  <c r="T349" i="11"/>
  <c r="U345" i="11"/>
  <c r="G346" i="11"/>
  <c r="T342" i="10"/>
  <c r="F343" i="10"/>
  <c r="A357" i="11"/>
  <c r="F353" i="11"/>
  <c r="A354" i="11"/>
  <c r="A355" i="11" s="1"/>
  <c r="A356" i="11" s="1"/>
  <c r="E353" i="11"/>
  <c r="E347" i="11"/>
  <c r="S346" i="11"/>
  <c r="K339" i="10"/>
  <c r="K339" i="11" s="1"/>
  <c r="E340" i="10"/>
  <c r="S339" i="10"/>
  <c r="AC339" i="10" s="1"/>
  <c r="Y339" i="10" s="1"/>
  <c r="Y339" i="11" s="1"/>
  <c r="S343" i="11"/>
  <c r="E344" i="11"/>
  <c r="S344" i="11" s="1"/>
  <c r="E350" i="11"/>
  <c r="S349" i="11"/>
  <c r="T346" i="11"/>
  <c r="F347" i="11"/>
  <c r="S336" i="10"/>
  <c r="AC336" i="10" s="1"/>
  <c r="Y336" i="10"/>
  <c r="Y336" i="11" s="1"/>
  <c r="K336" i="10"/>
  <c r="K336" i="11" s="1"/>
  <c r="G342" i="10"/>
  <c r="U341" i="10"/>
  <c r="U338" i="10"/>
  <c r="G339" i="10"/>
  <c r="F349" i="10"/>
  <c r="A350" i="10"/>
  <c r="A351" i="10" s="1"/>
  <c r="A352" i="10" s="1"/>
  <c r="A353" i="10"/>
  <c r="E349" i="10"/>
  <c r="F340" i="10"/>
  <c r="T340" i="10" s="1"/>
  <c r="T339" i="10"/>
  <c r="U335" i="10"/>
  <c r="G336" i="10"/>
  <c r="U336" i="10" s="1"/>
  <c r="U342" i="11"/>
  <c r="G343" i="11"/>
  <c r="C332" i="11"/>
  <c r="Q332" i="10"/>
  <c r="Q332" i="11" s="1"/>
  <c r="T345" i="10"/>
  <c r="G345" i="10"/>
  <c r="F346" i="10"/>
  <c r="K345" i="10"/>
  <c r="K345" i="11" s="1"/>
  <c r="Y345" i="10"/>
  <c r="Y345" i="11" s="1"/>
  <c r="S345" i="10"/>
  <c r="C345" i="10"/>
  <c r="E346" i="10"/>
  <c r="G343" i="10" l="1"/>
  <c r="U342" i="10"/>
  <c r="K340" i="10"/>
  <c r="K340" i="11" s="1"/>
  <c r="S340" i="10"/>
  <c r="AC340" i="10" s="1"/>
  <c r="Y340" i="10" s="1"/>
  <c r="Y340" i="11" s="1"/>
  <c r="K346" i="10"/>
  <c r="K346" i="11" s="1"/>
  <c r="S346" i="10"/>
  <c r="AC346" i="10" s="1"/>
  <c r="E347" i="10"/>
  <c r="Y346" i="10"/>
  <c r="Y346" i="11" s="1"/>
  <c r="F350" i="10"/>
  <c r="T349" i="10"/>
  <c r="G349" i="10"/>
  <c r="T343" i="10"/>
  <c r="F344" i="10"/>
  <c r="T344" i="10" s="1"/>
  <c r="C336" i="11"/>
  <c r="Q336" i="10"/>
  <c r="Q336" i="11" s="1"/>
  <c r="G340" i="10"/>
  <c r="U340" i="10" s="1"/>
  <c r="U339" i="10"/>
  <c r="G344" i="11"/>
  <c r="U344" i="11" s="1"/>
  <c r="U343" i="11"/>
  <c r="F351" i="11"/>
  <c r="T350" i="11"/>
  <c r="S343" i="10"/>
  <c r="AC343" i="10" s="1"/>
  <c r="Y343" i="10" s="1"/>
  <c r="Y343" i="11" s="1"/>
  <c r="K343" i="10"/>
  <c r="K343" i="11" s="1"/>
  <c r="E344" i="10"/>
  <c r="G350" i="11"/>
  <c r="U349" i="11"/>
  <c r="S347" i="11"/>
  <c r="E348" i="11"/>
  <c r="S348" i="11" s="1"/>
  <c r="C342" i="11"/>
  <c r="Q342" i="10"/>
  <c r="Q342" i="11" s="1"/>
  <c r="C343" i="10"/>
  <c r="F348" i="11"/>
  <c r="T348" i="11" s="1"/>
  <c r="T347" i="11"/>
  <c r="S353" i="11"/>
  <c r="E354" i="11"/>
  <c r="C345" i="11"/>
  <c r="Q345" i="10"/>
  <c r="Q345" i="11" s="1"/>
  <c r="C346" i="10"/>
  <c r="E350" i="10"/>
  <c r="Y349" i="10"/>
  <c r="Y349" i="11" s="1"/>
  <c r="S349" i="10"/>
  <c r="K349" i="10"/>
  <c r="K349" i="11" s="1"/>
  <c r="C349" i="10"/>
  <c r="C339" i="11"/>
  <c r="C340" i="10"/>
  <c r="Q339" i="10"/>
  <c r="Q339" i="11" s="1"/>
  <c r="G347" i="11"/>
  <c r="U346" i="11"/>
  <c r="F354" i="11"/>
  <c r="T353" i="11"/>
  <c r="G353" i="11"/>
  <c r="T346" i="10"/>
  <c r="F347" i="10"/>
  <c r="F353" i="10"/>
  <c r="E353" i="10"/>
  <c r="A357" i="10"/>
  <c r="A354" i="10"/>
  <c r="A355" i="10" s="1"/>
  <c r="A356" i="10" s="1"/>
  <c r="G346" i="10"/>
  <c r="U345" i="10"/>
  <c r="E351" i="11"/>
  <c r="S350" i="11"/>
  <c r="A358" i="11"/>
  <c r="A359" i="11" s="1"/>
  <c r="A360" i="11" s="1"/>
  <c r="E357" i="11"/>
  <c r="F357" i="11"/>
  <c r="A361" i="11"/>
  <c r="G350" i="10" l="1"/>
  <c r="U349" i="10"/>
  <c r="C349" i="11"/>
  <c r="C350" i="10"/>
  <c r="Q349" i="10"/>
  <c r="Q349" i="11" s="1"/>
  <c r="C343" i="11"/>
  <c r="C344" i="10"/>
  <c r="Q343" i="10"/>
  <c r="Q343" i="11" s="1"/>
  <c r="T351" i="11"/>
  <c r="F352" i="11"/>
  <c r="T352" i="11" s="1"/>
  <c r="A365" i="11"/>
  <c r="F361" i="11"/>
  <c r="E361" i="11"/>
  <c r="A362" i="11"/>
  <c r="A363" i="11" s="1"/>
  <c r="A364" i="11" s="1"/>
  <c r="T347" i="10"/>
  <c r="F348" i="10"/>
  <c r="T348" i="10" s="1"/>
  <c r="T357" i="11"/>
  <c r="G357" i="11"/>
  <c r="F358" i="11"/>
  <c r="G348" i="11"/>
  <c r="U348" i="11" s="1"/>
  <c r="U347" i="11"/>
  <c r="E355" i="11"/>
  <c r="S354" i="11"/>
  <c r="G347" i="10"/>
  <c r="U346" i="10"/>
  <c r="C340" i="11"/>
  <c r="Q340" i="10"/>
  <c r="Q340" i="11" s="1"/>
  <c r="A361" i="10"/>
  <c r="E357" i="10"/>
  <c r="F357" i="10"/>
  <c r="A358" i="10"/>
  <c r="A359" i="10" s="1"/>
  <c r="A360" i="10" s="1"/>
  <c r="F351" i="10"/>
  <c r="T350" i="10"/>
  <c r="Y353" i="10"/>
  <c r="Y353" i="11" s="1"/>
  <c r="S353" i="10"/>
  <c r="C353" i="10"/>
  <c r="E354" i="10"/>
  <c r="K353" i="10"/>
  <c r="K353" i="11" s="1"/>
  <c r="G353" i="10"/>
  <c r="F354" i="10"/>
  <c r="T353" i="10"/>
  <c r="S357" i="11"/>
  <c r="E358" i="11"/>
  <c r="U353" i="11"/>
  <c r="G354" i="11"/>
  <c r="E351" i="10"/>
  <c r="S350" i="10"/>
  <c r="AC350" i="10" s="1"/>
  <c r="Y350" i="10" s="1"/>
  <c r="Y350" i="11" s="1"/>
  <c r="K350" i="10"/>
  <c r="K350" i="11" s="1"/>
  <c r="C346" i="11"/>
  <c r="Q346" i="10"/>
  <c r="Q346" i="11" s="1"/>
  <c r="C347" i="10"/>
  <c r="U350" i="11"/>
  <c r="G351" i="11"/>
  <c r="T354" i="11"/>
  <c r="F355" i="11"/>
  <c r="E352" i="11"/>
  <c r="S352" i="11" s="1"/>
  <c r="S351" i="11"/>
  <c r="K344" i="10"/>
  <c r="K344" i="11" s="1"/>
  <c r="S344" i="10"/>
  <c r="AC344" i="10" s="1"/>
  <c r="Y344" i="10" s="1"/>
  <c r="Y344" i="11" s="1"/>
  <c r="E348" i="10"/>
  <c r="S347" i="10"/>
  <c r="AC347" i="10" s="1"/>
  <c r="K347" i="10"/>
  <c r="K347" i="11" s="1"/>
  <c r="Y347" i="10"/>
  <c r="Y347" i="11" s="1"/>
  <c r="G344" i="10"/>
  <c r="U344" i="10" s="1"/>
  <c r="U343" i="10"/>
  <c r="C353" i="11" l="1"/>
  <c r="C354" i="10"/>
  <c r="Q353" i="10"/>
  <c r="Q353" i="11" s="1"/>
  <c r="U347" i="10"/>
  <c r="G348" i="10"/>
  <c r="U348" i="10" s="1"/>
  <c r="G361" i="11"/>
  <c r="F362" i="11"/>
  <c r="T361" i="11"/>
  <c r="A366" i="11"/>
  <c r="A367" i="11" s="1"/>
  <c r="A368" i="11" s="1"/>
  <c r="A369" i="11"/>
  <c r="F365" i="11"/>
  <c r="E365" i="11"/>
  <c r="E352" i="10"/>
  <c r="S351" i="10"/>
  <c r="AC351" i="10" s="1"/>
  <c r="Y351" i="10" s="1"/>
  <c r="Y351" i="11" s="1"/>
  <c r="K351" i="10"/>
  <c r="K351" i="11" s="1"/>
  <c r="F352" i="10"/>
  <c r="T352" i="10" s="1"/>
  <c r="T351" i="10"/>
  <c r="S358" i="11"/>
  <c r="E359" i="11"/>
  <c r="C344" i="11"/>
  <c r="Q344" i="10"/>
  <c r="Q344" i="11" s="1"/>
  <c r="G352" i="11"/>
  <c r="U352" i="11" s="1"/>
  <c r="U351" i="11"/>
  <c r="F358" i="10"/>
  <c r="T357" i="10"/>
  <c r="G357" i="10"/>
  <c r="U357" i="11"/>
  <c r="G358" i="11"/>
  <c r="K357" i="10"/>
  <c r="K357" i="11" s="1"/>
  <c r="S357" i="10"/>
  <c r="C357" i="10"/>
  <c r="E358" i="10"/>
  <c r="Y357" i="10"/>
  <c r="Y357" i="11" s="1"/>
  <c r="C347" i="11"/>
  <c r="Q347" i="10"/>
  <c r="Q347" i="11" s="1"/>
  <c r="C348" i="10"/>
  <c r="F355" i="10"/>
  <c r="T354" i="10"/>
  <c r="A362" i="10"/>
  <c r="A363" i="10" s="1"/>
  <c r="A364" i="10" s="1"/>
  <c r="A365" i="10"/>
  <c r="F361" i="10"/>
  <c r="E361" i="10"/>
  <c r="C350" i="11"/>
  <c r="C351" i="10"/>
  <c r="Q350" i="10"/>
  <c r="Q350" i="11" s="1"/>
  <c r="G354" i="10"/>
  <c r="U353" i="10"/>
  <c r="S355" i="11"/>
  <c r="E356" i="11"/>
  <c r="S356" i="11" s="1"/>
  <c r="U354" i="11"/>
  <c r="G355" i="11"/>
  <c r="T355" i="11"/>
  <c r="F356" i="11"/>
  <c r="T356" i="11" s="1"/>
  <c r="T358" i="11"/>
  <c r="F359" i="11"/>
  <c r="S348" i="10"/>
  <c r="AC348" i="10" s="1"/>
  <c r="Y348" i="10" s="1"/>
  <c r="Y348" i="11" s="1"/>
  <c r="K348" i="10"/>
  <c r="K348" i="11" s="1"/>
  <c r="S354" i="10"/>
  <c r="AC354" i="10" s="1"/>
  <c r="Y354" i="10" s="1"/>
  <c r="Y354" i="11" s="1"/>
  <c r="K354" i="10"/>
  <c r="K354" i="11" s="1"/>
  <c r="E355" i="10"/>
  <c r="S361" i="11"/>
  <c r="E362" i="11"/>
  <c r="G351" i="10"/>
  <c r="U350" i="10"/>
  <c r="S365" i="11" l="1"/>
  <c r="E366" i="11"/>
  <c r="G355" i="10"/>
  <c r="U354" i="10"/>
  <c r="T365" i="11"/>
  <c r="G365" i="11"/>
  <c r="F366" i="11"/>
  <c r="K358" i="10"/>
  <c r="K358" i="11" s="1"/>
  <c r="S358" i="10"/>
  <c r="AC358" i="10" s="1"/>
  <c r="Y358" i="10" s="1"/>
  <c r="Y358" i="11" s="1"/>
  <c r="E359" i="10"/>
  <c r="T359" i="11"/>
  <c r="F360" i="11"/>
  <c r="T360" i="11" s="1"/>
  <c r="T361" i="10"/>
  <c r="G361" i="10"/>
  <c r="F362" i="10"/>
  <c r="U361" i="11"/>
  <c r="G362" i="11"/>
  <c r="E363" i="11"/>
  <c r="S362" i="11"/>
  <c r="E365" i="10"/>
  <c r="A369" i="10"/>
  <c r="A366" i="10"/>
  <c r="A367" i="10" s="1"/>
  <c r="A368" i="10" s="1"/>
  <c r="F365" i="10"/>
  <c r="U358" i="11"/>
  <c r="G359" i="11"/>
  <c r="C357" i="11"/>
  <c r="Q357" i="10"/>
  <c r="Q357" i="11" s="1"/>
  <c r="C358" i="10"/>
  <c r="S359" i="11"/>
  <c r="E360" i="11"/>
  <c r="S360" i="11" s="1"/>
  <c r="E362" i="10"/>
  <c r="Y361" i="10"/>
  <c r="Y361" i="11" s="1"/>
  <c r="S361" i="10"/>
  <c r="K361" i="10"/>
  <c r="K361" i="11" s="1"/>
  <c r="C361" i="10"/>
  <c r="T362" i="11"/>
  <c r="F363" i="11"/>
  <c r="G352" i="10"/>
  <c r="U352" i="10" s="1"/>
  <c r="U351" i="10"/>
  <c r="G358" i="10"/>
  <c r="U357" i="10"/>
  <c r="U355" i="11"/>
  <c r="G356" i="11"/>
  <c r="U356" i="11" s="1"/>
  <c r="K355" i="10"/>
  <c r="K355" i="11" s="1"/>
  <c r="E356" i="10"/>
  <c r="S355" i="10"/>
  <c r="AC355" i="10" s="1"/>
  <c r="Y355" i="10" s="1"/>
  <c r="Y355" i="11" s="1"/>
  <c r="T355" i="10"/>
  <c r="F356" i="10"/>
  <c r="T356" i="10" s="1"/>
  <c r="C354" i="11"/>
  <c r="Q354" i="10"/>
  <c r="Q354" i="11" s="1"/>
  <c r="C355" i="10"/>
  <c r="E369" i="11"/>
  <c r="A370" i="11"/>
  <c r="A371" i="11" s="1"/>
  <c r="A372" i="11" s="1"/>
  <c r="A373" i="11"/>
  <c r="F369" i="11"/>
  <c r="C351" i="11"/>
  <c r="C352" i="10"/>
  <c r="Q351" i="10"/>
  <c r="Q351" i="11" s="1"/>
  <c r="C348" i="11"/>
  <c r="Q348" i="10"/>
  <c r="Q348" i="11" s="1"/>
  <c r="T358" i="10"/>
  <c r="F359" i="10"/>
  <c r="S352" i="10"/>
  <c r="AC352" i="10" s="1"/>
  <c r="Y352" i="10" s="1"/>
  <c r="Y352" i="11" s="1"/>
  <c r="K352" i="10"/>
  <c r="K352" i="11" s="1"/>
  <c r="C361" i="11" l="1"/>
  <c r="C362" i="10"/>
  <c r="Q361" i="10"/>
  <c r="Q361" i="11" s="1"/>
  <c r="G365" i="10"/>
  <c r="F366" i="10"/>
  <c r="T365" i="10"/>
  <c r="T366" i="11"/>
  <c r="F367" i="11"/>
  <c r="C358" i="11"/>
  <c r="C359" i="10"/>
  <c r="Q358" i="10"/>
  <c r="Q358" i="11" s="1"/>
  <c r="A377" i="11"/>
  <c r="F373" i="11"/>
  <c r="E373" i="11"/>
  <c r="A374" i="11"/>
  <c r="A375" i="11" s="1"/>
  <c r="A376" i="11" s="1"/>
  <c r="T362" i="10"/>
  <c r="F363" i="10"/>
  <c r="E363" i="10"/>
  <c r="S362" i="10"/>
  <c r="AC362" i="10" s="1"/>
  <c r="Y362" i="10" s="1"/>
  <c r="Y362" i="11" s="1"/>
  <c r="K362" i="10"/>
  <c r="K362" i="11" s="1"/>
  <c r="S363" i="11"/>
  <c r="E364" i="11"/>
  <c r="S364" i="11" s="1"/>
  <c r="U361" i="10"/>
  <c r="G362" i="10"/>
  <c r="G356" i="10"/>
  <c r="U356" i="10" s="1"/>
  <c r="U355" i="10"/>
  <c r="U365" i="11"/>
  <c r="G366" i="11"/>
  <c r="C355" i="11"/>
  <c r="Q355" i="10"/>
  <c r="Q355" i="11" s="1"/>
  <c r="C356" i="10"/>
  <c r="G359" i="10"/>
  <c r="U358" i="10"/>
  <c r="T363" i="11"/>
  <c r="F364" i="11"/>
  <c r="T364" i="11" s="1"/>
  <c r="G360" i="11"/>
  <c r="U360" i="11" s="1"/>
  <c r="U359" i="11"/>
  <c r="S366" i="11"/>
  <c r="E367" i="11"/>
  <c r="C352" i="11"/>
  <c r="Q352" i="10"/>
  <c r="Q352" i="11" s="1"/>
  <c r="S356" i="10"/>
  <c r="AC356" i="10" s="1"/>
  <c r="K356" i="10"/>
  <c r="K356" i="11" s="1"/>
  <c r="Y356" i="10"/>
  <c r="Y356" i="11" s="1"/>
  <c r="E369" i="10"/>
  <c r="A370" i="10"/>
  <c r="A371" i="10" s="1"/>
  <c r="A372" i="10" s="1"/>
  <c r="F369" i="10"/>
  <c r="A373" i="10"/>
  <c r="E360" i="10"/>
  <c r="S359" i="10"/>
  <c r="AC359" i="10" s="1"/>
  <c r="K359" i="10"/>
  <c r="K359" i="11" s="1"/>
  <c r="Y359" i="10"/>
  <c r="Y359" i="11" s="1"/>
  <c r="F370" i="11"/>
  <c r="T369" i="11"/>
  <c r="G369" i="11"/>
  <c r="S365" i="10"/>
  <c r="C365" i="10"/>
  <c r="E366" i="10"/>
  <c r="Y365" i="10"/>
  <c r="Y365" i="11" s="1"/>
  <c r="K365" i="10"/>
  <c r="K365" i="11" s="1"/>
  <c r="S369" i="11"/>
  <c r="E370" i="11"/>
  <c r="G363" i="11"/>
  <c r="U362" i="11"/>
  <c r="T359" i="10"/>
  <c r="F360" i="10"/>
  <c r="T360" i="10" s="1"/>
  <c r="C365" i="11" l="1"/>
  <c r="C366" i="10"/>
  <c r="Q365" i="10"/>
  <c r="Q365" i="11" s="1"/>
  <c r="F370" i="10"/>
  <c r="G369" i="10"/>
  <c r="T369" i="10"/>
  <c r="A381" i="11"/>
  <c r="F377" i="11"/>
  <c r="A378" i="11"/>
  <c r="A379" i="11" s="1"/>
  <c r="A380" i="11" s="1"/>
  <c r="E377" i="11"/>
  <c r="C356" i="11"/>
  <c r="Q356" i="10"/>
  <c r="Q356" i="11" s="1"/>
  <c r="S366" i="10"/>
  <c r="AC366" i="10" s="1"/>
  <c r="Y366" i="10" s="1"/>
  <c r="Y366" i="11" s="1"/>
  <c r="E367" i="10"/>
  <c r="K366" i="10"/>
  <c r="K366" i="11" s="1"/>
  <c r="U369" i="11"/>
  <c r="G370" i="11"/>
  <c r="S367" i="11"/>
  <c r="E368" i="11"/>
  <c r="S368" i="11" s="1"/>
  <c r="G366" i="10"/>
  <c r="U365" i="10"/>
  <c r="T367" i="11"/>
  <c r="F368" i="11"/>
  <c r="T368" i="11" s="1"/>
  <c r="T370" i="11"/>
  <c r="F371" i="11"/>
  <c r="S363" i="10"/>
  <c r="AC363" i="10" s="1"/>
  <c r="Y363" i="10" s="1"/>
  <c r="Y363" i="11" s="1"/>
  <c r="E364" i="10"/>
  <c r="K363" i="10"/>
  <c r="K363" i="11" s="1"/>
  <c r="U366" i="11"/>
  <c r="G367" i="11"/>
  <c r="T363" i="10"/>
  <c r="F364" i="10"/>
  <c r="T364" i="10" s="1"/>
  <c r="U359" i="10"/>
  <c r="G360" i="10"/>
  <c r="U360" i="10" s="1"/>
  <c r="F367" i="10"/>
  <c r="T366" i="10"/>
  <c r="G364" i="11"/>
  <c r="U364" i="11" s="1"/>
  <c r="U363" i="11"/>
  <c r="E371" i="11"/>
  <c r="S370" i="11"/>
  <c r="S360" i="10"/>
  <c r="AC360" i="10" s="1"/>
  <c r="Y360" i="10" s="1"/>
  <c r="Y360" i="11" s="1"/>
  <c r="K360" i="10"/>
  <c r="K360" i="11" s="1"/>
  <c r="S373" i="11"/>
  <c r="E374" i="11"/>
  <c r="C362" i="11"/>
  <c r="C363" i="10"/>
  <c r="Q362" i="10"/>
  <c r="Q362" i="11" s="1"/>
  <c r="K369" i="10"/>
  <c r="K369" i="11" s="1"/>
  <c r="C369" i="10"/>
  <c r="E370" i="10"/>
  <c r="Y369" i="10"/>
  <c r="Y369" i="11" s="1"/>
  <c r="S369" i="10"/>
  <c r="C359" i="11"/>
  <c r="Q359" i="10"/>
  <c r="Q359" i="11" s="1"/>
  <c r="C360" i="10"/>
  <c r="A377" i="10"/>
  <c r="A374" i="10"/>
  <c r="A375" i="10" s="1"/>
  <c r="A376" i="10" s="1"/>
  <c r="F373" i="10"/>
  <c r="E373" i="10"/>
  <c r="U362" i="10"/>
  <c r="G363" i="10"/>
  <c r="G373" i="11"/>
  <c r="T373" i="11"/>
  <c r="F374" i="11"/>
  <c r="U363" i="10" l="1"/>
  <c r="G364" i="10"/>
  <c r="U364" i="10" s="1"/>
  <c r="T373" i="10"/>
  <c r="G373" i="10"/>
  <c r="F374" i="10"/>
  <c r="C369" i="11"/>
  <c r="Q369" i="10"/>
  <c r="Q369" i="11" s="1"/>
  <c r="C370" i="10"/>
  <c r="K364" i="10"/>
  <c r="K364" i="11" s="1"/>
  <c r="Y364" i="10"/>
  <c r="Y364" i="11" s="1"/>
  <c r="S364" i="10"/>
  <c r="AC364" i="10" s="1"/>
  <c r="C363" i="11"/>
  <c r="C364" i="10"/>
  <c r="Q363" i="10"/>
  <c r="Q363" i="11" s="1"/>
  <c r="F368" i="10"/>
  <c r="T368" i="10" s="1"/>
  <c r="T367" i="10"/>
  <c r="A378" i="10"/>
  <c r="A379" i="10" s="1"/>
  <c r="A380" i="10" s="1"/>
  <c r="A381" i="10"/>
  <c r="F377" i="10"/>
  <c r="E377" i="10"/>
  <c r="S374" i="11"/>
  <c r="E375" i="11"/>
  <c r="G371" i="11"/>
  <c r="U370" i="11"/>
  <c r="G374" i="11"/>
  <c r="U373" i="11"/>
  <c r="S370" i="10"/>
  <c r="AC370" i="10" s="1"/>
  <c r="Y370" i="10" s="1"/>
  <c r="Y370" i="11" s="1"/>
  <c r="K370" i="10"/>
  <c r="K370" i="11" s="1"/>
  <c r="E371" i="10"/>
  <c r="S371" i="11"/>
  <c r="E372" i="11"/>
  <c r="S372" i="11" s="1"/>
  <c r="G370" i="10"/>
  <c r="U369" i="10"/>
  <c r="C360" i="11"/>
  <c r="Q360" i="10"/>
  <c r="Q360" i="11" s="1"/>
  <c r="T370" i="10"/>
  <c r="F371" i="10"/>
  <c r="E378" i="11"/>
  <c r="S377" i="11"/>
  <c r="Y373" i="10"/>
  <c r="Y373" i="11" s="1"/>
  <c r="S373" i="10"/>
  <c r="K373" i="10"/>
  <c r="K373" i="11" s="1"/>
  <c r="C373" i="10"/>
  <c r="E374" i="10"/>
  <c r="F372" i="11"/>
  <c r="T372" i="11" s="1"/>
  <c r="T371" i="11"/>
  <c r="K367" i="10"/>
  <c r="K367" i="11" s="1"/>
  <c r="E368" i="10"/>
  <c r="S367" i="10"/>
  <c r="AC367" i="10" s="1"/>
  <c r="Y367" i="10" s="1"/>
  <c r="Y367" i="11" s="1"/>
  <c r="C366" i="11"/>
  <c r="C367" i="10"/>
  <c r="Q366" i="10"/>
  <c r="Q366" i="11" s="1"/>
  <c r="G367" i="10"/>
  <c r="U366" i="10"/>
  <c r="U367" i="11"/>
  <c r="G368" i="11"/>
  <c r="U368" i="11" s="1"/>
  <c r="F378" i="11"/>
  <c r="T377" i="11"/>
  <c r="G377" i="11"/>
  <c r="F375" i="11"/>
  <c r="T374" i="11"/>
  <c r="A382" i="11"/>
  <c r="A383" i="11" s="1"/>
  <c r="A384" i="11" s="1"/>
  <c r="F381" i="11"/>
  <c r="E381" i="11"/>
  <c r="A385" i="11"/>
  <c r="S374" i="10" l="1"/>
  <c r="K374" i="10"/>
  <c r="K374" i="11" s="1"/>
  <c r="E375" i="10"/>
  <c r="G371" i="10"/>
  <c r="U370" i="10"/>
  <c r="F379" i="11"/>
  <c r="T378" i="11"/>
  <c r="G372" i="11"/>
  <c r="U372" i="11" s="1"/>
  <c r="U371" i="11"/>
  <c r="T374" i="10"/>
  <c r="F375" i="10"/>
  <c r="C373" i="11"/>
  <c r="Q373" i="10"/>
  <c r="Q373" i="11" s="1"/>
  <c r="C374" i="10"/>
  <c r="E378" i="10"/>
  <c r="C377" i="10"/>
  <c r="Y377" i="10"/>
  <c r="Y377" i="11" s="1"/>
  <c r="S377" i="10"/>
  <c r="K377" i="10"/>
  <c r="K377" i="11" s="1"/>
  <c r="C370" i="11"/>
  <c r="C371" i="10"/>
  <c r="Q370" i="10"/>
  <c r="Q370" i="11" s="1"/>
  <c r="A386" i="11"/>
  <c r="A387" i="11" s="1"/>
  <c r="A388" i="11" s="1"/>
  <c r="A389" i="11"/>
  <c r="F385" i="11"/>
  <c r="E385" i="11"/>
  <c r="G368" i="10"/>
  <c r="U368" i="10" s="1"/>
  <c r="U367" i="10"/>
  <c r="G377" i="10"/>
  <c r="F378" i="10"/>
  <c r="T377" i="10"/>
  <c r="S381" i="11"/>
  <c r="E382" i="11"/>
  <c r="A382" i="10"/>
  <c r="A383" i="10" s="1"/>
  <c r="A384" i="10" s="1"/>
  <c r="F381" i="10"/>
  <c r="E381" i="10"/>
  <c r="A385" i="10"/>
  <c r="G381" i="11"/>
  <c r="F382" i="11"/>
  <c r="T381" i="11"/>
  <c r="U373" i="10"/>
  <c r="G374" i="10"/>
  <c r="E376" i="11"/>
  <c r="S376" i="11" s="1"/>
  <c r="S375" i="11"/>
  <c r="E379" i="11"/>
  <c r="S378" i="11"/>
  <c r="S371" i="10"/>
  <c r="AC371" i="10" s="1"/>
  <c r="K371" i="10"/>
  <c r="K371" i="11" s="1"/>
  <c r="E372" i="10"/>
  <c r="Y371" i="10"/>
  <c r="Y371" i="11" s="1"/>
  <c r="C367" i="11"/>
  <c r="C368" i="10"/>
  <c r="Q367" i="10"/>
  <c r="Q367" i="11" s="1"/>
  <c r="T375" i="11"/>
  <c r="F376" i="11"/>
  <c r="T376" i="11" s="1"/>
  <c r="T371" i="10"/>
  <c r="F372" i="10"/>
  <c r="T372" i="10" s="1"/>
  <c r="G378" i="11"/>
  <c r="U377" i="11"/>
  <c r="K368" i="10"/>
  <c r="K368" i="11" s="1"/>
  <c r="S368" i="10"/>
  <c r="AC368" i="10" s="1"/>
  <c r="Y368" i="10" s="1"/>
  <c r="Y368" i="11" s="1"/>
  <c r="U374" i="11"/>
  <c r="G375" i="11"/>
  <c r="C364" i="11"/>
  <c r="Q364" i="10"/>
  <c r="Q364" i="11" s="1"/>
  <c r="G382" i="11" l="1"/>
  <c r="U381" i="11"/>
  <c r="T381" i="10"/>
  <c r="G381" i="10"/>
  <c r="F382" i="10"/>
  <c r="F376" i="10"/>
  <c r="T376" i="10" s="1"/>
  <c r="T375" i="10"/>
  <c r="G379" i="11"/>
  <c r="U378" i="11"/>
  <c r="U374" i="10"/>
  <c r="G375" i="10"/>
  <c r="F379" i="10"/>
  <c r="T378" i="10"/>
  <c r="F380" i="11"/>
  <c r="T380" i="11" s="1"/>
  <c r="T379" i="11"/>
  <c r="C377" i="11"/>
  <c r="C378" i="10"/>
  <c r="Q377" i="10"/>
  <c r="Q377" i="11" s="1"/>
  <c r="U371" i="10"/>
  <c r="G372" i="10"/>
  <c r="U372" i="10" s="1"/>
  <c r="E380" i="11"/>
  <c r="S380" i="11" s="1"/>
  <c r="S379" i="11"/>
  <c r="S382" i="11"/>
  <c r="E383" i="11"/>
  <c r="C371" i="11"/>
  <c r="Q371" i="10"/>
  <c r="Q371" i="11" s="1"/>
  <c r="C372" i="10"/>
  <c r="G378" i="10"/>
  <c r="U377" i="10"/>
  <c r="G376" i="11"/>
  <c r="U376" i="11" s="1"/>
  <c r="U375" i="11"/>
  <c r="C368" i="11"/>
  <c r="Q368" i="10"/>
  <c r="Q368" i="11" s="1"/>
  <c r="F383" i="11"/>
  <c r="T382" i="11"/>
  <c r="E379" i="10"/>
  <c r="S378" i="10"/>
  <c r="AC378" i="10" s="1"/>
  <c r="Y378" i="10" s="1"/>
  <c r="Y378" i="11" s="1"/>
  <c r="K378" i="10"/>
  <c r="K378" i="11" s="1"/>
  <c r="S375" i="10"/>
  <c r="AC375" i="10" s="1"/>
  <c r="Y375" i="10" s="1"/>
  <c r="Y375" i="11" s="1"/>
  <c r="K375" i="10"/>
  <c r="K375" i="11" s="1"/>
  <c r="E376" i="10"/>
  <c r="S385" i="11"/>
  <c r="E386" i="11"/>
  <c r="C374" i="11"/>
  <c r="Q374" i="10"/>
  <c r="Q374" i="11" s="1"/>
  <c r="C375" i="10"/>
  <c r="S372" i="10"/>
  <c r="AC372" i="10" s="1"/>
  <c r="K372" i="10"/>
  <c r="K372" i="11" s="1"/>
  <c r="Y372" i="10"/>
  <c r="Y372" i="11" s="1"/>
  <c r="F385" i="10"/>
  <c r="E385" i="10"/>
  <c r="A386" i="10"/>
  <c r="A387" i="10" s="1"/>
  <c r="A388" i="10" s="1"/>
  <c r="A389" i="10"/>
  <c r="T385" i="11"/>
  <c r="G385" i="11"/>
  <c r="F386" i="11"/>
  <c r="AC374" i="10"/>
  <c r="Y374" i="10" s="1"/>
  <c r="Y374" i="11" s="1"/>
  <c r="C381" i="10"/>
  <c r="E382" i="10"/>
  <c r="Y381" i="10"/>
  <c r="Y381" i="11" s="1"/>
  <c r="K381" i="10"/>
  <c r="K381" i="11" s="1"/>
  <c r="S381" i="10"/>
  <c r="F389" i="11"/>
  <c r="E389" i="11"/>
  <c r="A390" i="11"/>
  <c r="A391" i="11" s="1"/>
  <c r="A392" i="11" s="1"/>
  <c r="A393" i="11"/>
  <c r="C381" i="11" l="1"/>
  <c r="C382" i="10"/>
  <c r="Q381" i="10"/>
  <c r="Q381" i="11" s="1"/>
  <c r="C375" i="11"/>
  <c r="Q375" i="10"/>
  <c r="Q375" i="11" s="1"/>
  <c r="C376" i="10"/>
  <c r="E380" i="10"/>
  <c r="S379" i="10"/>
  <c r="AC379" i="10" s="1"/>
  <c r="Y379" i="10" s="1"/>
  <c r="Y379" i="11" s="1"/>
  <c r="K379" i="10"/>
  <c r="K379" i="11" s="1"/>
  <c r="S383" i="11"/>
  <c r="E384" i="11"/>
  <c r="S384" i="11" s="1"/>
  <c r="F380" i="10"/>
  <c r="T380" i="10" s="1"/>
  <c r="T379" i="10"/>
  <c r="U375" i="10"/>
  <c r="G376" i="10"/>
  <c r="U376" i="10" s="1"/>
  <c r="T386" i="11"/>
  <c r="F387" i="11"/>
  <c r="T383" i="11"/>
  <c r="F384" i="11"/>
  <c r="T384" i="11" s="1"/>
  <c r="K376" i="10"/>
  <c r="K376" i="11" s="1"/>
  <c r="Y376" i="10"/>
  <c r="Y376" i="11" s="1"/>
  <c r="S376" i="10"/>
  <c r="AC376" i="10" s="1"/>
  <c r="G389" i="11"/>
  <c r="F390" i="11"/>
  <c r="T389" i="11"/>
  <c r="S385" i="10"/>
  <c r="K385" i="10"/>
  <c r="K385" i="11" s="1"/>
  <c r="C385" i="10"/>
  <c r="E386" i="10"/>
  <c r="Y385" i="10"/>
  <c r="Y385" i="11" s="1"/>
  <c r="C378" i="11"/>
  <c r="C379" i="10"/>
  <c r="Q378" i="10"/>
  <c r="Q378" i="11" s="1"/>
  <c r="T382" i="10"/>
  <c r="F383" i="10"/>
  <c r="U385" i="11"/>
  <c r="G386" i="11"/>
  <c r="E387" i="11"/>
  <c r="S386" i="11"/>
  <c r="A397" i="11"/>
  <c r="F393" i="11"/>
  <c r="A394" i="11"/>
  <c r="A395" i="11" s="1"/>
  <c r="A396" i="11" s="1"/>
  <c r="E393" i="11"/>
  <c r="G380" i="11"/>
  <c r="U380" i="11" s="1"/>
  <c r="U379" i="11"/>
  <c r="A393" i="10"/>
  <c r="A390" i="10"/>
  <c r="A391" i="10" s="1"/>
  <c r="A392" i="10" s="1"/>
  <c r="E389" i="10"/>
  <c r="F389" i="10"/>
  <c r="E390" i="11"/>
  <c r="S389" i="11"/>
  <c r="T385" i="10"/>
  <c r="G385" i="10"/>
  <c r="F386" i="10"/>
  <c r="G379" i="10"/>
  <c r="U378" i="10"/>
  <c r="G382" i="10"/>
  <c r="U381" i="10"/>
  <c r="C372" i="11"/>
  <c r="Q372" i="10"/>
  <c r="Q372" i="11" s="1"/>
  <c r="K382" i="10"/>
  <c r="K382" i="11" s="1"/>
  <c r="E383" i="10"/>
  <c r="S382" i="10"/>
  <c r="AC382" i="10" s="1"/>
  <c r="Y382" i="10" s="1"/>
  <c r="Y382" i="11" s="1"/>
  <c r="U382" i="11"/>
  <c r="G383" i="11"/>
  <c r="T393" i="11" l="1"/>
  <c r="F394" i="11"/>
  <c r="G393" i="11"/>
  <c r="F388" i="11"/>
  <c r="T388" i="11" s="1"/>
  <c r="T387" i="11"/>
  <c r="S383" i="10"/>
  <c r="AC383" i="10" s="1"/>
  <c r="Y383" i="10" s="1"/>
  <c r="Y383" i="11" s="1"/>
  <c r="K383" i="10"/>
  <c r="K383" i="11" s="1"/>
  <c r="E384" i="10"/>
  <c r="F384" i="10"/>
  <c r="T384" i="10" s="1"/>
  <c r="T383" i="10"/>
  <c r="G390" i="11"/>
  <c r="U389" i="11"/>
  <c r="E387" i="10"/>
  <c r="S386" i="10"/>
  <c r="AC386" i="10" s="1"/>
  <c r="Y386" i="10" s="1"/>
  <c r="Y386" i="11" s="1"/>
  <c r="K386" i="10"/>
  <c r="K386" i="11" s="1"/>
  <c r="A397" i="10"/>
  <c r="E393" i="10"/>
  <c r="A394" i="10"/>
  <c r="A395" i="10" s="1"/>
  <c r="A396" i="10" s="1"/>
  <c r="F393" i="10"/>
  <c r="A401" i="11"/>
  <c r="F397" i="11"/>
  <c r="A398" i="11"/>
  <c r="A399" i="11" s="1"/>
  <c r="A400" i="11" s="1"/>
  <c r="E397" i="11"/>
  <c r="C385" i="11"/>
  <c r="Q385" i="10"/>
  <c r="Q385" i="11" s="1"/>
  <c r="C386" i="10"/>
  <c r="G383" i="10"/>
  <c r="U382" i="10"/>
  <c r="S390" i="11"/>
  <c r="E391" i="11"/>
  <c r="S387" i="11"/>
  <c r="E388" i="11"/>
  <c r="S388" i="11" s="1"/>
  <c r="C379" i="11"/>
  <c r="C380" i="10"/>
  <c r="Q379" i="10"/>
  <c r="Q379" i="11" s="1"/>
  <c r="S393" i="11"/>
  <c r="E394" i="11"/>
  <c r="F390" i="10"/>
  <c r="T389" i="10"/>
  <c r="G389" i="10"/>
  <c r="U386" i="11"/>
  <c r="G387" i="11"/>
  <c r="C382" i="11"/>
  <c r="Q382" i="10"/>
  <c r="Q382" i="11" s="1"/>
  <c r="C383" i="10"/>
  <c r="G380" i="10"/>
  <c r="U380" i="10" s="1"/>
  <c r="U379" i="10"/>
  <c r="S380" i="10"/>
  <c r="AC380" i="10" s="1"/>
  <c r="Y380" i="10" s="1"/>
  <c r="Y380" i="11" s="1"/>
  <c r="K380" i="10"/>
  <c r="K380" i="11" s="1"/>
  <c r="U383" i="11"/>
  <c r="G384" i="11"/>
  <c r="U384" i="11" s="1"/>
  <c r="T386" i="10"/>
  <c r="F387" i="10"/>
  <c r="G386" i="10"/>
  <c r="U385" i="10"/>
  <c r="C376" i="11"/>
  <c r="Q376" i="10"/>
  <c r="Q376" i="11" s="1"/>
  <c r="E390" i="10"/>
  <c r="C389" i="10"/>
  <c r="Y389" i="10"/>
  <c r="Y389" i="11" s="1"/>
  <c r="S389" i="10"/>
  <c r="K389" i="10"/>
  <c r="K389" i="11" s="1"/>
  <c r="F391" i="11"/>
  <c r="T390" i="11"/>
  <c r="T393" i="10" l="1"/>
  <c r="F394" i="10"/>
  <c r="G393" i="10"/>
  <c r="G391" i="11"/>
  <c r="U390" i="11"/>
  <c r="U386" i="10"/>
  <c r="G387" i="10"/>
  <c r="F388" i="10"/>
  <c r="T388" i="10" s="1"/>
  <c r="T387" i="10"/>
  <c r="U387" i="11"/>
  <c r="G388" i="11"/>
  <c r="U388" i="11" s="1"/>
  <c r="E392" i="11"/>
  <c r="S392" i="11" s="1"/>
  <c r="S391" i="11"/>
  <c r="K393" i="10"/>
  <c r="K393" i="11" s="1"/>
  <c r="C393" i="10"/>
  <c r="E394" i="10"/>
  <c r="Y393" i="10"/>
  <c r="Y393" i="11" s="1"/>
  <c r="S393" i="10"/>
  <c r="T391" i="11"/>
  <c r="F392" i="11"/>
  <c r="T392" i="11" s="1"/>
  <c r="C380" i="11"/>
  <c r="Q380" i="10"/>
  <c r="Q380" i="11" s="1"/>
  <c r="C383" i="11"/>
  <c r="Q383" i="10"/>
  <c r="Q383" i="11" s="1"/>
  <c r="C384" i="10"/>
  <c r="G397" i="11"/>
  <c r="F398" i="11"/>
  <c r="T397" i="11"/>
  <c r="E401" i="11"/>
  <c r="A402" i="11"/>
  <c r="A403" i="11" s="1"/>
  <c r="A404" i="11" s="1"/>
  <c r="A405" i="11"/>
  <c r="F401" i="11"/>
  <c r="S384" i="10"/>
  <c r="AC384" i="10" s="1"/>
  <c r="Y384" i="10" s="1"/>
  <c r="Y384" i="11" s="1"/>
  <c r="K384" i="10"/>
  <c r="K384" i="11" s="1"/>
  <c r="U389" i="10"/>
  <c r="G390" i="10"/>
  <c r="F397" i="10"/>
  <c r="E397" i="10"/>
  <c r="A398" i="10"/>
  <c r="A399" i="10" s="1"/>
  <c r="A400" i="10" s="1"/>
  <c r="A401" i="10"/>
  <c r="T390" i="10"/>
  <c r="F391" i="10"/>
  <c r="C386" i="11"/>
  <c r="Q386" i="10"/>
  <c r="Q386" i="11" s="1"/>
  <c r="C387" i="10"/>
  <c r="S394" i="11"/>
  <c r="E395" i="11"/>
  <c r="G394" i="11"/>
  <c r="U393" i="11"/>
  <c r="U383" i="10"/>
  <c r="G384" i="10"/>
  <c r="U384" i="10" s="1"/>
  <c r="C389" i="11"/>
  <c r="C390" i="10"/>
  <c r="Q389" i="10"/>
  <c r="Q389" i="11" s="1"/>
  <c r="S387" i="10"/>
  <c r="AC387" i="10" s="1"/>
  <c r="Y387" i="10" s="1"/>
  <c r="Y387" i="11" s="1"/>
  <c r="K387" i="10"/>
  <c r="K387" i="11" s="1"/>
  <c r="E388" i="10"/>
  <c r="F395" i="11"/>
  <c r="T394" i="11"/>
  <c r="E391" i="10"/>
  <c r="S390" i="10"/>
  <c r="K390" i="10"/>
  <c r="K390" i="11" s="1"/>
  <c r="S397" i="11"/>
  <c r="E398" i="11"/>
  <c r="T395" i="11" l="1"/>
  <c r="F396" i="11"/>
  <c r="T396" i="11" s="1"/>
  <c r="G401" i="11"/>
  <c r="F402" i="11"/>
  <c r="T401" i="11"/>
  <c r="E399" i="11"/>
  <c r="S398" i="11"/>
  <c r="T391" i="10"/>
  <c r="F392" i="10"/>
  <c r="T392" i="10" s="1"/>
  <c r="U387" i="10"/>
  <c r="G388" i="10"/>
  <c r="U388" i="10" s="1"/>
  <c r="S395" i="11"/>
  <c r="E396" i="11"/>
  <c r="S396" i="11" s="1"/>
  <c r="S388" i="10"/>
  <c r="AC388" i="10" s="1"/>
  <c r="Y388" i="10" s="1"/>
  <c r="Y388" i="11" s="1"/>
  <c r="K388" i="10"/>
  <c r="K388" i="11" s="1"/>
  <c r="C387" i="11"/>
  <c r="Q387" i="10"/>
  <c r="Q387" i="11" s="1"/>
  <c r="C388" i="10"/>
  <c r="E402" i="11"/>
  <c r="S401" i="11"/>
  <c r="AC390" i="10"/>
  <c r="Y390" i="10" s="1"/>
  <c r="Y390" i="11" s="1"/>
  <c r="K394" i="10"/>
  <c r="K394" i="11" s="1"/>
  <c r="E395" i="10"/>
  <c r="S394" i="10"/>
  <c r="G392" i="11"/>
  <c r="U392" i="11" s="1"/>
  <c r="U391" i="11"/>
  <c r="S397" i="10"/>
  <c r="K397" i="10"/>
  <c r="K397" i="11" s="1"/>
  <c r="C397" i="10"/>
  <c r="E398" i="10"/>
  <c r="Y397" i="10"/>
  <c r="Y397" i="11" s="1"/>
  <c r="F399" i="11"/>
  <c r="T398" i="11"/>
  <c r="C393" i="11"/>
  <c r="C394" i="10"/>
  <c r="Q393" i="10"/>
  <c r="Q393" i="11" s="1"/>
  <c r="G394" i="10"/>
  <c r="U393" i="10"/>
  <c r="T394" i="10"/>
  <c r="F395" i="10"/>
  <c r="A406" i="11"/>
  <c r="A407" i="11" s="1"/>
  <c r="A408" i="11" s="1"/>
  <c r="A409" i="11"/>
  <c r="E405" i="11"/>
  <c r="F405" i="11"/>
  <c r="C390" i="11"/>
  <c r="C391" i="10"/>
  <c r="Q390" i="10"/>
  <c r="Q390" i="11" s="1"/>
  <c r="A405" i="10"/>
  <c r="A402" i="10"/>
  <c r="A403" i="10" s="1"/>
  <c r="A404" i="10" s="1"/>
  <c r="F401" i="10"/>
  <c r="E401" i="10"/>
  <c r="E392" i="10"/>
  <c r="S391" i="10"/>
  <c r="AC391" i="10" s="1"/>
  <c r="Y391" i="10" s="1"/>
  <c r="Y391" i="11" s="1"/>
  <c r="K391" i="10"/>
  <c r="K391" i="11" s="1"/>
  <c r="G397" i="10"/>
  <c r="F398" i="10"/>
  <c r="T397" i="10"/>
  <c r="G398" i="11"/>
  <c r="U397" i="11"/>
  <c r="G395" i="11"/>
  <c r="U394" i="11"/>
  <c r="U390" i="10"/>
  <c r="G391" i="10"/>
  <c r="C384" i="11"/>
  <c r="Q384" i="10"/>
  <c r="Q384" i="11" s="1"/>
  <c r="C391" i="11" l="1"/>
  <c r="C392" i="10"/>
  <c r="Q391" i="10"/>
  <c r="Q391" i="11" s="1"/>
  <c r="E396" i="10"/>
  <c r="K395" i="10"/>
  <c r="K395" i="11" s="1"/>
  <c r="S395" i="10"/>
  <c r="AC395" i="10" s="1"/>
  <c r="Y395" i="10" s="1"/>
  <c r="Y395" i="11" s="1"/>
  <c r="G398" i="10"/>
  <c r="U397" i="10"/>
  <c r="T398" i="10"/>
  <c r="F399" i="10"/>
  <c r="E399" i="10"/>
  <c r="S398" i="10"/>
  <c r="K398" i="10"/>
  <c r="K398" i="11" s="1"/>
  <c r="S392" i="10"/>
  <c r="AC392" i="10" s="1"/>
  <c r="Y392" i="10" s="1"/>
  <c r="Y392" i="11" s="1"/>
  <c r="K392" i="10"/>
  <c r="K392" i="11" s="1"/>
  <c r="C388" i="11"/>
  <c r="Q388" i="10"/>
  <c r="Q388" i="11" s="1"/>
  <c r="E400" i="11"/>
  <c r="S400" i="11" s="1"/>
  <c r="S399" i="11"/>
  <c r="T402" i="11"/>
  <c r="F403" i="11"/>
  <c r="S402" i="11"/>
  <c r="E403" i="11"/>
  <c r="F396" i="10"/>
  <c r="T396" i="10" s="1"/>
  <c r="T395" i="10"/>
  <c r="T401" i="10"/>
  <c r="G401" i="10"/>
  <c r="F402" i="10"/>
  <c r="G395" i="10"/>
  <c r="U394" i="10"/>
  <c r="U401" i="11"/>
  <c r="G402" i="11"/>
  <c r="E406" i="11"/>
  <c r="S405" i="11"/>
  <c r="A413" i="11"/>
  <c r="F409" i="11"/>
  <c r="E409" i="11"/>
  <c r="A410" i="11"/>
  <c r="A411" i="11" s="1"/>
  <c r="A412" i="11" s="1"/>
  <c r="C397" i="11"/>
  <c r="C398" i="10"/>
  <c r="Q397" i="10"/>
  <c r="Q397" i="11" s="1"/>
  <c r="U391" i="10"/>
  <c r="G392" i="10"/>
  <c r="U392" i="10" s="1"/>
  <c r="Y401" i="10"/>
  <c r="Y401" i="11" s="1"/>
  <c r="S401" i="10"/>
  <c r="K401" i="10"/>
  <c r="K401" i="11" s="1"/>
  <c r="E402" i="10"/>
  <c r="C401" i="10"/>
  <c r="G396" i="11"/>
  <c r="U396" i="11" s="1"/>
  <c r="U395" i="11"/>
  <c r="AC394" i="10"/>
  <c r="Y394" i="10" s="1"/>
  <c r="Y394" i="11" s="1"/>
  <c r="G405" i="11"/>
  <c r="F406" i="11"/>
  <c r="T405" i="11"/>
  <c r="F400" i="11"/>
  <c r="T400" i="11" s="1"/>
  <c r="T399" i="11"/>
  <c r="A409" i="10"/>
  <c r="E405" i="10"/>
  <c r="A406" i="10"/>
  <c r="A407" i="10" s="1"/>
  <c r="A408" i="10" s="1"/>
  <c r="F405" i="10"/>
  <c r="G399" i="11"/>
  <c r="U398" i="11"/>
  <c r="C394" i="11"/>
  <c r="C395" i="10"/>
  <c r="Q394" i="10"/>
  <c r="Q394" i="11" s="1"/>
  <c r="G396" i="10" l="1"/>
  <c r="U396" i="10" s="1"/>
  <c r="U395" i="10"/>
  <c r="C395" i="11"/>
  <c r="Q395" i="10"/>
  <c r="Q395" i="11" s="1"/>
  <c r="C396" i="10"/>
  <c r="U405" i="11"/>
  <c r="G406" i="11"/>
  <c r="K405" i="10"/>
  <c r="K405" i="11" s="1"/>
  <c r="E406" i="10"/>
  <c r="Y405" i="10"/>
  <c r="Y405" i="11" s="1"/>
  <c r="S405" i="10"/>
  <c r="C405" i="10"/>
  <c r="F409" i="10"/>
  <c r="E409" i="10"/>
  <c r="A410" i="10"/>
  <c r="A411" i="10" s="1"/>
  <c r="A412" i="10" s="1"/>
  <c r="A413" i="10"/>
  <c r="S406" i="11"/>
  <c r="E407" i="11"/>
  <c r="F404" i="11"/>
  <c r="T404" i="11" s="1"/>
  <c r="T403" i="11"/>
  <c r="S399" i="10"/>
  <c r="AC399" i="10" s="1"/>
  <c r="Y399" i="10" s="1"/>
  <c r="Y399" i="11" s="1"/>
  <c r="K399" i="10"/>
  <c r="K399" i="11" s="1"/>
  <c r="E400" i="10"/>
  <c r="G403" i="11"/>
  <c r="U402" i="11"/>
  <c r="T399" i="10"/>
  <c r="F400" i="10"/>
  <c r="T400" i="10" s="1"/>
  <c r="G400" i="11"/>
  <c r="U400" i="11" s="1"/>
  <c r="U399" i="11"/>
  <c r="S409" i="11"/>
  <c r="E410" i="11"/>
  <c r="K396" i="10"/>
  <c r="K396" i="11" s="1"/>
  <c r="Y396" i="10"/>
  <c r="Y396" i="11" s="1"/>
  <c r="S396" i="10"/>
  <c r="AC396" i="10" s="1"/>
  <c r="U401" i="10"/>
  <c r="G402" i="10"/>
  <c r="F406" i="10"/>
  <c r="T405" i="10"/>
  <c r="G405" i="10"/>
  <c r="C401" i="11"/>
  <c r="C402" i="10"/>
  <c r="Q401" i="10"/>
  <c r="Q401" i="11" s="1"/>
  <c r="T409" i="11"/>
  <c r="F410" i="11"/>
  <c r="G409" i="11"/>
  <c r="U398" i="10"/>
  <c r="G399" i="10"/>
  <c r="C398" i="11"/>
  <c r="Q398" i="10"/>
  <c r="Q398" i="11" s="1"/>
  <c r="C399" i="10"/>
  <c r="T402" i="10"/>
  <c r="F403" i="10"/>
  <c r="S402" i="10"/>
  <c r="AC402" i="10" s="1"/>
  <c r="Y402" i="10" s="1"/>
  <c r="Y402" i="11" s="1"/>
  <c r="K402" i="10"/>
  <c r="K402" i="11" s="1"/>
  <c r="E403" i="10"/>
  <c r="A417" i="11"/>
  <c r="F413" i="11"/>
  <c r="E413" i="11"/>
  <c r="A414" i="11"/>
  <c r="A415" i="11" s="1"/>
  <c r="A416" i="11" s="1"/>
  <c r="S403" i="11"/>
  <c r="E404" i="11"/>
  <c r="S404" i="11" s="1"/>
  <c r="C392" i="11"/>
  <c r="Q392" i="10"/>
  <c r="Q392" i="11" s="1"/>
  <c r="T406" i="11"/>
  <c r="F407" i="11"/>
  <c r="AC398" i="10"/>
  <c r="Y398" i="10" s="1"/>
  <c r="Y398" i="11" s="1"/>
  <c r="K403" i="10" l="1"/>
  <c r="K403" i="11" s="1"/>
  <c r="S403" i="10"/>
  <c r="AC403" i="10" s="1"/>
  <c r="Y403" i="10" s="1"/>
  <c r="Y403" i="11" s="1"/>
  <c r="E404" i="10"/>
  <c r="T410" i="11"/>
  <c r="F411" i="11"/>
  <c r="E414" i="11"/>
  <c r="S413" i="11"/>
  <c r="U399" i="10"/>
  <c r="G400" i="10"/>
  <c r="U400" i="10" s="1"/>
  <c r="C405" i="11"/>
  <c r="C406" i="10"/>
  <c r="Q405" i="10"/>
  <c r="Q405" i="11" s="1"/>
  <c r="K406" i="10"/>
  <c r="K406" i="11" s="1"/>
  <c r="E407" i="10"/>
  <c r="S406" i="10"/>
  <c r="AC406" i="10" s="1"/>
  <c r="Y406" i="10" s="1"/>
  <c r="Y406" i="11" s="1"/>
  <c r="G413" i="11"/>
  <c r="F414" i="11"/>
  <c r="T413" i="11"/>
  <c r="S400" i="10"/>
  <c r="AC400" i="10" s="1"/>
  <c r="Y400" i="10" s="1"/>
  <c r="Y400" i="11" s="1"/>
  <c r="K400" i="10"/>
  <c r="K400" i="11" s="1"/>
  <c r="C396" i="11"/>
  <c r="Q396" i="10"/>
  <c r="Q396" i="11" s="1"/>
  <c r="G406" i="10"/>
  <c r="U405" i="10"/>
  <c r="F413" i="10"/>
  <c r="E413" i="10"/>
  <c r="A417" i="10"/>
  <c r="A414" i="10"/>
  <c r="A415" i="10" s="1"/>
  <c r="A416" i="10" s="1"/>
  <c r="E417" i="11"/>
  <c r="A418" i="11"/>
  <c r="A419" i="11" s="1"/>
  <c r="A420" i="11" s="1"/>
  <c r="A421" i="11"/>
  <c r="F417" i="11"/>
  <c r="G410" i="11"/>
  <c r="U409" i="11"/>
  <c r="S410" i="11"/>
  <c r="E411" i="11"/>
  <c r="U406" i="11"/>
  <c r="G407" i="11"/>
  <c r="S407" i="11"/>
  <c r="E408" i="11"/>
  <c r="S408" i="11" s="1"/>
  <c r="T403" i="10"/>
  <c r="F404" i="10"/>
  <c r="T404" i="10" s="1"/>
  <c r="C399" i="11"/>
  <c r="Q399" i="10"/>
  <c r="Q399" i="11" s="1"/>
  <c r="C400" i="10"/>
  <c r="F407" i="10"/>
  <c r="T406" i="10"/>
  <c r="K409" i="10"/>
  <c r="K409" i="11" s="1"/>
  <c r="C409" i="10"/>
  <c r="E410" i="10"/>
  <c r="Y409" i="10"/>
  <c r="Y409" i="11" s="1"/>
  <c r="S409" i="10"/>
  <c r="T407" i="11"/>
  <c r="F408" i="11"/>
  <c r="T408" i="11" s="1"/>
  <c r="C402" i="11"/>
  <c r="Q402" i="10"/>
  <c r="Q402" i="11" s="1"/>
  <c r="C403" i="10"/>
  <c r="U402" i="10"/>
  <c r="G403" i="10"/>
  <c r="G404" i="11"/>
  <c r="U404" i="11" s="1"/>
  <c r="U403" i="11"/>
  <c r="G409" i="10"/>
  <c r="F410" i="10"/>
  <c r="T409" i="10"/>
  <c r="E412" i="11" l="1"/>
  <c r="S412" i="11" s="1"/>
  <c r="S411" i="11"/>
  <c r="E408" i="10"/>
  <c r="K407" i="10"/>
  <c r="K407" i="11" s="1"/>
  <c r="S407" i="10"/>
  <c r="AC407" i="10" s="1"/>
  <c r="Y407" i="10" s="1"/>
  <c r="Y407" i="11" s="1"/>
  <c r="G404" i="10"/>
  <c r="U404" i="10" s="1"/>
  <c r="U403" i="10"/>
  <c r="G407" i="10"/>
  <c r="U406" i="10"/>
  <c r="F408" i="10"/>
  <c r="T408" i="10" s="1"/>
  <c r="T407" i="10"/>
  <c r="C403" i="11"/>
  <c r="Q403" i="10"/>
  <c r="Q403" i="11" s="1"/>
  <c r="C404" i="10"/>
  <c r="C400" i="11"/>
  <c r="Q400" i="10"/>
  <c r="Q400" i="11" s="1"/>
  <c r="G411" i="11"/>
  <c r="U410" i="11"/>
  <c r="C406" i="11"/>
  <c r="C407" i="10"/>
  <c r="Q406" i="10"/>
  <c r="Q406" i="11" s="1"/>
  <c r="T417" i="11"/>
  <c r="G417" i="11"/>
  <c r="F418" i="11"/>
  <c r="E421" i="11"/>
  <c r="A425" i="11"/>
  <c r="A422" i="11"/>
  <c r="A423" i="11" s="1"/>
  <c r="A424" i="11" s="1"/>
  <c r="F421" i="11"/>
  <c r="C409" i="11"/>
  <c r="C410" i="10"/>
  <c r="Q409" i="10"/>
  <c r="Q409" i="11" s="1"/>
  <c r="G413" i="10"/>
  <c r="T413" i="10"/>
  <c r="F414" i="10"/>
  <c r="S404" i="10"/>
  <c r="AC404" i="10" s="1"/>
  <c r="Y404" i="10" s="1"/>
  <c r="Y404" i="11" s="1"/>
  <c r="K404" i="10"/>
  <c r="K404" i="11" s="1"/>
  <c r="E418" i="11"/>
  <c r="S417" i="11"/>
  <c r="F415" i="11"/>
  <c r="T414" i="11"/>
  <c r="E415" i="11"/>
  <c r="S414" i="11"/>
  <c r="F411" i="10"/>
  <c r="T410" i="10"/>
  <c r="A421" i="10"/>
  <c r="E417" i="10"/>
  <c r="A418" i="10"/>
  <c r="A419" i="10" s="1"/>
  <c r="A420" i="10" s="1"/>
  <c r="F417" i="10"/>
  <c r="G414" i="11"/>
  <c r="U413" i="11"/>
  <c r="F412" i="11"/>
  <c r="T412" i="11" s="1"/>
  <c r="T411" i="11"/>
  <c r="U409" i="10"/>
  <c r="G410" i="10"/>
  <c r="S410" i="10"/>
  <c r="K410" i="10"/>
  <c r="K410" i="11" s="1"/>
  <c r="E411" i="10"/>
  <c r="U407" i="11"/>
  <c r="G408" i="11"/>
  <c r="U408" i="11" s="1"/>
  <c r="S413" i="10"/>
  <c r="Y413" i="10"/>
  <c r="Y413" i="11" s="1"/>
  <c r="K413" i="10"/>
  <c r="K413" i="11" s="1"/>
  <c r="C413" i="10"/>
  <c r="E414" i="10"/>
  <c r="C413" i="11" l="1"/>
  <c r="Q413" i="10"/>
  <c r="Q413" i="11" s="1"/>
  <c r="C414" i="10"/>
  <c r="G412" i="11"/>
  <c r="U412" i="11" s="1"/>
  <c r="U411" i="11"/>
  <c r="F418" i="10"/>
  <c r="T417" i="10"/>
  <c r="G417" i="10"/>
  <c r="K417" i="10"/>
  <c r="K417" i="11" s="1"/>
  <c r="E418" i="10"/>
  <c r="Y417" i="10"/>
  <c r="Y417" i="11" s="1"/>
  <c r="S417" i="10"/>
  <c r="C417" i="10"/>
  <c r="U417" i="11"/>
  <c r="G418" i="11"/>
  <c r="S411" i="10"/>
  <c r="AC411" i="10" s="1"/>
  <c r="K411" i="10"/>
  <c r="K411" i="11" s="1"/>
  <c r="E412" i="10"/>
  <c r="Y411" i="10"/>
  <c r="Y411" i="11" s="1"/>
  <c r="A422" i="10"/>
  <c r="A423" i="10" s="1"/>
  <c r="A424" i="10" s="1"/>
  <c r="A425" i="10"/>
  <c r="F421" i="10"/>
  <c r="E421" i="10"/>
  <c r="F415" i="10"/>
  <c r="T414" i="10"/>
  <c r="AC410" i="10"/>
  <c r="Y410" i="10" s="1"/>
  <c r="Y410" i="11" s="1"/>
  <c r="T411" i="10"/>
  <c r="F412" i="10"/>
  <c r="T412" i="10" s="1"/>
  <c r="U413" i="10"/>
  <c r="G414" i="10"/>
  <c r="C407" i="11"/>
  <c r="C408" i="10"/>
  <c r="Q407" i="10"/>
  <c r="Q407" i="11" s="1"/>
  <c r="G408" i="10"/>
  <c r="U408" i="10" s="1"/>
  <c r="U407" i="10"/>
  <c r="U410" i="10"/>
  <c r="G411" i="10"/>
  <c r="S414" i="10"/>
  <c r="AC414" i="10" s="1"/>
  <c r="Y414" i="10" s="1"/>
  <c r="Y414" i="11" s="1"/>
  <c r="K414" i="10"/>
  <c r="K414" i="11" s="1"/>
  <c r="E415" i="10"/>
  <c r="E416" i="11"/>
  <c r="S416" i="11" s="1"/>
  <c r="S415" i="11"/>
  <c r="C410" i="11"/>
  <c r="Q410" i="10"/>
  <c r="Q410" i="11" s="1"/>
  <c r="C411" i="10"/>
  <c r="F416" i="11"/>
  <c r="T416" i="11" s="1"/>
  <c r="T415" i="11"/>
  <c r="T421" i="11"/>
  <c r="G421" i="11"/>
  <c r="F422" i="11"/>
  <c r="G415" i="11"/>
  <c r="U414" i="11"/>
  <c r="S418" i="11"/>
  <c r="E419" i="11"/>
  <c r="A429" i="11"/>
  <c r="F425" i="11"/>
  <c r="E425" i="11"/>
  <c r="A426" i="11"/>
  <c r="A427" i="11" s="1"/>
  <c r="A428" i="11" s="1"/>
  <c r="C404" i="11"/>
  <c r="Q404" i="10"/>
  <c r="Q404" i="11" s="1"/>
  <c r="K408" i="10"/>
  <c r="K408" i="11" s="1"/>
  <c r="S408" i="10"/>
  <c r="AC408" i="10" s="1"/>
  <c r="Y408" i="10" s="1"/>
  <c r="Y408" i="11" s="1"/>
  <c r="E422" i="11"/>
  <c r="S421" i="11"/>
  <c r="T418" i="11"/>
  <c r="F419" i="11"/>
  <c r="U415" i="11" l="1"/>
  <c r="G416" i="11"/>
  <c r="U416" i="11" s="1"/>
  <c r="U421" i="11"/>
  <c r="G422" i="11"/>
  <c r="G412" i="10"/>
  <c r="U412" i="10" s="1"/>
  <c r="U411" i="10"/>
  <c r="T415" i="10"/>
  <c r="F416" i="10"/>
  <c r="T416" i="10" s="1"/>
  <c r="Y421" i="10"/>
  <c r="Y421" i="11" s="1"/>
  <c r="C421" i="10"/>
  <c r="E422" i="10"/>
  <c r="S421" i="10"/>
  <c r="K421" i="10"/>
  <c r="K421" i="11" s="1"/>
  <c r="S425" i="11"/>
  <c r="E426" i="11"/>
  <c r="C411" i="11"/>
  <c r="Q411" i="10"/>
  <c r="Q411" i="11" s="1"/>
  <c r="C412" i="10"/>
  <c r="K418" i="10"/>
  <c r="K418" i="11" s="1"/>
  <c r="E419" i="10"/>
  <c r="S418" i="10"/>
  <c r="AC418" i="10" s="1"/>
  <c r="Y418" i="10" s="1"/>
  <c r="Y418" i="11" s="1"/>
  <c r="A429" i="10"/>
  <c r="F425" i="10"/>
  <c r="E425" i="10"/>
  <c r="A426" i="10"/>
  <c r="A427" i="10" s="1"/>
  <c r="A428" i="10" s="1"/>
  <c r="C408" i="11"/>
  <c r="Q408" i="10"/>
  <c r="Q408" i="11" s="1"/>
  <c r="T425" i="11"/>
  <c r="F426" i="11"/>
  <c r="G425" i="11"/>
  <c r="K412" i="10"/>
  <c r="K412" i="11" s="1"/>
  <c r="S412" i="10"/>
  <c r="AC412" i="10" s="1"/>
  <c r="Y412" i="10"/>
  <c r="Y412" i="11" s="1"/>
  <c r="S422" i="11"/>
  <c r="E423" i="11"/>
  <c r="F422" i="10"/>
  <c r="T421" i="10"/>
  <c r="G421" i="10"/>
  <c r="F420" i="11"/>
  <c r="T420" i="11" s="1"/>
  <c r="T419" i="11"/>
  <c r="G418" i="10"/>
  <c r="U417" i="10"/>
  <c r="S419" i="11"/>
  <c r="E420" i="11"/>
  <c r="S420" i="11" s="1"/>
  <c r="T422" i="11"/>
  <c r="F423" i="11"/>
  <c r="G419" i="11"/>
  <c r="U418" i="11"/>
  <c r="C414" i="11"/>
  <c r="Q414" i="10"/>
  <c r="Q414" i="11" s="1"/>
  <c r="C415" i="10"/>
  <c r="A433" i="11"/>
  <c r="F429" i="11"/>
  <c r="E429" i="11"/>
  <c r="A430" i="11"/>
  <c r="A431" i="11" s="1"/>
  <c r="A432" i="11" s="1"/>
  <c r="U414" i="10"/>
  <c r="G415" i="10"/>
  <c r="F419" i="10"/>
  <c r="T418" i="10"/>
  <c r="K415" i="10"/>
  <c r="K415" i="11" s="1"/>
  <c r="S415" i="10"/>
  <c r="AC415" i="10" s="1"/>
  <c r="Y415" i="10" s="1"/>
  <c r="Y415" i="11" s="1"/>
  <c r="E416" i="10"/>
  <c r="C417" i="11"/>
  <c r="C418" i="10"/>
  <c r="Q417" i="10"/>
  <c r="Q417" i="11" s="1"/>
  <c r="F423" i="10" l="1"/>
  <c r="T422" i="10"/>
  <c r="U419" i="11"/>
  <c r="G420" i="11"/>
  <c r="U420" i="11" s="1"/>
  <c r="G425" i="10"/>
  <c r="T425" i="10"/>
  <c r="F426" i="10"/>
  <c r="S425" i="10"/>
  <c r="K425" i="10"/>
  <c r="K425" i="11" s="1"/>
  <c r="E426" i="10"/>
  <c r="C425" i="10"/>
  <c r="Y425" i="10"/>
  <c r="Y425" i="11" s="1"/>
  <c r="S423" i="11"/>
  <c r="E424" i="11"/>
  <c r="S424" i="11" s="1"/>
  <c r="F420" i="10"/>
  <c r="T420" i="10" s="1"/>
  <c r="T419" i="10"/>
  <c r="T423" i="11"/>
  <c r="F424" i="11"/>
  <c r="T424" i="11" s="1"/>
  <c r="E429" i="10"/>
  <c r="A430" i="10"/>
  <c r="A431" i="10" s="1"/>
  <c r="A432" i="10" s="1"/>
  <c r="A433" i="10"/>
  <c r="F429" i="10"/>
  <c r="S422" i="10"/>
  <c r="AC422" i="10" s="1"/>
  <c r="Y422" i="10" s="1"/>
  <c r="Y422" i="11" s="1"/>
  <c r="K422" i="10"/>
  <c r="K422" i="11" s="1"/>
  <c r="E423" i="10"/>
  <c r="C421" i="11"/>
  <c r="C422" i="10"/>
  <c r="Q421" i="10"/>
  <c r="Q421" i="11" s="1"/>
  <c r="E420" i="10"/>
  <c r="K419" i="10"/>
  <c r="K419" i="11" s="1"/>
  <c r="S419" i="10"/>
  <c r="AC419" i="10" s="1"/>
  <c r="Y419" i="10" s="1"/>
  <c r="Y419" i="11" s="1"/>
  <c r="E430" i="11"/>
  <c r="S429" i="11"/>
  <c r="C418" i="11"/>
  <c r="C419" i="10"/>
  <c r="Q418" i="10"/>
  <c r="Q418" i="11" s="1"/>
  <c r="G419" i="10"/>
  <c r="U418" i="10"/>
  <c r="U425" i="11"/>
  <c r="G426" i="11"/>
  <c r="C412" i="11"/>
  <c r="Q412" i="10"/>
  <c r="Q412" i="11" s="1"/>
  <c r="C415" i="11"/>
  <c r="C416" i="10"/>
  <c r="Q415" i="10"/>
  <c r="Q415" i="11" s="1"/>
  <c r="U422" i="11"/>
  <c r="G423" i="11"/>
  <c r="A437" i="11"/>
  <c r="E433" i="11"/>
  <c r="A434" i="11"/>
  <c r="A435" i="11" s="1"/>
  <c r="A436" i="11" s="1"/>
  <c r="F433" i="11"/>
  <c r="U421" i="10"/>
  <c r="G422" i="10"/>
  <c r="S426" i="11"/>
  <c r="E427" i="11"/>
  <c r="G429" i="11"/>
  <c r="F430" i="11"/>
  <c r="T429" i="11"/>
  <c r="F427" i="11"/>
  <c r="T426" i="11"/>
  <c r="S416" i="10"/>
  <c r="AC416" i="10" s="1"/>
  <c r="Y416" i="10" s="1"/>
  <c r="Y416" i="11" s="1"/>
  <c r="K416" i="10"/>
  <c r="K416" i="11" s="1"/>
  <c r="G416" i="10"/>
  <c r="U416" i="10" s="1"/>
  <c r="U415" i="10"/>
  <c r="C425" i="11" l="1"/>
  <c r="Q425" i="10"/>
  <c r="Q425" i="11" s="1"/>
  <c r="C426" i="10"/>
  <c r="F427" i="10"/>
  <c r="T426" i="10"/>
  <c r="S420" i="10"/>
  <c r="AC420" i="10" s="1"/>
  <c r="Y420" i="10" s="1"/>
  <c r="Y420" i="11" s="1"/>
  <c r="K420" i="10"/>
  <c r="K420" i="11" s="1"/>
  <c r="F434" i="11"/>
  <c r="T433" i="11"/>
  <c r="G433" i="11"/>
  <c r="G426" i="10"/>
  <c r="U425" i="10"/>
  <c r="C422" i="11"/>
  <c r="Q422" i="10"/>
  <c r="Q422" i="11" s="1"/>
  <c r="C423" i="10"/>
  <c r="F428" i="11"/>
  <c r="T428" i="11" s="1"/>
  <c r="T427" i="11"/>
  <c r="U423" i="11"/>
  <c r="G424" i="11"/>
  <c r="U424" i="11" s="1"/>
  <c r="C419" i="11"/>
  <c r="C420" i="10"/>
  <c r="Q419" i="10"/>
  <c r="Q419" i="11" s="1"/>
  <c r="F430" i="10"/>
  <c r="T429" i="10"/>
  <c r="G429" i="10"/>
  <c r="F433" i="10"/>
  <c r="A437" i="10"/>
  <c r="E433" i="10"/>
  <c r="A434" i="10"/>
  <c r="A435" i="10" s="1"/>
  <c r="A436" i="10" s="1"/>
  <c r="E430" i="10"/>
  <c r="C429" i="10"/>
  <c r="Y429" i="10"/>
  <c r="Y429" i="11" s="1"/>
  <c r="S429" i="10"/>
  <c r="K429" i="10"/>
  <c r="K429" i="11" s="1"/>
  <c r="E434" i="11"/>
  <c r="S433" i="11"/>
  <c r="U419" i="10"/>
  <c r="G420" i="10"/>
  <c r="U420" i="10" s="1"/>
  <c r="F431" i="11"/>
  <c r="T430" i="11"/>
  <c r="G430" i="11"/>
  <c r="U429" i="11"/>
  <c r="C416" i="11"/>
  <c r="Q416" i="10"/>
  <c r="Q416" i="11" s="1"/>
  <c r="E431" i="11"/>
  <c r="S430" i="11"/>
  <c r="S426" i="10"/>
  <c r="AC426" i="10" s="1"/>
  <c r="Y426" i="10" s="1"/>
  <c r="Y426" i="11" s="1"/>
  <c r="K426" i="10"/>
  <c r="K426" i="11" s="1"/>
  <c r="E427" i="10"/>
  <c r="E428" i="11"/>
  <c r="S428" i="11" s="1"/>
  <c r="S427" i="11"/>
  <c r="U422" i="10"/>
  <c r="G423" i="10"/>
  <c r="G427" i="11"/>
  <c r="U426" i="11"/>
  <c r="A438" i="11"/>
  <c r="A439" i="11" s="1"/>
  <c r="A440" i="11" s="1"/>
  <c r="A441" i="11"/>
  <c r="E437" i="11"/>
  <c r="F437" i="11"/>
  <c r="S423" i="10"/>
  <c r="AC423" i="10" s="1"/>
  <c r="Y423" i="10" s="1"/>
  <c r="Y423" i="11" s="1"/>
  <c r="K423" i="10"/>
  <c r="K423" i="11" s="1"/>
  <c r="E424" i="10"/>
  <c r="T423" i="10"/>
  <c r="F424" i="10"/>
  <c r="T424" i="10" s="1"/>
  <c r="U433" i="11" l="1"/>
  <c r="G434" i="11"/>
  <c r="T434" i="11"/>
  <c r="F435" i="11"/>
  <c r="G428" i="11"/>
  <c r="U428" i="11" s="1"/>
  <c r="U427" i="11"/>
  <c r="G431" i="11"/>
  <c r="U430" i="11"/>
  <c r="T430" i="10"/>
  <c r="F431" i="10"/>
  <c r="U423" i="10"/>
  <c r="G424" i="10"/>
  <c r="U424" i="10" s="1"/>
  <c r="S424" i="10"/>
  <c r="AC424" i="10" s="1"/>
  <c r="Y424" i="10" s="1"/>
  <c r="Y424" i="11" s="1"/>
  <c r="K424" i="10"/>
  <c r="K424" i="11" s="1"/>
  <c r="S433" i="10"/>
  <c r="K433" i="10"/>
  <c r="K433" i="11" s="1"/>
  <c r="C433" i="10"/>
  <c r="Y433" i="10"/>
  <c r="Y433" i="11" s="1"/>
  <c r="E434" i="10"/>
  <c r="F432" i="11"/>
  <c r="T432" i="11" s="1"/>
  <c r="T431" i="11"/>
  <c r="F437" i="10"/>
  <c r="E437" i="10"/>
  <c r="A441" i="10"/>
  <c r="A438" i="10"/>
  <c r="A439" i="10" s="1"/>
  <c r="A440" i="10" s="1"/>
  <c r="C423" i="11"/>
  <c r="Q423" i="10"/>
  <c r="Q423" i="11" s="1"/>
  <c r="C424" i="10"/>
  <c r="F428" i="10"/>
  <c r="T428" i="10" s="1"/>
  <c r="T427" i="10"/>
  <c r="C429" i="11"/>
  <c r="C430" i="10"/>
  <c r="Q429" i="10"/>
  <c r="Q429" i="11" s="1"/>
  <c r="K430" i="10"/>
  <c r="K430" i="11" s="1"/>
  <c r="E431" i="10"/>
  <c r="S430" i="10"/>
  <c r="K427" i="10"/>
  <c r="K427" i="11" s="1"/>
  <c r="E428" i="10"/>
  <c r="S427" i="10"/>
  <c r="AC427" i="10" s="1"/>
  <c r="Y427" i="10" s="1"/>
  <c r="Y427" i="11" s="1"/>
  <c r="T433" i="10"/>
  <c r="G433" i="10"/>
  <c r="F434" i="10"/>
  <c r="C426" i="11"/>
  <c r="Q426" i="10"/>
  <c r="Q426" i="11" s="1"/>
  <c r="C427" i="10"/>
  <c r="E438" i="11"/>
  <c r="S437" i="11"/>
  <c r="E435" i="11"/>
  <c r="S434" i="11"/>
  <c r="G427" i="10"/>
  <c r="U426" i="10"/>
  <c r="F441" i="11"/>
  <c r="E441" i="11"/>
  <c r="A442" i="11"/>
  <c r="A443" i="11" s="1"/>
  <c r="A444" i="11" s="1"/>
  <c r="A445" i="11"/>
  <c r="E432" i="11"/>
  <c r="S432" i="11" s="1"/>
  <c r="S431" i="11"/>
  <c r="C420" i="11"/>
  <c r="Q420" i="10"/>
  <c r="Q420" i="11" s="1"/>
  <c r="U429" i="10"/>
  <c r="G430" i="10"/>
  <c r="T437" i="11"/>
  <c r="G437" i="11"/>
  <c r="F438" i="11"/>
  <c r="T431" i="10" l="1"/>
  <c r="F432" i="10"/>
  <c r="T432" i="10" s="1"/>
  <c r="C430" i="11"/>
  <c r="C431" i="10"/>
  <c r="Q430" i="10"/>
  <c r="Q430" i="11" s="1"/>
  <c r="U433" i="10"/>
  <c r="G434" i="10"/>
  <c r="S434" i="10"/>
  <c r="AC434" i="10" s="1"/>
  <c r="E435" i="10"/>
  <c r="Y434" i="10"/>
  <c r="Y434" i="11" s="1"/>
  <c r="K434" i="10"/>
  <c r="K434" i="11" s="1"/>
  <c r="F442" i="11"/>
  <c r="T441" i="11"/>
  <c r="G441" i="11"/>
  <c r="U431" i="11"/>
  <c r="G432" i="11"/>
  <c r="U432" i="11" s="1"/>
  <c r="AC430" i="10"/>
  <c r="Y430" i="10" s="1"/>
  <c r="Y430" i="11" s="1"/>
  <c r="C427" i="11"/>
  <c r="C428" i="10"/>
  <c r="Q427" i="10"/>
  <c r="Q427" i="11" s="1"/>
  <c r="E438" i="10"/>
  <c r="C437" i="10"/>
  <c r="Y437" i="10"/>
  <c r="Y437" i="11" s="1"/>
  <c r="S437" i="10"/>
  <c r="K437" i="10"/>
  <c r="K437" i="11" s="1"/>
  <c r="G437" i="10"/>
  <c r="F438" i="10"/>
  <c r="T437" i="10"/>
  <c r="C433" i="11"/>
  <c r="Q433" i="10"/>
  <c r="Q433" i="11" s="1"/>
  <c r="C434" i="10"/>
  <c r="F445" i="11"/>
  <c r="E445" i="11"/>
  <c r="A446" i="11"/>
  <c r="A447" i="11" s="1"/>
  <c r="A448" i="11" s="1"/>
  <c r="A449" i="11"/>
  <c r="E442" i="11"/>
  <c r="S441" i="11"/>
  <c r="G428" i="10"/>
  <c r="U428" i="10" s="1"/>
  <c r="U427" i="10"/>
  <c r="C424" i="11"/>
  <c r="Q424" i="10"/>
  <c r="Q424" i="11" s="1"/>
  <c r="G431" i="10"/>
  <c r="U430" i="10"/>
  <c r="K428" i="10"/>
  <c r="K428" i="11" s="1"/>
  <c r="S428" i="10"/>
  <c r="AC428" i="10" s="1"/>
  <c r="Y428" i="10" s="1"/>
  <c r="Y428" i="11" s="1"/>
  <c r="F436" i="11"/>
  <c r="T436" i="11" s="1"/>
  <c r="T435" i="11"/>
  <c r="U437" i="11"/>
  <c r="G438" i="11"/>
  <c r="S435" i="11"/>
  <c r="E436" i="11"/>
  <c r="S436" i="11" s="1"/>
  <c r="G435" i="11"/>
  <c r="U434" i="11"/>
  <c r="T434" i="10"/>
  <c r="F435" i="10"/>
  <c r="T438" i="11"/>
  <c r="F439" i="11"/>
  <c r="S438" i="11"/>
  <c r="E439" i="11"/>
  <c r="Y431" i="10"/>
  <c r="Y431" i="11" s="1"/>
  <c r="E432" i="10"/>
  <c r="S431" i="10"/>
  <c r="AC431" i="10" s="1"/>
  <c r="K431" i="10"/>
  <c r="K431" i="11" s="1"/>
  <c r="A442" i="10"/>
  <c r="A443" i="10" s="1"/>
  <c r="A444" i="10" s="1"/>
  <c r="A445" i="10"/>
  <c r="F441" i="10"/>
  <c r="E441" i="10"/>
  <c r="E440" i="11" l="1"/>
  <c r="S440" i="11" s="1"/>
  <c r="S439" i="11"/>
  <c r="E443" i="11"/>
  <c r="S442" i="11"/>
  <c r="F443" i="11"/>
  <c r="T442" i="11"/>
  <c r="E439" i="10"/>
  <c r="S438" i="10"/>
  <c r="AC438" i="10" s="1"/>
  <c r="Y438" i="10" s="1"/>
  <c r="Y438" i="11" s="1"/>
  <c r="K438" i="10"/>
  <c r="K438" i="11" s="1"/>
  <c r="T445" i="11"/>
  <c r="G445" i="11"/>
  <c r="F446" i="11"/>
  <c r="C428" i="11"/>
  <c r="Q428" i="10"/>
  <c r="Q428" i="11" s="1"/>
  <c r="U431" i="10"/>
  <c r="G432" i="10"/>
  <c r="U432" i="10" s="1"/>
  <c r="S445" i="11"/>
  <c r="E446" i="11"/>
  <c r="Y441" i="10"/>
  <c r="Y441" i="11" s="1"/>
  <c r="K441" i="10"/>
  <c r="K441" i="11" s="1"/>
  <c r="S441" i="10"/>
  <c r="C441" i="10"/>
  <c r="E442" i="10"/>
  <c r="F436" i="10"/>
  <c r="T436" i="10" s="1"/>
  <c r="T435" i="10"/>
  <c r="T441" i="10"/>
  <c r="F442" i="10"/>
  <c r="G441" i="10"/>
  <c r="A450" i="11"/>
  <c r="A451" i="11" s="1"/>
  <c r="A452" i="11" s="1"/>
  <c r="A453" i="11"/>
  <c r="F449" i="11"/>
  <c r="E449" i="11"/>
  <c r="C431" i="11"/>
  <c r="Q431" i="10"/>
  <c r="Q431" i="11" s="1"/>
  <c r="C432" i="10"/>
  <c r="C434" i="11"/>
  <c r="Q434" i="10"/>
  <c r="Q434" i="11" s="1"/>
  <c r="C435" i="10"/>
  <c r="U434" i="10"/>
  <c r="G435" i="10"/>
  <c r="A449" i="10"/>
  <c r="F445" i="10"/>
  <c r="A446" i="10"/>
  <c r="A447" i="10" s="1"/>
  <c r="A448" i="10" s="1"/>
  <c r="E445" i="10"/>
  <c r="U435" i="11"/>
  <c r="G436" i="11"/>
  <c r="U436" i="11" s="1"/>
  <c r="F439" i="10"/>
  <c r="T438" i="10"/>
  <c r="T439" i="11"/>
  <c r="F440" i="11"/>
  <c r="T440" i="11" s="1"/>
  <c r="S432" i="10"/>
  <c r="AC432" i="10" s="1"/>
  <c r="Y432" i="10"/>
  <c r="Y432" i="11" s="1"/>
  <c r="K432" i="10"/>
  <c r="K432" i="11" s="1"/>
  <c r="U438" i="11"/>
  <c r="G439" i="11"/>
  <c r="G438" i="10"/>
  <c r="U437" i="10"/>
  <c r="G442" i="11"/>
  <c r="U441" i="11"/>
  <c r="C437" i="11"/>
  <c r="C438" i="10"/>
  <c r="Q437" i="10"/>
  <c r="Q437" i="11" s="1"/>
  <c r="S435" i="10"/>
  <c r="AC435" i="10" s="1"/>
  <c r="K435" i="10"/>
  <c r="K435" i="11" s="1"/>
  <c r="E436" i="10"/>
  <c r="Y435" i="10"/>
  <c r="Y435" i="11" s="1"/>
  <c r="T439" i="10" l="1"/>
  <c r="F440" i="10"/>
  <c r="T440" i="10" s="1"/>
  <c r="C432" i="11"/>
  <c r="Q432" i="10"/>
  <c r="Q432" i="11" s="1"/>
  <c r="K442" i="10"/>
  <c r="K442" i="11" s="1"/>
  <c r="E443" i="10"/>
  <c r="S442" i="10"/>
  <c r="AC442" i="10" s="1"/>
  <c r="Y442" i="10" s="1"/>
  <c r="Y442" i="11" s="1"/>
  <c r="G446" i="11"/>
  <c r="U445" i="11"/>
  <c r="G443" i="11"/>
  <c r="U442" i="11"/>
  <c r="C441" i="11"/>
  <c r="Q441" i="10"/>
  <c r="Q441" i="11" s="1"/>
  <c r="C442" i="10"/>
  <c r="U439" i="11"/>
  <c r="G440" i="11"/>
  <c r="U440" i="11" s="1"/>
  <c r="T449" i="11"/>
  <c r="G449" i="11"/>
  <c r="F450" i="11"/>
  <c r="G445" i="10"/>
  <c r="F446" i="10"/>
  <c r="T445" i="10"/>
  <c r="S446" i="11"/>
  <c r="E447" i="11"/>
  <c r="K436" i="10"/>
  <c r="K436" i="11" s="1"/>
  <c r="S436" i="10"/>
  <c r="AC436" i="10" s="1"/>
  <c r="Y436" i="10" s="1"/>
  <c r="Y436" i="11" s="1"/>
  <c r="E449" i="10"/>
  <c r="A453" i="10"/>
  <c r="A450" i="10"/>
  <c r="A451" i="10" s="1"/>
  <c r="A452" i="10" s="1"/>
  <c r="F449" i="10"/>
  <c r="F444" i="11"/>
  <c r="T444" i="11" s="1"/>
  <c r="T443" i="11"/>
  <c r="K445" i="10"/>
  <c r="K445" i="11" s="1"/>
  <c r="E446" i="10"/>
  <c r="C445" i="10"/>
  <c r="Y445" i="10"/>
  <c r="Y445" i="11" s="1"/>
  <c r="S445" i="10"/>
  <c r="U441" i="10"/>
  <c r="G442" i="10"/>
  <c r="T442" i="10"/>
  <c r="F443" i="10"/>
  <c r="E453" i="11"/>
  <c r="F453" i="11"/>
  <c r="A454" i="11"/>
  <c r="A455" i="11" s="1"/>
  <c r="A456" i="11" s="1"/>
  <c r="A457" i="11"/>
  <c r="Y439" i="10"/>
  <c r="Y439" i="11" s="1"/>
  <c r="K439" i="10"/>
  <c r="K439" i="11" s="1"/>
  <c r="E440" i="10"/>
  <c r="S439" i="10"/>
  <c r="AC439" i="10" s="1"/>
  <c r="C435" i="11"/>
  <c r="Q435" i="10"/>
  <c r="Q435" i="11" s="1"/>
  <c r="C436" i="10"/>
  <c r="E444" i="11"/>
  <c r="S444" i="11" s="1"/>
  <c r="S443" i="11"/>
  <c r="G439" i="10"/>
  <c r="U438" i="10"/>
  <c r="S449" i="11"/>
  <c r="E450" i="11"/>
  <c r="G436" i="10"/>
  <c r="U436" i="10" s="1"/>
  <c r="U435" i="10"/>
  <c r="C438" i="11"/>
  <c r="C439" i="10"/>
  <c r="Q438" i="10"/>
  <c r="Q438" i="11" s="1"/>
  <c r="T446" i="11"/>
  <c r="F447" i="11"/>
  <c r="U443" i="11" l="1"/>
  <c r="G444" i="11"/>
  <c r="U444" i="11" s="1"/>
  <c r="S450" i="11"/>
  <c r="E451" i="11"/>
  <c r="K446" i="10"/>
  <c r="K446" i="11" s="1"/>
  <c r="E447" i="10"/>
  <c r="S446" i="10"/>
  <c r="AC446" i="10" s="1"/>
  <c r="Y446" i="10" s="1"/>
  <c r="Y446" i="11" s="1"/>
  <c r="G453" i="11"/>
  <c r="F454" i="11"/>
  <c r="T453" i="11"/>
  <c r="G446" i="10"/>
  <c r="U445" i="10"/>
  <c r="U446" i="11"/>
  <c r="G447" i="11"/>
  <c r="T447" i="11"/>
  <c r="F448" i="11"/>
  <c r="T448" i="11" s="1"/>
  <c r="T443" i="10"/>
  <c r="F444" i="10"/>
  <c r="T444" i="10" s="1"/>
  <c r="U449" i="11"/>
  <c r="G450" i="11"/>
  <c r="S443" i="10"/>
  <c r="AC443" i="10" s="1"/>
  <c r="E444" i="10"/>
  <c r="Y443" i="10"/>
  <c r="Y443" i="11" s="1"/>
  <c r="K443" i="10"/>
  <c r="K443" i="11" s="1"/>
  <c r="E454" i="11"/>
  <c r="S453" i="11"/>
  <c r="C449" i="10"/>
  <c r="E450" i="10"/>
  <c r="Y449" i="10"/>
  <c r="Y449" i="11" s="1"/>
  <c r="K449" i="10"/>
  <c r="K449" i="11" s="1"/>
  <c r="S449" i="10"/>
  <c r="S440" i="10"/>
  <c r="AC440" i="10" s="1"/>
  <c r="Y440" i="10" s="1"/>
  <c r="Y440" i="11" s="1"/>
  <c r="K440" i="10"/>
  <c r="K440" i="11" s="1"/>
  <c r="C436" i="11"/>
  <c r="Q436" i="10"/>
  <c r="Q436" i="11" s="1"/>
  <c r="F453" i="10"/>
  <c r="A457" i="10"/>
  <c r="A454" i="10"/>
  <c r="A455" i="10" s="1"/>
  <c r="A456" i="10" s="1"/>
  <c r="E453" i="10"/>
  <c r="C439" i="11"/>
  <c r="C440" i="10"/>
  <c r="Q439" i="10"/>
  <c r="Q439" i="11" s="1"/>
  <c r="A461" i="11"/>
  <c r="F457" i="11"/>
  <c r="E457" i="11"/>
  <c r="A458" i="11"/>
  <c r="A459" i="11" s="1"/>
  <c r="A460" i="11" s="1"/>
  <c r="F447" i="10"/>
  <c r="T446" i="10"/>
  <c r="U439" i="10"/>
  <c r="G440" i="10"/>
  <c r="U440" i="10" s="1"/>
  <c r="G449" i="10"/>
  <c r="F450" i="10"/>
  <c r="T449" i="10"/>
  <c r="T450" i="11"/>
  <c r="F451" i="11"/>
  <c r="U442" i="10"/>
  <c r="G443" i="10"/>
  <c r="C442" i="11"/>
  <c r="Q442" i="10"/>
  <c r="Q442" i="11" s="1"/>
  <c r="C443" i="10"/>
  <c r="C445" i="11"/>
  <c r="Q445" i="10"/>
  <c r="Q445" i="11" s="1"/>
  <c r="C446" i="10"/>
  <c r="S447" i="11"/>
  <c r="E448" i="11"/>
  <c r="S448" i="11" s="1"/>
  <c r="S457" i="11" l="1"/>
  <c r="E458" i="11"/>
  <c r="S444" i="10"/>
  <c r="AC444" i="10" s="1"/>
  <c r="K444" i="10"/>
  <c r="K444" i="11" s="1"/>
  <c r="Y444" i="10"/>
  <c r="Y444" i="11" s="1"/>
  <c r="E448" i="10"/>
  <c r="S447" i="10"/>
  <c r="AC447" i="10" s="1"/>
  <c r="Y447" i="10" s="1"/>
  <c r="Y447" i="11" s="1"/>
  <c r="K447" i="10"/>
  <c r="K447" i="11" s="1"/>
  <c r="U449" i="10"/>
  <c r="G450" i="10"/>
  <c r="K450" i="10"/>
  <c r="K450" i="11" s="1"/>
  <c r="E451" i="10"/>
  <c r="S450" i="10"/>
  <c r="AC450" i="10" s="1"/>
  <c r="Y450" i="10" s="1"/>
  <c r="Y450" i="11" s="1"/>
  <c r="C449" i="11"/>
  <c r="C450" i="10"/>
  <c r="Q449" i="10"/>
  <c r="Q449" i="11" s="1"/>
  <c r="E452" i="11"/>
  <c r="S452" i="11" s="1"/>
  <c r="S451" i="11"/>
  <c r="T457" i="11"/>
  <c r="G457" i="11"/>
  <c r="F458" i="11"/>
  <c r="F455" i="11"/>
  <c r="T454" i="11"/>
  <c r="F452" i="11"/>
  <c r="T452" i="11" s="1"/>
  <c r="T451" i="11"/>
  <c r="E461" i="11"/>
  <c r="A462" i="11"/>
  <c r="A463" i="11" s="1"/>
  <c r="A464" i="11" s="1"/>
  <c r="F461" i="11"/>
  <c r="A465" i="11"/>
  <c r="G451" i="11"/>
  <c r="U450" i="11"/>
  <c r="G454" i="11"/>
  <c r="U453" i="11"/>
  <c r="C440" i="11"/>
  <c r="Q440" i="10"/>
  <c r="Q440" i="11" s="1"/>
  <c r="C453" i="10"/>
  <c r="E454" i="10"/>
  <c r="Y453" i="10"/>
  <c r="Y453" i="11" s="1"/>
  <c r="K453" i="10"/>
  <c r="K453" i="11" s="1"/>
  <c r="S453" i="10"/>
  <c r="A458" i="10"/>
  <c r="A459" i="10" s="1"/>
  <c r="A460" i="10" s="1"/>
  <c r="E457" i="10"/>
  <c r="F457" i="10"/>
  <c r="A461" i="10"/>
  <c r="U447" i="11"/>
  <c r="G448" i="11"/>
  <c r="U448" i="11" s="1"/>
  <c r="F451" i="10"/>
  <c r="T450" i="10"/>
  <c r="C446" i="11"/>
  <c r="Q446" i="10"/>
  <c r="Q446" i="11" s="1"/>
  <c r="C447" i="10"/>
  <c r="C443" i="11"/>
  <c r="Q443" i="10"/>
  <c r="Q443" i="11" s="1"/>
  <c r="C444" i="10"/>
  <c r="G453" i="10"/>
  <c r="F454" i="10"/>
  <c r="T453" i="10"/>
  <c r="E455" i="11"/>
  <c r="S454" i="11"/>
  <c r="G447" i="10"/>
  <c r="U446" i="10"/>
  <c r="U443" i="10"/>
  <c r="G444" i="10"/>
  <c r="U444" i="10" s="1"/>
  <c r="F448" i="10"/>
  <c r="T448" i="10" s="1"/>
  <c r="T447" i="10"/>
  <c r="E456" i="11" l="1"/>
  <c r="S456" i="11" s="1"/>
  <c r="S455" i="11"/>
  <c r="F456" i="11"/>
  <c r="T456" i="11" s="1"/>
  <c r="T455" i="11"/>
  <c r="T458" i="11"/>
  <c r="F459" i="11"/>
  <c r="U450" i="10"/>
  <c r="G451" i="10"/>
  <c r="F455" i="10"/>
  <c r="T454" i="10"/>
  <c r="G455" i="11"/>
  <c r="U454" i="11"/>
  <c r="T457" i="10"/>
  <c r="G457" i="10"/>
  <c r="F458" i="10"/>
  <c r="C444" i="11"/>
  <c r="Q444" i="10"/>
  <c r="Q444" i="11" s="1"/>
  <c r="U451" i="11"/>
  <c r="G452" i="11"/>
  <c r="U452" i="11" s="1"/>
  <c r="A466" i="11"/>
  <c r="A467" i="11" s="1"/>
  <c r="A468" i="11" s="1"/>
  <c r="F465" i="11"/>
  <c r="A469" i="11"/>
  <c r="E465" i="11"/>
  <c r="T461" i="11"/>
  <c r="F462" i="11"/>
  <c r="G461" i="11"/>
  <c r="K448" i="10"/>
  <c r="K448" i="11" s="1"/>
  <c r="S448" i="10"/>
  <c r="AC448" i="10" s="1"/>
  <c r="Y448" i="10" s="1"/>
  <c r="Y448" i="11" s="1"/>
  <c r="A465" i="10"/>
  <c r="A462" i="10"/>
  <c r="A463" i="10" s="1"/>
  <c r="A464" i="10" s="1"/>
  <c r="F461" i="10"/>
  <c r="E461" i="10"/>
  <c r="U457" i="11"/>
  <c r="G458" i="11"/>
  <c r="U453" i="10"/>
  <c r="G454" i="10"/>
  <c r="E458" i="10"/>
  <c r="Y457" i="10"/>
  <c r="Y457" i="11" s="1"/>
  <c r="S457" i="10"/>
  <c r="K457" i="10"/>
  <c r="K457" i="11" s="1"/>
  <c r="C457" i="10"/>
  <c r="C447" i="11"/>
  <c r="C448" i="10"/>
  <c r="Q447" i="10"/>
  <c r="Q447" i="11" s="1"/>
  <c r="C453" i="11"/>
  <c r="C454" i="10"/>
  <c r="Q453" i="10"/>
  <c r="Q453" i="11" s="1"/>
  <c r="S458" i="11"/>
  <c r="E459" i="11"/>
  <c r="C450" i="11"/>
  <c r="C451" i="10"/>
  <c r="Q450" i="10"/>
  <c r="Q450" i="11" s="1"/>
  <c r="E462" i="11"/>
  <c r="S461" i="11"/>
  <c r="K454" i="10"/>
  <c r="K454" i="11" s="1"/>
  <c r="E455" i="10"/>
  <c r="S454" i="10"/>
  <c r="G448" i="10"/>
  <c r="U448" i="10" s="1"/>
  <c r="U447" i="10"/>
  <c r="F452" i="10"/>
  <c r="T452" i="10" s="1"/>
  <c r="T451" i="10"/>
  <c r="S451" i="10"/>
  <c r="AC451" i="10" s="1"/>
  <c r="Y451" i="10" s="1"/>
  <c r="Y451" i="11" s="1"/>
  <c r="E452" i="10"/>
  <c r="K451" i="10"/>
  <c r="K451" i="11" s="1"/>
  <c r="S455" i="10" l="1"/>
  <c r="AC455" i="10" s="1"/>
  <c r="Y455" i="10" s="1"/>
  <c r="Y455" i="11" s="1"/>
  <c r="K455" i="10"/>
  <c r="K455" i="11" s="1"/>
  <c r="E456" i="10"/>
  <c r="E469" i="11"/>
  <c r="A473" i="11"/>
  <c r="F469" i="11"/>
  <c r="A470" i="11"/>
  <c r="A471" i="11" s="1"/>
  <c r="A472" i="11" s="1"/>
  <c r="T465" i="11"/>
  <c r="G465" i="11"/>
  <c r="F466" i="11"/>
  <c r="F456" i="10"/>
  <c r="T456" i="10" s="1"/>
  <c r="T455" i="10"/>
  <c r="C448" i="11"/>
  <c r="Q448" i="10"/>
  <c r="Q448" i="11" s="1"/>
  <c r="F462" i="10"/>
  <c r="T461" i="10"/>
  <c r="G461" i="10"/>
  <c r="G452" i="10"/>
  <c r="U452" i="10" s="1"/>
  <c r="U451" i="10"/>
  <c r="K452" i="10"/>
  <c r="K452" i="11" s="1"/>
  <c r="S452" i="10"/>
  <c r="AC452" i="10" s="1"/>
  <c r="Y452" i="10" s="1"/>
  <c r="Y452" i="11" s="1"/>
  <c r="S462" i="11"/>
  <c r="E463" i="11"/>
  <c r="AC454" i="10"/>
  <c r="Y454" i="10" s="1"/>
  <c r="Y454" i="11" s="1"/>
  <c r="C454" i="11"/>
  <c r="C455" i="10"/>
  <c r="Q454" i="10"/>
  <c r="Q454" i="11" s="1"/>
  <c r="U458" i="11"/>
  <c r="G459" i="11"/>
  <c r="S465" i="11"/>
  <c r="E466" i="11"/>
  <c r="G456" i="11"/>
  <c r="U456" i="11" s="1"/>
  <c r="U455" i="11"/>
  <c r="C457" i="11"/>
  <c r="C458" i="10"/>
  <c r="Q457" i="10"/>
  <c r="Q457" i="11" s="1"/>
  <c r="A469" i="10"/>
  <c r="A466" i="10"/>
  <c r="A467" i="10" s="1"/>
  <c r="A468" i="10" s="1"/>
  <c r="F465" i="10"/>
  <c r="E465" i="10"/>
  <c r="T459" i="11"/>
  <c r="F460" i="11"/>
  <c r="T460" i="11" s="1"/>
  <c r="F459" i="10"/>
  <c r="T458" i="10"/>
  <c r="C461" i="10"/>
  <c r="Y461" i="10"/>
  <c r="Y461" i="11" s="1"/>
  <c r="S461" i="10"/>
  <c r="K461" i="10"/>
  <c r="K461" i="11" s="1"/>
  <c r="E462" i="10"/>
  <c r="S459" i="11"/>
  <c r="E460" i="11"/>
  <c r="S460" i="11" s="1"/>
  <c r="S458" i="10"/>
  <c r="K458" i="10"/>
  <c r="K458" i="11" s="1"/>
  <c r="E459" i="10"/>
  <c r="U461" i="11"/>
  <c r="G462" i="11"/>
  <c r="G458" i="10"/>
  <c r="U457" i="10"/>
  <c r="C451" i="11"/>
  <c r="C452" i="10"/>
  <c r="Q451" i="10"/>
  <c r="Q451" i="11" s="1"/>
  <c r="G455" i="10"/>
  <c r="U454" i="10"/>
  <c r="F463" i="11"/>
  <c r="T462" i="11"/>
  <c r="T466" i="11" l="1"/>
  <c r="F467" i="11"/>
  <c r="T463" i="11"/>
  <c r="F464" i="11"/>
  <c r="T464" i="11" s="1"/>
  <c r="E466" i="10"/>
  <c r="C465" i="10"/>
  <c r="Y465" i="10"/>
  <c r="Y465" i="11" s="1"/>
  <c r="S465" i="10"/>
  <c r="K465" i="10"/>
  <c r="K465" i="11" s="1"/>
  <c r="U461" i="10"/>
  <c r="G462" i="10"/>
  <c r="A477" i="11"/>
  <c r="F473" i="11"/>
  <c r="E473" i="11"/>
  <c r="A474" i="11"/>
  <c r="A475" i="11" s="1"/>
  <c r="A476" i="11" s="1"/>
  <c r="C461" i="11"/>
  <c r="Q461" i="10"/>
  <c r="Q461" i="11" s="1"/>
  <c r="C462" i="10"/>
  <c r="U465" i="11"/>
  <c r="G466" i="11"/>
  <c r="E460" i="10"/>
  <c r="Y459" i="10"/>
  <c r="Y459" i="11" s="1"/>
  <c r="S459" i="10"/>
  <c r="AC459" i="10" s="1"/>
  <c r="K459" i="10"/>
  <c r="K459" i="11" s="1"/>
  <c r="T459" i="10"/>
  <c r="F460" i="10"/>
  <c r="T460" i="10" s="1"/>
  <c r="S466" i="11"/>
  <c r="E467" i="11"/>
  <c r="T469" i="11"/>
  <c r="G469" i="11"/>
  <c r="F470" i="11"/>
  <c r="U455" i="10"/>
  <c r="G456" i="10"/>
  <c r="U456" i="10" s="1"/>
  <c r="S469" i="11"/>
  <c r="E470" i="11"/>
  <c r="AC458" i="10"/>
  <c r="Y458" i="10" s="1"/>
  <c r="Y458" i="11" s="1"/>
  <c r="U459" i="11"/>
  <c r="G460" i="11"/>
  <c r="U460" i="11" s="1"/>
  <c r="F466" i="10"/>
  <c r="T465" i="10"/>
  <c r="G465" i="10"/>
  <c r="C455" i="11"/>
  <c r="C456" i="10"/>
  <c r="Q455" i="10"/>
  <c r="Q455" i="11" s="1"/>
  <c r="T462" i="10"/>
  <c r="F463" i="10"/>
  <c r="S456" i="10"/>
  <c r="AC456" i="10" s="1"/>
  <c r="Y456" i="10" s="1"/>
  <c r="Y456" i="11" s="1"/>
  <c r="K456" i="10"/>
  <c r="K456" i="11" s="1"/>
  <c r="U458" i="10"/>
  <c r="G459" i="10"/>
  <c r="A470" i="10"/>
  <c r="A471" i="10" s="1"/>
  <c r="A472" i="10" s="1"/>
  <c r="E469" i="10"/>
  <c r="A473" i="10"/>
  <c r="F469" i="10"/>
  <c r="U462" i="11"/>
  <c r="G463" i="11"/>
  <c r="C452" i="11"/>
  <c r="Q452" i="10"/>
  <c r="Q452" i="11" s="1"/>
  <c r="E463" i="10"/>
  <c r="S462" i="10"/>
  <c r="K462" i="10"/>
  <c r="K462" i="11" s="1"/>
  <c r="C458" i="11"/>
  <c r="C459" i="10"/>
  <c r="Q458" i="10"/>
  <c r="Q458" i="11" s="1"/>
  <c r="E464" i="11"/>
  <c r="S464" i="11" s="1"/>
  <c r="S463" i="11"/>
  <c r="S463" i="10" l="1"/>
  <c r="AC463" i="10" s="1"/>
  <c r="Y463" i="10" s="1"/>
  <c r="Y463" i="11" s="1"/>
  <c r="E464" i="10"/>
  <c r="K463" i="10"/>
  <c r="K463" i="11" s="1"/>
  <c r="E477" i="11"/>
  <c r="A478" i="11"/>
  <c r="A479" i="11" s="1"/>
  <c r="A480" i="11" s="1"/>
  <c r="A481" i="11"/>
  <c r="F477" i="11"/>
  <c r="S470" i="11"/>
  <c r="E471" i="11"/>
  <c r="U462" i="10"/>
  <c r="G463" i="10"/>
  <c r="C465" i="11"/>
  <c r="Q465" i="10"/>
  <c r="Q465" i="11" s="1"/>
  <c r="C466" i="10"/>
  <c r="C459" i="11"/>
  <c r="Q459" i="10"/>
  <c r="Q459" i="11" s="1"/>
  <c r="C460" i="10"/>
  <c r="E467" i="10"/>
  <c r="S466" i="10"/>
  <c r="AC466" i="10" s="1"/>
  <c r="Y466" i="10" s="1"/>
  <c r="Y466" i="11" s="1"/>
  <c r="K466" i="10"/>
  <c r="K466" i="11" s="1"/>
  <c r="U466" i="11"/>
  <c r="G467" i="11"/>
  <c r="T469" i="10"/>
  <c r="G469" i="10"/>
  <c r="F470" i="10"/>
  <c r="C456" i="11"/>
  <c r="Q456" i="10"/>
  <c r="Q456" i="11" s="1"/>
  <c r="F471" i="11"/>
  <c r="T470" i="11"/>
  <c r="F473" i="10"/>
  <c r="A477" i="10"/>
  <c r="A474" i="10"/>
  <c r="A475" i="10" s="1"/>
  <c r="A476" i="10" s="1"/>
  <c r="E473" i="10"/>
  <c r="G470" i="11"/>
  <c r="U469" i="11"/>
  <c r="C462" i="11"/>
  <c r="Q462" i="10"/>
  <c r="Q462" i="11" s="1"/>
  <c r="C463" i="10"/>
  <c r="E470" i="10"/>
  <c r="Y469" i="10"/>
  <c r="Y469" i="11" s="1"/>
  <c r="S469" i="10"/>
  <c r="K469" i="10"/>
  <c r="K469" i="11" s="1"/>
  <c r="C469" i="10"/>
  <c r="U465" i="10"/>
  <c r="G466" i="10"/>
  <c r="E468" i="11"/>
  <c r="S468" i="11" s="1"/>
  <c r="S467" i="11"/>
  <c r="G464" i="11"/>
  <c r="U464" i="11" s="1"/>
  <c r="U463" i="11"/>
  <c r="S460" i="10"/>
  <c r="AC460" i="10" s="1"/>
  <c r="Y460" i="10" s="1"/>
  <c r="Y460" i="11" s="1"/>
  <c r="K460" i="10"/>
  <c r="K460" i="11" s="1"/>
  <c r="U459" i="10"/>
  <c r="G460" i="10"/>
  <c r="U460" i="10" s="1"/>
  <c r="T466" i="10"/>
  <c r="F467" i="10"/>
  <c r="AC462" i="10"/>
  <c r="Y462" i="10" s="1"/>
  <c r="Y462" i="11" s="1"/>
  <c r="E474" i="11"/>
  <c r="S473" i="11"/>
  <c r="T467" i="11"/>
  <c r="F468" i="11"/>
  <c r="T468" i="11" s="1"/>
  <c r="F464" i="10"/>
  <c r="T464" i="10" s="1"/>
  <c r="T463" i="10"/>
  <c r="G473" i="11"/>
  <c r="F474" i="11"/>
  <c r="T473" i="11"/>
  <c r="G474" i="11" l="1"/>
  <c r="U473" i="11"/>
  <c r="E475" i="11"/>
  <c r="S474" i="11"/>
  <c r="G471" i="11"/>
  <c r="U470" i="11"/>
  <c r="U467" i="11"/>
  <c r="G468" i="11"/>
  <c r="U468" i="11" s="1"/>
  <c r="U463" i="10"/>
  <c r="G464" i="10"/>
  <c r="U464" i="10" s="1"/>
  <c r="U466" i="10"/>
  <c r="G467" i="10"/>
  <c r="Y473" i="10"/>
  <c r="Y473" i="11" s="1"/>
  <c r="S473" i="10"/>
  <c r="K473" i="10"/>
  <c r="K473" i="11" s="1"/>
  <c r="C473" i="10"/>
  <c r="E474" i="10"/>
  <c r="F472" i="11"/>
  <c r="T472" i="11" s="1"/>
  <c r="T471" i="11"/>
  <c r="C460" i="11"/>
  <c r="Q460" i="10"/>
  <c r="Q460" i="11" s="1"/>
  <c r="T467" i="10"/>
  <c r="F468" i="10"/>
  <c r="T468" i="10" s="1"/>
  <c r="E472" i="11"/>
  <c r="S472" i="11" s="1"/>
  <c r="S471" i="11"/>
  <c r="F477" i="10"/>
  <c r="A481" i="10"/>
  <c r="A478" i="10"/>
  <c r="A479" i="10" s="1"/>
  <c r="A480" i="10" s="1"/>
  <c r="E477" i="10"/>
  <c r="T477" i="11"/>
  <c r="F478" i="11"/>
  <c r="G477" i="11"/>
  <c r="E478" i="11"/>
  <c r="S477" i="11"/>
  <c r="F475" i="11"/>
  <c r="T474" i="11"/>
  <c r="S467" i="10"/>
  <c r="AC467" i="10" s="1"/>
  <c r="Y467" i="10" s="1"/>
  <c r="Y467" i="11" s="1"/>
  <c r="K467" i="10"/>
  <c r="K467" i="11" s="1"/>
  <c r="E468" i="10"/>
  <c r="T470" i="10"/>
  <c r="F471" i="10"/>
  <c r="C466" i="11"/>
  <c r="Q466" i="10"/>
  <c r="Q466" i="11" s="1"/>
  <c r="C467" i="10"/>
  <c r="Y464" i="10"/>
  <c r="Y464" i="11" s="1"/>
  <c r="S464" i="10"/>
  <c r="AC464" i="10" s="1"/>
  <c r="K464" i="10"/>
  <c r="K464" i="11" s="1"/>
  <c r="C469" i="11"/>
  <c r="Q469" i="10"/>
  <c r="Q469" i="11" s="1"/>
  <c r="C470" i="10"/>
  <c r="T473" i="10"/>
  <c r="G473" i="10"/>
  <c r="F474" i="10"/>
  <c r="A485" i="11"/>
  <c r="F481" i="11"/>
  <c r="E481" i="11"/>
  <c r="A482" i="11"/>
  <c r="A483" i="11" s="1"/>
  <c r="A484" i="11" s="1"/>
  <c r="C463" i="11"/>
  <c r="C464" i="10"/>
  <c r="Q463" i="10"/>
  <c r="Q463" i="11" s="1"/>
  <c r="U469" i="10"/>
  <c r="G470" i="10"/>
  <c r="S470" i="10"/>
  <c r="AC470" i="10" s="1"/>
  <c r="Y470" i="10" s="1"/>
  <c r="Y470" i="11" s="1"/>
  <c r="K470" i="10"/>
  <c r="K470" i="11" s="1"/>
  <c r="E471" i="10"/>
  <c r="U467" i="10" l="1"/>
  <c r="G468" i="10"/>
  <c r="U468" i="10" s="1"/>
  <c r="A485" i="10"/>
  <c r="F481" i="10"/>
  <c r="E481" i="10"/>
  <c r="A482" i="10"/>
  <c r="A483" i="10" s="1"/>
  <c r="A484" i="10" s="1"/>
  <c r="C464" i="11"/>
  <c r="Q464" i="10"/>
  <c r="Q464" i="11" s="1"/>
  <c r="F476" i="11"/>
  <c r="T476" i="11" s="1"/>
  <c r="T475" i="11"/>
  <c r="T474" i="10"/>
  <c r="F475" i="10"/>
  <c r="T471" i="10"/>
  <c r="F472" i="10"/>
  <c r="T472" i="10" s="1"/>
  <c r="G474" i="10"/>
  <c r="U473" i="10"/>
  <c r="Y477" i="10"/>
  <c r="Y477" i="11" s="1"/>
  <c r="S477" i="10"/>
  <c r="K477" i="10"/>
  <c r="K477" i="11" s="1"/>
  <c r="C477" i="10"/>
  <c r="E478" i="10"/>
  <c r="E475" i="10"/>
  <c r="S474" i="10"/>
  <c r="AC474" i="10" s="1"/>
  <c r="Y474" i="10" s="1"/>
  <c r="Y474" i="11" s="1"/>
  <c r="K474" i="10"/>
  <c r="K474" i="11" s="1"/>
  <c r="G472" i="11"/>
  <c r="U472" i="11" s="1"/>
  <c r="U471" i="11"/>
  <c r="F482" i="11"/>
  <c r="T481" i="11"/>
  <c r="G481" i="11"/>
  <c r="U477" i="11"/>
  <c r="G478" i="11"/>
  <c r="S471" i="10"/>
  <c r="AC471" i="10" s="1"/>
  <c r="Y471" i="10" s="1"/>
  <c r="Y471" i="11" s="1"/>
  <c r="K471" i="10"/>
  <c r="K471" i="11" s="1"/>
  <c r="E472" i="10"/>
  <c r="A489" i="11"/>
  <c r="F485" i="11"/>
  <c r="E485" i="11"/>
  <c r="A486" i="11"/>
  <c r="A487" i="11" s="1"/>
  <c r="A488" i="11" s="1"/>
  <c r="T478" i="11"/>
  <c r="F479" i="11"/>
  <c r="S468" i="10"/>
  <c r="AC468" i="10" s="1"/>
  <c r="Y468" i="10" s="1"/>
  <c r="Y468" i="11" s="1"/>
  <c r="K468" i="10"/>
  <c r="K468" i="11" s="1"/>
  <c r="C473" i="11"/>
  <c r="C474" i="10"/>
  <c r="Q473" i="10"/>
  <c r="Q473" i="11" s="1"/>
  <c r="S478" i="11"/>
  <c r="E479" i="11"/>
  <c r="C470" i="11"/>
  <c r="C471" i="10"/>
  <c r="Q470" i="10"/>
  <c r="Q470" i="11" s="1"/>
  <c r="E476" i="11"/>
  <c r="S476" i="11" s="1"/>
  <c r="S475" i="11"/>
  <c r="T477" i="10"/>
  <c r="G477" i="10"/>
  <c r="F478" i="10"/>
  <c r="S481" i="11"/>
  <c r="E482" i="11"/>
  <c r="C467" i="11"/>
  <c r="C468" i="10"/>
  <c r="Q467" i="10"/>
  <c r="Q467" i="11" s="1"/>
  <c r="U470" i="10"/>
  <c r="G471" i="10"/>
  <c r="G475" i="11"/>
  <c r="U474" i="11"/>
  <c r="U477" i="10" l="1"/>
  <c r="G478" i="10"/>
  <c r="S478" i="10"/>
  <c r="K478" i="10"/>
  <c r="K478" i="11" s="1"/>
  <c r="E479" i="10"/>
  <c r="A493" i="11"/>
  <c r="F489" i="11"/>
  <c r="A490" i="11"/>
  <c r="A491" i="11" s="1"/>
  <c r="A492" i="11" s="1"/>
  <c r="E489" i="11"/>
  <c r="E483" i="11"/>
  <c r="S482" i="11"/>
  <c r="S472" i="10"/>
  <c r="AC472" i="10" s="1"/>
  <c r="Y472" i="10" s="1"/>
  <c r="Y472" i="11" s="1"/>
  <c r="K472" i="10"/>
  <c r="K472" i="11" s="1"/>
  <c r="T475" i="10"/>
  <c r="F476" i="10"/>
  <c r="T476" i="10" s="1"/>
  <c r="U475" i="11"/>
  <c r="G476" i="11"/>
  <c r="U476" i="11" s="1"/>
  <c r="T479" i="11"/>
  <c r="F480" i="11"/>
  <c r="T480" i="11" s="1"/>
  <c r="U481" i="11"/>
  <c r="G482" i="11"/>
  <c r="K481" i="10"/>
  <c r="K481" i="11" s="1"/>
  <c r="Y481" i="10"/>
  <c r="Y481" i="11" s="1"/>
  <c r="S481" i="10"/>
  <c r="C481" i="10"/>
  <c r="E482" i="10"/>
  <c r="C474" i="11"/>
  <c r="Q474" i="10"/>
  <c r="Q474" i="11" s="1"/>
  <c r="C475" i="10"/>
  <c r="S475" i="10"/>
  <c r="AC475" i="10" s="1"/>
  <c r="Y475" i="10" s="1"/>
  <c r="Y475" i="11" s="1"/>
  <c r="K475" i="10"/>
  <c r="K475" i="11" s="1"/>
  <c r="E476" i="10"/>
  <c r="C477" i="11"/>
  <c r="C478" i="10"/>
  <c r="Q477" i="10"/>
  <c r="Q477" i="11" s="1"/>
  <c r="T482" i="11"/>
  <c r="F483" i="11"/>
  <c r="F482" i="10"/>
  <c r="T481" i="10"/>
  <c r="G481" i="10"/>
  <c r="C471" i="11"/>
  <c r="Q471" i="10"/>
  <c r="Q471" i="11" s="1"/>
  <c r="C472" i="10"/>
  <c r="S485" i="11"/>
  <c r="E486" i="11"/>
  <c r="U474" i="10"/>
  <c r="G475" i="10"/>
  <c r="A486" i="10"/>
  <c r="A487" i="10" s="1"/>
  <c r="A488" i="10" s="1"/>
  <c r="A489" i="10"/>
  <c r="F485" i="10"/>
  <c r="E485" i="10"/>
  <c r="U478" i="11"/>
  <c r="G479" i="11"/>
  <c r="U471" i="10"/>
  <c r="G472" i="10"/>
  <c r="U472" i="10" s="1"/>
  <c r="C468" i="11"/>
  <c r="Q468" i="10"/>
  <c r="Q468" i="11" s="1"/>
  <c r="S479" i="11"/>
  <c r="E480" i="11"/>
  <c r="S480" i="11" s="1"/>
  <c r="T485" i="11"/>
  <c r="G485" i="11"/>
  <c r="F486" i="11"/>
  <c r="T478" i="10"/>
  <c r="F479" i="10"/>
  <c r="S486" i="11" l="1"/>
  <c r="E487" i="11"/>
  <c r="U482" i="11"/>
  <c r="G483" i="11"/>
  <c r="S483" i="11"/>
  <c r="E484" i="11"/>
  <c r="S484" i="11" s="1"/>
  <c r="S476" i="10"/>
  <c r="AC476" i="10" s="1"/>
  <c r="Y476" i="10" s="1"/>
  <c r="Y476" i="11" s="1"/>
  <c r="K476" i="10"/>
  <c r="K476" i="11" s="1"/>
  <c r="G480" i="11"/>
  <c r="U480" i="11" s="1"/>
  <c r="U479" i="11"/>
  <c r="G489" i="11"/>
  <c r="F490" i="11"/>
  <c r="T489" i="11"/>
  <c r="T479" i="10"/>
  <c r="F480" i="10"/>
  <c r="T480" i="10" s="1"/>
  <c r="C475" i="11"/>
  <c r="Q475" i="10"/>
  <c r="Q475" i="11" s="1"/>
  <c r="C476" i="10"/>
  <c r="A497" i="11"/>
  <c r="E493" i="11"/>
  <c r="A494" i="11"/>
  <c r="A495" i="11" s="1"/>
  <c r="A496" i="11" s="1"/>
  <c r="F493" i="11"/>
  <c r="F487" i="11"/>
  <c r="T486" i="11"/>
  <c r="F486" i="10"/>
  <c r="T485" i="10"/>
  <c r="G485" i="10"/>
  <c r="T482" i="10"/>
  <c r="F483" i="10"/>
  <c r="S479" i="10"/>
  <c r="AC479" i="10" s="1"/>
  <c r="Y479" i="10" s="1"/>
  <c r="Y479" i="11" s="1"/>
  <c r="K479" i="10"/>
  <c r="K479" i="11" s="1"/>
  <c r="E480" i="10"/>
  <c r="S489" i="11"/>
  <c r="E490" i="11"/>
  <c r="G482" i="10"/>
  <c r="U481" i="10"/>
  <c r="C485" i="10"/>
  <c r="E486" i="10"/>
  <c r="Y485" i="10"/>
  <c r="Y485" i="11" s="1"/>
  <c r="S485" i="10"/>
  <c r="K485" i="10"/>
  <c r="K485" i="11" s="1"/>
  <c r="G486" i="11"/>
  <c r="U485" i="11"/>
  <c r="F489" i="10"/>
  <c r="E489" i="10"/>
  <c r="A493" i="10"/>
  <c r="A490" i="10"/>
  <c r="A491" i="10" s="1"/>
  <c r="A492" i="10" s="1"/>
  <c r="T483" i="11"/>
  <c r="F484" i="11"/>
  <c r="T484" i="11" s="1"/>
  <c r="K482" i="10"/>
  <c r="K482" i="11" s="1"/>
  <c r="S482" i="10"/>
  <c r="AC482" i="10" s="1"/>
  <c r="E483" i="10"/>
  <c r="Y482" i="10"/>
  <c r="Y482" i="11" s="1"/>
  <c r="C481" i="11"/>
  <c r="Q481" i="10"/>
  <c r="Q481" i="11" s="1"/>
  <c r="C482" i="10"/>
  <c r="AC478" i="10"/>
  <c r="Y478" i="10" s="1"/>
  <c r="Y478" i="11" s="1"/>
  <c r="C472" i="11"/>
  <c r="Q472" i="10"/>
  <c r="Q472" i="11" s="1"/>
  <c r="U478" i="10"/>
  <c r="G479" i="10"/>
  <c r="U475" i="10"/>
  <c r="G476" i="10"/>
  <c r="U476" i="10" s="1"/>
  <c r="C478" i="11"/>
  <c r="Q478" i="10"/>
  <c r="Q478" i="11" s="1"/>
  <c r="C479" i="10"/>
  <c r="E494" i="11" l="1"/>
  <c r="S493" i="11"/>
  <c r="C479" i="11"/>
  <c r="Q479" i="10"/>
  <c r="Q479" i="11" s="1"/>
  <c r="C480" i="10"/>
  <c r="U486" i="11"/>
  <c r="G487" i="11"/>
  <c r="E493" i="10"/>
  <c r="A494" i="10"/>
  <c r="A495" i="10" s="1"/>
  <c r="A496" i="10" s="1"/>
  <c r="F493" i="10"/>
  <c r="A497" i="10"/>
  <c r="E491" i="11"/>
  <c r="S490" i="11"/>
  <c r="F488" i="11"/>
  <c r="T488" i="11" s="1"/>
  <c r="T487" i="11"/>
  <c r="G490" i="11"/>
  <c r="U489" i="11"/>
  <c r="S489" i="10"/>
  <c r="K489" i="10"/>
  <c r="K489" i="11" s="1"/>
  <c r="C489" i="10"/>
  <c r="E490" i="10"/>
  <c r="Y489" i="10"/>
  <c r="Y489" i="11" s="1"/>
  <c r="T493" i="11"/>
  <c r="F494" i="11"/>
  <c r="G493" i="11"/>
  <c r="A501" i="11"/>
  <c r="F497" i="11"/>
  <c r="E497" i="11"/>
  <c r="A498" i="11"/>
  <c r="A499" i="11" s="1"/>
  <c r="A500" i="11" s="1"/>
  <c r="T483" i="10"/>
  <c r="F484" i="10"/>
  <c r="T484" i="10" s="1"/>
  <c r="U483" i="11"/>
  <c r="G484" i="11"/>
  <c r="U484" i="11" s="1"/>
  <c r="C485" i="11"/>
  <c r="C486" i="10"/>
  <c r="Q485" i="10"/>
  <c r="Q485" i="11" s="1"/>
  <c r="G489" i="10"/>
  <c r="F490" i="10"/>
  <c r="T489" i="10"/>
  <c r="S480" i="10"/>
  <c r="AC480" i="10" s="1"/>
  <c r="Y480" i="10" s="1"/>
  <c r="Y480" i="11" s="1"/>
  <c r="K480" i="10"/>
  <c r="K480" i="11" s="1"/>
  <c r="U485" i="10"/>
  <c r="G486" i="10"/>
  <c r="U479" i="10"/>
  <c r="G480" i="10"/>
  <c r="U480" i="10" s="1"/>
  <c r="F487" i="10"/>
  <c r="T486" i="10"/>
  <c r="E488" i="11"/>
  <c r="S488" i="11" s="1"/>
  <c r="S487" i="11"/>
  <c r="C482" i="11"/>
  <c r="C483" i="10"/>
  <c r="Q482" i="10"/>
  <c r="Q482" i="11" s="1"/>
  <c r="C476" i="11"/>
  <c r="Q476" i="10"/>
  <c r="Q476" i="11" s="1"/>
  <c r="E484" i="10"/>
  <c r="S483" i="10"/>
  <c r="AC483" i="10" s="1"/>
  <c r="Y483" i="10" s="1"/>
  <c r="Y483" i="11" s="1"/>
  <c r="K483" i="10"/>
  <c r="K483" i="11" s="1"/>
  <c r="E487" i="10"/>
  <c r="S486" i="10"/>
  <c r="AC486" i="10" s="1"/>
  <c r="Y486" i="10" s="1"/>
  <c r="Y486" i="11" s="1"/>
  <c r="K486" i="10"/>
  <c r="K486" i="11" s="1"/>
  <c r="G483" i="10"/>
  <c r="U482" i="10"/>
  <c r="F491" i="11"/>
  <c r="T490" i="11"/>
  <c r="C489" i="11" l="1"/>
  <c r="C490" i="10"/>
  <c r="Q489" i="10"/>
  <c r="Q489" i="11" s="1"/>
  <c r="F495" i="11"/>
  <c r="T494" i="11"/>
  <c r="E492" i="11"/>
  <c r="S492" i="11" s="1"/>
  <c r="S491" i="11"/>
  <c r="F494" i="10"/>
  <c r="T493" i="10"/>
  <c r="G493" i="10"/>
  <c r="U486" i="10"/>
  <c r="G487" i="10"/>
  <c r="G488" i="11"/>
  <c r="U488" i="11" s="1"/>
  <c r="U487" i="11"/>
  <c r="S487" i="10"/>
  <c r="AC487" i="10" s="1"/>
  <c r="Y487" i="10" s="1"/>
  <c r="Y487" i="11" s="1"/>
  <c r="E488" i="10"/>
  <c r="K487" i="10"/>
  <c r="K487" i="11" s="1"/>
  <c r="F488" i="10"/>
  <c r="T488" i="10" s="1"/>
  <c r="T487" i="10"/>
  <c r="C486" i="11"/>
  <c r="C487" i="10"/>
  <c r="Q486" i="10"/>
  <c r="Q486" i="11" s="1"/>
  <c r="A501" i="10"/>
  <c r="A498" i="10"/>
  <c r="A499" i="10" s="1"/>
  <c r="A500" i="10" s="1"/>
  <c r="F497" i="10"/>
  <c r="E497" i="10"/>
  <c r="S493" i="10"/>
  <c r="K493" i="10"/>
  <c r="K493" i="11" s="1"/>
  <c r="C493" i="10"/>
  <c r="E494" i="10"/>
  <c r="Y493" i="10"/>
  <c r="Y493" i="11" s="1"/>
  <c r="C480" i="11"/>
  <c r="Q480" i="10"/>
  <c r="Q480" i="11" s="1"/>
  <c r="F492" i="11"/>
  <c r="T492" i="11" s="1"/>
  <c r="T491" i="11"/>
  <c r="C483" i="11"/>
  <c r="Q483" i="10"/>
  <c r="Q483" i="11" s="1"/>
  <c r="C484" i="10"/>
  <c r="S497" i="11"/>
  <c r="E498" i="11"/>
  <c r="G491" i="11"/>
  <c r="U490" i="11"/>
  <c r="S490" i="10"/>
  <c r="AC490" i="10" s="1"/>
  <c r="Y490" i="10" s="1"/>
  <c r="Y490" i="11" s="1"/>
  <c r="K490" i="10"/>
  <c r="K490" i="11" s="1"/>
  <c r="E491" i="10"/>
  <c r="Y484" i="10"/>
  <c r="Y484" i="11" s="1"/>
  <c r="S484" i="10"/>
  <c r="AC484" i="10" s="1"/>
  <c r="K484" i="10"/>
  <c r="K484" i="11" s="1"/>
  <c r="U483" i="10"/>
  <c r="G484" i="10"/>
  <c r="U484" i="10" s="1"/>
  <c r="F498" i="11"/>
  <c r="T497" i="11"/>
  <c r="G497" i="11"/>
  <c r="F491" i="10"/>
  <c r="T490" i="10"/>
  <c r="E501" i="11"/>
  <c r="A502" i="11"/>
  <c r="A503" i="11" s="1"/>
  <c r="A504" i="11" s="1"/>
  <c r="A505" i="11"/>
  <c r="F501" i="11"/>
  <c r="G490" i="10"/>
  <c r="U489" i="10"/>
  <c r="U493" i="11"/>
  <c r="G494" i="11"/>
  <c r="S494" i="11"/>
  <c r="E495" i="11"/>
  <c r="E502" i="11" l="1"/>
  <c r="S501" i="11"/>
  <c r="C487" i="11"/>
  <c r="C488" i="10"/>
  <c r="Q487" i="10"/>
  <c r="Q487" i="11" s="1"/>
  <c r="G494" i="10"/>
  <c r="U493" i="10"/>
  <c r="F501" i="10"/>
  <c r="E501" i="10"/>
  <c r="A502" i="10"/>
  <c r="A503" i="10" s="1"/>
  <c r="A504" i="10" s="1"/>
  <c r="A505" i="10"/>
  <c r="G488" i="10"/>
  <c r="U488" i="10" s="1"/>
  <c r="U487" i="10"/>
  <c r="G498" i="11"/>
  <c r="U497" i="11"/>
  <c r="S494" i="10"/>
  <c r="K494" i="10"/>
  <c r="K494" i="11" s="1"/>
  <c r="E495" i="10"/>
  <c r="U491" i="11"/>
  <c r="G492" i="11"/>
  <c r="U492" i="11" s="1"/>
  <c r="C484" i="11"/>
  <c r="Q484" i="10"/>
  <c r="Q484" i="11" s="1"/>
  <c r="A509" i="11"/>
  <c r="F505" i="11"/>
  <c r="A506" i="11"/>
  <c r="A507" i="11" s="1"/>
  <c r="A508" i="11" s="1"/>
  <c r="E505" i="11"/>
  <c r="C493" i="11"/>
  <c r="Q493" i="10"/>
  <c r="Q493" i="11" s="1"/>
  <c r="C494" i="10"/>
  <c r="U494" i="11"/>
  <c r="G495" i="11"/>
  <c r="T498" i="11"/>
  <c r="F499" i="11"/>
  <c r="E499" i="11"/>
  <c r="S498" i="11"/>
  <c r="F492" i="10"/>
  <c r="T492" i="10" s="1"/>
  <c r="T491" i="10"/>
  <c r="K488" i="10"/>
  <c r="K488" i="11" s="1"/>
  <c r="S488" i="10"/>
  <c r="AC488" i="10" s="1"/>
  <c r="Y488" i="10" s="1"/>
  <c r="Y488" i="11" s="1"/>
  <c r="T495" i="11"/>
  <c r="F496" i="11"/>
  <c r="T496" i="11" s="1"/>
  <c r="K491" i="10"/>
  <c r="K491" i="11" s="1"/>
  <c r="S491" i="10"/>
  <c r="AC491" i="10" s="1"/>
  <c r="Y491" i="10" s="1"/>
  <c r="Y491" i="11" s="1"/>
  <c r="E492" i="10"/>
  <c r="T497" i="10"/>
  <c r="G497" i="10"/>
  <c r="F498" i="10"/>
  <c r="C490" i="11"/>
  <c r="Q490" i="10"/>
  <c r="Q490" i="11" s="1"/>
  <c r="C491" i="10"/>
  <c r="T494" i="10"/>
  <c r="F495" i="10"/>
  <c r="E496" i="11"/>
  <c r="S496" i="11" s="1"/>
  <c r="S495" i="11"/>
  <c r="E498" i="10"/>
  <c r="Y497" i="10"/>
  <c r="Y497" i="11" s="1"/>
  <c r="S497" i="10"/>
  <c r="K497" i="10"/>
  <c r="K497" i="11" s="1"/>
  <c r="C497" i="10"/>
  <c r="G491" i="10"/>
  <c r="U490" i="10"/>
  <c r="F502" i="11"/>
  <c r="T501" i="11"/>
  <c r="G501" i="11"/>
  <c r="G496" i="11" l="1"/>
  <c r="U496" i="11" s="1"/>
  <c r="U495" i="11"/>
  <c r="G502" i="11"/>
  <c r="U501" i="11"/>
  <c r="T495" i="10"/>
  <c r="F496" i="10"/>
  <c r="T496" i="10" s="1"/>
  <c r="G492" i="10"/>
  <c r="U492" i="10" s="1"/>
  <c r="U491" i="10"/>
  <c r="A510" i="11"/>
  <c r="A511" i="11" s="1"/>
  <c r="A512" i="11" s="1"/>
  <c r="E509" i="11"/>
  <c r="A513" i="11"/>
  <c r="F509" i="11"/>
  <c r="E500" i="11"/>
  <c r="S500" i="11" s="1"/>
  <c r="S499" i="11"/>
  <c r="A506" i="10"/>
  <c r="A507" i="10" s="1"/>
  <c r="A508" i="10" s="1"/>
  <c r="F505" i="10"/>
  <c r="E505" i="10"/>
  <c r="A509" i="10"/>
  <c r="S492" i="10"/>
  <c r="AC492" i="10" s="1"/>
  <c r="Y492" i="10" s="1"/>
  <c r="Y492" i="11" s="1"/>
  <c r="K492" i="10"/>
  <c r="K492" i="11" s="1"/>
  <c r="U494" i="10"/>
  <c r="G495" i="10"/>
  <c r="E502" i="10"/>
  <c r="C501" i="10"/>
  <c r="Y501" i="10"/>
  <c r="Y501" i="11" s="1"/>
  <c r="K501" i="10"/>
  <c r="K501" i="11" s="1"/>
  <c r="S501" i="10"/>
  <c r="G501" i="10"/>
  <c r="F502" i="10"/>
  <c r="T501" i="10"/>
  <c r="S495" i="10"/>
  <c r="AC495" i="10" s="1"/>
  <c r="Y495" i="10" s="1"/>
  <c r="Y495" i="11" s="1"/>
  <c r="K495" i="10"/>
  <c r="K495" i="11" s="1"/>
  <c r="E496" i="10"/>
  <c r="C494" i="11"/>
  <c r="C495" i="10"/>
  <c r="Q494" i="10"/>
  <c r="Q494" i="11" s="1"/>
  <c r="F503" i="11"/>
  <c r="T502" i="11"/>
  <c r="C491" i="11"/>
  <c r="C492" i="10"/>
  <c r="Q491" i="10"/>
  <c r="Q491" i="11" s="1"/>
  <c r="AC494" i="10"/>
  <c r="Y494" i="10" s="1"/>
  <c r="Y494" i="11" s="1"/>
  <c r="C488" i="11"/>
  <c r="Q488" i="10"/>
  <c r="Q488" i="11" s="1"/>
  <c r="E499" i="10"/>
  <c r="S498" i="10"/>
  <c r="K498" i="10"/>
  <c r="K498" i="11" s="1"/>
  <c r="T499" i="11"/>
  <c r="F500" i="11"/>
  <c r="T500" i="11" s="1"/>
  <c r="E506" i="11"/>
  <c r="S505" i="11"/>
  <c r="C497" i="11"/>
  <c r="Q497" i="10"/>
  <c r="Q497" i="11" s="1"/>
  <c r="C498" i="10"/>
  <c r="T498" i="10"/>
  <c r="F499" i="10"/>
  <c r="G499" i="11"/>
  <c r="U498" i="11"/>
  <c r="U497" i="10"/>
  <c r="G498" i="10"/>
  <c r="G505" i="11"/>
  <c r="F506" i="11"/>
  <c r="T505" i="11"/>
  <c r="E503" i="11"/>
  <c r="S502" i="11"/>
  <c r="AC498" i="10" l="1"/>
  <c r="Y498" i="10" s="1"/>
  <c r="Y498" i="11" s="1"/>
  <c r="G500" i="11"/>
  <c r="U500" i="11" s="1"/>
  <c r="U499" i="11"/>
  <c r="K502" i="10"/>
  <c r="K502" i="11" s="1"/>
  <c r="E503" i="10"/>
  <c r="S502" i="10"/>
  <c r="AC502" i="10" s="1"/>
  <c r="Y502" i="10" s="1"/>
  <c r="Y502" i="11" s="1"/>
  <c r="T509" i="11"/>
  <c r="F510" i="11"/>
  <c r="G509" i="11"/>
  <c r="E504" i="11"/>
  <c r="S504" i="11" s="1"/>
  <c r="S503" i="11"/>
  <c r="U498" i="10"/>
  <c r="G499" i="10"/>
  <c r="T503" i="11"/>
  <c r="F504" i="11"/>
  <c r="T504" i="11" s="1"/>
  <c r="C495" i="11"/>
  <c r="Q495" i="10"/>
  <c r="Q495" i="11" s="1"/>
  <c r="C496" i="10"/>
  <c r="F500" i="10"/>
  <c r="T500" i="10" s="1"/>
  <c r="T499" i="10"/>
  <c r="S499" i="10"/>
  <c r="AC499" i="10" s="1"/>
  <c r="Y499" i="10" s="1"/>
  <c r="Y499" i="11" s="1"/>
  <c r="E500" i="10"/>
  <c r="K499" i="10"/>
  <c r="K499" i="11" s="1"/>
  <c r="S496" i="10"/>
  <c r="AC496" i="10" s="1"/>
  <c r="Y496" i="10" s="1"/>
  <c r="Y496" i="11" s="1"/>
  <c r="K496" i="10"/>
  <c r="K496" i="11" s="1"/>
  <c r="U495" i="10"/>
  <c r="G496" i="10"/>
  <c r="U496" i="10" s="1"/>
  <c r="A517" i="11"/>
  <c r="F513" i="11"/>
  <c r="A514" i="11"/>
  <c r="A515" i="11" s="1"/>
  <c r="A516" i="11" s="1"/>
  <c r="E513" i="11"/>
  <c r="F503" i="10"/>
  <c r="T502" i="10"/>
  <c r="F509" i="10"/>
  <c r="A510" i="10"/>
  <c r="A511" i="10" s="1"/>
  <c r="A512" i="10" s="1"/>
  <c r="A513" i="10"/>
  <c r="E509" i="10"/>
  <c r="G502" i="10"/>
  <c r="U501" i="10"/>
  <c r="K505" i="10"/>
  <c r="K505" i="11" s="1"/>
  <c r="C505" i="10"/>
  <c r="E506" i="10"/>
  <c r="S505" i="10"/>
  <c r="Y505" i="10"/>
  <c r="Y505" i="11" s="1"/>
  <c r="C492" i="11"/>
  <c r="Q492" i="10"/>
  <c r="Q492" i="11" s="1"/>
  <c r="F507" i="11"/>
  <c r="T506" i="11"/>
  <c r="E507" i="11"/>
  <c r="S506" i="11"/>
  <c r="G506" i="11"/>
  <c r="U505" i="11"/>
  <c r="T505" i="10"/>
  <c r="G505" i="10"/>
  <c r="F506" i="10"/>
  <c r="C498" i="11"/>
  <c r="Q498" i="10"/>
  <c r="Q498" i="11" s="1"/>
  <c r="C499" i="10"/>
  <c r="G503" i="11"/>
  <c r="U502" i="11"/>
  <c r="E510" i="11"/>
  <c r="S509" i="11"/>
  <c r="C501" i="11"/>
  <c r="C502" i="10"/>
  <c r="Q501" i="10"/>
  <c r="Q501" i="11" s="1"/>
  <c r="F504" i="10" l="1"/>
  <c r="T504" i="10" s="1"/>
  <c r="T503" i="10"/>
  <c r="K500" i="10"/>
  <c r="K500" i="11" s="1"/>
  <c r="S500" i="10"/>
  <c r="AC500" i="10" s="1"/>
  <c r="Y500" i="10" s="1"/>
  <c r="Y500" i="11" s="1"/>
  <c r="T506" i="10"/>
  <c r="F507" i="10"/>
  <c r="G506" i="10"/>
  <c r="U505" i="10"/>
  <c r="F514" i="11"/>
  <c r="G513" i="11"/>
  <c r="T513" i="11"/>
  <c r="C502" i="11"/>
  <c r="C503" i="10"/>
  <c r="Q502" i="10"/>
  <c r="Q502" i="11" s="1"/>
  <c r="E517" i="11"/>
  <c r="A518" i="11"/>
  <c r="A519" i="11" s="1"/>
  <c r="A520" i="11" s="1"/>
  <c r="F517" i="11"/>
  <c r="A521" i="11"/>
  <c r="G507" i="11"/>
  <c r="U506" i="11"/>
  <c r="G503" i="10"/>
  <c r="U502" i="10"/>
  <c r="Y503" i="10"/>
  <c r="Y503" i="11" s="1"/>
  <c r="K503" i="10"/>
  <c r="K503" i="11" s="1"/>
  <c r="E504" i="10"/>
  <c r="S503" i="10"/>
  <c r="AC503" i="10" s="1"/>
  <c r="C505" i="11"/>
  <c r="Q505" i="10"/>
  <c r="Q505" i="11" s="1"/>
  <c r="C506" i="10"/>
  <c r="F511" i="11"/>
  <c r="T510" i="11"/>
  <c r="E513" i="10"/>
  <c r="A514" i="10"/>
  <c r="A515" i="10" s="1"/>
  <c r="A516" i="10" s="1"/>
  <c r="A517" i="10"/>
  <c r="F513" i="10"/>
  <c r="C496" i="11"/>
  <c r="Q496" i="10"/>
  <c r="Q496" i="11" s="1"/>
  <c r="S510" i="11"/>
  <c r="E511" i="11"/>
  <c r="E508" i="11"/>
  <c r="S508" i="11" s="1"/>
  <c r="S507" i="11"/>
  <c r="Y509" i="10"/>
  <c r="Y509" i="11" s="1"/>
  <c r="S509" i="10"/>
  <c r="K509" i="10"/>
  <c r="K509" i="11" s="1"/>
  <c r="C509" i="10"/>
  <c r="E510" i="10"/>
  <c r="G504" i="11"/>
  <c r="U504" i="11" s="1"/>
  <c r="U503" i="11"/>
  <c r="T507" i="11"/>
  <c r="F508" i="11"/>
  <c r="T508" i="11" s="1"/>
  <c r="U499" i="10"/>
  <c r="G500" i="10"/>
  <c r="U500" i="10" s="1"/>
  <c r="E514" i="11"/>
  <c r="S513" i="11"/>
  <c r="G510" i="11"/>
  <c r="U509" i="11"/>
  <c r="S506" i="10"/>
  <c r="AC506" i="10" s="1"/>
  <c r="Y506" i="10" s="1"/>
  <c r="Y506" i="11" s="1"/>
  <c r="K506" i="10"/>
  <c r="K506" i="11" s="1"/>
  <c r="E507" i="10"/>
  <c r="C499" i="11"/>
  <c r="C500" i="10"/>
  <c r="Q499" i="10"/>
  <c r="Q499" i="11" s="1"/>
  <c r="T509" i="10"/>
  <c r="G509" i="10"/>
  <c r="F510" i="10"/>
  <c r="E511" i="10" l="1"/>
  <c r="S510" i="10"/>
  <c r="AC510" i="10" s="1"/>
  <c r="Y510" i="10" s="1"/>
  <c r="Y510" i="11" s="1"/>
  <c r="K510" i="10"/>
  <c r="K510" i="11" s="1"/>
  <c r="A518" i="10"/>
  <c r="A519" i="10" s="1"/>
  <c r="A520" i="10" s="1"/>
  <c r="A521" i="10"/>
  <c r="F517" i="10"/>
  <c r="E517" i="10"/>
  <c r="U513" i="11"/>
  <c r="G514" i="11"/>
  <c r="G504" i="10"/>
  <c r="U504" i="10" s="1"/>
  <c r="U503" i="10"/>
  <c r="T514" i="11"/>
  <c r="F515" i="11"/>
  <c r="E514" i="10"/>
  <c r="C513" i="10"/>
  <c r="Y513" i="10"/>
  <c r="Y513" i="11" s="1"/>
  <c r="S513" i="10"/>
  <c r="K513" i="10"/>
  <c r="K513" i="11" s="1"/>
  <c r="G511" i="11"/>
  <c r="U510" i="11"/>
  <c r="U506" i="10"/>
  <c r="G507" i="10"/>
  <c r="T510" i="10"/>
  <c r="F511" i="10"/>
  <c r="T511" i="11"/>
  <c r="F512" i="11"/>
  <c r="T512" i="11" s="1"/>
  <c r="T507" i="10"/>
  <c r="F508" i="10"/>
  <c r="T508" i="10" s="1"/>
  <c r="C506" i="11"/>
  <c r="Q506" i="10"/>
  <c r="Q506" i="11" s="1"/>
  <c r="C507" i="10"/>
  <c r="U507" i="11"/>
  <c r="G508" i="11"/>
  <c r="U508" i="11" s="1"/>
  <c r="G517" i="11"/>
  <c r="T517" i="11"/>
  <c r="F518" i="11"/>
  <c r="S511" i="11"/>
  <c r="E512" i="11"/>
  <c r="S512" i="11" s="1"/>
  <c r="S517" i="11"/>
  <c r="E518" i="11"/>
  <c r="C509" i="11"/>
  <c r="Q509" i="10"/>
  <c r="Q509" i="11" s="1"/>
  <c r="C510" i="10"/>
  <c r="A525" i="11"/>
  <c r="F521" i="11"/>
  <c r="A522" i="11"/>
  <c r="A523" i="11" s="1"/>
  <c r="A524" i="11" s="1"/>
  <c r="E521" i="11"/>
  <c r="G510" i="10"/>
  <c r="U509" i="10"/>
  <c r="E515" i="11"/>
  <c r="S514" i="11"/>
  <c r="C500" i="11"/>
  <c r="Q500" i="10"/>
  <c r="Q500" i="11" s="1"/>
  <c r="K504" i="10"/>
  <c r="K504" i="11" s="1"/>
  <c r="S504" i="10"/>
  <c r="AC504" i="10" s="1"/>
  <c r="Y504" i="10" s="1"/>
  <c r="Y504" i="11" s="1"/>
  <c r="C503" i="11"/>
  <c r="C504" i="10"/>
  <c r="Q503" i="10"/>
  <c r="Q503" i="11" s="1"/>
  <c r="F514" i="10"/>
  <c r="T513" i="10"/>
  <c r="G513" i="10"/>
  <c r="S507" i="10"/>
  <c r="AC507" i="10" s="1"/>
  <c r="K507" i="10"/>
  <c r="K507" i="11" s="1"/>
  <c r="E508" i="10"/>
  <c r="Y507" i="10"/>
  <c r="Y507" i="11" s="1"/>
  <c r="F521" i="10" l="1"/>
  <c r="E521" i="10"/>
  <c r="A522" i="10"/>
  <c r="A523" i="10" s="1"/>
  <c r="A524" i="10" s="1"/>
  <c r="A525" i="10"/>
  <c r="E522" i="11"/>
  <c r="S521" i="11"/>
  <c r="G521" i="11"/>
  <c r="F522" i="11"/>
  <c r="T521" i="11"/>
  <c r="U514" i="11"/>
  <c r="G515" i="11"/>
  <c r="C510" i="11"/>
  <c r="Q510" i="10"/>
  <c r="Q510" i="11" s="1"/>
  <c r="C511" i="10"/>
  <c r="C507" i="11"/>
  <c r="Q507" i="10"/>
  <c r="Q507" i="11" s="1"/>
  <c r="C508" i="10"/>
  <c r="E519" i="11"/>
  <c r="S518" i="11"/>
  <c r="C504" i="11"/>
  <c r="Q504" i="10"/>
  <c r="Q504" i="11" s="1"/>
  <c r="G518" i="11"/>
  <c r="U517" i="11"/>
  <c r="U507" i="10"/>
  <c r="G508" i="10"/>
  <c r="U508" i="10" s="1"/>
  <c r="A526" i="11"/>
  <c r="A527" i="11" s="1"/>
  <c r="A528" i="11" s="1"/>
  <c r="F525" i="11"/>
  <c r="E525" i="11"/>
  <c r="A529" i="11"/>
  <c r="G512" i="11"/>
  <c r="U512" i="11" s="1"/>
  <c r="U511" i="11"/>
  <c r="K517" i="10"/>
  <c r="K517" i="11" s="1"/>
  <c r="S517" i="10"/>
  <c r="C517" i="10"/>
  <c r="Y517" i="10"/>
  <c r="Y517" i="11" s="1"/>
  <c r="E518" i="10"/>
  <c r="T517" i="10"/>
  <c r="G517" i="10"/>
  <c r="F518" i="10"/>
  <c r="S508" i="10"/>
  <c r="AC508" i="10" s="1"/>
  <c r="Y508" i="10" s="1"/>
  <c r="Y508" i="11" s="1"/>
  <c r="K508" i="10"/>
  <c r="K508" i="11" s="1"/>
  <c r="G514" i="10"/>
  <c r="U513" i="10"/>
  <c r="T515" i="11"/>
  <c r="F516" i="11"/>
  <c r="T516" i="11" s="1"/>
  <c r="C513" i="11"/>
  <c r="C514" i="10"/>
  <c r="Q513" i="10"/>
  <c r="Q513" i="11" s="1"/>
  <c r="S515" i="11"/>
  <c r="E516" i="11"/>
  <c r="S516" i="11" s="1"/>
  <c r="E515" i="10"/>
  <c r="K514" i="10"/>
  <c r="K514" i="11" s="1"/>
  <c r="S514" i="10"/>
  <c r="F515" i="10"/>
  <c r="T514" i="10"/>
  <c r="U510" i="10"/>
  <c r="G511" i="10"/>
  <c r="F519" i="11"/>
  <c r="T518" i="11"/>
  <c r="F512" i="10"/>
  <c r="T512" i="10" s="1"/>
  <c r="T511" i="10"/>
  <c r="S511" i="10"/>
  <c r="AC511" i="10" s="1"/>
  <c r="Y511" i="10" s="1"/>
  <c r="Y511" i="11" s="1"/>
  <c r="K511" i="10"/>
  <c r="K511" i="11" s="1"/>
  <c r="E512" i="10"/>
  <c r="C517" i="11" l="1"/>
  <c r="Q517" i="10"/>
  <c r="Q517" i="11" s="1"/>
  <c r="C518" i="10"/>
  <c r="E520" i="11"/>
  <c r="S520" i="11" s="1"/>
  <c r="S519" i="11"/>
  <c r="F520" i="11"/>
  <c r="T520" i="11" s="1"/>
  <c r="T519" i="11"/>
  <c r="C514" i="11"/>
  <c r="C515" i="10"/>
  <c r="Q514" i="10"/>
  <c r="Q514" i="11" s="1"/>
  <c r="K518" i="10"/>
  <c r="K518" i="11" s="1"/>
  <c r="S518" i="10"/>
  <c r="E519" i="10"/>
  <c r="F523" i="11"/>
  <c r="T522" i="11"/>
  <c r="S512" i="10"/>
  <c r="AC512" i="10" s="1"/>
  <c r="Y512" i="10" s="1"/>
  <c r="Y512" i="11" s="1"/>
  <c r="K512" i="10"/>
  <c r="K512" i="11" s="1"/>
  <c r="G515" i="10"/>
  <c r="U514" i="10"/>
  <c r="U511" i="10"/>
  <c r="G512" i="10"/>
  <c r="U512" i="10" s="1"/>
  <c r="U515" i="11"/>
  <c r="G516" i="11"/>
  <c r="U516" i="11" s="1"/>
  <c r="U518" i="11"/>
  <c r="G519" i="11"/>
  <c r="G522" i="11"/>
  <c r="U521" i="11"/>
  <c r="S525" i="11"/>
  <c r="E526" i="11"/>
  <c r="A526" i="10"/>
  <c r="A527" i="10" s="1"/>
  <c r="A528" i="10" s="1"/>
  <c r="E525" i="10"/>
  <c r="A529" i="10"/>
  <c r="F525" i="10"/>
  <c r="C508" i="11"/>
  <c r="Q508" i="10"/>
  <c r="Q508" i="11" s="1"/>
  <c r="T525" i="11"/>
  <c r="F526" i="11"/>
  <c r="G525" i="11"/>
  <c r="T515" i="10"/>
  <c r="F516" i="10"/>
  <c r="T516" i="10" s="1"/>
  <c r="AC514" i="10"/>
  <c r="Y514" i="10" s="1"/>
  <c r="Y514" i="11" s="1"/>
  <c r="E523" i="11"/>
  <c r="S522" i="11"/>
  <c r="Y515" i="10"/>
  <c r="Y515" i="11" s="1"/>
  <c r="E516" i="10"/>
  <c r="K515" i="10"/>
  <c r="K515" i="11" s="1"/>
  <c r="S515" i="10"/>
  <c r="AC515" i="10" s="1"/>
  <c r="T518" i="10"/>
  <c r="F519" i="10"/>
  <c r="U517" i="10"/>
  <c r="G518" i="10"/>
  <c r="C511" i="11"/>
  <c r="C512" i="10"/>
  <c r="Q511" i="10"/>
  <c r="Q511" i="11" s="1"/>
  <c r="C521" i="10"/>
  <c r="E522" i="10"/>
  <c r="Y521" i="10"/>
  <c r="Y521" i="11" s="1"/>
  <c r="S521" i="10"/>
  <c r="K521" i="10"/>
  <c r="K521" i="11" s="1"/>
  <c r="A533" i="11"/>
  <c r="F529" i="11"/>
  <c r="A530" i="11"/>
  <c r="A531" i="11" s="1"/>
  <c r="A532" i="11" s="1"/>
  <c r="E529" i="11"/>
  <c r="G521" i="10"/>
  <c r="F522" i="10"/>
  <c r="T521" i="10"/>
  <c r="K516" i="10" l="1"/>
  <c r="K516" i="11" s="1"/>
  <c r="S516" i="10"/>
  <c r="AC516" i="10" s="1"/>
  <c r="Y516" i="10" s="1"/>
  <c r="Y516" i="11" s="1"/>
  <c r="F526" i="10"/>
  <c r="T525" i="10"/>
  <c r="G525" i="10"/>
  <c r="A533" i="10"/>
  <c r="F529" i="10"/>
  <c r="E529" i="10"/>
  <c r="A530" i="10"/>
  <c r="A531" i="10" s="1"/>
  <c r="A532" i="10" s="1"/>
  <c r="E526" i="10"/>
  <c r="C525" i="10"/>
  <c r="Y525" i="10"/>
  <c r="Y525" i="11" s="1"/>
  <c r="S525" i="10"/>
  <c r="K525" i="10"/>
  <c r="K525" i="11" s="1"/>
  <c r="C515" i="11"/>
  <c r="C516" i="10"/>
  <c r="Q515" i="10"/>
  <c r="Q515" i="11" s="1"/>
  <c r="E524" i="11"/>
  <c r="S524" i="11" s="1"/>
  <c r="S523" i="11"/>
  <c r="G516" i="10"/>
  <c r="U516" i="10" s="1"/>
  <c r="U515" i="10"/>
  <c r="T522" i="10"/>
  <c r="F523" i="10"/>
  <c r="C512" i="11"/>
  <c r="Q512" i="10"/>
  <c r="Q512" i="11" s="1"/>
  <c r="S526" i="11"/>
  <c r="E527" i="11"/>
  <c r="S529" i="11"/>
  <c r="E530" i="11"/>
  <c r="G519" i="10"/>
  <c r="U518" i="10"/>
  <c r="G526" i="11"/>
  <c r="U525" i="11"/>
  <c r="U522" i="11"/>
  <c r="G523" i="11"/>
  <c r="T529" i="11"/>
  <c r="G529" i="11"/>
  <c r="F530" i="11"/>
  <c r="T519" i="10"/>
  <c r="F520" i="10"/>
  <c r="T520" i="10" s="1"/>
  <c r="F527" i="11"/>
  <c r="T526" i="11"/>
  <c r="G520" i="11"/>
  <c r="U520" i="11" s="1"/>
  <c r="U519" i="11"/>
  <c r="T523" i="11"/>
  <c r="F524" i="11"/>
  <c r="T524" i="11" s="1"/>
  <c r="C518" i="11"/>
  <c r="Q518" i="10"/>
  <c r="Q518" i="11" s="1"/>
  <c r="C519" i="10"/>
  <c r="E523" i="10"/>
  <c r="S522" i="10"/>
  <c r="AC522" i="10" s="1"/>
  <c r="K522" i="10"/>
  <c r="K522" i="11" s="1"/>
  <c r="Y522" i="10"/>
  <c r="Y522" i="11" s="1"/>
  <c r="G522" i="10"/>
  <c r="U521" i="10"/>
  <c r="A537" i="11"/>
  <c r="E533" i="11"/>
  <c r="A534" i="11"/>
  <c r="A535" i="11" s="1"/>
  <c r="A536" i="11" s="1"/>
  <c r="F533" i="11"/>
  <c r="E520" i="10"/>
  <c r="S519" i="10"/>
  <c r="AC519" i="10" s="1"/>
  <c r="Y519" i="10" s="1"/>
  <c r="Y519" i="11" s="1"/>
  <c r="K519" i="10"/>
  <c r="K519" i="11" s="1"/>
  <c r="C521" i="11"/>
  <c r="Q521" i="10"/>
  <c r="Q521" i="11" s="1"/>
  <c r="C522" i="10"/>
  <c r="AC518" i="10"/>
  <c r="Y518" i="10" s="1"/>
  <c r="Y518" i="11" s="1"/>
  <c r="S533" i="11" l="1"/>
  <c r="E534" i="11"/>
  <c r="A541" i="11"/>
  <c r="F537" i="11"/>
  <c r="E537" i="11"/>
  <c r="A538" i="11"/>
  <c r="A539" i="11" s="1"/>
  <c r="A540" i="11" s="1"/>
  <c r="U526" i="11"/>
  <c r="G527" i="11"/>
  <c r="F533" i="10"/>
  <c r="E533" i="10"/>
  <c r="A537" i="10"/>
  <c r="A534" i="10"/>
  <c r="A535" i="10" s="1"/>
  <c r="A536" i="10" s="1"/>
  <c r="C525" i="11"/>
  <c r="C526" i="10"/>
  <c r="Q525" i="10"/>
  <c r="Q525" i="11" s="1"/>
  <c r="T527" i="11"/>
  <c r="F528" i="11"/>
  <c r="T528" i="11" s="1"/>
  <c r="S530" i="11"/>
  <c r="E531" i="11"/>
  <c r="G526" i="10"/>
  <c r="U525" i="10"/>
  <c r="S520" i="10"/>
  <c r="AC520" i="10" s="1"/>
  <c r="Y520" i="10" s="1"/>
  <c r="Y520" i="11" s="1"/>
  <c r="K520" i="10"/>
  <c r="K520" i="11" s="1"/>
  <c r="T533" i="11"/>
  <c r="G533" i="11"/>
  <c r="F534" i="11"/>
  <c r="U523" i="11"/>
  <c r="G524" i="11"/>
  <c r="U524" i="11" s="1"/>
  <c r="F524" i="10"/>
  <c r="T524" i="10" s="1"/>
  <c r="T523" i="10"/>
  <c r="S526" i="10"/>
  <c r="AC526" i="10" s="1"/>
  <c r="Y526" i="10" s="1"/>
  <c r="Y526" i="11" s="1"/>
  <c r="E527" i="10"/>
  <c r="K526" i="10"/>
  <c r="K526" i="11" s="1"/>
  <c r="C522" i="11"/>
  <c r="Q522" i="10"/>
  <c r="Q522" i="11" s="1"/>
  <c r="C523" i="10"/>
  <c r="E528" i="11"/>
  <c r="S528" i="11" s="1"/>
  <c r="S527" i="11"/>
  <c r="F527" i="10"/>
  <c r="T526" i="10"/>
  <c r="S529" i="10"/>
  <c r="K529" i="10"/>
  <c r="K529" i="11" s="1"/>
  <c r="E530" i="10"/>
  <c r="Y529" i="10"/>
  <c r="Y529" i="11" s="1"/>
  <c r="C529" i="10"/>
  <c r="U519" i="10"/>
  <c r="G520" i="10"/>
  <c r="U520" i="10" s="1"/>
  <c r="T529" i="10"/>
  <c r="F530" i="10"/>
  <c r="G529" i="10"/>
  <c r="G523" i="10"/>
  <c r="U522" i="10"/>
  <c r="C516" i="11"/>
  <c r="Q516" i="10"/>
  <c r="Q516" i="11" s="1"/>
  <c r="S523" i="10"/>
  <c r="AC523" i="10" s="1"/>
  <c r="K523" i="10"/>
  <c r="K523" i="11" s="1"/>
  <c r="E524" i="10"/>
  <c r="Y523" i="10"/>
  <c r="Y523" i="11" s="1"/>
  <c r="T530" i="11"/>
  <c r="F531" i="11"/>
  <c r="C519" i="11"/>
  <c r="Q519" i="10"/>
  <c r="Q519" i="11" s="1"/>
  <c r="C520" i="10"/>
  <c r="U529" i="11"/>
  <c r="G530" i="11"/>
  <c r="A541" i="10" l="1"/>
  <c r="E537" i="10"/>
  <c r="A538" i="10"/>
  <c r="A539" i="10" s="1"/>
  <c r="A540" i="10" s="1"/>
  <c r="F537" i="10"/>
  <c r="Y524" i="10"/>
  <c r="Y524" i="11" s="1"/>
  <c r="S524" i="10"/>
  <c r="AC524" i="10" s="1"/>
  <c r="K524" i="10"/>
  <c r="K524" i="11" s="1"/>
  <c r="E534" i="10"/>
  <c r="C533" i="10"/>
  <c r="Y533" i="10"/>
  <c r="Y533" i="11" s="1"/>
  <c r="S533" i="10"/>
  <c r="K533" i="10"/>
  <c r="K533" i="11" s="1"/>
  <c r="E538" i="11"/>
  <c r="S537" i="11"/>
  <c r="C529" i="11"/>
  <c r="Q529" i="10"/>
  <c r="Q529" i="11" s="1"/>
  <c r="C530" i="10"/>
  <c r="F534" i="10"/>
  <c r="G533" i="10"/>
  <c r="T533" i="10"/>
  <c r="G537" i="11"/>
  <c r="F538" i="11"/>
  <c r="T537" i="11"/>
  <c r="C520" i="11"/>
  <c r="Q520" i="10"/>
  <c r="Q520" i="11" s="1"/>
  <c r="E541" i="11"/>
  <c r="A542" i="11"/>
  <c r="A543" i="11" s="1"/>
  <c r="A544" i="11" s="1"/>
  <c r="A545" i="11"/>
  <c r="F541" i="11"/>
  <c r="G527" i="10"/>
  <c r="U526" i="10"/>
  <c r="U527" i="11"/>
  <c r="G528" i="11"/>
  <c r="U528" i="11" s="1"/>
  <c r="U530" i="11"/>
  <c r="G531" i="11"/>
  <c r="S531" i="11"/>
  <c r="E532" i="11"/>
  <c r="S532" i="11" s="1"/>
  <c r="U523" i="10"/>
  <c r="G524" i="10"/>
  <c r="U524" i="10" s="1"/>
  <c r="T527" i="10"/>
  <c r="F528" i="10"/>
  <c r="T528" i="10" s="1"/>
  <c r="T530" i="10"/>
  <c r="F531" i="10"/>
  <c r="F535" i="11"/>
  <c r="T534" i="11"/>
  <c r="T531" i="11"/>
  <c r="F532" i="11"/>
  <c r="T532" i="11" s="1"/>
  <c r="C523" i="11"/>
  <c r="Q523" i="10"/>
  <c r="Q523" i="11" s="1"/>
  <c r="C524" i="10"/>
  <c r="G534" i="11"/>
  <c r="U533" i="11"/>
  <c r="C526" i="11"/>
  <c r="C527" i="10"/>
  <c r="Q526" i="10"/>
  <c r="Q526" i="11" s="1"/>
  <c r="S534" i="11"/>
  <c r="E535" i="11"/>
  <c r="Y527" i="10"/>
  <c r="Y527" i="11" s="1"/>
  <c r="K527" i="10"/>
  <c r="K527" i="11" s="1"/>
  <c r="E528" i="10"/>
  <c r="S527" i="10"/>
  <c r="AC527" i="10" s="1"/>
  <c r="S530" i="10"/>
  <c r="AC530" i="10" s="1"/>
  <c r="Y530" i="10" s="1"/>
  <c r="Y530" i="11" s="1"/>
  <c r="K530" i="10"/>
  <c r="K530" i="11" s="1"/>
  <c r="E531" i="10"/>
  <c r="G530" i="10"/>
  <c r="U529" i="10"/>
  <c r="U531" i="11" l="1"/>
  <c r="G532" i="11"/>
  <c r="U532" i="11" s="1"/>
  <c r="S528" i="10"/>
  <c r="AC528" i="10" s="1"/>
  <c r="Y528" i="10" s="1"/>
  <c r="Y528" i="11" s="1"/>
  <c r="K528" i="10"/>
  <c r="K528" i="11" s="1"/>
  <c r="G531" i="10"/>
  <c r="U530" i="10"/>
  <c r="C527" i="11"/>
  <c r="C528" i="10"/>
  <c r="Q527" i="10"/>
  <c r="Q527" i="11" s="1"/>
  <c r="U527" i="10"/>
  <c r="G528" i="10"/>
  <c r="U528" i="10" s="1"/>
  <c r="F535" i="10"/>
  <c r="T534" i="10"/>
  <c r="F539" i="11"/>
  <c r="T538" i="11"/>
  <c r="C533" i="11"/>
  <c r="C534" i="10"/>
  <c r="Q533" i="10"/>
  <c r="Q533" i="11" s="1"/>
  <c r="F536" i="11"/>
  <c r="T536" i="11" s="1"/>
  <c r="T535" i="11"/>
  <c r="E535" i="10"/>
  <c r="S534" i="10"/>
  <c r="AC534" i="10" s="1"/>
  <c r="Y534" i="10" s="1"/>
  <c r="Y534" i="11" s="1"/>
  <c r="K534" i="10"/>
  <c r="K534" i="11" s="1"/>
  <c r="T541" i="11"/>
  <c r="G541" i="11"/>
  <c r="F542" i="11"/>
  <c r="K531" i="10"/>
  <c r="K531" i="11" s="1"/>
  <c r="E532" i="10"/>
  <c r="S531" i="10"/>
  <c r="AC531" i="10" s="1"/>
  <c r="Y531" i="10" s="1"/>
  <c r="Y531" i="11" s="1"/>
  <c r="F545" i="11"/>
  <c r="A549" i="11"/>
  <c r="E545" i="11"/>
  <c r="A546" i="11"/>
  <c r="A547" i="11" s="1"/>
  <c r="A548" i="11" s="1"/>
  <c r="T537" i="10"/>
  <c r="G537" i="10"/>
  <c r="F538" i="10"/>
  <c r="G535" i="11"/>
  <c r="U534" i="11"/>
  <c r="E536" i="11"/>
  <c r="S536" i="11" s="1"/>
  <c r="S535" i="11"/>
  <c r="G538" i="11"/>
  <c r="U537" i="11"/>
  <c r="F532" i="10"/>
  <c r="T532" i="10" s="1"/>
  <c r="T531" i="10"/>
  <c r="G534" i="10"/>
  <c r="U533" i="10"/>
  <c r="C530" i="11"/>
  <c r="Q530" i="10"/>
  <c r="Q530" i="11" s="1"/>
  <c r="C531" i="10"/>
  <c r="E542" i="11"/>
  <c r="S541" i="11"/>
  <c r="Y537" i="10"/>
  <c r="Y537" i="11" s="1"/>
  <c r="S537" i="10"/>
  <c r="K537" i="10"/>
  <c r="K537" i="11" s="1"/>
  <c r="E538" i="10"/>
  <c r="C537" i="10"/>
  <c r="C524" i="11"/>
  <c r="Q524" i="10"/>
  <c r="Q524" i="11" s="1"/>
  <c r="E539" i="11"/>
  <c r="S538" i="11"/>
  <c r="A545" i="10"/>
  <c r="F541" i="10"/>
  <c r="E541" i="10"/>
  <c r="A542" i="10"/>
  <c r="A543" i="10" s="1"/>
  <c r="A544" i="10" s="1"/>
  <c r="U534" i="10" l="1"/>
  <c r="G535" i="10"/>
  <c r="S545" i="11"/>
  <c r="E546" i="11"/>
  <c r="E545" i="10"/>
  <c r="A546" i="10"/>
  <c r="A547" i="10" s="1"/>
  <c r="A548" i="10" s="1"/>
  <c r="F545" i="10"/>
  <c r="A549" i="10"/>
  <c r="C531" i="11"/>
  <c r="Q531" i="10"/>
  <c r="Q531" i="11" s="1"/>
  <c r="C532" i="10"/>
  <c r="G536" i="11"/>
  <c r="U536" i="11" s="1"/>
  <c r="U535" i="11"/>
  <c r="T542" i="11"/>
  <c r="F543" i="11"/>
  <c r="G541" i="10"/>
  <c r="F542" i="10"/>
  <c r="T541" i="10"/>
  <c r="S542" i="11"/>
  <c r="E543" i="11"/>
  <c r="T538" i="10"/>
  <c r="F539" i="10"/>
  <c r="U541" i="11"/>
  <c r="G542" i="11"/>
  <c r="F540" i="11"/>
  <c r="T540" i="11" s="1"/>
  <c r="T539" i="11"/>
  <c r="S535" i="10"/>
  <c r="AC535" i="10" s="1"/>
  <c r="Y535" i="10" s="1"/>
  <c r="Y535" i="11" s="1"/>
  <c r="K535" i="10"/>
  <c r="K535" i="11" s="1"/>
  <c r="E536" i="10"/>
  <c r="T545" i="11"/>
  <c r="G545" i="11"/>
  <c r="F546" i="11"/>
  <c r="C528" i="11"/>
  <c r="Q528" i="10"/>
  <c r="Q528" i="11" s="1"/>
  <c r="G539" i="11"/>
  <c r="U538" i="11"/>
  <c r="S541" i="10"/>
  <c r="K541" i="10"/>
  <c r="K541" i="11" s="1"/>
  <c r="E542" i="10"/>
  <c r="C541" i="10"/>
  <c r="Y541" i="10"/>
  <c r="Y541" i="11" s="1"/>
  <c r="S532" i="10"/>
  <c r="AC532" i="10" s="1"/>
  <c r="Y532" i="10" s="1"/>
  <c r="Y532" i="11" s="1"/>
  <c r="K532" i="10"/>
  <c r="K532" i="11" s="1"/>
  <c r="C534" i="11"/>
  <c r="C535" i="10"/>
  <c r="Q534" i="10"/>
  <c r="Q534" i="11" s="1"/>
  <c r="G532" i="10"/>
  <c r="U532" i="10" s="1"/>
  <c r="U531" i="10"/>
  <c r="E540" i="11"/>
  <c r="S540" i="11" s="1"/>
  <c r="S539" i="11"/>
  <c r="U537" i="10"/>
  <c r="G538" i="10"/>
  <c r="C537" i="11"/>
  <c r="C538" i="10"/>
  <c r="Q537" i="10"/>
  <c r="Q537" i="11" s="1"/>
  <c r="S538" i="10"/>
  <c r="AC538" i="10" s="1"/>
  <c r="Y538" i="10" s="1"/>
  <c r="Y538" i="11" s="1"/>
  <c r="K538" i="10"/>
  <c r="K538" i="11" s="1"/>
  <c r="E539" i="10"/>
  <c r="A553" i="11"/>
  <c r="F549" i="11"/>
  <c r="E549" i="11"/>
  <c r="A550" i="11"/>
  <c r="A551" i="11" s="1"/>
  <c r="A552" i="11" s="1"/>
  <c r="T535" i="10"/>
  <c r="F536" i="10"/>
  <c r="T536" i="10" s="1"/>
  <c r="C541" i="11" l="1"/>
  <c r="C542" i="10"/>
  <c r="Q541" i="10"/>
  <c r="Q541" i="11" s="1"/>
  <c r="S539" i="10"/>
  <c r="AC539" i="10" s="1"/>
  <c r="K539" i="10"/>
  <c r="K539" i="11" s="1"/>
  <c r="E540" i="10"/>
  <c r="Y539" i="10"/>
  <c r="Y539" i="11" s="1"/>
  <c r="U539" i="11"/>
  <c r="G540" i="11"/>
  <c r="U540" i="11" s="1"/>
  <c r="U542" i="11"/>
  <c r="G543" i="11"/>
  <c r="A553" i="10"/>
  <c r="F549" i="10"/>
  <c r="E549" i="10"/>
  <c r="A550" i="10"/>
  <c r="A551" i="10" s="1"/>
  <c r="A552" i="10" s="1"/>
  <c r="C535" i="11"/>
  <c r="Q535" i="10"/>
  <c r="Q535" i="11" s="1"/>
  <c r="C536" i="10"/>
  <c r="C532" i="11"/>
  <c r="Q532" i="10"/>
  <c r="Q532" i="11" s="1"/>
  <c r="F543" i="10"/>
  <c r="T542" i="10"/>
  <c r="S549" i="11"/>
  <c r="E550" i="11"/>
  <c r="S542" i="10"/>
  <c r="K542" i="10"/>
  <c r="K542" i="11" s="1"/>
  <c r="E543" i="10"/>
  <c r="G542" i="10"/>
  <c r="U541" i="10"/>
  <c r="S546" i="11"/>
  <c r="E547" i="11"/>
  <c r="F546" i="10"/>
  <c r="T545" i="10"/>
  <c r="G545" i="10"/>
  <c r="U538" i="10"/>
  <c r="G539" i="10"/>
  <c r="T543" i="11"/>
  <c r="F544" i="11"/>
  <c r="T544" i="11" s="1"/>
  <c r="T539" i="10"/>
  <c r="F540" i="10"/>
  <c r="T540" i="10" s="1"/>
  <c r="K536" i="10"/>
  <c r="K536" i="11" s="1"/>
  <c r="S536" i="10"/>
  <c r="AC536" i="10" s="1"/>
  <c r="Y536" i="10" s="1"/>
  <c r="Y536" i="11" s="1"/>
  <c r="Y545" i="10"/>
  <c r="Y545" i="11" s="1"/>
  <c r="S545" i="10"/>
  <c r="K545" i="10"/>
  <c r="K545" i="11" s="1"/>
  <c r="C545" i="10"/>
  <c r="E546" i="10"/>
  <c r="T549" i="11"/>
  <c r="G549" i="11"/>
  <c r="F550" i="11"/>
  <c r="G536" i="10"/>
  <c r="U536" i="10" s="1"/>
  <c r="U535" i="10"/>
  <c r="T546" i="11"/>
  <c r="F547" i="11"/>
  <c r="C538" i="11"/>
  <c r="C539" i="10"/>
  <c r="Q538" i="10"/>
  <c r="Q538" i="11" s="1"/>
  <c r="U545" i="11"/>
  <c r="G546" i="11"/>
  <c r="S543" i="11"/>
  <c r="E544" i="11"/>
  <c r="S544" i="11" s="1"/>
  <c r="A557" i="11"/>
  <c r="F553" i="11"/>
  <c r="A554" i="11"/>
  <c r="A555" i="11" s="1"/>
  <c r="A556" i="11" s="1"/>
  <c r="E553" i="11"/>
  <c r="C545" i="11" l="1"/>
  <c r="C546" i="10"/>
  <c r="Q545" i="10"/>
  <c r="Q545" i="11" s="1"/>
  <c r="S550" i="11"/>
  <c r="E551" i="11"/>
  <c r="E553" i="10"/>
  <c r="A554" i="10"/>
  <c r="A555" i="10" s="1"/>
  <c r="A556" i="10" s="1"/>
  <c r="F553" i="10"/>
  <c r="A557" i="10"/>
  <c r="U545" i="10"/>
  <c r="G546" i="10"/>
  <c r="U543" i="11"/>
  <c r="G544" i="11"/>
  <c r="U544" i="11" s="1"/>
  <c r="T546" i="10"/>
  <c r="F547" i="10"/>
  <c r="F544" i="10"/>
  <c r="T544" i="10" s="1"/>
  <c r="T543" i="10"/>
  <c r="C536" i="11"/>
  <c r="Q536" i="10"/>
  <c r="Q536" i="11" s="1"/>
  <c r="K540" i="10"/>
  <c r="K540" i="11" s="1"/>
  <c r="S540" i="10"/>
  <c r="AC540" i="10" s="1"/>
  <c r="Y540" i="10"/>
  <c r="Y540" i="11" s="1"/>
  <c r="T550" i="11"/>
  <c r="F551" i="11"/>
  <c r="A558" i="11"/>
  <c r="A559" i="11" s="1"/>
  <c r="A560" i="11" s="1"/>
  <c r="A561" i="11"/>
  <c r="F557" i="11"/>
  <c r="E557" i="11"/>
  <c r="U549" i="11"/>
  <c r="G550" i="11"/>
  <c r="K543" i="10"/>
  <c r="K543" i="11" s="1"/>
  <c r="E544" i="10"/>
  <c r="S543" i="10"/>
  <c r="AC543" i="10" s="1"/>
  <c r="Y543" i="10" s="1"/>
  <c r="Y543" i="11" s="1"/>
  <c r="C539" i="11"/>
  <c r="Q539" i="10"/>
  <c r="Q539" i="11" s="1"/>
  <c r="C540" i="10"/>
  <c r="T547" i="11"/>
  <c r="F548" i="11"/>
  <c r="T548" i="11" s="1"/>
  <c r="S549" i="10"/>
  <c r="K549" i="10"/>
  <c r="K549" i="11" s="1"/>
  <c r="E550" i="10"/>
  <c r="C549" i="10"/>
  <c r="Y549" i="10"/>
  <c r="Y549" i="11" s="1"/>
  <c r="C542" i="11"/>
  <c r="C543" i="10"/>
  <c r="Q542" i="10"/>
  <c r="Q542" i="11" s="1"/>
  <c r="S547" i="11"/>
  <c r="E548" i="11"/>
  <c r="S548" i="11" s="1"/>
  <c r="S553" i="11"/>
  <c r="E554" i="11"/>
  <c r="F554" i="11"/>
  <c r="T553" i="11"/>
  <c r="G553" i="11"/>
  <c r="G543" i="10"/>
  <c r="U542" i="10"/>
  <c r="U546" i="11"/>
  <c r="G547" i="11"/>
  <c r="Y546" i="10"/>
  <c r="Y546" i="11" s="1"/>
  <c r="S546" i="10"/>
  <c r="AC546" i="10" s="1"/>
  <c r="E547" i="10"/>
  <c r="K546" i="10"/>
  <c r="K546" i="11" s="1"/>
  <c r="G540" i="10"/>
  <c r="U540" i="10" s="1"/>
  <c r="U539" i="10"/>
  <c r="AC542" i="10"/>
  <c r="Y542" i="10" s="1"/>
  <c r="Y542" i="11" s="1"/>
  <c r="G549" i="10"/>
  <c r="F550" i="10"/>
  <c r="T549" i="10"/>
  <c r="C549" i="11" l="1"/>
  <c r="Q549" i="10"/>
  <c r="Q549" i="11" s="1"/>
  <c r="C550" i="10"/>
  <c r="T551" i="11"/>
  <c r="F552" i="11"/>
  <c r="T552" i="11" s="1"/>
  <c r="U546" i="10"/>
  <c r="G547" i="10"/>
  <c r="A561" i="10"/>
  <c r="A558" i="10"/>
  <c r="A559" i="10" s="1"/>
  <c r="A560" i="10" s="1"/>
  <c r="F557" i="10"/>
  <c r="E557" i="10"/>
  <c r="S551" i="11"/>
  <c r="E552" i="11"/>
  <c r="S552" i="11" s="1"/>
  <c r="U547" i="11"/>
  <c r="G548" i="11"/>
  <c r="U548" i="11" s="1"/>
  <c r="C543" i="11"/>
  <c r="C544" i="10"/>
  <c r="Q543" i="10"/>
  <c r="Q543" i="11" s="1"/>
  <c r="U549" i="10"/>
  <c r="G550" i="10"/>
  <c r="S550" i="10"/>
  <c r="AC550" i="10" s="1"/>
  <c r="Y550" i="10" s="1"/>
  <c r="Y550" i="11" s="1"/>
  <c r="K550" i="10"/>
  <c r="K550" i="11" s="1"/>
  <c r="E551" i="10"/>
  <c r="U550" i="11"/>
  <c r="G551" i="11"/>
  <c r="S557" i="11"/>
  <c r="E558" i="11"/>
  <c r="F555" i="11"/>
  <c r="T554" i="11"/>
  <c r="E555" i="11"/>
  <c r="S554" i="11"/>
  <c r="S544" i="10"/>
  <c r="AC544" i="10" s="1"/>
  <c r="Y544" i="10" s="1"/>
  <c r="Y544" i="11" s="1"/>
  <c r="K544" i="10"/>
  <c r="K544" i="11" s="1"/>
  <c r="E561" i="11"/>
  <c r="A565" i="11"/>
  <c r="F561" i="11"/>
  <c r="A562" i="11"/>
  <c r="A563" i="11" s="1"/>
  <c r="A564" i="11" s="1"/>
  <c r="C546" i="11"/>
  <c r="C547" i="10"/>
  <c r="Q546" i="10"/>
  <c r="Q546" i="11" s="1"/>
  <c r="G553" i="10"/>
  <c r="F554" i="10"/>
  <c r="T553" i="10"/>
  <c r="F551" i="10"/>
  <c r="T550" i="10"/>
  <c r="G544" i="10"/>
  <c r="U544" i="10" s="1"/>
  <c r="U543" i="10"/>
  <c r="U553" i="11"/>
  <c r="G554" i="11"/>
  <c r="E554" i="10"/>
  <c r="C553" i="10"/>
  <c r="Y553" i="10"/>
  <c r="Y553" i="11" s="1"/>
  <c r="K553" i="10"/>
  <c r="K553" i="11" s="1"/>
  <c r="S553" i="10"/>
  <c r="G557" i="11"/>
  <c r="F558" i="11"/>
  <c r="T557" i="11"/>
  <c r="T547" i="10"/>
  <c r="F548" i="10"/>
  <c r="T548" i="10" s="1"/>
  <c r="S547" i="10"/>
  <c r="AC547" i="10" s="1"/>
  <c r="K547" i="10"/>
  <c r="K547" i="11" s="1"/>
  <c r="E548" i="10"/>
  <c r="Y547" i="10"/>
  <c r="Y547" i="11" s="1"/>
  <c r="C540" i="11"/>
  <c r="Q540" i="10"/>
  <c r="Q540" i="11" s="1"/>
  <c r="S551" i="10" l="1"/>
  <c r="AC551" i="10" s="1"/>
  <c r="Y551" i="10" s="1"/>
  <c r="Y551" i="11" s="1"/>
  <c r="K551" i="10"/>
  <c r="K551" i="11" s="1"/>
  <c r="E552" i="10"/>
  <c r="C557" i="10"/>
  <c r="Y557" i="10"/>
  <c r="Y557" i="11" s="1"/>
  <c r="S557" i="10"/>
  <c r="K557" i="10"/>
  <c r="K557" i="11" s="1"/>
  <c r="E558" i="10"/>
  <c r="F561" i="10"/>
  <c r="A565" i="10"/>
  <c r="A562" i="10"/>
  <c r="A563" i="10" s="1"/>
  <c r="A564" i="10" s="1"/>
  <c r="E561" i="10"/>
  <c r="U553" i="10"/>
  <c r="G554" i="10"/>
  <c r="E556" i="11"/>
  <c r="S556" i="11" s="1"/>
  <c r="S555" i="11"/>
  <c r="U547" i="10"/>
  <c r="G548" i="10"/>
  <c r="U548" i="10" s="1"/>
  <c r="E562" i="11"/>
  <c r="S561" i="11"/>
  <c r="F559" i="11"/>
  <c r="T558" i="11"/>
  <c r="F552" i="10"/>
  <c r="T552" i="10" s="1"/>
  <c r="T551" i="10"/>
  <c r="T557" i="10"/>
  <c r="F558" i="10"/>
  <c r="G557" i="10"/>
  <c r="U550" i="10"/>
  <c r="G551" i="10"/>
  <c r="C544" i="11"/>
  <c r="Q544" i="10"/>
  <c r="Q544" i="11" s="1"/>
  <c r="G558" i="11"/>
  <c r="U557" i="11"/>
  <c r="F555" i="10"/>
  <c r="T554" i="10"/>
  <c r="C553" i="11"/>
  <c r="C554" i="10"/>
  <c r="Q553" i="10"/>
  <c r="Q553" i="11" s="1"/>
  <c r="G555" i="11"/>
  <c r="U554" i="11"/>
  <c r="C550" i="11"/>
  <c r="Q550" i="10"/>
  <c r="Q550" i="11" s="1"/>
  <c r="C551" i="10"/>
  <c r="F562" i="11"/>
  <c r="T561" i="11"/>
  <c r="G561" i="11"/>
  <c r="C547" i="11"/>
  <c r="Q547" i="10"/>
  <c r="Q547" i="11" s="1"/>
  <c r="C548" i="10"/>
  <c r="F556" i="11"/>
  <c r="T556" i="11" s="1"/>
  <c r="T555" i="11"/>
  <c r="S548" i="10"/>
  <c r="AC548" i="10" s="1"/>
  <c r="K548" i="10"/>
  <c r="K548" i="11" s="1"/>
  <c r="Y548" i="10"/>
  <c r="Y548" i="11" s="1"/>
  <c r="K554" i="10"/>
  <c r="K554" i="11" s="1"/>
  <c r="E555" i="10"/>
  <c r="S554" i="10"/>
  <c r="AC554" i="10" s="1"/>
  <c r="Y554" i="10" s="1"/>
  <c r="Y554" i="11" s="1"/>
  <c r="S558" i="11"/>
  <c r="E559" i="11"/>
  <c r="G552" i="11"/>
  <c r="U552" i="11" s="1"/>
  <c r="U551" i="11"/>
  <c r="A566" i="11"/>
  <c r="A567" i="11" s="1"/>
  <c r="A568" i="11" s="1"/>
  <c r="A569" i="11"/>
  <c r="E565" i="11"/>
  <c r="F565" i="11"/>
  <c r="G559" i="11" l="1"/>
  <c r="U558" i="11"/>
  <c r="E559" i="10"/>
  <c r="S558" i="10"/>
  <c r="K558" i="10"/>
  <c r="K558" i="11" s="1"/>
  <c r="C551" i="11"/>
  <c r="C552" i="10"/>
  <c r="Q551" i="10"/>
  <c r="Q551" i="11" s="1"/>
  <c r="C554" i="11"/>
  <c r="C555" i="10"/>
  <c r="Q554" i="10"/>
  <c r="Q554" i="11" s="1"/>
  <c r="E560" i="11"/>
  <c r="S560" i="11" s="1"/>
  <c r="S559" i="11"/>
  <c r="E562" i="10"/>
  <c r="Y561" i="10"/>
  <c r="Y561" i="11" s="1"/>
  <c r="S561" i="10"/>
  <c r="K561" i="10"/>
  <c r="K561" i="11" s="1"/>
  <c r="C561" i="10"/>
  <c r="U561" i="11"/>
  <c r="G562" i="11"/>
  <c r="T555" i="10"/>
  <c r="F556" i="10"/>
  <c r="T556" i="10" s="1"/>
  <c r="A566" i="10"/>
  <c r="A567" i="10" s="1"/>
  <c r="A568" i="10" s="1"/>
  <c r="A569" i="10"/>
  <c r="E565" i="10"/>
  <c r="F565" i="10"/>
  <c r="E566" i="11"/>
  <c r="S565" i="11"/>
  <c r="C557" i="11"/>
  <c r="C558" i="10"/>
  <c r="Q557" i="10"/>
  <c r="Q557" i="11" s="1"/>
  <c r="G552" i="10"/>
  <c r="U552" i="10" s="1"/>
  <c r="U551" i="10"/>
  <c r="A573" i="11"/>
  <c r="F569" i="11"/>
  <c r="E569" i="11"/>
  <c r="A570" i="11"/>
  <c r="A571" i="11" s="1"/>
  <c r="A572" i="11" s="1"/>
  <c r="G556" i="11"/>
  <c r="U556" i="11" s="1"/>
  <c r="U555" i="11"/>
  <c r="U557" i="10"/>
  <c r="G558" i="10"/>
  <c r="T565" i="11"/>
  <c r="G565" i="11"/>
  <c r="F566" i="11"/>
  <c r="T558" i="10"/>
  <c r="F559" i="10"/>
  <c r="U554" i="10"/>
  <c r="G555" i="10"/>
  <c r="K552" i="10"/>
  <c r="K552" i="11" s="1"/>
  <c r="S552" i="10"/>
  <c r="AC552" i="10" s="1"/>
  <c r="Y552" i="10" s="1"/>
  <c r="Y552" i="11" s="1"/>
  <c r="E556" i="10"/>
  <c r="S555" i="10"/>
  <c r="AC555" i="10" s="1"/>
  <c r="Y555" i="10" s="1"/>
  <c r="Y555" i="11" s="1"/>
  <c r="K555" i="10"/>
  <c r="K555" i="11" s="1"/>
  <c r="F560" i="11"/>
  <c r="T560" i="11" s="1"/>
  <c r="T559" i="11"/>
  <c r="T561" i="10"/>
  <c r="F562" i="10"/>
  <c r="G561" i="10"/>
  <c r="T562" i="11"/>
  <c r="F563" i="11"/>
  <c r="E563" i="11"/>
  <c r="S562" i="11"/>
  <c r="C548" i="11"/>
  <c r="Q548" i="10"/>
  <c r="Q548" i="11" s="1"/>
  <c r="T569" i="11" l="1"/>
  <c r="F570" i="11"/>
  <c r="G569" i="11"/>
  <c r="F567" i="11"/>
  <c r="T566" i="11"/>
  <c r="G563" i="11"/>
  <c r="U562" i="11"/>
  <c r="C552" i="11"/>
  <c r="Q552" i="10"/>
  <c r="Q552" i="11" s="1"/>
  <c r="C558" i="11"/>
  <c r="Q558" i="10"/>
  <c r="Q558" i="11" s="1"/>
  <c r="C559" i="10"/>
  <c r="S556" i="10"/>
  <c r="AC556" i="10" s="1"/>
  <c r="Y556" i="10" s="1"/>
  <c r="Y556" i="11" s="1"/>
  <c r="K556" i="10"/>
  <c r="K556" i="11" s="1"/>
  <c r="U558" i="10"/>
  <c r="G559" i="10"/>
  <c r="T562" i="10"/>
  <c r="F563" i="10"/>
  <c r="T559" i="10"/>
  <c r="F560" i="10"/>
  <c r="T560" i="10" s="1"/>
  <c r="A577" i="11"/>
  <c r="A574" i="11"/>
  <c r="A575" i="11" s="1"/>
  <c r="A576" i="11" s="1"/>
  <c r="F573" i="11"/>
  <c r="E573" i="11"/>
  <c r="C555" i="11"/>
  <c r="Q555" i="10"/>
  <c r="Q555" i="11" s="1"/>
  <c r="C556" i="10"/>
  <c r="U565" i="11"/>
  <c r="G566" i="11"/>
  <c r="C561" i="11"/>
  <c r="Q561" i="10"/>
  <c r="Q561" i="11" s="1"/>
  <c r="C562" i="10"/>
  <c r="AC558" i="10"/>
  <c r="Y558" i="10" s="1"/>
  <c r="Y558" i="11" s="1"/>
  <c r="S563" i="11"/>
  <c r="E564" i="11"/>
  <c r="S564" i="11" s="1"/>
  <c r="T565" i="10"/>
  <c r="G565" i="10"/>
  <c r="F566" i="10"/>
  <c r="E563" i="10"/>
  <c r="Y562" i="10"/>
  <c r="Y562" i="11" s="1"/>
  <c r="S562" i="10"/>
  <c r="AC562" i="10" s="1"/>
  <c r="K562" i="10"/>
  <c r="K562" i="11" s="1"/>
  <c r="S559" i="10"/>
  <c r="AC559" i="10" s="1"/>
  <c r="Y559" i="10" s="1"/>
  <c r="Y559" i="11" s="1"/>
  <c r="K559" i="10"/>
  <c r="K559" i="11" s="1"/>
  <c r="E560" i="10"/>
  <c r="Y565" i="10"/>
  <c r="Y565" i="11" s="1"/>
  <c r="E566" i="10"/>
  <c r="S565" i="10"/>
  <c r="K565" i="10"/>
  <c r="K565" i="11" s="1"/>
  <c r="C565" i="10"/>
  <c r="E567" i="11"/>
  <c r="S566" i="11"/>
  <c r="T563" i="11"/>
  <c r="F564" i="11"/>
  <c r="T564" i="11" s="1"/>
  <c r="G562" i="10"/>
  <c r="U561" i="10"/>
  <c r="U555" i="10"/>
  <c r="G556" i="10"/>
  <c r="U556" i="10" s="1"/>
  <c r="S569" i="11"/>
  <c r="E570" i="11"/>
  <c r="A573" i="10"/>
  <c r="A570" i="10"/>
  <c r="A571" i="10" s="1"/>
  <c r="A572" i="10" s="1"/>
  <c r="F569" i="10"/>
  <c r="E569" i="10"/>
  <c r="U559" i="11"/>
  <c r="G560" i="11"/>
  <c r="U560" i="11" s="1"/>
  <c r="G573" i="11" l="1"/>
  <c r="T573" i="11"/>
  <c r="F574" i="11"/>
  <c r="C559" i="11"/>
  <c r="Q559" i="10"/>
  <c r="Q559" i="11" s="1"/>
  <c r="C560" i="10"/>
  <c r="U562" i="10"/>
  <c r="G563" i="10"/>
  <c r="C562" i="11"/>
  <c r="C563" i="10"/>
  <c r="Q562" i="10"/>
  <c r="Q562" i="11" s="1"/>
  <c r="F573" i="10"/>
  <c r="E573" i="10"/>
  <c r="A574" i="10"/>
  <c r="A575" i="10" s="1"/>
  <c r="A576" i="10" s="1"/>
  <c r="A577" i="10"/>
  <c r="S560" i="10"/>
  <c r="AC560" i="10" s="1"/>
  <c r="Y560" i="10" s="1"/>
  <c r="Y560" i="11" s="1"/>
  <c r="K560" i="10"/>
  <c r="K560" i="11" s="1"/>
  <c r="E577" i="11"/>
  <c r="A578" i="11"/>
  <c r="A579" i="11" s="1"/>
  <c r="A580" i="11" s="1"/>
  <c r="A581" i="11"/>
  <c r="F577" i="11"/>
  <c r="T563" i="10"/>
  <c r="F564" i="10"/>
  <c r="T564" i="10" s="1"/>
  <c r="K569" i="10"/>
  <c r="K569" i="11" s="1"/>
  <c r="S569" i="10"/>
  <c r="E570" i="10"/>
  <c r="Y569" i="10"/>
  <c r="Y569" i="11" s="1"/>
  <c r="C569" i="10"/>
  <c r="U566" i="11"/>
  <c r="G567" i="11"/>
  <c r="G564" i="11"/>
  <c r="U564" i="11" s="1"/>
  <c r="U563" i="11"/>
  <c r="U559" i="10"/>
  <c r="G560" i="10"/>
  <c r="U560" i="10" s="1"/>
  <c r="T569" i="10"/>
  <c r="G569" i="10"/>
  <c r="F570" i="10"/>
  <c r="E568" i="11"/>
  <c r="S568" i="11" s="1"/>
  <c r="S567" i="11"/>
  <c r="C565" i="11"/>
  <c r="Q565" i="10"/>
  <c r="Q565" i="11" s="1"/>
  <c r="C566" i="10"/>
  <c r="S563" i="10"/>
  <c r="AC563" i="10" s="1"/>
  <c r="Y563" i="10" s="1"/>
  <c r="Y563" i="11" s="1"/>
  <c r="K563" i="10"/>
  <c r="K563" i="11" s="1"/>
  <c r="E564" i="10"/>
  <c r="C556" i="11"/>
  <c r="Q556" i="10"/>
  <c r="Q556" i="11" s="1"/>
  <c r="T567" i="11"/>
  <c r="F568" i="11"/>
  <c r="T568" i="11" s="1"/>
  <c r="U569" i="11"/>
  <c r="G570" i="11"/>
  <c r="T570" i="11"/>
  <c r="F571" i="11"/>
  <c r="T566" i="10"/>
  <c r="F567" i="10"/>
  <c r="S570" i="11"/>
  <c r="E571" i="11"/>
  <c r="U565" i="10"/>
  <c r="G566" i="10"/>
  <c r="S566" i="10"/>
  <c r="K566" i="10"/>
  <c r="K566" i="11" s="1"/>
  <c r="E567" i="10"/>
  <c r="S573" i="11"/>
  <c r="E574" i="11"/>
  <c r="C563" i="11" l="1"/>
  <c r="C564" i="10"/>
  <c r="Q563" i="10"/>
  <c r="Q563" i="11" s="1"/>
  <c r="A585" i="11"/>
  <c r="A582" i="11"/>
  <c r="A583" i="11" s="1"/>
  <c r="A584" i="11" s="1"/>
  <c r="F581" i="11"/>
  <c r="E581" i="11"/>
  <c r="U566" i="10"/>
  <c r="G567" i="10"/>
  <c r="T573" i="10"/>
  <c r="G573" i="10"/>
  <c r="F574" i="10"/>
  <c r="T567" i="10"/>
  <c r="F568" i="10"/>
  <c r="T568" i="10" s="1"/>
  <c r="U569" i="10"/>
  <c r="G570" i="10"/>
  <c r="E572" i="11"/>
  <c r="S572" i="11" s="1"/>
  <c r="S571" i="11"/>
  <c r="S564" i="10"/>
  <c r="AC564" i="10" s="1"/>
  <c r="Y564" i="10" s="1"/>
  <c r="Y564" i="11" s="1"/>
  <c r="K564" i="10"/>
  <c r="K564" i="11" s="1"/>
  <c r="C560" i="11"/>
  <c r="Q560" i="10"/>
  <c r="Q560" i="11" s="1"/>
  <c r="T577" i="11"/>
  <c r="G577" i="11"/>
  <c r="F578" i="11"/>
  <c r="E578" i="11"/>
  <c r="S577" i="11"/>
  <c r="S567" i="10"/>
  <c r="AC567" i="10" s="1"/>
  <c r="K567" i="10"/>
  <c r="K567" i="11" s="1"/>
  <c r="E568" i="10"/>
  <c r="Y567" i="10"/>
  <c r="Y567" i="11" s="1"/>
  <c r="U570" i="11"/>
  <c r="G571" i="11"/>
  <c r="U563" i="10"/>
  <c r="G564" i="10"/>
  <c r="U564" i="10" s="1"/>
  <c r="E575" i="11"/>
  <c r="S574" i="11"/>
  <c r="F572" i="11"/>
  <c r="T572" i="11" s="1"/>
  <c r="T571" i="11"/>
  <c r="C566" i="11"/>
  <c r="Q566" i="10"/>
  <c r="Q566" i="11" s="1"/>
  <c r="C567" i="10"/>
  <c r="U567" i="11"/>
  <c r="G568" i="11"/>
  <c r="U568" i="11" s="1"/>
  <c r="C569" i="11"/>
  <c r="Q569" i="10"/>
  <c r="Q569" i="11" s="1"/>
  <c r="C570" i="10"/>
  <c r="F577" i="10"/>
  <c r="E577" i="10"/>
  <c r="A581" i="10"/>
  <c r="A578" i="10"/>
  <c r="A579" i="10" s="1"/>
  <c r="A580" i="10" s="1"/>
  <c r="F575" i="11"/>
  <c r="T574" i="11"/>
  <c r="AC566" i="10"/>
  <c r="Y566" i="10" s="1"/>
  <c r="Y566" i="11" s="1"/>
  <c r="K570" i="10"/>
  <c r="K570" i="11" s="1"/>
  <c r="S570" i="10"/>
  <c r="AC570" i="10" s="1"/>
  <c r="Y570" i="10" s="1"/>
  <c r="Y570" i="11" s="1"/>
  <c r="E571" i="10"/>
  <c r="T570" i="10"/>
  <c r="F571" i="10"/>
  <c r="Y573" i="10"/>
  <c r="Y573" i="11" s="1"/>
  <c r="S573" i="10"/>
  <c r="K573" i="10"/>
  <c r="K573" i="11" s="1"/>
  <c r="E574" i="10"/>
  <c r="C573" i="10"/>
  <c r="G574" i="11"/>
  <c r="U573" i="11"/>
  <c r="U567" i="10" l="1"/>
  <c r="G568" i="10"/>
  <c r="U568" i="10" s="1"/>
  <c r="C573" i="11"/>
  <c r="C574" i="10"/>
  <c r="Q573" i="10"/>
  <c r="Q573" i="11" s="1"/>
  <c r="C570" i="11"/>
  <c r="Q570" i="10"/>
  <c r="Q570" i="11" s="1"/>
  <c r="C571" i="10"/>
  <c r="T574" i="10"/>
  <c r="F575" i="10"/>
  <c r="G574" i="10"/>
  <c r="U573" i="10"/>
  <c r="S568" i="10"/>
  <c r="AC568" i="10" s="1"/>
  <c r="Y568" i="10" s="1"/>
  <c r="Y568" i="11" s="1"/>
  <c r="K568" i="10"/>
  <c r="K568" i="11" s="1"/>
  <c r="C567" i="11"/>
  <c r="Q567" i="10"/>
  <c r="Q567" i="11" s="1"/>
  <c r="C568" i="10"/>
  <c r="T581" i="11"/>
  <c r="G581" i="11"/>
  <c r="F582" i="11"/>
  <c r="G571" i="10"/>
  <c r="U570" i="10"/>
  <c r="A589" i="11"/>
  <c r="F585" i="11"/>
  <c r="E585" i="11"/>
  <c r="A586" i="11"/>
  <c r="A587" i="11" s="1"/>
  <c r="A588" i="11" s="1"/>
  <c r="E572" i="10"/>
  <c r="S571" i="10"/>
  <c r="AC571" i="10" s="1"/>
  <c r="Y571" i="10" s="1"/>
  <c r="Y571" i="11" s="1"/>
  <c r="K571" i="10"/>
  <c r="K571" i="11" s="1"/>
  <c r="G572" i="11"/>
  <c r="U572" i="11" s="1"/>
  <c r="U571" i="11"/>
  <c r="Y574" i="10"/>
  <c r="Y574" i="11" s="1"/>
  <c r="S574" i="10"/>
  <c r="AC574" i="10" s="1"/>
  <c r="K574" i="10"/>
  <c r="K574" i="11" s="1"/>
  <c r="E575" i="10"/>
  <c r="F576" i="11"/>
  <c r="T576" i="11" s="1"/>
  <c r="T575" i="11"/>
  <c r="E581" i="10"/>
  <c r="F581" i="10"/>
  <c r="A585" i="10"/>
  <c r="A582" i="10"/>
  <c r="A583" i="10" s="1"/>
  <c r="A584" i="10" s="1"/>
  <c r="S578" i="11"/>
  <c r="E579" i="11"/>
  <c r="G575" i="11"/>
  <c r="U574" i="11"/>
  <c r="E582" i="11"/>
  <c r="S581" i="11"/>
  <c r="S577" i="10"/>
  <c r="Y577" i="10"/>
  <c r="Y577" i="11" s="1"/>
  <c r="K577" i="10"/>
  <c r="K577" i="11" s="1"/>
  <c r="C577" i="10"/>
  <c r="E578" i="10"/>
  <c r="T578" i="11"/>
  <c r="F579" i="11"/>
  <c r="C564" i="11"/>
  <c r="Q564" i="10"/>
  <c r="Q564" i="11" s="1"/>
  <c r="T571" i="10"/>
  <c r="F572" i="10"/>
  <c r="T572" i="10" s="1"/>
  <c r="T577" i="10"/>
  <c r="G577" i="10"/>
  <c r="F578" i="10"/>
  <c r="E576" i="11"/>
  <c r="S576" i="11" s="1"/>
  <c r="S575" i="11"/>
  <c r="U577" i="11"/>
  <c r="G578" i="11"/>
  <c r="U571" i="10" l="1"/>
  <c r="G572" i="10"/>
  <c r="U572" i="10" s="1"/>
  <c r="F589" i="11"/>
  <c r="E589" i="11"/>
  <c r="A590" i="11"/>
  <c r="A591" i="11" s="1"/>
  <c r="A592" i="11" s="1"/>
  <c r="A593" i="11"/>
  <c r="S582" i="11"/>
  <c r="E583" i="11"/>
  <c r="U574" i="10"/>
  <c r="G575" i="10"/>
  <c r="C568" i="11"/>
  <c r="Q568" i="10"/>
  <c r="Q568" i="11" s="1"/>
  <c r="F582" i="10"/>
  <c r="T581" i="10"/>
  <c r="G581" i="10"/>
  <c r="G576" i="11"/>
  <c r="U576" i="11" s="1"/>
  <c r="U575" i="11"/>
  <c r="T575" i="10"/>
  <c r="F576" i="10"/>
  <c r="T576" i="10" s="1"/>
  <c r="S579" i="11"/>
  <c r="E580" i="11"/>
  <c r="S580" i="11" s="1"/>
  <c r="C571" i="11"/>
  <c r="Q571" i="10"/>
  <c r="Q571" i="11" s="1"/>
  <c r="C572" i="10"/>
  <c r="S581" i="10"/>
  <c r="K581" i="10"/>
  <c r="K581" i="11" s="1"/>
  <c r="C581" i="10"/>
  <c r="E582" i="10"/>
  <c r="Y581" i="10"/>
  <c r="Y581" i="11" s="1"/>
  <c r="S572" i="10"/>
  <c r="AC572" i="10" s="1"/>
  <c r="Y572" i="10" s="1"/>
  <c r="Y572" i="11" s="1"/>
  <c r="K572" i="10"/>
  <c r="K572" i="11" s="1"/>
  <c r="C574" i="11"/>
  <c r="Q574" i="10"/>
  <c r="Q574" i="11" s="1"/>
  <c r="C575" i="10"/>
  <c r="S578" i="10"/>
  <c r="K578" i="10"/>
  <c r="K578" i="11" s="1"/>
  <c r="E579" i="10"/>
  <c r="F585" i="10"/>
  <c r="A589" i="10"/>
  <c r="E585" i="10"/>
  <c r="A586" i="10"/>
  <c r="A587" i="10" s="1"/>
  <c r="A588" i="10" s="1"/>
  <c r="T582" i="11"/>
  <c r="F583" i="11"/>
  <c r="T579" i="11"/>
  <c r="F580" i="11"/>
  <c r="T580" i="11" s="1"/>
  <c r="U581" i="11"/>
  <c r="G582" i="11"/>
  <c r="G579" i="11"/>
  <c r="U578" i="11"/>
  <c r="S585" i="11"/>
  <c r="E586" i="11"/>
  <c r="C577" i="11"/>
  <c r="Q577" i="10"/>
  <c r="Q577" i="11" s="1"/>
  <c r="C578" i="10"/>
  <c r="T578" i="10"/>
  <c r="F579" i="10"/>
  <c r="G578" i="10"/>
  <c r="U577" i="10"/>
  <c r="S575" i="10"/>
  <c r="AC575" i="10" s="1"/>
  <c r="Y575" i="10" s="1"/>
  <c r="Y575" i="11" s="1"/>
  <c r="K575" i="10"/>
  <c r="K575" i="11" s="1"/>
  <c r="E576" i="10"/>
  <c r="T585" i="11"/>
  <c r="F586" i="11"/>
  <c r="G585" i="11"/>
  <c r="K579" i="10" l="1"/>
  <c r="K579" i="11" s="1"/>
  <c r="S579" i="10"/>
  <c r="AC579" i="10" s="1"/>
  <c r="Y579" i="10" s="1"/>
  <c r="Y579" i="11" s="1"/>
  <c r="E580" i="10"/>
  <c r="AC578" i="10"/>
  <c r="Y578" i="10" s="1"/>
  <c r="Y578" i="11" s="1"/>
  <c r="C572" i="11"/>
  <c r="Q572" i="10"/>
  <c r="Q572" i="11" s="1"/>
  <c r="G576" i="10"/>
  <c r="U576" i="10" s="1"/>
  <c r="U575" i="10"/>
  <c r="U579" i="11"/>
  <c r="G580" i="11"/>
  <c r="U580" i="11" s="1"/>
  <c r="U578" i="10"/>
  <c r="G579" i="10"/>
  <c r="C575" i="11"/>
  <c r="Q575" i="10"/>
  <c r="Q575" i="11" s="1"/>
  <c r="C576" i="10"/>
  <c r="E593" i="11"/>
  <c r="A594" i="11"/>
  <c r="A595" i="11" s="1"/>
  <c r="A596" i="11" s="1"/>
  <c r="A597" i="11"/>
  <c r="F593" i="11"/>
  <c r="S586" i="11"/>
  <c r="E587" i="11"/>
  <c r="A590" i="10"/>
  <c r="A591" i="10" s="1"/>
  <c r="A592" i="10" s="1"/>
  <c r="A593" i="10"/>
  <c r="E589" i="10"/>
  <c r="F589" i="10"/>
  <c r="S576" i="10"/>
  <c r="AC576" i="10" s="1"/>
  <c r="Y576" i="10" s="1"/>
  <c r="Y576" i="11" s="1"/>
  <c r="K576" i="10"/>
  <c r="K576" i="11" s="1"/>
  <c r="T585" i="10"/>
  <c r="G585" i="10"/>
  <c r="F586" i="10"/>
  <c r="S582" i="10"/>
  <c r="AC582" i="10" s="1"/>
  <c r="Y582" i="10" s="1"/>
  <c r="Y582" i="11" s="1"/>
  <c r="K582" i="10"/>
  <c r="K582" i="11" s="1"/>
  <c r="E583" i="10"/>
  <c r="S589" i="11"/>
  <c r="E590" i="11"/>
  <c r="C581" i="11"/>
  <c r="Q581" i="10"/>
  <c r="Q581" i="11" s="1"/>
  <c r="C582" i="10"/>
  <c r="U581" i="10"/>
  <c r="G582" i="10"/>
  <c r="G589" i="11"/>
  <c r="F590" i="11"/>
  <c r="T589" i="11"/>
  <c r="T579" i="10"/>
  <c r="F580" i="10"/>
  <c r="T580" i="10" s="1"/>
  <c r="T583" i="11"/>
  <c r="F584" i="11"/>
  <c r="T584" i="11" s="1"/>
  <c r="C578" i="11"/>
  <c r="Q578" i="10"/>
  <c r="Q578" i="11" s="1"/>
  <c r="C579" i="10"/>
  <c r="S583" i="11"/>
  <c r="E584" i="11"/>
  <c r="S584" i="11" s="1"/>
  <c r="G586" i="11"/>
  <c r="U585" i="11"/>
  <c r="Y585" i="10"/>
  <c r="Y585" i="11" s="1"/>
  <c r="S585" i="10"/>
  <c r="K585" i="10"/>
  <c r="K585" i="11" s="1"/>
  <c r="C585" i="10"/>
  <c r="E586" i="10"/>
  <c r="F587" i="11"/>
  <c r="T586" i="11"/>
  <c r="U582" i="11"/>
  <c r="G583" i="11"/>
  <c r="T582" i="10"/>
  <c r="F583" i="10"/>
  <c r="A597" i="10" l="1"/>
  <c r="A594" i="10"/>
  <c r="A595" i="10" s="1"/>
  <c r="A596" i="10" s="1"/>
  <c r="F593" i="10"/>
  <c r="E593" i="10"/>
  <c r="C585" i="11"/>
  <c r="Q585" i="10"/>
  <c r="Q585" i="11" s="1"/>
  <c r="C586" i="10"/>
  <c r="Y589" i="10"/>
  <c r="Y589" i="11" s="1"/>
  <c r="E590" i="10"/>
  <c r="S589" i="10"/>
  <c r="K589" i="10"/>
  <c r="K589" i="11" s="1"/>
  <c r="C589" i="10"/>
  <c r="G580" i="10"/>
  <c r="U580" i="10" s="1"/>
  <c r="U579" i="10"/>
  <c r="S583" i="10"/>
  <c r="AC583" i="10" s="1"/>
  <c r="Y583" i="10" s="1"/>
  <c r="Y583" i="11" s="1"/>
  <c r="K583" i="10"/>
  <c r="K583" i="11" s="1"/>
  <c r="E584" i="10"/>
  <c r="T583" i="10"/>
  <c r="F584" i="10"/>
  <c r="T584" i="10" s="1"/>
  <c r="G587" i="11"/>
  <c r="U586" i="11"/>
  <c r="G590" i="11"/>
  <c r="U589" i="11"/>
  <c r="T586" i="10"/>
  <c r="F587" i="10"/>
  <c r="T593" i="11"/>
  <c r="G593" i="11"/>
  <c r="F594" i="11"/>
  <c r="U582" i="10"/>
  <c r="G583" i="10"/>
  <c r="G586" i="10"/>
  <c r="U585" i="10"/>
  <c r="A598" i="11"/>
  <c r="A599" i="11" s="1"/>
  <c r="A600" i="11" s="1"/>
  <c r="A601" i="11"/>
  <c r="E597" i="11"/>
  <c r="F597" i="11"/>
  <c r="U583" i="11"/>
  <c r="G584" i="11"/>
  <c r="U584" i="11" s="1"/>
  <c r="E588" i="11"/>
  <c r="S588" i="11" s="1"/>
  <c r="S587" i="11"/>
  <c r="C576" i="11"/>
  <c r="Q576" i="10"/>
  <c r="Q576" i="11" s="1"/>
  <c r="S580" i="10"/>
  <c r="AC580" i="10" s="1"/>
  <c r="K580" i="10"/>
  <c r="K580" i="11" s="1"/>
  <c r="Y580" i="10"/>
  <c r="Y580" i="11" s="1"/>
  <c r="C579" i="11"/>
  <c r="Q579" i="10"/>
  <c r="Q579" i="11" s="1"/>
  <c r="C580" i="10"/>
  <c r="S593" i="11"/>
  <c r="E594" i="11"/>
  <c r="F588" i="11"/>
  <c r="T588" i="11" s="1"/>
  <c r="T587" i="11"/>
  <c r="E587" i="10"/>
  <c r="S586" i="10"/>
  <c r="AC586" i="10" s="1"/>
  <c r="Y586" i="10" s="1"/>
  <c r="Y586" i="11" s="1"/>
  <c r="K586" i="10"/>
  <c r="K586" i="11" s="1"/>
  <c r="E591" i="11"/>
  <c r="S590" i="11"/>
  <c r="G589" i="10"/>
  <c r="F590" i="10"/>
  <c r="T589" i="10"/>
  <c r="F591" i="11"/>
  <c r="T590" i="11"/>
  <c r="C582" i="11"/>
  <c r="C583" i="10"/>
  <c r="Q582" i="10"/>
  <c r="Q582" i="11" s="1"/>
  <c r="C589" i="11" l="1"/>
  <c r="C590" i="10"/>
  <c r="Q589" i="10"/>
  <c r="Q589" i="11" s="1"/>
  <c r="U583" i="10"/>
  <c r="G584" i="10"/>
  <c r="U584" i="10" s="1"/>
  <c r="G588" i="11"/>
  <c r="U588" i="11" s="1"/>
  <c r="U587" i="11"/>
  <c r="C583" i="11"/>
  <c r="Q583" i="10"/>
  <c r="Q583" i="11" s="1"/>
  <c r="C584" i="10"/>
  <c r="S587" i="10"/>
  <c r="AC587" i="10" s="1"/>
  <c r="Y587" i="10" s="1"/>
  <c r="Y587" i="11" s="1"/>
  <c r="K587" i="10"/>
  <c r="K587" i="11" s="1"/>
  <c r="E588" i="10"/>
  <c r="T594" i="11"/>
  <c r="F595" i="11"/>
  <c r="S584" i="10"/>
  <c r="AC584" i="10" s="1"/>
  <c r="K584" i="10"/>
  <c r="K584" i="11" s="1"/>
  <c r="Y584" i="10"/>
  <c r="Y584" i="11" s="1"/>
  <c r="K593" i="10"/>
  <c r="K593" i="11" s="1"/>
  <c r="C593" i="10"/>
  <c r="E594" i="10"/>
  <c r="Y593" i="10"/>
  <c r="Y593" i="11" s="1"/>
  <c r="S593" i="10"/>
  <c r="U589" i="10"/>
  <c r="G590" i="10"/>
  <c r="S597" i="11"/>
  <c r="E598" i="11"/>
  <c r="E601" i="11"/>
  <c r="A605" i="11"/>
  <c r="F601" i="11"/>
  <c r="A602" i="11"/>
  <c r="A603" i="11" s="1"/>
  <c r="A604" i="11" s="1"/>
  <c r="G591" i="11"/>
  <c r="U590" i="11"/>
  <c r="S591" i="11"/>
  <c r="E592" i="11"/>
  <c r="S592" i="11" s="1"/>
  <c r="G593" i="10"/>
  <c r="F594" i="10"/>
  <c r="T593" i="10"/>
  <c r="C586" i="11"/>
  <c r="Q586" i="10"/>
  <c r="Q586" i="11" s="1"/>
  <c r="C587" i="10"/>
  <c r="G594" i="11"/>
  <c r="U593" i="11"/>
  <c r="F592" i="11"/>
  <c r="T592" i="11" s="1"/>
  <c r="T591" i="11"/>
  <c r="S594" i="11"/>
  <c r="E595" i="11"/>
  <c r="T587" i="10"/>
  <c r="F588" i="10"/>
  <c r="T588" i="10" s="1"/>
  <c r="S590" i="10"/>
  <c r="AC590" i="10" s="1"/>
  <c r="Y590" i="10" s="1"/>
  <c r="Y590" i="11" s="1"/>
  <c r="E591" i="10"/>
  <c r="K590" i="10"/>
  <c r="K590" i="11" s="1"/>
  <c r="U586" i="10"/>
  <c r="G587" i="10"/>
  <c r="F591" i="10"/>
  <c r="T590" i="10"/>
  <c r="C580" i="11"/>
  <c r="Q580" i="10"/>
  <c r="Q580" i="11" s="1"/>
  <c r="T597" i="11"/>
  <c r="G597" i="11"/>
  <c r="F598" i="11"/>
  <c r="A598" i="10"/>
  <c r="A599" i="10" s="1"/>
  <c r="A600" i="10" s="1"/>
  <c r="A601" i="10"/>
  <c r="F597" i="10"/>
  <c r="E597" i="10"/>
  <c r="Y597" i="10" l="1"/>
  <c r="Y597" i="11" s="1"/>
  <c r="C597" i="10"/>
  <c r="E598" i="10"/>
  <c r="S597" i="10"/>
  <c r="K597" i="10"/>
  <c r="K597" i="11" s="1"/>
  <c r="U594" i="11"/>
  <c r="G595" i="11"/>
  <c r="G601" i="11"/>
  <c r="F602" i="11"/>
  <c r="T601" i="11"/>
  <c r="F598" i="10"/>
  <c r="T597" i="10"/>
  <c r="G597" i="10"/>
  <c r="C587" i="11"/>
  <c r="Q587" i="10"/>
  <c r="Q587" i="11" s="1"/>
  <c r="C588" i="10"/>
  <c r="E605" i="11"/>
  <c r="A606" i="11"/>
  <c r="A607" i="11" s="1"/>
  <c r="A608" i="11" s="1"/>
  <c r="A609" i="11"/>
  <c r="F605" i="11"/>
  <c r="G594" i="10"/>
  <c r="U593" i="10"/>
  <c r="S595" i="11"/>
  <c r="E596" i="11"/>
  <c r="S596" i="11" s="1"/>
  <c r="C584" i="11"/>
  <c r="Q584" i="10"/>
  <c r="Q584" i="11" s="1"/>
  <c r="U591" i="11"/>
  <c r="G592" i="11"/>
  <c r="U592" i="11" s="1"/>
  <c r="C593" i="11"/>
  <c r="Q593" i="10"/>
  <c r="Q593" i="11" s="1"/>
  <c r="C594" i="10"/>
  <c r="U587" i="10"/>
  <c r="G588" i="10"/>
  <c r="U588" i="10" s="1"/>
  <c r="S598" i="11"/>
  <c r="E599" i="11"/>
  <c r="T595" i="11"/>
  <c r="F596" i="11"/>
  <c r="T596" i="11" s="1"/>
  <c r="E602" i="11"/>
  <c r="S601" i="11"/>
  <c r="T591" i="10"/>
  <c r="F592" i="10"/>
  <c r="T592" i="10" s="1"/>
  <c r="A605" i="10"/>
  <c r="E601" i="10"/>
  <c r="A602" i="10"/>
  <c r="A603" i="10" s="1"/>
  <c r="A604" i="10" s="1"/>
  <c r="F601" i="10"/>
  <c r="S591" i="10"/>
  <c r="AC591" i="10" s="1"/>
  <c r="Y591" i="10" s="1"/>
  <c r="Y591" i="11" s="1"/>
  <c r="E592" i="10"/>
  <c r="K591" i="10"/>
  <c r="K591" i="11" s="1"/>
  <c r="T598" i="11"/>
  <c r="F599" i="11"/>
  <c r="G598" i="11"/>
  <c r="U597" i="11"/>
  <c r="F595" i="10"/>
  <c r="T594" i="10"/>
  <c r="U590" i="10"/>
  <c r="G591" i="10"/>
  <c r="Y588" i="10"/>
  <c r="Y588" i="11" s="1"/>
  <c r="K588" i="10"/>
  <c r="K588" i="11" s="1"/>
  <c r="S588" i="10"/>
  <c r="AC588" i="10" s="1"/>
  <c r="C590" i="11"/>
  <c r="C591" i="10"/>
  <c r="Q590" i="10"/>
  <c r="Q590" i="11" s="1"/>
  <c r="K594" i="10"/>
  <c r="K594" i="11" s="1"/>
  <c r="S594" i="10"/>
  <c r="AC594" i="10" s="1"/>
  <c r="Y594" i="10" s="1"/>
  <c r="Y594" i="11" s="1"/>
  <c r="E595" i="10"/>
  <c r="G598" i="10" l="1"/>
  <c r="U597" i="10"/>
  <c r="G605" i="11"/>
  <c r="F606" i="11"/>
  <c r="T605" i="11"/>
  <c r="E596" i="10"/>
  <c r="S595" i="10"/>
  <c r="AC595" i="10" s="1"/>
  <c r="Y595" i="10" s="1"/>
  <c r="Y595" i="11" s="1"/>
  <c r="K595" i="10"/>
  <c r="K595" i="11" s="1"/>
  <c r="K592" i="10"/>
  <c r="K592" i="11" s="1"/>
  <c r="S592" i="10"/>
  <c r="AC592" i="10" s="1"/>
  <c r="Y592" i="10" s="1"/>
  <c r="Y592" i="11" s="1"/>
  <c r="E600" i="11"/>
  <c r="S600" i="11" s="1"/>
  <c r="S599" i="11"/>
  <c r="F599" i="10"/>
  <c r="T598" i="10"/>
  <c r="U591" i="10"/>
  <c r="G592" i="10"/>
  <c r="U592" i="10" s="1"/>
  <c r="F603" i="11"/>
  <c r="T602" i="11"/>
  <c r="G602" i="11"/>
  <c r="U601" i="11"/>
  <c r="G599" i="11"/>
  <c r="U598" i="11"/>
  <c r="C588" i="11"/>
  <c r="Q588" i="10"/>
  <c r="Q588" i="11" s="1"/>
  <c r="F602" i="10"/>
  <c r="G601" i="10"/>
  <c r="T601" i="10"/>
  <c r="G595" i="10"/>
  <c r="U594" i="10"/>
  <c r="S601" i="10"/>
  <c r="K601" i="10"/>
  <c r="K601" i="11" s="1"/>
  <c r="E602" i="10"/>
  <c r="C601" i="10"/>
  <c r="Y601" i="10"/>
  <c r="Y601" i="11" s="1"/>
  <c r="C594" i="11"/>
  <c r="Q594" i="10"/>
  <c r="Q594" i="11" s="1"/>
  <c r="C595" i="10"/>
  <c r="E609" i="11"/>
  <c r="A613" i="11"/>
  <c r="F609" i="11"/>
  <c r="A610" i="11"/>
  <c r="A611" i="11" s="1"/>
  <c r="A612" i="11" s="1"/>
  <c r="U595" i="11"/>
  <c r="G596" i="11"/>
  <c r="U596" i="11" s="1"/>
  <c r="E606" i="11"/>
  <c r="S605" i="11"/>
  <c r="F600" i="11"/>
  <c r="T600" i="11" s="1"/>
  <c r="T599" i="11"/>
  <c r="K598" i="10"/>
  <c r="K598" i="11" s="1"/>
  <c r="E599" i="10"/>
  <c r="S598" i="10"/>
  <c r="AC598" i="10" s="1"/>
  <c r="Y598" i="10" s="1"/>
  <c r="Y598" i="11" s="1"/>
  <c r="C597" i="11"/>
  <c r="C598" i="10"/>
  <c r="Q597" i="10"/>
  <c r="Q597" i="11" s="1"/>
  <c r="T595" i="10"/>
  <c r="F596" i="10"/>
  <c r="T596" i="10" s="1"/>
  <c r="E605" i="10"/>
  <c r="A606" i="10"/>
  <c r="A607" i="10" s="1"/>
  <c r="A608" i="10" s="1"/>
  <c r="F605" i="10"/>
  <c r="A609" i="10"/>
  <c r="C591" i="11"/>
  <c r="C592" i="10"/>
  <c r="Q591" i="10"/>
  <c r="Q591" i="11" s="1"/>
  <c r="E603" i="11"/>
  <c r="S602" i="11"/>
  <c r="C601" i="11" l="1"/>
  <c r="Q601" i="10"/>
  <c r="Q601" i="11" s="1"/>
  <c r="C602" i="10"/>
  <c r="U599" i="11"/>
  <c r="G600" i="11"/>
  <c r="U600" i="11" s="1"/>
  <c r="T609" i="11"/>
  <c r="G609" i="11"/>
  <c r="F610" i="11"/>
  <c r="U595" i="10"/>
  <c r="G596" i="10"/>
  <c r="U596" i="10" s="1"/>
  <c r="A614" i="11"/>
  <c r="A615" i="11" s="1"/>
  <c r="A616" i="11" s="1"/>
  <c r="F613" i="11"/>
  <c r="E613" i="11"/>
  <c r="A617" i="11"/>
  <c r="U602" i="11"/>
  <c r="G603" i="11"/>
  <c r="C598" i="11"/>
  <c r="Q598" i="10"/>
  <c r="Q598" i="11" s="1"/>
  <c r="C599" i="10"/>
  <c r="F604" i="11"/>
  <c r="T604" i="11" s="1"/>
  <c r="T603" i="11"/>
  <c r="E610" i="11"/>
  <c r="S609" i="11"/>
  <c r="G602" i="10"/>
  <c r="U601" i="10"/>
  <c r="T606" i="11"/>
  <c r="F607" i="11"/>
  <c r="E606" i="10"/>
  <c r="C605" i="10"/>
  <c r="Y605" i="10"/>
  <c r="Y605" i="11" s="1"/>
  <c r="S605" i="10"/>
  <c r="K605" i="10"/>
  <c r="K605" i="11" s="1"/>
  <c r="S606" i="11"/>
  <c r="E607" i="11"/>
  <c r="S602" i="10"/>
  <c r="K602" i="10"/>
  <c r="K602" i="11" s="1"/>
  <c r="E603" i="10"/>
  <c r="C595" i="11"/>
  <c r="C596" i="10"/>
  <c r="Q595" i="10"/>
  <c r="Q595" i="11" s="1"/>
  <c r="F603" i="10"/>
  <c r="T602" i="10"/>
  <c r="T599" i="10"/>
  <c r="F600" i="10"/>
  <c r="T600" i="10" s="1"/>
  <c r="G606" i="11"/>
  <c r="U605" i="11"/>
  <c r="E604" i="11"/>
  <c r="S604" i="11" s="1"/>
  <c r="S603" i="11"/>
  <c r="A610" i="10"/>
  <c r="A611" i="10" s="1"/>
  <c r="A612" i="10" s="1"/>
  <c r="A613" i="10"/>
  <c r="F609" i="10"/>
  <c r="E609" i="10"/>
  <c r="S596" i="10"/>
  <c r="AC596" i="10" s="1"/>
  <c r="Y596" i="10" s="1"/>
  <c r="Y596" i="11" s="1"/>
  <c r="K596" i="10"/>
  <c r="K596" i="11" s="1"/>
  <c r="C592" i="11"/>
  <c r="Q592" i="10"/>
  <c r="Q592" i="11" s="1"/>
  <c r="S599" i="10"/>
  <c r="AC599" i="10" s="1"/>
  <c r="Y599" i="10" s="1"/>
  <c r="Y599" i="11" s="1"/>
  <c r="K599" i="10"/>
  <c r="K599" i="11" s="1"/>
  <c r="E600" i="10"/>
  <c r="F606" i="10"/>
  <c r="T605" i="10"/>
  <c r="G605" i="10"/>
  <c r="G599" i="10"/>
  <c r="U598" i="10"/>
  <c r="G603" i="10" l="1"/>
  <c r="U602" i="10"/>
  <c r="T613" i="11"/>
  <c r="F614" i="11"/>
  <c r="G613" i="11"/>
  <c r="AC602" i="10"/>
  <c r="Y602" i="10" s="1"/>
  <c r="Y602" i="11" s="1"/>
  <c r="G607" i="11"/>
  <c r="U606" i="11"/>
  <c r="E608" i="11"/>
  <c r="S608" i="11" s="1"/>
  <c r="S607" i="11"/>
  <c r="S610" i="11"/>
  <c r="E611" i="11"/>
  <c r="C605" i="11"/>
  <c r="C606" i="10"/>
  <c r="Q605" i="10"/>
  <c r="Q605" i="11" s="1"/>
  <c r="C599" i="11"/>
  <c r="Q599" i="10"/>
  <c r="Q599" i="11" s="1"/>
  <c r="C600" i="10"/>
  <c r="U599" i="10"/>
  <c r="G600" i="10"/>
  <c r="U600" i="10" s="1"/>
  <c r="F604" i="10"/>
  <c r="T604" i="10" s="1"/>
  <c r="T603" i="10"/>
  <c r="T609" i="10"/>
  <c r="G609" i="10"/>
  <c r="F610" i="10"/>
  <c r="C596" i="11"/>
  <c r="Q596" i="10"/>
  <c r="Q596" i="11" s="1"/>
  <c r="K606" i="10"/>
  <c r="K606" i="11" s="1"/>
  <c r="E607" i="10"/>
  <c r="S606" i="10"/>
  <c r="G604" i="11"/>
  <c r="U604" i="11" s="1"/>
  <c r="U603" i="11"/>
  <c r="F613" i="10"/>
  <c r="E613" i="10"/>
  <c r="A614" i="10"/>
  <c r="A615" i="10" s="1"/>
  <c r="A616" i="10" s="1"/>
  <c r="A617" i="10"/>
  <c r="C602" i="11"/>
  <c r="Q602" i="10"/>
  <c r="Q602" i="11" s="1"/>
  <c r="C603" i="10"/>
  <c r="F611" i="11"/>
  <c r="T610" i="11"/>
  <c r="U605" i="10"/>
  <c r="G606" i="10"/>
  <c r="F607" i="10"/>
  <c r="T606" i="10"/>
  <c r="F608" i="11"/>
  <c r="T608" i="11" s="1"/>
  <c r="T607" i="11"/>
  <c r="K603" i="10"/>
  <c r="K603" i="11" s="1"/>
  <c r="E604" i="10"/>
  <c r="Y603" i="10"/>
  <c r="Y603" i="11" s="1"/>
  <c r="S603" i="10"/>
  <c r="AC603" i="10" s="1"/>
  <c r="E617" i="11"/>
  <c r="A618" i="11"/>
  <c r="A619" i="11" s="1"/>
  <c r="A620" i="11" s="1"/>
  <c r="F617" i="11"/>
  <c r="A621" i="11"/>
  <c r="G610" i="11"/>
  <c r="U609" i="11"/>
  <c r="S609" i="10"/>
  <c r="K609" i="10"/>
  <c r="K609" i="11" s="1"/>
  <c r="E610" i="10"/>
  <c r="Y609" i="10"/>
  <c r="Y609" i="11" s="1"/>
  <c r="C609" i="10"/>
  <c r="S600" i="10"/>
  <c r="AC600" i="10" s="1"/>
  <c r="Y600" i="10"/>
  <c r="Y600" i="11" s="1"/>
  <c r="K600" i="10"/>
  <c r="K600" i="11" s="1"/>
  <c r="S613" i="11"/>
  <c r="E614" i="11"/>
  <c r="U609" i="10" l="1"/>
  <c r="G610" i="10"/>
  <c r="E612" i="11"/>
  <c r="S612" i="11" s="1"/>
  <c r="S611" i="11"/>
  <c r="E614" i="10"/>
  <c r="C613" i="10"/>
  <c r="Y613" i="10"/>
  <c r="Y613" i="11" s="1"/>
  <c r="S613" i="10"/>
  <c r="K613" i="10"/>
  <c r="K613" i="11" s="1"/>
  <c r="G613" i="10"/>
  <c r="F614" i="10"/>
  <c r="T613" i="10"/>
  <c r="U610" i="11"/>
  <c r="G611" i="11"/>
  <c r="T607" i="10"/>
  <c r="F608" i="10"/>
  <c r="T608" i="10" s="1"/>
  <c r="S614" i="11"/>
  <c r="E615" i="11"/>
  <c r="E621" i="11"/>
  <c r="A622" i="11"/>
  <c r="A623" i="11" s="1"/>
  <c r="A624" i="11" s="1"/>
  <c r="F621" i="11"/>
  <c r="A625" i="11"/>
  <c r="U606" i="10"/>
  <c r="G607" i="10"/>
  <c r="T617" i="11"/>
  <c r="G617" i="11"/>
  <c r="F618" i="11"/>
  <c r="AC606" i="10"/>
  <c r="Y606" i="10" s="1"/>
  <c r="Y606" i="11" s="1"/>
  <c r="U607" i="11"/>
  <c r="G608" i="11"/>
  <c r="U608" i="11" s="1"/>
  <c r="S617" i="11"/>
  <c r="E618" i="11"/>
  <c r="T611" i="11"/>
  <c r="F612" i="11"/>
  <c r="T612" i="11" s="1"/>
  <c r="G614" i="11"/>
  <c r="U613" i="11"/>
  <c r="S607" i="10"/>
  <c r="AC607" i="10" s="1"/>
  <c r="Y607" i="10" s="1"/>
  <c r="Y607" i="11" s="1"/>
  <c r="E608" i="10"/>
  <c r="K607" i="10"/>
  <c r="K607" i="11" s="1"/>
  <c r="C603" i="11"/>
  <c r="C604" i="10"/>
  <c r="Q603" i="10"/>
  <c r="Q603" i="11" s="1"/>
  <c r="F615" i="11"/>
  <c r="T614" i="11"/>
  <c r="C609" i="11"/>
  <c r="Q609" i="10"/>
  <c r="Q609" i="11" s="1"/>
  <c r="C610" i="10"/>
  <c r="K604" i="10"/>
  <c r="K604" i="11" s="1"/>
  <c r="S604" i="10"/>
  <c r="AC604" i="10" s="1"/>
  <c r="Y604" i="10"/>
  <c r="Y604" i="11" s="1"/>
  <c r="C606" i="11"/>
  <c r="C607" i="10"/>
  <c r="Q606" i="10"/>
  <c r="Q606" i="11" s="1"/>
  <c r="C600" i="11"/>
  <c r="Q600" i="10"/>
  <c r="Q600" i="11" s="1"/>
  <c r="S610" i="10"/>
  <c r="AC610" i="10" s="1"/>
  <c r="Y610" i="10" s="1"/>
  <c r="Y610" i="11" s="1"/>
  <c r="K610" i="10"/>
  <c r="K610" i="11" s="1"/>
  <c r="E611" i="10"/>
  <c r="A618" i="10"/>
  <c r="A619" i="10" s="1"/>
  <c r="A620" i="10" s="1"/>
  <c r="A621" i="10"/>
  <c r="E617" i="10"/>
  <c r="F617" i="10"/>
  <c r="T610" i="10"/>
  <c r="F611" i="10"/>
  <c r="G604" i="10"/>
  <c r="U604" i="10" s="1"/>
  <c r="U603" i="10"/>
  <c r="S611" i="10" l="1"/>
  <c r="AC611" i="10" s="1"/>
  <c r="K611" i="10"/>
  <c r="K611" i="11" s="1"/>
  <c r="E612" i="10"/>
  <c r="Y611" i="10"/>
  <c r="Y611" i="11" s="1"/>
  <c r="C610" i="11"/>
  <c r="Q610" i="10"/>
  <c r="Q610" i="11" s="1"/>
  <c r="C611" i="10"/>
  <c r="U607" i="10"/>
  <c r="G608" i="10"/>
  <c r="U608" i="10" s="1"/>
  <c r="G621" i="11"/>
  <c r="F622" i="11"/>
  <c r="T621" i="11"/>
  <c r="U614" i="11"/>
  <c r="G615" i="11"/>
  <c r="F615" i="10"/>
  <c r="T614" i="10"/>
  <c r="S618" i="11"/>
  <c r="E619" i="11"/>
  <c r="F612" i="10"/>
  <c r="T612" i="10" s="1"/>
  <c r="T611" i="10"/>
  <c r="C613" i="11"/>
  <c r="Q613" i="10"/>
  <c r="Q613" i="11" s="1"/>
  <c r="C614" i="10"/>
  <c r="C607" i="11"/>
  <c r="C608" i="10"/>
  <c r="Q607" i="10"/>
  <c r="Q607" i="11" s="1"/>
  <c r="E615" i="10"/>
  <c r="S614" i="10"/>
  <c r="AC614" i="10" s="1"/>
  <c r="Y614" i="10" s="1"/>
  <c r="Y614" i="11" s="1"/>
  <c r="K614" i="10"/>
  <c r="K614" i="11" s="1"/>
  <c r="G614" i="10"/>
  <c r="U613" i="10"/>
  <c r="E622" i="11"/>
  <c r="S621" i="11"/>
  <c r="C604" i="11"/>
  <c r="Q604" i="10"/>
  <c r="Q604" i="11" s="1"/>
  <c r="E616" i="11"/>
  <c r="S616" i="11" s="1"/>
  <c r="S615" i="11"/>
  <c r="T617" i="10"/>
  <c r="F618" i="10"/>
  <c r="G617" i="10"/>
  <c r="E618" i="10"/>
  <c r="C617" i="10"/>
  <c r="Y617" i="10"/>
  <c r="Y617" i="11" s="1"/>
  <c r="S617" i="10"/>
  <c r="K617" i="10"/>
  <c r="K617" i="11" s="1"/>
  <c r="E625" i="11"/>
  <c r="A629" i="11"/>
  <c r="F625" i="11"/>
  <c r="A626" i="11"/>
  <c r="A627" i="11" s="1"/>
  <c r="A628" i="11" s="1"/>
  <c r="S608" i="10"/>
  <c r="AC608" i="10" s="1"/>
  <c r="K608" i="10"/>
  <c r="K608" i="11" s="1"/>
  <c r="Y608" i="10"/>
  <c r="Y608" i="11" s="1"/>
  <c r="F619" i="11"/>
  <c r="T618" i="11"/>
  <c r="A625" i="10"/>
  <c r="F621" i="10"/>
  <c r="E621" i="10"/>
  <c r="A622" i="10"/>
  <c r="A623" i="10" s="1"/>
  <c r="A624" i="10" s="1"/>
  <c r="G618" i="11"/>
  <c r="U617" i="11"/>
  <c r="U611" i="11"/>
  <c r="G612" i="11"/>
  <c r="U612" i="11" s="1"/>
  <c r="U610" i="10"/>
  <c r="G611" i="10"/>
  <c r="T615" i="11"/>
  <c r="F616" i="11"/>
  <c r="T616" i="11" s="1"/>
  <c r="K621" i="10" l="1"/>
  <c r="K621" i="11" s="1"/>
  <c r="E622" i="10"/>
  <c r="C621" i="10"/>
  <c r="Y621" i="10"/>
  <c r="Y621" i="11" s="1"/>
  <c r="S621" i="10"/>
  <c r="C617" i="11"/>
  <c r="Q617" i="10"/>
  <c r="Q617" i="11" s="1"/>
  <c r="C618" i="10"/>
  <c r="C611" i="11"/>
  <c r="Q611" i="10"/>
  <c r="Q611" i="11" s="1"/>
  <c r="C612" i="10"/>
  <c r="F620" i="11"/>
  <c r="T620" i="11" s="1"/>
  <c r="T619" i="11"/>
  <c r="S618" i="10"/>
  <c r="AC618" i="10" s="1"/>
  <c r="Y618" i="10" s="1"/>
  <c r="Y618" i="11" s="1"/>
  <c r="K618" i="10"/>
  <c r="K618" i="11" s="1"/>
  <c r="E619" i="10"/>
  <c r="U611" i="10"/>
  <c r="G612" i="10"/>
  <c r="U612" i="10" s="1"/>
  <c r="U617" i="10"/>
  <c r="G618" i="10"/>
  <c r="U615" i="11"/>
  <c r="G616" i="11"/>
  <c r="U616" i="11" s="1"/>
  <c r="G619" i="11"/>
  <c r="U618" i="11"/>
  <c r="A630" i="11"/>
  <c r="A631" i="11" s="1"/>
  <c r="A632" i="11" s="1"/>
  <c r="F629" i="11"/>
  <c r="A633" i="11"/>
  <c r="E629" i="11"/>
  <c r="E620" i="11"/>
  <c r="S620" i="11" s="1"/>
  <c r="S619" i="11"/>
  <c r="E626" i="11"/>
  <c r="S625" i="11"/>
  <c r="C614" i="11"/>
  <c r="Q614" i="10"/>
  <c r="Q614" i="11" s="1"/>
  <c r="C615" i="10"/>
  <c r="F623" i="11"/>
  <c r="T622" i="11"/>
  <c r="T621" i="10"/>
  <c r="G621" i="10"/>
  <c r="F622" i="10"/>
  <c r="S622" i="11"/>
  <c r="E623" i="11"/>
  <c r="F625" i="10"/>
  <c r="A626" i="10"/>
  <c r="A627" i="10" s="1"/>
  <c r="A628" i="10" s="1"/>
  <c r="A629" i="10"/>
  <c r="E625" i="10"/>
  <c r="G622" i="11"/>
  <c r="U621" i="11"/>
  <c r="T618" i="10"/>
  <c r="F619" i="10"/>
  <c r="K615" i="10"/>
  <c r="K615" i="11" s="1"/>
  <c r="E616" i="10"/>
  <c r="S615" i="10"/>
  <c r="AC615" i="10" s="1"/>
  <c r="Y615" i="10" s="1"/>
  <c r="Y615" i="11" s="1"/>
  <c r="F616" i="10"/>
  <c r="T616" i="10" s="1"/>
  <c r="T615" i="10"/>
  <c r="S612" i="10"/>
  <c r="AC612" i="10" s="1"/>
  <c r="Y612" i="10" s="1"/>
  <c r="Y612" i="11" s="1"/>
  <c r="K612" i="10"/>
  <c r="K612" i="11" s="1"/>
  <c r="U614" i="10"/>
  <c r="G615" i="10"/>
  <c r="T625" i="11"/>
  <c r="G625" i="11"/>
  <c r="F626" i="11"/>
  <c r="C608" i="11"/>
  <c r="Q608" i="10"/>
  <c r="Q608" i="11" s="1"/>
  <c r="S629" i="11" l="1"/>
  <c r="E630" i="11"/>
  <c r="S619" i="10"/>
  <c r="AC619" i="10" s="1"/>
  <c r="Y619" i="10" s="1"/>
  <c r="Y619" i="11" s="1"/>
  <c r="K619" i="10"/>
  <c r="K619" i="11" s="1"/>
  <c r="E620" i="10"/>
  <c r="G626" i="11"/>
  <c r="U625" i="11"/>
  <c r="G622" i="10"/>
  <c r="U621" i="10"/>
  <c r="E633" i="11"/>
  <c r="A634" i="11"/>
  <c r="A635" i="11" s="1"/>
  <c r="A636" i="11" s="1"/>
  <c r="A637" i="11"/>
  <c r="F633" i="11"/>
  <c r="T619" i="10"/>
  <c r="F620" i="10"/>
  <c r="T620" i="10" s="1"/>
  <c r="T629" i="11"/>
  <c r="F630" i="11"/>
  <c r="G629" i="11"/>
  <c r="F624" i="11"/>
  <c r="T624" i="11" s="1"/>
  <c r="T623" i="11"/>
  <c r="G623" i="11"/>
  <c r="U622" i="11"/>
  <c r="C615" i="11"/>
  <c r="C616" i="10"/>
  <c r="Q615" i="10"/>
  <c r="Q615" i="11" s="1"/>
  <c r="G620" i="11"/>
  <c r="U620" i="11" s="1"/>
  <c r="U619" i="11"/>
  <c r="A633" i="10"/>
  <c r="F629" i="10"/>
  <c r="E629" i="10"/>
  <c r="A630" i="10"/>
  <c r="A631" i="10" s="1"/>
  <c r="A632" i="10" s="1"/>
  <c r="E626" i="10"/>
  <c r="C625" i="10"/>
  <c r="Y625" i="10"/>
  <c r="Y625" i="11" s="1"/>
  <c r="S625" i="10"/>
  <c r="K625" i="10"/>
  <c r="K625" i="11" s="1"/>
  <c r="C612" i="11"/>
  <c r="Q612" i="10"/>
  <c r="Q612" i="11" s="1"/>
  <c r="S616" i="10"/>
  <c r="AC616" i="10" s="1"/>
  <c r="Y616" i="10" s="1"/>
  <c r="Y616" i="11" s="1"/>
  <c r="K616" i="10"/>
  <c r="K616" i="11" s="1"/>
  <c r="C621" i="11"/>
  <c r="Q621" i="10"/>
  <c r="Q621" i="11" s="1"/>
  <c r="C622" i="10"/>
  <c r="U618" i="10"/>
  <c r="G619" i="10"/>
  <c r="T625" i="10"/>
  <c r="G625" i="10"/>
  <c r="F626" i="10"/>
  <c r="S626" i="11"/>
  <c r="E627" i="11"/>
  <c r="C618" i="11"/>
  <c r="Q618" i="10"/>
  <c r="Q618" i="11" s="1"/>
  <c r="C619" i="10"/>
  <c r="E624" i="11"/>
  <c r="S624" i="11" s="1"/>
  <c r="S623" i="11"/>
  <c r="F627" i="11"/>
  <c r="T626" i="11"/>
  <c r="T622" i="10"/>
  <c r="F623" i="10"/>
  <c r="U615" i="10"/>
  <c r="G616" i="10"/>
  <c r="U616" i="10" s="1"/>
  <c r="K622" i="10"/>
  <c r="K622" i="11" s="1"/>
  <c r="E623" i="10"/>
  <c r="S622" i="10"/>
  <c r="AC622" i="10" s="1"/>
  <c r="Y622" i="10" s="1"/>
  <c r="Y622" i="11" s="1"/>
  <c r="T629" i="10" l="1"/>
  <c r="G629" i="10"/>
  <c r="F630" i="10"/>
  <c r="F631" i="11"/>
  <c r="T630" i="11"/>
  <c r="S620" i="10"/>
  <c r="AC620" i="10" s="1"/>
  <c r="Y620" i="10" s="1"/>
  <c r="Y620" i="11" s="1"/>
  <c r="K620" i="10"/>
  <c r="K620" i="11" s="1"/>
  <c r="E624" i="10"/>
  <c r="Y623" i="10"/>
  <c r="Y623" i="11" s="1"/>
  <c r="S623" i="10"/>
  <c r="AC623" i="10" s="1"/>
  <c r="K623" i="10"/>
  <c r="K623" i="11" s="1"/>
  <c r="F624" i="10"/>
  <c r="T624" i="10" s="1"/>
  <c r="T623" i="10"/>
  <c r="G626" i="10"/>
  <c r="U625" i="10"/>
  <c r="S633" i="11"/>
  <c r="E634" i="11"/>
  <c r="C625" i="11"/>
  <c r="C626" i="10"/>
  <c r="Q625" i="10"/>
  <c r="Q625" i="11" s="1"/>
  <c r="G630" i="11"/>
  <c r="U629" i="11"/>
  <c r="A637" i="10"/>
  <c r="F633" i="10"/>
  <c r="E633" i="10"/>
  <c r="A634" i="10"/>
  <c r="A635" i="10" s="1"/>
  <c r="A636" i="10" s="1"/>
  <c r="E628" i="11"/>
  <c r="S628" i="11" s="1"/>
  <c r="S627" i="11"/>
  <c r="C622" i="11"/>
  <c r="Q622" i="10"/>
  <c r="Q622" i="11" s="1"/>
  <c r="C623" i="10"/>
  <c r="C619" i="11"/>
  <c r="Q619" i="10"/>
  <c r="Q619" i="11" s="1"/>
  <c r="C620" i="10"/>
  <c r="T626" i="10"/>
  <c r="F627" i="10"/>
  <c r="T633" i="11"/>
  <c r="G633" i="11"/>
  <c r="F634" i="11"/>
  <c r="S630" i="11"/>
  <c r="E631" i="11"/>
  <c r="U619" i="10"/>
  <c r="G620" i="10"/>
  <c r="U620" i="10" s="1"/>
  <c r="T627" i="11"/>
  <c r="F628" i="11"/>
  <c r="T628" i="11" s="1"/>
  <c r="U623" i="11"/>
  <c r="G624" i="11"/>
  <c r="U624" i="11" s="1"/>
  <c r="E627" i="10"/>
  <c r="S626" i="10"/>
  <c r="K626" i="10"/>
  <c r="K626" i="11" s="1"/>
  <c r="G623" i="10"/>
  <c r="U622" i="10"/>
  <c r="Y629" i="10"/>
  <c r="Y629" i="11" s="1"/>
  <c r="S629" i="10"/>
  <c r="K629" i="10"/>
  <c r="K629" i="11" s="1"/>
  <c r="E630" i="10"/>
  <c r="C629" i="10"/>
  <c r="U626" i="11"/>
  <c r="G627" i="11"/>
  <c r="C616" i="11"/>
  <c r="Q616" i="10"/>
  <c r="Q616" i="11" s="1"/>
  <c r="E637" i="11"/>
  <c r="A641" i="11"/>
  <c r="A638" i="11"/>
  <c r="A639" i="11" s="1"/>
  <c r="A640" i="11" s="1"/>
  <c r="F637" i="11"/>
  <c r="C629" i="11" l="1"/>
  <c r="Q629" i="10"/>
  <c r="Q629" i="11" s="1"/>
  <c r="C630" i="10"/>
  <c r="C620" i="11"/>
  <c r="Q620" i="10"/>
  <c r="Q620" i="11" s="1"/>
  <c r="G637" i="11"/>
  <c r="F638" i="11"/>
  <c r="T637" i="11"/>
  <c r="E641" i="11"/>
  <c r="A645" i="11"/>
  <c r="F641" i="11"/>
  <c r="A642" i="11"/>
  <c r="A643" i="11" s="1"/>
  <c r="A644" i="11" s="1"/>
  <c r="U623" i="10"/>
  <c r="G624" i="10"/>
  <c r="U624" i="10" s="1"/>
  <c r="A638" i="10"/>
  <c r="A639" i="10" s="1"/>
  <c r="A640" i="10" s="1"/>
  <c r="A641" i="10"/>
  <c r="F637" i="10"/>
  <c r="E637" i="10"/>
  <c r="S630" i="10"/>
  <c r="K630" i="10"/>
  <c r="K630" i="11" s="1"/>
  <c r="E631" i="10"/>
  <c r="U630" i="11"/>
  <c r="G631" i="11"/>
  <c r="F635" i="11"/>
  <c r="T634" i="11"/>
  <c r="T631" i="11"/>
  <c r="F632" i="11"/>
  <c r="T632" i="11" s="1"/>
  <c r="K624" i="10"/>
  <c r="K624" i="11" s="1"/>
  <c r="S624" i="10"/>
  <c r="AC624" i="10" s="1"/>
  <c r="Y624" i="10" s="1"/>
  <c r="Y624" i="11" s="1"/>
  <c r="C623" i="11"/>
  <c r="Q623" i="10"/>
  <c r="Q623" i="11" s="1"/>
  <c r="C624" i="10"/>
  <c r="C626" i="11"/>
  <c r="C627" i="10"/>
  <c r="Q626" i="10"/>
  <c r="Q626" i="11" s="1"/>
  <c r="E638" i="11"/>
  <c r="S637" i="11"/>
  <c r="AC626" i="10"/>
  <c r="Y626" i="10" s="1"/>
  <c r="Y626" i="11" s="1"/>
  <c r="G634" i="11"/>
  <c r="U633" i="11"/>
  <c r="U626" i="10"/>
  <c r="G627" i="10"/>
  <c r="T630" i="10"/>
  <c r="F631" i="10"/>
  <c r="K633" i="10"/>
  <c r="K633" i="11" s="1"/>
  <c r="E634" i="10"/>
  <c r="C633" i="10"/>
  <c r="Y633" i="10"/>
  <c r="Y633" i="11" s="1"/>
  <c r="S633" i="10"/>
  <c r="G630" i="10"/>
  <c r="U629" i="10"/>
  <c r="E632" i="11"/>
  <c r="S632" i="11" s="1"/>
  <c r="S631" i="11"/>
  <c r="S634" i="11"/>
  <c r="E635" i="11"/>
  <c r="U627" i="11"/>
  <c r="G628" i="11"/>
  <c r="U628" i="11" s="1"/>
  <c r="S627" i="10"/>
  <c r="AC627" i="10" s="1"/>
  <c r="Y627" i="10" s="1"/>
  <c r="Y627" i="11" s="1"/>
  <c r="K627" i="10"/>
  <c r="K627" i="11" s="1"/>
  <c r="E628" i="10"/>
  <c r="T627" i="10"/>
  <c r="F628" i="10"/>
  <c r="T628" i="10" s="1"/>
  <c r="F634" i="10"/>
  <c r="G633" i="10"/>
  <c r="T633" i="10"/>
  <c r="K634" i="10" l="1"/>
  <c r="K634" i="11" s="1"/>
  <c r="E635" i="10"/>
  <c r="S634" i="10"/>
  <c r="AC634" i="10" s="1"/>
  <c r="Y634" i="10" s="1"/>
  <c r="Y634" i="11" s="1"/>
  <c r="C627" i="11"/>
  <c r="Q627" i="10"/>
  <c r="Q627" i="11" s="1"/>
  <c r="C628" i="10"/>
  <c r="U631" i="11"/>
  <c r="G632" i="11"/>
  <c r="U632" i="11" s="1"/>
  <c r="T641" i="11"/>
  <c r="G641" i="11"/>
  <c r="F642" i="11"/>
  <c r="G634" i="10"/>
  <c r="U633" i="10"/>
  <c r="AC630" i="10"/>
  <c r="Y630" i="10" s="1"/>
  <c r="Y630" i="11" s="1"/>
  <c r="F635" i="10"/>
  <c r="T634" i="10"/>
  <c r="Y637" i="10"/>
  <c r="Y637" i="11" s="1"/>
  <c r="S637" i="10"/>
  <c r="K637" i="10"/>
  <c r="K637" i="11" s="1"/>
  <c r="E638" i="10"/>
  <c r="C637" i="10"/>
  <c r="G638" i="11"/>
  <c r="U637" i="11"/>
  <c r="T631" i="10"/>
  <c r="F632" i="10"/>
  <c r="T632" i="10" s="1"/>
  <c r="C624" i="11"/>
  <c r="Q624" i="10"/>
  <c r="Q624" i="11" s="1"/>
  <c r="A646" i="11"/>
  <c r="A647" i="11" s="1"/>
  <c r="A648" i="11" s="1"/>
  <c r="F645" i="11"/>
  <c r="A649" i="11"/>
  <c r="E645" i="11"/>
  <c r="E636" i="11"/>
  <c r="S636" i="11" s="1"/>
  <c r="S635" i="11"/>
  <c r="K631" i="10"/>
  <c r="K631" i="11" s="1"/>
  <c r="E632" i="10"/>
  <c r="Y631" i="10"/>
  <c r="Y631" i="11" s="1"/>
  <c r="S631" i="10"/>
  <c r="AC631" i="10" s="1"/>
  <c r="E642" i="11"/>
  <c r="S641" i="11"/>
  <c r="U627" i="10"/>
  <c r="G628" i="10"/>
  <c r="U628" i="10" s="1"/>
  <c r="F639" i="11"/>
  <c r="T638" i="11"/>
  <c r="T637" i="10"/>
  <c r="G637" i="10"/>
  <c r="F638" i="10"/>
  <c r="A645" i="10"/>
  <c r="F641" i="10"/>
  <c r="E641" i="10"/>
  <c r="A642" i="10"/>
  <c r="A643" i="10" s="1"/>
  <c r="A644" i="10" s="1"/>
  <c r="G635" i="11"/>
  <c r="U634" i="11"/>
  <c r="G631" i="10"/>
  <c r="U630" i="10"/>
  <c r="S628" i="10"/>
  <c r="AC628" i="10" s="1"/>
  <c r="Y628" i="10" s="1"/>
  <c r="Y628" i="11" s="1"/>
  <c r="K628" i="10"/>
  <c r="K628" i="11" s="1"/>
  <c r="C630" i="11"/>
  <c r="Q630" i="10"/>
  <c r="Q630" i="11" s="1"/>
  <c r="C631" i="10"/>
  <c r="S638" i="11"/>
  <c r="E639" i="11"/>
  <c r="C633" i="11"/>
  <c r="C634" i="10"/>
  <c r="Q633" i="10"/>
  <c r="Q633" i="11" s="1"/>
  <c r="F636" i="11"/>
  <c r="T636" i="11" s="1"/>
  <c r="T635" i="11"/>
  <c r="G635" i="10" l="1"/>
  <c r="U634" i="10"/>
  <c r="E645" i="10"/>
  <c r="A646" i="10"/>
  <c r="A647" i="10" s="1"/>
  <c r="A648" i="10" s="1"/>
  <c r="F645" i="10"/>
  <c r="A649" i="10"/>
  <c r="S632" i="10"/>
  <c r="AC632" i="10" s="1"/>
  <c r="Y632" i="10" s="1"/>
  <c r="Y632" i="11" s="1"/>
  <c r="K632" i="10"/>
  <c r="K632" i="11" s="1"/>
  <c r="F643" i="11"/>
  <c r="T642" i="11"/>
  <c r="G639" i="11"/>
  <c r="U638" i="11"/>
  <c r="G642" i="11"/>
  <c r="U641" i="11"/>
  <c r="C637" i="11"/>
  <c r="C638" i="10"/>
  <c r="Q637" i="10"/>
  <c r="Q637" i="11" s="1"/>
  <c r="S645" i="11"/>
  <c r="E646" i="11"/>
  <c r="E649" i="11"/>
  <c r="A653" i="11"/>
  <c r="A650" i="11"/>
  <c r="A651" i="11" s="1"/>
  <c r="A652" i="11" s="1"/>
  <c r="F649" i="11"/>
  <c r="T645" i="11"/>
  <c r="F646" i="11"/>
  <c r="G645" i="11"/>
  <c r="C634" i="11"/>
  <c r="C635" i="10"/>
  <c r="Q634" i="10"/>
  <c r="Q634" i="11" s="1"/>
  <c r="U637" i="10"/>
  <c r="G638" i="10"/>
  <c r="S638" i="10"/>
  <c r="AC638" i="10" s="1"/>
  <c r="Y638" i="10" s="1"/>
  <c r="Y638" i="11" s="1"/>
  <c r="K638" i="10"/>
  <c r="K638" i="11" s="1"/>
  <c r="E639" i="10"/>
  <c r="F640" i="11"/>
  <c r="T640" i="11" s="1"/>
  <c r="T639" i="11"/>
  <c r="C628" i="11"/>
  <c r="Q628" i="10"/>
  <c r="Q628" i="11" s="1"/>
  <c r="G632" i="10"/>
  <c r="U632" i="10" s="1"/>
  <c r="U631" i="10"/>
  <c r="G636" i="11"/>
  <c r="U636" i="11" s="1"/>
  <c r="U635" i="11"/>
  <c r="T635" i="10"/>
  <c r="F636" i="10"/>
  <c r="T636" i="10" s="1"/>
  <c r="E640" i="11"/>
  <c r="S640" i="11" s="1"/>
  <c r="S639" i="11"/>
  <c r="S642" i="11"/>
  <c r="E643" i="11"/>
  <c r="S641" i="10"/>
  <c r="K641" i="10"/>
  <c r="K641" i="11" s="1"/>
  <c r="E642" i="10"/>
  <c r="C641" i="10"/>
  <c r="Y641" i="10"/>
  <c r="Y641" i="11" s="1"/>
  <c r="E636" i="10"/>
  <c r="S635" i="10"/>
  <c r="AC635" i="10" s="1"/>
  <c r="Y635" i="10" s="1"/>
  <c r="Y635" i="11" s="1"/>
  <c r="K635" i="10"/>
  <c r="K635" i="11" s="1"/>
  <c r="T638" i="10"/>
  <c r="F639" i="10"/>
  <c r="C631" i="11"/>
  <c r="Q631" i="10"/>
  <c r="Q631" i="11" s="1"/>
  <c r="C632" i="10"/>
  <c r="G641" i="10"/>
  <c r="F642" i="10"/>
  <c r="T641" i="10"/>
  <c r="S639" i="10" l="1"/>
  <c r="AC639" i="10" s="1"/>
  <c r="Y639" i="10" s="1"/>
  <c r="Y639" i="11" s="1"/>
  <c r="K639" i="10"/>
  <c r="K639" i="11" s="1"/>
  <c r="E640" i="10"/>
  <c r="T649" i="11"/>
  <c r="G649" i="11"/>
  <c r="F650" i="11"/>
  <c r="U639" i="11"/>
  <c r="G640" i="11"/>
  <c r="U640" i="11" s="1"/>
  <c r="U638" i="10"/>
  <c r="G639" i="10"/>
  <c r="S646" i="11"/>
  <c r="E647" i="11"/>
  <c r="F646" i="10"/>
  <c r="T645" i="10"/>
  <c r="G645" i="10"/>
  <c r="S649" i="11"/>
  <c r="E650" i="11"/>
  <c r="S636" i="10"/>
  <c r="AC636" i="10" s="1"/>
  <c r="Y636" i="10" s="1"/>
  <c r="Y636" i="11" s="1"/>
  <c r="K636" i="10"/>
  <c r="K636" i="11" s="1"/>
  <c r="F643" i="10"/>
  <c r="T642" i="10"/>
  <c r="C632" i="11"/>
  <c r="Q632" i="10"/>
  <c r="Q632" i="11" s="1"/>
  <c r="G642" i="10"/>
  <c r="U641" i="10"/>
  <c r="C635" i="11"/>
  <c r="C636" i="10"/>
  <c r="Q635" i="10"/>
  <c r="Q635" i="11" s="1"/>
  <c r="E646" i="10"/>
  <c r="C645" i="10"/>
  <c r="Y645" i="10"/>
  <c r="Y645" i="11" s="1"/>
  <c r="S645" i="10"/>
  <c r="K645" i="10"/>
  <c r="K645" i="11" s="1"/>
  <c r="E653" i="11"/>
  <c r="F653" i="11"/>
  <c r="A657" i="11"/>
  <c r="A654" i="11"/>
  <c r="A655" i="11" s="1"/>
  <c r="A656" i="11" s="1"/>
  <c r="T643" i="11"/>
  <c r="F644" i="11"/>
  <c r="T644" i="11" s="1"/>
  <c r="C641" i="11"/>
  <c r="Q641" i="10"/>
  <c r="Q641" i="11" s="1"/>
  <c r="C642" i="10"/>
  <c r="A653" i="10"/>
  <c r="F649" i="10"/>
  <c r="E649" i="10"/>
  <c r="A650" i="10"/>
  <c r="A651" i="10" s="1"/>
  <c r="A652" i="10" s="1"/>
  <c r="S642" i="10"/>
  <c r="AC642" i="10" s="1"/>
  <c r="Y642" i="10" s="1"/>
  <c r="Y642" i="11" s="1"/>
  <c r="K642" i="10"/>
  <c r="K642" i="11" s="1"/>
  <c r="E643" i="10"/>
  <c r="C638" i="11"/>
  <c r="Q638" i="10"/>
  <c r="Q638" i="11" s="1"/>
  <c r="C639" i="10"/>
  <c r="T646" i="11"/>
  <c r="F647" i="11"/>
  <c r="U642" i="11"/>
  <c r="G643" i="11"/>
  <c r="G646" i="11"/>
  <c r="U645" i="11"/>
  <c r="E644" i="11"/>
  <c r="S644" i="11" s="1"/>
  <c r="S643" i="11"/>
  <c r="T639" i="10"/>
  <c r="F640" i="10"/>
  <c r="T640" i="10" s="1"/>
  <c r="U635" i="10"/>
  <c r="G636" i="10"/>
  <c r="U636" i="10" s="1"/>
  <c r="E648" i="11" l="1"/>
  <c r="S648" i="11" s="1"/>
  <c r="S647" i="11"/>
  <c r="U646" i="11"/>
  <c r="G647" i="11"/>
  <c r="U643" i="11"/>
  <c r="G644" i="11"/>
  <c r="U644" i="11" s="1"/>
  <c r="S646" i="10"/>
  <c r="AC646" i="10" s="1"/>
  <c r="Y646" i="10" s="1"/>
  <c r="Y646" i="11" s="1"/>
  <c r="E647" i="10"/>
  <c r="K646" i="10"/>
  <c r="K646" i="11" s="1"/>
  <c r="F651" i="11"/>
  <c r="T650" i="11"/>
  <c r="C642" i="11"/>
  <c r="Q642" i="10"/>
  <c r="Q642" i="11" s="1"/>
  <c r="C643" i="10"/>
  <c r="S650" i="11"/>
  <c r="E651" i="11"/>
  <c r="G650" i="11"/>
  <c r="U649" i="11"/>
  <c r="U639" i="10"/>
  <c r="G640" i="10"/>
  <c r="U640" i="10" s="1"/>
  <c r="C645" i="11"/>
  <c r="C646" i="10"/>
  <c r="Q645" i="10"/>
  <c r="Q645" i="11" s="1"/>
  <c r="C639" i="11"/>
  <c r="Q639" i="10"/>
  <c r="Q639" i="11" s="1"/>
  <c r="C640" i="10"/>
  <c r="C636" i="11"/>
  <c r="Q636" i="10"/>
  <c r="Q636" i="11" s="1"/>
  <c r="U645" i="10"/>
  <c r="G646" i="10"/>
  <c r="G653" i="11"/>
  <c r="F654" i="11"/>
  <c r="T653" i="11"/>
  <c r="E654" i="11"/>
  <c r="S653" i="11"/>
  <c r="S649" i="10"/>
  <c r="K649" i="10"/>
  <c r="K649" i="11" s="1"/>
  <c r="E650" i="10"/>
  <c r="C649" i="10"/>
  <c r="Y649" i="10"/>
  <c r="Y649" i="11" s="1"/>
  <c r="T649" i="10"/>
  <c r="G649" i="10"/>
  <c r="F650" i="10"/>
  <c r="F644" i="10"/>
  <c r="T644" i="10" s="1"/>
  <c r="T643" i="10"/>
  <c r="T647" i="11"/>
  <c r="F648" i="11"/>
  <c r="T648" i="11" s="1"/>
  <c r="F653" i="10"/>
  <c r="E653" i="10"/>
  <c r="A654" i="10"/>
  <c r="A655" i="10" s="1"/>
  <c r="A656" i="10" s="1"/>
  <c r="A657" i="10"/>
  <c r="K643" i="10"/>
  <c r="K643" i="11" s="1"/>
  <c r="E644" i="10"/>
  <c r="S643" i="10"/>
  <c r="AC643" i="10" s="1"/>
  <c r="Y643" i="10" s="1"/>
  <c r="Y643" i="11" s="1"/>
  <c r="S640" i="10"/>
  <c r="AC640" i="10" s="1"/>
  <c r="Y640" i="10" s="1"/>
  <c r="Y640" i="11" s="1"/>
  <c r="K640" i="10"/>
  <c r="K640" i="11" s="1"/>
  <c r="E657" i="11"/>
  <c r="A661" i="11"/>
  <c r="F657" i="11"/>
  <c r="A658" i="11"/>
  <c r="A659" i="11" s="1"/>
  <c r="A660" i="11" s="1"/>
  <c r="G643" i="10"/>
  <c r="U642" i="10"/>
  <c r="T646" i="10"/>
  <c r="F647" i="10"/>
  <c r="T657" i="11" l="1"/>
  <c r="G657" i="11"/>
  <c r="F658" i="11"/>
  <c r="G654" i="11"/>
  <c r="U653" i="11"/>
  <c r="E658" i="11"/>
  <c r="S657" i="11"/>
  <c r="E655" i="11"/>
  <c r="S654" i="11"/>
  <c r="C646" i="11"/>
  <c r="C647" i="10"/>
  <c r="Q646" i="10"/>
  <c r="Q646" i="11" s="1"/>
  <c r="F652" i="11"/>
  <c r="T652" i="11" s="1"/>
  <c r="T651" i="11"/>
  <c r="F655" i="11"/>
  <c r="T654" i="11"/>
  <c r="S647" i="10"/>
  <c r="AC647" i="10" s="1"/>
  <c r="Y647" i="10" s="1"/>
  <c r="Y647" i="11" s="1"/>
  <c r="K647" i="10"/>
  <c r="K647" i="11" s="1"/>
  <c r="E648" i="10"/>
  <c r="T650" i="10"/>
  <c r="F651" i="10"/>
  <c r="T647" i="10"/>
  <c r="F648" i="10"/>
  <c r="T648" i="10" s="1"/>
  <c r="U649" i="10"/>
  <c r="G650" i="10"/>
  <c r="U646" i="10"/>
  <c r="G647" i="10"/>
  <c r="S644" i="10"/>
  <c r="AC644" i="10" s="1"/>
  <c r="Y644" i="10" s="1"/>
  <c r="Y644" i="11" s="1"/>
  <c r="K644" i="10"/>
  <c r="K644" i="11" s="1"/>
  <c r="G651" i="11"/>
  <c r="U650" i="11"/>
  <c r="E652" i="11"/>
  <c r="S652" i="11" s="1"/>
  <c r="S651" i="11"/>
  <c r="C649" i="11"/>
  <c r="Q649" i="10"/>
  <c r="Q649" i="11" s="1"/>
  <c r="C650" i="10"/>
  <c r="U647" i="11"/>
  <c r="G648" i="11"/>
  <c r="U648" i="11" s="1"/>
  <c r="G644" i="10"/>
  <c r="U644" i="10" s="1"/>
  <c r="U643" i="10"/>
  <c r="A658" i="10"/>
  <c r="A659" i="10" s="1"/>
  <c r="A660" i="10" s="1"/>
  <c r="F657" i="10"/>
  <c r="A661" i="10"/>
  <c r="E657" i="10"/>
  <c r="S650" i="10"/>
  <c r="K650" i="10"/>
  <c r="K650" i="11" s="1"/>
  <c r="E651" i="10"/>
  <c r="C640" i="11"/>
  <c r="Q640" i="10"/>
  <c r="Q640" i="11" s="1"/>
  <c r="C643" i="11"/>
  <c r="C644" i="10"/>
  <c r="Q643" i="10"/>
  <c r="Q643" i="11" s="1"/>
  <c r="E654" i="10"/>
  <c r="C653" i="10"/>
  <c r="Y653" i="10"/>
  <c r="Y653" i="11" s="1"/>
  <c r="K653" i="10"/>
  <c r="K653" i="11" s="1"/>
  <c r="S653" i="10"/>
  <c r="A662" i="11"/>
  <c r="A663" i="11" s="1"/>
  <c r="A664" i="11" s="1"/>
  <c r="F661" i="11"/>
  <c r="A665" i="11"/>
  <c r="E661" i="11"/>
  <c r="G653" i="10"/>
  <c r="F654" i="10"/>
  <c r="T653" i="10"/>
  <c r="AC650" i="10" l="1"/>
  <c r="Y650" i="10" s="1"/>
  <c r="Y650" i="11" s="1"/>
  <c r="C647" i="11"/>
  <c r="Q647" i="10"/>
  <c r="Q647" i="11" s="1"/>
  <c r="C648" i="10"/>
  <c r="C653" i="11"/>
  <c r="C654" i="10"/>
  <c r="Q653" i="10"/>
  <c r="Q653" i="11" s="1"/>
  <c r="E655" i="10"/>
  <c r="K654" i="10"/>
  <c r="K654" i="11" s="1"/>
  <c r="S654" i="10"/>
  <c r="AC654" i="10" s="1"/>
  <c r="Y654" i="10" s="1"/>
  <c r="Y654" i="11" s="1"/>
  <c r="G652" i="11"/>
  <c r="U652" i="11" s="1"/>
  <c r="U651" i="11"/>
  <c r="S648" i="10"/>
  <c r="AC648" i="10" s="1"/>
  <c r="K648" i="10"/>
  <c r="K648" i="11" s="1"/>
  <c r="Y648" i="10"/>
  <c r="Y648" i="11" s="1"/>
  <c r="C644" i="11"/>
  <c r="Q644" i="10"/>
  <c r="Q644" i="11" s="1"/>
  <c r="G657" i="10"/>
  <c r="T657" i="10"/>
  <c r="F658" i="10"/>
  <c r="E656" i="11"/>
  <c r="S656" i="11" s="1"/>
  <c r="S655" i="11"/>
  <c r="U647" i="10"/>
  <c r="G648" i="10"/>
  <c r="U648" i="10" s="1"/>
  <c r="G655" i="11"/>
  <c r="U654" i="11"/>
  <c r="Y657" i="10"/>
  <c r="Y657" i="11" s="1"/>
  <c r="S657" i="10"/>
  <c r="K657" i="10"/>
  <c r="K657" i="11" s="1"/>
  <c r="C657" i="10"/>
  <c r="E658" i="10"/>
  <c r="F652" i="10"/>
  <c r="T652" i="10" s="1"/>
  <c r="T651" i="10"/>
  <c r="A662" i="10"/>
  <c r="A663" i="10" s="1"/>
  <c r="A664" i="10" s="1"/>
  <c r="F661" i="10"/>
  <c r="E661" i="10"/>
  <c r="A665" i="10"/>
  <c r="S661" i="11"/>
  <c r="E662" i="11"/>
  <c r="E665" i="11"/>
  <c r="F665" i="11"/>
  <c r="A669" i="11"/>
  <c r="A666" i="11"/>
  <c r="A667" i="11" s="1"/>
  <c r="A668" i="11" s="1"/>
  <c r="F656" i="11"/>
  <c r="T656" i="11" s="1"/>
  <c r="T655" i="11"/>
  <c r="F659" i="11"/>
  <c r="T658" i="11"/>
  <c r="T661" i="11"/>
  <c r="G661" i="11"/>
  <c r="F662" i="11"/>
  <c r="C650" i="11"/>
  <c r="Q650" i="10"/>
  <c r="Q650" i="11" s="1"/>
  <c r="C651" i="10"/>
  <c r="U650" i="10"/>
  <c r="G651" i="10"/>
  <c r="G658" i="11"/>
  <c r="U657" i="11"/>
  <c r="F655" i="10"/>
  <c r="T654" i="10"/>
  <c r="S658" i="11"/>
  <c r="E659" i="11"/>
  <c r="G654" i="10"/>
  <c r="U653" i="10"/>
  <c r="S651" i="10"/>
  <c r="AC651" i="10" s="1"/>
  <c r="K651" i="10"/>
  <c r="K651" i="11" s="1"/>
  <c r="E652" i="10"/>
  <c r="Y651" i="10"/>
  <c r="Y651" i="11" s="1"/>
  <c r="F659" i="10" l="1"/>
  <c r="T658" i="10"/>
  <c r="S662" i="11"/>
  <c r="E663" i="11"/>
  <c r="Y661" i="10"/>
  <c r="Y661" i="11" s="1"/>
  <c r="S661" i="10"/>
  <c r="K661" i="10"/>
  <c r="K661" i="11" s="1"/>
  <c r="E662" i="10"/>
  <c r="C661" i="10"/>
  <c r="T661" i="10"/>
  <c r="G661" i="10"/>
  <c r="F662" i="10"/>
  <c r="C654" i="11"/>
  <c r="C655" i="10"/>
  <c r="Q654" i="10"/>
  <c r="Q654" i="11" s="1"/>
  <c r="U658" i="11"/>
  <c r="G659" i="11"/>
  <c r="G652" i="10"/>
  <c r="U652" i="10" s="1"/>
  <c r="U651" i="10"/>
  <c r="S658" i="10"/>
  <c r="AC658" i="10" s="1"/>
  <c r="Y658" i="10" s="1"/>
  <c r="Y658" i="11" s="1"/>
  <c r="K658" i="10"/>
  <c r="K658" i="11" s="1"/>
  <c r="E659" i="10"/>
  <c r="K652" i="10"/>
  <c r="K652" i="11" s="1"/>
  <c r="S652" i="10"/>
  <c r="AC652" i="10" s="1"/>
  <c r="Y652" i="10" s="1"/>
  <c r="Y652" i="11" s="1"/>
  <c r="E669" i="11"/>
  <c r="F669" i="11"/>
  <c r="A673" i="11"/>
  <c r="A670" i="11"/>
  <c r="A671" i="11" s="1"/>
  <c r="A672" i="11" s="1"/>
  <c r="U657" i="10"/>
  <c r="G658" i="10"/>
  <c r="C651" i="11"/>
  <c r="Q651" i="10"/>
  <c r="Q651" i="11" s="1"/>
  <c r="C652" i="10"/>
  <c r="T665" i="11"/>
  <c r="G665" i="11"/>
  <c r="F666" i="11"/>
  <c r="S665" i="11"/>
  <c r="E666" i="11"/>
  <c r="S655" i="10"/>
  <c r="AC655" i="10" s="1"/>
  <c r="Y655" i="10" s="1"/>
  <c r="Y655" i="11" s="1"/>
  <c r="E656" i="10"/>
  <c r="K655" i="10"/>
  <c r="K655" i="11" s="1"/>
  <c r="C648" i="11"/>
  <c r="Q648" i="10"/>
  <c r="Q648" i="11" s="1"/>
  <c r="T659" i="11"/>
  <c r="F660" i="11"/>
  <c r="T660" i="11" s="1"/>
  <c r="C657" i="11"/>
  <c r="C658" i="10"/>
  <c r="Q657" i="10"/>
  <c r="Q657" i="11" s="1"/>
  <c r="T655" i="10"/>
  <c r="F656" i="10"/>
  <c r="T656" i="10" s="1"/>
  <c r="U654" i="10"/>
  <c r="G655" i="10"/>
  <c r="F663" i="11"/>
  <c r="T662" i="11"/>
  <c r="E660" i="11"/>
  <c r="S660" i="11" s="1"/>
  <c r="S659" i="11"/>
  <c r="G662" i="11"/>
  <c r="U661" i="11"/>
  <c r="F665" i="10"/>
  <c r="E665" i="10"/>
  <c r="A669" i="10"/>
  <c r="A666" i="10"/>
  <c r="A667" i="10" s="1"/>
  <c r="A668" i="10" s="1"/>
  <c r="U655" i="11"/>
  <c r="G656" i="11"/>
  <c r="U656" i="11" s="1"/>
  <c r="T662" i="10" l="1"/>
  <c r="F663" i="10"/>
  <c r="C661" i="11"/>
  <c r="Q661" i="10"/>
  <c r="Q661" i="11" s="1"/>
  <c r="C662" i="10"/>
  <c r="T663" i="11"/>
  <c r="F664" i="11"/>
  <c r="T664" i="11" s="1"/>
  <c r="U662" i="11"/>
  <c r="G663" i="11"/>
  <c r="C652" i="11"/>
  <c r="Q652" i="10"/>
  <c r="Q652" i="11" s="1"/>
  <c r="S659" i="10"/>
  <c r="AC659" i="10" s="1"/>
  <c r="Y659" i="10" s="1"/>
  <c r="Y659" i="11" s="1"/>
  <c r="K659" i="10"/>
  <c r="K659" i="11" s="1"/>
  <c r="E660" i="10"/>
  <c r="U661" i="10"/>
  <c r="G662" i="10"/>
  <c r="S656" i="10"/>
  <c r="AC656" i="10" s="1"/>
  <c r="Y656" i="10" s="1"/>
  <c r="Y656" i="11" s="1"/>
  <c r="K656" i="10"/>
  <c r="K656" i="11" s="1"/>
  <c r="G669" i="11"/>
  <c r="T669" i="11"/>
  <c r="F670" i="11"/>
  <c r="E664" i="11"/>
  <c r="S664" i="11" s="1"/>
  <c r="S663" i="11"/>
  <c r="Y665" i="10"/>
  <c r="Y665" i="11" s="1"/>
  <c r="S665" i="10"/>
  <c r="K665" i="10"/>
  <c r="K665" i="11" s="1"/>
  <c r="C665" i="10"/>
  <c r="E666" i="10"/>
  <c r="S662" i="10"/>
  <c r="AC662" i="10" s="1"/>
  <c r="Y662" i="10" s="1"/>
  <c r="Y662" i="11" s="1"/>
  <c r="K662" i="10"/>
  <c r="K662" i="11" s="1"/>
  <c r="E663" i="10"/>
  <c r="U655" i="10"/>
  <c r="G656" i="10"/>
  <c r="U656" i="10" s="1"/>
  <c r="E673" i="11"/>
  <c r="F673" i="11"/>
  <c r="A674" i="11"/>
  <c r="A675" i="11" s="1"/>
  <c r="A676" i="11" s="1"/>
  <c r="F669" i="10"/>
  <c r="E669" i="10"/>
  <c r="A673" i="10"/>
  <c r="A670" i="10"/>
  <c r="A671" i="10" s="1"/>
  <c r="A672" i="10" s="1"/>
  <c r="S666" i="11"/>
  <c r="E667" i="11"/>
  <c r="T665" i="10"/>
  <c r="G665" i="10"/>
  <c r="F666" i="10"/>
  <c r="F667" i="11"/>
  <c r="T666" i="11"/>
  <c r="C655" i="11"/>
  <c r="C656" i="10"/>
  <c r="Q655" i="10"/>
  <c r="Q655" i="11" s="1"/>
  <c r="U658" i="10"/>
  <c r="G659" i="10"/>
  <c r="U659" i="11"/>
  <c r="G660" i="11"/>
  <c r="U660" i="11" s="1"/>
  <c r="E670" i="11"/>
  <c r="S669" i="11"/>
  <c r="C658" i="11"/>
  <c r="Q658" i="10"/>
  <c r="Q658" i="11" s="1"/>
  <c r="C659" i="10"/>
  <c r="G666" i="11"/>
  <c r="U665" i="11"/>
  <c r="T659" i="10"/>
  <c r="F660" i="10"/>
  <c r="T660" i="10" s="1"/>
  <c r="E674" i="11" l="1"/>
  <c r="S673" i="11"/>
  <c r="T666" i="10"/>
  <c r="F667" i="10"/>
  <c r="G670" i="11"/>
  <c r="U669" i="11"/>
  <c r="U663" i="11"/>
  <c r="G664" i="11"/>
  <c r="U664" i="11" s="1"/>
  <c r="U659" i="10"/>
  <c r="G660" i="10"/>
  <c r="U660" i="10" s="1"/>
  <c r="C659" i="11"/>
  <c r="C660" i="10"/>
  <c r="Q659" i="10"/>
  <c r="Q659" i="11" s="1"/>
  <c r="T673" i="11"/>
  <c r="G673" i="11"/>
  <c r="F674" i="11"/>
  <c r="F668" i="11"/>
  <c r="T668" i="11" s="1"/>
  <c r="T667" i="11"/>
  <c r="U665" i="10"/>
  <c r="G666" i="10"/>
  <c r="F671" i="11"/>
  <c r="T670" i="11"/>
  <c r="F673" i="10"/>
  <c r="E673" i="10"/>
  <c r="A674" i="10"/>
  <c r="A675" i="10" s="1"/>
  <c r="A676" i="10" s="1"/>
  <c r="S666" i="10"/>
  <c r="AC666" i="10" s="1"/>
  <c r="Y666" i="10" s="1"/>
  <c r="Y666" i="11" s="1"/>
  <c r="K666" i="10"/>
  <c r="K666" i="11" s="1"/>
  <c r="E667" i="10"/>
  <c r="C665" i="11"/>
  <c r="Q665" i="10"/>
  <c r="Q665" i="11" s="1"/>
  <c r="C666" i="10"/>
  <c r="U662" i="10"/>
  <c r="G663" i="10"/>
  <c r="C662" i="11"/>
  <c r="Q662" i="10"/>
  <c r="Q662" i="11" s="1"/>
  <c r="C663" i="10"/>
  <c r="S663" i="10"/>
  <c r="AC663" i="10" s="1"/>
  <c r="Y663" i="10" s="1"/>
  <c r="Y663" i="11" s="1"/>
  <c r="K663" i="10"/>
  <c r="K663" i="11" s="1"/>
  <c r="E664" i="10"/>
  <c r="E670" i="10"/>
  <c r="C669" i="10"/>
  <c r="S669" i="10"/>
  <c r="K669" i="10"/>
  <c r="K669" i="11" s="1"/>
  <c r="Y669" i="10"/>
  <c r="Y669" i="11" s="1"/>
  <c r="C656" i="11"/>
  <c r="Q656" i="10"/>
  <c r="Q656" i="11" s="1"/>
  <c r="T669" i="10"/>
  <c r="G669" i="10"/>
  <c r="F670" i="10"/>
  <c r="G667" i="11"/>
  <c r="U666" i="11"/>
  <c r="S660" i="10"/>
  <c r="AC660" i="10" s="1"/>
  <c r="Y660" i="10" s="1"/>
  <c r="Y660" i="11" s="1"/>
  <c r="K660" i="10"/>
  <c r="K660" i="11" s="1"/>
  <c r="T663" i="10"/>
  <c r="F664" i="10"/>
  <c r="T664" i="10" s="1"/>
  <c r="E671" i="11"/>
  <c r="S670" i="11"/>
  <c r="E668" i="11"/>
  <c r="S668" i="11" s="1"/>
  <c r="S667" i="11"/>
  <c r="U663" i="10" l="1"/>
  <c r="G664" i="10"/>
  <c r="U664" i="10" s="1"/>
  <c r="F672" i="11"/>
  <c r="T672" i="11" s="1"/>
  <c r="T671" i="11"/>
  <c r="U666" i="10"/>
  <c r="G667" i="10"/>
  <c r="S673" i="10"/>
  <c r="K673" i="10"/>
  <c r="K673" i="11" s="1"/>
  <c r="C673" i="10"/>
  <c r="E674" i="10"/>
  <c r="Y673" i="10"/>
  <c r="Y673" i="11" s="1"/>
  <c r="C660" i="11"/>
  <c r="Q660" i="10"/>
  <c r="Q660" i="11" s="1"/>
  <c r="C666" i="11"/>
  <c r="Q666" i="10"/>
  <c r="Q666" i="11" s="1"/>
  <c r="C667" i="10"/>
  <c r="E672" i="11"/>
  <c r="S672" i="11" s="1"/>
  <c r="S671" i="11"/>
  <c r="T673" i="10"/>
  <c r="G673" i="10"/>
  <c r="F674" i="10"/>
  <c r="S670" i="10"/>
  <c r="AC670" i="10" s="1"/>
  <c r="Y670" i="10" s="1"/>
  <c r="Y670" i="11" s="1"/>
  <c r="K670" i="10"/>
  <c r="K670" i="11" s="1"/>
  <c r="E671" i="10"/>
  <c r="G671" i="11"/>
  <c r="U670" i="11"/>
  <c r="F675" i="11"/>
  <c r="T674" i="11"/>
  <c r="F668" i="10"/>
  <c r="T668" i="10" s="1"/>
  <c r="T667" i="10"/>
  <c r="S664" i="10"/>
  <c r="AC664" i="10" s="1"/>
  <c r="K664" i="10"/>
  <c r="K664" i="11" s="1"/>
  <c r="Y664" i="10"/>
  <c r="Y664" i="11" s="1"/>
  <c r="S667" i="10"/>
  <c r="AC667" i="10" s="1"/>
  <c r="Y667" i="10" s="1"/>
  <c r="Y667" i="11" s="1"/>
  <c r="K667" i="10"/>
  <c r="K667" i="11" s="1"/>
  <c r="E668" i="10"/>
  <c r="G668" i="11"/>
  <c r="U668" i="11" s="1"/>
  <c r="U667" i="11"/>
  <c r="T670" i="10"/>
  <c r="F671" i="10"/>
  <c r="G674" i="11"/>
  <c r="U673" i="11"/>
  <c r="U669" i="10"/>
  <c r="G670" i="10"/>
  <c r="C669" i="11"/>
  <c r="Q669" i="10"/>
  <c r="Q669" i="11" s="1"/>
  <c r="C670" i="10"/>
  <c r="C663" i="11"/>
  <c r="Q663" i="10"/>
  <c r="Q663" i="11" s="1"/>
  <c r="C664" i="10"/>
  <c r="S674" i="11"/>
  <c r="E675" i="11"/>
  <c r="S671" i="10" l="1"/>
  <c r="AC671" i="10" s="1"/>
  <c r="Y671" i="10" s="1"/>
  <c r="Y671" i="11" s="1"/>
  <c r="K671" i="10"/>
  <c r="K671" i="11" s="1"/>
  <c r="E672" i="10"/>
  <c r="T674" i="10"/>
  <c r="F675" i="10"/>
  <c r="U673" i="10"/>
  <c r="G674" i="10"/>
  <c r="E676" i="11"/>
  <c r="S676" i="11" s="1"/>
  <c r="S675" i="11"/>
  <c r="U667" i="10"/>
  <c r="G668" i="10"/>
  <c r="U668" i="10" s="1"/>
  <c r="U674" i="11"/>
  <c r="G675" i="11"/>
  <c r="T671" i="10"/>
  <c r="F672" i="10"/>
  <c r="T672" i="10" s="1"/>
  <c r="C664" i="11"/>
  <c r="Q664" i="10"/>
  <c r="Q664" i="11" s="1"/>
  <c r="T675" i="11"/>
  <c r="F676" i="11"/>
  <c r="T676" i="11" s="1"/>
  <c r="C667" i="11"/>
  <c r="Q667" i="10"/>
  <c r="Q667" i="11" s="1"/>
  <c r="C668" i="10"/>
  <c r="C673" i="11"/>
  <c r="Q673" i="10"/>
  <c r="Q673" i="11" s="1"/>
  <c r="C674" i="10"/>
  <c r="U671" i="11"/>
  <c r="G672" i="11"/>
  <c r="U672" i="11" s="1"/>
  <c r="U670" i="10"/>
  <c r="G671" i="10"/>
  <c r="S674" i="10"/>
  <c r="AC674" i="10" s="1"/>
  <c r="Y674" i="10" s="1"/>
  <c r="Y674" i="11" s="1"/>
  <c r="K674" i="10"/>
  <c r="K674" i="11" s="1"/>
  <c r="E675" i="10"/>
  <c r="C670" i="11"/>
  <c r="Q670" i="10"/>
  <c r="Q670" i="11" s="1"/>
  <c r="C671" i="10"/>
  <c r="S668" i="10"/>
  <c r="AC668" i="10" s="1"/>
  <c r="Y668" i="10" s="1"/>
  <c r="Y668" i="11" s="1"/>
  <c r="K668" i="10"/>
  <c r="K668" i="11" s="1"/>
  <c r="C668" i="11" l="1"/>
  <c r="Q668" i="10"/>
  <c r="Q668" i="11" s="1"/>
  <c r="U674" i="10"/>
  <c r="G675" i="10"/>
  <c r="U671" i="10"/>
  <c r="G672" i="10"/>
  <c r="U672" i="10" s="1"/>
  <c r="F676" i="10"/>
  <c r="T676" i="10" s="1"/>
  <c r="T675" i="10"/>
  <c r="S672" i="10"/>
  <c r="AC672" i="10" s="1"/>
  <c r="K672" i="10"/>
  <c r="K672" i="11" s="1"/>
  <c r="Y672" i="10"/>
  <c r="Y672" i="11" s="1"/>
  <c r="S675" i="10"/>
  <c r="AC675" i="10" s="1"/>
  <c r="Y675" i="10" s="1"/>
  <c r="Y675" i="11" s="1"/>
  <c r="K675" i="10"/>
  <c r="K675" i="11" s="1"/>
  <c r="E676" i="10"/>
  <c r="C674" i="11"/>
  <c r="Q674" i="10"/>
  <c r="Q674" i="11" s="1"/>
  <c r="C675" i="10"/>
  <c r="U675" i="11"/>
  <c r="G676" i="11"/>
  <c r="U676" i="11" s="1"/>
  <c r="C671" i="11"/>
  <c r="Q671" i="10"/>
  <c r="Q671" i="11" s="1"/>
  <c r="C672" i="10"/>
  <c r="C672" i="11" l="1"/>
  <c r="Q672" i="10"/>
  <c r="Q672" i="11" s="1"/>
  <c r="U675" i="10"/>
  <c r="G676" i="10"/>
  <c r="U676" i="10" s="1"/>
  <c r="C675" i="11"/>
  <c r="Q675" i="10"/>
  <c r="Q675" i="11" s="1"/>
  <c r="C676" i="10"/>
  <c r="S676" i="10"/>
  <c r="AC676" i="10" s="1"/>
  <c r="Y676" i="10" s="1"/>
  <c r="Y676" i="11" s="1"/>
  <c r="K676" i="10"/>
  <c r="K676" i="11" s="1"/>
  <c r="C676" i="11" l="1"/>
  <c r="Q676" i="10"/>
  <c r="Q676" i="11" s="1"/>
</calcChain>
</file>

<file path=xl/sharedStrings.xml><?xml version="1.0" encoding="utf-8"?>
<sst xmlns="http://schemas.openxmlformats.org/spreadsheetml/2006/main" count="46288" uniqueCount="3850">
  <si>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</si>
  <si>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</si>
  <si>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</si>
  <si>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</si>
  <si>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</si>
  <si>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</si>
  <si>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</si>
  <si>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</si>
  <si>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</si>
  <si>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</si>
  <si>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</si>
  <si>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</si>
  <si>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</si>
  <si>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</si>
  <si>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</si>
  <si>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</si>
  <si>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</si>
  <si>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</si>
  <si>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</si>
  <si>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</si>
  <si>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</si>
  <si>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</si>
  <si>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</si>
  <si>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</si>
  <si>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</si>
  <si>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</si>
  <si>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</si>
  <si>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</si>
  <si>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</si>
  <si>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</si>
  <si>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</si>
  <si>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</si>
  <si>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</si>
  <si>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</si>
  <si>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</si>
  <si>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</si>
  <si>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</si>
  <si>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</si>
  <si>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</si>
  <si>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</si>
  <si>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</si>
  <si>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</si>
  <si>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</si>
  <si>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</si>
  <si>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</si>
  <si>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</si>
  <si>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</si>
  <si>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</si>
  <si>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</si>
  <si>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</si>
  <si>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</si>
  <si>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</si>
  <si>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</si>
  <si>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</si>
  <si>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</si>
  <si>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</si>
  <si>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</si>
  <si>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</si>
  <si>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</si>
  <si>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</si>
  <si>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</si>
  <si>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</si>
  <si>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</si>
  <si>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</si>
  <si>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</si>
  <si>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</si>
  <si>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</si>
  <si>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</si>
  <si>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</si>
  <si>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</si>
  <si>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</si>
  <si>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Include</t>
  </si>
  <si>
    <t>Sector</t>
  </si>
  <si>
    <t>Sub-sector</t>
  </si>
  <si>
    <t>Archetype</t>
  </si>
  <si>
    <t xml:space="preserve">Vintage </t>
  </si>
  <si>
    <t>End Use</t>
  </si>
  <si>
    <t>Technology</t>
  </si>
  <si>
    <t>Class</t>
  </si>
  <si>
    <t>Energy</t>
  </si>
  <si>
    <t>First Year</t>
  </si>
  <si>
    <t>Description</t>
  </si>
  <si>
    <t>Input Label</t>
  </si>
  <si>
    <t>Output Label</t>
  </si>
  <si>
    <t>Technology Label</t>
  </si>
  <si>
    <t>First availability year</t>
  </si>
  <si>
    <t>CAPEX (2023 US$ / capacity)</t>
  </si>
  <si>
    <t>OPEX (2023 US$ / capacity)</t>
  </si>
  <si>
    <t>Capacity NEMS</t>
  </si>
  <si>
    <t>Efficiency</t>
  </si>
  <si>
    <t>Efficiency Unit</t>
  </si>
  <si>
    <t>Efficiency (%TJ)</t>
  </si>
  <si>
    <t>CAPEX (Thousands 2023 US$ / capacity)</t>
  </si>
  <si>
    <t>OPEX (Thousands 2023 US$ / capacity)</t>
  </si>
  <si>
    <t>Capacity Unit</t>
  </si>
  <si>
    <t>Life (Year)</t>
  </si>
  <si>
    <t>CFA</t>
  </si>
  <si>
    <t>C2A</t>
  </si>
  <si>
    <t>Commercial</t>
  </si>
  <si>
    <t>Hotel</t>
  </si>
  <si>
    <t>Old</t>
  </si>
  <si>
    <t>Space heating</t>
  </si>
  <si>
    <t>Rooftop AHP</t>
  </si>
  <si>
    <t>Standard</t>
  </si>
  <si>
    <t>Electricity</t>
  </si>
  <si>
    <t>Space heating Rooftop AHP Standard Electricity 2061</t>
  </si>
  <si>
    <t>COMELC</t>
  </si>
  <si>
    <t>COMHOTOldSHEUE</t>
  </si>
  <si>
    <t>COMHOTOldSHRTPAHPSTDELC61</t>
  </si>
  <si>
    <t>Thousands Btu / hour</t>
  </si>
  <si>
    <t>Btu / Btu</t>
  </si>
  <si>
    <t>MW</t>
  </si>
  <si>
    <t>High</t>
  </si>
  <si>
    <t>Space heating Rooftop AHP High Electricity 2022</t>
  </si>
  <si>
    <t>COMHOTOldSHRTPAHPHIGELC20</t>
  </si>
  <si>
    <t>Space heating Rooftop AHP Standard Electricity 2023</t>
  </si>
  <si>
    <t>COMHOTOldSHRTPAHPSTDELC23</t>
  </si>
  <si>
    <t>Commercial GHP</t>
  </si>
  <si>
    <t>Space heating Commercial GHP Standard Electricity 2033</t>
  </si>
  <si>
    <t>COMHOTOldSHCOMGHPSTDELC33</t>
  </si>
  <si>
    <t>Space heating Commercial GHP Mid Electricity 2033</t>
  </si>
  <si>
    <t>COMHOTOldSHCOMGHPMIDELC33</t>
  </si>
  <si>
    <t>Space heating Commercial GHP High Electricity 2033</t>
  </si>
  <si>
    <t>COMHOTOldSHCOMGHPHIGELC33</t>
  </si>
  <si>
    <t>Space heating Commercial GHP Standard Electricity 2023</t>
  </si>
  <si>
    <t>COMHOTOldSHCOMGHPSTDELC23</t>
  </si>
  <si>
    <t>Space heating Commercial GHP Mid Electricity 2023</t>
  </si>
  <si>
    <t>COMHOTOldSHCOMGHPMIDELC23</t>
  </si>
  <si>
    <t>Space heating Commercial GHP High Electricity 2023</t>
  </si>
  <si>
    <t>COMHOTOldSHCOMGHPHIGELC23</t>
  </si>
  <si>
    <t>ICE Rooftop AHP</t>
  </si>
  <si>
    <t>Natural gas</t>
  </si>
  <si>
    <t>Space heating ICE Rooftop AHP Standard Natural gas 2022</t>
  </si>
  <si>
    <t>COMNGA</t>
  </si>
  <si>
    <t>COMHOTOldSHICEAHPSTDNGA20</t>
  </si>
  <si>
    <t>Boiler</t>
  </si>
  <si>
    <t>Fuel oil</t>
  </si>
  <si>
    <t>Space heating Boiler Standard Fuel oil 2030</t>
  </si>
  <si>
    <t>COMFOI</t>
  </si>
  <si>
    <t>COMHOTOldSHBOISTDFOI30</t>
  </si>
  <si>
    <t>Space heating Boiler Standard Fuel oil 2040</t>
  </si>
  <si>
    <t>COMHOTOldSHBOISTDFOI40</t>
  </si>
  <si>
    <t>Space cooling</t>
  </si>
  <si>
    <t>Space cooling Rooftop AHP Standard Electricity 2061</t>
  </si>
  <si>
    <t>COMHOTOldSCEUE</t>
  </si>
  <si>
    <t>COMHOTOldSCRTPAHPSTDELC61</t>
  </si>
  <si>
    <t>Space cooling Rooftop AHP High Electricity 2022</t>
  </si>
  <si>
    <t>COMHOTOldSCRTPAHPHIGELC20</t>
  </si>
  <si>
    <t>Space cooling Rooftop AHP Standard Electricity 2023</t>
  </si>
  <si>
    <t>COMHOTOldSCRTPAHPSTDELC23</t>
  </si>
  <si>
    <t>Space cooling Commercial GHP Standard Electricity 2033</t>
  </si>
  <si>
    <t>COMHOTOldSCCOMGHPSTDELC33</t>
  </si>
  <si>
    <t>Space cooling Commercial GHP Mid Electricity 2033</t>
  </si>
  <si>
    <t>COMHOTOldSCCOMGHPMIDELC33</t>
  </si>
  <si>
    <t>Space cooling Commercial GHP High Electricity 2033</t>
  </si>
  <si>
    <t>COMHOTOldSCCOMGHPHIGELC33</t>
  </si>
  <si>
    <t>Space cooling Commercial GHP Standard Electricity 2023</t>
  </si>
  <si>
    <t>COMHOTOldSCCOMGHPSTDELC23</t>
  </si>
  <si>
    <t>Space cooling ICE Rooftop AHP Standard Natural gas 2022</t>
  </si>
  <si>
    <t>COMHOTOldSCICEAHPSTDNGA20</t>
  </si>
  <si>
    <t>Scroll AC</t>
  </si>
  <si>
    <t>Space cooling Scroll AC Standard Electricity 2030</t>
  </si>
  <si>
    <t>COMHOTOldSCSCRLACSTDELC30</t>
  </si>
  <si>
    <t>Space cooling Scroll AC High Electricity 2030</t>
  </si>
  <si>
    <t>COMHOTOldSCSCRLACHIGELC30</t>
  </si>
  <si>
    <t>Space cooling Scroll AC Standard Electricity 2040</t>
  </si>
  <si>
    <t>COMHOTOldSCSCRLACSTDELC40</t>
  </si>
  <si>
    <t>Space cooling Scroll AC High Electricity 2040</t>
  </si>
  <si>
    <t>COMHOTOldSCSCRLACHIGELC40</t>
  </si>
  <si>
    <t>Space cooling Scroll AC High Electricity 2022</t>
  </si>
  <si>
    <t>COMHOTOldSCSCRLACHIGELC20</t>
  </si>
  <si>
    <t>Screw AC</t>
  </si>
  <si>
    <t>ASHRAE</t>
  </si>
  <si>
    <t>Space cooling Screw AC ASHRAE Electricity 2061</t>
  </si>
  <si>
    <t>COMHOTOldSCSCRWACASHELC61</t>
  </si>
  <si>
    <t>Space cooling Screw AC High Electricity 2022</t>
  </si>
  <si>
    <t>COMHOTOldSCSCRWACHIGELC20</t>
  </si>
  <si>
    <t>Space cooling Screw AC Standard Electricity 2030</t>
  </si>
  <si>
    <t>COMHOTOldSCSCRWACSTDELC30</t>
  </si>
  <si>
    <t>Space cooling Screw AC High Electricity 2030</t>
  </si>
  <si>
    <t>COMHOTOldSCSCRWACHIGELC30</t>
  </si>
  <si>
    <t>Space cooling Screw AC Standard Electricity 2040</t>
  </si>
  <si>
    <t>COMHOTOldSCSCRWACSTDELC40</t>
  </si>
  <si>
    <t>Space cooling Screw AC High Electricity 2040</t>
  </si>
  <si>
    <t>COMHOTOldSCSCRWACHIGELC40</t>
  </si>
  <si>
    <t>Reciprocating AC</t>
  </si>
  <si>
    <t>Space cooling Reciprocating AC High Electricity 2022</t>
  </si>
  <si>
    <t>COMHOTOldSCRECACHIGELC20</t>
  </si>
  <si>
    <t>Centrifugal AC</t>
  </si>
  <si>
    <t>Space cooling Centrifugal AC Standard Electricity 2030</t>
  </si>
  <si>
    <t>COMHOTOldSCCENACSTDELC30</t>
  </si>
  <si>
    <t>Space cooling Centrifugal AC High Electricity 2030</t>
  </si>
  <si>
    <t>COMHOTOldSCCENACHIGELC30</t>
  </si>
  <si>
    <t>Space cooling Centrifugal AC Standard Electricity 2040</t>
  </si>
  <si>
    <t>COMHOTOldSCCENACSTDELC40</t>
  </si>
  <si>
    <t>Space cooling Centrifugal AC High Electricity 2040</t>
  </si>
  <si>
    <t>COMHOTOldSCCENACHIGELC40</t>
  </si>
  <si>
    <t>Space cooling Centrifugal AC High Electricity 2022</t>
  </si>
  <si>
    <t>COMHOTOldSCCENACHIGELC20</t>
  </si>
  <si>
    <t>Absorption AC</t>
  </si>
  <si>
    <t>Space cooling Absorption AC Standard Natural gas 2030</t>
  </si>
  <si>
    <t>COMHOTOldSCABSACSTDNGA30</t>
  </si>
  <si>
    <t>Rooftop AC</t>
  </si>
  <si>
    <t>Space cooling Rooftop AC Standard Electricity 2023</t>
  </si>
  <si>
    <t>COMHOTOldSCRTPACSTDELC23</t>
  </si>
  <si>
    <t>Space cooling Rooftop AC High Electricity 2022</t>
  </si>
  <si>
    <t>COMHOTOldSCRTPACHIGELC20</t>
  </si>
  <si>
    <t>Room AC</t>
  </si>
  <si>
    <t>Space cooling Room AC Standard Electricity 2030</t>
  </si>
  <si>
    <t>COMHOTOldSCRACSTDELC30</t>
  </si>
  <si>
    <t>Space cooling Room AC High Electricity 2030</t>
  </si>
  <si>
    <t>COMHOTOldSCRACHIGELC30</t>
  </si>
  <si>
    <t>Space cooling Room AC Standard Electricity 2040</t>
  </si>
  <si>
    <t>COMHOTOldSCRACSTDELC40</t>
  </si>
  <si>
    <t>Space cooling Room AC High Electricity 2040</t>
  </si>
  <si>
    <t>COMHOTOldSCRACHIGELC40</t>
  </si>
  <si>
    <t>Space cooling Room AC High Electricity 2022</t>
  </si>
  <si>
    <t>COMHOTOldSCRACHIGELC20</t>
  </si>
  <si>
    <t>Residential Central AC</t>
  </si>
  <si>
    <t>Energy Star</t>
  </si>
  <si>
    <t>Space cooling Residential Central AC Energy Star Electricity 2023</t>
  </si>
  <si>
    <t>COMHOTOldSCRCEACESTARELC23</t>
  </si>
  <si>
    <t>Space cooling Residential Central AC High Electricity 2022</t>
  </si>
  <si>
    <t>COMHOTOldSCRCEACHIGELC20</t>
  </si>
  <si>
    <t>Space cooling Residential Central AC Standard Electricity 2023</t>
  </si>
  <si>
    <t>COMHOTOldSCRCEACSTDELC23</t>
  </si>
  <si>
    <t>Water heating</t>
  </si>
  <si>
    <t>Solar</t>
  </si>
  <si>
    <t>30p</t>
  </si>
  <si>
    <t>Water heating Solar 30p Electricity 2023</t>
  </si>
  <si>
    <t>COMHOTOldWHEUE</t>
  </si>
  <si>
    <t>COMHOTOldWHSOL30PELC23</t>
  </si>
  <si>
    <t>Water heating Solar 30p Electricity 2024</t>
  </si>
  <si>
    <t>COMHOTOldWHSOL30PELC24</t>
  </si>
  <si>
    <t>Water heating Solar 30p Electricity 2025</t>
  </si>
  <si>
    <t>COMHOTOldWHSOL30PELC25</t>
  </si>
  <si>
    <t>Water heating Solar 30p Electricity 2026</t>
  </si>
  <si>
    <t>COMHOTOldWHSOL30PELC26</t>
  </si>
  <si>
    <t>Water heating Solar 30p Electricity 2027</t>
  </si>
  <si>
    <t>COMHOTOldWHSOL30PELC27</t>
  </si>
  <si>
    <t>HP</t>
  </si>
  <si>
    <t>Water heating HP Standard Electricity 2022</t>
  </si>
  <si>
    <t>COMHOTOldWHHPSTDELC20</t>
  </si>
  <si>
    <t>Ventilation</t>
  </si>
  <si>
    <t>Constant Air Volume</t>
  </si>
  <si>
    <t>Low</t>
  </si>
  <si>
    <t>Ventilation Constant Air Volume Low Electricity 2022</t>
  </si>
  <si>
    <t>COMHOTOldVTEUE</t>
  </si>
  <si>
    <t>COMHOTOldVTCAVLOWELC20</t>
  </si>
  <si>
    <t>Thousands cfm</t>
  </si>
  <si>
    <t>Cfm.hour / Btu</t>
  </si>
  <si>
    <t>Ventilation Constant Air Volume Standard Electricity 2022</t>
  </si>
  <si>
    <t>COMHOTOldVTCAVSTDELC20</t>
  </si>
  <si>
    <t>Ventilation Constant Air Volume High Electricity 2022</t>
  </si>
  <si>
    <t>COMHOTOldVTCAVHIGELC20</t>
  </si>
  <si>
    <t>Ventilation Constant Air Volume Standard Electricity 2030</t>
  </si>
  <si>
    <t>COMHOTOldVTCAVSTDELC30</t>
  </si>
  <si>
    <t>Ventilation Constant Air Volume High Electricity 2030</t>
  </si>
  <si>
    <t>COMHOTOldVTCAVHIGELC30</t>
  </si>
  <si>
    <t>Ventilation Constant Air Volume Standard Electricity 2040</t>
  </si>
  <si>
    <t>COMHOTOldVTCAVSTDELC40</t>
  </si>
  <si>
    <t>Ventilation Constant Air Volume High Electricity 2040</t>
  </si>
  <si>
    <t>COMHOTOldVTCAVHIGELC40</t>
  </si>
  <si>
    <t>Ventilation Constant Air Volume Standard Electricity 2050</t>
  </si>
  <si>
    <t>COMHOTOldVTCAVSTDELC50</t>
  </si>
  <si>
    <t>Ventilation Constant Air Volume High Electricity 2050</t>
  </si>
  <si>
    <t>COMHOTOldVTCAVHIGELC50</t>
  </si>
  <si>
    <t>Variable Air Volume</t>
  </si>
  <si>
    <t>Ventilation Variable Air Volume Low Electricity 2022</t>
  </si>
  <si>
    <t>COMHOTOldVTVAVLOWELC20</t>
  </si>
  <si>
    <t>Ventilation Variable Air Volume High Electricity 2022</t>
  </si>
  <si>
    <t>COMHOTOldVTVAVHIGELC20</t>
  </si>
  <si>
    <t>Ventilation Variable Air Volume Standard Electricity 2030</t>
  </si>
  <si>
    <t>COMHOTOldVTVAVSTDELC30</t>
  </si>
  <si>
    <t>Ventilation Variable Air Volume High Electricity 2030</t>
  </si>
  <si>
    <t>COMHOTOldVTVAVHIGELC30</t>
  </si>
  <si>
    <t>Ventilation Variable Air Volume Standard Electricity 2040</t>
  </si>
  <si>
    <t>COMHOTOldVTVAVSTDELC40</t>
  </si>
  <si>
    <t>Ventilation Variable Air Volume High Electricity 2040</t>
  </si>
  <si>
    <t>COMHOTOldVTVAVHIGELC40</t>
  </si>
  <si>
    <t>Ventilation Variable Air Volume Standard Electricity 2050</t>
  </si>
  <si>
    <t>COMHOTOldVTVAVSTDELC50</t>
  </si>
  <si>
    <t>Ventilation Variable Air Volume High Electricity 2050</t>
  </si>
  <si>
    <t>COMHOTOldVTVAVHIGELC50</t>
  </si>
  <si>
    <t>Lighting</t>
  </si>
  <si>
    <t>Halogen</t>
  </si>
  <si>
    <t>Lighting Halogen Standard Electricity 2022</t>
  </si>
  <si>
    <t>COMHOTOldLTEUE</t>
  </si>
  <si>
    <t>COMHOTOldLTHALSTDELC20</t>
  </si>
  <si>
    <t>Thousands Lumens</t>
  </si>
  <si>
    <t>Lm / W</t>
  </si>
  <si>
    <t>Mlma</t>
  </si>
  <si>
    <t>Fluorescent Compact</t>
  </si>
  <si>
    <t>Lighting Fluorescent Compact Standard Electricity 2022</t>
  </si>
  <si>
    <t>COMHOTOldLTCFLSTDELC20</t>
  </si>
  <si>
    <t>Lighting Fluorescent Compact High Electricity 2022</t>
  </si>
  <si>
    <t>COMHOTOldLTCFLHIGELC20</t>
  </si>
  <si>
    <t>LED PAR38</t>
  </si>
  <si>
    <t>Lighting LED PAR38 Standard Electricity 2022</t>
  </si>
  <si>
    <t>COMHOTOldLTLEDPARSTDELC20</t>
  </si>
  <si>
    <t>Lighting LED PAR38 High Electricity 2022</t>
  </si>
  <si>
    <t>COMHOTOldLTLEDPARHIGELC20</t>
  </si>
  <si>
    <t>LED A Lamp</t>
  </si>
  <si>
    <t>Lighting LED A Lamp Standard Electricity 2022</t>
  </si>
  <si>
    <t>COMHOTOldLTLEDALASTDELC20</t>
  </si>
  <si>
    <t>Lighting LED A Lamp High Electricity 2022</t>
  </si>
  <si>
    <t>COMHOTOldLTLEDALAHIGELC20</t>
  </si>
  <si>
    <t>Lighting LED PAR38 Standard Electricity 2023</t>
  </si>
  <si>
    <t>COMHOTOldLTLEDPARSTDELC23</t>
  </si>
  <si>
    <t>Lighting LED PAR38 High Electricity 2023</t>
  </si>
  <si>
    <t>COMHOTOldLTLEDPARHIGELC23</t>
  </si>
  <si>
    <t>Lighting LED A Lamp Standard Electricity 2023</t>
  </si>
  <si>
    <t>COMHOTOldLTLEDALASTDELC23</t>
  </si>
  <si>
    <t>Lighting LED A Lamp High Electricity 2023</t>
  </si>
  <si>
    <t>COMHOTOldLTLEDALAHIGELC23</t>
  </si>
  <si>
    <t>Lighting LED PAR38 Standard Electricity 2024</t>
  </si>
  <si>
    <t>COMHOTOldLTLEDPARSTDELC24</t>
  </si>
  <si>
    <t>Lighting LED PAR38 High Electricity 2024</t>
  </si>
  <si>
    <t>COMHOTOldLTLEDPARHIGELC24</t>
  </si>
  <si>
    <t>Lighting LED A Lamp Standard Electricity 2024</t>
  </si>
  <si>
    <t>COMHOTOldLTLEDALASTDELC24</t>
  </si>
  <si>
    <t>Lighting LED A Lamp High Electricity 2024</t>
  </si>
  <si>
    <t>COMHOTOldLTLEDALAHIGELC24</t>
  </si>
  <si>
    <t>Lighting LED PAR38 Standard Electricity 2025</t>
  </si>
  <si>
    <t>COMHOTOldLTLEDPARSTDELC25</t>
  </si>
  <si>
    <t>Lighting LED PAR38 High Electricity 2025</t>
  </si>
  <si>
    <t>COMHOTOldLTLEDPARHIGELC25</t>
  </si>
  <si>
    <t>Lighting LED A Lamp Standard Electricity 2025</t>
  </si>
  <si>
    <t>COMHOTOldLTLEDALASTDELC25</t>
  </si>
  <si>
    <t>Lighting LED A Lamp High Electricity 2025</t>
  </si>
  <si>
    <t>COMHOTOldLTLEDALAHIGELC25</t>
  </si>
  <si>
    <t>Lighting LED PAR38 Standard Electricity 2026</t>
  </si>
  <si>
    <t>COMHOTOldLTLEDPARSTDELC26</t>
  </si>
  <si>
    <t>Lighting LED PAR38 High Electricity 2026</t>
  </si>
  <si>
    <t>COMHOTOldLTLEDPARHIGELC26</t>
  </si>
  <si>
    <t>Lighting LED A Lamp Standard Electricity 2026</t>
  </si>
  <si>
    <t>COMHOTOldLTLEDALASTDELC26</t>
  </si>
  <si>
    <t>Lighting LED A Lamp High Electricity 2026</t>
  </si>
  <si>
    <t>COMHOTOldLTLEDALAHIGELC26</t>
  </si>
  <si>
    <t>Lighting Fluorescent Compact Standard Electricity 2030</t>
  </si>
  <si>
    <t>COMHOTOldLTCFLSTDELC30</t>
  </si>
  <si>
    <t>Lighting Fluorescent Compact High Electricity 2030</t>
  </si>
  <si>
    <t>COMHOTOldLTCFLHIGELC30</t>
  </si>
  <si>
    <t>Lighting LED PAR38 Standard Electricity 2030</t>
  </si>
  <si>
    <t>COMHOTOldLTLEDPARSTDELC30</t>
  </si>
  <si>
    <t>Lighting LED PAR38 High Electricity 2030</t>
  </si>
  <si>
    <t>COMHOTOldLTLEDPARHIGELC30</t>
  </si>
  <si>
    <t>Lighting Fluorescent Compact Standard Electricity 2040</t>
  </si>
  <si>
    <t>COMHOTOldLTCFLSTDELC40</t>
  </si>
  <si>
    <t>Lighting Fluorescent Compact High Electricity 2040</t>
  </si>
  <si>
    <t>COMHOTOldLTCFLHIGELC40</t>
  </si>
  <si>
    <t>Lighting LED PAR38 Standard Electricity 2040</t>
  </si>
  <si>
    <t>COMHOTOldLTLEDPARSTDELC40</t>
  </si>
  <si>
    <t>Lighting LED PAR38 High Electricity 2040</t>
  </si>
  <si>
    <t>COMHOTOldLTLEDPARHIGELC40</t>
  </si>
  <si>
    <t>Fluorescent T8</t>
  </si>
  <si>
    <t>Lighting Fluorescent T8 Standard Electricity 2022</t>
  </si>
  <si>
    <t>COMHOTOldLTFLUT8STDELC20</t>
  </si>
  <si>
    <t>Lighting Fluorescent T8 High Electricity 2022</t>
  </si>
  <si>
    <t>COMHOTOldLTFLUT8HIGELC20</t>
  </si>
  <si>
    <t>Fluorescent T5</t>
  </si>
  <si>
    <t>Lighting Fluorescent T5 Standard Electricity 2022</t>
  </si>
  <si>
    <t>COMHOTOldLTFLUT5STDELC20</t>
  </si>
  <si>
    <t>Lighting Fluorescent T5 High Electricity 2022</t>
  </si>
  <si>
    <t>COMHOTOldLTFLUT5HIGELC20</t>
  </si>
  <si>
    <t>LED Integrated</t>
  </si>
  <si>
    <t>Lighting LED Integrated Standard Electricity 2022</t>
  </si>
  <si>
    <t>COMHOTOldLTLEDINTSTDELC20</t>
  </si>
  <si>
    <t>Lighting LED Integrated High Electricity 2022</t>
  </si>
  <si>
    <t>COMHOTOldLTLEDINTHIGELC20</t>
  </si>
  <si>
    <t>Lighting LED Integrated Standard Electricity 2023</t>
  </si>
  <si>
    <t>COMHOTOldLTLEDINTSTDELC23</t>
  </si>
  <si>
    <t>Lighting LED Integrated High Electricity 2023</t>
  </si>
  <si>
    <t>COMHOTOldLTLEDINTHIGELC23</t>
  </si>
  <si>
    <t>Lighting LED Integrated Standard Electricity 2024</t>
  </si>
  <si>
    <t>COMHOTOldLTLEDINTSTDELC24</t>
  </si>
  <si>
    <t>Lighting LED Integrated High Electricity 2024</t>
  </si>
  <si>
    <t>COMHOTOldLTLEDINTHIGELC24</t>
  </si>
  <si>
    <t>Lighting LED Integrated Standard Electricity 2025</t>
  </si>
  <si>
    <t>COMHOTOldLTLEDINTSTDELC25</t>
  </si>
  <si>
    <t>Lighting LED Integrated High Electricity 2025</t>
  </si>
  <si>
    <t>COMHOTOldLTLEDINTHIGELC25</t>
  </si>
  <si>
    <t>Lighting LED Integrated Standard Electricity 2026</t>
  </si>
  <si>
    <t>COMHOTOldLTLEDINTSTDELC26</t>
  </si>
  <si>
    <t>Lighting LED Integrated High Electricity 2026</t>
  </si>
  <si>
    <t>COMHOTOldLTLEDINTHIGELC26</t>
  </si>
  <si>
    <t>Lighting LED Integrated Standard Electricity 2027</t>
  </si>
  <si>
    <t>COMHOTOldLTLEDINTSTDELC27</t>
  </si>
  <si>
    <t>Lighting LED Integrated High Electricity 2027</t>
  </si>
  <si>
    <t>COMHOTOldLTLEDINTHIGELC27</t>
  </si>
  <si>
    <t>Lighting LED Integrated Standard Electricity 2028</t>
  </si>
  <si>
    <t>COMHOTOldLTLEDINTSTDELC28</t>
  </si>
  <si>
    <t>Lighting LED Integrated High Electricity 2028</t>
  </si>
  <si>
    <t>COMHOTOldLTLEDINTHIGELC28</t>
  </si>
  <si>
    <t>Lighting LED Integrated Standard Electricity 2029</t>
  </si>
  <si>
    <t>COMHOTOldLTLEDINTSTDELC29</t>
  </si>
  <si>
    <t>Lighting LED Integrated High Electricity 2029</t>
  </si>
  <si>
    <t>COMHOTOldLTLEDINTHIGELC29</t>
  </si>
  <si>
    <t>Lighting Fluorescent T8 Standard Electricity 2030</t>
  </si>
  <si>
    <t>COMHOTOldLTFLUT8STDELC30</t>
  </si>
  <si>
    <t>Lighting Fluorescent T8 High Electricity 2030</t>
  </si>
  <si>
    <t>COMHOTOldLTFLUT8HIGELC30</t>
  </si>
  <si>
    <t>Lighting Fluorescent T5 Standard Electricity 2030</t>
  </si>
  <si>
    <t>COMHOTOldLTFLUT5STDELC30</t>
  </si>
  <si>
    <t>Lighting Fluorescent T5 High Electricity 2030</t>
  </si>
  <si>
    <t>COMHOTOldLTFLUT5HIGELC30</t>
  </si>
  <si>
    <t>Lighting LED Integrated Standard Electricity 2030</t>
  </si>
  <si>
    <t>COMHOTOldLTLEDINTSTDELC30</t>
  </si>
  <si>
    <t>Lighting LED Integrated High Electricity 2030</t>
  </si>
  <si>
    <t>COMHOTOldLTLEDINTHIGELC30</t>
  </si>
  <si>
    <t>Lighting Fluorescent T8 Standard Electricity 2040</t>
  </si>
  <si>
    <t>COMHOTOldLTFLUT8STDELC40</t>
  </si>
  <si>
    <t>Lighting Fluorescent T8 High Electricity 2040</t>
  </si>
  <si>
    <t>COMHOTOldLTFLUT8HIGELC40</t>
  </si>
  <si>
    <t>Lighting Fluorescent T5 Standard Electricity 2040</t>
  </si>
  <si>
    <t>COMHOTOldLTFLUT5STDELC40</t>
  </si>
  <si>
    <t>Lighting Fluorescent T5 High Electricity 2040</t>
  </si>
  <si>
    <t>COMHOTOldLTFLUT5HIGELC40</t>
  </si>
  <si>
    <t>Lighting LED Integrated Standard Electricity 2040</t>
  </si>
  <si>
    <t>COMHOTOldLTLEDINTSTDELC40</t>
  </si>
  <si>
    <t>Lighting LED Integrated High Electricity 2040</t>
  </si>
  <si>
    <t>COMHOTOldLTLEDINTHIGELC40</t>
  </si>
  <si>
    <t>Mercury Vapor</t>
  </si>
  <si>
    <t>Lighting Mercury Vapor Standard Electricity 2022</t>
  </si>
  <si>
    <t>COMHOTOldLTMERVAPSTDELC20</t>
  </si>
  <si>
    <t>Metal Halide</t>
  </si>
  <si>
    <t>Lighting Metal Halide Standard Electricity 2022</t>
  </si>
  <si>
    <t>COMHOTOldLTMETHALSTDELC20</t>
  </si>
  <si>
    <t>Sodium Vapor</t>
  </si>
  <si>
    <t>Lighting Sodium Vapor Standard Electricity 2022</t>
  </si>
  <si>
    <t>COMHOTOldLTSODVAPSTDELC20</t>
  </si>
  <si>
    <t>Lighting Metal Halide Standard Electricity 2030</t>
  </si>
  <si>
    <t>COMHOTOldLTMETHALSTDELC30</t>
  </si>
  <si>
    <t>Lighting Sodium Vapor Standard Electricity 2030</t>
  </si>
  <si>
    <t>COMHOTOldLTSODVAPSTDELC30</t>
  </si>
  <si>
    <t>Lighting Metal Halide Standard Electricity 2040</t>
  </si>
  <si>
    <t>COMHOTOldLTMETHALSTDELC40</t>
  </si>
  <si>
    <t>Lighting Sodium Vapor Standard Electricity 2040</t>
  </si>
  <si>
    <t>COMHOTOldLTSODVAPSTDELC40</t>
  </si>
  <si>
    <t>Refrigeration</t>
  </si>
  <si>
    <t>Commercial Supermarket Display Cases</t>
  </si>
  <si>
    <t>Refrigeration Commercial Supermarket Display Cases Low Electricity 2022</t>
  </si>
  <si>
    <t>COMHOTOldREEUE</t>
  </si>
  <si>
    <t>COMHOTOldRECOMSDCLOWELC20</t>
  </si>
  <si>
    <t>Refrigeration Commercial Supermarket Display Cases Standard Electricity 2022</t>
  </si>
  <si>
    <t>COMHOTOldRECOMSDCSTDELC20</t>
  </si>
  <si>
    <t>Refrigeration Commercial Supermarket Display Cases High Electricity 2022</t>
  </si>
  <si>
    <t>COMHOTOldRECOMSDCHIGELC20</t>
  </si>
  <si>
    <t>Refrigeration Commercial Supermarket Display Cases Standard Electricity 2030</t>
  </si>
  <si>
    <t>COMHOTOldRECOMSDCSTDELC30</t>
  </si>
  <si>
    <t>Refrigeration Commercial Supermarket Display Cases High Electricity 2030</t>
  </si>
  <si>
    <t>COMHOTOldRECOMSDCHIGELC30</t>
  </si>
  <si>
    <t>Refrigeration Commercial Supermarket Display Cases Standard Electricity 2040</t>
  </si>
  <si>
    <t>COMHOTOldRECOMSDCSTDELC40</t>
  </si>
  <si>
    <t>Refrigeration Commercial Supermarket Display Cases High Electricity 2040</t>
  </si>
  <si>
    <t>COMHOTOldRECOMSDCHIGELC40</t>
  </si>
  <si>
    <t>Refrigeration Commercial Supermarket Display Cases Standard Electricity 2050</t>
  </si>
  <si>
    <t>COMHOTOldRECOMSDCSTDELC50</t>
  </si>
  <si>
    <t>Refrigeration Commercial Supermarket Display Cases High Electricity 2050</t>
  </si>
  <si>
    <t>COMHOTOldRECOMSDCHIGELC50</t>
  </si>
  <si>
    <t>Commercial Walk-In</t>
  </si>
  <si>
    <t>Refrigeration Commercial Walk-In Low Electricity 2022</t>
  </si>
  <si>
    <t>COMHOTOldRECOMWINLOWELC20</t>
  </si>
  <si>
    <t>Refrigeration Commercial Walk-In Standard Electricity 2022</t>
  </si>
  <si>
    <t>COMHOTOldRECOMWINSTDELC20</t>
  </si>
  <si>
    <t>Refrigeration Commercial Walk-In High Electricity 2022</t>
  </si>
  <si>
    <t>COMHOTOldRECOMWINHIGELC20</t>
  </si>
  <si>
    <t>Refrigeration Commercial Walk-In Standard Electricity 2030</t>
  </si>
  <si>
    <t>COMHOTOldRECOMWINSTDELC30</t>
  </si>
  <si>
    <t>Refrigeration Commercial Walk-In High Electricity 2030</t>
  </si>
  <si>
    <t>COMHOTOldRECOMWINHIGELC30</t>
  </si>
  <si>
    <t>Refrigeration Commercial Walk-In Standard Electricity 2040</t>
  </si>
  <si>
    <t>COMHOTOldRECOMWINSTDELC40</t>
  </si>
  <si>
    <t>Refrigeration Commercial Walk-In High Electricity 2040</t>
  </si>
  <si>
    <t>COMHOTOldRECOMWINHIGELC40</t>
  </si>
  <si>
    <t>Refrigeration Commercial Walk-In Standard Electricity 2050</t>
  </si>
  <si>
    <t>COMHOTOldRECOMWINSTDELC50</t>
  </si>
  <si>
    <t>Refrigeration Commercial Walk-In High Electricity 2050</t>
  </si>
  <si>
    <t>COMHOTOldRECOMWINHIGELC50</t>
  </si>
  <si>
    <t>Commercial Reach-In</t>
  </si>
  <si>
    <t>Refrigeration Commercial Reach-In Low Electricity 2022</t>
  </si>
  <si>
    <t>COMHOTOldRECOMRINLOWELC20</t>
  </si>
  <si>
    <t>Refrigeration Commercial Reach-In Standard Electricity 2022</t>
  </si>
  <si>
    <t>COMHOTOldRECOMRINSTDELC20</t>
  </si>
  <si>
    <t>Refrigeration Commercial Reach-In High Electricity 2022</t>
  </si>
  <si>
    <t>COMHOTOldRECOMRINHIGELC20</t>
  </si>
  <si>
    <t>Refrigeration Commercial Reach-In Energy Star Electricity 2022</t>
  </si>
  <si>
    <t>COMHOTOldRECOMRINESTARELC20</t>
  </si>
  <si>
    <t>Refrigeration Commercial Reach-In Standard Electricity 2030</t>
  </si>
  <si>
    <t>COMHOTOldRECOMRINSTDELC30</t>
  </si>
  <si>
    <t>Refrigeration Commercial Reach-In High Electricity 2030</t>
  </si>
  <si>
    <t>COMHOTOldRECOMRINHIGELC30</t>
  </si>
  <si>
    <t>Refrigeration Commercial Reach-In Standard Electricity 2040</t>
  </si>
  <si>
    <t>COMHOTOldRECOMRINSTDELC40</t>
  </si>
  <si>
    <t>Refrigeration Commercial Reach-In High Electricity 2040</t>
  </si>
  <si>
    <t>COMHOTOldRECOMRINHIGELC40</t>
  </si>
  <si>
    <t>Refrigeration Commercial Reach-In High Electricity 2025</t>
  </si>
  <si>
    <t>COMHOTOldRECOMRINHIGELC25</t>
  </si>
  <si>
    <t>*</t>
  </si>
  <si>
    <t>Retail</t>
  </si>
  <si>
    <t>COMRETOldSHEUE</t>
  </si>
  <si>
    <t>COMRETOldSHRTPAHPSTDELC61</t>
  </si>
  <si>
    <t>COMRETOldSHRTPAHPHIGELC20</t>
  </si>
  <si>
    <t>COMRETOldSHRTPAHPSTDELC23</t>
  </si>
  <si>
    <t>COMRETOldSHCOMGHPSTDELC33</t>
  </si>
  <si>
    <t>COMRETOldSHCOMGHPMIDELC33</t>
  </si>
  <si>
    <t>COMRETOldSHCOMGHPHIGELC33</t>
  </si>
  <si>
    <t>COMRETOldSHCOMGHPSTDELC23</t>
  </si>
  <si>
    <t>COMRETOldSHCOMGHPMIDELC23</t>
  </si>
  <si>
    <t>COMRETOldSHCOMGHPHIGELC23</t>
  </si>
  <si>
    <t>COMRETOldSHICEAHPSTDNGA20</t>
  </si>
  <si>
    <t>COMRETOldSHBOISTDFOI30</t>
  </si>
  <si>
    <t>COMRETOldSHBOISTDFOI40</t>
  </si>
  <si>
    <t>COMRETOldSCEUE</t>
  </si>
  <si>
    <t>COMRETOldSCRTPAHPSTDELC61</t>
  </si>
  <si>
    <t>COMRETOldSCRTPAHPHIGELC20</t>
  </si>
  <si>
    <t>COMRETOldSCRTPAHPSTDELC23</t>
  </si>
  <si>
    <t>COMRETOldSCCOMGHPSTDELC33</t>
  </si>
  <si>
    <t>COMRETOldSCCOMGHPMIDELC33</t>
  </si>
  <si>
    <t>COMRETOldSCCOMGHPHIGELC33</t>
  </si>
  <si>
    <t>COMRETOldSCCOMGHPSTDELC23</t>
  </si>
  <si>
    <t>COMRETOldSCICEAHPSTDNGA20</t>
  </si>
  <si>
    <t>COMRETOldSCSCRLACSTDELC30</t>
  </si>
  <si>
    <t>COMRETOldSCSCRLACHIGELC30</t>
  </si>
  <si>
    <t>COMRETOldSCSCRLACSTDELC40</t>
  </si>
  <si>
    <t>COMRETOldSCSCRLACHIGELC40</t>
  </si>
  <si>
    <t>COMRETOldSCSCRLACHIGELC20</t>
  </si>
  <si>
    <t>COMRETOldSCSCRWACASHELC61</t>
  </si>
  <si>
    <t>COMRETOldSCSCRWACHIGELC20</t>
  </si>
  <si>
    <t>COMRETOldSCSCRWACSTDELC30</t>
  </si>
  <si>
    <t>COMRETOldSCSCRWACHIGELC30</t>
  </si>
  <si>
    <t>COMRETOldSCSCRWACSTDELC40</t>
  </si>
  <si>
    <t>COMRETOldSCSCRWACHIGELC40</t>
  </si>
  <si>
    <t>COMRETOldSCRECACHIGELC20</t>
  </si>
  <si>
    <t>COMRETOldSCCENACSTDELC30</t>
  </si>
  <si>
    <t>COMRETOldSCCENACHIGELC30</t>
  </si>
  <si>
    <t>COMRETOldSCCENACSTDELC40</t>
  </si>
  <si>
    <t>COMRETOldSCCENACHIGELC40</t>
  </si>
  <si>
    <t>COMRETOldSCCENACHIGELC20</t>
  </si>
  <si>
    <t>COMRETOldSCABSACSTDNGA30</t>
  </si>
  <si>
    <t>COMRETOldSCRTPACSTDELC23</t>
  </si>
  <si>
    <t>COMRETOldSCRTPACHIGELC20</t>
  </si>
  <si>
    <t>COMRETOldSCRACSTDELC30</t>
  </si>
  <si>
    <t>COMRETOldSCRACHIGELC30</t>
  </si>
  <si>
    <t>COMRETOldSCRACSTDELC40</t>
  </si>
  <si>
    <t>COMRETOldSCRACHIGELC40</t>
  </si>
  <si>
    <t>COMRETOldSCRACHIGELC20</t>
  </si>
  <si>
    <t>COMRETOldSCRCEACESTARELC23</t>
  </si>
  <si>
    <t>COMRETOldSCRCEACHIGELC20</t>
  </si>
  <si>
    <t>COMRETOldSCRCEACSTDELC23</t>
  </si>
  <si>
    <t>COMRETOldWHEUE</t>
  </si>
  <si>
    <t>COMRETOldWHSOL30PELC23</t>
  </si>
  <si>
    <t>COMRETOldWHSOL30PELC24</t>
  </si>
  <si>
    <t>COMRETOldWHSOL30PELC25</t>
  </si>
  <si>
    <t>COMRETOldWHSOL30PELC26</t>
  </si>
  <si>
    <t>COMRETOldWHSOL30PELC27</t>
  </si>
  <si>
    <t>COMRETOldWHHPSTDELC20</t>
  </si>
  <si>
    <t>COMRETOldVTEUE</t>
  </si>
  <si>
    <t>COMRETOldVTCAVLOWELC20</t>
  </si>
  <si>
    <t>COMRETOldVTCAVSTDELC20</t>
  </si>
  <si>
    <t>COMRETOldVTCAVHIGELC20</t>
  </si>
  <si>
    <t>COMRETOldVTCAVSTDELC30</t>
  </si>
  <si>
    <t>COMRETOldVTCAVHIGELC30</t>
  </si>
  <si>
    <t>COMRETOldVTCAVSTDELC40</t>
  </si>
  <si>
    <t>COMRETOldVTCAVHIGELC40</t>
  </si>
  <si>
    <t>COMRETOldVTCAVSTDELC50</t>
  </si>
  <si>
    <t>COMRETOldVTCAVHIGELC50</t>
  </si>
  <si>
    <t>COMRETOldVTVAVLOWELC20</t>
  </si>
  <si>
    <t>COMRETOldVTVAVHIGELC20</t>
  </si>
  <si>
    <t>COMRETOldVTVAVSTDELC30</t>
  </si>
  <si>
    <t>COMRETOldVTVAVHIGELC30</t>
  </si>
  <si>
    <t>COMRETOldVTVAVSTDELC40</t>
  </si>
  <si>
    <t>COMRETOldVTVAVHIGELC40</t>
  </si>
  <si>
    <t>COMRETOldVTVAVSTDELC50</t>
  </si>
  <si>
    <t>COMRETOldVTVAVHIGELC50</t>
  </si>
  <si>
    <t>COMRETOldLTEUE</t>
  </si>
  <si>
    <t>COMRETOldLTHALSTDELC20</t>
  </si>
  <si>
    <t>COMRETOldLTCFLSTDELC20</t>
  </si>
  <si>
    <t>COMRETOldLTCFLHIGELC20</t>
  </si>
  <si>
    <t>COMRETOldLTLEDPARSTDELC20</t>
  </si>
  <si>
    <t>COMRETOldLTLEDPARHIGELC20</t>
  </si>
  <si>
    <t>COMRETOldLTLEDALASTDELC20</t>
  </si>
  <si>
    <t>COMRETOldLTLEDALAHIGELC20</t>
  </si>
  <si>
    <t>COMRETOldLTLEDPARSTDELC23</t>
  </si>
  <si>
    <t>COMRETOldLTLEDPARHIGELC23</t>
  </si>
  <si>
    <t>COMRETOldLTLEDALASTDELC23</t>
  </si>
  <si>
    <t>COMRETOldLTLEDALAHIGELC23</t>
  </si>
  <si>
    <t>COMRETOldLTLEDPARSTDELC24</t>
  </si>
  <si>
    <t>COMRETOldLTLEDPARHIGELC24</t>
  </si>
  <si>
    <t>COMRETOldLTLEDALASTDELC24</t>
  </si>
  <si>
    <t>COMRETOldLTLEDALAHIGELC24</t>
  </si>
  <si>
    <t>COMRETOldLTLEDPARSTDELC25</t>
  </si>
  <si>
    <t>COMRETOldLTLEDPARHIGELC25</t>
  </si>
  <si>
    <t>COMRETOldLTLEDALASTDELC25</t>
  </si>
  <si>
    <t>COMRETOldLTLEDALAHIGELC25</t>
  </si>
  <si>
    <t>COMRETOldLTLEDPARSTDELC26</t>
  </si>
  <si>
    <t>COMRETOldLTLEDPARHIGELC26</t>
  </si>
  <si>
    <t>COMRETOldLTLEDALASTDELC26</t>
  </si>
  <si>
    <t>COMRETOldLTLEDALAHIGELC26</t>
  </si>
  <si>
    <t>COMRETOldLTCFLSTDELC30</t>
  </si>
  <si>
    <t>COMRETOldLTCFLHIGELC30</t>
  </si>
  <si>
    <t>COMRETOldLTLEDPARSTDELC30</t>
  </si>
  <si>
    <t>COMRETOldLTLEDPARHIGELC30</t>
  </si>
  <si>
    <t>COMRETOldLTCFLSTDELC40</t>
  </si>
  <si>
    <t>COMRETOldLTCFLHIGELC40</t>
  </si>
  <si>
    <t>COMRETOldLTLEDPARSTDELC40</t>
  </si>
  <si>
    <t>COMRETOldLTLEDPARHIGELC40</t>
  </si>
  <si>
    <t>COMRETOldLTFLUT8STDELC20</t>
  </si>
  <si>
    <t>COMRETOldLTFLUT8HIGELC20</t>
  </si>
  <si>
    <t>COMRETOldLTFLUT5STDELC20</t>
  </si>
  <si>
    <t>COMRETOldLTFLUT5HIGELC20</t>
  </si>
  <si>
    <t>COMRETOldLTLEDINTSTDELC20</t>
  </si>
  <si>
    <t>COMRETOldLTLEDINTHIGELC20</t>
  </si>
  <si>
    <t>COMRETOldLTLEDINTSTDELC23</t>
  </si>
  <si>
    <t>COMRETOldLTLEDINTHIGELC23</t>
  </si>
  <si>
    <t>COMRETOldLTLEDINTSTDELC24</t>
  </si>
  <si>
    <t>COMRETOldLTLEDINTHIGELC24</t>
  </si>
  <si>
    <t>COMRETOldLTLEDINTSTDELC25</t>
  </si>
  <si>
    <t>COMRETOldLTLEDINTHIGELC25</t>
  </si>
  <si>
    <t>COMRETOldLTLEDINTSTDELC26</t>
  </si>
  <si>
    <t>COMRETOldLTLEDINTHIGELC26</t>
  </si>
  <si>
    <t>COMRETOldLTLEDINTSTDELC27</t>
  </si>
  <si>
    <t>COMRETOldLTLEDINTHIGELC27</t>
  </si>
  <si>
    <t>COMRETOldLTLEDINTSTDELC28</t>
  </si>
  <si>
    <t>COMRETOldLTLEDINTHIGELC28</t>
  </si>
  <si>
    <t>COMRETOldLTLEDINTSTDELC29</t>
  </si>
  <si>
    <t>COMRETOldLTLEDINTHIGELC29</t>
  </si>
  <si>
    <t>COMRETOldLTFLUT8STDELC30</t>
  </si>
  <si>
    <t>COMRETOldLTFLUT8HIGELC30</t>
  </si>
  <si>
    <t>COMRETOldLTFLUT5STDELC30</t>
  </si>
  <si>
    <t>COMRETOldLTFLUT5HIGELC30</t>
  </si>
  <si>
    <t>COMRETOldLTLEDINTSTDELC30</t>
  </si>
  <si>
    <t>COMRETOldLTLEDINTHIGELC30</t>
  </si>
  <si>
    <t>COMRETOldLTFLUT8STDELC40</t>
  </si>
  <si>
    <t>COMRETOldLTFLUT8HIGELC40</t>
  </si>
  <si>
    <t>COMRETOldLTFLUT5STDELC40</t>
  </si>
  <si>
    <t>COMRETOldLTFLUT5HIGELC40</t>
  </si>
  <si>
    <t>COMRETOldLTLEDINTSTDELC40</t>
  </si>
  <si>
    <t>COMRETOldLTLEDINTHIGELC40</t>
  </si>
  <si>
    <t>COMRETOldLTMERVAPSTDELC20</t>
  </si>
  <si>
    <t>COMRETOldLTMETHALSTDELC20</t>
  </si>
  <si>
    <t>COMRETOldLTSODVAPSTDELC20</t>
  </si>
  <si>
    <t>COMRETOldLTMETHALSTDELC30</t>
  </si>
  <si>
    <t>COMRETOldLTSODVAPSTDELC30</t>
  </si>
  <si>
    <t>COMRETOldLTMETHALSTDELC40</t>
  </si>
  <si>
    <t>COMRETOldLTSODVAPSTDELC40</t>
  </si>
  <si>
    <t>COMRETOldREEUE</t>
  </si>
  <si>
    <t>COMRETOldRECOMSDCLOWELC20</t>
  </si>
  <si>
    <t>COMRETOldRECOMSDCSTDELC20</t>
  </si>
  <si>
    <t>COMRETOldRECOMSDCHIGELC20</t>
  </si>
  <si>
    <t>COMRETOldRECOMSDCSTDELC30</t>
  </si>
  <si>
    <t>COMRETOldRECOMSDCHIGELC30</t>
  </si>
  <si>
    <t>COMRETOldRECOMSDCSTDELC40</t>
  </si>
  <si>
    <t>COMRETOldRECOMSDCHIGELC40</t>
  </si>
  <si>
    <t>COMRETOldRECOMSDCSTDELC50</t>
  </si>
  <si>
    <t>COMRETOldRECOMSDCHIGELC50</t>
  </si>
  <si>
    <t>COMRETOldRECOMWINLOWELC20</t>
  </si>
  <si>
    <t>COMRETOldRECOMWINSTDELC20</t>
  </si>
  <si>
    <t>COMRETOldRECOMWINHIGELC20</t>
  </si>
  <si>
    <t>COMRETOldRECOMWINSTDELC30</t>
  </si>
  <si>
    <t>COMRETOldRECOMWINHIGELC30</t>
  </si>
  <si>
    <t>COMRETOldRECOMWINSTDELC40</t>
  </si>
  <si>
    <t>COMRETOldRECOMWINHIGELC40</t>
  </si>
  <si>
    <t>COMRETOldRECOMWINSTDELC50</t>
  </si>
  <si>
    <t>COMRETOldRECOMWINHIGELC50</t>
  </si>
  <si>
    <t>COMRETOldRECOMRINLOWELC20</t>
  </si>
  <si>
    <t>COMRETOldRECOMRINSTDELC20</t>
  </si>
  <si>
    <t>COMRETOldRECOMRINHIGELC20</t>
  </si>
  <si>
    <t>COMRETOldRECOMRINESTARELC20</t>
  </si>
  <si>
    <t>COMRETOldRECOMRINSTDELC30</t>
  </si>
  <si>
    <t>COMRETOldRECOMRINHIGELC30</t>
  </si>
  <si>
    <t>COMRETOldRECOMRINSTDELC40</t>
  </si>
  <si>
    <t>COMRETOldRECOMRINHIGELC40</t>
  </si>
  <si>
    <t>COMRETOldRECOMRINHIGELC25</t>
  </si>
  <si>
    <t>Office</t>
  </si>
  <si>
    <t>COMOFFOldSHEUE</t>
  </si>
  <si>
    <t>COMOFFOldSHRTPAHPSTDELC61</t>
  </si>
  <si>
    <t>COMOFFOldSHRTPAHPHIGELC20</t>
  </si>
  <si>
    <t>COMOFFOldSHRTPAHPSTDELC23</t>
  </si>
  <si>
    <t>COMOFFOldSHCOMGHPSTDELC33</t>
  </si>
  <si>
    <t>COMOFFOldSHCOMGHPMIDELC33</t>
  </si>
  <si>
    <t>COMOFFOldSHCOMGHPHIGELC33</t>
  </si>
  <si>
    <t>COMOFFOldSHCOMGHPSTDELC23</t>
  </si>
  <si>
    <t>COMOFFOldSHCOMGHPMIDELC23</t>
  </si>
  <si>
    <t>COMOFFOldSHCOMGHPHIGELC23</t>
  </si>
  <si>
    <t>COMOFFOldSHICEAHPSTDNGA20</t>
  </si>
  <si>
    <t>COMOFFOldSHBOISTDFOI30</t>
  </si>
  <si>
    <t>COMOFFOldSHBOISTDFOI40</t>
  </si>
  <si>
    <t>COMOFFOldSCEUE</t>
  </si>
  <si>
    <t>COMOFFOldSCRTPAHPSTDELC61</t>
  </si>
  <si>
    <t>COMOFFOldSCRTPAHPHIGELC20</t>
  </si>
  <si>
    <t>COMOFFOldSCRTPAHPSTDELC23</t>
  </si>
  <si>
    <t>COMOFFOldSCCOMGHPSTDELC33</t>
  </si>
  <si>
    <t>COMOFFOldSCCOMGHPMIDELC33</t>
  </si>
  <si>
    <t>COMOFFOldSCCOMGHPHIGELC33</t>
  </si>
  <si>
    <t>COMOFFOldSCCOMGHPSTDELC23</t>
  </si>
  <si>
    <t>COMOFFOldSCICEAHPSTDNGA20</t>
  </si>
  <si>
    <t>COMOFFOldSCSCRLACSTDELC30</t>
  </si>
  <si>
    <t>COMOFFOldSCSCRLACHIGELC30</t>
  </si>
  <si>
    <t>COMOFFOldSCSCRLACSTDELC40</t>
  </si>
  <si>
    <t>COMOFFOldSCSCRLACHIGELC40</t>
  </si>
  <si>
    <t>COMOFFOldSCSCRLACHIGELC20</t>
  </si>
  <si>
    <t>COMOFFOldSCSCRWACASHELC61</t>
  </si>
  <si>
    <t>COMOFFOldSCSCRWACHIGELC20</t>
  </si>
  <si>
    <t>COMOFFOldSCSCRWACSTDELC30</t>
  </si>
  <si>
    <t>COMOFFOldSCSCRWACHIGELC30</t>
  </si>
  <si>
    <t>COMOFFOldSCSCRWACSTDELC40</t>
  </si>
  <si>
    <t>COMOFFOldSCSCRWACHIGELC40</t>
  </si>
  <si>
    <t>COMOFFOldSCRECACHIGELC20</t>
  </si>
  <si>
    <t>COMOFFOldSCCENACSTDELC30</t>
  </si>
  <si>
    <t>COMOFFOldSCCENACHIGELC30</t>
  </si>
  <si>
    <t>COMOFFOldSCCENACSTDELC40</t>
  </si>
  <si>
    <t>COMOFFOldSCCENACHIGELC40</t>
  </si>
  <si>
    <t>COMOFFOldSCCENACHIGELC20</t>
  </si>
  <si>
    <t>COMOFFOldSCABSACSTDNGA30</t>
  </si>
  <si>
    <t>COMOFFOldSCRTPACSTDELC23</t>
  </si>
  <si>
    <t>COMOFFOldSCRTPACHIGELC20</t>
  </si>
  <si>
    <t>COMOFFOldSCRACSTDELC30</t>
  </si>
  <si>
    <t>COMOFFOldSCRACHIGELC30</t>
  </si>
  <si>
    <t>COMOFFOldSCRACSTDELC40</t>
  </si>
  <si>
    <t>COMOFFOldSCRACHIGELC40</t>
  </si>
  <si>
    <t>COMOFFOldSCRACHIGELC20</t>
  </si>
  <si>
    <t>COMOFFOldSCRCEACESTARELC23</t>
  </si>
  <si>
    <t>COMOFFOldSCRCEACHIGELC20</t>
  </si>
  <si>
    <t>COMOFFOldSCRCEACSTDELC23</t>
  </si>
  <si>
    <t>COMOFFOldWHEUE</t>
  </si>
  <si>
    <t>COMOFFOldWHSOL30PELC23</t>
  </si>
  <si>
    <t>COMOFFOldWHSOL30PELC24</t>
  </si>
  <si>
    <t>COMOFFOldWHSOL30PELC25</t>
  </si>
  <si>
    <t>COMOFFOldWHSOL30PELC26</t>
  </si>
  <si>
    <t>COMOFFOldWHSOL30PELC27</t>
  </si>
  <si>
    <t>COMOFFOldWHHPSTDELC20</t>
  </si>
  <si>
    <t>COMOFFOldVTEUE</t>
  </si>
  <si>
    <t>COMOFFOldVTCAVLOWELC20</t>
  </si>
  <si>
    <t>COMOFFOldVTCAVSTDELC20</t>
  </si>
  <si>
    <t>COMOFFOldVTCAVHIGELC20</t>
  </si>
  <si>
    <t>COMOFFOldVTCAVSTDELC30</t>
  </si>
  <si>
    <t>COMOFFOldVTCAVHIGELC30</t>
  </si>
  <si>
    <t>COMOFFOldVTCAVSTDELC40</t>
  </si>
  <si>
    <t>COMOFFOldVTCAVHIGELC40</t>
  </si>
  <si>
    <t>COMOFFOldVTCAVSTDELC50</t>
  </si>
  <si>
    <t>COMOFFOldVTCAVHIGELC50</t>
  </si>
  <si>
    <t>COMOFFOldVTVAVLOWELC20</t>
  </si>
  <si>
    <t>COMOFFOldVTVAVHIGELC20</t>
  </si>
  <si>
    <t>COMOFFOldVTVAVSTDELC30</t>
  </si>
  <si>
    <t>COMOFFOldVTVAVHIGELC30</t>
  </si>
  <si>
    <t>COMOFFOldVTVAVSTDELC40</t>
  </si>
  <si>
    <t>COMOFFOldVTVAVHIGELC40</t>
  </si>
  <si>
    <t>COMOFFOldVTVAVSTDELC50</t>
  </si>
  <si>
    <t>COMOFFOldVTVAVHIGELC50</t>
  </si>
  <si>
    <t>COMOFFOldLTEUE</t>
  </si>
  <si>
    <t>COMOFFOldLTHALSTDELC20</t>
  </si>
  <si>
    <t>COMOFFOldLTCFLSTDELC20</t>
  </si>
  <si>
    <t>COMOFFOldLTCFLHIGELC20</t>
  </si>
  <si>
    <t>COMOFFOldLTLEDPARSTDELC20</t>
  </si>
  <si>
    <t>COMOFFOldLTLEDPARHIGELC20</t>
  </si>
  <si>
    <t>COMOFFOldLTLEDALASTDELC20</t>
  </si>
  <si>
    <t>COMOFFOldLTLEDALAHIGELC20</t>
  </si>
  <si>
    <t>COMOFFOldLTLEDPARSTDELC23</t>
  </si>
  <si>
    <t>COMOFFOldLTLEDPARHIGELC23</t>
  </si>
  <si>
    <t>COMOFFOldLTLEDALASTDELC23</t>
  </si>
  <si>
    <t>COMOFFOldLTLEDALAHIGELC23</t>
  </si>
  <si>
    <t>COMOFFOldLTLEDPARSTDELC24</t>
  </si>
  <si>
    <t>COMOFFOldLTLEDPARHIGELC24</t>
  </si>
  <si>
    <t>COMOFFOldLTLEDALASTDELC24</t>
  </si>
  <si>
    <t>COMOFFOldLTLEDALAHIGELC24</t>
  </si>
  <si>
    <t>COMOFFOldLTLEDPARSTDELC25</t>
  </si>
  <si>
    <t>COMOFFOldLTLEDPARHIGELC25</t>
  </si>
  <si>
    <t>COMOFFOldLTLEDALASTDELC25</t>
  </si>
  <si>
    <t>COMOFFOldLTLEDALAHIGELC25</t>
  </si>
  <si>
    <t>COMOFFOldLTLEDPARSTDELC26</t>
  </si>
  <si>
    <t>COMOFFOldLTLEDPARHIGELC26</t>
  </si>
  <si>
    <t>COMOFFOldLTLEDALASTDELC26</t>
  </si>
  <si>
    <t>COMOFFOldLTLEDALAHIGELC26</t>
  </si>
  <si>
    <t>COMOFFOldLTCFLSTDELC30</t>
  </si>
  <si>
    <t>COMOFFOldLTCFLHIGELC30</t>
  </si>
  <si>
    <t>COMOFFOldLTLEDPARSTDELC30</t>
  </si>
  <si>
    <t>COMOFFOldLTLEDPARHIGELC30</t>
  </si>
  <si>
    <t>COMOFFOldLTCFLSTDELC40</t>
  </si>
  <si>
    <t>COMOFFOldLTCFLHIGELC40</t>
  </si>
  <si>
    <t>COMOFFOldLTLEDPARSTDELC40</t>
  </si>
  <si>
    <t>COMOFFOldLTLEDPARHIGELC40</t>
  </si>
  <si>
    <t>COMOFFOldLTFLUT8STDELC20</t>
  </si>
  <si>
    <t>COMOFFOldLTFLUT8HIGELC20</t>
  </si>
  <si>
    <t>COMOFFOldLTFLUT5STDELC20</t>
  </si>
  <si>
    <t>COMOFFOldLTFLUT5HIGELC20</t>
  </si>
  <si>
    <t>COMOFFOldLTLEDINTSTDELC20</t>
  </si>
  <si>
    <t>COMOFFOldLTLEDINTHIGELC20</t>
  </si>
  <si>
    <t>COMOFFOldLTLEDINTSTDELC23</t>
  </si>
  <si>
    <t>COMOFFOldLTLEDINTHIGELC23</t>
  </si>
  <si>
    <t>COMOFFOldLTLEDINTSTDELC24</t>
  </si>
  <si>
    <t>COMOFFOldLTLEDINTHIGELC24</t>
  </si>
  <si>
    <t>COMOFFOldLTLEDINTSTDELC25</t>
  </si>
  <si>
    <t>COMOFFOldLTLEDINTHIGELC25</t>
  </si>
  <si>
    <t>COMOFFOldLTLEDINTSTDELC26</t>
  </si>
  <si>
    <t>COMOFFOldLTLEDINTHIGELC26</t>
  </si>
  <si>
    <t>COMOFFOldLTLEDINTSTDELC27</t>
  </si>
  <si>
    <t>COMOFFOldLTLEDINTHIGELC27</t>
  </si>
  <si>
    <t>COMOFFOldLTLEDINTSTDELC28</t>
  </si>
  <si>
    <t>COMOFFOldLTLEDINTHIGELC28</t>
  </si>
  <si>
    <t>COMOFFOldLTLEDINTSTDELC29</t>
  </si>
  <si>
    <t>COMOFFOldLTLEDINTHIGELC29</t>
  </si>
  <si>
    <t>COMOFFOldLTFLUT8STDELC30</t>
  </si>
  <si>
    <t>COMOFFOldLTFLUT8HIGELC30</t>
  </si>
  <si>
    <t>COMOFFOldLTFLUT5STDELC30</t>
  </si>
  <si>
    <t>COMOFFOldLTFLUT5HIGELC30</t>
  </si>
  <si>
    <t>COMOFFOldLTLEDINTSTDELC30</t>
  </si>
  <si>
    <t>COMOFFOldLTLEDINTHIGELC30</t>
  </si>
  <si>
    <t>COMOFFOldLTFLUT8STDELC40</t>
  </si>
  <si>
    <t>COMOFFOldLTFLUT8HIGELC40</t>
  </si>
  <si>
    <t>COMOFFOldLTFLUT5STDELC40</t>
  </si>
  <si>
    <t>COMOFFOldLTFLUT5HIGELC40</t>
  </si>
  <si>
    <t>COMOFFOldLTLEDINTSTDELC40</t>
  </si>
  <si>
    <t>COMOFFOldLTLEDINTHIGELC40</t>
  </si>
  <si>
    <t>COMOFFOldLTMERVAPSTDELC20</t>
  </si>
  <si>
    <t>COMOFFOldLTMETHALSTDELC20</t>
  </si>
  <si>
    <t>COMOFFOldLTSODVAPSTDELC20</t>
  </si>
  <si>
    <t>COMOFFOldLTMETHALSTDELC30</t>
  </si>
  <si>
    <t>COMOFFOldLTSODVAPSTDELC30</t>
  </si>
  <si>
    <t>COMOFFOldLTMETHALSTDELC40</t>
  </si>
  <si>
    <t>COMOFFOldLTSODVAPSTDELC40</t>
  </si>
  <si>
    <t>COMOFFOldREEUE</t>
  </si>
  <si>
    <t>COMOFFOldRECOMSDCLOWELC20</t>
  </si>
  <si>
    <t>COMOFFOldRECOMSDCSTDELC20</t>
  </si>
  <si>
    <t>COMOFFOldRECOMSDCHIGELC20</t>
  </si>
  <si>
    <t>COMOFFOldRECOMSDCSTDELC30</t>
  </si>
  <si>
    <t>COMOFFOldRECOMSDCHIGELC30</t>
  </si>
  <si>
    <t>COMOFFOldRECOMSDCSTDELC40</t>
  </si>
  <si>
    <t>COMOFFOldRECOMSDCHIGELC40</t>
  </si>
  <si>
    <t>COMOFFOldRECOMSDCSTDELC50</t>
  </si>
  <si>
    <t>COMOFFOldRECOMSDCHIGELC50</t>
  </si>
  <si>
    <t>COMOFFOldRECOMWINLOWELC20</t>
  </si>
  <si>
    <t>COMOFFOldRECOMWINSTDELC20</t>
  </si>
  <si>
    <t>COMOFFOldRECOMWINHIGELC20</t>
  </si>
  <si>
    <t>COMOFFOldRECOMWINSTDELC30</t>
  </si>
  <si>
    <t>COMOFFOldRECOMWINHIGELC30</t>
  </si>
  <si>
    <t>COMOFFOldRECOMWINSTDELC40</t>
  </si>
  <si>
    <t>COMOFFOldRECOMWINHIGELC40</t>
  </si>
  <si>
    <t>COMOFFOldRECOMWINSTDELC50</t>
  </si>
  <si>
    <t>COMOFFOldRECOMWINHIGELC50</t>
  </si>
  <si>
    <t>COMOFFOldRECOMRINLOWELC20</t>
  </si>
  <si>
    <t>COMOFFOldRECOMRINSTDELC20</t>
  </si>
  <si>
    <t>COMOFFOldRECOMRINHIGELC20</t>
  </si>
  <si>
    <t>COMOFFOldRECOMRINESTARELC20</t>
  </si>
  <si>
    <t>COMOFFOldRECOMRINSTDELC30</t>
  </si>
  <si>
    <t>COMOFFOldRECOMRINHIGELC30</t>
  </si>
  <si>
    <t>COMOFFOldRECOMRINSTDELC40</t>
  </si>
  <si>
    <t>COMOFFOldRECOMRINHIGELC40</t>
  </si>
  <si>
    <t>COMOFFOldRECOMRINHIGELC25</t>
  </si>
  <si>
    <t>Hospital</t>
  </si>
  <si>
    <t>COMHOPOldSHEUE</t>
  </si>
  <si>
    <t>COMHOPOldSHRTPAHPSTDELC61</t>
  </si>
  <si>
    <t>COMHOPOldSHRTPAHPHIGELC20</t>
  </si>
  <si>
    <t>COMHOPOldSHRTPAHPSTDELC23</t>
  </si>
  <si>
    <t>COMHOPOldSHCOMGHPSTDELC33</t>
  </si>
  <si>
    <t>COMHOPOldSHCOMGHPMIDELC33</t>
  </si>
  <si>
    <t>COMHOPOldSHCOMGHPHIGELC33</t>
  </si>
  <si>
    <t>COMHOPOldSHCOMGHPSTDELC23</t>
  </si>
  <si>
    <t>COMHOPOldSHCOMGHPMIDELC23</t>
  </si>
  <si>
    <t>COMHOPOldSHCOMGHPHIGELC23</t>
  </si>
  <si>
    <t>COMHOPOldSHICEAHPSTDNGA20</t>
  </si>
  <si>
    <t>COMHOPOldSHBOISTDFOI30</t>
  </si>
  <si>
    <t>COMHOPOldSHBOISTDFOI40</t>
  </si>
  <si>
    <t>COMHOPOldSCEUE</t>
  </si>
  <si>
    <t>COMHOPOldSCRTPAHPSTDELC61</t>
  </si>
  <si>
    <t>COMHOPOldSCRTPAHPHIGELC20</t>
  </si>
  <si>
    <t>COMHOPOldSCRTPAHPSTDELC23</t>
  </si>
  <si>
    <t>COMHOPOldSCCOMGHPSTDELC33</t>
  </si>
  <si>
    <t>COMHOPOldSCCOMGHPMIDELC33</t>
  </si>
  <si>
    <t>COMHOPOldSCCOMGHPHIGELC33</t>
  </si>
  <si>
    <t>COMHOPOldSCCOMGHPSTDELC23</t>
  </si>
  <si>
    <t>COMHOPOldSCICEAHPSTDNGA20</t>
  </si>
  <si>
    <t>COMHOPOldSCSCRLACSTDELC30</t>
  </si>
  <si>
    <t>COMHOPOldSCSCRLACHIGELC30</t>
  </si>
  <si>
    <t>COMHOPOldSCSCRLACSTDELC40</t>
  </si>
  <si>
    <t>COMHOPOldSCSCRLACHIGELC40</t>
  </si>
  <si>
    <t>COMHOPOldSCSCRLACHIGELC20</t>
  </si>
  <si>
    <t>COMHOPOldSCSCRWACASHELC61</t>
  </si>
  <si>
    <t>COMHOPOldSCSCRWACHIGELC20</t>
  </si>
  <si>
    <t>COMHOPOldSCSCRWACSTDELC30</t>
  </si>
  <si>
    <t>COMHOPOldSCSCRWACHIGELC30</t>
  </si>
  <si>
    <t>COMHOPOldSCSCRWACSTDELC40</t>
  </si>
  <si>
    <t>COMHOPOldSCSCRWACHIGELC40</t>
  </si>
  <si>
    <t>COMHOPOldSCRECACHIGELC20</t>
  </si>
  <si>
    <t>COMHOPOldSCCENACSTDELC30</t>
  </si>
  <si>
    <t>COMHOPOldSCCENACHIGELC30</t>
  </si>
  <si>
    <t>COMHOPOldSCCENACSTDELC40</t>
  </si>
  <si>
    <t>COMHOPOldSCCENACHIGELC40</t>
  </si>
  <si>
    <t>COMHOPOldSCCENACHIGELC20</t>
  </si>
  <si>
    <t>COMHOPOldSCABSACSTDNGA30</t>
  </si>
  <si>
    <t>COMHOPOldSCRTPACSTDELC23</t>
  </si>
  <si>
    <t>COMHOPOldSCRTPACHIGELC20</t>
  </si>
  <si>
    <t>COMHOPOldSCRACSTDELC30</t>
  </si>
  <si>
    <t>COMHOPOldSCRACHIGELC30</t>
  </si>
  <si>
    <t>COMHOPOldSCRACSTDELC40</t>
  </si>
  <si>
    <t>COMHOPOldSCRACHIGELC40</t>
  </si>
  <si>
    <t>COMHOPOldSCRACHIGELC20</t>
  </si>
  <si>
    <t>COMHOPOldSCRCEACESTARELC23</t>
  </si>
  <si>
    <t>COMHOPOldSCRCEACHIGELC20</t>
  </si>
  <si>
    <t>COMHOPOldSCRCEACSTDELC23</t>
  </si>
  <si>
    <t>COMHOPOldWHEUE</t>
  </si>
  <si>
    <t>COMHOPOldWHSOL30PELC23</t>
  </si>
  <si>
    <t>COMHOPOldWHSOL30PELC24</t>
  </si>
  <si>
    <t>COMHOPOldWHSOL30PELC25</t>
  </si>
  <si>
    <t>COMHOPOldWHSOL30PELC26</t>
  </si>
  <si>
    <t>COMHOPOldWHSOL30PELC27</t>
  </si>
  <si>
    <t>COMHOPOldWHHPSTDELC20</t>
  </si>
  <si>
    <t>COMHOPOldVTEUE</t>
  </si>
  <si>
    <t>COMHOPOldVTCAVLOWELC20</t>
  </si>
  <si>
    <t>COMHOPOldVTCAVSTDELC20</t>
  </si>
  <si>
    <t>COMHOPOldVTCAVHIGELC20</t>
  </si>
  <si>
    <t>COMHOPOldVTCAVSTDELC30</t>
  </si>
  <si>
    <t>COMHOPOldVTCAVHIGELC30</t>
  </si>
  <si>
    <t>COMHOPOldVTCAVSTDELC40</t>
  </si>
  <si>
    <t>COMHOPOldVTCAVHIGELC40</t>
  </si>
  <si>
    <t>COMHOPOldVTCAVSTDELC50</t>
  </si>
  <si>
    <t>COMHOPOldVTCAVHIGELC50</t>
  </si>
  <si>
    <t>COMHOPOldVTVAVLOWELC20</t>
  </si>
  <si>
    <t>COMHOPOldVTVAVHIGELC20</t>
  </si>
  <si>
    <t>COMHOPOldVTVAVSTDELC30</t>
  </si>
  <si>
    <t>COMHOPOldVTVAVHIGELC30</t>
  </si>
  <si>
    <t>COMHOPOldVTVAVSTDELC40</t>
  </si>
  <si>
    <t>COMHOPOldVTVAVHIGELC40</t>
  </si>
  <si>
    <t>COMHOPOldVTVAVSTDELC50</t>
  </si>
  <si>
    <t>COMHOPOldVTVAVHIGELC50</t>
  </si>
  <si>
    <t>COMHOPOldLTEUE</t>
  </si>
  <si>
    <t>COMHOPOldLTHALSTDELC20</t>
  </si>
  <si>
    <t>COMHOPOldLTCFLSTDELC20</t>
  </si>
  <si>
    <t>COMHOPOldLTCFLHIGELC20</t>
  </si>
  <si>
    <t>COMHOPOldLTLEDPARSTDELC20</t>
  </si>
  <si>
    <t>COMHOPOldLTLEDPARHIGELC20</t>
  </si>
  <si>
    <t>COMHOPOldLTLEDALASTDELC20</t>
  </si>
  <si>
    <t>COMHOPOldLTLEDALAHIGELC20</t>
  </si>
  <si>
    <t>COMHOPOldLTLEDPARSTDELC23</t>
  </si>
  <si>
    <t>COMHOPOldLTLEDPARHIGELC23</t>
  </si>
  <si>
    <t>COMHOPOldLTLEDALASTDELC23</t>
  </si>
  <si>
    <t>COMHOPOldLTLEDALAHIGELC23</t>
  </si>
  <si>
    <t>COMHOPOldLTLEDPARSTDELC24</t>
  </si>
  <si>
    <t>COMHOPOldLTLEDPARHIGELC24</t>
  </si>
  <si>
    <t>COMHOPOldLTLEDALASTDELC24</t>
  </si>
  <si>
    <t>COMHOPOldLTLEDALAHIGELC24</t>
  </si>
  <si>
    <t>COMHOPOldLTLEDPARSTDELC25</t>
  </si>
  <si>
    <t>COMHOPOldLTLEDPARHIGELC25</t>
  </si>
  <si>
    <t>COMHOPOldLTLEDALASTDELC25</t>
  </si>
  <si>
    <t>COMHOPOldLTLEDALAHIGELC25</t>
  </si>
  <si>
    <t>COMHOPOldLTLEDPARSTDELC26</t>
  </si>
  <si>
    <t>COMHOPOldLTLEDPARHIGELC26</t>
  </si>
  <si>
    <t>COMHOPOldLTLEDALASTDELC26</t>
  </si>
  <si>
    <t>COMHOPOldLTLEDALAHIGELC26</t>
  </si>
  <si>
    <t>COMHOPOldLTCFLSTDELC30</t>
  </si>
  <si>
    <t>COMHOPOldLTCFLHIGELC30</t>
  </si>
  <si>
    <t>COMHOPOldLTLEDPARSTDELC30</t>
  </si>
  <si>
    <t>COMHOPOldLTLEDPARHIGELC30</t>
  </si>
  <si>
    <t>COMHOPOldLTCFLSTDELC40</t>
  </si>
  <si>
    <t>COMHOPOldLTCFLHIGELC40</t>
  </si>
  <si>
    <t>COMHOPOldLTLEDPARSTDELC40</t>
  </si>
  <si>
    <t>COMHOPOldLTLEDPARHIGELC40</t>
  </si>
  <si>
    <t>COMHOPOldLTFLUT8STDELC20</t>
  </si>
  <si>
    <t>COMHOPOldLTFLUT8HIGELC20</t>
  </si>
  <si>
    <t>COMHOPOldLTFLUT5STDELC20</t>
  </si>
  <si>
    <t>COMHOPOldLTFLUT5HIGELC20</t>
  </si>
  <si>
    <t>COMHOPOldLTLEDINTSTDELC20</t>
  </si>
  <si>
    <t>COMHOPOldLTLEDINTHIGELC20</t>
  </si>
  <si>
    <t>COMHOPOldLTLEDINTSTDELC23</t>
  </si>
  <si>
    <t>COMHOPOldLTLEDINTHIGELC23</t>
  </si>
  <si>
    <t>COMHOPOldLTLEDINTSTDELC24</t>
  </si>
  <si>
    <t>COMHOPOldLTLEDINTHIGELC24</t>
  </si>
  <si>
    <t>COMHOPOldLTLEDINTSTDELC25</t>
  </si>
  <si>
    <t>COMHOPOldLTLEDINTHIGELC25</t>
  </si>
  <si>
    <t>COMHOPOldLTLEDINTSTDELC26</t>
  </si>
  <si>
    <t>COMHOPOldLTLEDINTHIGELC26</t>
  </si>
  <si>
    <t>COMHOPOldLTLEDINTSTDELC27</t>
  </si>
  <si>
    <t>COMHOPOldLTLEDINTHIGELC27</t>
  </si>
  <si>
    <t>COMHOPOldLTLEDINTSTDELC28</t>
  </si>
  <si>
    <t>COMHOPOldLTLEDINTHIGELC28</t>
  </si>
  <si>
    <t>COMHOPOldLTLEDINTSTDELC29</t>
  </si>
  <si>
    <t>COMHOPOldLTLEDINTHIGELC29</t>
  </si>
  <si>
    <t>COMHOPOldLTFLUT8STDELC30</t>
  </si>
  <si>
    <t>COMHOPOldLTFLUT8HIGELC30</t>
  </si>
  <si>
    <t>COMHOPOldLTFLUT5STDELC30</t>
  </si>
  <si>
    <t>COMHOPOldLTFLUT5HIGELC30</t>
  </si>
  <si>
    <t>COMHOPOldLTLEDINTSTDELC30</t>
  </si>
  <si>
    <t>COMHOPOldLTLEDINTHIGELC30</t>
  </si>
  <si>
    <t>COMHOPOldLTFLUT8STDELC40</t>
  </si>
  <si>
    <t>COMHOPOldLTFLUT8HIGELC40</t>
  </si>
  <si>
    <t>COMHOPOldLTFLUT5STDELC40</t>
  </si>
  <si>
    <t>COMHOPOldLTFLUT5HIGELC40</t>
  </si>
  <si>
    <t>COMHOPOldLTLEDINTSTDELC40</t>
  </si>
  <si>
    <t>COMHOPOldLTLEDINTHIGELC40</t>
  </si>
  <si>
    <t>COMHOPOldLTMERVAPSTDELC20</t>
  </si>
  <si>
    <t>COMHOPOldLTMETHALSTDELC20</t>
  </si>
  <si>
    <t>COMHOPOldLTSODVAPSTDELC20</t>
  </si>
  <si>
    <t>COMHOPOldLTMETHALSTDELC30</t>
  </si>
  <si>
    <t>COMHOPOldLTSODVAPSTDELC30</t>
  </si>
  <si>
    <t>COMHOPOldLTMETHALSTDELC40</t>
  </si>
  <si>
    <t>COMHOPOldLTSODVAPSTDELC40</t>
  </si>
  <si>
    <t>COMHOPOldREEUE</t>
  </si>
  <si>
    <t>COMHOPOldRECOMSDCLOWELC20</t>
  </si>
  <si>
    <t>COMHOPOldRECOMSDCSTDELC20</t>
  </si>
  <si>
    <t>COMHOPOldRECOMSDCHIGELC20</t>
  </si>
  <si>
    <t>COMHOPOldRECOMSDCSTDELC30</t>
  </si>
  <si>
    <t>COMHOPOldRECOMSDCHIGELC30</t>
  </si>
  <si>
    <t>COMHOPOldRECOMSDCSTDELC40</t>
  </si>
  <si>
    <t>COMHOPOldRECOMSDCHIGELC40</t>
  </si>
  <si>
    <t>COMHOPOldRECOMSDCSTDELC50</t>
  </si>
  <si>
    <t>COMHOPOldRECOMSDCHIGELC50</t>
  </si>
  <si>
    <t>COMHOPOldRECOMWINLOWELC20</t>
  </si>
  <si>
    <t>COMHOPOldRECOMWINSTDELC20</t>
  </si>
  <si>
    <t>COMHOPOldRECOMWINHIGELC20</t>
  </si>
  <si>
    <t>COMHOPOldRECOMWINSTDELC30</t>
  </si>
  <si>
    <t>COMHOPOldRECOMWINHIGELC30</t>
  </si>
  <si>
    <t>COMHOPOldRECOMWINSTDELC40</t>
  </si>
  <si>
    <t>COMHOPOldRECOMWINHIGELC40</t>
  </si>
  <si>
    <t>COMHOPOldRECOMWINSTDELC50</t>
  </si>
  <si>
    <t>COMHOPOldRECOMWINHIGELC50</t>
  </si>
  <si>
    <t>COMHOPOldRECOMRINLOWELC20</t>
  </si>
  <si>
    <t>COMHOPOldRECOMRINSTDELC20</t>
  </si>
  <si>
    <t>COMHOPOldRECOMRINHIGELC20</t>
  </si>
  <si>
    <t>COMHOPOldRECOMRINESTARELC20</t>
  </si>
  <si>
    <t>COMHOPOldRECOMRINSTDELC30</t>
  </si>
  <si>
    <t>COMHOPOldRECOMRINHIGELC30</t>
  </si>
  <si>
    <t>COMHOPOldRECOMRINSTDELC40</t>
  </si>
  <si>
    <t>COMHOPOldRECOMRINHIGELC40</t>
  </si>
  <si>
    <t>COMHOPOldRECOMRINHIGELC25</t>
  </si>
  <si>
    <t>Educationnal</t>
  </si>
  <si>
    <t>COMEDUOldSHEUE</t>
  </si>
  <si>
    <t>COMEDUOldSHRTPAHPSTDELC61</t>
  </si>
  <si>
    <t>COMEDUOldSHRTPAHPHIGELC20</t>
  </si>
  <si>
    <t>COMEDUOldSHRTPAHPSTDELC23</t>
  </si>
  <si>
    <t>COMEDUOldSHCOMGHPSTDELC33</t>
  </si>
  <si>
    <t>COMEDUOldSHCOMGHPMIDELC33</t>
  </si>
  <si>
    <t>COMEDUOldSHCOMGHPHIGELC33</t>
  </si>
  <si>
    <t>COMEDUOldSHCOMGHPSTDELC23</t>
  </si>
  <si>
    <t>COMEDUOldSHCOMGHPMIDELC23</t>
  </si>
  <si>
    <t>COMEDUOldSHCOMGHPHIGELC23</t>
  </si>
  <si>
    <t>COMEDUOldSHICEAHPSTDNGA20</t>
  </si>
  <si>
    <t>COMEDUOldSHBOISTDFOI30</t>
  </si>
  <si>
    <t>COMEDUOldSHBOISTDFOI40</t>
  </si>
  <si>
    <t>COMEDUOldSCEUE</t>
  </si>
  <si>
    <t>COMEDUOldSCRTPAHPSTDELC61</t>
  </si>
  <si>
    <t>COMEDUOldSCRTPAHPHIGELC20</t>
  </si>
  <si>
    <t>COMEDUOldSCRTPAHPSTDELC23</t>
  </si>
  <si>
    <t>COMEDUOldSCCOMGHPSTDELC33</t>
  </si>
  <si>
    <t>COMEDUOldSCCOMGHPMIDELC33</t>
  </si>
  <si>
    <t>COMEDUOldSCCOMGHPHIGELC33</t>
  </si>
  <si>
    <t>COMEDUOldSCCOMGHPSTDELC23</t>
  </si>
  <si>
    <t>COMEDUOldSCICEAHPSTDNGA20</t>
  </si>
  <si>
    <t>COMEDUOldSCSCRLACSTDELC30</t>
  </si>
  <si>
    <t>COMEDUOldSCSCRLACHIGELC30</t>
  </si>
  <si>
    <t>COMEDUOldSCSCRLACSTDELC40</t>
  </si>
  <si>
    <t>COMEDUOldSCSCRLACHIGELC40</t>
  </si>
  <si>
    <t>COMEDUOldSCSCRLACHIGELC20</t>
  </si>
  <si>
    <t>COMEDUOldSCSCRWACASHELC61</t>
  </si>
  <si>
    <t>COMEDUOldSCSCRWACHIGELC20</t>
  </si>
  <si>
    <t>COMEDUOldSCSCRWACSTDELC30</t>
  </si>
  <si>
    <t>COMEDUOldSCSCRWACHIGELC30</t>
  </si>
  <si>
    <t>COMEDUOldSCSCRWACSTDELC40</t>
  </si>
  <si>
    <t>COMEDUOldSCSCRWACHIGELC40</t>
  </si>
  <si>
    <t>COMEDUOldSCRECACHIGELC20</t>
  </si>
  <si>
    <t>COMEDUOldSCCENACSTDELC30</t>
  </si>
  <si>
    <t>COMEDUOldSCCENACHIGELC30</t>
  </si>
  <si>
    <t>COMEDUOldSCCENACSTDELC40</t>
  </si>
  <si>
    <t>COMEDUOldSCCENACHIGELC40</t>
  </si>
  <si>
    <t>COMEDUOldSCCENACHIGELC20</t>
  </si>
  <si>
    <t>COMEDUOldSCABSACSTDNGA30</t>
  </si>
  <si>
    <t>COMEDUOldSCRTPACSTDELC23</t>
  </si>
  <si>
    <t>COMEDUOldSCRTPACHIGELC20</t>
  </si>
  <si>
    <t>COMEDUOldSCRACSTDELC30</t>
  </si>
  <si>
    <t>COMEDUOldSCRACHIGELC30</t>
  </si>
  <si>
    <t>COMEDUOldSCRACSTDELC40</t>
  </si>
  <si>
    <t>COMEDUOldSCRACHIGELC40</t>
  </si>
  <si>
    <t>COMEDUOldSCRACHIGELC20</t>
  </si>
  <si>
    <t>COMEDUOldSCRCEACESTARELC23</t>
  </si>
  <si>
    <t>COMEDUOldSCRCEACHIGELC20</t>
  </si>
  <si>
    <t>COMEDUOldSCRCEACSTDELC23</t>
  </si>
  <si>
    <t>COMEDUOldWHEUE</t>
  </si>
  <si>
    <t>COMEDUOldWHSOL30PELC23</t>
  </si>
  <si>
    <t>COMEDUOldWHSOL30PELC24</t>
  </si>
  <si>
    <t>COMEDUOldWHSOL30PELC25</t>
  </si>
  <si>
    <t>COMEDUOldWHSOL30PELC26</t>
  </si>
  <si>
    <t>COMEDUOldWHSOL30PELC27</t>
  </si>
  <si>
    <t>COMEDUOldWHHPSTDELC20</t>
  </si>
  <si>
    <t>COMEDUOldVTEUE</t>
  </si>
  <si>
    <t>COMEDUOldVTCAVLOWELC20</t>
  </si>
  <si>
    <t>COMEDUOldVTCAVSTDELC20</t>
  </si>
  <si>
    <t>COMEDUOldVTCAVHIGELC20</t>
  </si>
  <si>
    <t>COMEDUOldVTCAVSTDELC30</t>
  </si>
  <si>
    <t>COMEDUOldVTCAVHIGELC30</t>
  </si>
  <si>
    <t>COMEDUOldVTCAVSTDELC40</t>
  </si>
  <si>
    <t>COMEDUOldVTCAVHIGELC40</t>
  </si>
  <si>
    <t>COMEDUOldVTCAVSTDELC50</t>
  </si>
  <si>
    <t>COMEDUOldVTCAVHIGELC50</t>
  </si>
  <si>
    <t>COMEDUOldVTVAVLOWELC20</t>
  </si>
  <si>
    <t>COMEDUOldVTVAVHIGELC20</t>
  </si>
  <si>
    <t>COMEDUOldVTVAVSTDELC30</t>
  </si>
  <si>
    <t>COMEDUOldVTVAVHIGELC30</t>
  </si>
  <si>
    <t>COMEDUOldVTVAVSTDELC40</t>
  </si>
  <si>
    <t>COMEDUOldVTVAVHIGELC40</t>
  </si>
  <si>
    <t>COMEDUOldVTVAVSTDELC50</t>
  </si>
  <si>
    <t>COMEDUOldVTVAVHIGELC50</t>
  </si>
  <si>
    <t>COMEDUOldLTEUE</t>
  </si>
  <si>
    <t>COMEDUOldLTHALSTDELC20</t>
  </si>
  <si>
    <t>COMEDUOldLTCFLSTDELC20</t>
  </si>
  <si>
    <t>COMEDUOldLTCFLHIGELC20</t>
  </si>
  <si>
    <t>COMEDUOldLTLEDPARSTDELC20</t>
  </si>
  <si>
    <t>COMEDUOldLTLEDPARHIGELC20</t>
  </si>
  <si>
    <t>COMEDUOldLTLEDALASTDELC20</t>
  </si>
  <si>
    <t>COMEDUOldLTLEDALAHIGELC20</t>
  </si>
  <si>
    <t>COMEDUOldLTLEDPARSTDELC23</t>
  </si>
  <si>
    <t>COMEDUOldLTLEDPARHIGELC23</t>
  </si>
  <si>
    <t>COMEDUOldLTLEDALASTDELC23</t>
  </si>
  <si>
    <t>COMEDUOldLTLEDALAHIGELC23</t>
  </si>
  <si>
    <t>COMEDUOldLTLEDPARSTDELC24</t>
  </si>
  <si>
    <t>COMEDUOldLTLEDPARHIGELC24</t>
  </si>
  <si>
    <t>COMEDUOldLTLEDALASTDELC24</t>
  </si>
  <si>
    <t>COMEDUOldLTLEDALAHIGELC24</t>
  </si>
  <si>
    <t>COMEDUOldLTLEDPARSTDELC25</t>
  </si>
  <si>
    <t>COMEDUOldLTLEDPARHIGELC25</t>
  </si>
  <si>
    <t>COMEDUOldLTLEDALASTDELC25</t>
  </si>
  <si>
    <t>COMEDUOldLTLEDALAHIGELC25</t>
  </si>
  <si>
    <t>COMEDUOldLTLEDPARSTDELC26</t>
  </si>
  <si>
    <t>COMEDUOldLTLEDPARHIGELC26</t>
  </si>
  <si>
    <t>COMEDUOldLTLEDALASTDELC26</t>
  </si>
  <si>
    <t>COMEDUOldLTLEDALAHIGELC26</t>
  </si>
  <si>
    <t>COMEDUOldLTCFLSTDELC30</t>
  </si>
  <si>
    <t>COMEDUOldLTCFLHIGELC30</t>
  </si>
  <si>
    <t>COMEDUOldLTLEDPARSTDELC30</t>
  </si>
  <si>
    <t>COMEDUOldLTLEDPARHIGELC30</t>
  </si>
  <si>
    <t>COMEDUOldLTCFLSTDELC40</t>
  </si>
  <si>
    <t>COMEDUOldLTCFLHIGELC40</t>
  </si>
  <si>
    <t>COMEDUOldLTLEDPARSTDELC40</t>
  </si>
  <si>
    <t>COMEDUOldLTLEDPARHIGELC40</t>
  </si>
  <si>
    <t>COMEDUOldLTFLUT8STDELC20</t>
  </si>
  <si>
    <t>COMEDUOldLTFLUT8HIGELC20</t>
  </si>
  <si>
    <t>COMEDUOldLTFLUT5STDELC20</t>
  </si>
  <si>
    <t>COMEDUOldLTFLUT5HIGELC20</t>
  </si>
  <si>
    <t>COMEDUOldLTLEDINTSTDELC20</t>
  </si>
  <si>
    <t>COMEDUOldLTLEDINTHIGELC20</t>
  </si>
  <si>
    <t>COMEDUOldLTLEDINTSTDELC23</t>
  </si>
  <si>
    <t>COMEDUOldLTLEDINTHIGELC23</t>
  </si>
  <si>
    <t>COMEDUOldLTLEDINTSTDELC24</t>
  </si>
  <si>
    <t>COMEDUOldLTLEDINTHIGELC24</t>
  </si>
  <si>
    <t>COMEDUOldLTLEDINTSTDELC25</t>
  </si>
  <si>
    <t>COMEDUOldLTLEDINTHIGELC25</t>
  </si>
  <si>
    <t>COMEDUOldLTLEDINTSTDELC26</t>
  </si>
  <si>
    <t>COMEDUOldLTLEDINTHIGELC26</t>
  </si>
  <si>
    <t>COMEDUOldLTLEDINTSTDELC27</t>
  </si>
  <si>
    <t>COMEDUOldLTLEDINTHIGELC27</t>
  </si>
  <si>
    <t>COMEDUOldLTLEDINTSTDELC28</t>
  </si>
  <si>
    <t>COMEDUOldLTLEDINTHIGELC28</t>
  </si>
  <si>
    <t>COMEDUOldLTLEDINTSTDELC29</t>
  </si>
  <si>
    <t>COMEDUOldLTLEDINTHIGELC29</t>
  </si>
  <si>
    <t>COMEDUOldLTFLUT8STDELC30</t>
  </si>
  <si>
    <t>COMEDUOldLTFLUT8HIGELC30</t>
  </si>
  <si>
    <t>COMEDUOldLTFLUT5STDELC30</t>
  </si>
  <si>
    <t>COMEDUOldLTFLUT5HIGELC30</t>
  </si>
  <si>
    <t>COMEDUOldLTLEDINTSTDELC30</t>
  </si>
  <si>
    <t>COMEDUOldLTLEDINTHIGELC30</t>
  </si>
  <si>
    <t>COMEDUOldLTFLUT8STDELC40</t>
  </si>
  <si>
    <t>COMEDUOldLTFLUT8HIGELC40</t>
  </si>
  <si>
    <t>COMEDUOldLTFLUT5STDELC40</t>
  </si>
  <si>
    <t>COMEDUOldLTFLUT5HIGELC40</t>
  </si>
  <si>
    <t>COMEDUOldLTLEDINTSTDELC40</t>
  </si>
  <si>
    <t>COMEDUOldLTLEDINTHIGELC40</t>
  </si>
  <si>
    <t>COMEDUOldLTMERVAPSTDELC20</t>
  </si>
  <si>
    <t>COMEDUOldLTMETHALSTDELC20</t>
  </si>
  <si>
    <t>COMEDUOldLTSODVAPSTDELC20</t>
  </si>
  <si>
    <t>COMEDUOldLTMETHALSTDELC30</t>
  </si>
  <si>
    <t>COMEDUOldLTSODVAPSTDELC30</t>
  </si>
  <si>
    <t>COMEDUOldLTMETHALSTDELC40</t>
  </si>
  <si>
    <t>COMEDUOldLTSODVAPSTDELC40</t>
  </si>
  <si>
    <t>COMEDUOldREEUE</t>
  </si>
  <si>
    <t>COMEDUOldRECOMSDCLOWELC20</t>
  </si>
  <si>
    <t>COMEDUOldRECOMSDCSTDELC20</t>
  </si>
  <si>
    <t>COMEDUOldRECOMSDCHIGELC20</t>
  </si>
  <si>
    <t>COMEDUOldRECOMSDCSTDELC30</t>
  </si>
  <si>
    <t>COMEDUOldRECOMSDCHIGELC30</t>
  </si>
  <si>
    <t>COMEDUOldRECOMSDCSTDELC40</t>
  </si>
  <si>
    <t>COMEDUOldRECOMSDCHIGELC40</t>
  </si>
  <si>
    <t>COMEDUOldRECOMSDCSTDELC50</t>
  </si>
  <si>
    <t>COMEDUOldRECOMSDCHIGELC50</t>
  </si>
  <si>
    <t>COMEDUOldRECOMWINLOWELC20</t>
  </si>
  <si>
    <t>COMEDUOldRECOMWINSTDELC20</t>
  </si>
  <si>
    <t>COMEDUOldRECOMWINHIGELC20</t>
  </si>
  <si>
    <t>COMEDUOldRECOMWINSTDELC30</t>
  </si>
  <si>
    <t>COMEDUOldRECOMWINHIGELC30</t>
  </si>
  <si>
    <t>COMEDUOldRECOMWINSTDELC40</t>
  </si>
  <si>
    <t>COMEDUOldRECOMWINHIGELC40</t>
  </si>
  <si>
    <t>COMEDUOldRECOMWINSTDELC50</t>
  </si>
  <si>
    <t>COMEDUOldRECOMWINHIGELC50</t>
  </si>
  <si>
    <t>COMEDUOldRECOMRINLOWELC20</t>
  </si>
  <si>
    <t>COMEDUOldRECOMRINSTDELC20</t>
  </si>
  <si>
    <t>COMEDUOldRECOMRINHIGELC20</t>
  </si>
  <si>
    <t>COMEDUOldRECOMRINESTARELC20</t>
  </si>
  <si>
    <t>COMEDUOldRECOMRINSTDELC30</t>
  </si>
  <si>
    <t>COMEDUOldRECOMRINHIGELC30</t>
  </si>
  <si>
    <t>COMEDUOldRECOMRINSTDELC40</t>
  </si>
  <si>
    <t>COMEDUOldRECOMRINHIGELC40</t>
  </si>
  <si>
    <t>COMEDUOldRECOMRINHIGELC25</t>
  </si>
  <si>
    <t>Warehouse</t>
  </si>
  <si>
    <t>COMWAROldSHEUE</t>
  </si>
  <si>
    <t>COMWAROldSHRTPAHPSTDELC61</t>
  </si>
  <si>
    <t>COMWAROldSHRTPAHPHIGELC20</t>
  </si>
  <si>
    <t>COMWAROldSHRTPAHPSTDELC23</t>
  </si>
  <si>
    <t>COMWAROldSHCOMGHPSTDELC33</t>
  </si>
  <si>
    <t>COMWAROldSHCOMGHPMIDELC33</t>
  </si>
  <si>
    <t>COMWAROldSHCOMGHPHIGELC33</t>
  </si>
  <si>
    <t>COMWAROldSHCOMGHPSTDELC23</t>
  </si>
  <si>
    <t>COMWAROldSHCOMGHPMIDELC23</t>
  </si>
  <si>
    <t>COMWAROldSHCOMGHPHIGELC23</t>
  </si>
  <si>
    <t>COMWAROldSHICEAHPSTDNGA20</t>
  </si>
  <si>
    <t>COMWAROldSHBOISTDFOI30</t>
  </si>
  <si>
    <t>COMWAROldSHBOISTDFOI40</t>
  </si>
  <si>
    <t>COMWAROldSCEUE</t>
  </si>
  <si>
    <t>COMWAROldSCRTPAHPSTDELC61</t>
  </si>
  <si>
    <t>COMWAROldSCRTPAHPHIGELC20</t>
  </si>
  <si>
    <t>COMWAROldSCRTPAHPSTDELC23</t>
  </si>
  <si>
    <t>COMWAROldSCCOMGHPSTDELC33</t>
  </si>
  <si>
    <t>COMWAROldSCCOMGHPMIDELC33</t>
  </si>
  <si>
    <t>COMWAROldSCCOMGHPHIGELC33</t>
  </si>
  <si>
    <t>COMWAROldSCCOMGHPSTDELC23</t>
  </si>
  <si>
    <t>COMWAROldSCICEAHPSTDNGA20</t>
  </si>
  <si>
    <t>COMWAROldSCSCRLACSTDELC30</t>
  </si>
  <si>
    <t>COMWAROldSCSCRLACHIGELC30</t>
  </si>
  <si>
    <t>COMWAROldSCSCRLACSTDELC40</t>
  </si>
  <si>
    <t>COMWAROldSCSCRLACHIGELC40</t>
  </si>
  <si>
    <t>COMWAROldSCSCRLACHIGELC20</t>
  </si>
  <si>
    <t>COMWAROldSCSCRWACASHELC61</t>
  </si>
  <si>
    <t>COMWAROldSCSCRWACHIGELC20</t>
  </si>
  <si>
    <t>COMWAROldSCSCRWACSTDELC30</t>
  </si>
  <si>
    <t>COMWAROldSCSCRWACHIGELC30</t>
  </si>
  <si>
    <t>COMWAROldSCSCRWACSTDELC40</t>
  </si>
  <si>
    <t>COMWAROldSCSCRWACHIGELC40</t>
  </si>
  <si>
    <t>COMWAROldSCRECACHIGELC20</t>
  </si>
  <si>
    <t>COMWAROldSCCENACSTDELC30</t>
  </si>
  <si>
    <t>COMWAROldSCCENACHIGELC30</t>
  </si>
  <si>
    <t>COMWAROldSCCENACSTDELC40</t>
  </si>
  <si>
    <t>COMWAROldSCCENACHIGELC40</t>
  </si>
  <si>
    <t>COMWAROldSCCENACHIGELC20</t>
  </si>
  <si>
    <t>COMWAROldSCABSACSTDNGA30</t>
  </si>
  <si>
    <t>COMWAROldSCRTPACSTDELC23</t>
  </si>
  <si>
    <t>COMWAROldSCRTPACHIGELC20</t>
  </si>
  <si>
    <t>COMWAROldSCRACSTDELC30</t>
  </si>
  <si>
    <t>COMWAROldSCRACHIGELC30</t>
  </si>
  <si>
    <t>COMWAROldSCRACSTDELC40</t>
  </si>
  <si>
    <t>COMWAROldSCRACHIGELC40</t>
  </si>
  <si>
    <t>COMWAROldSCRACHIGELC20</t>
  </si>
  <si>
    <t>COMWAROldSCRCEACESTARELC23</t>
  </si>
  <si>
    <t>COMWAROldSCRCEACHIGELC20</t>
  </si>
  <si>
    <t>COMWAROldSCRCEACSTDELC23</t>
  </si>
  <si>
    <t>COMWAROldWHEUE</t>
  </si>
  <si>
    <t>COMWAROldWHSOL30PELC23</t>
  </si>
  <si>
    <t>COMWAROldWHSOL30PELC24</t>
  </si>
  <si>
    <t>COMWAROldWHSOL30PELC25</t>
  </si>
  <si>
    <t>COMWAROldWHSOL30PELC26</t>
  </si>
  <si>
    <t>COMWAROldWHSOL30PELC27</t>
  </si>
  <si>
    <t>COMWAROldWHHPSTDELC20</t>
  </si>
  <si>
    <t>COMWAROldVTEUE</t>
  </si>
  <si>
    <t>COMWAROldVTCAVLOWELC20</t>
  </si>
  <si>
    <t>COMWAROldVTCAVSTDELC20</t>
  </si>
  <si>
    <t>COMWAROldVTCAVHIGELC20</t>
  </si>
  <si>
    <t>COMWAROldVTCAVSTDELC30</t>
  </si>
  <si>
    <t>COMWAROldVTCAVHIGELC30</t>
  </si>
  <si>
    <t>COMWAROldVTCAVSTDELC40</t>
  </si>
  <si>
    <t>COMWAROldVTCAVHIGELC40</t>
  </si>
  <si>
    <t>COMWAROldVTCAVSTDELC50</t>
  </si>
  <si>
    <t>COMWAROldVTCAVHIGELC50</t>
  </si>
  <si>
    <t>COMWAROldVTVAVLOWELC20</t>
  </si>
  <si>
    <t>COMWAROldVTVAVHIGELC20</t>
  </si>
  <si>
    <t>COMWAROldVTVAVSTDELC30</t>
  </si>
  <si>
    <t>COMWAROldVTVAVHIGELC30</t>
  </si>
  <si>
    <t>COMWAROldVTVAVSTDELC40</t>
  </si>
  <si>
    <t>COMWAROldVTVAVHIGELC40</t>
  </si>
  <si>
    <t>COMWAROldVTVAVSTDELC50</t>
  </si>
  <si>
    <t>COMWAROldVTVAVHIGELC50</t>
  </si>
  <si>
    <t>COMWAROldLTEUE</t>
  </si>
  <si>
    <t>COMWAROldLTHALSTDELC20</t>
  </si>
  <si>
    <t>COMWAROldLTCFLSTDELC20</t>
  </si>
  <si>
    <t>COMWAROldLTCFLHIGELC20</t>
  </si>
  <si>
    <t>COMWAROldLTLEDPARSTDELC20</t>
  </si>
  <si>
    <t>COMWAROldLTLEDPARHIGELC20</t>
  </si>
  <si>
    <t>COMWAROldLTLEDALASTDELC20</t>
  </si>
  <si>
    <t>COMWAROldLTLEDALAHIGELC20</t>
  </si>
  <si>
    <t>COMWAROldLTLEDPARSTDELC23</t>
  </si>
  <si>
    <t>COMWAROldLTLEDPARHIGELC23</t>
  </si>
  <si>
    <t>COMWAROldLTLEDALASTDELC23</t>
  </si>
  <si>
    <t>COMWAROldLTLEDALAHIGELC23</t>
  </si>
  <si>
    <t>COMWAROldLTLEDPARSTDELC24</t>
  </si>
  <si>
    <t>COMWAROldLTLEDPARHIGELC24</t>
  </si>
  <si>
    <t>COMWAROldLTLEDALASTDELC24</t>
  </si>
  <si>
    <t>COMWAROldLTLEDALAHIGELC24</t>
  </si>
  <si>
    <t>COMWAROldLTLEDPARSTDELC25</t>
  </si>
  <si>
    <t>COMWAROldLTLEDPARHIGELC25</t>
  </si>
  <si>
    <t>COMWAROldLTLEDALASTDELC25</t>
  </si>
  <si>
    <t>COMWAROldLTLEDALAHIGELC25</t>
  </si>
  <si>
    <t>COMWAROldLTLEDPARSTDELC26</t>
  </si>
  <si>
    <t>COMWAROldLTLEDPARHIGELC26</t>
  </si>
  <si>
    <t>COMWAROldLTLEDALASTDELC26</t>
  </si>
  <si>
    <t>COMWAROldLTLEDALAHIGELC26</t>
  </si>
  <si>
    <t>COMWAROldLTCFLSTDELC30</t>
  </si>
  <si>
    <t>COMWAROldLTCFLHIGELC30</t>
  </si>
  <si>
    <t>COMWAROldLTLEDPARSTDELC30</t>
  </si>
  <si>
    <t>COMWAROldLTLEDPARHIGELC30</t>
  </si>
  <si>
    <t>COMWAROldLTCFLSTDELC40</t>
  </si>
  <si>
    <t>COMWAROldLTCFLHIGELC40</t>
  </si>
  <si>
    <t>COMWAROldLTLEDPARSTDELC40</t>
  </si>
  <si>
    <t>COMWAROldLTLEDPARHIGELC40</t>
  </si>
  <si>
    <t>COMWAROldLTFLUT8STDELC20</t>
  </si>
  <si>
    <t>COMWAROldLTFLUT8HIGELC20</t>
  </si>
  <si>
    <t>COMWAROldLTFLUT5STDELC20</t>
  </si>
  <si>
    <t>COMWAROldLTFLUT5HIGELC20</t>
  </si>
  <si>
    <t>COMWAROldLTLEDINTSTDELC20</t>
  </si>
  <si>
    <t>COMWAROldLTLEDINTHIGELC20</t>
  </si>
  <si>
    <t>COMWAROldLTLEDINTSTDELC23</t>
  </si>
  <si>
    <t>COMWAROldLTLEDINTHIGELC23</t>
  </si>
  <si>
    <t>COMWAROldLTLEDINTSTDELC24</t>
  </si>
  <si>
    <t>COMWAROldLTLEDINTHIGELC24</t>
  </si>
  <si>
    <t>COMWAROldLTLEDINTSTDELC25</t>
  </si>
  <si>
    <t>COMWAROldLTLEDINTHIGELC25</t>
  </si>
  <si>
    <t>COMWAROldLTLEDINTSTDELC26</t>
  </si>
  <si>
    <t>COMWAROldLTLEDINTHIGELC26</t>
  </si>
  <si>
    <t>COMWAROldLTLEDINTSTDELC27</t>
  </si>
  <si>
    <t>COMWAROldLTLEDINTHIGELC27</t>
  </si>
  <si>
    <t>COMWAROldLTLEDINTSTDELC28</t>
  </si>
  <si>
    <t>COMWAROldLTLEDINTHIGELC28</t>
  </si>
  <si>
    <t>COMWAROldLTLEDINTSTDELC29</t>
  </si>
  <si>
    <t>COMWAROldLTLEDINTHIGELC29</t>
  </si>
  <si>
    <t>COMWAROldLTFLUT8STDELC30</t>
  </si>
  <si>
    <t>COMWAROldLTFLUT8HIGELC30</t>
  </si>
  <si>
    <t>COMWAROldLTFLUT5STDELC30</t>
  </si>
  <si>
    <t>COMWAROldLTFLUT5HIGELC30</t>
  </si>
  <si>
    <t>COMWAROldLTLEDINTSTDELC30</t>
  </si>
  <si>
    <t>COMWAROldLTLEDINTHIGELC30</t>
  </si>
  <si>
    <t>COMWAROldLTFLUT8STDELC40</t>
  </si>
  <si>
    <t>COMWAROldLTFLUT8HIGELC40</t>
  </si>
  <si>
    <t>COMWAROldLTFLUT5STDELC40</t>
  </si>
  <si>
    <t>COMWAROldLTFLUT5HIGELC40</t>
  </si>
  <si>
    <t>COMWAROldLTLEDINTSTDELC40</t>
  </si>
  <si>
    <t>COMWAROldLTLEDINTHIGELC40</t>
  </si>
  <si>
    <t>COMWAROldLTMERVAPSTDELC20</t>
  </si>
  <si>
    <t>COMWAROldLTMETHALSTDELC20</t>
  </si>
  <si>
    <t>COMWAROldLTSODVAPSTDELC20</t>
  </si>
  <si>
    <t>COMWAROldLTMETHALSTDELC30</t>
  </si>
  <si>
    <t>COMWAROldLTSODVAPSTDELC30</t>
  </si>
  <si>
    <t>COMWAROldLTMETHALSTDELC40</t>
  </si>
  <si>
    <t>COMWAROldLTSODVAPSTDELC40</t>
  </si>
  <si>
    <t>COMWAROldREEUE</t>
  </si>
  <si>
    <t>COMWAROldRECOMSDCLOWELC20</t>
  </si>
  <si>
    <t>COMWAROldRECOMSDCSTDELC20</t>
  </si>
  <si>
    <t>COMWAROldRECOMSDCHIGELC20</t>
  </si>
  <si>
    <t>COMWAROldRECOMSDCSTDELC30</t>
  </si>
  <si>
    <t>COMWAROldRECOMSDCHIGELC30</t>
  </si>
  <si>
    <t>COMWAROldRECOMSDCSTDELC40</t>
  </si>
  <si>
    <t>COMWAROldRECOMSDCHIGELC40</t>
  </si>
  <si>
    <t>COMWAROldRECOMSDCSTDELC50</t>
  </si>
  <si>
    <t>COMWAROldRECOMSDCHIGELC50</t>
  </si>
  <si>
    <t>COMWAROldRECOMWINLOWELC20</t>
  </si>
  <si>
    <t>COMWAROldRECOMWINSTDELC20</t>
  </si>
  <si>
    <t>COMWAROldRECOMWINHIGELC20</t>
  </si>
  <si>
    <t>COMWAROldRECOMWINSTDELC30</t>
  </si>
  <si>
    <t>COMWAROldRECOMWINHIGELC30</t>
  </si>
  <si>
    <t>COMWAROldRECOMWINSTDELC40</t>
  </si>
  <si>
    <t>COMWAROldRECOMWINHIGELC40</t>
  </si>
  <si>
    <t>COMWAROldRECOMWINSTDELC50</t>
  </si>
  <si>
    <t>COMWAROldRECOMWINHIGELC50</t>
  </si>
  <si>
    <t>COMWAROldRECOMRINLOWELC20</t>
  </si>
  <si>
    <t>COMWAROldRECOMRINSTDELC20</t>
  </si>
  <si>
    <t>COMWAROldRECOMRINHIGELC20</t>
  </si>
  <si>
    <t>COMWAROldRECOMRINESTARELC20</t>
  </si>
  <si>
    <t>COMWAROldRECOMRINSTDELC30</t>
  </si>
  <si>
    <t>COMWAROldRECOMRINHIGELC30</t>
  </si>
  <si>
    <t>COMWAROldRECOMRINSTDELC40</t>
  </si>
  <si>
    <t>COMWAROldRECOMRINHIGELC40</t>
  </si>
  <si>
    <t>COMWAROldRECOMRINHIGELC25</t>
  </si>
  <si>
    <t>Municipal</t>
  </si>
  <si>
    <t>COMMUNOldSHEUE</t>
  </si>
  <si>
    <t>COMMUNOldSHRTPAHPHIGELC20</t>
  </si>
  <si>
    <t>COMMUNOldSHRTPAHPSTDELC23</t>
  </si>
  <si>
    <t>COMMUNOldSHCOMGHPSTDELC33</t>
  </si>
  <si>
    <t>COMMUNOldSHCOMGHPMIDELC33</t>
  </si>
  <si>
    <t>COMMUNOldSHCOMGHPHIGELC33</t>
  </si>
  <si>
    <t>COMMUNOldSHCOMGHPSTDELC23</t>
  </si>
  <si>
    <t>COMMUNOldSHCOMGHPMIDELC23</t>
  </si>
  <si>
    <t>COMMUNOldSHCOMGHPHIGELC23</t>
  </si>
  <si>
    <t>COMMUNOldSHICEAHPSTDNGA20</t>
  </si>
  <si>
    <t>COMMUNOldSHBOISTDFOI30</t>
  </si>
  <si>
    <t>COMMUNOldSHBOISTDFOI40</t>
  </si>
  <si>
    <t>COMMUNOldSCEUE</t>
  </si>
  <si>
    <t>COMMUNOldSCRTPAHPSTDELC61</t>
  </si>
  <si>
    <t>COMMUNOldSCRTPAHPHIGELC20</t>
  </si>
  <si>
    <t>COMMUNOldSCRTPAHPSTDELC23</t>
  </si>
  <si>
    <t>COMMUNOldSCCOMGHPSTDELC33</t>
  </si>
  <si>
    <t>COMMUNOldSCCOMGHPMIDELC33</t>
  </si>
  <si>
    <t>COMMUNOldSCCOMGHPHIGELC33</t>
  </si>
  <si>
    <t>COMMUNOldSCCOMGHPSTDELC23</t>
  </si>
  <si>
    <t>COMMUNOldSCICEAHPSTDNGA20</t>
  </si>
  <si>
    <t>COMMUNOldSCSCRLACSTDELC30</t>
  </si>
  <si>
    <t>COMMUNOldSCSCRLACHIGELC30</t>
  </si>
  <si>
    <t>COMMUNOldSCSCRLACSTDELC40</t>
  </si>
  <si>
    <t>COMMUNOldSCSCRLACHIGELC40</t>
  </si>
  <si>
    <t>COMMUNOldSCSCRLACHIGELC20</t>
  </si>
  <si>
    <t>COMMUNOldSCSCRWACASHELC61</t>
  </si>
  <si>
    <t>COMMUNOldSCSCRWACHIGELC20</t>
  </si>
  <si>
    <t>COMMUNOldSCSCRWACSTDELC30</t>
  </si>
  <si>
    <t>COMMUNOldSCSCRWACHIGELC30</t>
  </si>
  <si>
    <t>COMMUNOldSCSCRWACSTDELC40</t>
  </si>
  <si>
    <t>COMMUNOldSCSCRWACHIGELC40</t>
  </si>
  <si>
    <t>COMMUNOldSCRECACHIGELC20</t>
  </si>
  <si>
    <t>COMMUNOldSCCENACSTDELC30</t>
  </si>
  <si>
    <t>COMMUNOldSCCENACHIGELC30</t>
  </si>
  <si>
    <t>COMMUNOldSCCENACSTDELC40</t>
  </si>
  <si>
    <t>COMMUNOldSCCENACHIGELC40</t>
  </si>
  <si>
    <t>COMMUNOldSCCENACHIGELC20</t>
  </si>
  <si>
    <t>COMMUNOldSCABSACSTDNGA30</t>
  </si>
  <si>
    <t>COMMUNOldSCRTPACSTDELC23</t>
  </si>
  <si>
    <t>COMMUNOldSCRTPACHIGELC20</t>
  </si>
  <si>
    <t>COMMUNOldSCRACSTDELC30</t>
  </si>
  <si>
    <t>COMMUNOldSCRACHIGELC30</t>
  </si>
  <si>
    <t>COMMUNOldSCRACSTDELC40</t>
  </si>
  <si>
    <t>COMMUNOldSCRACHIGELC40</t>
  </si>
  <si>
    <t>COMMUNOldSCRACHIGELC20</t>
  </si>
  <si>
    <t>COMMUNOldSCRCEACESTARELC23</t>
  </si>
  <si>
    <t>COMMUNOldSCRCEACHIGELC20</t>
  </si>
  <si>
    <t>COMMUNOldSCRCEACSTDELC23</t>
  </si>
  <si>
    <t>COMMUNOldWHEUE</t>
  </si>
  <si>
    <t>COMMUNOldWHSOL30PELC23</t>
  </si>
  <si>
    <t>COMMUNOldWHSOL30PELC24</t>
  </si>
  <si>
    <t>COMMUNOldWHSOL30PELC25</t>
  </si>
  <si>
    <t>COMMUNOldWHSOL30PELC26</t>
  </si>
  <si>
    <t>COMMUNOldWHSOL30PELC27</t>
  </si>
  <si>
    <t>COMMUNOldWHHPSTDELC20</t>
  </si>
  <si>
    <t>COMMUNOldVTEUE</t>
  </si>
  <si>
    <t>COMMUNOldVTCAVLOWELC20</t>
  </si>
  <si>
    <t>COMMUNOldVTCAVSTDELC20</t>
  </si>
  <si>
    <t>COMMUNOldVTCAVHIGELC20</t>
  </si>
  <si>
    <t>COMMUNOldVTCAVSTDELC30</t>
  </si>
  <si>
    <t>COMMUNOldVTCAVHIGELC30</t>
  </si>
  <si>
    <t>COMMUNOldVTCAVSTDELC40</t>
  </si>
  <si>
    <t>COMMUNOldVTCAVHIGELC40</t>
  </si>
  <si>
    <t>COMMUNOldVTCAVSTDELC50</t>
  </si>
  <si>
    <t>COMMUNOldVTCAVHIGELC50</t>
  </si>
  <si>
    <t>COMMUNOldVTVAVLOWELC20</t>
  </si>
  <si>
    <t>COMMUNOldVTVAVHIGELC20</t>
  </si>
  <si>
    <t>COMMUNOldVTVAVSTDELC30</t>
  </si>
  <si>
    <t>COMMUNOldVTVAVHIGELC30</t>
  </si>
  <si>
    <t>COMMUNOldVTVAVSTDELC40</t>
  </si>
  <si>
    <t>COMMUNOldVTVAVHIGELC40</t>
  </si>
  <si>
    <t>COMMUNOldVTVAVSTDELC50</t>
  </si>
  <si>
    <t>COMMUNOldVTVAVHIGELC50</t>
  </si>
  <si>
    <t>COMMUNOldLTEUE</t>
  </si>
  <si>
    <t>COMMUNOldLTHALSTDELC20</t>
  </si>
  <si>
    <t>COMMUNOldLTCFLSTDELC20</t>
  </si>
  <si>
    <t>COMMUNOldLTCFLHIGELC20</t>
  </si>
  <si>
    <t>COMMUNOldLTLEDPARSTDELC20</t>
  </si>
  <si>
    <t>COMMUNOldLTLEDPARHIGELC20</t>
  </si>
  <si>
    <t>COMMUNOldLTLEDALASTDELC20</t>
  </si>
  <si>
    <t>COMMUNOldLTLEDALAHIGELC20</t>
  </si>
  <si>
    <t>COMMUNOldLTLEDPARSTDELC23</t>
  </si>
  <si>
    <t>COMMUNOldLTLEDPARHIGELC23</t>
  </si>
  <si>
    <t>COMMUNOldLTLEDALASTDELC23</t>
  </si>
  <si>
    <t>COMMUNOldLTLEDALAHIGELC23</t>
  </si>
  <si>
    <t>COMMUNOldLTLEDPARSTDELC24</t>
  </si>
  <si>
    <t>COMMUNOldLTLEDPARHIGELC24</t>
  </si>
  <si>
    <t>COMMUNOldLTLEDALASTDELC24</t>
  </si>
  <si>
    <t>COMMUNOldLTLEDALAHIGELC24</t>
  </si>
  <si>
    <t>COMMUNOldLTLEDPARSTDELC25</t>
  </si>
  <si>
    <t>COMMUNOldLTLEDPARHIGELC25</t>
  </si>
  <si>
    <t>COMMUNOldLTLEDALASTDELC25</t>
  </si>
  <si>
    <t>COMMUNOldLTLEDALAHIGELC25</t>
  </si>
  <si>
    <t>COMMUNOldLTLEDPARSTDELC26</t>
  </si>
  <si>
    <t>COMMUNOldLTLEDPARHIGELC26</t>
  </si>
  <si>
    <t>COMMUNOldLTLEDALASTDELC26</t>
  </si>
  <si>
    <t>COMMUNOldLTLEDALAHIGELC26</t>
  </si>
  <si>
    <t>COMMUNOldLTCFLSTDELC30</t>
  </si>
  <si>
    <t>COMMUNOldLTCFLHIGELC30</t>
  </si>
  <si>
    <t>COMMUNOldLTLEDPARSTDELC30</t>
  </si>
  <si>
    <t>COMMUNOldLTLEDPARHIGELC30</t>
  </si>
  <si>
    <t>COMMUNOldLTCFLSTDELC40</t>
  </si>
  <si>
    <t>COMMUNOldLTCFLHIGELC40</t>
  </si>
  <si>
    <t>COMMUNOldLTLEDPARSTDELC40</t>
  </si>
  <si>
    <t>COMMUNOldLTLEDPARHIGELC40</t>
  </si>
  <si>
    <t>COMMUNOldLTFLUT8STDELC20</t>
  </si>
  <si>
    <t>COMMUNOldLTFLUT8HIGELC20</t>
  </si>
  <si>
    <t>COMMUNOldLTFLUT5STDELC20</t>
  </si>
  <si>
    <t>COMMUNOldLTFLUT5HIGELC20</t>
  </si>
  <si>
    <t>COMMUNOldLTLEDINTSTDELC20</t>
  </si>
  <si>
    <t>COMMUNOldLTLEDINTHIGELC20</t>
  </si>
  <si>
    <t>COMMUNOldLTLEDINTSTDELC23</t>
  </si>
  <si>
    <t>COMMUNOldLTLEDINTHIGELC23</t>
  </si>
  <si>
    <t>COMMUNOldLTLEDINTSTDELC24</t>
  </si>
  <si>
    <t>COMMUNOldLTLEDINTHIGELC24</t>
  </si>
  <si>
    <t>COMMUNOldLTLEDINTSTDELC25</t>
  </si>
  <si>
    <t>COMMUNOldLTLEDINTHIGELC25</t>
  </si>
  <si>
    <t>COMMUNOldLTLEDINTSTDELC26</t>
  </si>
  <si>
    <t>COMMUNOldLTLEDINTHIGELC26</t>
  </si>
  <si>
    <t>COMMUNOldLTLEDINTSTDELC27</t>
  </si>
  <si>
    <t>COMMUNOldLTLEDINTHIGELC27</t>
  </si>
  <si>
    <t>COMMUNOldLTLEDINTSTDELC28</t>
  </si>
  <si>
    <t>COMMUNOldLTLEDINTHIGELC28</t>
  </si>
  <si>
    <t>COMMUNOldLTLEDINTSTDELC29</t>
  </si>
  <si>
    <t>COMMUNOldLTLEDINTHIGELC29</t>
  </si>
  <si>
    <t>COMMUNOldLTFLUT8STDELC30</t>
  </si>
  <si>
    <t>COMMUNOldLTFLUT8HIGELC30</t>
  </si>
  <si>
    <t>COMMUNOldLTFLUT5STDELC30</t>
  </si>
  <si>
    <t>COMMUNOldLTFLUT5HIGELC30</t>
  </si>
  <si>
    <t>COMMUNOldLTLEDINTSTDELC30</t>
  </si>
  <si>
    <t>COMMUNOldLTLEDINTHIGELC30</t>
  </si>
  <si>
    <t>COMMUNOldLTFLUT8STDELC40</t>
  </si>
  <si>
    <t>COMMUNOldLTFLUT8HIGELC40</t>
  </si>
  <si>
    <t>COMMUNOldLTFLUT5STDELC40</t>
  </si>
  <si>
    <t>COMMUNOldLTFLUT5HIGELC40</t>
  </si>
  <si>
    <t>COMMUNOldLTLEDINTSTDELC40</t>
  </si>
  <si>
    <t>COMMUNOldLTLEDINTHIGELC40</t>
  </si>
  <si>
    <t>COMMUNOldLTMERVAPSTDELC20</t>
  </si>
  <si>
    <t>COMMUNOldLTMETHALSTDELC20</t>
  </si>
  <si>
    <t>COMMUNOldLTSODVAPSTDELC20</t>
  </si>
  <si>
    <t>COMMUNOldLTMETHALSTDELC30</t>
  </si>
  <si>
    <t>COMMUNOldLTSODVAPSTDELC30</t>
  </si>
  <si>
    <t>COMMUNOldLTMETHALSTDELC40</t>
  </si>
  <si>
    <t>COMMUNOldLTSODVAPSTDELC40</t>
  </si>
  <si>
    <t>COMMUNOldREEUE</t>
  </si>
  <si>
    <t>COMMUNOldRECOMSDCLOWELC20</t>
  </si>
  <si>
    <t>COMMUNOldRECOMSDCSTDELC20</t>
  </si>
  <si>
    <t>COMMUNOldRECOMSDCHIGELC20</t>
  </si>
  <si>
    <t>COMMUNOldRECOMSDCSTDELC30</t>
  </si>
  <si>
    <t>COMMUNOldRECOMSDCHIGELC30</t>
  </si>
  <si>
    <t>COMMUNOldRECOMSDCSTDELC40</t>
  </si>
  <si>
    <t>COMMUNOldRECOMSDCHIGELC40</t>
  </si>
  <si>
    <t>COMMUNOldRECOMSDCSTDELC50</t>
  </si>
  <si>
    <t>COMMUNOldRECOMSDCHIGELC50</t>
  </si>
  <si>
    <t>COMMUNOldRECOMWINLOWELC20</t>
  </si>
  <si>
    <t>COMMUNOldRECOMWINSTDELC20</t>
  </si>
  <si>
    <t>COMMUNOldRECOMWINHIGELC20</t>
  </si>
  <si>
    <t>COMMUNOldRECOMWINSTDELC30</t>
  </si>
  <si>
    <t>COMMUNOldRECOMWINHIGELC30</t>
  </si>
  <si>
    <t>COMMUNOldRECOMWINSTDELC40</t>
  </si>
  <si>
    <t>COMMUNOldRECOMWINHIGELC40</t>
  </si>
  <si>
    <t>COMMUNOldRECOMWINSTDELC50</t>
  </si>
  <si>
    <t>COMMUNOldRECOMWINHIGELC50</t>
  </si>
  <si>
    <t>COMMUNOldRECOMRINLOWELC20</t>
  </si>
  <si>
    <t>COMMUNOldRECOMRINSTDELC20</t>
  </si>
  <si>
    <t>COMMUNOldRECOMRINHIGELC20</t>
  </si>
  <si>
    <t>COMMUNOldRECOMRINESTARELC20</t>
  </si>
  <si>
    <t>COMMUNOldRECOMRINSTDELC30</t>
  </si>
  <si>
    <t>COMMUNOldRECOMRINHIGELC30</t>
  </si>
  <si>
    <t>COMMUNOldRECOMRINSTDELC40</t>
  </si>
  <si>
    <t>COMMUNOldRECOMRINHIGELC40</t>
  </si>
  <si>
    <t>COMMUNOldRECOMRINHIGELC25</t>
  </si>
  <si>
    <t>Other</t>
  </si>
  <si>
    <t>COMOTHOldSHEUE</t>
  </si>
  <si>
    <t>COMOTHOldSHRTPAHPHIGELC20</t>
  </si>
  <si>
    <t>COMOTHOldSHRTPAHPSTDELC23</t>
  </si>
  <si>
    <t>COMOTHOldSHCOMGHPSTDELC33</t>
  </si>
  <si>
    <t>COMOTHOldSHCOMGHPMIDELC33</t>
  </si>
  <si>
    <t>COMOTHOldSHCOMGHPHIGELC33</t>
  </si>
  <si>
    <t>COMOTHOldSHCOMGHPSTDELC23</t>
  </si>
  <si>
    <t>COMOTHOldSHCOMGHPMIDELC23</t>
  </si>
  <si>
    <t>COMOTHOldSHCOMGHPHIGELC23</t>
  </si>
  <si>
    <t>COMOTHOldSHICEAHPSTDNGA20</t>
  </si>
  <si>
    <t>COMOTHOldSHBOISTDFOI30</t>
  </si>
  <si>
    <t>COMOTHOldSHBOISTDFOI40</t>
  </si>
  <si>
    <t>COMOTHOldSCEUE</t>
  </si>
  <si>
    <t>COMOTHOldSCRTPAHPSTDELC61</t>
  </si>
  <si>
    <t>COMOTHOldSCRTPAHPHIGELC20</t>
  </si>
  <si>
    <t>COMOTHOldSCRTPAHPSTDELC23</t>
  </si>
  <si>
    <t>COMOTHOldSCCOMGHPSTDELC33</t>
  </si>
  <si>
    <t>COMOTHOldSCCOMGHPMIDELC33</t>
  </si>
  <si>
    <t>COMOTHOldSCCOMGHPHIGELC33</t>
  </si>
  <si>
    <t>COMOTHOldSCCOMGHPSTDELC23</t>
  </si>
  <si>
    <t>COMOTHOldSCICEAHPSTDNGA20</t>
  </si>
  <si>
    <t>COMOTHOldSCSCRLACSTDELC30</t>
  </si>
  <si>
    <t>COMOTHOldSCSCRLACHIGELC30</t>
  </si>
  <si>
    <t>COMOTHOldSCSCRLACSTDELC40</t>
  </si>
  <si>
    <t>COMOTHOldSCSCRLACHIGELC40</t>
  </si>
  <si>
    <t>COMOTHOldSCSCRLACHIGELC20</t>
  </si>
  <si>
    <t>COMOTHOldSCSCRWACASHELC61</t>
  </si>
  <si>
    <t>COMOTHOldSCSCRWACHIGELC20</t>
  </si>
  <si>
    <t>COMOTHOldSCSCRWACSTDELC30</t>
  </si>
  <si>
    <t>COMOTHOldSCSCRWACHIGELC30</t>
  </si>
  <si>
    <t>COMOTHOldSCSCRWACSTDELC40</t>
  </si>
  <si>
    <t>COMOTHOldSCSCRWACHIGELC40</t>
  </si>
  <si>
    <t>COMOTHOldSCRECACHIGELC20</t>
  </si>
  <si>
    <t>COMOTHOldSCCENACSTDELC30</t>
  </si>
  <si>
    <t>COMOTHOldSCCENACHIGELC30</t>
  </si>
  <si>
    <t>COMOTHOldSCCENACSTDELC40</t>
  </si>
  <si>
    <t>COMOTHOldSCCENACHIGELC40</t>
  </si>
  <si>
    <t>COMOTHOldSCCENACHIGELC20</t>
  </si>
  <si>
    <t>COMOTHOldSCABSACSTDNGA30</t>
  </si>
  <si>
    <t>COMOTHOldSCRTPACSTDELC23</t>
  </si>
  <si>
    <t>COMOTHOldSCRTPACHIGELC20</t>
  </si>
  <si>
    <t>COMOTHOldSCRACSTDELC30</t>
  </si>
  <si>
    <t>COMOTHOldSCRACHIGELC30</t>
  </si>
  <si>
    <t>COMOTHOldSCRACSTDELC40</t>
  </si>
  <si>
    <t>COMOTHOldSCRACHIGELC40</t>
  </si>
  <si>
    <t>COMOTHOldSCRACHIGELC20</t>
  </si>
  <si>
    <t>COMOTHOldSCRCEACESTARELC23</t>
  </si>
  <si>
    <t>COMOTHOldSCRCEACHIGELC20</t>
  </si>
  <si>
    <t>COMOTHOldSCRCEACSTDELC23</t>
  </si>
  <si>
    <t>COMOTHOldWHEUE</t>
  </si>
  <si>
    <t>COMOTHOldWHSOL30PELC23</t>
  </si>
  <si>
    <t>COMOTHOldWHSOL30PELC24</t>
  </si>
  <si>
    <t>COMOTHOldWHSOL30PELC25</t>
  </si>
  <si>
    <t>COMOTHOldWHSOL30PELC26</t>
  </si>
  <si>
    <t>COMOTHOldWHSOL30PELC27</t>
  </si>
  <si>
    <t>COMOTHOldWHHPSTDELC20</t>
  </si>
  <si>
    <t>COMOTHOldVTEUE</t>
  </si>
  <si>
    <t>COMOTHOldVTCAVLOWELC20</t>
  </si>
  <si>
    <t>COMOTHOldVTCAVSTDELC20</t>
  </si>
  <si>
    <t>COMOTHOldVTCAVHIGELC20</t>
  </si>
  <si>
    <t>COMOTHOldVTCAVSTDELC30</t>
  </si>
  <si>
    <t>COMOTHOldVTCAVHIGELC30</t>
  </si>
  <si>
    <t>COMOTHOldVTCAVSTDELC40</t>
  </si>
  <si>
    <t>COMOTHOldVTCAVHIGELC40</t>
  </si>
  <si>
    <t>COMOTHOldVTCAVSTDELC50</t>
  </si>
  <si>
    <t>COMOTHOldVTCAVHIGELC50</t>
  </si>
  <si>
    <t>COMOTHOldVTVAVLOWELC20</t>
  </si>
  <si>
    <t>COMOTHOldVTVAVHIGELC20</t>
  </si>
  <si>
    <t>COMOTHOldVTVAVSTDELC30</t>
  </si>
  <si>
    <t>COMOTHOldVTVAVHIGELC30</t>
  </si>
  <si>
    <t>COMOTHOldVTVAVSTDELC40</t>
  </si>
  <si>
    <t>COMOTHOldVTVAVHIGELC40</t>
  </si>
  <si>
    <t>COMOTHOldVTVAVSTDELC50</t>
  </si>
  <si>
    <t>COMOTHOldVTVAVHIGELC50</t>
  </si>
  <si>
    <t>COMOTHOldLTEUE</t>
  </si>
  <si>
    <t>COMOTHOldLTHALSTDELC20</t>
  </si>
  <si>
    <t>COMOTHOldLTCFLSTDELC20</t>
  </si>
  <si>
    <t>COMOTHOldLTCFLHIGELC20</t>
  </si>
  <si>
    <t>COMOTHOldLTLEDPARSTDELC20</t>
  </si>
  <si>
    <t>COMOTHOldLTLEDPARHIGELC20</t>
  </si>
  <si>
    <t>COMOTHOldLTLEDALASTDELC20</t>
  </si>
  <si>
    <t>COMOTHOldLTLEDALAHIGELC20</t>
  </si>
  <si>
    <t>COMOTHOldLTLEDPARSTDELC23</t>
  </si>
  <si>
    <t>COMOTHOldLTLEDPARHIGELC23</t>
  </si>
  <si>
    <t>COMOTHOldLTLEDALASTDELC23</t>
  </si>
  <si>
    <t>COMOTHOldLTLEDALAHIGELC23</t>
  </si>
  <si>
    <t>COMOTHOldLTLEDPARSTDELC24</t>
  </si>
  <si>
    <t>COMOTHOldLTLEDPARHIGELC24</t>
  </si>
  <si>
    <t>COMOTHOldLTLEDALASTDELC24</t>
  </si>
  <si>
    <t>COMOTHOldLTLEDALAHIGELC24</t>
  </si>
  <si>
    <t>COMOTHOldLTLEDPARSTDELC25</t>
  </si>
  <si>
    <t>COMOTHOldLTLEDPARHIGELC25</t>
  </si>
  <si>
    <t>COMOTHOldLTLEDALASTDELC25</t>
  </si>
  <si>
    <t>COMOTHOldLTLEDALAHIGELC25</t>
  </si>
  <si>
    <t>COMOTHOldLTLEDPARSTDELC26</t>
  </si>
  <si>
    <t>COMOTHOldLTLEDPARHIGELC26</t>
  </si>
  <si>
    <t>COMOTHOldLTLEDALASTDELC26</t>
  </si>
  <si>
    <t>COMOTHOldLTLEDALAHIGELC26</t>
  </si>
  <si>
    <t>COMOTHOldLTCFLSTDELC30</t>
  </si>
  <si>
    <t>COMOTHOldLTCFLHIGELC30</t>
  </si>
  <si>
    <t>COMOTHOldLTLEDPARSTDELC30</t>
  </si>
  <si>
    <t>COMOTHOldLTLEDPARHIGELC30</t>
  </si>
  <si>
    <t>COMOTHOldLTCFLSTDELC40</t>
  </si>
  <si>
    <t>COMOTHOldLTCFLHIGELC40</t>
  </si>
  <si>
    <t>COMOTHOldLTLEDPARSTDELC40</t>
  </si>
  <si>
    <t>COMOTHOldLTLEDPARHIGELC40</t>
  </si>
  <si>
    <t>COMOTHOldLTFLUT8STDELC20</t>
  </si>
  <si>
    <t>COMOTHOldLTFLUT8HIGELC20</t>
  </si>
  <si>
    <t>COMOTHOldLTFLUT5STDELC20</t>
  </si>
  <si>
    <t>COMOTHOldLTFLUT5HIGELC20</t>
  </si>
  <si>
    <t>COMOTHOldLTLEDINTSTDELC20</t>
  </si>
  <si>
    <t>COMOTHOldLTLEDINTHIGELC20</t>
  </si>
  <si>
    <t>COMOTHOldLTLEDINTSTDELC23</t>
  </si>
  <si>
    <t>COMOTHOldLTLEDINTHIGELC23</t>
  </si>
  <si>
    <t>COMOTHOldLTLEDINTSTDELC24</t>
  </si>
  <si>
    <t>COMOTHOldLTLEDINTHIGELC24</t>
  </si>
  <si>
    <t>COMOTHOldLTLEDINTSTDELC25</t>
  </si>
  <si>
    <t>COMOTHOldLTLEDINTHIGELC25</t>
  </si>
  <si>
    <t>COMOTHOldLTLEDINTSTDELC26</t>
  </si>
  <si>
    <t>COMOTHOldLTLEDINTHIGELC26</t>
  </si>
  <si>
    <t>COMOTHOldLTLEDINTSTDELC27</t>
  </si>
  <si>
    <t>COMOTHOldLTLEDINTHIGELC27</t>
  </si>
  <si>
    <t>COMOTHOldLTLEDINTSTDELC28</t>
  </si>
  <si>
    <t>COMOTHOldLTLEDINTHIGELC28</t>
  </si>
  <si>
    <t>COMOTHOldLTLEDINTSTDELC29</t>
  </si>
  <si>
    <t>COMOTHOldLTLEDINTHIGELC29</t>
  </si>
  <si>
    <t>COMOTHOldLTFLUT8STDELC30</t>
  </si>
  <si>
    <t>COMOTHOldLTFLUT8HIGELC30</t>
  </si>
  <si>
    <t>COMOTHOldLTFLUT5STDELC30</t>
  </si>
  <si>
    <t>COMOTHOldLTFLUT5HIGELC30</t>
  </si>
  <si>
    <t>COMOTHOldLTLEDINTSTDELC30</t>
  </si>
  <si>
    <t>COMOTHOldLTLEDINTHIGELC30</t>
  </si>
  <si>
    <t>COMOTHOldLTFLUT8STDELC40</t>
  </si>
  <si>
    <t>COMOTHOldLTFLUT8HIGELC40</t>
  </si>
  <si>
    <t>COMOTHOldLTFLUT5STDELC40</t>
  </si>
  <si>
    <t>COMOTHOldLTFLUT5HIGELC40</t>
  </si>
  <si>
    <t>COMOTHOldLTLEDINTSTDELC40</t>
  </si>
  <si>
    <t>COMOTHOldLTLEDINTHIGELC40</t>
  </si>
  <si>
    <t>COMOTHOldLTMERVAPSTDELC20</t>
  </si>
  <si>
    <t>COMOTHOldLTMETHALSTDELC20</t>
  </si>
  <si>
    <t>COMOTHOldLTSODVAPSTDELC20</t>
  </si>
  <si>
    <t>COMOTHOldLTMETHALSTDELC30</t>
  </si>
  <si>
    <t>COMOTHOldLTSODVAPSTDELC30</t>
  </si>
  <si>
    <t>COMOTHOldLTMETHALSTDELC40</t>
  </si>
  <si>
    <t>COMOTHOldLTSODVAPSTDELC40</t>
  </si>
  <si>
    <t>COMOTHOldREEUE</t>
  </si>
  <si>
    <t>COMOTHOldRECOMSDCLOWELC20</t>
  </si>
  <si>
    <t>COMOTHOldRECOMSDCSTDELC20</t>
  </si>
  <si>
    <t>COMOTHOldRECOMSDCHIGELC20</t>
  </si>
  <si>
    <t>COMOTHOldRECOMSDCSTDELC30</t>
  </si>
  <si>
    <t>COMOTHOldRECOMSDCHIGELC30</t>
  </si>
  <si>
    <t>COMOTHOldRECOMSDCSTDELC40</t>
  </si>
  <si>
    <t>COMOTHOldRECOMSDCHIGELC40</t>
  </si>
  <si>
    <t>COMOTHOldRECOMSDCSTDELC50</t>
  </si>
  <si>
    <t>COMOTHOldRECOMSDCHIGELC50</t>
  </si>
  <si>
    <t>COMOTHOldRECOMWINLOWELC20</t>
  </si>
  <si>
    <t>COMOTHOldRECOMWINSTDELC20</t>
  </si>
  <si>
    <t>COMOTHOldRECOMWINHIGELC20</t>
  </si>
  <si>
    <t>COMOTHOldRECOMWINSTDELC30</t>
  </si>
  <si>
    <t>COMOTHOldRECOMWINHIGELC30</t>
  </si>
  <si>
    <t>COMOTHOldRECOMWINSTDELC40</t>
  </si>
  <si>
    <t>COMOTHOldRECOMWINHIGELC40</t>
  </si>
  <si>
    <t>COMOTHOldRECOMWINSTDELC50</t>
  </si>
  <si>
    <t>COMOTHOldRECOMWINHIGELC50</t>
  </si>
  <si>
    <t>COMOTHOldRECOMRINLOWELC20</t>
  </si>
  <si>
    <t>COMOTHOldRECOMRINSTDELC20</t>
  </si>
  <si>
    <t>COMOTHOldRECOMRINHIGELC20</t>
  </si>
  <si>
    <t>COMOTHOldRECOMRINESTARELC20</t>
  </si>
  <si>
    <t>COMOTHOldRECOMRINSTDELC30</t>
  </si>
  <si>
    <t>COMOTHOldRECOMRINHIGELC30</t>
  </si>
  <si>
    <t>COMOTHOldRECOMRINSTDELC40</t>
  </si>
  <si>
    <t>COMOTHOldRECOMRINHIGELC40</t>
  </si>
  <si>
    <t>COMOTHOldRECOMRINHIGELC25</t>
  </si>
  <si>
    <t>New</t>
  </si>
  <si>
    <t>COMHOTNewSHEUE</t>
  </si>
  <si>
    <t>COMHOTNewSHRTPAHPSTDELC61</t>
  </si>
  <si>
    <t>COMHOTNewSHRTPAHPHIGELC20</t>
  </si>
  <si>
    <t>COMHOTNewSHRTPAHPSTDELC23</t>
  </si>
  <si>
    <t>COMHOTNewSHCOMGHPSTDELC33</t>
  </si>
  <si>
    <t>COMHOTNewSHCOMGHPMIDELC33</t>
  </si>
  <si>
    <t>COMHOTNewSHCOMGHPHIGELC33</t>
  </si>
  <si>
    <t>COMHOTNewSHCOMGHPSTDELC23</t>
  </si>
  <si>
    <t>COMHOTNewSHCOMGHPMIDELC23</t>
  </si>
  <si>
    <t>COMHOTNewSHCOMGHPHIGELC23</t>
  </si>
  <si>
    <t>COMHOTNewSHICEAHPSTDNGA20</t>
  </si>
  <si>
    <t>COMHOTNewSHBOISTDFOI30</t>
  </si>
  <si>
    <t>COMHOTNewSHBOISTDFOI40</t>
  </si>
  <si>
    <t>COMHOTNewSCEUE</t>
  </si>
  <si>
    <t>COMHOTNewSCRTPAHPSTDELC61</t>
  </si>
  <si>
    <t>COMHOTNewSCRTPAHPHIGELC20</t>
  </si>
  <si>
    <t>COMHOTNewSCRTPAHPSTDELC23</t>
  </si>
  <si>
    <t>COMHOTNewSCCOMGHPSTDELC33</t>
  </si>
  <si>
    <t>COMHOTNewSCCOMGHPMIDELC33</t>
  </si>
  <si>
    <t>COMHOTNewSCCOMGHPHIGELC33</t>
  </si>
  <si>
    <t>COMHOTNewSCCOMGHPSTDELC23</t>
  </si>
  <si>
    <t>COMHOTNewSCICEAHPSTDNGA20</t>
  </si>
  <si>
    <t>COMHOTNewSCSCRLACSTDELC30</t>
  </si>
  <si>
    <t>COMHOTNewSCSCRLACHIGELC30</t>
  </si>
  <si>
    <t>COMHOTNewSCSCRLACSTDELC40</t>
  </si>
  <si>
    <t>COMHOTNewSCSCRLACHIGELC40</t>
  </si>
  <si>
    <t>COMHOTNewSCSCRLACHIGELC20</t>
  </si>
  <si>
    <t>COMHOTNewSCSCRWACASHELC61</t>
  </si>
  <si>
    <t>COMHOTNewSCSCRWACHIGELC20</t>
  </si>
  <si>
    <t>COMHOTNewSCSCRWACSTDELC30</t>
  </si>
  <si>
    <t>COMHOTNewSCSCRWACHIGELC30</t>
  </si>
  <si>
    <t>COMHOTNewSCSCRWACSTDELC40</t>
  </si>
  <si>
    <t>COMHOTNewSCSCRWACHIGELC40</t>
  </si>
  <si>
    <t>COMHOTNewSCRECACHIGELC20</t>
  </si>
  <si>
    <t>COMHOTNewSCCENACSTDELC30</t>
  </si>
  <si>
    <t>COMHOTNewSCCENACHIGELC30</t>
  </si>
  <si>
    <t>COMHOTNewSCCENACSTDELC40</t>
  </si>
  <si>
    <t>COMHOTNewSCCENACHIGELC40</t>
  </si>
  <si>
    <t>COMHOTNewSCCENACHIGELC20</t>
  </si>
  <si>
    <t>COMHOTNewSCABSACSTDNGA30</t>
  </si>
  <si>
    <t>COMHOTNewSCRTPACSTDELC23</t>
  </si>
  <si>
    <t>COMHOTNewSCRTPACHIGELC20</t>
  </si>
  <si>
    <t>COMHOTNewSCRACSTDELC30</t>
  </si>
  <si>
    <t>COMHOTNewSCRACHIGELC30</t>
  </si>
  <si>
    <t>COMHOTNewSCRACSTDELC40</t>
  </si>
  <si>
    <t>COMHOTNewSCRACHIGELC40</t>
  </si>
  <si>
    <t>COMHOTNewSCRACHIGELC20</t>
  </si>
  <si>
    <t>COMHOTNewSCRCEACESTARELC23</t>
  </si>
  <si>
    <t>COMHOTNewSCRCEACHIGELC20</t>
  </si>
  <si>
    <t>COMHOTNewSCRCEACSTDELC23</t>
  </si>
  <si>
    <t>COMHOTNewWHEUE</t>
  </si>
  <si>
    <t>COMHOTNewWHSOL30PELC23</t>
  </si>
  <si>
    <t>COMHOTNewWHSOL30PELC24</t>
  </si>
  <si>
    <t>COMHOTNewWHSOL30PELC25</t>
  </si>
  <si>
    <t>COMHOTNewWHSOL30PELC26</t>
  </si>
  <si>
    <t>COMHOTNewWHSOL30PELC27</t>
  </si>
  <si>
    <t>COMHOTNewWHHPSTDELC20</t>
  </si>
  <si>
    <t>COMHOTNewVTEUE</t>
  </si>
  <si>
    <t>COMHOTNewVTCAVLOWELC20</t>
  </si>
  <si>
    <t>COMHOTNewVTCAVSTDELC20</t>
  </si>
  <si>
    <t>COMHOTNewVTCAVHIGELC20</t>
  </si>
  <si>
    <t>COMHOTNewVTCAVSTDELC30</t>
  </si>
  <si>
    <t>COMHOTNewVTCAVHIGELC30</t>
  </si>
  <si>
    <t>COMHOTNewVTCAVSTDELC40</t>
  </si>
  <si>
    <t>COMHOTNewVTCAVHIGELC40</t>
  </si>
  <si>
    <t>COMHOTNewVTCAVSTDELC50</t>
  </si>
  <si>
    <t>COMHOTNewVTCAVHIGELC50</t>
  </si>
  <si>
    <t>COMHOTNewVTVAVLOWELC20</t>
  </si>
  <si>
    <t>COMHOTNewVTVAVHIGELC20</t>
  </si>
  <si>
    <t>COMHOTNewVTVAVSTDELC30</t>
  </si>
  <si>
    <t>COMHOTNewVTVAVHIGELC30</t>
  </si>
  <si>
    <t>COMHOTNewVTVAVSTDELC40</t>
  </si>
  <si>
    <t>COMHOTNewVTVAVHIGELC40</t>
  </si>
  <si>
    <t>COMHOTNewVTVAVSTDELC50</t>
  </si>
  <si>
    <t>COMHOTNewVTVAVHIGELC50</t>
  </si>
  <si>
    <t>COMHOTNewLTEUE</t>
  </si>
  <si>
    <t>COMHOTNewLTHALSTDELC20</t>
  </si>
  <si>
    <t>COMHOTNewLTCFLSTDELC20</t>
  </si>
  <si>
    <t>COMHOTNewLTCFLHIGELC20</t>
  </si>
  <si>
    <t>COMHOTNewLTLEDPARSTDELC20</t>
  </si>
  <si>
    <t>COMHOTNewLTLEDPARHIGELC20</t>
  </si>
  <si>
    <t>COMHOTNewLTLEDALASTDELC20</t>
  </si>
  <si>
    <t>COMHOTNewLTLEDALAHIGELC20</t>
  </si>
  <si>
    <t>COMHOTNewLTLEDPARSTDELC23</t>
  </si>
  <si>
    <t>COMHOTNewLTLEDPARHIGELC23</t>
  </si>
  <si>
    <t>COMHOTNewLTLEDALASTDELC23</t>
  </si>
  <si>
    <t>COMHOTNewLTLEDALAHIGELC23</t>
  </si>
  <si>
    <t>COMHOTNewLTLEDPARSTDELC24</t>
  </si>
  <si>
    <t>COMHOTNewLTLEDPARHIGELC24</t>
  </si>
  <si>
    <t>COMHOTNewLTLEDALASTDELC24</t>
  </si>
  <si>
    <t>COMHOTNewLTLEDALAHIGELC24</t>
  </si>
  <si>
    <t>COMHOTNewLTLEDPARSTDELC25</t>
  </si>
  <si>
    <t>COMHOTNewLTLEDPARHIGELC25</t>
  </si>
  <si>
    <t>COMHOTNewLTLEDALASTDELC25</t>
  </si>
  <si>
    <t>COMHOTNewLTLEDALAHIGELC25</t>
  </si>
  <si>
    <t>COMHOTNewLTLEDPARSTDELC26</t>
  </si>
  <si>
    <t>COMHOTNewLTLEDPARHIGELC26</t>
  </si>
  <si>
    <t>COMHOTNewLTLEDALASTDELC26</t>
  </si>
  <si>
    <t>COMHOTNewLTLEDALAHIGELC26</t>
  </si>
  <si>
    <t>COMHOTNewLTCFLSTDELC30</t>
  </si>
  <si>
    <t>COMHOTNewLTCFLHIGELC30</t>
  </si>
  <si>
    <t>COMHOTNewLTLEDPARSTDELC30</t>
  </si>
  <si>
    <t>COMHOTNewLTLEDPARHIGELC30</t>
  </si>
  <si>
    <t>COMHOTNewLTCFLSTDELC40</t>
  </si>
  <si>
    <t>COMHOTNewLTCFLHIGELC40</t>
  </si>
  <si>
    <t>COMHOTNewLTLEDPARSTDELC40</t>
  </si>
  <si>
    <t>COMHOTNewLTLEDPARHIGELC40</t>
  </si>
  <si>
    <t>COMHOTNewLTFLUT8STDELC20</t>
  </si>
  <si>
    <t>COMHOTNewLTFLUT8HIGELC20</t>
  </si>
  <si>
    <t>COMHOTNewLTFLUT5STDELC20</t>
  </si>
  <si>
    <t>COMHOTNewLTFLUT5HIGELC20</t>
  </si>
  <si>
    <t>COMHOTNewLTLEDINTSTDELC20</t>
  </si>
  <si>
    <t>COMHOTNewLTLEDINTHIGELC20</t>
  </si>
  <si>
    <t>COMHOTNewLTLEDINTSTDELC23</t>
  </si>
  <si>
    <t>COMHOTNewLTLEDINTHIGELC23</t>
  </si>
  <si>
    <t>COMHOTNewLTLEDINTSTDELC24</t>
  </si>
  <si>
    <t>COMHOTNewLTLEDINTHIGELC24</t>
  </si>
  <si>
    <t>COMHOTNewLTLEDINTSTDELC25</t>
  </si>
  <si>
    <t>COMHOTNewLTLEDINTHIGELC25</t>
  </si>
  <si>
    <t>COMHOTNewLTLEDINTSTDELC26</t>
  </si>
  <si>
    <t>COMHOTNewLTLEDINTHIGELC26</t>
  </si>
  <si>
    <t>COMHOTNewLTLEDINTSTDELC27</t>
  </si>
  <si>
    <t>COMHOTNewLTLEDINTHIGELC27</t>
  </si>
  <si>
    <t>COMHOTNewLTLEDINTSTDELC28</t>
  </si>
  <si>
    <t>COMHOTNewLTLEDINTHIGELC28</t>
  </si>
  <si>
    <t>COMHOTNewLTLEDINTSTDELC29</t>
  </si>
  <si>
    <t>COMHOTNewLTLEDINTHIGELC29</t>
  </si>
  <si>
    <t>COMHOTNewLTFLUT8STDELC30</t>
  </si>
  <si>
    <t>COMHOTNewLTFLUT8HIGELC30</t>
  </si>
  <si>
    <t>COMHOTNewLTFLUT5STDELC30</t>
  </si>
  <si>
    <t>COMHOTNewLTFLUT5HIGELC30</t>
  </si>
  <si>
    <t>COMHOTNewLTLEDINTSTDELC30</t>
  </si>
  <si>
    <t>COMHOTNewLTLEDINTHIGELC30</t>
  </si>
  <si>
    <t>COMHOTNewLTFLUT8STDELC40</t>
  </si>
  <si>
    <t>COMHOTNewLTFLUT8HIGELC40</t>
  </si>
  <si>
    <t>COMHOTNewLTFLUT5STDELC40</t>
  </si>
  <si>
    <t>COMHOTNewLTFLUT5HIGELC40</t>
  </si>
  <si>
    <t>COMHOTNewLTLEDINTSTDELC40</t>
  </si>
  <si>
    <t>COMHOTNewLTLEDINTHIGELC40</t>
  </si>
  <si>
    <t>COMHOTNewLTMERVAPSTDELC20</t>
  </si>
  <si>
    <t>COMHOTNewLTMETHALSTDELC20</t>
  </si>
  <si>
    <t>COMHOTNewLTSODVAPSTDELC20</t>
  </si>
  <si>
    <t>COMHOTNewLTMETHALSTDELC30</t>
  </si>
  <si>
    <t>COMHOTNewLTSODVAPSTDELC30</t>
  </si>
  <si>
    <t>COMHOTNewLTMETHALSTDELC40</t>
  </si>
  <si>
    <t>COMHOTNewLTSODVAPSTDELC40</t>
  </si>
  <si>
    <t>COMHOTNewREEUE</t>
  </si>
  <si>
    <t>COMHOTNewRECOMSDCLOWELC20</t>
  </si>
  <si>
    <t>COMHOTNewRECOMSDCSTDELC20</t>
  </si>
  <si>
    <t>COMHOTNewRECOMSDCHIGELC20</t>
  </si>
  <si>
    <t>COMHOTNewRECOMSDCSTDELC30</t>
  </si>
  <si>
    <t>COMHOTNewRECOMSDCHIGELC30</t>
  </si>
  <si>
    <t>COMHOTNewRECOMSDCSTDELC40</t>
  </si>
  <si>
    <t>COMHOTNewRECOMSDCHIGELC40</t>
  </si>
  <si>
    <t>COMHOTNewRECOMSDCSTDELC50</t>
  </si>
  <si>
    <t>COMHOTNewRECOMSDCHIGELC50</t>
  </si>
  <si>
    <t>COMHOTNewRECOMWINLOWELC20</t>
  </si>
  <si>
    <t>COMHOTNewRECOMWINSTDELC20</t>
  </si>
  <si>
    <t>COMHOTNewRECOMWINHIGELC20</t>
  </si>
  <si>
    <t>COMHOTNewRECOMWINSTDELC30</t>
  </si>
  <si>
    <t>COMHOTNewRECOMWINHIGELC30</t>
  </si>
  <si>
    <t>COMHOTNewRECOMWINSTDELC40</t>
  </si>
  <si>
    <t>COMHOTNewRECOMWINHIGELC40</t>
  </si>
  <si>
    <t>COMHOTNewRECOMWINSTDELC50</t>
  </si>
  <si>
    <t>COMHOTNewRECOMWINHIGELC50</t>
  </si>
  <si>
    <t>COMHOTNewRECOMRINLOWELC20</t>
  </si>
  <si>
    <t>COMHOTNewRECOMRINSTDELC20</t>
  </si>
  <si>
    <t>COMHOTNewRECOMRINHIGELC20</t>
  </si>
  <si>
    <t>COMHOTNewRECOMRINESTARELC20</t>
  </si>
  <si>
    <t>COMHOTNewRECOMRINSTDELC30</t>
  </si>
  <si>
    <t>COMHOTNewRECOMRINHIGELC30</t>
  </si>
  <si>
    <t>COMHOTNewRECOMRINSTDELC40</t>
  </si>
  <si>
    <t>COMHOTNewRECOMRINHIGELC40</t>
  </si>
  <si>
    <t>COMHOTNewRECOMRINHIGELC25</t>
  </si>
  <si>
    <t/>
  </si>
  <si>
    <t>COMRETNewSHEUE</t>
  </si>
  <si>
    <t>COMRETNewSHRTPAHPSTDELC61</t>
  </si>
  <si>
    <t>COMRETNewSHRTPAHPHIGELC20</t>
  </si>
  <si>
    <t>COMRETNewSHRTPAHPSTDELC23</t>
  </si>
  <si>
    <t>COMRETNewSHCOMGHPSTDELC33</t>
  </si>
  <si>
    <t>COMRETNewSHCOMGHPMIDELC33</t>
  </si>
  <si>
    <t>COMRETNewSHCOMGHPHIGELC33</t>
  </si>
  <si>
    <t>COMRETNewSHCOMGHPSTDELC23</t>
  </si>
  <si>
    <t>COMRETNewSHCOMGHPMIDELC23</t>
  </si>
  <si>
    <t>COMRETNewSHCOMGHPHIGELC23</t>
  </si>
  <si>
    <t>COMRETNewSHICEAHPSTDNGA20</t>
  </si>
  <si>
    <t>COMRETNewSHBOISTDFOI30</t>
  </si>
  <si>
    <t>COMRETNewSHBOISTDFOI40</t>
  </si>
  <si>
    <t>COMRETNewSCEUE</t>
  </si>
  <si>
    <t>COMRETNewSCRTPAHPSTDELC61</t>
  </si>
  <si>
    <t>COMRETNewSCRTPAHPHIGELC20</t>
  </si>
  <si>
    <t>COMRETNewSCRTPAHPSTDELC23</t>
  </si>
  <si>
    <t>COMRETNewSCCOMGHPSTDELC33</t>
  </si>
  <si>
    <t>COMRETNewSCCOMGHPMIDELC33</t>
  </si>
  <si>
    <t>COMRETNewSCCOMGHPHIGELC33</t>
  </si>
  <si>
    <t>COMRETNewSCCOMGHPSTDELC23</t>
  </si>
  <si>
    <t>COMRETNewSCICEAHPSTDNGA20</t>
  </si>
  <si>
    <t>COMRETNewSCSCRLACSTDELC30</t>
  </si>
  <si>
    <t>COMRETNewSCSCRLACHIGELC30</t>
  </si>
  <si>
    <t>COMRETNewSCSCRLACSTDELC40</t>
  </si>
  <si>
    <t>COMRETNewSCSCRLACHIGELC40</t>
  </si>
  <si>
    <t>COMRETNewSCSCRLACHIGELC20</t>
  </si>
  <si>
    <t>COMRETNewSCSCRWACASHELC61</t>
  </si>
  <si>
    <t>COMRETNewSCSCRWACHIGELC20</t>
  </si>
  <si>
    <t>COMRETNewSCSCRWACSTDELC30</t>
  </si>
  <si>
    <t>COMRETNewSCSCRWACHIGELC30</t>
  </si>
  <si>
    <t>COMRETNewSCSCRWACSTDELC40</t>
  </si>
  <si>
    <t>COMRETNewSCSCRWACHIGELC40</t>
  </si>
  <si>
    <t>COMRETNewSCRECACHIGELC20</t>
  </si>
  <si>
    <t>COMRETNewSCCENACSTDELC30</t>
  </si>
  <si>
    <t>COMRETNewSCCENACHIGELC30</t>
  </si>
  <si>
    <t>COMRETNewSCCENACSTDELC40</t>
  </si>
  <si>
    <t>COMRETNewSCCENACHIGELC40</t>
  </si>
  <si>
    <t>COMRETNewSCCENACHIGELC20</t>
  </si>
  <si>
    <t>COMRETNewSCABSACSTDNGA30</t>
  </si>
  <si>
    <t>COMRETNewSCRTPACSTDELC23</t>
  </si>
  <si>
    <t>COMRETNewSCRTPACHIGELC20</t>
  </si>
  <si>
    <t>COMRETNewSCRACSTDELC30</t>
  </si>
  <si>
    <t>COMRETNewSCRACHIGELC30</t>
  </si>
  <si>
    <t>COMRETNewSCRACSTDELC40</t>
  </si>
  <si>
    <t>COMRETNewSCRACHIGELC40</t>
  </si>
  <si>
    <t>COMRETNewSCRACHIGELC20</t>
  </si>
  <si>
    <t>COMRETNewSCRCEACESTARELC23</t>
  </si>
  <si>
    <t>COMRETNewSCRCEACHIGELC20</t>
  </si>
  <si>
    <t>COMRETNewSCRCEACSTDELC23</t>
  </si>
  <si>
    <t>COMRETNewWHEUE</t>
  </si>
  <si>
    <t>COMRETNewWHSOL30PELC23</t>
  </si>
  <si>
    <t>COMRETNewWHSOL30PELC24</t>
  </si>
  <si>
    <t>COMRETNewWHSOL30PELC25</t>
  </si>
  <si>
    <t>COMRETNewWHSOL30PELC26</t>
  </si>
  <si>
    <t>COMRETNewWHSOL30PELC27</t>
  </si>
  <si>
    <t>COMRETNewWHHPSTDELC20</t>
  </si>
  <si>
    <t>COMRETNewVTEUE</t>
  </si>
  <si>
    <t>COMRETNewVTCAVLOWELC20</t>
  </si>
  <si>
    <t>COMRETNewVTCAVSTDELC20</t>
  </si>
  <si>
    <t>COMRETNewVTCAVHIGELC20</t>
  </si>
  <si>
    <t>COMRETNewVTCAVSTDELC30</t>
  </si>
  <si>
    <t>COMRETNewVTCAVHIGELC30</t>
  </si>
  <si>
    <t>COMRETNewVTCAVSTDELC40</t>
  </si>
  <si>
    <t>COMRETNewVTCAVHIGELC40</t>
  </si>
  <si>
    <t>COMRETNewVTCAVSTDELC50</t>
  </si>
  <si>
    <t>COMRETNewVTCAVHIGELC50</t>
  </si>
  <si>
    <t>COMRETNewVTVAVLOWELC20</t>
  </si>
  <si>
    <t>COMRETNewVTVAVHIGELC20</t>
  </si>
  <si>
    <t>COMRETNewVTVAVSTDELC30</t>
  </si>
  <si>
    <t>COMRETNewVTVAVHIGELC30</t>
  </si>
  <si>
    <t>COMRETNewVTVAVSTDELC40</t>
  </si>
  <si>
    <t>COMRETNewVTVAVHIGELC40</t>
  </si>
  <si>
    <t>COMRETNewVTVAVSTDELC50</t>
  </si>
  <si>
    <t>COMRETNewVTVAVHIGELC50</t>
  </si>
  <si>
    <t>COMRETNewLTEUE</t>
  </si>
  <si>
    <t>COMRETNewLTHALSTDELC20</t>
  </si>
  <si>
    <t>COMRETNewLTCFLSTDELC20</t>
  </si>
  <si>
    <t>COMRETNewLTCFLHIGELC20</t>
  </si>
  <si>
    <t>COMRETNewLTLEDPARSTDELC20</t>
  </si>
  <si>
    <t>COMRETNewLTLEDPARHIGELC20</t>
  </si>
  <si>
    <t>COMRETNewLTLEDALASTDELC20</t>
  </si>
  <si>
    <t>COMRETNewLTLEDALAHIGELC20</t>
  </si>
  <si>
    <t>COMRETNewLTLEDPARSTDELC23</t>
  </si>
  <si>
    <t>COMRETNewLTLEDPARHIGELC23</t>
  </si>
  <si>
    <t>COMRETNewLTLEDALASTDELC23</t>
  </si>
  <si>
    <t>COMRETNewLTLEDALAHIGELC23</t>
  </si>
  <si>
    <t>COMRETNewLTLEDPARSTDELC24</t>
  </si>
  <si>
    <t>COMRETNewLTLEDPARHIGELC24</t>
  </si>
  <si>
    <t>COMRETNewLTLEDALASTDELC24</t>
  </si>
  <si>
    <t>COMRETNewLTLEDALAHIGELC24</t>
  </si>
  <si>
    <t>COMRETNewLTLEDPARSTDELC25</t>
  </si>
  <si>
    <t>COMRETNewLTLEDPARHIGELC25</t>
  </si>
  <si>
    <t>COMRETNewLTLEDALASTDELC25</t>
  </si>
  <si>
    <t>COMRETNewLTLEDALAHIGELC25</t>
  </si>
  <si>
    <t>COMRETNewLTLEDPARSTDELC26</t>
  </si>
  <si>
    <t>COMRETNewLTLEDPARHIGELC26</t>
  </si>
  <si>
    <t>COMRETNewLTLEDALASTDELC26</t>
  </si>
  <si>
    <t>COMRETNewLTLEDALAHIGELC26</t>
  </si>
  <si>
    <t>COMRETNewLTCFLSTDELC30</t>
  </si>
  <si>
    <t>COMRETNewLTCFLHIGELC30</t>
  </si>
  <si>
    <t>COMRETNewLTLEDPARSTDELC30</t>
  </si>
  <si>
    <t>COMRETNewLTLEDPARHIGELC30</t>
  </si>
  <si>
    <t>COMRETNewLTCFLSTDELC40</t>
  </si>
  <si>
    <t>COMRETNewLTCFLHIGELC40</t>
  </si>
  <si>
    <t>COMRETNewLTLEDPARSTDELC40</t>
  </si>
  <si>
    <t>COMRETNewLTLEDPARHIGELC40</t>
  </si>
  <si>
    <t>COMRETNewLTFLUT8STDELC20</t>
  </si>
  <si>
    <t>COMRETNewLTFLUT8HIGELC20</t>
  </si>
  <si>
    <t>COMRETNewLTFLUT5STDELC20</t>
  </si>
  <si>
    <t>COMRETNewLTFLUT5HIGELC20</t>
  </si>
  <si>
    <t>COMRETNewLTLEDINTSTDELC20</t>
  </si>
  <si>
    <t>COMRETNewLTLEDINTHIGELC20</t>
  </si>
  <si>
    <t>COMRETNewLTLEDINTSTDELC23</t>
  </si>
  <si>
    <t>COMRETNewLTLEDINTHIGELC23</t>
  </si>
  <si>
    <t>COMRETNewLTLEDINTSTDELC24</t>
  </si>
  <si>
    <t>COMRETNewLTLEDINTHIGELC24</t>
  </si>
  <si>
    <t>COMRETNewLTLEDINTSTDELC25</t>
  </si>
  <si>
    <t>COMRETNewLTLEDINTHIGELC25</t>
  </si>
  <si>
    <t>COMRETNewLTLEDINTSTDELC26</t>
  </si>
  <si>
    <t>COMRETNewLTLEDINTHIGELC26</t>
  </si>
  <si>
    <t>COMRETNewLTLEDINTSTDELC27</t>
  </si>
  <si>
    <t>COMRETNewLTLEDINTHIGELC27</t>
  </si>
  <si>
    <t>COMRETNewLTLEDINTSTDELC28</t>
  </si>
  <si>
    <t>COMRETNewLTLEDINTHIGELC28</t>
  </si>
  <si>
    <t>COMRETNewLTLEDINTSTDELC29</t>
  </si>
  <si>
    <t>COMRETNewLTLEDINTHIGELC29</t>
  </si>
  <si>
    <t>COMRETNewLTFLUT8STDELC30</t>
  </si>
  <si>
    <t>COMRETNewLTFLUT8HIGELC30</t>
  </si>
  <si>
    <t>COMRETNewLTFLUT5STDELC30</t>
  </si>
  <si>
    <t>COMRETNewLTFLUT5HIGELC30</t>
  </si>
  <si>
    <t>COMRETNewLTLEDINTSTDELC30</t>
  </si>
  <si>
    <t>COMRETNewLTLEDINTHIGELC30</t>
  </si>
  <si>
    <t>COMRETNewLTFLUT8STDELC40</t>
  </si>
  <si>
    <t>COMRETNewLTFLUT8HIGELC40</t>
  </si>
  <si>
    <t>COMRETNewLTFLUT5STDELC40</t>
  </si>
  <si>
    <t>COMRETNewLTFLUT5HIGELC40</t>
  </si>
  <si>
    <t>COMRETNewLTLEDINTSTDELC40</t>
  </si>
  <si>
    <t>COMRETNewLTLEDINTHIGELC40</t>
  </si>
  <si>
    <t>COMRETNewLTMERVAPSTDELC20</t>
  </si>
  <si>
    <t>COMRETNewLTMETHALSTDELC20</t>
  </si>
  <si>
    <t>COMRETNewLTSODVAPSTDELC20</t>
  </si>
  <si>
    <t>COMRETNewLTMETHALSTDELC30</t>
  </si>
  <si>
    <t>COMRETNewLTSODVAPSTDELC30</t>
  </si>
  <si>
    <t>COMRETNewLTMETHALSTDELC40</t>
  </si>
  <si>
    <t>COMRETNewLTSODVAPSTDELC40</t>
  </si>
  <si>
    <t>COMRETNewREEUE</t>
  </si>
  <si>
    <t>COMRETNewRECOMSDCLOWELC20</t>
  </si>
  <si>
    <t>COMRETNewRECOMSDCSTDELC20</t>
  </si>
  <si>
    <t>COMRETNewRECOMSDCHIGELC20</t>
  </si>
  <si>
    <t>COMRETNewRECOMSDCSTDELC30</t>
  </si>
  <si>
    <t>COMRETNewRECOMSDCHIGELC30</t>
  </si>
  <si>
    <t>COMRETNewRECOMSDCSTDELC40</t>
  </si>
  <si>
    <t>COMRETNewRECOMSDCHIGELC40</t>
  </si>
  <si>
    <t>COMRETNewRECOMSDCSTDELC50</t>
  </si>
  <si>
    <t>COMRETNewRECOMSDCHIGELC50</t>
  </si>
  <si>
    <t>COMRETNewRECOMWINLOWELC20</t>
  </si>
  <si>
    <t>COMRETNewRECOMWINSTDELC20</t>
  </si>
  <si>
    <t>COMRETNewRECOMWINHIGELC20</t>
  </si>
  <si>
    <t>COMRETNewRECOMWINSTDELC30</t>
  </si>
  <si>
    <t>COMRETNewRECOMWINHIGELC30</t>
  </si>
  <si>
    <t>COMRETNewRECOMWINSTDELC40</t>
  </si>
  <si>
    <t>COMRETNewRECOMWINHIGELC40</t>
  </si>
  <si>
    <t>COMRETNewRECOMWINSTDELC50</t>
  </si>
  <si>
    <t>COMRETNewRECOMWINHIGELC50</t>
  </si>
  <si>
    <t>COMRETNewRECOMRINLOWELC20</t>
  </si>
  <si>
    <t>COMRETNewRECOMRINSTDELC20</t>
  </si>
  <si>
    <t>COMRETNewRECOMRINHIGELC20</t>
  </si>
  <si>
    <t>COMRETNewRECOMRINESTARELC20</t>
  </si>
  <si>
    <t>COMRETNewRECOMRINSTDELC30</t>
  </si>
  <si>
    <t>COMRETNewRECOMRINHIGELC30</t>
  </si>
  <si>
    <t>COMRETNewRECOMRINSTDELC40</t>
  </si>
  <si>
    <t>COMRETNewRECOMRINHIGELC40</t>
  </si>
  <si>
    <t>COMRETNewRECOMRINHIGELC25</t>
  </si>
  <si>
    <t>COMOFFNewSHEUE</t>
  </si>
  <si>
    <t>COMOFFNewSHRTPAHPSTDELC61</t>
  </si>
  <si>
    <t>COMOFFNewSHRTPAHPHIGELC20</t>
  </si>
  <si>
    <t>COMOFFNewSHRTPAHPSTDELC23</t>
  </si>
  <si>
    <t>COMOFFNewSHCOMGHPSTDELC33</t>
  </si>
  <si>
    <t>COMOFFNewSHCOMGHPMIDELC33</t>
  </si>
  <si>
    <t>COMOFFNewSHCOMGHPHIGELC33</t>
  </si>
  <si>
    <t>COMOFFNewSHCOMGHPSTDELC23</t>
  </si>
  <si>
    <t>COMOFFNewSHCOMGHPMIDELC23</t>
  </si>
  <si>
    <t>COMOFFNewSHCOMGHPHIGELC23</t>
  </si>
  <si>
    <t>COMOFFNewSHICEAHPSTDNGA20</t>
  </si>
  <si>
    <t>COMOFFNewSHBOISTDFOI30</t>
  </si>
  <si>
    <t>COMOFFNewSHBOISTDFOI40</t>
  </si>
  <si>
    <t>COMOFFNewSCEUE</t>
  </si>
  <si>
    <t>COMOFFNewSCRTPAHPSTDELC61</t>
  </si>
  <si>
    <t>COMOFFNewSCRTPAHPHIGELC20</t>
  </si>
  <si>
    <t>COMOFFNewSCRTPAHPSTDELC23</t>
  </si>
  <si>
    <t>COMOFFNewSCCOMGHPSTDELC33</t>
  </si>
  <si>
    <t>COMOFFNewSCCOMGHPMIDELC33</t>
  </si>
  <si>
    <t>COMOFFNewSCCOMGHPHIGELC33</t>
  </si>
  <si>
    <t>COMOFFNewSCCOMGHPSTDELC23</t>
  </si>
  <si>
    <t>COMOFFNewSCICEAHPSTDNGA20</t>
  </si>
  <si>
    <t>COMOFFNewSCSCRLACSTDELC30</t>
  </si>
  <si>
    <t>COMOFFNewSCSCRLACHIGELC30</t>
  </si>
  <si>
    <t>COMOFFNewSCSCRLACSTDELC40</t>
  </si>
  <si>
    <t>COMOFFNewSCSCRLACHIGELC40</t>
  </si>
  <si>
    <t>COMOFFNewSCSCRLACHIGELC20</t>
  </si>
  <si>
    <t>COMOFFNewSCSCRWACASHELC61</t>
  </si>
  <si>
    <t>COMOFFNewSCSCRWACHIGELC20</t>
  </si>
  <si>
    <t>COMOFFNewSCSCRWACSTDELC30</t>
  </si>
  <si>
    <t>COMOFFNewSCSCRWACHIGELC30</t>
  </si>
  <si>
    <t>COMOFFNewSCSCRWACSTDELC40</t>
  </si>
  <si>
    <t>COMOFFNewSCSCRWACHIGELC40</t>
  </si>
  <si>
    <t>COMOFFNewSCRECACHIGELC20</t>
  </si>
  <si>
    <t>COMOFFNewSCCENACSTDELC30</t>
  </si>
  <si>
    <t>COMOFFNewSCCENACHIGELC30</t>
  </si>
  <si>
    <t>COMOFFNewSCCENACSTDELC40</t>
  </si>
  <si>
    <t>COMOFFNewSCCENACHIGELC40</t>
  </si>
  <si>
    <t>COMOFFNewSCCENACHIGELC20</t>
  </si>
  <si>
    <t>COMOFFNewSCABSACSTDNGA30</t>
  </si>
  <si>
    <t>COMOFFNewSCRTPACSTDELC23</t>
  </si>
  <si>
    <t>COMOFFNewSCRTPACHIGELC20</t>
  </si>
  <si>
    <t>COMOFFNewSCRACSTDELC30</t>
  </si>
  <si>
    <t>COMOFFNewSCRACHIGELC30</t>
  </si>
  <si>
    <t>COMOFFNewSCRACSTDELC40</t>
  </si>
  <si>
    <t>COMOFFNewSCRACHIGELC40</t>
  </si>
  <si>
    <t>COMOFFNewSCRACHIGELC20</t>
  </si>
  <si>
    <t>COMOFFNewSCRCEACESTARELC23</t>
  </si>
  <si>
    <t>COMOFFNewSCRCEACHIGELC20</t>
  </si>
  <si>
    <t>COMOFFNewSCRCEACSTDELC23</t>
  </si>
  <si>
    <t>COMOFFNewWHEUE</t>
  </si>
  <si>
    <t>COMOFFNewWHSOL30PELC23</t>
  </si>
  <si>
    <t>COMOFFNewWHSOL30PELC24</t>
  </si>
  <si>
    <t>COMOFFNewWHSOL30PELC25</t>
  </si>
  <si>
    <t>COMOFFNewWHSOL30PELC26</t>
  </si>
  <si>
    <t>COMOFFNewWHSOL30PELC27</t>
  </si>
  <si>
    <t>COMOFFNewWHHPSTDELC20</t>
  </si>
  <si>
    <t>COMOFFNewVTEUE</t>
  </si>
  <si>
    <t>COMOFFNewVTCAVLOWELC20</t>
  </si>
  <si>
    <t>COMOFFNewVTCAVSTDELC20</t>
  </si>
  <si>
    <t>COMOFFNewVTCAVHIGELC20</t>
  </si>
  <si>
    <t>COMOFFNewVTCAVSTDELC30</t>
  </si>
  <si>
    <t>COMOFFNewVTCAVHIGELC30</t>
  </si>
  <si>
    <t>COMOFFNewVTCAVSTDELC40</t>
  </si>
  <si>
    <t>COMOFFNewVTCAVHIGELC40</t>
  </si>
  <si>
    <t>COMOFFNewVTCAVSTDELC50</t>
  </si>
  <si>
    <t>COMOFFNewVTCAVHIGELC50</t>
  </si>
  <si>
    <t>COMOFFNewVTVAVLOWELC20</t>
  </si>
  <si>
    <t>COMOFFNewVTVAVHIGELC20</t>
  </si>
  <si>
    <t>COMOFFNewVTVAVSTDELC30</t>
  </si>
  <si>
    <t>COMOFFNewVTVAVHIGELC30</t>
  </si>
  <si>
    <t>COMOFFNewVTVAVSTDELC40</t>
  </si>
  <si>
    <t>COMOFFNewVTVAVHIGELC40</t>
  </si>
  <si>
    <t>COMOFFNewVTVAVSTDELC50</t>
  </si>
  <si>
    <t>COMOFFNewVTVAVHIGELC50</t>
  </si>
  <si>
    <t>COMOFFNewLTEUE</t>
  </si>
  <si>
    <t>COMOFFNewLTHALSTDELC20</t>
  </si>
  <si>
    <t>COMOFFNewLTCFLSTDELC20</t>
  </si>
  <si>
    <t>COMOFFNewLTCFLHIGELC20</t>
  </si>
  <si>
    <t>COMOFFNewLTLEDPARSTDELC20</t>
  </si>
  <si>
    <t>COMOFFNewLTLEDPARHIGELC20</t>
  </si>
  <si>
    <t>COMOFFNewLTLEDALASTDELC20</t>
  </si>
  <si>
    <t>COMOFFNewLTLEDALAHIGELC20</t>
  </si>
  <si>
    <t>COMOFFNewLTLEDPARSTDELC23</t>
  </si>
  <si>
    <t>COMOFFNewLTLEDPARHIGELC23</t>
  </si>
  <si>
    <t>COMOFFNewLTLEDALASTDELC23</t>
  </si>
  <si>
    <t>COMOFFNewLTLEDALAHIGELC23</t>
  </si>
  <si>
    <t>COMOFFNewLTLEDPARSTDELC24</t>
  </si>
  <si>
    <t>COMOFFNewLTLEDPARHIGELC24</t>
  </si>
  <si>
    <t>COMOFFNewLTLEDALASTDELC24</t>
  </si>
  <si>
    <t>COMOFFNewLTLEDALAHIGELC24</t>
  </si>
  <si>
    <t>COMOFFNewLTLEDPARSTDELC25</t>
  </si>
  <si>
    <t>COMOFFNewLTLEDPARHIGELC25</t>
  </si>
  <si>
    <t>COMOFFNewLTLEDALASTDELC25</t>
  </si>
  <si>
    <t>COMOFFNewLTLEDALAHIGELC25</t>
  </si>
  <si>
    <t>COMOFFNewLTLEDPARSTDELC26</t>
  </si>
  <si>
    <t>COMOFFNewLTLEDPARHIGELC26</t>
  </si>
  <si>
    <t>COMOFFNewLTLEDALASTDELC26</t>
  </si>
  <si>
    <t>COMOFFNewLTLEDALAHIGELC26</t>
  </si>
  <si>
    <t>COMOFFNewLTCFLSTDELC30</t>
  </si>
  <si>
    <t>COMOFFNewLTCFLHIGELC30</t>
  </si>
  <si>
    <t>COMOFFNewLTLEDPARSTDELC30</t>
  </si>
  <si>
    <t>COMOFFNewLTLEDPARHIGELC30</t>
  </si>
  <si>
    <t>COMOFFNewLTCFLSTDELC40</t>
  </si>
  <si>
    <t>COMOFFNewLTCFLHIGELC40</t>
  </si>
  <si>
    <t>COMOFFNewLTLEDPARSTDELC40</t>
  </si>
  <si>
    <t>COMOFFNewLTLEDPARHIGELC40</t>
  </si>
  <si>
    <t>COMOFFNewLTFLUT8STDELC20</t>
  </si>
  <si>
    <t>COMOFFNewLTFLUT8HIGELC20</t>
  </si>
  <si>
    <t>COMOFFNewLTFLUT5STDELC20</t>
  </si>
  <si>
    <t>COMOFFNewLTFLUT5HIGELC20</t>
  </si>
  <si>
    <t>COMOFFNewLTLEDINTSTDELC20</t>
  </si>
  <si>
    <t>COMOFFNewLTLEDINTHIGELC20</t>
  </si>
  <si>
    <t>COMOFFNewLTLEDINTSTDELC23</t>
  </si>
  <si>
    <t>COMOFFNewLTLEDINTHIGELC23</t>
  </si>
  <si>
    <t>COMOFFNewLTLEDINTSTDELC24</t>
  </si>
  <si>
    <t>COMOFFNewLTLEDINTHIGELC24</t>
  </si>
  <si>
    <t>COMOFFNewLTLEDINTSTDELC25</t>
  </si>
  <si>
    <t>COMOFFNewLTLEDINTHIGELC25</t>
  </si>
  <si>
    <t>COMOFFNewLTLEDINTSTDELC26</t>
  </si>
  <si>
    <t>COMOFFNewLTLEDINTHIGELC26</t>
  </si>
  <si>
    <t>COMOFFNewLTLEDINTSTDELC27</t>
  </si>
  <si>
    <t>COMOFFNewLTLEDINTHIGELC27</t>
  </si>
  <si>
    <t>COMOFFNewLTLEDINTSTDELC28</t>
  </si>
  <si>
    <t>COMOFFNewLTLEDINTHIGELC28</t>
  </si>
  <si>
    <t>COMOFFNewLTLEDINTSTDELC29</t>
  </si>
  <si>
    <t>COMOFFNewLTLEDINTHIGELC29</t>
  </si>
  <si>
    <t>COMOFFNewLTFLUT8STDELC30</t>
  </si>
  <si>
    <t>COMOFFNewLTFLUT8HIGELC30</t>
  </si>
  <si>
    <t>COMOFFNewLTFLUT5STDELC30</t>
  </si>
  <si>
    <t>COMOFFNewLTFLUT5HIGELC30</t>
  </si>
  <si>
    <t>COMOFFNewLTLEDINTSTDELC30</t>
  </si>
  <si>
    <t>COMOFFNewLTLEDINTHIGELC30</t>
  </si>
  <si>
    <t>COMOFFNewLTFLUT8STDELC40</t>
  </si>
  <si>
    <t>COMOFFNewLTFLUT8HIGELC40</t>
  </si>
  <si>
    <t>COMOFFNewLTFLUT5STDELC40</t>
  </si>
  <si>
    <t>COMOFFNewLTFLUT5HIGELC40</t>
  </si>
  <si>
    <t>COMOFFNewLTLEDINTSTDELC40</t>
  </si>
  <si>
    <t>COMOFFNewLTLEDINTHIGELC40</t>
  </si>
  <si>
    <t>COMOFFNewLTMERVAPSTDELC20</t>
  </si>
  <si>
    <t>COMOFFNewLTMETHALSTDELC20</t>
  </si>
  <si>
    <t>COMOFFNewLTSODVAPSTDELC20</t>
  </si>
  <si>
    <t>COMOFFNewLTMETHALSTDELC30</t>
  </si>
  <si>
    <t>COMOFFNewLTSODVAPSTDELC30</t>
  </si>
  <si>
    <t>COMOFFNewLTMETHALSTDELC40</t>
  </si>
  <si>
    <t>COMOFFNewLTSODVAPSTDELC40</t>
  </si>
  <si>
    <t>COMOFFNewREEUE</t>
  </si>
  <si>
    <t>COMOFFNewRECOMSDCLOWELC20</t>
  </si>
  <si>
    <t>COMOFFNewRECOMSDCSTDELC20</t>
  </si>
  <si>
    <t>COMOFFNewRECOMSDCHIGELC20</t>
  </si>
  <si>
    <t>COMOFFNewRECOMSDCSTDELC30</t>
  </si>
  <si>
    <t>COMOFFNewRECOMSDCHIGELC30</t>
  </si>
  <si>
    <t>COMOFFNewRECOMSDCSTDELC40</t>
  </si>
  <si>
    <t>COMOFFNewRECOMSDCHIGELC40</t>
  </si>
  <si>
    <t>COMOFFNewRECOMSDCSTDELC50</t>
  </si>
  <si>
    <t>COMOFFNewRECOMSDCHIGELC50</t>
  </si>
  <si>
    <t>COMOFFNewRECOMWINLOWELC20</t>
  </si>
  <si>
    <t>COMOFFNewRECOMWINSTDELC20</t>
  </si>
  <si>
    <t>COMOFFNewRECOMWINHIGELC20</t>
  </si>
  <si>
    <t>COMOFFNewRECOMWINSTDELC30</t>
  </si>
  <si>
    <t>COMOFFNewRECOMWINHIGELC30</t>
  </si>
  <si>
    <t>COMOFFNewRECOMWINSTDELC40</t>
  </si>
  <si>
    <t>COMOFFNewRECOMWINHIGELC40</t>
  </si>
  <si>
    <t>COMOFFNewRECOMWINSTDELC50</t>
  </si>
  <si>
    <t>COMOFFNewRECOMWINHIGELC50</t>
  </si>
  <si>
    <t>COMOFFNewRECOMRINLOWELC20</t>
  </si>
  <si>
    <t>COMOFFNewRECOMRINSTDELC20</t>
  </si>
  <si>
    <t>COMOFFNewRECOMRINHIGELC20</t>
  </si>
  <si>
    <t>COMOFFNewRECOMRINESTARELC20</t>
  </si>
  <si>
    <t>COMOFFNewRECOMRINSTDELC30</t>
  </si>
  <si>
    <t>COMOFFNewRECOMRINHIGELC30</t>
  </si>
  <si>
    <t>COMOFFNewRECOMRINSTDELC40</t>
  </si>
  <si>
    <t>COMOFFNewRECOMRINHIGELC40</t>
  </si>
  <si>
    <t>COMOFFNewRECOMRINHIGELC25</t>
  </si>
  <si>
    <t>COMHOPNewSHEUE</t>
  </si>
  <si>
    <t>COMHOPNewSHRTPAHPSTDELC61</t>
  </si>
  <si>
    <t>COMHOPNewSHRTPAHPHIGELC20</t>
  </si>
  <si>
    <t>COMHOPNewSHRTPAHPSTDELC23</t>
  </si>
  <si>
    <t>COMHOPNewSHCOMGHPSTDELC33</t>
  </si>
  <si>
    <t>COMHOPNewSHCOMGHPMIDELC33</t>
  </si>
  <si>
    <t>COMHOPNewSHCOMGHPHIGELC33</t>
  </si>
  <si>
    <t>COMHOPNewSHCOMGHPSTDELC23</t>
  </si>
  <si>
    <t>COMHOPNewSHCOMGHPMIDELC23</t>
  </si>
  <si>
    <t>COMHOPNewSHCOMGHPHIGELC23</t>
  </si>
  <si>
    <t>COMHOPNewSHICEAHPSTDNGA20</t>
  </si>
  <si>
    <t>COMHOPNewSHBOISTDFOI30</t>
  </si>
  <si>
    <t>COMHOPNewSHBOISTDFOI40</t>
  </si>
  <si>
    <t>COMHOPNewSCEUE</t>
  </si>
  <si>
    <t>COMHOPNewSCRTPAHPSTDELC61</t>
  </si>
  <si>
    <t>COMHOPNewSCRTPAHPHIGELC20</t>
  </si>
  <si>
    <t>COMHOPNewSCRTPAHPSTDELC23</t>
  </si>
  <si>
    <t>COMHOPNewSCCOMGHPSTDELC33</t>
  </si>
  <si>
    <t>COMHOPNewSCCOMGHPMIDELC33</t>
  </si>
  <si>
    <t>COMHOPNewSCCOMGHPHIGELC33</t>
  </si>
  <si>
    <t>COMHOPNewSCCOMGHPSTDELC23</t>
  </si>
  <si>
    <t>COMHOPNewSCICEAHPSTDNGA20</t>
  </si>
  <si>
    <t>COMHOPNewSCSCRLACSTDELC30</t>
  </si>
  <si>
    <t>COMHOPNewSCSCRLACHIGELC30</t>
  </si>
  <si>
    <t>COMHOPNewSCSCRLACSTDELC40</t>
  </si>
  <si>
    <t>COMHOPNewSCSCRLACHIGELC40</t>
  </si>
  <si>
    <t>COMHOPNewSCSCRLACHIGELC20</t>
  </si>
  <si>
    <t>COMHOPNewSCSCRWACASHELC61</t>
  </si>
  <si>
    <t>COMHOPNewSCSCRWACHIGELC20</t>
  </si>
  <si>
    <t>COMHOPNewSCSCRWACSTDELC30</t>
  </si>
  <si>
    <t>COMHOPNewSCSCRWACHIGELC30</t>
  </si>
  <si>
    <t>COMHOPNewSCSCRWACSTDELC40</t>
  </si>
  <si>
    <t>COMHOPNewSCSCRWACHIGELC40</t>
  </si>
  <si>
    <t>COMHOPNewSCRECACHIGELC20</t>
  </si>
  <si>
    <t>COMHOPNewSCCENACSTDELC30</t>
  </si>
  <si>
    <t>COMHOPNewSCCENACHIGELC30</t>
  </si>
  <si>
    <t>COMHOPNewSCCENACSTDELC40</t>
  </si>
  <si>
    <t>COMHOPNewSCCENACHIGELC40</t>
  </si>
  <si>
    <t>COMHOPNewSCCENACHIGELC20</t>
  </si>
  <si>
    <t>COMHOPNewSCABSACSTDNGA30</t>
  </si>
  <si>
    <t>COMHOPNewSCRTPACSTDELC23</t>
  </si>
  <si>
    <t>COMHOPNewSCRTPACHIGELC20</t>
  </si>
  <si>
    <t>COMHOPNewSCRACSTDELC30</t>
  </si>
  <si>
    <t>COMHOPNewSCRACHIGELC30</t>
  </si>
  <si>
    <t>COMHOPNewSCRACSTDELC40</t>
  </si>
  <si>
    <t>COMHOPNewSCRACHIGELC40</t>
  </si>
  <si>
    <t>COMHOPNewSCRACHIGELC20</t>
  </si>
  <si>
    <t>COMHOPNewSCRCEACESTARELC23</t>
  </si>
  <si>
    <t>COMHOPNewSCRCEACHIGELC20</t>
  </si>
  <si>
    <t>COMHOPNewSCRCEACSTDELC23</t>
  </si>
  <si>
    <t>COMHOPNewWHEUE</t>
  </si>
  <si>
    <t>COMHOPNewWHSOL30PELC23</t>
  </si>
  <si>
    <t>COMHOPNewWHSOL30PELC24</t>
  </si>
  <si>
    <t>COMHOPNewWHSOL30PELC25</t>
  </si>
  <si>
    <t>COMHOPNewWHSOL30PELC26</t>
  </si>
  <si>
    <t>COMHOPNewWHSOL30PELC27</t>
  </si>
  <si>
    <t>COMHOPNewWHHPSTDELC20</t>
  </si>
  <si>
    <t>COMHOPNewVTEUE</t>
  </si>
  <si>
    <t>COMHOPNewVTCAVLOWELC20</t>
  </si>
  <si>
    <t>COMHOPNewVTCAVSTDELC20</t>
  </si>
  <si>
    <t>COMHOPNewVTCAVHIGELC20</t>
  </si>
  <si>
    <t>COMHOPNewVTCAVSTDELC30</t>
  </si>
  <si>
    <t>COMHOPNewVTCAVHIGELC30</t>
  </si>
  <si>
    <t>COMHOPNewVTCAVSTDELC40</t>
  </si>
  <si>
    <t>COMHOPNewVTCAVHIGELC40</t>
  </si>
  <si>
    <t>COMHOPNewVTCAVSTDELC50</t>
  </si>
  <si>
    <t>COMHOPNewVTCAVHIGELC50</t>
  </si>
  <si>
    <t>COMHOPNewVTVAVLOWELC20</t>
  </si>
  <si>
    <t>COMHOPNewVTVAVHIGELC20</t>
  </si>
  <si>
    <t>COMHOPNewVTVAVSTDELC30</t>
  </si>
  <si>
    <t>COMHOPNewVTVAVHIGELC30</t>
  </si>
  <si>
    <t>COMHOPNewVTVAVSTDELC40</t>
  </si>
  <si>
    <t>COMHOPNewVTVAVHIGELC40</t>
  </si>
  <si>
    <t>COMHOPNewVTVAVSTDELC50</t>
  </si>
  <si>
    <t>COMHOPNewVTVAVHIGELC50</t>
  </si>
  <si>
    <t>COMHOPNewLTEUE</t>
  </si>
  <si>
    <t>COMHOPNewLTHALSTDELC20</t>
  </si>
  <si>
    <t>COMHOPNewLTCFLSTDELC20</t>
  </si>
  <si>
    <t>COMHOPNewLTCFLHIGELC20</t>
  </si>
  <si>
    <t>COMHOPNewLTLEDPARSTDELC20</t>
  </si>
  <si>
    <t>COMHOPNewLTLEDPARHIGELC20</t>
  </si>
  <si>
    <t>COMHOPNewLTLEDALASTDELC20</t>
  </si>
  <si>
    <t>COMHOPNewLTLEDALAHIGELC20</t>
  </si>
  <si>
    <t>COMHOPNewLTLEDPARSTDELC23</t>
  </si>
  <si>
    <t>COMHOPNewLTLEDPARHIGELC23</t>
  </si>
  <si>
    <t>COMHOPNewLTLEDALASTDELC23</t>
  </si>
  <si>
    <t>COMHOPNewLTLEDALAHIGELC23</t>
  </si>
  <si>
    <t>COMHOPNewLTLEDPARSTDELC24</t>
  </si>
  <si>
    <t>COMHOPNewLTLEDPARHIGELC24</t>
  </si>
  <si>
    <t>COMHOPNewLTLEDALASTDELC24</t>
  </si>
  <si>
    <t>COMHOPNewLTLEDALAHIGELC24</t>
  </si>
  <si>
    <t>COMHOPNewLTLEDPARSTDELC25</t>
  </si>
  <si>
    <t>COMHOPNewLTLEDPARHIGELC25</t>
  </si>
  <si>
    <t>COMHOPNewLTLEDALASTDELC25</t>
  </si>
  <si>
    <t>COMHOPNewLTLEDALAHIGELC25</t>
  </si>
  <si>
    <t>COMHOPNewLTLEDPARSTDELC26</t>
  </si>
  <si>
    <t>COMHOPNewLTLEDPARHIGELC26</t>
  </si>
  <si>
    <t>COMHOPNewLTLEDALASTDELC26</t>
  </si>
  <si>
    <t>COMHOPNewLTLEDALAHIGELC26</t>
  </si>
  <si>
    <t>COMHOPNewLTCFLSTDELC30</t>
  </si>
  <si>
    <t>COMHOPNewLTCFLHIGELC30</t>
  </si>
  <si>
    <t>COMHOPNewLTLEDPARSTDELC30</t>
  </si>
  <si>
    <t>COMHOPNewLTLEDPARHIGELC30</t>
  </si>
  <si>
    <t>COMHOPNewLTCFLSTDELC40</t>
  </si>
  <si>
    <t>COMHOPNewLTCFLHIGELC40</t>
  </si>
  <si>
    <t>COMHOPNewLTLEDPARSTDELC40</t>
  </si>
  <si>
    <t>COMHOPNewLTLEDPARHIGELC40</t>
  </si>
  <si>
    <t>COMHOPNewLTFLUT8STDELC20</t>
  </si>
  <si>
    <t>COMHOPNewLTFLUT8HIGELC20</t>
  </si>
  <si>
    <t>COMHOPNewLTFLUT5STDELC20</t>
  </si>
  <si>
    <t>COMHOPNewLTFLUT5HIGELC20</t>
  </si>
  <si>
    <t>COMHOPNewLTLEDINTSTDELC20</t>
  </si>
  <si>
    <t>COMHOPNewLTLEDINTHIGELC20</t>
  </si>
  <si>
    <t>COMHOPNewLTLEDINTSTDELC23</t>
  </si>
  <si>
    <t>COMHOPNewLTLEDINTHIGELC23</t>
  </si>
  <si>
    <t>COMHOPNewLTLEDINTSTDELC24</t>
  </si>
  <si>
    <t>COMHOPNewLTLEDINTHIGELC24</t>
  </si>
  <si>
    <t>COMHOPNewLTLEDINTSTDELC25</t>
  </si>
  <si>
    <t>COMHOPNewLTLEDINTHIGELC25</t>
  </si>
  <si>
    <t>COMHOPNewLTLEDINTSTDELC26</t>
  </si>
  <si>
    <t>COMHOPNewLTLEDINTHIGELC26</t>
  </si>
  <si>
    <t>COMHOPNewLTLEDINTSTDELC27</t>
  </si>
  <si>
    <t>COMHOPNewLTLEDINTHIGELC27</t>
  </si>
  <si>
    <t>COMHOPNewLTLEDINTSTDELC28</t>
  </si>
  <si>
    <t>COMHOPNewLTLEDINTHIGELC28</t>
  </si>
  <si>
    <t>COMHOPNewLTLEDINTSTDELC29</t>
  </si>
  <si>
    <t>COMHOPNewLTLEDINTHIGELC29</t>
  </si>
  <si>
    <t>COMHOPNewLTFLUT8STDELC30</t>
  </si>
  <si>
    <t>COMHOPNewLTFLUT8HIGELC30</t>
  </si>
  <si>
    <t>COMHOPNewLTFLUT5STDELC30</t>
  </si>
  <si>
    <t>COMHOPNewLTFLUT5HIGELC30</t>
  </si>
  <si>
    <t>COMHOPNewLTLEDINTSTDELC30</t>
  </si>
  <si>
    <t>COMHOPNewLTLEDINTHIGELC30</t>
  </si>
  <si>
    <t>COMHOPNewLTFLUT8STDELC40</t>
  </si>
  <si>
    <t>COMHOPNewLTFLUT8HIGELC40</t>
  </si>
  <si>
    <t>COMHOPNewLTFLUT5STDELC40</t>
  </si>
  <si>
    <t>COMHOPNewLTFLUT5HIGELC40</t>
  </si>
  <si>
    <t>COMHOPNewLTLEDINTSTDELC40</t>
  </si>
  <si>
    <t>COMHOPNewLTLEDINTHIGELC40</t>
  </si>
  <si>
    <t>COMHOPNewLTMERVAPSTDELC20</t>
  </si>
  <si>
    <t>COMHOPNewLTMETHALSTDELC20</t>
  </si>
  <si>
    <t>COMHOPNewLTSODVAPSTDELC20</t>
  </si>
  <si>
    <t>COMHOPNewLTMETHALSTDELC30</t>
  </si>
  <si>
    <t>COMHOPNewLTSODVAPSTDELC30</t>
  </si>
  <si>
    <t>COMHOPNewLTMETHALSTDELC40</t>
  </si>
  <si>
    <t>COMHOPNewLTSODVAPSTDELC40</t>
  </si>
  <si>
    <t>COMHOPNewREEUE</t>
  </si>
  <si>
    <t>COMHOPNewRECOMSDCLOWELC20</t>
  </si>
  <si>
    <t>COMHOPNewRECOMSDCSTDELC20</t>
  </si>
  <si>
    <t>COMHOPNewRECOMSDCHIGELC20</t>
  </si>
  <si>
    <t>COMHOPNewRECOMSDCSTDELC30</t>
  </si>
  <si>
    <t>COMHOPNewRECOMSDCHIGELC30</t>
  </si>
  <si>
    <t>COMHOPNewRECOMSDCSTDELC40</t>
  </si>
  <si>
    <t>COMHOPNewRECOMSDCHIGELC40</t>
  </si>
  <si>
    <t>COMHOPNewRECOMSDCSTDELC50</t>
  </si>
  <si>
    <t>COMHOPNewRECOMSDCHIGELC50</t>
  </si>
  <si>
    <t>COMHOPNewRECOMWINLOWELC20</t>
  </si>
  <si>
    <t>COMHOPNewRECOMWINSTDELC20</t>
  </si>
  <si>
    <t>COMHOPNewRECOMWINHIGELC20</t>
  </si>
  <si>
    <t>COMHOPNewRECOMWINSTDELC30</t>
  </si>
  <si>
    <t>COMHOPNewRECOMWINHIGELC30</t>
  </si>
  <si>
    <t>COMHOPNewRECOMWINSTDELC40</t>
  </si>
  <si>
    <t>COMHOPNewRECOMWINHIGELC40</t>
  </si>
  <si>
    <t>COMHOPNewRECOMWINSTDELC50</t>
  </si>
  <si>
    <t>COMHOPNewRECOMWINHIGELC50</t>
  </si>
  <si>
    <t>COMHOPNewRECOMRINLOWELC20</t>
  </si>
  <si>
    <t>COMHOPNewRECOMRINSTDELC20</t>
  </si>
  <si>
    <t>COMHOPNewRECOMRINHIGELC20</t>
  </si>
  <si>
    <t>COMHOPNewRECOMRINESTARELC20</t>
  </si>
  <si>
    <t>COMHOPNewRECOMRINSTDELC30</t>
  </si>
  <si>
    <t>COMHOPNewRECOMRINHIGELC30</t>
  </si>
  <si>
    <t>COMHOPNewRECOMRINSTDELC40</t>
  </si>
  <si>
    <t>COMHOPNewRECOMRINHIGELC40</t>
  </si>
  <si>
    <t>COMHOPNewRECOMRINHIGELC25</t>
  </si>
  <si>
    <t>COMEDUNewSHEUE</t>
  </si>
  <si>
    <t>COMEDUNewSHRTPAHPSTDELC61</t>
  </si>
  <si>
    <t>COMEDUNewSHRTPAHPHIGELC20</t>
  </si>
  <si>
    <t>COMEDUNewSHRTPAHPSTDELC23</t>
  </si>
  <si>
    <t>COMEDUNewSHCOMGHPSTDELC33</t>
  </si>
  <si>
    <t>COMEDUNewSHCOMGHPMIDELC33</t>
  </si>
  <si>
    <t>COMEDUNewSHCOMGHPHIGELC33</t>
  </si>
  <si>
    <t>COMEDUNewSHCOMGHPSTDELC23</t>
  </si>
  <si>
    <t>COMEDUNewSHCOMGHPMIDELC23</t>
  </si>
  <si>
    <t>COMEDUNewSHCOMGHPHIGELC23</t>
  </si>
  <si>
    <t>COMEDUNewSHICEAHPSTDNGA20</t>
  </si>
  <si>
    <t>COMEDUNewSHBOISTDFOI30</t>
  </si>
  <si>
    <t>COMEDUNewSHBOISTDFOI40</t>
  </si>
  <si>
    <t>COMEDUNewSCEUE</t>
  </si>
  <si>
    <t>COMEDUNewSCRTPAHPSTDELC61</t>
  </si>
  <si>
    <t>COMEDUNewSCRTPAHPHIGELC20</t>
  </si>
  <si>
    <t>COMEDUNewSCRTPAHPSTDELC23</t>
  </si>
  <si>
    <t>COMEDUNewSCCOMGHPSTDELC33</t>
  </si>
  <si>
    <t>COMEDUNewSCCOMGHPMIDELC33</t>
  </si>
  <si>
    <t>COMEDUNewSCCOMGHPHIGELC33</t>
  </si>
  <si>
    <t>COMEDUNewSCCOMGHPSTDELC23</t>
  </si>
  <si>
    <t>COMEDUNewSCICEAHPSTDNGA20</t>
  </si>
  <si>
    <t>COMEDUNewSCSCRLACSTDELC30</t>
  </si>
  <si>
    <t>COMEDUNewSCSCRLACHIGELC30</t>
  </si>
  <si>
    <t>COMEDUNewSCSCRLACSTDELC40</t>
  </si>
  <si>
    <t>COMEDUNewSCSCRLACHIGELC40</t>
  </si>
  <si>
    <t>COMEDUNewSCSCRLACHIGELC20</t>
  </si>
  <si>
    <t>COMEDUNewSCSCRWACASHELC61</t>
  </si>
  <si>
    <t>COMEDUNewSCSCRWACHIGELC20</t>
  </si>
  <si>
    <t>COMEDUNewSCSCRWACSTDELC30</t>
  </si>
  <si>
    <t>COMEDUNewSCSCRWACHIGELC30</t>
  </si>
  <si>
    <t>COMEDUNewSCSCRWACSTDELC40</t>
  </si>
  <si>
    <t>COMEDUNewSCSCRWACHIGELC40</t>
  </si>
  <si>
    <t>COMEDUNewSCRECACHIGELC20</t>
  </si>
  <si>
    <t>COMEDUNewSCCENACSTDELC30</t>
  </si>
  <si>
    <t>COMEDUNewSCCENACHIGELC30</t>
  </si>
  <si>
    <t>COMEDUNewSCCENACSTDELC40</t>
  </si>
  <si>
    <t>COMEDUNewSCCENACHIGELC40</t>
  </si>
  <si>
    <t>COMEDUNewSCCENACHIGELC20</t>
  </si>
  <si>
    <t>COMEDUNewSCABSACSTDNGA30</t>
  </si>
  <si>
    <t>COMEDUNewSCRTPACSTDELC23</t>
  </si>
  <si>
    <t>COMEDUNewSCRTPACHIGELC20</t>
  </si>
  <si>
    <t>COMEDUNewSCRACSTDELC30</t>
  </si>
  <si>
    <t>COMEDUNewSCRACHIGELC30</t>
  </si>
  <si>
    <t>COMEDUNewSCRACSTDELC40</t>
  </si>
  <si>
    <t>COMEDUNewSCRACHIGELC40</t>
  </si>
  <si>
    <t>COMEDUNewSCRACHIGELC20</t>
  </si>
  <si>
    <t>COMEDUNewSCRCEACESTARELC23</t>
  </si>
  <si>
    <t>COMEDUNewSCRCEACHIGELC20</t>
  </si>
  <si>
    <t>COMEDUNewSCRCEACSTDELC23</t>
  </si>
  <si>
    <t>COMEDUNewWHEUE</t>
  </si>
  <si>
    <t>COMEDUNewWHSOL30PELC23</t>
  </si>
  <si>
    <t>COMEDUNewWHSOL30PELC24</t>
  </si>
  <si>
    <t>COMEDUNewWHSOL30PELC25</t>
  </si>
  <si>
    <t>COMEDUNewWHSOL30PELC26</t>
  </si>
  <si>
    <t>COMEDUNewWHSOL30PELC27</t>
  </si>
  <si>
    <t>COMEDUNewWHHPSTDELC20</t>
  </si>
  <si>
    <t>COMEDUNewVTEUE</t>
  </si>
  <si>
    <t>COMEDUNewVTCAVLOWELC20</t>
  </si>
  <si>
    <t>COMEDUNewVTCAVSTDELC20</t>
  </si>
  <si>
    <t>COMEDUNewVTCAVHIGELC20</t>
  </si>
  <si>
    <t>COMEDUNewVTCAVSTDELC30</t>
  </si>
  <si>
    <t>COMEDUNewVTCAVHIGELC30</t>
  </si>
  <si>
    <t>COMEDUNewVTCAVSTDELC40</t>
  </si>
  <si>
    <t>COMEDUNewVTCAVHIGELC40</t>
  </si>
  <si>
    <t>COMEDUNewVTCAVSTDELC50</t>
  </si>
  <si>
    <t>COMEDUNewVTCAVHIGELC50</t>
  </si>
  <si>
    <t>COMEDUNewVTVAVLOWELC20</t>
  </si>
  <si>
    <t>COMEDUNewVTVAVHIGELC20</t>
  </si>
  <si>
    <t>COMEDUNewVTVAVSTDELC30</t>
  </si>
  <si>
    <t>COMEDUNewVTVAVHIGELC30</t>
  </si>
  <si>
    <t>COMEDUNewVTVAVSTDELC40</t>
  </si>
  <si>
    <t>COMEDUNewVTVAVHIGELC40</t>
  </si>
  <si>
    <t>COMEDUNewVTVAVSTDELC50</t>
  </si>
  <si>
    <t>COMEDUNewVTVAVHIGELC50</t>
  </si>
  <si>
    <t>COMEDUNewLTEUE</t>
  </si>
  <si>
    <t>COMEDUNewLTHALSTDELC20</t>
  </si>
  <si>
    <t>COMEDUNewLTCFLSTDELC20</t>
  </si>
  <si>
    <t>COMEDUNewLTCFLHIGELC20</t>
  </si>
  <si>
    <t>COMEDUNewLTLEDPARSTDELC20</t>
  </si>
  <si>
    <t>COMEDUNewLTLEDPARHIGELC20</t>
  </si>
  <si>
    <t>COMEDUNewLTLEDALASTDELC20</t>
  </si>
  <si>
    <t>COMEDUNewLTLEDALAHIGELC20</t>
  </si>
  <si>
    <t>COMEDUNewLTLEDPARSTDELC23</t>
  </si>
  <si>
    <t>COMEDUNewLTLEDPARHIGELC23</t>
  </si>
  <si>
    <t>COMEDUNewLTLEDALASTDELC23</t>
  </si>
  <si>
    <t>COMEDUNewLTLEDALAHIGELC23</t>
  </si>
  <si>
    <t>COMEDUNewLTLEDPARSTDELC24</t>
  </si>
  <si>
    <t>COMEDUNewLTLEDPARHIGELC24</t>
  </si>
  <si>
    <t>COMEDUNewLTLEDALASTDELC24</t>
  </si>
  <si>
    <t>COMEDUNewLTLEDALAHIGELC24</t>
  </si>
  <si>
    <t>COMEDUNewLTLEDPARSTDELC25</t>
  </si>
  <si>
    <t>COMEDUNewLTLEDPARHIGELC25</t>
  </si>
  <si>
    <t>COMEDUNewLTLEDALASTDELC25</t>
  </si>
  <si>
    <t>COMEDUNewLTLEDALAHIGELC25</t>
  </si>
  <si>
    <t>COMEDUNewLTLEDPARSTDELC26</t>
  </si>
  <si>
    <t>COMEDUNewLTLEDPARHIGELC26</t>
  </si>
  <si>
    <t>COMEDUNewLTLEDALASTDELC26</t>
  </si>
  <si>
    <t>COMEDUNewLTLEDALAHIGELC26</t>
  </si>
  <si>
    <t>COMEDUNewLTCFLSTDELC30</t>
  </si>
  <si>
    <t>COMEDUNewLTCFLHIGELC30</t>
  </si>
  <si>
    <t>COMEDUNewLTLEDPARSTDELC30</t>
  </si>
  <si>
    <t>COMEDUNewLTLEDPARHIGELC30</t>
  </si>
  <si>
    <t>COMEDUNewLTCFLSTDELC40</t>
  </si>
  <si>
    <t>COMEDUNewLTCFLHIGELC40</t>
  </si>
  <si>
    <t>COMEDUNewLTLEDPARSTDELC40</t>
  </si>
  <si>
    <t>COMEDUNewLTLEDPARHIGELC40</t>
  </si>
  <si>
    <t>COMEDUNewLTFLUT8STDELC20</t>
  </si>
  <si>
    <t>COMEDUNewLTFLUT8HIGELC20</t>
  </si>
  <si>
    <t>COMEDUNewLTFLUT5STDELC20</t>
  </si>
  <si>
    <t>COMEDUNewLTFLUT5HIGELC20</t>
  </si>
  <si>
    <t>COMEDUNewLTLEDINTSTDELC20</t>
  </si>
  <si>
    <t>COMEDUNewLTLEDINTHIGELC20</t>
  </si>
  <si>
    <t>COMEDUNewLTLEDINTSTDELC23</t>
  </si>
  <si>
    <t>COMEDUNewLTLEDINTHIGELC23</t>
  </si>
  <si>
    <t>COMEDUNewLTLEDINTSTDELC24</t>
  </si>
  <si>
    <t>COMEDUNewLTLEDINTHIGELC24</t>
  </si>
  <si>
    <t>COMEDUNewLTLEDINTSTDELC25</t>
  </si>
  <si>
    <t>COMEDUNewLTLEDINTHIGELC25</t>
  </si>
  <si>
    <t>COMEDUNewLTLEDINTSTDELC26</t>
  </si>
  <si>
    <t>COMEDUNewLTLEDINTHIGELC26</t>
  </si>
  <si>
    <t>COMEDUNewLTLEDINTSTDELC27</t>
  </si>
  <si>
    <t>COMEDUNewLTLEDINTHIGELC27</t>
  </si>
  <si>
    <t>COMEDUNewLTLEDINTSTDELC28</t>
  </si>
  <si>
    <t>COMEDUNewLTLEDINTHIGELC28</t>
  </si>
  <si>
    <t>COMEDUNewLTLEDINTSTDELC29</t>
  </si>
  <si>
    <t>COMEDUNewLTLEDINTHIGELC29</t>
  </si>
  <si>
    <t>COMEDUNewLTFLUT8STDELC30</t>
  </si>
  <si>
    <t>COMEDUNewLTFLUT8HIGELC30</t>
  </si>
  <si>
    <t>COMEDUNewLTFLUT5STDELC30</t>
  </si>
  <si>
    <t>COMEDUNewLTFLUT5HIGELC30</t>
  </si>
  <si>
    <t>COMEDUNewLTLEDINTSTDELC30</t>
  </si>
  <si>
    <t>COMEDUNewLTLEDINTHIGELC30</t>
  </si>
  <si>
    <t>COMEDUNewLTFLUT8STDELC40</t>
  </si>
  <si>
    <t>COMEDUNewLTFLUT8HIGELC40</t>
  </si>
  <si>
    <t>COMEDUNewLTFLUT5STDELC40</t>
  </si>
  <si>
    <t>COMEDUNewLTFLUT5HIGELC40</t>
  </si>
  <si>
    <t>COMEDUNewLTLEDINTSTDELC40</t>
  </si>
  <si>
    <t>COMEDUNewLTLEDINTHIGELC40</t>
  </si>
  <si>
    <t>COMEDUNewLTMERVAPSTDELC20</t>
  </si>
  <si>
    <t>COMEDUNewLTMETHALSTDELC20</t>
  </si>
  <si>
    <t>COMEDUNewLTSODVAPSTDELC20</t>
  </si>
  <si>
    <t>COMEDUNewLTMETHALSTDELC30</t>
  </si>
  <si>
    <t>COMEDUNewLTSODVAPSTDELC30</t>
  </si>
  <si>
    <t>COMEDUNewLTMETHALSTDELC40</t>
  </si>
  <si>
    <t>COMEDUNewLTSODVAPSTDELC40</t>
  </si>
  <si>
    <t>COMEDUNewREEUE</t>
  </si>
  <si>
    <t>COMEDUNewRECOMSDCLOWELC20</t>
  </si>
  <si>
    <t>COMEDUNewRECOMSDCSTDELC20</t>
  </si>
  <si>
    <t>COMEDUNewRECOMSDCHIGELC20</t>
  </si>
  <si>
    <t>COMEDUNewRECOMSDCSTDELC30</t>
  </si>
  <si>
    <t>COMEDUNewRECOMSDCHIGELC30</t>
  </si>
  <si>
    <t>COMEDUNewRECOMSDCSTDELC40</t>
  </si>
  <si>
    <t>COMEDUNewRECOMSDCHIGELC40</t>
  </si>
  <si>
    <t>COMEDUNewRECOMSDCSTDELC50</t>
  </si>
  <si>
    <t>COMEDUNewRECOMSDCHIGELC50</t>
  </si>
  <si>
    <t>COMEDUNewRECOMWINLOWELC20</t>
  </si>
  <si>
    <t>COMEDUNewRECOMWINSTDELC20</t>
  </si>
  <si>
    <t>COMEDUNewRECOMWINHIGELC20</t>
  </si>
  <si>
    <t>COMEDUNewRECOMWINSTDELC30</t>
  </si>
  <si>
    <t>COMEDUNewRECOMWINHIGELC30</t>
  </si>
  <si>
    <t>COMEDUNewRECOMWINSTDELC40</t>
  </si>
  <si>
    <t>COMEDUNewRECOMWINHIGELC40</t>
  </si>
  <si>
    <t>COMEDUNewRECOMWINSTDELC50</t>
  </si>
  <si>
    <t>COMEDUNewRECOMWINHIGELC50</t>
  </si>
  <si>
    <t>COMEDUNewRECOMRINLOWELC20</t>
  </si>
  <si>
    <t>COMEDUNewRECOMRINSTDELC20</t>
  </si>
  <si>
    <t>COMEDUNewRECOMRINHIGELC20</t>
  </si>
  <si>
    <t>COMEDUNewRECOMRINESTARELC20</t>
  </si>
  <si>
    <t>COMEDUNewRECOMRINSTDELC30</t>
  </si>
  <si>
    <t>COMEDUNewRECOMRINHIGELC30</t>
  </si>
  <si>
    <t>COMEDUNewRECOMRINSTDELC40</t>
  </si>
  <si>
    <t>COMEDUNewRECOMRINHIGELC40</t>
  </si>
  <si>
    <t>COMEDUNewRECOMRINHIGELC25</t>
  </si>
  <si>
    <t>COMWARNewSHEUE</t>
  </si>
  <si>
    <t>COMWARNewSHRTPAHPSTDELC61</t>
  </si>
  <si>
    <t>COMWARNewSHRTPAHPHIGELC20</t>
  </si>
  <si>
    <t>COMWARNewSHRTPAHPSTDELC23</t>
  </si>
  <si>
    <t>COMWARNewSHCOMGHPSTDELC33</t>
  </si>
  <si>
    <t>COMWARNewSHCOMGHPMIDELC33</t>
  </si>
  <si>
    <t>COMWARNewSHCOMGHPHIGELC33</t>
  </si>
  <si>
    <t>COMWARNewSHCOMGHPSTDELC23</t>
  </si>
  <si>
    <t>COMWARNewSHCOMGHPMIDELC23</t>
  </si>
  <si>
    <t>COMWARNewSHCOMGHPHIGELC23</t>
  </si>
  <si>
    <t>COMWARNewSHICEAHPSTDNGA20</t>
  </si>
  <si>
    <t>COMWARNewSHBOISTDFOI30</t>
  </si>
  <si>
    <t>COMWARNewSHBOISTDFOI40</t>
  </si>
  <si>
    <t>COMWARNewSCEUE</t>
  </si>
  <si>
    <t>COMWARNewSCRTPAHPSTDELC61</t>
  </si>
  <si>
    <t>COMWARNewSCRTPAHPHIGELC20</t>
  </si>
  <si>
    <t>COMWARNewSCRTPAHPSTDELC23</t>
  </si>
  <si>
    <t>COMWARNewSCCOMGHPSTDELC33</t>
  </si>
  <si>
    <t>COMWARNewSCCOMGHPMIDELC33</t>
  </si>
  <si>
    <t>COMWARNewSCCOMGHPHIGELC33</t>
  </si>
  <si>
    <t>COMWARNewSCCOMGHPSTDELC23</t>
  </si>
  <si>
    <t>COMWARNewSCICEAHPSTDNGA20</t>
  </si>
  <si>
    <t>COMWARNewSCSCRLACSTDELC30</t>
  </si>
  <si>
    <t>COMWARNewSCSCRLACHIGELC30</t>
  </si>
  <si>
    <t>COMWARNewSCSCRLACSTDELC40</t>
  </si>
  <si>
    <t>COMWARNewSCSCRLACHIGELC40</t>
  </si>
  <si>
    <t>COMWARNewSCSCRLACHIGELC20</t>
  </si>
  <si>
    <t>COMWARNewSCSCRWACASHELC61</t>
  </si>
  <si>
    <t>COMWARNewSCSCRWACHIGELC20</t>
  </si>
  <si>
    <t>COMWARNewSCSCRWACSTDELC30</t>
  </si>
  <si>
    <t>COMWARNewSCSCRWACHIGELC30</t>
  </si>
  <si>
    <t>COMWARNewSCSCRWACSTDELC40</t>
  </si>
  <si>
    <t>COMWARNewSCSCRWACHIGELC40</t>
  </si>
  <si>
    <t>COMWARNewSCRECACHIGELC20</t>
  </si>
  <si>
    <t>COMWARNewSCCENACSTDELC30</t>
  </si>
  <si>
    <t>COMWARNewSCCENACHIGELC30</t>
  </si>
  <si>
    <t>COMWARNewSCCENACSTDELC40</t>
  </si>
  <si>
    <t>COMWARNewSCCENACHIGELC40</t>
  </si>
  <si>
    <t>COMWARNewSCCENACHIGELC20</t>
  </si>
  <si>
    <t>COMWARNewSCABSACSTDNGA30</t>
  </si>
  <si>
    <t>COMWARNewSCRTPACSTDELC23</t>
  </si>
  <si>
    <t>COMWARNewSCRTPACHIGELC20</t>
  </si>
  <si>
    <t>COMWARNewSCRACSTDELC30</t>
  </si>
  <si>
    <t>COMWARNewSCRACHIGELC30</t>
  </si>
  <si>
    <t>COMWARNewSCRACSTDELC40</t>
  </si>
  <si>
    <t>COMWARNewSCRACHIGELC40</t>
  </si>
  <si>
    <t>COMWARNewSCRACHIGELC20</t>
  </si>
  <si>
    <t>COMWARNewSCRCEACESTARELC23</t>
  </si>
  <si>
    <t>COMWARNewSCRCEACHIGELC20</t>
  </si>
  <si>
    <t>COMWARNewSCRCEACSTDELC23</t>
  </si>
  <si>
    <t>COMWARNewWHEUE</t>
  </si>
  <si>
    <t>COMWARNewWHSOL30PELC23</t>
  </si>
  <si>
    <t>COMWARNewWHSOL30PELC24</t>
  </si>
  <si>
    <t>COMWARNewWHSOL30PELC25</t>
  </si>
  <si>
    <t>COMWARNewWHSOL30PELC26</t>
  </si>
  <si>
    <t>COMWARNewWHSOL30PELC27</t>
  </si>
  <si>
    <t>COMWARNewWHHPSTDELC20</t>
  </si>
  <si>
    <t>COMWARNewVTEUE</t>
  </si>
  <si>
    <t>COMWARNewVTCAVLOWELC20</t>
  </si>
  <si>
    <t>COMWARNewVTCAVSTDELC20</t>
  </si>
  <si>
    <t>COMWARNewVTCAVHIGELC20</t>
  </si>
  <si>
    <t>COMWARNewVTCAVSTDELC30</t>
  </si>
  <si>
    <t>COMWARNewVTCAVHIGELC30</t>
  </si>
  <si>
    <t>COMWARNewVTCAVSTDELC40</t>
  </si>
  <si>
    <t>COMWARNewVTCAVHIGELC40</t>
  </si>
  <si>
    <t>COMWARNewVTCAVSTDELC50</t>
  </si>
  <si>
    <t>COMWARNewVTCAVHIGELC50</t>
  </si>
  <si>
    <t>COMWARNewVTVAVLOWELC20</t>
  </si>
  <si>
    <t>COMWARNewVTVAVHIGELC20</t>
  </si>
  <si>
    <t>COMWARNewVTVAVSTDELC30</t>
  </si>
  <si>
    <t>COMWARNewVTVAVHIGELC30</t>
  </si>
  <si>
    <t>COMWARNewVTVAVSTDELC40</t>
  </si>
  <si>
    <t>COMWARNewVTVAVHIGELC40</t>
  </si>
  <si>
    <t>COMWARNewVTVAVSTDELC50</t>
  </si>
  <si>
    <t>COMWARNewVTVAVHIGELC50</t>
  </si>
  <si>
    <t>COMWARNewLTEUE</t>
  </si>
  <si>
    <t>COMWARNewLTHALSTDELC20</t>
  </si>
  <si>
    <t>COMWARNewLTCFLSTDELC20</t>
  </si>
  <si>
    <t>COMWARNewLTCFLHIGELC20</t>
  </si>
  <si>
    <t>COMWARNewLTLEDPARSTDELC20</t>
  </si>
  <si>
    <t>COMWARNewLTLEDPARHIGELC20</t>
  </si>
  <si>
    <t>COMWARNewLTLEDALASTDELC20</t>
  </si>
  <si>
    <t>COMWARNewLTLEDALAHIGELC20</t>
  </si>
  <si>
    <t>COMWARNewLTLEDPARSTDELC23</t>
  </si>
  <si>
    <t>COMWARNewLTLEDPARHIGELC23</t>
  </si>
  <si>
    <t>COMWARNewLTLEDALASTDELC23</t>
  </si>
  <si>
    <t>COMWARNewLTLEDALAHIGELC23</t>
  </si>
  <si>
    <t>COMWARNewLTLEDPARSTDELC24</t>
  </si>
  <si>
    <t>COMWARNewLTLEDPARHIGELC24</t>
  </si>
  <si>
    <t>COMWARNewLTLEDALASTDELC24</t>
  </si>
  <si>
    <t>COMWARNewLTLEDALAHIGELC24</t>
  </si>
  <si>
    <t>COMWARNewLTLEDPARSTDELC25</t>
  </si>
  <si>
    <t>COMWARNewLTLEDPARHIGELC25</t>
  </si>
  <si>
    <t>COMWARNewLTLEDALASTDELC25</t>
  </si>
  <si>
    <t>COMWARNewLTLEDALAHIGELC25</t>
  </si>
  <si>
    <t>COMWARNewLTLEDPARSTDELC26</t>
  </si>
  <si>
    <t>COMWARNewLTLEDPARHIGELC26</t>
  </si>
  <si>
    <t>COMWARNewLTLEDALASTDELC26</t>
  </si>
  <si>
    <t>COMWARNewLTLEDALAHIGELC26</t>
  </si>
  <si>
    <t>COMWARNewLTCFLSTDELC30</t>
  </si>
  <si>
    <t>COMWARNewLTCFLHIGELC30</t>
  </si>
  <si>
    <t>COMWARNewLTLEDPARSTDELC30</t>
  </si>
  <si>
    <t>COMWARNewLTLEDPARHIGELC30</t>
  </si>
  <si>
    <t>COMWARNewLTCFLSTDELC40</t>
  </si>
  <si>
    <t>COMWARNewLTCFLHIGELC40</t>
  </si>
  <si>
    <t>COMWARNewLTLEDPARSTDELC40</t>
  </si>
  <si>
    <t>COMWARNewLTLEDPARHIGELC40</t>
  </si>
  <si>
    <t>COMWARNewLTFLUT8STDELC20</t>
  </si>
  <si>
    <t>COMWARNewLTFLUT8HIGELC20</t>
  </si>
  <si>
    <t>COMWARNewLTFLUT5STDELC20</t>
  </si>
  <si>
    <t>COMWARNewLTFLUT5HIGELC20</t>
  </si>
  <si>
    <t>COMWARNewLTLEDINTSTDELC20</t>
  </si>
  <si>
    <t>COMWARNewLTLEDINTHIGELC20</t>
  </si>
  <si>
    <t>COMWARNewLTLEDINTSTDELC23</t>
  </si>
  <si>
    <t>COMWARNewLTLEDINTHIGELC23</t>
  </si>
  <si>
    <t>COMWARNewLTLEDINTSTDELC24</t>
  </si>
  <si>
    <t>COMWARNewLTLEDINTHIGELC24</t>
  </si>
  <si>
    <t>COMWARNewLTLEDINTSTDELC25</t>
  </si>
  <si>
    <t>COMWARNewLTLEDINTHIGELC25</t>
  </si>
  <si>
    <t>COMWARNewLTLEDINTSTDELC26</t>
  </si>
  <si>
    <t>COMWARNewLTLEDINTHIGELC26</t>
  </si>
  <si>
    <t>COMWARNewLTLEDINTSTDELC27</t>
  </si>
  <si>
    <t>COMWARNewLTLEDINTHIGELC27</t>
  </si>
  <si>
    <t>COMWARNewLTLEDINTSTDELC28</t>
  </si>
  <si>
    <t>COMWARNewLTLEDINTHIGELC28</t>
  </si>
  <si>
    <t>COMWARNewLTLEDINTSTDELC29</t>
  </si>
  <si>
    <t>COMWARNewLTLEDINTHIGELC29</t>
  </si>
  <si>
    <t>COMWARNewLTFLUT8STDELC30</t>
  </si>
  <si>
    <t>COMWARNewLTFLUT8HIGELC30</t>
  </si>
  <si>
    <t>COMWARNewLTFLUT5STDELC30</t>
  </si>
  <si>
    <t>COMWARNewLTFLUT5HIGELC30</t>
  </si>
  <si>
    <t>COMWARNewLTLEDINTSTDELC30</t>
  </si>
  <si>
    <t>COMWARNewLTLEDINTHIGELC30</t>
  </si>
  <si>
    <t>COMWARNewLTFLUT8STDELC40</t>
  </si>
  <si>
    <t>COMWARNewLTFLUT8HIGELC40</t>
  </si>
  <si>
    <t>COMWARNewLTFLUT5STDELC40</t>
  </si>
  <si>
    <t>COMWARNewLTFLUT5HIGELC40</t>
  </si>
  <si>
    <t>COMWARNewLTLEDINTSTDELC40</t>
  </si>
  <si>
    <t>COMWARNewLTLEDINTHIGELC40</t>
  </si>
  <si>
    <t>COMWARNewLTMERVAPSTDELC20</t>
  </si>
  <si>
    <t>COMWARNewLTMETHALSTDELC20</t>
  </si>
  <si>
    <t>COMWARNewLTSODVAPSTDELC20</t>
  </si>
  <si>
    <t>COMWARNewLTMETHALSTDELC30</t>
  </si>
  <si>
    <t>COMWARNewLTSODVAPSTDELC30</t>
  </si>
  <si>
    <t>COMWARNewLTMETHALSTDELC40</t>
  </si>
  <si>
    <t>COMWARNewLTSODVAPSTDELC40</t>
  </si>
  <si>
    <t>COMWARNewREEUE</t>
  </si>
  <si>
    <t>COMWARNewRECOMSDCLOWELC20</t>
  </si>
  <si>
    <t>COMWARNewRECOMSDCSTDELC20</t>
  </si>
  <si>
    <t>COMWARNewRECOMSDCHIGELC20</t>
  </si>
  <si>
    <t>COMWARNewRECOMSDCSTDELC30</t>
  </si>
  <si>
    <t>COMWARNewRECOMSDCHIGELC30</t>
  </si>
  <si>
    <t>COMWARNewRECOMSDCSTDELC40</t>
  </si>
  <si>
    <t>COMWARNewRECOMSDCHIGELC40</t>
  </si>
  <si>
    <t>COMWARNewRECOMSDCSTDELC50</t>
  </si>
  <si>
    <t>COMWARNewRECOMSDCHIGELC50</t>
  </si>
  <si>
    <t>COMWARNewRECOMWINLOWELC20</t>
  </si>
  <si>
    <t>COMWARNewRECOMWINSTDELC20</t>
  </si>
  <si>
    <t>COMWARNewRECOMWINHIGELC20</t>
  </si>
  <si>
    <t>COMWARNewRECOMWINSTDELC30</t>
  </si>
  <si>
    <t>COMWARNewRECOMWINHIGELC30</t>
  </si>
  <si>
    <t>COMWARNewRECOMWINSTDELC40</t>
  </si>
  <si>
    <t>COMWARNewRECOMWINHIGELC40</t>
  </si>
  <si>
    <t>COMWARNewRECOMWINSTDELC50</t>
  </si>
  <si>
    <t>COMWARNewRECOMWINHIGELC50</t>
  </si>
  <si>
    <t>COMWARNewRECOMRINLOWELC20</t>
  </si>
  <si>
    <t>COMWARNewRECOMRINSTDELC20</t>
  </si>
  <si>
    <t>COMWARNewRECOMRINHIGELC20</t>
  </si>
  <si>
    <t>COMWARNewRECOMRINESTARELC20</t>
  </si>
  <si>
    <t>COMWARNewRECOMRINSTDELC30</t>
  </si>
  <si>
    <t>COMWARNewRECOMRINHIGELC30</t>
  </si>
  <si>
    <t>COMWARNewRECOMRINSTDELC40</t>
  </si>
  <si>
    <t>COMWARNewRECOMRINHIGELC40</t>
  </si>
  <si>
    <t>COMWARNewRECOMRINHIGELC25</t>
  </si>
  <si>
    <t>COMMUNNewSHEUE</t>
  </si>
  <si>
    <t>COMMUNNewSHRTPAHPHIGELC20</t>
  </si>
  <si>
    <t>COMMUNNewSHRTPAHPSTDELC23</t>
  </si>
  <si>
    <t>COMMUNNewSHCOMGHPSTDELC33</t>
  </si>
  <si>
    <t>COMMUNNewSHCOMGHPMIDELC33</t>
  </si>
  <si>
    <t>COMMUNNewSHCOMGHPHIGELC33</t>
  </si>
  <si>
    <t>COMMUNNewSHCOMGHPSTDELC23</t>
  </si>
  <si>
    <t>COMMUNNewSHCOMGHPMIDELC23</t>
  </si>
  <si>
    <t>COMMUNNewSHCOMGHPHIGELC23</t>
  </si>
  <si>
    <t>COMMUNNewSHICEAHPSTDNGA20</t>
  </si>
  <si>
    <t>COMMUNNewSHBOISTDFOI30</t>
  </si>
  <si>
    <t>COMMUNNewSHBOISTDFOI40</t>
  </si>
  <si>
    <t>COMMUNNewSCEUE</t>
  </si>
  <si>
    <t>COMMUNNewSCRTPAHPSTDELC61</t>
  </si>
  <si>
    <t>COMMUNNewSCRTPAHPHIGELC20</t>
  </si>
  <si>
    <t>COMMUNNewSCRTPAHPSTDELC23</t>
  </si>
  <si>
    <t>COMMUNNewSCCOMGHPSTDELC33</t>
  </si>
  <si>
    <t>COMMUNNewSCCOMGHPMIDELC33</t>
  </si>
  <si>
    <t>COMMUNNewSCCOMGHPHIGELC33</t>
  </si>
  <si>
    <t>COMMUNNewSCCOMGHPSTDELC23</t>
  </si>
  <si>
    <t>COMMUNNewSCICEAHPSTDNGA20</t>
  </si>
  <si>
    <t>COMMUNNewSCSCRLACSTDELC30</t>
  </si>
  <si>
    <t>COMMUNNewSCSCRLACHIGELC30</t>
  </si>
  <si>
    <t>COMMUNNewSCSCRLACSTDELC40</t>
  </si>
  <si>
    <t>COMMUNNewSCSCRLACHIGELC40</t>
  </si>
  <si>
    <t>COMMUNNewSCSCRLACHIGELC20</t>
  </si>
  <si>
    <t>COMMUNNewSCSCRWACASHELC61</t>
  </si>
  <si>
    <t>COMMUNNewSCSCRWACHIGELC20</t>
  </si>
  <si>
    <t>COMMUNNewSCSCRWACSTDELC30</t>
  </si>
  <si>
    <t>COMMUNNewSCSCRWACHIGELC30</t>
  </si>
  <si>
    <t>COMMUNNewSCSCRWACSTDELC40</t>
  </si>
  <si>
    <t>COMMUNNewSCSCRWACHIGELC40</t>
  </si>
  <si>
    <t>COMMUNNewSCRECACHIGELC20</t>
  </si>
  <si>
    <t>COMMUNNewSCCENACSTDELC30</t>
  </si>
  <si>
    <t>COMMUNNewSCCENACHIGELC30</t>
  </si>
  <si>
    <t>COMMUNNewSCCENACSTDELC40</t>
  </si>
  <si>
    <t>COMMUNNewSCCENACHIGELC40</t>
  </si>
  <si>
    <t>COMMUNNewSCCENACHIGELC20</t>
  </si>
  <si>
    <t>COMMUNNewSCABSACSTDNGA30</t>
  </si>
  <si>
    <t>COMMUNNewSCRTPACSTDELC23</t>
  </si>
  <si>
    <t>COMMUNNewSCRTPACHIGELC20</t>
  </si>
  <si>
    <t>COMMUNNewSCRACSTDELC30</t>
  </si>
  <si>
    <t>COMMUNNewSCRACHIGELC30</t>
  </si>
  <si>
    <t>COMMUNNewSCRACSTDELC40</t>
  </si>
  <si>
    <t>COMMUNNewSCRACHIGELC40</t>
  </si>
  <si>
    <t>COMMUNNewSCRACHIGELC20</t>
  </si>
  <si>
    <t>COMMUNNewSCRCEACESTARELC23</t>
  </si>
  <si>
    <t>COMMUNNewSCRCEACHIGELC20</t>
  </si>
  <si>
    <t>COMMUNNewSCRCEACSTDELC23</t>
  </si>
  <si>
    <t>COMMUNNewWHEUE</t>
  </si>
  <si>
    <t>COMMUNNewWHSOL30PELC23</t>
  </si>
  <si>
    <t>COMMUNNewWHSOL30PELC24</t>
  </si>
  <si>
    <t>COMMUNNewWHSOL30PELC25</t>
  </si>
  <si>
    <t>COMMUNNewWHSOL30PELC26</t>
  </si>
  <si>
    <t>COMMUNNewWHSOL30PELC27</t>
  </si>
  <si>
    <t>COMMUNNewWHHPSTDELC20</t>
  </si>
  <si>
    <t>COMMUNNewVTEUE</t>
  </si>
  <si>
    <t>COMMUNNewVTCAVLOWELC20</t>
  </si>
  <si>
    <t>COMMUNNewVTCAVSTDELC20</t>
  </si>
  <si>
    <t>COMMUNNewVTCAVHIGELC20</t>
  </si>
  <si>
    <t>COMMUNNewVTCAVSTDELC30</t>
  </si>
  <si>
    <t>COMMUNNewVTCAVHIGELC30</t>
  </si>
  <si>
    <t>COMMUNNewVTCAVSTDELC40</t>
  </si>
  <si>
    <t>COMMUNNewVTCAVHIGELC40</t>
  </si>
  <si>
    <t>COMMUNNewVTCAVSTDELC50</t>
  </si>
  <si>
    <t>COMMUNNewVTCAVHIGELC50</t>
  </si>
  <si>
    <t>COMMUNNewVTVAVLOWELC20</t>
  </si>
  <si>
    <t>COMMUNNewVTVAVHIGELC20</t>
  </si>
  <si>
    <t>COMMUNNewVTVAVSTDELC30</t>
  </si>
  <si>
    <t>COMMUNNewVTVAVHIGELC30</t>
  </si>
  <si>
    <t>COMMUNNewVTVAVSTDELC40</t>
  </si>
  <si>
    <t>COMMUNNewVTVAVHIGELC40</t>
  </si>
  <si>
    <t>COMMUNNewVTVAVSTDELC50</t>
  </si>
  <si>
    <t>COMMUNNewVTVAVHIGELC50</t>
  </si>
  <si>
    <t>COMMUNNewLTEUE</t>
  </si>
  <si>
    <t>COMMUNNewLTHALSTDELC20</t>
  </si>
  <si>
    <t>COMMUNNewLTCFLSTDELC20</t>
  </si>
  <si>
    <t>COMMUNNewLTCFLHIGELC20</t>
  </si>
  <si>
    <t>COMMUNNewLTLEDPARSTDELC20</t>
  </si>
  <si>
    <t>COMMUNNewLTLEDPARHIGELC20</t>
  </si>
  <si>
    <t>COMMUNNewLTLEDALASTDELC20</t>
  </si>
  <si>
    <t>COMMUNNewLTLEDALAHIGELC20</t>
  </si>
  <si>
    <t>COMMUNNewLTLEDPARSTDELC23</t>
  </si>
  <si>
    <t>COMMUNNewLTLEDPARHIGELC23</t>
  </si>
  <si>
    <t>COMMUNNewLTLEDALASTDELC23</t>
  </si>
  <si>
    <t>COMMUNNewLTLEDALAHIGELC23</t>
  </si>
  <si>
    <t>COMMUNNewLTLEDPARSTDELC24</t>
  </si>
  <si>
    <t>COMMUNNewLTLEDPARHIGELC24</t>
  </si>
  <si>
    <t>COMMUNNewLTLEDALASTDELC24</t>
  </si>
  <si>
    <t>COMMUNNewLTLEDALAHIGELC24</t>
  </si>
  <si>
    <t>COMMUNNewLTLEDPARSTDELC25</t>
  </si>
  <si>
    <t>COMMUNNewLTLEDPARHIGELC25</t>
  </si>
  <si>
    <t>COMMUNNewLTLEDALASTDELC25</t>
  </si>
  <si>
    <t>COMMUNNewLTLEDALAHIGELC25</t>
  </si>
  <si>
    <t>COMMUNNewLTLEDPARSTDELC26</t>
  </si>
  <si>
    <t>COMMUNNewLTLEDPARHIGELC26</t>
  </si>
  <si>
    <t>COMMUNNewLTLEDALASTDELC26</t>
  </si>
  <si>
    <t>COMMUNNewLTLEDALAHIGELC26</t>
  </si>
  <si>
    <t>COMMUNNewLTCFLSTDELC30</t>
  </si>
  <si>
    <t>COMMUNNewLTCFLHIGELC30</t>
  </si>
  <si>
    <t>COMMUNNewLTLEDPARSTDELC30</t>
  </si>
  <si>
    <t>COMMUNNewLTLEDPARHIGELC30</t>
  </si>
  <si>
    <t>COMMUNNewLTCFLSTDELC40</t>
  </si>
  <si>
    <t>COMMUNNewLTCFLHIGELC40</t>
  </si>
  <si>
    <t>COMMUNNewLTLEDPARSTDELC40</t>
  </si>
  <si>
    <t>COMMUNNewLTLEDPARHIGELC40</t>
  </si>
  <si>
    <t>COMMUNNewLTFLUT8STDELC20</t>
  </si>
  <si>
    <t>COMMUNNewLTFLUT8HIGELC20</t>
  </si>
  <si>
    <t>COMMUNNewLTFLUT5STDELC20</t>
  </si>
  <si>
    <t>COMMUNNewLTFLUT5HIGELC20</t>
  </si>
  <si>
    <t>COMMUNNewLTLEDINTSTDELC20</t>
  </si>
  <si>
    <t>COMMUNNewLTLEDINTHIGELC20</t>
  </si>
  <si>
    <t>COMMUNNewLTLEDINTSTDELC23</t>
  </si>
  <si>
    <t>COMMUNNewLTLEDINTHIGELC23</t>
  </si>
  <si>
    <t>COMMUNNewLTLEDINTSTDELC24</t>
  </si>
  <si>
    <t>COMMUNNewLTLEDINTHIGELC24</t>
  </si>
  <si>
    <t>COMMUNNewLTLEDINTSTDELC25</t>
  </si>
  <si>
    <t>COMMUNNewLTLEDINTHIGELC25</t>
  </si>
  <si>
    <t>COMMUNNewLTLEDINTSTDELC26</t>
  </si>
  <si>
    <t>COMMUNNewLTLEDINTHIGELC26</t>
  </si>
  <si>
    <t>COMMUNNewLTLEDINTSTDELC27</t>
  </si>
  <si>
    <t>COMMUNNewLTLEDINTHIGELC27</t>
  </si>
  <si>
    <t>COMMUNNewLTLEDINTSTDELC28</t>
  </si>
  <si>
    <t>COMMUNNewLTLEDINTHIGELC28</t>
  </si>
  <si>
    <t>COMMUNNewLTLEDINTSTDELC29</t>
  </si>
  <si>
    <t>COMMUNNewLTLEDINTHIGELC29</t>
  </si>
  <si>
    <t>COMMUNNewLTFLUT8STDELC30</t>
  </si>
  <si>
    <t>COMMUNNewLTFLUT8HIGELC30</t>
  </si>
  <si>
    <t>COMMUNNewLTFLUT5STDELC30</t>
  </si>
  <si>
    <t>COMMUNNewLTFLUT5HIGELC30</t>
  </si>
  <si>
    <t>COMMUNNewLTLEDINTSTDELC30</t>
  </si>
  <si>
    <t>COMMUNNewLTLEDINTHIGELC30</t>
  </si>
  <si>
    <t>COMMUNNewLTFLUT8STDELC40</t>
  </si>
  <si>
    <t>COMMUNNewLTFLUT8HIGELC40</t>
  </si>
  <si>
    <t>COMMUNNewLTFLUT5STDELC40</t>
  </si>
  <si>
    <t>COMMUNNewLTFLUT5HIGELC40</t>
  </si>
  <si>
    <t>COMMUNNewLTLEDINTSTDELC40</t>
  </si>
  <si>
    <t>COMMUNNewLTLEDINTHIGELC40</t>
  </si>
  <si>
    <t>COMMUNNewLTMERVAPSTDELC20</t>
  </si>
  <si>
    <t>COMMUNNewLTMETHALSTDELC20</t>
  </si>
  <si>
    <t>COMMUNNewLTSODVAPSTDELC20</t>
  </si>
  <si>
    <t>COMMUNNewLTMETHALSTDELC30</t>
  </si>
  <si>
    <t>COMMUNNewLTSODVAPSTDELC30</t>
  </si>
  <si>
    <t>COMMUNNewLTMETHALSTDELC40</t>
  </si>
  <si>
    <t>COMMUNNewLTSODVAPSTDELC40</t>
  </si>
  <si>
    <t>COMMUNNewREEUE</t>
  </si>
  <si>
    <t>COMMUNNewRECOMSDCLOWELC20</t>
  </si>
  <si>
    <t>COMMUNNewRECOMSDCSTDELC20</t>
  </si>
  <si>
    <t>COMMUNNewRECOMSDCHIGELC20</t>
  </si>
  <si>
    <t>COMMUNNewRECOMSDCSTDELC30</t>
  </si>
  <si>
    <t>COMMUNNewRECOMSDCHIGELC30</t>
  </si>
  <si>
    <t>COMMUNNewRECOMSDCSTDELC40</t>
  </si>
  <si>
    <t>COMMUNNewRECOMSDCHIGELC40</t>
  </si>
  <si>
    <t>COMMUNNewRECOMSDCSTDELC50</t>
  </si>
  <si>
    <t>COMMUNNewRECOMSDCHIGELC50</t>
  </si>
  <si>
    <t>COMMUNNewRECOMWINLOWELC20</t>
  </si>
  <si>
    <t>COMMUNNewRECOMWINSTDELC20</t>
  </si>
  <si>
    <t>COMMUNNewRECOMWINHIGELC20</t>
  </si>
  <si>
    <t>COMMUNNewRECOMWINSTDELC30</t>
  </si>
  <si>
    <t>COMMUNNewRECOMWINHIGELC30</t>
  </si>
  <si>
    <t>COMMUNNewRECOMWINSTDELC40</t>
  </si>
  <si>
    <t>COMMUNNewRECOMWINHIGELC40</t>
  </si>
  <si>
    <t>COMMUNNewRECOMWINSTDELC50</t>
  </si>
  <si>
    <t>COMMUNNewRECOMWINHIGELC50</t>
  </si>
  <si>
    <t>COMMUNNewRECOMRINLOWELC20</t>
  </si>
  <si>
    <t>COMMUNNewRECOMRINSTDELC20</t>
  </si>
  <si>
    <t>COMMUNNewRECOMRINHIGELC20</t>
  </si>
  <si>
    <t>COMMUNNewRECOMRINESTARELC20</t>
  </si>
  <si>
    <t>COMMUNNewRECOMRINSTDELC30</t>
  </si>
  <si>
    <t>COMMUNNewRECOMRINHIGELC30</t>
  </si>
  <si>
    <t>COMMUNNewRECOMRINSTDELC40</t>
  </si>
  <si>
    <t>COMMUNNewRECOMRINHIGELC40</t>
  </si>
  <si>
    <t>COMMUNNewRECOMRINHIGELC25</t>
  </si>
  <si>
    <t>COMOTHNewSHEUE</t>
  </si>
  <si>
    <t>COMOTHNewSHRTPAHPHIGELC20</t>
  </si>
  <si>
    <t>COMOTHNewSHRTPAHPSTDELC23</t>
  </si>
  <si>
    <t>COMOTHNewSHCOMGHPSTDELC33</t>
  </si>
  <si>
    <t>COMOTHNewSHCOMGHPMIDELC33</t>
  </si>
  <si>
    <t>COMOTHNewSHCOMGHPHIGELC33</t>
  </si>
  <si>
    <t>COMOTHNewSHCOMGHPSTDELC23</t>
  </si>
  <si>
    <t>COMOTHNewSHCOMGHPMIDELC23</t>
  </si>
  <si>
    <t>COMOTHNewSHCOMGHPHIGELC23</t>
  </si>
  <si>
    <t>COMOTHNewSHICEAHPSTDNGA20</t>
  </si>
  <si>
    <t>COMOTHNewSHBOISTDFOI30</t>
  </si>
  <si>
    <t>COMOTHNewSHBOISTDFOI40</t>
  </si>
  <si>
    <t>COMOTHNewSCEUE</t>
  </si>
  <si>
    <t>COMOTHNewSCRTPAHPSTDELC61</t>
  </si>
  <si>
    <t>COMOTHNewSCRTPAHPHIGELC20</t>
  </si>
  <si>
    <t>COMOTHNewSCRTPAHPSTDELC23</t>
  </si>
  <si>
    <t>COMOTHNewSCCOMGHPSTDELC33</t>
  </si>
  <si>
    <t>COMOTHNewSCCOMGHPMIDELC33</t>
  </si>
  <si>
    <t>COMOTHNewSCCOMGHPHIGELC33</t>
  </si>
  <si>
    <t>COMOTHNewSCCOMGHPSTDELC23</t>
  </si>
  <si>
    <t>COMOTHNewSCICEAHPSTDNGA20</t>
  </si>
  <si>
    <t>COMOTHNewSCSCRLACSTDELC30</t>
  </si>
  <si>
    <t>COMOTHNewSCSCRLACHIGELC30</t>
  </si>
  <si>
    <t>COMOTHNewSCSCRLACSTDELC40</t>
  </si>
  <si>
    <t>COMOTHNewSCSCRLACHIGELC40</t>
  </si>
  <si>
    <t>COMOTHNewSCSCRLACHIGELC20</t>
  </si>
  <si>
    <t>COMOTHNewSCSCRWACASHELC61</t>
  </si>
  <si>
    <t>COMOTHNewSCSCRWACHIGELC20</t>
  </si>
  <si>
    <t>COMOTHNewSCSCRWACSTDELC30</t>
  </si>
  <si>
    <t>COMOTHNewSCSCRWACHIGELC30</t>
  </si>
  <si>
    <t>COMOTHNewSCSCRWACSTDELC40</t>
  </si>
  <si>
    <t>COMOTHNewSCSCRWACHIGELC40</t>
  </si>
  <si>
    <t>COMOTHNewSCRECACHIGELC20</t>
  </si>
  <si>
    <t>COMOTHNewSCCENACSTDELC30</t>
  </si>
  <si>
    <t>COMOTHNewSCCENACHIGELC30</t>
  </si>
  <si>
    <t>COMOTHNewSCCENACSTDELC40</t>
  </si>
  <si>
    <t>COMOTHNewSCCENACHIGELC40</t>
  </si>
  <si>
    <t>COMOTHNewSCCENACHIGELC20</t>
  </si>
  <si>
    <t>COMOTHNewSCABSACSTDNGA30</t>
  </si>
  <si>
    <t>COMOTHNewSCRTPACSTDELC23</t>
  </si>
  <si>
    <t>COMOTHNewSCRTPACHIGELC20</t>
  </si>
  <si>
    <t>COMOTHNewSCRACSTDELC30</t>
  </si>
  <si>
    <t>COMOTHNewSCRACHIGELC30</t>
  </si>
  <si>
    <t>COMOTHNewSCRACSTDELC40</t>
  </si>
  <si>
    <t>COMOTHNewSCRACHIGELC40</t>
  </si>
  <si>
    <t>COMOTHNewSCRACHIGELC20</t>
  </si>
  <si>
    <t>COMOTHNewSCRCEACESTARELC23</t>
  </si>
  <si>
    <t>COMOTHNewSCRCEACHIGELC20</t>
  </si>
  <si>
    <t>COMOTHNewSCRCEACSTDELC23</t>
  </si>
  <si>
    <t>COMOTHNewWHEUE</t>
  </si>
  <si>
    <t>COMOTHNewWHSOL30PELC23</t>
  </si>
  <si>
    <t>COMOTHNewWHSOL30PELC24</t>
  </si>
  <si>
    <t>COMOTHNewWHSOL30PELC25</t>
  </si>
  <si>
    <t>COMOTHNewWHSOL30PELC26</t>
  </si>
  <si>
    <t>COMOTHNewWHSOL30PELC27</t>
  </si>
  <si>
    <t>COMOTHNewWHHPSTDELC20</t>
  </si>
  <si>
    <t>COMOTHNewVTEUE</t>
  </si>
  <si>
    <t>COMOTHNewVTCAVLOWELC20</t>
  </si>
  <si>
    <t>COMOTHNewVTCAVSTDELC20</t>
  </si>
  <si>
    <t>COMOTHNewVTCAVHIGELC20</t>
  </si>
  <si>
    <t>COMOTHNewVTCAVSTDELC30</t>
  </si>
  <si>
    <t>COMOTHNewVTCAVHIGELC30</t>
  </si>
  <si>
    <t>COMOTHNewVTCAVSTDELC40</t>
  </si>
  <si>
    <t>COMOTHNewVTCAVHIGELC40</t>
  </si>
  <si>
    <t>COMOTHNewVTCAVSTDELC50</t>
  </si>
  <si>
    <t>COMOTHNewVTCAVHIGELC50</t>
  </si>
  <si>
    <t>COMOTHNewVTVAVLOWELC20</t>
  </si>
  <si>
    <t>COMOTHNewVTVAVHIGELC20</t>
  </si>
  <si>
    <t>COMOTHNewVTVAVSTDELC30</t>
  </si>
  <si>
    <t>COMOTHNewVTVAVHIGELC30</t>
  </si>
  <si>
    <t>COMOTHNewVTVAVSTDELC40</t>
  </si>
  <si>
    <t>COMOTHNewVTVAVHIGELC40</t>
  </si>
  <si>
    <t>COMOTHNewVTVAVSTDELC50</t>
  </si>
  <si>
    <t>COMOTHNewVTVAVHIGELC50</t>
  </si>
  <si>
    <t>COMOTHNewLTEUE</t>
  </si>
  <si>
    <t>COMOTHNewLTHALSTDELC20</t>
  </si>
  <si>
    <t>COMOTHNewLTCFLSTDELC20</t>
  </si>
  <si>
    <t>COMOTHNewLTCFLHIGELC20</t>
  </si>
  <si>
    <t>COMOTHNewLTLEDPARSTDELC20</t>
  </si>
  <si>
    <t>COMOTHNewLTLEDPARHIGELC20</t>
  </si>
  <si>
    <t>COMOTHNewLTLEDALASTDELC20</t>
  </si>
  <si>
    <t>COMOTHNewLTLEDALAHIGELC20</t>
  </si>
  <si>
    <t>COMOTHNewLTLEDPARSTDELC23</t>
  </si>
  <si>
    <t>COMOTHNewLTLEDPARHIGELC23</t>
  </si>
  <si>
    <t>COMOTHNewLTLEDALASTDELC23</t>
  </si>
  <si>
    <t>COMOTHNewLTLEDALAHIGELC23</t>
  </si>
  <si>
    <t>COMOTHNewLTLEDPARSTDELC24</t>
  </si>
  <si>
    <t>COMOTHNewLTLEDPARHIGELC24</t>
  </si>
  <si>
    <t>COMOTHNewLTLEDALASTDELC24</t>
  </si>
  <si>
    <t>COMOTHNewLTLEDALAHIGELC24</t>
  </si>
  <si>
    <t>COMOTHNewLTLEDPARSTDELC25</t>
  </si>
  <si>
    <t>COMOTHNewLTLEDPARHIGELC25</t>
  </si>
  <si>
    <t>COMOTHNewLTLEDALASTDELC25</t>
  </si>
  <si>
    <t>COMOTHNewLTLEDALAHIGELC25</t>
  </si>
  <si>
    <t>COMOTHNewLTLEDPARSTDELC26</t>
  </si>
  <si>
    <t>COMOTHNewLTLEDPARHIGELC26</t>
  </si>
  <si>
    <t>COMOTHNewLTLEDALASTDELC26</t>
  </si>
  <si>
    <t>COMOTHNewLTLEDALAHIGELC26</t>
  </si>
  <si>
    <t>COMOTHNewLTCFLSTDELC30</t>
  </si>
  <si>
    <t>COMOTHNewLTCFLHIGELC30</t>
  </si>
  <si>
    <t>COMOTHNewLTLEDPARSTDELC30</t>
  </si>
  <si>
    <t>COMOTHNewLTLEDPARHIGELC30</t>
  </si>
  <si>
    <t>COMOTHNewLTCFLSTDELC40</t>
  </si>
  <si>
    <t>COMOTHNewLTCFLHIGELC40</t>
  </si>
  <si>
    <t>COMOTHNewLTLEDPARSTDELC40</t>
  </si>
  <si>
    <t>COMOTHNewLTLEDPARHIGELC40</t>
  </si>
  <si>
    <t>COMOTHNewLTFLUT8STDELC20</t>
  </si>
  <si>
    <t>COMOTHNewLTFLUT8HIGELC20</t>
  </si>
  <si>
    <t>COMOTHNewLTFLUT5STDELC20</t>
  </si>
  <si>
    <t>COMOTHNewLTFLUT5HIGELC20</t>
  </si>
  <si>
    <t>COMOTHNewLTLEDINTSTDELC20</t>
  </si>
  <si>
    <t>COMOTHNewLTLEDINTHIGELC20</t>
  </si>
  <si>
    <t>COMOTHNewLTLEDINTSTDELC23</t>
  </si>
  <si>
    <t>COMOTHNewLTLEDINTHIGELC23</t>
  </si>
  <si>
    <t>COMOTHNewLTLEDINTSTDELC24</t>
  </si>
  <si>
    <t>COMOTHNewLTLEDINTHIGELC24</t>
  </si>
  <si>
    <t>COMOTHNewLTLEDINTSTDELC25</t>
  </si>
  <si>
    <t>COMOTHNewLTLEDINTHIGELC25</t>
  </si>
  <si>
    <t>COMOTHNewLTLEDINTSTDELC26</t>
  </si>
  <si>
    <t>COMOTHNewLTLEDINTHIGELC26</t>
  </si>
  <si>
    <t>COMOTHNewLTLEDINTSTDELC27</t>
  </si>
  <si>
    <t>COMOTHNewLTLEDINTHIGELC27</t>
  </si>
  <si>
    <t>COMOTHNewLTLEDINTSTDELC28</t>
  </si>
  <si>
    <t>COMOTHNewLTLEDINTHIGELC28</t>
  </si>
  <si>
    <t>COMOTHNewLTLEDINTSTDELC29</t>
  </si>
  <si>
    <t>COMOTHNewLTLEDINTHIGELC29</t>
  </si>
  <si>
    <t>COMOTHNewLTFLUT8STDELC30</t>
  </si>
  <si>
    <t>COMOTHNewLTFLUT8HIGELC30</t>
  </si>
  <si>
    <t>COMOTHNewLTFLUT5STDELC30</t>
  </si>
  <si>
    <t>COMOTHNewLTFLUT5HIGELC30</t>
  </si>
  <si>
    <t>COMOTHNewLTLEDINTSTDELC30</t>
  </si>
  <si>
    <t>COMOTHNewLTLEDINTHIGELC30</t>
  </si>
  <si>
    <t>COMOTHNewLTFLUT8STDELC40</t>
  </si>
  <si>
    <t>COMOTHNewLTFLUT8HIGELC40</t>
  </si>
  <si>
    <t>COMOTHNewLTFLUT5STDELC40</t>
  </si>
  <si>
    <t>COMOTHNewLTFLUT5HIGELC40</t>
  </si>
  <si>
    <t>COMOTHNewLTLEDINTSTDELC40</t>
  </si>
  <si>
    <t>COMOTHNewLTLEDINTHIGELC40</t>
  </si>
  <si>
    <t>COMOTHNewLTMERVAPSTDELC20</t>
  </si>
  <si>
    <t>COMOTHNewLTMETHALSTDELC20</t>
  </si>
  <si>
    <t>COMOTHNewLTSODVAPSTDELC20</t>
  </si>
  <si>
    <t>COMOTHNewLTMETHALSTDELC30</t>
  </si>
  <si>
    <t>COMOTHNewLTSODVAPSTDELC30</t>
  </si>
  <si>
    <t>COMOTHNewLTMETHALSTDELC40</t>
  </si>
  <si>
    <t>COMOTHNewLTSODVAPSTDELC40</t>
  </si>
  <si>
    <t>COMOTHNewREEUE</t>
  </si>
  <si>
    <t>COMOTHNewRECOMSDCLOWELC20</t>
  </si>
  <si>
    <t>COMOTHNewRECOMSDCSTDELC20</t>
  </si>
  <si>
    <t>COMOTHNewRECOMSDCHIGELC20</t>
  </si>
  <si>
    <t>COMOTHNewRECOMSDCSTDELC30</t>
  </si>
  <si>
    <t>COMOTHNewRECOMSDCHIGELC30</t>
  </si>
  <si>
    <t>COMOTHNewRECOMSDCSTDELC40</t>
  </si>
  <si>
    <t>COMOTHNewRECOMSDCHIGELC40</t>
  </si>
  <si>
    <t>COMOTHNewRECOMSDCSTDELC50</t>
  </si>
  <si>
    <t>COMOTHNewRECOMSDCHIGELC50</t>
  </si>
  <si>
    <t>COMOTHNewRECOMWINLOWELC20</t>
  </si>
  <si>
    <t>COMOTHNewRECOMWINSTDELC20</t>
  </si>
  <si>
    <t>COMOTHNewRECOMWINHIGELC20</t>
  </si>
  <si>
    <t>COMOTHNewRECOMWINSTDELC30</t>
  </si>
  <si>
    <t>COMOTHNewRECOMWINHIGELC30</t>
  </si>
  <si>
    <t>COMOTHNewRECOMWINSTDELC40</t>
  </si>
  <si>
    <t>COMOTHNewRECOMWINHIGELC40</t>
  </si>
  <si>
    <t>COMOTHNewRECOMWINSTDELC50</t>
  </si>
  <si>
    <t>COMOTHNewRECOMWINHIGELC50</t>
  </si>
  <si>
    <t>COMOTHNewRECOMRINLOWELC20</t>
  </si>
  <si>
    <t>COMOTHNewRECOMRINSTDELC20</t>
  </si>
  <si>
    <t>COMOTHNewRECOMRINHIGELC20</t>
  </si>
  <si>
    <t>COMOTHNewRECOMRINESTARELC20</t>
  </si>
  <si>
    <t>COMOTHNewRECOMRINSTDELC30</t>
  </si>
  <si>
    <t>COMOTHNewRECOMRINHIGELC30</t>
  </si>
  <si>
    <t>COMOTHNewRECOMRINSTDELC40</t>
  </si>
  <si>
    <t>COMOTHNewRECOMRINHIGELC40</t>
  </si>
  <si>
    <t>COMOTHNewRECOMRINHIGELC25</t>
  </si>
  <si>
    <t>Cooking</t>
  </si>
  <si>
    <t>Range Oven</t>
  </si>
  <si>
    <t>Cooking Range Oven Standard Electricity 2013</t>
  </si>
  <si>
    <t>COMHOTOldCKEUE</t>
  </si>
  <si>
    <t>COMHOTOldCKRANSTDELC20</t>
  </si>
  <si>
    <t>COMRETOldCKEUE</t>
  </si>
  <si>
    <t>COMRETOldCKRANSTDELC20</t>
  </si>
  <si>
    <t>COMOFFOldCKEUE</t>
  </si>
  <si>
    <t>COMOFFOldCKRANSTDELC20</t>
  </si>
  <si>
    <t>COMHOPOldCKEUE</t>
  </si>
  <si>
    <t>COMHOPOldCKRANSTDELC20</t>
  </si>
  <si>
    <t>COMEDUOldCKEUE</t>
  </si>
  <si>
    <t>COMEDUOldCKRANSTDELC20</t>
  </si>
  <si>
    <t>COMWAROldCKEUE</t>
  </si>
  <si>
    <t>COMWAROldCKRANSTDELC20</t>
  </si>
  <si>
    <t>COMMUNOldCKEUE</t>
  </si>
  <si>
    <t>COMMUNOldCKRANSTDELC20</t>
  </si>
  <si>
    <t>COMOTHOldCKEUE</t>
  </si>
  <si>
    <t>COMOTHOldCKRANSTDELC20</t>
  </si>
  <si>
    <t>COMHOTNewCKEUE</t>
  </si>
  <si>
    <t>COMHOTNewCKRANSTDELC20</t>
  </si>
  <si>
    <t>COMRETNewCKEUE</t>
  </si>
  <si>
    <t>COMRETNewCKRANSTDELC20</t>
  </si>
  <si>
    <t>COMOFFNewCKEUE</t>
  </si>
  <si>
    <t>COMOFFNewCKRANSTDELC20</t>
  </si>
  <si>
    <t>COMHOPNewCKEUE</t>
  </si>
  <si>
    <t>COMHOPNewCKRANSTDELC20</t>
  </si>
  <si>
    <t>COMEDUNewCKEUE</t>
  </si>
  <si>
    <t>COMEDUNewCKRANSTDELC20</t>
  </si>
  <si>
    <t>COMWARNewCKEUE</t>
  </si>
  <si>
    <t>COMWARNewCKRANSTDELC20</t>
  </si>
  <si>
    <t>COMMUNNewCKEUE</t>
  </si>
  <si>
    <t>COMMUNNewCKRANSTDELC20</t>
  </si>
  <si>
    <t>COMOTHNewCKEUE</t>
  </si>
  <si>
    <t>COMOTHNewCKRANSTDELC20</t>
  </si>
  <si>
    <t>Other end use</t>
  </si>
  <si>
    <t>COMHOTOldOEEUE</t>
  </si>
  <si>
    <t>COMHOTOldOESTDELC20</t>
  </si>
  <si>
    <t>TJa</t>
  </si>
  <si>
    <t>COMRETOldOEEUE</t>
  </si>
  <si>
    <t>COMRETOldOESTDELC20</t>
  </si>
  <si>
    <t>COMOFFOldOEEUE</t>
  </si>
  <si>
    <t>COMOFFOldOESTDELC20</t>
  </si>
  <si>
    <t>COMHOPOldOEEUE</t>
  </si>
  <si>
    <t>COMHOPOldOESTDELC20</t>
  </si>
  <si>
    <t>COMEDUOldOEEUE</t>
  </si>
  <si>
    <t>COMEDUOldOESTDELC20</t>
  </si>
  <si>
    <t>COMWAROldOEEUE</t>
  </si>
  <si>
    <t>COMWAROldOESTDELC20</t>
  </si>
  <si>
    <t>COMMUNOldOEEUE</t>
  </si>
  <si>
    <t>COMMUNOldOESTDELC20</t>
  </si>
  <si>
    <t>COMOTHOldOEEUE</t>
  </si>
  <si>
    <t>COMOTHOldOESTDELC20</t>
  </si>
  <si>
    <t>COMHOTNewOEEUE</t>
  </si>
  <si>
    <t>COMHOTNewOESTDELC20</t>
  </si>
  <si>
    <t>COMRETNewOEEUE</t>
  </si>
  <si>
    <t>COMRETNewOESTDELC20</t>
  </si>
  <si>
    <t>COMOFFNewOEEUE</t>
  </si>
  <si>
    <t>COMOFFNewOESTDELC20</t>
  </si>
  <si>
    <t>COMHOPNewOEEUE</t>
  </si>
  <si>
    <t>COMHOPNewOESTDELC20</t>
  </si>
  <si>
    <t>COMEDUNewOEEUE</t>
  </si>
  <si>
    <t>COMEDUNewOESTDELC20</t>
  </si>
  <si>
    <t>COMWARNewOEEUE</t>
  </si>
  <si>
    <t>COMWARNewOESTDELC20</t>
  </si>
  <si>
    <t>COMMUNNewOEEUE</t>
  </si>
  <si>
    <t>COMMUNNewOESTDELC20</t>
  </si>
  <si>
    <t>COMOTHNewOEEUE</t>
  </si>
  <si>
    <t>COMOTHNewOESTDELC20</t>
  </si>
  <si>
    <t>COMHOTOldOESTDNGA20</t>
  </si>
  <si>
    <t>COMRETOldOESTDNGA20</t>
  </si>
  <si>
    <t>COMOFFOldOESTDNGA20</t>
  </si>
  <si>
    <t>COMHOPOldOESTDNGA20</t>
  </si>
  <si>
    <t>COMEDUOldOESTDNGA20</t>
  </si>
  <si>
    <t>COMWAROldOESTDNGA20</t>
  </si>
  <si>
    <t>COMMUNOldOESTDNGA20</t>
  </si>
  <si>
    <t>COMOTHOldOESTDNGA20</t>
  </si>
  <si>
    <t>COMHOTNewOESTDNGA20</t>
  </si>
  <si>
    <t>COMRETNewOESTDNGA20</t>
  </si>
  <si>
    <t>COMOFFNewOESTDNGA20</t>
  </si>
  <si>
    <t>COMHOPNewOESTDNGA20</t>
  </si>
  <si>
    <t>COMEDUNewOESTDNGA20</t>
  </si>
  <si>
    <t>COMWARNewOESTDNGA20</t>
  </si>
  <si>
    <t>COMMUNNewOESTDNGA20</t>
  </si>
  <si>
    <t>COMOTHNewOESTDNGA20</t>
  </si>
  <si>
    <t>Water heating  Standard Natural gas 2013</t>
  </si>
  <si>
    <t>COMHOTOldWHSTDNGA20</t>
  </si>
  <si>
    <t>COMRETOldWHSTDNGA20</t>
  </si>
  <si>
    <t>COMOFFOldWHSTDNGA20</t>
  </si>
  <si>
    <t>COMHOPOldWHSTDNGA20</t>
  </si>
  <si>
    <t>COMEDUOldWHSTDNGA20</t>
  </si>
  <si>
    <t>COMWAROldWHSTDNGA20</t>
  </si>
  <si>
    <t>COMMUNOldWHSTDNGA20</t>
  </si>
  <si>
    <t>COMOTHOldWHSTDNGA20</t>
  </si>
  <si>
    <t>COMHOTNewWHSTDNGA20</t>
  </si>
  <si>
    <t>COMRETNewWHSTDNGA20</t>
  </si>
  <si>
    <t>COMOFFNewWHSTDNGA20</t>
  </si>
  <si>
    <t>COMHOPNewWHSTDNGA20</t>
  </si>
  <si>
    <t>COMEDUNewWHSTDNGA20</t>
  </si>
  <si>
    <t>COMWARNewWHSTDNGA20</t>
  </si>
  <si>
    <t>COMMUNNewWHSTDNGA20</t>
  </si>
  <si>
    <t>COMOTHNewWHSTDNGA20</t>
  </si>
  <si>
    <t>Water heating  Energy Star Natural gas 2013</t>
  </si>
  <si>
    <t>COMHOTOldWHESTARNGA20</t>
  </si>
  <si>
    <t>COMRETOldWHESTARNGA20</t>
  </si>
  <si>
    <t>COMOFFOldWHESTARNGA20</t>
  </si>
  <si>
    <t>COMHOPOldWHESTARNGA20</t>
  </si>
  <si>
    <t>COMEDUOldWHESTARNGA20</t>
  </si>
  <si>
    <t>COMWAROldWHESTARNGA20</t>
  </si>
  <si>
    <t>COMMUNOldWHESTARNGA20</t>
  </si>
  <si>
    <t>COMOTHOldWHESTARNGA20</t>
  </si>
  <si>
    <t>COMHOTNewWHESTARNGA20</t>
  </si>
  <si>
    <t>COMRETNewWHESTARNGA20</t>
  </si>
  <si>
    <t>COMOFFNewWHESTARNGA20</t>
  </si>
  <si>
    <t>COMHOPNewWHESTARNGA20</t>
  </si>
  <si>
    <t>COMEDUNewWHESTARNGA20</t>
  </si>
  <si>
    <t>COMWARNewWHESTARNGA20</t>
  </si>
  <si>
    <t>COMMUNNewWHESTARNGA20</t>
  </si>
  <si>
    <t>COMOTHNewWHESTARNGA20</t>
  </si>
  <si>
    <t>Water heating  High Natural gas 2013</t>
  </si>
  <si>
    <t>COMHOTOldWHHIGNGA20</t>
  </si>
  <si>
    <t>COMRETOldWHHIGNGA20</t>
  </si>
  <si>
    <t>COMOFFOldWHHIGNGA20</t>
  </si>
  <si>
    <t>COMHOPOldWHHIGNGA20</t>
  </si>
  <si>
    <t>COMEDUOldWHHIGNGA20</t>
  </si>
  <si>
    <t>COMWAROldWHHIGNGA20</t>
  </si>
  <si>
    <t>COMMUNOldWHHIGNGA20</t>
  </si>
  <si>
    <t>COMOTHOldWHHIGNGA20</t>
  </si>
  <si>
    <t>COMHOTNewWHHIGNGA20</t>
  </si>
  <si>
    <t>COMRETNewWHHIGNGA20</t>
  </si>
  <si>
    <t>COMOFFNewWHHIGNGA20</t>
  </si>
  <si>
    <t>COMHOPNewWHHIGNGA20</t>
  </si>
  <si>
    <t>COMEDUNewWHHIGNGA20</t>
  </si>
  <si>
    <t>COMWARNewWHHIGNGA20</t>
  </si>
  <si>
    <t>COMMUNNewWHHIGNGA20</t>
  </si>
  <si>
    <t>COMOTHNewWHHIGNGA20</t>
  </si>
  <si>
    <t>Water heating  Standard Fuel oil 2013</t>
  </si>
  <si>
    <t>COMHOTOldWHSTDFOI20</t>
  </si>
  <si>
    <t>COMRETOldWHSTDFOI20</t>
  </si>
  <si>
    <t>COMOFFOldWHSTDFOI20</t>
  </si>
  <si>
    <t>COMHOPOldWHSTDFOI20</t>
  </si>
  <si>
    <t>COMEDUOldWHSTDFOI20</t>
  </si>
  <si>
    <t>COMWAROldWHSTDFOI20</t>
  </si>
  <si>
    <t>COMMUNOldWHSTDFOI20</t>
  </si>
  <si>
    <t>COMOTHOldWHSTDFOI20</t>
  </si>
  <si>
    <t>COMHOTNewWHSTDFOI20</t>
  </si>
  <si>
    <t>COMRETNewWHSTDFOI20</t>
  </si>
  <si>
    <t>COMOFFNewWHSTDFOI20</t>
  </si>
  <si>
    <t>COMHOPNewWHSTDFOI20</t>
  </si>
  <si>
    <t>COMEDUNewWHSTDFOI20</t>
  </si>
  <si>
    <t>COMWARNewWHSTDFOI20</t>
  </si>
  <si>
    <t>COMMUNNewWHSTDFOI20</t>
  </si>
  <si>
    <t>COMOTHNewWHSTDFOI20</t>
  </si>
  <si>
    <t>Water heating  High Fuel oil 2013</t>
  </si>
  <si>
    <t>COMHOTOldWHHIGFOI20</t>
  </si>
  <si>
    <t>COMRETOldWHHIGFOI20</t>
  </si>
  <si>
    <t>COMOFFOldWHHIGFOI20</t>
  </si>
  <si>
    <t>COMHOPOldWHHIGFOI20</t>
  </si>
  <si>
    <t>COMEDUOldWHHIGFOI20</t>
  </si>
  <si>
    <t>COMWAROldWHHIGFOI20</t>
  </si>
  <si>
    <t>COMMUNOldWHHIGFOI20</t>
  </si>
  <si>
    <t>COMOTHOldWHHIGFOI20</t>
  </si>
  <si>
    <t>COMHOTNewWHHIGFOI20</t>
  </si>
  <si>
    <t>COMRETNewWHHIGFOI20</t>
  </si>
  <si>
    <t>COMOFFNewWHHIGFOI20</t>
  </si>
  <si>
    <t>COMHOPNewWHHIGFOI20</t>
  </si>
  <si>
    <t>COMEDUNewWHHIGFOI20</t>
  </si>
  <si>
    <t>COMWARNewWHHIGFOI20</t>
  </si>
  <si>
    <t>COMMUNNewWHHIGFOI20</t>
  </si>
  <si>
    <t>COMOTHNewWHHIGFOI20</t>
  </si>
  <si>
    <t>Residential AHP</t>
  </si>
  <si>
    <t>Space heating Residential AHP Standard Natural gas 2020</t>
  </si>
  <si>
    <t>COMHOTOldSHRESAHPSTDNGA20</t>
  </si>
  <si>
    <t>COMRETOldSHRESAHPSTDNGA20</t>
  </si>
  <si>
    <t>COMOFFOldSHRESAHPSTDNGA20</t>
  </si>
  <si>
    <t>COMHOPOldSHRESAHPSTDNGA20</t>
  </si>
  <si>
    <t>COMEDUOldSHRESAHPSTDNGA20</t>
  </si>
  <si>
    <t>COMWAROldSHRESAHPSTDNGA20</t>
  </si>
  <si>
    <t>COMMUNOldSHRESAHPSTDNGA20</t>
  </si>
  <si>
    <t>COMOTHOldSHRESAHPSTDNGA20</t>
  </si>
  <si>
    <t>COMHOTNewSHRESAHPSTDNGA20</t>
  </si>
  <si>
    <t>COMRETNewSHRESAHPSTDNGA20</t>
  </si>
  <si>
    <t>COMOFFNewSHRESAHPSTDNGA20</t>
  </si>
  <si>
    <t>COMHOPNewSHRESAHPSTDNGA20</t>
  </si>
  <si>
    <t>COMEDUNewSHRESAHPSTDNGA20</t>
  </si>
  <si>
    <t>COMWARNewSHRESAHPSTDNGA20</t>
  </si>
  <si>
    <t>COMMUNNewSHRESAHPSTDNGA20</t>
  </si>
  <si>
    <t>COMOTHNewSHRESAHPSTDNGA20</t>
  </si>
  <si>
    <t>Space heating ICE Rooftop AHP Standard Natural gas 2017</t>
  </si>
  <si>
    <t>Space heating Boiler Standard Electricity 2017</t>
  </si>
  <si>
    <t>COMHOTOldSHBOISTDELC20</t>
  </si>
  <si>
    <t>COMRETOldSHBOISTDELC20</t>
  </si>
  <si>
    <t>COMOFFOldSHBOISTDELC20</t>
  </si>
  <si>
    <t>COMHOPOldSHBOISTDELC20</t>
  </si>
  <si>
    <t>COMEDUOldSHBOISTDELC20</t>
  </si>
  <si>
    <t>COMWAROldSHBOISTDELC20</t>
  </si>
  <si>
    <t>COMMUNOldSHBOISTDELC20</t>
  </si>
  <si>
    <t>COMOTHOldSHBOISTDELC20</t>
  </si>
  <si>
    <t>COMHOTNewSHBOISTDELC20</t>
  </si>
  <si>
    <t>COMRETNewSHBOISTDELC20</t>
  </si>
  <si>
    <t>COMOFFNewSHBOISTDELC20</t>
  </si>
  <si>
    <t>COMHOPNewSHBOISTDELC20</t>
  </si>
  <si>
    <t>COMEDUNewSHBOISTDELC20</t>
  </si>
  <si>
    <t>COMWARNewSHBOISTDELC20</t>
  </si>
  <si>
    <t>COMMUNNewSHBOISTDELC20</t>
  </si>
  <si>
    <t>COMOTHNewSHBOISTDELC20</t>
  </si>
  <si>
    <t>Furnace</t>
  </si>
  <si>
    <t>Space heating Furnace High Natural gas 2013</t>
  </si>
  <si>
    <t>COMHOTOldSHFURHIGNGA20</t>
  </si>
  <si>
    <t>COMRETOldSHFURHIGNGA20</t>
  </si>
  <si>
    <t>COMOFFOldSHFURHIGNGA20</t>
  </si>
  <si>
    <t>COMHOPOldSHFURHIGNGA20</t>
  </si>
  <si>
    <t>COMEDUOldSHFURHIGNGA20</t>
  </si>
  <si>
    <t>COMWAROldSHFURHIGNGA20</t>
  </si>
  <si>
    <t>COMMUNOldSHFURHIGNGA20</t>
  </si>
  <si>
    <t>COMOTHOldSHFURHIGNGA20</t>
  </si>
  <si>
    <t>COMHOTNewSHFURHIGNGA20</t>
  </si>
  <si>
    <t>COMRETNewSHFURHIGNGA20</t>
  </si>
  <si>
    <t>COMOFFNewSHFURHIGNGA20</t>
  </si>
  <si>
    <t>COMHOPNewSHFURHIGNGA20</t>
  </si>
  <si>
    <t>COMEDUNewSHFURHIGNGA20</t>
  </si>
  <si>
    <t>COMWARNewSHFURHIGNGA20</t>
  </si>
  <si>
    <t>COMMUNNewSHFURHIGNGA20</t>
  </si>
  <si>
    <t>COMOTHNewSHFURHIGNGA20</t>
  </si>
  <si>
    <t>Space heating Furnace Standard Natural gas 2020</t>
  </si>
  <si>
    <t>COMHOTOldSHFURSTDNGA20</t>
  </si>
  <si>
    <t>COMRETOldSHFURSTDNGA20</t>
  </si>
  <si>
    <t>COMOFFOldSHFURSTDNGA20</t>
  </si>
  <si>
    <t>COMHOPOldSHFURSTDNGA20</t>
  </si>
  <si>
    <t>COMEDUOldSHFURSTDNGA20</t>
  </si>
  <si>
    <t>COMWAROldSHFURSTDNGA20</t>
  </si>
  <si>
    <t>COMMUNOldSHFURSTDNGA20</t>
  </si>
  <si>
    <t>COMOTHOldSHFURSTDNGA20</t>
  </si>
  <si>
    <t>COMHOTNewSHFURSTDNGA20</t>
  </si>
  <si>
    <t>COMRETNewSHFURSTDNGA20</t>
  </si>
  <si>
    <t>COMOFFNewSHFURSTDNGA20</t>
  </si>
  <si>
    <t>COMHOPNewSHFURSTDNGA20</t>
  </si>
  <si>
    <t>COMEDUNewSHFURSTDNGA20</t>
  </si>
  <si>
    <t>COMWARNewSHFURSTDNGA20</t>
  </si>
  <si>
    <t>COMMUNNewSHFURSTDNGA20</t>
  </si>
  <si>
    <t>COMOTHNewSHFURSTDNGA20</t>
  </si>
  <si>
    <t>Space heating Boiler High Natural gas 2013</t>
  </si>
  <si>
    <t>COMHOTOldSHBOIHIGNGA20</t>
  </si>
  <si>
    <t>COMRETOldSHBOIHIGNGA20</t>
  </si>
  <si>
    <t>COMOFFOldSHBOIHIGNGA20</t>
  </si>
  <si>
    <t>COMHOPOldSHBOIHIGNGA20</t>
  </si>
  <si>
    <t>COMEDUOldSHBOIHIGNGA20</t>
  </si>
  <si>
    <t>COMWAROldSHBOIHIGNGA20</t>
  </si>
  <si>
    <t>COMMUNOldSHBOIHIGNGA20</t>
  </si>
  <si>
    <t>COMOTHOldSHBOIHIGNGA20</t>
  </si>
  <si>
    <t>COMHOTNewSHBOIHIGNGA20</t>
  </si>
  <si>
    <t>COMRETNewSHBOIHIGNGA20</t>
  </si>
  <si>
    <t>COMOFFNewSHBOIHIGNGA20</t>
  </si>
  <si>
    <t>COMHOPNewSHBOIHIGNGA20</t>
  </si>
  <si>
    <t>COMEDUNewSHBOIHIGNGA20</t>
  </si>
  <si>
    <t>COMWARNewSHBOIHIGNGA20</t>
  </si>
  <si>
    <t>COMMUNNewSHBOIHIGNGA20</t>
  </si>
  <si>
    <t>COMOTHNewSHBOIHIGNGA20</t>
  </si>
  <si>
    <t>Space heating Boiler Mid Natural gas 2013</t>
  </si>
  <si>
    <t>COMHOTOldSHBOIMIDNGA20</t>
  </si>
  <si>
    <t>COMRETOldSHBOIMIDNGA20</t>
  </si>
  <si>
    <t>COMOFFOldSHBOIMIDNGA20</t>
  </si>
  <si>
    <t>COMHOPOldSHBOIMIDNGA20</t>
  </si>
  <si>
    <t>COMEDUOldSHBOIMIDNGA20</t>
  </si>
  <si>
    <t>COMWAROldSHBOIMIDNGA20</t>
  </si>
  <si>
    <t>COMMUNOldSHBOIMIDNGA20</t>
  </si>
  <si>
    <t>COMOTHOldSHBOIMIDNGA20</t>
  </si>
  <si>
    <t>COMHOTNewSHBOIMIDNGA20</t>
  </si>
  <si>
    <t>COMRETNewSHBOIMIDNGA20</t>
  </si>
  <si>
    <t>COMOFFNewSHBOIMIDNGA20</t>
  </si>
  <si>
    <t>COMHOPNewSHBOIMIDNGA20</t>
  </si>
  <si>
    <t>COMEDUNewSHBOIMIDNGA20</t>
  </si>
  <si>
    <t>COMWARNewSHBOIMIDNGA20</t>
  </si>
  <si>
    <t>COMMUNNewSHBOIMIDNGA20</t>
  </si>
  <si>
    <t>COMOTHNewSHBOIMIDNGA20</t>
  </si>
  <si>
    <t>Space heating Boiler Standard Natural gas 2013</t>
  </si>
  <si>
    <t>COMHOTOldSHBOISTDNGA20</t>
  </si>
  <si>
    <t>COMRETOldSHBOISTDNGA20</t>
  </si>
  <si>
    <t>COMOFFOldSHBOISTDNGA20</t>
  </si>
  <si>
    <t>COMHOPOldSHBOISTDNGA20</t>
  </si>
  <si>
    <t>COMEDUOldSHBOISTDNGA20</t>
  </si>
  <si>
    <t>COMWAROldSHBOISTDNGA20</t>
  </si>
  <si>
    <t>COMMUNOldSHBOISTDNGA20</t>
  </si>
  <si>
    <t>COMOTHOldSHBOISTDNGA20</t>
  </si>
  <si>
    <t>COMHOTNewSHBOISTDNGA20</t>
  </si>
  <si>
    <t>COMRETNewSHBOISTDNGA20</t>
  </si>
  <si>
    <t>COMOFFNewSHBOISTDNGA20</t>
  </si>
  <si>
    <t>COMHOPNewSHBOISTDNGA20</t>
  </si>
  <si>
    <t>COMEDUNewSHBOISTDNGA20</t>
  </si>
  <si>
    <t>COMWARNewSHBOISTDNGA20</t>
  </si>
  <si>
    <t>COMMUNNewSHBOISTDNGA20</t>
  </si>
  <si>
    <t>COMOTHNewSHBOISTDNGA20</t>
  </si>
  <si>
    <t>Space heating Boiler Standard Fuel oil 2013</t>
  </si>
  <si>
    <t>COMHOTOldSHBOISTDFOI20</t>
  </si>
  <si>
    <t>COMRETOldSHBOISTDFOI20</t>
  </si>
  <si>
    <t>COMOFFOldSHBOISTDFOI20</t>
  </si>
  <si>
    <t>COMHOPOldSHBOISTDFOI20</t>
  </si>
  <si>
    <t>COMEDUOldSHBOISTDFOI20</t>
  </si>
  <si>
    <t>COMWAROldSHBOISTDFOI20</t>
  </si>
  <si>
    <t>COMMUNOldSHBOISTDFOI20</t>
  </si>
  <si>
    <t>COMOTHOldSHBOISTDFOI20</t>
  </si>
  <si>
    <t>COMHOTNewSHBOISTDFOI20</t>
  </si>
  <si>
    <t>COMRETNewSHBOISTDFOI20</t>
  </si>
  <si>
    <t>COMOFFNewSHBOISTDFOI20</t>
  </si>
  <si>
    <t>COMHOPNewSHBOISTDFOI20</t>
  </si>
  <si>
    <t>COMEDUNewSHBOISTDFOI20</t>
  </si>
  <si>
    <t>COMWARNewSHBOISTDFOI20</t>
  </si>
  <si>
    <t>COMMUNNewSHBOISTDFOI20</t>
  </si>
  <si>
    <t>COMOTHNewSHBOISTDFOI20</t>
  </si>
  <si>
    <t>Space heating Boiler High Fuel oil 2013</t>
  </si>
  <si>
    <t>COMHOTOldSHBOIHIGFOI20</t>
  </si>
  <si>
    <t>COMRETOldSHBOIHIGFOI20</t>
  </si>
  <si>
    <t>COMOFFOldSHBOIHIGFOI20</t>
  </si>
  <si>
    <t>COMHOPOldSHBOIHIGFOI20</t>
  </si>
  <si>
    <t>COMEDUOldSHBOIHIGFOI20</t>
  </si>
  <si>
    <t>COMWAROldSHBOIHIGFOI20</t>
  </si>
  <si>
    <t>COMMUNOldSHBOIHIGFOI20</t>
  </si>
  <si>
    <t>COMOTHOldSHBOIHIGFOI20</t>
  </si>
  <si>
    <t>COMHOTNewSHBOIHIGFOI20</t>
  </si>
  <si>
    <t>COMRETNewSHBOIHIGFOI20</t>
  </si>
  <si>
    <t>COMOFFNewSHBOIHIGFOI20</t>
  </si>
  <si>
    <t>COMHOPNewSHBOIHIGFOI20</t>
  </si>
  <si>
    <t>COMEDUNewSHBOIHIGFOI20</t>
  </si>
  <si>
    <t>COMWARNewSHBOIHIGFOI20</t>
  </si>
  <si>
    <t>COMMUNNewSHBOIHIGFOI20</t>
  </si>
  <si>
    <t>COMOTHNewSHBOIHIGFOI20</t>
  </si>
  <si>
    <t>Space heating Furnace Standard Fuel oil 2020</t>
  </si>
  <si>
    <t>COMHOTOldSHFURSTDFOI20</t>
  </si>
  <si>
    <t>COMRETOldSHFURSTDFOI20</t>
  </si>
  <si>
    <t>COMOFFOldSHFURSTDFOI20</t>
  </si>
  <si>
    <t>COMHOPOldSHFURSTDFOI20</t>
  </si>
  <si>
    <t>COMEDUOldSHFURSTDFOI20</t>
  </si>
  <si>
    <t>COMWAROldSHFURSTDFOI20</t>
  </si>
  <si>
    <t>COMMUNOldSHFURSTDFOI20</t>
  </si>
  <si>
    <t>COMOTHOldSHFURSTDFOI20</t>
  </si>
  <si>
    <t>COMHOTNewSHFURSTDFOI20</t>
  </si>
  <si>
    <t>COMRETNewSHFURSTDFOI20</t>
  </si>
  <si>
    <t>COMOFFNewSHFURSTDFOI20</t>
  </si>
  <si>
    <t>COMHOPNewSHFURSTDFOI20</t>
  </si>
  <si>
    <t>COMEDUNewSHFURSTDFOI20</t>
  </si>
  <si>
    <t>COMWARNewSHFURSTDFOI20</t>
  </si>
  <si>
    <t>COMMUNNewSHFURSTDFOI20</t>
  </si>
  <si>
    <t>COMOTHNewSHFURSTDFOI20</t>
  </si>
  <si>
    <t>DEMAND (Mm2)</t>
  </si>
  <si>
    <t>FINAL ENERGY (TJ)</t>
  </si>
  <si>
    <t>FINAL ENERGY SHARE (%)</t>
  </si>
  <si>
    <t>FINAL ENERGY EQ (TJ)</t>
  </si>
  <si>
    <t>USEFUL ENERGY (TJ,Mlm)</t>
  </si>
  <si>
    <t>RESID (MW,Mlma, Tja)</t>
  </si>
  <si>
    <t>EFF</t>
  </si>
  <si>
    <t>Residual life (Yr)</t>
  </si>
  <si>
    <t>Fixed O&amp;M ($/kW/yr)</t>
  </si>
  <si>
    <t>Variable O&amp;M ($/GJ)</t>
  </si>
  <si>
    <t>Electric furnace</t>
  </si>
  <si>
    <t>COMHOTOldSHFURELC19</t>
  </si>
  <si>
    <t>Electric boiler</t>
  </si>
  <si>
    <t>COMHOTOldSHBOIELC19</t>
  </si>
  <si>
    <t>Electric air heat pump</t>
  </si>
  <si>
    <t>COMHOTOldSHAHPELC19</t>
  </si>
  <si>
    <t>Electric ground heat pump</t>
  </si>
  <si>
    <t>COMHOTOldSHGHPELC19</t>
  </si>
  <si>
    <t>Natural gas furnace</t>
  </si>
  <si>
    <t>COMHOTOldSHFURNGA19</t>
  </si>
  <si>
    <t>Natural gas boiler</t>
  </si>
  <si>
    <t>COMHOTOldSHBOINGA19</t>
  </si>
  <si>
    <t>Natural gas heat pump</t>
  </si>
  <si>
    <t>COMHOTOldSHAHPNGA19</t>
  </si>
  <si>
    <t>Fuel oil boiler</t>
  </si>
  <si>
    <t>COMHOTOldSHBOIFOI19</t>
  </si>
  <si>
    <t>Fuel oil furnace</t>
  </si>
  <si>
    <t>COMHOTOldSHFURFOI19</t>
  </si>
  <si>
    <t>Propane furnace</t>
  </si>
  <si>
    <t>LPG</t>
  </si>
  <si>
    <t>COMLPG</t>
  </si>
  <si>
    <t>COMHOTOldSHFURPRO19</t>
  </si>
  <si>
    <t>Propane boiler</t>
  </si>
  <si>
    <t>COMHOTOldSHBOIPRO19</t>
  </si>
  <si>
    <t>Propane heat pump</t>
  </si>
  <si>
    <t>COMHOTOldSHAHPPRO19</t>
  </si>
  <si>
    <t>District steam heating system</t>
  </si>
  <si>
    <t>Steam / Cooling</t>
  </si>
  <si>
    <t>COMSTM</t>
  </si>
  <si>
    <t>COMHOTOldSHDHESTM19</t>
  </si>
  <si>
    <t>Res type central AC electric</t>
  </si>
  <si>
    <t>COMHOTOldSCRESELC19</t>
  </si>
  <si>
    <t>Room AC electric</t>
  </si>
  <si>
    <t>COMHOTOldSCRACELC19</t>
  </si>
  <si>
    <t>Central AC electric</t>
  </si>
  <si>
    <t>COMHOTOldSCCACELC19</t>
  </si>
  <si>
    <t>Rooftop Air HP electric</t>
  </si>
  <si>
    <t>COMHOTOldSCAHPELC19</t>
  </si>
  <si>
    <t>Rooftop Air AC electric</t>
  </si>
  <si>
    <t>COMHOTOldSCAACELC19</t>
  </si>
  <si>
    <t>Res type central AC gas</t>
  </si>
  <si>
    <t>COMHOTOldSCRESNGA19</t>
  </si>
  <si>
    <t>Absorption chiller</t>
  </si>
  <si>
    <t>COMHOTOldSCACHSTM19</t>
  </si>
  <si>
    <t>District chilled water</t>
  </si>
  <si>
    <t>COMHOTOldSCDCOCHI19</t>
  </si>
  <si>
    <t>COMHOTOldVTELC19</t>
  </si>
  <si>
    <t>COMHOTOldWHFOI19</t>
  </si>
  <si>
    <t>COMHOTOldWHNGA19</t>
  </si>
  <si>
    <t>COMHOTOldWHSTM19</t>
  </si>
  <si>
    <t>COMHOTOldWHELC19</t>
  </si>
  <si>
    <t>Fluorescent</t>
  </si>
  <si>
    <t>COMHOTOldLTFLUELC19</t>
  </si>
  <si>
    <t>Compact fluorescent</t>
  </si>
  <si>
    <t>COMHOTOldLTCFLELC19</t>
  </si>
  <si>
    <t>Incandescent</t>
  </si>
  <si>
    <t>COMHOTOldLTINCELC19</t>
  </si>
  <si>
    <t>COMHOTOldLTHALELC19</t>
  </si>
  <si>
    <t>HID</t>
  </si>
  <si>
    <t>COMHOTOldLTHIDELC19</t>
  </si>
  <si>
    <t>LED</t>
  </si>
  <si>
    <t>COMHOTOldLTLEDELC19</t>
  </si>
  <si>
    <t>Other lighting</t>
  </si>
  <si>
    <t>COMHOTOldLTOTHELC19</t>
  </si>
  <si>
    <t>COMHOTOldCKFOI19</t>
  </si>
  <si>
    <t>COMHOTOldCKNGA19</t>
  </si>
  <si>
    <t>COMHOTOldCKSTM19</t>
  </si>
  <si>
    <t>COMHOTOldCKELC19</t>
  </si>
  <si>
    <t>COMHOTOldREELC19</t>
  </si>
  <si>
    <t>COMHOTOldOEFOI19</t>
  </si>
  <si>
    <t>COMHOTOldOENGA19</t>
  </si>
  <si>
    <t>COMHOTOldOESTM19</t>
  </si>
  <si>
    <t>COMHOTOldOEELC19</t>
  </si>
  <si>
    <t>COMRETOldSHFURELC19</t>
  </si>
  <si>
    <t>COMRETOldSHBOIELC19</t>
  </si>
  <si>
    <t>COMRETOldSHAHPELC19</t>
  </si>
  <si>
    <t>COMRETOldSHGHPELC19</t>
  </si>
  <si>
    <t>COMRETOldSHFURNGA19</t>
  </si>
  <si>
    <t>COMRETOldSHBOINGA19</t>
  </si>
  <si>
    <t>COMRETOldSHAHPNGA19</t>
  </si>
  <si>
    <t>COMRETOldSHBOIFOI19</t>
  </si>
  <si>
    <t>COMRETOldSHFURFOI19</t>
  </si>
  <si>
    <t>COMRETOldSHFURPRO19</t>
  </si>
  <si>
    <t>COMRETOldSHBOIPRO19</t>
  </si>
  <si>
    <t>COMRETOldSHAHPPRO19</t>
  </si>
  <si>
    <t>COMRETOldSHDHESTM19</t>
  </si>
  <si>
    <t>COMRETOldSCRESELC19</t>
  </si>
  <si>
    <t>COMRETOldSCRACELC19</t>
  </si>
  <si>
    <t>COMRETOldSCCACELC19</t>
  </si>
  <si>
    <t>COMRETOldSCAHPELC19</t>
  </si>
  <si>
    <t>COMRETOldSCAACELC19</t>
  </si>
  <si>
    <t>COMRETOldSCRESNGA19</t>
  </si>
  <si>
    <t>COMRETOldSCACHSTM19</t>
  </si>
  <si>
    <t>COMRETOldSCDCOCHI19</t>
  </si>
  <si>
    <t>COMRETOldVTELC19</t>
  </si>
  <si>
    <t>COMRETOldWHFOI19</t>
  </si>
  <si>
    <t>COMRETOldWHNGA19</t>
  </si>
  <si>
    <t>COMRETOldWHSTM19</t>
  </si>
  <si>
    <t>COMRETOldWHELC19</t>
  </si>
  <si>
    <t>COMRETOldLTFLUELC19</t>
  </si>
  <si>
    <t>COMRETOldLTCFLELC19</t>
  </si>
  <si>
    <t>COMRETOldLTINCELC19</t>
  </si>
  <si>
    <t>COMRETOldLTHALELC19</t>
  </si>
  <si>
    <t>COMRETOldLTHIDELC19</t>
  </si>
  <si>
    <t>COMRETOldLTLEDELC19</t>
  </si>
  <si>
    <t>COMRETOldLTOTHELC19</t>
  </si>
  <si>
    <t>COMRETOldCKFOI19</t>
  </si>
  <si>
    <t>COMRETOldCKNGA19</t>
  </si>
  <si>
    <t>COMRETOldCKSTM19</t>
  </si>
  <si>
    <t>COMRETOldCKELC19</t>
  </si>
  <si>
    <t>COMRETOldREELC19</t>
  </si>
  <si>
    <t>COMRETOldOEFOI19</t>
  </si>
  <si>
    <t>COMRETOldOENGA19</t>
  </si>
  <si>
    <t>COMRETOldOESTM19</t>
  </si>
  <si>
    <t>COMRETOldOEELC19</t>
  </si>
  <si>
    <t>COMOFFOldSHFURELC19</t>
  </si>
  <si>
    <t>COMOFFOldSHBOIELC19</t>
  </si>
  <si>
    <t>COMOFFOldSHAHPELC19</t>
  </si>
  <si>
    <t>COMOFFOldSHGHPELC19</t>
  </si>
  <si>
    <t>COMOFFOldSHFURNGA19</t>
  </si>
  <si>
    <t>COMOFFOldSHBOINGA19</t>
  </si>
  <si>
    <t>COMOFFOldSHAHPNGA19</t>
  </si>
  <si>
    <t>COMOFFOldSHBOIFOI19</t>
  </si>
  <si>
    <t>COMOFFOldSHFURFOI19</t>
  </si>
  <si>
    <t>COMOFFOldSHFURPRO19</t>
  </si>
  <si>
    <t>COMOFFOldSHBOIPRO19</t>
  </si>
  <si>
    <t>COMOFFOldSHAHPPRO19</t>
  </si>
  <si>
    <t>COMOFFOldSHDHESTM19</t>
  </si>
  <si>
    <t>COMOFFOldSCRESELC19</t>
  </si>
  <si>
    <t>COMOFFOldSCRACELC19</t>
  </si>
  <si>
    <t>COMOFFOldSCCACELC19</t>
  </si>
  <si>
    <t>COMOFFOldSCAHPELC19</t>
  </si>
  <si>
    <t>COMOFFOldSCAACELC19</t>
  </si>
  <si>
    <t>COMOFFOldSCRESNGA19</t>
  </si>
  <si>
    <t>COMOFFOldSCACHSTM19</t>
  </si>
  <si>
    <t>COMOFFOldSCDCOCHI19</t>
  </si>
  <si>
    <t>COMOFFOldVTELC19</t>
  </si>
  <si>
    <t>COMOFFOldWHFOI19</t>
  </si>
  <si>
    <t>COMOFFOldWHNGA19</t>
  </si>
  <si>
    <t>COMOFFOldWHSTM19</t>
  </si>
  <si>
    <t>COMOFFOldWHELC19</t>
  </si>
  <si>
    <t>COMOFFOldLTFLUELC19</t>
  </si>
  <si>
    <t>COMOFFOldLTCFLELC19</t>
  </si>
  <si>
    <t>COMOFFOldLTINCELC19</t>
  </si>
  <si>
    <t>COMOFFOldLTHALELC19</t>
  </si>
  <si>
    <t>COMOFFOldLTHIDELC19</t>
  </si>
  <si>
    <t>COMOFFOldLTLEDELC19</t>
  </si>
  <si>
    <t>COMOFFOldLTOTHELC19</t>
  </si>
  <si>
    <t>COMOFFOldCKFOI19</t>
  </si>
  <si>
    <t>COMOFFOldCKNGA19</t>
  </si>
  <si>
    <t>COMOFFOldCKSTM19</t>
  </si>
  <si>
    <t>COMOFFOldCKELC19</t>
  </si>
  <si>
    <t>COMOFFOldREELC19</t>
  </si>
  <si>
    <t>COMOFFOldOEFOI19</t>
  </si>
  <si>
    <t>COMOFFOldOENGA19</t>
  </si>
  <si>
    <t>COMOFFOldOESTM19</t>
  </si>
  <si>
    <t>COMOFFOldOEELC19</t>
  </si>
  <si>
    <t>COMHOPOldSHFURELC19</t>
  </si>
  <si>
    <t>COMHOPOldSHBOIELC19</t>
  </si>
  <si>
    <t>COMHOPOldSHAHPELC19</t>
  </si>
  <si>
    <t>COMHOPOldSHGHPELC19</t>
  </si>
  <si>
    <t>COMHOPOldSHFURNGA19</t>
  </si>
  <si>
    <t>COMHOPOldSHBOINGA19</t>
  </si>
  <si>
    <t>COMHOPOldSHAHPNGA19</t>
  </si>
  <si>
    <t>COMHOPOldSHBOIFOI19</t>
  </si>
  <si>
    <t>COMHOPOldSHFURFOI19</t>
  </si>
  <si>
    <t>COMHOPOldSHFURPRO19</t>
  </si>
  <si>
    <t>COMHOPOldSHBOIPRO19</t>
  </si>
  <si>
    <t>COMHOPOldSHAHPPRO19</t>
  </si>
  <si>
    <t>COMHOPOldSHDHESTM19</t>
  </si>
  <si>
    <t>COMHOPOldSCRESELC19</t>
  </si>
  <si>
    <t>COMHOPOldSCRACELC19</t>
  </si>
  <si>
    <t>COMHOPOldSCCACELC19</t>
  </si>
  <si>
    <t>COMHOPOldSCAHPELC19</t>
  </si>
  <si>
    <t>COMHOPOldSCAACELC19</t>
  </si>
  <si>
    <t>COMHOPOldSCRESNGA19</t>
  </si>
  <si>
    <t>COMHOPOldSCACHSTM19</t>
  </si>
  <si>
    <t>COMHOPOldSCDCOCHI19</t>
  </si>
  <si>
    <t>COMHOPOldVTELC19</t>
  </si>
  <si>
    <t>COMHOPOldWHFOI19</t>
  </si>
  <si>
    <t>COMHOPOldWHNGA19</t>
  </si>
  <si>
    <t>COMHOPOldWHSTM19</t>
  </si>
  <si>
    <t>COMHOPOldWHELC19</t>
  </si>
  <si>
    <t>COMHOPOldLTFLUELC19</t>
  </si>
  <si>
    <t>COMHOPOldLTCFLELC19</t>
  </si>
  <si>
    <t>COMHOPOldLTINCELC19</t>
  </si>
  <si>
    <t>COMHOPOldLTHALELC19</t>
  </si>
  <si>
    <t>COMHOPOldLTHIDELC19</t>
  </si>
  <si>
    <t>COMHOPOldLTLEDELC19</t>
  </si>
  <si>
    <t>COMHOPOldLTOTHELC19</t>
  </si>
  <si>
    <t>COMHOPOldCKFOI19</t>
  </si>
  <si>
    <t>COMHOPOldCKNGA19</t>
  </si>
  <si>
    <t>COMHOPOldCKSTM19</t>
  </si>
  <si>
    <t>COMHOPOldCKELC19</t>
  </si>
  <si>
    <t>COMHOPOldREELC19</t>
  </si>
  <si>
    <t>COMHOPOldOEFOI19</t>
  </si>
  <si>
    <t>COMHOPOldOENGA19</t>
  </si>
  <si>
    <t>COMHOPOldOESTM19</t>
  </si>
  <si>
    <t>COMHOPOldOEELC19</t>
  </si>
  <si>
    <t>COMEDUOldSHFURELC19</t>
  </si>
  <si>
    <t>COMEDUOldSHBOIELC19</t>
  </si>
  <si>
    <t>COMEDUOldSHAHPELC19</t>
  </si>
  <si>
    <t>COMEDUOldSHGHPELC19</t>
  </si>
  <si>
    <t>COMEDUOldSHFURNGA19</t>
  </si>
  <si>
    <t>COMEDUOldSHBOINGA19</t>
  </si>
  <si>
    <t>COMEDUOldSHAHPNGA19</t>
  </si>
  <si>
    <t>COMEDUOldSHBOIFOI19</t>
  </si>
  <si>
    <t>COMEDUOldSHFURFOI19</t>
  </si>
  <si>
    <t>COMEDUOldSHFURPRO19</t>
  </si>
  <si>
    <t>COMEDUOldSHBOIPRO19</t>
  </si>
  <si>
    <t>COMEDUOldSHAHPPRO19</t>
  </si>
  <si>
    <t>COMEDUOldSHDHESTM19</t>
  </si>
  <si>
    <t>COMEDUOldSCRESELC19</t>
  </si>
  <si>
    <t>COMEDUOldSCRACELC19</t>
  </si>
  <si>
    <t>COMEDUOldSCCACELC19</t>
  </si>
  <si>
    <t>COMEDUOldSCAHPELC19</t>
  </si>
  <si>
    <t>COMEDUOldSCAACELC19</t>
  </si>
  <si>
    <t>COMEDUOldSCRESNGA19</t>
  </si>
  <si>
    <t>COMEDUOldSCACHSTM19</t>
  </si>
  <si>
    <t>COMEDUOldSCDCOCHI19</t>
  </si>
  <si>
    <t>COMEDUOldVTELC19</t>
  </si>
  <si>
    <t>COMEDUOldWHFOI19</t>
  </si>
  <si>
    <t>COMEDUOldWHNGA19</t>
  </si>
  <si>
    <t>COMEDUOldWHSTM19</t>
  </si>
  <si>
    <t>COMEDUOldWHELC19</t>
  </si>
  <si>
    <t>COMEDUOldLTFLUELC19</t>
  </si>
  <si>
    <t>COMEDUOldLTCFLELC19</t>
  </si>
  <si>
    <t>COMEDUOldLTINCELC19</t>
  </si>
  <si>
    <t>COMEDUOldLTHALELC19</t>
  </si>
  <si>
    <t>COMEDUOldLTHIDELC19</t>
  </si>
  <si>
    <t>COMEDUOldLTLEDELC19</t>
  </si>
  <si>
    <t>COMEDUOldLTOTHELC19</t>
  </si>
  <si>
    <t>COMEDUOldCKFOI19</t>
  </si>
  <si>
    <t>COMEDUOldCKNGA19</t>
  </si>
  <si>
    <t>COMEDUOldCKSTM19</t>
  </si>
  <si>
    <t>COMEDUOldCKELC19</t>
  </si>
  <si>
    <t>COMEDUOldREELC19</t>
  </si>
  <si>
    <t>COMEDUOldOEFOI19</t>
  </si>
  <si>
    <t>COMEDUOldOENGA19</t>
  </si>
  <si>
    <t>COMEDUOldOESTM19</t>
  </si>
  <si>
    <t>COMEDUOldOEELC19</t>
  </si>
  <si>
    <t>COMWAROldSHFURELC19</t>
  </si>
  <si>
    <t>COMWAROldSHBOIELC19</t>
  </si>
  <si>
    <t>COMWAROldSHAHPELC19</t>
  </si>
  <si>
    <t>COMWAROldSHGHPELC19</t>
  </si>
  <si>
    <t>COMWAROldSHFURNGA19</t>
  </si>
  <si>
    <t>COMWAROldSHBOINGA19</t>
  </si>
  <si>
    <t>COMWAROldSHAHPNGA19</t>
  </si>
  <si>
    <t>COMWAROldSHBOIFOI19</t>
  </si>
  <si>
    <t>COMWAROldSHFURFOI19</t>
  </si>
  <si>
    <t>COMWAROldSHFURPRO19</t>
  </si>
  <si>
    <t>COMWAROldSHBOIPRO19</t>
  </si>
  <si>
    <t>COMWAROldSHAHPPRO19</t>
  </si>
  <si>
    <t>COMWAROldSHDHESTM19</t>
  </si>
  <si>
    <t>COMWAROldSCRESELC19</t>
  </si>
  <si>
    <t>COMWAROldSCRACELC19</t>
  </si>
  <si>
    <t>COMWAROldSCCACELC19</t>
  </si>
  <si>
    <t>COMWAROldSCAHPELC19</t>
  </si>
  <si>
    <t>COMWAROldSCAACELC19</t>
  </si>
  <si>
    <t>COMWAROldSCRESNGA19</t>
  </si>
  <si>
    <t>COMWAROldSCACHSTM19</t>
  </si>
  <si>
    <t>COMWAROldSCDCOCHI19</t>
  </si>
  <si>
    <t>COMWAROldVTELC19</t>
  </si>
  <si>
    <t>COMWAROldWHFOI19</t>
  </si>
  <si>
    <t>COMWAROldWHNGA19</t>
  </si>
  <si>
    <t>COMWAROldWHSTM19</t>
  </si>
  <si>
    <t>COMWAROldWHELC19</t>
  </si>
  <si>
    <t>COMWAROldLTFLUELC19</t>
  </si>
  <si>
    <t>COMWAROldLTCFLELC19</t>
  </si>
  <si>
    <t>COMWAROldLTINCELC19</t>
  </si>
  <si>
    <t>COMWAROldLTHALELC19</t>
  </si>
  <si>
    <t>COMWAROldLTHIDELC19</t>
  </si>
  <si>
    <t>COMWAROldLTLEDELC19</t>
  </si>
  <si>
    <t>COMWAROldLTOTHELC19</t>
  </si>
  <si>
    <t>COMWAROldCKFOI19</t>
  </si>
  <si>
    <t>COMWAROldCKNGA19</t>
  </si>
  <si>
    <t>COMWAROldCKSTM19</t>
  </si>
  <si>
    <t>COMWAROldCKELC19</t>
  </si>
  <si>
    <t>COMWAROldREELC19</t>
  </si>
  <si>
    <t>COMWAROldOEFOI19</t>
  </si>
  <si>
    <t>COMWAROldOENGA19</t>
  </si>
  <si>
    <t>COMWAROldOESTM19</t>
  </si>
  <si>
    <t>COMWAROldOEELC19</t>
  </si>
  <si>
    <t>COMMUNOldSHFURELC19</t>
  </si>
  <si>
    <t>COMMUNOldSHBOIELC19</t>
  </si>
  <si>
    <t>COMMUNOldSHAHPELC19</t>
  </si>
  <si>
    <t>COMMUNOldSHGHPELC19</t>
  </si>
  <si>
    <t>COMMUNOldSHFURNGA19</t>
  </si>
  <si>
    <t>COMMUNOldSHBOINGA19</t>
  </si>
  <si>
    <t>COMMUNOldSHAHPNGA19</t>
  </si>
  <si>
    <t>COMMUNOldSHBOIFOI19</t>
  </si>
  <si>
    <t>COMMUNOldSHFURFOI19</t>
  </si>
  <si>
    <t>COMMUNOldSHFURPRO19</t>
  </si>
  <si>
    <t>COMMUNOldSHBOIPRO19</t>
  </si>
  <si>
    <t>COMMUNOldSHAHPPRO19</t>
  </si>
  <si>
    <t>COMMUNOldSHDHESTM19</t>
  </si>
  <si>
    <t>COMMUNOldSCRESELC19</t>
  </si>
  <si>
    <t>COMMUNOldSCRACELC19</t>
  </si>
  <si>
    <t>COMMUNOldSCCACELC19</t>
  </si>
  <si>
    <t>COMMUNOldSCAHPELC19</t>
  </si>
  <si>
    <t>COMMUNOldSCAACELC19</t>
  </si>
  <si>
    <t>COMMUNOldSCRESNGA19</t>
  </si>
  <si>
    <t>COMMUNOldSCACHSTM19</t>
  </si>
  <si>
    <t>COMMUNOldSCDCOCHI19</t>
  </si>
  <si>
    <t>COMMUNOldVTELC19</t>
  </si>
  <si>
    <t>COMMUNOldWHFOI19</t>
  </si>
  <si>
    <t>COMMUNOldWHNGA19</t>
  </si>
  <si>
    <t>COMMUNOldWHSTM19</t>
  </si>
  <si>
    <t>COMMUNOldWHELC19</t>
  </si>
  <si>
    <t>COMMUNOldLTFLUELC19</t>
  </si>
  <si>
    <t>COMMUNOldLTCFLELC19</t>
  </si>
  <si>
    <t>COMMUNOldLTINCELC19</t>
  </si>
  <si>
    <t>COMMUNOldLTHALELC19</t>
  </si>
  <si>
    <t>COMMUNOldLTHIDELC19</t>
  </si>
  <si>
    <t>COMMUNOldLTLEDELC19</t>
  </si>
  <si>
    <t>COMMUNOldLTOTHELC19</t>
  </si>
  <si>
    <t>COMMUNOldCKFOI19</t>
  </si>
  <si>
    <t>COMMUNOldCKNGA19</t>
  </si>
  <si>
    <t>COMMUNOldCKSTM19</t>
  </si>
  <si>
    <t>COMMUNOldCKELC19</t>
  </si>
  <si>
    <t>COMMUNOldREELC19</t>
  </si>
  <si>
    <t>COMMUNOldOEFOI19</t>
  </si>
  <si>
    <t>COMMUNOldOENGA19</t>
  </si>
  <si>
    <t>COMMUNOldOESTM19</t>
  </si>
  <si>
    <t>COMMUNOldOEELC19</t>
  </si>
  <si>
    <t>COMOTHOldSHFURELC19</t>
  </si>
  <si>
    <t>COMOTHOldSHBOIELC19</t>
  </si>
  <si>
    <t>COMOTHOldSHAHPELC19</t>
  </si>
  <si>
    <t>COMOTHOldSHGHPELC19</t>
  </si>
  <si>
    <t>COMOTHOldSHFURNGA19</t>
  </si>
  <si>
    <t>COMOTHOldSHBOINGA19</t>
  </si>
  <si>
    <t>COMOTHOldSHAHPNGA19</t>
  </si>
  <si>
    <t>COMOTHOldSHBOIFOI19</t>
  </si>
  <si>
    <t>COMOTHOldSHFURFOI19</t>
  </si>
  <si>
    <t>COMOTHOldSHFURPRO19</t>
  </si>
  <si>
    <t>COMOTHOldSHBOIPRO19</t>
  </si>
  <si>
    <t>COMOTHOldSHAHPPRO19</t>
  </si>
  <si>
    <t>COMOTHOldSHDHESTM19</t>
  </si>
  <si>
    <t>COMOTHOldSCRESELC19</t>
  </si>
  <si>
    <t>COMOTHOldSCRACELC19</t>
  </si>
  <si>
    <t>COMOTHOldSCCACELC19</t>
  </si>
  <si>
    <t>COMOTHOldSCAHPELC19</t>
  </si>
  <si>
    <t>COMOTHOldSCAACELC19</t>
  </si>
  <si>
    <t>COMOTHOldSCRESNGA19</t>
  </si>
  <si>
    <t>COMOTHOldSCACHSTM19</t>
  </si>
  <si>
    <t>COMOTHOldSCDCOCHI19</t>
  </si>
  <si>
    <t>COMOTHOldVTELC19</t>
  </si>
  <si>
    <t>COMOTHOldWHFOI19</t>
  </si>
  <si>
    <t>COMOTHOldWHNGA19</t>
  </si>
  <si>
    <t>COMOTHOldWHSTM19</t>
  </si>
  <si>
    <t>COMOTHOldWHELC19</t>
  </si>
  <si>
    <t>COMOTHOldLTFLUELC19</t>
  </si>
  <si>
    <t>COMOTHOldLTCFLELC19</t>
  </si>
  <si>
    <t>COMOTHOldLTINCELC19</t>
  </si>
  <si>
    <t>COMOTHOldLTHALELC19</t>
  </si>
  <si>
    <t>COMOTHOldLTHIDELC19</t>
  </si>
  <si>
    <t>COMOTHOldLTLEDELC19</t>
  </si>
  <si>
    <t>COMOTHOldLTOTHELC19</t>
  </si>
  <si>
    <t>COMOTHOldCKFOI19</t>
  </si>
  <si>
    <t>COMOTHOldCKNGA19</t>
  </si>
  <si>
    <t>COMOTHOldCKSTM19</t>
  </si>
  <si>
    <t>COMOTHOldCKELC19</t>
  </si>
  <si>
    <t>COMOTHOldREELC19</t>
  </si>
  <si>
    <t>COMOTHOldOEFOI19</t>
  </si>
  <si>
    <t>COMOTHOldOENGA19</t>
  </si>
  <si>
    <t>COMOTHOldOESTM19</t>
  </si>
  <si>
    <t>COMOTHOldOEELC19</t>
  </si>
  <si>
    <t>Constraint number</t>
  </si>
  <si>
    <t>Count</t>
  </si>
  <si>
    <t>~UC_Sets: R_E: CITY</t>
  </si>
  <si>
    <t>~UC_T:UC_COMPRD</t>
  </si>
  <si>
    <t>UC_N</t>
  </si>
  <si>
    <t>Pset_PN</t>
  </si>
  <si>
    <t>Pset: CI</t>
  </si>
  <si>
    <t>Pset: CO</t>
  </si>
  <si>
    <t>Cset: CN</t>
  </si>
  <si>
    <t>LimType</t>
  </si>
  <si>
    <t>UC_FLO</t>
  </si>
  <si>
    <t>CITY</t>
  </si>
  <si>
    <t>UC_RHSRTS</t>
  </si>
  <si>
    <t>UC_RHSRTS~0</t>
  </si>
  <si>
    <t>LO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</si>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</sst>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.000_);_(* \(#,##0.0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rgb="FF0000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4" fillId="0" borderId="0"/>
    <xf numFmtId="0" fontId="8" fillId="0" borderId="0"/>
    <xf numFmtId="0" fontId="8" fillId="0" borderId="0"/>
  </cellStyleXfs>
  <cellXfs count="31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7" borderId="0" xfId="0" applyFont="1" applyFill="1"/>
    <xf numFmtId="0" fontId="0" fillId="7" borderId="0" xfId="0" applyFill="1"/>
    <xf numFmtId="0" fontId="9" fillId="7" borderId="0" xfId="3" applyFont="1" applyFill="1" applyAlignment="1">
      <alignment horizontal="left" vertical="center"/>
    </xf>
    <xf numFmtId="0" fontId="6" fillId="7" borderId="0" xfId="0" applyFont="1" applyFill="1"/>
    <xf numFmtId="165" fontId="6" fillId="7" borderId="0" xfId="1" applyNumberFormat="1" applyFont="1" applyFill="1"/>
    <xf numFmtId="0" fontId="7" fillId="8" borderId="1" xfId="0" applyFont="1" applyFill="1" applyBorder="1" applyAlignment="1">
      <alignment horizontal="center" vertical="center"/>
    </xf>
    <xf numFmtId="0" fontId="3" fillId="8" borderId="1" xfId="2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9" borderId="0" xfId="0" applyFont="1" applyFill="1"/>
    <xf numFmtId="0" fontId="7" fillId="7" borderId="2" xfId="0" applyFont="1" applyFill="1" applyBorder="1"/>
    <xf numFmtId="0" fontId="0" fillId="7" borderId="2" xfId="0" applyFill="1" applyBorder="1"/>
    <xf numFmtId="0" fontId="9" fillId="7" borderId="2" xfId="3" applyFont="1" applyFill="1" applyBorder="1" applyAlignment="1">
      <alignment horizontal="left" vertical="center"/>
    </xf>
    <xf numFmtId="0" fontId="6" fillId="7" borderId="2" xfId="0" applyFont="1" applyFill="1" applyBorder="1"/>
    <xf numFmtId="165" fontId="6" fillId="7" borderId="2" xfId="1" applyNumberFormat="1" applyFont="1" applyFill="1" applyBorder="1"/>
    <xf numFmtId="0" fontId="6" fillId="0" borderId="2" xfId="0" applyFont="1" applyBorder="1"/>
    <xf numFmtId="0" fontId="6" fillId="9" borderId="2" xfId="0" applyFont="1" applyFill="1" applyBorder="1"/>
    <xf numFmtId="0" fontId="6" fillId="7" borderId="3" xfId="0" applyFont="1" applyFill="1" applyBorder="1"/>
    <xf numFmtId="0" fontId="6" fillId="7" borderId="4" xfId="0" applyFont="1" applyFill="1" applyBorder="1"/>
    <xf numFmtId="0" fontId="7" fillId="8" borderId="4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10" xfId="2" xr:uid="{00000000-0005-0000-0000-000002000000}"/>
    <cellStyle name="Normal 10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20" width="8.85546875" style="2" customWidth="1"/>
    <col min="21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3" width="8.85546875" style="2" customWidth="1"/>
    <col min="34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J13" sqref="J13:J1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A3011"/>
  <sheetViews>
    <sheetView topLeftCell="A2801" zoomScale="85" zoomScaleNormal="85" workbookViewId="0">
      <selection activeCell="J56" sqref="J56"/>
    </sheetView>
  </sheetViews>
  <sheetFormatPr defaultRowHeight="15" x14ac:dyDescent="0.25"/>
  <cols>
    <col min="1" max="1" width="11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42578125" bestFit="1" customWidth="1"/>
    <col min="6" max="6" width="18.42578125" bestFit="1" customWidth="1"/>
    <col min="7" max="7" width="10.28515625" bestFit="1" customWidth="1"/>
    <col min="8" max="8" width="11.7109375" bestFit="1" customWidth="1"/>
    <col min="9" max="9" width="20.85546875" bestFit="1" customWidth="1"/>
    <col min="10" max="10" width="75" bestFit="1" customWidth="1"/>
    <col min="11" max="11" width="14" style="8" customWidth="1"/>
    <col min="12" max="12" width="20.5703125" style="8" bestFit="1" customWidth="1"/>
    <col min="13" max="13" width="34.7109375" style="8" bestFit="1" customWidth="1"/>
    <col min="14" max="14" width="14" style="8" customWidth="1"/>
    <col min="15" max="15" width="20.85546875" style="8" bestFit="1" customWidth="1"/>
    <col min="16" max="16" width="26" style="8" bestFit="1" customWidth="1"/>
    <col min="17" max="17" width="25" style="8" bestFit="1" customWidth="1"/>
    <col min="18" max="18" width="21.140625" style="8" bestFit="1" customWidth="1"/>
    <col min="19" max="19" width="12.28515625" bestFit="1" customWidth="1"/>
    <col min="20" max="20" width="14.28515625" bestFit="1" customWidth="1"/>
    <col min="21" max="21" width="15" style="8" bestFit="1" customWidth="1"/>
    <col min="22" max="22" width="37" style="8" bestFit="1" customWidth="1"/>
    <col min="23" max="23" width="36.140625" style="8" bestFit="1" customWidth="1"/>
    <col min="24" max="24" width="13.140625" bestFit="1" customWidth="1"/>
    <col min="25" max="25" width="10.42578125" bestFit="1" customWidth="1"/>
    <col min="26" max="26" width="12.28515625" bestFit="1" customWidth="1"/>
    <col min="27" max="27" width="7.140625" bestFit="1" customWidth="1"/>
  </cols>
  <sheetData>
    <row r="1" spans="1:27" x14ac:dyDescent="0.25">
      <c r="M1" t="s">
        <v>71</v>
      </c>
    </row>
    <row r="2" spans="1:27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71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</row>
    <row r="3" spans="1:27" hidden="1" x14ac:dyDescent="0.25">
      <c r="A3" t="s">
        <v>98</v>
      </c>
      <c r="B3" t="s">
        <v>99</v>
      </c>
      <c r="D3" t="s">
        <v>100</v>
      </c>
      <c r="E3" t="s">
        <v>101</v>
      </c>
      <c r="F3" t="s">
        <v>102</v>
      </c>
      <c r="G3" t="s">
        <v>103</v>
      </c>
      <c r="H3" t="s">
        <v>104</v>
      </c>
      <c r="I3">
        <v>2061</v>
      </c>
      <c r="J3" t="s">
        <v>105</v>
      </c>
      <c r="K3" t="s">
        <v>106</v>
      </c>
      <c r="L3" t="s">
        <v>107</v>
      </c>
      <c r="M3" t="s">
        <v>108</v>
      </c>
      <c r="N3">
        <v>0</v>
      </c>
      <c r="O3">
        <v>2061</v>
      </c>
      <c r="P3">
        <v>117.0584711706526</v>
      </c>
      <c r="Q3">
        <v>4.2000145906136934</v>
      </c>
      <c r="R3" t="s">
        <v>109</v>
      </c>
      <c r="S3">
        <v>3.3</v>
      </c>
      <c r="T3" t="s">
        <v>110</v>
      </c>
      <c r="U3">
        <v>3.3</v>
      </c>
      <c r="V3">
        <v>399.42017862788401</v>
      </c>
      <c r="W3">
        <v>14.33104807576899</v>
      </c>
      <c r="X3" t="s">
        <v>111</v>
      </c>
      <c r="Y3">
        <v>21</v>
      </c>
      <c r="Z3">
        <v>0.17628027835517829</v>
      </c>
      <c r="AA3">
        <v>31.536000000000001</v>
      </c>
    </row>
    <row r="4" spans="1:27" hidden="1" x14ac:dyDescent="0.25">
      <c r="A4" t="s">
        <v>98</v>
      </c>
      <c r="B4" t="s">
        <v>99</v>
      </c>
      <c r="D4" t="s">
        <v>100</v>
      </c>
      <c r="E4" t="s">
        <v>101</v>
      </c>
      <c r="F4" t="s">
        <v>102</v>
      </c>
      <c r="G4" t="s">
        <v>112</v>
      </c>
      <c r="H4" t="s">
        <v>104</v>
      </c>
      <c r="I4">
        <v>2022</v>
      </c>
      <c r="J4" t="s">
        <v>113</v>
      </c>
      <c r="K4" t="s">
        <v>106</v>
      </c>
      <c r="L4" t="s">
        <v>107</v>
      </c>
      <c r="M4" t="s">
        <v>114</v>
      </c>
      <c r="N4">
        <v>1</v>
      </c>
      <c r="O4">
        <v>2020</v>
      </c>
      <c r="P4">
        <v>200.7885700942916</v>
      </c>
      <c r="Q4">
        <v>4.2000145906136934</v>
      </c>
      <c r="R4" t="s">
        <v>109</v>
      </c>
      <c r="S4">
        <v>3.7</v>
      </c>
      <c r="T4" t="s">
        <v>110</v>
      </c>
      <c r="U4">
        <v>3.7</v>
      </c>
      <c r="V4">
        <v>685.1192035182313</v>
      </c>
      <c r="W4">
        <v>14.33104807576899</v>
      </c>
      <c r="X4" t="s">
        <v>111</v>
      </c>
      <c r="Y4">
        <v>21</v>
      </c>
      <c r="Z4">
        <v>0.17628027835517829</v>
      </c>
      <c r="AA4">
        <v>31.536000000000001</v>
      </c>
    </row>
    <row r="5" spans="1:27" hidden="1" x14ac:dyDescent="0.25">
      <c r="A5" t="s">
        <v>98</v>
      </c>
      <c r="B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>
        <v>2023</v>
      </c>
      <c r="J5" t="s">
        <v>115</v>
      </c>
      <c r="K5" t="s">
        <v>106</v>
      </c>
      <c r="L5" t="s">
        <v>107</v>
      </c>
      <c r="M5" t="s">
        <v>116</v>
      </c>
      <c r="N5">
        <v>0</v>
      </c>
      <c r="O5">
        <v>2023</v>
      </c>
      <c r="P5">
        <v>135.73557542199771</v>
      </c>
      <c r="Q5">
        <v>4.2000145906136934</v>
      </c>
      <c r="R5" t="s">
        <v>109</v>
      </c>
      <c r="S5">
        <v>3.4</v>
      </c>
      <c r="T5" t="s">
        <v>110</v>
      </c>
      <c r="U5">
        <v>3.4</v>
      </c>
      <c r="V5">
        <v>463.14911888927151</v>
      </c>
      <c r="W5">
        <v>14.33104807576899</v>
      </c>
      <c r="X5" t="s">
        <v>111</v>
      </c>
      <c r="Y5">
        <v>21</v>
      </c>
      <c r="Z5">
        <v>0.17628027835517829</v>
      </c>
      <c r="AA5">
        <v>31.536000000000001</v>
      </c>
    </row>
    <row r="6" spans="1:27" hidden="1" x14ac:dyDescent="0.25">
      <c r="A6" t="s">
        <v>98</v>
      </c>
      <c r="B6" t="s">
        <v>99</v>
      </c>
      <c r="D6" t="s">
        <v>100</v>
      </c>
      <c r="E6" t="s">
        <v>101</v>
      </c>
      <c r="F6" t="s">
        <v>117</v>
      </c>
      <c r="G6" t="s">
        <v>103</v>
      </c>
      <c r="H6" t="s">
        <v>104</v>
      </c>
      <c r="I6">
        <v>2033</v>
      </c>
      <c r="J6" t="s">
        <v>118</v>
      </c>
      <c r="K6" t="s">
        <v>106</v>
      </c>
      <c r="L6" t="s">
        <v>107</v>
      </c>
      <c r="M6" t="s">
        <v>119</v>
      </c>
      <c r="N6">
        <v>1</v>
      </c>
      <c r="O6">
        <v>2033</v>
      </c>
      <c r="P6">
        <v>483.9331327692995</v>
      </c>
      <c r="Q6">
        <v>3.810497108419681</v>
      </c>
      <c r="R6" t="s">
        <v>109</v>
      </c>
      <c r="S6">
        <v>3.7</v>
      </c>
      <c r="T6" t="s">
        <v>110</v>
      </c>
      <c r="U6">
        <v>3.7</v>
      </c>
      <c r="V6">
        <v>1651.2487853431401</v>
      </c>
      <c r="W6">
        <v>13.00195893970977</v>
      </c>
      <c r="X6" t="s">
        <v>111</v>
      </c>
      <c r="Y6">
        <v>14.4</v>
      </c>
      <c r="Z6">
        <v>0.17628027835517829</v>
      </c>
      <c r="AA6">
        <v>31.536000000000001</v>
      </c>
    </row>
    <row r="7" spans="1:27" hidden="1" x14ac:dyDescent="0.25">
      <c r="A7" t="s">
        <v>98</v>
      </c>
      <c r="B7" t="s">
        <v>99</v>
      </c>
      <c r="D7" t="s">
        <v>100</v>
      </c>
      <c r="E7" t="s">
        <v>101</v>
      </c>
      <c r="F7" t="s">
        <v>117</v>
      </c>
      <c r="G7" t="s">
        <v>67</v>
      </c>
      <c r="H7" t="s">
        <v>104</v>
      </c>
      <c r="I7">
        <v>2033</v>
      </c>
      <c r="J7" t="s">
        <v>120</v>
      </c>
      <c r="K7" t="s">
        <v>106</v>
      </c>
      <c r="L7" t="s">
        <v>107</v>
      </c>
      <c r="M7" t="s">
        <v>121</v>
      </c>
      <c r="N7">
        <v>1</v>
      </c>
      <c r="O7">
        <v>2033</v>
      </c>
      <c r="P7">
        <v>497.90495550017158</v>
      </c>
      <c r="Q7">
        <v>3.810497108419681</v>
      </c>
      <c r="R7" t="s">
        <v>109</v>
      </c>
      <c r="S7">
        <v>3.8</v>
      </c>
      <c r="T7" t="s">
        <v>110</v>
      </c>
      <c r="U7">
        <v>3.8</v>
      </c>
      <c r="V7">
        <v>1698.9226347887429</v>
      </c>
      <c r="W7">
        <v>13.00195893970977</v>
      </c>
      <c r="X7" t="s">
        <v>111</v>
      </c>
      <c r="Y7">
        <v>14.4</v>
      </c>
      <c r="Z7">
        <v>0.17628027835517829</v>
      </c>
      <c r="AA7">
        <v>31.536000000000001</v>
      </c>
    </row>
    <row r="8" spans="1:27" hidden="1" x14ac:dyDescent="0.25">
      <c r="A8" t="s">
        <v>98</v>
      </c>
      <c r="B8" t="s">
        <v>99</v>
      </c>
      <c r="D8" t="s">
        <v>100</v>
      </c>
      <c r="E8" t="s">
        <v>101</v>
      </c>
      <c r="F8" t="s">
        <v>117</v>
      </c>
      <c r="G8" t="s">
        <v>112</v>
      </c>
      <c r="H8" t="s">
        <v>104</v>
      </c>
      <c r="I8">
        <v>2033</v>
      </c>
      <c r="J8" t="s">
        <v>122</v>
      </c>
      <c r="K8" t="s">
        <v>106</v>
      </c>
      <c r="L8" t="s">
        <v>107</v>
      </c>
      <c r="M8" t="s">
        <v>123</v>
      </c>
      <c r="N8">
        <v>1</v>
      </c>
      <c r="O8">
        <v>2033</v>
      </c>
      <c r="P8">
        <v>513.14694393385037</v>
      </c>
      <c r="Q8">
        <v>3.810497108419681</v>
      </c>
      <c r="R8" t="s">
        <v>109</v>
      </c>
      <c r="S8">
        <v>4</v>
      </c>
      <c r="T8" t="s">
        <v>110</v>
      </c>
      <c r="U8">
        <v>4</v>
      </c>
      <c r="V8">
        <v>1750.930470547582</v>
      </c>
      <c r="W8">
        <v>13.00195893970977</v>
      </c>
      <c r="X8" t="s">
        <v>111</v>
      </c>
      <c r="Y8">
        <v>14.4</v>
      </c>
      <c r="Z8">
        <v>0.17628027835517829</v>
      </c>
      <c r="AA8">
        <v>31.536000000000001</v>
      </c>
    </row>
    <row r="9" spans="1:27" hidden="1" x14ac:dyDescent="0.25">
      <c r="A9" t="s">
        <v>98</v>
      </c>
      <c r="B9" t="s">
        <v>99</v>
      </c>
      <c r="D9" t="s">
        <v>100</v>
      </c>
      <c r="E9" t="s">
        <v>101</v>
      </c>
      <c r="F9" t="s">
        <v>117</v>
      </c>
      <c r="G9" t="s">
        <v>103</v>
      </c>
      <c r="H9" t="s">
        <v>104</v>
      </c>
      <c r="I9">
        <v>2023</v>
      </c>
      <c r="J9" t="s">
        <v>124</v>
      </c>
      <c r="K9" t="s">
        <v>106</v>
      </c>
      <c r="L9" t="s">
        <v>107</v>
      </c>
      <c r="M9" t="s">
        <v>125</v>
      </c>
      <c r="N9">
        <v>1</v>
      </c>
      <c r="O9">
        <v>2023</v>
      </c>
      <c r="P9">
        <v>483.9331327692995</v>
      </c>
      <c r="Q9">
        <v>3.810497108419681</v>
      </c>
      <c r="R9" t="s">
        <v>109</v>
      </c>
      <c r="S9">
        <v>3.7</v>
      </c>
      <c r="T9" t="s">
        <v>110</v>
      </c>
      <c r="U9">
        <v>3.7</v>
      </c>
      <c r="V9">
        <v>1651.2487853431401</v>
      </c>
      <c r="W9">
        <v>13.00195893970977</v>
      </c>
      <c r="X9" t="s">
        <v>111</v>
      </c>
      <c r="Y9">
        <v>14.4</v>
      </c>
      <c r="Z9">
        <v>0.17628027835517829</v>
      </c>
      <c r="AA9">
        <v>31.536000000000001</v>
      </c>
    </row>
    <row r="10" spans="1:27" hidden="1" x14ac:dyDescent="0.25">
      <c r="A10" t="s">
        <v>98</v>
      </c>
      <c r="B10" t="s">
        <v>99</v>
      </c>
      <c r="D10" t="s">
        <v>100</v>
      </c>
      <c r="E10" t="s">
        <v>101</v>
      </c>
      <c r="F10" t="s">
        <v>117</v>
      </c>
      <c r="G10" t="s">
        <v>67</v>
      </c>
      <c r="H10" t="s">
        <v>104</v>
      </c>
      <c r="I10">
        <v>2023</v>
      </c>
      <c r="J10" t="s">
        <v>126</v>
      </c>
      <c r="K10" t="s">
        <v>106</v>
      </c>
      <c r="L10" t="s">
        <v>107</v>
      </c>
      <c r="M10" t="s">
        <v>127</v>
      </c>
      <c r="N10">
        <v>1</v>
      </c>
      <c r="O10">
        <v>2023</v>
      </c>
      <c r="P10">
        <v>497.90495550017158</v>
      </c>
      <c r="Q10">
        <v>3.810497108419681</v>
      </c>
      <c r="R10" t="s">
        <v>109</v>
      </c>
      <c r="S10">
        <v>3.8</v>
      </c>
      <c r="T10" t="s">
        <v>110</v>
      </c>
      <c r="U10">
        <v>3.8</v>
      </c>
      <c r="V10">
        <v>1698.9226347887429</v>
      </c>
      <c r="W10">
        <v>13.00195893970977</v>
      </c>
      <c r="X10" t="s">
        <v>111</v>
      </c>
      <c r="Y10">
        <v>14.4</v>
      </c>
      <c r="Z10">
        <v>0.17628027835517829</v>
      </c>
      <c r="AA10">
        <v>31.536000000000001</v>
      </c>
    </row>
    <row r="11" spans="1:27" hidden="1" x14ac:dyDescent="0.25">
      <c r="A11" t="s">
        <v>98</v>
      </c>
      <c r="B11" t="s">
        <v>99</v>
      </c>
      <c r="D11" t="s">
        <v>100</v>
      </c>
      <c r="E11" t="s">
        <v>101</v>
      </c>
      <c r="F11" t="s">
        <v>117</v>
      </c>
      <c r="G11" t="s">
        <v>112</v>
      </c>
      <c r="H11" t="s">
        <v>104</v>
      </c>
      <c r="I11">
        <v>2023</v>
      </c>
      <c r="J11" t="s">
        <v>128</v>
      </c>
      <c r="K11" t="s">
        <v>106</v>
      </c>
      <c r="L11" t="s">
        <v>107</v>
      </c>
      <c r="M11" t="s">
        <v>129</v>
      </c>
      <c r="N11">
        <v>1</v>
      </c>
      <c r="O11">
        <v>2023</v>
      </c>
      <c r="P11">
        <v>513.14694393385037</v>
      </c>
      <c r="Q11">
        <v>3.810497108419681</v>
      </c>
      <c r="R11" t="s">
        <v>109</v>
      </c>
      <c r="S11">
        <v>4</v>
      </c>
      <c r="T11" t="s">
        <v>110</v>
      </c>
      <c r="U11">
        <v>4</v>
      </c>
      <c r="V11">
        <v>1750.930470547582</v>
      </c>
      <c r="W11">
        <v>13.00195893970977</v>
      </c>
      <c r="X11" t="s">
        <v>111</v>
      </c>
      <c r="Y11">
        <v>14.4</v>
      </c>
      <c r="Z11">
        <v>0.17628027835517829</v>
      </c>
      <c r="AA11">
        <v>31.536000000000001</v>
      </c>
    </row>
    <row r="12" spans="1:27" hidden="1" x14ac:dyDescent="0.25">
      <c r="A12" t="s">
        <v>98</v>
      </c>
      <c r="B12" t="s">
        <v>99</v>
      </c>
      <c r="D12" t="s">
        <v>100</v>
      </c>
      <c r="E12" t="s">
        <v>101</v>
      </c>
      <c r="F12" t="s">
        <v>130</v>
      </c>
      <c r="G12" t="s">
        <v>103</v>
      </c>
      <c r="H12" t="s">
        <v>131</v>
      </c>
      <c r="I12">
        <v>2022</v>
      </c>
      <c r="J12" t="s">
        <v>132</v>
      </c>
      <c r="K12" t="s">
        <v>133</v>
      </c>
      <c r="L12" t="s">
        <v>107</v>
      </c>
      <c r="M12" t="s">
        <v>134</v>
      </c>
      <c r="N12">
        <v>1</v>
      </c>
      <c r="O12">
        <v>2020</v>
      </c>
      <c r="P12">
        <v>335.32374554093201</v>
      </c>
      <c r="Q12">
        <v>6.3000218859205397</v>
      </c>
      <c r="R12" t="s">
        <v>109</v>
      </c>
      <c r="S12">
        <v>1.4</v>
      </c>
      <c r="T12" t="s">
        <v>110</v>
      </c>
      <c r="U12">
        <v>1.4</v>
      </c>
      <c r="V12">
        <v>1144.172386694459</v>
      </c>
      <c r="W12">
        <v>21.496572113653482</v>
      </c>
      <c r="X12" t="s">
        <v>111</v>
      </c>
      <c r="Y12">
        <v>15</v>
      </c>
      <c r="Z12">
        <v>0.17628027835517829</v>
      </c>
      <c r="AA12">
        <v>31.536000000000001</v>
      </c>
    </row>
    <row r="13" spans="1:27" hidden="1" x14ac:dyDescent="0.25">
      <c r="A13" t="s">
        <v>98</v>
      </c>
      <c r="B13" t="s">
        <v>99</v>
      </c>
      <c r="D13" t="s">
        <v>100</v>
      </c>
      <c r="E13" t="s">
        <v>101</v>
      </c>
      <c r="F13" t="s">
        <v>135</v>
      </c>
      <c r="G13" t="s">
        <v>103</v>
      </c>
      <c r="H13" t="s">
        <v>136</v>
      </c>
      <c r="I13">
        <v>2030</v>
      </c>
      <c r="J13" t="s">
        <v>137</v>
      </c>
      <c r="K13" t="s">
        <v>138</v>
      </c>
      <c r="L13" t="s">
        <v>107</v>
      </c>
      <c r="M13" t="s">
        <v>139</v>
      </c>
      <c r="N13">
        <v>1</v>
      </c>
      <c r="O13">
        <v>2030</v>
      </c>
      <c r="P13">
        <v>55.186509846078152</v>
      </c>
      <c r="Q13">
        <v>4.0294911951104666</v>
      </c>
      <c r="R13" t="s">
        <v>109</v>
      </c>
      <c r="S13">
        <v>0.87</v>
      </c>
      <c r="T13" t="s">
        <v>110</v>
      </c>
      <c r="U13">
        <v>0.87</v>
      </c>
      <c r="V13">
        <v>188.30423291993449</v>
      </c>
      <c r="W13">
        <v>13.749197959233321</v>
      </c>
      <c r="X13" t="s">
        <v>111</v>
      </c>
      <c r="Y13">
        <v>25</v>
      </c>
      <c r="Z13">
        <v>0.17628027835517829</v>
      </c>
      <c r="AA13">
        <v>31.536000000000001</v>
      </c>
    </row>
    <row r="14" spans="1:27" hidden="1" x14ac:dyDescent="0.25">
      <c r="A14" t="s">
        <v>98</v>
      </c>
      <c r="B14" t="s">
        <v>99</v>
      </c>
      <c r="D14" t="s">
        <v>100</v>
      </c>
      <c r="E14" t="s">
        <v>101</v>
      </c>
      <c r="F14" t="s">
        <v>135</v>
      </c>
      <c r="G14" t="s">
        <v>103</v>
      </c>
      <c r="H14" t="s">
        <v>136</v>
      </c>
      <c r="I14">
        <v>2040</v>
      </c>
      <c r="J14" t="s">
        <v>140</v>
      </c>
      <c r="K14" t="s">
        <v>138</v>
      </c>
      <c r="L14" t="s">
        <v>107</v>
      </c>
      <c r="M14" t="s">
        <v>141</v>
      </c>
      <c r="N14">
        <v>1</v>
      </c>
      <c r="O14">
        <v>2040</v>
      </c>
      <c r="P14">
        <v>53.946363557402229</v>
      </c>
      <c r="Q14">
        <v>3.9389408311754002</v>
      </c>
      <c r="R14" t="s">
        <v>109</v>
      </c>
      <c r="S14">
        <v>0.89</v>
      </c>
      <c r="T14" t="s">
        <v>110</v>
      </c>
      <c r="U14">
        <v>0.89</v>
      </c>
      <c r="V14">
        <v>184.07267712398101</v>
      </c>
      <c r="W14">
        <v>13.440227218576389</v>
      </c>
      <c r="X14" t="s">
        <v>111</v>
      </c>
      <c r="Y14">
        <v>25</v>
      </c>
      <c r="Z14">
        <v>0.17628027835517829</v>
      </c>
      <c r="AA14">
        <v>31.536000000000001</v>
      </c>
    </row>
    <row r="15" spans="1:27" hidden="1" x14ac:dyDescent="0.25">
      <c r="A15" t="s">
        <v>98</v>
      </c>
      <c r="B15" t="s">
        <v>99</v>
      </c>
      <c r="D15" t="s">
        <v>100</v>
      </c>
      <c r="E15" t="s">
        <v>142</v>
      </c>
      <c r="F15" t="s">
        <v>102</v>
      </c>
      <c r="G15" t="s">
        <v>103</v>
      </c>
      <c r="H15" t="s">
        <v>104</v>
      </c>
      <c r="I15">
        <v>2061</v>
      </c>
      <c r="J15" t="s">
        <v>143</v>
      </c>
      <c r="K15" t="s">
        <v>106</v>
      </c>
      <c r="L15" t="s">
        <v>144</v>
      </c>
      <c r="M15" t="s">
        <v>145</v>
      </c>
      <c r="N15">
        <v>0</v>
      </c>
      <c r="O15">
        <v>2061</v>
      </c>
      <c r="P15">
        <v>117.0584711706526</v>
      </c>
      <c r="Q15">
        <v>4.2000145906136934</v>
      </c>
      <c r="R15" t="s">
        <v>109</v>
      </c>
      <c r="S15">
        <v>3.2239155920281362</v>
      </c>
      <c r="T15" t="s">
        <v>110</v>
      </c>
      <c r="U15">
        <v>3.2239155920281362</v>
      </c>
      <c r="V15">
        <v>399.42017862788401</v>
      </c>
      <c r="W15">
        <v>14.33104807576899</v>
      </c>
      <c r="X15" t="s">
        <v>111</v>
      </c>
      <c r="Y15">
        <v>21</v>
      </c>
      <c r="Z15">
        <v>0.1643924611578399</v>
      </c>
      <c r="AA15">
        <v>31.536000000000001</v>
      </c>
    </row>
    <row r="16" spans="1:27" hidden="1" x14ac:dyDescent="0.25">
      <c r="A16" t="s">
        <v>98</v>
      </c>
      <c r="B16" t="s">
        <v>99</v>
      </c>
      <c r="D16" t="s">
        <v>100</v>
      </c>
      <c r="E16" t="s">
        <v>142</v>
      </c>
      <c r="F16" t="s">
        <v>102</v>
      </c>
      <c r="G16" t="s">
        <v>112</v>
      </c>
      <c r="H16" t="s">
        <v>104</v>
      </c>
      <c r="I16">
        <v>2022</v>
      </c>
      <c r="J16" t="s">
        <v>146</v>
      </c>
      <c r="K16" t="s">
        <v>106</v>
      </c>
      <c r="L16" t="s">
        <v>144</v>
      </c>
      <c r="M16" t="s">
        <v>147</v>
      </c>
      <c r="N16">
        <v>1</v>
      </c>
      <c r="O16">
        <v>2020</v>
      </c>
      <c r="P16">
        <v>200.7885700942916</v>
      </c>
      <c r="Q16">
        <v>4.2000145906136934</v>
      </c>
      <c r="R16" t="s">
        <v>109</v>
      </c>
      <c r="S16">
        <v>3.8393903868698711</v>
      </c>
      <c r="T16" t="s">
        <v>110</v>
      </c>
      <c r="U16">
        <v>3.8393903868698711</v>
      </c>
      <c r="V16">
        <v>685.1192035182313</v>
      </c>
      <c r="W16">
        <v>14.33104807576899</v>
      </c>
      <c r="X16" t="s">
        <v>111</v>
      </c>
      <c r="Y16">
        <v>21</v>
      </c>
      <c r="Z16">
        <v>0.1643924611578399</v>
      </c>
      <c r="AA16">
        <v>31.536000000000001</v>
      </c>
    </row>
    <row r="17" spans="1:27" hidden="1" x14ac:dyDescent="0.25">
      <c r="A17" t="s">
        <v>98</v>
      </c>
      <c r="B17" t="s">
        <v>99</v>
      </c>
      <c r="D17" t="s">
        <v>100</v>
      </c>
      <c r="E17" t="s">
        <v>142</v>
      </c>
      <c r="F17" t="s">
        <v>102</v>
      </c>
      <c r="G17" t="s">
        <v>103</v>
      </c>
      <c r="H17" t="s">
        <v>104</v>
      </c>
      <c r="I17">
        <v>2023</v>
      </c>
      <c r="J17" t="s">
        <v>148</v>
      </c>
      <c r="K17" t="s">
        <v>106</v>
      </c>
      <c r="L17" t="s">
        <v>144</v>
      </c>
      <c r="M17" t="s">
        <v>149</v>
      </c>
      <c r="N17">
        <v>0</v>
      </c>
      <c r="O17">
        <v>2023</v>
      </c>
      <c r="P17">
        <v>135.73557542199771</v>
      </c>
      <c r="Q17">
        <v>4.2000145906136934</v>
      </c>
      <c r="R17" t="s">
        <v>109</v>
      </c>
      <c r="S17">
        <v>3.4290738569753811</v>
      </c>
      <c r="T17" t="s">
        <v>110</v>
      </c>
      <c r="U17">
        <v>3.4290738569753811</v>
      </c>
      <c r="V17">
        <v>463.14911888927151</v>
      </c>
      <c r="W17">
        <v>14.33104807576899</v>
      </c>
      <c r="X17" t="s">
        <v>111</v>
      </c>
      <c r="Y17">
        <v>21</v>
      </c>
      <c r="Z17">
        <v>0.1643924611578399</v>
      </c>
      <c r="AA17">
        <v>31.536000000000001</v>
      </c>
    </row>
    <row r="18" spans="1:27" hidden="1" x14ac:dyDescent="0.25">
      <c r="A18" t="s">
        <v>98</v>
      </c>
      <c r="B18" t="s">
        <v>99</v>
      </c>
      <c r="D18" t="s">
        <v>100</v>
      </c>
      <c r="E18" t="s">
        <v>142</v>
      </c>
      <c r="F18" t="s">
        <v>117</v>
      </c>
      <c r="G18" t="s">
        <v>103</v>
      </c>
      <c r="H18" t="s">
        <v>104</v>
      </c>
      <c r="I18">
        <v>2033</v>
      </c>
      <c r="J18" t="s">
        <v>150</v>
      </c>
      <c r="K18" t="s">
        <v>106</v>
      </c>
      <c r="L18" t="s">
        <v>144</v>
      </c>
      <c r="M18" t="s">
        <v>151</v>
      </c>
      <c r="N18">
        <v>1</v>
      </c>
      <c r="O18">
        <v>2033</v>
      </c>
      <c r="P18">
        <v>483.9331327692995</v>
      </c>
      <c r="Q18">
        <v>3.810497108419681</v>
      </c>
      <c r="R18" t="s">
        <v>109</v>
      </c>
      <c r="S18">
        <v>5.0996483001172326</v>
      </c>
      <c r="T18" t="s">
        <v>110</v>
      </c>
      <c r="U18">
        <v>5.0996483001172326</v>
      </c>
      <c r="V18">
        <v>1651.2487853431401</v>
      </c>
      <c r="W18">
        <v>13.00195893970977</v>
      </c>
      <c r="X18" t="s">
        <v>111</v>
      </c>
      <c r="Y18">
        <v>14.4</v>
      </c>
      <c r="Z18">
        <v>0.1643924611578399</v>
      </c>
      <c r="AA18">
        <v>31.536000000000001</v>
      </c>
    </row>
    <row r="19" spans="1:27" hidden="1" x14ac:dyDescent="0.25">
      <c r="A19" t="s">
        <v>98</v>
      </c>
      <c r="B19" t="s">
        <v>99</v>
      </c>
      <c r="D19" t="s">
        <v>100</v>
      </c>
      <c r="E19" t="s">
        <v>142</v>
      </c>
      <c r="F19" t="s">
        <v>117</v>
      </c>
      <c r="G19" t="s">
        <v>67</v>
      </c>
      <c r="H19" t="s">
        <v>104</v>
      </c>
      <c r="I19">
        <v>2033</v>
      </c>
      <c r="J19" t="s">
        <v>152</v>
      </c>
      <c r="K19" t="s">
        <v>106</v>
      </c>
      <c r="L19" t="s">
        <v>144</v>
      </c>
      <c r="M19" t="s">
        <v>153</v>
      </c>
      <c r="N19">
        <v>1</v>
      </c>
      <c r="O19">
        <v>2033</v>
      </c>
      <c r="P19">
        <v>497.90495550017158</v>
      </c>
      <c r="Q19">
        <v>3.810497108419681</v>
      </c>
      <c r="R19" t="s">
        <v>109</v>
      </c>
      <c r="S19">
        <v>5.7737397420867529</v>
      </c>
      <c r="T19" t="s">
        <v>110</v>
      </c>
      <c r="U19">
        <v>5.7737397420867529</v>
      </c>
      <c r="V19">
        <v>1698.9226347887429</v>
      </c>
      <c r="W19">
        <v>13.00195893970977</v>
      </c>
      <c r="X19" t="s">
        <v>111</v>
      </c>
      <c r="Y19">
        <v>14.4</v>
      </c>
      <c r="Z19">
        <v>0.1643924611578399</v>
      </c>
      <c r="AA19">
        <v>31.536000000000001</v>
      </c>
    </row>
    <row r="20" spans="1:27" hidden="1" x14ac:dyDescent="0.25">
      <c r="A20" t="s">
        <v>98</v>
      </c>
      <c r="B20" t="s">
        <v>99</v>
      </c>
      <c r="D20" t="s">
        <v>100</v>
      </c>
      <c r="E20" t="s">
        <v>142</v>
      </c>
      <c r="F20" t="s">
        <v>117</v>
      </c>
      <c r="G20" t="s">
        <v>112</v>
      </c>
      <c r="H20" t="s">
        <v>104</v>
      </c>
      <c r="I20">
        <v>2033</v>
      </c>
      <c r="J20" t="s">
        <v>154</v>
      </c>
      <c r="K20" t="s">
        <v>106</v>
      </c>
      <c r="L20" t="s">
        <v>144</v>
      </c>
      <c r="M20" t="s">
        <v>155</v>
      </c>
      <c r="N20">
        <v>1</v>
      </c>
      <c r="O20">
        <v>2033</v>
      </c>
      <c r="P20">
        <v>513.14694393385037</v>
      </c>
      <c r="Q20">
        <v>3.810497108419681</v>
      </c>
      <c r="R20" t="s">
        <v>109</v>
      </c>
      <c r="S20">
        <v>6.4771395076201648</v>
      </c>
      <c r="T20" t="s">
        <v>110</v>
      </c>
      <c r="U20">
        <v>6.4771395076201648</v>
      </c>
      <c r="V20">
        <v>1750.930470547582</v>
      </c>
      <c r="W20">
        <v>13.00195893970977</v>
      </c>
      <c r="X20" t="s">
        <v>111</v>
      </c>
      <c r="Y20">
        <v>14.4</v>
      </c>
      <c r="Z20">
        <v>0.1643924611578399</v>
      </c>
      <c r="AA20">
        <v>31.536000000000001</v>
      </c>
    </row>
    <row r="21" spans="1:27" hidden="1" x14ac:dyDescent="0.25">
      <c r="A21" t="s">
        <v>98</v>
      </c>
      <c r="B21" t="s">
        <v>99</v>
      </c>
      <c r="D21" t="s">
        <v>100</v>
      </c>
      <c r="E21" t="s">
        <v>142</v>
      </c>
      <c r="F21" t="s">
        <v>117</v>
      </c>
      <c r="G21" t="s">
        <v>103</v>
      </c>
      <c r="H21" t="s">
        <v>104</v>
      </c>
      <c r="I21">
        <v>2023</v>
      </c>
      <c r="J21" t="s">
        <v>156</v>
      </c>
      <c r="K21" t="s">
        <v>106</v>
      </c>
      <c r="L21" t="s">
        <v>144</v>
      </c>
      <c r="M21" t="s">
        <v>157</v>
      </c>
      <c r="N21">
        <v>1</v>
      </c>
      <c r="O21">
        <v>2023</v>
      </c>
      <c r="P21">
        <v>498.32834406777368</v>
      </c>
      <c r="Q21">
        <v>3.810497108419681</v>
      </c>
      <c r="R21" t="s">
        <v>109</v>
      </c>
      <c r="S21">
        <v>3.833333333333333</v>
      </c>
      <c r="T21" t="s">
        <v>110</v>
      </c>
      <c r="U21">
        <v>3.833333333333333</v>
      </c>
      <c r="V21">
        <v>1700.3672968931551</v>
      </c>
      <c r="W21">
        <v>13.00195893970977</v>
      </c>
      <c r="X21" t="s">
        <v>111</v>
      </c>
      <c r="Y21">
        <v>14.4</v>
      </c>
      <c r="Z21">
        <v>0.1643924611578399</v>
      </c>
      <c r="AA21">
        <v>31.536000000000001</v>
      </c>
    </row>
    <row r="22" spans="1:27" hidden="1" x14ac:dyDescent="0.25">
      <c r="A22" t="s">
        <v>98</v>
      </c>
      <c r="B22" t="s">
        <v>99</v>
      </c>
      <c r="D22" t="s">
        <v>100</v>
      </c>
      <c r="E22" t="s">
        <v>142</v>
      </c>
      <c r="F22" t="s">
        <v>130</v>
      </c>
      <c r="G22" t="s">
        <v>103</v>
      </c>
      <c r="H22" t="s">
        <v>131</v>
      </c>
      <c r="I22">
        <v>2022</v>
      </c>
      <c r="J22" t="s">
        <v>158</v>
      </c>
      <c r="K22" t="s">
        <v>133</v>
      </c>
      <c r="L22" t="s">
        <v>144</v>
      </c>
      <c r="M22" t="s">
        <v>159</v>
      </c>
      <c r="N22">
        <v>1</v>
      </c>
      <c r="O22">
        <v>2020</v>
      </c>
      <c r="P22">
        <v>335.32374554093201</v>
      </c>
      <c r="Q22">
        <v>6.3000218859205397</v>
      </c>
      <c r="R22" t="s">
        <v>109</v>
      </c>
      <c r="S22">
        <v>1.2</v>
      </c>
      <c r="T22" t="s">
        <v>110</v>
      </c>
      <c r="U22">
        <v>1.2</v>
      </c>
      <c r="V22">
        <v>1144.172386694459</v>
      </c>
      <c r="W22">
        <v>21.496572113653482</v>
      </c>
      <c r="X22" t="s">
        <v>111</v>
      </c>
      <c r="Y22">
        <v>15</v>
      </c>
      <c r="Z22">
        <v>0.1643924611578399</v>
      </c>
      <c r="AA22">
        <v>31.536000000000001</v>
      </c>
    </row>
    <row r="23" spans="1:27" hidden="1" x14ac:dyDescent="0.25">
      <c r="A23" t="s">
        <v>98</v>
      </c>
      <c r="B23" t="s">
        <v>99</v>
      </c>
      <c r="D23" t="s">
        <v>100</v>
      </c>
      <c r="E23" t="s">
        <v>142</v>
      </c>
      <c r="F23" t="s">
        <v>160</v>
      </c>
      <c r="G23" t="s">
        <v>103</v>
      </c>
      <c r="H23" t="s">
        <v>104</v>
      </c>
      <c r="I23">
        <v>2030</v>
      </c>
      <c r="J23" t="s">
        <v>161</v>
      </c>
      <c r="K23" t="s">
        <v>106</v>
      </c>
      <c r="L23" t="s">
        <v>144</v>
      </c>
      <c r="M23" t="s">
        <v>162</v>
      </c>
      <c r="N23">
        <v>1</v>
      </c>
      <c r="O23">
        <v>2030</v>
      </c>
      <c r="P23">
        <v>93.992262007685454</v>
      </c>
      <c r="Q23">
        <v>4.3185633895423052</v>
      </c>
      <c r="R23" t="s">
        <v>109</v>
      </c>
      <c r="S23">
        <v>4.8178066132425448</v>
      </c>
      <c r="T23" t="s">
        <v>110</v>
      </c>
      <c r="U23">
        <v>4.8178066132425448</v>
      </c>
      <c r="V23">
        <v>320.71498717950749</v>
      </c>
      <c r="W23">
        <v>14.735553465004401</v>
      </c>
      <c r="X23" t="s">
        <v>111</v>
      </c>
      <c r="Y23">
        <v>20</v>
      </c>
      <c r="Z23">
        <v>0.1643924611578399</v>
      </c>
      <c r="AA23">
        <v>31.536000000000001</v>
      </c>
    </row>
    <row r="24" spans="1:27" hidden="1" x14ac:dyDescent="0.25">
      <c r="A24" t="s">
        <v>98</v>
      </c>
      <c r="B24" t="s">
        <v>99</v>
      </c>
      <c r="D24" t="s">
        <v>100</v>
      </c>
      <c r="E24" t="s">
        <v>142</v>
      </c>
      <c r="F24" t="s">
        <v>160</v>
      </c>
      <c r="G24" t="s">
        <v>112</v>
      </c>
      <c r="H24" t="s">
        <v>104</v>
      </c>
      <c r="I24">
        <v>2030</v>
      </c>
      <c r="J24" t="s">
        <v>163</v>
      </c>
      <c r="K24" t="s">
        <v>106</v>
      </c>
      <c r="L24" t="s">
        <v>144</v>
      </c>
      <c r="M24" t="s">
        <v>164</v>
      </c>
      <c r="N24">
        <v>1</v>
      </c>
      <c r="O24">
        <v>2030</v>
      </c>
      <c r="P24">
        <v>104.15358763013791</v>
      </c>
      <c r="Q24">
        <v>4.3185633895423052</v>
      </c>
      <c r="R24" t="s">
        <v>109</v>
      </c>
      <c r="S24">
        <v>5.1720570995103783</v>
      </c>
      <c r="T24" t="s">
        <v>110</v>
      </c>
      <c r="U24">
        <v>5.1720570995103783</v>
      </c>
      <c r="V24">
        <v>355.38687768540018</v>
      </c>
      <c r="W24">
        <v>14.735553465004401</v>
      </c>
      <c r="X24" t="s">
        <v>111</v>
      </c>
      <c r="Y24">
        <v>20</v>
      </c>
      <c r="Z24">
        <v>0.1643924611578399</v>
      </c>
      <c r="AA24">
        <v>31.536000000000001</v>
      </c>
    </row>
    <row r="25" spans="1:27" hidden="1" x14ac:dyDescent="0.25">
      <c r="A25" t="s">
        <v>98</v>
      </c>
      <c r="B25" t="s">
        <v>99</v>
      </c>
      <c r="D25" t="s">
        <v>100</v>
      </c>
      <c r="E25" t="s">
        <v>142</v>
      </c>
      <c r="F25" t="s">
        <v>160</v>
      </c>
      <c r="G25" t="s">
        <v>103</v>
      </c>
      <c r="H25" t="s">
        <v>104</v>
      </c>
      <c r="I25">
        <v>2040</v>
      </c>
      <c r="J25" t="s">
        <v>165</v>
      </c>
      <c r="K25" t="s">
        <v>106</v>
      </c>
      <c r="L25" t="s">
        <v>144</v>
      </c>
      <c r="M25" t="s">
        <v>166</v>
      </c>
      <c r="N25">
        <v>1</v>
      </c>
      <c r="O25">
        <v>2040</v>
      </c>
      <c r="P25">
        <v>93.992262007685454</v>
      </c>
      <c r="Q25">
        <v>4.3185633895423052</v>
      </c>
      <c r="R25" t="s">
        <v>109</v>
      </c>
      <c r="S25">
        <v>4.9535194755874059</v>
      </c>
      <c r="T25" t="s">
        <v>110</v>
      </c>
      <c r="U25">
        <v>4.9535194755874059</v>
      </c>
      <c r="V25">
        <v>320.71498717950749</v>
      </c>
      <c r="W25">
        <v>14.735553465004401</v>
      </c>
      <c r="X25" t="s">
        <v>111</v>
      </c>
      <c r="Y25">
        <v>20</v>
      </c>
      <c r="Z25">
        <v>0.1643924611578399</v>
      </c>
      <c r="AA25">
        <v>31.536000000000001</v>
      </c>
    </row>
    <row r="26" spans="1:27" hidden="1" x14ac:dyDescent="0.25">
      <c r="A26" t="s">
        <v>98</v>
      </c>
      <c r="B26" t="s">
        <v>99</v>
      </c>
      <c r="D26" t="s">
        <v>100</v>
      </c>
      <c r="E26" t="s">
        <v>142</v>
      </c>
      <c r="F26" t="s">
        <v>160</v>
      </c>
      <c r="G26" t="s">
        <v>112</v>
      </c>
      <c r="H26" t="s">
        <v>104</v>
      </c>
      <c r="I26">
        <v>2040</v>
      </c>
      <c r="J26" t="s">
        <v>167</v>
      </c>
      <c r="K26" t="s">
        <v>106</v>
      </c>
      <c r="L26" t="s">
        <v>144</v>
      </c>
      <c r="M26" t="s">
        <v>168</v>
      </c>
      <c r="N26">
        <v>1</v>
      </c>
      <c r="O26">
        <v>2040</v>
      </c>
      <c r="P26">
        <v>104.15358763013791</v>
      </c>
      <c r="Q26">
        <v>4.3185633895423052</v>
      </c>
      <c r="R26" t="s">
        <v>109</v>
      </c>
      <c r="S26">
        <v>5.4107674271800876</v>
      </c>
      <c r="T26" t="s">
        <v>110</v>
      </c>
      <c r="U26">
        <v>5.4107674271800876</v>
      </c>
      <c r="V26">
        <v>355.38687768540018</v>
      </c>
      <c r="W26">
        <v>14.735553465004401</v>
      </c>
      <c r="X26" t="s">
        <v>111</v>
      </c>
      <c r="Y26">
        <v>20</v>
      </c>
      <c r="Z26">
        <v>0.1643924611578399</v>
      </c>
      <c r="AA26">
        <v>31.536000000000001</v>
      </c>
    </row>
    <row r="27" spans="1:27" hidden="1" x14ac:dyDescent="0.25">
      <c r="A27" t="s">
        <v>98</v>
      </c>
      <c r="B27" t="s">
        <v>99</v>
      </c>
      <c r="D27" t="s">
        <v>100</v>
      </c>
      <c r="E27" t="s">
        <v>142</v>
      </c>
      <c r="F27" t="s">
        <v>160</v>
      </c>
      <c r="G27" t="s">
        <v>112</v>
      </c>
      <c r="H27" t="s">
        <v>104</v>
      </c>
      <c r="I27">
        <v>2022</v>
      </c>
      <c r="J27" t="s">
        <v>169</v>
      </c>
      <c r="K27" t="s">
        <v>106</v>
      </c>
      <c r="L27" t="s">
        <v>144</v>
      </c>
      <c r="M27" t="s">
        <v>170</v>
      </c>
      <c r="N27">
        <v>1</v>
      </c>
      <c r="O27">
        <v>2020</v>
      </c>
      <c r="P27">
        <v>104.15358763013791</v>
      </c>
      <c r="Q27">
        <v>4.3185633895423052</v>
      </c>
      <c r="R27" t="s">
        <v>109</v>
      </c>
      <c r="S27">
        <v>4.9886508193858967</v>
      </c>
      <c r="T27" t="s">
        <v>110</v>
      </c>
      <c r="U27">
        <v>4.9886508193858967</v>
      </c>
      <c r="V27">
        <v>355.38687768540018</v>
      </c>
      <c r="W27">
        <v>14.735553465004401</v>
      </c>
      <c r="X27" t="s">
        <v>111</v>
      </c>
      <c r="Y27">
        <v>20</v>
      </c>
      <c r="Z27">
        <v>0.1643924611578399</v>
      </c>
      <c r="AA27">
        <v>31.536000000000001</v>
      </c>
    </row>
    <row r="28" spans="1:27" hidden="1" x14ac:dyDescent="0.25">
      <c r="A28" t="s">
        <v>98</v>
      </c>
      <c r="B28" t="s">
        <v>99</v>
      </c>
      <c r="D28" t="s">
        <v>100</v>
      </c>
      <c r="E28" t="s">
        <v>142</v>
      </c>
      <c r="F28" t="s">
        <v>171</v>
      </c>
      <c r="G28" t="s">
        <v>172</v>
      </c>
      <c r="H28" t="s">
        <v>104</v>
      </c>
      <c r="I28">
        <v>2061</v>
      </c>
      <c r="J28" t="s">
        <v>173</v>
      </c>
      <c r="K28" t="s">
        <v>106</v>
      </c>
      <c r="L28" t="s">
        <v>144</v>
      </c>
      <c r="M28" t="s">
        <v>174</v>
      </c>
      <c r="N28">
        <v>1</v>
      </c>
      <c r="O28">
        <v>2061</v>
      </c>
      <c r="P28">
        <v>90.181764899265772</v>
      </c>
      <c r="Q28">
        <v>3.3024308272970568</v>
      </c>
      <c r="R28" t="s">
        <v>109</v>
      </c>
      <c r="S28">
        <v>4.1038492738238714</v>
      </c>
      <c r="T28" t="s">
        <v>110</v>
      </c>
      <c r="U28">
        <v>4.1038492738238714</v>
      </c>
      <c r="V28">
        <v>307.71302823979772</v>
      </c>
      <c r="W28">
        <v>11.26836441441513</v>
      </c>
      <c r="X28" t="s">
        <v>111</v>
      </c>
      <c r="Y28">
        <v>20</v>
      </c>
      <c r="Z28">
        <v>0.1643924611578399</v>
      </c>
      <c r="AA28">
        <v>31.536000000000001</v>
      </c>
    </row>
    <row r="29" spans="1:27" hidden="1" x14ac:dyDescent="0.25">
      <c r="A29" t="s">
        <v>98</v>
      </c>
      <c r="B29" t="s">
        <v>99</v>
      </c>
      <c r="D29" t="s">
        <v>100</v>
      </c>
      <c r="E29" t="s">
        <v>142</v>
      </c>
      <c r="F29" t="s">
        <v>171</v>
      </c>
      <c r="G29" t="s">
        <v>112</v>
      </c>
      <c r="H29" t="s">
        <v>104</v>
      </c>
      <c r="I29">
        <v>2022</v>
      </c>
      <c r="J29" t="s">
        <v>175</v>
      </c>
      <c r="K29" t="s">
        <v>106</v>
      </c>
      <c r="L29" t="s">
        <v>144</v>
      </c>
      <c r="M29" t="s">
        <v>176</v>
      </c>
      <c r="N29">
        <v>1</v>
      </c>
      <c r="O29">
        <v>2020</v>
      </c>
      <c r="P29">
        <v>99.072924818911702</v>
      </c>
      <c r="Q29">
        <v>3.3024308272970568</v>
      </c>
      <c r="R29" t="s">
        <v>109</v>
      </c>
      <c r="S29">
        <v>6.6358468446548251</v>
      </c>
      <c r="T29" t="s">
        <v>110</v>
      </c>
      <c r="U29">
        <v>6.6358468446548251</v>
      </c>
      <c r="V29">
        <v>338.05093243245392</v>
      </c>
      <c r="W29">
        <v>11.26836441441513</v>
      </c>
      <c r="X29" t="s">
        <v>111</v>
      </c>
      <c r="Y29">
        <v>20</v>
      </c>
      <c r="Z29">
        <v>0.1643924611578399</v>
      </c>
      <c r="AA29">
        <v>31.536000000000001</v>
      </c>
    </row>
    <row r="30" spans="1:27" hidden="1" x14ac:dyDescent="0.25">
      <c r="A30" t="s">
        <v>98</v>
      </c>
      <c r="B30" t="s">
        <v>99</v>
      </c>
      <c r="D30" t="s">
        <v>100</v>
      </c>
      <c r="E30" t="s">
        <v>142</v>
      </c>
      <c r="F30" t="s">
        <v>171</v>
      </c>
      <c r="G30" t="s">
        <v>103</v>
      </c>
      <c r="H30" t="s">
        <v>104</v>
      </c>
      <c r="I30">
        <v>2030</v>
      </c>
      <c r="J30" t="s">
        <v>177</v>
      </c>
      <c r="K30" t="s">
        <v>106</v>
      </c>
      <c r="L30" t="s">
        <v>144</v>
      </c>
      <c r="M30" t="s">
        <v>178</v>
      </c>
      <c r="N30">
        <v>1</v>
      </c>
      <c r="O30">
        <v>2030</v>
      </c>
      <c r="P30">
        <v>90.181764899265772</v>
      </c>
      <c r="Q30">
        <v>3.3024308272970568</v>
      </c>
      <c r="R30" t="s">
        <v>109</v>
      </c>
      <c r="S30">
        <v>4.8847205939820251</v>
      </c>
      <c r="T30" t="s">
        <v>110</v>
      </c>
      <c r="U30">
        <v>4.8847205939820251</v>
      </c>
      <c r="V30">
        <v>307.71302823979772</v>
      </c>
      <c r="W30">
        <v>11.26836441441513</v>
      </c>
      <c r="X30" t="s">
        <v>111</v>
      </c>
      <c r="Y30">
        <v>20</v>
      </c>
      <c r="Z30">
        <v>0.1643924611578399</v>
      </c>
      <c r="AA30">
        <v>31.536000000000001</v>
      </c>
    </row>
    <row r="31" spans="1:27" hidden="1" x14ac:dyDescent="0.25">
      <c r="A31" t="s">
        <v>98</v>
      </c>
      <c r="B31" t="s">
        <v>99</v>
      </c>
      <c r="D31" t="s">
        <v>100</v>
      </c>
      <c r="E31" t="s">
        <v>142</v>
      </c>
      <c r="F31" t="s">
        <v>171</v>
      </c>
      <c r="G31" t="s">
        <v>112</v>
      </c>
      <c r="H31" t="s">
        <v>104</v>
      </c>
      <c r="I31">
        <v>2030</v>
      </c>
      <c r="J31" t="s">
        <v>179</v>
      </c>
      <c r="K31" t="s">
        <v>106</v>
      </c>
      <c r="L31" t="s">
        <v>144</v>
      </c>
      <c r="M31" t="s">
        <v>180</v>
      </c>
      <c r="N31">
        <v>1</v>
      </c>
      <c r="O31">
        <v>2030</v>
      </c>
      <c r="P31">
        <v>99.072924818911702</v>
      </c>
      <c r="Q31">
        <v>3.3024308272970568</v>
      </c>
      <c r="R31" t="s">
        <v>109</v>
      </c>
      <c r="S31">
        <v>7.1775486278919534</v>
      </c>
      <c r="T31" t="s">
        <v>110</v>
      </c>
      <c r="U31">
        <v>7.1775486278919534</v>
      </c>
      <c r="V31">
        <v>338.05093243245392</v>
      </c>
      <c r="W31">
        <v>11.26836441441513</v>
      </c>
      <c r="X31" t="s">
        <v>111</v>
      </c>
      <c r="Y31">
        <v>20</v>
      </c>
      <c r="Z31">
        <v>0.1643924611578399</v>
      </c>
      <c r="AA31">
        <v>31.536000000000001</v>
      </c>
    </row>
    <row r="32" spans="1:27" hidden="1" x14ac:dyDescent="0.25">
      <c r="A32" t="s">
        <v>98</v>
      </c>
      <c r="B32" t="s">
        <v>99</v>
      </c>
      <c r="D32" t="s">
        <v>100</v>
      </c>
      <c r="E32" t="s">
        <v>142</v>
      </c>
      <c r="F32" t="s">
        <v>171</v>
      </c>
      <c r="G32" t="s">
        <v>103</v>
      </c>
      <c r="H32" t="s">
        <v>104</v>
      </c>
      <c r="I32">
        <v>2040</v>
      </c>
      <c r="J32" t="s">
        <v>181</v>
      </c>
      <c r="K32" t="s">
        <v>106</v>
      </c>
      <c r="L32" t="s">
        <v>144</v>
      </c>
      <c r="M32" t="s">
        <v>182</v>
      </c>
      <c r="N32">
        <v>1</v>
      </c>
      <c r="O32">
        <v>2040</v>
      </c>
      <c r="P32">
        <v>90.181764899265772</v>
      </c>
      <c r="Q32">
        <v>3.3024308272970568</v>
      </c>
      <c r="R32" t="s">
        <v>109</v>
      </c>
      <c r="S32">
        <v>5.1720570995103783</v>
      </c>
      <c r="T32" t="s">
        <v>110</v>
      </c>
      <c r="U32">
        <v>5.1720570995103783</v>
      </c>
      <c r="V32">
        <v>307.71302823979772</v>
      </c>
      <c r="W32">
        <v>11.26836441441513</v>
      </c>
      <c r="X32" t="s">
        <v>111</v>
      </c>
      <c r="Y32">
        <v>20</v>
      </c>
      <c r="Z32">
        <v>0.1643924611578399</v>
      </c>
      <c r="AA32">
        <v>31.536000000000001</v>
      </c>
    </row>
    <row r="33" spans="1:27" hidden="1" x14ac:dyDescent="0.25">
      <c r="A33" t="s">
        <v>98</v>
      </c>
      <c r="B33" t="s">
        <v>99</v>
      </c>
      <c r="D33" t="s">
        <v>100</v>
      </c>
      <c r="E33" t="s">
        <v>142</v>
      </c>
      <c r="F33" t="s">
        <v>171</v>
      </c>
      <c r="G33" t="s">
        <v>112</v>
      </c>
      <c r="H33" t="s">
        <v>104</v>
      </c>
      <c r="I33">
        <v>2040</v>
      </c>
      <c r="J33" t="s">
        <v>183</v>
      </c>
      <c r="K33" t="s">
        <v>106</v>
      </c>
      <c r="L33" t="s">
        <v>144</v>
      </c>
      <c r="M33" t="s">
        <v>184</v>
      </c>
      <c r="N33">
        <v>1</v>
      </c>
      <c r="O33">
        <v>2040</v>
      </c>
      <c r="P33">
        <v>99.072924818911702</v>
      </c>
      <c r="Q33">
        <v>3.3024308272970568</v>
      </c>
      <c r="R33" t="s">
        <v>109</v>
      </c>
      <c r="S33">
        <v>7.815552950371238</v>
      </c>
      <c r="T33" t="s">
        <v>110</v>
      </c>
      <c r="U33">
        <v>7.815552950371238</v>
      </c>
      <c r="V33">
        <v>338.05093243245392</v>
      </c>
      <c r="W33">
        <v>11.26836441441513</v>
      </c>
      <c r="X33" t="s">
        <v>111</v>
      </c>
      <c r="Y33">
        <v>20</v>
      </c>
      <c r="Z33">
        <v>0.1643924611578399</v>
      </c>
      <c r="AA33">
        <v>31.536000000000001</v>
      </c>
    </row>
    <row r="34" spans="1:27" hidden="1" x14ac:dyDescent="0.25">
      <c r="A34" t="s">
        <v>98</v>
      </c>
      <c r="B34" t="s">
        <v>99</v>
      </c>
      <c r="D34" t="s">
        <v>100</v>
      </c>
      <c r="E34" t="s">
        <v>142</v>
      </c>
      <c r="F34" t="s">
        <v>185</v>
      </c>
      <c r="G34" t="s">
        <v>112</v>
      </c>
      <c r="H34" t="s">
        <v>104</v>
      </c>
      <c r="I34">
        <v>2022</v>
      </c>
      <c r="J34" t="s">
        <v>186</v>
      </c>
      <c r="K34" t="s">
        <v>106</v>
      </c>
      <c r="L34" t="s">
        <v>144</v>
      </c>
      <c r="M34" t="s">
        <v>187</v>
      </c>
      <c r="N34">
        <v>1</v>
      </c>
      <c r="O34">
        <v>2020</v>
      </c>
      <c r="P34">
        <v>97.802759116105136</v>
      </c>
      <c r="Q34">
        <v>3.5564639678583689</v>
      </c>
      <c r="R34" t="s">
        <v>109</v>
      </c>
      <c r="S34">
        <v>4.4518972502114647</v>
      </c>
      <c r="T34" t="s">
        <v>110</v>
      </c>
      <c r="U34">
        <v>4.4518972502114647</v>
      </c>
      <c r="V34">
        <v>333.71694611921731</v>
      </c>
      <c r="W34">
        <v>12.135161677062451</v>
      </c>
      <c r="X34" t="s">
        <v>111</v>
      </c>
      <c r="Y34">
        <v>20</v>
      </c>
      <c r="Z34">
        <v>0.1643924611578399</v>
      </c>
      <c r="AA34">
        <v>31.536000000000001</v>
      </c>
    </row>
    <row r="35" spans="1:27" hidden="1" x14ac:dyDescent="0.25">
      <c r="A35" t="s">
        <v>98</v>
      </c>
      <c r="B35" t="s">
        <v>99</v>
      </c>
      <c r="D35" t="s">
        <v>100</v>
      </c>
      <c r="E35" t="s">
        <v>142</v>
      </c>
      <c r="F35" t="s">
        <v>188</v>
      </c>
      <c r="G35" t="s">
        <v>103</v>
      </c>
      <c r="H35" t="s">
        <v>104</v>
      </c>
      <c r="I35">
        <v>2030</v>
      </c>
      <c r="J35" t="s">
        <v>189</v>
      </c>
      <c r="K35" t="s">
        <v>106</v>
      </c>
      <c r="L35" t="s">
        <v>144</v>
      </c>
      <c r="M35" t="s">
        <v>190</v>
      </c>
      <c r="N35">
        <v>0</v>
      </c>
      <c r="O35">
        <v>2030</v>
      </c>
      <c r="P35">
        <v>49.536462409455851</v>
      </c>
      <c r="Q35">
        <v>3.0483976867357452</v>
      </c>
      <c r="R35" t="s">
        <v>109</v>
      </c>
      <c r="S35">
        <v>10.04856807904874</v>
      </c>
      <c r="T35" t="s">
        <v>110</v>
      </c>
      <c r="U35">
        <v>10.04856807904874</v>
      </c>
      <c r="V35">
        <v>169.0254662162269</v>
      </c>
      <c r="W35">
        <v>10.401567151767811</v>
      </c>
      <c r="X35" t="s">
        <v>111</v>
      </c>
      <c r="Y35">
        <v>25</v>
      </c>
      <c r="Z35">
        <v>0.1643924611578399</v>
      </c>
      <c r="AA35">
        <v>31.536000000000001</v>
      </c>
    </row>
    <row r="36" spans="1:27" hidden="1" x14ac:dyDescent="0.25">
      <c r="A36" t="s">
        <v>98</v>
      </c>
      <c r="B36" t="s">
        <v>99</v>
      </c>
      <c r="D36" t="s">
        <v>100</v>
      </c>
      <c r="E36" t="s">
        <v>142</v>
      </c>
      <c r="F36" t="s">
        <v>188</v>
      </c>
      <c r="G36" t="s">
        <v>112</v>
      </c>
      <c r="H36" t="s">
        <v>104</v>
      </c>
      <c r="I36">
        <v>2030</v>
      </c>
      <c r="J36" t="s">
        <v>191</v>
      </c>
      <c r="K36" t="s">
        <v>106</v>
      </c>
      <c r="L36" t="s">
        <v>144</v>
      </c>
      <c r="M36" t="s">
        <v>192</v>
      </c>
      <c r="N36">
        <v>0</v>
      </c>
      <c r="O36">
        <v>2030</v>
      </c>
      <c r="P36">
        <v>64.778450843134578</v>
      </c>
      <c r="Q36">
        <v>3.0483976867357452</v>
      </c>
      <c r="R36" t="s">
        <v>109</v>
      </c>
      <c r="S36">
        <v>13.02592158395206</v>
      </c>
      <c r="T36" t="s">
        <v>110</v>
      </c>
      <c r="U36">
        <v>13.02592158395206</v>
      </c>
      <c r="V36">
        <v>221.033301975066</v>
      </c>
      <c r="W36">
        <v>10.401567151767811</v>
      </c>
      <c r="X36" t="s">
        <v>111</v>
      </c>
      <c r="Y36">
        <v>25</v>
      </c>
      <c r="Z36">
        <v>0.1643924611578399</v>
      </c>
      <c r="AA36">
        <v>31.536000000000001</v>
      </c>
    </row>
    <row r="37" spans="1:27" hidden="1" x14ac:dyDescent="0.25">
      <c r="A37" t="s">
        <v>98</v>
      </c>
      <c r="B37" t="s">
        <v>99</v>
      </c>
      <c r="D37" t="s">
        <v>100</v>
      </c>
      <c r="E37" t="s">
        <v>142</v>
      </c>
      <c r="F37" t="s">
        <v>188</v>
      </c>
      <c r="G37" t="s">
        <v>103</v>
      </c>
      <c r="H37" t="s">
        <v>104</v>
      </c>
      <c r="I37">
        <v>2040</v>
      </c>
      <c r="J37" t="s">
        <v>193</v>
      </c>
      <c r="K37" t="s">
        <v>106</v>
      </c>
      <c r="L37" t="s">
        <v>144</v>
      </c>
      <c r="M37" t="s">
        <v>194</v>
      </c>
      <c r="N37">
        <v>0</v>
      </c>
      <c r="O37">
        <v>2040</v>
      </c>
      <c r="P37">
        <v>49.536462409455851</v>
      </c>
      <c r="Q37">
        <v>3.0483976867357452</v>
      </c>
      <c r="R37" t="s">
        <v>109</v>
      </c>
      <c r="S37">
        <v>10.34411419902076</v>
      </c>
      <c r="T37" t="s">
        <v>110</v>
      </c>
      <c r="U37">
        <v>10.34411419902076</v>
      </c>
      <c r="V37">
        <v>169.0254662162269</v>
      </c>
      <c r="W37">
        <v>10.401567151767811</v>
      </c>
      <c r="X37" t="s">
        <v>111</v>
      </c>
      <c r="Y37">
        <v>25</v>
      </c>
      <c r="Z37">
        <v>0.1643924611578399</v>
      </c>
      <c r="AA37">
        <v>31.536000000000001</v>
      </c>
    </row>
    <row r="38" spans="1:27" hidden="1" x14ac:dyDescent="0.25">
      <c r="A38" t="s">
        <v>98</v>
      </c>
      <c r="B38" t="s">
        <v>99</v>
      </c>
      <c r="D38" t="s">
        <v>100</v>
      </c>
      <c r="E38" t="s">
        <v>142</v>
      </c>
      <c r="F38" t="s">
        <v>188</v>
      </c>
      <c r="G38" t="s">
        <v>112</v>
      </c>
      <c r="H38" t="s">
        <v>104</v>
      </c>
      <c r="I38">
        <v>2040</v>
      </c>
      <c r="J38" t="s">
        <v>195</v>
      </c>
      <c r="K38" t="s">
        <v>106</v>
      </c>
      <c r="L38" t="s">
        <v>144</v>
      </c>
      <c r="M38" t="s">
        <v>196</v>
      </c>
      <c r="N38">
        <v>0</v>
      </c>
      <c r="O38">
        <v>2040</v>
      </c>
      <c r="P38">
        <v>64.778450843134578</v>
      </c>
      <c r="Q38">
        <v>3.0483976867357452</v>
      </c>
      <c r="R38" t="s">
        <v>109</v>
      </c>
      <c r="S38">
        <v>14.067995310668231</v>
      </c>
      <c r="T38" t="s">
        <v>110</v>
      </c>
      <c r="U38">
        <v>14.067995310668231</v>
      </c>
      <c r="V38">
        <v>221.033301975066</v>
      </c>
      <c r="W38">
        <v>10.401567151767811</v>
      </c>
      <c r="X38" t="s">
        <v>111</v>
      </c>
      <c r="Y38">
        <v>25</v>
      </c>
      <c r="Z38">
        <v>0.1643924611578399</v>
      </c>
      <c r="AA38">
        <v>31.536000000000001</v>
      </c>
    </row>
    <row r="39" spans="1:27" hidden="1" x14ac:dyDescent="0.25">
      <c r="A39" t="s">
        <v>98</v>
      </c>
      <c r="B39" t="s">
        <v>99</v>
      </c>
      <c r="D39" t="s">
        <v>100</v>
      </c>
      <c r="E39" t="s">
        <v>142</v>
      </c>
      <c r="F39" t="s">
        <v>188</v>
      </c>
      <c r="G39" t="s">
        <v>112</v>
      </c>
      <c r="H39" t="s">
        <v>104</v>
      </c>
      <c r="I39">
        <v>2022</v>
      </c>
      <c r="J39" t="s">
        <v>197</v>
      </c>
      <c r="K39" t="s">
        <v>106</v>
      </c>
      <c r="L39" t="s">
        <v>144</v>
      </c>
      <c r="M39" t="s">
        <v>198</v>
      </c>
      <c r="N39">
        <v>1</v>
      </c>
      <c r="O39">
        <v>2020</v>
      </c>
      <c r="P39">
        <v>64.778450843134578</v>
      </c>
      <c r="Q39">
        <v>3.0483976867357452</v>
      </c>
      <c r="R39" t="s">
        <v>109</v>
      </c>
      <c r="S39">
        <v>12.12758216436916</v>
      </c>
      <c r="T39" t="s">
        <v>110</v>
      </c>
      <c r="U39">
        <v>12.12758216436916</v>
      </c>
      <c r="V39">
        <v>221.033301975066</v>
      </c>
      <c r="W39">
        <v>10.401567151767811</v>
      </c>
      <c r="X39" t="s">
        <v>111</v>
      </c>
      <c r="Y39">
        <v>25</v>
      </c>
      <c r="Z39">
        <v>0.1643924611578399</v>
      </c>
      <c r="AA39">
        <v>31.536000000000001</v>
      </c>
    </row>
    <row r="40" spans="1:27" hidden="1" x14ac:dyDescent="0.25">
      <c r="A40" t="s">
        <v>98</v>
      </c>
      <c r="B40" t="s">
        <v>99</v>
      </c>
      <c r="D40" t="s">
        <v>100</v>
      </c>
      <c r="E40" t="s">
        <v>142</v>
      </c>
      <c r="F40" t="s">
        <v>199</v>
      </c>
      <c r="G40" t="s">
        <v>103</v>
      </c>
      <c r="H40" t="s">
        <v>131</v>
      </c>
      <c r="I40">
        <v>2030</v>
      </c>
      <c r="J40" t="s">
        <v>200</v>
      </c>
      <c r="K40" t="s">
        <v>133</v>
      </c>
      <c r="L40" t="s">
        <v>144</v>
      </c>
      <c r="M40" t="s">
        <v>201</v>
      </c>
      <c r="N40">
        <v>0</v>
      </c>
      <c r="O40">
        <v>2030</v>
      </c>
      <c r="P40">
        <v>93.992262007685454</v>
      </c>
      <c r="Q40">
        <v>2.7943645461744331</v>
      </c>
      <c r="R40" t="s">
        <v>109</v>
      </c>
      <c r="S40">
        <v>1.4</v>
      </c>
      <c r="T40" t="s">
        <v>110</v>
      </c>
      <c r="U40">
        <v>1.4</v>
      </c>
      <c r="V40">
        <v>320.71498717950749</v>
      </c>
      <c r="W40">
        <v>9.5347698891204935</v>
      </c>
      <c r="X40" t="s">
        <v>111</v>
      </c>
      <c r="Y40">
        <v>23</v>
      </c>
      <c r="Z40">
        <v>0.1643924611578399</v>
      </c>
      <c r="AA40">
        <v>31.536000000000001</v>
      </c>
    </row>
    <row r="41" spans="1:27" hidden="1" x14ac:dyDescent="0.25">
      <c r="A41" t="s">
        <v>98</v>
      </c>
      <c r="B41" t="s">
        <v>99</v>
      </c>
      <c r="D41" t="s">
        <v>100</v>
      </c>
      <c r="E41" t="s">
        <v>142</v>
      </c>
      <c r="F41" t="s">
        <v>202</v>
      </c>
      <c r="G41" t="s">
        <v>103</v>
      </c>
      <c r="H41" t="s">
        <v>104</v>
      </c>
      <c r="I41">
        <v>2023</v>
      </c>
      <c r="J41" t="s">
        <v>203</v>
      </c>
      <c r="K41" t="s">
        <v>106</v>
      </c>
      <c r="L41" t="s">
        <v>144</v>
      </c>
      <c r="M41" t="s">
        <v>204</v>
      </c>
      <c r="N41">
        <v>1</v>
      </c>
      <c r="O41">
        <v>2023</v>
      </c>
      <c r="P41">
        <v>138.8714501735173</v>
      </c>
      <c r="Q41">
        <v>4.2000145906136934</v>
      </c>
      <c r="R41" t="s">
        <v>109</v>
      </c>
      <c r="S41">
        <v>3.5756154747948421</v>
      </c>
      <c r="T41" t="s">
        <v>110</v>
      </c>
      <c r="U41">
        <v>3.5756154747948421</v>
      </c>
      <c r="V41">
        <v>473.84917024720039</v>
      </c>
      <c r="W41">
        <v>14.33104807576899</v>
      </c>
      <c r="X41" t="s">
        <v>111</v>
      </c>
      <c r="Y41">
        <v>21</v>
      </c>
      <c r="Z41">
        <v>0.1643924611578399</v>
      </c>
      <c r="AA41">
        <v>31.536000000000001</v>
      </c>
    </row>
    <row r="42" spans="1:27" hidden="1" x14ac:dyDescent="0.25">
      <c r="A42" t="s">
        <v>98</v>
      </c>
      <c r="B42" t="s">
        <v>99</v>
      </c>
      <c r="D42" t="s">
        <v>100</v>
      </c>
      <c r="E42" t="s">
        <v>142</v>
      </c>
      <c r="F42" t="s">
        <v>202</v>
      </c>
      <c r="G42" t="s">
        <v>112</v>
      </c>
      <c r="H42" t="s">
        <v>104</v>
      </c>
      <c r="I42">
        <v>2022</v>
      </c>
      <c r="J42" t="s">
        <v>205</v>
      </c>
      <c r="K42" t="s">
        <v>106</v>
      </c>
      <c r="L42" t="s">
        <v>144</v>
      </c>
      <c r="M42" t="s">
        <v>206</v>
      </c>
      <c r="N42">
        <v>1</v>
      </c>
      <c r="O42">
        <v>2020</v>
      </c>
      <c r="P42">
        <v>201.87166903272271</v>
      </c>
      <c r="Q42">
        <v>4.2000145906136934</v>
      </c>
      <c r="R42" t="s">
        <v>109</v>
      </c>
      <c r="S42">
        <v>3.7514654161781951</v>
      </c>
      <c r="T42" t="s">
        <v>110</v>
      </c>
      <c r="U42">
        <v>3.7514654161781951</v>
      </c>
      <c r="V42">
        <v>688.81489138373513</v>
      </c>
      <c r="W42">
        <v>14.33104807576899</v>
      </c>
      <c r="X42" t="s">
        <v>111</v>
      </c>
      <c r="Y42">
        <v>21</v>
      </c>
      <c r="Z42">
        <v>0.1643924611578399</v>
      </c>
      <c r="AA42">
        <v>31.536000000000001</v>
      </c>
    </row>
    <row r="43" spans="1:27" hidden="1" x14ac:dyDescent="0.25">
      <c r="A43" t="s">
        <v>98</v>
      </c>
      <c r="B43" t="s">
        <v>99</v>
      </c>
      <c r="D43" t="s">
        <v>100</v>
      </c>
      <c r="E43" t="s">
        <v>142</v>
      </c>
      <c r="F43" t="s">
        <v>207</v>
      </c>
      <c r="G43" t="s">
        <v>103</v>
      </c>
      <c r="H43" t="s">
        <v>104</v>
      </c>
      <c r="I43">
        <v>2030</v>
      </c>
      <c r="J43" t="s">
        <v>208</v>
      </c>
      <c r="K43" t="s">
        <v>106</v>
      </c>
      <c r="L43" t="s">
        <v>144</v>
      </c>
      <c r="M43" t="s">
        <v>209</v>
      </c>
      <c r="N43">
        <v>0</v>
      </c>
      <c r="O43">
        <v>2030</v>
      </c>
      <c r="P43">
        <v>74.322838838509583</v>
      </c>
      <c r="Q43">
        <v>1.219359074694298E-2</v>
      </c>
      <c r="R43" t="s">
        <v>109</v>
      </c>
      <c r="S43">
        <v>3.5902696365767879</v>
      </c>
      <c r="T43" t="s">
        <v>110</v>
      </c>
      <c r="U43">
        <v>3.5902696365767879</v>
      </c>
      <c r="V43">
        <v>253.60011341452949</v>
      </c>
      <c r="W43">
        <v>4.1606268607071263E-2</v>
      </c>
      <c r="X43" t="s">
        <v>111</v>
      </c>
      <c r="Y43">
        <v>9.5</v>
      </c>
      <c r="Z43">
        <v>0.1643924611578399</v>
      </c>
      <c r="AA43">
        <v>31.536000000000001</v>
      </c>
    </row>
    <row r="44" spans="1:27" hidden="1" x14ac:dyDescent="0.25">
      <c r="A44" t="s">
        <v>98</v>
      </c>
      <c r="B44" t="s">
        <v>99</v>
      </c>
      <c r="D44" t="s">
        <v>100</v>
      </c>
      <c r="E44" t="s">
        <v>142</v>
      </c>
      <c r="F44" t="s">
        <v>207</v>
      </c>
      <c r="G44" t="s">
        <v>112</v>
      </c>
      <c r="H44" t="s">
        <v>104</v>
      </c>
      <c r="I44">
        <v>2030</v>
      </c>
      <c r="J44" t="s">
        <v>210</v>
      </c>
      <c r="K44" t="s">
        <v>106</v>
      </c>
      <c r="L44" t="s">
        <v>144</v>
      </c>
      <c r="M44" t="s">
        <v>211</v>
      </c>
      <c r="N44">
        <v>0</v>
      </c>
      <c r="O44">
        <v>2030</v>
      </c>
      <c r="P44">
        <v>81.871252158045721</v>
      </c>
      <c r="Q44">
        <v>1.219359074694298E-2</v>
      </c>
      <c r="R44" t="s">
        <v>109</v>
      </c>
      <c r="S44">
        <v>3.8100820633059791</v>
      </c>
      <c r="T44" t="s">
        <v>110</v>
      </c>
      <c r="U44">
        <v>3.8100820633059791</v>
      </c>
      <c r="V44">
        <v>279.35637493319268</v>
      </c>
      <c r="W44">
        <v>4.1606268607071263E-2</v>
      </c>
      <c r="X44" t="s">
        <v>111</v>
      </c>
      <c r="Y44">
        <v>9.5</v>
      </c>
      <c r="Z44">
        <v>0.1643924611578399</v>
      </c>
      <c r="AA44">
        <v>31.536000000000001</v>
      </c>
    </row>
    <row r="45" spans="1:27" hidden="1" x14ac:dyDescent="0.25">
      <c r="A45" t="s">
        <v>98</v>
      </c>
      <c r="B45" t="s">
        <v>99</v>
      </c>
      <c r="D45" t="s">
        <v>100</v>
      </c>
      <c r="E45" t="s">
        <v>142</v>
      </c>
      <c r="F45" t="s">
        <v>207</v>
      </c>
      <c r="G45" t="s">
        <v>103</v>
      </c>
      <c r="H45" t="s">
        <v>104</v>
      </c>
      <c r="I45">
        <v>2040</v>
      </c>
      <c r="J45" t="s">
        <v>212</v>
      </c>
      <c r="K45" t="s">
        <v>106</v>
      </c>
      <c r="L45" t="s">
        <v>144</v>
      </c>
      <c r="M45" t="s">
        <v>213</v>
      </c>
      <c r="N45">
        <v>0</v>
      </c>
      <c r="O45">
        <v>2040</v>
      </c>
      <c r="P45">
        <v>74.322838838509583</v>
      </c>
      <c r="Q45">
        <v>1.219359074694298E-2</v>
      </c>
      <c r="R45" t="s">
        <v>109</v>
      </c>
      <c r="S45">
        <v>3.6635404454865181</v>
      </c>
      <c r="T45" t="s">
        <v>110</v>
      </c>
      <c r="U45">
        <v>3.6635404454865181</v>
      </c>
      <c r="V45">
        <v>253.60011341452949</v>
      </c>
      <c r="W45">
        <v>4.1606268607071263E-2</v>
      </c>
      <c r="X45" t="s">
        <v>111</v>
      </c>
      <c r="Y45">
        <v>9.5</v>
      </c>
      <c r="Z45">
        <v>0.1643924611578399</v>
      </c>
      <c r="AA45">
        <v>31.536000000000001</v>
      </c>
    </row>
    <row r="46" spans="1:27" hidden="1" x14ac:dyDescent="0.25">
      <c r="A46" t="s">
        <v>98</v>
      </c>
      <c r="B46" t="s">
        <v>99</v>
      </c>
      <c r="D46" t="s">
        <v>100</v>
      </c>
      <c r="E46" t="s">
        <v>142</v>
      </c>
      <c r="F46" t="s">
        <v>207</v>
      </c>
      <c r="G46" t="s">
        <v>112</v>
      </c>
      <c r="H46" t="s">
        <v>104</v>
      </c>
      <c r="I46">
        <v>2040</v>
      </c>
      <c r="J46" t="s">
        <v>214</v>
      </c>
      <c r="K46" t="s">
        <v>106</v>
      </c>
      <c r="L46" t="s">
        <v>144</v>
      </c>
      <c r="M46" t="s">
        <v>215</v>
      </c>
      <c r="N46">
        <v>0</v>
      </c>
      <c r="O46">
        <v>2040</v>
      </c>
      <c r="P46">
        <v>81.871252158045721</v>
      </c>
      <c r="Q46">
        <v>1.219359074694298E-2</v>
      </c>
      <c r="R46" t="s">
        <v>109</v>
      </c>
      <c r="S46">
        <v>3.9566236811254401</v>
      </c>
      <c r="T46" t="s">
        <v>110</v>
      </c>
      <c r="U46">
        <v>3.9566236811254401</v>
      </c>
      <c r="V46">
        <v>279.35637493319268</v>
      </c>
      <c r="W46">
        <v>4.1606268607071263E-2</v>
      </c>
      <c r="X46" t="s">
        <v>111</v>
      </c>
      <c r="Y46">
        <v>9.5</v>
      </c>
      <c r="Z46">
        <v>0.1643924611578399</v>
      </c>
      <c r="AA46">
        <v>31.536000000000001</v>
      </c>
    </row>
    <row r="47" spans="1:27" hidden="1" x14ac:dyDescent="0.25">
      <c r="A47" t="s">
        <v>98</v>
      </c>
      <c r="B47" t="s">
        <v>99</v>
      </c>
      <c r="D47" t="s">
        <v>100</v>
      </c>
      <c r="E47" t="s">
        <v>142</v>
      </c>
      <c r="F47" t="s">
        <v>207</v>
      </c>
      <c r="G47" t="s">
        <v>112</v>
      </c>
      <c r="H47" t="s">
        <v>104</v>
      </c>
      <c r="I47">
        <v>2022</v>
      </c>
      <c r="J47" t="s">
        <v>216</v>
      </c>
      <c r="K47" t="s">
        <v>106</v>
      </c>
      <c r="L47" t="s">
        <v>144</v>
      </c>
      <c r="M47" t="s">
        <v>217</v>
      </c>
      <c r="N47">
        <v>1</v>
      </c>
      <c r="O47">
        <v>2020</v>
      </c>
      <c r="P47">
        <v>81.871252158045721</v>
      </c>
      <c r="Q47">
        <v>1.219359074694298E-2</v>
      </c>
      <c r="R47" t="s">
        <v>109</v>
      </c>
      <c r="S47">
        <v>3.6635404454865181</v>
      </c>
      <c r="T47" t="s">
        <v>110</v>
      </c>
      <c r="U47">
        <v>3.6635404454865181</v>
      </c>
      <c r="V47">
        <v>279.35637493319268</v>
      </c>
      <c r="W47">
        <v>4.1606268607071263E-2</v>
      </c>
      <c r="X47" t="s">
        <v>111</v>
      </c>
      <c r="Y47">
        <v>9.5</v>
      </c>
      <c r="Z47">
        <v>0.1643924611578399</v>
      </c>
      <c r="AA47">
        <v>31.536000000000001</v>
      </c>
    </row>
    <row r="48" spans="1:27" hidden="1" x14ac:dyDescent="0.25">
      <c r="A48" t="s">
        <v>98</v>
      </c>
      <c r="B48" t="s">
        <v>99</v>
      </c>
      <c r="D48" t="s">
        <v>100</v>
      </c>
      <c r="E48" t="s">
        <v>142</v>
      </c>
      <c r="F48" t="s">
        <v>218</v>
      </c>
      <c r="G48" t="s">
        <v>219</v>
      </c>
      <c r="H48" t="s">
        <v>104</v>
      </c>
      <c r="I48">
        <v>2023</v>
      </c>
      <c r="J48" t="s">
        <v>220</v>
      </c>
      <c r="K48" t="s">
        <v>106</v>
      </c>
      <c r="L48" t="s">
        <v>144</v>
      </c>
      <c r="M48" t="s">
        <v>221</v>
      </c>
      <c r="N48">
        <v>0</v>
      </c>
      <c r="O48">
        <v>2023</v>
      </c>
      <c r="P48">
        <v>144.5166310748798</v>
      </c>
      <c r="Q48">
        <v>2.6193639382321958</v>
      </c>
      <c r="R48" t="s">
        <v>109</v>
      </c>
      <c r="S48">
        <v>4.6893317702227444</v>
      </c>
      <c r="T48" t="s">
        <v>110</v>
      </c>
      <c r="U48">
        <v>4.6893317702227444</v>
      </c>
      <c r="V48">
        <v>493.11133163936307</v>
      </c>
      <c r="W48">
        <v>8.937642885963454</v>
      </c>
      <c r="X48" t="s">
        <v>111</v>
      </c>
      <c r="Y48">
        <v>18</v>
      </c>
      <c r="Z48">
        <v>0.1643924611578399</v>
      </c>
      <c r="AA48">
        <v>31.536000000000001</v>
      </c>
    </row>
    <row r="49" spans="1:27" hidden="1" x14ac:dyDescent="0.25">
      <c r="A49" t="s">
        <v>98</v>
      </c>
      <c r="B49" t="s">
        <v>99</v>
      </c>
      <c r="D49" t="s">
        <v>100</v>
      </c>
      <c r="E49" t="s">
        <v>142</v>
      </c>
      <c r="F49" t="s">
        <v>218</v>
      </c>
      <c r="G49" t="s">
        <v>112</v>
      </c>
      <c r="H49" t="s">
        <v>104</v>
      </c>
      <c r="I49">
        <v>2022</v>
      </c>
      <c r="J49" t="s">
        <v>222</v>
      </c>
      <c r="K49" t="s">
        <v>106</v>
      </c>
      <c r="L49" t="s">
        <v>144</v>
      </c>
      <c r="M49" t="s">
        <v>223</v>
      </c>
      <c r="N49">
        <v>1</v>
      </c>
      <c r="O49">
        <v>2020</v>
      </c>
      <c r="P49">
        <v>157.50054714801351</v>
      </c>
      <c r="Q49">
        <v>2.455653692092683</v>
      </c>
      <c r="R49" t="s">
        <v>109</v>
      </c>
      <c r="S49">
        <v>4.835873388042204</v>
      </c>
      <c r="T49" t="s">
        <v>110</v>
      </c>
      <c r="U49">
        <v>4.835873388042204</v>
      </c>
      <c r="V49">
        <v>537.41430284133696</v>
      </c>
      <c r="W49">
        <v>8.3790402055907389</v>
      </c>
      <c r="X49" t="s">
        <v>111</v>
      </c>
      <c r="Y49">
        <v>18</v>
      </c>
      <c r="Z49">
        <v>0.1643924611578399</v>
      </c>
      <c r="AA49">
        <v>31.536000000000001</v>
      </c>
    </row>
    <row r="50" spans="1:27" hidden="1" x14ac:dyDescent="0.25">
      <c r="A50" t="s">
        <v>98</v>
      </c>
      <c r="B50" t="s">
        <v>99</v>
      </c>
      <c r="D50" t="s">
        <v>100</v>
      </c>
      <c r="E50" t="s">
        <v>142</v>
      </c>
      <c r="F50" t="s">
        <v>218</v>
      </c>
      <c r="G50" t="s">
        <v>103</v>
      </c>
      <c r="H50" t="s">
        <v>104</v>
      </c>
      <c r="I50">
        <v>2023</v>
      </c>
      <c r="J50" t="s">
        <v>224</v>
      </c>
      <c r="K50" t="s">
        <v>106</v>
      </c>
      <c r="L50" t="s">
        <v>144</v>
      </c>
      <c r="M50" t="s">
        <v>225</v>
      </c>
      <c r="N50">
        <v>0</v>
      </c>
      <c r="O50">
        <v>2023</v>
      </c>
      <c r="P50">
        <v>125.3230160102473</v>
      </c>
      <c r="Q50">
        <v>2.455653692092683</v>
      </c>
      <c r="R50" t="s">
        <v>109</v>
      </c>
      <c r="S50">
        <v>4.2203985932004704</v>
      </c>
      <c r="T50" t="s">
        <v>110</v>
      </c>
      <c r="U50">
        <v>4.2203985932004704</v>
      </c>
      <c r="V50">
        <v>427.61998290601008</v>
      </c>
      <c r="W50">
        <v>8.3790402055907389</v>
      </c>
      <c r="X50" t="s">
        <v>111</v>
      </c>
      <c r="Y50">
        <v>18</v>
      </c>
      <c r="Z50">
        <v>0.1643924611578399</v>
      </c>
      <c r="AA50">
        <v>31.536000000000001</v>
      </c>
    </row>
    <row r="51" spans="1:27" x14ac:dyDescent="0.25">
      <c r="A51" t="s">
        <v>98</v>
      </c>
      <c r="B51" t="s">
        <v>99</v>
      </c>
      <c r="D51" t="s">
        <v>100</v>
      </c>
      <c r="E51" t="s">
        <v>226</v>
      </c>
      <c r="F51" t="s">
        <v>227</v>
      </c>
      <c r="G51" t="s">
        <v>228</v>
      </c>
      <c r="H51" t="s">
        <v>104</v>
      </c>
      <c r="I51">
        <v>2023</v>
      </c>
      <c r="J51" t="s">
        <v>229</v>
      </c>
      <c r="K51" t="s">
        <v>106</v>
      </c>
      <c r="L51" t="s">
        <v>230</v>
      </c>
      <c r="M51" t="s">
        <v>231</v>
      </c>
      <c r="N51">
        <v>1</v>
      </c>
      <c r="O51">
        <v>2023</v>
      </c>
      <c r="P51">
        <v>351.48905933689161</v>
      </c>
      <c r="Q51">
        <v>0.67078064758948786</v>
      </c>
      <c r="R51" t="s">
        <v>109</v>
      </c>
      <c r="S51">
        <v>2.7</v>
      </c>
      <c r="T51" t="s">
        <v>110</v>
      </c>
      <c r="U51">
        <v>2.7</v>
      </c>
      <c r="V51">
        <v>1199.3307401172131</v>
      </c>
      <c r="W51">
        <v>2.2887991223610928</v>
      </c>
      <c r="X51" t="s">
        <v>111</v>
      </c>
      <c r="Y51">
        <v>20</v>
      </c>
      <c r="Z51">
        <v>0.44</v>
      </c>
      <c r="AA51">
        <v>31.536000000000001</v>
      </c>
    </row>
    <row r="52" spans="1:27" x14ac:dyDescent="0.25">
      <c r="A52" t="s">
        <v>98</v>
      </c>
      <c r="B52" t="s">
        <v>99</v>
      </c>
      <c r="D52" t="s">
        <v>100</v>
      </c>
      <c r="E52" t="s">
        <v>226</v>
      </c>
      <c r="F52" t="s">
        <v>227</v>
      </c>
      <c r="G52" t="s">
        <v>228</v>
      </c>
      <c r="H52" t="s">
        <v>104</v>
      </c>
      <c r="I52">
        <v>2024</v>
      </c>
      <c r="J52" t="s">
        <v>232</v>
      </c>
      <c r="K52" t="s">
        <v>106</v>
      </c>
      <c r="L52" t="s">
        <v>230</v>
      </c>
      <c r="M52" t="s">
        <v>233</v>
      </c>
      <c r="N52">
        <v>1</v>
      </c>
      <c r="O52">
        <v>2024</v>
      </c>
      <c r="P52">
        <v>351.48905933689161</v>
      </c>
      <c r="Q52">
        <v>0.67078064758948786</v>
      </c>
      <c r="R52" t="s">
        <v>109</v>
      </c>
      <c r="S52">
        <v>2.7</v>
      </c>
      <c r="T52" t="s">
        <v>110</v>
      </c>
      <c r="U52">
        <v>2.7</v>
      </c>
      <c r="V52">
        <v>1199.3307401172131</v>
      </c>
      <c r="W52">
        <v>2.2887991223610928</v>
      </c>
      <c r="X52" t="s">
        <v>111</v>
      </c>
      <c r="Y52">
        <v>20</v>
      </c>
      <c r="Z52">
        <v>0.44</v>
      </c>
      <c r="AA52">
        <v>31.536000000000001</v>
      </c>
    </row>
    <row r="53" spans="1:27" x14ac:dyDescent="0.25">
      <c r="A53" t="s">
        <v>98</v>
      </c>
      <c r="B53" t="s">
        <v>99</v>
      </c>
      <c r="D53" t="s">
        <v>100</v>
      </c>
      <c r="E53" t="s">
        <v>226</v>
      </c>
      <c r="F53" t="s">
        <v>227</v>
      </c>
      <c r="G53" t="s">
        <v>228</v>
      </c>
      <c r="H53" t="s">
        <v>104</v>
      </c>
      <c r="I53">
        <v>2025</v>
      </c>
      <c r="J53" t="s">
        <v>234</v>
      </c>
      <c r="K53" t="s">
        <v>106</v>
      </c>
      <c r="L53" t="s">
        <v>230</v>
      </c>
      <c r="M53" t="s">
        <v>235</v>
      </c>
      <c r="N53">
        <v>1</v>
      </c>
      <c r="O53">
        <v>2025</v>
      </c>
      <c r="P53">
        <v>351.48905933689161</v>
      </c>
      <c r="Q53">
        <v>0.67078064758948786</v>
      </c>
      <c r="R53" t="s">
        <v>109</v>
      </c>
      <c r="S53">
        <v>2.7</v>
      </c>
      <c r="T53" t="s">
        <v>110</v>
      </c>
      <c r="U53">
        <v>2.7</v>
      </c>
      <c r="V53">
        <v>1199.3307401172131</v>
      </c>
      <c r="W53">
        <v>2.2887991223610928</v>
      </c>
      <c r="X53" t="s">
        <v>111</v>
      </c>
      <c r="Y53">
        <v>20</v>
      </c>
      <c r="Z53">
        <v>0.44</v>
      </c>
      <c r="AA53">
        <v>31.536000000000001</v>
      </c>
    </row>
    <row r="54" spans="1:27" x14ac:dyDescent="0.25">
      <c r="A54" t="s">
        <v>98</v>
      </c>
      <c r="B54" t="s">
        <v>99</v>
      </c>
      <c r="D54" t="s">
        <v>100</v>
      </c>
      <c r="E54" t="s">
        <v>226</v>
      </c>
      <c r="F54" t="s">
        <v>227</v>
      </c>
      <c r="G54" t="s">
        <v>228</v>
      </c>
      <c r="H54" t="s">
        <v>104</v>
      </c>
      <c r="I54">
        <v>2026</v>
      </c>
      <c r="J54" t="s">
        <v>236</v>
      </c>
      <c r="K54" t="s">
        <v>106</v>
      </c>
      <c r="L54" t="s">
        <v>230</v>
      </c>
      <c r="M54" t="s">
        <v>237</v>
      </c>
      <c r="N54">
        <v>1</v>
      </c>
      <c r="O54">
        <v>2026</v>
      </c>
      <c r="P54">
        <v>351.48905933689161</v>
      </c>
      <c r="Q54">
        <v>0.67078064758948786</v>
      </c>
      <c r="R54" t="s">
        <v>109</v>
      </c>
      <c r="S54">
        <v>2.7</v>
      </c>
      <c r="T54" t="s">
        <v>110</v>
      </c>
      <c r="U54">
        <v>2.7</v>
      </c>
      <c r="V54">
        <v>1199.3307401172131</v>
      </c>
      <c r="W54">
        <v>2.2887991223610928</v>
      </c>
      <c r="X54" t="s">
        <v>111</v>
      </c>
      <c r="Y54">
        <v>20</v>
      </c>
      <c r="Z54">
        <v>0.44</v>
      </c>
      <c r="AA54">
        <v>31.536000000000001</v>
      </c>
    </row>
    <row r="55" spans="1:27" x14ac:dyDescent="0.25">
      <c r="A55" t="s">
        <v>98</v>
      </c>
      <c r="B55" t="s">
        <v>99</v>
      </c>
      <c r="D55" t="s">
        <v>100</v>
      </c>
      <c r="E55" t="s">
        <v>226</v>
      </c>
      <c r="F55" t="s">
        <v>227</v>
      </c>
      <c r="G55" t="s">
        <v>228</v>
      </c>
      <c r="H55" t="s">
        <v>104</v>
      </c>
      <c r="I55">
        <v>2027</v>
      </c>
      <c r="J55" t="s">
        <v>238</v>
      </c>
      <c r="K55" t="s">
        <v>106</v>
      </c>
      <c r="L55" t="s">
        <v>230</v>
      </c>
      <c r="M55" t="s">
        <v>239</v>
      </c>
      <c r="N55">
        <v>1</v>
      </c>
      <c r="O55">
        <v>2027</v>
      </c>
      <c r="P55">
        <v>351.48905933689161</v>
      </c>
      <c r="Q55">
        <v>0.67078064758948786</v>
      </c>
      <c r="R55" t="s">
        <v>109</v>
      </c>
      <c r="S55">
        <v>2.7</v>
      </c>
      <c r="T55" t="s">
        <v>110</v>
      </c>
      <c r="U55">
        <v>2.7</v>
      </c>
      <c r="V55">
        <v>1199.3307401172131</v>
      </c>
      <c r="W55">
        <v>2.2887991223610928</v>
      </c>
      <c r="X55" t="s">
        <v>111</v>
      </c>
      <c r="Y55">
        <v>20</v>
      </c>
      <c r="Z55">
        <v>0.44</v>
      </c>
      <c r="AA55">
        <v>31.536000000000001</v>
      </c>
    </row>
    <row r="56" spans="1:27" x14ac:dyDescent="0.25">
      <c r="A56" t="s">
        <v>98</v>
      </c>
      <c r="B56" t="s">
        <v>99</v>
      </c>
      <c r="D56" t="s">
        <v>100</v>
      </c>
      <c r="E56" t="s">
        <v>226</v>
      </c>
      <c r="F56" t="s">
        <v>240</v>
      </c>
      <c r="G56" t="s">
        <v>103</v>
      </c>
      <c r="H56" t="s">
        <v>104</v>
      </c>
      <c r="I56">
        <v>2022</v>
      </c>
      <c r="J56" t="s">
        <v>241</v>
      </c>
      <c r="K56" t="s">
        <v>106</v>
      </c>
      <c r="L56" t="s">
        <v>230</v>
      </c>
      <c r="M56" t="s">
        <v>242</v>
      </c>
      <c r="N56">
        <v>1</v>
      </c>
      <c r="O56">
        <v>2020</v>
      </c>
      <c r="P56">
        <v>364.1638033744108</v>
      </c>
      <c r="Q56">
        <v>0.71474740603417231</v>
      </c>
      <c r="R56" t="s">
        <v>109</v>
      </c>
      <c r="S56">
        <v>3.9</v>
      </c>
      <c r="T56" t="s">
        <v>110</v>
      </c>
      <c r="U56">
        <v>3.9</v>
      </c>
      <c r="V56">
        <v>1242.578772292075</v>
      </c>
      <c r="W56">
        <v>2.4388199652445048</v>
      </c>
      <c r="X56" t="s">
        <v>111</v>
      </c>
      <c r="Y56">
        <v>15</v>
      </c>
      <c r="Z56">
        <v>0.44</v>
      </c>
      <c r="AA56">
        <v>31.536000000000001</v>
      </c>
    </row>
    <row r="57" spans="1:27" hidden="1" x14ac:dyDescent="0.25">
      <c r="A57" t="s">
        <v>98</v>
      </c>
      <c r="B57" t="s">
        <v>99</v>
      </c>
      <c r="D57" t="s">
        <v>100</v>
      </c>
      <c r="E57" t="s">
        <v>243</v>
      </c>
      <c r="F57" t="s">
        <v>244</v>
      </c>
      <c r="G57" t="s">
        <v>245</v>
      </c>
      <c r="H57" t="s">
        <v>104</v>
      </c>
      <c r="I57">
        <v>2022</v>
      </c>
      <c r="J57" t="s">
        <v>246</v>
      </c>
      <c r="K57" t="s">
        <v>106</v>
      </c>
      <c r="L57" t="s">
        <v>247</v>
      </c>
      <c r="M57" t="s">
        <v>248</v>
      </c>
      <c r="N57">
        <v>1</v>
      </c>
      <c r="O57">
        <v>2020</v>
      </c>
      <c r="P57">
        <v>5418.3180362120765</v>
      </c>
      <c r="Q57">
        <v>63.780978532496562</v>
      </c>
      <c r="R57" t="s">
        <v>249</v>
      </c>
      <c r="S57">
        <v>0.41325750353930962</v>
      </c>
      <c r="T57" t="s">
        <v>250</v>
      </c>
      <c r="U57">
        <v>1</v>
      </c>
      <c r="V57">
        <v>7640.3348848129563</v>
      </c>
      <c r="W57">
        <v>89.937141380872987</v>
      </c>
      <c r="X57" t="s">
        <v>111</v>
      </c>
      <c r="Y57">
        <v>20</v>
      </c>
      <c r="Z57">
        <v>0.44</v>
      </c>
      <c r="AA57">
        <v>31.536000000000001</v>
      </c>
    </row>
    <row r="58" spans="1:27" hidden="1" x14ac:dyDescent="0.25">
      <c r="A58" t="s">
        <v>98</v>
      </c>
      <c r="B58" t="s">
        <v>99</v>
      </c>
      <c r="D58" t="s">
        <v>100</v>
      </c>
      <c r="E58" t="s">
        <v>243</v>
      </c>
      <c r="F58" t="s">
        <v>244</v>
      </c>
      <c r="G58" t="s">
        <v>103</v>
      </c>
      <c r="H58" t="s">
        <v>104</v>
      </c>
      <c r="I58">
        <v>2022</v>
      </c>
      <c r="J58" t="s">
        <v>251</v>
      </c>
      <c r="K58" t="s">
        <v>106</v>
      </c>
      <c r="L58" t="s">
        <v>247</v>
      </c>
      <c r="M58" t="s">
        <v>252</v>
      </c>
      <c r="N58">
        <v>1</v>
      </c>
      <c r="O58">
        <v>2020</v>
      </c>
      <c r="P58">
        <v>5667.3116722418044</v>
      </c>
      <c r="Q58">
        <v>63.780978532496562</v>
      </c>
      <c r="R58" t="s">
        <v>249</v>
      </c>
      <c r="S58">
        <v>0.43508713487380868</v>
      </c>
      <c r="T58" t="s">
        <v>250</v>
      </c>
      <c r="U58">
        <v>1.052823315118397</v>
      </c>
      <c r="V58">
        <v>7991.4391852139524</v>
      </c>
      <c r="W58">
        <v>89.937141380873001</v>
      </c>
      <c r="X58" t="s">
        <v>111</v>
      </c>
      <c r="Y58">
        <v>20</v>
      </c>
      <c r="Z58">
        <v>0.44</v>
      </c>
      <c r="AA58">
        <v>31.536000000000001</v>
      </c>
    </row>
    <row r="59" spans="1:27" hidden="1" x14ac:dyDescent="0.25">
      <c r="A59" t="s">
        <v>98</v>
      </c>
      <c r="B59" t="s">
        <v>99</v>
      </c>
      <c r="D59" t="s">
        <v>100</v>
      </c>
      <c r="E59" t="s">
        <v>243</v>
      </c>
      <c r="F59" t="s">
        <v>244</v>
      </c>
      <c r="G59" t="s">
        <v>112</v>
      </c>
      <c r="H59" t="s">
        <v>104</v>
      </c>
      <c r="I59">
        <v>2022</v>
      </c>
      <c r="J59" t="s">
        <v>253</v>
      </c>
      <c r="K59" t="s">
        <v>106</v>
      </c>
      <c r="L59" t="s">
        <v>247</v>
      </c>
      <c r="M59" t="s">
        <v>254</v>
      </c>
      <c r="N59">
        <v>1</v>
      </c>
      <c r="O59">
        <v>2020</v>
      </c>
      <c r="P59">
        <v>5911.8706390075113</v>
      </c>
      <c r="Q59">
        <v>63.780978532496562</v>
      </c>
      <c r="R59" t="s">
        <v>249</v>
      </c>
      <c r="S59">
        <v>0.44315925240393511</v>
      </c>
      <c r="T59" t="s">
        <v>250</v>
      </c>
      <c r="U59">
        <v>1.0723562152133581</v>
      </c>
      <c r="V59">
        <v>8336.2901874412255</v>
      </c>
      <c r="W59">
        <v>89.937141380873001</v>
      </c>
      <c r="X59" t="s">
        <v>111</v>
      </c>
      <c r="Y59">
        <v>20</v>
      </c>
      <c r="Z59">
        <v>0.44</v>
      </c>
      <c r="AA59">
        <v>31.536000000000001</v>
      </c>
    </row>
    <row r="60" spans="1:27" hidden="1" x14ac:dyDescent="0.25">
      <c r="A60" t="s">
        <v>98</v>
      </c>
      <c r="B60" t="s">
        <v>99</v>
      </c>
      <c r="D60" t="s">
        <v>100</v>
      </c>
      <c r="E60" t="s">
        <v>243</v>
      </c>
      <c r="F60" t="s">
        <v>244</v>
      </c>
      <c r="G60" t="s">
        <v>103</v>
      </c>
      <c r="H60" t="s">
        <v>104</v>
      </c>
      <c r="I60">
        <v>2030</v>
      </c>
      <c r="J60" t="s">
        <v>255</v>
      </c>
      <c r="K60" t="s">
        <v>106</v>
      </c>
      <c r="L60" t="s">
        <v>247</v>
      </c>
      <c r="M60" t="s">
        <v>256</v>
      </c>
      <c r="N60">
        <v>1</v>
      </c>
      <c r="O60">
        <v>2030</v>
      </c>
      <c r="P60">
        <v>5667.3116722418044</v>
      </c>
      <c r="Q60">
        <v>63.780978532496562</v>
      </c>
      <c r="R60" t="s">
        <v>249</v>
      </c>
      <c r="S60">
        <v>0.43508713487380868</v>
      </c>
      <c r="T60" t="s">
        <v>250</v>
      </c>
      <c r="U60">
        <v>1.052823315118397</v>
      </c>
      <c r="V60">
        <v>7991.4391852139524</v>
      </c>
      <c r="W60">
        <v>89.937141380873001</v>
      </c>
      <c r="X60" t="s">
        <v>111</v>
      </c>
      <c r="Y60">
        <v>20</v>
      </c>
      <c r="Z60">
        <v>0.44</v>
      </c>
      <c r="AA60">
        <v>31.536000000000001</v>
      </c>
    </row>
    <row r="61" spans="1:27" hidden="1" x14ac:dyDescent="0.25">
      <c r="A61" t="s">
        <v>98</v>
      </c>
      <c r="B61" t="s">
        <v>99</v>
      </c>
      <c r="D61" t="s">
        <v>100</v>
      </c>
      <c r="E61" t="s">
        <v>243</v>
      </c>
      <c r="F61" t="s">
        <v>244</v>
      </c>
      <c r="G61" t="s">
        <v>112</v>
      </c>
      <c r="H61" t="s">
        <v>104</v>
      </c>
      <c r="I61">
        <v>2030</v>
      </c>
      <c r="J61" t="s">
        <v>257</v>
      </c>
      <c r="K61" t="s">
        <v>106</v>
      </c>
      <c r="L61" t="s">
        <v>247</v>
      </c>
      <c r="M61" t="s">
        <v>258</v>
      </c>
      <c r="N61">
        <v>1</v>
      </c>
      <c r="O61">
        <v>2030</v>
      </c>
      <c r="P61">
        <v>5911.8706390075113</v>
      </c>
      <c r="Q61">
        <v>63.780978532496562</v>
      </c>
      <c r="R61" t="s">
        <v>249</v>
      </c>
      <c r="S61">
        <v>0.44315925240393511</v>
      </c>
      <c r="T61" t="s">
        <v>250</v>
      </c>
      <c r="U61">
        <v>1.0723562152133581</v>
      </c>
      <c r="V61">
        <v>8336.2901874412255</v>
      </c>
      <c r="W61">
        <v>89.937141380873001</v>
      </c>
      <c r="X61" t="s">
        <v>111</v>
      </c>
      <c r="Y61">
        <v>20</v>
      </c>
      <c r="Z61">
        <v>0.44</v>
      </c>
      <c r="AA61">
        <v>31.536000000000001</v>
      </c>
    </row>
    <row r="62" spans="1:27" hidden="1" x14ac:dyDescent="0.25">
      <c r="A62" t="s">
        <v>98</v>
      </c>
      <c r="B62" t="s">
        <v>99</v>
      </c>
      <c r="D62" t="s">
        <v>100</v>
      </c>
      <c r="E62" t="s">
        <v>243</v>
      </c>
      <c r="F62" t="s">
        <v>244</v>
      </c>
      <c r="G62" t="s">
        <v>103</v>
      </c>
      <c r="H62" t="s">
        <v>104</v>
      </c>
      <c r="I62">
        <v>2040</v>
      </c>
      <c r="J62" t="s">
        <v>259</v>
      </c>
      <c r="K62" t="s">
        <v>106</v>
      </c>
      <c r="L62" t="s">
        <v>247</v>
      </c>
      <c r="M62" t="s">
        <v>260</v>
      </c>
      <c r="N62">
        <v>1</v>
      </c>
      <c r="O62">
        <v>2040</v>
      </c>
      <c r="P62">
        <v>5667.3116722418044</v>
      </c>
      <c r="Q62">
        <v>63.780978532496562</v>
      </c>
      <c r="R62" t="s">
        <v>249</v>
      </c>
      <c r="S62">
        <v>0.43508713487380868</v>
      </c>
      <c r="T62" t="s">
        <v>250</v>
      </c>
      <c r="U62">
        <v>1.052823315118397</v>
      </c>
      <c r="V62">
        <v>7991.4391852139524</v>
      </c>
      <c r="W62">
        <v>89.937141380873001</v>
      </c>
      <c r="X62" t="s">
        <v>111</v>
      </c>
      <c r="Y62">
        <v>20</v>
      </c>
      <c r="Z62">
        <v>0.44</v>
      </c>
      <c r="AA62">
        <v>31.536000000000001</v>
      </c>
    </row>
    <row r="63" spans="1:27" hidden="1" x14ac:dyDescent="0.25">
      <c r="A63" t="s">
        <v>98</v>
      </c>
      <c r="B63" t="s">
        <v>99</v>
      </c>
      <c r="D63" t="s">
        <v>100</v>
      </c>
      <c r="E63" t="s">
        <v>243</v>
      </c>
      <c r="F63" t="s">
        <v>244</v>
      </c>
      <c r="G63" t="s">
        <v>112</v>
      </c>
      <c r="H63" t="s">
        <v>104</v>
      </c>
      <c r="I63">
        <v>2040</v>
      </c>
      <c r="J63" t="s">
        <v>261</v>
      </c>
      <c r="K63" t="s">
        <v>106</v>
      </c>
      <c r="L63" t="s">
        <v>247</v>
      </c>
      <c r="M63" t="s">
        <v>262</v>
      </c>
      <c r="N63">
        <v>1</v>
      </c>
      <c r="O63">
        <v>2040</v>
      </c>
      <c r="P63">
        <v>5911.8706390075113</v>
      </c>
      <c r="Q63">
        <v>63.780978532496562</v>
      </c>
      <c r="R63" t="s">
        <v>249</v>
      </c>
      <c r="S63">
        <v>0.44315925240393511</v>
      </c>
      <c r="T63" t="s">
        <v>250</v>
      </c>
      <c r="U63">
        <v>1.0723562152133581</v>
      </c>
      <c r="V63">
        <v>8336.2901874412255</v>
      </c>
      <c r="W63">
        <v>89.937141380873001</v>
      </c>
      <c r="X63" t="s">
        <v>111</v>
      </c>
      <c r="Y63">
        <v>20</v>
      </c>
      <c r="Z63">
        <v>0.44</v>
      </c>
      <c r="AA63">
        <v>31.536000000000001</v>
      </c>
    </row>
    <row r="64" spans="1:27" hidden="1" x14ac:dyDescent="0.25">
      <c r="A64" t="s">
        <v>98</v>
      </c>
      <c r="B64" t="s">
        <v>99</v>
      </c>
      <c r="D64" t="s">
        <v>100</v>
      </c>
      <c r="E64" t="s">
        <v>243</v>
      </c>
      <c r="F64" t="s">
        <v>244</v>
      </c>
      <c r="G64" t="s">
        <v>103</v>
      </c>
      <c r="H64" t="s">
        <v>104</v>
      </c>
      <c r="I64">
        <v>2050</v>
      </c>
      <c r="J64" t="s">
        <v>263</v>
      </c>
      <c r="K64" t="s">
        <v>106</v>
      </c>
      <c r="L64" t="s">
        <v>247</v>
      </c>
      <c r="M64" t="s">
        <v>264</v>
      </c>
      <c r="N64">
        <v>1</v>
      </c>
      <c r="O64">
        <v>2050</v>
      </c>
      <c r="P64">
        <v>5667.3116722418044</v>
      </c>
      <c r="Q64">
        <v>63.780978532496562</v>
      </c>
      <c r="R64" t="s">
        <v>249</v>
      </c>
      <c r="S64">
        <v>0.43508713487380868</v>
      </c>
      <c r="T64" t="s">
        <v>250</v>
      </c>
      <c r="U64">
        <v>1.052823315118397</v>
      </c>
      <c r="V64">
        <v>7991.4391852139524</v>
      </c>
      <c r="W64">
        <v>89.937141380873001</v>
      </c>
      <c r="X64" t="s">
        <v>111</v>
      </c>
      <c r="Y64">
        <v>20</v>
      </c>
      <c r="Z64">
        <v>0.44</v>
      </c>
      <c r="AA64">
        <v>31.536000000000001</v>
      </c>
    </row>
    <row r="65" spans="1:27" hidden="1" x14ac:dyDescent="0.25">
      <c r="A65" t="s">
        <v>98</v>
      </c>
      <c r="B65" t="s">
        <v>99</v>
      </c>
      <c r="D65" t="s">
        <v>100</v>
      </c>
      <c r="E65" t="s">
        <v>243</v>
      </c>
      <c r="F65" t="s">
        <v>244</v>
      </c>
      <c r="G65" t="s">
        <v>112</v>
      </c>
      <c r="H65" t="s">
        <v>104</v>
      </c>
      <c r="I65">
        <v>2050</v>
      </c>
      <c r="J65" t="s">
        <v>265</v>
      </c>
      <c r="K65" t="s">
        <v>106</v>
      </c>
      <c r="L65" t="s">
        <v>247</v>
      </c>
      <c r="M65" t="s">
        <v>266</v>
      </c>
      <c r="N65">
        <v>1</v>
      </c>
      <c r="O65">
        <v>2050</v>
      </c>
      <c r="P65">
        <v>5911.8706390075113</v>
      </c>
      <c r="Q65">
        <v>63.780978532496562</v>
      </c>
      <c r="R65" t="s">
        <v>249</v>
      </c>
      <c r="S65">
        <v>0.44315925240393511</v>
      </c>
      <c r="T65" t="s">
        <v>250</v>
      </c>
      <c r="U65">
        <v>1.0723562152133581</v>
      </c>
      <c r="V65">
        <v>8336.2901874412255</v>
      </c>
      <c r="W65">
        <v>89.937141380873001</v>
      </c>
      <c r="X65" t="s">
        <v>111</v>
      </c>
      <c r="Y65">
        <v>20</v>
      </c>
      <c r="Z65">
        <v>0.44</v>
      </c>
      <c r="AA65">
        <v>31.536000000000001</v>
      </c>
    </row>
    <row r="66" spans="1:27" hidden="1" x14ac:dyDescent="0.25">
      <c r="A66" t="s">
        <v>98</v>
      </c>
      <c r="B66" t="s">
        <v>99</v>
      </c>
      <c r="D66" t="s">
        <v>100</v>
      </c>
      <c r="E66" t="s">
        <v>243</v>
      </c>
      <c r="F66" t="s">
        <v>267</v>
      </c>
      <c r="G66" t="s">
        <v>245</v>
      </c>
      <c r="H66" t="s">
        <v>104</v>
      </c>
      <c r="I66">
        <v>2022</v>
      </c>
      <c r="J66" t="s">
        <v>268</v>
      </c>
      <c r="K66" t="s">
        <v>106</v>
      </c>
      <c r="L66" t="s">
        <v>247</v>
      </c>
      <c r="M66" t="s">
        <v>269</v>
      </c>
      <c r="N66">
        <v>1</v>
      </c>
      <c r="O66">
        <v>2020</v>
      </c>
      <c r="P66">
        <v>7748.5410872802086</v>
      </c>
      <c r="Q66">
        <v>68.755259026523561</v>
      </c>
      <c r="R66" t="s">
        <v>249</v>
      </c>
      <c r="S66">
        <v>0.29876527460377861</v>
      </c>
      <c r="T66" t="s">
        <v>250</v>
      </c>
      <c r="U66">
        <v>0.72295184490306452</v>
      </c>
      <c r="V66">
        <v>10926.167194301681</v>
      </c>
      <c r="W66">
        <v>96.951341826723592</v>
      </c>
      <c r="X66" t="s">
        <v>111</v>
      </c>
      <c r="Y66">
        <v>20</v>
      </c>
      <c r="Z66">
        <v>0.44</v>
      </c>
      <c r="AA66">
        <v>31.536000000000001</v>
      </c>
    </row>
    <row r="67" spans="1:27" hidden="1" x14ac:dyDescent="0.25">
      <c r="A67" t="s">
        <v>98</v>
      </c>
      <c r="B67" t="s">
        <v>99</v>
      </c>
      <c r="D67" t="s">
        <v>100</v>
      </c>
      <c r="E67" t="s">
        <v>243</v>
      </c>
      <c r="F67" t="s">
        <v>267</v>
      </c>
      <c r="G67" t="s">
        <v>112</v>
      </c>
      <c r="H67" t="s">
        <v>104</v>
      </c>
      <c r="I67">
        <v>2022</v>
      </c>
      <c r="J67" t="s">
        <v>270</v>
      </c>
      <c r="K67" t="s">
        <v>106</v>
      </c>
      <c r="L67" t="s">
        <v>247</v>
      </c>
      <c r="M67" t="s">
        <v>271</v>
      </c>
      <c r="N67">
        <v>1</v>
      </c>
      <c r="O67">
        <v>2020</v>
      </c>
      <c r="P67">
        <v>8151.6394802345676</v>
      </c>
      <c r="Q67">
        <v>68.755259026523561</v>
      </c>
      <c r="R67" t="s">
        <v>249</v>
      </c>
      <c r="S67">
        <v>0.29876527460377861</v>
      </c>
      <c r="T67" t="s">
        <v>250</v>
      </c>
      <c r="U67">
        <v>0.72295184490306452</v>
      </c>
      <c r="V67">
        <v>11494.57360623949</v>
      </c>
      <c r="W67">
        <v>96.951341826723592</v>
      </c>
      <c r="X67" t="s">
        <v>111</v>
      </c>
      <c r="Y67">
        <v>20</v>
      </c>
      <c r="Z67">
        <v>0.44</v>
      </c>
      <c r="AA67">
        <v>31.536000000000001</v>
      </c>
    </row>
    <row r="68" spans="1:27" hidden="1" x14ac:dyDescent="0.25">
      <c r="A68" t="s">
        <v>98</v>
      </c>
      <c r="B68" t="s">
        <v>99</v>
      </c>
      <c r="D68" t="s">
        <v>100</v>
      </c>
      <c r="E68" t="s">
        <v>243</v>
      </c>
      <c r="F68" t="s">
        <v>267</v>
      </c>
      <c r="G68" t="s">
        <v>103</v>
      </c>
      <c r="H68" t="s">
        <v>104</v>
      </c>
      <c r="I68">
        <v>2030</v>
      </c>
      <c r="J68" t="s">
        <v>272</v>
      </c>
      <c r="K68" t="s">
        <v>106</v>
      </c>
      <c r="L68" t="s">
        <v>247</v>
      </c>
      <c r="M68" t="s">
        <v>273</v>
      </c>
      <c r="N68">
        <v>1</v>
      </c>
      <c r="O68">
        <v>2030</v>
      </c>
      <c r="P68">
        <v>8119.0316179991396</v>
      </c>
      <c r="Q68">
        <v>68.755259026523561</v>
      </c>
      <c r="R68" t="s">
        <v>249</v>
      </c>
      <c r="S68">
        <v>0.29876527460377861</v>
      </c>
      <c r="T68" t="s">
        <v>250</v>
      </c>
      <c r="U68">
        <v>0.72295184490306452</v>
      </c>
      <c r="V68">
        <v>11448.59347260918</v>
      </c>
      <c r="W68">
        <v>96.951341826723592</v>
      </c>
      <c r="X68" t="s">
        <v>111</v>
      </c>
      <c r="Y68">
        <v>20</v>
      </c>
      <c r="Z68">
        <v>0.44</v>
      </c>
      <c r="AA68">
        <v>31.536000000000001</v>
      </c>
    </row>
    <row r="69" spans="1:27" hidden="1" x14ac:dyDescent="0.25">
      <c r="A69" t="s">
        <v>98</v>
      </c>
      <c r="B69" t="s">
        <v>99</v>
      </c>
      <c r="D69" t="s">
        <v>100</v>
      </c>
      <c r="E69" t="s">
        <v>243</v>
      </c>
      <c r="F69" t="s">
        <v>267</v>
      </c>
      <c r="G69" t="s">
        <v>112</v>
      </c>
      <c r="H69" t="s">
        <v>104</v>
      </c>
      <c r="I69">
        <v>2030</v>
      </c>
      <c r="J69" t="s">
        <v>274</v>
      </c>
      <c r="K69" t="s">
        <v>106</v>
      </c>
      <c r="L69" t="s">
        <v>247</v>
      </c>
      <c r="M69" t="s">
        <v>275</v>
      </c>
      <c r="N69">
        <v>1</v>
      </c>
      <c r="O69">
        <v>2030</v>
      </c>
      <c r="P69">
        <v>8151.6394802345676</v>
      </c>
      <c r="Q69">
        <v>68.755259026523561</v>
      </c>
      <c r="R69" t="s">
        <v>249</v>
      </c>
      <c r="S69">
        <v>0.31450011460924421</v>
      </c>
      <c r="T69" t="s">
        <v>250</v>
      </c>
      <c r="U69">
        <v>0.76102699144173802</v>
      </c>
      <c r="V69">
        <v>11494.57360623949</v>
      </c>
      <c r="W69">
        <v>96.951341826723578</v>
      </c>
      <c r="X69" t="s">
        <v>111</v>
      </c>
      <c r="Y69">
        <v>20</v>
      </c>
      <c r="Z69">
        <v>0.44</v>
      </c>
      <c r="AA69">
        <v>31.536000000000001</v>
      </c>
    </row>
    <row r="70" spans="1:27" hidden="1" x14ac:dyDescent="0.25">
      <c r="A70" t="s">
        <v>98</v>
      </c>
      <c r="B70" t="s">
        <v>99</v>
      </c>
      <c r="D70" t="s">
        <v>100</v>
      </c>
      <c r="E70" t="s">
        <v>243</v>
      </c>
      <c r="F70" t="s">
        <v>267</v>
      </c>
      <c r="G70" t="s">
        <v>103</v>
      </c>
      <c r="H70" t="s">
        <v>104</v>
      </c>
      <c r="I70">
        <v>2040</v>
      </c>
      <c r="J70" t="s">
        <v>276</v>
      </c>
      <c r="K70" t="s">
        <v>106</v>
      </c>
      <c r="L70" t="s">
        <v>247</v>
      </c>
      <c r="M70" t="s">
        <v>277</v>
      </c>
      <c r="N70">
        <v>1</v>
      </c>
      <c r="O70">
        <v>2040</v>
      </c>
      <c r="P70">
        <v>8119.0316179991396</v>
      </c>
      <c r="Q70">
        <v>68.755259026523561</v>
      </c>
      <c r="R70" t="s">
        <v>249</v>
      </c>
      <c r="S70">
        <v>0.29876527460377861</v>
      </c>
      <c r="T70" t="s">
        <v>250</v>
      </c>
      <c r="U70">
        <v>0.72295184490306452</v>
      </c>
      <c r="V70">
        <v>11448.59347260918</v>
      </c>
      <c r="W70">
        <v>96.951341826723592</v>
      </c>
      <c r="X70" t="s">
        <v>111</v>
      </c>
      <c r="Y70">
        <v>20</v>
      </c>
      <c r="Z70">
        <v>0.44</v>
      </c>
      <c r="AA70">
        <v>31.536000000000001</v>
      </c>
    </row>
    <row r="71" spans="1:27" hidden="1" x14ac:dyDescent="0.25">
      <c r="A71" t="s">
        <v>98</v>
      </c>
      <c r="B71" t="s">
        <v>99</v>
      </c>
      <c r="D71" t="s">
        <v>100</v>
      </c>
      <c r="E71" t="s">
        <v>243</v>
      </c>
      <c r="F71" t="s">
        <v>267</v>
      </c>
      <c r="G71" t="s">
        <v>112</v>
      </c>
      <c r="H71" t="s">
        <v>104</v>
      </c>
      <c r="I71">
        <v>2040</v>
      </c>
      <c r="J71" t="s">
        <v>278</v>
      </c>
      <c r="K71" t="s">
        <v>106</v>
      </c>
      <c r="L71" t="s">
        <v>247</v>
      </c>
      <c r="M71" t="s">
        <v>279</v>
      </c>
      <c r="N71">
        <v>1</v>
      </c>
      <c r="O71">
        <v>2040</v>
      </c>
      <c r="P71">
        <v>8151.6394802345676</v>
      </c>
      <c r="Q71">
        <v>68.755259026523561</v>
      </c>
      <c r="R71" t="s">
        <v>249</v>
      </c>
      <c r="S71">
        <v>0.31450011460924421</v>
      </c>
      <c r="T71" t="s">
        <v>250</v>
      </c>
      <c r="U71">
        <v>0.76102699144173802</v>
      </c>
      <c r="V71">
        <v>11494.57360623949</v>
      </c>
      <c r="W71">
        <v>96.951341826723578</v>
      </c>
      <c r="X71" t="s">
        <v>111</v>
      </c>
      <c r="Y71">
        <v>20</v>
      </c>
      <c r="Z71">
        <v>0.44</v>
      </c>
      <c r="AA71">
        <v>31.536000000000001</v>
      </c>
    </row>
    <row r="72" spans="1:27" hidden="1" x14ac:dyDescent="0.25">
      <c r="A72" t="s">
        <v>98</v>
      </c>
      <c r="B72" t="s">
        <v>99</v>
      </c>
      <c r="D72" t="s">
        <v>100</v>
      </c>
      <c r="E72" t="s">
        <v>243</v>
      </c>
      <c r="F72" t="s">
        <v>267</v>
      </c>
      <c r="G72" t="s">
        <v>103</v>
      </c>
      <c r="H72" t="s">
        <v>104</v>
      </c>
      <c r="I72">
        <v>2050</v>
      </c>
      <c r="J72" t="s">
        <v>280</v>
      </c>
      <c r="K72" t="s">
        <v>106</v>
      </c>
      <c r="L72" t="s">
        <v>247</v>
      </c>
      <c r="M72" t="s">
        <v>281</v>
      </c>
      <c r="N72">
        <v>1</v>
      </c>
      <c r="O72">
        <v>2050</v>
      </c>
      <c r="P72">
        <v>8119.0316179991396</v>
      </c>
      <c r="Q72">
        <v>68.755259026523561</v>
      </c>
      <c r="R72" t="s">
        <v>249</v>
      </c>
      <c r="S72">
        <v>0.29876527460377861</v>
      </c>
      <c r="T72" t="s">
        <v>250</v>
      </c>
      <c r="U72">
        <v>0.72295184490306452</v>
      </c>
      <c r="V72">
        <v>11448.59347260918</v>
      </c>
      <c r="W72">
        <v>96.951341826723592</v>
      </c>
      <c r="X72" t="s">
        <v>111</v>
      </c>
      <c r="Y72">
        <v>20</v>
      </c>
      <c r="Z72">
        <v>0.44</v>
      </c>
      <c r="AA72">
        <v>31.536000000000001</v>
      </c>
    </row>
    <row r="73" spans="1:27" hidden="1" x14ac:dyDescent="0.25">
      <c r="A73" t="s">
        <v>98</v>
      </c>
      <c r="B73" t="s">
        <v>99</v>
      </c>
      <c r="D73" t="s">
        <v>100</v>
      </c>
      <c r="E73" t="s">
        <v>243</v>
      </c>
      <c r="F73" t="s">
        <v>267</v>
      </c>
      <c r="G73" t="s">
        <v>112</v>
      </c>
      <c r="H73" t="s">
        <v>104</v>
      </c>
      <c r="I73">
        <v>2050</v>
      </c>
      <c r="J73" t="s">
        <v>282</v>
      </c>
      <c r="K73" t="s">
        <v>106</v>
      </c>
      <c r="L73" t="s">
        <v>247</v>
      </c>
      <c r="M73" t="s">
        <v>283</v>
      </c>
      <c r="N73">
        <v>1</v>
      </c>
      <c r="O73">
        <v>2050</v>
      </c>
      <c r="P73">
        <v>8151.6394802345676</v>
      </c>
      <c r="Q73">
        <v>68.755259026523561</v>
      </c>
      <c r="R73" t="s">
        <v>249</v>
      </c>
      <c r="S73">
        <v>0.31450011460924421</v>
      </c>
      <c r="T73" t="s">
        <v>250</v>
      </c>
      <c r="U73">
        <v>0.76102699144173802</v>
      </c>
      <c r="V73">
        <v>11494.57360623949</v>
      </c>
      <c r="W73">
        <v>96.951341826723578</v>
      </c>
      <c r="X73" t="s">
        <v>111</v>
      </c>
      <c r="Y73">
        <v>20</v>
      </c>
      <c r="Z73">
        <v>0.44</v>
      </c>
      <c r="AA73">
        <v>31.536000000000001</v>
      </c>
    </row>
    <row r="74" spans="1:27" hidden="1" x14ac:dyDescent="0.25">
      <c r="A74" t="s">
        <v>98</v>
      </c>
      <c r="B74" t="s">
        <v>99</v>
      </c>
      <c r="D74" t="s">
        <v>100</v>
      </c>
      <c r="E74" t="s">
        <v>284</v>
      </c>
      <c r="F74" t="s">
        <v>285</v>
      </c>
      <c r="G74" t="s">
        <v>103</v>
      </c>
      <c r="H74" t="s">
        <v>104</v>
      </c>
      <c r="I74">
        <v>2022</v>
      </c>
      <c r="J74" t="s">
        <v>286</v>
      </c>
      <c r="K74" t="s">
        <v>106</v>
      </c>
      <c r="L74" t="s">
        <v>287</v>
      </c>
      <c r="M74" t="s">
        <v>288</v>
      </c>
      <c r="N74">
        <v>1</v>
      </c>
      <c r="O74">
        <v>2020</v>
      </c>
      <c r="P74">
        <v>100.10336678844671</v>
      </c>
      <c r="Q74">
        <v>36.612504973710713</v>
      </c>
      <c r="R74" t="s">
        <v>289</v>
      </c>
      <c r="S74">
        <v>15.58191798941797</v>
      </c>
      <c r="T74" t="s">
        <v>290</v>
      </c>
      <c r="U74">
        <v>15.58191798941797</v>
      </c>
      <c r="V74">
        <v>100.10336678844671</v>
      </c>
      <c r="W74">
        <v>36.612504973710713</v>
      </c>
      <c r="X74" t="s">
        <v>291</v>
      </c>
      <c r="Y74">
        <v>10</v>
      </c>
      <c r="Z74">
        <v>0.35682680185771348</v>
      </c>
      <c r="AA74">
        <v>1</v>
      </c>
    </row>
    <row r="75" spans="1:27" hidden="1" x14ac:dyDescent="0.25">
      <c r="A75" t="s">
        <v>98</v>
      </c>
      <c r="B75" t="s">
        <v>99</v>
      </c>
      <c r="D75" t="s">
        <v>100</v>
      </c>
      <c r="E75" t="s">
        <v>284</v>
      </c>
      <c r="F75" t="s">
        <v>292</v>
      </c>
      <c r="G75" t="s">
        <v>103</v>
      </c>
      <c r="H75" t="s">
        <v>104</v>
      </c>
      <c r="I75">
        <v>2022</v>
      </c>
      <c r="J75" t="s">
        <v>293</v>
      </c>
      <c r="K75" t="s">
        <v>106</v>
      </c>
      <c r="L75" t="s">
        <v>287</v>
      </c>
      <c r="M75" t="s">
        <v>294</v>
      </c>
      <c r="N75">
        <v>1</v>
      </c>
      <c r="O75">
        <v>2020</v>
      </c>
      <c r="P75">
        <v>99.46253669701926</v>
      </c>
      <c r="Q75">
        <v>6.0605044913603194</v>
      </c>
      <c r="R75" t="s">
        <v>289</v>
      </c>
      <c r="S75">
        <v>42.005691056910557</v>
      </c>
      <c r="T75" t="s">
        <v>290</v>
      </c>
      <c r="U75">
        <v>42.005691056910557</v>
      </c>
      <c r="V75">
        <v>99.46253669701926</v>
      </c>
      <c r="W75">
        <v>6.0605044913603194</v>
      </c>
      <c r="X75" t="s">
        <v>291</v>
      </c>
      <c r="Y75">
        <v>10</v>
      </c>
      <c r="Z75">
        <v>0.35682680185771348</v>
      </c>
      <c r="AA75">
        <v>1</v>
      </c>
    </row>
    <row r="76" spans="1:27" hidden="1" x14ac:dyDescent="0.25">
      <c r="A76" t="s">
        <v>98</v>
      </c>
      <c r="B76" t="s">
        <v>99</v>
      </c>
      <c r="D76" t="s">
        <v>100</v>
      </c>
      <c r="E76" t="s">
        <v>284</v>
      </c>
      <c r="F76" t="s">
        <v>292</v>
      </c>
      <c r="G76" t="s">
        <v>112</v>
      </c>
      <c r="H76" t="s">
        <v>104</v>
      </c>
      <c r="I76">
        <v>2022</v>
      </c>
      <c r="J76" t="s">
        <v>295</v>
      </c>
      <c r="K76" t="s">
        <v>106</v>
      </c>
      <c r="L76" t="s">
        <v>287</v>
      </c>
      <c r="M76" t="s">
        <v>296</v>
      </c>
      <c r="N76">
        <v>1</v>
      </c>
      <c r="O76">
        <v>2020</v>
      </c>
      <c r="P76">
        <v>92.517129414925563</v>
      </c>
      <c r="Q76">
        <v>5.9256499638890956</v>
      </c>
      <c r="R76" t="s">
        <v>289</v>
      </c>
      <c r="S76">
        <v>43.051923076923067</v>
      </c>
      <c r="T76" t="s">
        <v>290</v>
      </c>
      <c r="U76">
        <v>43.051923076923067</v>
      </c>
      <c r="V76">
        <v>92.517129414925563</v>
      </c>
      <c r="W76">
        <v>5.9256499638890956</v>
      </c>
      <c r="X76" t="s">
        <v>291</v>
      </c>
      <c r="Y76">
        <v>10</v>
      </c>
      <c r="Z76">
        <v>0.35682680185771348</v>
      </c>
      <c r="AA76">
        <v>1</v>
      </c>
    </row>
    <row r="77" spans="1:27" hidden="1" x14ac:dyDescent="0.25">
      <c r="A77" t="s">
        <v>98</v>
      </c>
      <c r="B77" t="s">
        <v>99</v>
      </c>
      <c r="D77" t="s">
        <v>100</v>
      </c>
      <c r="E77" t="s">
        <v>284</v>
      </c>
      <c r="F77" t="s">
        <v>297</v>
      </c>
      <c r="G77" t="s">
        <v>103</v>
      </c>
      <c r="H77" t="s">
        <v>104</v>
      </c>
      <c r="I77">
        <v>2022</v>
      </c>
      <c r="J77" t="s">
        <v>298</v>
      </c>
      <c r="K77" t="s">
        <v>106</v>
      </c>
      <c r="L77" t="s">
        <v>287</v>
      </c>
      <c r="M77" t="s">
        <v>299</v>
      </c>
      <c r="N77">
        <v>1</v>
      </c>
      <c r="O77">
        <v>2020</v>
      </c>
      <c r="P77">
        <v>94.526951376087595</v>
      </c>
      <c r="Q77">
        <v>3.949349451558744</v>
      </c>
      <c r="R77" t="s">
        <v>289</v>
      </c>
      <c r="S77">
        <v>76.146700507614213</v>
      </c>
      <c r="T77" t="s">
        <v>290</v>
      </c>
      <c r="U77">
        <v>76.146700507614213</v>
      </c>
      <c r="V77">
        <v>94.526951376087595</v>
      </c>
      <c r="W77">
        <v>3.949349451558744</v>
      </c>
      <c r="X77" t="s">
        <v>291</v>
      </c>
      <c r="Y77">
        <v>10</v>
      </c>
      <c r="Z77">
        <v>0.35682680185771348</v>
      </c>
      <c r="AA77">
        <v>1</v>
      </c>
    </row>
    <row r="78" spans="1:27" hidden="1" x14ac:dyDescent="0.25">
      <c r="A78" t="s">
        <v>98</v>
      </c>
      <c r="B78" t="s">
        <v>99</v>
      </c>
      <c r="D78" t="s">
        <v>100</v>
      </c>
      <c r="E78" t="s">
        <v>284</v>
      </c>
      <c r="F78" t="s">
        <v>297</v>
      </c>
      <c r="G78" t="s">
        <v>112</v>
      </c>
      <c r="H78" t="s">
        <v>104</v>
      </c>
      <c r="I78">
        <v>2022</v>
      </c>
      <c r="J78" t="s">
        <v>300</v>
      </c>
      <c r="K78" t="s">
        <v>106</v>
      </c>
      <c r="L78" t="s">
        <v>287</v>
      </c>
      <c r="M78" t="s">
        <v>301</v>
      </c>
      <c r="N78">
        <v>1</v>
      </c>
      <c r="O78">
        <v>2020</v>
      </c>
      <c r="P78">
        <v>69.765067810793198</v>
      </c>
      <c r="Q78">
        <v>2.516631606553434</v>
      </c>
      <c r="R78" t="s">
        <v>289</v>
      </c>
      <c r="S78">
        <v>93</v>
      </c>
      <c r="T78" t="s">
        <v>290</v>
      </c>
      <c r="U78">
        <v>93</v>
      </c>
      <c r="V78">
        <v>69.765067810793198</v>
      </c>
      <c r="W78">
        <v>2.516631606553434</v>
      </c>
      <c r="X78" t="s">
        <v>291</v>
      </c>
      <c r="Y78">
        <v>10</v>
      </c>
      <c r="Z78">
        <v>0.35682680185771348</v>
      </c>
      <c r="AA78">
        <v>1</v>
      </c>
    </row>
    <row r="79" spans="1:27" hidden="1" x14ac:dyDescent="0.25">
      <c r="A79" t="s">
        <v>98</v>
      </c>
      <c r="B79" t="s">
        <v>99</v>
      </c>
      <c r="D79" t="s">
        <v>100</v>
      </c>
      <c r="E79" t="s">
        <v>284</v>
      </c>
      <c r="F79" t="s">
        <v>302</v>
      </c>
      <c r="G79" t="s">
        <v>103</v>
      </c>
      <c r="H79" t="s">
        <v>104</v>
      </c>
      <c r="I79">
        <v>2022</v>
      </c>
      <c r="J79" t="s">
        <v>303</v>
      </c>
      <c r="K79" t="s">
        <v>106</v>
      </c>
      <c r="L79" t="s">
        <v>287</v>
      </c>
      <c r="M79" t="s">
        <v>304</v>
      </c>
      <c r="N79">
        <v>1</v>
      </c>
      <c r="O79">
        <v>2020</v>
      </c>
      <c r="P79">
        <v>105.7930490817716</v>
      </c>
      <c r="Q79">
        <v>3.355492309527206</v>
      </c>
      <c r="R79" t="s">
        <v>289</v>
      </c>
      <c r="S79">
        <v>64.669172932330824</v>
      </c>
      <c r="T79" t="s">
        <v>290</v>
      </c>
      <c r="U79">
        <v>64.669172932330824</v>
      </c>
      <c r="V79">
        <v>105.7930490817716</v>
      </c>
      <c r="W79">
        <v>3.355492309527206</v>
      </c>
      <c r="X79" t="s">
        <v>291</v>
      </c>
      <c r="Y79">
        <v>10</v>
      </c>
      <c r="Z79">
        <v>0.35682680185771348</v>
      </c>
      <c r="AA79">
        <v>1</v>
      </c>
    </row>
    <row r="80" spans="1:27" hidden="1" x14ac:dyDescent="0.25">
      <c r="A80" t="s">
        <v>98</v>
      </c>
      <c r="B80" t="s">
        <v>99</v>
      </c>
      <c r="D80" t="s">
        <v>100</v>
      </c>
      <c r="E80" t="s">
        <v>284</v>
      </c>
      <c r="F80" t="s">
        <v>302</v>
      </c>
      <c r="G80" t="s">
        <v>112</v>
      </c>
      <c r="H80" t="s">
        <v>104</v>
      </c>
      <c r="I80">
        <v>2022</v>
      </c>
      <c r="J80" t="s">
        <v>305</v>
      </c>
      <c r="K80" t="s">
        <v>106</v>
      </c>
      <c r="L80" t="s">
        <v>287</v>
      </c>
      <c r="M80" t="s">
        <v>306</v>
      </c>
      <c r="N80">
        <v>1</v>
      </c>
      <c r="O80">
        <v>2020</v>
      </c>
      <c r="P80">
        <v>99.614212714858894</v>
      </c>
      <c r="Q80">
        <v>1.4361600838792941</v>
      </c>
      <c r="R80" t="s">
        <v>289</v>
      </c>
      <c r="S80">
        <v>75.07692307692308</v>
      </c>
      <c r="T80" t="s">
        <v>290</v>
      </c>
      <c r="U80">
        <v>75.07692307692308</v>
      </c>
      <c r="V80">
        <v>99.614212714858894</v>
      </c>
      <c r="W80">
        <v>1.4361600838792941</v>
      </c>
      <c r="X80" t="s">
        <v>291</v>
      </c>
      <c r="Y80">
        <v>10</v>
      </c>
      <c r="Z80">
        <v>0.35682680185771348</v>
      </c>
      <c r="AA80">
        <v>1</v>
      </c>
    </row>
    <row r="81" spans="1:27" hidden="1" x14ac:dyDescent="0.25">
      <c r="A81" t="s">
        <v>98</v>
      </c>
      <c r="B81" t="s">
        <v>99</v>
      </c>
      <c r="D81" t="s">
        <v>100</v>
      </c>
      <c r="E81" t="s">
        <v>284</v>
      </c>
      <c r="F81" t="s">
        <v>297</v>
      </c>
      <c r="G81" t="s">
        <v>103</v>
      </c>
      <c r="H81" t="s">
        <v>104</v>
      </c>
      <c r="I81">
        <v>2023</v>
      </c>
      <c r="J81" t="s">
        <v>307</v>
      </c>
      <c r="K81" t="s">
        <v>106</v>
      </c>
      <c r="L81" t="s">
        <v>287</v>
      </c>
      <c r="M81" t="s">
        <v>308</v>
      </c>
      <c r="N81">
        <v>1</v>
      </c>
      <c r="O81">
        <v>2023</v>
      </c>
      <c r="P81">
        <v>94.526951376087595</v>
      </c>
      <c r="Q81">
        <v>3.949349451558744</v>
      </c>
      <c r="R81" t="s">
        <v>289</v>
      </c>
      <c r="S81">
        <v>76.146700507614213</v>
      </c>
      <c r="T81" t="s">
        <v>290</v>
      </c>
      <c r="U81">
        <v>76.146700507614213</v>
      </c>
      <c r="V81">
        <v>94.526951376087595</v>
      </c>
      <c r="W81">
        <v>3.949349451558744</v>
      </c>
      <c r="X81" t="s">
        <v>291</v>
      </c>
      <c r="Y81">
        <v>10</v>
      </c>
      <c r="Z81">
        <v>0.35682680185771348</v>
      </c>
      <c r="AA81">
        <v>1</v>
      </c>
    </row>
    <row r="82" spans="1:27" hidden="1" x14ac:dyDescent="0.25">
      <c r="A82" t="s">
        <v>98</v>
      </c>
      <c r="B82" t="s">
        <v>99</v>
      </c>
      <c r="D82" t="s">
        <v>100</v>
      </c>
      <c r="E82" t="s">
        <v>284</v>
      </c>
      <c r="F82" t="s">
        <v>297</v>
      </c>
      <c r="G82" t="s">
        <v>112</v>
      </c>
      <c r="H82" t="s">
        <v>104</v>
      </c>
      <c r="I82">
        <v>2023</v>
      </c>
      <c r="J82" t="s">
        <v>309</v>
      </c>
      <c r="K82" t="s">
        <v>106</v>
      </c>
      <c r="L82" t="s">
        <v>287</v>
      </c>
      <c r="M82" t="s">
        <v>310</v>
      </c>
      <c r="N82">
        <v>1</v>
      </c>
      <c r="O82">
        <v>2023</v>
      </c>
      <c r="P82">
        <v>69.765067810793198</v>
      </c>
      <c r="Q82">
        <v>2.516631606553434</v>
      </c>
      <c r="R82" t="s">
        <v>289</v>
      </c>
      <c r="S82">
        <v>93</v>
      </c>
      <c r="T82" t="s">
        <v>290</v>
      </c>
      <c r="U82">
        <v>93</v>
      </c>
      <c r="V82">
        <v>69.765067810793198</v>
      </c>
      <c r="W82">
        <v>2.516631606553434</v>
      </c>
      <c r="X82" t="s">
        <v>291</v>
      </c>
      <c r="Y82">
        <v>10</v>
      </c>
      <c r="Z82">
        <v>0.35682680185771348</v>
      </c>
      <c r="AA82">
        <v>1</v>
      </c>
    </row>
    <row r="83" spans="1:27" hidden="1" x14ac:dyDescent="0.25">
      <c r="A83" t="s">
        <v>98</v>
      </c>
      <c r="B83" t="s">
        <v>99</v>
      </c>
      <c r="D83" t="s">
        <v>100</v>
      </c>
      <c r="E83" t="s">
        <v>284</v>
      </c>
      <c r="F83" t="s">
        <v>302</v>
      </c>
      <c r="G83" t="s">
        <v>103</v>
      </c>
      <c r="H83" t="s">
        <v>104</v>
      </c>
      <c r="I83">
        <v>2023</v>
      </c>
      <c r="J83" t="s">
        <v>311</v>
      </c>
      <c r="K83" t="s">
        <v>106</v>
      </c>
      <c r="L83" t="s">
        <v>287</v>
      </c>
      <c r="M83" t="s">
        <v>312</v>
      </c>
      <c r="N83">
        <v>1</v>
      </c>
      <c r="O83">
        <v>2023</v>
      </c>
      <c r="P83">
        <v>105.7930490817716</v>
      </c>
      <c r="Q83">
        <v>3.355492309527206</v>
      </c>
      <c r="R83" t="s">
        <v>289</v>
      </c>
      <c r="S83">
        <v>64.669172932330824</v>
      </c>
      <c r="T83" t="s">
        <v>290</v>
      </c>
      <c r="U83">
        <v>64.669172932330824</v>
      </c>
      <c r="V83">
        <v>105.7930490817716</v>
      </c>
      <c r="W83">
        <v>3.355492309527206</v>
      </c>
      <c r="X83" t="s">
        <v>291</v>
      </c>
      <c r="Y83">
        <v>10</v>
      </c>
      <c r="Z83">
        <v>0.35682680185771348</v>
      </c>
      <c r="AA83">
        <v>1</v>
      </c>
    </row>
    <row r="84" spans="1:27" hidden="1" x14ac:dyDescent="0.25">
      <c r="A84" t="s">
        <v>98</v>
      </c>
      <c r="B84" t="s">
        <v>99</v>
      </c>
      <c r="D84" t="s">
        <v>100</v>
      </c>
      <c r="E84" t="s">
        <v>284</v>
      </c>
      <c r="F84" t="s">
        <v>302</v>
      </c>
      <c r="G84" t="s">
        <v>112</v>
      </c>
      <c r="H84" t="s">
        <v>104</v>
      </c>
      <c r="I84">
        <v>2023</v>
      </c>
      <c r="J84" t="s">
        <v>313</v>
      </c>
      <c r="K84" t="s">
        <v>106</v>
      </c>
      <c r="L84" t="s">
        <v>287</v>
      </c>
      <c r="M84" t="s">
        <v>314</v>
      </c>
      <c r="N84">
        <v>1</v>
      </c>
      <c r="O84">
        <v>2023</v>
      </c>
      <c r="P84">
        <v>99.614212714858894</v>
      </c>
      <c r="Q84">
        <v>1.4361600838792941</v>
      </c>
      <c r="R84" t="s">
        <v>289</v>
      </c>
      <c r="S84">
        <v>75.07692307692308</v>
      </c>
      <c r="T84" t="s">
        <v>290</v>
      </c>
      <c r="U84">
        <v>75.07692307692308</v>
      </c>
      <c r="V84">
        <v>99.614212714858894</v>
      </c>
      <c r="W84">
        <v>1.4361600838792941</v>
      </c>
      <c r="X84" t="s">
        <v>291</v>
      </c>
      <c r="Y84">
        <v>10</v>
      </c>
      <c r="Z84">
        <v>0.35682680185771348</v>
      </c>
      <c r="AA84">
        <v>1</v>
      </c>
    </row>
    <row r="85" spans="1:27" hidden="1" x14ac:dyDescent="0.25">
      <c r="A85" t="s">
        <v>98</v>
      </c>
      <c r="B85" t="s">
        <v>99</v>
      </c>
      <c r="D85" t="s">
        <v>100</v>
      </c>
      <c r="E85" t="s">
        <v>284</v>
      </c>
      <c r="F85" t="s">
        <v>297</v>
      </c>
      <c r="G85" t="s">
        <v>103</v>
      </c>
      <c r="H85" t="s">
        <v>104</v>
      </c>
      <c r="I85">
        <v>2024</v>
      </c>
      <c r="J85" t="s">
        <v>315</v>
      </c>
      <c r="K85" t="s">
        <v>106</v>
      </c>
      <c r="L85" t="s">
        <v>287</v>
      </c>
      <c r="M85" t="s">
        <v>316</v>
      </c>
      <c r="N85">
        <v>1</v>
      </c>
      <c r="O85">
        <v>2024</v>
      </c>
      <c r="P85">
        <v>94.526951376087595</v>
      </c>
      <c r="Q85">
        <v>3.949349451558744</v>
      </c>
      <c r="R85" t="s">
        <v>289</v>
      </c>
      <c r="S85">
        <v>76.146700507614213</v>
      </c>
      <c r="T85" t="s">
        <v>290</v>
      </c>
      <c r="U85">
        <v>76.146700507614213</v>
      </c>
      <c r="V85">
        <v>94.526951376087595</v>
      </c>
      <c r="W85">
        <v>3.949349451558744</v>
      </c>
      <c r="X85" t="s">
        <v>291</v>
      </c>
      <c r="Y85">
        <v>10</v>
      </c>
      <c r="Z85">
        <v>0.35682680185771348</v>
      </c>
      <c r="AA85">
        <v>1</v>
      </c>
    </row>
    <row r="86" spans="1:27" hidden="1" x14ac:dyDescent="0.25">
      <c r="A86" t="s">
        <v>98</v>
      </c>
      <c r="B86" t="s">
        <v>99</v>
      </c>
      <c r="D86" t="s">
        <v>100</v>
      </c>
      <c r="E86" t="s">
        <v>284</v>
      </c>
      <c r="F86" t="s">
        <v>297</v>
      </c>
      <c r="G86" t="s">
        <v>112</v>
      </c>
      <c r="H86" t="s">
        <v>104</v>
      </c>
      <c r="I86">
        <v>2024</v>
      </c>
      <c r="J86" t="s">
        <v>317</v>
      </c>
      <c r="K86" t="s">
        <v>106</v>
      </c>
      <c r="L86" t="s">
        <v>287</v>
      </c>
      <c r="M86" t="s">
        <v>318</v>
      </c>
      <c r="N86">
        <v>1</v>
      </c>
      <c r="O86">
        <v>2024</v>
      </c>
      <c r="P86">
        <v>69.765067810793198</v>
      </c>
      <c r="Q86">
        <v>2.516631606553434</v>
      </c>
      <c r="R86" t="s">
        <v>289</v>
      </c>
      <c r="S86">
        <v>93</v>
      </c>
      <c r="T86" t="s">
        <v>290</v>
      </c>
      <c r="U86">
        <v>93</v>
      </c>
      <c r="V86">
        <v>69.765067810793198</v>
      </c>
      <c r="W86">
        <v>2.516631606553434</v>
      </c>
      <c r="X86" t="s">
        <v>291</v>
      </c>
      <c r="Y86">
        <v>10</v>
      </c>
      <c r="Z86">
        <v>0.35682680185771348</v>
      </c>
      <c r="AA86">
        <v>1</v>
      </c>
    </row>
    <row r="87" spans="1:27" hidden="1" x14ac:dyDescent="0.25">
      <c r="A87" t="s">
        <v>98</v>
      </c>
      <c r="B87" t="s">
        <v>99</v>
      </c>
      <c r="D87" t="s">
        <v>100</v>
      </c>
      <c r="E87" t="s">
        <v>284</v>
      </c>
      <c r="F87" t="s">
        <v>302</v>
      </c>
      <c r="G87" t="s">
        <v>103</v>
      </c>
      <c r="H87" t="s">
        <v>104</v>
      </c>
      <c r="I87">
        <v>2024</v>
      </c>
      <c r="J87" t="s">
        <v>319</v>
      </c>
      <c r="K87" t="s">
        <v>106</v>
      </c>
      <c r="L87" t="s">
        <v>287</v>
      </c>
      <c r="M87" t="s">
        <v>320</v>
      </c>
      <c r="N87">
        <v>1</v>
      </c>
      <c r="O87">
        <v>2024</v>
      </c>
      <c r="P87">
        <v>105.7930490817716</v>
      </c>
      <c r="Q87">
        <v>3.355492309527206</v>
      </c>
      <c r="R87" t="s">
        <v>289</v>
      </c>
      <c r="S87">
        <v>64.669172932330824</v>
      </c>
      <c r="T87" t="s">
        <v>290</v>
      </c>
      <c r="U87">
        <v>64.669172932330824</v>
      </c>
      <c r="V87">
        <v>105.7930490817716</v>
      </c>
      <c r="W87">
        <v>3.355492309527206</v>
      </c>
      <c r="X87" t="s">
        <v>291</v>
      </c>
      <c r="Y87">
        <v>10</v>
      </c>
      <c r="Z87">
        <v>0.35682680185771348</v>
      </c>
      <c r="AA87">
        <v>1</v>
      </c>
    </row>
    <row r="88" spans="1:27" hidden="1" x14ac:dyDescent="0.25">
      <c r="A88" t="s">
        <v>98</v>
      </c>
      <c r="B88" t="s">
        <v>99</v>
      </c>
      <c r="D88" t="s">
        <v>100</v>
      </c>
      <c r="E88" t="s">
        <v>284</v>
      </c>
      <c r="F88" t="s">
        <v>302</v>
      </c>
      <c r="G88" t="s">
        <v>112</v>
      </c>
      <c r="H88" t="s">
        <v>104</v>
      </c>
      <c r="I88">
        <v>2024</v>
      </c>
      <c r="J88" t="s">
        <v>321</v>
      </c>
      <c r="K88" t="s">
        <v>106</v>
      </c>
      <c r="L88" t="s">
        <v>287</v>
      </c>
      <c r="M88" t="s">
        <v>322</v>
      </c>
      <c r="N88">
        <v>1</v>
      </c>
      <c r="O88">
        <v>2024</v>
      </c>
      <c r="P88">
        <v>99.614212714858894</v>
      </c>
      <c r="Q88">
        <v>1.4361600838792941</v>
      </c>
      <c r="R88" t="s">
        <v>289</v>
      </c>
      <c r="S88">
        <v>75.07692307692308</v>
      </c>
      <c r="T88" t="s">
        <v>290</v>
      </c>
      <c r="U88">
        <v>75.07692307692308</v>
      </c>
      <c r="V88">
        <v>99.614212714858894</v>
      </c>
      <c r="W88">
        <v>1.4361600838792941</v>
      </c>
      <c r="X88" t="s">
        <v>291</v>
      </c>
      <c r="Y88">
        <v>10</v>
      </c>
      <c r="Z88">
        <v>0.35682680185771348</v>
      </c>
      <c r="AA88">
        <v>1</v>
      </c>
    </row>
    <row r="89" spans="1:27" hidden="1" x14ac:dyDescent="0.25">
      <c r="A89" t="s">
        <v>98</v>
      </c>
      <c r="B89" t="s">
        <v>99</v>
      </c>
      <c r="D89" t="s">
        <v>100</v>
      </c>
      <c r="E89" t="s">
        <v>284</v>
      </c>
      <c r="F89" t="s">
        <v>297</v>
      </c>
      <c r="G89" t="s">
        <v>103</v>
      </c>
      <c r="H89" t="s">
        <v>104</v>
      </c>
      <c r="I89">
        <v>2025</v>
      </c>
      <c r="J89" t="s">
        <v>323</v>
      </c>
      <c r="K89" t="s">
        <v>106</v>
      </c>
      <c r="L89" t="s">
        <v>287</v>
      </c>
      <c r="M89" t="s">
        <v>324</v>
      </c>
      <c r="N89">
        <v>1</v>
      </c>
      <c r="O89">
        <v>2025</v>
      </c>
      <c r="P89">
        <v>94.526951376087595</v>
      </c>
      <c r="Q89">
        <v>3.949349451558744</v>
      </c>
      <c r="R89" t="s">
        <v>289</v>
      </c>
      <c r="S89">
        <v>76.146700507614213</v>
      </c>
      <c r="T89" t="s">
        <v>290</v>
      </c>
      <c r="U89">
        <v>76.146700507614213</v>
      </c>
      <c r="V89">
        <v>94.526951376087595</v>
      </c>
      <c r="W89">
        <v>3.949349451558744</v>
      </c>
      <c r="X89" t="s">
        <v>291</v>
      </c>
      <c r="Y89">
        <v>10</v>
      </c>
      <c r="Z89">
        <v>0.35682680185771348</v>
      </c>
      <c r="AA89">
        <v>1</v>
      </c>
    </row>
    <row r="90" spans="1:27" hidden="1" x14ac:dyDescent="0.25">
      <c r="A90" t="s">
        <v>98</v>
      </c>
      <c r="B90" t="s">
        <v>99</v>
      </c>
      <c r="D90" t="s">
        <v>100</v>
      </c>
      <c r="E90" t="s">
        <v>284</v>
      </c>
      <c r="F90" t="s">
        <v>297</v>
      </c>
      <c r="G90" t="s">
        <v>112</v>
      </c>
      <c r="H90" t="s">
        <v>104</v>
      </c>
      <c r="I90">
        <v>2025</v>
      </c>
      <c r="J90" t="s">
        <v>325</v>
      </c>
      <c r="K90" t="s">
        <v>106</v>
      </c>
      <c r="L90" t="s">
        <v>287</v>
      </c>
      <c r="M90" t="s">
        <v>326</v>
      </c>
      <c r="N90">
        <v>1</v>
      </c>
      <c r="O90">
        <v>2025</v>
      </c>
      <c r="P90">
        <v>69.765067810793198</v>
      </c>
      <c r="Q90">
        <v>2.516631606553434</v>
      </c>
      <c r="R90" t="s">
        <v>289</v>
      </c>
      <c r="S90">
        <v>93</v>
      </c>
      <c r="T90" t="s">
        <v>290</v>
      </c>
      <c r="U90">
        <v>93</v>
      </c>
      <c r="V90">
        <v>69.765067810793198</v>
      </c>
      <c r="W90">
        <v>2.516631606553434</v>
      </c>
      <c r="X90" t="s">
        <v>291</v>
      </c>
      <c r="Y90">
        <v>10</v>
      </c>
      <c r="Z90">
        <v>0.35682680185771348</v>
      </c>
      <c r="AA90">
        <v>1</v>
      </c>
    </row>
    <row r="91" spans="1:27" hidden="1" x14ac:dyDescent="0.25">
      <c r="A91" t="s">
        <v>98</v>
      </c>
      <c r="B91" t="s">
        <v>99</v>
      </c>
      <c r="D91" t="s">
        <v>100</v>
      </c>
      <c r="E91" t="s">
        <v>284</v>
      </c>
      <c r="F91" t="s">
        <v>302</v>
      </c>
      <c r="G91" t="s">
        <v>103</v>
      </c>
      <c r="H91" t="s">
        <v>104</v>
      </c>
      <c r="I91">
        <v>2025</v>
      </c>
      <c r="J91" t="s">
        <v>327</v>
      </c>
      <c r="K91" t="s">
        <v>106</v>
      </c>
      <c r="L91" t="s">
        <v>287</v>
      </c>
      <c r="M91" t="s">
        <v>328</v>
      </c>
      <c r="N91">
        <v>1</v>
      </c>
      <c r="O91">
        <v>2025</v>
      </c>
      <c r="P91">
        <v>105.7930490817716</v>
      </c>
      <c r="Q91">
        <v>3.355492309527206</v>
      </c>
      <c r="R91" t="s">
        <v>289</v>
      </c>
      <c r="S91">
        <v>64.669172932330824</v>
      </c>
      <c r="T91" t="s">
        <v>290</v>
      </c>
      <c r="U91">
        <v>64.669172932330824</v>
      </c>
      <c r="V91">
        <v>105.7930490817716</v>
      </c>
      <c r="W91">
        <v>3.355492309527206</v>
      </c>
      <c r="X91" t="s">
        <v>291</v>
      </c>
      <c r="Y91">
        <v>10</v>
      </c>
      <c r="Z91">
        <v>0.35682680185771348</v>
      </c>
      <c r="AA91">
        <v>1</v>
      </c>
    </row>
    <row r="92" spans="1:27" hidden="1" x14ac:dyDescent="0.25">
      <c r="A92" t="s">
        <v>98</v>
      </c>
      <c r="B92" t="s">
        <v>99</v>
      </c>
      <c r="D92" t="s">
        <v>100</v>
      </c>
      <c r="E92" t="s">
        <v>284</v>
      </c>
      <c r="F92" t="s">
        <v>302</v>
      </c>
      <c r="G92" t="s">
        <v>112</v>
      </c>
      <c r="H92" t="s">
        <v>104</v>
      </c>
      <c r="I92">
        <v>2025</v>
      </c>
      <c r="J92" t="s">
        <v>329</v>
      </c>
      <c r="K92" t="s">
        <v>106</v>
      </c>
      <c r="L92" t="s">
        <v>287</v>
      </c>
      <c r="M92" t="s">
        <v>330</v>
      </c>
      <c r="N92">
        <v>1</v>
      </c>
      <c r="O92">
        <v>2025</v>
      </c>
      <c r="P92">
        <v>99.614212714858894</v>
      </c>
      <c r="Q92">
        <v>1.4361600838792941</v>
      </c>
      <c r="R92" t="s">
        <v>289</v>
      </c>
      <c r="S92">
        <v>75.07692307692308</v>
      </c>
      <c r="T92" t="s">
        <v>290</v>
      </c>
      <c r="U92">
        <v>75.07692307692308</v>
      </c>
      <c r="V92">
        <v>99.614212714858894</v>
      </c>
      <c r="W92">
        <v>1.4361600838792941</v>
      </c>
      <c r="X92" t="s">
        <v>291</v>
      </c>
      <c r="Y92">
        <v>10</v>
      </c>
      <c r="Z92">
        <v>0.35682680185771348</v>
      </c>
      <c r="AA92">
        <v>1</v>
      </c>
    </row>
    <row r="93" spans="1:27" hidden="1" x14ac:dyDescent="0.25">
      <c r="A93" t="s">
        <v>98</v>
      </c>
      <c r="B93" t="s">
        <v>99</v>
      </c>
      <c r="D93" t="s">
        <v>100</v>
      </c>
      <c r="E93" t="s">
        <v>284</v>
      </c>
      <c r="F93" t="s">
        <v>297</v>
      </c>
      <c r="G93" t="s">
        <v>103</v>
      </c>
      <c r="H93" t="s">
        <v>104</v>
      </c>
      <c r="I93">
        <v>2026</v>
      </c>
      <c r="J93" t="s">
        <v>331</v>
      </c>
      <c r="K93" t="s">
        <v>106</v>
      </c>
      <c r="L93" t="s">
        <v>287</v>
      </c>
      <c r="M93" t="s">
        <v>332</v>
      </c>
      <c r="N93">
        <v>1</v>
      </c>
      <c r="O93">
        <v>2026</v>
      </c>
      <c r="P93">
        <v>94.526951376087595</v>
      </c>
      <c r="Q93">
        <v>3.949349451558744</v>
      </c>
      <c r="R93" t="s">
        <v>289</v>
      </c>
      <c r="S93">
        <v>76.146700507614213</v>
      </c>
      <c r="T93" t="s">
        <v>290</v>
      </c>
      <c r="U93">
        <v>76.146700507614213</v>
      </c>
      <c r="V93">
        <v>94.526951376087595</v>
      </c>
      <c r="W93">
        <v>3.949349451558744</v>
      </c>
      <c r="X93" t="s">
        <v>291</v>
      </c>
      <c r="Y93">
        <v>10</v>
      </c>
      <c r="Z93">
        <v>0.35682680185771348</v>
      </c>
      <c r="AA93">
        <v>1</v>
      </c>
    </row>
    <row r="94" spans="1:27" hidden="1" x14ac:dyDescent="0.25">
      <c r="A94" t="s">
        <v>98</v>
      </c>
      <c r="B94" t="s">
        <v>99</v>
      </c>
      <c r="D94" t="s">
        <v>100</v>
      </c>
      <c r="E94" t="s">
        <v>284</v>
      </c>
      <c r="F94" t="s">
        <v>297</v>
      </c>
      <c r="G94" t="s">
        <v>112</v>
      </c>
      <c r="H94" t="s">
        <v>104</v>
      </c>
      <c r="I94">
        <v>2026</v>
      </c>
      <c r="J94" t="s">
        <v>333</v>
      </c>
      <c r="K94" t="s">
        <v>106</v>
      </c>
      <c r="L94" t="s">
        <v>287</v>
      </c>
      <c r="M94" t="s">
        <v>334</v>
      </c>
      <c r="N94">
        <v>1</v>
      </c>
      <c r="O94">
        <v>2026</v>
      </c>
      <c r="P94">
        <v>69.765067810793198</v>
      </c>
      <c r="Q94">
        <v>2.516631606553434</v>
      </c>
      <c r="R94" t="s">
        <v>289</v>
      </c>
      <c r="S94">
        <v>93</v>
      </c>
      <c r="T94" t="s">
        <v>290</v>
      </c>
      <c r="U94">
        <v>93</v>
      </c>
      <c r="V94">
        <v>69.765067810793198</v>
      </c>
      <c r="W94">
        <v>2.516631606553434</v>
      </c>
      <c r="X94" t="s">
        <v>291</v>
      </c>
      <c r="Y94">
        <v>10</v>
      </c>
      <c r="Z94">
        <v>0.35682680185771348</v>
      </c>
      <c r="AA94">
        <v>1</v>
      </c>
    </row>
    <row r="95" spans="1:27" hidden="1" x14ac:dyDescent="0.25">
      <c r="A95" t="s">
        <v>98</v>
      </c>
      <c r="B95" t="s">
        <v>99</v>
      </c>
      <c r="D95" t="s">
        <v>100</v>
      </c>
      <c r="E95" t="s">
        <v>284</v>
      </c>
      <c r="F95" t="s">
        <v>302</v>
      </c>
      <c r="G95" t="s">
        <v>103</v>
      </c>
      <c r="H95" t="s">
        <v>104</v>
      </c>
      <c r="I95">
        <v>2026</v>
      </c>
      <c r="J95" t="s">
        <v>335</v>
      </c>
      <c r="K95" t="s">
        <v>106</v>
      </c>
      <c r="L95" t="s">
        <v>287</v>
      </c>
      <c r="M95" t="s">
        <v>336</v>
      </c>
      <c r="N95">
        <v>1</v>
      </c>
      <c r="O95">
        <v>2026</v>
      </c>
      <c r="P95">
        <v>105.7930490817716</v>
      </c>
      <c r="Q95">
        <v>3.355492309527206</v>
      </c>
      <c r="R95" t="s">
        <v>289</v>
      </c>
      <c r="S95">
        <v>64.669172932330824</v>
      </c>
      <c r="T95" t="s">
        <v>290</v>
      </c>
      <c r="U95">
        <v>64.669172932330824</v>
      </c>
      <c r="V95">
        <v>105.7930490817716</v>
      </c>
      <c r="W95">
        <v>3.355492309527206</v>
      </c>
      <c r="X95" t="s">
        <v>291</v>
      </c>
      <c r="Y95">
        <v>10</v>
      </c>
      <c r="Z95">
        <v>0.35682680185771348</v>
      </c>
      <c r="AA95">
        <v>1</v>
      </c>
    </row>
    <row r="96" spans="1:27" hidden="1" x14ac:dyDescent="0.25">
      <c r="A96" t="s">
        <v>98</v>
      </c>
      <c r="B96" t="s">
        <v>99</v>
      </c>
      <c r="D96" t="s">
        <v>100</v>
      </c>
      <c r="E96" t="s">
        <v>284</v>
      </c>
      <c r="F96" t="s">
        <v>302</v>
      </c>
      <c r="G96" t="s">
        <v>112</v>
      </c>
      <c r="H96" t="s">
        <v>104</v>
      </c>
      <c r="I96">
        <v>2026</v>
      </c>
      <c r="J96" t="s">
        <v>337</v>
      </c>
      <c r="K96" t="s">
        <v>106</v>
      </c>
      <c r="L96" t="s">
        <v>287</v>
      </c>
      <c r="M96" t="s">
        <v>338</v>
      </c>
      <c r="N96">
        <v>1</v>
      </c>
      <c r="O96">
        <v>2026</v>
      </c>
      <c r="P96">
        <v>99.614212714858894</v>
      </c>
      <c r="Q96">
        <v>1.4361600838792941</v>
      </c>
      <c r="R96" t="s">
        <v>289</v>
      </c>
      <c r="S96">
        <v>75.07692307692308</v>
      </c>
      <c r="T96" t="s">
        <v>290</v>
      </c>
      <c r="U96">
        <v>75.07692307692308</v>
      </c>
      <c r="V96">
        <v>99.614212714858894</v>
      </c>
      <c r="W96">
        <v>1.4361600838792941</v>
      </c>
      <c r="X96" t="s">
        <v>291</v>
      </c>
      <c r="Y96">
        <v>10</v>
      </c>
      <c r="Z96">
        <v>0.35682680185771348</v>
      </c>
      <c r="AA96">
        <v>1</v>
      </c>
    </row>
    <row r="97" spans="1:27" hidden="1" x14ac:dyDescent="0.25">
      <c r="A97" t="s">
        <v>98</v>
      </c>
      <c r="B97" t="s">
        <v>99</v>
      </c>
      <c r="D97" t="s">
        <v>100</v>
      </c>
      <c r="E97" t="s">
        <v>284</v>
      </c>
      <c r="F97" t="s">
        <v>292</v>
      </c>
      <c r="G97" t="s">
        <v>103</v>
      </c>
      <c r="H97" t="s">
        <v>104</v>
      </c>
      <c r="I97">
        <v>2030</v>
      </c>
      <c r="J97" t="s">
        <v>339</v>
      </c>
      <c r="K97" t="s">
        <v>106</v>
      </c>
      <c r="L97" t="s">
        <v>287</v>
      </c>
      <c r="M97" t="s">
        <v>340</v>
      </c>
      <c r="N97">
        <v>1</v>
      </c>
      <c r="O97">
        <v>2030</v>
      </c>
      <c r="P97">
        <v>99.96668875570353</v>
      </c>
      <c r="Q97">
        <v>4.9152448223495018</v>
      </c>
      <c r="R97" t="s">
        <v>289</v>
      </c>
      <c r="S97">
        <v>55.211046644573933</v>
      </c>
      <c r="T97" t="s">
        <v>290</v>
      </c>
      <c r="U97">
        <v>55.211046644573933</v>
      </c>
      <c r="V97">
        <v>99.96668875570353</v>
      </c>
      <c r="W97">
        <v>4.9152448223495018</v>
      </c>
      <c r="X97" t="s">
        <v>291</v>
      </c>
      <c r="Y97">
        <v>10</v>
      </c>
      <c r="Z97">
        <v>0.35682680185771348</v>
      </c>
      <c r="AA97">
        <v>1</v>
      </c>
    </row>
    <row r="98" spans="1:27" hidden="1" x14ac:dyDescent="0.25">
      <c r="A98" t="s">
        <v>98</v>
      </c>
      <c r="B98" t="s">
        <v>99</v>
      </c>
      <c r="D98" t="s">
        <v>100</v>
      </c>
      <c r="E98" t="s">
        <v>284</v>
      </c>
      <c r="F98" t="s">
        <v>292</v>
      </c>
      <c r="G98" t="s">
        <v>112</v>
      </c>
      <c r="H98" t="s">
        <v>104</v>
      </c>
      <c r="I98">
        <v>2030</v>
      </c>
      <c r="J98" t="s">
        <v>341</v>
      </c>
      <c r="K98" t="s">
        <v>106</v>
      </c>
      <c r="L98" t="s">
        <v>287</v>
      </c>
      <c r="M98" t="s">
        <v>342</v>
      </c>
      <c r="N98">
        <v>1</v>
      </c>
      <c r="O98">
        <v>2030</v>
      </c>
      <c r="P98">
        <v>93.570390823718384</v>
      </c>
      <c r="Q98">
        <v>4.27625645181514</v>
      </c>
      <c r="R98" t="s">
        <v>289</v>
      </c>
      <c r="S98">
        <v>60.132155797450622</v>
      </c>
      <c r="T98" t="s">
        <v>290</v>
      </c>
      <c r="U98">
        <v>60.132155797450622</v>
      </c>
      <c r="V98">
        <v>93.570390823718384</v>
      </c>
      <c r="W98">
        <v>4.27625645181514</v>
      </c>
      <c r="X98" t="s">
        <v>291</v>
      </c>
      <c r="Y98">
        <v>10</v>
      </c>
      <c r="Z98">
        <v>0.35682680185771348</v>
      </c>
      <c r="AA98">
        <v>1</v>
      </c>
    </row>
    <row r="99" spans="1:27" hidden="1" x14ac:dyDescent="0.25">
      <c r="A99" t="s">
        <v>98</v>
      </c>
      <c r="B99" t="s">
        <v>99</v>
      </c>
      <c r="D99" t="s">
        <v>100</v>
      </c>
      <c r="E99" t="s">
        <v>284</v>
      </c>
      <c r="F99" t="s">
        <v>297</v>
      </c>
      <c r="G99" t="s">
        <v>103</v>
      </c>
      <c r="H99" t="s">
        <v>104</v>
      </c>
      <c r="I99">
        <v>2030</v>
      </c>
      <c r="J99" t="s">
        <v>343</v>
      </c>
      <c r="K99" t="s">
        <v>106</v>
      </c>
      <c r="L99" t="s">
        <v>287</v>
      </c>
      <c r="M99" t="s">
        <v>344</v>
      </c>
      <c r="N99">
        <v>1</v>
      </c>
      <c r="O99">
        <v>2030</v>
      </c>
      <c r="P99">
        <v>112.2464608710101</v>
      </c>
      <c r="Q99">
        <v>3.5870084905918258</v>
      </c>
      <c r="R99" t="s">
        <v>289</v>
      </c>
      <c r="S99">
        <v>89.042769074884546</v>
      </c>
      <c r="T99" t="s">
        <v>290</v>
      </c>
      <c r="U99">
        <v>89.042769074884546</v>
      </c>
      <c r="V99">
        <v>112.2464608710101</v>
      </c>
      <c r="W99">
        <v>3.5870084905918258</v>
      </c>
      <c r="X99" t="s">
        <v>291</v>
      </c>
      <c r="Y99">
        <v>10</v>
      </c>
      <c r="Z99">
        <v>0.35682680185771348</v>
      </c>
      <c r="AA99">
        <v>1</v>
      </c>
    </row>
    <row r="100" spans="1:27" hidden="1" x14ac:dyDescent="0.25">
      <c r="A100" t="s">
        <v>98</v>
      </c>
      <c r="B100" t="s">
        <v>99</v>
      </c>
      <c r="D100" t="s">
        <v>100</v>
      </c>
      <c r="E100" t="s">
        <v>284</v>
      </c>
      <c r="F100" t="s">
        <v>297</v>
      </c>
      <c r="G100" t="s">
        <v>112</v>
      </c>
      <c r="H100" t="s">
        <v>104</v>
      </c>
      <c r="I100">
        <v>2030</v>
      </c>
      <c r="J100" t="s">
        <v>345</v>
      </c>
      <c r="K100" t="s">
        <v>106</v>
      </c>
      <c r="L100" t="s">
        <v>287</v>
      </c>
      <c r="M100" t="s">
        <v>346</v>
      </c>
      <c r="N100">
        <v>1</v>
      </c>
      <c r="O100">
        <v>2030</v>
      </c>
      <c r="P100">
        <v>84.571073913548247</v>
      </c>
      <c r="Q100">
        <v>2.3525336937486059</v>
      </c>
      <c r="R100" t="s">
        <v>289</v>
      </c>
      <c r="S100">
        <v>108.5525423728814</v>
      </c>
      <c r="T100" t="s">
        <v>290</v>
      </c>
      <c r="U100">
        <v>108.5525423728814</v>
      </c>
      <c r="V100">
        <v>84.571073913548247</v>
      </c>
      <c r="W100">
        <v>2.3525336937486059</v>
      </c>
      <c r="X100" t="s">
        <v>291</v>
      </c>
      <c r="Y100">
        <v>10</v>
      </c>
      <c r="Z100">
        <v>0.35682680185771348</v>
      </c>
      <c r="AA100">
        <v>1</v>
      </c>
    </row>
    <row r="101" spans="1:27" hidden="1" x14ac:dyDescent="0.25">
      <c r="A101" t="s">
        <v>98</v>
      </c>
      <c r="B101" t="s">
        <v>99</v>
      </c>
      <c r="D101" t="s">
        <v>100</v>
      </c>
      <c r="E101" t="s">
        <v>284</v>
      </c>
      <c r="F101" t="s">
        <v>292</v>
      </c>
      <c r="G101" t="s">
        <v>103</v>
      </c>
      <c r="H101" t="s">
        <v>104</v>
      </c>
      <c r="I101">
        <v>2040</v>
      </c>
      <c r="J101" t="s">
        <v>347</v>
      </c>
      <c r="K101" t="s">
        <v>106</v>
      </c>
      <c r="L101" t="s">
        <v>287</v>
      </c>
      <c r="M101" t="s">
        <v>348</v>
      </c>
      <c r="N101">
        <v>1</v>
      </c>
      <c r="O101">
        <v>2040</v>
      </c>
      <c r="P101">
        <v>98.335071194105581</v>
      </c>
      <c r="Q101">
        <v>4.7080379086524973</v>
      </c>
      <c r="R101" t="s">
        <v>289</v>
      </c>
      <c r="S101">
        <v>63.829339223058007</v>
      </c>
      <c r="T101" t="s">
        <v>290</v>
      </c>
      <c r="U101">
        <v>63.829339223058007</v>
      </c>
      <c r="V101">
        <v>98.335071194105581</v>
      </c>
      <c r="W101">
        <v>4.7080379086524973</v>
      </c>
      <c r="X101" t="s">
        <v>291</v>
      </c>
      <c r="Y101">
        <v>10</v>
      </c>
      <c r="Z101">
        <v>0.35682680185771348</v>
      </c>
      <c r="AA101">
        <v>1</v>
      </c>
    </row>
    <row r="102" spans="1:27" hidden="1" x14ac:dyDescent="0.25">
      <c r="A102" t="s">
        <v>98</v>
      </c>
      <c r="B102" t="s">
        <v>99</v>
      </c>
      <c r="D102" t="s">
        <v>100</v>
      </c>
      <c r="E102" t="s">
        <v>284</v>
      </c>
      <c r="F102" t="s">
        <v>292</v>
      </c>
      <c r="G102" t="s">
        <v>112</v>
      </c>
      <c r="H102" t="s">
        <v>104</v>
      </c>
      <c r="I102">
        <v>2040</v>
      </c>
      <c r="J102" t="s">
        <v>349</v>
      </c>
      <c r="K102" t="s">
        <v>106</v>
      </c>
      <c r="L102" t="s">
        <v>287</v>
      </c>
      <c r="M102" t="s">
        <v>350</v>
      </c>
      <c r="N102">
        <v>1</v>
      </c>
      <c r="O102">
        <v>2040</v>
      </c>
      <c r="P102">
        <v>92.137687829328328</v>
      </c>
      <c r="Q102">
        <v>4.1202723323867074</v>
      </c>
      <c r="R102" t="s">
        <v>289</v>
      </c>
      <c r="S102">
        <v>69.934718883357121</v>
      </c>
      <c r="T102" t="s">
        <v>290</v>
      </c>
      <c r="U102">
        <v>69.934718883357121</v>
      </c>
      <c r="V102">
        <v>92.137687829328328</v>
      </c>
      <c r="W102">
        <v>4.1202723323867074</v>
      </c>
      <c r="X102" t="s">
        <v>291</v>
      </c>
      <c r="Y102">
        <v>10</v>
      </c>
      <c r="Z102">
        <v>0.35682680185771348</v>
      </c>
      <c r="AA102">
        <v>1</v>
      </c>
    </row>
    <row r="103" spans="1:27" hidden="1" x14ac:dyDescent="0.25">
      <c r="A103" t="s">
        <v>98</v>
      </c>
      <c r="B103" t="s">
        <v>99</v>
      </c>
      <c r="D103" t="s">
        <v>100</v>
      </c>
      <c r="E103" t="s">
        <v>284</v>
      </c>
      <c r="F103" t="s">
        <v>297</v>
      </c>
      <c r="G103" t="s">
        <v>103</v>
      </c>
      <c r="H103" t="s">
        <v>104</v>
      </c>
      <c r="I103">
        <v>2040</v>
      </c>
      <c r="J103" t="s">
        <v>351</v>
      </c>
      <c r="K103" t="s">
        <v>106</v>
      </c>
      <c r="L103" t="s">
        <v>287</v>
      </c>
      <c r="M103" t="s">
        <v>352</v>
      </c>
      <c r="N103">
        <v>1</v>
      </c>
      <c r="O103">
        <v>2040</v>
      </c>
      <c r="P103">
        <v>109.62871509832991</v>
      </c>
      <c r="Q103">
        <v>3.28145573783857</v>
      </c>
      <c r="R103" t="s">
        <v>289</v>
      </c>
      <c r="S103">
        <v>101.8534675620791</v>
      </c>
      <c r="T103" t="s">
        <v>290</v>
      </c>
      <c r="U103">
        <v>101.8534675620791</v>
      </c>
      <c r="V103">
        <v>109.62871509832991</v>
      </c>
      <c r="W103">
        <v>3.28145573783857</v>
      </c>
      <c r="X103" t="s">
        <v>291</v>
      </c>
      <c r="Y103">
        <v>10</v>
      </c>
      <c r="Z103">
        <v>0.35682680185771348</v>
      </c>
      <c r="AA103">
        <v>1</v>
      </c>
    </row>
    <row r="104" spans="1:27" hidden="1" x14ac:dyDescent="0.25">
      <c r="A104" t="s">
        <v>98</v>
      </c>
      <c r="B104" t="s">
        <v>99</v>
      </c>
      <c r="D104" t="s">
        <v>100</v>
      </c>
      <c r="E104" t="s">
        <v>284</v>
      </c>
      <c r="F104" t="s">
        <v>297</v>
      </c>
      <c r="G104" t="s">
        <v>112</v>
      </c>
      <c r="H104" t="s">
        <v>104</v>
      </c>
      <c r="I104">
        <v>2040</v>
      </c>
      <c r="J104" t="s">
        <v>353</v>
      </c>
      <c r="K104" t="s">
        <v>106</v>
      </c>
      <c r="L104" t="s">
        <v>287</v>
      </c>
      <c r="M104" t="s">
        <v>354</v>
      </c>
      <c r="N104">
        <v>1</v>
      </c>
      <c r="O104">
        <v>2040</v>
      </c>
      <c r="P104">
        <v>82.941268534212341</v>
      </c>
      <c r="Q104">
        <v>2.168671786742209</v>
      </c>
      <c r="R104" t="s">
        <v>289</v>
      </c>
      <c r="S104">
        <v>124.1701372074253</v>
      </c>
      <c r="T104" t="s">
        <v>290</v>
      </c>
      <c r="U104">
        <v>124.1701372074253</v>
      </c>
      <c r="V104">
        <v>82.941268534212341</v>
      </c>
      <c r="W104">
        <v>2.168671786742209</v>
      </c>
      <c r="X104" t="s">
        <v>291</v>
      </c>
      <c r="Y104">
        <v>10</v>
      </c>
      <c r="Z104">
        <v>0.35682680185771348</v>
      </c>
      <c r="AA104">
        <v>1</v>
      </c>
    </row>
    <row r="105" spans="1:27" hidden="1" x14ac:dyDescent="0.25">
      <c r="A105" t="s">
        <v>98</v>
      </c>
      <c r="B105" t="s">
        <v>99</v>
      </c>
      <c r="D105" t="s">
        <v>100</v>
      </c>
      <c r="E105" t="s">
        <v>284</v>
      </c>
      <c r="F105" t="s">
        <v>355</v>
      </c>
      <c r="G105" t="s">
        <v>103</v>
      </c>
      <c r="H105" t="s">
        <v>104</v>
      </c>
      <c r="I105">
        <v>2022</v>
      </c>
      <c r="J105" t="s">
        <v>356</v>
      </c>
      <c r="K105" t="s">
        <v>106</v>
      </c>
      <c r="L105" t="s">
        <v>287</v>
      </c>
      <c r="M105" t="s">
        <v>357</v>
      </c>
      <c r="N105">
        <v>1</v>
      </c>
      <c r="O105">
        <v>2020</v>
      </c>
      <c r="P105">
        <v>26.539302440149839</v>
      </c>
      <c r="Q105">
        <v>0.71977466386263589</v>
      </c>
      <c r="R105" t="s">
        <v>289</v>
      </c>
      <c r="S105">
        <v>85.75677051732572</v>
      </c>
      <c r="T105" t="s">
        <v>290</v>
      </c>
      <c r="U105">
        <v>85.75677051732572</v>
      </c>
      <c r="V105">
        <v>26.539302440149839</v>
      </c>
      <c r="W105">
        <v>0.71977466386263589</v>
      </c>
      <c r="X105" t="s">
        <v>291</v>
      </c>
      <c r="Y105">
        <v>10</v>
      </c>
      <c r="Z105">
        <v>0.35682680185771348</v>
      </c>
      <c r="AA105">
        <v>1</v>
      </c>
    </row>
    <row r="106" spans="1:27" hidden="1" x14ac:dyDescent="0.25">
      <c r="A106" t="s">
        <v>98</v>
      </c>
      <c r="B106" t="s">
        <v>99</v>
      </c>
      <c r="D106" t="s">
        <v>100</v>
      </c>
      <c r="E106" t="s">
        <v>284</v>
      </c>
      <c r="F106" t="s">
        <v>355</v>
      </c>
      <c r="G106" t="s">
        <v>112</v>
      </c>
      <c r="H106" t="s">
        <v>104</v>
      </c>
      <c r="I106">
        <v>2022</v>
      </c>
      <c r="J106" t="s">
        <v>358</v>
      </c>
      <c r="K106" t="s">
        <v>106</v>
      </c>
      <c r="L106" t="s">
        <v>287</v>
      </c>
      <c r="M106" t="s">
        <v>359</v>
      </c>
      <c r="N106">
        <v>1</v>
      </c>
      <c r="O106">
        <v>2020</v>
      </c>
      <c r="P106">
        <v>27.952547937105681</v>
      </c>
      <c r="Q106">
        <v>0.83346015109483984</v>
      </c>
      <c r="R106" t="s">
        <v>289</v>
      </c>
      <c r="S106">
        <v>88.372750377742747</v>
      </c>
      <c r="T106" t="s">
        <v>290</v>
      </c>
      <c r="U106">
        <v>88.372750377742747</v>
      </c>
      <c r="V106">
        <v>27.952547937105681</v>
      </c>
      <c r="W106">
        <v>0.83346015109483984</v>
      </c>
      <c r="X106" t="s">
        <v>291</v>
      </c>
      <c r="Y106">
        <v>10</v>
      </c>
      <c r="Z106">
        <v>0.35682680185771348</v>
      </c>
      <c r="AA106">
        <v>1</v>
      </c>
    </row>
    <row r="107" spans="1:27" hidden="1" x14ac:dyDescent="0.25">
      <c r="A107" t="s">
        <v>98</v>
      </c>
      <c r="B107" t="s">
        <v>99</v>
      </c>
      <c r="D107" t="s">
        <v>100</v>
      </c>
      <c r="E107" t="s">
        <v>284</v>
      </c>
      <c r="F107" t="s">
        <v>360</v>
      </c>
      <c r="G107" t="s">
        <v>103</v>
      </c>
      <c r="H107" t="s">
        <v>104</v>
      </c>
      <c r="I107">
        <v>2022</v>
      </c>
      <c r="J107" t="s">
        <v>361</v>
      </c>
      <c r="K107" t="s">
        <v>106</v>
      </c>
      <c r="L107" t="s">
        <v>287</v>
      </c>
      <c r="M107" t="s">
        <v>362</v>
      </c>
      <c r="N107">
        <v>1</v>
      </c>
      <c r="O107">
        <v>2020</v>
      </c>
      <c r="P107">
        <v>30.743231458982891</v>
      </c>
      <c r="Q107">
        <v>0.75530083267302539</v>
      </c>
      <c r="R107" t="s">
        <v>289</v>
      </c>
      <c r="S107">
        <v>85.752844444444449</v>
      </c>
      <c r="T107" t="s">
        <v>290</v>
      </c>
      <c r="U107">
        <v>85.752844444444449</v>
      </c>
      <c r="V107">
        <v>30.743231458982891</v>
      </c>
      <c r="W107">
        <v>0.75530083267302539</v>
      </c>
      <c r="X107" t="s">
        <v>291</v>
      </c>
      <c r="Y107">
        <v>10</v>
      </c>
      <c r="Z107">
        <v>0.35682680185771348</v>
      </c>
      <c r="AA107">
        <v>1</v>
      </c>
    </row>
    <row r="108" spans="1:27" hidden="1" x14ac:dyDescent="0.25">
      <c r="A108" t="s">
        <v>98</v>
      </c>
      <c r="B108" t="s">
        <v>99</v>
      </c>
      <c r="D108" t="s">
        <v>100</v>
      </c>
      <c r="E108" t="s">
        <v>284</v>
      </c>
      <c r="F108" t="s">
        <v>360</v>
      </c>
      <c r="G108" t="s">
        <v>112</v>
      </c>
      <c r="H108" t="s">
        <v>104</v>
      </c>
      <c r="I108">
        <v>2022</v>
      </c>
      <c r="J108" t="s">
        <v>363</v>
      </c>
      <c r="K108" t="s">
        <v>106</v>
      </c>
      <c r="L108" t="s">
        <v>287</v>
      </c>
      <c r="M108" t="s">
        <v>364</v>
      </c>
      <c r="N108">
        <v>1</v>
      </c>
      <c r="O108">
        <v>2020</v>
      </c>
      <c r="P108">
        <v>30.995290460986698</v>
      </c>
      <c r="Q108">
        <v>1.07624732944957</v>
      </c>
      <c r="R108" t="s">
        <v>289</v>
      </c>
      <c r="S108">
        <v>91.18482905982907</v>
      </c>
      <c r="T108" t="s">
        <v>290</v>
      </c>
      <c r="U108">
        <v>91.18482905982907</v>
      </c>
      <c r="V108">
        <v>30.995290460986698</v>
      </c>
      <c r="W108">
        <v>1.07624732944957</v>
      </c>
      <c r="X108" t="s">
        <v>291</v>
      </c>
      <c r="Y108">
        <v>10</v>
      </c>
      <c r="Z108">
        <v>0.35682680185771348</v>
      </c>
      <c r="AA108">
        <v>1</v>
      </c>
    </row>
    <row r="109" spans="1:27" hidden="1" x14ac:dyDescent="0.25">
      <c r="A109" t="s">
        <v>98</v>
      </c>
      <c r="B109" t="s">
        <v>99</v>
      </c>
      <c r="D109" t="s">
        <v>100</v>
      </c>
      <c r="E109" t="s">
        <v>284</v>
      </c>
      <c r="F109" t="s">
        <v>365</v>
      </c>
      <c r="G109" t="s">
        <v>103</v>
      </c>
      <c r="H109" t="s">
        <v>104</v>
      </c>
      <c r="I109">
        <v>2022</v>
      </c>
      <c r="J109" t="s">
        <v>366</v>
      </c>
      <c r="K109" t="s">
        <v>106</v>
      </c>
      <c r="L109" t="s">
        <v>287</v>
      </c>
      <c r="M109" t="s">
        <v>367</v>
      </c>
      <c r="N109">
        <v>1</v>
      </c>
      <c r="O109">
        <v>2020</v>
      </c>
      <c r="P109">
        <v>34.581332645158973</v>
      </c>
      <c r="Q109">
        <v>1.926881708285624</v>
      </c>
      <c r="R109" t="s">
        <v>289</v>
      </c>
      <c r="S109">
        <v>115.45533602622641</v>
      </c>
      <c r="T109" t="s">
        <v>290</v>
      </c>
      <c r="U109">
        <v>115.45533602622641</v>
      </c>
      <c r="V109">
        <v>34.581332645158973</v>
      </c>
      <c r="W109">
        <v>1.926881708285624</v>
      </c>
      <c r="X109" t="s">
        <v>291</v>
      </c>
      <c r="Y109">
        <v>10</v>
      </c>
      <c r="Z109">
        <v>0.35682680185771348</v>
      </c>
      <c r="AA109">
        <v>1</v>
      </c>
    </row>
    <row r="110" spans="1:27" hidden="1" x14ac:dyDescent="0.25">
      <c r="A110" t="s">
        <v>98</v>
      </c>
      <c r="B110" t="s">
        <v>99</v>
      </c>
      <c r="D110" t="s">
        <v>100</v>
      </c>
      <c r="E110" t="s">
        <v>284</v>
      </c>
      <c r="F110" t="s">
        <v>365</v>
      </c>
      <c r="G110" t="s">
        <v>112</v>
      </c>
      <c r="H110" t="s">
        <v>104</v>
      </c>
      <c r="I110">
        <v>2022</v>
      </c>
      <c r="J110" t="s">
        <v>368</v>
      </c>
      <c r="K110" t="s">
        <v>106</v>
      </c>
      <c r="L110" t="s">
        <v>287</v>
      </c>
      <c r="M110" t="s">
        <v>369</v>
      </c>
      <c r="N110">
        <v>1</v>
      </c>
      <c r="O110">
        <v>2020</v>
      </c>
      <c r="P110">
        <v>44.653862333829821</v>
      </c>
      <c r="Q110">
        <v>2.4693086643180591</v>
      </c>
      <c r="R110" t="s">
        <v>289</v>
      </c>
      <c r="S110">
        <v>130.6177318295739</v>
      </c>
      <c r="T110" t="s">
        <v>290</v>
      </c>
      <c r="U110">
        <v>130.6177318295739</v>
      </c>
      <c r="V110">
        <v>44.653862333829821</v>
      </c>
      <c r="W110">
        <v>2.4693086643180591</v>
      </c>
      <c r="X110" t="s">
        <v>291</v>
      </c>
      <c r="Y110">
        <v>10</v>
      </c>
      <c r="Z110">
        <v>0.35682680185771348</v>
      </c>
      <c r="AA110">
        <v>1</v>
      </c>
    </row>
    <row r="111" spans="1:27" hidden="1" x14ac:dyDescent="0.25">
      <c r="A111" t="s">
        <v>98</v>
      </c>
      <c r="B111" t="s">
        <v>99</v>
      </c>
      <c r="D111" t="s">
        <v>100</v>
      </c>
      <c r="E111" t="s">
        <v>284</v>
      </c>
      <c r="F111" t="s">
        <v>365</v>
      </c>
      <c r="G111" t="s">
        <v>103</v>
      </c>
      <c r="H111" t="s">
        <v>104</v>
      </c>
      <c r="I111">
        <v>2023</v>
      </c>
      <c r="J111" t="s">
        <v>370</v>
      </c>
      <c r="K111" t="s">
        <v>106</v>
      </c>
      <c r="L111" t="s">
        <v>287</v>
      </c>
      <c r="M111" t="s">
        <v>371</v>
      </c>
      <c r="N111">
        <v>1</v>
      </c>
      <c r="O111">
        <v>2023</v>
      </c>
      <c r="P111">
        <v>34.353918735727063</v>
      </c>
      <c r="Q111">
        <v>1.893397965391721</v>
      </c>
      <c r="R111" t="s">
        <v>289</v>
      </c>
      <c r="S111">
        <v>115.45533602622641</v>
      </c>
      <c r="T111" t="s">
        <v>290</v>
      </c>
      <c r="U111">
        <v>115.45533602622641</v>
      </c>
      <c r="V111">
        <v>34.353918735727063</v>
      </c>
      <c r="W111">
        <v>1.893397965391721</v>
      </c>
      <c r="X111" t="s">
        <v>291</v>
      </c>
      <c r="Y111">
        <v>10</v>
      </c>
      <c r="Z111">
        <v>0.35682680185771348</v>
      </c>
      <c r="AA111">
        <v>1</v>
      </c>
    </row>
    <row r="112" spans="1:27" hidden="1" x14ac:dyDescent="0.25">
      <c r="A112" t="s">
        <v>98</v>
      </c>
      <c r="B112" t="s">
        <v>99</v>
      </c>
      <c r="D112" t="s">
        <v>100</v>
      </c>
      <c r="E112" t="s">
        <v>284</v>
      </c>
      <c r="F112" t="s">
        <v>365</v>
      </c>
      <c r="G112" t="s">
        <v>112</v>
      </c>
      <c r="H112" t="s">
        <v>104</v>
      </c>
      <c r="I112">
        <v>2023</v>
      </c>
      <c r="J112" t="s">
        <v>372</v>
      </c>
      <c r="K112" t="s">
        <v>106</v>
      </c>
      <c r="L112" t="s">
        <v>287</v>
      </c>
      <c r="M112" t="s">
        <v>373</v>
      </c>
      <c r="N112">
        <v>1</v>
      </c>
      <c r="O112">
        <v>2023</v>
      </c>
      <c r="P112">
        <v>43.733464606512037</v>
      </c>
      <c r="Q112">
        <v>2.4042644647868401</v>
      </c>
      <c r="R112" t="s">
        <v>289</v>
      </c>
      <c r="S112">
        <v>130.6177318295739</v>
      </c>
      <c r="T112" t="s">
        <v>290</v>
      </c>
      <c r="U112">
        <v>130.6177318295739</v>
      </c>
      <c r="V112">
        <v>43.733464606512037</v>
      </c>
      <c r="W112">
        <v>2.4042644647868401</v>
      </c>
      <c r="X112" t="s">
        <v>291</v>
      </c>
      <c r="Y112">
        <v>10</v>
      </c>
      <c r="Z112">
        <v>0.35682680185771348</v>
      </c>
      <c r="AA112">
        <v>1</v>
      </c>
    </row>
    <row r="113" spans="1:27" hidden="1" x14ac:dyDescent="0.25">
      <c r="A113" t="s">
        <v>98</v>
      </c>
      <c r="B113" t="s">
        <v>99</v>
      </c>
      <c r="D113" t="s">
        <v>100</v>
      </c>
      <c r="E113" t="s">
        <v>284</v>
      </c>
      <c r="F113" t="s">
        <v>365</v>
      </c>
      <c r="G113" t="s">
        <v>103</v>
      </c>
      <c r="H113" t="s">
        <v>104</v>
      </c>
      <c r="I113">
        <v>2024</v>
      </c>
      <c r="J113" t="s">
        <v>374</v>
      </c>
      <c r="K113" t="s">
        <v>106</v>
      </c>
      <c r="L113" t="s">
        <v>287</v>
      </c>
      <c r="M113" t="s">
        <v>375</v>
      </c>
      <c r="N113">
        <v>1</v>
      </c>
      <c r="O113">
        <v>2024</v>
      </c>
      <c r="P113">
        <v>34.353918735727063</v>
      </c>
      <c r="Q113">
        <v>1.893397965391721</v>
      </c>
      <c r="R113" t="s">
        <v>289</v>
      </c>
      <c r="S113">
        <v>115.45533602622641</v>
      </c>
      <c r="T113" t="s">
        <v>290</v>
      </c>
      <c r="U113">
        <v>115.45533602622641</v>
      </c>
      <c r="V113">
        <v>34.353918735727063</v>
      </c>
      <c r="W113">
        <v>1.893397965391721</v>
      </c>
      <c r="X113" t="s">
        <v>291</v>
      </c>
      <c r="Y113">
        <v>10</v>
      </c>
      <c r="Z113">
        <v>0.35682680185771348</v>
      </c>
      <c r="AA113">
        <v>1</v>
      </c>
    </row>
    <row r="114" spans="1:27" hidden="1" x14ac:dyDescent="0.25">
      <c r="A114" t="s">
        <v>98</v>
      </c>
      <c r="B114" t="s">
        <v>99</v>
      </c>
      <c r="D114" t="s">
        <v>100</v>
      </c>
      <c r="E114" t="s">
        <v>284</v>
      </c>
      <c r="F114" t="s">
        <v>365</v>
      </c>
      <c r="G114" t="s">
        <v>112</v>
      </c>
      <c r="H114" t="s">
        <v>104</v>
      </c>
      <c r="I114">
        <v>2024</v>
      </c>
      <c r="J114" t="s">
        <v>376</v>
      </c>
      <c r="K114" t="s">
        <v>106</v>
      </c>
      <c r="L114" t="s">
        <v>287</v>
      </c>
      <c r="M114" t="s">
        <v>377</v>
      </c>
      <c r="N114">
        <v>1</v>
      </c>
      <c r="O114">
        <v>2024</v>
      </c>
      <c r="P114">
        <v>43.733464606512037</v>
      </c>
      <c r="Q114">
        <v>2.4042644647868401</v>
      </c>
      <c r="R114" t="s">
        <v>289</v>
      </c>
      <c r="S114">
        <v>130.6177318295739</v>
      </c>
      <c r="T114" t="s">
        <v>290</v>
      </c>
      <c r="U114">
        <v>130.6177318295739</v>
      </c>
      <c r="V114">
        <v>43.733464606512037</v>
      </c>
      <c r="W114">
        <v>2.4042644647868401</v>
      </c>
      <c r="X114" t="s">
        <v>291</v>
      </c>
      <c r="Y114">
        <v>10</v>
      </c>
      <c r="Z114">
        <v>0.35682680185771348</v>
      </c>
      <c r="AA114">
        <v>1</v>
      </c>
    </row>
    <row r="115" spans="1:27" hidden="1" x14ac:dyDescent="0.25">
      <c r="A115" t="s">
        <v>98</v>
      </c>
      <c r="B115" t="s">
        <v>99</v>
      </c>
      <c r="D115" t="s">
        <v>100</v>
      </c>
      <c r="E115" t="s">
        <v>284</v>
      </c>
      <c r="F115" t="s">
        <v>365</v>
      </c>
      <c r="G115" t="s">
        <v>103</v>
      </c>
      <c r="H115" t="s">
        <v>104</v>
      </c>
      <c r="I115">
        <v>2025</v>
      </c>
      <c r="J115" t="s">
        <v>378</v>
      </c>
      <c r="K115" t="s">
        <v>106</v>
      </c>
      <c r="L115" t="s">
        <v>287</v>
      </c>
      <c r="M115" t="s">
        <v>379</v>
      </c>
      <c r="N115">
        <v>1</v>
      </c>
      <c r="O115">
        <v>2025</v>
      </c>
      <c r="P115">
        <v>34.353918735727063</v>
      </c>
      <c r="Q115">
        <v>1.893397965391721</v>
      </c>
      <c r="R115" t="s">
        <v>289</v>
      </c>
      <c r="S115">
        <v>115.45533602622641</v>
      </c>
      <c r="T115" t="s">
        <v>290</v>
      </c>
      <c r="U115">
        <v>115.45533602622641</v>
      </c>
      <c r="V115">
        <v>34.353918735727063</v>
      </c>
      <c r="W115">
        <v>1.893397965391721</v>
      </c>
      <c r="X115" t="s">
        <v>291</v>
      </c>
      <c r="Y115">
        <v>10</v>
      </c>
      <c r="Z115">
        <v>0.35682680185771348</v>
      </c>
      <c r="AA115">
        <v>1</v>
      </c>
    </row>
    <row r="116" spans="1:27" hidden="1" x14ac:dyDescent="0.25">
      <c r="A116" t="s">
        <v>98</v>
      </c>
      <c r="B116" t="s">
        <v>99</v>
      </c>
      <c r="D116" t="s">
        <v>100</v>
      </c>
      <c r="E116" t="s">
        <v>284</v>
      </c>
      <c r="F116" t="s">
        <v>365</v>
      </c>
      <c r="G116" t="s">
        <v>112</v>
      </c>
      <c r="H116" t="s">
        <v>104</v>
      </c>
      <c r="I116">
        <v>2025</v>
      </c>
      <c r="J116" t="s">
        <v>380</v>
      </c>
      <c r="K116" t="s">
        <v>106</v>
      </c>
      <c r="L116" t="s">
        <v>287</v>
      </c>
      <c r="M116" t="s">
        <v>381</v>
      </c>
      <c r="N116">
        <v>1</v>
      </c>
      <c r="O116">
        <v>2025</v>
      </c>
      <c r="P116">
        <v>43.733464606512037</v>
      </c>
      <c r="Q116">
        <v>2.4042644647868401</v>
      </c>
      <c r="R116" t="s">
        <v>289</v>
      </c>
      <c r="S116">
        <v>130.6177318295739</v>
      </c>
      <c r="T116" t="s">
        <v>290</v>
      </c>
      <c r="U116">
        <v>130.6177318295739</v>
      </c>
      <c r="V116">
        <v>43.733464606512037</v>
      </c>
      <c r="W116">
        <v>2.4042644647868401</v>
      </c>
      <c r="X116" t="s">
        <v>291</v>
      </c>
      <c r="Y116">
        <v>10</v>
      </c>
      <c r="Z116">
        <v>0.35682680185771348</v>
      </c>
      <c r="AA116">
        <v>1</v>
      </c>
    </row>
    <row r="117" spans="1:27" hidden="1" x14ac:dyDescent="0.25">
      <c r="A117" t="s">
        <v>98</v>
      </c>
      <c r="B117" t="s">
        <v>99</v>
      </c>
      <c r="D117" t="s">
        <v>100</v>
      </c>
      <c r="E117" t="s">
        <v>284</v>
      </c>
      <c r="F117" t="s">
        <v>365</v>
      </c>
      <c r="G117" t="s">
        <v>103</v>
      </c>
      <c r="H117" t="s">
        <v>104</v>
      </c>
      <c r="I117">
        <v>2026</v>
      </c>
      <c r="J117" t="s">
        <v>382</v>
      </c>
      <c r="K117" t="s">
        <v>106</v>
      </c>
      <c r="L117" t="s">
        <v>287</v>
      </c>
      <c r="M117" t="s">
        <v>383</v>
      </c>
      <c r="N117">
        <v>1</v>
      </c>
      <c r="O117">
        <v>2026</v>
      </c>
      <c r="P117">
        <v>34.353918735727063</v>
      </c>
      <c r="Q117">
        <v>1.893397965391721</v>
      </c>
      <c r="R117" t="s">
        <v>289</v>
      </c>
      <c r="S117">
        <v>115.45533602622641</v>
      </c>
      <c r="T117" t="s">
        <v>290</v>
      </c>
      <c r="U117">
        <v>115.45533602622641</v>
      </c>
      <c r="V117">
        <v>34.353918735727063</v>
      </c>
      <c r="W117">
        <v>1.893397965391721</v>
      </c>
      <c r="X117" t="s">
        <v>291</v>
      </c>
      <c r="Y117">
        <v>10</v>
      </c>
      <c r="Z117">
        <v>0.35682680185771348</v>
      </c>
      <c r="AA117">
        <v>1</v>
      </c>
    </row>
    <row r="118" spans="1:27" hidden="1" x14ac:dyDescent="0.25">
      <c r="A118" t="s">
        <v>98</v>
      </c>
      <c r="B118" t="s">
        <v>99</v>
      </c>
      <c r="D118" t="s">
        <v>100</v>
      </c>
      <c r="E118" t="s">
        <v>284</v>
      </c>
      <c r="F118" t="s">
        <v>365</v>
      </c>
      <c r="G118" t="s">
        <v>112</v>
      </c>
      <c r="H118" t="s">
        <v>104</v>
      </c>
      <c r="I118">
        <v>2026</v>
      </c>
      <c r="J118" t="s">
        <v>384</v>
      </c>
      <c r="K118" t="s">
        <v>106</v>
      </c>
      <c r="L118" t="s">
        <v>287</v>
      </c>
      <c r="M118" t="s">
        <v>385</v>
      </c>
      <c r="N118">
        <v>1</v>
      </c>
      <c r="O118">
        <v>2026</v>
      </c>
      <c r="P118">
        <v>43.733464606512037</v>
      </c>
      <c r="Q118">
        <v>2.4042644647868401</v>
      </c>
      <c r="R118" t="s">
        <v>289</v>
      </c>
      <c r="S118">
        <v>130.6177318295739</v>
      </c>
      <c r="T118" t="s">
        <v>290</v>
      </c>
      <c r="U118">
        <v>130.6177318295739</v>
      </c>
      <c r="V118">
        <v>43.733464606512037</v>
      </c>
      <c r="W118">
        <v>2.4042644647868401</v>
      </c>
      <c r="X118" t="s">
        <v>291</v>
      </c>
      <c r="Y118">
        <v>10</v>
      </c>
      <c r="Z118">
        <v>0.35682680185771348</v>
      </c>
      <c r="AA118">
        <v>1</v>
      </c>
    </row>
    <row r="119" spans="1:27" hidden="1" x14ac:dyDescent="0.25">
      <c r="A119" t="s">
        <v>98</v>
      </c>
      <c r="B119" t="s">
        <v>99</v>
      </c>
      <c r="D119" t="s">
        <v>100</v>
      </c>
      <c r="E119" t="s">
        <v>284</v>
      </c>
      <c r="F119" t="s">
        <v>365</v>
      </c>
      <c r="G119" t="s">
        <v>103</v>
      </c>
      <c r="H119" t="s">
        <v>104</v>
      </c>
      <c r="I119">
        <v>2027</v>
      </c>
      <c r="J119" t="s">
        <v>386</v>
      </c>
      <c r="K119" t="s">
        <v>106</v>
      </c>
      <c r="L119" t="s">
        <v>287</v>
      </c>
      <c r="M119" t="s">
        <v>387</v>
      </c>
      <c r="N119">
        <v>1</v>
      </c>
      <c r="O119">
        <v>2027</v>
      </c>
      <c r="P119">
        <v>34.353918735727063</v>
      </c>
      <c r="Q119">
        <v>1.893397965391721</v>
      </c>
      <c r="R119" t="s">
        <v>289</v>
      </c>
      <c r="S119">
        <v>115.45533602622641</v>
      </c>
      <c r="T119" t="s">
        <v>290</v>
      </c>
      <c r="U119">
        <v>115.45533602622641</v>
      </c>
      <c r="V119">
        <v>34.353918735727063</v>
      </c>
      <c r="W119">
        <v>1.893397965391721</v>
      </c>
      <c r="X119" t="s">
        <v>291</v>
      </c>
      <c r="Y119">
        <v>10</v>
      </c>
      <c r="Z119">
        <v>0.35682680185771348</v>
      </c>
      <c r="AA119">
        <v>1</v>
      </c>
    </row>
    <row r="120" spans="1:27" hidden="1" x14ac:dyDescent="0.25">
      <c r="A120" t="s">
        <v>98</v>
      </c>
      <c r="B120" t="s">
        <v>99</v>
      </c>
      <c r="D120" t="s">
        <v>100</v>
      </c>
      <c r="E120" t="s">
        <v>284</v>
      </c>
      <c r="F120" t="s">
        <v>365</v>
      </c>
      <c r="G120" t="s">
        <v>112</v>
      </c>
      <c r="H120" t="s">
        <v>104</v>
      </c>
      <c r="I120">
        <v>2027</v>
      </c>
      <c r="J120" t="s">
        <v>388</v>
      </c>
      <c r="K120" t="s">
        <v>106</v>
      </c>
      <c r="L120" t="s">
        <v>287</v>
      </c>
      <c r="M120" t="s">
        <v>389</v>
      </c>
      <c r="N120">
        <v>1</v>
      </c>
      <c r="O120">
        <v>2027</v>
      </c>
      <c r="P120">
        <v>43.733464606512037</v>
      </c>
      <c r="Q120">
        <v>2.4042644647868401</v>
      </c>
      <c r="R120" t="s">
        <v>289</v>
      </c>
      <c r="S120">
        <v>130.6177318295739</v>
      </c>
      <c r="T120" t="s">
        <v>290</v>
      </c>
      <c r="U120">
        <v>130.6177318295739</v>
      </c>
      <c r="V120">
        <v>43.733464606512037</v>
      </c>
      <c r="W120">
        <v>2.4042644647868401</v>
      </c>
      <c r="X120" t="s">
        <v>291</v>
      </c>
      <c r="Y120">
        <v>10</v>
      </c>
      <c r="Z120">
        <v>0.35682680185771348</v>
      </c>
      <c r="AA120">
        <v>1</v>
      </c>
    </row>
    <row r="121" spans="1:27" hidden="1" x14ac:dyDescent="0.25">
      <c r="A121" t="s">
        <v>98</v>
      </c>
      <c r="B121" t="s">
        <v>99</v>
      </c>
      <c r="D121" t="s">
        <v>100</v>
      </c>
      <c r="E121" t="s">
        <v>284</v>
      </c>
      <c r="F121" t="s">
        <v>365</v>
      </c>
      <c r="G121" t="s">
        <v>103</v>
      </c>
      <c r="H121" t="s">
        <v>104</v>
      </c>
      <c r="I121">
        <v>2028</v>
      </c>
      <c r="J121" t="s">
        <v>390</v>
      </c>
      <c r="K121" t="s">
        <v>106</v>
      </c>
      <c r="L121" t="s">
        <v>287</v>
      </c>
      <c r="M121" t="s">
        <v>391</v>
      </c>
      <c r="N121">
        <v>1</v>
      </c>
      <c r="O121">
        <v>2028</v>
      </c>
      <c r="P121">
        <v>34.353918735727063</v>
      </c>
      <c r="Q121">
        <v>1.893397965391721</v>
      </c>
      <c r="R121" t="s">
        <v>289</v>
      </c>
      <c r="S121">
        <v>115.45533602622641</v>
      </c>
      <c r="T121" t="s">
        <v>290</v>
      </c>
      <c r="U121">
        <v>115.45533602622641</v>
      </c>
      <c r="V121">
        <v>34.353918735727063</v>
      </c>
      <c r="W121">
        <v>1.893397965391721</v>
      </c>
      <c r="X121" t="s">
        <v>291</v>
      </c>
      <c r="Y121">
        <v>10</v>
      </c>
      <c r="Z121">
        <v>0.35682680185771348</v>
      </c>
      <c r="AA121">
        <v>1</v>
      </c>
    </row>
    <row r="122" spans="1:27" hidden="1" x14ac:dyDescent="0.25">
      <c r="A122" t="s">
        <v>98</v>
      </c>
      <c r="B122" t="s">
        <v>99</v>
      </c>
      <c r="D122" t="s">
        <v>100</v>
      </c>
      <c r="E122" t="s">
        <v>284</v>
      </c>
      <c r="F122" t="s">
        <v>365</v>
      </c>
      <c r="G122" t="s">
        <v>112</v>
      </c>
      <c r="H122" t="s">
        <v>104</v>
      </c>
      <c r="I122">
        <v>2028</v>
      </c>
      <c r="J122" t="s">
        <v>392</v>
      </c>
      <c r="K122" t="s">
        <v>106</v>
      </c>
      <c r="L122" t="s">
        <v>287</v>
      </c>
      <c r="M122" t="s">
        <v>393</v>
      </c>
      <c r="N122">
        <v>1</v>
      </c>
      <c r="O122">
        <v>2028</v>
      </c>
      <c r="P122">
        <v>43.733464606512037</v>
      </c>
      <c r="Q122">
        <v>2.4042644647868401</v>
      </c>
      <c r="R122" t="s">
        <v>289</v>
      </c>
      <c r="S122">
        <v>130.6177318295739</v>
      </c>
      <c r="T122" t="s">
        <v>290</v>
      </c>
      <c r="U122">
        <v>130.6177318295739</v>
      </c>
      <c r="V122">
        <v>43.733464606512037</v>
      </c>
      <c r="W122">
        <v>2.4042644647868401</v>
      </c>
      <c r="X122" t="s">
        <v>291</v>
      </c>
      <c r="Y122">
        <v>10</v>
      </c>
      <c r="Z122">
        <v>0.35682680185771348</v>
      </c>
      <c r="AA122">
        <v>1</v>
      </c>
    </row>
    <row r="123" spans="1:27" hidden="1" x14ac:dyDescent="0.25">
      <c r="A123" t="s">
        <v>98</v>
      </c>
      <c r="B123" t="s">
        <v>99</v>
      </c>
      <c r="D123" t="s">
        <v>100</v>
      </c>
      <c r="E123" t="s">
        <v>284</v>
      </c>
      <c r="F123" t="s">
        <v>365</v>
      </c>
      <c r="G123" t="s">
        <v>103</v>
      </c>
      <c r="H123" t="s">
        <v>104</v>
      </c>
      <c r="I123">
        <v>2029</v>
      </c>
      <c r="J123" t="s">
        <v>394</v>
      </c>
      <c r="K123" t="s">
        <v>106</v>
      </c>
      <c r="L123" t="s">
        <v>287</v>
      </c>
      <c r="M123" t="s">
        <v>395</v>
      </c>
      <c r="N123">
        <v>1</v>
      </c>
      <c r="O123">
        <v>2029</v>
      </c>
      <c r="P123">
        <v>34.353918735727063</v>
      </c>
      <c r="Q123">
        <v>1.893397965391721</v>
      </c>
      <c r="R123" t="s">
        <v>289</v>
      </c>
      <c r="S123">
        <v>115.45533602622641</v>
      </c>
      <c r="T123" t="s">
        <v>290</v>
      </c>
      <c r="U123">
        <v>115.45533602622641</v>
      </c>
      <c r="V123">
        <v>34.353918735727063</v>
      </c>
      <c r="W123">
        <v>1.893397965391721</v>
      </c>
      <c r="X123" t="s">
        <v>291</v>
      </c>
      <c r="Y123">
        <v>10</v>
      </c>
      <c r="Z123">
        <v>0.35682680185771348</v>
      </c>
      <c r="AA123">
        <v>1</v>
      </c>
    </row>
    <row r="124" spans="1:27" hidden="1" x14ac:dyDescent="0.25">
      <c r="A124" t="s">
        <v>98</v>
      </c>
      <c r="B124" t="s">
        <v>99</v>
      </c>
      <c r="D124" t="s">
        <v>100</v>
      </c>
      <c r="E124" t="s">
        <v>284</v>
      </c>
      <c r="F124" t="s">
        <v>365</v>
      </c>
      <c r="G124" t="s">
        <v>112</v>
      </c>
      <c r="H124" t="s">
        <v>104</v>
      </c>
      <c r="I124">
        <v>2029</v>
      </c>
      <c r="J124" t="s">
        <v>396</v>
      </c>
      <c r="K124" t="s">
        <v>106</v>
      </c>
      <c r="L124" t="s">
        <v>287</v>
      </c>
      <c r="M124" t="s">
        <v>397</v>
      </c>
      <c r="N124">
        <v>1</v>
      </c>
      <c r="O124">
        <v>2029</v>
      </c>
      <c r="P124">
        <v>43.733464606512037</v>
      </c>
      <c r="Q124">
        <v>2.4042644647868401</v>
      </c>
      <c r="R124" t="s">
        <v>289</v>
      </c>
      <c r="S124">
        <v>130.6177318295739</v>
      </c>
      <c r="T124" t="s">
        <v>290</v>
      </c>
      <c r="U124">
        <v>130.6177318295739</v>
      </c>
      <c r="V124">
        <v>43.733464606512037</v>
      </c>
      <c r="W124">
        <v>2.4042644647868401</v>
      </c>
      <c r="X124" t="s">
        <v>291</v>
      </c>
      <c r="Y124">
        <v>10</v>
      </c>
      <c r="Z124">
        <v>0.35682680185771348</v>
      </c>
      <c r="AA124">
        <v>1</v>
      </c>
    </row>
    <row r="125" spans="1:27" hidden="1" x14ac:dyDescent="0.25">
      <c r="A125" t="s">
        <v>98</v>
      </c>
      <c r="B125" t="s">
        <v>99</v>
      </c>
      <c r="D125" t="s">
        <v>100</v>
      </c>
      <c r="E125" t="s">
        <v>284</v>
      </c>
      <c r="F125" t="s">
        <v>355</v>
      </c>
      <c r="G125" t="s">
        <v>103</v>
      </c>
      <c r="H125" t="s">
        <v>104</v>
      </c>
      <c r="I125">
        <v>2030</v>
      </c>
      <c r="J125" t="s">
        <v>398</v>
      </c>
      <c r="K125" t="s">
        <v>106</v>
      </c>
      <c r="L125" t="s">
        <v>287</v>
      </c>
      <c r="M125" t="s">
        <v>399</v>
      </c>
      <c r="N125">
        <v>1</v>
      </c>
      <c r="O125">
        <v>2030</v>
      </c>
      <c r="P125">
        <v>22.026606087295281</v>
      </c>
      <c r="Q125">
        <v>0.67594869632979349</v>
      </c>
      <c r="R125" t="s">
        <v>289</v>
      </c>
      <c r="S125">
        <v>87.209325187237212</v>
      </c>
      <c r="T125" t="s">
        <v>290</v>
      </c>
      <c r="U125">
        <v>87.209325187237212</v>
      </c>
      <c r="V125">
        <v>22.026606087295281</v>
      </c>
      <c r="W125">
        <v>0.67594869632979349</v>
      </c>
      <c r="X125" t="s">
        <v>291</v>
      </c>
      <c r="Y125">
        <v>10</v>
      </c>
      <c r="Z125">
        <v>0.35682680185771348</v>
      </c>
      <c r="AA125">
        <v>1</v>
      </c>
    </row>
    <row r="126" spans="1:27" hidden="1" x14ac:dyDescent="0.25">
      <c r="A126" t="s">
        <v>98</v>
      </c>
      <c r="B126" t="s">
        <v>99</v>
      </c>
      <c r="D126" t="s">
        <v>100</v>
      </c>
      <c r="E126" t="s">
        <v>284</v>
      </c>
      <c r="F126" t="s">
        <v>355</v>
      </c>
      <c r="G126" t="s">
        <v>112</v>
      </c>
      <c r="H126" t="s">
        <v>104</v>
      </c>
      <c r="I126">
        <v>2030</v>
      </c>
      <c r="J126" t="s">
        <v>400</v>
      </c>
      <c r="K126" t="s">
        <v>106</v>
      </c>
      <c r="L126" t="s">
        <v>287</v>
      </c>
      <c r="M126" t="s">
        <v>401</v>
      </c>
      <c r="N126">
        <v>1</v>
      </c>
      <c r="O126">
        <v>2030</v>
      </c>
      <c r="P126">
        <v>23.051216439564651</v>
      </c>
      <c r="Q126">
        <v>0.88782640486853737</v>
      </c>
      <c r="R126" t="s">
        <v>289</v>
      </c>
      <c r="S126">
        <v>87.494679062376832</v>
      </c>
      <c r="T126" t="s">
        <v>290</v>
      </c>
      <c r="U126">
        <v>87.494679062376832</v>
      </c>
      <c r="V126">
        <v>23.051216439564651</v>
      </c>
      <c r="W126">
        <v>0.88782640486853737</v>
      </c>
      <c r="X126" t="s">
        <v>291</v>
      </c>
      <c r="Y126">
        <v>10</v>
      </c>
      <c r="Z126">
        <v>0.35682680185771348</v>
      </c>
      <c r="AA126">
        <v>1</v>
      </c>
    </row>
    <row r="127" spans="1:27" hidden="1" x14ac:dyDescent="0.25">
      <c r="A127" t="s">
        <v>98</v>
      </c>
      <c r="B127" t="s">
        <v>99</v>
      </c>
      <c r="D127" t="s">
        <v>100</v>
      </c>
      <c r="E127" t="s">
        <v>284</v>
      </c>
      <c r="F127" t="s">
        <v>360</v>
      </c>
      <c r="G127" t="s">
        <v>103</v>
      </c>
      <c r="H127" t="s">
        <v>104</v>
      </c>
      <c r="I127">
        <v>2030</v>
      </c>
      <c r="J127" t="s">
        <v>402</v>
      </c>
      <c r="K127" t="s">
        <v>106</v>
      </c>
      <c r="L127" t="s">
        <v>287</v>
      </c>
      <c r="M127" t="s">
        <v>403</v>
      </c>
      <c r="N127">
        <v>1</v>
      </c>
      <c r="O127">
        <v>2030</v>
      </c>
      <c r="P127">
        <v>32.03338343675982</v>
      </c>
      <c r="Q127">
        <v>0.74367453538487105</v>
      </c>
      <c r="R127" t="s">
        <v>289</v>
      </c>
      <c r="S127">
        <v>80.816288888888892</v>
      </c>
      <c r="T127" t="s">
        <v>290</v>
      </c>
      <c r="U127">
        <v>80.816288888888892</v>
      </c>
      <c r="V127">
        <v>32.03338343675982</v>
      </c>
      <c r="W127">
        <v>0.74367453538487105</v>
      </c>
      <c r="X127" t="s">
        <v>291</v>
      </c>
      <c r="Y127">
        <v>10</v>
      </c>
      <c r="Z127">
        <v>0.35682680185771348</v>
      </c>
      <c r="AA127">
        <v>1</v>
      </c>
    </row>
    <row r="128" spans="1:27" hidden="1" x14ac:dyDescent="0.25">
      <c r="A128" t="s">
        <v>98</v>
      </c>
      <c r="B128" t="s">
        <v>99</v>
      </c>
      <c r="D128" t="s">
        <v>100</v>
      </c>
      <c r="E128" t="s">
        <v>284</v>
      </c>
      <c r="F128" t="s">
        <v>360</v>
      </c>
      <c r="G128" t="s">
        <v>112</v>
      </c>
      <c r="H128" t="s">
        <v>104</v>
      </c>
      <c r="I128">
        <v>2030</v>
      </c>
      <c r="J128" t="s">
        <v>404</v>
      </c>
      <c r="K128" t="s">
        <v>106</v>
      </c>
      <c r="L128" t="s">
        <v>287</v>
      </c>
      <c r="M128" t="s">
        <v>405</v>
      </c>
      <c r="N128">
        <v>1</v>
      </c>
      <c r="O128">
        <v>2030</v>
      </c>
      <c r="P128">
        <v>30.04097222030375</v>
      </c>
      <c r="Q128">
        <v>1.0503155304453009</v>
      </c>
      <c r="R128" t="s">
        <v>289</v>
      </c>
      <c r="S128">
        <v>90.329273504273502</v>
      </c>
      <c r="T128" t="s">
        <v>290</v>
      </c>
      <c r="U128">
        <v>90.329273504273502</v>
      </c>
      <c r="V128">
        <v>30.04097222030375</v>
      </c>
      <c r="W128">
        <v>1.0503155304453009</v>
      </c>
      <c r="X128" t="s">
        <v>291</v>
      </c>
      <c r="Y128">
        <v>10</v>
      </c>
      <c r="Z128">
        <v>0.35682680185771348</v>
      </c>
      <c r="AA128">
        <v>1</v>
      </c>
    </row>
    <row r="129" spans="1:27" hidden="1" x14ac:dyDescent="0.25">
      <c r="A129" t="s">
        <v>98</v>
      </c>
      <c r="B129" t="s">
        <v>99</v>
      </c>
      <c r="D129" t="s">
        <v>100</v>
      </c>
      <c r="E129" t="s">
        <v>284</v>
      </c>
      <c r="F129" t="s">
        <v>365</v>
      </c>
      <c r="G129" t="s">
        <v>103</v>
      </c>
      <c r="H129" t="s">
        <v>104</v>
      </c>
      <c r="I129">
        <v>2030</v>
      </c>
      <c r="J129" t="s">
        <v>406</v>
      </c>
      <c r="K129" t="s">
        <v>106</v>
      </c>
      <c r="L129" t="s">
        <v>287</v>
      </c>
      <c r="M129" t="s">
        <v>407</v>
      </c>
      <c r="N129">
        <v>1</v>
      </c>
      <c r="O129">
        <v>2030</v>
      </c>
      <c r="P129">
        <v>23.710775767327672</v>
      </c>
      <c r="Q129">
        <v>1.668845649337886</v>
      </c>
      <c r="R129" t="s">
        <v>289</v>
      </c>
      <c r="S129">
        <v>154.72558108377279</v>
      </c>
      <c r="T129" t="s">
        <v>290</v>
      </c>
      <c r="U129">
        <v>154.72558108377279</v>
      </c>
      <c r="V129">
        <v>23.710775767327672</v>
      </c>
      <c r="W129">
        <v>1.668845649337886</v>
      </c>
      <c r="X129" t="s">
        <v>291</v>
      </c>
      <c r="Y129">
        <v>10</v>
      </c>
      <c r="Z129">
        <v>0.35682680185771348</v>
      </c>
      <c r="AA129">
        <v>1</v>
      </c>
    </row>
    <row r="130" spans="1:27" hidden="1" x14ac:dyDescent="0.25">
      <c r="A130" t="s">
        <v>98</v>
      </c>
      <c r="B130" t="s">
        <v>99</v>
      </c>
      <c r="D130" t="s">
        <v>100</v>
      </c>
      <c r="E130" t="s">
        <v>284</v>
      </c>
      <c r="F130" t="s">
        <v>365</v>
      </c>
      <c r="G130" t="s">
        <v>112</v>
      </c>
      <c r="H130" t="s">
        <v>104</v>
      </c>
      <c r="I130">
        <v>2030</v>
      </c>
      <c r="J130" t="s">
        <v>408</v>
      </c>
      <c r="K130" t="s">
        <v>106</v>
      </c>
      <c r="L130" t="s">
        <v>287</v>
      </c>
      <c r="M130" t="s">
        <v>409</v>
      </c>
      <c r="N130">
        <v>1</v>
      </c>
      <c r="O130">
        <v>2030</v>
      </c>
      <c r="P130">
        <v>28.858905605402359</v>
      </c>
      <c r="Q130">
        <v>2.128664396371156</v>
      </c>
      <c r="R130" t="s">
        <v>289</v>
      </c>
      <c r="S130">
        <v>176.3746647164572</v>
      </c>
      <c r="T130" t="s">
        <v>290</v>
      </c>
      <c r="U130">
        <v>176.3746647164572</v>
      </c>
      <c r="V130">
        <v>28.858905605402359</v>
      </c>
      <c r="W130">
        <v>2.128664396371156</v>
      </c>
      <c r="X130" t="s">
        <v>291</v>
      </c>
      <c r="Y130">
        <v>10</v>
      </c>
      <c r="Z130">
        <v>0.35682680185771348</v>
      </c>
      <c r="AA130">
        <v>1</v>
      </c>
    </row>
    <row r="131" spans="1:27" hidden="1" x14ac:dyDescent="0.25">
      <c r="A131" t="s">
        <v>98</v>
      </c>
      <c r="B131" t="s">
        <v>99</v>
      </c>
      <c r="D131" t="s">
        <v>100</v>
      </c>
      <c r="E131" t="s">
        <v>284</v>
      </c>
      <c r="F131" t="s">
        <v>355</v>
      </c>
      <c r="G131" t="s">
        <v>103</v>
      </c>
      <c r="H131" t="s">
        <v>104</v>
      </c>
      <c r="I131">
        <v>2040</v>
      </c>
      <c r="J131" t="s">
        <v>410</v>
      </c>
      <c r="K131" t="s">
        <v>106</v>
      </c>
      <c r="L131" t="s">
        <v>287</v>
      </c>
      <c r="M131" t="s">
        <v>411</v>
      </c>
      <c r="N131">
        <v>1</v>
      </c>
      <c r="O131">
        <v>2040</v>
      </c>
      <c r="P131">
        <v>22.159986853322259</v>
      </c>
      <c r="Q131">
        <v>0.64769049265200085</v>
      </c>
      <c r="R131" t="s">
        <v>289</v>
      </c>
      <c r="S131">
        <v>85.846844985289152</v>
      </c>
      <c r="T131" t="s">
        <v>290</v>
      </c>
      <c r="U131">
        <v>85.846844985289152</v>
      </c>
      <c r="V131">
        <v>22.159986853322259</v>
      </c>
      <c r="W131">
        <v>0.64769049265200085</v>
      </c>
      <c r="X131" t="s">
        <v>291</v>
      </c>
      <c r="Y131">
        <v>10</v>
      </c>
      <c r="Z131">
        <v>0.35682680185771348</v>
      </c>
      <c r="AA131">
        <v>1</v>
      </c>
    </row>
    <row r="132" spans="1:27" hidden="1" x14ac:dyDescent="0.25">
      <c r="A132" t="s">
        <v>98</v>
      </c>
      <c r="B132" t="s">
        <v>99</v>
      </c>
      <c r="D132" t="s">
        <v>100</v>
      </c>
      <c r="E132" t="s">
        <v>284</v>
      </c>
      <c r="F132" t="s">
        <v>355</v>
      </c>
      <c r="G132" t="s">
        <v>112</v>
      </c>
      <c r="H132" t="s">
        <v>104</v>
      </c>
      <c r="I132">
        <v>2040</v>
      </c>
      <c r="J132" t="s">
        <v>412</v>
      </c>
      <c r="K132" t="s">
        <v>106</v>
      </c>
      <c r="L132" t="s">
        <v>287</v>
      </c>
      <c r="M132" t="s">
        <v>413</v>
      </c>
      <c r="N132">
        <v>1</v>
      </c>
      <c r="O132">
        <v>2040</v>
      </c>
      <c r="P132">
        <v>22.287209700822071</v>
      </c>
      <c r="Q132">
        <v>0.78348370867951755</v>
      </c>
      <c r="R132" t="s">
        <v>289</v>
      </c>
      <c r="S132">
        <v>88.372750377742747</v>
      </c>
      <c r="T132" t="s">
        <v>290</v>
      </c>
      <c r="U132">
        <v>88.372750377742747</v>
      </c>
      <c r="V132">
        <v>22.287209700822071</v>
      </c>
      <c r="W132">
        <v>0.78348370867951755</v>
      </c>
      <c r="X132" t="s">
        <v>291</v>
      </c>
      <c r="Y132">
        <v>10</v>
      </c>
      <c r="Z132">
        <v>0.35682680185771348</v>
      </c>
      <c r="AA132">
        <v>1</v>
      </c>
    </row>
    <row r="133" spans="1:27" hidden="1" x14ac:dyDescent="0.25">
      <c r="A133" t="s">
        <v>98</v>
      </c>
      <c r="B133" t="s">
        <v>99</v>
      </c>
      <c r="D133" t="s">
        <v>100</v>
      </c>
      <c r="E133" t="s">
        <v>284</v>
      </c>
      <c r="F133" t="s">
        <v>360</v>
      </c>
      <c r="G133" t="s">
        <v>103</v>
      </c>
      <c r="H133" t="s">
        <v>104</v>
      </c>
      <c r="I133">
        <v>2040</v>
      </c>
      <c r="J133" t="s">
        <v>414</v>
      </c>
      <c r="K133" t="s">
        <v>106</v>
      </c>
      <c r="L133" t="s">
        <v>287</v>
      </c>
      <c r="M133" t="s">
        <v>415</v>
      </c>
      <c r="N133">
        <v>1</v>
      </c>
      <c r="O133">
        <v>2040</v>
      </c>
      <c r="P133">
        <v>28.721945226708339</v>
      </c>
      <c r="Q133">
        <v>0.72978219131721256</v>
      </c>
      <c r="R133" t="s">
        <v>289</v>
      </c>
      <c r="S133">
        <v>80.816288888888892</v>
      </c>
      <c r="T133" t="s">
        <v>290</v>
      </c>
      <c r="U133">
        <v>80.816288888888892</v>
      </c>
      <c r="V133">
        <v>28.721945226708339</v>
      </c>
      <c r="W133">
        <v>0.72978219131721256</v>
      </c>
      <c r="X133" t="s">
        <v>291</v>
      </c>
      <c r="Y133">
        <v>10</v>
      </c>
      <c r="Z133">
        <v>0.35682680185771348</v>
      </c>
      <c r="AA133">
        <v>1</v>
      </c>
    </row>
    <row r="134" spans="1:27" hidden="1" x14ac:dyDescent="0.25">
      <c r="A134" t="s">
        <v>98</v>
      </c>
      <c r="B134" t="s">
        <v>99</v>
      </c>
      <c r="D134" t="s">
        <v>100</v>
      </c>
      <c r="E134" t="s">
        <v>284</v>
      </c>
      <c r="F134" t="s">
        <v>360</v>
      </c>
      <c r="G134" t="s">
        <v>112</v>
      </c>
      <c r="H134" t="s">
        <v>104</v>
      </c>
      <c r="I134">
        <v>2040</v>
      </c>
      <c r="J134" t="s">
        <v>416</v>
      </c>
      <c r="K134" t="s">
        <v>106</v>
      </c>
      <c r="L134" t="s">
        <v>287</v>
      </c>
      <c r="M134" t="s">
        <v>417</v>
      </c>
      <c r="N134">
        <v>1</v>
      </c>
      <c r="O134">
        <v>2040</v>
      </c>
      <c r="P134">
        <v>33.197275628385512</v>
      </c>
      <c r="Q134">
        <v>1.1034319170477349</v>
      </c>
      <c r="R134" t="s">
        <v>289</v>
      </c>
      <c r="S134">
        <v>93.34643874643875</v>
      </c>
      <c r="T134" t="s">
        <v>290</v>
      </c>
      <c r="U134">
        <v>93.34643874643875</v>
      </c>
      <c r="V134">
        <v>33.197275628385512</v>
      </c>
      <c r="W134">
        <v>1.1034319170477349</v>
      </c>
      <c r="X134" t="s">
        <v>291</v>
      </c>
      <c r="Y134">
        <v>10</v>
      </c>
      <c r="Z134">
        <v>0.35682680185771348</v>
      </c>
      <c r="AA134">
        <v>1</v>
      </c>
    </row>
    <row r="135" spans="1:27" hidden="1" x14ac:dyDescent="0.25">
      <c r="A135" t="s">
        <v>98</v>
      </c>
      <c r="B135" t="s">
        <v>99</v>
      </c>
      <c r="D135" t="s">
        <v>100</v>
      </c>
      <c r="E135" t="s">
        <v>284</v>
      </c>
      <c r="F135" t="s">
        <v>365</v>
      </c>
      <c r="G135" t="s">
        <v>103</v>
      </c>
      <c r="H135" t="s">
        <v>104</v>
      </c>
      <c r="I135">
        <v>2040</v>
      </c>
      <c r="J135" t="s">
        <v>418</v>
      </c>
      <c r="K135" t="s">
        <v>106</v>
      </c>
      <c r="L135" t="s">
        <v>287</v>
      </c>
      <c r="M135" t="s">
        <v>419</v>
      </c>
      <c r="N135">
        <v>1</v>
      </c>
      <c r="O135">
        <v>2040</v>
      </c>
      <c r="P135">
        <v>22.333975775561878</v>
      </c>
      <c r="Q135">
        <v>1.552983156443519</v>
      </c>
      <c r="R135" t="s">
        <v>289</v>
      </c>
      <c r="S135">
        <v>181.1420784222461</v>
      </c>
      <c r="T135" t="s">
        <v>290</v>
      </c>
      <c r="U135">
        <v>181.1420784222461</v>
      </c>
      <c r="V135">
        <v>22.333975775561878</v>
      </c>
      <c r="W135">
        <v>1.552983156443519</v>
      </c>
      <c r="X135" t="s">
        <v>291</v>
      </c>
      <c r="Y135">
        <v>10</v>
      </c>
      <c r="Z135">
        <v>0.35682680185771348</v>
      </c>
      <c r="AA135">
        <v>1</v>
      </c>
    </row>
    <row r="136" spans="1:27" hidden="1" x14ac:dyDescent="0.25">
      <c r="A136" t="s">
        <v>98</v>
      </c>
      <c r="B136" t="s">
        <v>99</v>
      </c>
      <c r="D136" t="s">
        <v>100</v>
      </c>
      <c r="E136" t="s">
        <v>284</v>
      </c>
      <c r="F136" t="s">
        <v>365</v>
      </c>
      <c r="G136" t="s">
        <v>112</v>
      </c>
      <c r="H136" t="s">
        <v>104</v>
      </c>
      <c r="I136">
        <v>2040</v>
      </c>
      <c r="J136" t="s">
        <v>420</v>
      </c>
      <c r="K136" t="s">
        <v>106</v>
      </c>
      <c r="L136" t="s">
        <v>287</v>
      </c>
      <c r="M136" t="s">
        <v>421</v>
      </c>
      <c r="N136">
        <v>1</v>
      </c>
      <c r="O136">
        <v>2040</v>
      </c>
      <c r="P136">
        <v>27.009726996743201</v>
      </c>
      <c r="Q136">
        <v>1.971842815426603</v>
      </c>
      <c r="R136" t="s">
        <v>289</v>
      </c>
      <c r="S136">
        <v>206.50467814395611</v>
      </c>
      <c r="T136" t="s">
        <v>290</v>
      </c>
      <c r="U136">
        <v>206.50467814395611</v>
      </c>
      <c r="V136">
        <v>27.009726996743201</v>
      </c>
      <c r="W136">
        <v>1.971842815426603</v>
      </c>
      <c r="X136" t="s">
        <v>291</v>
      </c>
      <c r="Y136">
        <v>10</v>
      </c>
      <c r="Z136">
        <v>0.35682680185771348</v>
      </c>
      <c r="AA136">
        <v>1</v>
      </c>
    </row>
    <row r="137" spans="1:27" hidden="1" x14ac:dyDescent="0.25">
      <c r="A137" t="s">
        <v>98</v>
      </c>
      <c r="B137" t="s">
        <v>99</v>
      </c>
      <c r="D137" t="s">
        <v>100</v>
      </c>
      <c r="E137" t="s">
        <v>284</v>
      </c>
      <c r="F137" t="s">
        <v>422</v>
      </c>
      <c r="G137" t="s">
        <v>103</v>
      </c>
      <c r="H137" t="s">
        <v>104</v>
      </c>
      <c r="I137">
        <v>2022</v>
      </c>
      <c r="J137" t="s">
        <v>423</v>
      </c>
      <c r="K137" t="s">
        <v>106</v>
      </c>
      <c r="L137" t="s">
        <v>287</v>
      </c>
      <c r="M137" t="s">
        <v>424</v>
      </c>
      <c r="N137">
        <v>1</v>
      </c>
      <c r="O137">
        <v>2020</v>
      </c>
      <c r="P137">
        <v>22.570490905245428</v>
      </c>
      <c r="Q137">
        <v>0.77947598919167282</v>
      </c>
      <c r="R137" t="s">
        <v>289</v>
      </c>
      <c r="S137">
        <v>59.465873015873022</v>
      </c>
      <c r="T137" t="s">
        <v>290</v>
      </c>
      <c r="U137">
        <v>59.465873015873022</v>
      </c>
      <c r="V137">
        <v>22.570490905245428</v>
      </c>
      <c r="W137">
        <v>0.77947598919167282</v>
      </c>
      <c r="X137" t="s">
        <v>291</v>
      </c>
      <c r="Y137">
        <v>10</v>
      </c>
      <c r="Z137">
        <v>0.35682680185771348</v>
      </c>
      <c r="AA137">
        <v>1</v>
      </c>
    </row>
    <row r="138" spans="1:27" hidden="1" x14ac:dyDescent="0.25">
      <c r="A138" t="s">
        <v>98</v>
      </c>
      <c r="B138" t="s">
        <v>99</v>
      </c>
      <c r="D138" t="s">
        <v>100</v>
      </c>
      <c r="E138" t="s">
        <v>284</v>
      </c>
      <c r="F138" t="s">
        <v>425</v>
      </c>
      <c r="G138" t="s">
        <v>103</v>
      </c>
      <c r="H138" t="s">
        <v>104</v>
      </c>
      <c r="I138">
        <v>2022</v>
      </c>
      <c r="J138" t="s">
        <v>426</v>
      </c>
      <c r="K138" t="s">
        <v>106</v>
      </c>
      <c r="L138" t="s">
        <v>287</v>
      </c>
      <c r="M138" t="s">
        <v>427</v>
      </c>
      <c r="N138">
        <v>1</v>
      </c>
      <c r="O138">
        <v>2020</v>
      </c>
      <c r="P138">
        <v>20.699165146358741</v>
      </c>
      <c r="Q138">
        <v>1.111231451610436</v>
      </c>
      <c r="R138" t="s">
        <v>289</v>
      </c>
      <c r="S138">
        <v>74.054444444444442</v>
      </c>
      <c r="T138" t="s">
        <v>290</v>
      </c>
      <c r="U138">
        <v>74.054444444444442</v>
      </c>
      <c r="V138">
        <v>20.699165146358741</v>
      </c>
      <c r="W138">
        <v>1.111231451610436</v>
      </c>
      <c r="X138" t="s">
        <v>291</v>
      </c>
      <c r="Y138">
        <v>10</v>
      </c>
      <c r="Z138">
        <v>0.35682680185771348</v>
      </c>
      <c r="AA138">
        <v>1</v>
      </c>
    </row>
    <row r="139" spans="1:27" hidden="1" x14ac:dyDescent="0.25">
      <c r="A139" t="s">
        <v>98</v>
      </c>
      <c r="B139" t="s">
        <v>99</v>
      </c>
      <c r="D139" t="s">
        <v>100</v>
      </c>
      <c r="E139" t="s">
        <v>284</v>
      </c>
      <c r="F139" t="s">
        <v>428</v>
      </c>
      <c r="G139" t="s">
        <v>103</v>
      </c>
      <c r="H139" t="s">
        <v>104</v>
      </c>
      <c r="I139">
        <v>2022</v>
      </c>
      <c r="J139" t="s">
        <v>429</v>
      </c>
      <c r="K139" t="s">
        <v>106</v>
      </c>
      <c r="L139" t="s">
        <v>287</v>
      </c>
      <c r="M139" t="s">
        <v>430</v>
      </c>
      <c r="N139">
        <v>1</v>
      </c>
      <c r="O139">
        <v>2020</v>
      </c>
      <c r="P139">
        <v>25.347672779313449</v>
      </c>
      <c r="Q139">
        <v>0.56400508525842741</v>
      </c>
      <c r="R139" t="s">
        <v>289</v>
      </c>
      <c r="S139">
        <v>77.810944444444459</v>
      </c>
      <c r="T139" t="s">
        <v>290</v>
      </c>
      <c r="U139">
        <v>77.810944444444459</v>
      </c>
      <c r="V139">
        <v>25.347672779313449</v>
      </c>
      <c r="W139">
        <v>0.56400508525842741</v>
      </c>
      <c r="X139" t="s">
        <v>291</v>
      </c>
      <c r="Y139">
        <v>10</v>
      </c>
      <c r="Z139">
        <v>0.35682680185771348</v>
      </c>
      <c r="AA139">
        <v>1</v>
      </c>
    </row>
    <row r="140" spans="1:27" hidden="1" x14ac:dyDescent="0.25">
      <c r="A140" t="s">
        <v>98</v>
      </c>
      <c r="B140" t="s">
        <v>99</v>
      </c>
      <c r="D140" t="s">
        <v>100</v>
      </c>
      <c r="E140" t="s">
        <v>284</v>
      </c>
      <c r="F140" t="s">
        <v>425</v>
      </c>
      <c r="G140" t="s">
        <v>103</v>
      </c>
      <c r="H140" t="s">
        <v>104</v>
      </c>
      <c r="I140">
        <v>2030</v>
      </c>
      <c r="J140" t="s">
        <v>431</v>
      </c>
      <c r="K140" t="s">
        <v>106</v>
      </c>
      <c r="L140" t="s">
        <v>287</v>
      </c>
      <c r="M140" t="s">
        <v>432</v>
      </c>
      <c r="N140">
        <v>1</v>
      </c>
      <c r="O140">
        <v>2030</v>
      </c>
      <c r="P140">
        <v>20.230705085538521</v>
      </c>
      <c r="Q140">
        <v>1.0951903363739519</v>
      </c>
      <c r="R140" t="s">
        <v>289</v>
      </c>
      <c r="S140">
        <v>79.81</v>
      </c>
      <c r="T140" t="s">
        <v>290</v>
      </c>
      <c r="U140">
        <v>79.81</v>
      </c>
      <c r="V140">
        <v>20.230705085538521</v>
      </c>
      <c r="W140">
        <v>1.0951903363739519</v>
      </c>
      <c r="X140" t="s">
        <v>291</v>
      </c>
      <c r="Y140">
        <v>10</v>
      </c>
      <c r="Z140">
        <v>0.35682680185771348</v>
      </c>
      <c r="AA140">
        <v>1</v>
      </c>
    </row>
    <row r="141" spans="1:27" hidden="1" x14ac:dyDescent="0.25">
      <c r="A141" t="s">
        <v>98</v>
      </c>
      <c r="B141" t="s">
        <v>99</v>
      </c>
      <c r="D141" t="s">
        <v>100</v>
      </c>
      <c r="E141" t="s">
        <v>284</v>
      </c>
      <c r="F141" t="s">
        <v>428</v>
      </c>
      <c r="G141" t="s">
        <v>103</v>
      </c>
      <c r="H141" t="s">
        <v>104</v>
      </c>
      <c r="I141">
        <v>2030</v>
      </c>
      <c r="J141" t="s">
        <v>433</v>
      </c>
      <c r="K141" t="s">
        <v>106</v>
      </c>
      <c r="L141" t="s">
        <v>287</v>
      </c>
      <c r="M141" t="s">
        <v>434</v>
      </c>
      <c r="N141">
        <v>1</v>
      </c>
      <c r="O141">
        <v>2030</v>
      </c>
      <c r="P141">
        <v>24.67049407605251</v>
      </c>
      <c r="Q141">
        <v>0.55731249361340607</v>
      </c>
      <c r="R141" t="s">
        <v>289</v>
      </c>
      <c r="S141">
        <v>84.367500000000007</v>
      </c>
      <c r="T141" t="s">
        <v>290</v>
      </c>
      <c r="U141">
        <v>84.367500000000007</v>
      </c>
      <c r="V141">
        <v>24.67049407605251</v>
      </c>
      <c r="W141">
        <v>0.55731249361340607</v>
      </c>
      <c r="X141" t="s">
        <v>291</v>
      </c>
      <c r="Y141">
        <v>10</v>
      </c>
      <c r="Z141">
        <v>0.35682680185771348</v>
      </c>
      <c r="AA141">
        <v>1</v>
      </c>
    </row>
    <row r="142" spans="1:27" hidden="1" x14ac:dyDescent="0.25">
      <c r="A142" t="s">
        <v>98</v>
      </c>
      <c r="B142" t="s">
        <v>99</v>
      </c>
      <c r="D142" t="s">
        <v>100</v>
      </c>
      <c r="E142" t="s">
        <v>284</v>
      </c>
      <c r="F142" t="s">
        <v>425</v>
      </c>
      <c r="G142" t="s">
        <v>103</v>
      </c>
      <c r="H142" t="s">
        <v>104</v>
      </c>
      <c r="I142">
        <v>2040</v>
      </c>
      <c r="J142" t="s">
        <v>435</v>
      </c>
      <c r="K142" t="s">
        <v>106</v>
      </c>
      <c r="L142" t="s">
        <v>287</v>
      </c>
      <c r="M142" t="s">
        <v>436</v>
      </c>
      <c r="N142">
        <v>1</v>
      </c>
      <c r="O142">
        <v>2040</v>
      </c>
      <c r="P142">
        <v>19.670938877469698</v>
      </c>
      <c r="Q142">
        <v>1.076022695415618</v>
      </c>
      <c r="R142" t="s">
        <v>289</v>
      </c>
      <c r="S142">
        <v>79.81</v>
      </c>
      <c r="T142" t="s">
        <v>290</v>
      </c>
      <c r="U142">
        <v>79.81</v>
      </c>
      <c r="V142">
        <v>19.670938877469698</v>
      </c>
      <c r="W142">
        <v>1.076022695415618</v>
      </c>
      <c r="X142" t="s">
        <v>291</v>
      </c>
      <c r="Y142">
        <v>10</v>
      </c>
      <c r="Z142">
        <v>0.35682680185771348</v>
      </c>
      <c r="AA142">
        <v>1</v>
      </c>
    </row>
    <row r="143" spans="1:27" hidden="1" x14ac:dyDescent="0.25">
      <c r="A143" t="s">
        <v>98</v>
      </c>
      <c r="B143" t="s">
        <v>99</v>
      </c>
      <c r="D143" t="s">
        <v>100</v>
      </c>
      <c r="E143" t="s">
        <v>284</v>
      </c>
      <c r="F143" t="s">
        <v>428</v>
      </c>
      <c r="G143" t="s">
        <v>103</v>
      </c>
      <c r="H143" t="s">
        <v>104</v>
      </c>
      <c r="I143">
        <v>2040</v>
      </c>
      <c r="J143" t="s">
        <v>437</v>
      </c>
      <c r="K143" t="s">
        <v>106</v>
      </c>
      <c r="L143" t="s">
        <v>287</v>
      </c>
      <c r="M143" t="s">
        <v>438</v>
      </c>
      <c r="N143">
        <v>1</v>
      </c>
      <c r="O143">
        <v>2040</v>
      </c>
      <c r="P143">
        <v>23.861328500132039</v>
      </c>
      <c r="Q143">
        <v>0.54931546897756556</v>
      </c>
      <c r="R143" t="s">
        <v>289</v>
      </c>
      <c r="S143">
        <v>84.367500000000007</v>
      </c>
      <c r="T143" t="s">
        <v>290</v>
      </c>
      <c r="U143">
        <v>84.367500000000007</v>
      </c>
      <c r="V143">
        <v>23.861328500132039</v>
      </c>
      <c r="W143">
        <v>0.54931546897756556</v>
      </c>
      <c r="X143" t="s">
        <v>291</v>
      </c>
      <c r="Y143">
        <v>10</v>
      </c>
      <c r="Z143">
        <v>0.35682680185771348</v>
      </c>
      <c r="AA143">
        <v>1</v>
      </c>
    </row>
    <row r="144" spans="1:27" hidden="1" x14ac:dyDescent="0.25">
      <c r="A144" t="s">
        <v>98</v>
      </c>
      <c r="B144" t="s">
        <v>99</v>
      </c>
      <c r="D144" t="s">
        <v>100</v>
      </c>
      <c r="E144" t="s">
        <v>439</v>
      </c>
      <c r="F144" t="s">
        <v>440</v>
      </c>
      <c r="G144" t="s">
        <v>245</v>
      </c>
      <c r="H144" t="s">
        <v>104</v>
      </c>
      <c r="I144">
        <v>2022</v>
      </c>
      <c r="J144" t="s">
        <v>441</v>
      </c>
      <c r="K144" t="s">
        <v>106</v>
      </c>
      <c r="L144" t="s">
        <v>442</v>
      </c>
      <c r="M144" t="s">
        <v>443</v>
      </c>
      <c r="N144">
        <v>1</v>
      </c>
      <c r="O144">
        <v>2020</v>
      </c>
      <c r="P144">
        <v>831.12625331024003</v>
      </c>
      <c r="Q144">
        <v>84.323656568982784</v>
      </c>
      <c r="R144" t="s">
        <v>109</v>
      </c>
      <c r="S144">
        <v>2.8957310176295739</v>
      </c>
      <c r="T144" t="s">
        <v>110</v>
      </c>
      <c r="U144">
        <v>1</v>
      </c>
      <c r="V144">
        <v>8212.0648964814554</v>
      </c>
      <c r="W144">
        <v>833.17226148867417</v>
      </c>
      <c r="X144" t="s">
        <v>111</v>
      </c>
      <c r="Y144">
        <v>10</v>
      </c>
      <c r="Z144">
        <v>0.44</v>
      </c>
      <c r="AA144">
        <v>31.536000000000001</v>
      </c>
    </row>
    <row r="145" spans="1:27" hidden="1" x14ac:dyDescent="0.25">
      <c r="A145" t="s">
        <v>98</v>
      </c>
      <c r="B145" t="s">
        <v>99</v>
      </c>
      <c r="D145" t="s">
        <v>100</v>
      </c>
      <c r="E145" t="s">
        <v>439</v>
      </c>
      <c r="F145" t="s">
        <v>440</v>
      </c>
      <c r="G145" t="s">
        <v>103</v>
      </c>
      <c r="H145" t="s">
        <v>104</v>
      </c>
      <c r="I145">
        <v>2022</v>
      </c>
      <c r="J145" t="s">
        <v>444</v>
      </c>
      <c r="K145" t="s">
        <v>106</v>
      </c>
      <c r="L145" t="s">
        <v>442</v>
      </c>
      <c r="M145" t="s">
        <v>445</v>
      </c>
      <c r="N145">
        <v>1</v>
      </c>
      <c r="O145">
        <v>2020</v>
      </c>
      <c r="P145">
        <v>1031.6192027056411</v>
      </c>
      <c r="Q145">
        <v>84.323656568982784</v>
      </c>
      <c r="R145" t="s">
        <v>109</v>
      </c>
      <c r="S145">
        <v>3.1136892662683588</v>
      </c>
      <c r="T145" t="s">
        <v>110</v>
      </c>
      <c r="U145">
        <v>1.075268817204301</v>
      </c>
      <c r="V145">
        <v>10193.06490119123</v>
      </c>
      <c r="W145">
        <v>833.17226148867428</v>
      </c>
      <c r="X145" t="s">
        <v>111</v>
      </c>
      <c r="Y145">
        <v>10</v>
      </c>
      <c r="Z145">
        <v>0.44</v>
      </c>
      <c r="AA145">
        <v>31.536000000000001</v>
      </c>
    </row>
    <row r="146" spans="1:27" hidden="1" x14ac:dyDescent="0.25">
      <c r="A146" t="s">
        <v>98</v>
      </c>
      <c r="B146" t="s">
        <v>99</v>
      </c>
      <c r="D146" t="s">
        <v>100</v>
      </c>
      <c r="E146" t="s">
        <v>439</v>
      </c>
      <c r="F146" t="s">
        <v>440</v>
      </c>
      <c r="G146" t="s">
        <v>112</v>
      </c>
      <c r="H146" t="s">
        <v>104</v>
      </c>
      <c r="I146">
        <v>2022</v>
      </c>
      <c r="J146" t="s">
        <v>446</v>
      </c>
      <c r="K146" t="s">
        <v>106</v>
      </c>
      <c r="L146" t="s">
        <v>442</v>
      </c>
      <c r="M146" t="s">
        <v>447</v>
      </c>
      <c r="N146">
        <v>1</v>
      </c>
      <c r="O146">
        <v>2020</v>
      </c>
      <c r="P146">
        <v>1137.4723035050019</v>
      </c>
      <c r="Q146">
        <v>84.323656568982784</v>
      </c>
      <c r="R146" t="s">
        <v>109</v>
      </c>
      <c r="S146">
        <v>3.348052974482107</v>
      </c>
      <c r="T146" t="s">
        <v>110</v>
      </c>
      <c r="U146">
        <v>1.156203029251937</v>
      </c>
      <c r="V146">
        <v>11238.961995400419</v>
      </c>
      <c r="W146">
        <v>833.17226148867417</v>
      </c>
      <c r="X146" t="s">
        <v>111</v>
      </c>
      <c r="Y146">
        <v>10</v>
      </c>
      <c r="Z146">
        <v>0.44</v>
      </c>
      <c r="AA146">
        <v>31.536000000000001</v>
      </c>
    </row>
    <row r="147" spans="1:27" hidden="1" x14ac:dyDescent="0.25">
      <c r="A147" t="s">
        <v>98</v>
      </c>
      <c r="B147" t="s">
        <v>99</v>
      </c>
      <c r="D147" t="s">
        <v>100</v>
      </c>
      <c r="E147" t="s">
        <v>439</v>
      </c>
      <c r="F147" t="s">
        <v>440</v>
      </c>
      <c r="G147" t="s">
        <v>103</v>
      </c>
      <c r="H147" t="s">
        <v>104</v>
      </c>
      <c r="I147">
        <v>2030</v>
      </c>
      <c r="J147" t="s">
        <v>448</v>
      </c>
      <c r="K147" t="s">
        <v>106</v>
      </c>
      <c r="L147" t="s">
        <v>442</v>
      </c>
      <c r="M147" t="s">
        <v>449</v>
      </c>
      <c r="N147">
        <v>0</v>
      </c>
      <c r="O147">
        <v>2030</v>
      </c>
      <c r="P147">
        <v>1031.6192027056411</v>
      </c>
      <c r="Q147">
        <v>84.323656568982784</v>
      </c>
      <c r="R147" t="s">
        <v>109</v>
      </c>
      <c r="S147">
        <v>3.1136892662683588</v>
      </c>
      <c r="T147" t="s">
        <v>110</v>
      </c>
      <c r="U147">
        <v>1.075268817204301</v>
      </c>
      <c r="V147">
        <v>10193.06490119123</v>
      </c>
      <c r="W147">
        <v>833.17226148867428</v>
      </c>
      <c r="X147" t="s">
        <v>111</v>
      </c>
      <c r="Y147">
        <v>10</v>
      </c>
      <c r="Z147">
        <v>0.44</v>
      </c>
      <c r="AA147">
        <v>31.536000000000001</v>
      </c>
    </row>
    <row r="148" spans="1:27" hidden="1" x14ac:dyDescent="0.25">
      <c r="A148" t="s">
        <v>98</v>
      </c>
      <c r="B148" t="s">
        <v>99</v>
      </c>
      <c r="D148" t="s">
        <v>100</v>
      </c>
      <c r="E148" t="s">
        <v>439</v>
      </c>
      <c r="F148" t="s">
        <v>440</v>
      </c>
      <c r="G148" t="s">
        <v>112</v>
      </c>
      <c r="H148" t="s">
        <v>104</v>
      </c>
      <c r="I148">
        <v>2030</v>
      </c>
      <c r="J148" t="s">
        <v>450</v>
      </c>
      <c r="K148" t="s">
        <v>106</v>
      </c>
      <c r="L148" t="s">
        <v>442</v>
      </c>
      <c r="M148" t="s">
        <v>451</v>
      </c>
      <c r="N148">
        <v>0</v>
      </c>
      <c r="O148">
        <v>2030</v>
      </c>
      <c r="P148">
        <v>1137.4723035050019</v>
      </c>
      <c r="Q148">
        <v>84.323656568982784</v>
      </c>
      <c r="R148" t="s">
        <v>109</v>
      </c>
      <c r="S148">
        <v>3.348052974482107</v>
      </c>
      <c r="T148" t="s">
        <v>110</v>
      </c>
      <c r="U148">
        <v>1.156203029251937</v>
      </c>
      <c r="V148">
        <v>11238.961995400419</v>
      </c>
      <c r="W148">
        <v>833.17226148867417</v>
      </c>
      <c r="X148" t="s">
        <v>111</v>
      </c>
      <c r="Y148">
        <v>10</v>
      </c>
      <c r="Z148">
        <v>0.44</v>
      </c>
      <c r="AA148">
        <v>31.536000000000001</v>
      </c>
    </row>
    <row r="149" spans="1:27" hidden="1" x14ac:dyDescent="0.25">
      <c r="A149" t="s">
        <v>98</v>
      </c>
      <c r="B149" t="s">
        <v>99</v>
      </c>
      <c r="D149" t="s">
        <v>100</v>
      </c>
      <c r="E149" t="s">
        <v>439</v>
      </c>
      <c r="F149" t="s">
        <v>440</v>
      </c>
      <c r="G149" t="s">
        <v>103</v>
      </c>
      <c r="H149" t="s">
        <v>104</v>
      </c>
      <c r="I149">
        <v>2040</v>
      </c>
      <c r="J149" t="s">
        <v>452</v>
      </c>
      <c r="K149" t="s">
        <v>106</v>
      </c>
      <c r="L149" t="s">
        <v>442</v>
      </c>
      <c r="M149" t="s">
        <v>453</v>
      </c>
      <c r="N149">
        <v>0</v>
      </c>
      <c r="O149">
        <v>2040</v>
      </c>
      <c r="P149">
        <v>1031.6192027056411</v>
      </c>
      <c r="Q149">
        <v>84.323656568982784</v>
      </c>
      <c r="R149" t="s">
        <v>109</v>
      </c>
      <c r="S149">
        <v>3.1136892662683588</v>
      </c>
      <c r="T149" t="s">
        <v>110</v>
      </c>
      <c r="U149">
        <v>1.075268817204301</v>
      </c>
      <c r="V149">
        <v>10193.06490119123</v>
      </c>
      <c r="W149">
        <v>833.17226148867428</v>
      </c>
      <c r="X149" t="s">
        <v>111</v>
      </c>
      <c r="Y149">
        <v>10</v>
      </c>
      <c r="Z149">
        <v>0.44</v>
      </c>
      <c r="AA149">
        <v>31.536000000000001</v>
      </c>
    </row>
    <row r="150" spans="1:27" hidden="1" x14ac:dyDescent="0.25">
      <c r="A150" t="s">
        <v>98</v>
      </c>
      <c r="B150" t="s">
        <v>99</v>
      </c>
      <c r="D150" t="s">
        <v>100</v>
      </c>
      <c r="E150" t="s">
        <v>439</v>
      </c>
      <c r="F150" t="s">
        <v>440</v>
      </c>
      <c r="G150" t="s">
        <v>112</v>
      </c>
      <c r="H150" t="s">
        <v>104</v>
      </c>
      <c r="I150">
        <v>2040</v>
      </c>
      <c r="J150" t="s">
        <v>454</v>
      </c>
      <c r="K150" t="s">
        <v>106</v>
      </c>
      <c r="L150" t="s">
        <v>442</v>
      </c>
      <c r="M150" t="s">
        <v>455</v>
      </c>
      <c r="N150">
        <v>0</v>
      </c>
      <c r="O150">
        <v>2040</v>
      </c>
      <c r="P150">
        <v>1137.4723035050019</v>
      </c>
      <c r="Q150">
        <v>84.323656568982784</v>
      </c>
      <c r="R150" t="s">
        <v>109</v>
      </c>
      <c r="S150">
        <v>3.348052974482107</v>
      </c>
      <c r="T150" t="s">
        <v>110</v>
      </c>
      <c r="U150">
        <v>1.156203029251937</v>
      </c>
      <c r="V150">
        <v>11238.961995400419</v>
      </c>
      <c r="W150">
        <v>833.17226148867417</v>
      </c>
      <c r="X150" t="s">
        <v>111</v>
      </c>
      <c r="Y150">
        <v>10</v>
      </c>
      <c r="Z150">
        <v>0.44</v>
      </c>
      <c r="AA150">
        <v>31.536000000000001</v>
      </c>
    </row>
    <row r="151" spans="1:27" hidden="1" x14ac:dyDescent="0.25">
      <c r="A151" t="s">
        <v>98</v>
      </c>
      <c r="B151" t="s">
        <v>99</v>
      </c>
      <c r="D151" t="s">
        <v>100</v>
      </c>
      <c r="E151" t="s">
        <v>439</v>
      </c>
      <c r="F151" t="s">
        <v>440</v>
      </c>
      <c r="G151" t="s">
        <v>103</v>
      </c>
      <c r="H151" t="s">
        <v>104</v>
      </c>
      <c r="I151">
        <v>2050</v>
      </c>
      <c r="J151" t="s">
        <v>456</v>
      </c>
      <c r="K151" t="s">
        <v>106</v>
      </c>
      <c r="L151" t="s">
        <v>442</v>
      </c>
      <c r="M151" t="s">
        <v>457</v>
      </c>
      <c r="N151">
        <v>0</v>
      </c>
      <c r="O151">
        <v>2050</v>
      </c>
      <c r="P151">
        <v>1031.6192027056411</v>
      </c>
      <c r="Q151">
        <v>84.323656568982784</v>
      </c>
      <c r="R151" t="s">
        <v>109</v>
      </c>
      <c r="S151">
        <v>3.1136892662683588</v>
      </c>
      <c r="T151" t="s">
        <v>110</v>
      </c>
      <c r="U151">
        <v>1.075268817204301</v>
      </c>
      <c r="V151">
        <v>10193.06490119123</v>
      </c>
      <c r="W151">
        <v>833.17226148867428</v>
      </c>
      <c r="X151" t="s">
        <v>111</v>
      </c>
      <c r="Y151">
        <v>10</v>
      </c>
      <c r="Z151">
        <v>0.44</v>
      </c>
      <c r="AA151">
        <v>31.536000000000001</v>
      </c>
    </row>
    <row r="152" spans="1:27" hidden="1" x14ac:dyDescent="0.25">
      <c r="A152" t="s">
        <v>98</v>
      </c>
      <c r="B152" t="s">
        <v>99</v>
      </c>
      <c r="D152" t="s">
        <v>100</v>
      </c>
      <c r="E152" t="s">
        <v>439</v>
      </c>
      <c r="F152" t="s">
        <v>440</v>
      </c>
      <c r="G152" t="s">
        <v>112</v>
      </c>
      <c r="H152" t="s">
        <v>104</v>
      </c>
      <c r="I152">
        <v>2050</v>
      </c>
      <c r="J152" t="s">
        <v>458</v>
      </c>
      <c r="K152" t="s">
        <v>106</v>
      </c>
      <c r="L152" t="s">
        <v>442</v>
      </c>
      <c r="M152" t="s">
        <v>459</v>
      </c>
      <c r="N152">
        <v>0</v>
      </c>
      <c r="O152">
        <v>2050</v>
      </c>
      <c r="P152">
        <v>1137.4723035050019</v>
      </c>
      <c r="Q152">
        <v>84.323656568982784</v>
      </c>
      <c r="R152" t="s">
        <v>109</v>
      </c>
      <c r="S152">
        <v>3.348052974482107</v>
      </c>
      <c r="T152" t="s">
        <v>110</v>
      </c>
      <c r="U152">
        <v>1.156203029251937</v>
      </c>
      <c r="V152">
        <v>11238.961995400419</v>
      </c>
      <c r="W152">
        <v>833.17226148867417</v>
      </c>
      <c r="X152" t="s">
        <v>111</v>
      </c>
      <c r="Y152">
        <v>10</v>
      </c>
      <c r="Z152">
        <v>0.44</v>
      </c>
      <c r="AA152">
        <v>31.536000000000001</v>
      </c>
    </row>
    <row r="153" spans="1:27" hidden="1" x14ac:dyDescent="0.25">
      <c r="A153" t="s">
        <v>98</v>
      </c>
      <c r="B153" t="s">
        <v>99</v>
      </c>
      <c r="D153" t="s">
        <v>100</v>
      </c>
      <c r="E153" t="s">
        <v>439</v>
      </c>
      <c r="F153" t="s">
        <v>460</v>
      </c>
      <c r="G153" t="s">
        <v>245</v>
      </c>
      <c r="H153" t="s">
        <v>104</v>
      </c>
      <c r="I153">
        <v>2022</v>
      </c>
      <c r="J153" t="s">
        <v>461</v>
      </c>
      <c r="K153" t="s">
        <v>106</v>
      </c>
      <c r="L153" t="s">
        <v>442</v>
      </c>
      <c r="M153" t="s">
        <v>462</v>
      </c>
      <c r="N153">
        <v>1</v>
      </c>
      <c r="O153">
        <v>2020</v>
      </c>
      <c r="P153">
        <v>520.8323861248623</v>
      </c>
      <c r="Q153">
        <v>19.17492366827851</v>
      </c>
      <c r="R153" t="s">
        <v>109</v>
      </c>
      <c r="S153">
        <v>5.9841517746527506</v>
      </c>
      <c r="T153" t="s">
        <v>110</v>
      </c>
      <c r="U153">
        <v>2.066542692750287</v>
      </c>
      <c r="V153">
        <v>5146.1608125259299</v>
      </c>
      <c r="W153">
        <v>189.46064682931279</v>
      </c>
      <c r="X153" t="s">
        <v>111</v>
      </c>
      <c r="Y153">
        <v>10</v>
      </c>
      <c r="Z153">
        <v>0.44</v>
      </c>
      <c r="AA153">
        <v>31.536000000000001</v>
      </c>
    </row>
    <row r="154" spans="1:27" hidden="1" x14ac:dyDescent="0.25">
      <c r="A154" t="s">
        <v>98</v>
      </c>
      <c r="B154" t="s">
        <v>99</v>
      </c>
      <c r="D154" t="s">
        <v>100</v>
      </c>
      <c r="E154" t="s">
        <v>439</v>
      </c>
      <c r="F154" t="s">
        <v>460</v>
      </c>
      <c r="G154" t="s">
        <v>103</v>
      </c>
      <c r="H154" t="s">
        <v>104</v>
      </c>
      <c r="I154">
        <v>2022</v>
      </c>
      <c r="J154" t="s">
        <v>463</v>
      </c>
      <c r="K154" t="s">
        <v>106</v>
      </c>
      <c r="L154" t="s">
        <v>442</v>
      </c>
      <c r="M154" t="s">
        <v>464</v>
      </c>
      <c r="N154">
        <v>1</v>
      </c>
      <c r="O154">
        <v>2020</v>
      </c>
      <c r="P154">
        <v>619.22047419033993</v>
      </c>
      <c r="Q154">
        <v>19.17492366827851</v>
      </c>
      <c r="R154" t="s">
        <v>109</v>
      </c>
      <c r="S154">
        <v>6.5013006934499016</v>
      </c>
      <c r="T154" t="s">
        <v>110</v>
      </c>
      <c r="U154">
        <v>2.2451328020003118</v>
      </c>
      <c r="V154">
        <v>6118.2987530812006</v>
      </c>
      <c r="W154">
        <v>189.46064682931279</v>
      </c>
      <c r="X154" t="s">
        <v>111</v>
      </c>
      <c r="Y154">
        <v>10</v>
      </c>
      <c r="Z154">
        <v>0.44</v>
      </c>
      <c r="AA154">
        <v>31.536000000000001</v>
      </c>
    </row>
    <row r="155" spans="1:27" hidden="1" x14ac:dyDescent="0.25">
      <c r="A155" t="s">
        <v>98</v>
      </c>
      <c r="B155" t="s">
        <v>99</v>
      </c>
      <c r="D155" t="s">
        <v>100</v>
      </c>
      <c r="E155" t="s">
        <v>439</v>
      </c>
      <c r="F155" t="s">
        <v>460</v>
      </c>
      <c r="G155" t="s">
        <v>112</v>
      </c>
      <c r="H155" t="s">
        <v>104</v>
      </c>
      <c r="I155">
        <v>2022</v>
      </c>
      <c r="J155" t="s">
        <v>465</v>
      </c>
      <c r="K155" t="s">
        <v>106</v>
      </c>
      <c r="L155" t="s">
        <v>442</v>
      </c>
      <c r="M155" t="s">
        <v>466</v>
      </c>
      <c r="N155">
        <v>1</v>
      </c>
      <c r="O155">
        <v>2020</v>
      </c>
      <c r="P155">
        <v>717.59767919103297</v>
      </c>
      <c r="Q155">
        <v>19.17492366827851</v>
      </c>
      <c r="R155" t="s">
        <v>109</v>
      </c>
      <c r="S155">
        <v>7.1162885968843517</v>
      </c>
      <c r="T155" t="s">
        <v>110</v>
      </c>
      <c r="U155">
        <v>2.4575102292165578</v>
      </c>
      <c r="V155">
        <v>7090.3291619180018</v>
      </c>
      <c r="W155">
        <v>189.46064682931279</v>
      </c>
      <c r="X155" t="s">
        <v>111</v>
      </c>
      <c r="Y155">
        <v>10</v>
      </c>
      <c r="Z155">
        <v>0.44</v>
      </c>
      <c r="AA155">
        <v>31.536000000000001</v>
      </c>
    </row>
    <row r="156" spans="1:27" hidden="1" x14ac:dyDescent="0.25">
      <c r="A156" t="s">
        <v>98</v>
      </c>
      <c r="B156" t="s">
        <v>99</v>
      </c>
      <c r="D156" t="s">
        <v>100</v>
      </c>
      <c r="E156" t="s">
        <v>439</v>
      </c>
      <c r="F156" t="s">
        <v>460</v>
      </c>
      <c r="G156" t="s">
        <v>103</v>
      </c>
      <c r="H156" t="s">
        <v>104</v>
      </c>
      <c r="I156">
        <v>2030</v>
      </c>
      <c r="J156" t="s">
        <v>467</v>
      </c>
      <c r="K156" t="s">
        <v>106</v>
      </c>
      <c r="L156" t="s">
        <v>442</v>
      </c>
      <c r="M156" t="s">
        <v>468</v>
      </c>
      <c r="N156">
        <v>1</v>
      </c>
      <c r="O156">
        <v>2030</v>
      </c>
      <c r="P156">
        <v>520.8323861248623</v>
      </c>
      <c r="Q156">
        <v>19.17492366827851</v>
      </c>
      <c r="R156" t="s">
        <v>109</v>
      </c>
      <c r="S156">
        <v>6.5013006934499016</v>
      </c>
      <c r="T156" t="s">
        <v>110</v>
      </c>
      <c r="U156">
        <v>2.2451328020003118</v>
      </c>
      <c r="V156">
        <v>5146.1608125259299</v>
      </c>
      <c r="W156">
        <v>189.46064682931279</v>
      </c>
      <c r="X156" t="s">
        <v>111</v>
      </c>
      <c r="Y156">
        <v>10</v>
      </c>
      <c r="Z156">
        <v>0.44</v>
      </c>
      <c r="AA156">
        <v>31.536000000000001</v>
      </c>
    </row>
    <row r="157" spans="1:27" hidden="1" x14ac:dyDescent="0.25">
      <c r="A157" t="s">
        <v>98</v>
      </c>
      <c r="B157" t="s">
        <v>99</v>
      </c>
      <c r="D157" t="s">
        <v>100</v>
      </c>
      <c r="E157" t="s">
        <v>439</v>
      </c>
      <c r="F157" t="s">
        <v>460</v>
      </c>
      <c r="G157" t="s">
        <v>112</v>
      </c>
      <c r="H157" t="s">
        <v>104</v>
      </c>
      <c r="I157">
        <v>2030</v>
      </c>
      <c r="J157" t="s">
        <v>469</v>
      </c>
      <c r="K157" t="s">
        <v>106</v>
      </c>
      <c r="L157" t="s">
        <v>442</v>
      </c>
      <c r="M157" t="s">
        <v>470</v>
      </c>
      <c r="N157">
        <v>1</v>
      </c>
      <c r="O157">
        <v>2030</v>
      </c>
      <c r="P157">
        <v>717.59767919103297</v>
      </c>
      <c r="Q157">
        <v>19.17492366827851</v>
      </c>
      <c r="R157" t="s">
        <v>109</v>
      </c>
      <c r="S157">
        <v>7.1162885968843517</v>
      </c>
      <c r="T157" t="s">
        <v>110</v>
      </c>
      <c r="U157">
        <v>2.4575102292165578</v>
      </c>
      <c r="V157">
        <v>7090.3291619180018</v>
      </c>
      <c r="W157">
        <v>189.46064682931279</v>
      </c>
      <c r="X157" t="s">
        <v>111</v>
      </c>
      <c r="Y157">
        <v>10</v>
      </c>
      <c r="Z157">
        <v>0.44</v>
      </c>
      <c r="AA157">
        <v>31.536000000000001</v>
      </c>
    </row>
    <row r="158" spans="1:27" hidden="1" x14ac:dyDescent="0.25">
      <c r="A158" t="s">
        <v>98</v>
      </c>
      <c r="B158" t="s">
        <v>99</v>
      </c>
      <c r="D158" t="s">
        <v>100</v>
      </c>
      <c r="E158" t="s">
        <v>439</v>
      </c>
      <c r="F158" t="s">
        <v>460</v>
      </c>
      <c r="G158" t="s">
        <v>103</v>
      </c>
      <c r="H158" t="s">
        <v>104</v>
      </c>
      <c r="I158">
        <v>2040</v>
      </c>
      <c r="J158" t="s">
        <v>471</v>
      </c>
      <c r="K158" t="s">
        <v>106</v>
      </c>
      <c r="L158" t="s">
        <v>442</v>
      </c>
      <c r="M158" t="s">
        <v>472</v>
      </c>
      <c r="N158">
        <v>1</v>
      </c>
      <c r="O158">
        <v>2040</v>
      </c>
      <c r="P158">
        <v>520.8323861248623</v>
      </c>
      <c r="Q158">
        <v>19.17492366827851</v>
      </c>
      <c r="R158" t="s">
        <v>109</v>
      </c>
      <c r="S158">
        <v>6.5013006934499016</v>
      </c>
      <c r="T158" t="s">
        <v>110</v>
      </c>
      <c r="U158">
        <v>2.2451328020003118</v>
      </c>
      <c r="V158">
        <v>5146.1608125259299</v>
      </c>
      <c r="W158">
        <v>189.46064682931279</v>
      </c>
      <c r="X158" t="s">
        <v>111</v>
      </c>
      <c r="Y158">
        <v>10</v>
      </c>
      <c r="Z158">
        <v>0.44</v>
      </c>
      <c r="AA158">
        <v>31.536000000000001</v>
      </c>
    </row>
    <row r="159" spans="1:27" hidden="1" x14ac:dyDescent="0.25">
      <c r="A159" t="s">
        <v>98</v>
      </c>
      <c r="B159" t="s">
        <v>99</v>
      </c>
      <c r="D159" t="s">
        <v>100</v>
      </c>
      <c r="E159" t="s">
        <v>439</v>
      </c>
      <c r="F159" t="s">
        <v>460</v>
      </c>
      <c r="G159" t="s">
        <v>112</v>
      </c>
      <c r="H159" t="s">
        <v>104</v>
      </c>
      <c r="I159">
        <v>2040</v>
      </c>
      <c r="J159" t="s">
        <v>473</v>
      </c>
      <c r="K159" t="s">
        <v>106</v>
      </c>
      <c r="L159" t="s">
        <v>442</v>
      </c>
      <c r="M159" t="s">
        <v>474</v>
      </c>
      <c r="N159">
        <v>1</v>
      </c>
      <c r="O159">
        <v>2040</v>
      </c>
      <c r="P159">
        <v>717.59767919103297</v>
      </c>
      <c r="Q159">
        <v>19.17492366827851</v>
      </c>
      <c r="R159" t="s">
        <v>109</v>
      </c>
      <c r="S159">
        <v>7.1162885968843517</v>
      </c>
      <c r="T159" t="s">
        <v>110</v>
      </c>
      <c r="U159">
        <v>2.4575102292165578</v>
      </c>
      <c r="V159">
        <v>7090.3291619180018</v>
      </c>
      <c r="W159">
        <v>189.46064682931279</v>
      </c>
      <c r="X159" t="s">
        <v>111</v>
      </c>
      <c r="Y159">
        <v>10</v>
      </c>
      <c r="Z159">
        <v>0.44</v>
      </c>
      <c r="AA159">
        <v>31.536000000000001</v>
      </c>
    </row>
    <row r="160" spans="1:27" hidden="1" x14ac:dyDescent="0.25">
      <c r="A160" t="s">
        <v>98</v>
      </c>
      <c r="B160" t="s">
        <v>99</v>
      </c>
      <c r="D160" t="s">
        <v>100</v>
      </c>
      <c r="E160" t="s">
        <v>439</v>
      </c>
      <c r="F160" t="s">
        <v>460</v>
      </c>
      <c r="G160" t="s">
        <v>103</v>
      </c>
      <c r="H160" t="s">
        <v>104</v>
      </c>
      <c r="I160">
        <v>2050</v>
      </c>
      <c r="J160" t="s">
        <v>475</v>
      </c>
      <c r="K160" t="s">
        <v>106</v>
      </c>
      <c r="L160" t="s">
        <v>442</v>
      </c>
      <c r="M160" t="s">
        <v>476</v>
      </c>
      <c r="N160">
        <v>1</v>
      </c>
      <c r="O160">
        <v>2050</v>
      </c>
      <c r="P160">
        <v>520.8323861248623</v>
      </c>
      <c r="Q160">
        <v>19.17492366827851</v>
      </c>
      <c r="R160" t="s">
        <v>109</v>
      </c>
      <c r="S160">
        <v>6.5013006934499016</v>
      </c>
      <c r="T160" t="s">
        <v>110</v>
      </c>
      <c r="U160">
        <v>2.2451328020003118</v>
      </c>
      <c r="V160">
        <v>5146.1608125259299</v>
      </c>
      <c r="W160">
        <v>189.46064682931279</v>
      </c>
      <c r="X160" t="s">
        <v>111</v>
      </c>
      <c r="Y160">
        <v>10</v>
      </c>
      <c r="Z160">
        <v>0.44</v>
      </c>
      <c r="AA160">
        <v>31.536000000000001</v>
      </c>
    </row>
    <row r="161" spans="1:27" hidden="1" x14ac:dyDescent="0.25">
      <c r="A161" t="s">
        <v>98</v>
      </c>
      <c r="B161" t="s">
        <v>99</v>
      </c>
      <c r="D161" t="s">
        <v>100</v>
      </c>
      <c r="E161" t="s">
        <v>439</v>
      </c>
      <c r="F161" t="s">
        <v>460</v>
      </c>
      <c r="G161" t="s">
        <v>112</v>
      </c>
      <c r="H161" t="s">
        <v>104</v>
      </c>
      <c r="I161">
        <v>2050</v>
      </c>
      <c r="J161" t="s">
        <v>477</v>
      </c>
      <c r="K161" t="s">
        <v>106</v>
      </c>
      <c r="L161" t="s">
        <v>442</v>
      </c>
      <c r="M161" t="s">
        <v>478</v>
      </c>
      <c r="N161">
        <v>1</v>
      </c>
      <c r="O161">
        <v>2050</v>
      </c>
      <c r="P161">
        <v>717.59767919103297</v>
      </c>
      <c r="Q161">
        <v>19.17492366827851</v>
      </c>
      <c r="R161" t="s">
        <v>109</v>
      </c>
      <c r="S161">
        <v>7.1162885968843517</v>
      </c>
      <c r="T161" t="s">
        <v>110</v>
      </c>
      <c r="U161">
        <v>2.4575102292165578</v>
      </c>
      <c r="V161">
        <v>7090.3291619180018</v>
      </c>
      <c r="W161">
        <v>189.46064682931279</v>
      </c>
      <c r="X161" t="s">
        <v>111</v>
      </c>
      <c r="Y161">
        <v>10</v>
      </c>
      <c r="Z161">
        <v>0.44</v>
      </c>
      <c r="AA161">
        <v>31.536000000000001</v>
      </c>
    </row>
    <row r="162" spans="1:27" hidden="1" x14ac:dyDescent="0.25">
      <c r="A162" t="s">
        <v>98</v>
      </c>
      <c r="B162" t="s">
        <v>99</v>
      </c>
      <c r="D162" t="s">
        <v>100</v>
      </c>
      <c r="E162" t="s">
        <v>439</v>
      </c>
      <c r="F162" t="s">
        <v>479</v>
      </c>
      <c r="G162" t="s">
        <v>245</v>
      </c>
      <c r="H162" t="s">
        <v>104</v>
      </c>
      <c r="I162">
        <v>2022</v>
      </c>
      <c r="J162" t="s">
        <v>480</v>
      </c>
      <c r="K162" t="s">
        <v>106</v>
      </c>
      <c r="L162" t="s">
        <v>442</v>
      </c>
      <c r="M162" t="s">
        <v>481</v>
      </c>
      <c r="N162">
        <v>1</v>
      </c>
      <c r="O162">
        <v>2020</v>
      </c>
      <c r="P162">
        <v>1625.561814955347</v>
      </c>
      <c r="Q162">
        <v>83.737016934227881</v>
      </c>
      <c r="R162" t="s">
        <v>109</v>
      </c>
      <c r="S162">
        <v>3.1167552571169028</v>
      </c>
      <c r="T162" t="s">
        <v>110</v>
      </c>
      <c r="U162">
        <v>1.0763276140434681</v>
      </c>
      <c r="V162">
        <v>16061.60203036269</v>
      </c>
      <c r="W162">
        <v>827.37588250020144</v>
      </c>
      <c r="X162" t="s">
        <v>111</v>
      </c>
      <c r="Y162">
        <v>10</v>
      </c>
      <c r="Z162">
        <v>0.44</v>
      </c>
      <c r="AA162">
        <v>31.536000000000001</v>
      </c>
    </row>
    <row r="163" spans="1:27" hidden="1" x14ac:dyDescent="0.25">
      <c r="A163" t="s">
        <v>98</v>
      </c>
      <c r="B163" t="s">
        <v>99</v>
      </c>
      <c r="D163" t="s">
        <v>100</v>
      </c>
      <c r="E163" t="s">
        <v>439</v>
      </c>
      <c r="F163" t="s">
        <v>479</v>
      </c>
      <c r="G163" t="s">
        <v>103</v>
      </c>
      <c r="H163" t="s">
        <v>104</v>
      </c>
      <c r="I163">
        <v>2022</v>
      </c>
      <c r="J163" t="s">
        <v>482</v>
      </c>
      <c r="K163" t="s">
        <v>106</v>
      </c>
      <c r="L163" t="s">
        <v>442</v>
      </c>
      <c r="M163" t="s">
        <v>483</v>
      </c>
      <c r="N163">
        <v>1</v>
      </c>
      <c r="O163">
        <v>2020</v>
      </c>
      <c r="P163">
        <v>1649.1429636040691</v>
      </c>
      <c r="Q163">
        <v>83.737016934227881</v>
      </c>
      <c r="R163" t="s">
        <v>109</v>
      </c>
      <c r="S163">
        <v>4.464541314248538</v>
      </c>
      <c r="T163" t="s">
        <v>110</v>
      </c>
      <c r="U163">
        <v>1.541766582278481</v>
      </c>
      <c r="V163">
        <v>16294.59902963399</v>
      </c>
      <c r="W163">
        <v>827.37588250020167</v>
      </c>
      <c r="X163" t="s">
        <v>111</v>
      </c>
      <c r="Y163">
        <v>10</v>
      </c>
      <c r="Z163">
        <v>0.44</v>
      </c>
      <c r="AA163">
        <v>31.536000000000001</v>
      </c>
    </row>
    <row r="164" spans="1:27" hidden="1" x14ac:dyDescent="0.25">
      <c r="A164" t="s">
        <v>98</v>
      </c>
      <c r="B164" t="s">
        <v>99</v>
      </c>
      <c r="D164" t="s">
        <v>100</v>
      </c>
      <c r="E164" t="s">
        <v>439</v>
      </c>
      <c r="F164" t="s">
        <v>479</v>
      </c>
      <c r="G164" t="s">
        <v>112</v>
      </c>
      <c r="H164" t="s">
        <v>104</v>
      </c>
      <c r="I164">
        <v>2022</v>
      </c>
      <c r="J164" t="s">
        <v>484</v>
      </c>
      <c r="K164" t="s">
        <v>106</v>
      </c>
      <c r="L164" t="s">
        <v>442</v>
      </c>
      <c r="M164" t="s">
        <v>485</v>
      </c>
      <c r="N164">
        <v>1</v>
      </c>
      <c r="O164">
        <v>2020</v>
      </c>
      <c r="P164">
        <v>1758.024723094816</v>
      </c>
      <c r="Q164">
        <v>83.737016934227881</v>
      </c>
      <c r="R164" t="s">
        <v>109</v>
      </c>
      <c r="S164">
        <v>7.4409021904142287</v>
      </c>
      <c r="T164" t="s">
        <v>110</v>
      </c>
      <c r="U164">
        <v>2.5696109704641348</v>
      </c>
      <c r="V164">
        <v>17370.421230436659</v>
      </c>
      <c r="W164">
        <v>827.37588250020167</v>
      </c>
      <c r="X164" t="s">
        <v>111</v>
      </c>
      <c r="Y164">
        <v>10</v>
      </c>
      <c r="Z164">
        <v>0.44</v>
      </c>
      <c r="AA164">
        <v>31.536000000000001</v>
      </c>
    </row>
    <row r="165" spans="1:27" hidden="1" x14ac:dyDescent="0.25">
      <c r="A165" t="s">
        <v>98</v>
      </c>
      <c r="B165" t="s">
        <v>99</v>
      </c>
      <c r="D165" t="s">
        <v>100</v>
      </c>
      <c r="E165" t="s">
        <v>439</v>
      </c>
      <c r="F165" t="s">
        <v>479</v>
      </c>
      <c r="G165" t="s">
        <v>219</v>
      </c>
      <c r="H165" t="s">
        <v>104</v>
      </c>
      <c r="I165">
        <v>2022</v>
      </c>
      <c r="J165" t="s">
        <v>486</v>
      </c>
      <c r="K165" t="s">
        <v>106</v>
      </c>
      <c r="L165" t="s">
        <v>442</v>
      </c>
      <c r="M165" t="s">
        <v>487</v>
      </c>
      <c r="N165">
        <v>1</v>
      </c>
      <c r="O165">
        <v>2020</v>
      </c>
      <c r="P165">
        <v>1758.024723094816</v>
      </c>
      <c r="Q165">
        <v>84.189649458196669</v>
      </c>
      <c r="R165" t="s">
        <v>109</v>
      </c>
      <c r="S165">
        <v>7.4409021904142287</v>
      </c>
      <c r="T165" t="s">
        <v>110</v>
      </c>
      <c r="U165">
        <v>2.5696109704641348</v>
      </c>
      <c r="V165">
        <v>17370.421230436659</v>
      </c>
      <c r="W165">
        <v>831.8481845677702</v>
      </c>
      <c r="X165" t="s">
        <v>111</v>
      </c>
      <c r="Y165">
        <v>10</v>
      </c>
      <c r="Z165">
        <v>0.44</v>
      </c>
      <c r="AA165">
        <v>31.536000000000001</v>
      </c>
    </row>
    <row r="166" spans="1:27" hidden="1" x14ac:dyDescent="0.25">
      <c r="A166" t="s">
        <v>98</v>
      </c>
      <c r="B166" t="s">
        <v>99</v>
      </c>
      <c r="D166" t="s">
        <v>100</v>
      </c>
      <c r="E166" t="s">
        <v>439</v>
      </c>
      <c r="F166" t="s">
        <v>479</v>
      </c>
      <c r="G166" t="s">
        <v>103</v>
      </c>
      <c r="H166" t="s">
        <v>104</v>
      </c>
      <c r="I166">
        <v>2030</v>
      </c>
      <c r="J166" t="s">
        <v>488</v>
      </c>
      <c r="K166" t="s">
        <v>106</v>
      </c>
      <c r="L166" t="s">
        <v>442</v>
      </c>
      <c r="M166" t="s">
        <v>489</v>
      </c>
      <c r="N166">
        <v>1</v>
      </c>
      <c r="O166">
        <v>2030</v>
      </c>
      <c r="P166">
        <v>1649.1429636040691</v>
      </c>
      <c r="Q166">
        <v>83.737016934227881</v>
      </c>
      <c r="R166" t="s">
        <v>109</v>
      </c>
      <c r="S166">
        <v>4.464541314248538</v>
      </c>
      <c r="T166" t="s">
        <v>110</v>
      </c>
      <c r="U166">
        <v>1.541766582278481</v>
      </c>
      <c r="V166">
        <v>16294.59902963399</v>
      </c>
      <c r="W166">
        <v>827.37588250020167</v>
      </c>
      <c r="X166" t="s">
        <v>111</v>
      </c>
      <c r="Y166">
        <v>10</v>
      </c>
      <c r="Z166">
        <v>0.44</v>
      </c>
      <c r="AA166">
        <v>31.536000000000001</v>
      </c>
    </row>
    <row r="167" spans="1:27" hidden="1" x14ac:dyDescent="0.25">
      <c r="A167" t="s">
        <v>98</v>
      </c>
      <c r="B167" t="s">
        <v>99</v>
      </c>
      <c r="D167" t="s">
        <v>100</v>
      </c>
      <c r="E167" t="s">
        <v>439</v>
      </c>
      <c r="F167" t="s">
        <v>479</v>
      </c>
      <c r="G167" t="s">
        <v>112</v>
      </c>
      <c r="H167" t="s">
        <v>104</v>
      </c>
      <c r="I167">
        <v>2030</v>
      </c>
      <c r="J167" t="s">
        <v>490</v>
      </c>
      <c r="K167" t="s">
        <v>106</v>
      </c>
      <c r="L167" t="s">
        <v>442</v>
      </c>
      <c r="M167" t="s">
        <v>491</v>
      </c>
      <c r="N167">
        <v>1</v>
      </c>
      <c r="O167">
        <v>2030</v>
      </c>
      <c r="P167">
        <v>1758.024723094816</v>
      </c>
      <c r="Q167">
        <v>83.737016934227881</v>
      </c>
      <c r="R167" t="s">
        <v>109</v>
      </c>
      <c r="S167">
        <v>7.4409021904142287</v>
      </c>
      <c r="T167" t="s">
        <v>110</v>
      </c>
      <c r="U167">
        <v>2.5696109704641348</v>
      </c>
      <c r="V167">
        <v>17370.421230436659</v>
      </c>
      <c r="W167">
        <v>827.37588250020167</v>
      </c>
      <c r="X167" t="s">
        <v>111</v>
      </c>
      <c r="Y167">
        <v>10</v>
      </c>
      <c r="Z167">
        <v>0.44</v>
      </c>
      <c r="AA167">
        <v>31.536000000000001</v>
      </c>
    </row>
    <row r="168" spans="1:27" hidden="1" x14ac:dyDescent="0.25">
      <c r="A168" t="s">
        <v>98</v>
      </c>
      <c r="B168" t="s">
        <v>99</v>
      </c>
      <c r="D168" t="s">
        <v>100</v>
      </c>
      <c r="E168" t="s">
        <v>439</v>
      </c>
      <c r="F168" t="s">
        <v>479</v>
      </c>
      <c r="G168" t="s">
        <v>103</v>
      </c>
      <c r="H168" t="s">
        <v>104</v>
      </c>
      <c r="I168">
        <v>2040</v>
      </c>
      <c r="J168" t="s">
        <v>492</v>
      </c>
      <c r="K168" t="s">
        <v>106</v>
      </c>
      <c r="L168" t="s">
        <v>442</v>
      </c>
      <c r="M168" t="s">
        <v>493</v>
      </c>
      <c r="N168">
        <v>1</v>
      </c>
      <c r="O168">
        <v>2040</v>
      </c>
      <c r="P168">
        <v>1649.1429636040691</v>
      </c>
      <c r="Q168">
        <v>83.737016934227881</v>
      </c>
      <c r="R168" t="s">
        <v>109</v>
      </c>
      <c r="S168">
        <v>4.464541314248538</v>
      </c>
      <c r="T168" t="s">
        <v>110</v>
      </c>
      <c r="U168">
        <v>1.541766582278481</v>
      </c>
      <c r="V168">
        <v>16294.59902963399</v>
      </c>
      <c r="W168">
        <v>827.37588250020167</v>
      </c>
      <c r="X168" t="s">
        <v>111</v>
      </c>
      <c r="Y168">
        <v>10</v>
      </c>
      <c r="Z168">
        <v>0.44</v>
      </c>
      <c r="AA168">
        <v>31.536000000000001</v>
      </c>
    </row>
    <row r="169" spans="1:27" hidden="1" x14ac:dyDescent="0.25">
      <c r="A169" t="s">
        <v>98</v>
      </c>
      <c r="B169" t="s">
        <v>99</v>
      </c>
      <c r="D169" t="s">
        <v>100</v>
      </c>
      <c r="E169" t="s">
        <v>439</v>
      </c>
      <c r="F169" t="s">
        <v>479</v>
      </c>
      <c r="G169" t="s">
        <v>112</v>
      </c>
      <c r="H169" t="s">
        <v>104</v>
      </c>
      <c r="I169">
        <v>2040</v>
      </c>
      <c r="J169" t="s">
        <v>494</v>
      </c>
      <c r="K169" t="s">
        <v>106</v>
      </c>
      <c r="L169" t="s">
        <v>442</v>
      </c>
      <c r="M169" t="s">
        <v>495</v>
      </c>
      <c r="N169">
        <v>1</v>
      </c>
      <c r="O169">
        <v>2040</v>
      </c>
      <c r="P169">
        <v>1758.024723094816</v>
      </c>
      <c r="Q169">
        <v>83.737016934227881</v>
      </c>
      <c r="R169" t="s">
        <v>109</v>
      </c>
      <c r="S169">
        <v>7.4409021904142287</v>
      </c>
      <c r="T169" t="s">
        <v>110</v>
      </c>
      <c r="U169">
        <v>2.5696109704641348</v>
      </c>
      <c r="V169">
        <v>17370.421230436659</v>
      </c>
      <c r="W169">
        <v>827.37588250020167</v>
      </c>
      <c r="X169" t="s">
        <v>111</v>
      </c>
      <c r="Y169">
        <v>10</v>
      </c>
      <c r="Z169">
        <v>0.44</v>
      </c>
      <c r="AA169">
        <v>31.536000000000001</v>
      </c>
    </row>
    <row r="170" spans="1:27" hidden="1" x14ac:dyDescent="0.25">
      <c r="A170" t="s">
        <v>98</v>
      </c>
      <c r="B170" t="s">
        <v>99</v>
      </c>
      <c r="D170" t="s">
        <v>100</v>
      </c>
      <c r="E170" t="s">
        <v>439</v>
      </c>
      <c r="F170" t="s">
        <v>479</v>
      </c>
      <c r="G170" t="s">
        <v>112</v>
      </c>
      <c r="H170" t="s">
        <v>104</v>
      </c>
      <c r="I170">
        <v>2025</v>
      </c>
      <c r="J170" t="s">
        <v>496</v>
      </c>
      <c r="K170" t="s">
        <v>106</v>
      </c>
      <c r="L170" t="s">
        <v>442</v>
      </c>
      <c r="M170" t="s">
        <v>497</v>
      </c>
      <c r="N170">
        <v>1</v>
      </c>
      <c r="O170">
        <v>2025</v>
      </c>
      <c r="P170">
        <v>1758.024723094816</v>
      </c>
      <c r="Q170">
        <v>83.737016934227881</v>
      </c>
      <c r="R170" t="s">
        <v>109</v>
      </c>
      <c r="S170">
        <v>7.4409021904142287</v>
      </c>
      <c r="T170" t="s">
        <v>110</v>
      </c>
      <c r="U170">
        <v>2.5696109704641348</v>
      </c>
      <c r="V170">
        <v>17370.421230436659</v>
      </c>
      <c r="W170">
        <v>827.37588250020167</v>
      </c>
      <c r="X170" t="s">
        <v>111</v>
      </c>
      <c r="Y170">
        <v>10</v>
      </c>
      <c r="Z170">
        <v>0.44</v>
      </c>
      <c r="AA170">
        <v>31.536000000000001</v>
      </c>
    </row>
    <row r="171" spans="1:27" hidden="1" x14ac:dyDescent="0.25">
      <c r="A171" t="s">
        <v>498</v>
      </c>
      <c r="M171" t="s">
        <v>498</v>
      </c>
      <c r="N171" t="s">
        <v>498</v>
      </c>
    </row>
    <row r="172" spans="1:27" hidden="1" x14ac:dyDescent="0.25">
      <c r="A172" t="s">
        <v>98</v>
      </c>
      <c r="B172" t="s">
        <v>499</v>
      </c>
      <c r="D172" t="s">
        <v>100</v>
      </c>
      <c r="E172" t="s">
        <v>101</v>
      </c>
      <c r="F172" t="s">
        <v>102</v>
      </c>
      <c r="G172" t="s">
        <v>103</v>
      </c>
      <c r="H172" t="s">
        <v>104</v>
      </c>
      <c r="I172">
        <v>2061</v>
      </c>
      <c r="J172" t="s">
        <v>105</v>
      </c>
      <c r="K172" t="s">
        <v>106</v>
      </c>
      <c r="L172" t="s">
        <v>500</v>
      </c>
      <c r="M172" t="s">
        <v>501</v>
      </c>
      <c r="N172">
        <v>1</v>
      </c>
      <c r="O172">
        <v>2061</v>
      </c>
      <c r="P172">
        <v>117.0584711706526</v>
      </c>
      <c r="Q172">
        <v>4.2000145906136934</v>
      </c>
      <c r="R172" t="s">
        <v>109</v>
      </c>
      <c r="S172">
        <v>3.3</v>
      </c>
      <c r="T172" t="s">
        <v>110</v>
      </c>
      <c r="U172">
        <v>3.3</v>
      </c>
      <c r="V172">
        <v>399.42017862788401</v>
      </c>
      <c r="W172">
        <v>14.33104807576899</v>
      </c>
      <c r="X172" t="s">
        <v>111</v>
      </c>
      <c r="Y172">
        <v>21</v>
      </c>
      <c r="Z172">
        <v>0.23552730994099891</v>
      </c>
      <c r="AA172">
        <v>31.536000000000001</v>
      </c>
    </row>
    <row r="173" spans="1:27" hidden="1" x14ac:dyDescent="0.25">
      <c r="A173" t="s">
        <v>98</v>
      </c>
      <c r="B173" t="s">
        <v>499</v>
      </c>
      <c r="D173" t="s">
        <v>100</v>
      </c>
      <c r="E173" t="s">
        <v>101</v>
      </c>
      <c r="F173" t="s">
        <v>102</v>
      </c>
      <c r="G173" t="s">
        <v>112</v>
      </c>
      <c r="H173" t="s">
        <v>104</v>
      </c>
      <c r="I173">
        <v>2022</v>
      </c>
      <c r="J173" t="s">
        <v>113</v>
      </c>
      <c r="K173" t="s">
        <v>106</v>
      </c>
      <c r="L173" t="s">
        <v>500</v>
      </c>
      <c r="M173" t="s">
        <v>502</v>
      </c>
      <c r="N173">
        <v>1</v>
      </c>
      <c r="O173">
        <v>2020</v>
      </c>
      <c r="P173">
        <v>200.7885700942916</v>
      </c>
      <c r="Q173">
        <v>4.2000145906136934</v>
      </c>
      <c r="R173" t="s">
        <v>109</v>
      </c>
      <c r="S173">
        <v>3.7</v>
      </c>
      <c r="T173" t="s">
        <v>110</v>
      </c>
      <c r="U173">
        <v>3.7</v>
      </c>
      <c r="V173">
        <v>685.1192035182313</v>
      </c>
      <c r="W173">
        <v>14.33104807576899</v>
      </c>
      <c r="X173" t="s">
        <v>111</v>
      </c>
      <c r="Y173">
        <v>21</v>
      </c>
      <c r="Z173">
        <v>0.23552730994099891</v>
      </c>
      <c r="AA173">
        <v>31.536000000000001</v>
      </c>
    </row>
    <row r="174" spans="1:27" hidden="1" x14ac:dyDescent="0.25">
      <c r="A174" t="s">
        <v>98</v>
      </c>
      <c r="B174" t="s">
        <v>499</v>
      </c>
      <c r="D174" t="s">
        <v>100</v>
      </c>
      <c r="E174" t="s">
        <v>101</v>
      </c>
      <c r="F174" t="s">
        <v>102</v>
      </c>
      <c r="G174" t="s">
        <v>103</v>
      </c>
      <c r="H174" t="s">
        <v>104</v>
      </c>
      <c r="I174">
        <v>2023</v>
      </c>
      <c r="J174" t="s">
        <v>115</v>
      </c>
      <c r="K174" t="s">
        <v>106</v>
      </c>
      <c r="L174" t="s">
        <v>500</v>
      </c>
      <c r="M174" t="s">
        <v>503</v>
      </c>
      <c r="N174">
        <v>1</v>
      </c>
      <c r="O174">
        <v>2023</v>
      </c>
      <c r="P174">
        <v>135.73557542199771</v>
      </c>
      <c r="Q174">
        <v>4.2000145906136934</v>
      </c>
      <c r="R174" t="s">
        <v>109</v>
      </c>
      <c r="S174">
        <v>3.4</v>
      </c>
      <c r="T174" t="s">
        <v>110</v>
      </c>
      <c r="U174">
        <v>3.4</v>
      </c>
      <c r="V174">
        <v>463.14911888927151</v>
      </c>
      <c r="W174">
        <v>14.33104807576899</v>
      </c>
      <c r="X174" t="s">
        <v>111</v>
      </c>
      <c r="Y174">
        <v>21</v>
      </c>
      <c r="Z174">
        <v>0.23552730994099891</v>
      </c>
      <c r="AA174">
        <v>31.536000000000001</v>
      </c>
    </row>
    <row r="175" spans="1:27" hidden="1" x14ac:dyDescent="0.25">
      <c r="A175" t="s">
        <v>98</v>
      </c>
      <c r="B175" t="s">
        <v>499</v>
      </c>
      <c r="D175" t="s">
        <v>100</v>
      </c>
      <c r="E175" t="s">
        <v>101</v>
      </c>
      <c r="F175" t="s">
        <v>117</v>
      </c>
      <c r="G175" t="s">
        <v>103</v>
      </c>
      <c r="H175" t="s">
        <v>104</v>
      </c>
      <c r="I175">
        <v>2033</v>
      </c>
      <c r="J175" t="s">
        <v>118</v>
      </c>
      <c r="K175" t="s">
        <v>106</v>
      </c>
      <c r="L175" t="s">
        <v>500</v>
      </c>
      <c r="M175" t="s">
        <v>504</v>
      </c>
      <c r="N175">
        <v>1</v>
      </c>
      <c r="O175">
        <v>2033</v>
      </c>
      <c r="P175">
        <v>483.9331327692995</v>
      </c>
      <c r="Q175">
        <v>3.810497108419681</v>
      </c>
      <c r="R175" t="s">
        <v>109</v>
      </c>
      <c r="S175">
        <v>3.7</v>
      </c>
      <c r="T175" t="s">
        <v>110</v>
      </c>
      <c r="U175">
        <v>3.7</v>
      </c>
      <c r="V175">
        <v>1651.2487853431401</v>
      </c>
      <c r="W175">
        <v>13.00195893970977</v>
      </c>
      <c r="X175" t="s">
        <v>111</v>
      </c>
      <c r="Y175">
        <v>14.4</v>
      </c>
      <c r="Z175">
        <v>0.23552730994099891</v>
      </c>
      <c r="AA175">
        <v>31.536000000000001</v>
      </c>
    </row>
    <row r="176" spans="1:27" hidden="1" x14ac:dyDescent="0.25">
      <c r="A176" t="s">
        <v>98</v>
      </c>
      <c r="B176" t="s">
        <v>499</v>
      </c>
      <c r="D176" t="s">
        <v>100</v>
      </c>
      <c r="E176" t="s">
        <v>101</v>
      </c>
      <c r="F176" t="s">
        <v>117</v>
      </c>
      <c r="G176" t="s">
        <v>67</v>
      </c>
      <c r="H176" t="s">
        <v>104</v>
      </c>
      <c r="I176">
        <v>2033</v>
      </c>
      <c r="J176" t="s">
        <v>120</v>
      </c>
      <c r="K176" t="s">
        <v>106</v>
      </c>
      <c r="L176" t="s">
        <v>500</v>
      </c>
      <c r="M176" t="s">
        <v>505</v>
      </c>
      <c r="N176">
        <v>1</v>
      </c>
      <c r="O176">
        <v>2033</v>
      </c>
      <c r="P176">
        <v>497.90495550017158</v>
      </c>
      <c r="Q176">
        <v>3.810497108419681</v>
      </c>
      <c r="R176" t="s">
        <v>109</v>
      </c>
      <c r="S176">
        <v>3.8</v>
      </c>
      <c r="T176" t="s">
        <v>110</v>
      </c>
      <c r="U176">
        <v>3.8</v>
      </c>
      <c r="V176">
        <v>1698.9226347887429</v>
      </c>
      <c r="W176">
        <v>13.00195893970977</v>
      </c>
      <c r="X176" t="s">
        <v>111</v>
      </c>
      <c r="Y176">
        <v>14.4</v>
      </c>
      <c r="Z176">
        <v>0.23552730994099891</v>
      </c>
      <c r="AA176">
        <v>31.536000000000001</v>
      </c>
    </row>
    <row r="177" spans="1:27" hidden="1" x14ac:dyDescent="0.25">
      <c r="A177" t="s">
        <v>98</v>
      </c>
      <c r="B177" t="s">
        <v>499</v>
      </c>
      <c r="D177" t="s">
        <v>100</v>
      </c>
      <c r="E177" t="s">
        <v>101</v>
      </c>
      <c r="F177" t="s">
        <v>117</v>
      </c>
      <c r="G177" t="s">
        <v>112</v>
      </c>
      <c r="H177" t="s">
        <v>104</v>
      </c>
      <c r="I177">
        <v>2033</v>
      </c>
      <c r="J177" t="s">
        <v>122</v>
      </c>
      <c r="K177" t="s">
        <v>106</v>
      </c>
      <c r="L177" t="s">
        <v>500</v>
      </c>
      <c r="M177" t="s">
        <v>506</v>
      </c>
      <c r="N177">
        <v>1</v>
      </c>
      <c r="O177">
        <v>2033</v>
      </c>
      <c r="P177">
        <v>513.14694393385037</v>
      </c>
      <c r="Q177">
        <v>3.810497108419681</v>
      </c>
      <c r="R177" t="s">
        <v>109</v>
      </c>
      <c r="S177">
        <v>4</v>
      </c>
      <c r="T177" t="s">
        <v>110</v>
      </c>
      <c r="U177">
        <v>4</v>
      </c>
      <c r="V177">
        <v>1750.930470547582</v>
      </c>
      <c r="W177">
        <v>13.00195893970977</v>
      </c>
      <c r="X177" t="s">
        <v>111</v>
      </c>
      <c r="Y177">
        <v>14.4</v>
      </c>
      <c r="Z177">
        <v>0.23552730994099891</v>
      </c>
      <c r="AA177">
        <v>31.536000000000001</v>
      </c>
    </row>
    <row r="178" spans="1:27" hidden="1" x14ac:dyDescent="0.25">
      <c r="A178" t="s">
        <v>98</v>
      </c>
      <c r="B178" t="s">
        <v>499</v>
      </c>
      <c r="D178" t="s">
        <v>100</v>
      </c>
      <c r="E178" t="s">
        <v>101</v>
      </c>
      <c r="F178" t="s">
        <v>117</v>
      </c>
      <c r="G178" t="s">
        <v>103</v>
      </c>
      <c r="H178" t="s">
        <v>104</v>
      </c>
      <c r="I178">
        <v>2023</v>
      </c>
      <c r="J178" t="s">
        <v>124</v>
      </c>
      <c r="K178" t="s">
        <v>106</v>
      </c>
      <c r="L178" t="s">
        <v>500</v>
      </c>
      <c r="M178" t="s">
        <v>507</v>
      </c>
      <c r="N178">
        <v>1</v>
      </c>
      <c r="O178">
        <v>2023</v>
      </c>
      <c r="P178">
        <v>483.9331327692995</v>
      </c>
      <c r="Q178">
        <v>3.810497108419681</v>
      </c>
      <c r="R178" t="s">
        <v>109</v>
      </c>
      <c r="S178">
        <v>3.7</v>
      </c>
      <c r="T178" t="s">
        <v>110</v>
      </c>
      <c r="U178">
        <v>3.7</v>
      </c>
      <c r="V178">
        <v>1651.2487853431401</v>
      </c>
      <c r="W178">
        <v>13.00195893970977</v>
      </c>
      <c r="X178" t="s">
        <v>111</v>
      </c>
      <c r="Y178">
        <v>14.4</v>
      </c>
      <c r="Z178">
        <v>0.23552730994099891</v>
      </c>
      <c r="AA178">
        <v>31.536000000000001</v>
      </c>
    </row>
    <row r="179" spans="1:27" hidden="1" x14ac:dyDescent="0.25">
      <c r="A179" t="s">
        <v>98</v>
      </c>
      <c r="B179" t="s">
        <v>499</v>
      </c>
      <c r="D179" t="s">
        <v>100</v>
      </c>
      <c r="E179" t="s">
        <v>101</v>
      </c>
      <c r="F179" t="s">
        <v>117</v>
      </c>
      <c r="G179" t="s">
        <v>67</v>
      </c>
      <c r="H179" t="s">
        <v>104</v>
      </c>
      <c r="I179">
        <v>2023</v>
      </c>
      <c r="J179" t="s">
        <v>126</v>
      </c>
      <c r="K179" t="s">
        <v>106</v>
      </c>
      <c r="L179" t="s">
        <v>500</v>
      </c>
      <c r="M179" t="s">
        <v>508</v>
      </c>
      <c r="N179">
        <v>1</v>
      </c>
      <c r="O179">
        <v>2023</v>
      </c>
      <c r="P179">
        <v>497.90495550017158</v>
      </c>
      <c r="Q179">
        <v>3.810497108419681</v>
      </c>
      <c r="R179" t="s">
        <v>109</v>
      </c>
      <c r="S179">
        <v>3.8</v>
      </c>
      <c r="T179" t="s">
        <v>110</v>
      </c>
      <c r="U179">
        <v>3.8</v>
      </c>
      <c r="V179">
        <v>1698.9226347887429</v>
      </c>
      <c r="W179">
        <v>13.00195893970977</v>
      </c>
      <c r="X179" t="s">
        <v>111</v>
      </c>
      <c r="Y179">
        <v>14.4</v>
      </c>
      <c r="Z179">
        <v>0.23552730994099891</v>
      </c>
      <c r="AA179">
        <v>31.536000000000001</v>
      </c>
    </row>
    <row r="180" spans="1:27" hidden="1" x14ac:dyDescent="0.25">
      <c r="A180" t="s">
        <v>98</v>
      </c>
      <c r="B180" t="s">
        <v>499</v>
      </c>
      <c r="D180" t="s">
        <v>100</v>
      </c>
      <c r="E180" t="s">
        <v>101</v>
      </c>
      <c r="F180" t="s">
        <v>117</v>
      </c>
      <c r="G180" t="s">
        <v>112</v>
      </c>
      <c r="H180" t="s">
        <v>104</v>
      </c>
      <c r="I180">
        <v>2023</v>
      </c>
      <c r="J180" t="s">
        <v>128</v>
      </c>
      <c r="K180" t="s">
        <v>106</v>
      </c>
      <c r="L180" t="s">
        <v>500</v>
      </c>
      <c r="M180" t="s">
        <v>509</v>
      </c>
      <c r="N180">
        <v>1</v>
      </c>
      <c r="O180">
        <v>2023</v>
      </c>
      <c r="P180">
        <v>513.14694393385037</v>
      </c>
      <c r="Q180">
        <v>3.810497108419681</v>
      </c>
      <c r="R180" t="s">
        <v>109</v>
      </c>
      <c r="S180">
        <v>4</v>
      </c>
      <c r="T180" t="s">
        <v>110</v>
      </c>
      <c r="U180">
        <v>4</v>
      </c>
      <c r="V180">
        <v>1750.930470547582</v>
      </c>
      <c r="W180">
        <v>13.00195893970977</v>
      </c>
      <c r="X180" t="s">
        <v>111</v>
      </c>
      <c r="Y180">
        <v>14.4</v>
      </c>
      <c r="Z180">
        <v>0.23552730994099891</v>
      </c>
      <c r="AA180">
        <v>31.536000000000001</v>
      </c>
    </row>
    <row r="181" spans="1:27" hidden="1" x14ac:dyDescent="0.25">
      <c r="A181" t="s">
        <v>98</v>
      </c>
      <c r="B181" t="s">
        <v>499</v>
      </c>
      <c r="D181" t="s">
        <v>100</v>
      </c>
      <c r="E181" t="s">
        <v>101</v>
      </c>
      <c r="F181" t="s">
        <v>130</v>
      </c>
      <c r="G181" t="s">
        <v>103</v>
      </c>
      <c r="H181" t="s">
        <v>131</v>
      </c>
      <c r="I181">
        <v>2022</v>
      </c>
      <c r="J181" t="s">
        <v>132</v>
      </c>
      <c r="K181" t="s">
        <v>133</v>
      </c>
      <c r="L181" t="s">
        <v>500</v>
      </c>
      <c r="M181" t="s">
        <v>510</v>
      </c>
      <c r="N181">
        <v>1</v>
      </c>
      <c r="O181">
        <v>2020</v>
      </c>
      <c r="P181">
        <v>335.32374554093201</v>
      </c>
      <c r="Q181">
        <v>6.3000218859205397</v>
      </c>
      <c r="R181" t="s">
        <v>109</v>
      </c>
      <c r="S181">
        <v>1.4</v>
      </c>
      <c r="T181" t="s">
        <v>110</v>
      </c>
      <c r="U181">
        <v>1.4</v>
      </c>
      <c r="V181">
        <v>1144.172386694459</v>
      </c>
      <c r="W181">
        <v>21.496572113653482</v>
      </c>
      <c r="X181" t="s">
        <v>111</v>
      </c>
      <c r="Y181">
        <v>15</v>
      </c>
      <c r="Z181">
        <v>0.23552730994099891</v>
      </c>
      <c r="AA181">
        <v>31.536000000000001</v>
      </c>
    </row>
    <row r="182" spans="1:27" hidden="1" x14ac:dyDescent="0.25">
      <c r="A182" t="s">
        <v>98</v>
      </c>
      <c r="B182" t="s">
        <v>499</v>
      </c>
      <c r="D182" t="s">
        <v>100</v>
      </c>
      <c r="E182" t="s">
        <v>101</v>
      </c>
      <c r="F182" t="s">
        <v>135</v>
      </c>
      <c r="G182" t="s">
        <v>103</v>
      </c>
      <c r="H182" t="s">
        <v>136</v>
      </c>
      <c r="I182">
        <v>2030</v>
      </c>
      <c r="J182" t="s">
        <v>137</v>
      </c>
      <c r="K182" t="s">
        <v>138</v>
      </c>
      <c r="L182" t="s">
        <v>500</v>
      </c>
      <c r="M182" t="s">
        <v>511</v>
      </c>
      <c r="N182">
        <v>1</v>
      </c>
      <c r="O182">
        <v>2030</v>
      </c>
      <c r="P182">
        <v>55.186509846078152</v>
      </c>
      <c r="Q182">
        <v>4.0294911951104666</v>
      </c>
      <c r="R182" t="s">
        <v>109</v>
      </c>
      <c r="S182">
        <v>0.87</v>
      </c>
      <c r="T182" t="s">
        <v>110</v>
      </c>
      <c r="U182">
        <v>0.87</v>
      </c>
      <c r="V182">
        <v>188.30423291993449</v>
      </c>
      <c r="W182">
        <v>13.749197959233321</v>
      </c>
      <c r="X182" t="s">
        <v>111</v>
      </c>
      <c r="Y182">
        <v>25</v>
      </c>
      <c r="Z182">
        <v>0.23552730994099891</v>
      </c>
      <c r="AA182">
        <v>31.536000000000001</v>
      </c>
    </row>
    <row r="183" spans="1:27" hidden="1" x14ac:dyDescent="0.25">
      <c r="A183" t="s">
        <v>98</v>
      </c>
      <c r="B183" t="s">
        <v>499</v>
      </c>
      <c r="D183" t="s">
        <v>100</v>
      </c>
      <c r="E183" t="s">
        <v>101</v>
      </c>
      <c r="F183" t="s">
        <v>135</v>
      </c>
      <c r="G183" t="s">
        <v>103</v>
      </c>
      <c r="H183" t="s">
        <v>136</v>
      </c>
      <c r="I183">
        <v>2040</v>
      </c>
      <c r="J183" t="s">
        <v>140</v>
      </c>
      <c r="K183" t="s">
        <v>138</v>
      </c>
      <c r="L183" t="s">
        <v>500</v>
      </c>
      <c r="M183" t="s">
        <v>512</v>
      </c>
      <c r="N183">
        <v>1</v>
      </c>
      <c r="O183">
        <v>2040</v>
      </c>
      <c r="P183">
        <v>53.946363557402229</v>
      </c>
      <c r="Q183">
        <v>3.9389408311754002</v>
      </c>
      <c r="R183" t="s">
        <v>109</v>
      </c>
      <c r="S183">
        <v>0.89</v>
      </c>
      <c r="T183" t="s">
        <v>110</v>
      </c>
      <c r="U183">
        <v>0.89</v>
      </c>
      <c r="V183">
        <v>184.07267712398101</v>
      </c>
      <c r="W183">
        <v>13.440227218576389</v>
      </c>
      <c r="X183" t="s">
        <v>111</v>
      </c>
      <c r="Y183">
        <v>25</v>
      </c>
      <c r="Z183">
        <v>0.23552730994099891</v>
      </c>
      <c r="AA183">
        <v>31.536000000000001</v>
      </c>
    </row>
    <row r="184" spans="1:27" hidden="1" x14ac:dyDescent="0.25">
      <c r="A184" t="s">
        <v>98</v>
      </c>
      <c r="B184" t="s">
        <v>499</v>
      </c>
      <c r="D184" t="s">
        <v>100</v>
      </c>
      <c r="E184" t="s">
        <v>142</v>
      </c>
      <c r="F184" t="s">
        <v>102</v>
      </c>
      <c r="G184" t="s">
        <v>103</v>
      </c>
      <c r="H184" t="s">
        <v>104</v>
      </c>
      <c r="I184">
        <v>2061</v>
      </c>
      <c r="J184" t="s">
        <v>143</v>
      </c>
      <c r="K184" t="s">
        <v>106</v>
      </c>
      <c r="L184" t="s">
        <v>513</v>
      </c>
      <c r="M184" t="s">
        <v>514</v>
      </c>
      <c r="N184">
        <v>1</v>
      </c>
      <c r="O184">
        <v>2061</v>
      </c>
      <c r="P184">
        <v>117.0584711706526</v>
      </c>
      <c r="Q184">
        <v>4.2000145906136934</v>
      </c>
      <c r="R184" t="s">
        <v>109</v>
      </c>
      <c r="S184">
        <v>3.2239155920281362</v>
      </c>
      <c r="T184" t="s">
        <v>110</v>
      </c>
      <c r="U184">
        <v>3.2239155920281362</v>
      </c>
      <c r="V184">
        <v>399.42017862788401</v>
      </c>
      <c r="W184">
        <v>14.33104807576899</v>
      </c>
      <c r="X184" t="s">
        <v>111</v>
      </c>
      <c r="Y184">
        <v>21</v>
      </c>
      <c r="Z184">
        <v>0.1218781971003525</v>
      </c>
      <c r="AA184">
        <v>31.536000000000001</v>
      </c>
    </row>
    <row r="185" spans="1:27" hidden="1" x14ac:dyDescent="0.25">
      <c r="A185" t="s">
        <v>98</v>
      </c>
      <c r="B185" t="s">
        <v>499</v>
      </c>
      <c r="D185" t="s">
        <v>100</v>
      </c>
      <c r="E185" t="s">
        <v>142</v>
      </c>
      <c r="F185" t="s">
        <v>102</v>
      </c>
      <c r="G185" t="s">
        <v>112</v>
      </c>
      <c r="H185" t="s">
        <v>104</v>
      </c>
      <c r="I185">
        <v>2022</v>
      </c>
      <c r="J185" t="s">
        <v>146</v>
      </c>
      <c r="K185" t="s">
        <v>106</v>
      </c>
      <c r="L185" t="s">
        <v>513</v>
      </c>
      <c r="M185" t="s">
        <v>515</v>
      </c>
      <c r="N185">
        <v>1</v>
      </c>
      <c r="O185">
        <v>2020</v>
      </c>
      <c r="P185">
        <v>200.7885700942916</v>
      </c>
      <c r="Q185">
        <v>4.2000145906136934</v>
      </c>
      <c r="R185" t="s">
        <v>109</v>
      </c>
      <c r="S185">
        <v>3.8393903868698711</v>
      </c>
      <c r="T185" t="s">
        <v>110</v>
      </c>
      <c r="U185">
        <v>3.8393903868698711</v>
      </c>
      <c r="V185">
        <v>685.1192035182313</v>
      </c>
      <c r="W185">
        <v>14.33104807576899</v>
      </c>
      <c r="X185" t="s">
        <v>111</v>
      </c>
      <c r="Y185">
        <v>21</v>
      </c>
      <c r="Z185">
        <v>0.1218781971003525</v>
      </c>
      <c r="AA185">
        <v>31.536000000000001</v>
      </c>
    </row>
    <row r="186" spans="1:27" hidden="1" x14ac:dyDescent="0.25">
      <c r="A186" t="s">
        <v>98</v>
      </c>
      <c r="B186" t="s">
        <v>499</v>
      </c>
      <c r="D186" t="s">
        <v>100</v>
      </c>
      <c r="E186" t="s">
        <v>142</v>
      </c>
      <c r="F186" t="s">
        <v>102</v>
      </c>
      <c r="G186" t="s">
        <v>103</v>
      </c>
      <c r="H186" t="s">
        <v>104</v>
      </c>
      <c r="I186">
        <v>2023</v>
      </c>
      <c r="J186" t="s">
        <v>148</v>
      </c>
      <c r="K186" t="s">
        <v>106</v>
      </c>
      <c r="L186" t="s">
        <v>513</v>
      </c>
      <c r="M186" t="s">
        <v>516</v>
      </c>
      <c r="N186">
        <v>1</v>
      </c>
      <c r="O186">
        <v>2023</v>
      </c>
      <c r="P186">
        <v>135.73557542199771</v>
      </c>
      <c r="Q186">
        <v>4.2000145906136934</v>
      </c>
      <c r="R186" t="s">
        <v>109</v>
      </c>
      <c r="S186">
        <v>3.4290738569753811</v>
      </c>
      <c r="T186" t="s">
        <v>110</v>
      </c>
      <c r="U186">
        <v>3.4290738569753811</v>
      </c>
      <c r="V186">
        <v>463.14911888927151</v>
      </c>
      <c r="W186">
        <v>14.33104807576899</v>
      </c>
      <c r="X186" t="s">
        <v>111</v>
      </c>
      <c r="Y186">
        <v>21</v>
      </c>
      <c r="Z186">
        <v>0.1218781971003525</v>
      </c>
      <c r="AA186">
        <v>31.536000000000001</v>
      </c>
    </row>
    <row r="187" spans="1:27" hidden="1" x14ac:dyDescent="0.25">
      <c r="A187" t="s">
        <v>98</v>
      </c>
      <c r="B187" t="s">
        <v>499</v>
      </c>
      <c r="D187" t="s">
        <v>100</v>
      </c>
      <c r="E187" t="s">
        <v>142</v>
      </c>
      <c r="F187" t="s">
        <v>117</v>
      </c>
      <c r="G187" t="s">
        <v>103</v>
      </c>
      <c r="H187" t="s">
        <v>104</v>
      </c>
      <c r="I187">
        <v>2033</v>
      </c>
      <c r="J187" t="s">
        <v>150</v>
      </c>
      <c r="K187" t="s">
        <v>106</v>
      </c>
      <c r="L187" t="s">
        <v>513</v>
      </c>
      <c r="M187" t="s">
        <v>517</v>
      </c>
      <c r="N187">
        <v>1</v>
      </c>
      <c r="O187">
        <v>2033</v>
      </c>
      <c r="P187">
        <v>483.9331327692995</v>
      </c>
      <c r="Q187">
        <v>3.810497108419681</v>
      </c>
      <c r="R187" t="s">
        <v>109</v>
      </c>
      <c r="S187">
        <v>5.0996483001172326</v>
      </c>
      <c r="T187" t="s">
        <v>110</v>
      </c>
      <c r="U187">
        <v>5.0996483001172326</v>
      </c>
      <c r="V187">
        <v>1651.2487853431401</v>
      </c>
      <c r="W187">
        <v>13.00195893970977</v>
      </c>
      <c r="X187" t="s">
        <v>111</v>
      </c>
      <c r="Y187">
        <v>14.4</v>
      </c>
      <c r="Z187">
        <v>0.1218781971003525</v>
      </c>
      <c r="AA187">
        <v>31.536000000000001</v>
      </c>
    </row>
    <row r="188" spans="1:27" hidden="1" x14ac:dyDescent="0.25">
      <c r="A188" t="s">
        <v>98</v>
      </c>
      <c r="B188" t="s">
        <v>499</v>
      </c>
      <c r="D188" t="s">
        <v>100</v>
      </c>
      <c r="E188" t="s">
        <v>142</v>
      </c>
      <c r="F188" t="s">
        <v>117</v>
      </c>
      <c r="G188" t="s">
        <v>67</v>
      </c>
      <c r="H188" t="s">
        <v>104</v>
      </c>
      <c r="I188">
        <v>2033</v>
      </c>
      <c r="J188" t="s">
        <v>152</v>
      </c>
      <c r="K188" t="s">
        <v>106</v>
      </c>
      <c r="L188" t="s">
        <v>513</v>
      </c>
      <c r="M188" t="s">
        <v>518</v>
      </c>
      <c r="N188">
        <v>1</v>
      </c>
      <c r="O188">
        <v>2033</v>
      </c>
      <c r="P188">
        <v>497.90495550017158</v>
      </c>
      <c r="Q188">
        <v>3.810497108419681</v>
      </c>
      <c r="R188" t="s">
        <v>109</v>
      </c>
      <c r="S188">
        <v>5.7737397420867529</v>
      </c>
      <c r="T188" t="s">
        <v>110</v>
      </c>
      <c r="U188">
        <v>5.7737397420867529</v>
      </c>
      <c r="V188">
        <v>1698.9226347887429</v>
      </c>
      <c r="W188">
        <v>13.00195893970977</v>
      </c>
      <c r="X188" t="s">
        <v>111</v>
      </c>
      <c r="Y188">
        <v>14.4</v>
      </c>
      <c r="Z188">
        <v>0.1218781971003525</v>
      </c>
      <c r="AA188">
        <v>31.536000000000001</v>
      </c>
    </row>
    <row r="189" spans="1:27" hidden="1" x14ac:dyDescent="0.25">
      <c r="A189" t="s">
        <v>98</v>
      </c>
      <c r="B189" t="s">
        <v>499</v>
      </c>
      <c r="D189" t="s">
        <v>100</v>
      </c>
      <c r="E189" t="s">
        <v>142</v>
      </c>
      <c r="F189" t="s">
        <v>117</v>
      </c>
      <c r="G189" t="s">
        <v>112</v>
      </c>
      <c r="H189" t="s">
        <v>104</v>
      </c>
      <c r="I189">
        <v>2033</v>
      </c>
      <c r="J189" t="s">
        <v>154</v>
      </c>
      <c r="K189" t="s">
        <v>106</v>
      </c>
      <c r="L189" t="s">
        <v>513</v>
      </c>
      <c r="M189" t="s">
        <v>519</v>
      </c>
      <c r="N189">
        <v>1</v>
      </c>
      <c r="O189">
        <v>2033</v>
      </c>
      <c r="P189">
        <v>513.14694393385037</v>
      </c>
      <c r="Q189">
        <v>3.810497108419681</v>
      </c>
      <c r="R189" t="s">
        <v>109</v>
      </c>
      <c r="S189">
        <v>6.4771395076201648</v>
      </c>
      <c r="T189" t="s">
        <v>110</v>
      </c>
      <c r="U189">
        <v>6.4771395076201648</v>
      </c>
      <c r="V189">
        <v>1750.930470547582</v>
      </c>
      <c r="W189">
        <v>13.00195893970977</v>
      </c>
      <c r="X189" t="s">
        <v>111</v>
      </c>
      <c r="Y189">
        <v>14.4</v>
      </c>
      <c r="Z189">
        <v>0.1218781971003525</v>
      </c>
      <c r="AA189">
        <v>31.536000000000001</v>
      </c>
    </row>
    <row r="190" spans="1:27" hidden="1" x14ac:dyDescent="0.25">
      <c r="A190" t="s">
        <v>98</v>
      </c>
      <c r="B190" t="s">
        <v>499</v>
      </c>
      <c r="D190" t="s">
        <v>100</v>
      </c>
      <c r="E190" t="s">
        <v>142</v>
      </c>
      <c r="F190" t="s">
        <v>117</v>
      </c>
      <c r="G190" t="s">
        <v>103</v>
      </c>
      <c r="H190" t="s">
        <v>104</v>
      </c>
      <c r="I190">
        <v>2023</v>
      </c>
      <c r="J190" t="s">
        <v>156</v>
      </c>
      <c r="K190" t="s">
        <v>106</v>
      </c>
      <c r="L190" t="s">
        <v>513</v>
      </c>
      <c r="M190" t="s">
        <v>520</v>
      </c>
      <c r="N190">
        <v>1</v>
      </c>
      <c r="O190">
        <v>2023</v>
      </c>
      <c r="P190">
        <v>498.32834406777368</v>
      </c>
      <c r="Q190">
        <v>3.810497108419681</v>
      </c>
      <c r="R190" t="s">
        <v>109</v>
      </c>
      <c r="S190">
        <v>3.833333333333333</v>
      </c>
      <c r="T190" t="s">
        <v>110</v>
      </c>
      <c r="U190">
        <v>3.833333333333333</v>
      </c>
      <c r="V190">
        <v>1700.3672968931551</v>
      </c>
      <c r="W190">
        <v>13.00195893970977</v>
      </c>
      <c r="X190" t="s">
        <v>111</v>
      </c>
      <c r="Y190">
        <v>14.4</v>
      </c>
      <c r="Z190">
        <v>0.1218781971003525</v>
      </c>
      <c r="AA190">
        <v>31.536000000000001</v>
      </c>
    </row>
    <row r="191" spans="1:27" hidden="1" x14ac:dyDescent="0.25">
      <c r="A191" t="s">
        <v>98</v>
      </c>
      <c r="B191" t="s">
        <v>499</v>
      </c>
      <c r="D191" t="s">
        <v>100</v>
      </c>
      <c r="E191" t="s">
        <v>142</v>
      </c>
      <c r="F191" t="s">
        <v>130</v>
      </c>
      <c r="G191" t="s">
        <v>103</v>
      </c>
      <c r="H191" t="s">
        <v>131</v>
      </c>
      <c r="I191">
        <v>2022</v>
      </c>
      <c r="J191" t="s">
        <v>158</v>
      </c>
      <c r="K191" t="s">
        <v>133</v>
      </c>
      <c r="L191" t="s">
        <v>513</v>
      </c>
      <c r="M191" t="s">
        <v>521</v>
      </c>
      <c r="N191">
        <v>1</v>
      </c>
      <c r="O191">
        <v>2020</v>
      </c>
      <c r="P191">
        <v>335.32374554093201</v>
      </c>
      <c r="Q191">
        <v>6.3000218859205397</v>
      </c>
      <c r="R191" t="s">
        <v>109</v>
      </c>
      <c r="S191">
        <v>1.2</v>
      </c>
      <c r="T191" t="s">
        <v>110</v>
      </c>
      <c r="U191">
        <v>1.2</v>
      </c>
      <c r="V191">
        <v>1144.172386694459</v>
      </c>
      <c r="W191">
        <v>21.496572113653482</v>
      </c>
      <c r="X191" t="s">
        <v>111</v>
      </c>
      <c r="Y191">
        <v>15</v>
      </c>
      <c r="Z191">
        <v>0.1218781971003525</v>
      </c>
      <c r="AA191">
        <v>31.536000000000001</v>
      </c>
    </row>
    <row r="192" spans="1:27" hidden="1" x14ac:dyDescent="0.25">
      <c r="A192" t="s">
        <v>98</v>
      </c>
      <c r="B192" t="s">
        <v>499</v>
      </c>
      <c r="D192" t="s">
        <v>100</v>
      </c>
      <c r="E192" t="s">
        <v>142</v>
      </c>
      <c r="F192" t="s">
        <v>160</v>
      </c>
      <c r="G192" t="s">
        <v>103</v>
      </c>
      <c r="H192" t="s">
        <v>104</v>
      </c>
      <c r="I192">
        <v>2030</v>
      </c>
      <c r="J192" t="s">
        <v>161</v>
      </c>
      <c r="K192" t="s">
        <v>106</v>
      </c>
      <c r="L192" t="s">
        <v>513</v>
      </c>
      <c r="M192" t="s">
        <v>522</v>
      </c>
      <c r="N192">
        <v>1</v>
      </c>
      <c r="O192">
        <v>2030</v>
      </c>
      <c r="P192">
        <v>93.992262007685454</v>
      </c>
      <c r="Q192">
        <v>4.3185633895423052</v>
      </c>
      <c r="R192" t="s">
        <v>109</v>
      </c>
      <c r="S192">
        <v>4.8178066132425448</v>
      </c>
      <c r="T192" t="s">
        <v>110</v>
      </c>
      <c r="U192">
        <v>4.8178066132425448</v>
      </c>
      <c r="V192">
        <v>320.71498717950749</v>
      </c>
      <c r="W192">
        <v>14.735553465004401</v>
      </c>
      <c r="X192" t="s">
        <v>111</v>
      </c>
      <c r="Y192">
        <v>20</v>
      </c>
      <c r="Z192">
        <v>0.1218781971003525</v>
      </c>
      <c r="AA192">
        <v>31.536000000000001</v>
      </c>
    </row>
    <row r="193" spans="1:27" hidden="1" x14ac:dyDescent="0.25">
      <c r="A193" t="s">
        <v>98</v>
      </c>
      <c r="B193" t="s">
        <v>499</v>
      </c>
      <c r="D193" t="s">
        <v>100</v>
      </c>
      <c r="E193" t="s">
        <v>142</v>
      </c>
      <c r="F193" t="s">
        <v>160</v>
      </c>
      <c r="G193" t="s">
        <v>112</v>
      </c>
      <c r="H193" t="s">
        <v>104</v>
      </c>
      <c r="I193">
        <v>2030</v>
      </c>
      <c r="J193" t="s">
        <v>163</v>
      </c>
      <c r="K193" t="s">
        <v>106</v>
      </c>
      <c r="L193" t="s">
        <v>513</v>
      </c>
      <c r="M193" t="s">
        <v>523</v>
      </c>
      <c r="N193">
        <v>1</v>
      </c>
      <c r="O193">
        <v>2030</v>
      </c>
      <c r="P193">
        <v>104.15358763013791</v>
      </c>
      <c r="Q193">
        <v>4.3185633895423052</v>
      </c>
      <c r="R193" t="s">
        <v>109</v>
      </c>
      <c r="S193">
        <v>5.1720570995103783</v>
      </c>
      <c r="T193" t="s">
        <v>110</v>
      </c>
      <c r="U193">
        <v>5.1720570995103783</v>
      </c>
      <c r="V193">
        <v>355.38687768540018</v>
      </c>
      <c r="W193">
        <v>14.735553465004401</v>
      </c>
      <c r="X193" t="s">
        <v>111</v>
      </c>
      <c r="Y193">
        <v>20</v>
      </c>
      <c r="Z193">
        <v>0.1218781971003525</v>
      </c>
      <c r="AA193">
        <v>31.536000000000001</v>
      </c>
    </row>
    <row r="194" spans="1:27" hidden="1" x14ac:dyDescent="0.25">
      <c r="A194" t="s">
        <v>98</v>
      </c>
      <c r="B194" t="s">
        <v>499</v>
      </c>
      <c r="D194" t="s">
        <v>100</v>
      </c>
      <c r="E194" t="s">
        <v>142</v>
      </c>
      <c r="F194" t="s">
        <v>160</v>
      </c>
      <c r="G194" t="s">
        <v>103</v>
      </c>
      <c r="H194" t="s">
        <v>104</v>
      </c>
      <c r="I194">
        <v>2040</v>
      </c>
      <c r="J194" t="s">
        <v>165</v>
      </c>
      <c r="K194" t="s">
        <v>106</v>
      </c>
      <c r="L194" t="s">
        <v>513</v>
      </c>
      <c r="M194" t="s">
        <v>524</v>
      </c>
      <c r="N194">
        <v>1</v>
      </c>
      <c r="O194">
        <v>2040</v>
      </c>
      <c r="P194">
        <v>93.992262007685454</v>
      </c>
      <c r="Q194">
        <v>4.3185633895423052</v>
      </c>
      <c r="R194" t="s">
        <v>109</v>
      </c>
      <c r="S194">
        <v>4.9535194755874059</v>
      </c>
      <c r="T194" t="s">
        <v>110</v>
      </c>
      <c r="U194">
        <v>4.9535194755874059</v>
      </c>
      <c r="V194">
        <v>320.71498717950749</v>
      </c>
      <c r="W194">
        <v>14.735553465004401</v>
      </c>
      <c r="X194" t="s">
        <v>111</v>
      </c>
      <c r="Y194">
        <v>20</v>
      </c>
      <c r="Z194">
        <v>0.1218781971003525</v>
      </c>
      <c r="AA194">
        <v>31.536000000000001</v>
      </c>
    </row>
    <row r="195" spans="1:27" hidden="1" x14ac:dyDescent="0.25">
      <c r="A195" t="s">
        <v>98</v>
      </c>
      <c r="B195" t="s">
        <v>499</v>
      </c>
      <c r="D195" t="s">
        <v>100</v>
      </c>
      <c r="E195" t="s">
        <v>142</v>
      </c>
      <c r="F195" t="s">
        <v>160</v>
      </c>
      <c r="G195" t="s">
        <v>112</v>
      </c>
      <c r="H195" t="s">
        <v>104</v>
      </c>
      <c r="I195">
        <v>2040</v>
      </c>
      <c r="J195" t="s">
        <v>167</v>
      </c>
      <c r="K195" t="s">
        <v>106</v>
      </c>
      <c r="L195" t="s">
        <v>513</v>
      </c>
      <c r="M195" t="s">
        <v>525</v>
      </c>
      <c r="N195">
        <v>1</v>
      </c>
      <c r="O195">
        <v>2040</v>
      </c>
      <c r="P195">
        <v>104.15358763013791</v>
      </c>
      <c r="Q195">
        <v>4.3185633895423052</v>
      </c>
      <c r="R195" t="s">
        <v>109</v>
      </c>
      <c r="S195">
        <v>5.4107674271800876</v>
      </c>
      <c r="T195" t="s">
        <v>110</v>
      </c>
      <c r="U195">
        <v>5.4107674271800876</v>
      </c>
      <c r="V195">
        <v>355.38687768540018</v>
      </c>
      <c r="W195">
        <v>14.735553465004401</v>
      </c>
      <c r="X195" t="s">
        <v>111</v>
      </c>
      <c r="Y195">
        <v>20</v>
      </c>
      <c r="Z195">
        <v>0.1218781971003525</v>
      </c>
      <c r="AA195">
        <v>31.536000000000001</v>
      </c>
    </row>
    <row r="196" spans="1:27" hidden="1" x14ac:dyDescent="0.25">
      <c r="A196" t="s">
        <v>98</v>
      </c>
      <c r="B196" t="s">
        <v>499</v>
      </c>
      <c r="D196" t="s">
        <v>100</v>
      </c>
      <c r="E196" t="s">
        <v>142</v>
      </c>
      <c r="F196" t="s">
        <v>160</v>
      </c>
      <c r="G196" t="s">
        <v>112</v>
      </c>
      <c r="H196" t="s">
        <v>104</v>
      </c>
      <c r="I196">
        <v>2022</v>
      </c>
      <c r="J196" t="s">
        <v>169</v>
      </c>
      <c r="K196" t="s">
        <v>106</v>
      </c>
      <c r="L196" t="s">
        <v>513</v>
      </c>
      <c r="M196" t="s">
        <v>526</v>
      </c>
      <c r="N196">
        <v>1</v>
      </c>
      <c r="O196">
        <v>2020</v>
      </c>
      <c r="P196">
        <v>104.15358763013791</v>
      </c>
      <c r="Q196">
        <v>4.3185633895423052</v>
      </c>
      <c r="R196" t="s">
        <v>109</v>
      </c>
      <c r="S196">
        <v>4.9886508193858967</v>
      </c>
      <c r="T196" t="s">
        <v>110</v>
      </c>
      <c r="U196">
        <v>4.9886508193858967</v>
      </c>
      <c r="V196">
        <v>355.38687768540018</v>
      </c>
      <c r="W196">
        <v>14.735553465004401</v>
      </c>
      <c r="X196" t="s">
        <v>111</v>
      </c>
      <c r="Y196">
        <v>20</v>
      </c>
      <c r="Z196">
        <v>0.1218781971003525</v>
      </c>
      <c r="AA196">
        <v>31.536000000000001</v>
      </c>
    </row>
    <row r="197" spans="1:27" hidden="1" x14ac:dyDescent="0.25">
      <c r="A197" t="s">
        <v>98</v>
      </c>
      <c r="B197" t="s">
        <v>499</v>
      </c>
      <c r="D197" t="s">
        <v>100</v>
      </c>
      <c r="E197" t="s">
        <v>142</v>
      </c>
      <c r="F197" t="s">
        <v>171</v>
      </c>
      <c r="G197" t="s">
        <v>172</v>
      </c>
      <c r="H197" t="s">
        <v>104</v>
      </c>
      <c r="I197">
        <v>2061</v>
      </c>
      <c r="J197" t="s">
        <v>173</v>
      </c>
      <c r="K197" t="s">
        <v>106</v>
      </c>
      <c r="L197" t="s">
        <v>513</v>
      </c>
      <c r="M197" t="s">
        <v>527</v>
      </c>
      <c r="N197">
        <v>1</v>
      </c>
      <c r="O197">
        <v>2061</v>
      </c>
      <c r="P197">
        <v>90.181764899265772</v>
      </c>
      <c r="Q197">
        <v>3.3024308272970568</v>
      </c>
      <c r="R197" t="s">
        <v>109</v>
      </c>
      <c r="S197">
        <v>4.1038492738238714</v>
      </c>
      <c r="T197" t="s">
        <v>110</v>
      </c>
      <c r="U197">
        <v>4.1038492738238714</v>
      </c>
      <c r="V197">
        <v>307.71302823979772</v>
      </c>
      <c r="W197">
        <v>11.26836441441513</v>
      </c>
      <c r="X197" t="s">
        <v>111</v>
      </c>
      <c r="Y197">
        <v>20</v>
      </c>
      <c r="Z197">
        <v>0.1218781971003525</v>
      </c>
      <c r="AA197">
        <v>31.536000000000001</v>
      </c>
    </row>
    <row r="198" spans="1:27" hidden="1" x14ac:dyDescent="0.25">
      <c r="A198" t="s">
        <v>98</v>
      </c>
      <c r="B198" t="s">
        <v>499</v>
      </c>
      <c r="D198" t="s">
        <v>100</v>
      </c>
      <c r="E198" t="s">
        <v>142</v>
      </c>
      <c r="F198" t="s">
        <v>171</v>
      </c>
      <c r="G198" t="s">
        <v>112</v>
      </c>
      <c r="H198" t="s">
        <v>104</v>
      </c>
      <c r="I198">
        <v>2022</v>
      </c>
      <c r="J198" t="s">
        <v>175</v>
      </c>
      <c r="K198" t="s">
        <v>106</v>
      </c>
      <c r="L198" t="s">
        <v>513</v>
      </c>
      <c r="M198" t="s">
        <v>528</v>
      </c>
      <c r="N198">
        <v>1</v>
      </c>
      <c r="O198">
        <v>2020</v>
      </c>
      <c r="P198">
        <v>99.072924818911702</v>
      </c>
      <c r="Q198">
        <v>3.3024308272970568</v>
      </c>
      <c r="R198" t="s">
        <v>109</v>
      </c>
      <c r="S198">
        <v>6.6358468446548251</v>
      </c>
      <c r="T198" t="s">
        <v>110</v>
      </c>
      <c r="U198">
        <v>6.6358468446548251</v>
      </c>
      <c r="V198">
        <v>338.05093243245392</v>
      </c>
      <c r="W198">
        <v>11.26836441441513</v>
      </c>
      <c r="X198" t="s">
        <v>111</v>
      </c>
      <c r="Y198">
        <v>20</v>
      </c>
      <c r="Z198">
        <v>0.1218781971003525</v>
      </c>
      <c r="AA198">
        <v>31.536000000000001</v>
      </c>
    </row>
    <row r="199" spans="1:27" hidden="1" x14ac:dyDescent="0.25">
      <c r="A199" t="s">
        <v>98</v>
      </c>
      <c r="B199" t="s">
        <v>499</v>
      </c>
      <c r="D199" t="s">
        <v>100</v>
      </c>
      <c r="E199" t="s">
        <v>142</v>
      </c>
      <c r="F199" t="s">
        <v>171</v>
      </c>
      <c r="G199" t="s">
        <v>103</v>
      </c>
      <c r="H199" t="s">
        <v>104</v>
      </c>
      <c r="I199">
        <v>2030</v>
      </c>
      <c r="J199" t="s">
        <v>177</v>
      </c>
      <c r="K199" t="s">
        <v>106</v>
      </c>
      <c r="L199" t="s">
        <v>513</v>
      </c>
      <c r="M199" t="s">
        <v>529</v>
      </c>
      <c r="N199">
        <v>1</v>
      </c>
      <c r="O199">
        <v>2030</v>
      </c>
      <c r="P199">
        <v>90.181764899265772</v>
      </c>
      <c r="Q199">
        <v>3.3024308272970568</v>
      </c>
      <c r="R199" t="s">
        <v>109</v>
      </c>
      <c r="S199">
        <v>4.8847205939820251</v>
      </c>
      <c r="T199" t="s">
        <v>110</v>
      </c>
      <c r="U199">
        <v>4.8847205939820251</v>
      </c>
      <c r="V199">
        <v>307.71302823979772</v>
      </c>
      <c r="W199">
        <v>11.26836441441513</v>
      </c>
      <c r="X199" t="s">
        <v>111</v>
      </c>
      <c r="Y199">
        <v>20</v>
      </c>
      <c r="Z199">
        <v>0.1218781971003525</v>
      </c>
      <c r="AA199">
        <v>31.536000000000001</v>
      </c>
    </row>
    <row r="200" spans="1:27" hidden="1" x14ac:dyDescent="0.25">
      <c r="A200" t="s">
        <v>98</v>
      </c>
      <c r="B200" t="s">
        <v>499</v>
      </c>
      <c r="D200" t="s">
        <v>100</v>
      </c>
      <c r="E200" t="s">
        <v>142</v>
      </c>
      <c r="F200" t="s">
        <v>171</v>
      </c>
      <c r="G200" t="s">
        <v>112</v>
      </c>
      <c r="H200" t="s">
        <v>104</v>
      </c>
      <c r="I200">
        <v>2030</v>
      </c>
      <c r="J200" t="s">
        <v>179</v>
      </c>
      <c r="K200" t="s">
        <v>106</v>
      </c>
      <c r="L200" t="s">
        <v>513</v>
      </c>
      <c r="M200" t="s">
        <v>530</v>
      </c>
      <c r="N200">
        <v>1</v>
      </c>
      <c r="O200">
        <v>2030</v>
      </c>
      <c r="P200">
        <v>99.072924818911702</v>
      </c>
      <c r="Q200">
        <v>3.3024308272970568</v>
      </c>
      <c r="R200" t="s">
        <v>109</v>
      </c>
      <c r="S200">
        <v>7.1775486278919534</v>
      </c>
      <c r="T200" t="s">
        <v>110</v>
      </c>
      <c r="U200">
        <v>7.1775486278919534</v>
      </c>
      <c r="V200">
        <v>338.05093243245392</v>
      </c>
      <c r="W200">
        <v>11.26836441441513</v>
      </c>
      <c r="X200" t="s">
        <v>111</v>
      </c>
      <c r="Y200">
        <v>20</v>
      </c>
      <c r="Z200">
        <v>0.1218781971003525</v>
      </c>
      <c r="AA200">
        <v>31.536000000000001</v>
      </c>
    </row>
    <row r="201" spans="1:27" hidden="1" x14ac:dyDescent="0.25">
      <c r="A201" t="s">
        <v>98</v>
      </c>
      <c r="B201" t="s">
        <v>499</v>
      </c>
      <c r="D201" t="s">
        <v>100</v>
      </c>
      <c r="E201" t="s">
        <v>142</v>
      </c>
      <c r="F201" t="s">
        <v>171</v>
      </c>
      <c r="G201" t="s">
        <v>103</v>
      </c>
      <c r="H201" t="s">
        <v>104</v>
      </c>
      <c r="I201">
        <v>2040</v>
      </c>
      <c r="J201" t="s">
        <v>181</v>
      </c>
      <c r="K201" t="s">
        <v>106</v>
      </c>
      <c r="L201" t="s">
        <v>513</v>
      </c>
      <c r="M201" t="s">
        <v>531</v>
      </c>
      <c r="N201">
        <v>1</v>
      </c>
      <c r="O201">
        <v>2040</v>
      </c>
      <c r="P201">
        <v>90.181764899265772</v>
      </c>
      <c r="Q201">
        <v>3.3024308272970568</v>
      </c>
      <c r="R201" t="s">
        <v>109</v>
      </c>
      <c r="S201">
        <v>5.1720570995103783</v>
      </c>
      <c r="T201" t="s">
        <v>110</v>
      </c>
      <c r="U201">
        <v>5.1720570995103783</v>
      </c>
      <c r="V201">
        <v>307.71302823979772</v>
      </c>
      <c r="W201">
        <v>11.26836441441513</v>
      </c>
      <c r="X201" t="s">
        <v>111</v>
      </c>
      <c r="Y201">
        <v>20</v>
      </c>
      <c r="Z201">
        <v>0.1218781971003525</v>
      </c>
      <c r="AA201">
        <v>31.536000000000001</v>
      </c>
    </row>
    <row r="202" spans="1:27" hidden="1" x14ac:dyDescent="0.25">
      <c r="A202" t="s">
        <v>98</v>
      </c>
      <c r="B202" t="s">
        <v>499</v>
      </c>
      <c r="D202" t="s">
        <v>100</v>
      </c>
      <c r="E202" t="s">
        <v>142</v>
      </c>
      <c r="F202" t="s">
        <v>171</v>
      </c>
      <c r="G202" t="s">
        <v>112</v>
      </c>
      <c r="H202" t="s">
        <v>104</v>
      </c>
      <c r="I202">
        <v>2040</v>
      </c>
      <c r="J202" t="s">
        <v>183</v>
      </c>
      <c r="K202" t="s">
        <v>106</v>
      </c>
      <c r="L202" t="s">
        <v>513</v>
      </c>
      <c r="M202" t="s">
        <v>532</v>
      </c>
      <c r="N202">
        <v>1</v>
      </c>
      <c r="O202">
        <v>2040</v>
      </c>
      <c r="P202">
        <v>99.072924818911702</v>
      </c>
      <c r="Q202">
        <v>3.3024308272970568</v>
      </c>
      <c r="R202" t="s">
        <v>109</v>
      </c>
      <c r="S202">
        <v>7.815552950371238</v>
      </c>
      <c r="T202" t="s">
        <v>110</v>
      </c>
      <c r="U202">
        <v>7.815552950371238</v>
      </c>
      <c r="V202">
        <v>338.05093243245392</v>
      </c>
      <c r="W202">
        <v>11.26836441441513</v>
      </c>
      <c r="X202" t="s">
        <v>111</v>
      </c>
      <c r="Y202">
        <v>20</v>
      </c>
      <c r="Z202">
        <v>0.1218781971003525</v>
      </c>
      <c r="AA202">
        <v>31.536000000000001</v>
      </c>
    </row>
    <row r="203" spans="1:27" hidden="1" x14ac:dyDescent="0.25">
      <c r="A203" t="s">
        <v>98</v>
      </c>
      <c r="B203" t="s">
        <v>499</v>
      </c>
      <c r="D203" t="s">
        <v>100</v>
      </c>
      <c r="E203" t="s">
        <v>142</v>
      </c>
      <c r="F203" t="s">
        <v>185</v>
      </c>
      <c r="G203" t="s">
        <v>112</v>
      </c>
      <c r="H203" t="s">
        <v>104</v>
      </c>
      <c r="I203">
        <v>2022</v>
      </c>
      <c r="J203" t="s">
        <v>186</v>
      </c>
      <c r="K203" t="s">
        <v>106</v>
      </c>
      <c r="L203" t="s">
        <v>513</v>
      </c>
      <c r="M203" t="s">
        <v>533</v>
      </c>
      <c r="N203">
        <v>1</v>
      </c>
      <c r="O203">
        <v>2020</v>
      </c>
      <c r="P203">
        <v>97.802759116105136</v>
      </c>
      <c r="Q203">
        <v>3.5564639678583689</v>
      </c>
      <c r="R203" t="s">
        <v>109</v>
      </c>
      <c r="S203">
        <v>4.4518972502114647</v>
      </c>
      <c r="T203" t="s">
        <v>110</v>
      </c>
      <c r="U203">
        <v>4.4518972502114647</v>
      </c>
      <c r="V203">
        <v>333.71694611921731</v>
      </c>
      <c r="W203">
        <v>12.135161677062451</v>
      </c>
      <c r="X203" t="s">
        <v>111</v>
      </c>
      <c r="Y203">
        <v>20</v>
      </c>
      <c r="Z203">
        <v>0.1218781971003525</v>
      </c>
      <c r="AA203">
        <v>31.536000000000001</v>
      </c>
    </row>
    <row r="204" spans="1:27" hidden="1" x14ac:dyDescent="0.25">
      <c r="A204" t="s">
        <v>98</v>
      </c>
      <c r="B204" t="s">
        <v>499</v>
      </c>
      <c r="D204" t="s">
        <v>100</v>
      </c>
      <c r="E204" t="s">
        <v>142</v>
      </c>
      <c r="F204" t="s">
        <v>188</v>
      </c>
      <c r="G204" t="s">
        <v>103</v>
      </c>
      <c r="H204" t="s">
        <v>104</v>
      </c>
      <c r="I204">
        <v>2030</v>
      </c>
      <c r="J204" t="s">
        <v>189</v>
      </c>
      <c r="K204" t="s">
        <v>106</v>
      </c>
      <c r="L204" t="s">
        <v>513</v>
      </c>
      <c r="M204" t="s">
        <v>534</v>
      </c>
      <c r="N204">
        <v>1</v>
      </c>
      <c r="O204">
        <v>2030</v>
      </c>
      <c r="P204">
        <v>49.536462409455851</v>
      </c>
      <c r="Q204">
        <v>3.0483976867357452</v>
      </c>
      <c r="R204" t="s">
        <v>109</v>
      </c>
      <c r="S204">
        <v>10.04856807904874</v>
      </c>
      <c r="T204" t="s">
        <v>110</v>
      </c>
      <c r="U204">
        <v>10.04856807904874</v>
      </c>
      <c r="V204">
        <v>169.0254662162269</v>
      </c>
      <c r="W204">
        <v>10.401567151767811</v>
      </c>
      <c r="X204" t="s">
        <v>111</v>
      </c>
      <c r="Y204">
        <v>25</v>
      </c>
      <c r="Z204">
        <v>0.1218781971003525</v>
      </c>
      <c r="AA204">
        <v>31.536000000000001</v>
      </c>
    </row>
    <row r="205" spans="1:27" hidden="1" x14ac:dyDescent="0.25">
      <c r="A205" t="s">
        <v>98</v>
      </c>
      <c r="B205" t="s">
        <v>499</v>
      </c>
      <c r="D205" t="s">
        <v>100</v>
      </c>
      <c r="E205" t="s">
        <v>142</v>
      </c>
      <c r="F205" t="s">
        <v>188</v>
      </c>
      <c r="G205" t="s">
        <v>112</v>
      </c>
      <c r="H205" t="s">
        <v>104</v>
      </c>
      <c r="I205">
        <v>2030</v>
      </c>
      <c r="J205" t="s">
        <v>191</v>
      </c>
      <c r="K205" t="s">
        <v>106</v>
      </c>
      <c r="L205" t="s">
        <v>513</v>
      </c>
      <c r="M205" t="s">
        <v>535</v>
      </c>
      <c r="N205">
        <v>1</v>
      </c>
      <c r="O205">
        <v>2030</v>
      </c>
      <c r="P205">
        <v>64.778450843134578</v>
      </c>
      <c r="Q205">
        <v>3.0483976867357452</v>
      </c>
      <c r="R205" t="s">
        <v>109</v>
      </c>
      <c r="S205">
        <v>13.02592158395206</v>
      </c>
      <c r="T205" t="s">
        <v>110</v>
      </c>
      <c r="U205">
        <v>13.02592158395206</v>
      </c>
      <c r="V205">
        <v>221.033301975066</v>
      </c>
      <c r="W205">
        <v>10.401567151767811</v>
      </c>
      <c r="X205" t="s">
        <v>111</v>
      </c>
      <c r="Y205">
        <v>25</v>
      </c>
      <c r="Z205">
        <v>0.1218781971003525</v>
      </c>
      <c r="AA205">
        <v>31.536000000000001</v>
      </c>
    </row>
    <row r="206" spans="1:27" hidden="1" x14ac:dyDescent="0.25">
      <c r="A206" t="s">
        <v>98</v>
      </c>
      <c r="B206" t="s">
        <v>499</v>
      </c>
      <c r="D206" t="s">
        <v>100</v>
      </c>
      <c r="E206" t="s">
        <v>142</v>
      </c>
      <c r="F206" t="s">
        <v>188</v>
      </c>
      <c r="G206" t="s">
        <v>103</v>
      </c>
      <c r="H206" t="s">
        <v>104</v>
      </c>
      <c r="I206">
        <v>2040</v>
      </c>
      <c r="J206" t="s">
        <v>193</v>
      </c>
      <c r="K206" t="s">
        <v>106</v>
      </c>
      <c r="L206" t="s">
        <v>513</v>
      </c>
      <c r="M206" t="s">
        <v>536</v>
      </c>
      <c r="N206">
        <v>1</v>
      </c>
      <c r="O206">
        <v>2040</v>
      </c>
      <c r="P206">
        <v>49.536462409455851</v>
      </c>
      <c r="Q206">
        <v>3.0483976867357452</v>
      </c>
      <c r="R206" t="s">
        <v>109</v>
      </c>
      <c r="S206">
        <v>10.34411419902076</v>
      </c>
      <c r="T206" t="s">
        <v>110</v>
      </c>
      <c r="U206">
        <v>10.34411419902076</v>
      </c>
      <c r="V206">
        <v>169.0254662162269</v>
      </c>
      <c r="W206">
        <v>10.401567151767811</v>
      </c>
      <c r="X206" t="s">
        <v>111</v>
      </c>
      <c r="Y206">
        <v>25</v>
      </c>
      <c r="Z206">
        <v>0.1218781971003525</v>
      </c>
      <c r="AA206">
        <v>31.536000000000001</v>
      </c>
    </row>
    <row r="207" spans="1:27" hidden="1" x14ac:dyDescent="0.25">
      <c r="A207" t="s">
        <v>98</v>
      </c>
      <c r="B207" t="s">
        <v>499</v>
      </c>
      <c r="D207" t="s">
        <v>100</v>
      </c>
      <c r="E207" t="s">
        <v>142</v>
      </c>
      <c r="F207" t="s">
        <v>188</v>
      </c>
      <c r="G207" t="s">
        <v>112</v>
      </c>
      <c r="H207" t="s">
        <v>104</v>
      </c>
      <c r="I207">
        <v>2040</v>
      </c>
      <c r="J207" t="s">
        <v>195</v>
      </c>
      <c r="K207" t="s">
        <v>106</v>
      </c>
      <c r="L207" t="s">
        <v>513</v>
      </c>
      <c r="M207" t="s">
        <v>537</v>
      </c>
      <c r="N207">
        <v>1</v>
      </c>
      <c r="O207">
        <v>2040</v>
      </c>
      <c r="P207">
        <v>64.778450843134578</v>
      </c>
      <c r="Q207">
        <v>3.0483976867357452</v>
      </c>
      <c r="R207" t="s">
        <v>109</v>
      </c>
      <c r="S207">
        <v>14.067995310668231</v>
      </c>
      <c r="T207" t="s">
        <v>110</v>
      </c>
      <c r="U207">
        <v>14.067995310668231</v>
      </c>
      <c r="V207">
        <v>221.033301975066</v>
      </c>
      <c r="W207">
        <v>10.401567151767811</v>
      </c>
      <c r="X207" t="s">
        <v>111</v>
      </c>
      <c r="Y207">
        <v>25</v>
      </c>
      <c r="Z207">
        <v>0.1218781971003525</v>
      </c>
      <c r="AA207">
        <v>31.536000000000001</v>
      </c>
    </row>
    <row r="208" spans="1:27" hidden="1" x14ac:dyDescent="0.25">
      <c r="A208" t="s">
        <v>98</v>
      </c>
      <c r="B208" t="s">
        <v>499</v>
      </c>
      <c r="D208" t="s">
        <v>100</v>
      </c>
      <c r="E208" t="s">
        <v>142</v>
      </c>
      <c r="F208" t="s">
        <v>188</v>
      </c>
      <c r="G208" t="s">
        <v>112</v>
      </c>
      <c r="H208" t="s">
        <v>104</v>
      </c>
      <c r="I208">
        <v>2022</v>
      </c>
      <c r="J208" t="s">
        <v>197</v>
      </c>
      <c r="K208" t="s">
        <v>106</v>
      </c>
      <c r="L208" t="s">
        <v>513</v>
      </c>
      <c r="M208" t="s">
        <v>538</v>
      </c>
      <c r="N208">
        <v>1</v>
      </c>
      <c r="O208">
        <v>2020</v>
      </c>
      <c r="P208">
        <v>64.778450843134578</v>
      </c>
      <c r="Q208">
        <v>3.0483976867357452</v>
      </c>
      <c r="R208" t="s">
        <v>109</v>
      </c>
      <c r="S208">
        <v>12.12758216436916</v>
      </c>
      <c r="T208" t="s">
        <v>110</v>
      </c>
      <c r="U208">
        <v>12.12758216436916</v>
      </c>
      <c r="V208">
        <v>221.033301975066</v>
      </c>
      <c r="W208">
        <v>10.401567151767811</v>
      </c>
      <c r="X208" t="s">
        <v>111</v>
      </c>
      <c r="Y208">
        <v>25</v>
      </c>
      <c r="Z208">
        <v>0.1218781971003525</v>
      </c>
      <c r="AA208">
        <v>31.536000000000001</v>
      </c>
    </row>
    <row r="209" spans="1:27" hidden="1" x14ac:dyDescent="0.25">
      <c r="A209" t="s">
        <v>98</v>
      </c>
      <c r="B209" t="s">
        <v>499</v>
      </c>
      <c r="D209" t="s">
        <v>100</v>
      </c>
      <c r="E209" t="s">
        <v>142</v>
      </c>
      <c r="F209" t="s">
        <v>199</v>
      </c>
      <c r="G209" t="s">
        <v>103</v>
      </c>
      <c r="H209" t="s">
        <v>131</v>
      </c>
      <c r="I209">
        <v>2030</v>
      </c>
      <c r="J209" t="s">
        <v>200</v>
      </c>
      <c r="K209" t="s">
        <v>133</v>
      </c>
      <c r="L209" t="s">
        <v>513</v>
      </c>
      <c r="M209" t="s">
        <v>539</v>
      </c>
      <c r="N209">
        <v>1</v>
      </c>
      <c r="O209">
        <v>2030</v>
      </c>
      <c r="P209">
        <v>93.992262007685454</v>
      </c>
      <c r="Q209">
        <v>2.7943645461744331</v>
      </c>
      <c r="R209" t="s">
        <v>109</v>
      </c>
      <c r="S209">
        <v>1.4</v>
      </c>
      <c r="T209" t="s">
        <v>110</v>
      </c>
      <c r="U209">
        <v>1.4</v>
      </c>
      <c r="V209">
        <v>320.71498717950749</v>
      </c>
      <c r="W209">
        <v>9.5347698891204935</v>
      </c>
      <c r="X209" t="s">
        <v>111</v>
      </c>
      <c r="Y209">
        <v>23</v>
      </c>
      <c r="Z209">
        <v>0.1218781971003525</v>
      </c>
      <c r="AA209">
        <v>31.536000000000001</v>
      </c>
    </row>
    <row r="210" spans="1:27" hidden="1" x14ac:dyDescent="0.25">
      <c r="A210" t="s">
        <v>98</v>
      </c>
      <c r="B210" t="s">
        <v>499</v>
      </c>
      <c r="D210" t="s">
        <v>100</v>
      </c>
      <c r="E210" t="s">
        <v>142</v>
      </c>
      <c r="F210" t="s">
        <v>202</v>
      </c>
      <c r="G210" t="s">
        <v>103</v>
      </c>
      <c r="H210" t="s">
        <v>104</v>
      </c>
      <c r="I210">
        <v>2023</v>
      </c>
      <c r="J210" t="s">
        <v>203</v>
      </c>
      <c r="K210" t="s">
        <v>106</v>
      </c>
      <c r="L210" t="s">
        <v>513</v>
      </c>
      <c r="M210" t="s">
        <v>540</v>
      </c>
      <c r="N210">
        <v>1</v>
      </c>
      <c r="O210">
        <v>2023</v>
      </c>
      <c r="P210">
        <v>138.8714501735173</v>
      </c>
      <c r="Q210">
        <v>4.2000145906136934</v>
      </c>
      <c r="R210" t="s">
        <v>109</v>
      </c>
      <c r="S210">
        <v>3.5756154747948421</v>
      </c>
      <c r="T210" t="s">
        <v>110</v>
      </c>
      <c r="U210">
        <v>3.5756154747948421</v>
      </c>
      <c r="V210">
        <v>473.84917024720039</v>
      </c>
      <c r="W210">
        <v>14.33104807576899</v>
      </c>
      <c r="X210" t="s">
        <v>111</v>
      </c>
      <c r="Y210">
        <v>21</v>
      </c>
      <c r="Z210">
        <v>0.1218781971003525</v>
      </c>
      <c r="AA210">
        <v>31.536000000000001</v>
      </c>
    </row>
    <row r="211" spans="1:27" hidden="1" x14ac:dyDescent="0.25">
      <c r="A211" t="s">
        <v>98</v>
      </c>
      <c r="B211" t="s">
        <v>499</v>
      </c>
      <c r="D211" t="s">
        <v>100</v>
      </c>
      <c r="E211" t="s">
        <v>142</v>
      </c>
      <c r="F211" t="s">
        <v>202</v>
      </c>
      <c r="G211" t="s">
        <v>112</v>
      </c>
      <c r="H211" t="s">
        <v>104</v>
      </c>
      <c r="I211">
        <v>2022</v>
      </c>
      <c r="J211" t="s">
        <v>205</v>
      </c>
      <c r="K211" t="s">
        <v>106</v>
      </c>
      <c r="L211" t="s">
        <v>513</v>
      </c>
      <c r="M211" t="s">
        <v>541</v>
      </c>
      <c r="N211">
        <v>1</v>
      </c>
      <c r="O211">
        <v>2020</v>
      </c>
      <c r="P211">
        <v>201.87166903272271</v>
      </c>
      <c r="Q211">
        <v>4.2000145906136934</v>
      </c>
      <c r="R211" t="s">
        <v>109</v>
      </c>
      <c r="S211">
        <v>3.7514654161781951</v>
      </c>
      <c r="T211" t="s">
        <v>110</v>
      </c>
      <c r="U211">
        <v>3.7514654161781951</v>
      </c>
      <c r="V211">
        <v>688.81489138373513</v>
      </c>
      <c r="W211">
        <v>14.33104807576899</v>
      </c>
      <c r="X211" t="s">
        <v>111</v>
      </c>
      <c r="Y211">
        <v>21</v>
      </c>
      <c r="Z211">
        <v>0.1218781971003525</v>
      </c>
      <c r="AA211">
        <v>31.536000000000001</v>
      </c>
    </row>
    <row r="212" spans="1:27" hidden="1" x14ac:dyDescent="0.25">
      <c r="A212" t="s">
        <v>98</v>
      </c>
      <c r="B212" t="s">
        <v>499</v>
      </c>
      <c r="D212" t="s">
        <v>100</v>
      </c>
      <c r="E212" t="s">
        <v>142</v>
      </c>
      <c r="F212" t="s">
        <v>207</v>
      </c>
      <c r="G212" t="s">
        <v>103</v>
      </c>
      <c r="H212" t="s">
        <v>104</v>
      </c>
      <c r="I212">
        <v>2030</v>
      </c>
      <c r="J212" t="s">
        <v>208</v>
      </c>
      <c r="K212" t="s">
        <v>106</v>
      </c>
      <c r="L212" t="s">
        <v>513</v>
      </c>
      <c r="M212" t="s">
        <v>542</v>
      </c>
      <c r="N212">
        <v>1</v>
      </c>
      <c r="O212">
        <v>2030</v>
      </c>
      <c r="P212">
        <v>74.322838838509583</v>
      </c>
      <c r="Q212">
        <v>1.219359074694298E-2</v>
      </c>
      <c r="R212" t="s">
        <v>109</v>
      </c>
      <c r="S212">
        <v>3.5902696365767879</v>
      </c>
      <c r="T212" t="s">
        <v>110</v>
      </c>
      <c r="U212">
        <v>3.5902696365767879</v>
      </c>
      <c r="V212">
        <v>253.60011341452949</v>
      </c>
      <c r="W212">
        <v>4.1606268607071263E-2</v>
      </c>
      <c r="X212" t="s">
        <v>111</v>
      </c>
      <c r="Y212">
        <v>9.5</v>
      </c>
      <c r="Z212">
        <v>0.1218781971003525</v>
      </c>
      <c r="AA212">
        <v>31.536000000000001</v>
      </c>
    </row>
    <row r="213" spans="1:27" hidden="1" x14ac:dyDescent="0.25">
      <c r="A213" t="s">
        <v>98</v>
      </c>
      <c r="B213" t="s">
        <v>499</v>
      </c>
      <c r="D213" t="s">
        <v>100</v>
      </c>
      <c r="E213" t="s">
        <v>142</v>
      </c>
      <c r="F213" t="s">
        <v>207</v>
      </c>
      <c r="G213" t="s">
        <v>112</v>
      </c>
      <c r="H213" t="s">
        <v>104</v>
      </c>
      <c r="I213">
        <v>2030</v>
      </c>
      <c r="J213" t="s">
        <v>210</v>
      </c>
      <c r="K213" t="s">
        <v>106</v>
      </c>
      <c r="L213" t="s">
        <v>513</v>
      </c>
      <c r="M213" t="s">
        <v>543</v>
      </c>
      <c r="N213">
        <v>1</v>
      </c>
      <c r="O213">
        <v>2030</v>
      </c>
      <c r="P213">
        <v>81.871252158045721</v>
      </c>
      <c r="Q213">
        <v>1.219359074694298E-2</v>
      </c>
      <c r="R213" t="s">
        <v>109</v>
      </c>
      <c r="S213">
        <v>3.8100820633059791</v>
      </c>
      <c r="T213" t="s">
        <v>110</v>
      </c>
      <c r="U213">
        <v>3.8100820633059791</v>
      </c>
      <c r="V213">
        <v>279.35637493319268</v>
      </c>
      <c r="W213">
        <v>4.1606268607071263E-2</v>
      </c>
      <c r="X213" t="s">
        <v>111</v>
      </c>
      <c r="Y213">
        <v>9.5</v>
      </c>
      <c r="Z213">
        <v>0.1218781971003525</v>
      </c>
      <c r="AA213">
        <v>31.536000000000001</v>
      </c>
    </row>
    <row r="214" spans="1:27" hidden="1" x14ac:dyDescent="0.25">
      <c r="A214" t="s">
        <v>98</v>
      </c>
      <c r="B214" t="s">
        <v>499</v>
      </c>
      <c r="D214" t="s">
        <v>100</v>
      </c>
      <c r="E214" t="s">
        <v>142</v>
      </c>
      <c r="F214" t="s">
        <v>207</v>
      </c>
      <c r="G214" t="s">
        <v>103</v>
      </c>
      <c r="H214" t="s">
        <v>104</v>
      </c>
      <c r="I214">
        <v>2040</v>
      </c>
      <c r="J214" t="s">
        <v>212</v>
      </c>
      <c r="K214" t="s">
        <v>106</v>
      </c>
      <c r="L214" t="s">
        <v>513</v>
      </c>
      <c r="M214" t="s">
        <v>544</v>
      </c>
      <c r="N214">
        <v>1</v>
      </c>
      <c r="O214">
        <v>2040</v>
      </c>
      <c r="P214">
        <v>74.322838838509583</v>
      </c>
      <c r="Q214">
        <v>1.219359074694298E-2</v>
      </c>
      <c r="R214" t="s">
        <v>109</v>
      </c>
      <c r="S214">
        <v>3.6635404454865181</v>
      </c>
      <c r="T214" t="s">
        <v>110</v>
      </c>
      <c r="U214">
        <v>3.6635404454865181</v>
      </c>
      <c r="V214">
        <v>253.60011341452949</v>
      </c>
      <c r="W214">
        <v>4.1606268607071263E-2</v>
      </c>
      <c r="X214" t="s">
        <v>111</v>
      </c>
      <c r="Y214">
        <v>9.5</v>
      </c>
      <c r="Z214">
        <v>0.1218781971003525</v>
      </c>
      <c r="AA214">
        <v>31.536000000000001</v>
      </c>
    </row>
    <row r="215" spans="1:27" hidden="1" x14ac:dyDescent="0.25">
      <c r="A215" t="s">
        <v>98</v>
      </c>
      <c r="B215" t="s">
        <v>499</v>
      </c>
      <c r="D215" t="s">
        <v>100</v>
      </c>
      <c r="E215" t="s">
        <v>142</v>
      </c>
      <c r="F215" t="s">
        <v>207</v>
      </c>
      <c r="G215" t="s">
        <v>112</v>
      </c>
      <c r="H215" t="s">
        <v>104</v>
      </c>
      <c r="I215">
        <v>2040</v>
      </c>
      <c r="J215" t="s">
        <v>214</v>
      </c>
      <c r="K215" t="s">
        <v>106</v>
      </c>
      <c r="L215" t="s">
        <v>513</v>
      </c>
      <c r="M215" t="s">
        <v>545</v>
      </c>
      <c r="N215">
        <v>1</v>
      </c>
      <c r="O215">
        <v>2040</v>
      </c>
      <c r="P215">
        <v>81.871252158045721</v>
      </c>
      <c r="Q215">
        <v>1.219359074694298E-2</v>
      </c>
      <c r="R215" t="s">
        <v>109</v>
      </c>
      <c r="S215">
        <v>3.9566236811254401</v>
      </c>
      <c r="T215" t="s">
        <v>110</v>
      </c>
      <c r="U215">
        <v>3.9566236811254401</v>
      </c>
      <c r="V215">
        <v>279.35637493319268</v>
      </c>
      <c r="W215">
        <v>4.1606268607071263E-2</v>
      </c>
      <c r="X215" t="s">
        <v>111</v>
      </c>
      <c r="Y215">
        <v>9.5</v>
      </c>
      <c r="Z215">
        <v>0.1218781971003525</v>
      </c>
      <c r="AA215">
        <v>31.536000000000001</v>
      </c>
    </row>
    <row r="216" spans="1:27" hidden="1" x14ac:dyDescent="0.25">
      <c r="A216" t="s">
        <v>98</v>
      </c>
      <c r="B216" t="s">
        <v>499</v>
      </c>
      <c r="D216" t="s">
        <v>100</v>
      </c>
      <c r="E216" t="s">
        <v>142</v>
      </c>
      <c r="F216" t="s">
        <v>207</v>
      </c>
      <c r="G216" t="s">
        <v>112</v>
      </c>
      <c r="H216" t="s">
        <v>104</v>
      </c>
      <c r="I216">
        <v>2022</v>
      </c>
      <c r="J216" t="s">
        <v>216</v>
      </c>
      <c r="K216" t="s">
        <v>106</v>
      </c>
      <c r="L216" t="s">
        <v>513</v>
      </c>
      <c r="M216" t="s">
        <v>546</v>
      </c>
      <c r="N216">
        <v>1</v>
      </c>
      <c r="O216">
        <v>2020</v>
      </c>
      <c r="P216">
        <v>81.871252158045721</v>
      </c>
      <c r="Q216">
        <v>1.219359074694298E-2</v>
      </c>
      <c r="R216" t="s">
        <v>109</v>
      </c>
      <c r="S216">
        <v>3.6635404454865181</v>
      </c>
      <c r="T216" t="s">
        <v>110</v>
      </c>
      <c r="U216">
        <v>3.6635404454865181</v>
      </c>
      <c r="V216">
        <v>279.35637493319268</v>
      </c>
      <c r="W216">
        <v>4.1606268607071263E-2</v>
      </c>
      <c r="X216" t="s">
        <v>111</v>
      </c>
      <c r="Y216">
        <v>9.5</v>
      </c>
      <c r="Z216">
        <v>0.1218781971003525</v>
      </c>
      <c r="AA216">
        <v>31.536000000000001</v>
      </c>
    </row>
    <row r="217" spans="1:27" hidden="1" x14ac:dyDescent="0.25">
      <c r="A217" t="s">
        <v>98</v>
      </c>
      <c r="B217" t="s">
        <v>499</v>
      </c>
      <c r="D217" t="s">
        <v>100</v>
      </c>
      <c r="E217" t="s">
        <v>142</v>
      </c>
      <c r="F217" t="s">
        <v>218</v>
      </c>
      <c r="G217" t="s">
        <v>219</v>
      </c>
      <c r="H217" t="s">
        <v>104</v>
      </c>
      <c r="I217">
        <v>2023</v>
      </c>
      <c r="J217" t="s">
        <v>220</v>
      </c>
      <c r="K217" t="s">
        <v>106</v>
      </c>
      <c r="L217" t="s">
        <v>513</v>
      </c>
      <c r="M217" t="s">
        <v>547</v>
      </c>
      <c r="N217">
        <v>1</v>
      </c>
      <c r="O217">
        <v>2023</v>
      </c>
      <c r="P217">
        <v>144.5166310748798</v>
      </c>
      <c r="Q217">
        <v>2.6193639382321958</v>
      </c>
      <c r="R217" t="s">
        <v>109</v>
      </c>
      <c r="S217">
        <v>4.6893317702227444</v>
      </c>
      <c r="T217" t="s">
        <v>110</v>
      </c>
      <c r="U217">
        <v>4.6893317702227444</v>
      </c>
      <c r="V217">
        <v>493.11133163936307</v>
      </c>
      <c r="W217">
        <v>8.937642885963454</v>
      </c>
      <c r="X217" t="s">
        <v>111</v>
      </c>
      <c r="Y217">
        <v>18</v>
      </c>
      <c r="Z217">
        <v>0.1218781971003525</v>
      </c>
      <c r="AA217">
        <v>31.536000000000001</v>
      </c>
    </row>
    <row r="218" spans="1:27" hidden="1" x14ac:dyDescent="0.25">
      <c r="A218" t="s">
        <v>98</v>
      </c>
      <c r="B218" t="s">
        <v>499</v>
      </c>
      <c r="D218" t="s">
        <v>100</v>
      </c>
      <c r="E218" t="s">
        <v>142</v>
      </c>
      <c r="F218" t="s">
        <v>218</v>
      </c>
      <c r="G218" t="s">
        <v>112</v>
      </c>
      <c r="H218" t="s">
        <v>104</v>
      </c>
      <c r="I218">
        <v>2022</v>
      </c>
      <c r="J218" t="s">
        <v>222</v>
      </c>
      <c r="K218" t="s">
        <v>106</v>
      </c>
      <c r="L218" t="s">
        <v>513</v>
      </c>
      <c r="M218" t="s">
        <v>548</v>
      </c>
      <c r="N218">
        <v>1</v>
      </c>
      <c r="O218">
        <v>2020</v>
      </c>
      <c r="P218">
        <v>157.50054714801351</v>
      </c>
      <c r="Q218">
        <v>2.455653692092683</v>
      </c>
      <c r="R218" t="s">
        <v>109</v>
      </c>
      <c r="S218">
        <v>4.835873388042204</v>
      </c>
      <c r="T218" t="s">
        <v>110</v>
      </c>
      <c r="U218">
        <v>4.835873388042204</v>
      </c>
      <c r="V218">
        <v>537.41430284133696</v>
      </c>
      <c r="W218">
        <v>8.3790402055907389</v>
      </c>
      <c r="X218" t="s">
        <v>111</v>
      </c>
      <c r="Y218">
        <v>18</v>
      </c>
      <c r="Z218">
        <v>0.1218781971003525</v>
      </c>
      <c r="AA218">
        <v>31.536000000000001</v>
      </c>
    </row>
    <row r="219" spans="1:27" hidden="1" x14ac:dyDescent="0.25">
      <c r="A219" t="s">
        <v>98</v>
      </c>
      <c r="B219" t="s">
        <v>499</v>
      </c>
      <c r="D219" t="s">
        <v>100</v>
      </c>
      <c r="E219" t="s">
        <v>142</v>
      </c>
      <c r="F219" t="s">
        <v>218</v>
      </c>
      <c r="G219" t="s">
        <v>103</v>
      </c>
      <c r="H219" t="s">
        <v>104</v>
      </c>
      <c r="I219">
        <v>2023</v>
      </c>
      <c r="J219" t="s">
        <v>224</v>
      </c>
      <c r="K219" t="s">
        <v>106</v>
      </c>
      <c r="L219" t="s">
        <v>513</v>
      </c>
      <c r="M219" t="s">
        <v>549</v>
      </c>
      <c r="N219">
        <v>1</v>
      </c>
      <c r="O219">
        <v>2023</v>
      </c>
      <c r="P219">
        <v>125.3230160102473</v>
      </c>
      <c r="Q219">
        <v>2.455653692092683</v>
      </c>
      <c r="R219" t="s">
        <v>109</v>
      </c>
      <c r="S219">
        <v>4.2203985932004704</v>
      </c>
      <c r="T219" t="s">
        <v>110</v>
      </c>
      <c r="U219">
        <v>4.2203985932004704</v>
      </c>
      <c r="V219">
        <v>427.61998290601008</v>
      </c>
      <c r="W219">
        <v>8.3790402055907389</v>
      </c>
      <c r="X219" t="s">
        <v>111</v>
      </c>
      <c r="Y219">
        <v>18</v>
      </c>
      <c r="Z219">
        <v>0.1218781971003525</v>
      </c>
      <c r="AA219">
        <v>31.536000000000001</v>
      </c>
    </row>
    <row r="220" spans="1:27" x14ac:dyDescent="0.25">
      <c r="A220" t="s">
        <v>98</v>
      </c>
      <c r="B220" t="s">
        <v>499</v>
      </c>
      <c r="D220" t="s">
        <v>100</v>
      </c>
      <c r="E220" t="s">
        <v>226</v>
      </c>
      <c r="F220" t="s">
        <v>227</v>
      </c>
      <c r="G220" t="s">
        <v>228</v>
      </c>
      <c r="H220" t="s">
        <v>104</v>
      </c>
      <c r="I220">
        <v>2023</v>
      </c>
      <c r="J220" t="s">
        <v>229</v>
      </c>
      <c r="K220" t="s">
        <v>106</v>
      </c>
      <c r="L220" t="s">
        <v>550</v>
      </c>
      <c r="M220" t="s">
        <v>551</v>
      </c>
      <c r="N220">
        <v>1</v>
      </c>
      <c r="O220">
        <v>2023</v>
      </c>
      <c r="P220">
        <v>351.48905933689161</v>
      </c>
      <c r="Q220">
        <v>0.67078064758948786</v>
      </c>
      <c r="R220" t="s">
        <v>109</v>
      </c>
      <c r="S220">
        <v>2.7</v>
      </c>
      <c r="T220" t="s">
        <v>110</v>
      </c>
      <c r="U220">
        <v>2.7</v>
      </c>
      <c r="V220">
        <v>1199.3307401172131</v>
      </c>
      <c r="W220">
        <v>2.2887991223610928</v>
      </c>
      <c r="X220" t="s">
        <v>111</v>
      </c>
      <c r="Y220">
        <v>20</v>
      </c>
      <c r="Z220">
        <v>0.44</v>
      </c>
      <c r="AA220">
        <v>31.536000000000001</v>
      </c>
    </row>
    <row r="221" spans="1:27" x14ac:dyDescent="0.25">
      <c r="A221" t="s">
        <v>98</v>
      </c>
      <c r="B221" t="s">
        <v>499</v>
      </c>
      <c r="D221" t="s">
        <v>100</v>
      </c>
      <c r="E221" t="s">
        <v>226</v>
      </c>
      <c r="F221" t="s">
        <v>227</v>
      </c>
      <c r="G221" t="s">
        <v>228</v>
      </c>
      <c r="H221" t="s">
        <v>104</v>
      </c>
      <c r="I221">
        <v>2024</v>
      </c>
      <c r="J221" t="s">
        <v>232</v>
      </c>
      <c r="K221" t="s">
        <v>106</v>
      </c>
      <c r="L221" t="s">
        <v>550</v>
      </c>
      <c r="M221" t="s">
        <v>552</v>
      </c>
      <c r="N221">
        <v>1</v>
      </c>
      <c r="O221">
        <v>2024</v>
      </c>
      <c r="P221">
        <v>351.48905933689161</v>
      </c>
      <c r="Q221">
        <v>0.67078064758948786</v>
      </c>
      <c r="R221" t="s">
        <v>109</v>
      </c>
      <c r="S221">
        <v>2.7</v>
      </c>
      <c r="T221" t="s">
        <v>110</v>
      </c>
      <c r="U221">
        <v>2.7</v>
      </c>
      <c r="V221">
        <v>1199.3307401172131</v>
      </c>
      <c r="W221">
        <v>2.2887991223610928</v>
      </c>
      <c r="X221" t="s">
        <v>111</v>
      </c>
      <c r="Y221">
        <v>20</v>
      </c>
      <c r="Z221">
        <v>0.44</v>
      </c>
      <c r="AA221">
        <v>31.536000000000001</v>
      </c>
    </row>
    <row r="222" spans="1:27" x14ac:dyDescent="0.25">
      <c r="A222" t="s">
        <v>98</v>
      </c>
      <c r="B222" t="s">
        <v>499</v>
      </c>
      <c r="D222" t="s">
        <v>100</v>
      </c>
      <c r="E222" t="s">
        <v>226</v>
      </c>
      <c r="F222" t="s">
        <v>227</v>
      </c>
      <c r="G222" t="s">
        <v>228</v>
      </c>
      <c r="H222" t="s">
        <v>104</v>
      </c>
      <c r="I222">
        <v>2025</v>
      </c>
      <c r="J222" t="s">
        <v>234</v>
      </c>
      <c r="K222" t="s">
        <v>106</v>
      </c>
      <c r="L222" t="s">
        <v>550</v>
      </c>
      <c r="M222" t="s">
        <v>553</v>
      </c>
      <c r="N222">
        <v>1</v>
      </c>
      <c r="O222">
        <v>2025</v>
      </c>
      <c r="P222">
        <v>351.48905933689161</v>
      </c>
      <c r="Q222">
        <v>0.67078064758948786</v>
      </c>
      <c r="R222" t="s">
        <v>109</v>
      </c>
      <c r="S222">
        <v>2.7</v>
      </c>
      <c r="T222" t="s">
        <v>110</v>
      </c>
      <c r="U222">
        <v>2.7</v>
      </c>
      <c r="V222">
        <v>1199.3307401172131</v>
      </c>
      <c r="W222">
        <v>2.2887991223610928</v>
      </c>
      <c r="X222" t="s">
        <v>111</v>
      </c>
      <c r="Y222">
        <v>20</v>
      </c>
      <c r="Z222">
        <v>0.44</v>
      </c>
      <c r="AA222">
        <v>31.536000000000001</v>
      </c>
    </row>
    <row r="223" spans="1:27" x14ac:dyDescent="0.25">
      <c r="A223" t="s">
        <v>98</v>
      </c>
      <c r="B223" t="s">
        <v>499</v>
      </c>
      <c r="D223" t="s">
        <v>100</v>
      </c>
      <c r="E223" t="s">
        <v>226</v>
      </c>
      <c r="F223" t="s">
        <v>227</v>
      </c>
      <c r="G223" t="s">
        <v>228</v>
      </c>
      <c r="H223" t="s">
        <v>104</v>
      </c>
      <c r="I223">
        <v>2026</v>
      </c>
      <c r="J223" t="s">
        <v>236</v>
      </c>
      <c r="K223" t="s">
        <v>106</v>
      </c>
      <c r="L223" t="s">
        <v>550</v>
      </c>
      <c r="M223" t="s">
        <v>554</v>
      </c>
      <c r="N223">
        <v>1</v>
      </c>
      <c r="O223">
        <v>2026</v>
      </c>
      <c r="P223">
        <v>351.48905933689161</v>
      </c>
      <c r="Q223">
        <v>0.67078064758948786</v>
      </c>
      <c r="R223" t="s">
        <v>109</v>
      </c>
      <c r="S223">
        <v>2.7</v>
      </c>
      <c r="T223" t="s">
        <v>110</v>
      </c>
      <c r="U223">
        <v>2.7</v>
      </c>
      <c r="V223">
        <v>1199.3307401172131</v>
      </c>
      <c r="W223">
        <v>2.2887991223610928</v>
      </c>
      <c r="X223" t="s">
        <v>111</v>
      </c>
      <c r="Y223">
        <v>20</v>
      </c>
      <c r="Z223">
        <v>0.44</v>
      </c>
      <c r="AA223">
        <v>31.536000000000001</v>
      </c>
    </row>
    <row r="224" spans="1:27" x14ac:dyDescent="0.25">
      <c r="A224" t="s">
        <v>98</v>
      </c>
      <c r="B224" t="s">
        <v>499</v>
      </c>
      <c r="D224" t="s">
        <v>100</v>
      </c>
      <c r="E224" t="s">
        <v>226</v>
      </c>
      <c r="F224" t="s">
        <v>227</v>
      </c>
      <c r="G224" t="s">
        <v>228</v>
      </c>
      <c r="H224" t="s">
        <v>104</v>
      </c>
      <c r="I224">
        <v>2027</v>
      </c>
      <c r="J224" t="s">
        <v>238</v>
      </c>
      <c r="K224" t="s">
        <v>106</v>
      </c>
      <c r="L224" t="s">
        <v>550</v>
      </c>
      <c r="M224" t="s">
        <v>555</v>
      </c>
      <c r="N224">
        <v>1</v>
      </c>
      <c r="O224">
        <v>2027</v>
      </c>
      <c r="P224">
        <v>351.48905933689161</v>
      </c>
      <c r="Q224">
        <v>0.67078064758948786</v>
      </c>
      <c r="R224" t="s">
        <v>109</v>
      </c>
      <c r="S224">
        <v>2.7</v>
      </c>
      <c r="T224" t="s">
        <v>110</v>
      </c>
      <c r="U224">
        <v>2.7</v>
      </c>
      <c r="V224">
        <v>1199.3307401172131</v>
      </c>
      <c r="W224">
        <v>2.2887991223610928</v>
      </c>
      <c r="X224" t="s">
        <v>111</v>
      </c>
      <c r="Y224">
        <v>20</v>
      </c>
      <c r="Z224">
        <v>0.44</v>
      </c>
      <c r="AA224">
        <v>31.536000000000001</v>
      </c>
    </row>
    <row r="225" spans="1:27" x14ac:dyDescent="0.25">
      <c r="A225" t="s">
        <v>98</v>
      </c>
      <c r="B225" t="s">
        <v>499</v>
      </c>
      <c r="D225" t="s">
        <v>100</v>
      </c>
      <c r="E225" t="s">
        <v>226</v>
      </c>
      <c r="F225" t="s">
        <v>240</v>
      </c>
      <c r="G225" t="s">
        <v>103</v>
      </c>
      <c r="H225" t="s">
        <v>104</v>
      </c>
      <c r="I225">
        <v>2022</v>
      </c>
      <c r="J225" t="s">
        <v>241</v>
      </c>
      <c r="K225" t="s">
        <v>106</v>
      </c>
      <c r="L225" t="s">
        <v>550</v>
      </c>
      <c r="M225" t="s">
        <v>556</v>
      </c>
      <c r="N225">
        <v>1</v>
      </c>
      <c r="O225">
        <v>2020</v>
      </c>
      <c r="P225">
        <v>364.1638033744108</v>
      </c>
      <c r="Q225">
        <v>0.71474740603417231</v>
      </c>
      <c r="R225" t="s">
        <v>109</v>
      </c>
      <c r="S225">
        <v>3.9</v>
      </c>
      <c r="T225" t="s">
        <v>110</v>
      </c>
      <c r="U225">
        <v>3.9</v>
      </c>
      <c r="V225">
        <v>1242.578772292075</v>
      </c>
      <c r="W225">
        <v>2.4388199652445048</v>
      </c>
      <c r="X225" t="s">
        <v>111</v>
      </c>
      <c r="Y225">
        <v>15</v>
      </c>
      <c r="Z225">
        <v>0.44</v>
      </c>
      <c r="AA225">
        <v>31.536000000000001</v>
      </c>
    </row>
    <row r="226" spans="1:27" hidden="1" x14ac:dyDescent="0.25">
      <c r="A226" t="s">
        <v>98</v>
      </c>
      <c r="B226" t="s">
        <v>499</v>
      </c>
      <c r="D226" t="s">
        <v>100</v>
      </c>
      <c r="E226" t="s">
        <v>243</v>
      </c>
      <c r="F226" t="s">
        <v>244</v>
      </c>
      <c r="G226" t="s">
        <v>245</v>
      </c>
      <c r="H226" t="s">
        <v>104</v>
      </c>
      <c r="I226">
        <v>2022</v>
      </c>
      <c r="J226" t="s">
        <v>246</v>
      </c>
      <c r="K226" t="s">
        <v>106</v>
      </c>
      <c r="L226" t="s">
        <v>557</v>
      </c>
      <c r="M226" t="s">
        <v>558</v>
      </c>
      <c r="N226">
        <v>1</v>
      </c>
      <c r="O226">
        <v>2020</v>
      </c>
      <c r="P226">
        <v>5418.3180362120765</v>
      </c>
      <c r="Q226">
        <v>63.780978532496562</v>
      </c>
      <c r="R226" t="s">
        <v>249</v>
      </c>
      <c r="S226">
        <v>0.41325750353930962</v>
      </c>
      <c r="T226" t="s">
        <v>250</v>
      </c>
      <c r="U226">
        <v>1</v>
      </c>
      <c r="V226">
        <v>7640.3348848129563</v>
      </c>
      <c r="W226">
        <v>89.937141380872987</v>
      </c>
      <c r="X226" t="s">
        <v>111</v>
      </c>
      <c r="Y226">
        <v>20</v>
      </c>
      <c r="Z226">
        <v>0.44</v>
      </c>
      <c r="AA226">
        <v>31.536000000000001</v>
      </c>
    </row>
    <row r="227" spans="1:27" hidden="1" x14ac:dyDescent="0.25">
      <c r="A227" t="s">
        <v>98</v>
      </c>
      <c r="B227" t="s">
        <v>499</v>
      </c>
      <c r="D227" t="s">
        <v>100</v>
      </c>
      <c r="E227" t="s">
        <v>243</v>
      </c>
      <c r="F227" t="s">
        <v>244</v>
      </c>
      <c r="G227" t="s">
        <v>103</v>
      </c>
      <c r="H227" t="s">
        <v>104</v>
      </c>
      <c r="I227">
        <v>2022</v>
      </c>
      <c r="J227" t="s">
        <v>251</v>
      </c>
      <c r="K227" t="s">
        <v>106</v>
      </c>
      <c r="L227" t="s">
        <v>557</v>
      </c>
      <c r="M227" t="s">
        <v>559</v>
      </c>
      <c r="N227">
        <v>1</v>
      </c>
      <c r="O227">
        <v>2020</v>
      </c>
      <c r="P227">
        <v>5667.3116722418044</v>
      </c>
      <c r="Q227">
        <v>63.780978532496562</v>
      </c>
      <c r="R227" t="s">
        <v>249</v>
      </c>
      <c r="S227">
        <v>0.43508713487380868</v>
      </c>
      <c r="T227" t="s">
        <v>250</v>
      </c>
      <c r="U227">
        <v>1.052823315118397</v>
      </c>
      <c r="V227">
        <v>7991.4391852139524</v>
      </c>
      <c r="W227">
        <v>89.937141380873001</v>
      </c>
      <c r="X227" t="s">
        <v>111</v>
      </c>
      <c r="Y227">
        <v>20</v>
      </c>
      <c r="Z227">
        <v>0.44</v>
      </c>
      <c r="AA227">
        <v>31.536000000000001</v>
      </c>
    </row>
    <row r="228" spans="1:27" hidden="1" x14ac:dyDescent="0.25">
      <c r="A228" t="s">
        <v>98</v>
      </c>
      <c r="B228" t="s">
        <v>499</v>
      </c>
      <c r="D228" t="s">
        <v>100</v>
      </c>
      <c r="E228" t="s">
        <v>243</v>
      </c>
      <c r="F228" t="s">
        <v>244</v>
      </c>
      <c r="G228" t="s">
        <v>112</v>
      </c>
      <c r="H228" t="s">
        <v>104</v>
      </c>
      <c r="I228">
        <v>2022</v>
      </c>
      <c r="J228" t="s">
        <v>253</v>
      </c>
      <c r="K228" t="s">
        <v>106</v>
      </c>
      <c r="L228" t="s">
        <v>557</v>
      </c>
      <c r="M228" t="s">
        <v>560</v>
      </c>
      <c r="N228">
        <v>1</v>
      </c>
      <c r="O228">
        <v>2020</v>
      </c>
      <c r="P228">
        <v>5911.8706390075113</v>
      </c>
      <c r="Q228">
        <v>63.780978532496562</v>
      </c>
      <c r="R228" t="s">
        <v>249</v>
      </c>
      <c r="S228">
        <v>0.44315925240393511</v>
      </c>
      <c r="T228" t="s">
        <v>250</v>
      </c>
      <c r="U228">
        <v>1.0723562152133581</v>
      </c>
      <c r="V228">
        <v>8336.2901874412255</v>
      </c>
      <c r="W228">
        <v>89.937141380873001</v>
      </c>
      <c r="X228" t="s">
        <v>111</v>
      </c>
      <c r="Y228">
        <v>20</v>
      </c>
      <c r="Z228">
        <v>0.44</v>
      </c>
      <c r="AA228">
        <v>31.536000000000001</v>
      </c>
    </row>
    <row r="229" spans="1:27" hidden="1" x14ac:dyDescent="0.25">
      <c r="A229" t="s">
        <v>98</v>
      </c>
      <c r="B229" t="s">
        <v>499</v>
      </c>
      <c r="D229" t="s">
        <v>100</v>
      </c>
      <c r="E229" t="s">
        <v>243</v>
      </c>
      <c r="F229" t="s">
        <v>244</v>
      </c>
      <c r="G229" t="s">
        <v>103</v>
      </c>
      <c r="H229" t="s">
        <v>104</v>
      </c>
      <c r="I229">
        <v>2030</v>
      </c>
      <c r="J229" t="s">
        <v>255</v>
      </c>
      <c r="K229" t="s">
        <v>106</v>
      </c>
      <c r="L229" t="s">
        <v>557</v>
      </c>
      <c r="M229" t="s">
        <v>561</v>
      </c>
      <c r="N229">
        <v>1</v>
      </c>
      <c r="O229">
        <v>2030</v>
      </c>
      <c r="P229">
        <v>5667.3116722418044</v>
      </c>
      <c r="Q229">
        <v>63.780978532496562</v>
      </c>
      <c r="R229" t="s">
        <v>249</v>
      </c>
      <c r="S229">
        <v>0.43508713487380868</v>
      </c>
      <c r="T229" t="s">
        <v>250</v>
      </c>
      <c r="U229">
        <v>1.052823315118397</v>
      </c>
      <c r="V229">
        <v>7991.4391852139524</v>
      </c>
      <c r="W229">
        <v>89.937141380873001</v>
      </c>
      <c r="X229" t="s">
        <v>111</v>
      </c>
      <c r="Y229">
        <v>20</v>
      </c>
      <c r="Z229">
        <v>0.44</v>
      </c>
      <c r="AA229">
        <v>31.536000000000001</v>
      </c>
    </row>
    <row r="230" spans="1:27" hidden="1" x14ac:dyDescent="0.25">
      <c r="A230" t="s">
        <v>98</v>
      </c>
      <c r="B230" t="s">
        <v>499</v>
      </c>
      <c r="D230" t="s">
        <v>100</v>
      </c>
      <c r="E230" t="s">
        <v>243</v>
      </c>
      <c r="F230" t="s">
        <v>244</v>
      </c>
      <c r="G230" t="s">
        <v>112</v>
      </c>
      <c r="H230" t="s">
        <v>104</v>
      </c>
      <c r="I230">
        <v>2030</v>
      </c>
      <c r="J230" t="s">
        <v>257</v>
      </c>
      <c r="K230" t="s">
        <v>106</v>
      </c>
      <c r="L230" t="s">
        <v>557</v>
      </c>
      <c r="M230" t="s">
        <v>562</v>
      </c>
      <c r="N230">
        <v>1</v>
      </c>
      <c r="O230">
        <v>2030</v>
      </c>
      <c r="P230">
        <v>5911.8706390075113</v>
      </c>
      <c r="Q230">
        <v>63.780978532496562</v>
      </c>
      <c r="R230" t="s">
        <v>249</v>
      </c>
      <c r="S230">
        <v>0.44315925240393511</v>
      </c>
      <c r="T230" t="s">
        <v>250</v>
      </c>
      <c r="U230">
        <v>1.0723562152133581</v>
      </c>
      <c r="V230">
        <v>8336.2901874412255</v>
      </c>
      <c r="W230">
        <v>89.937141380873001</v>
      </c>
      <c r="X230" t="s">
        <v>111</v>
      </c>
      <c r="Y230">
        <v>20</v>
      </c>
      <c r="Z230">
        <v>0.44</v>
      </c>
      <c r="AA230">
        <v>31.536000000000001</v>
      </c>
    </row>
    <row r="231" spans="1:27" hidden="1" x14ac:dyDescent="0.25">
      <c r="A231" t="s">
        <v>98</v>
      </c>
      <c r="B231" t="s">
        <v>499</v>
      </c>
      <c r="D231" t="s">
        <v>100</v>
      </c>
      <c r="E231" t="s">
        <v>243</v>
      </c>
      <c r="F231" t="s">
        <v>244</v>
      </c>
      <c r="G231" t="s">
        <v>103</v>
      </c>
      <c r="H231" t="s">
        <v>104</v>
      </c>
      <c r="I231">
        <v>2040</v>
      </c>
      <c r="J231" t="s">
        <v>259</v>
      </c>
      <c r="K231" t="s">
        <v>106</v>
      </c>
      <c r="L231" t="s">
        <v>557</v>
      </c>
      <c r="M231" t="s">
        <v>563</v>
      </c>
      <c r="N231">
        <v>1</v>
      </c>
      <c r="O231">
        <v>2040</v>
      </c>
      <c r="P231">
        <v>5667.3116722418044</v>
      </c>
      <c r="Q231">
        <v>63.780978532496562</v>
      </c>
      <c r="R231" t="s">
        <v>249</v>
      </c>
      <c r="S231">
        <v>0.43508713487380868</v>
      </c>
      <c r="T231" t="s">
        <v>250</v>
      </c>
      <c r="U231">
        <v>1.052823315118397</v>
      </c>
      <c r="V231">
        <v>7991.4391852139524</v>
      </c>
      <c r="W231">
        <v>89.937141380873001</v>
      </c>
      <c r="X231" t="s">
        <v>111</v>
      </c>
      <c r="Y231">
        <v>20</v>
      </c>
      <c r="Z231">
        <v>0.44</v>
      </c>
      <c r="AA231">
        <v>31.536000000000001</v>
      </c>
    </row>
    <row r="232" spans="1:27" hidden="1" x14ac:dyDescent="0.25">
      <c r="A232" t="s">
        <v>98</v>
      </c>
      <c r="B232" t="s">
        <v>499</v>
      </c>
      <c r="D232" t="s">
        <v>100</v>
      </c>
      <c r="E232" t="s">
        <v>243</v>
      </c>
      <c r="F232" t="s">
        <v>244</v>
      </c>
      <c r="G232" t="s">
        <v>112</v>
      </c>
      <c r="H232" t="s">
        <v>104</v>
      </c>
      <c r="I232">
        <v>2040</v>
      </c>
      <c r="J232" t="s">
        <v>261</v>
      </c>
      <c r="K232" t="s">
        <v>106</v>
      </c>
      <c r="L232" t="s">
        <v>557</v>
      </c>
      <c r="M232" t="s">
        <v>564</v>
      </c>
      <c r="N232">
        <v>1</v>
      </c>
      <c r="O232">
        <v>2040</v>
      </c>
      <c r="P232">
        <v>5911.8706390075113</v>
      </c>
      <c r="Q232">
        <v>63.780978532496562</v>
      </c>
      <c r="R232" t="s">
        <v>249</v>
      </c>
      <c r="S232">
        <v>0.44315925240393511</v>
      </c>
      <c r="T232" t="s">
        <v>250</v>
      </c>
      <c r="U232">
        <v>1.0723562152133581</v>
      </c>
      <c r="V232">
        <v>8336.2901874412255</v>
      </c>
      <c r="W232">
        <v>89.937141380873001</v>
      </c>
      <c r="X232" t="s">
        <v>111</v>
      </c>
      <c r="Y232">
        <v>20</v>
      </c>
      <c r="Z232">
        <v>0.44</v>
      </c>
      <c r="AA232">
        <v>31.536000000000001</v>
      </c>
    </row>
    <row r="233" spans="1:27" hidden="1" x14ac:dyDescent="0.25">
      <c r="A233" t="s">
        <v>98</v>
      </c>
      <c r="B233" t="s">
        <v>499</v>
      </c>
      <c r="D233" t="s">
        <v>100</v>
      </c>
      <c r="E233" t="s">
        <v>243</v>
      </c>
      <c r="F233" t="s">
        <v>244</v>
      </c>
      <c r="G233" t="s">
        <v>103</v>
      </c>
      <c r="H233" t="s">
        <v>104</v>
      </c>
      <c r="I233">
        <v>2050</v>
      </c>
      <c r="J233" t="s">
        <v>263</v>
      </c>
      <c r="K233" t="s">
        <v>106</v>
      </c>
      <c r="L233" t="s">
        <v>557</v>
      </c>
      <c r="M233" t="s">
        <v>565</v>
      </c>
      <c r="N233">
        <v>1</v>
      </c>
      <c r="O233">
        <v>2050</v>
      </c>
      <c r="P233">
        <v>5667.3116722418044</v>
      </c>
      <c r="Q233">
        <v>63.780978532496562</v>
      </c>
      <c r="R233" t="s">
        <v>249</v>
      </c>
      <c r="S233">
        <v>0.43508713487380868</v>
      </c>
      <c r="T233" t="s">
        <v>250</v>
      </c>
      <c r="U233">
        <v>1.052823315118397</v>
      </c>
      <c r="V233">
        <v>7991.4391852139524</v>
      </c>
      <c r="W233">
        <v>89.937141380873001</v>
      </c>
      <c r="X233" t="s">
        <v>111</v>
      </c>
      <c r="Y233">
        <v>20</v>
      </c>
      <c r="Z233">
        <v>0.44</v>
      </c>
      <c r="AA233">
        <v>31.536000000000001</v>
      </c>
    </row>
    <row r="234" spans="1:27" hidden="1" x14ac:dyDescent="0.25">
      <c r="A234" t="s">
        <v>98</v>
      </c>
      <c r="B234" t="s">
        <v>499</v>
      </c>
      <c r="D234" t="s">
        <v>100</v>
      </c>
      <c r="E234" t="s">
        <v>243</v>
      </c>
      <c r="F234" t="s">
        <v>244</v>
      </c>
      <c r="G234" t="s">
        <v>112</v>
      </c>
      <c r="H234" t="s">
        <v>104</v>
      </c>
      <c r="I234">
        <v>2050</v>
      </c>
      <c r="J234" t="s">
        <v>265</v>
      </c>
      <c r="K234" t="s">
        <v>106</v>
      </c>
      <c r="L234" t="s">
        <v>557</v>
      </c>
      <c r="M234" t="s">
        <v>566</v>
      </c>
      <c r="N234">
        <v>1</v>
      </c>
      <c r="O234">
        <v>2050</v>
      </c>
      <c r="P234">
        <v>5911.8706390075113</v>
      </c>
      <c r="Q234">
        <v>63.780978532496562</v>
      </c>
      <c r="R234" t="s">
        <v>249</v>
      </c>
      <c r="S234">
        <v>0.44315925240393511</v>
      </c>
      <c r="T234" t="s">
        <v>250</v>
      </c>
      <c r="U234">
        <v>1.0723562152133581</v>
      </c>
      <c r="V234">
        <v>8336.2901874412255</v>
      </c>
      <c r="W234">
        <v>89.937141380873001</v>
      </c>
      <c r="X234" t="s">
        <v>111</v>
      </c>
      <c r="Y234">
        <v>20</v>
      </c>
      <c r="Z234">
        <v>0.44</v>
      </c>
      <c r="AA234">
        <v>31.536000000000001</v>
      </c>
    </row>
    <row r="235" spans="1:27" hidden="1" x14ac:dyDescent="0.25">
      <c r="A235" t="s">
        <v>98</v>
      </c>
      <c r="B235" t="s">
        <v>499</v>
      </c>
      <c r="D235" t="s">
        <v>100</v>
      </c>
      <c r="E235" t="s">
        <v>243</v>
      </c>
      <c r="F235" t="s">
        <v>267</v>
      </c>
      <c r="G235" t="s">
        <v>245</v>
      </c>
      <c r="H235" t="s">
        <v>104</v>
      </c>
      <c r="I235">
        <v>2022</v>
      </c>
      <c r="J235" t="s">
        <v>268</v>
      </c>
      <c r="K235" t="s">
        <v>106</v>
      </c>
      <c r="L235" t="s">
        <v>557</v>
      </c>
      <c r="M235" t="s">
        <v>567</v>
      </c>
      <c r="N235">
        <v>1</v>
      </c>
      <c r="O235">
        <v>2020</v>
      </c>
      <c r="P235">
        <v>7748.5410872802086</v>
      </c>
      <c r="Q235">
        <v>68.755259026523561</v>
      </c>
      <c r="R235" t="s">
        <v>249</v>
      </c>
      <c r="S235">
        <v>0.29876527460377861</v>
      </c>
      <c r="T235" t="s">
        <v>250</v>
      </c>
      <c r="U235">
        <v>0.72295184490306452</v>
      </c>
      <c r="V235">
        <v>10926.167194301681</v>
      </c>
      <c r="W235">
        <v>96.951341826723592</v>
      </c>
      <c r="X235" t="s">
        <v>111</v>
      </c>
      <c r="Y235">
        <v>20</v>
      </c>
      <c r="Z235">
        <v>0.44</v>
      </c>
      <c r="AA235">
        <v>31.536000000000001</v>
      </c>
    </row>
    <row r="236" spans="1:27" hidden="1" x14ac:dyDescent="0.25">
      <c r="A236" t="s">
        <v>98</v>
      </c>
      <c r="B236" t="s">
        <v>499</v>
      </c>
      <c r="D236" t="s">
        <v>100</v>
      </c>
      <c r="E236" t="s">
        <v>243</v>
      </c>
      <c r="F236" t="s">
        <v>267</v>
      </c>
      <c r="G236" t="s">
        <v>112</v>
      </c>
      <c r="H236" t="s">
        <v>104</v>
      </c>
      <c r="I236">
        <v>2022</v>
      </c>
      <c r="J236" t="s">
        <v>270</v>
      </c>
      <c r="K236" t="s">
        <v>106</v>
      </c>
      <c r="L236" t="s">
        <v>557</v>
      </c>
      <c r="M236" t="s">
        <v>568</v>
      </c>
      <c r="N236">
        <v>1</v>
      </c>
      <c r="O236">
        <v>2020</v>
      </c>
      <c r="P236">
        <v>8151.6394802345676</v>
      </c>
      <c r="Q236">
        <v>68.755259026523561</v>
      </c>
      <c r="R236" t="s">
        <v>249</v>
      </c>
      <c r="S236">
        <v>0.29876527460377861</v>
      </c>
      <c r="T236" t="s">
        <v>250</v>
      </c>
      <c r="U236">
        <v>0.72295184490306452</v>
      </c>
      <c r="V236">
        <v>11494.57360623949</v>
      </c>
      <c r="W236">
        <v>96.951341826723592</v>
      </c>
      <c r="X236" t="s">
        <v>111</v>
      </c>
      <c r="Y236">
        <v>20</v>
      </c>
      <c r="Z236">
        <v>0.44</v>
      </c>
      <c r="AA236">
        <v>31.536000000000001</v>
      </c>
    </row>
    <row r="237" spans="1:27" hidden="1" x14ac:dyDescent="0.25">
      <c r="A237" t="s">
        <v>98</v>
      </c>
      <c r="B237" t="s">
        <v>499</v>
      </c>
      <c r="D237" t="s">
        <v>100</v>
      </c>
      <c r="E237" t="s">
        <v>243</v>
      </c>
      <c r="F237" t="s">
        <v>267</v>
      </c>
      <c r="G237" t="s">
        <v>103</v>
      </c>
      <c r="H237" t="s">
        <v>104</v>
      </c>
      <c r="I237">
        <v>2030</v>
      </c>
      <c r="J237" t="s">
        <v>272</v>
      </c>
      <c r="K237" t="s">
        <v>106</v>
      </c>
      <c r="L237" t="s">
        <v>557</v>
      </c>
      <c r="M237" t="s">
        <v>569</v>
      </c>
      <c r="N237">
        <v>1</v>
      </c>
      <c r="O237">
        <v>2030</v>
      </c>
      <c r="P237">
        <v>8119.0316179991396</v>
      </c>
      <c r="Q237">
        <v>68.755259026523561</v>
      </c>
      <c r="R237" t="s">
        <v>249</v>
      </c>
      <c r="S237">
        <v>0.29876527460377861</v>
      </c>
      <c r="T237" t="s">
        <v>250</v>
      </c>
      <c r="U237">
        <v>0.72295184490306452</v>
      </c>
      <c r="V237">
        <v>11448.59347260918</v>
      </c>
      <c r="W237">
        <v>96.951341826723592</v>
      </c>
      <c r="X237" t="s">
        <v>111</v>
      </c>
      <c r="Y237">
        <v>20</v>
      </c>
      <c r="Z237">
        <v>0.44</v>
      </c>
      <c r="AA237">
        <v>31.536000000000001</v>
      </c>
    </row>
    <row r="238" spans="1:27" hidden="1" x14ac:dyDescent="0.25">
      <c r="A238" t="s">
        <v>98</v>
      </c>
      <c r="B238" t="s">
        <v>499</v>
      </c>
      <c r="D238" t="s">
        <v>100</v>
      </c>
      <c r="E238" t="s">
        <v>243</v>
      </c>
      <c r="F238" t="s">
        <v>267</v>
      </c>
      <c r="G238" t="s">
        <v>112</v>
      </c>
      <c r="H238" t="s">
        <v>104</v>
      </c>
      <c r="I238">
        <v>2030</v>
      </c>
      <c r="J238" t="s">
        <v>274</v>
      </c>
      <c r="K238" t="s">
        <v>106</v>
      </c>
      <c r="L238" t="s">
        <v>557</v>
      </c>
      <c r="M238" t="s">
        <v>570</v>
      </c>
      <c r="N238">
        <v>1</v>
      </c>
      <c r="O238">
        <v>2030</v>
      </c>
      <c r="P238">
        <v>8151.6394802345676</v>
      </c>
      <c r="Q238">
        <v>68.755259026523561</v>
      </c>
      <c r="R238" t="s">
        <v>249</v>
      </c>
      <c r="S238">
        <v>0.31450011460924421</v>
      </c>
      <c r="T238" t="s">
        <v>250</v>
      </c>
      <c r="U238">
        <v>0.76102699144173802</v>
      </c>
      <c r="V238">
        <v>11494.57360623949</v>
      </c>
      <c r="W238">
        <v>96.951341826723578</v>
      </c>
      <c r="X238" t="s">
        <v>111</v>
      </c>
      <c r="Y238">
        <v>20</v>
      </c>
      <c r="Z238">
        <v>0.44</v>
      </c>
      <c r="AA238">
        <v>31.536000000000001</v>
      </c>
    </row>
    <row r="239" spans="1:27" hidden="1" x14ac:dyDescent="0.25">
      <c r="A239" t="s">
        <v>98</v>
      </c>
      <c r="B239" t="s">
        <v>499</v>
      </c>
      <c r="D239" t="s">
        <v>100</v>
      </c>
      <c r="E239" t="s">
        <v>243</v>
      </c>
      <c r="F239" t="s">
        <v>267</v>
      </c>
      <c r="G239" t="s">
        <v>103</v>
      </c>
      <c r="H239" t="s">
        <v>104</v>
      </c>
      <c r="I239">
        <v>2040</v>
      </c>
      <c r="J239" t="s">
        <v>276</v>
      </c>
      <c r="K239" t="s">
        <v>106</v>
      </c>
      <c r="L239" t="s">
        <v>557</v>
      </c>
      <c r="M239" t="s">
        <v>571</v>
      </c>
      <c r="N239">
        <v>1</v>
      </c>
      <c r="O239">
        <v>2040</v>
      </c>
      <c r="P239">
        <v>8119.0316179991396</v>
      </c>
      <c r="Q239">
        <v>68.755259026523561</v>
      </c>
      <c r="R239" t="s">
        <v>249</v>
      </c>
      <c r="S239">
        <v>0.29876527460377861</v>
      </c>
      <c r="T239" t="s">
        <v>250</v>
      </c>
      <c r="U239">
        <v>0.72295184490306452</v>
      </c>
      <c r="V239">
        <v>11448.59347260918</v>
      </c>
      <c r="W239">
        <v>96.951341826723592</v>
      </c>
      <c r="X239" t="s">
        <v>111</v>
      </c>
      <c r="Y239">
        <v>20</v>
      </c>
      <c r="Z239">
        <v>0.44</v>
      </c>
      <c r="AA239">
        <v>31.536000000000001</v>
      </c>
    </row>
    <row r="240" spans="1:27" hidden="1" x14ac:dyDescent="0.25">
      <c r="A240" t="s">
        <v>98</v>
      </c>
      <c r="B240" t="s">
        <v>499</v>
      </c>
      <c r="D240" t="s">
        <v>100</v>
      </c>
      <c r="E240" t="s">
        <v>243</v>
      </c>
      <c r="F240" t="s">
        <v>267</v>
      </c>
      <c r="G240" t="s">
        <v>112</v>
      </c>
      <c r="H240" t="s">
        <v>104</v>
      </c>
      <c r="I240">
        <v>2040</v>
      </c>
      <c r="J240" t="s">
        <v>278</v>
      </c>
      <c r="K240" t="s">
        <v>106</v>
      </c>
      <c r="L240" t="s">
        <v>557</v>
      </c>
      <c r="M240" t="s">
        <v>572</v>
      </c>
      <c r="N240">
        <v>1</v>
      </c>
      <c r="O240">
        <v>2040</v>
      </c>
      <c r="P240">
        <v>8151.6394802345676</v>
      </c>
      <c r="Q240">
        <v>68.755259026523561</v>
      </c>
      <c r="R240" t="s">
        <v>249</v>
      </c>
      <c r="S240">
        <v>0.31450011460924421</v>
      </c>
      <c r="T240" t="s">
        <v>250</v>
      </c>
      <c r="U240">
        <v>0.76102699144173802</v>
      </c>
      <c r="V240">
        <v>11494.57360623949</v>
      </c>
      <c r="W240">
        <v>96.951341826723578</v>
      </c>
      <c r="X240" t="s">
        <v>111</v>
      </c>
      <c r="Y240">
        <v>20</v>
      </c>
      <c r="Z240">
        <v>0.44</v>
      </c>
      <c r="AA240">
        <v>31.536000000000001</v>
      </c>
    </row>
    <row r="241" spans="1:27" hidden="1" x14ac:dyDescent="0.25">
      <c r="A241" t="s">
        <v>98</v>
      </c>
      <c r="B241" t="s">
        <v>499</v>
      </c>
      <c r="D241" t="s">
        <v>100</v>
      </c>
      <c r="E241" t="s">
        <v>243</v>
      </c>
      <c r="F241" t="s">
        <v>267</v>
      </c>
      <c r="G241" t="s">
        <v>103</v>
      </c>
      <c r="H241" t="s">
        <v>104</v>
      </c>
      <c r="I241">
        <v>2050</v>
      </c>
      <c r="J241" t="s">
        <v>280</v>
      </c>
      <c r="K241" t="s">
        <v>106</v>
      </c>
      <c r="L241" t="s">
        <v>557</v>
      </c>
      <c r="M241" t="s">
        <v>573</v>
      </c>
      <c r="N241">
        <v>1</v>
      </c>
      <c r="O241">
        <v>2050</v>
      </c>
      <c r="P241">
        <v>8119.0316179991396</v>
      </c>
      <c r="Q241">
        <v>68.755259026523561</v>
      </c>
      <c r="R241" t="s">
        <v>249</v>
      </c>
      <c r="S241">
        <v>0.29876527460377861</v>
      </c>
      <c r="T241" t="s">
        <v>250</v>
      </c>
      <c r="U241">
        <v>0.72295184490306452</v>
      </c>
      <c r="V241">
        <v>11448.59347260918</v>
      </c>
      <c r="W241">
        <v>96.951341826723592</v>
      </c>
      <c r="X241" t="s">
        <v>111</v>
      </c>
      <c r="Y241">
        <v>20</v>
      </c>
      <c r="Z241">
        <v>0.44</v>
      </c>
      <c r="AA241">
        <v>31.536000000000001</v>
      </c>
    </row>
    <row r="242" spans="1:27" hidden="1" x14ac:dyDescent="0.25">
      <c r="A242" t="s">
        <v>98</v>
      </c>
      <c r="B242" t="s">
        <v>499</v>
      </c>
      <c r="D242" t="s">
        <v>100</v>
      </c>
      <c r="E242" t="s">
        <v>243</v>
      </c>
      <c r="F242" t="s">
        <v>267</v>
      </c>
      <c r="G242" t="s">
        <v>112</v>
      </c>
      <c r="H242" t="s">
        <v>104</v>
      </c>
      <c r="I242">
        <v>2050</v>
      </c>
      <c r="J242" t="s">
        <v>282</v>
      </c>
      <c r="K242" t="s">
        <v>106</v>
      </c>
      <c r="L242" t="s">
        <v>557</v>
      </c>
      <c r="M242" t="s">
        <v>574</v>
      </c>
      <c r="N242">
        <v>1</v>
      </c>
      <c r="O242">
        <v>2050</v>
      </c>
      <c r="P242">
        <v>8151.6394802345676</v>
      </c>
      <c r="Q242">
        <v>68.755259026523561</v>
      </c>
      <c r="R242" t="s">
        <v>249</v>
      </c>
      <c r="S242">
        <v>0.31450011460924421</v>
      </c>
      <c r="T242" t="s">
        <v>250</v>
      </c>
      <c r="U242">
        <v>0.76102699144173802</v>
      </c>
      <c r="V242">
        <v>11494.57360623949</v>
      </c>
      <c r="W242">
        <v>96.951341826723578</v>
      </c>
      <c r="X242" t="s">
        <v>111</v>
      </c>
      <c r="Y242">
        <v>20</v>
      </c>
      <c r="Z242">
        <v>0.44</v>
      </c>
      <c r="AA242">
        <v>31.536000000000001</v>
      </c>
    </row>
    <row r="243" spans="1:27" hidden="1" x14ac:dyDescent="0.25">
      <c r="A243" t="s">
        <v>98</v>
      </c>
      <c r="B243" t="s">
        <v>499</v>
      </c>
      <c r="D243" t="s">
        <v>100</v>
      </c>
      <c r="E243" t="s">
        <v>284</v>
      </c>
      <c r="F243" t="s">
        <v>285</v>
      </c>
      <c r="G243" t="s">
        <v>103</v>
      </c>
      <c r="H243" t="s">
        <v>104</v>
      </c>
      <c r="I243">
        <v>2022</v>
      </c>
      <c r="J243" t="s">
        <v>286</v>
      </c>
      <c r="K243" t="s">
        <v>106</v>
      </c>
      <c r="L243" t="s">
        <v>575</v>
      </c>
      <c r="M243" t="s">
        <v>576</v>
      </c>
      <c r="N243">
        <v>1</v>
      </c>
      <c r="O243">
        <v>2020</v>
      </c>
      <c r="P243">
        <v>100.10336678844671</v>
      </c>
      <c r="Q243">
        <v>36.612504973710713</v>
      </c>
      <c r="R243" t="s">
        <v>289</v>
      </c>
      <c r="S243">
        <v>15.58191798941797</v>
      </c>
      <c r="T243" t="s">
        <v>290</v>
      </c>
      <c r="U243">
        <v>37.705106031875843</v>
      </c>
      <c r="V243">
        <v>100.10336678844671</v>
      </c>
      <c r="W243">
        <v>36.612504973710713</v>
      </c>
      <c r="X243" t="s">
        <v>291</v>
      </c>
      <c r="Y243">
        <v>10</v>
      </c>
      <c r="Z243">
        <v>0.31616344381119887</v>
      </c>
      <c r="AA243">
        <v>1</v>
      </c>
    </row>
    <row r="244" spans="1:27" hidden="1" x14ac:dyDescent="0.25">
      <c r="A244" t="s">
        <v>98</v>
      </c>
      <c r="B244" t="s">
        <v>499</v>
      </c>
      <c r="D244" t="s">
        <v>100</v>
      </c>
      <c r="E244" t="s">
        <v>284</v>
      </c>
      <c r="F244" t="s">
        <v>292</v>
      </c>
      <c r="G244" t="s">
        <v>103</v>
      </c>
      <c r="H244" t="s">
        <v>104</v>
      </c>
      <c r="I244">
        <v>2022</v>
      </c>
      <c r="J244" t="s">
        <v>293</v>
      </c>
      <c r="K244" t="s">
        <v>106</v>
      </c>
      <c r="L244" t="s">
        <v>575</v>
      </c>
      <c r="M244" t="s">
        <v>577</v>
      </c>
      <c r="N244">
        <v>1</v>
      </c>
      <c r="O244">
        <v>2020</v>
      </c>
      <c r="P244">
        <v>99.46253669701926</v>
      </c>
      <c r="Q244">
        <v>6.0605044913603194</v>
      </c>
      <c r="R244" t="s">
        <v>289</v>
      </c>
      <c r="S244">
        <v>42.005691056910557</v>
      </c>
      <c r="T244" t="s">
        <v>290</v>
      </c>
      <c r="U244">
        <v>42.005691056910557</v>
      </c>
      <c r="V244">
        <v>99.46253669701926</v>
      </c>
      <c r="W244">
        <v>6.0605044913603194</v>
      </c>
      <c r="X244" t="s">
        <v>291</v>
      </c>
      <c r="Y244">
        <v>10</v>
      </c>
      <c r="Z244">
        <v>0.31616344381119887</v>
      </c>
      <c r="AA244">
        <v>1</v>
      </c>
    </row>
    <row r="245" spans="1:27" hidden="1" x14ac:dyDescent="0.25">
      <c r="A245" t="s">
        <v>98</v>
      </c>
      <c r="B245" t="s">
        <v>499</v>
      </c>
      <c r="D245" t="s">
        <v>100</v>
      </c>
      <c r="E245" t="s">
        <v>284</v>
      </c>
      <c r="F245" t="s">
        <v>292</v>
      </c>
      <c r="G245" t="s">
        <v>112</v>
      </c>
      <c r="H245" t="s">
        <v>104</v>
      </c>
      <c r="I245">
        <v>2022</v>
      </c>
      <c r="J245" t="s">
        <v>295</v>
      </c>
      <c r="K245" t="s">
        <v>106</v>
      </c>
      <c r="L245" t="s">
        <v>575</v>
      </c>
      <c r="M245" t="s">
        <v>578</v>
      </c>
      <c r="N245">
        <v>1</v>
      </c>
      <c r="O245">
        <v>2020</v>
      </c>
      <c r="P245">
        <v>92.517129414925563</v>
      </c>
      <c r="Q245">
        <v>5.9256499638890956</v>
      </c>
      <c r="R245" t="s">
        <v>289</v>
      </c>
      <c r="S245">
        <v>43.051923076923067</v>
      </c>
      <c r="T245" t="s">
        <v>290</v>
      </c>
      <c r="U245">
        <v>43.051923076923067</v>
      </c>
      <c r="V245">
        <v>92.517129414925563</v>
      </c>
      <c r="W245">
        <v>5.9256499638890956</v>
      </c>
      <c r="X245" t="s">
        <v>291</v>
      </c>
      <c r="Y245">
        <v>10</v>
      </c>
      <c r="Z245">
        <v>0.31616344381119887</v>
      </c>
      <c r="AA245">
        <v>1</v>
      </c>
    </row>
    <row r="246" spans="1:27" hidden="1" x14ac:dyDescent="0.25">
      <c r="A246" t="s">
        <v>98</v>
      </c>
      <c r="B246" t="s">
        <v>499</v>
      </c>
      <c r="D246" t="s">
        <v>100</v>
      </c>
      <c r="E246" t="s">
        <v>284</v>
      </c>
      <c r="F246" t="s">
        <v>297</v>
      </c>
      <c r="G246" t="s">
        <v>103</v>
      </c>
      <c r="H246" t="s">
        <v>104</v>
      </c>
      <c r="I246">
        <v>2022</v>
      </c>
      <c r="J246" t="s">
        <v>298</v>
      </c>
      <c r="K246" t="s">
        <v>106</v>
      </c>
      <c r="L246" t="s">
        <v>575</v>
      </c>
      <c r="M246" t="s">
        <v>579</v>
      </c>
      <c r="N246">
        <v>1</v>
      </c>
      <c r="O246">
        <v>2020</v>
      </c>
      <c r="P246">
        <v>94.526951376087595</v>
      </c>
      <c r="Q246">
        <v>3.949349451558744</v>
      </c>
      <c r="R246" t="s">
        <v>289</v>
      </c>
      <c r="S246">
        <v>76.146700507614213</v>
      </c>
      <c r="T246" t="s">
        <v>290</v>
      </c>
      <c r="U246">
        <v>76.146700507614213</v>
      </c>
      <c r="V246">
        <v>94.526951376087595</v>
      </c>
      <c r="W246">
        <v>3.949349451558744</v>
      </c>
      <c r="X246" t="s">
        <v>291</v>
      </c>
      <c r="Y246">
        <v>10</v>
      </c>
      <c r="Z246">
        <v>0.31616344381119887</v>
      </c>
      <c r="AA246">
        <v>1</v>
      </c>
    </row>
    <row r="247" spans="1:27" hidden="1" x14ac:dyDescent="0.25">
      <c r="A247" t="s">
        <v>98</v>
      </c>
      <c r="B247" t="s">
        <v>499</v>
      </c>
      <c r="D247" t="s">
        <v>100</v>
      </c>
      <c r="E247" t="s">
        <v>284</v>
      </c>
      <c r="F247" t="s">
        <v>297</v>
      </c>
      <c r="G247" t="s">
        <v>112</v>
      </c>
      <c r="H247" t="s">
        <v>104</v>
      </c>
      <c r="I247">
        <v>2022</v>
      </c>
      <c r="J247" t="s">
        <v>300</v>
      </c>
      <c r="K247" t="s">
        <v>106</v>
      </c>
      <c r="L247" t="s">
        <v>575</v>
      </c>
      <c r="M247" t="s">
        <v>580</v>
      </c>
      <c r="N247">
        <v>1</v>
      </c>
      <c r="O247">
        <v>2020</v>
      </c>
      <c r="P247">
        <v>69.765067810793198</v>
      </c>
      <c r="Q247">
        <v>2.516631606553434</v>
      </c>
      <c r="R247" t="s">
        <v>289</v>
      </c>
      <c r="S247">
        <v>93</v>
      </c>
      <c r="T247" t="s">
        <v>290</v>
      </c>
      <c r="U247">
        <v>93</v>
      </c>
      <c r="V247">
        <v>69.765067810793198</v>
      </c>
      <c r="W247">
        <v>2.516631606553434</v>
      </c>
      <c r="X247" t="s">
        <v>291</v>
      </c>
      <c r="Y247">
        <v>10</v>
      </c>
      <c r="Z247">
        <v>0.31616344381119887</v>
      </c>
      <c r="AA247">
        <v>1</v>
      </c>
    </row>
    <row r="248" spans="1:27" hidden="1" x14ac:dyDescent="0.25">
      <c r="A248" t="s">
        <v>98</v>
      </c>
      <c r="B248" t="s">
        <v>499</v>
      </c>
      <c r="D248" t="s">
        <v>100</v>
      </c>
      <c r="E248" t="s">
        <v>284</v>
      </c>
      <c r="F248" t="s">
        <v>302</v>
      </c>
      <c r="G248" t="s">
        <v>103</v>
      </c>
      <c r="H248" t="s">
        <v>104</v>
      </c>
      <c r="I248">
        <v>2022</v>
      </c>
      <c r="J248" t="s">
        <v>303</v>
      </c>
      <c r="K248" t="s">
        <v>106</v>
      </c>
      <c r="L248" t="s">
        <v>575</v>
      </c>
      <c r="M248" t="s">
        <v>581</v>
      </c>
      <c r="N248">
        <v>1</v>
      </c>
      <c r="O248">
        <v>2020</v>
      </c>
      <c r="P248">
        <v>105.7930490817716</v>
      </c>
      <c r="Q248">
        <v>3.355492309527206</v>
      </c>
      <c r="R248" t="s">
        <v>289</v>
      </c>
      <c r="S248">
        <v>64.669172932330824</v>
      </c>
      <c r="T248" t="s">
        <v>290</v>
      </c>
      <c r="U248">
        <v>64.669172932330824</v>
      </c>
      <c r="V248">
        <v>105.7930490817716</v>
      </c>
      <c r="W248">
        <v>3.355492309527206</v>
      </c>
      <c r="X248" t="s">
        <v>291</v>
      </c>
      <c r="Y248">
        <v>10</v>
      </c>
      <c r="Z248">
        <v>0.31616344381119887</v>
      </c>
      <c r="AA248">
        <v>1</v>
      </c>
    </row>
    <row r="249" spans="1:27" hidden="1" x14ac:dyDescent="0.25">
      <c r="A249" t="s">
        <v>98</v>
      </c>
      <c r="B249" t="s">
        <v>499</v>
      </c>
      <c r="D249" t="s">
        <v>100</v>
      </c>
      <c r="E249" t="s">
        <v>284</v>
      </c>
      <c r="F249" t="s">
        <v>302</v>
      </c>
      <c r="G249" t="s">
        <v>112</v>
      </c>
      <c r="H249" t="s">
        <v>104</v>
      </c>
      <c r="I249">
        <v>2022</v>
      </c>
      <c r="J249" t="s">
        <v>305</v>
      </c>
      <c r="K249" t="s">
        <v>106</v>
      </c>
      <c r="L249" t="s">
        <v>575</v>
      </c>
      <c r="M249" t="s">
        <v>582</v>
      </c>
      <c r="N249">
        <v>1</v>
      </c>
      <c r="O249">
        <v>2020</v>
      </c>
      <c r="P249">
        <v>99.614212714858894</v>
      </c>
      <c r="Q249">
        <v>1.4361600838792941</v>
      </c>
      <c r="R249" t="s">
        <v>289</v>
      </c>
      <c r="S249">
        <v>75.07692307692308</v>
      </c>
      <c r="T249" t="s">
        <v>290</v>
      </c>
      <c r="U249">
        <v>75.07692307692308</v>
      </c>
      <c r="V249">
        <v>99.614212714858894</v>
      </c>
      <c r="W249">
        <v>1.4361600838792941</v>
      </c>
      <c r="X249" t="s">
        <v>291</v>
      </c>
      <c r="Y249">
        <v>10</v>
      </c>
      <c r="Z249">
        <v>0.31616344381119887</v>
      </c>
      <c r="AA249">
        <v>1</v>
      </c>
    </row>
    <row r="250" spans="1:27" hidden="1" x14ac:dyDescent="0.25">
      <c r="A250" t="s">
        <v>98</v>
      </c>
      <c r="B250" t="s">
        <v>499</v>
      </c>
      <c r="D250" t="s">
        <v>100</v>
      </c>
      <c r="E250" t="s">
        <v>284</v>
      </c>
      <c r="F250" t="s">
        <v>297</v>
      </c>
      <c r="G250" t="s">
        <v>103</v>
      </c>
      <c r="H250" t="s">
        <v>104</v>
      </c>
      <c r="I250">
        <v>2023</v>
      </c>
      <c r="J250" t="s">
        <v>307</v>
      </c>
      <c r="K250" t="s">
        <v>106</v>
      </c>
      <c r="L250" t="s">
        <v>575</v>
      </c>
      <c r="M250" t="s">
        <v>583</v>
      </c>
      <c r="N250">
        <v>1</v>
      </c>
      <c r="O250">
        <v>2023</v>
      </c>
      <c r="P250">
        <v>94.526951376087595</v>
      </c>
      <c r="Q250">
        <v>3.949349451558744</v>
      </c>
      <c r="R250" t="s">
        <v>289</v>
      </c>
      <c r="S250">
        <v>76.146700507614213</v>
      </c>
      <c r="T250" t="s">
        <v>290</v>
      </c>
      <c r="U250">
        <v>76.146700507614213</v>
      </c>
      <c r="V250">
        <v>94.526951376087595</v>
      </c>
      <c r="W250">
        <v>3.949349451558744</v>
      </c>
      <c r="X250" t="s">
        <v>291</v>
      </c>
      <c r="Y250">
        <v>10</v>
      </c>
      <c r="Z250">
        <v>0.31616344381119887</v>
      </c>
      <c r="AA250">
        <v>1</v>
      </c>
    </row>
    <row r="251" spans="1:27" hidden="1" x14ac:dyDescent="0.25">
      <c r="A251" t="s">
        <v>98</v>
      </c>
      <c r="B251" t="s">
        <v>499</v>
      </c>
      <c r="D251" t="s">
        <v>100</v>
      </c>
      <c r="E251" t="s">
        <v>284</v>
      </c>
      <c r="F251" t="s">
        <v>297</v>
      </c>
      <c r="G251" t="s">
        <v>112</v>
      </c>
      <c r="H251" t="s">
        <v>104</v>
      </c>
      <c r="I251">
        <v>2023</v>
      </c>
      <c r="J251" t="s">
        <v>309</v>
      </c>
      <c r="K251" t="s">
        <v>106</v>
      </c>
      <c r="L251" t="s">
        <v>575</v>
      </c>
      <c r="M251" t="s">
        <v>584</v>
      </c>
      <c r="N251">
        <v>1</v>
      </c>
      <c r="O251">
        <v>2023</v>
      </c>
      <c r="P251">
        <v>69.765067810793198</v>
      </c>
      <c r="Q251">
        <v>2.516631606553434</v>
      </c>
      <c r="R251" t="s">
        <v>289</v>
      </c>
      <c r="S251">
        <v>93</v>
      </c>
      <c r="T251" t="s">
        <v>290</v>
      </c>
      <c r="U251">
        <v>93</v>
      </c>
      <c r="V251">
        <v>69.765067810793198</v>
      </c>
      <c r="W251">
        <v>2.516631606553434</v>
      </c>
      <c r="X251" t="s">
        <v>291</v>
      </c>
      <c r="Y251">
        <v>10</v>
      </c>
      <c r="Z251">
        <v>0.31616344381119887</v>
      </c>
      <c r="AA251">
        <v>1</v>
      </c>
    </row>
    <row r="252" spans="1:27" hidden="1" x14ac:dyDescent="0.25">
      <c r="A252" t="s">
        <v>98</v>
      </c>
      <c r="B252" t="s">
        <v>499</v>
      </c>
      <c r="D252" t="s">
        <v>100</v>
      </c>
      <c r="E252" t="s">
        <v>284</v>
      </c>
      <c r="F252" t="s">
        <v>302</v>
      </c>
      <c r="G252" t="s">
        <v>103</v>
      </c>
      <c r="H252" t="s">
        <v>104</v>
      </c>
      <c r="I252">
        <v>2023</v>
      </c>
      <c r="J252" t="s">
        <v>311</v>
      </c>
      <c r="K252" t="s">
        <v>106</v>
      </c>
      <c r="L252" t="s">
        <v>575</v>
      </c>
      <c r="M252" t="s">
        <v>585</v>
      </c>
      <c r="N252">
        <v>1</v>
      </c>
      <c r="O252">
        <v>2023</v>
      </c>
      <c r="P252">
        <v>105.7930490817716</v>
      </c>
      <c r="Q252">
        <v>3.355492309527206</v>
      </c>
      <c r="R252" t="s">
        <v>289</v>
      </c>
      <c r="S252">
        <v>64.669172932330824</v>
      </c>
      <c r="T252" t="s">
        <v>290</v>
      </c>
      <c r="U252">
        <v>64.669172932330824</v>
      </c>
      <c r="V252">
        <v>105.7930490817716</v>
      </c>
      <c r="W252">
        <v>3.355492309527206</v>
      </c>
      <c r="X252" t="s">
        <v>291</v>
      </c>
      <c r="Y252">
        <v>10</v>
      </c>
      <c r="Z252">
        <v>0.31616344381119887</v>
      </c>
      <c r="AA252">
        <v>1</v>
      </c>
    </row>
    <row r="253" spans="1:27" hidden="1" x14ac:dyDescent="0.25">
      <c r="A253" t="s">
        <v>98</v>
      </c>
      <c r="B253" t="s">
        <v>499</v>
      </c>
      <c r="D253" t="s">
        <v>100</v>
      </c>
      <c r="E253" t="s">
        <v>284</v>
      </c>
      <c r="F253" t="s">
        <v>302</v>
      </c>
      <c r="G253" t="s">
        <v>112</v>
      </c>
      <c r="H253" t="s">
        <v>104</v>
      </c>
      <c r="I253">
        <v>2023</v>
      </c>
      <c r="J253" t="s">
        <v>313</v>
      </c>
      <c r="K253" t="s">
        <v>106</v>
      </c>
      <c r="L253" t="s">
        <v>575</v>
      </c>
      <c r="M253" t="s">
        <v>586</v>
      </c>
      <c r="N253">
        <v>1</v>
      </c>
      <c r="O253">
        <v>2023</v>
      </c>
      <c r="P253">
        <v>99.614212714858894</v>
      </c>
      <c r="Q253">
        <v>1.4361600838792941</v>
      </c>
      <c r="R253" t="s">
        <v>289</v>
      </c>
      <c r="S253">
        <v>75.07692307692308</v>
      </c>
      <c r="T253" t="s">
        <v>290</v>
      </c>
      <c r="U253">
        <v>75.07692307692308</v>
      </c>
      <c r="V253">
        <v>99.614212714858894</v>
      </c>
      <c r="W253">
        <v>1.4361600838792941</v>
      </c>
      <c r="X253" t="s">
        <v>291</v>
      </c>
      <c r="Y253">
        <v>10</v>
      </c>
      <c r="Z253">
        <v>0.31616344381119887</v>
      </c>
      <c r="AA253">
        <v>1</v>
      </c>
    </row>
    <row r="254" spans="1:27" hidden="1" x14ac:dyDescent="0.25">
      <c r="A254" t="s">
        <v>98</v>
      </c>
      <c r="B254" t="s">
        <v>499</v>
      </c>
      <c r="D254" t="s">
        <v>100</v>
      </c>
      <c r="E254" t="s">
        <v>284</v>
      </c>
      <c r="F254" t="s">
        <v>297</v>
      </c>
      <c r="G254" t="s">
        <v>103</v>
      </c>
      <c r="H254" t="s">
        <v>104</v>
      </c>
      <c r="I254">
        <v>2024</v>
      </c>
      <c r="J254" t="s">
        <v>315</v>
      </c>
      <c r="K254" t="s">
        <v>106</v>
      </c>
      <c r="L254" t="s">
        <v>575</v>
      </c>
      <c r="M254" t="s">
        <v>587</v>
      </c>
      <c r="N254">
        <v>1</v>
      </c>
      <c r="O254">
        <v>2024</v>
      </c>
      <c r="P254">
        <v>94.526951376087595</v>
      </c>
      <c r="Q254">
        <v>3.949349451558744</v>
      </c>
      <c r="R254" t="s">
        <v>289</v>
      </c>
      <c r="S254">
        <v>76.146700507614213</v>
      </c>
      <c r="T254" t="s">
        <v>290</v>
      </c>
      <c r="U254">
        <v>76.146700507614213</v>
      </c>
      <c r="V254">
        <v>94.526951376087595</v>
      </c>
      <c r="W254">
        <v>3.949349451558744</v>
      </c>
      <c r="X254" t="s">
        <v>291</v>
      </c>
      <c r="Y254">
        <v>10</v>
      </c>
      <c r="Z254">
        <v>0.31616344381119887</v>
      </c>
      <c r="AA254">
        <v>1</v>
      </c>
    </row>
    <row r="255" spans="1:27" hidden="1" x14ac:dyDescent="0.25">
      <c r="A255" t="s">
        <v>98</v>
      </c>
      <c r="B255" t="s">
        <v>499</v>
      </c>
      <c r="D255" t="s">
        <v>100</v>
      </c>
      <c r="E255" t="s">
        <v>284</v>
      </c>
      <c r="F255" t="s">
        <v>297</v>
      </c>
      <c r="G255" t="s">
        <v>112</v>
      </c>
      <c r="H255" t="s">
        <v>104</v>
      </c>
      <c r="I255">
        <v>2024</v>
      </c>
      <c r="J255" t="s">
        <v>317</v>
      </c>
      <c r="K255" t="s">
        <v>106</v>
      </c>
      <c r="L255" t="s">
        <v>575</v>
      </c>
      <c r="M255" t="s">
        <v>588</v>
      </c>
      <c r="N255">
        <v>1</v>
      </c>
      <c r="O255">
        <v>2024</v>
      </c>
      <c r="P255">
        <v>69.765067810793198</v>
      </c>
      <c r="Q255">
        <v>2.516631606553434</v>
      </c>
      <c r="R255" t="s">
        <v>289</v>
      </c>
      <c r="S255">
        <v>93</v>
      </c>
      <c r="T255" t="s">
        <v>290</v>
      </c>
      <c r="U255">
        <v>93</v>
      </c>
      <c r="V255">
        <v>69.765067810793198</v>
      </c>
      <c r="W255">
        <v>2.516631606553434</v>
      </c>
      <c r="X255" t="s">
        <v>291</v>
      </c>
      <c r="Y255">
        <v>10</v>
      </c>
      <c r="Z255">
        <v>0.31616344381119887</v>
      </c>
      <c r="AA255">
        <v>1</v>
      </c>
    </row>
    <row r="256" spans="1:27" hidden="1" x14ac:dyDescent="0.25">
      <c r="A256" t="s">
        <v>98</v>
      </c>
      <c r="B256" t="s">
        <v>499</v>
      </c>
      <c r="D256" t="s">
        <v>100</v>
      </c>
      <c r="E256" t="s">
        <v>284</v>
      </c>
      <c r="F256" t="s">
        <v>302</v>
      </c>
      <c r="G256" t="s">
        <v>103</v>
      </c>
      <c r="H256" t="s">
        <v>104</v>
      </c>
      <c r="I256">
        <v>2024</v>
      </c>
      <c r="J256" t="s">
        <v>319</v>
      </c>
      <c r="K256" t="s">
        <v>106</v>
      </c>
      <c r="L256" t="s">
        <v>575</v>
      </c>
      <c r="M256" t="s">
        <v>589</v>
      </c>
      <c r="N256">
        <v>1</v>
      </c>
      <c r="O256">
        <v>2024</v>
      </c>
      <c r="P256">
        <v>105.7930490817716</v>
      </c>
      <c r="Q256">
        <v>3.355492309527206</v>
      </c>
      <c r="R256" t="s">
        <v>289</v>
      </c>
      <c r="S256">
        <v>64.669172932330824</v>
      </c>
      <c r="T256" t="s">
        <v>290</v>
      </c>
      <c r="U256">
        <v>64.669172932330824</v>
      </c>
      <c r="V256">
        <v>105.7930490817716</v>
      </c>
      <c r="W256">
        <v>3.355492309527206</v>
      </c>
      <c r="X256" t="s">
        <v>291</v>
      </c>
      <c r="Y256">
        <v>10</v>
      </c>
      <c r="Z256">
        <v>0.31616344381119887</v>
      </c>
      <c r="AA256">
        <v>1</v>
      </c>
    </row>
    <row r="257" spans="1:27" hidden="1" x14ac:dyDescent="0.25">
      <c r="A257" t="s">
        <v>98</v>
      </c>
      <c r="B257" t="s">
        <v>499</v>
      </c>
      <c r="D257" t="s">
        <v>100</v>
      </c>
      <c r="E257" t="s">
        <v>284</v>
      </c>
      <c r="F257" t="s">
        <v>302</v>
      </c>
      <c r="G257" t="s">
        <v>112</v>
      </c>
      <c r="H257" t="s">
        <v>104</v>
      </c>
      <c r="I257">
        <v>2024</v>
      </c>
      <c r="J257" t="s">
        <v>321</v>
      </c>
      <c r="K257" t="s">
        <v>106</v>
      </c>
      <c r="L257" t="s">
        <v>575</v>
      </c>
      <c r="M257" t="s">
        <v>590</v>
      </c>
      <c r="N257">
        <v>1</v>
      </c>
      <c r="O257">
        <v>2024</v>
      </c>
      <c r="P257">
        <v>99.614212714858894</v>
      </c>
      <c r="Q257">
        <v>1.4361600838792941</v>
      </c>
      <c r="R257" t="s">
        <v>289</v>
      </c>
      <c r="S257">
        <v>75.07692307692308</v>
      </c>
      <c r="T257" t="s">
        <v>290</v>
      </c>
      <c r="U257">
        <v>75.07692307692308</v>
      </c>
      <c r="V257">
        <v>99.614212714858894</v>
      </c>
      <c r="W257">
        <v>1.4361600838792941</v>
      </c>
      <c r="X257" t="s">
        <v>291</v>
      </c>
      <c r="Y257">
        <v>10</v>
      </c>
      <c r="Z257">
        <v>0.31616344381119887</v>
      </c>
      <c r="AA257">
        <v>1</v>
      </c>
    </row>
    <row r="258" spans="1:27" hidden="1" x14ac:dyDescent="0.25">
      <c r="A258" t="s">
        <v>98</v>
      </c>
      <c r="B258" t="s">
        <v>499</v>
      </c>
      <c r="D258" t="s">
        <v>100</v>
      </c>
      <c r="E258" t="s">
        <v>284</v>
      </c>
      <c r="F258" t="s">
        <v>297</v>
      </c>
      <c r="G258" t="s">
        <v>103</v>
      </c>
      <c r="H258" t="s">
        <v>104</v>
      </c>
      <c r="I258">
        <v>2025</v>
      </c>
      <c r="J258" t="s">
        <v>323</v>
      </c>
      <c r="K258" t="s">
        <v>106</v>
      </c>
      <c r="L258" t="s">
        <v>575</v>
      </c>
      <c r="M258" t="s">
        <v>591</v>
      </c>
      <c r="N258">
        <v>1</v>
      </c>
      <c r="O258">
        <v>2025</v>
      </c>
      <c r="P258">
        <v>94.526951376087595</v>
      </c>
      <c r="Q258">
        <v>3.949349451558744</v>
      </c>
      <c r="R258" t="s">
        <v>289</v>
      </c>
      <c r="S258">
        <v>76.146700507614213</v>
      </c>
      <c r="T258" t="s">
        <v>290</v>
      </c>
      <c r="U258">
        <v>76.146700507614213</v>
      </c>
      <c r="V258">
        <v>94.526951376087595</v>
      </c>
      <c r="W258">
        <v>3.949349451558744</v>
      </c>
      <c r="X258" t="s">
        <v>291</v>
      </c>
      <c r="Y258">
        <v>10</v>
      </c>
      <c r="Z258">
        <v>0.31616344381119887</v>
      </c>
      <c r="AA258">
        <v>1</v>
      </c>
    </row>
    <row r="259" spans="1:27" hidden="1" x14ac:dyDescent="0.25">
      <c r="A259" t="s">
        <v>98</v>
      </c>
      <c r="B259" t="s">
        <v>499</v>
      </c>
      <c r="D259" t="s">
        <v>100</v>
      </c>
      <c r="E259" t="s">
        <v>284</v>
      </c>
      <c r="F259" t="s">
        <v>297</v>
      </c>
      <c r="G259" t="s">
        <v>112</v>
      </c>
      <c r="H259" t="s">
        <v>104</v>
      </c>
      <c r="I259">
        <v>2025</v>
      </c>
      <c r="J259" t="s">
        <v>325</v>
      </c>
      <c r="K259" t="s">
        <v>106</v>
      </c>
      <c r="L259" t="s">
        <v>575</v>
      </c>
      <c r="M259" t="s">
        <v>592</v>
      </c>
      <c r="N259">
        <v>1</v>
      </c>
      <c r="O259">
        <v>2025</v>
      </c>
      <c r="P259">
        <v>69.765067810793198</v>
      </c>
      <c r="Q259">
        <v>2.516631606553434</v>
      </c>
      <c r="R259" t="s">
        <v>289</v>
      </c>
      <c r="S259">
        <v>93</v>
      </c>
      <c r="T259" t="s">
        <v>290</v>
      </c>
      <c r="U259">
        <v>93</v>
      </c>
      <c r="V259">
        <v>69.765067810793198</v>
      </c>
      <c r="W259">
        <v>2.516631606553434</v>
      </c>
      <c r="X259" t="s">
        <v>291</v>
      </c>
      <c r="Y259">
        <v>10</v>
      </c>
      <c r="Z259">
        <v>0.31616344381119887</v>
      </c>
      <c r="AA259">
        <v>1</v>
      </c>
    </row>
    <row r="260" spans="1:27" hidden="1" x14ac:dyDescent="0.25">
      <c r="A260" t="s">
        <v>98</v>
      </c>
      <c r="B260" t="s">
        <v>499</v>
      </c>
      <c r="D260" t="s">
        <v>100</v>
      </c>
      <c r="E260" t="s">
        <v>284</v>
      </c>
      <c r="F260" t="s">
        <v>302</v>
      </c>
      <c r="G260" t="s">
        <v>103</v>
      </c>
      <c r="H260" t="s">
        <v>104</v>
      </c>
      <c r="I260">
        <v>2025</v>
      </c>
      <c r="J260" t="s">
        <v>327</v>
      </c>
      <c r="K260" t="s">
        <v>106</v>
      </c>
      <c r="L260" t="s">
        <v>575</v>
      </c>
      <c r="M260" t="s">
        <v>593</v>
      </c>
      <c r="N260">
        <v>1</v>
      </c>
      <c r="O260">
        <v>2025</v>
      </c>
      <c r="P260">
        <v>105.7930490817716</v>
      </c>
      <c r="Q260">
        <v>3.355492309527206</v>
      </c>
      <c r="R260" t="s">
        <v>289</v>
      </c>
      <c r="S260">
        <v>64.669172932330824</v>
      </c>
      <c r="T260" t="s">
        <v>290</v>
      </c>
      <c r="U260">
        <v>64.669172932330824</v>
      </c>
      <c r="V260">
        <v>105.7930490817716</v>
      </c>
      <c r="W260">
        <v>3.355492309527206</v>
      </c>
      <c r="X260" t="s">
        <v>291</v>
      </c>
      <c r="Y260">
        <v>10</v>
      </c>
      <c r="Z260">
        <v>0.31616344381119887</v>
      </c>
      <c r="AA260">
        <v>1</v>
      </c>
    </row>
    <row r="261" spans="1:27" hidden="1" x14ac:dyDescent="0.25">
      <c r="A261" t="s">
        <v>98</v>
      </c>
      <c r="B261" t="s">
        <v>499</v>
      </c>
      <c r="D261" t="s">
        <v>100</v>
      </c>
      <c r="E261" t="s">
        <v>284</v>
      </c>
      <c r="F261" t="s">
        <v>302</v>
      </c>
      <c r="G261" t="s">
        <v>112</v>
      </c>
      <c r="H261" t="s">
        <v>104</v>
      </c>
      <c r="I261">
        <v>2025</v>
      </c>
      <c r="J261" t="s">
        <v>329</v>
      </c>
      <c r="K261" t="s">
        <v>106</v>
      </c>
      <c r="L261" t="s">
        <v>575</v>
      </c>
      <c r="M261" t="s">
        <v>594</v>
      </c>
      <c r="N261">
        <v>1</v>
      </c>
      <c r="O261">
        <v>2025</v>
      </c>
      <c r="P261">
        <v>99.614212714858894</v>
      </c>
      <c r="Q261">
        <v>1.4361600838792941</v>
      </c>
      <c r="R261" t="s">
        <v>289</v>
      </c>
      <c r="S261">
        <v>75.07692307692308</v>
      </c>
      <c r="T261" t="s">
        <v>290</v>
      </c>
      <c r="U261">
        <v>75.07692307692308</v>
      </c>
      <c r="V261">
        <v>99.614212714858894</v>
      </c>
      <c r="W261">
        <v>1.4361600838792941</v>
      </c>
      <c r="X261" t="s">
        <v>291</v>
      </c>
      <c r="Y261">
        <v>10</v>
      </c>
      <c r="Z261">
        <v>0.31616344381119887</v>
      </c>
      <c r="AA261">
        <v>1</v>
      </c>
    </row>
    <row r="262" spans="1:27" hidden="1" x14ac:dyDescent="0.25">
      <c r="A262" t="s">
        <v>98</v>
      </c>
      <c r="B262" t="s">
        <v>499</v>
      </c>
      <c r="D262" t="s">
        <v>100</v>
      </c>
      <c r="E262" t="s">
        <v>284</v>
      </c>
      <c r="F262" t="s">
        <v>297</v>
      </c>
      <c r="G262" t="s">
        <v>103</v>
      </c>
      <c r="H262" t="s">
        <v>104</v>
      </c>
      <c r="I262">
        <v>2026</v>
      </c>
      <c r="J262" t="s">
        <v>331</v>
      </c>
      <c r="K262" t="s">
        <v>106</v>
      </c>
      <c r="L262" t="s">
        <v>575</v>
      </c>
      <c r="M262" t="s">
        <v>595</v>
      </c>
      <c r="N262">
        <v>1</v>
      </c>
      <c r="O262">
        <v>2026</v>
      </c>
      <c r="P262">
        <v>94.526951376087595</v>
      </c>
      <c r="Q262">
        <v>3.949349451558744</v>
      </c>
      <c r="R262" t="s">
        <v>289</v>
      </c>
      <c r="S262">
        <v>76.146700507614213</v>
      </c>
      <c r="T262" t="s">
        <v>290</v>
      </c>
      <c r="U262">
        <v>76.146700507614213</v>
      </c>
      <c r="V262">
        <v>94.526951376087595</v>
      </c>
      <c r="W262">
        <v>3.949349451558744</v>
      </c>
      <c r="X262" t="s">
        <v>291</v>
      </c>
      <c r="Y262">
        <v>10</v>
      </c>
      <c r="Z262">
        <v>0.31616344381119887</v>
      </c>
      <c r="AA262">
        <v>1</v>
      </c>
    </row>
    <row r="263" spans="1:27" hidden="1" x14ac:dyDescent="0.25">
      <c r="A263" t="s">
        <v>98</v>
      </c>
      <c r="B263" t="s">
        <v>499</v>
      </c>
      <c r="D263" t="s">
        <v>100</v>
      </c>
      <c r="E263" t="s">
        <v>284</v>
      </c>
      <c r="F263" t="s">
        <v>297</v>
      </c>
      <c r="G263" t="s">
        <v>112</v>
      </c>
      <c r="H263" t="s">
        <v>104</v>
      </c>
      <c r="I263">
        <v>2026</v>
      </c>
      <c r="J263" t="s">
        <v>333</v>
      </c>
      <c r="K263" t="s">
        <v>106</v>
      </c>
      <c r="L263" t="s">
        <v>575</v>
      </c>
      <c r="M263" t="s">
        <v>596</v>
      </c>
      <c r="N263">
        <v>1</v>
      </c>
      <c r="O263">
        <v>2026</v>
      </c>
      <c r="P263">
        <v>69.765067810793198</v>
      </c>
      <c r="Q263">
        <v>2.516631606553434</v>
      </c>
      <c r="R263" t="s">
        <v>289</v>
      </c>
      <c r="S263">
        <v>93</v>
      </c>
      <c r="T263" t="s">
        <v>290</v>
      </c>
      <c r="U263">
        <v>93</v>
      </c>
      <c r="V263">
        <v>69.765067810793198</v>
      </c>
      <c r="W263">
        <v>2.516631606553434</v>
      </c>
      <c r="X263" t="s">
        <v>291</v>
      </c>
      <c r="Y263">
        <v>10</v>
      </c>
      <c r="Z263">
        <v>0.31616344381119887</v>
      </c>
      <c r="AA263">
        <v>1</v>
      </c>
    </row>
    <row r="264" spans="1:27" hidden="1" x14ac:dyDescent="0.25">
      <c r="A264" t="s">
        <v>98</v>
      </c>
      <c r="B264" t="s">
        <v>499</v>
      </c>
      <c r="D264" t="s">
        <v>100</v>
      </c>
      <c r="E264" t="s">
        <v>284</v>
      </c>
      <c r="F264" t="s">
        <v>302</v>
      </c>
      <c r="G264" t="s">
        <v>103</v>
      </c>
      <c r="H264" t="s">
        <v>104</v>
      </c>
      <c r="I264">
        <v>2026</v>
      </c>
      <c r="J264" t="s">
        <v>335</v>
      </c>
      <c r="K264" t="s">
        <v>106</v>
      </c>
      <c r="L264" t="s">
        <v>575</v>
      </c>
      <c r="M264" t="s">
        <v>597</v>
      </c>
      <c r="N264">
        <v>1</v>
      </c>
      <c r="O264">
        <v>2026</v>
      </c>
      <c r="P264">
        <v>105.7930490817716</v>
      </c>
      <c r="Q264">
        <v>3.355492309527206</v>
      </c>
      <c r="R264" t="s">
        <v>289</v>
      </c>
      <c r="S264">
        <v>64.669172932330824</v>
      </c>
      <c r="T264" t="s">
        <v>290</v>
      </c>
      <c r="U264">
        <v>64.669172932330824</v>
      </c>
      <c r="V264">
        <v>105.7930490817716</v>
      </c>
      <c r="W264">
        <v>3.355492309527206</v>
      </c>
      <c r="X264" t="s">
        <v>291</v>
      </c>
      <c r="Y264">
        <v>10</v>
      </c>
      <c r="Z264">
        <v>0.31616344381119887</v>
      </c>
      <c r="AA264">
        <v>1</v>
      </c>
    </row>
    <row r="265" spans="1:27" hidden="1" x14ac:dyDescent="0.25">
      <c r="A265" t="s">
        <v>98</v>
      </c>
      <c r="B265" t="s">
        <v>499</v>
      </c>
      <c r="D265" t="s">
        <v>100</v>
      </c>
      <c r="E265" t="s">
        <v>284</v>
      </c>
      <c r="F265" t="s">
        <v>302</v>
      </c>
      <c r="G265" t="s">
        <v>112</v>
      </c>
      <c r="H265" t="s">
        <v>104</v>
      </c>
      <c r="I265">
        <v>2026</v>
      </c>
      <c r="J265" t="s">
        <v>337</v>
      </c>
      <c r="K265" t="s">
        <v>106</v>
      </c>
      <c r="L265" t="s">
        <v>575</v>
      </c>
      <c r="M265" t="s">
        <v>598</v>
      </c>
      <c r="N265">
        <v>1</v>
      </c>
      <c r="O265">
        <v>2026</v>
      </c>
      <c r="P265">
        <v>99.614212714858894</v>
      </c>
      <c r="Q265">
        <v>1.4361600838792941</v>
      </c>
      <c r="R265" t="s">
        <v>289</v>
      </c>
      <c r="S265">
        <v>75.07692307692308</v>
      </c>
      <c r="T265" t="s">
        <v>290</v>
      </c>
      <c r="U265">
        <v>75.07692307692308</v>
      </c>
      <c r="V265">
        <v>99.614212714858894</v>
      </c>
      <c r="W265">
        <v>1.4361600838792941</v>
      </c>
      <c r="X265" t="s">
        <v>291</v>
      </c>
      <c r="Y265">
        <v>10</v>
      </c>
      <c r="Z265">
        <v>0.31616344381119887</v>
      </c>
      <c r="AA265">
        <v>1</v>
      </c>
    </row>
    <row r="266" spans="1:27" hidden="1" x14ac:dyDescent="0.25">
      <c r="A266" t="s">
        <v>98</v>
      </c>
      <c r="B266" t="s">
        <v>499</v>
      </c>
      <c r="D266" t="s">
        <v>100</v>
      </c>
      <c r="E266" t="s">
        <v>284</v>
      </c>
      <c r="F266" t="s">
        <v>292</v>
      </c>
      <c r="G266" t="s">
        <v>103</v>
      </c>
      <c r="H266" t="s">
        <v>104</v>
      </c>
      <c r="I266">
        <v>2030</v>
      </c>
      <c r="J266" t="s">
        <v>339</v>
      </c>
      <c r="K266" t="s">
        <v>106</v>
      </c>
      <c r="L266" t="s">
        <v>575</v>
      </c>
      <c r="M266" t="s">
        <v>599</v>
      </c>
      <c r="N266">
        <v>1</v>
      </c>
      <c r="O266">
        <v>2030</v>
      </c>
      <c r="P266">
        <v>99.96668875570353</v>
      </c>
      <c r="Q266">
        <v>4.9152448223495018</v>
      </c>
      <c r="R266" t="s">
        <v>289</v>
      </c>
      <c r="S266">
        <v>55.211046644573933</v>
      </c>
      <c r="T266" t="s">
        <v>290</v>
      </c>
      <c r="U266">
        <v>55.211046644573933</v>
      </c>
      <c r="V266">
        <v>99.96668875570353</v>
      </c>
      <c r="W266">
        <v>4.9152448223495018</v>
      </c>
      <c r="X266" t="s">
        <v>291</v>
      </c>
      <c r="Y266">
        <v>10</v>
      </c>
      <c r="Z266">
        <v>0.31616344381119887</v>
      </c>
      <c r="AA266">
        <v>1</v>
      </c>
    </row>
    <row r="267" spans="1:27" hidden="1" x14ac:dyDescent="0.25">
      <c r="A267" t="s">
        <v>98</v>
      </c>
      <c r="B267" t="s">
        <v>499</v>
      </c>
      <c r="D267" t="s">
        <v>100</v>
      </c>
      <c r="E267" t="s">
        <v>284</v>
      </c>
      <c r="F267" t="s">
        <v>292</v>
      </c>
      <c r="G267" t="s">
        <v>112</v>
      </c>
      <c r="H267" t="s">
        <v>104</v>
      </c>
      <c r="I267">
        <v>2030</v>
      </c>
      <c r="J267" t="s">
        <v>341</v>
      </c>
      <c r="K267" t="s">
        <v>106</v>
      </c>
      <c r="L267" t="s">
        <v>575</v>
      </c>
      <c r="M267" t="s">
        <v>600</v>
      </c>
      <c r="N267">
        <v>1</v>
      </c>
      <c r="O267">
        <v>2030</v>
      </c>
      <c r="P267">
        <v>93.570390823718384</v>
      </c>
      <c r="Q267">
        <v>4.27625645181514</v>
      </c>
      <c r="R267" t="s">
        <v>289</v>
      </c>
      <c r="S267">
        <v>60.132155797450622</v>
      </c>
      <c r="T267" t="s">
        <v>290</v>
      </c>
      <c r="U267">
        <v>60.132155797450622</v>
      </c>
      <c r="V267">
        <v>93.570390823718384</v>
      </c>
      <c r="W267">
        <v>4.27625645181514</v>
      </c>
      <c r="X267" t="s">
        <v>291</v>
      </c>
      <c r="Y267">
        <v>10</v>
      </c>
      <c r="Z267">
        <v>0.31616344381119887</v>
      </c>
      <c r="AA267">
        <v>1</v>
      </c>
    </row>
    <row r="268" spans="1:27" hidden="1" x14ac:dyDescent="0.25">
      <c r="A268" t="s">
        <v>98</v>
      </c>
      <c r="B268" t="s">
        <v>499</v>
      </c>
      <c r="D268" t="s">
        <v>100</v>
      </c>
      <c r="E268" t="s">
        <v>284</v>
      </c>
      <c r="F268" t="s">
        <v>297</v>
      </c>
      <c r="G268" t="s">
        <v>103</v>
      </c>
      <c r="H268" t="s">
        <v>104</v>
      </c>
      <c r="I268">
        <v>2030</v>
      </c>
      <c r="J268" t="s">
        <v>343</v>
      </c>
      <c r="K268" t="s">
        <v>106</v>
      </c>
      <c r="L268" t="s">
        <v>575</v>
      </c>
      <c r="M268" t="s">
        <v>601</v>
      </c>
      <c r="N268">
        <v>1</v>
      </c>
      <c r="O268">
        <v>2030</v>
      </c>
      <c r="P268">
        <v>112.2464608710101</v>
      </c>
      <c r="Q268">
        <v>3.5870084905918258</v>
      </c>
      <c r="R268" t="s">
        <v>289</v>
      </c>
      <c r="S268">
        <v>89.042769074884546</v>
      </c>
      <c r="T268" t="s">
        <v>290</v>
      </c>
      <c r="U268">
        <v>89.042769074884546</v>
      </c>
      <c r="V268">
        <v>112.2464608710101</v>
      </c>
      <c r="W268">
        <v>3.5870084905918258</v>
      </c>
      <c r="X268" t="s">
        <v>291</v>
      </c>
      <c r="Y268">
        <v>10</v>
      </c>
      <c r="Z268">
        <v>0.31616344381119887</v>
      </c>
      <c r="AA268">
        <v>1</v>
      </c>
    </row>
    <row r="269" spans="1:27" hidden="1" x14ac:dyDescent="0.25">
      <c r="A269" t="s">
        <v>98</v>
      </c>
      <c r="B269" t="s">
        <v>499</v>
      </c>
      <c r="D269" t="s">
        <v>100</v>
      </c>
      <c r="E269" t="s">
        <v>284</v>
      </c>
      <c r="F269" t="s">
        <v>297</v>
      </c>
      <c r="G269" t="s">
        <v>112</v>
      </c>
      <c r="H269" t="s">
        <v>104</v>
      </c>
      <c r="I269">
        <v>2030</v>
      </c>
      <c r="J269" t="s">
        <v>345</v>
      </c>
      <c r="K269" t="s">
        <v>106</v>
      </c>
      <c r="L269" t="s">
        <v>575</v>
      </c>
      <c r="M269" t="s">
        <v>602</v>
      </c>
      <c r="N269">
        <v>1</v>
      </c>
      <c r="O269">
        <v>2030</v>
      </c>
      <c r="P269">
        <v>84.571073913548247</v>
      </c>
      <c r="Q269">
        <v>2.3525336937486059</v>
      </c>
      <c r="R269" t="s">
        <v>289</v>
      </c>
      <c r="S269">
        <v>108.5525423728814</v>
      </c>
      <c r="T269" t="s">
        <v>290</v>
      </c>
      <c r="U269">
        <v>108.5525423728814</v>
      </c>
      <c r="V269">
        <v>84.571073913548247</v>
      </c>
      <c r="W269">
        <v>2.3525336937486059</v>
      </c>
      <c r="X269" t="s">
        <v>291</v>
      </c>
      <c r="Y269">
        <v>10</v>
      </c>
      <c r="Z269">
        <v>0.31616344381119887</v>
      </c>
      <c r="AA269">
        <v>1</v>
      </c>
    </row>
    <row r="270" spans="1:27" hidden="1" x14ac:dyDescent="0.25">
      <c r="A270" t="s">
        <v>98</v>
      </c>
      <c r="B270" t="s">
        <v>499</v>
      </c>
      <c r="D270" t="s">
        <v>100</v>
      </c>
      <c r="E270" t="s">
        <v>284</v>
      </c>
      <c r="F270" t="s">
        <v>292</v>
      </c>
      <c r="G270" t="s">
        <v>103</v>
      </c>
      <c r="H270" t="s">
        <v>104</v>
      </c>
      <c r="I270">
        <v>2040</v>
      </c>
      <c r="J270" t="s">
        <v>347</v>
      </c>
      <c r="K270" t="s">
        <v>106</v>
      </c>
      <c r="L270" t="s">
        <v>575</v>
      </c>
      <c r="M270" t="s">
        <v>603</v>
      </c>
      <c r="N270">
        <v>1</v>
      </c>
      <c r="O270">
        <v>2040</v>
      </c>
      <c r="P270">
        <v>98.335071194105581</v>
      </c>
      <c r="Q270">
        <v>4.7080379086524973</v>
      </c>
      <c r="R270" t="s">
        <v>289</v>
      </c>
      <c r="S270">
        <v>63.829339223058007</v>
      </c>
      <c r="T270" t="s">
        <v>290</v>
      </c>
      <c r="U270">
        <v>63.829339223058007</v>
      </c>
      <c r="V270">
        <v>98.335071194105581</v>
      </c>
      <c r="W270">
        <v>4.7080379086524973</v>
      </c>
      <c r="X270" t="s">
        <v>291</v>
      </c>
      <c r="Y270">
        <v>10</v>
      </c>
      <c r="Z270">
        <v>0.31616344381119887</v>
      </c>
      <c r="AA270">
        <v>1</v>
      </c>
    </row>
    <row r="271" spans="1:27" hidden="1" x14ac:dyDescent="0.25">
      <c r="A271" t="s">
        <v>98</v>
      </c>
      <c r="B271" t="s">
        <v>499</v>
      </c>
      <c r="D271" t="s">
        <v>100</v>
      </c>
      <c r="E271" t="s">
        <v>284</v>
      </c>
      <c r="F271" t="s">
        <v>292</v>
      </c>
      <c r="G271" t="s">
        <v>112</v>
      </c>
      <c r="H271" t="s">
        <v>104</v>
      </c>
      <c r="I271">
        <v>2040</v>
      </c>
      <c r="J271" t="s">
        <v>349</v>
      </c>
      <c r="K271" t="s">
        <v>106</v>
      </c>
      <c r="L271" t="s">
        <v>575</v>
      </c>
      <c r="M271" t="s">
        <v>604</v>
      </c>
      <c r="N271">
        <v>1</v>
      </c>
      <c r="O271">
        <v>2040</v>
      </c>
      <c r="P271">
        <v>92.137687829328328</v>
      </c>
      <c r="Q271">
        <v>4.1202723323867074</v>
      </c>
      <c r="R271" t="s">
        <v>289</v>
      </c>
      <c r="S271">
        <v>69.934718883357121</v>
      </c>
      <c r="T271" t="s">
        <v>290</v>
      </c>
      <c r="U271">
        <v>69.934718883357121</v>
      </c>
      <c r="V271">
        <v>92.137687829328328</v>
      </c>
      <c r="W271">
        <v>4.1202723323867074</v>
      </c>
      <c r="X271" t="s">
        <v>291</v>
      </c>
      <c r="Y271">
        <v>10</v>
      </c>
      <c r="Z271">
        <v>0.31616344381119887</v>
      </c>
      <c r="AA271">
        <v>1</v>
      </c>
    </row>
    <row r="272" spans="1:27" hidden="1" x14ac:dyDescent="0.25">
      <c r="A272" t="s">
        <v>98</v>
      </c>
      <c r="B272" t="s">
        <v>499</v>
      </c>
      <c r="D272" t="s">
        <v>100</v>
      </c>
      <c r="E272" t="s">
        <v>284</v>
      </c>
      <c r="F272" t="s">
        <v>297</v>
      </c>
      <c r="G272" t="s">
        <v>103</v>
      </c>
      <c r="H272" t="s">
        <v>104</v>
      </c>
      <c r="I272">
        <v>2040</v>
      </c>
      <c r="J272" t="s">
        <v>351</v>
      </c>
      <c r="K272" t="s">
        <v>106</v>
      </c>
      <c r="L272" t="s">
        <v>575</v>
      </c>
      <c r="M272" t="s">
        <v>605</v>
      </c>
      <c r="N272">
        <v>1</v>
      </c>
      <c r="O272">
        <v>2040</v>
      </c>
      <c r="P272">
        <v>109.62871509832991</v>
      </c>
      <c r="Q272">
        <v>3.28145573783857</v>
      </c>
      <c r="R272" t="s">
        <v>289</v>
      </c>
      <c r="S272">
        <v>101.8534675620791</v>
      </c>
      <c r="T272" t="s">
        <v>290</v>
      </c>
      <c r="U272">
        <v>101.8534675620791</v>
      </c>
      <c r="V272">
        <v>109.62871509832991</v>
      </c>
      <c r="W272">
        <v>3.28145573783857</v>
      </c>
      <c r="X272" t="s">
        <v>291</v>
      </c>
      <c r="Y272">
        <v>10</v>
      </c>
      <c r="Z272">
        <v>0.31616344381119887</v>
      </c>
      <c r="AA272">
        <v>1</v>
      </c>
    </row>
    <row r="273" spans="1:27" hidden="1" x14ac:dyDescent="0.25">
      <c r="A273" t="s">
        <v>98</v>
      </c>
      <c r="B273" t="s">
        <v>499</v>
      </c>
      <c r="D273" t="s">
        <v>100</v>
      </c>
      <c r="E273" t="s">
        <v>284</v>
      </c>
      <c r="F273" t="s">
        <v>297</v>
      </c>
      <c r="G273" t="s">
        <v>112</v>
      </c>
      <c r="H273" t="s">
        <v>104</v>
      </c>
      <c r="I273">
        <v>2040</v>
      </c>
      <c r="J273" t="s">
        <v>353</v>
      </c>
      <c r="K273" t="s">
        <v>106</v>
      </c>
      <c r="L273" t="s">
        <v>575</v>
      </c>
      <c r="M273" t="s">
        <v>606</v>
      </c>
      <c r="N273">
        <v>1</v>
      </c>
      <c r="O273">
        <v>2040</v>
      </c>
      <c r="P273">
        <v>82.941268534212341</v>
      </c>
      <c r="Q273">
        <v>2.168671786742209</v>
      </c>
      <c r="R273" t="s">
        <v>289</v>
      </c>
      <c r="S273">
        <v>124.1701372074253</v>
      </c>
      <c r="T273" t="s">
        <v>290</v>
      </c>
      <c r="U273">
        <v>124.1701372074253</v>
      </c>
      <c r="V273">
        <v>82.941268534212341</v>
      </c>
      <c r="W273">
        <v>2.168671786742209</v>
      </c>
      <c r="X273" t="s">
        <v>291</v>
      </c>
      <c r="Y273">
        <v>10</v>
      </c>
      <c r="Z273">
        <v>0.31616344381119887</v>
      </c>
      <c r="AA273">
        <v>1</v>
      </c>
    </row>
    <row r="274" spans="1:27" hidden="1" x14ac:dyDescent="0.25">
      <c r="A274" t="s">
        <v>98</v>
      </c>
      <c r="B274" t="s">
        <v>499</v>
      </c>
      <c r="D274" t="s">
        <v>100</v>
      </c>
      <c r="E274" t="s">
        <v>284</v>
      </c>
      <c r="F274" t="s">
        <v>355</v>
      </c>
      <c r="G274" t="s">
        <v>103</v>
      </c>
      <c r="H274" t="s">
        <v>104</v>
      </c>
      <c r="I274">
        <v>2022</v>
      </c>
      <c r="J274" t="s">
        <v>356</v>
      </c>
      <c r="K274" t="s">
        <v>106</v>
      </c>
      <c r="L274" t="s">
        <v>575</v>
      </c>
      <c r="M274" t="s">
        <v>607</v>
      </c>
      <c r="N274">
        <v>1</v>
      </c>
      <c r="O274">
        <v>2020</v>
      </c>
      <c r="P274">
        <v>26.539302440149839</v>
      </c>
      <c r="Q274">
        <v>0.71977466386263589</v>
      </c>
      <c r="R274" t="s">
        <v>289</v>
      </c>
      <c r="S274">
        <v>85.75677051732572</v>
      </c>
      <c r="T274" t="s">
        <v>290</v>
      </c>
      <c r="U274">
        <v>85.75677051732572</v>
      </c>
      <c r="V274">
        <v>26.539302440149839</v>
      </c>
      <c r="W274">
        <v>0.71977466386263589</v>
      </c>
      <c r="X274" t="s">
        <v>291</v>
      </c>
      <c r="Y274">
        <v>10</v>
      </c>
      <c r="Z274">
        <v>0.31616344381119887</v>
      </c>
      <c r="AA274">
        <v>1</v>
      </c>
    </row>
    <row r="275" spans="1:27" hidden="1" x14ac:dyDescent="0.25">
      <c r="A275" t="s">
        <v>98</v>
      </c>
      <c r="B275" t="s">
        <v>499</v>
      </c>
      <c r="D275" t="s">
        <v>100</v>
      </c>
      <c r="E275" t="s">
        <v>284</v>
      </c>
      <c r="F275" t="s">
        <v>355</v>
      </c>
      <c r="G275" t="s">
        <v>112</v>
      </c>
      <c r="H275" t="s">
        <v>104</v>
      </c>
      <c r="I275">
        <v>2022</v>
      </c>
      <c r="J275" t="s">
        <v>358</v>
      </c>
      <c r="K275" t="s">
        <v>106</v>
      </c>
      <c r="L275" t="s">
        <v>575</v>
      </c>
      <c r="M275" t="s">
        <v>608</v>
      </c>
      <c r="N275">
        <v>1</v>
      </c>
      <c r="O275">
        <v>2020</v>
      </c>
      <c r="P275">
        <v>27.952547937105681</v>
      </c>
      <c r="Q275">
        <v>0.83346015109483984</v>
      </c>
      <c r="R275" t="s">
        <v>289</v>
      </c>
      <c r="S275">
        <v>88.372750377742747</v>
      </c>
      <c r="T275" t="s">
        <v>290</v>
      </c>
      <c r="U275">
        <v>88.372750377742747</v>
      </c>
      <c r="V275">
        <v>27.952547937105681</v>
      </c>
      <c r="W275">
        <v>0.83346015109483984</v>
      </c>
      <c r="X275" t="s">
        <v>291</v>
      </c>
      <c r="Y275">
        <v>10</v>
      </c>
      <c r="Z275">
        <v>0.31616344381119887</v>
      </c>
      <c r="AA275">
        <v>1</v>
      </c>
    </row>
    <row r="276" spans="1:27" hidden="1" x14ac:dyDescent="0.25">
      <c r="A276" t="s">
        <v>98</v>
      </c>
      <c r="B276" t="s">
        <v>499</v>
      </c>
      <c r="D276" t="s">
        <v>100</v>
      </c>
      <c r="E276" t="s">
        <v>284</v>
      </c>
      <c r="F276" t="s">
        <v>360</v>
      </c>
      <c r="G276" t="s">
        <v>103</v>
      </c>
      <c r="H276" t="s">
        <v>104</v>
      </c>
      <c r="I276">
        <v>2022</v>
      </c>
      <c r="J276" t="s">
        <v>361</v>
      </c>
      <c r="K276" t="s">
        <v>106</v>
      </c>
      <c r="L276" t="s">
        <v>575</v>
      </c>
      <c r="M276" t="s">
        <v>609</v>
      </c>
      <c r="N276">
        <v>1</v>
      </c>
      <c r="O276">
        <v>2020</v>
      </c>
      <c r="P276">
        <v>30.743231458982891</v>
      </c>
      <c r="Q276">
        <v>0.75530083267302539</v>
      </c>
      <c r="R276" t="s">
        <v>289</v>
      </c>
      <c r="S276">
        <v>85.752844444444449</v>
      </c>
      <c r="T276" t="s">
        <v>290</v>
      </c>
      <c r="U276">
        <v>85.752844444444449</v>
      </c>
      <c r="V276">
        <v>30.743231458982891</v>
      </c>
      <c r="W276">
        <v>0.75530083267302539</v>
      </c>
      <c r="X276" t="s">
        <v>291</v>
      </c>
      <c r="Y276">
        <v>10</v>
      </c>
      <c r="Z276">
        <v>0.31616344381119887</v>
      </c>
      <c r="AA276">
        <v>1</v>
      </c>
    </row>
    <row r="277" spans="1:27" hidden="1" x14ac:dyDescent="0.25">
      <c r="A277" t="s">
        <v>98</v>
      </c>
      <c r="B277" t="s">
        <v>499</v>
      </c>
      <c r="D277" t="s">
        <v>100</v>
      </c>
      <c r="E277" t="s">
        <v>284</v>
      </c>
      <c r="F277" t="s">
        <v>360</v>
      </c>
      <c r="G277" t="s">
        <v>112</v>
      </c>
      <c r="H277" t="s">
        <v>104</v>
      </c>
      <c r="I277">
        <v>2022</v>
      </c>
      <c r="J277" t="s">
        <v>363</v>
      </c>
      <c r="K277" t="s">
        <v>106</v>
      </c>
      <c r="L277" t="s">
        <v>575</v>
      </c>
      <c r="M277" t="s">
        <v>610</v>
      </c>
      <c r="N277">
        <v>1</v>
      </c>
      <c r="O277">
        <v>2020</v>
      </c>
      <c r="P277">
        <v>30.995290460986698</v>
      </c>
      <c r="Q277">
        <v>1.07624732944957</v>
      </c>
      <c r="R277" t="s">
        <v>289</v>
      </c>
      <c r="S277">
        <v>91.18482905982907</v>
      </c>
      <c r="T277" t="s">
        <v>290</v>
      </c>
      <c r="U277">
        <v>91.18482905982907</v>
      </c>
      <c r="V277">
        <v>30.995290460986698</v>
      </c>
      <c r="W277">
        <v>1.07624732944957</v>
      </c>
      <c r="X277" t="s">
        <v>291</v>
      </c>
      <c r="Y277">
        <v>10</v>
      </c>
      <c r="Z277">
        <v>0.31616344381119887</v>
      </c>
      <c r="AA277">
        <v>1</v>
      </c>
    </row>
    <row r="278" spans="1:27" hidden="1" x14ac:dyDescent="0.25">
      <c r="A278" t="s">
        <v>98</v>
      </c>
      <c r="B278" t="s">
        <v>499</v>
      </c>
      <c r="D278" t="s">
        <v>100</v>
      </c>
      <c r="E278" t="s">
        <v>284</v>
      </c>
      <c r="F278" t="s">
        <v>365</v>
      </c>
      <c r="G278" t="s">
        <v>103</v>
      </c>
      <c r="H278" t="s">
        <v>104</v>
      </c>
      <c r="I278">
        <v>2022</v>
      </c>
      <c r="J278" t="s">
        <v>366</v>
      </c>
      <c r="K278" t="s">
        <v>106</v>
      </c>
      <c r="L278" t="s">
        <v>575</v>
      </c>
      <c r="M278" t="s">
        <v>611</v>
      </c>
      <c r="N278">
        <v>1</v>
      </c>
      <c r="O278">
        <v>2020</v>
      </c>
      <c r="P278">
        <v>34.581332645158973</v>
      </c>
      <c r="Q278">
        <v>1.926881708285624</v>
      </c>
      <c r="R278" t="s">
        <v>289</v>
      </c>
      <c r="S278">
        <v>115.45533602622641</v>
      </c>
      <c r="T278" t="s">
        <v>290</v>
      </c>
      <c r="U278">
        <v>115.45533602622641</v>
      </c>
      <c r="V278">
        <v>34.581332645158973</v>
      </c>
      <c r="W278">
        <v>1.926881708285624</v>
      </c>
      <c r="X278" t="s">
        <v>291</v>
      </c>
      <c r="Y278">
        <v>10</v>
      </c>
      <c r="Z278">
        <v>0.31616344381119887</v>
      </c>
      <c r="AA278">
        <v>1</v>
      </c>
    </row>
    <row r="279" spans="1:27" hidden="1" x14ac:dyDescent="0.25">
      <c r="A279" t="s">
        <v>98</v>
      </c>
      <c r="B279" t="s">
        <v>499</v>
      </c>
      <c r="D279" t="s">
        <v>100</v>
      </c>
      <c r="E279" t="s">
        <v>284</v>
      </c>
      <c r="F279" t="s">
        <v>365</v>
      </c>
      <c r="G279" t="s">
        <v>112</v>
      </c>
      <c r="H279" t="s">
        <v>104</v>
      </c>
      <c r="I279">
        <v>2022</v>
      </c>
      <c r="J279" t="s">
        <v>368</v>
      </c>
      <c r="K279" t="s">
        <v>106</v>
      </c>
      <c r="L279" t="s">
        <v>575</v>
      </c>
      <c r="M279" t="s">
        <v>612</v>
      </c>
      <c r="N279">
        <v>1</v>
      </c>
      <c r="O279">
        <v>2020</v>
      </c>
      <c r="P279">
        <v>44.653862333829821</v>
      </c>
      <c r="Q279">
        <v>2.4693086643180591</v>
      </c>
      <c r="R279" t="s">
        <v>289</v>
      </c>
      <c r="S279">
        <v>130.6177318295739</v>
      </c>
      <c r="T279" t="s">
        <v>290</v>
      </c>
      <c r="U279">
        <v>130.6177318295739</v>
      </c>
      <c r="V279">
        <v>44.653862333829821</v>
      </c>
      <c r="W279">
        <v>2.4693086643180591</v>
      </c>
      <c r="X279" t="s">
        <v>291</v>
      </c>
      <c r="Y279">
        <v>10</v>
      </c>
      <c r="Z279">
        <v>0.31616344381119887</v>
      </c>
      <c r="AA279">
        <v>1</v>
      </c>
    </row>
    <row r="280" spans="1:27" hidden="1" x14ac:dyDescent="0.25">
      <c r="A280" t="s">
        <v>98</v>
      </c>
      <c r="B280" t="s">
        <v>499</v>
      </c>
      <c r="D280" t="s">
        <v>100</v>
      </c>
      <c r="E280" t="s">
        <v>284</v>
      </c>
      <c r="F280" t="s">
        <v>365</v>
      </c>
      <c r="G280" t="s">
        <v>103</v>
      </c>
      <c r="H280" t="s">
        <v>104</v>
      </c>
      <c r="I280">
        <v>2023</v>
      </c>
      <c r="J280" t="s">
        <v>370</v>
      </c>
      <c r="K280" t="s">
        <v>106</v>
      </c>
      <c r="L280" t="s">
        <v>575</v>
      </c>
      <c r="M280" t="s">
        <v>613</v>
      </c>
      <c r="N280">
        <v>1</v>
      </c>
      <c r="O280">
        <v>2023</v>
      </c>
      <c r="P280">
        <v>34.353918735727063</v>
      </c>
      <c r="Q280">
        <v>1.893397965391721</v>
      </c>
      <c r="R280" t="s">
        <v>289</v>
      </c>
      <c r="S280">
        <v>115.45533602622641</v>
      </c>
      <c r="T280" t="s">
        <v>290</v>
      </c>
      <c r="U280">
        <v>115.45533602622641</v>
      </c>
      <c r="V280">
        <v>34.353918735727063</v>
      </c>
      <c r="W280">
        <v>1.893397965391721</v>
      </c>
      <c r="X280" t="s">
        <v>291</v>
      </c>
      <c r="Y280">
        <v>10</v>
      </c>
      <c r="Z280">
        <v>0.31616344381119887</v>
      </c>
      <c r="AA280">
        <v>1</v>
      </c>
    </row>
    <row r="281" spans="1:27" hidden="1" x14ac:dyDescent="0.25">
      <c r="A281" t="s">
        <v>98</v>
      </c>
      <c r="B281" t="s">
        <v>499</v>
      </c>
      <c r="D281" t="s">
        <v>100</v>
      </c>
      <c r="E281" t="s">
        <v>284</v>
      </c>
      <c r="F281" t="s">
        <v>365</v>
      </c>
      <c r="G281" t="s">
        <v>112</v>
      </c>
      <c r="H281" t="s">
        <v>104</v>
      </c>
      <c r="I281">
        <v>2023</v>
      </c>
      <c r="J281" t="s">
        <v>372</v>
      </c>
      <c r="K281" t="s">
        <v>106</v>
      </c>
      <c r="L281" t="s">
        <v>575</v>
      </c>
      <c r="M281" t="s">
        <v>614</v>
      </c>
      <c r="N281">
        <v>1</v>
      </c>
      <c r="O281">
        <v>2023</v>
      </c>
      <c r="P281">
        <v>43.733464606512037</v>
      </c>
      <c r="Q281">
        <v>2.4042644647868401</v>
      </c>
      <c r="R281" t="s">
        <v>289</v>
      </c>
      <c r="S281">
        <v>130.6177318295739</v>
      </c>
      <c r="T281" t="s">
        <v>290</v>
      </c>
      <c r="U281">
        <v>130.6177318295739</v>
      </c>
      <c r="V281">
        <v>43.733464606512037</v>
      </c>
      <c r="W281">
        <v>2.4042644647868401</v>
      </c>
      <c r="X281" t="s">
        <v>291</v>
      </c>
      <c r="Y281">
        <v>10</v>
      </c>
      <c r="Z281">
        <v>0.31616344381119887</v>
      </c>
      <c r="AA281">
        <v>1</v>
      </c>
    </row>
    <row r="282" spans="1:27" hidden="1" x14ac:dyDescent="0.25">
      <c r="A282" t="s">
        <v>98</v>
      </c>
      <c r="B282" t="s">
        <v>499</v>
      </c>
      <c r="D282" t="s">
        <v>100</v>
      </c>
      <c r="E282" t="s">
        <v>284</v>
      </c>
      <c r="F282" t="s">
        <v>365</v>
      </c>
      <c r="G282" t="s">
        <v>103</v>
      </c>
      <c r="H282" t="s">
        <v>104</v>
      </c>
      <c r="I282">
        <v>2024</v>
      </c>
      <c r="J282" t="s">
        <v>374</v>
      </c>
      <c r="K282" t="s">
        <v>106</v>
      </c>
      <c r="L282" t="s">
        <v>575</v>
      </c>
      <c r="M282" t="s">
        <v>615</v>
      </c>
      <c r="N282">
        <v>1</v>
      </c>
      <c r="O282">
        <v>2024</v>
      </c>
      <c r="P282">
        <v>34.353918735727063</v>
      </c>
      <c r="Q282">
        <v>1.893397965391721</v>
      </c>
      <c r="R282" t="s">
        <v>289</v>
      </c>
      <c r="S282">
        <v>115.45533602622641</v>
      </c>
      <c r="T282" t="s">
        <v>290</v>
      </c>
      <c r="U282">
        <v>115.45533602622641</v>
      </c>
      <c r="V282">
        <v>34.353918735727063</v>
      </c>
      <c r="W282">
        <v>1.893397965391721</v>
      </c>
      <c r="X282" t="s">
        <v>291</v>
      </c>
      <c r="Y282">
        <v>10</v>
      </c>
      <c r="Z282">
        <v>0.31616344381119887</v>
      </c>
      <c r="AA282">
        <v>1</v>
      </c>
    </row>
    <row r="283" spans="1:27" hidden="1" x14ac:dyDescent="0.25">
      <c r="A283" t="s">
        <v>98</v>
      </c>
      <c r="B283" t="s">
        <v>499</v>
      </c>
      <c r="D283" t="s">
        <v>100</v>
      </c>
      <c r="E283" t="s">
        <v>284</v>
      </c>
      <c r="F283" t="s">
        <v>365</v>
      </c>
      <c r="G283" t="s">
        <v>112</v>
      </c>
      <c r="H283" t="s">
        <v>104</v>
      </c>
      <c r="I283">
        <v>2024</v>
      </c>
      <c r="J283" t="s">
        <v>376</v>
      </c>
      <c r="K283" t="s">
        <v>106</v>
      </c>
      <c r="L283" t="s">
        <v>575</v>
      </c>
      <c r="M283" t="s">
        <v>616</v>
      </c>
      <c r="N283">
        <v>1</v>
      </c>
      <c r="O283">
        <v>2024</v>
      </c>
      <c r="P283">
        <v>43.733464606512037</v>
      </c>
      <c r="Q283">
        <v>2.4042644647868401</v>
      </c>
      <c r="R283" t="s">
        <v>289</v>
      </c>
      <c r="S283">
        <v>130.6177318295739</v>
      </c>
      <c r="T283" t="s">
        <v>290</v>
      </c>
      <c r="U283">
        <v>130.6177318295739</v>
      </c>
      <c r="V283">
        <v>43.733464606512037</v>
      </c>
      <c r="W283">
        <v>2.4042644647868401</v>
      </c>
      <c r="X283" t="s">
        <v>291</v>
      </c>
      <c r="Y283">
        <v>10</v>
      </c>
      <c r="Z283">
        <v>0.31616344381119887</v>
      </c>
      <c r="AA283">
        <v>1</v>
      </c>
    </row>
    <row r="284" spans="1:27" hidden="1" x14ac:dyDescent="0.25">
      <c r="A284" t="s">
        <v>98</v>
      </c>
      <c r="B284" t="s">
        <v>499</v>
      </c>
      <c r="D284" t="s">
        <v>100</v>
      </c>
      <c r="E284" t="s">
        <v>284</v>
      </c>
      <c r="F284" t="s">
        <v>365</v>
      </c>
      <c r="G284" t="s">
        <v>103</v>
      </c>
      <c r="H284" t="s">
        <v>104</v>
      </c>
      <c r="I284">
        <v>2025</v>
      </c>
      <c r="J284" t="s">
        <v>378</v>
      </c>
      <c r="K284" t="s">
        <v>106</v>
      </c>
      <c r="L284" t="s">
        <v>575</v>
      </c>
      <c r="M284" t="s">
        <v>617</v>
      </c>
      <c r="N284">
        <v>1</v>
      </c>
      <c r="O284">
        <v>2025</v>
      </c>
      <c r="P284">
        <v>34.353918735727063</v>
      </c>
      <c r="Q284">
        <v>1.893397965391721</v>
      </c>
      <c r="R284" t="s">
        <v>289</v>
      </c>
      <c r="S284">
        <v>115.45533602622641</v>
      </c>
      <c r="T284" t="s">
        <v>290</v>
      </c>
      <c r="U284">
        <v>115.45533602622641</v>
      </c>
      <c r="V284">
        <v>34.353918735727063</v>
      </c>
      <c r="W284">
        <v>1.893397965391721</v>
      </c>
      <c r="X284" t="s">
        <v>291</v>
      </c>
      <c r="Y284">
        <v>10</v>
      </c>
      <c r="Z284">
        <v>0.31616344381119887</v>
      </c>
      <c r="AA284">
        <v>1</v>
      </c>
    </row>
    <row r="285" spans="1:27" hidden="1" x14ac:dyDescent="0.25">
      <c r="A285" t="s">
        <v>98</v>
      </c>
      <c r="B285" t="s">
        <v>499</v>
      </c>
      <c r="D285" t="s">
        <v>100</v>
      </c>
      <c r="E285" t="s">
        <v>284</v>
      </c>
      <c r="F285" t="s">
        <v>365</v>
      </c>
      <c r="G285" t="s">
        <v>112</v>
      </c>
      <c r="H285" t="s">
        <v>104</v>
      </c>
      <c r="I285">
        <v>2025</v>
      </c>
      <c r="J285" t="s">
        <v>380</v>
      </c>
      <c r="K285" t="s">
        <v>106</v>
      </c>
      <c r="L285" t="s">
        <v>575</v>
      </c>
      <c r="M285" t="s">
        <v>618</v>
      </c>
      <c r="N285">
        <v>1</v>
      </c>
      <c r="O285">
        <v>2025</v>
      </c>
      <c r="P285">
        <v>43.733464606512037</v>
      </c>
      <c r="Q285">
        <v>2.4042644647868401</v>
      </c>
      <c r="R285" t="s">
        <v>289</v>
      </c>
      <c r="S285">
        <v>130.6177318295739</v>
      </c>
      <c r="T285" t="s">
        <v>290</v>
      </c>
      <c r="U285">
        <v>130.6177318295739</v>
      </c>
      <c r="V285">
        <v>43.733464606512037</v>
      </c>
      <c r="W285">
        <v>2.4042644647868401</v>
      </c>
      <c r="X285" t="s">
        <v>291</v>
      </c>
      <c r="Y285">
        <v>10</v>
      </c>
      <c r="Z285">
        <v>0.31616344381119887</v>
      </c>
      <c r="AA285">
        <v>1</v>
      </c>
    </row>
    <row r="286" spans="1:27" hidden="1" x14ac:dyDescent="0.25">
      <c r="A286" t="s">
        <v>98</v>
      </c>
      <c r="B286" t="s">
        <v>499</v>
      </c>
      <c r="D286" t="s">
        <v>100</v>
      </c>
      <c r="E286" t="s">
        <v>284</v>
      </c>
      <c r="F286" t="s">
        <v>365</v>
      </c>
      <c r="G286" t="s">
        <v>103</v>
      </c>
      <c r="H286" t="s">
        <v>104</v>
      </c>
      <c r="I286">
        <v>2026</v>
      </c>
      <c r="J286" t="s">
        <v>382</v>
      </c>
      <c r="K286" t="s">
        <v>106</v>
      </c>
      <c r="L286" t="s">
        <v>575</v>
      </c>
      <c r="M286" t="s">
        <v>619</v>
      </c>
      <c r="N286">
        <v>1</v>
      </c>
      <c r="O286">
        <v>2026</v>
      </c>
      <c r="P286">
        <v>34.353918735727063</v>
      </c>
      <c r="Q286">
        <v>1.893397965391721</v>
      </c>
      <c r="R286" t="s">
        <v>289</v>
      </c>
      <c r="S286">
        <v>115.45533602622641</v>
      </c>
      <c r="T286" t="s">
        <v>290</v>
      </c>
      <c r="U286">
        <v>115.45533602622641</v>
      </c>
      <c r="V286">
        <v>34.353918735727063</v>
      </c>
      <c r="W286">
        <v>1.893397965391721</v>
      </c>
      <c r="X286" t="s">
        <v>291</v>
      </c>
      <c r="Y286">
        <v>10</v>
      </c>
      <c r="Z286">
        <v>0.31616344381119887</v>
      </c>
      <c r="AA286">
        <v>1</v>
      </c>
    </row>
    <row r="287" spans="1:27" hidden="1" x14ac:dyDescent="0.25">
      <c r="A287" t="s">
        <v>98</v>
      </c>
      <c r="B287" t="s">
        <v>499</v>
      </c>
      <c r="D287" t="s">
        <v>100</v>
      </c>
      <c r="E287" t="s">
        <v>284</v>
      </c>
      <c r="F287" t="s">
        <v>365</v>
      </c>
      <c r="G287" t="s">
        <v>112</v>
      </c>
      <c r="H287" t="s">
        <v>104</v>
      </c>
      <c r="I287">
        <v>2026</v>
      </c>
      <c r="J287" t="s">
        <v>384</v>
      </c>
      <c r="K287" t="s">
        <v>106</v>
      </c>
      <c r="L287" t="s">
        <v>575</v>
      </c>
      <c r="M287" t="s">
        <v>620</v>
      </c>
      <c r="N287">
        <v>1</v>
      </c>
      <c r="O287">
        <v>2026</v>
      </c>
      <c r="P287">
        <v>43.733464606512037</v>
      </c>
      <c r="Q287">
        <v>2.4042644647868401</v>
      </c>
      <c r="R287" t="s">
        <v>289</v>
      </c>
      <c r="S287">
        <v>130.6177318295739</v>
      </c>
      <c r="T287" t="s">
        <v>290</v>
      </c>
      <c r="U287">
        <v>130.6177318295739</v>
      </c>
      <c r="V287">
        <v>43.733464606512037</v>
      </c>
      <c r="W287">
        <v>2.4042644647868401</v>
      </c>
      <c r="X287" t="s">
        <v>291</v>
      </c>
      <c r="Y287">
        <v>10</v>
      </c>
      <c r="Z287">
        <v>0.31616344381119887</v>
      </c>
      <c r="AA287">
        <v>1</v>
      </c>
    </row>
    <row r="288" spans="1:27" hidden="1" x14ac:dyDescent="0.25">
      <c r="A288" t="s">
        <v>98</v>
      </c>
      <c r="B288" t="s">
        <v>499</v>
      </c>
      <c r="D288" t="s">
        <v>100</v>
      </c>
      <c r="E288" t="s">
        <v>284</v>
      </c>
      <c r="F288" t="s">
        <v>365</v>
      </c>
      <c r="G288" t="s">
        <v>103</v>
      </c>
      <c r="H288" t="s">
        <v>104</v>
      </c>
      <c r="I288">
        <v>2027</v>
      </c>
      <c r="J288" t="s">
        <v>386</v>
      </c>
      <c r="K288" t="s">
        <v>106</v>
      </c>
      <c r="L288" t="s">
        <v>575</v>
      </c>
      <c r="M288" t="s">
        <v>621</v>
      </c>
      <c r="N288">
        <v>1</v>
      </c>
      <c r="O288">
        <v>2027</v>
      </c>
      <c r="P288">
        <v>34.353918735727063</v>
      </c>
      <c r="Q288">
        <v>1.893397965391721</v>
      </c>
      <c r="R288" t="s">
        <v>289</v>
      </c>
      <c r="S288">
        <v>115.45533602622641</v>
      </c>
      <c r="T288" t="s">
        <v>290</v>
      </c>
      <c r="U288">
        <v>115.45533602622641</v>
      </c>
      <c r="V288">
        <v>34.353918735727063</v>
      </c>
      <c r="W288">
        <v>1.893397965391721</v>
      </c>
      <c r="X288" t="s">
        <v>291</v>
      </c>
      <c r="Y288">
        <v>10</v>
      </c>
      <c r="Z288">
        <v>0.31616344381119887</v>
      </c>
      <c r="AA288">
        <v>1</v>
      </c>
    </row>
    <row r="289" spans="1:27" hidden="1" x14ac:dyDescent="0.25">
      <c r="A289" t="s">
        <v>98</v>
      </c>
      <c r="B289" t="s">
        <v>499</v>
      </c>
      <c r="D289" t="s">
        <v>100</v>
      </c>
      <c r="E289" t="s">
        <v>284</v>
      </c>
      <c r="F289" t="s">
        <v>365</v>
      </c>
      <c r="G289" t="s">
        <v>112</v>
      </c>
      <c r="H289" t="s">
        <v>104</v>
      </c>
      <c r="I289">
        <v>2027</v>
      </c>
      <c r="J289" t="s">
        <v>388</v>
      </c>
      <c r="K289" t="s">
        <v>106</v>
      </c>
      <c r="L289" t="s">
        <v>575</v>
      </c>
      <c r="M289" t="s">
        <v>622</v>
      </c>
      <c r="N289">
        <v>1</v>
      </c>
      <c r="O289">
        <v>2027</v>
      </c>
      <c r="P289">
        <v>43.733464606512037</v>
      </c>
      <c r="Q289">
        <v>2.4042644647868401</v>
      </c>
      <c r="R289" t="s">
        <v>289</v>
      </c>
      <c r="S289">
        <v>130.6177318295739</v>
      </c>
      <c r="T289" t="s">
        <v>290</v>
      </c>
      <c r="U289">
        <v>130.6177318295739</v>
      </c>
      <c r="V289">
        <v>43.733464606512037</v>
      </c>
      <c r="W289">
        <v>2.4042644647868401</v>
      </c>
      <c r="X289" t="s">
        <v>291</v>
      </c>
      <c r="Y289">
        <v>10</v>
      </c>
      <c r="Z289">
        <v>0.31616344381119887</v>
      </c>
      <c r="AA289">
        <v>1</v>
      </c>
    </row>
    <row r="290" spans="1:27" hidden="1" x14ac:dyDescent="0.25">
      <c r="A290" t="s">
        <v>98</v>
      </c>
      <c r="B290" t="s">
        <v>499</v>
      </c>
      <c r="D290" t="s">
        <v>100</v>
      </c>
      <c r="E290" t="s">
        <v>284</v>
      </c>
      <c r="F290" t="s">
        <v>365</v>
      </c>
      <c r="G290" t="s">
        <v>103</v>
      </c>
      <c r="H290" t="s">
        <v>104</v>
      </c>
      <c r="I290">
        <v>2028</v>
      </c>
      <c r="J290" t="s">
        <v>390</v>
      </c>
      <c r="K290" t="s">
        <v>106</v>
      </c>
      <c r="L290" t="s">
        <v>575</v>
      </c>
      <c r="M290" t="s">
        <v>623</v>
      </c>
      <c r="N290">
        <v>1</v>
      </c>
      <c r="O290">
        <v>2028</v>
      </c>
      <c r="P290">
        <v>34.353918735727063</v>
      </c>
      <c r="Q290">
        <v>1.893397965391721</v>
      </c>
      <c r="R290" t="s">
        <v>289</v>
      </c>
      <c r="S290">
        <v>115.45533602622641</v>
      </c>
      <c r="T290" t="s">
        <v>290</v>
      </c>
      <c r="U290">
        <v>115.45533602622641</v>
      </c>
      <c r="V290">
        <v>34.353918735727063</v>
      </c>
      <c r="W290">
        <v>1.893397965391721</v>
      </c>
      <c r="X290" t="s">
        <v>291</v>
      </c>
      <c r="Y290">
        <v>10</v>
      </c>
      <c r="Z290">
        <v>0.31616344381119887</v>
      </c>
      <c r="AA290">
        <v>1</v>
      </c>
    </row>
    <row r="291" spans="1:27" hidden="1" x14ac:dyDescent="0.25">
      <c r="A291" t="s">
        <v>98</v>
      </c>
      <c r="B291" t="s">
        <v>499</v>
      </c>
      <c r="D291" t="s">
        <v>100</v>
      </c>
      <c r="E291" t="s">
        <v>284</v>
      </c>
      <c r="F291" t="s">
        <v>365</v>
      </c>
      <c r="G291" t="s">
        <v>112</v>
      </c>
      <c r="H291" t="s">
        <v>104</v>
      </c>
      <c r="I291">
        <v>2028</v>
      </c>
      <c r="J291" t="s">
        <v>392</v>
      </c>
      <c r="K291" t="s">
        <v>106</v>
      </c>
      <c r="L291" t="s">
        <v>575</v>
      </c>
      <c r="M291" t="s">
        <v>624</v>
      </c>
      <c r="N291">
        <v>1</v>
      </c>
      <c r="O291">
        <v>2028</v>
      </c>
      <c r="P291">
        <v>43.733464606512037</v>
      </c>
      <c r="Q291">
        <v>2.4042644647868401</v>
      </c>
      <c r="R291" t="s">
        <v>289</v>
      </c>
      <c r="S291">
        <v>130.6177318295739</v>
      </c>
      <c r="T291" t="s">
        <v>290</v>
      </c>
      <c r="U291">
        <v>130.6177318295739</v>
      </c>
      <c r="V291">
        <v>43.733464606512037</v>
      </c>
      <c r="W291">
        <v>2.4042644647868401</v>
      </c>
      <c r="X291" t="s">
        <v>291</v>
      </c>
      <c r="Y291">
        <v>10</v>
      </c>
      <c r="Z291">
        <v>0.31616344381119887</v>
      </c>
      <c r="AA291">
        <v>1</v>
      </c>
    </row>
    <row r="292" spans="1:27" hidden="1" x14ac:dyDescent="0.25">
      <c r="A292" t="s">
        <v>98</v>
      </c>
      <c r="B292" t="s">
        <v>499</v>
      </c>
      <c r="D292" t="s">
        <v>100</v>
      </c>
      <c r="E292" t="s">
        <v>284</v>
      </c>
      <c r="F292" t="s">
        <v>365</v>
      </c>
      <c r="G292" t="s">
        <v>103</v>
      </c>
      <c r="H292" t="s">
        <v>104</v>
      </c>
      <c r="I292">
        <v>2029</v>
      </c>
      <c r="J292" t="s">
        <v>394</v>
      </c>
      <c r="K292" t="s">
        <v>106</v>
      </c>
      <c r="L292" t="s">
        <v>575</v>
      </c>
      <c r="M292" t="s">
        <v>625</v>
      </c>
      <c r="N292">
        <v>1</v>
      </c>
      <c r="O292">
        <v>2029</v>
      </c>
      <c r="P292">
        <v>34.353918735727063</v>
      </c>
      <c r="Q292">
        <v>1.893397965391721</v>
      </c>
      <c r="R292" t="s">
        <v>289</v>
      </c>
      <c r="S292">
        <v>115.45533602622641</v>
      </c>
      <c r="T292" t="s">
        <v>290</v>
      </c>
      <c r="U292">
        <v>115.45533602622641</v>
      </c>
      <c r="V292">
        <v>34.353918735727063</v>
      </c>
      <c r="W292">
        <v>1.893397965391721</v>
      </c>
      <c r="X292" t="s">
        <v>291</v>
      </c>
      <c r="Y292">
        <v>10</v>
      </c>
      <c r="Z292">
        <v>0.31616344381119887</v>
      </c>
      <c r="AA292">
        <v>1</v>
      </c>
    </row>
    <row r="293" spans="1:27" hidden="1" x14ac:dyDescent="0.25">
      <c r="A293" t="s">
        <v>98</v>
      </c>
      <c r="B293" t="s">
        <v>499</v>
      </c>
      <c r="D293" t="s">
        <v>100</v>
      </c>
      <c r="E293" t="s">
        <v>284</v>
      </c>
      <c r="F293" t="s">
        <v>365</v>
      </c>
      <c r="G293" t="s">
        <v>112</v>
      </c>
      <c r="H293" t="s">
        <v>104</v>
      </c>
      <c r="I293">
        <v>2029</v>
      </c>
      <c r="J293" t="s">
        <v>396</v>
      </c>
      <c r="K293" t="s">
        <v>106</v>
      </c>
      <c r="L293" t="s">
        <v>575</v>
      </c>
      <c r="M293" t="s">
        <v>626</v>
      </c>
      <c r="N293">
        <v>1</v>
      </c>
      <c r="O293">
        <v>2029</v>
      </c>
      <c r="P293">
        <v>43.733464606512037</v>
      </c>
      <c r="Q293">
        <v>2.4042644647868401</v>
      </c>
      <c r="R293" t="s">
        <v>289</v>
      </c>
      <c r="S293">
        <v>130.6177318295739</v>
      </c>
      <c r="T293" t="s">
        <v>290</v>
      </c>
      <c r="U293">
        <v>130.6177318295739</v>
      </c>
      <c r="V293">
        <v>43.733464606512037</v>
      </c>
      <c r="W293">
        <v>2.4042644647868401</v>
      </c>
      <c r="X293" t="s">
        <v>291</v>
      </c>
      <c r="Y293">
        <v>10</v>
      </c>
      <c r="Z293">
        <v>0.31616344381119887</v>
      </c>
      <c r="AA293">
        <v>1</v>
      </c>
    </row>
    <row r="294" spans="1:27" hidden="1" x14ac:dyDescent="0.25">
      <c r="A294" t="s">
        <v>98</v>
      </c>
      <c r="B294" t="s">
        <v>499</v>
      </c>
      <c r="D294" t="s">
        <v>100</v>
      </c>
      <c r="E294" t="s">
        <v>284</v>
      </c>
      <c r="F294" t="s">
        <v>355</v>
      </c>
      <c r="G294" t="s">
        <v>103</v>
      </c>
      <c r="H294" t="s">
        <v>104</v>
      </c>
      <c r="I294">
        <v>2030</v>
      </c>
      <c r="J294" t="s">
        <v>398</v>
      </c>
      <c r="K294" t="s">
        <v>106</v>
      </c>
      <c r="L294" t="s">
        <v>575</v>
      </c>
      <c r="M294" t="s">
        <v>627</v>
      </c>
      <c r="N294">
        <v>1</v>
      </c>
      <c r="O294">
        <v>2030</v>
      </c>
      <c r="P294">
        <v>22.026606087295281</v>
      </c>
      <c r="Q294">
        <v>0.67594869632979349</v>
      </c>
      <c r="R294" t="s">
        <v>289</v>
      </c>
      <c r="S294">
        <v>87.209325187237212</v>
      </c>
      <c r="T294" t="s">
        <v>290</v>
      </c>
      <c r="U294">
        <v>87.209325187237212</v>
      </c>
      <c r="V294">
        <v>22.026606087295281</v>
      </c>
      <c r="W294">
        <v>0.67594869632979349</v>
      </c>
      <c r="X294" t="s">
        <v>291</v>
      </c>
      <c r="Y294">
        <v>10</v>
      </c>
      <c r="Z294">
        <v>0.31616344381119887</v>
      </c>
      <c r="AA294">
        <v>1</v>
      </c>
    </row>
    <row r="295" spans="1:27" hidden="1" x14ac:dyDescent="0.25">
      <c r="A295" t="s">
        <v>98</v>
      </c>
      <c r="B295" t="s">
        <v>499</v>
      </c>
      <c r="D295" t="s">
        <v>100</v>
      </c>
      <c r="E295" t="s">
        <v>284</v>
      </c>
      <c r="F295" t="s">
        <v>355</v>
      </c>
      <c r="G295" t="s">
        <v>112</v>
      </c>
      <c r="H295" t="s">
        <v>104</v>
      </c>
      <c r="I295">
        <v>2030</v>
      </c>
      <c r="J295" t="s">
        <v>400</v>
      </c>
      <c r="K295" t="s">
        <v>106</v>
      </c>
      <c r="L295" t="s">
        <v>575</v>
      </c>
      <c r="M295" t="s">
        <v>628</v>
      </c>
      <c r="N295">
        <v>1</v>
      </c>
      <c r="O295">
        <v>2030</v>
      </c>
      <c r="P295">
        <v>23.051216439564651</v>
      </c>
      <c r="Q295">
        <v>0.88782640486853737</v>
      </c>
      <c r="R295" t="s">
        <v>289</v>
      </c>
      <c r="S295">
        <v>87.494679062376832</v>
      </c>
      <c r="T295" t="s">
        <v>290</v>
      </c>
      <c r="U295">
        <v>87.494679062376832</v>
      </c>
      <c r="V295">
        <v>23.051216439564651</v>
      </c>
      <c r="W295">
        <v>0.88782640486853737</v>
      </c>
      <c r="X295" t="s">
        <v>291</v>
      </c>
      <c r="Y295">
        <v>10</v>
      </c>
      <c r="Z295">
        <v>0.31616344381119887</v>
      </c>
      <c r="AA295">
        <v>1</v>
      </c>
    </row>
    <row r="296" spans="1:27" hidden="1" x14ac:dyDescent="0.25">
      <c r="A296" t="s">
        <v>98</v>
      </c>
      <c r="B296" t="s">
        <v>499</v>
      </c>
      <c r="D296" t="s">
        <v>100</v>
      </c>
      <c r="E296" t="s">
        <v>284</v>
      </c>
      <c r="F296" t="s">
        <v>360</v>
      </c>
      <c r="G296" t="s">
        <v>103</v>
      </c>
      <c r="H296" t="s">
        <v>104</v>
      </c>
      <c r="I296">
        <v>2030</v>
      </c>
      <c r="J296" t="s">
        <v>402</v>
      </c>
      <c r="K296" t="s">
        <v>106</v>
      </c>
      <c r="L296" t="s">
        <v>575</v>
      </c>
      <c r="M296" t="s">
        <v>629</v>
      </c>
      <c r="N296">
        <v>1</v>
      </c>
      <c r="O296">
        <v>2030</v>
      </c>
      <c r="P296">
        <v>32.03338343675982</v>
      </c>
      <c r="Q296">
        <v>0.74367453538487105</v>
      </c>
      <c r="R296" t="s">
        <v>289</v>
      </c>
      <c r="S296">
        <v>80.816288888888892</v>
      </c>
      <c r="T296" t="s">
        <v>290</v>
      </c>
      <c r="U296">
        <v>80.816288888888892</v>
      </c>
      <c r="V296">
        <v>32.03338343675982</v>
      </c>
      <c r="W296">
        <v>0.74367453538487105</v>
      </c>
      <c r="X296" t="s">
        <v>291</v>
      </c>
      <c r="Y296">
        <v>10</v>
      </c>
      <c r="Z296">
        <v>0.31616344381119887</v>
      </c>
      <c r="AA296">
        <v>1</v>
      </c>
    </row>
    <row r="297" spans="1:27" hidden="1" x14ac:dyDescent="0.25">
      <c r="A297" t="s">
        <v>98</v>
      </c>
      <c r="B297" t="s">
        <v>499</v>
      </c>
      <c r="D297" t="s">
        <v>100</v>
      </c>
      <c r="E297" t="s">
        <v>284</v>
      </c>
      <c r="F297" t="s">
        <v>360</v>
      </c>
      <c r="G297" t="s">
        <v>112</v>
      </c>
      <c r="H297" t="s">
        <v>104</v>
      </c>
      <c r="I297">
        <v>2030</v>
      </c>
      <c r="J297" t="s">
        <v>404</v>
      </c>
      <c r="K297" t="s">
        <v>106</v>
      </c>
      <c r="L297" t="s">
        <v>575</v>
      </c>
      <c r="M297" t="s">
        <v>630</v>
      </c>
      <c r="N297">
        <v>1</v>
      </c>
      <c r="O297">
        <v>2030</v>
      </c>
      <c r="P297">
        <v>30.04097222030375</v>
      </c>
      <c r="Q297">
        <v>1.0503155304453009</v>
      </c>
      <c r="R297" t="s">
        <v>289</v>
      </c>
      <c r="S297">
        <v>90.329273504273502</v>
      </c>
      <c r="T297" t="s">
        <v>290</v>
      </c>
      <c r="U297">
        <v>90.329273504273502</v>
      </c>
      <c r="V297">
        <v>30.04097222030375</v>
      </c>
      <c r="W297">
        <v>1.0503155304453009</v>
      </c>
      <c r="X297" t="s">
        <v>291</v>
      </c>
      <c r="Y297">
        <v>10</v>
      </c>
      <c r="Z297">
        <v>0.31616344381119887</v>
      </c>
      <c r="AA297">
        <v>1</v>
      </c>
    </row>
    <row r="298" spans="1:27" hidden="1" x14ac:dyDescent="0.25">
      <c r="A298" t="s">
        <v>98</v>
      </c>
      <c r="B298" t="s">
        <v>499</v>
      </c>
      <c r="D298" t="s">
        <v>100</v>
      </c>
      <c r="E298" t="s">
        <v>284</v>
      </c>
      <c r="F298" t="s">
        <v>365</v>
      </c>
      <c r="G298" t="s">
        <v>103</v>
      </c>
      <c r="H298" t="s">
        <v>104</v>
      </c>
      <c r="I298">
        <v>2030</v>
      </c>
      <c r="J298" t="s">
        <v>406</v>
      </c>
      <c r="K298" t="s">
        <v>106</v>
      </c>
      <c r="L298" t="s">
        <v>575</v>
      </c>
      <c r="M298" t="s">
        <v>631</v>
      </c>
      <c r="N298">
        <v>1</v>
      </c>
      <c r="O298">
        <v>2030</v>
      </c>
      <c r="P298">
        <v>23.710775767327672</v>
      </c>
      <c r="Q298">
        <v>1.668845649337886</v>
      </c>
      <c r="R298" t="s">
        <v>289</v>
      </c>
      <c r="S298">
        <v>154.72558108377279</v>
      </c>
      <c r="T298" t="s">
        <v>290</v>
      </c>
      <c r="U298">
        <v>154.72558108377279</v>
      </c>
      <c r="V298">
        <v>23.710775767327672</v>
      </c>
      <c r="W298">
        <v>1.668845649337886</v>
      </c>
      <c r="X298" t="s">
        <v>291</v>
      </c>
      <c r="Y298">
        <v>10</v>
      </c>
      <c r="Z298">
        <v>0.31616344381119887</v>
      </c>
      <c r="AA298">
        <v>1</v>
      </c>
    </row>
    <row r="299" spans="1:27" hidden="1" x14ac:dyDescent="0.25">
      <c r="A299" t="s">
        <v>98</v>
      </c>
      <c r="B299" t="s">
        <v>499</v>
      </c>
      <c r="D299" t="s">
        <v>100</v>
      </c>
      <c r="E299" t="s">
        <v>284</v>
      </c>
      <c r="F299" t="s">
        <v>365</v>
      </c>
      <c r="G299" t="s">
        <v>112</v>
      </c>
      <c r="H299" t="s">
        <v>104</v>
      </c>
      <c r="I299">
        <v>2030</v>
      </c>
      <c r="J299" t="s">
        <v>408</v>
      </c>
      <c r="K299" t="s">
        <v>106</v>
      </c>
      <c r="L299" t="s">
        <v>575</v>
      </c>
      <c r="M299" t="s">
        <v>632</v>
      </c>
      <c r="N299">
        <v>1</v>
      </c>
      <c r="O299">
        <v>2030</v>
      </c>
      <c r="P299">
        <v>28.858905605402359</v>
      </c>
      <c r="Q299">
        <v>2.128664396371156</v>
      </c>
      <c r="R299" t="s">
        <v>289</v>
      </c>
      <c r="S299">
        <v>176.3746647164572</v>
      </c>
      <c r="T299" t="s">
        <v>290</v>
      </c>
      <c r="U299">
        <v>176.3746647164572</v>
      </c>
      <c r="V299">
        <v>28.858905605402359</v>
      </c>
      <c r="W299">
        <v>2.128664396371156</v>
      </c>
      <c r="X299" t="s">
        <v>291</v>
      </c>
      <c r="Y299">
        <v>10</v>
      </c>
      <c r="Z299">
        <v>0.31616344381119887</v>
      </c>
      <c r="AA299">
        <v>1</v>
      </c>
    </row>
    <row r="300" spans="1:27" hidden="1" x14ac:dyDescent="0.25">
      <c r="A300" t="s">
        <v>98</v>
      </c>
      <c r="B300" t="s">
        <v>499</v>
      </c>
      <c r="D300" t="s">
        <v>100</v>
      </c>
      <c r="E300" t="s">
        <v>284</v>
      </c>
      <c r="F300" t="s">
        <v>355</v>
      </c>
      <c r="G300" t="s">
        <v>103</v>
      </c>
      <c r="H300" t="s">
        <v>104</v>
      </c>
      <c r="I300">
        <v>2040</v>
      </c>
      <c r="J300" t="s">
        <v>410</v>
      </c>
      <c r="K300" t="s">
        <v>106</v>
      </c>
      <c r="L300" t="s">
        <v>575</v>
      </c>
      <c r="M300" t="s">
        <v>633</v>
      </c>
      <c r="N300">
        <v>1</v>
      </c>
      <c r="O300">
        <v>2040</v>
      </c>
      <c r="P300">
        <v>22.159986853322259</v>
      </c>
      <c r="Q300">
        <v>0.64769049265200085</v>
      </c>
      <c r="R300" t="s">
        <v>289</v>
      </c>
      <c r="S300">
        <v>85.846844985289152</v>
      </c>
      <c r="T300" t="s">
        <v>290</v>
      </c>
      <c r="U300">
        <v>85.846844985289152</v>
      </c>
      <c r="V300">
        <v>22.159986853322259</v>
      </c>
      <c r="W300">
        <v>0.64769049265200085</v>
      </c>
      <c r="X300" t="s">
        <v>291</v>
      </c>
      <c r="Y300">
        <v>10</v>
      </c>
      <c r="Z300">
        <v>0.31616344381119887</v>
      </c>
      <c r="AA300">
        <v>1</v>
      </c>
    </row>
    <row r="301" spans="1:27" hidden="1" x14ac:dyDescent="0.25">
      <c r="A301" t="s">
        <v>98</v>
      </c>
      <c r="B301" t="s">
        <v>499</v>
      </c>
      <c r="D301" t="s">
        <v>100</v>
      </c>
      <c r="E301" t="s">
        <v>284</v>
      </c>
      <c r="F301" t="s">
        <v>355</v>
      </c>
      <c r="G301" t="s">
        <v>112</v>
      </c>
      <c r="H301" t="s">
        <v>104</v>
      </c>
      <c r="I301">
        <v>2040</v>
      </c>
      <c r="J301" t="s">
        <v>412</v>
      </c>
      <c r="K301" t="s">
        <v>106</v>
      </c>
      <c r="L301" t="s">
        <v>575</v>
      </c>
      <c r="M301" t="s">
        <v>634</v>
      </c>
      <c r="N301">
        <v>1</v>
      </c>
      <c r="O301">
        <v>2040</v>
      </c>
      <c r="P301">
        <v>22.287209700822071</v>
      </c>
      <c r="Q301">
        <v>0.78348370867951755</v>
      </c>
      <c r="R301" t="s">
        <v>289</v>
      </c>
      <c r="S301">
        <v>88.372750377742747</v>
      </c>
      <c r="T301" t="s">
        <v>290</v>
      </c>
      <c r="U301">
        <v>88.372750377742747</v>
      </c>
      <c r="V301">
        <v>22.287209700822071</v>
      </c>
      <c r="W301">
        <v>0.78348370867951755</v>
      </c>
      <c r="X301" t="s">
        <v>291</v>
      </c>
      <c r="Y301">
        <v>10</v>
      </c>
      <c r="Z301">
        <v>0.31616344381119887</v>
      </c>
      <c r="AA301">
        <v>1</v>
      </c>
    </row>
    <row r="302" spans="1:27" hidden="1" x14ac:dyDescent="0.25">
      <c r="A302" t="s">
        <v>98</v>
      </c>
      <c r="B302" t="s">
        <v>499</v>
      </c>
      <c r="D302" t="s">
        <v>100</v>
      </c>
      <c r="E302" t="s">
        <v>284</v>
      </c>
      <c r="F302" t="s">
        <v>360</v>
      </c>
      <c r="G302" t="s">
        <v>103</v>
      </c>
      <c r="H302" t="s">
        <v>104</v>
      </c>
      <c r="I302">
        <v>2040</v>
      </c>
      <c r="J302" t="s">
        <v>414</v>
      </c>
      <c r="K302" t="s">
        <v>106</v>
      </c>
      <c r="L302" t="s">
        <v>575</v>
      </c>
      <c r="M302" t="s">
        <v>635</v>
      </c>
      <c r="N302">
        <v>1</v>
      </c>
      <c r="O302">
        <v>2040</v>
      </c>
      <c r="P302">
        <v>28.721945226708339</v>
      </c>
      <c r="Q302">
        <v>0.72978219131721256</v>
      </c>
      <c r="R302" t="s">
        <v>289</v>
      </c>
      <c r="S302">
        <v>80.816288888888892</v>
      </c>
      <c r="T302" t="s">
        <v>290</v>
      </c>
      <c r="U302">
        <v>80.816288888888892</v>
      </c>
      <c r="V302">
        <v>28.721945226708339</v>
      </c>
      <c r="W302">
        <v>0.72978219131721256</v>
      </c>
      <c r="X302" t="s">
        <v>291</v>
      </c>
      <c r="Y302">
        <v>10</v>
      </c>
      <c r="Z302">
        <v>0.31616344381119887</v>
      </c>
      <c r="AA302">
        <v>1</v>
      </c>
    </row>
    <row r="303" spans="1:27" hidden="1" x14ac:dyDescent="0.25">
      <c r="A303" t="s">
        <v>98</v>
      </c>
      <c r="B303" t="s">
        <v>499</v>
      </c>
      <c r="D303" t="s">
        <v>100</v>
      </c>
      <c r="E303" t="s">
        <v>284</v>
      </c>
      <c r="F303" t="s">
        <v>360</v>
      </c>
      <c r="G303" t="s">
        <v>112</v>
      </c>
      <c r="H303" t="s">
        <v>104</v>
      </c>
      <c r="I303">
        <v>2040</v>
      </c>
      <c r="J303" t="s">
        <v>416</v>
      </c>
      <c r="K303" t="s">
        <v>106</v>
      </c>
      <c r="L303" t="s">
        <v>575</v>
      </c>
      <c r="M303" t="s">
        <v>636</v>
      </c>
      <c r="N303">
        <v>1</v>
      </c>
      <c r="O303">
        <v>2040</v>
      </c>
      <c r="P303">
        <v>33.197275628385512</v>
      </c>
      <c r="Q303">
        <v>1.1034319170477349</v>
      </c>
      <c r="R303" t="s">
        <v>289</v>
      </c>
      <c r="S303">
        <v>93.34643874643875</v>
      </c>
      <c r="T303" t="s">
        <v>290</v>
      </c>
      <c r="U303">
        <v>93.34643874643875</v>
      </c>
      <c r="V303">
        <v>33.197275628385512</v>
      </c>
      <c r="W303">
        <v>1.1034319170477349</v>
      </c>
      <c r="X303" t="s">
        <v>291</v>
      </c>
      <c r="Y303">
        <v>10</v>
      </c>
      <c r="Z303">
        <v>0.31616344381119887</v>
      </c>
      <c r="AA303">
        <v>1</v>
      </c>
    </row>
    <row r="304" spans="1:27" hidden="1" x14ac:dyDescent="0.25">
      <c r="A304" t="s">
        <v>98</v>
      </c>
      <c r="B304" t="s">
        <v>499</v>
      </c>
      <c r="D304" t="s">
        <v>100</v>
      </c>
      <c r="E304" t="s">
        <v>284</v>
      </c>
      <c r="F304" t="s">
        <v>365</v>
      </c>
      <c r="G304" t="s">
        <v>103</v>
      </c>
      <c r="H304" t="s">
        <v>104</v>
      </c>
      <c r="I304">
        <v>2040</v>
      </c>
      <c r="J304" t="s">
        <v>418</v>
      </c>
      <c r="K304" t="s">
        <v>106</v>
      </c>
      <c r="L304" t="s">
        <v>575</v>
      </c>
      <c r="M304" t="s">
        <v>637</v>
      </c>
      <c r="N304">
        <v>1</v>
      </c>
      <c r="O304">
        <v>2040</v>
      </c>
      <c r="P304">
        <v>22.333975775561878</v>
      </c>
      <c r="Q304">
        <v>1.552983156443519</v>
      </c>
      <c r="R304" t="s">
        <v>289</v>
      </c>
      <c r="S304">
        <v>181.1420784222461</v>
      </c>
      <c r="T304" t="s">
        <v>290</v>
      </c>
      <c r="U304">
        <v>181.1420784222461</v>
      </c>
      <c r="V304">
        <v>22.333975775561878</v>
      </c>
      <c r="W304">
        <v>1.552983156443519</v>
      </c>
      <c r="X304" t="s">
        <v>291</v>
      </c>
      <c r="Y304">
        <v>10</v>
      </c>
      <c r="Z304">
        <v>0.31616344381119887</v>
      </c>
      <c r="AA304">
        <v>1</v>
      </c>
    </row>
    <row r="305" spans="1:27" hidden="1" x14ac:dyDescent="0.25">
      <c r="A305" t="s">
        <v>98</v>
      </c>
      <c r="B305" t="s">
        <v>499</v>
      </c>
      <c r="D305" t="s">
        <v>100</v>
      </c>
      <c r="E305" t="s">
        <v>284</v>
      </c>
      <c r="F305" t="s">
        <v>365</v>
      </c>
      <c r="G305" t="s">
        <v>112</v>
      </c>
      <c r="H305" t="s">
        <v>104</v>
      </c>
      <c r="I305">
        <v>2040</v>
      </c>
      <c r="J305" t="s">
        <v>420</v>
      </c>
      <c r="K305" t="s">
        <v>106</v>
      </c>
      <c r="L305" t="s">
        <v>575</v>
      </c>
      <c r="M305" t="s">
        <v>638</v>
      </c>
      <c r="N305">
        <v>1</v>
      </c>
      <c r="O305">
        <v>2040</v>
      </c>
      <c r="P305">
        <v>27.009726996743201</v>
      </c>
      <c r="Q305">
        <v>1.971842815426603</v>
      </c>
      <c r="R305" t="s">
        <v>289</v>
      </c>
      <c r="S305">
        <v>206.50467814395611</v>
      </c>
      <c r="T305" t="s">
        <v>290</v>
      </c>
      <c r="U305">
        <v>206.50467814395611</v>
      </c>
      <c r="V305">
        <v>27.009726996743201</v>
      </c>
      <c r="W305">
        <v>1.971842815426603</v>
      </c>
      <c r="X305" t="s">
        <v>291</v>
      </c>
      <c r="Y305">
        <v>10</v>
      </c>
      <c r="Z305">
        <v>0.31616344381119887</v>
      </c>
      <c r="AA305">
        <v>1</v>
      </c>
    </row>
    <row r="306" spans="1:27" hidden="1" x14ac:dyDescent="0.25">
      <c r="A306" t="s">
        <v>98</v>
      </c>
      <c r="B306" t="s">
        <v>499</v>
      </c>
      <c r="D306" t="s">
        <v>100</v>
      </c>
      <c r="E306" t="s">
        <v>284</v>
      </c>
      <c r="F306" t="s">
        <v>422</v>
      </c>
      <c r="G306" t="s">
        <v>103</v>
      </c>
      <c r="H306" t="s">
        <v>104</v>
      </c>
      <c r="I306">
        <v>2022</v>
      </c>
      <c r="J306" t="s">
        <v>423</v>
      </c>
      <c r="K306" t="s">
        <v>106</v>
      </c>
      <c r="L306" t="s">
        <v>575</v>
      </c>
      <c r="M306" t="s">
        <v>639</v>
      </c>
      <c r="N306">
        <v>1</v>
      </c>
      <c r="O306">
        <v>2020</v>
      </c>
      <c r="P306">
        <v>22.570490905245428</v>
      </c>
      <c r="Q306">
        <v>0.77947598919167282</v>
      </c>
      <c r="R306" t="s">
        <v>289</v>
      </c>
      <c r="S306">
        <v>59.465873015873022</v>
      </c>
      <c r="T306" t="s">
        <v>290</v>
      </c>
      <c r="U306">
        <v>59.465873015873022</v>
      </c>
      <c r="V306">
        <v>22.570490905245428</v>
      </c>
      <c r="W306">
        <v>0.77947598919167282</v>
      </c>
      <c r="X306" t="s">
        <v>291</v>
      </c>
      <c r="Y306">
        <v>10</v>
      </c>
      <c r="Z306">
        <v>0.31616344381119887</v>
      </c>
      <c r="AA306">
        <v>1</v>
      </c>
    </row>
    <row r="307" spans="1:27" hidden="1" x14ac:dyDescent="0.25">
      <c r="A307" t="s">
        <v>98</v>
      </c>
      <c r="B307" t="s">
        <v>499</v>
      </c>
      <c r="D307" t="s">
        <v>100</v>
      </c>
      <c r="E307" t="s">
        <v>284</v>
      </c>
      <c r="F307" t="s">
        <v>425</v>
      </c>
      <c r="G307" t="s">
        <v>103</v>
      </c>
      <c r="H307" t="s">
        <v>104</v>
      </c>
      <c r="I307">
        <v>2022</v>
      </c>
      <c r="J307" t="s">
        <v>426</v>
      </c>
      <c r="K307" t="s">
        <v>106</v>
      </c>
      <c r="L307" t="s">
        <v>575</v>
      </c>
      <c r="M307" t="s">
        <v>640</v>
      </c>
      <c r="N307">
        <v>1</v>
      </c>
      <c r="O307">
        <v>2020</v>
      </c>
      <c r="P307">
        <v>20.699165146358741</v>
      </c>
      <c r="Q307">
        <v>1.111231451610436</v>
      </c>
      <c r="R307" t="s">
        <v>289</v>
      </c>
      <c r="S307">
        <v>74.054444444444442</v>
      </c>
      <c r="T307" t="s">
        <v>290</v>
      </c>
      <c r="U307">
        <v>74.054444444444442</v>
      </c>
      <c r="V307">
        <v>20.699165146358741</v>
      </c>
      <c r="W307">
        <v>1.111231451610436</v>
      </c>
      <c r="X307" t="s">
        <v>291</v>
      </c>
      <c r="Y307">
        <v>10</v>
      </c>
      <c r="Z307">
        <v>0.31616344381119887</v>
      </c>
      <c r="AA307">
        <v>1</v>
      </c>
    </row>
    <row r="308" spans="1:27" hidden="1" x14ac:dyDescent="0.25">
      <c r="A308" t="s">
        <v>98</v>
      </c>
      <c r="B308" t="s">
        <v>499</v>
      </c>
      <c r="D308" t="s">
        <v>100</v>
      </c>
      <c r="E308" t="s">
        <v>284</v>
      </c>
      <c r="F308" t="s">
        <v>428</v>
      </c>
      <c r="G308" t="s">
        <v>103</v>
      </c>
      <c r="H308" t="s">
        <v>104</v>
      </c>
      <c r="I308">
        <v>2022</v>
      </c>
      <c r="J308" t="s">
        <v>429</v>
      </c>
      <c r="K308" t="s">
        <v>106</v>
      </c>
      <c r="L308" t="s">
        <v>575</v>
      </c>
      <c r="M308" t="s">
        <v>641</v>
      </c>
      <c r="N308">
        <v>1</v>
      </c>
      <c r="O308">
        <v>2020</v>
      </c>
      <c r="P308">
        <v>25.347672779313449</v>
      </c>
      <c r="Q308">
        <v>0.56400508525842741</v>
      </c>
      <c r="R308" t="s">
        <v>289</v>
      </c>
      <c r="S308">
        <v>77.810944444444459</v>
      </c>
      <c r="T308" t="s">
        <v>290</v>
      </c>
      <c r="U308">
        <v>77.810944444444459</v>
      </c>
      <c r="V308">
        <v>25.347672779313449</v>
      </c>
      <c r="W308">
        <v>0.56400508525842741</v>
      </c>
      <c r="X308" t="s">
        <v>291</v>
      </c>
      <c r="Y308">
        <v>10</v>
      </c>
      <c r="Z308">
        <v>0.31616344381119887</v>
      </c>
      <c r="AA308">
        <v>1</v>
      </c>
    </row>
    <row r="309" spans="1:27" hidden="1" x14ac:dyDescent="0.25">
      <c r="A309" t="s">
        <v>98</v>
      </c>
      <c r="B309" t="s">
        <v>499</v>
      </c>
      <c r="D309" t="s">
        <v>100</v>
      </c>
      <c r="E309" t="s">
        <v>284</v>
      </c>
      <c r="F309" t="s">
        <v>425</v>
      </c>
      <c r="G309" t="s">
        <v>103</v>
      </c>
      <c r="H309" t="s">
        <v>104</v>
      </c>
      <c r="I309">
        <v>2030</v>
      </c>
      <c r="J309" t="s">
        <v>431</v>
      </c>
      <c r="K309" t="s">
        <v>106</v>
      </c>
      <c r="L309" t="s">
        <v>575</v>
      </c>
      <c r="M309" t="s">
        <v>642</v>
      </c>
      <c r="N309">
        <v>1</v>
      </c>
      <c r="O309">
        <v>2030</v>
      </c>
      <c r="P309">
        <v>20.230705085538521</v>
      </c>
      <c r="Q309">
        <v>1.0951903363739519</v>
      </c>
      <c r="R309" t="s">
        <v>289</v>
      </c>
      <c r="S309">
        <v>79.81</v>
      </c>
      <c r="T309" t="s">
        <v>290</v>
      </c>
      <c r="U309">
        <v>79.81</v>
      </c>
      <c r="V309">
        <v>20.230705085538521</v>
      </c>
      <c r="W309">
        <v>1.0951903363739519</v>
      </c>
      <c r="X309" t="s">
        <v>291</v>
      </c>
      <c r="Y309">
        <v>10</v>
      </c>
      <c r="Z309">
        <v>0.31616344381119887</v>
      </c>
      <c r="AA309">
        <v>1</v>
      </c>
    </row>
    <row r="310" spans="1:27" hidden="1" x14ac:dyDescent="0.25">
      <c r="A310" t="s">
        <v>98</v>
      </c>
      <c r="B310" t="s">
        <v>499</v>
      </c>
      <c r="D310" t="s">
        <v>100</v>
      </c>
      <c r="E310" t="s">
        <v>284</v>
      </c>
      <c r="F310" t="s">
        <v>428</v>
      </c>
      <c r="G310" t="s">
        <v>103</v>
      </c>
      <c r="H310" t="s">
        <v>104</v>
      </c>
      <c r="I310">
        <v>2030</v>
      </c>
      <c r="J310" t="s">
        <v>433</v>
      </c>
      <c r="K310" t="s">
        <v>106</v>
      </c>
      <c r="L310" t="s">
        <v>575</v>
      </c>
      <c r="M310" t="s">
        <v>643</v>
      </c>
      <c r="N310">
        <v>1</v>
      </c>
      <c r="O310">
        <v>2030</v>
      </c>
      <c r="P310">
        <v>24.67049407605251</v>
      </c>
      <c r="Q310">
        <v>0.55731249361340607</v>
      </c>
      <c r="R310" t="s">
        <v>289</v>
      </c>
      <c r="S310">
        <v>84.367500000000007</v>
      </c>
      <c r="T310" t="s">
        <v>290</v>
      </c>
      <c r="U310">
        <v>84.367500000000007</v>
      </c>
      <c r="V310">
        <v>24.67049407605251</v>
      </c>
      <c r="W310">
        <v>0.55731249361340607</v>
      </c>
      <c r="X310" t="s">
        <v>291</v>
      </c>
      <c r="Y310">
        <v>10</v>
      </c>
      <c r="Z310">
        <v>0.31616344381119887</v>
      </c>
      <c r="AA310">
        <v>1</v>
      </c>
    </row>
    <row r="311" spans="1:27" hidden="1" x14ac:dyDescent="0.25">
      <c r="A311" t="s">
        <v>98</v>
      </c>
      <c r="B311" t="s">
        <v>499</v>
      </c>
      <c r="D311" t="s">
        <v>100</v>
      </c>
      <c r="E311" t="s">
        <v>284</v>
      </c>
      <c r="F311" t="s">
        <v>425</v>
      </c>
      <c r="G311" t="s">
        <v>103</v>
      </c>
      <c r="H311" t="s">
        <v>104</v>
      </c>
      <c r="I311">
        <v>2040</v>
      </c>
      <c r="J311" t="s">
        <v>435</v>
      </c>
      <c r="K311" t="s">
        <v>106</v>
      </c>
      <c r="L311" t="s">
        <v>575</v>
      </c>
      <c r="M311" t="s">
        <v>644</v>
      </c>
      <c r="N311">
        <v>1</v>
      </c>
      <c r="O311">
        <v>2040</v>
      </c>
      <c r="P311">
        <v>19.670938877469698</v>
      </c>
      <c r="Q311">
        <v>1.076022695415618</v>
      </c>
      <c r="R311" t="s">
        <v>289</v>
      </c>
      <c r="S311">
        <v>79.81</v>
      </c>
      <c r="T311" t="s">
        <v>290</v>
      </c>
      <c r="U311">
        <v>79.81</v>
      </c>
      <c r="V311">
        <v>19.670938877469698</v>
      </c>
      <c r="W311">
        <v>1.076022695415618</v>
      </c>
      <c r="X311" t="s">
        <v>291</v>
      </c>
      <c r="Y311">
        <v>10</v>
      </c>
      <c r="Z311">
        <v>0.31616344381119887</v>
      </c>
      <c r="AA311">
        <v>1</v>
      </c>
    </row>
    <row r="312" spans="1:27" hidden="1" x14ac:dyDescent="0.25">
      <c r="A312" t="s">
        <v>98</v>
      </c>
      <c r="B312" t="s">
        <v>499</v>
      </c>
      <c r="D312" t="s">
        <v>100</v>
      </c>
      <c r="E312" t="s">
        <v>284</v>
      </c>
      <c r="F312" t="s">
        <v>428</v>
      </c>
      <c r="G312" t="s">
        <v>103</v>
      </c>
      <c r="H312" t="s">
        <v>104</v>
      </c>
      <c r="I312">
        <v>2040</v>
      </c>
      <c r="J312" t="s">
        <v>437</v>
      </c>
      <c r="K312" t="s">
        <v>106</v>
      </c>
      <c r="L312" t="s">
        <v>575</v>
      </c>
      <c r="M312" t="s">
        <v>645</v>
      </c>
      <c r="N312">
        <v>1</v>
      </c>
      <c r="O312">
        <v>2040</v>
      </c>
      <c r="P312">
        <v>23.861328500132039</v>
      </c>
      <c r="Q312">
        <v>0.54931546897756556</v>
      </c>
      <c r="R312" t="s">
        <v>289</v>
      </c>
      <c r="S312">
        <v>84.367500000000007</v>
      </c>
      <c r="T312" t="s">
        <v>290</v>
      </c>
      <c r="U312">
        <v>84.367500000000007</v>
      </c>
      <c r="V312">
        <v>23.861328500132039</v>
      </c>
      <c r="W312">
        <v>0.54931546897756556</v>
      </c>
      <c r="X312" t="s">
        <v>291</v>
      </c>
      <c r="Y312">
        <v>10</v>
      </c>
      <c r="Z312">
        <v>0.31616344381119887</v>
      </c>
      <c r="AA312">
        <v>1</v>
      </c>
    </row>
    <row r="313" spans="1:27" hidden="1" x14ac:dyDescent="0.25">
      <c r="A313" t="s">
        <v>98</v>
      </c>
      <c r="B313" t="s">
        <v>499</v>
      </c>
      <c r="D313" t="s">
        <v>100</v>
      </c>
      <c r="E313" t="s">
        <v>439</v>
      </c>
      <c r="F313" t="s">
        <v>440</v>
      </c>
      <c r="G313" t="s">
        <v>245</v>
      </c>
      <c r="H313" t="s">
        <v>104</v>
      </c>
      <c r="I313">
        <v>2022</v>
      </c>
      <c r="J313" t="s">
        <v>441</v>
      </c>
      <c r="K313" t="s">
        <v>106</v>
      </c>
      <c r="L313" t="s">
        <v>646</v>
      </c>
      <c r="M313" t="s">
        <v>647</v>
      </c>
      <c r="N313">
        <v>1</v>
      </c>
      <c r="O313">
        <v>2020</v>
      </c>
      <c r="P313">
        <v>831.12625331024003</v>
      </c>
      <c r="Q313">
        <v>84.323656568982784</v>
      </c>
      <c r="R313" t="s">
        <v>109</v>
      </c>
      <c r="S313">
        <v>2.8957310176295739</v>
      </c>
      <c r="T313" t="s">
        <v>110</v>
      </c>
      <c r="U313">
        <v>2.8957310176295739</v>
      </c>
      <c r="V313">
        <v>2835.9211703315582</v>
      </c>
      <c r="W313">
        <v>287.72432812862002</v>
      </c>
      <c r="X313" t="s">
        <v>111</v>
      </c>
      <c r="Y313">
        <v>10</v>
      </c>
      <c r="Z313">
        <v>0.44</v>
      </c>
      <c r="AA313">
        <v>31.536000000000001</v>
      </c>
    </row>
    <row r="314" spans="1:27" hidden="1" x14ac:dyDescent="0.25">
      <c r="A314" t="s">
        <v>98</v>
      </c>
      <c r="B314" t="s">
        <v>499</v>
      </c>
      <c r="D314" t="s">
        <v>100</v>
      </c>
      <c r="E314" t="s">
        <v>439</v>
      </c>
      <c r="F314" t="s">
        <v>440</v>
      </c>
      <c r="G314" t="s">
        <v>103</v>
      </c>
      <c r="H314" t="s">
        <v>104</v>
      </c>
      <c r="I314">
        <v>2022</v>
      </c>
      <c r="J314" t="s">
        <v>444</v>
      </c>
      <c r="K314" t="s">
        <v>106</v>
      </c>
      <c r="L314" t="s">
        <v>646</v>
      </c>
      <c r="M314" t="s">
        <v>648</v>
      </c>
      <c r="N314">
        <v>1</v>
      </c>
      <c r="O314">
        <v>2020</v>
      </c>
      <c r="P314">
        <v>1031.6192027056411</v>
      </c>
      <c r="Q314">
        <v>84.323656568982784</v>
      </c>
      <c r="R314" t="s">
        <v>109</v>
      </c>
      <c r="S314">
        <v>3.1136892662683588</v>
      </c>
      <c r="T314" t="s">
        <v>110</v>
      </c>
      <c r="U314">
        <v>1</v>
      </c>
      <c r="V314">
        <v>10960.284839990571</v>
      </c>
      <c r="W314">
        <v>895.88415213835935</v>
      </c>
      <c r="X314" t="s">
        <v>111</v>
      </c>
      <c r="Y314">
        <v>10</v>
      </c>
      <c r="Z314">
        <v>0.44</v>
      </c>
      <c r="AA314">
        <v>31.536000000000001</v>
      </c>
    </row>
    <row r="315" spans="1:27" hidden="1" x14ac:dyDescent="0.25">
      <c r="A315" t="s">
        <v>98</v>
      </c>
      <c r="B315" t="s">
        <v>499</v>
      </c>
      <c r="D315" t="s">
        <v>100</v>
      </c>
      <c r="E315" t="s">
        <v>439</v>
      </c>
      <c r="F315" t="s">
        <v>440</v>
      </c>
      <c r="G315" t="s">
        <v>112</v>
      </c>
      <c r="H315" t="s">
        <v>104</v>
      </c>
      <c r="I315">
        <v>2022</v>
      </c>
      <c r="J315" t="s">
        <v>446</v>
      </c>
      <c r="K315" t="s">
        <v>106</v>
      </c>
      <c r="L315" t="s">
        <v>646</v>
      </c>
      <c r="M315" t="s">
        <v>649</v>
      </c>
      <c r="N315">
        <v>1</v>
      </c>
      <c r="O315">
        <v>2020</v>
      </c>
      <c r="P315">
        <v>1137.4723035050019</v>
      </c>
      <c r="Q315">
        <v>84.323656568982784</v>
      </c>
      <c r="R315" t="s">
        <v>109</v>
      </c>
      <c r="S315">
        <v>3.348052974482107</v>
      </c>
      <c r="T315" t="s">
        <v>110</v>
      </c>
      <c r="U315">
        <v>1.156203029251937</v>
      </c>
      <c r="V315">
        <v>11238.961995400419</v>
      </c>
      <c r="W315">
        <v>833.17226148867417</v>
      </c>
      <c r="X315" t="s">
        <v>111</v>
      </c>
      <c r="Y315">
        <v>10</v>
      </c>
      <c r="Z315">
        <v>0.44</v>
      </c>
      <c r="AA315">
        <v>31.536000000000001</v>
      </c>
    </row>
    <row r="316" spans="1:27" hidden="1" x14ac:dyDescent="0.25">
      <c r="A316" t="s">
        <v>98</v>
      </c>
      <c r="B316" t="s">
        <v>499</v>
      </c>
      <c r="D316" t="s">
        <v>100</v>
      </c>
      <c r="E316" t="s">
        <v>439</v>
      </c>
      <c r="F316" t="s">
        <v>440</v>
      </c>
      <c r="G316" t="s">
        <v>103</v>
      </c>
      <c r="H316" t="s">
        <v>104</v>
      </c>
      <c r="I316">
        <v>2030</v>
      </c>
      <c r="J316" t="s">
        <v>448</v>
      </c>
      <c r="K316" t="s">
        <v>106</v>
      </c>
      <c r="L316" t="s">
        <v>646</v>
      </c>
      <c r="M316" t="s">
        <v>650</v>
      </c>
      <c r="N316">
        <v>0</v>
      </c>
      <c r="O316">
        <v>2030</v>
      </c>
      <c r="P316">
        <v>1031.6192027056411</v>
      </c>
      <c r="Q316">
        <v>84.323656568982784</v>
      </c>
      <c r="R316" t="s">
        <v>109</v>
      </c>
      <c r="S316">
        <v>3.1136892662683588</v>
      </c>
      <c r="T316" t="s">
        <v>110</v>
      </c>
      <c r="U316">
        <v>1.075268817204301</v>
      </c>
      <c r="V316">
        <v>10193.06490119123</v>
      </c>
      <c r="W316">
        <v>833.17226148867428</v>
      </c>
      <c r="X316" t="s">
        <v>111</v>
      </c>
      <c r="Y316">
        <v>10</v>
      </c>
      <c r="Z316">
        <v>0.44</v>
      </c>
      <c r="AA316">
        <v>31.536000000000001</v>
      </c>
    </row>
    <row r="317" spans="1:27" hidden="1" x14ac:dyDescent="0.25">
      <c r="A317" t="s">
        <v>98</v>
      </c>
      <c r="B317" t="s">
        <v>499</v>
      </c>
      <c r="D317" t="s">
        <v>100</v>
      </c>
      <c r="E317" t="s">
        <v>439</v>
      </c>
      <c r="F317" t="s">
        <v>440</v>
      </c>
      <c r="G317" t="s">
        <v>112</v>
      </c>
      <c r="H317" t="s">
        <v>104</v>
      </c>
      <c r="I317">
        <v>2030</v>
      </c>
      <c r="J317" t="s">
        <v>450</v>
      </c>
      <c r="K317" t="s">
        <v>106</v>
      </c>
      <c r="L317" t="s">
        <v>646</v>
      </c>
      <c r="M317" t="s">
        <v>651</v>
      </c>
      <c r="N317">
        <v>0</v>
      </c>
      <c r="O317">
        <v>2030</v>
      </c>
      <c r="P317">
        <v>1137.4723035050019</v>
      </c>
      <c r="Q317">
        <v>84.323656568982784</v>
      </c>
      <c r="R317" t="s">
        <v>109</v>
      </c>
      <c r="S317">
        <v>3.348052974482107</v>
      </c>
      <c r="T317" t="s">
        <v>110</v>
      </c>
      <c r="U317">
        <v>1.156203029251937</v>
      </c>
      <c r="V317">
        <v>11238.961995400419</v>
      </c>
      <c r="W317">
        <v>833.17226148867417</v>
      </c>
      <c r="X317" t="s">
        <v>111</v>
      </c>
      <c r="Y317">
        <v>10</v>
      </c>
      <c r="Z317">
        <v>0.44</v>
      </c>
      <c r="AA317">
        <v>31.536000000000001</v>
      </c>
    </row>
    <row r="318" spans="1:27" hidden="1" x14ac:dyDescent="0.25">
      <c r="A318" t="s">
        <v>98</v>
      </c>
      <c r="B318" t="s">
        <v>499</v>
      </c>
      <c r="D318" t="s">
        <v>100</v>
      </c>
      <c r="E318" t="s">
        <v>439</v>
      </c>
      <c r="F318" t="s">
        <v>440</v>
      </c>
      <c r="G318" t="s">
        <v>103</v>
      </c>
      <c r="H318" t="s">
        <v>104</v>
      </c>
      <c r="I318">
        <v>2040</v>
      </c>
      <c r="J318" t="s">
        <v>452</v>
      </c>
      <c r="K318" t="s">
        <v>106</v>
      </c>
      <c r="L318" t="s">
        <v>646</v>
      </c>
      <c r="M318" t="s">
        <v>652</v>
      </c>
      <c r="N318">
        <v>0</v>
      </c>
      <c r="O318">
        <v>2040</v>
      </c>
      <c r="P318">
        <v>1031.6192027056411</v>
      </c>
      <c r="Q318">
        <v>84.323656568982784</v>
      </c>
      <c r="R318" t="s">
        <v>109</v>
      </c>
      <c r="S318">
        <v>3.1136892662683588</v>
      </c>
      <c r="T318" t="s">
        <v>110</v>
      </c>
      <c r="U318">
        <v>1.075268817204301</v>
      </c>
      <c r="V318">
        <v>10193.06490119123</v>
      </c>
      <c r="W318">
        <v>833.17226148867428</v>
      </c>
      <c r="X318" t="s">
        <v>111</v>
      </c>
      <c r="Y318">
        <v>10</v>
      </c>
      <c r="Z318">
        <v>0.44</v>
      </c>
      <c r="AA318">
        <v>31.536000000000001</v>
      </c>
    </row>
    <row r="319" spans="1:27" hidden="1" x14ac:dyDescent="0.25">
      <c r="A319" t="s">
        <v>98</v>
      </c>
      <c r="B319" t="s">
        <v>499</v>
      </c>
      <c r="D319" t="s">
        <v>100</v>
      </c>
      <c r="E319" t="s">
        <v>439</v>
      </c>
      <c r="F319" t="s">
        <v>440</v>
      </c>
      <c r="G319" t="s">
        <v>112</v>
      </c>
      <c r="H319" t="s">
        <v>104</v>
      </c>
      <c r="I319">
        <v>2040</v>
      </c>
      <c r="J319" t="s">
        <v>454</v>
      </c>
      <c r="K319" t="s">
        <v>106</v>
      </c>
      <c r="L319" t="s">
        <v>646</v>
      </c>
      <c r="M319" t="s">
        <v>653</v>
      </c>
      <c r="N319">
        <v>0</v>
      </c>
      <c r="O319">
        <v>2040</v>
      </c>
      <c r="P319">
        <v>1137.4723035050019</v>
      </c>
      <c r="Q319">
        <v>84.323656568982784</v>
      </c>
      <c r="R319" t="s">
        <v>109</v>
      </c>
      <c r="S319">
        <v>3.348052974482107</v>
      </c>
      <c r="T319" t="s">
        <v>110</v>
      </c>
      <c r="U319">
        <v>1.156203029251937</v>
      </c>
      <c r="V319">
        <v>11238.961995400419</v>
      </c>
      <c r="W319">
        <v>833.17226148867417</v>
      </c>
      <c r="X319" t="s">
        <v>111</v>
      </c>
      <c r="Y319">
        <v>10</v>
      </c>
      <c r="Z319">
        <v>0.44</v>
      </c>
      <c r="AA319">
        <v>31.536000000000001</v>
      </c>
    </row>
    <row r="320" spans="1:27" hidden="1" x14ac:dyDescent="0.25">
      <c r="A320" t="s">
        <v>98</v>
      </c>
      <c r="B320" t="s">
        <v>499</v>
      </c>
      <c r="D320" t="s">
        <v>100</v>
      </c>
      <c r="E320" t="s">
        <v>439</v>
      </c>
      <c r="F320" t="s">
        <v>440</v>
      </c>
      <c r="G320" t="s">
        <v>103</v>
      </c>
      <c r="H320" t="s">
        <v>104</v>
      </c>
      <c r="I320">
        <v>2050</v>
      </c>
      <c r="J320" t="s">
        <v>456</v>
      </c>
      <c r="K320" t="s">
        <v>106</v>
      </c>
      <c r="L320" t="s">
        <v>646</v>
      </c>
      <c r="M320" t="s">
        <v>654</v>
      </c>
      <c r="N320">
        <v>0</v>
      </c>
      <c r="O320">
        <v>2050</v>
      </c>
      <c r="P320">
        <v>1031.6192027056411</v>
      </c>
      <c r="Q320">
        <v>84.323656568982784</v>
      </c>
      <c r="R320" t="s">
        <v>109</v>
      </c>
      <c r="S320">
        <v>3.1136892662683588</v>
      </c>
      <c r="T320" t="s">
        <v>110</v>
      </c>
      <c r="U320">
        <v>1.075268817204301</v>
      </c>
      <c r="V320">
        <v>10193.06490119123</v>
      </c>
      <c r="W320">
        <v>833.17226148867428</v>
      </c>
      <c r="X320" t="s">
        <v>111</v>
      </c>
      <c r="Y320">
        <v>10</v>
      </c>
      <c r="Z320">
        <v>0.44</v>
      </c>
      <c r="AA320">
        <v>31.536000000000001</v>
      </c>
    </row>
    <row r="321" spans="1:27" hidden="1" x14ac:dyDescent="0.25">
      <c r="A321" t="s">
        <v>98</v>
      </c>
      <c r="B321" t="s">
        <v>499</v>
      </c>
      <c r="D321" t="s">
        <v>100</v>
      </c>
      <c r="E321" t="s">
        <v>439</v>
      </c>
      <c r="F321" t="s">
        <v>440</v>
      </c>
      <c r="G321" t="s">
        <v>112</v>
      </c>
      <c r="H321" t="s">
        <v>104</v>
      </c>
      <c r="I321">
        <v>2050</v>
      </c>
      <c r="J321" t="s">
        <v>458</v>
      </c>
      <c r="K321" t="s">
        <v>106</v>
      </c>
      <c r="L321" t="s">
        <v>646</v>
      </c>
      <c r="M321" t="s">
        <v>655</v>
      </c>
      <c r="N321">
        <v>0</v>
      </c>
      <c r="O321">
        <v>2050</v>
      </c>
      <c r="P321">
        <v>1137.4723035050019</v>
      </c>
      <c r="Q321">
        <v>84.323656568982784</v>
      </c>
      <c r="R321" t="s">
        <v>109</v>
      </c>
      <c r="S321">
        <v>3.348052974482107</v>
      </c>
      <c r="T321" t="s">
        <v>110</v>
      </c>
      <c r="U321">
        <v>1.156203029251937</v>
      </c>
      <c r="V321">
        <v>11238.961995400419</v>
      </c>
      <c r="W321">
        <v>833.17226148867417</v>
      </c>
      <c r="X321" t="s">
        <v>111</v>
      </c>
      <c r="Y321">
        <v>10</v>
      </c>
      <c r="Z321">
        <v>0.44</v>
      </c>
      <c r="AA321">
        <v>31.536000000000001</v>
      </c>
    </row>
    <row r="322" spans="1:27" hidden="1" x14ac:dyDescent="0.25">
      <c r="A322" t="s">
        <v>98</v>
      </c>
      <c r="B322" t="s">
        <v>499</v>
      </c>
      <c r="D322" t="s">
        <v>100</v>
      </c>
      <c r="E322" t="s">
        <v>439</v>
      </c>
      <c r="F322" t="s">
        <v>460</v>
      </c>
      <c r="G322" t="s">
        <v>245</v>
      </c>
      <c r="H322" t="s">
        <v>104</v>
      </c>
      <c r="I322">
        <v>2022</v>
      </c>
      <c r="J322" t="s">
        <v>461</v>
      </c>
      <c r="K322" t="s">
        <v>106</v>
      </c>
      <c r="L322" t="s">
        <v>646</v>
      </c>
      <c r="M322" t="s">
        <v>656</v>
      </c>
      <c r="N322">
        <v>1</v>
      </c>
      <c r="O322">
        <v>2020</v>
      </c>
      <c r="P322">
        <v>520.8323861248623</v>
      </c>
      <c r="Q322">
        <v>19.17492366827851</v>
      </c>
      <c r="R322" t="s">
        <v>109</v>
      </c>
      <c r="S322">
        <v>5.9841517746527506</v>
      </c>
      <c r="T322" t="s">
        <v>110</v>
      </c>
      <c r="U322">
        <v>2.066542692750287</v>
      </c>
      <c r="V322">
        <v>5146.1608125259299</v>
      </c>
      <c r="W322">
        <v>189.46064682931279</v>
      </c>
      <c r="X322" t="s">
        <v>111</v>
      </c>
      <c r="Y322">
        <v>10</v>
      </c>
      <c r="Z322">
        <v>0.44</v>
      </c>
      <c r="AA322">
        <v>31.536000000000001</v>
      </c>
    </row>
    <row r="323" spans="1:27" hidden="1" x14ac:dyDescent="0.25">
      <c r="A323" t="s">
        <v>98</v>
      </c>
      <c r="B323" t="s">
        <v>499</v>
      </c>
      <c r="D323" t="s">
        <v>100</v>
      </c>
      <c r="E323" t="s">
        <v>439</v>
      </c>
      <c r="F323" t="s">
        <v>460</v>
      </c>
      <c r="G323" t="s">
        <v>103</v>
      </c>
      <c r="H323" t="s">
        <v>104</v>
      </c>
      <c r="I323">
        <v>2022</v>
      </c>
      <c r="J323" t="s">
        <v>463</v>
      </c>
      <c r="K323" t="s">
        <v>106</v>
      </c>
      <c r="L323" t="s">
        <v>646</v>
      </c>
      <c r="M323" t="s">
        <v>657</v>
      </c>
      <c r="N323">
        <v>1</v>
      </c>
      <c r="O323">
        <v>2020</v>
      </c>
      <c r="P323">
        <v>619.22047419033993</v>
      </c>
      <c r="Q323">
        <v>19.17492366827851</v>
      </c>
      <c r="R323" t="s">
        <v>109</v>
      </c>
      <c r="S323">
        <v>6.5013006934499016</v>
      </c>
      <c r="T323" t="s">
        <v>110</v>
      </c>
      <c r="U323">
        <v>2.2451328020003118</v>
      </c>
      <c r="V323">
        <v>6118.2987530812006</v>
      </c>
      <c r="W323">
        <v>189.46064682931279</v>
      </c>
      <c r="X323" t="s">
        <v>111</v>
      </c>
      <c r="Y323">
        <v>10</v>
      </c>
      <c r="Z323">
        <v>0.44</v>
      </c>
      <c r="AA323">
        <v>31.536000000000001</v>
      </c>
    </row>
    <row r="324" spans="1:27" hidden="1" x14ac:dyDescent="0.25">
      <c r="A324" t="s">
        <v>98</v>
      </c>
      <c r="B324" t="s">
        <v>499</v>
      </c>
      <c r="D324" t="s">
        <v>100</v>
      </c>
      <c r="E324" t="s">
        <v>439</v>
      </c>
      <c r="F324" t="s">
        <v>460</v>
      </c>
      <c r="G324" t="s">
        <v>112</v>
      </c>
      <c r="H324" t="s">
        <v>104</v>
      </c>
      <c r="I324">
        <v>2022</v>
      </c>
      <c r="J324" t="s">
        <v>465</v>
      </c>
      <c r="K324" t="s">
        <v>106</v>
      </c>
      <c r="L324" t="s">
        <v>646</v>
      </c>
      <c r="M324" t="s">
        <v>658</v>
      </c>
      <c r="N324">
        <v>1</v>
      </c>
      <c r="O324">
        <v>2020</v>
      </c>
      <c r="P324">
        <v>717.59767919103297</v>
      </c>
      <c r="Q324">
        <v>19.17492366827851</v>
      </c>
      <c r="R324" t="s">
        <v>109</v>
      </c>
      <c r="S324">
        <v>7.1162885968843517</v>
      </c>
      <c r="T324" t="s">
        <v>110</v>
      </c>
      <c r="U324">
        <v>2.4575102292165578</v>
      </c>
      <c r="V324">
        <v>7090.3291619180018</v>
      </c>
      <c r="W324">
        <v>189.46064682931279</v>
      </c>
      <c r="X324" t="s">
        <v>111</v>
      </c>
      <c r="Y324">
        <v>10</v>
      </c>
      <c r="Z324">
        <v>0.44</v>
      </c>
      <c r="AA324">
        <v>31.536000000000001</v>
      </c>
    </row>
    <row r="325" spans="1:27" hidden="1" x14ac:dyDescent="0.25">
      <c r="A325" t="s">
        <v>98</v>
      </c>
      <c r="B325" t="s">
        <v>499</v>
      </c>
      <c r="D325" t="s">
        <v>100</v>
      </c>
      <c r="E325" t="s">
        <v>439</v>
      </c>
      <c r="F325" t="s">
        <v>460</v>
      </c>
      <c r="G325" t="s">
        <v>103</v>
      </c>
      <c r="H325" t="s">
        <v>104</v>
      </c>
      <c r="I325">
        <v>2030</v>
      </c>
      <c r="J325" t="s">
        <v>467</v>
      </c>
      <c r="K325" t="s">
        <v>106</v>
      </c>
      <c r="L325" t="s">
        <v>646</v>
      </c>
      <c r="M325" t="s">
        <v>659</v>
      </c>
      <c r="N325">
        <v>1</v>
      </c>
      <c r="O325">
        <v>2030</v>
      </c>
      <c r="P325">
        <v>520.8323861248623</v>
      </c>
      <c r="Q325">
        <v>19.17492366827851</v>
      </c>
      <c r="R325" t="s">
        <v>109</v>
      </c>
      <c r="S325">
        <v>6.5013006934499016</v>
      </c>
      <c r="T325" t="s">
        <v>110</v>
      </c>
      <c r="U325">
        <v>2.2451328020003118</v>
      </c>
      <c r="V325">
        <v>5146.1608125259299</v>
      </c>
      <c r="W325">
        <v>189.46064682931279</v>
      </c>
      <c r="X325" t="s">
        <v>111</v>
      </c>
      <c r="Y325">
        <v>10</v>
      </c>
      <c r="Z325">
        <v>0.44</v>
      </c>
      <c r="AA325">
        <v>31.536000000000001</v>
      </c>
    </row>
    <row r="326" spans="1:27" hidden="1" x14ac:dyDescent="0.25">
      <c r="A326" t="s">
        <v>98</v>
      </c>
      <c r="B326" t="s">
        <v>499</v>
      </c>
      <c r="D326" t="s">
        <v>100</v>
      </c>
      <c r="E326" t="s">
        <v>439</v>
      </c>
      <c r="F326" t="s">
        <v>460</v>
      </c>
      <c r="G326" t="s">
        <v>112</v>
      </c>
      <c r="H326" t="s">
        <v>104</v>
      </c>
      <c r="I326">
        <v>2030</v>
      </c>
      <c r="J326" t="s">
        <v>469</v>
      </c>
      <c r="K326" t="s">
        <v>106</v>
      </c>
      <c r="L326" t="s">
        <v>646</v>
      </c>
      <c r="M326" t="s">
        <v>660</v>
      </c>
      <c r="N326">
        <v>1</v>
      </c>
      <c r="O326">
        <v>2030</v>
      </c>
      <c r="P326">
        <v>717.59767919103297</v>
      </c>
      <c r="Q326">
        <v>19.17492366827851</v>
      </c>
      <c r="R326" t="s">
        <v>109</v>
      </c>
      <c r="S326">
        <v>7.1162885968843517</v>
      </c>
      <c r="T326" t="s">
        <v>110</v>
      </c>
      <c r="U326">
        <v>2.4575102292165578</v>
      </c>
      <c r="V326">
        <v>7090.3291619180018</v>
      </c>
      <c r="W326">
        <v>189.46064682931279</v>
      </c>
      <c r="X326" t="s">
        <v>111</v>
      </c>
      <c r="Y326">
        <v>10</v>
      </c>
      <c r="Z326">
        <v>0.44</v>
      </c>
      <c r="AA326">
        <v>31.536000000000001</v>
      </c>
    </row>
    <row r="327" spans="1:27" hidden="1" x14ac:dyDescent="0.25">
      <c r="A327" t="s">
        <v>98</v>
      </c>
      <c r="B327" t="s">
        <v>499</v>
      </c>
      <c r="D327" t="s">
        <v>100</v>
      </c>
      <c r="E327" t="s">
        <v>439</v>
      </c>
      <c r="F327" t="s">
        <v>460</v>
      </c>
      <c r="G327" t="s">
        <v>103</v>
      </c>
      <c r="H327" t="s">
        <v>104</v>
      </c>
      <c r="I327">
        <v>2040</v>
      </c>
      <c r="J327" t="s">
        <v>471</v>
      </c>
      <c r="K327" t="s">
        <v>106</v>
      </c>
      <c r="L327" t="s">
        <v>646</v>
      </c>
      <c r="M327" t="s">
        <v>661</v>
      </c>
      <c r="N327">
        <v>1</v>
      </c>
      <c r="O327">
        <v>2040</v>
      </c>
      <c r="P327">
        <v>520.8323861248623</v>
      </c>
      <c r="Q327">
        <v>19.17492366827851</v>
      </c>
      <c r="R327" t="s">
        <v>109</v>
      </c>
      <c r="S327">
        <v>6.5013006934499016</v>
      </c>
      <c r="T327" t="s">
        <v>110</v>
      </c>
      <c r="U327">
        <v>2.2451328020003118</v>
      </c>
      <c r="V327">
        <v>5146.1608125259299</v>
      </c>
      <c r="W327">
        <v>189.46064682931279</v>
      </c>
      <c r="X327" t="s">
        <v>111</v>
      </c>
      <c r="Y327">
        <v>10</v>
      </c>
      <c r="Z327">
        <v>0.44</v>
      </c>
      <c r="AA327">
        <v>31.536000000000001</v>
      </c>
    </row>
    <row r="328" spans="1:27" hidden="1" x14ac:dyDescent="0.25">
      <c r="A328" t="s">
        <v>98</v>
      </c>
      <c r="B328" t="s">
        <v>499</v>
      </c>
      <c r="D328" t="s">
        <v>100</v>
      </c>
      <c r="E328" t="s">
        <v>439</v>
      </c>
      <c r="F328" t="s">
        <v>460</v>
      </c>
      <c r="G328" t="s">
        <v>112</v>
      </c>
      <c r="H328" t="s">
        <v>104</v>
      </c>
      <c r="I328">
        <v>2040</v>
      </c>
      <c r="J328" t="s">
        <v>473</v>
      </c>
      <c r="K328" t="s">
        <v>106</v>
      </c>
      <c r="L328" t="s">
        <v>646</v>
      </c>
      <c r="M328" t="s">
        <v>662</v>
      </c>
      <c r="N328">
        <v>1</v>
      </c>
      <c r="O328">
        <v>2040</v>
      </c>
      <c r="P328">
        <v>717.59767919103297</v>
      </c>
      <c r="Q328">
        <v>19.17492366827851</v>
      </c>
      <c r="R328" t="s">
        <v>109</v>
      </c>
      <c r="S328">
        <v>7.1162885968843517</v>
      </c>
      <c r="T328" t="s">
        <v>110</v>
      </c>
      <c r="U328">
        <v>2.4575102292165578</v>
      </c>
      <c r="V328">
        <v>7090.3291619180018</v>
      </c>
      <c r="W328">
        <v>189.46064682931279</v>
      </c>
      <c r="X328" t="s">
        <v>111</v>
      </c>
      <c r="Y328">
        <v>10</v>
      </c>
      <c r="Z328">
        <v>0.44</v>
      </c>
      <c r="AA328">
        <v>31.536000000000001</v>
      </c>
    </row>
    <row r="329" spans="1:27" hidden="1" x14ac:dyDescent="0.25">
      <c r="A329" t="s">
        <v>98</v>
      </c>
      <c r="B329" t="s">
        <v>499</v>
      </c>
      <c r="D329" t="s">
        <v>100</v>
      </c>
      <c r="E329" t="s">
        <v>439</v>
      </c>
      <c r="F329" t="s">
        <v>460</v>
      </c>
      <c r="G329" t="s">
        <v>103</v>
      </c>
      <c r="H329" t="s">
        <v>104</v>
      </c>
      <c r="I329">
        <v>2050</v>
      </c>
      <c r="J329" t="s">
        <v>475</v>
      </c>
      <c r="K329" t="s">
        <v>106</v>
      </c>
      <c r="L329" t="s">
        <v>646</v>
      </c>
      <c r="M329" t="s">
        <v>663</v>
      </c>
      <c r="N329">
        <v>1</v>
      </c>
      <c r="O329">
        <v>2050</v>
      </c>
      <c r="P329">
        <v>520.8323861248623</v>
      </c>
      <c r="Q329">
        <v>19.17492366827851</v>
      </c>
      <c r="R329" t="s">
        <v>109</v>
      </c>
      <c r="S329">
        <v>6.5013006934499016</v>
      </c>
      <c r="T329" t="s">
        <v>110</v>
      </c>
      <c r="U329">
        <v>2.2451328020003118</v>
      </c>
      <c r="V329">
        <v>5146.1608125259299</v>
      </c>
      <c r="W329">
        <v>189.46064682931279</v>
      </c>
      <c r="X329" t="s">
        <v>111</v>
      </c>
      <c r="Y329">
        <v>10</v>
      </c>
      <c r="Z329">
        <v>0.44</v>
      </c>
      <c r="AA329">
        <v>31.536000000000001</v>
      </c>
    </row>
    <row r="330" spans="1:27" hidden="1" x14ac:dyDescent="0.25">
      <c r="A330" t="s">
        <v>98</v>
      </c>
      <c r="B330" t="s">
        <v>499</v>
      </c>
      <c r="D330" t="s">
        <v>100</v>
      </c>
      <c r="E330" t="s">
        <v>439</v>
      </c>
      <c r="F330" t="s">
        <v>460</v>
      </c>
      <c r="G330" t="s">
        <v>112</v>
      </c>
      <c r="H330" t="s">
        <v>104</v>
      </c>
      <c r="I330">
        <v>2050</v>
      </c>
      <c r="J330" t="s">
        <v>477</v>
      </c>
      <c r="K330" t="s">
        <v>106</v>
      </c>
      <c r="L330" t="s">
        <v>646</v>
      </c>
      <c r="M330" t="s">
        <v>664</v>
      </c>
      <c r="N330">
        <v>1</v>
      </c>
      <c r="O330">
        <v>2050</v>
      </c>
      <c r="P330">
        <v>717.59767919103297</v>
      </c>
      <c r="Q330">
        <v>19.17492366827851</v>
      </c>
      <c r="R330" t="s">
        <v>109</v>
      </c>
      <c r="S330">
        <v>7.1162885968843517</v>
      </c>
      <c r="T330" t="s">
        <v>110</v>
      </c>
      <c r="U330">
        <v>2.4575102292165578</v>
      </c>
      <c r="V330">
        <v>7090.3291619180018</v>
      </c>
      <c r="W330">
        <v>189.46064682931279</v>
      </c>
      <c r="X330" t="s">
        <v>111</v>
      </c>
      <c r="Y330">
        <v>10</v>
      </c>
      <c r="Z330">
        <v>0.44</v>
      </c>
      <c r="AA330">
        <v>31.536000000000001</v>
      </c>
    </row>
    <row r="331" spans="1:27" hidden="1" x14ac:dyDescent="0.25">
      <c r="A331" t="s">
        <v>98</v>
      </c>
      <c r="B331" t="s">
        <v>499</v>
      </c>
      <c r="D331" t="s">
        <v>100</v>
      </c>
      <c r="E331" t="s">
        <v>439</v>
      </c>
      <c r="F331" t="s">
        <v>479</v>
      </c>
      <c r="G331" t="s">
        <v>245</v>
      </c>
      <c r="H331" t="s">
        <v>104</v>
      </c>
      <c r="I331">
        <v>2022</v>
      </c>
      <c r="J331" t="s">
        <v>480</v>
      </c>
      <c r="K331" t="s">
        <v>106</v>
      </c>
      <c r="L331" t="s">
        <v>646</v>
      </c>
      <c r="M331" t="s">
        <v>665</v>
      </c>
      <c r="N331">
        <v>1</v>
      </c>
      <c r="O331">
        <v>2020</v>
      </c>
      <c r="P331">
        <v>1625.561814955347</v>
      </c>
      <c r="Q331">
        <v>83.737016934227881</v>
      </c>
      <c r="R331" t="s">
        <v>109</v>
      </c>
      <c r="S331">
        <v>3.1167552571169028</v>
      </c>
      <c r="T331" t="s">
        <v>110</v>
      </c>
      <c r="U331">
        <v>1.0763276140434681</v>
      </c>
      <c r="V331">
        <v>16061.60203036269</v>
      </c>
      <c r="W331">
        <v>827.37588250020144</v>
      </c>
      <c r="X331" t="s">
        <v>111</v>
      </c>
      <c r="Y331">
        <v>10</v>
      </c>
      <c r="Z331">
        <v>0.44</v>
      </c>
      <c r="AA331">
        <v>31.536000000000001</v>
      </c>
    </row>
    <row r="332" spans="1:27" hidden="1" x14ac:dyDescent="0.25">
      <c r="A332" t="s">
        <v>98</v>
      </c>
      <c r="B332" t="s">
        <v>499</v>
      </c>
      <c r="D332" t="s">
        <v>100</v>
      </c>
      <c r="E332" t="s">
        <v>439</v>
      </c>
      <c r="F332" t="s">
        <v>479</v>
      </c>
      <c r="G332" t="s">
        <v>103</v>
      </c>
      <c r="H332" t="s">
        <v>104</v>
      </c>
      <c r="I332">
        <v>2022</v>
      </c>
      <c r="J332" t="s">
        <v>482</v>
      </c>
      <c r="K332" t="s">
        <v>106</v>
      </c>
      <c r="L332" t="s">
        <v>646</v>
      </c>
      <c r="M332" t="s">
        <v>666</v>
      </c>
      <c r="N332">
        <v>1</v>
      </c>
      <c r="O332">
        <v>2020</v>
      </c>
      <c r="P332">
        <v>1649.1429636040691</v>
      </c>
      <c r="Q332">
        <v>83.737016934227881</v>
      </c>
      <c r="R332" t="s">
        <v>109</v>
      </c>
      <c r="S332">
        <v>4.464541314248538</v>
      </c>
      <c r="T332" t="s">
        <v>110</v>
      </c>
      <c r="U332">
        <v>1.541766582278481</v>
      </c>
      <c r="V332">
        <v>16294.59902963399</v>
      </c>
      <c r="W332">
        <v>827.37588250020167</v>
      </c>
      <c r="X332" t="s">
        <v>111</v>
      </c>
      <c r="Y332">
        <v>10</v>
      </c>
      <c r="Z332">
        <v>0.44</v>
      </c>
      <c r="AA332">
        <v>31.536000000000001</v>
      </c>
    </row>
    <row r="333" spans="1:27" hidden="1" x14ac:dyDescent="0.25">
      <c r="A333" t="s">
        <v>98</v>
      </c>
      <c r="B333" t="s">
        <v>499</v>
      </c>
      <c r="D333" t="s">
        <v>100</v>
      </c>
      <c r="E333" t="s">
        <v>439</v>
      </c>
      <c r="F333" t="s">
        <v>479</v>
      </c>
      <c r="G333" t="s">
        <v>112</v>
      </c>
      <c r="H333" t="s">
        <v>104</v>
      </c>
      <c r="I333">
        <v>2022</v>
      </c>
      <c r="J333" t="s">
        <v>484</v>
      </c>
      <c r="K333" t="s">
        <v>106</v>
      </c>
      <c r="L333" t="s">
        <v>646</v>
      </c>
      <c r="M333" t="s">
        <v>667</v>
      </c>
      <c r="N333">
        <v>1</v>
      </c>
      <c r="O333">
        <v>2020</v>
      </c>
      <c r="P333">
        <v>1758.024723094816</v>
      </c>
      <c r="Q333">
        <v>83.737016934227881</v>
      </c>
      <c r="R333" t="s">
        <v>109</v>
      </c>
      <c r="S333">
        <v>7.4409021904142287</v>
      </c>
      <c r="T333" t="s">
        <v>110</v>
      </c>
      <c r="U333">
        <v>2.5696109704641348</v>
      </c>
      <c r="V333">
        <v>17370.421230436659</v>
      </c>
      <c r="W333">
        <v>827.37588250020167</v>
      </c>
      <c r="X333" t="s">
        <v>111</v>
      </c>
      <c r="Y333">
        <v>10</v>
      </c>
      <c r="Z333">
        <v>0.44</v>
      </c>
      <c r="AA333">
        <v>31.536000000000001</v>
      </c>
    </row>
    <row r="334" spans="1:27" hidden="1" x14ac:dyDescent="0.25">
      <c r="A334" t="s">
        <v>98</v>
      </c>
      <c r="B334" t="s">
        <v>499</v>
      </c>
      <c r="D334" t="s">
        <v>100</v>
      </c>
      <c r="E334" t="s">
        <v>439</v>
      </c>
      <c r="F334" t="s">
        <v>479</v>
      </c>
      <c r="G334" t="s">
        <v>219</v>
      </c>
      <c r="H334" t="s">
        <v>104</v>
      </c>
      <c r="I334">
        <v>2022</v>
      </c>
      <c r="J334" t="s">
        <v>486</v>
      </c>
      <c r="K334" t="s">
        <v>106</v>
      </c>
      <c r="L334" t="s">
        <v>646</v>
      </c>
      <c r="M334" t="s">
        <v>668</v>
      </c>
      <c r="N334">
        <v>1</v>
      </c>
      <c r="O334">
        <v>2020</v>
      </c>
      <c r="P334">
        <v>1758.024723094816</v>
      </c>
      <c r="Q334">
        <v>84.189649458196669</v>
      </c>
      <c r="R334" t="s">
        <v>109</v>
      </c>
      <c r="S334">
        <v>7.4409021904142287</v>
      </c>
      <c r="T334" t="s">
        <v>110</v>
      </c>
      <c r="U334">
        <v>2.5696109704641348</v>
      </c>
      <c r="V334">
        <v>17370.421230436659</v>
      </c>
      <c r="W334">
        <v>831.8481845677702</v>
      </c>
      <c r="X334" t="s">
        <v>111</v>
      </c>
      <c r="Y334">
        <v>10</v>
      </c>
      <c r="Z334">
        <v>0.44</v>
      </c>
      <c r="AA334">
        <v>31.536000000000001</v>
      </c>
    </row>
    <row r="335" spans="1:27" hidden="1" x14ac:dyDescent="0.25">
      <c r="A335" t="s">
        <v>98</v>
      </c>
      <c r="B335" t="s">
        <v>499</v>
      </c>
      <c r="D335" t="s">
        <v>100</v>
      </c>
      <c r="E335" t="s">
        <v>439</v>
      </c>
      <c r="F335" t="s">
        <v>479</v>
      </c>
      <c r="G335" t="s">
        <v>103</v>
      </c>
      <c r="H335" t="s">
        <v>104</v>
      </c>
      <c r="I335">
        <v>2030</v>
      </c>
      <c r="J335" t="s">
        <v>488</v>
      </c>
      <c r="K335" t="s">
        <v>106</v>
      </c>
      <c r="L335" t="s">
        <v>646</v>
      </c>
      <c r="M335" t="s">
        <v>669</v>
      </c>
      <c r="N335">
        <v>1</v>
      </c>
      <c r="O335">
        <v>2030</v>
      </c>
      <c r="P335">
        <v>1649.1429636040691</v>
      </c>
      <c r="Q335">
        <v>83.737016934227881</v>
      </c>
      <c r="R335" t="s">
        <v>109</v>
      </c>
      <c r="S335">
        <v>4.464541314248538</v>
      </c>
      <c r="T335" t="s">
        <v>110</v>
      </c>
      <c r="U335">
        <v>1.541766582278481</v>
      </c>
      <c r="V335">
        <v>16294.59902963399</v>
      </c>
      <c r="W335">
        <v>827.37588250020167</v>
      </c>
      <c r="X335" t="s">
        <v>111</v>
      </c>
      <c r="Y335">
        <v>10</v>
      </c>
      <c r="Z335">
        <v>0.44</v>
      </c>
      <c r="AA335">
        <v>31.536000000000001</v>
      </c>
    </row>
    <row r="336" spans="1:27" hidden="1" x14ac:dyDescent="0.25">
      <c r="A336" t="s">
        <v>98</v>
      </c>
      <c r="B336" t="s">
        <v>499</v>
      </c>
      <c r="D336" t="s">
        <v>100</v>
      </c>
      <c r="E336" t="s">
        <v>439</v>
      </c>
      <c r="F336" t="s">
        <v>479</v>
      </c>
      <c r="G336" t="s">
        <v>112</v>
      </c>
      <c r="H336" t="s">
        <v>104</v>
      </c>
      <c r="I336">
        <v>2030</v>
      </c>
      <c r="J336" t="s">
        <v>490</v>
      </c>
      <c r="K336" t="s">
        <v>106</v>
      </c>
      <c r="L336" t="s">
        <v>646</v>
      </c>
      <c r="M336" t="s">
        <v>670</v>
      </c>
      <c r="N336">
        <v>1</v>
      </c>
      <c r="O336">
        <v>2030</v>
      </c>
      <c r="P336">
        <v>1758.024723094816</v>
      </c>
      <c r="Q336">
        <v>83.737016934227881</v>
      </c>
      <c r="R336" t="s">
        <v>109</v>
      </c>
      <c r="S336">
        <v>7.4409021904142287</v>
      </c>
      <c r="T336" t="s">
        <v>110</v>
      </c>
      <c r="U336">
        <v>2.5696109704641348</v>
      </c>
      <c r="V336">
        <v>17370.421230436659</v>
      </c>
      <c r="W336">
        <v>827.37588250020167</v>
      </c>
      <c r="X336" t="s">
        <v>111</v>
      </c>
      <c r="Y336">
        <v>10</v>
      </c>
      <c r="Z336">
        <v>0.44</v>
      </c>
      <c r="AA336">
        <v>31.536000000000001</v>
      </c>
    </row>
    <row r="337" spans="1:27" hidden="1" x14ac:dyDescent="0.25">
      <c r="A337" t="s">
        <v>98</v>
      </c>
      <c r="B337" t="s">
        <v>499</v>
      </c>
      <c r="D337" t="s">
        <v>100</v>
      </c>
      <c r="E337" t="s">
        <v>439</v>
      </c>
      <c r="F337" t="s">
        <v>479</v>
      </c>
      <c r="G337" t="s">
        <v>103</v>
      </c>
      <c r="H337" t="s">
        <v>104</v>
      </c>
      <c r="I337">
        <v>2040</v>
      </c>
      <c r="J337" t="s">
        <v>492</v>
      </c>
      <c r="K337" t="s">
        <v>106</v>
      </c>
      <c r="L337" t="s">
        <v>646</v>
      </c>
      <c r="M337" t="s">
        <v>671</v>
      </c>
      <c r="N337">
        <v>1</v>
      </c>
      <c r="O337">
        <v>2040</v>
      </c>
      <c r="P337">
        <v>1649.1429636040691</v>
      </c>
      <c r="Q337">
        <v>83.737016934227881</v>
      </c>
      <c r="R337" t="s">
        <v>109</v>
      </c>
      <c r="S337">
        <v>4.464541314248538</v>
      </c>
      <c r="T337" t="s">
        <v>110</v>
      </c>
      <c r="U337">
        <v>1.541766582278481</v>
      </c>
      <c r="V337">
        <v>16294.59902963399</v>
      </c>
      <c r="W337">
        <v>827.37588250020167</v>
      </c>
      <c r="X337" t="s">
        <v>111</v>
      </c>
      <c r="Y337">
        <v>10</v>
      </c>
      <c r="Z337">
        <v>0.44</v>
      </c>
      <c r="AA337">
        <v>31.536000000000001</v>
      </c>
    </row>
    <row r="338" spans="1:27" hidden="1" x14ac:dyDescent="0.25">
      <c r="A338" t="s">
        <v>98</v>
      </c>
      <c r="B338" t="s">
        <v>499</v>
      </c>
      <c r="D338" t="s">
        <v>100</v>
      </c>
      <c r="E338" t="s">
        <v>439</v>
      </c>
      <c r="F338" t="s">
        <v>479</v>
      </c>
      <c r="G338" t="s">
        <v>112</v>
      </c>
      <c r="H338" t="s">
        <v>104</v>
      </c>
      <c r="I338">
        <v>2040</v>
      </c>
      <c r="J338" t="s">
        <v>494</v>
      </c>
      <c r="K338" t="s">
        <v>106</v>
      </c>
      <c r="L338" t="s">
        <v>646</v>
      </c>
      <c r="M338" t="s">
        <v>672</v>
      </c>
      <c r="N338">
        <v>1</v>
      </c>
      <c r="O338">
        <v>2040</v>
      </c>
      <c r="P338">
        <v>1758.024723094816</v>
      </c>
      <c r="Q338">
        <v>83.737016934227881</v>
      </c>
      <c r="R338" t="s">
        <v>109</v>
      </c>
      <c r="S338">
        <v>7.4409021904142287</v>
      </c>
      <c r="T338" t="s">
        <v>110</v>
      </c>
      <c r="U338">
        <v>2.5696109704641348</v>
      </c>
      <c r="V338">
        <v>17370.421230436659</v>
      </c>
      <c r="W338">
        <v>827.37588250020167</v>
      </c>
      <c r="X338" t="s">
        <v>111</v>
      </c>
      <c r="Y338">
        <v>10</v>
      </c>
      <c r="Z338">
        <v>0.44</v>
      </c>
      <c r="AA338">
        <v>31.536000000000001</v>
      </c>
    </row>
    <row r="339" spans="1:27" hidden="1" x14ac:dyDescent="0.25">
      <c r="A339" t="s">
        <v>98</v>
      </c>
      <c r="B339" t="s">
        <v>499</v>
      </c>
      <c r="D339" t="s">
        <v>100</v>
      </c>
      <c r="E339" t="s">
        <v>439</v>
      </c>
      <c r="F339" t="s">
        <v>479</v>
      </c>
      <c r="G339" t="s">
        <v>112</v>
      </c>
      <c r="H339" t="s">
        <v>104</v>
      </c>
      <c r="I339">
        <v>2025</v>
      </c>
      <c r="J339" t="s">
        <v>496</v>
      </c>
      <c r="K339" t="s">
        <v>106</v>
      </c>
      <c r="L339" t="s">
        <v>646</v>
      </c>
      <c r="M339" t="s">
        <v>673</v>
      </c>
      <c r="N339">
        <v>1</v>
      </c>
      <c r="O339">
        <v>2025</v>
      </c>
      <c r="P339">
        <v>1758.024723094816</v>
      </c>
      <c r="Q339">
        <v>83.737016934227881</v>
      </c>
      <c r="R339" t="s">
        <v>109</v>
      </c>
      <c r="S339">
        <v>7.4409021904142287</v>
      </c>
      <c r="T339" t="s">
        <v>110</v>
      </c>
      <c r="U339">
        <v>2.5696109704641348</v>
      </c>
      <c r="V339">
        <v>17370.421230436659</v>
      </c>
      <c r="W339">
        <v>827.37588250020167</v>
      </c>
      <c r="X339" t="s">
        <v>111</v>
      </c>
      <c r="Y339">
        <v>10</v>
      </c>
      <c r="Z339">
        <v>0.44</v>
      </c>
      <c r="AA339">
        <v>31.536000000000001</v>
      </c>
    </row>
    <row r="340" spans="1:27" hidden="1" x14ac:dyDescent="0.25">
      <c r="A340" t="s">
        <v>498</v>
      </c>
      <c r="M340" t="s">
        <v>498</v>
      </c>
      <c r="N340" t="s">
        <v>498</v>
      </c>
    </row>
    <row r="341" spans="1:27" hidden="1" x14ac:dyDescent="0.25">
      <c r="A341" t="s">
        <v>98</v>
      </c>
      <c r="B341" t="s">
        <v>674</v>
      </c>
      <c r="D341" t="s">
        <v>100</v>
      </c>
      <c r="E341" t="s">
        <v>101</v>
      </c>
      <c r="F341" t="s">
        <v>102</v>
      </c>
      <c r="G341" t="s">
        <v>103</v>
      </c>
      <c r="H341" t="s">
        <v>104</v>
      </c>
      <c r="I341">
        <v>2061</v>
      </c>
      <c r="J341" t="s">
        <v>105</v>
      </c>
      <c r="K341" t="s">
        <v>106</v>
      </c>
      <c r="L341" t="s">
        <v>675</v>
      </c>
      <c r="M341" t="s">
        <v>676</v>
      </c>
      <c r="N341">
        <v>0</v>
      </c>
      <c r="O341">
        <v>2061</v>
      </c>
      <c r="P341">
        <v>117.0584711706526</v>
      </c>
      <c r="Q341">
        <v>4.2000145906136934</v>
      </c>
      <c r="R341" t="s">
        <v>109</v>
      </c>
      <c r="S341">
        <v>3.3</v>
      </c>
      <c r="T341" t="s">
        <v>110</v>
      </c>
      <c r="U341">
        <v>3.3</v>
      </c>
      <c r="V341">
        <v>399.42017862788401</v>
      </c>
      <c r="W341">
        <v>14.33104807576899</v>
      </c>
      <c r="X341" t="s">
        <v>111</v>
      </c>
      <c r="Y341">
        <v>21</v>
      </c>
      <c r="Z341">
        <v>0.28022105690055271</v>
      </c>
      <c r="AA341">
        <v>31.536000000000001</v>
      </c>
    </row>
    <row r="342" spans="1:27" hidden="1" x14ac:dyDescent="0.25">
      <c r="A342" t="s">
        <v>98</v>
      </c>
      <c r="B342" t="s">
        <v>674</v>
      </c>
      <c r="D342" t="s">
        <v>100</v>
      </c>
      <c r="E342" t="s">
        <v>101</v>
      </c>
      <c r="F342" t="s">
        <v>102</v>
      </c>
      <c r="G342" t="s">
        <v>112</v>
      </c>
      <c r="H342" t="s">
        <v>104</v>
      </c>
      <c r="I342">
        <v>2022</v>
      </c>
      <c r="J342" t="s">
        <v>113</v>
      </c>
      <c r="K342" t="s">
        <v>106</v>
      </c>
      <c r="L342" t="s">
        <v>675</v>
      </c>
      <c r="M342" t="s">
        <v>677</v>
      </c>
      <c r="N342">
        <v>1</v>
      </c>
      <c r="O342">
        <v>2020</v>
      </c>
      <c r="P342">
        <v>200.7885700942916</v>
      </c>
      <c r="Q342">
        <v>4.2000145906136934</v>
      </c>
      <c r="R342" t="s">
        <v>109</v>
      </c>
      <c r="S342">
        <v>3.7</v>
      </c>
      <c r="T342" t="s">
        <v>110</v>
      </c>
      <c r="U342">
        <v>3.7</v>
      </c>
      <c r="V342">
        <v>685.1192035182313</v>
      </c>
      <c r="W342">
        <v>14.33104807576899</v>
      </c>
      <c r="X342" t="s">
        <v>111</v>
      </c>
      <c r="Y342">
        <v>21</v>
      </c>
      <c r="Z342">
        <v>0.28022105690055271</v>
      </c>
      <c r="AA342">
        <v>31.536000000000001</v>
      </c>
    </row>
    <row r="343" spans="1:27" hidden="1" x14ac:dyDescent="0.25">
      <c r="A343" t="s">
        <v>98</v>
      </c>
      <c r="B343" t="s">
        <v>674</v>
      </c>
      <c r="D343" t="s">
        <v>100</v>
      </c>
      <c r="E343" t="s">
        <v>101</v>
      </c>
      <c r="F343" t="s">
        <v>102</v>
      </c>
      <c r="G343" t="s">
        <v>103</v>
      </c>
      <c r="H343" t="s">
        <v>104</v>
      </c>
      <c r="I343">
        <v>2023</v>
      </c>
      <c r="J343" t="s">
        <v>115</v>
      </c>
      <c r="K343" t="s">
        <v>106</v>
      </c>
      <c r="L343" t="s">
        <v>675</v>
      </c>
      <c r="M343" t="s">
        <v>678</v>
      </c>
      <c r="N343">
        <v>0</v>
      </c>
      <c r="O343">
        <v>2023</v>
      </c>
      <c r="P343">
        <v>135.73557542199771</v>
      </c>
      <c r="Q343">
        <v>4.2000145906136934</v>
      </c>
      <c r="R343" t="s">
        <v>109</v>
      </c>
      <c r="S343">
        <v>3.4</v>
      </c>
      <c r="T343" t="s">
        <v>110</v>
      </c>
      <c r="U343">
        <v>3.4</v>
      </c>
      <c r="V343">
        <v>463.14911888927151</v>
      </c>
      <c r="W343">
        <v>14.33104807576899</v>
      </c>
      <c r="X343" t="s">
        <v>111</v>
      </c>
      <c r="Y343">
        <v>21</v>
      </c>
      <c r="Z343">
        <v>0.28022105690055271</v>
      </c>
      <c r="AA343">
        <v>31.536000000000001</v>
      </c>
    </row>
    <row r="344" spans="1:27" hidden="1" x14ac:dyDescent="0.25">
      <c r="A344" t="s">
        <v>98</v>
      </c>
      <c r="B344" t="s">
        <v>674</v>
      </c>
      <c r="D344" t="s">
        <v>100</v>
      </c>
      <c r="E344" t="s">
        <v>101</v>
      </c>
      <c r="F344" t="s">
        <v>117</v>
      </c>
      <c r="G344" t="s">
        <v>103</v>
      </c>
      <c r="H344" t="s">
        <v>104</v>
      </c>
      <c r="I344">
        <v>2033</v>
      </c>
      <c r="J344" t="s">
        <v>118</v>
      </c>
      <c r="K344" t="s">
        <v>106</v>
      </c>
      <c r="L344" t="s">
        <v>675</v>
      </c>
      <c r="M344" t="s">
        <v>679</v>
      </c>
      <c r="N344">
        <v>0</v>
      </c>
      <c r="O344">
        <v>2033</v>
      </c>
      <c r="P344">
        <v>483.9331327692995</v>
      </c>
      <c r="Q344">
        <v>3.810497108419681</v>
      </c>
      <c r="R344" t="s">
        <v>109</v>
      </c>
      <c r="S344">
        <v>3.7</v>
      </c>
      <c r="T344" t="s">
        <v>110</v>
      </c>
      <c r="U344">
        <v>3.7</v>
      </c>
      <c r="V344">
        <v>1651.2487853431401</v>
      </c>
      <c r="W344">
        <v>13.00195893970977</v>
      </c>
      <c r="X344" t="s">
        <v>111</v>
      </c>
      <c r="Y344">
        <v>14.4</v>
      </c>
      <c r="Z344">
        <v>0.28022105690055271</v>
      </c>
      <c r="AA344">
        <v>31.536000000000001</v>
      </c>
    </row>
    <row r="345" spans="1:27" hidden="1" x14ac:dyDescent="0.25">
      <c r="A345" t="s">
        <v>98</v>
      </c>
      <c r="B345" t="s">
        <v>674</v>
      </c>
      <c r="D345" t="s">
        <v>100</v>
      </c>
      <c r="E345" t="s">
        <v>101</v>
      </c>
      <c r="F345" t="s">
        <v>117</v>
      </c>
      <c r="G345" t="s">
        <v>67</v>
      </c>
      <c r="H345" t="s">
        <v>104</v>
      </c>
      <c r="I345">
        <v>2033</v>
      </c>
      <c r="J345" t="s">
        <v>120</v>
      </c>
      <c r="K345" t="s">
        <v>106</v>
      </c>
      <c r="L345" t="s">
        <v>675</v>
      </c>
      <c r="M345" t="s">
        <v>680</v>
      </c>
      <c r="N345">
        <v>0</v>
      </c>
      <c r="O345">
        <v>2033</v>
      </c>
      <c r="P345">
        <v>497.90495550017158</v>
      </c>
      <c r="Q345">
        <v>3.810497108419681</v>
      </c>
      <c r="R345" t="s">
        <v>109</v>
      </c>
      <c r="S345">
        <v>3.8</v>
      </c>
      <c r="T345" t="s">
        <v>110</v>
      </c>
      <c r="U345">
        <v>3.8</v>
      </c>
      <c r="V345">
        <v>1698.9226347887429</v>
      </c>
      <c r="W345">
        <v>13.00195893970977</v>
      </c>
      <c r="X345" t="s">
        <v>111</v>
      </c>
      <c r="Y345">
        <v>14.4</v>
      </c>
      <c r="Z345">
        <v>0.28022105690055271</v>
      </c>
      <c r="AA345">
        <v>31.536000000000001</v>
      </c>
    </row>
    <row r="346" spans="1:27" hidden="1" x14ac:dyDescent="0.25">
      <c r="A346" t="s">
        <v>98</v>
      </c>
      <c r="B346" t="s">
        <v>674</v>
      </c>
      <c r="D346" t="s">
        <v>100</v>
      </c>
      <c r="E346" t="s">
        <v>101</v>
      </c>
      <c r="F346" t="s">
        <v>117</v>
      </c>
      <c r="G346" t="s">
        <v>112</v>
      </c>
      <c r="H346" t="s">
        <v>104</v>
      </c>
      <c r="I346">
        <v>2033</v>
      </c>
      <c r="J346" t="s">
        <v>122</v>
      </c>
      <c r="K346" t="s">
        <v>106</v>
      </c>
      <c r="L346" t="s">
        <v>675</v>
      </c>
      <c r="M346" t="s">
        <v>681</v>
      </c>
      <c r="N346">
        <v>0</v>
      </c>
      <c r="O346">
        <v>2033</v>
      </c>
      <c r="P346">
        <v>513.14694393385037</v>
      </c>
      <c r="Q346">
        <v>3.810497108419681</v>
      </c>
      <c r="R346" t="s">
        <v>109</v>
      </c>
      <c r="S346">
        <v>4</v>
      </c>
      <c r="T346" t="s">
        <v>110</v>
      </c>
      <c r="U346">
        <v>4</v>
      </c>
      <c r="V346">
        <v>1750.930470547582</v>
      </c>
      <c r="W346">
        <v>13.00195893970977</v>
      </c>
      <c r="X346" t="s">
        <v>111</v>
      </c>
      <c r="Y346">
        <v>14.4</v>
      </c>
      <c r="Z346">
        <v>0.28022105690055271</v>
      </c>
      <c r="AA346">
        <v>31.536000000000001</v>
      </c>
    </row>
    <row r="347" spans="1:27" hidden="1" x14ac:dyDescent="0.25">
      <c r="A347" t="s">
        <v>98</v>
      </c>
      <c r="B347" t="s">
        <v>674</v>
      </c>
      <c r="D347" t="s">
        <v>100</v>
      </c>
      <c r="E347" t="s">
        <v>101</v>
      </c>
      <c r="F347" t="s">
        <v>117</v>
      </c>
      <c r="G347" t="s">
        <v>103</v>
      </c>
      <c r="H347" t="s">
        <v>104</v>
      </c>
      <c r="I347">
        <v>2023</v>
      </c>
      <c r="J347" t="s">
        <v>124</v>
      </c>
      <c r="K347" t="s">
        <v>106</v>
      </c>
      <c r="L347" t="s">
        <v>675</v>
      </c>
      <c r="M347" t="s">
        <v>682</v>
      </c>
      <c r="N347">
        <v>0</v>
      </c>
      <c r="O347">
        <v>2023</v>
      </c>
      <c r="P347">
        <v>483.9331327692995</v>
      </c>
      <c r="Q347">
        <v>3.810497108419681</v>
      </c>
      <c r="R347" t="s">
        <v>109</v>
      </c>
      <c r="S347">
        <v>3.7</v>
      </c>
      <c r="T347" t="s">
        <v>110</v>
      </c>
      <c r="U347">
        <v>3.7</v>
      </c>
      <c r="V347">
        <v>1651.2487853431401</v>
      </c>
      <c r="W347">
        <v>13.00195893970977</v>
      </c>
      <c r="X347" t="s">
        <v>111</v>
      </c>
      <c r="Y347">
        <v>14.4</v>
      </c>
      <c r="Z347">
        <v>0.28022105690055271</v>
      </c>
      <c r="AA347">
        <v>31.536000000000001</v>
      </c>
    </row>
    <row r="348" spans="1:27" hidden="1" x14ac:dyDescent="0.25">
      <c r="A348" t="s">
        <v>98</v>
      </c>
      <c r="B348" t="s">
        <v>674</v>
      </c>
      <c r="D348" t="s">
        <v>100</v>
      </c>
      <c r="E348" t="s">
        <v>101</v>
      </c>
      <c r="F348" t="s">
        <v>117</v>
      </c>
      <c r="G348" t="s">
        <v>67</v>
      </c>
      <c r="H348" t="s">
        <v>104</v>
      </c>
      <c r="I348">
        <v>2023</v>
      </c>
      <c r="J348" t="s">
        <v>126</v>
      </c>
      <c r="K348" t="s">
        <v>106</v>
      </c>
      <c r="L348" t="s">
        <v>675</v>
      </c>
      <c r="M348" t="s">
        <v>683</v>
      </c>
      <c r="N348">
        <v>0</v>
      </c>
      <c r="O348">
        <v>2023</v>
      </c>
      <c r="P348">
        <v>497.90495550017158</v>
      </c>
      <c r="Q348">
        <v>3.810497108419681</v>
      </c>
      <c r="R348" t="s">
        <v>109</v>
      </c>
      <c r="S348">
        <v>3.8</v>
      </c>
      <c r="T348" t="s">
        <v>110</v>
      </c>
      <c r="U348">
        <v>3.8</v>
      </c>
      <c r="V348">
        <v>1698.9226347887429</v>
      </c>
      <c r="W348">
        <v>13.00195893970977</v>
      </c>
      <c r="X348" t="s">
        <v>111</v>
      </c>
      <c r="Y348">
        <v>14.4</v>
      </c>
      <c r="Z348">
        <v>0.28022105690055271</v>
      </c>
      <c r="AA348">
        <v>31.536000000000001</v>
      </c>
    </row>
    <row r="349" spans="1:27" hidden="1" x14ac:dyDescent="0.25">
      <c r="A349" t="s">
        <v>98</v>
      </c>
      <c r="B349" t="s">
        <v>674</v>
      </c>
      <c r="D349" t="s">
        <v>100</v>
      </c>
      <c r="E349" t="s">
        <v>101</v>
      </c>
      <c r="F349" t="s">
        <v>117</v>
      </c>
      <c r="G349" t="s">
        <v>112</v>
      </c>
      <c r="H349" t="s">
        <v>104</v>
      </c>
      <c r="I349">
        <v>2023</v>
      </c>
      <c r="J349" t="s">
        <v>128</v>
      </c>
      <c r="K349" t="s">
        <v>106</v>
      </c>
      <c r="L349" t="s">
        <v>675</v>
      </c>
      <c r="M349" t="s">
        <v>684</v>
      </c>
      <c r="N349">
        <v>0</v>
      </c>
      <c r="O349">
        <v>2023</v>
      </c>
      <c r="P349">
        <v>513.14694393385037</v>
      </c>
      <c r="Q349">
        <v>3.810497108419681</v>
      </c>
      <c r="R349" t="s">
        <v>109</v>
      </c>
      <c r="S349">
        <v>4</v>
      </c>
      <c r="T349" t="s">
        <v>110</v>
      </c>
      <c r="U349">
        <v>4</v>
      </c>
      <c r="V349">
        <v>1750.930470547582</v>
      </c>
      <c r="W349">
        <v>13.00195893970977</v>
      </c>
      <c r="X349" t="s">
        <v>111</v>
      </c>
      <c r="Y349">
        <v>14.4</v>
      </c>
      <c r="Z349">
        <v>0.28022105690055271</v>
      </c>
      <c r="AA349">
        <v>31.536000000000001</v>
      </c>
    </row>
    <row r="350" spans="1:27" hidden="1" x14ac:dyDescent="0.25">
      <c r="A350" t="s">
        <v>98</v>
      </c>
      <c r="B350" t="s">
        <v>674</v>
      </c>
      <c r="D350" t="s">
        <v>100</v>
      </c>
      <c r="E350" t="s">
        <v>101</v>
      </c>
      <c r="F350" t="s">
        <v>130</v>
      </c>
      <c r="G350" t="s">
        <v>103</v>
      </c>
      <c r="H350" t="s">
        <v>131</v>
      </c>
      <c r="I350">
        <v>2022</v>
      </c>
      <c r="J350" t="s">
        <v>132</v>
      </c>
      <c r="K350" t="s">
        <v>133</v>
      </c>
      <c r="L350" t="s">
        <v>675</v>
      </c>
      <c r="M350" t="s">
        <v>685</v>
      </c>
      <c r="N350">
        <v>1</v>
      </c>
      <c r="O350">
        <v>2020</v>
      </c>
      <c r="P350">
        <v>335.32374554093201</v>
      </c>
      <c r="Q350">
        <v>6.3000218859205397</v>
      </c>
      <c r="R350" t="s">
        <v>109</v>
      </c>
      <c r="S350">
        <v>1.4</v>
      </c>
      <c r="T350" t="s">
        <v>110</v>
      </c>
      <c r="U350">
        <v>1.4</v>
      </c>
      <c r="V350">
        <v>1144.172386694459</v>
      </c>
      <c r="W350">
        <v>21.496572113653482</v>
      </c>
      <c r="X350" t="s">
        <v>111</v>
      </c>
      <c r="Y350">
        <v>15</v>
      </c>
      <c r="Z350">
        <v>0.28022105690055271</v>
      </c>
      <c r="AA350">
        <v>31.536000000000001</v>
      </c>
    </row>
    <row r="351" spans="1:27" hidden="1" x14ac:dyDescent="0.25">
      <c r="A351" t="s">
        <v>98</v>
      </c>
      <c r="B351" t="s">
        <v>674</v>
      </c>
      <c r="D351" t="s">
        <v>100</v>
      </c>
      <c r="E351" t="s">
        <v>101</v>
      </c>
      <c r="F351" t="s">
        <v>135</v>
      </c>
      <c r="G351" t="s">
        <v>103</v>
      </c>
      <c r="H351" t="s">
        <v>136</v>
      </c>
      <c r="I351">
        <v>2030</v>
      </c>
      <c r="J351" t="s">
        <v>137</v>
      </c>
      <c r="K351" t="s">
        <v>138</v>
      </c>
      <c r="L351" t="s">
        <v>675</v>
      </c>
      <c r="M351" t="s">
        <v>686</v>
      </c>
      <c r="N351">
        <v>1</v>
      </c>
      <c r="O351">
        <v>2030</v>
      </c>
      <c r="P351">
        <v>55.186509846078152</v>
      </c>
      <c r="Q351">
        <v>4.0294911951104666</v>
      </c>
      <c r="R351" t="s">
        <v>109</v>
      </c>
      <c r="S351">
        <v>0.87</v>
      </c>
      <c r="T351" t="s">
        <v>110</v>
      </c>
      <c r="U351">
        <v>0.87</v>
      </c>
      <c r="V351">
        <v>188.30423291993449</v>
      </c>
      <c r="W351">
        <v>13.749197959233321</v>
      </c>
      <c r="X351" t="s">
        <v>111</v>
      </c>
      <c r="Y351">
        <v>25</v>
      </c>
      <c r="Z351">
        <v>0.28022105690055271</v>
      </c>
      <c r="AA351">
        <v>31.536000000000001</v>
      </c>
    </row>
    <row r="352" spans="1:27" hidden="1" x14ac:dyDescent="0.25">
      <c r="A352" t="s">
        <v>98</v>
      </c>
      <c r="B352" t="s">
        <v>674</v>
      </c>
      <c r="D352" t="s">
        <v>100</v>
      </c>
      <c r="E352" t="s">
        <v>101</v>
      </c>
      <c r="F352" t="s">
        <v>135</v>
      </c>
      <c r="G352" t="s">
        <v>103</v>
      </c>
      <c r="H352" t="s">
        <v>136</v>
      </c>
      <c r="I352">
        <v>2040</v>
      </c>
      <c r="J352" t="s">
        <v>140</v>
      </c>
      <c r="K352" t="s">
        <v>138</v>
      </c>
      <c r="L352" t="s">
        <v>675</v>
      </c>
      <c r="M352" t="s">
        <v>687</v>
      </c>
      <c r="N352">
        <v>1</v>
      </c>
      <c r="O352">
        <v>2040</v>
      </c>
      <c r="P352">
        <v>53.946363557402229</v>
      </c>
      <c r="Q352">
        <v>3.9389408311754002</v>
      </c>
      <c r="R352" t="s">
        <v>109</v>
      </c>
      <c r="S352">
        <v>0.89</v>
      </c>
      <c r="T352" t="s">
        <v>110</v>
      </c>
      <c r="U352">
        <v>0.89</v>
      </c>
      <c r="V352">
        <v>184.07267712398101</v>
      </c>
      <c r="W352">
        <v>13.440227218576389</v>
      </c>
      <c r="X352" t="s">
        <v>111</v>
      </c>
      <c r="Y352">
        <v>25</v>
      </c>
      <c r="Z352">
        <v>0.28022105690055271</v>
      </c>
      <c r="AA352">
        <v>31.536000000000001</v>
      </c>
    </row>
    <row r="353" spans="1:27" hidden="1" x14ac:dyDescent="0.25">
      <c r="A353" t="s">
        <v>98</v>
      </c>
      <c r="B353" t="s">
        <v>674</v>
      </c>
      <c r="D353" t="s">
        <v>100</v>
      </c>
      <c r="E353" t="s">
        <v>142</v>
      </c>
      <c r="F353" t="s">
        <v>102</v>
      </c>
      <c r="G353" t="s">
        <v>103</v>
      </c>
      <c r="H353" t="s">
        <v>104</v>
      </c>
      <c r="I353">
        <v>2061</v>
      </c>
      <c r="J353" t="s">
        <v>143</v>
      </c>
      <c r="K353" t="s">
        <v>106</v>
      </c>
      <c r="L353" t="s">
        <v>688</v>
      </c>
      <c r="M353" t="s">
        <v>689</v>
      </c>
      <c r="N353">
        <v>0</v>
      </c>
      <c r="O353">
        <v>2061</v>
      </c>
      <c r="P353">
        <v>117.0584711706526</v>
      </c>
      <c r="Q353">
        <v>4.2000145906136934</v>
      </c>
      <c r="R353" t="s">
        <v>109</v>
      </c>
      <c r="S353">
        <v>3.2239155920281362</v>
      </c>
      <c r="T353" t="s">
        <v>110</v>
      </c>
      <c r="U353">
        <v>3.2239155920281362</v>
      </c>
      <c r="V353">
        <v>399.42017862788401</v>
      </c>
      <c r="W353">
        <v>14.33104807576899</v>
      </c>
      <c r="X353" t="s">
        <v>111</v>
      </c>
      <c r="Y353">
        <v>21</v>
      </c>
      <c r="Z353">
        <v>0.14254576818118939</v>
      </c>
      <c r="AA353">
        <v>31.536000000000001</v>
      </c>
    </row>
    <row r="354" spans="1:27" hidden="1" x14ac:dyDescent="0.25">
      <c r="A354" t="s">
        <v>98</v>
      </c>
      <c r="B354" t="s">
        <v>674</v>
      </c>
      <c r="D354" t="s">
        <v>100</v>
      </c>
      <c r="E354" t="s">
        <v>142</v>
      </c>
      <c r="F354" t="s">
        <v>102</v>
      </c>
      <c r="G354" t="s">
        <v>112</v>
      </c>
      <c r="H354" t="s">
        <v>104</v>
      </c>
      <c r="I354">
        <v>2022</v>
      </c>
      <c r="J354" t="s">
        <v>146</v>
      </c>
      <c r="K354" t="s">
        <v>106</v>
      </c>
      <c r="L354" t="s">
        <v>688</v>
      </c>
      <c r="M354" t="s">
        <v>690</v>
      </c>
      <c r="N354">
        <v>1</v>
      </c>
      <c r="O354">
        <v>2020</v>
      </c>
      <c r="P354">
        <v>200.7885700942916</v>
      </c>
      <c r="Q354">
        <v>4.2000145906136934</v>
      </c>
      <c r="R354" t="s">
        <v>109</v>
      </c>
      <c r="S354">
        <v>3.8393903868698711</v>
      </c>
      <c r="T354" t="s">
        <v>110</v>
      </c>
      <c r="U354">
        <v>3.8393903868698711</v>
      </c>
      <c r="V354">
        <v>685.1192035182313</v>
      </c>
      <c r="W354">
        <v>14.33104807576899</v>
      </c>
      <c r="X354" t="s">
        <v>111</v>
      </c>
      <c r="Y354">
        <v>21</v>
      </c>
      <c r="Z354">
        <v>0.14254576818118939</v>
      </c>
      <c r="AA354">
        <v>31.536000000000001</v>
      </c>
    </row>
    <row r="355" spans="1:27" hidden="1" x14ac:dyDescent="0.25">
      <c r="A355" t="s">
        <v>98</v>
      </c>
      <c r="B355" t="s">
        <v>674</v>
      </c>
      <c r="D355" t="s">
        <v>100</v>
      </c>
      <c r="E355" t="s">
        <v>142</v>
      </c>
      <c r="F355" t="s">
        <v>102</v>
      </c>
      <c r="G355" t="s">
        <v>103</v>
      </c>
      <c r="H355" t="s">
        <v>104</v>
      </c>
      <c r="I355">
        <v>2023</v>
      </c>
      <c r="J355" t="s">
        <v>148</v>
      </c>
      <c r="K355" t="s">
        <v>106</v>
      </c>
      <c r="L355" t="s">
        <v>688</v>
      </c>
      <c r="M355" t="s">
        <v>691</v>
      </c>
      <c r="N355">
        <v>0</v>
      </c>
      <c r="O355">
        <v>2023</v>
      </c>
      <c r="P355">
        <v>135.73557542199771</v>
      </c>
      <c r="Q355">
        <v>4.2000145906136934</v>
      </c>
      <c r="R355" t="s">
        <v>109</v>
      </c>
      <c r="S355">
        <v>3.4290738569753811</v>
      </c>
      <c r="T355" t="s">
        <v>110</v>
      </c>
      <c r="U355">
        <v>3.4290738569753811</v>
      </c>
      <c r="V355">
        <v>463.14911888927151</v>
      </c>
      <c r="W355">
        <v>14.33104807576899</v>
      </c>
      <c r="X355" t="s">
        <v>111</v>
      </c>
      <c r="Y355">
        <v>21</v>
      </c>
      <c r="Z355">
        <v>0.14254576818118939</v>
      </c>
      <c r="AA355">
        <v>31.536000000000001</v>
      </c>
    </row>
    <row r="356" spans="1:27" hidden="1" x14ac:dyDescent="0.25">
      <c r="A356" t="s">
        <v>98</v>
      </c>
      <c r="B356" t="s">
        <v>674</v>
      </c>
      <c r="D356" t="s">
        <v>100</v>
      </c>
      <c r="E356" t="s">
        <v>142</v>
      </c>
      <c r="F356" t="s">
        <v>117</v>
      </c>
      <c r="G356" t="s">
        <v>103</v>
      </c>
      <c r="H356" t="s">
        <v>104</v>
      </c>
      <c r="I356">
        <v>2033</v>
      </c>
      <c r="J356" t="s">
        <v>150</v>
      </c>
      <c r="K356" t="s">
        <v>106</v>
      </c>
      <c r="L356" t="s">
        <v>688</v>
      </c>
      <c r="M356" t="s">
        <v>692</v>
      </c>
      <c r="N356">
        <v>0</v>
      </c>
      <c r="O356">
        <v>2033</v>
      </c>
      <c r="P356">
        <v>483.9331327692995</v>
      </c>
      <c r="Q356">
        <v>3.810497108419681</v>
      </c>
      <c r="R356" t="s">
        <v>109</v>
      </c>
      <c r="S356">
        <v>5.0996483001172326</v>
      </c>
      <c r="T356" t="s">
        <v>110</v>
      </c>
      <c r="U356">
        <v>5.0996483001172326</v>
      </c>
      <c r="V356">
        <v>1651.2487853431401</v>
      </c>
      <c r="W356">
        <v>13.00195893970977</v>
      </c>
      <c r="X356" t="s">
        <v>111</v>
      </c>
      <c r="Y356">
        <v>14.4</v>
      </c>
      <c r="Z356">
        <v>0.14254576818118939</v>
      </c>
      <c r="AA356">
        <v>31.536000000000001</v>
      </c>
    </row>
    <row r="357" spans="1:27" hidden="1" x14ac:dyDescent="0.25">
      <c r="A357" t="s">
        <v>98</v>
      </c>
      <c r="B357" t="s">
        <v>674</v>
      </c>
      <c r="D357" t="s">
        <v>100</v>
      </c>
      <c r="E357" t="s">
        <v>142</v>
      </c>
      <c r="F357" t="s">
        <v>117</v>
      </c>
      <c r="G357" t="s">
        <v>67</v>
      </c>
      <c r="H357" t="s">
        <v>104</v>
      </c>
      <c r="I357">
        <v>2033</v>
      </c>
      <c r="J357" t="s">
        <v>152</v>
      </c>
      <c r="K357" t="s">
        <v>106</v>
      </c>
      <c r="L357" t="s">
        <v>688</v>
      </c>
      <c r="M357" t="s">
        <v>693</v>
      </c>
      <c r="N357">
        <v>0</v>
      </c>
      <c r="O357">
        <v>2033</v>
      </c>
      <c r="P357">
        <v>497.90495550017158</v>
      </c>
      <c r="Q357">
        <v>3.810497108419681</v>
      </c>
      <c r="R357" t="s">
        <v>109</v>
      </c>
      <c r="S357">
        <v>5.7737397420867529</v>
      </c>
      <c r="T357" t="s">
        <v>110</v>
      </c>
      <c r="U357">
        <v>5.7737397420867529</v>
      </c>
      <c r="V357">
        <v>1698.9226347887429</v>
      </c>
      <c r="W357">
        <v>13.00195893970977</v>
      </c>
      <c r="X357" t="s">
        <v>111</v>
      </c>
      <c r="Y357">
        <v>14.4</v>
      </c>
      <c r="Z357">
        <v>0.14254576818118939</v>
      </c>
      <c r="AA357">
        <v>31.536000000000001</v>
      </c>
    </row>
    <row r="358" spans="1:27" hidden="1" x14ac:dyDescent="0.25">
      <c r="A358" t="s">
        <v>98</v>
      </c>
      <c r="B358" t="s">
        <v>674</v>
      </c>
      <c r="D358" t="s">
        <v>100</v>
      </c>
      <c r="E358" t="s">
        <v>142</v>
      </c>
      <c r="F358" t="s">
        <v>117</v>
      </c>
      <c r="G358" t="s">
        <v>112</v>
      </c>
      <c r="H358" t="s">
        <v>104</v>
      </c>
      <c r="I358">
        <v>2033</v>
      </c>
      <c r="J358" t="s">
        <v>154</v>
      </c>
      <c r="K358" t="s">
        <v>106</v>
      </c>
      <c r="L358" t="s">
        <v>688</v>
      </c>
      <c r="M358" t="s">
        <v>694</v>
      </c>
      <c r="N358">
        <v>0</v>
      </c>
      <c r="O358">
        <v>2033</v>
      </c>
      <c r="P358">
        <v>513.14694393385037</v>
      </c>
      <c r="Q358">
        <v>3.810497108419681</v>
      </c>
      <c r="R358" t="s">
        <v>109</v>
      </c>
      <c r="S358">
        <v>6.4771395076201648</v>
      </c>
      <c r="T358" t="s">
        <v>110</v>
      </c>
      <c r="U358">
        <v>6.4771395076201648</v>
      </c>
      <c r="V358">
        <v>1750.930470547582</v>
      </c>
      <c r="W358">
        <v>13.00195893970977</v>
      </c>
      <c r="X358" t="s">
        <v>111</v>
      </c>
      <c r="Y358">
        <v>14.4</v>
      </c>
      <c r="Z358">
        <v>0.14254576818118939</v>
      </c>
      <c r="AA358">
        <v>31.536000000000001</v>
      </c>
    </row>
    <row r="359" spans="1:27" hidden="1" x14ac:dyDescent="0.25">
      <c r="A359" t="s">
        <v>98</v>
      </c>
      <c r="B359" t="s">
        <v>674</v>
      </c>
      <c r="D359" t="s">
        <v>100</v>
      </c>
      <c r="E359" t="s">
        <v>142</v>
      </c>
      <c r="F359" t="s">
        <v>117</v>
      </c>
      <c r="G359" t="s">
        <v>103</v>
      </c>
      <c r="H359" t="s">
        <v>104</v>
      </c>
      <c r="I359">
        <v>2023</v>
      </c>
      <c r="J359" t="s">
        <v>156</v>
      </c>
      <c r="K359" t="s">
        <v>106</v>
      </c>
      <c r="L359" t="s">
        <v>688</v>
      </c>
      <c r="M359" t="s">
        <v>695</v>
      </c>
      <c r="N359">
        <v>0</v>
      </c>
      <c r="O359">
        <v>2023</v>
      </c>
      <c r="P359">
        <v>498.32834406777368</v>
      </c>
      <c r="Q359">
        <v>3.810497108419681</v>
      </c>
      <c r="R359" t="s">
        <v>109</v>
      </c>
      <c r="S359">
        <v>3.833333333333333</v>
      </c>
      <c r="T359" t="s">
        <v>110</v>
      </c>
      <c r="U359">
        <v>3.833333333333333</v>
      </c>
      <c r="V359">
        <v>1700.3672968931551</v>
      </c>
      <c r="W359">
        <v>13.00195893970977</v>
      </c>
      <c r="X359" t="s">
        <v>111</v>
      </c>
      <c r="Y359">
        <v>14.4</v>
      </c>
      <c r="Z359">
        <v>0.14254576818118939</v>
      </c>
      <c r="AA359">
        <v>31.536000000000001</v>
      </c>
    </row>
    <row r="360" spans="1:27" hidden="1" x14ac:dyDescent="0.25">
      <c r="A360" t="s">
        <v>98</v>
      </c>
      <c r="B360" t="s">
        <v>674</v>
      </c>
      <c r="D360" t="s">
        <v>100</v>
      </c>
      <c r="E360" t="s">
        <v>142</v>
      </c>
      <c r="F360" t="s">
        <v>130</v>
      </c>
      <c r="G360" t="s">
        <v>103</v>
      </c>
      <c r="H360" t="s">
        <v>131</v>
      </c>
      <c r="I360">
        <v>2022</v>
      </c>
      <c r="J360" t="s">
        <v>158</v>
      </c>
      <c r="K360" t="s">
        <v>133</v>
      </c>
      <c r="L360" t="s">
        <v>688</v>
      </c>
      <c r="M360" t="s">
        <v>696</v>
      </c>
      <c r="N360">
        <v>1</v>
      </c>
      <c r="O360">
        <v>2020</v>
      </c>
      <c r="P360">
        <v>335.32374554093201</v>
      </c>
      <c r="Q360">
        <v>6.3000218859205397</v>
      </c>
      <c r="R360" t="s">
        <v>109</v>
      </c>
      <c r="S360">
        <v>1.2</v>
      </c>
      <c r="T360" t="s">
        <v>110</v>
      </c>
      <c r="U360">
        <v>1.2</v>
      </c>
      <c r="V360">
        <v>1144.172386694459</v>
      </c>
      <c r="W360">
        <v>21.496572113653482</v>
      </c>
      <c r="X360" t="s">
        <v>111</v>
      </c>
      <c r="Y360">
        <v>15</v>
      </c>
      <c r="Z360">
        <v>0.14254576818118939</v>
      </c>
      <c r="AA360">
        <v>31.536000000000001</v>
      </c>
    </row>
    <row r="361" spans="1:27" hidden="1" x14ac:dyDescent="0.25">
      <c r="A361" t="s">
        <v>98</v>
      </c>
      <c r="B361" t="s">
        <v>674</v>
      </c>
      <c r="D361" t="s">
        <v>100</v>
      </c>
      <c r="E361" t="s">
        <v>142</v>
      </c>
      <c r="F361" t="s">
        <v>160</v>
      </c>
      <c r="G361" t="s">
        <v>103</v>
      </c>
      <c r="H361" t="s">
        <v>104</v>
      </c>
      <c r="I361">
        <v>2030</v>
      </c>
      <c r="J361" t="s">
        <v>161</v>
      </c>
      <c r="K361" t="s">
        <v>106</v>
      </c>
      <c r="L361" t="s">
        <v>688</v>
      </c>
      <c r="M361" t="s">
        <v>697</v>
      </c>
      <c r="N361">
        <v>1</v>
      </c>
      <c r="O361">
        <v>2030</v>
      </c>
      <c r="P361">
        <v>93.992262007685454</v>
      </c>
      <c r="Q361">
        <v>4.3185633895423052</v>
      </c>
      <c r="R361" t="s">
        <v>109</v>
      </c>
      <c r="S361">
        <v>4.8178066132425448</v>
      </c>
      <c r="T361" t="s">
        <v>110</v>
      </c>
      <c r="U361">
        <v>4.8178066132425448</v>
      </c>
      <c r="V361">
        <v>320.71498717950749</v>
      </c>
      <c r="W361">
        <v>14.735553465004401</v>
      </c>
      <c r="X361" t="s">
        <v>111</v>
      </c>
      <c r="Y361">
        <v>20</v>
      </c>
      <c r="Z361">
        <v>0.14254576818118939</v>
      </c>
      <c r="AA361">
        <v>31.536000000000001</v>
      </c>
    </row>
    <row r="362" spans="1:27" hidden="1" x14ac:dyDescent="0.25">
      <c r="A362" t="s">
        <v>98</v>
      </c>
      <c r="B362" t="s">
        <v>674</v>
      </c>
      <c r="D362" t="s">
        <v>100</v>
      </c>
      <c r="E362" t="s">
        <v>142</v>
      </c>
      <c r="F362" t="s">
        <v>160</v>
      </c>
      <c r="G362" t="s">
        <v>112</v>
      </c>
      <c r="H362" t="s">
        <v>104</v>
      </c>
      <c r="I362">
        <v>2030</v>
      </c>
      <c r="J362" t="s">
        <v>163</v>
      </c>
      <c r="K362" t="s">
        <v>106</v>
      </c>
      <c r="L362" t="s">
        <v>688</v>
      </c>
      <c r="M362" t="s">
        <v>698</v>
      </c>
      <c r="N362">
        <v>1</v>
      </c>
      <c r="O362">
        <v>2030</v>
      </c>
      <c r="P362">
        <v>104.15358763013791</v>
      </c>
      <c r="Q362">
        <v>4.3185633895423052</v>
      </c>
      <c r="R362" t="s">
        <v>109</v>
      </c>
      <c r="S362">
        <v>5.1720570995103783</v>
      </c>
      <c r="T362" t="s">
        <v>110</v>
      </c>
      <c r="U362">
        <v>5.1720570995103783</v>
      </c>
      <c r="V362">
        <v>355.38687768540018</v>
      </c>
      <c r="W362">
        <v>14.735553465004401</v>
      </c>
      <c r="X362" t="s">
        <v>111</v>
      </c>
      <c r="Y362">
        <v>20</v>
      </c>
      <c r="Z362">
        <v>0.14254576818118939</v>
      </c>
      <c r="AA362">
        <v>31.536000000000001</v>
      </c>
    </row>
    <row r="363" spans="1:27" hidden="1" x14ac:dyDescent="0.25">
      <c r="A363" t="s">
        <v>98</v>
      </c>
      <c r="B363" t="s">
        <v>674</v>
      </c>
      <c r="D363" t="s">
        <v>100</v>
      </c>
      <c r="E363" t="s">
        <v>142</v>
      </c>
      <c r="F363" t="s">
        <v>160</v>
      </c>
      <c r="G363" t="s">
        <v>103</v>
      </c>
      <c r="H363" t="s">
        <v>104</v>
      </c>
      <c r="I363">
        <v>2040</v>
      </c>
      <c r="J363" t="s">
        <v>165</v>
      </c>
      <c r="K363" t="s">
        <v>106</v>
      </c>
      <c r="L363" t="s">
        <v>688</v>
      </c>
      <c r="M363" t="s">
        <v>699</v>
      </c>
      <c r="N363">
        <v>1</v>
      </c>
      <c r="O363">
        <v>2040</v>
      </c>
      <c r="P363">
        <v>93.992262007685454</v>
      </c>
      <c r="Q363">
        <v>4.3185633895423052</v>
      </c>
      <c r="R363" t="s">
        <v>109</v>
      </c>
      <c r="S363">
        <v>4.9535194755874059</v>
      </c>
      <c r="T363" t="s">
        <v>110</v>
      </c>
      <c r="U363">
        <v>4.9535194755874059</v>
      </c>
      <c r="V363">
        <v>320.71498717950749</v>
      </c>
      <c r="W363">
        <v>14.735553465004401</v>
      </c>
      <c r="X363" t="s">
        <v>111</v>
      </c>
      <c r="Y363">
        <v>20</v>
      </c>
      <c r="Z363">
        <v>0.14254576818118939</v>
      </c>
      <c r="AA363">
        <v>31.536000000000001</v>
      </c>
    </row>
    <row r="364" spans="1:27" hidden="1" x14ac:dyDescent="0.25">
      <c r="A364" t="s">
        <v>98</v>
      </c>
      <c r="B364" t="s">
        <v>674</v>
      </c>
      <c r="D364" t="s">
        <v>100</v>
      </c>
      <c r="E364" t="s">
        <v>142</v>
      </c>
      <c r="F364" t="s">
        <v>160</v>
      </c>
      <c r="G364" t="s">
        <v>112</v>
      </c>
      <c r="H364" t="s">
        <v>104</v>
      </c>
      <c r="I364">
        <v>2040</v>
      </c>
      <c r="J364" t="s">
        <v>167</v>
      </c>
      <c r="K364" t="s">
        <v>106</v>
      </c>
      <c r="L364" t="s">
        <v>688</v>
      </c>
      <c r="M364" t="s">
        <v>700</v>
      </c>
      <c r="N364">
        <v>1</v>
      </c>
      <c r="O364">
        <v>2040</v>
      </c>
      <c r="P364">
        <v>104.15358763013791</v>
      </c>
      <c r="Q364">
        <v>4.3185633895423052</v>
      </c>
      <c r="R364" t="s">
        <v>109</v>
      </c>
      <c r="S364">
        <v>5.4107674271800876</v>
      </c>
      <c r="T364" t="s">
        <v>110</v>
      </c>
      <c r="U364">
        <v>5.4107674271800876</v>
      </c>
      <c r="V364">
        <v>355.38687768540018</v>
      </c>
      <c r="W364">
        <v>14.735553465004401</v>
      </c>
      <c r="X364" t="s">
        <v>111</v>
      </c>
      <c r="Y364">
        <v>20</v>
      </c>
      <c r="Z364">
        <v>0.14254576818118939</v>
      </c>
      <c r="AA364">
        <v>31.536000000000001</v>
      </c>
    </row>
    <row r="365" spans="1:27" hidden="1" x14ac:dyDescent="0.25">
      <c r="A365" t="s">
        <v>98</v>
      </c>
      <c r="B365" t="s">
        <v>674</v>
      </c>
      <c r="D365" t="s">
        <v>100</v>
      </c>
      <c r="E365" t="s">
        <v>142</v>
      </c>
      <c r="F365" t="s">
        <v>160</v>
      </c>
      <c r="G365" t="s">
        <v>112</v>
      </c>
      <c r="H365" t="s">
        <v>104</v>
      </c>
      <c r="I365">
        <v>2022</v>
      </c>
      <c r="J365" t="s">
        <v>169</v>
      </c>
      <c r="K365" t="s">
        <v>106</v>
      </c>
      <c r="L365" t="s">
        <v>688</v>
      </c>
      <c r="M365" t="s">
        <v>701</v>
      </c>
      <c r="N365">
        <v>1</v>
      </c>
      <c r="O365">
        <v>2020</v>
      </c>
      <c r="P365">
        <v>104.15358763013791</v>
      </c>
      <c r="Q365">
        <v>4.3185633895423052</v>
      </c>
      <c r="R365" t="s">
        <v>109</v>
      </c>
      <c r="S365">
        <v>4.9886508193858967</v>
      </c>
      <c r="T365" t="s">
        <v>110</v>
      </c>
      <c r="U365">
        <v>4.9886508193858967</v>
      </c>
      <c r="V365">
        <v>355.38687768540018</v>
      </c>
      <c r="W365">
        <v>14.735553465004401</v>
      </c>
      <c r="X365" t="s">
        <v>111</v>
      </c>
      <c r="Y365">
        <v>20</v>
      </c>
      <c r="Z365">
        <v>0.14254576818118939</v>
      </c>
      <c r="AA365">
        <v>31.536000000000001</v>
      </c>
    </row>
    <row r="366" spans="1:27" hidden="1" x14ac:dyDescent="0.25">
      <c r="A366" t="s">
        <v>98</v>
      </c>
      <c r="B366" t="s">
        <v>674</v>
      </c>
      <c r="D366" t="s">
        <v>100</v>
      </c>
      <c r="E366" t="s">
        <v>142</v>
      </c>
      <c r="F366" t="s">
        <v>171</v>
      </c>
      <c r="G366" t="s">
        <v>172</v>
      </c>
      <c r="H366" t="s">
        <v>104</v>
      </c>
      <c r="I366">
        <v>2061</v>
      </c>
      <c r="J366" t="s">
        <v>173</v>
      </c>
      <c r="K366" t="s">
        <v>106</v>
      </c>
      <c r="L366" t="s">
        <v>688</v>
      </c>
      <c r="M366" t="s">
        <v>702</v>
      </c>
      <c r="N366">
        <v>1</v>
      </c>
      <c r="O366">
        <v>2061</v>
      </c>
      <c r="P366">
        <v>90.181764899265772</v>
      </c>
      <c r="Q366">
        <v>3.3024308272970568</v>
      </c>
      <c r="R366" t="s">
        <v>109</v>
      </c>
      <c r="S366">
        <v>4.1038492738238714</v>
      </c>
      <c r="T366" t="s">
        <v>110</v>
      </c>
      <c r="U366">
        <v>4.1038492738238714</v>
      </c>
      <c r="V366">
        <v>307.71302823979772</v>
      </c>
      <c r="W366">
        <v>11.26836441441513</v>
      </c>
      <c r="X366" t="s">
        <v>111</v>
      </c>
      <c r="Y366">
        <v>20</v>
      </c>
      <c r="Z366">
        <v>0.14254576818118939</v>
      </c>
      <c r="AA366">
        <v>31.536000000000001</v>
      </c>
    </row>
    <row r="367" spans="1:27" hidden="1" x14ac:dyDescent="0.25">
      <c r="A367" t="s">
        <v>98</v>
      </c>
      <c r="B367" t="s">
        <v>674</v>
      </c>
      <c r="D367" t="s">
        <v>100</v>
      </c>
      <c r="E367" t="s">
        <v>142</v>
      </c>
      <c r="F367" t="s">
        <v>171</v>
      </c>
      <c r="G367" t="s">
        <v>112</v>
      </c>
      <c r="H367" t="s">
        <v>104</v>
      </c>
      <c r="I367">
        <v>2022</v>
      </c>
      <c r="J367" t="s">
        <v>175</v>
      </c>
      <c r="K367" t="s">
        <v>106</v>
      </c>
      <c r="L367" t="s">
        <v>688</v>
      </c>
      <c r="M367" t="s">
        <v>703</v>
      </c>
      <c r="N367">
        <v>1</v>
      </c>
      <c r="O367">
        <v>2020</v>
      </c>
      <c r="P367">
        <v>99.072924818911702</v>
      </c>
      <c r="Q367">
        <v>3.3024308272970568</v>
      </c>
      <c r="R367" t="s">
        <v>109</v>
      </c>
      <c r="S367">
        <v>6.6358468446548251</v>
      </c>
      <c r="T367" t="s">
        <v>110</v>
      </c>
      <c r="U367">
        <v>6.6358468446548251</v>
      </c>
      <c r="V367">
        <v>338.05093243245392</v>
      </c>
      <c r="W367">
        <v>11.26836441441513</v>
      </c>
      <c r="X367" t="s">
        <v>111</v>
      </c>
      <c r="Y367">
        <v>20</v>
      </c>
      <c r="Z367">
        <v>0.14254576818118939</v>
      </c>
      <c r="AA367">
        <v>31.536000000000001</v>
      </c>
    </row>
    <row r="368" spans="1:27" hidden="1" x14ac:dyDescent="0.25">
      <c r="A368" t="s">
        <v>98</v>
      </c>
      <c r="B368" t="s">
        <v>674</v>
      </c>
      <c r="D368" t="s">
        <v>100</v>
      </c>
      <c r="E368" t="s">
        <v>142</v>
      </c>
      <c r="F368" t="s">
        <v>171</v>
      </c>
      <c r="G368" t="s">
        <v>103</v>
      </c>
      <c r="H368" t="s">
        <v>104</v>
      </c>
      <c r="I368">
        <v>2030</v>
      </c>
      <c r="J368" t="s">
        <v>177</v>
      </c>
      <c r="K368" t="s">
        <v>106</v>
      </c>
      <c r="L368" t="s">
        <v>688</v>
      </c>
      <c r="M368" t="s">
        <v>704</v>
      </c>
      <c r="N368">
        <v>1</v>
      </c>
      <c r="O368">
        <v>2030</v>
      </c>
      <c r="P368">
        <v>90.181764899265772</v>
      </c>
      <c r="Q368">
        <v>3.3024308272970568</v>
      </c>
      <c r="R368" t="s">
        <v>109</v>
      </c>
      <c r="S368">
        <v>4.8847205939820251</v>
      </c>
      <c r="T368" t="s">
        <v>110</v>
      </c>
      <c r="U368">
        <v>4.8847205939820251</v>
      </c>
      <c r="V368">
        <v>307.71302823979772</v>
      </c>
      <c r="W368">
        <v>11.26836441441513</v>
      </c>
      <c r="X368" t="s">
        <v>111</v>
      </c>
      <c r="Y368">
        <v>20</v>
      </c>
      <c r="Z368">
        <v>0.14254576818118939</v>
      </c>
      <c r="AA368">
        <v>31.536000000000001</v>
      </c>
    </row>
    <row r="369" spans="1:27" hidden="1" x14ac:dyDescent="0.25">
      <c r="A369" t="s">
        <v>98</v>
      </c>
      <c r="B369" t="s">
        <v>674</v>
      </c>
      <c r="D369" t="s">
        <v>100</v>
      </c>
      <c r="E369" t="s">
        <v>142</v>
      </c>
      <c r="F369" t="s">
        <v>171</v>
      </c>
      <c r="G369" t="s">
        <v>112</v>
      </c>
      <c r="H369" t="s">
        <v>104</v>
      </c>
      <c r="I369">
        <v>2030</v>
      </c>
      <c r="J369" t="s">
        <v>179</v>
      </c>
      <c r="K369" t="s">
        <v>106</v>
      </c>
      <c r="L369" t="s">
        <v>688</v>
      </c>
      <c r="M369" t="s">
        <v>705</v>
      </c>
      <c r="N369">
        <v>1</v>
      </c>
      <c r="O369">
        <v>2030</v>
      </c>
      <c r="P369">
        <v>99.072924818911702</v>
      </c>
      <c r="Q369">
        <v>3.3024308272970568</v>
      </c>
      <c r="R369" t="s">
        <v>109</v>
      </c>
      <c r="S369">
        <v>7.1775486278919534</v>
      </c>
      <c r="T369" t="s">
        <v>110</v>
      </c>
      <c r="U369">
        <v>7.1775486278919534</v>
      </c>
      <c r="V369">
        <v>338.05093243245392</v>
      </c>
      <c r="W369">
        <v>11.26836441441513</v>
      </c>
      <c r="X369" t="s">
        <v>111</v>
      </c>
      <c r="Y369">
        <v>20</v>
      </c>
      <c r="Z369">
        <v>0.14254576818118939</v>
      </c>
      <c r="AA369">
        <v>31.536000000000001</v>
      </c>
    </row>
    <row r="370" spans="1:27" hidden="1" x14ac:dyDescent="0.25">
      <c r="A370" t="s">
        <v>98</v>
      </c>
      <c r="B370" t="s">
        <v>674</v>
      </c>
      <c r="D370" t="s">
        <v>100</v>
      </c>
      <c r="E370" t="s">
        <v>142</v>
      </c>
      <c r="F370" t="s">
        <v>171</v>
      </c>
      <c r="G370" t="s">
        <v>103</v>
      </c>
      <c r="H370" t="s">
        <v>104</v>
      </c>
      <c r="I370">
        <v>2040</v>
      </c>
      <c r="J370" t="s">
        <v>181</v>
      </c>
      <c r="K370" t="s">
        <v>106</v>
      </c>
      <c r="L370" t="s">
        <v>688</v>
      </c>
      <c r="M370" t="s">
        <v>706</v>
      </c>
      <c r="N370">
        <v>1</v>
      </c>
      <c r="O370">
        <v>2040</v>
      </c>
      <c r="P370">
        <v>90.181764899265772</v>
      </c>
      <c r="Q370">
        <v>3.3024308272970568</v>
      </c>
      <c r="R370" t="s">
        <v>109</v>
      </c>
      <c r="S370">
        <v>5.1720570995103783</v>
      </c>
      <c r="T370" t="s">
        <v>110</v>
      </c>
      <c r="U370">
        <v>5.1720570995103783</v>
      </c>
      <c r="V370">
        <v>307.71302823979772</v>
      </c>
      <c r="W370">
        <v>11.26836441441513</v>
      </c>
      <c r="X370" t="s">
        <v>111</v>
      </c>
      <c r="Y370">
        <v>20</v>
      </c>
      <c r="Z370">
        <v>0.14254576818118939</v>
      </c>
      <c r="AA370">
        <v>31.536000000000001</v>
      </c>
    </row>
    <row r="371" spans="1:27" hidden="1" x14ac:dyDescent="0.25">
      <c r="A371" t="s">
        <v>98</v>
      </c>
      <c r="B371" t="s">
        <v>674</v>
      </c>
      <c r="D371" t="s">
        <v>100</v>
      </c>
      <c r="E371" t="s">
        <v>142</v>
      </c>
      <c r="F371" t="s">
        <v>171</v>
      </c>
      <c r="G371" t="s">
        <v>112</v>
      </c>
      <c r="H371" t="s">
        <v>104</v>
      </c>
      <c r="I371">
        <v>2040</v>
      </c>
      <c r="J371" t="s">
        <v>183</v>
      </c>
      <c r="K371" t="s">
        <v>106</v>
      </c>
      <c r="L371" t="s">
        <v>688</v>
      </c>
      <c r="M371" t="s">
        <v>707</v>
      </c>
      <c r="N371">
        <v>1</v>
      </c>
      <c r="O371">
        <v>2040</v>
      </c>
      <c r="P371">
        <v>99.072924818911702</v>
      </c>
      <c r="Q371">
        <v>3.3024308272970568</v>
      </c>
      <c r="R371" t="s">
        <v>109</v>
      </c>
      <c r="S371">
        <v>7.815552950371238</v>
      </c>
      <c r="T371" t="s">
        <v>110</v>
      </c>
      <c r="U371">
        <v>7.815552950371238</v>
      </c>
      <c r="V371">
        <v>338.05093243245392</v>
      </c>
      <c r="W371">
        <v>11.26836441441513</v>
      </c>
      <c r="X371" t="s">
        <v>111</v>
      </c>
      <c r="Y371">
        <v>20</v>
      </c>
      <c r="Z371">
        <v>0.14254576818118939</v>
      </c>
      <c r="AA371">
        <v>31.536000000000001</v>
      </c>
    </row>
    <row r="372" spans="1:27" hidden="1" x14ac:dyDescent="0.25">
      <c r="A372" t="s">
        <v>98</v>
      </c>
      <c r="B372" t="s">
        <v>674</v>
      </c>
      <c r="D372" t="s">
        <v>100</v>
      </c>
      <c r="E372" t="s">
        <v>142</v>
      </c>
      <c r="F372" t="s">
        <v>185</v>
      </c>
      <c r="G372" t="s">
        <v>112</v>
      </c>
      <c r="H372" t="s">
        <v>104</v>
      </c>
      <c r="I372">
        <v>2022</v>
      </c>
      <c r="J372" t="s">
        <v>186</v>
      </c>
      <c r="K372" t="s">
        <v>106</v>
      </c>
      <c r="L372" t="s">
        <v>688</v>
      </c>
      <c r="M372" t="s">
        <v>708</v>
      </c>
      <c r="N372">
        <v>1</v>
      </c>
      <c r="O372">
        <v>2020</v>
      </c>
      <c r="P372">
        <v>97.802759116105136</v>
      </c>
      <c r="Q372">
        <v>3.5564639678583689</v>
      </c>
      <c r="R372" t="s">
        <v>109</v>
      </c>
      <c r="S372">
        <v>4.4518972502114647</v>
      </c>
      <c r="T372" t="s">
        <v>110</v>
      </c>
      <c r="U372">
        <v>4.4518972502114647</v>
      </c>
      <c r="V372">
        <v>333.71694611921731</v>
      </c>
      <c r="W372">
        <v>12.135161677062451</v>
      </c>
      <c r="X372" t="s">
        <v>111</v>
      </c>
      <c r="Y372">
        <v>20</v>
      </c>
      <c r="Z372">
        <v>0.14254576818118939</v>
      </c>
      <c r="AA372">
        <v>31.536000000000001</v>
      </c>
    </row>
    <row r="373" spans="1:27" hidden="1" x14ac:dyDescent="0.25">
      <c r="A373" t="s">
        <v>98</v>
      </c>
      <c r="B373" t="s">
        <v>674</v>
      </c>
      <c r="D373" t="s">
        <v>100</v>
      </c>
      <c r="E373" t="s">
        <v>142</v>
      </c>
      <c r="F373" t="s">
        <v>188</v>
      </c>
      <c r="G373" t="s">
        <v>103</v>
      </c>
      <c r="H373" t="s">
        <v>104</v>
      </c>
      <c r="I373">
        <v>2030</v>
      </c>
      <c r="J373" t="s">
        <v>189</v>
      </c>
      <c r="K373" t="s">
        <v>106</v>
      </c>
      <c r="L373" t="s">
        <v>688</v>
      </c>
      <c r="M373" t="s">
        <v>709</v>
      </c>
      <c r="N373">
        <v>1</v>
      </c>
      <c r="O373">
        <v>2030</v>
      </c>
      <c r="P373">
        <v>49.536462409455851</v>
      </c>
      <c r="Q373">
        <v>3.0483976867357452</v>
      </c>
      <c r="R373" t="s">
        <v>109</v>
      </c>
      <c r="S373">
        <v>10.04856807904874</v>
      </c>
      <c r="T373" t="s">
        <v>110</v>
      </c>
      <c r="U373">
        <v>10.04856807904874</v>
      </c>
      <c r="V373">
        <v>169.0254662162269</v>
      </c>
      <c r="W373">
        <v>10.401567151767811</v>
      </c>
      <c r="X373" t="s">
        <v>111</v>
      </c>
      <c r="Y373">
        <v>25</v>
      </c>
      <c r="Z373">
        <v>0.14254576818118939</v>
      </c>
      <c r="AA373">
        <v>31.536000000000001</v>
      </c>
    </row>
    <row r="374" spans="1:27" hidden="1" x14ac:dyDescent="0.25">
      <c r="A374" t="s">
        <v>98</v>
      </c>
      <c r="B374" t="s">
        <v>674</v>
      </c>
      <c r="D374" t="s">
        <v>100</v>
      </c>
      <c r="E374" t="s">
        <v>142</v>
      </c>
      <c r="F374" t="s">
        <v>188</v>
      </c>
      <c r="G374" t="s">
        <v>112</v>
      </c>
      <c r="H374" t="s">
        <v>104</v>
      </c>
      <c r="I374">
        <v>2030</v>
      </c>
      <c r="J374" t="s">
        <v>191</v>
      </c>
      <c r="K374" t="s">
        <v>106</v>
      </c>
      <c r="L374" t="s">
        <v>688</v>
      </c>
      <c r="M374" t="s">
        <v>710</v>
      </c>
      <c r="N374">
        <v>1</v>
      </c>
      <c r="O374">
        <v>2030</v>
      </c>
      <c r="P374">
        <v>64.778450843134578</v>
      </c>
      <c r="Q374">
        <v>3.0483976867357452</v>
      </c>
      <c r="R374" t="s">
        <v>109</v>
      </c>
      <c r="S374">
        <v>13.02592158395206</v>
      </c>
      <c r="T374" t="s">
        <v>110</v>
      </c>
      <c r="U374">
        <v>13.02592158395206</v>
      </c>
      <c r="V374">
        <v>221.033301975066</v>
      </c>
      <c r="W374">
        <v>10.401567151767811</v>
      </c>
      <c r="X374" t="s">
        <v>111</v>
      </c>
      <c r="Y374">
        <v>25</v>
      </c>
      <c r="Z374">
        <v>0.14254576818118939</v>
      </c>
      <c r="AA374">
        <v>31.536000000000001</v>
      </c>
    </row>
    <row r="375" spans="1:27" hidden="1" x14ac:dyDescent="0.25">
      <c r="A375" t="s">
        <v>98</v>
      </c>
      <c r="B375" t="s">
        <v>674</v>
      </c>
      <c r="D375" t="s">
        <v>100</v>
      </c>
      <c r="E375" t="s">
        <v>142</v>
      </c>
      <c r="F375" t="s">
        <v>188</v>
      </c>
      <c r="G375" t="s">
        <v>103</v>
      </c>
      <c r="H375" t="s">
        <v>104</v>
      </c>
      <c r="I375">
        <v>2040</v>
      </c>
      <c r="J375" t="s">
        <v>193</v>
      </c>
      <c r="K375" t="s">
        <v>106</v>
      </c>
      <c r="L375" t="s">
        <v>688</v>
      </c>
      <c r="M375" t="s">
        <v>711</v>
      </c>
      <c r="N375">
        <v>1</v>
      </c>
      <c r="O375">
        <v>2040</v>
      </c>
      <c r="P375">
        <v>49.536462409455851</v>
      </c>
      <c r="Q375">
        <v>3.0483976867357452</v>
      </c>
      <c r="R375" t="s">
        <v>109</v>
      </c>
      <c r="S375">
        <v>10.34411419902076</v>
      </c>
      <c r="T375" t="s">
        <v>110</v>
      </c>
      <c r="U375">
        <v>10.34411419902076</v>
      </c>
      <c r="V375">
        <v>169.0254662162269</v>
      </c>
      <c r="W375">
        <v>10.401567151767811</v>
      </c>
      <c r="X375" t="s">
        <v>111</v>
      </c>
      <c r="Y375">
        <v>25</v>
      </c>
      <c r="Z375">
        <v>0.14254576818118939</v>
      </c>
      <c r="AA375">
        <v>31.536000000000001</v>
      </c>
    </row>
    <row r="376" spans="1:27" hidden="1" x14ac:dyDescent="0.25">
      <c r="A376" t="s">
        <v>98</v>
      </c>
      <c r="B376" t="s">
        <v>674</v>
      </c>
      <c r="D376" t="s">
        <v>100</v>
      </c>
      <c r="E376" t="s">
        <v>142</v>
      </c>
      <c r="F376" t="s">
        <v>188</v>
      </c>
      <c r="G376" t="s">
        <v>112</v>
      </c>
      <c r="H376" t="s">
        <v>104</v>
      </c>
      <c r="I376">
        <v>2040</v>
      </c>
      <c r="J376" t="s">
        <v>195</v>
      </c>
      <c r="K376" t="s">
        <v>106</v>
      </c>
      <c r="L376" t="s">
        <v>688</v>
      </c>
      <c r="M376" t="s">
        <v>712</v>
      </c>
      <c r="N376">
        <v>1</v>
      </c>
      <c r="O376">
        <v>2040</v>
      </c>
      <c r="P376">
        <v>64.778450843134578</v>
      </c>
      <c r="Q376">
        <v>3.0483976867357452</v>
      </c>
      <c r="R376" t="s">
        <v>109</v>
      </c>
      <c r="S376">
        <v>14.067995310668231</v>
      </c>
      <c r="T376" t="s">
        <v>110</v>
      </c>
      <c r="U376">
        <v>14.067995310668231</v>
      </c>
      <c r="V376">
        <v>221.033301975066</v>
      </c>
      <c r="W376">
        <v>10.401567151767811</v>
      </c>
      <c r="X376" t="s">
        <v>111</v>
      </c>
      <c r="Y376">
        <v>25</v>
      </c>
      <c r="Z376">
        <v>0.14254576818118939</v>
      </c>
      <c r="AA376">
        <v>31.536000000000001</v>
      </c>
    </row>
    <row r="377" spans="1:27" hidden="1" x14ac:dyDescent="0.25">
      <c r="A377" t="s">
        <v>98</v>
      </c>
      <c r="B377" t="s">
        <v>674</v>
      </c>
      <c r="D377" t="s">
        <v>100</v>
      </c>
      <c r="E377" t="s">
        <v>142</v>
      </c>
      <c r="F377" t="s">
        <v>188</v>
      </c>
      <c r="G377" t="s">
        <v>112</v>
      </c>
      <c r="H377" t="s">
        <v>104</v>
      </c>
      <c r="I377">
        <v>2022</v>
      </c>
      <c r="J377" t="s">
        <v>197</v>
      </c>
      <c r="K377" t="s">
        <v>106</v>
      </c>
      <c r="L377" t="s">
        <v>688</v>
      </c>
      <c r="M377" t="s">
        <v>713</v>
      </c>
      <c r="N377">
        <v>1</v>
      </c>
      <c r="O377">
        <v>2020</v>
      </c>
      <c r="P377">
        <v>64.778450843134578</v>
      </c>
      <c r="Q377">
        <v>3.0483976867357452</v>
      </c>
      <c r="R377" t="s">
        <v>109</v>
      </c>
      <c r="S377">
        <v>12.12758216436916</v>
      </c>
      <c r="T377" t="s">
        <v>110</v>
      </c>
      <c r="U377">
        <v>12.12758216436916</v>
      </c>
      <c r="V377">
        <v>221.033301975066</v>
      </c>
      <c r="W377">
        <v>10.401567151767811</v>
      </c>
      <c r="X377" t="s">
        <v>111</v>
      </c>
      <c r="Y377">
        <v>25</v>
      </c>
      <c r="Z377">
        <v>0.14254576818118939</v>
      </c>
      <c r="AA377">
        <v>31.536000000000001</v>
      </c>
    </row>
    <row r="378" spans="1:27" hidden="1" x14ac:dyDescent="0.25">
      <c r="A378" t="s">
        <v>98</v>
      </c>
      <c r="B378" t="s">
        <v>674</v>
      </c>
      <c r="D378" t="s">
        <v>100</v>
      </c>
      <c r="E378" t="s">
        <v>142</v>
      </c>
      <c r="F378" t="s">
        <v>199</v>
      </c>
      <c r="G378" t="s">
        <v>103</v>
      </c>
      <c r="H378" t="s">
        <v>131</v>
      </c>
      <c r="I378">
        <v>2030</v>
      </c>
      <c r="J378" t="s">
        <v>200</v>
      </c>
      <c r="K378" t="s">
        <v>133</v>
      </c>
      <c r="L378" t="s">
        <v>688</v>
      </c>
      <c r="M378" t="s">
        <v>714</v>
      </c>
      <c r="N378">
        <v>1</v>
      </c>
      <c r="O378">
        <v>2030</v>
      </c>
      <c r="P378">
        <v>93.992262007685454</v>
      </c>
      <c r="Q378">
        <v>2.7943645461744331</v>
      </c>
      <c r="R378" t="s">
        <v>109</v>
      </c>
      <c r="S378">
        <v>1.4</v>
      </c>
      <c r="T378" t="s">
        <v>110</v>
      </c>
      <c r="U378">
        <v>1.4</v>
      </c>
      <c r="V378">
        <v>320.71498717950749</v>
      </c>
      <c r="W378">
        <v>9.5347698891204935</v>
      </c>
      <c r="X378" t="s">
        <v>111</v>
      </c>
      <c r="Y378">
        <v>23</v>
      </c>
      <c r="Z378">
        <v>0.14254576818118939</v>
      </c>
      <c r="AA378">
        <v>31.536000000000001</v>
      </c>
    </row>
    <row r="379" spans="1:27" hidden="1" x14ac:dyDescent="0.25">
      <c r="A379" t="s">
        <v>98</v>
      </c>
      <c r="B379" t="s">
        <v>674</v>
      </c>
      <c r="D379" t="s">
        <v>100</v>
      </c>
      <c r="E379" t="s">
        <v>142</v>
      </c>
      <c r="F379" t="s">
        <v>202</v>
      </c>
      <c r="G379" t="s">
        <v>103</v>
      </c>
      <c r="H379" t="s">
        <v>104</v>
      </c>
      <c r="I379">
        <v>2023</v>
      </c>
      <c r="J379" t="s">
        <v>203</v>
      </c>
      <c r="K379" t="s">
        <v>106</v>
      </c>
      <c r="L379" t="s">
        <v>688</v>
      </c>
      <c r="M379" t="s">
        <v>715</v>
      </c>
      <c r="N379">
        <v>1</v>
      </c>
      <c r="O379">
        <v>2023</v>
      </c>
      <c r="P379">
        <v>138.8714501735173</v>
      </c>
      <c r="Q379">
        <v>4.2000145906136934</v>
      </c>
      <c r="R379" t="s">
        <v>109</v>
      </c>
      <c r="S379">
        <v>3.5756154747948421</v>
      </c>
      <c r="T379" t="s">
        <v>110</v>
      </c>
      <c r="U379">
        <v>3.5756154747948421</v>
      </c>
      <c r="V379">
        <v>473.84917024720039</v>
      </c>
      <c r="W379">
        <v>14.33104807576899</v>
      </c>
      <c r="X379" t="s">
        <v>111</v>
      </c>
      <c r="Y379">
        <v>21</v>
      </c>
      <c r="Z379">
        <v>0.14254576818118939</v>
      </c>
      <c r="AA379">
        <v>31.536000000000001</v>
      </c>
    </row>
    <row r="380" spans="1:27" hidden="1" x14ac:dyDescent="0.25">
      <c r="A380" t="s">
        <v>98</v>
      </c>
      <c r="B380" t="s">
        <v>674</v>
      </c>
      <c r="D380" t="s">
        <v>100</v>
      </c>
      <c r="E380" t="s">
        <v>142</v>
      </c>
      <c r="F380" t="s">
        <v>202</v>
      </c>
      <c r="G380" t="s">
        <v>112</v>
      </c>
      <c r="H380" t="s">
        <v>104</v>
      </c>
      <c r="I380">
        <v>2022</v>
      </c>
      <c r="J380" t="s">
        <v>205</v>
      </c>
      <c r="K380" t="s">
        <v>106</v>
      </c>
      <c r="L380" t="s">
        <v>688</v>
      </c>
      <c r="M380" t="s">
        <v>716</v>
      </c>
      <c r="N380">
        <v>1</v>
      </c>
      <c r="O380">
        <v>2020</v>
      </c>
      <c r="P380">
        <v>201.87166903272271</v>
      </c>
      <c r="Q380">
        <v>4.2000145906136934</v>
      </c>
      <c r="R380" t="s">
        <v>109</v>
      </c>
      <c r="S380">
        <v>3.7514654161781951</v>
      </c>
      <c r="T380" t="s">
        <v>110</v>
      </c>
      <c r="U380">
        <v>3.7514654161781951</v>
      </c>
      <c r="V380">
        <v>688.81489138373513</v>
      </c>
      <c r="W380">
        <v>14.33104807576899</v>
      </c>
      <c r="X380" t="s">
        <v>111</v>
      </c>
      <c r="Y380">
        <v>21</v>
      </c>
      <c r="Z380">
        <v>0.14254576818118939</v>
      </c>
      <c r="AA380">
        <v>31.536000000000001</v>
      </c>
    </row>
    <row r="381" spans="1:27" hidden="1" x14ac:dyDescent="0.25">
      <c r="A381" t="s">
        <v>98</v>
      </c>
      <c r="B381" t="s">
        <v>674</v>
      </c>
      <c r="D381" t="s">
        <v>100</v>
      </c>
      <c r="E381" t="s">
        <v>142</v>
      </c>
      <c r="F381" t="s">
        <v>207</v>
      </c>
      <c r="G381" t="s">
        <v>103</v>
      </c>
      <c r="H381" t="s">
        <v>104</v>
      </c>
      <c r="I381">
        <v>2030</v>
      </c>
      <c r="J381" t="s">
        <v>208</v>
      </c>
      <c r="K381" t="s">
        <v>106</v>
      </c>
      <c r="L381" t="s">
        <v>688</v>
      </c>
      <c r="M381" t="s">
        <v>717</v>
      </c>
      <c r="N381">
        <v>0</v>
      </c>
      <c r="O381">
        <v>2030</v>
      </c>
      <c r="P381">
        <v>74.322838838509583</v>
      </c>
      <c r="Q381">
        <v>1.219359074694298E-2</v>
      </c>
      <c r="R381" t="s">
        <v>109</v>
      </c>
      <c r="S381">
        <v>3.5902696365767879</v>
      </c>
      <c r="T381" t="s">
        <v>110</v>
      </c>
      <c r="U381">
        <v>3.5902696365767879</v>
      </c>
      <c r="V381">
        <v>253.60011341452949</v>
      </c>
      <c r="W381">
        <v>4.1606268607071263E-2</v>
      </c>
      <c r="X381" t="s">
        <v>111</v>
      </c>
      <c r="Y381">
        <v>9.5</v>
      </c>
      <c r="Z381">
        <v>0.14254576818118939</v>
      </c>
      <c r="AA381">
        <v>31.536000000000001</v>
      </c>
    </row>
    <row r="382" spans="1:27" hidden="1" x14ac:dyDescent="0.25">
      <c r="A382" t="s">
        <v>98</v>
      </c>
      <c r="B382" t="s">
        <v>674</v>
      </c>
      <c r="D382" t="s">
        <v>100</v>
      </c>
      <c r="E382" t="s">
        <v>142</v>
      </c>
      <c r="F382" t="s">
        <v>207</v>
      </c>
      <c r="G382" t="s">
        <v>112</v>
      </c>
      <c r="H382" t="s">
        <v>104</v>
      </c>
      <c r="I382">
        <v>2030</v>
      </c>
      <c r="J382" t="s">
        <v>210</v>
      </c>
      <c r="K382" t="s">
        <v>106</v>
      </c>
      <c r="L382" t="s">
        <v>688</v>
      </c>
      <c r="M382" t="s">
        <v>718</v>
      </c>
      <c r="N382">
        <v>0</v>
      </c>
      <c r="O382">
        <v>2030</v>
      </c>
      <c r="P382">
        <v>81.871252158045721</v>
      </c>
      <c r="Q382">
        <v>1.219359074694298E-2</v>
      </c>
      <c r="R382" t="s">
        <v>109</v>
      </c>
      <c r="S382">
        <v>3.8100820633059791</v>
      </c>
      <c r="T382" t="s">
        <v>110</v>
      </c>
      <c r="U382">
        <v>3.8100820633059791</v>
      </c>
      <c r="V382">
        <v>279.35637493319268</v>
      </c>
      <c r="W382">
        <v>4.1606268607071263E-2</v>
      </c>
      <c r="X382" t="s">
        <v>111</v>
      </c>
      <c r="Y382">
        <v>9.5</v>
      </c>
      <c r="Z382">
        <v>0.14254576818118939</v>
      </c>
      <c r="AA382">
        <v>31.536000000000001</v>
      </c>
    </row>
    <row r="383" spans="1:27" hidden="1" x14ac:dyDescent="0.25">
      <c r="A383" t="s">
        <v>98</v>
      </c>
      <c r="B383" t="s">
        <v>674</v>
      </c>
      <c r="D383" t="s">
        <v>100</v>
      </c>
      <c r="E383" t="s">
        <v>142</v>
      </c>
      <c r="F383" t="s">
        <v>207</v>
      </c>
      <c r="G383" t="s">
        <v>103</v>
      </c>
      <c r="H383" t="s">
        <v>104</v>
      </c>
      <c r="I383">
        <v>2040</v>
      </c>
      <c r="J383" t="s">
        <v>212</v>
      </c>
      <c r="K383" t="s">
        <v>106</v>
      </c>
      <c r="L383" t="s">
        <v>688</v>
      </c>
      <c r="M383" t="s">
        <v>719</v>
      </c>
      <c r="N383">
        <v>0</v>
      </c>
      <c r="O383">
        <v>2040</v>
      </c>
      <c r="P383">
        <v>74.322838838509583</v>
      </c>
      <c r="Q383">
        <v>1.219359074694298E-2</v>
      </c>
      <c r="R383" t="s">
        <v>109</v>
      </c>
      <c r="S383">
        <v>3.6635404454865181</v>
      </c>
      <c r="T383" t="s">
        <v>110</v>
      </c>
      <c r="U383">
        <v>3.6635404454865181</v>
      </c>
      <c r="V383">
        <v>253.60011341452949</v>
      </c>
      <c r="W383">
        <v>4.1606268607071263E-2</v>
      </c>
      <c r="X383" t="s">
        <v>111</v>
      </c>
      <c r="Y383">
        <v>9.5</v>
      </c>
      <c r="Z383">
        <v>0.14254576818118939</v>
      </c>
      <c r="AA383">
        <v>31.536000000000001</v>
      </c>
    </row>
    <row r="384" spans="1:27" hidden="1" x14ac:dyDescent="0.25">
      <c r="A384" t="s">
        <v>98</v>
      </c>
      <c r="B384" t="s">
        <v>674</v>
      </c>
      <c r="D384" t="s">
        <v>100</v>
      </c>
      <c r="E384" t="s">
        <v>142</v>
      </c>
      <c r="F384" t="s">
        <v>207</v>
      </c>
      <c r="G384" t="s">
        <v>112</v>
      </c>
      <c r="H384" t="s">
        <v>104</v>
      </c>
      <c r="I384">
        <v>2040</v>
      </c>
      <c r="J384" t="s">
        <v>214</v>
      </c>
      <c r="K384" t="s">
        <v>106</v>
      </c>
      <c r="L384" t="s">
        <v>688</v>
      </c>
      <c r="M384" t="s">
        <v>720</v>
      </c>
      <c r="N384">
        <v>0</v>
      </c>
      <c r="O384">
        <v>2040</v>
      </c>
      <c r="P384">
        <v>81.871252158045721</v>
      </c>
      <c r="Q384">
        <v>1.219359074694298E-2</v>
      </c>
      <c r="R384" t="s">
        <v>109</v>
      </c>
      <c r="S384">
        <v>3.9566236811254401</v>
      </c>
      <c r="T384" t="s">
        <v>110</v>
      </c>
      <c r="U384">
        <v>3.9566236811254401</v>
      </c>
      <c r="V384">
        <v>279.35637493319268</v>
      </c>
      <c r="W384">
        <v>4.1606268607071263E-2</v>
      </c>
      <c r="X384" t="s">
        <v>111</v>
      </c>
      <c r="Y384">
        <v>9.5</v>
      </c>
      <c r="Z384">
        <v>0.14254576818118939</v>
      </c>
      <c r="AA384">
        <v>31.536000000000001</v>
      </c>
    </row>
    <row r="385" spans="1:27" hidden="1" x14ac:dyDescent="0.25">
      <c r="A385" t="s">
        <v>98</v>
      </c>
      <c r="B385" t="s">
        <v>674</v>
      </c>
      <c r="D385" t="s">
        <v>100</v>
      </c>
      <c r="E385" t="s">
        <v>142</v>
      </c>
      <c r="F385" t="s">
        <v>207</v>
      </c>
      <c r="G385" t="s">
        <v>112</v>
      </c>
      <c r="H385" t="s">
        <v>104</v>
      </c>
      <c r="I385">
        <v>2022</v>
      </c>
      <c r="J385" t="s">
        <v>216</v>
      </c>
      <c r="K385" t="s">
        <v>106</v>
      </c>
      <c r="L385" t="s">
        <v>688</v>
      </c>
      <c r="M385" t="s">
        <v>721</v>
      </c>
      <c r="N385">
        <v>1</v>
      </c>
      <c r="O385">
        <v>2020</v>
      </c>
      <c r="P385">
        <v>81.871252158045721</v>
      </c>
      <c r="Q385">
        <v>1.219359074694298E-2</v>
      </c>
      <c r="R385" t="s">
        <v>109</v>
      </c>
      <c r="S385">
        <v>3.6635404454865181</v>
      </c>
      <c r="T385" t="s">
        <v>110</v>
      </c>
      <c r="U385">
        <v>3.6635404454865181</v>
      </c>
      <c r="V385">
        <v>279.35637493319268</v>
      </c>
      <c r="W385">
        <v>4.1606268607071263E-2</v>
      </c>
      <c r="X385" t="s">
        <v>111</v>
      </c>
      <c r="Y385">
        <v>9.5</v>
      </c>
      <c r="Z385">
        <v>0.14254576818118939</v>
      </c>
      <c r="AA385">
        <v>31.536000000000001</v>
      </c>
    </row>
    <row r="386" spans="1:27" hidden="1" x14ac:dyDescent="0.25">
      <c r="A386" t="s">
        <v>98</v>
      </c>
      <c r="B386" t="s">
        <v>674</v>
      </c>
      <c r="D386" t="s">
        <v>100</v>
      </c>
      <c r="E386" t="s">
        <v>142</v>
      </c>
      <c r="F386" t="s">
        <v>218</v>
      </c>
      <c r="G386" t="s">
        <v>219</v>
      </c>
      <c r="H386" t="s">
        <v>104</v>
      </c>
      <c r="I386">
        <v>2023</v>
      </c>
      <c r="J386" t="s">
        <v>220</v>
      </c>
      <c r="K386" t="s">
        <v>106</v>
      </c>
      <c r="L386" t="s">
        <v>688</v>
      </c>
      <c r="M386" t="s">
        <v>722</v>
      </c>
      <c r="N386">
        <v>0</v>
      </c>
      <c r="O386">
        <v>2023</v>
      </c>
      <c r="P386">
        <v>144.5166310748798</v>
      </c>
      <c r="Q386">
        <v>2.6193639382321958</v>
      </c>
      <c r="R386" t="s">
        <v>109</v>
      </c>
      <c r="S386">
        <v>4.6893317702227444</v>
      </c>
      <c r="T386" t="s">
        <v>110</v>
      </c>
      <c r="U386">
        <v>4.6893317702227444</v>
      </c>
      <c r="V386">
        <v>493.11133163936307</v>
      </c>
      <c r="W386">
        <v>8.937642885963454</v>
      </c>
      <c r="X386" t="s">
        <v>111</v>
      </c>
      <c r="Y386">
        <v>18</v>
      </c>
      <c r="Z386">
        <v>0.14254576818118939</v>
      </c>
      <c r="AA386">
        <v>31.536000000000001</v>
      </c>
    </row>
    <row r="387" spans="1:27" hidden="1" x14ac:dyDescent="0.25">
      <c r="A387" t="s">
        <v>98</v>
      </c>
      <c r="B387" t="s">
        <v>674</v>
      </c>
      <c r="D387" t="s">
        <v>100</v>
      </c>
      <c r="E387" t="s">
        <v>142</v>
      </c>
      <c r="F387" t="s">
        <v>218</v>
      </c>
      <c r="G387" t="s">
        <v>112</v>
      </c>
      <c r="H387" t="s">
        <v>104</v>
      </c>
      <c r="I387">
        <v>2022</v>
      </c>
      <c r="J387" t="s">
        <v>222</v>
      </c>
      <c r="K387" t="s">
        <v>106</v>
      </c>
      <c r="L387" t="s">
        <v>688</v>
      </c>
      <c r="M387" t="s">
        <v>723</v>
      </c>
      <c r="N387">
        <v>1</v>
      </c>
      <c r="O387">
        <v>2020</v>
      </c>
      <c r="P387">
        <v>157.50054714801351</v>
      </c>
      <c r="Q387">
        <v>2.455653692092683</v>
      </c>
      <c r="R387" t="s">
        <v>109</v>
      </c>
      <c r="S387">
        <v>4.835873388042204</v>
      </c>
      <c r="T387" t="s">
        <v>110</v>
      </c>
      <c r="U387">
        <v>4.835873388042204</v>
      </c>
      <c r="V387">
        <v>537.41430284133696</v>
      </c>
      <c r="W387">
        <v>8.3790402055907389</v>
      </c>
      <c r="X387" t="s">
        <v>111</v>
      </c>
      <c r="Y387">
        <v>18</v>
      </c>
      <c r="Z387">
        <v>0.14254576818118939</v>
      </c>
      <c r="AA387">
        <v>31.536000000000001</v>
      </c>
    </row>
    <row r="388" spans="1:27" hidden="1" x14ac:dyDescent="0.25">
      <c r="A388" t="s">
        <v>98</v>
      </c>
      <c r="B388" t="s">
        <v>674</v>
      </c>
      <c r="D388" t="s">
        <v>100</v>
      </c>
      <c r="E388" t="s">
        <v>142</v>
      </c>
      <c r="F388" t="s">
        <v>218</v>
      </c>
      <c r="G388" t="s">
        <v>103</v>
      </c>
      <c r="H388" t="s">
        <v>104</v>
      </c>
      <c r="I388">
        <v>2023</v>
      </c>
      <c r="J388" t="s">
        <v>224</v>
      </c>
      <c r="K388" t="s">
        <v>106</v>
      </c>
      <c r="L388" t="s">
        <v>688</v>
      </c>
      <c r="M388" t="s">
        <v>724</v>
      </c>
      <c r="N388">
        <v>0</v>
      </c>
      <c r="O388">
        <v>2023</v>
      </c>
      <c r="P388">
        <v>125.3230160102473</v>
      </c>
      <c r="Q388">
        <v>2.455653692092683</v>
      </c>
      <c r="R388" t="s">
        <v>109</v>
      </c>
      <c r="S388">
        <v>4.2203985932004704</v>
      </c>
      <c r="T388" t="s">
        <v>110</v>
      </c>
      <c r="U388">
        <v>4.2203985932004704</v>
      </c>
      <c r="V388">
        <v>427.61998290601008</v>
      </c>
      <c r="W388">
        <v>8.3790402055907389</v>
      </c>
      <c r="X388" t="s">
        <v>111</v>
      </c>
      <c r="Y388">
        <v>18</v>
      </c>
      <c r="Z388">
        <v>0.14254576818118939</v>
      </c>
      <c r="AA388">
        <v>31.536000000000001</v>
      </c>
    </row>
    <row r="389" spans="1:27" x14ac:dyDescent="0.25">
      <c r="A389" t="s">
        <v>98</v>
      </c>
      <c r="B389" t="s">
        <v>674</v>
      </c>
      <c r="D389" t="s">
        <v>100</v>
      </c>
      <c r="E389" t="s">
        <v>226</v>
      </c>
      <c r="F389" t="s">
        <v>227</v>
      </c>
      <c r="G389" t="s">
        <v>228</v>
      </c>
      <c r="H389" t="s">
        <v>104</v>
      </c>
      <c r="I389">
        <v>2023</v>
      </c>
      <c r="J389" t="s">
        <v>229</v>
      </c>
      <c r="K389" t="s">
        <v>106</v>
      </c>
      <c r="L389" t="s">
        <v>725</v>
      </c>
      <c r="M389" t="s">
        <v>726</v>
      </c>
      <c r="N389">
        <v>1</v>
      </c>
      <c r="O389">
        <v>2023</v>
      </c>
      <c r="P389">
        <v>351.48905933689161</v>
      </c>
      <c r="Q389">
        <v>0.67078064758948786</v>
      </c>
      <c r="R389" t="s">
        <v>109</v>
      </c>
      <c r="S389">
        <v>2.7</v>
      </c>
      <c r="T389" t="s">
        <v>110</v>
      </c>
      <c r="U389">
        <v>2.7</v>
      </c>
      <c r="V389">
        <v>1199.3307401172131</v>
      </c>
      <c r="W389">
        <v>2.2887991223610928</v>
      </c>
      <c r="X389" t="s">
        <v>111</v>
      </c>
      <c r="Y389">
        <v>20</v>
      </c>
      <c r="Z389">
        <v>0.44</v>
      </c>
      <c r="AA389">
        <v>31.536000000000001</v>
      </c>
    </row>
    <row r="390" spans="1:27" x14ac:dyDescent="0.25">
      <c r="A390" t="s">
        <v>98</v>
      </c>
      <c r="B390" t="s">
        <v>674</v>
      </c>
      <c r="D390" t="s">
        <v>100</v>
      </c>
      <c r="E390" t="s">
        <v>226</v>
      </c>
      <c r="F390" t="s">
        <v>227</v>
      </c>
      <c r="G390" t="s">
        <v>228</v>
      </c>
      <c r="H390" t="s">
        <v>104</v>
      </c>
      <c r="I390">
        <v>2024</v>
      </c>
      <c r="J390" t="s">
        <v>232</v>
      </c>
      <c r="K390" t="s">
        <v>106</v>
      </c>
      <c r="L390" t="s">
        <v>725</v>
      </c>
      <c r="M390" t="s">
        <v>727</v>
      </c>
      <c r="N390">
        <v>1</v>
      </c>
      <c r="O390">
        <v>2024</v>
      </c>
      <c r="P390">
        <v>351.48905933689161</v>
      </c>
      <c r="Q390">
        <v>0.67078064758948786</v>
      </c>
      <c r="R390" t="s">
        <v>109</v>
      </c>
      <c r="S390">
        <v>2.7</v>
      </c>
      <c r="T390" t="s">
        <v>110</v>
      </c>
      <c r="U390">
        <v>2.7</v>
      </c>
      <c r="V390">
        <v>1199.3307401172131</v>
      </c>
      <c r="W390">
        <v>2.2887991223610928</v>
      </c>
      <c r="X390" t="s">
        <v>111</v>
      </c>
      <c r="Y390">
        <v>20</v>
      </c>
      <c r="Z390">
        <v>0.44</v>
      </c>
      <c r="AA390">
        <v>31.536000000000001</v>
      </c>
    </row>
    <row r="391" spans="1:27" x14ac:dyDescent="0.25">
      <c r="A391" t="s">
        <v>98</v>
      </c>
      <c r="B391" t="s">
        <v>674</v>
      </c>
      <c r="D391" t="s">
        <v>100</v>
      </c>
      <c r="E391" t="s">
        <v>226</v>
      </c>
      <c r="F391" t="s">
        <v>227</v>
      </c>
      <c r="G391" t="s">
        <v>228</v>
      </c>
      <c r="H391" t="s">
        <v>104</v>
      </c>
      <c r="I391">
        <v>2025</v>
      </c>
      <c r="J391" t="s">
        <v>234</v>
      </c>
      <c r="K391" t="s">
        <v>106</v>
      </c>
      <c r="L391" t="s">
        <v>725</v>
      </c>
      <c r="M391" t="s">
        <v>728</v>
      </c>
      <c r="N391">
        <v>1</v>
      </c>
      <c r="O391">
        <v>2025</v>
      </c>
      <c r="P391">
        <v>351.48905933689161</v>
      </c>
      <c r="Q391">
        <v>0.67078064758948786</v>
      </c>
      <c r="R391" t="s">
        <v>109</v>
      </c>
      <c r="S391">
        <v>2.7</v>
      </c>
      <c r="T391" t="s">
        <v>110</v>
      </c>
      <c r="U391">
        <v>2.7</v>
      </c>
      <c r="V391">
        <v>1199.3307401172131</v>
      </c>
      <c r="W391">
        <v>2.2887991223610928</v>
      </c>
      <c r="X391" t="s">
        <v>111</v>
      </c>
      <c r="Y391">
        <v>20</v>
      </c>
      <c r="Z391">
        <v>0.44</v>
      </c>
      <c r="AA391">
        <v>31.536000000000001</v>
      </c>
    </row>
    <row r="392" spans="1:27" x14ac:dyDescent="0.25">
      <c r="A392" t="s">
        <v>98</v>
      </c>
      <c r="B392" t="s">
        <v>674</v>
      </c>
      <c r="D392" t="s">
        <v>100</v>
      </c>
      <c r="E392" t="s">
        <v>226</v>
      </c>
      <c r="F392" t="s">
        <v>227</v>
      </c>
      <c r="G392" t="s">
        <v>228</v>
      </c>
      <c r="H392" t="s">
        <v>104</v>
      </c>
      <c r="I392">
        <v>2026</v>
      </c>
      <c r="J392" t="s">
        <v>236</v>
      </c>
      <c r="K392" t="s">
        <v>106</v>
      </c>
      <c r="L392" t="s">
        <v>725</v>
      </c>
      <c r="M392" t="s">
        <v>729</v>
      </c>
      <c r="N392">
        <v>1</v>
      </c>
      <c r="O392">
        <v>2026</v>
      </c>
      <c r="P392">
        <v>351.48905933689161</v>
      </c>
      <c r="Q392">
        <v>0.67078064758948786</v>
      </c>
      <c r="R392" t="s">
        <v>109</v>
      </c>
      <c r="S392">
        <v>2.7</v>
      </c>
      <c r="T392" t="s">
        <v>110</v>
      </c>
      <c r="U392">
        <v>2.7</v>
      </c>
      <c r="V392">
        <v>1199.3307401172131</v>
      </c>
      <c r="W392">
        <v>2.2887991223610928</v>
      </c>
      <c r="X392" t="s">
        <v>111</v>
      </c>
      <c r="Y392">
        <v>20</v>
      </c>
      <c r="Z392">
        <v>0.44</v>
      </c>
      <c r="AA392">
        <v>31.536000000000001</v>
      </c>
    </row>
    <row r="393" spans="1:27" x14ac:dyDescent="0.25">
      <c r="A393" t="s">
        <v>98</v>
      </c>
      <c r="B393" t="s">
        <v>674</v>
      </c>
      <c r="D393" t="s">
        <v>100</v>
      </c>
      <c r="E393" t="s">
        <v>226</v>
      </c>
      <c r="F393" t="s">
        <v>227</v>
      </c>
      <c r="G393" t="s">
        <v>228</v>
      </c>
      <c r="H393" t="s">
        <v>104</v>
      </c>
      <c r="I393">
        <v>2027</v>
      </c>
      <c r="J393" t="s">
        <v>238</v>
      </c>
      <c r="K393" t="s">
        <v>106</v>
      </c>
      <c r="L393" t="s">
        <v>725</v>
      </c>
      <c r="M393" t="s">
        <v>730</v>
      </c>
      <c r="N393">
        <v>1</v>
      </c>
      <c r="O393">
        <v>2027</v>
      </c>
      <c r="P393">
        <v>351.48905933689161</v>
      </c>
      <c r="Q393">
        <v>0.67078064758948786</v>
      </c>
      <c r="R393" t="s">
        <v>109</v>
      </c>
      <c r="S393">
        <v>2.7</v>
      </c>
      <c r="T393" t="s">
        <v>110</v>
      </c>
      <c r="U393">
        <v>2.7</v>
      </c>
      <c r="V393">
        <v>1199.3307401172131</v>
      </c>
      <c r="W393">
        <v>2.2887991223610928</v>
      </c>
      <c r="X393" t="s">
        <v>111</v>
      </c>
      <c r="Y393">
        <v>20</v>
      </c>
      <c r="Z393">
        <v>0.44</v>
      </c>
      <c r="AA393">
        <v>31.536000000000001</v>
      </c>
    </row>
    <row r="394" spans="1:27" x14ac:dyDescent="0.25">
      <c r="A394" t="s">
        <v>98</v>
      </c>
      <c r="B394" t="s">
        <v>674</v>
      </c>
      <c r="D394" t="s">
        <v>100</v>
      </c>
      <c r="E394" t="s">
        <v>226</v>
      </c>
      <c r="F394" t="s">
        <v>240</v>
      </c>
      <c r="G394" t="s">
        <v>103</v>
      </c>
      <c r="H394" t="s">
        <v>104</v>
      </c>
      <c r="I394">
        <v>2022</v>
      </c>
      <c r="J394" t="s">
        <v>241</v>
      </c>
      <c r="K394" t="s">
        <v>106</v>
      </c>
      <c r="L394" t="s">
        <v>725</v>
      </c>
      <c r="M394" t="s">
        <v>731</v>
      </c>
      <c r="N394">
        <v>1</v>
      </c>
      <c r="O394">
        <v>2020</v>
      </c>
      <c r="P394">
        <v>364.1638033744108</v>
      </c>
      <c r="Q394">
        <v>0.71474740603417231</v>
      </c>
      <c r="R394" t="s">
        <v>109</v>
      </c>
      <c r="S394">
        <v>3.9</v>
      </c>
      <c r="T394" t="s">
        <v>110</v>
      </c>
      <c r="U394">
        <v>3.9</v>
      </c>
      <c r="V394">
        <v>1242.578772292075</v>
      </c>
      <c r="W394">
        <v>2.4388199652445048</v>
      </c>
      <c r="X394" t="s">
        <v>111</v>
      </c>
      <c r="Y394">
        <v>15</v>
      </c>
      <c r="Z394">
        <v>0.44</v>
      </c>
      <c r="AA394">
        <v>31.536000000000001</v>
      </c>
    </row>
    <row r="395" spans="1:27" hidden="1" x14ac:dyDescent="0.25">
      <c r="A395" t="s">
        <v>98</v>
      </c>
      <c r="B395" t="s">
        <v>674</v>
      </c>
      <c r="D395" t="s">
        <v>100</v>
      </c>
      <c r="E395" t="s">
        <v>243</v>
      </c>
      <c r="F395" t="s">
        <v>244</v>
      </c>
      <c r="G395" t="s">
        <v>245</v>
      </c>
      <c r="H395" t="s">
        <v>104</v>
      </c>
      <c r="I395">
        <v>2022</v>
      </c>
      <c r="J395" t="s">
        <v>246</v>
      </c>
      <c r="K395" t="s">
        <v>106</v>
      </c>
      <c r="L395" t="s">
        <v>732</v>
      </c>
      <c r="M395" t="s">
        <v>733</v>
      </c>
      <c r="N395">
        <v>1</v>
      </c>
      <c r="O395">
        <v>2020</v>
      </c>
      <c r="P395">
        <v>5418.3180362120765</v>
      </c>
      <c r="Q395">
        <v>63.780978532496562</v>
      </c>
      <c r="R395" t="s">
        <v>249</v>
      </c>
      <c r="S395">
        <v>0.41325750353930962</v>
      </c>
      <c r="T395" t="s">
        <v>250</v>
      </c>
      <c r="U395">
        <v>1</v>
      </c>
      <c r="V395">
        <v>7640.3348848129563</v>
      </c>
      <c r="W395">
        <v>89.937141380872987</v>
      </c>
      <c r="X395" t="s">
        <v>111</v>
      </c>
      <c r="Y395">
        <v>20</v>
      </c>
      <c r="Z395">
        <v>0.44</v>
      </c>
      <c r="AA395">
        <v>31.536000000000001</v>
      </c>
    </row>
    <row r="396" spans="1:27" hidden="1" x14ac:dyDescent="0.25">
      <c r="A396" t="s">
        <v>98</v>
      </c>
      <c r="B396" t="s">
        <v>674</v>
      </c>
      <c r="D396" t="s">
        <v>100</v>
      </c>
      <c r="E396" t="s">
        <v>243</v>
      </c>
      <c r="F396" t="s">
        <v>244</v>
      </c>
      <c r="G396" t="s">
        <v>103</v>
      </c>
      <c r="H396" t="s">
        <v>104</v>
      </c>
      <c r="I396">
        <v>2022</v>
      </c>
      <c r="J396" t="s">
        <v>251</v>
      </c>
      <c r="K396" t="s">
        <v>106</v>
      </c>
      <c r="L396" t="s">
        <v>732</v>
      </c>
      <c r="M396" t="s">
        <v>734</v>
      </c>
      <c r="N396">
        <v>1</v>
      </c>
      <c r="O396">
        <v>2020</v>
      </c>
      <c r="P396">
        <v>5667.3116722418044</v>
      </c>
      <c r="Q396">
        <v>63.780978532496562</v>
      </c>
      <c r="R396" t="s">
        <v>249</v>
      </c>
      <c r="S396">
        <v>0.43508713487380868</v>
      </c>
      <c r="T396" t="s">
        <v>250</v>
      </c>
      <c r="U396">
        <v>1.052823315118397</v>
      </c>
      <c r="V396">
        <v>7991.4391852139524</v>
      </c>
      <c r="W396">
        <v>89.937141380873001</v>
      </c>
      <c r="X396" t="s">
        <v>111</v>
      </c>
      <c r="Y396">
        <v>20</v>
      </c>
      <c r="Z396">
        <v>0.44</v>
      </c>
      <c r="AA396">
        <v>31.536000000000001</v>
      </c>
    </row>
    <row r="397" spans="1:27" hidden="1" x14ac:dyDescent="0.25">
      <c r="A397" t="s">
        <v>98</v>
      </c>
      <c r="B397" t="s">
        <v>674</v>
      </c>
      <c r="D397" t="s">
        <v>100</v>
      </c>
      <c r="E397" t="s">
        <v>243</v>
      </c>
      <c r="F397" t="s">
        <v>244</v>
      </c>
      <c r="G397" t="s">
        <v>112</v>
      </c>
      <c r="H397" t="s">
        <v>104</v>
      </c>
      <c r="I397">
        <v>2022</v>
      </c>
      <c r="J397" t="s">
        <v>253</v>
      </c>
      <c r="K397" t="s">
        <v>106</v>
      </c>
      <c r="L397" t="s">
        <v>732</v>
      </c>
      <c r="M397" t="s">
        <v>735</v>
      </c>
      <c r="N397">
        <v>1</v>
      </c>
      <c r="O397">
        <v>2020</v>
      </c>
      <c r="P397">
        <v>5911.8706390075113</v>
      </c>
      <c r="Q397">
        <v>63.780978532496562</v>
      </c>
      <c r="R397" t="s">
        <v>249</v>
      </c>
      <c r="S397">
        <v>0.44315925240393511</v>
      </c>
      <c r="T397" t="s">
        <v>250</v>
      </c>
      <c r="U397">
        <v>1.0723562152133581</v>
      </c>
      <c r="V397">
        <v>8336.2901874412255</v>
      </c>
      <c r="W397">
        <v>89.937141380873001</v>
      </c>
      <c r="X397" t="s">
        <v>111</v>
      </c>
      <c r="Y397">
        <v>20</v>
      </c>
      <c r="Z397">
        <v>0.44</v>
      </c>
      <c r="AA397">
        <v>31.536000000000001</v>
      </c>
    </row>
    <row r="398" spans="1:27" hidden="1" x14ac:dyDescent="0.25">
      <c r="A398" t="s">
        <v>98</v>
      </c>
      <c r="B398" t="s">
        <v>674</v>
      </c>
      <c r="D398" t="s">
        <v>100</v>
      </c>
      <c r="E398" t="s">
        <v>243</v>
      </c>
      <c r="F398" t="s">
        <v>244</v>
      </c>
      <c r="G398" t="s">
        <v>103</v>
      </c>
      <c r="H398" t="s">
        <v>104</v>
      </c>
      <c r="I398">
        <v>2030</v>
      </c>
      <c r="J398" t="s">
        <v>255</v>
      </c>
      <c r="K398" t="s">
        <v>106</v>
      </c>
      <c r="L398" t="s">
        <v>732</v>
      </c>
      <c r="M398" t="s">
        <v>736</v>
      </c>
      <c r="N398">
        <v>1</v>
      </c>
      <c r="O398">
        <v>2030</v>
      </c>
      <c r="P398">
        <v>5667.3116722418044</v>
      </c>
      <c r="Q398">
        <v>63.780978532496562</v>
      </c>
      <c r="R398" t="s">
        <v>249</v>
      </c>
      <c r="S398">
        <v>0.43508713487380868</v>
      </c>
      <c r="T398" t="s">
        <v>250</v>
      </c>
      <c r="U398">
        <v>1.052823315118397</v>
      </c>
      <c r="V398">
        <v>7991.4391852139524</v>
      </c>
      <c r="W398">
        <v>89.937141380873001</v>
      </c>
      <c r="X398" t="s">
        <v>111</v>
      </c>
      <c r="Y398">
        <v>20</v>
      </c>
      <c r="Z398">
        <v>0.44</v>
      </c>
      <c r="AA398">
        <v>31.536000000000001</v>
      </c>
    </row>
    <row r="399" spans="1:27" hidden="1" x14ac:dyDescent="0.25">
      <c r="A399" t="s">
        <v>98</v>
      </c>
      <c r="B399" t="s">
        <v>674</v>
      </c>
      <c r="D399" t="s">
        <v>100</v>
      </c>
      <c r="E399" t="s">
        <v>243</v>
      </c>
      <c r="F399" t="s">
        <v>244</v>
      </c>
      <c r="G399" t="s">
        <v>112</v>
      </c>
      <c r="H399" t="s">
        <v>104</v>
      </c>
      <c r="I399">
        <v>2030</v>
      </c>
      <c r="J399" t="s">
        <v>257</v>
      </c>
      <c r="K399" t="s">
        <v>106</v>
      </c>
      <c r="L399" t="s">
        <v>732</v>
      </c>
      <c r="M399" t="s">
        <v>737</v>
      </c>
      <c r="N399">
        <v>1</v>
      </c>
      <c r="O399">
        <v>2030</v>
      </c>
      <c r="P399">
        <v>5911.8706390075113</v>
      </c>
      <c r="Q399">
        <v>63.780978532496562</v>
      </c>
      <c r="R399" t="s">
        <v>249</v>
      </c>
      <c r="S399">
        <v>0.44315925240393511</v>
      </c>
      <c r="T399" t="s">
        <v>250</v>
      </c>
      <c r="U399">
        <v>1.0723562152133581</v>
      </c>
      <c r="V399">
        <v>8336.2901874412255</v>
      </c>
      <c r="W399">
        <v>89.937141380873001</v>
      </c>
      <c r="X399" t="s">
        <v>111</v>
      </c>
      <c r="Y399">
        <v>20</v>
      </c>
      <c r="Z399">
        <v>0.44</v>
      </c>
      <c r="AA399">
        <v>31.536000000000001</v>
      </c>
    </row>
    <row r="400" spans="1:27" hidden="1" x14ac:dyDescent="0.25">
      <c r="A400" t="s">
        <v>98</v>
      </c>
      <c r="B400" t="s">
        <v>674</v>
      </c>
      <c r="D400" t="s">
        <v>100</v>
      </c>
      <c r="E400" t="s">
        <v>243</v>
      </c>
      <c r="F400" t="s">
        <v>244</v>
      </c>
      <c r="G400" t="s">
        <v>103</v>
      </c>
      <c r="H400" t="s">
        <v>104</v>
      </c>
      <c r="I400">
        <v>2040</v>
      </c>
      <c r="J400" t="s">
        <v>259</v>
      </c>
      <c r="K400" t="s">
        <v>106</v>
      </c>
      <c r="L400" t="s">
        <v>732</v>
      </c>
      <c r="M400" t="s">
        <v>738</v>
      </c>
      <c r="N400">
        <v>1</v>
      </c>
      <c r="O400">
        <v>2040</v>
      </c>
      <c r="P400">
        <v>5667.3116722418044</v>
      </c>
      <c r="Q400">
        <v>63.780978532496562</v>
      </c>
      <c r="R400" t="s">
        <v>249</v>
      </c>
      <c r="S400">
        <v>0.43508713487380868</v>
      </c>
      <c r="T400" t="s">
        <v>250</v>
      </c>
      <c r="U400">
        <v>1.052823315118397</v>
      </c>
      <c r="V400">
        <v>7991.4391852139524</v>
      </c>
      <c r="W400">
        <v>89.937141380873001</v>
      </c>
      <c r="X400" t="s">
        <v>111</v>
      </c>
      <c r="Y400">
        <v>20</v>
      </c>
      <c r="Z400">
        <v>0.44</v>
      </c>
      <c r="AA400">
        <v>31.536000000000001</v>
      </c>
    </row>
    <row r="401" spans="1:27" hidden="1" x14ac:dyDescent="0.25">
      <c r="A401" t="s">
        <v>98</v>
      </c>
      <c r="B401" t="s">
        <v>674</v>
      </c>
      <c r="D401" t="s">
        <v>100</v>
      </c>
      <c r="E401" t="s">
        <v>243</v>
      </c>
      <c r="F401" t="s">
        <v>244</v>
      </c>
      <c r="G401" t="s">
        <v>112</v>
      </c>
      <c r="H401" t="s">
        <v>104</v>
      </c>
      <c r="I401">
        <v>2040</v>
      </c>
      <c r="J401" t="s">
        <v>261</v>
      </c>
      <c r="K401" t="s">
        <v>106</v>
      </c>
      <c r="L401" t="s">
        <v>732</v>
      </c>
      <c r="M401" t="s">
        <v>739</v>
      </c>
      <c r="N401">
        <v>1</v>
      </c>
      <c r="O401">
        <v>2040</v>
      </c>
      <c r="P401">
        <v>5911.8706390075113</v>
      </c>
      <c r="Q401">
        <v>63.780978532496562</v>
      </c>
      <c r="R401" t="s">
        <v>249</v>
      </c>
      <c r="S401">
        <v>0.44315925240393511</v>
      </c>
      <c r="T401" t="s">
        <v>250</v>
      </c>
      <c r="U401">
        <v>1.0723562152133581</v>
      </c>
      <c r="V401">
        <v>8336.2901874412255</v>
      </c>
      <c r="W401">
        <v>89.937141380873001</v>
      </c>
      <c r="X401" t="s">
        <v>111</v>
      </c>
      <c r="Y401">
        <v>20</v>
      </c>
      <c r="Z401">
        <v>0.44</v>
      </c>
      <c r="AA401">
        <v>31.536000000000001</v>
      </c>
    </row>
    <row r="402" spans="1:27" hidden="1" x14ac:dyDescent="0.25">
      <c r="A402" t="s">
        <v>98</v>
      </c>
      <c r="B402" t="s">
        <v>674</v>
      </c>
      <c r="D402" t="s">
        <v>100</v>
      </c>
      <c r="E402" t="s">
        <v>243</v>
      </c>
      <c r="F402" t="s">
        <v>244</v>
      </c>
      <c r="G402" t="s">
        <v>103</v>
      </c>
      <c r="H402" t="s">
        <v>104</v>
      </c>
      <c r="I402">
        <v>2050</v>
      </c>
      <c r="J402" t="s">
        <v>263</v>
      </c>
      <c r="K402" t="s">
        <v>106</v>
      </c>
      <c r="L402" t="s">
        <v>732</v>
      </c>
      <c r="M402" t="s">
        <v>740</v>
      </c>
      <c r="N402">
        <v>1</v>
      </c>
      <c r="O402">
        <v>2050</v>
      </c>
      <c r="P402">
        <v>5667.3116722418044</v>
      </c>
      <c r="Q402">
        <v>63.780978532496562</v>
      </c>
      <c r="R402" t="s">
        <v>249</v>
      </c>
      <c r="S402">
        <v>0.43508713487380868</v>
      </c>
      <c r="T402" t="s">
        <v>250</v>
      </c>
      <c r="U402">
        <v>1.052823315118397</v>
      </c>
      <c r="V402">
        <v>7991.4391852139524</v>
      </c>
      <c r="W402">
        <v>89.937141380873001</v>
      </c>
      <c r="X402" t="s">
        <v>111</v>
      </c>
      <c r="Y402">
        <v>20</v>
      </c>
      <c r="Z402">
        <v>0.44</v>
      </c>
      <c r="AA402">
        <v>31.536000000000001</v>
      </c>
    </row>
    <row r="403" spans="1:27" hidden="1" x14ac:dyDescent="0.25">
      <c r="A403" t="s">
        <v>98</v>
      </c>
      <c r="B403" t="s">
        <v>674</v>
      </c>
      <c r="D403" t="s">
        <v>100</v>
      </c>
      <c r="E403" t="s">
        <v>243</v>
      </c>
      <c r="F403" t="s">
        <v>244</v>
      </c>
      <c r="G403" t="s">
        <v>112</v>
      </c>
      <c r="H403" t="s">
        <v>104</v>
      </c>
      <c r="I403">
        <v>2050</v>
      </c>
      <c r="J403" t="s">
        <v>265</v>
      </c>
      <c r="K403" t="s">
        <v>106</v>
      </c>
      <c r="L403" t="s">
        <v>732</v>
      </c>
      <c r="M403" t="s">
        <v>741</v>
      </c>
      <c r="N403">
        <v>1</v>
      </c>
      <c r="O403">
        <v>2050</v>
      </c>
      <c r="P403">
        <v>5911.8706390075113</v>
      </c>
      <c r="Q403">
        <v>63.780978532496562</v>
      </c>
      <c r="R403" t="s">
        <v>249</v>
      </c>
      <c r="S403">
        <v>0.44315925240393511</v>
      </c>
      <c r="T403" t="s">
        <v>250</v>
      </c>
      <c r="U403">
        <v>1.0723562152133581</v>
      </c>
      <c r="V403">
        <v>8336.2901874412255</v>
      </c>
      <c r="W403">
        <v>89.937141380873001</v>
      </c>
      <c r="X403" t="s">
        <v>111</v>
      </c>
      <c r="Y403">
        <v>20</v>
      </c>
      <c r="Z403">
        <v>0.44</v>
      </c>
      <c r="AA403">
        <v>31.536000000000001</v>
      </c>
    </row>
    <row r="404" spans="1:27" hidden="1" x14ac:dyDescent="0.25">
      <c r="A404" t="s">
        <v>98</v>
      </c>
      <c r="B404" t="s">
        <v>674</v>
      </c>
      <c r="D404" t="s">
        <v>100</v>
      </c>
      <c r="E404" t="s">
        <v>243</v>
      </c>
      <c r="F404" t="s">
        <v>267</v>
      </c>
      <c r="G404" t="s">
        <v>245</v>
      </c>
      <c r="H404" t="s">
        <v>104</v>
      </c>
      <c r="I404">
        <v>2022</v>
      </c>
      <c r="J404" t="s">
        <v>268</v>
      </c>
      <c r="K404" t="s">
        <v>106</v>
      </c>
      <c r="L404" t="s">
        <v>732</v>
      </c>
      <c r="M404" t="s">
        <v>742</v>
      </c>
      <c r="N404">
        <v>1</v>
      </c>
      <c r="O404">
        <v>2020</v>
      </c>
      <c r="P404">
        <v>7748.5410872802086</v>
      </c>
      <c r="Q404">
        <v>68.755259026523561</v>
      </c>
      <c r="R404" t="s">
        <v>249</v>
      </c>
      <c r="S404">
        <v>0.29876527460377861</v>
      </c>
      <c r="T404" t="s">
        <v>250</v>
      </c>
      <c r="U404">
        <v>0.72295184490306452</v>
      </c>
      <c r="V404">
        <v>10926.167194301681</v>
      </c>
      <c r="W404">
        <v>96.951341826723592</v>
      </c>
      <c r="X404" t="s">
        <v>111</v>
      </c>
      <c r="Y404">
        <v>20</v>
      </c>
      <c r="Z404">
        <v>0.44</v>
      </c>
      <c r="AA404">
        <v>31.536000000000001</v>
      </c>
    </row>
    <row r="405" spans="1:27" hidden="1" x14ac:dyDescent="0.25">
      <c r="A405" t="s">
        <v>98</v>
      </c>
      <c r="B405" t="s">
        <v>674</v>
      </c>
      <c r="D405" t="s">
        <v>100</v>
      </c>
      <c r="E405" t="s">
        <v>243</v>
      </c>
      <c r="F405" t="s">
        <v>267</v>
      </c>
      <c r="G405" t="s">
        <v>112</v>
      </c>
      <c r="H405" t="s">
        <v>104</v>
      </c>
      <c r="I405">
        <v>2022</v>
      </c>
      <c r="J405" t="s">
        <v>270</v>
      </c>
      <c r="K405" t="s">
        <v>106</v>
      </c>
      <c r="L405" t="s">
        <v>732</v>
      </c>
      <c r="M405" t="s">
        <v>743</v>
      </c>
      <c r="N405">
        <v>1</v>
      </c>
      <c r="O405">
        <v>2020</v>
      </c>
      <c r="P405">
        <v>8151.6394802345676</v>
      </c>
      <c r="Q405">
        <v>68.755259026523561</v>
      </c>
      <c r="R405" t="s">
        <v>249</v>
      </c>
      <c r="S405">
        <v>0.29876527460377861</v>
      </c>
      <c r="T405" t="s">
        <v>250</v>
      </c>
      <c r="U405">
        <v>0.72295184490306452</v>
      </c>
      <c r="V405">
        <v>11494.57360623949</v>
      </c>
      <c r="W405">
        <v>96.951341826723592</v>
      </c>
      <c r="X405" t="s">
        <v>111</v>
      </c>
      <c r="Y405">
        <v>20</v>
      </c>
      <c r="Z405">
        <v>0.44</v>
      </c>
      <c r="AA405">
        <v>31.536000000000001</v>
      </c>
    </row>
    <row r="406" spans="1:27" hidden="1" x14ac:dyDescent="0.25">
      <c r="A406" t="s">
        <v>98</v>
      </c>
      <c r="B406" t="s">
        <v>674</v>
      </c>
      <c r="D406" t="s">
        <v>100</v>
      </c>
      <c r="E406" t="s">
        <v>243</v>
      </c>
      <c r="F406" t="s">
        <v>267</v>
      </c>
      <c r="G406" t="s">
        <v>103</v>
      </c>
      <c r="H406" t="s">
        <v>104</v>
      </c>
      <c r="I406">
        <v>2030</v>
      </c>
      <c r="J406" t="s">
        <v>272</v>
      </c>
      <c r="K406" t="s">
        <v>106</v>
      </c>
      <c r="L406" t="s">
        <v>732</v>
      </c>
      <c r="M406" t="s">
        <v>744</v>
      </c>
      <c r="N406">
        <v>1</v>
      </c>
      <c r="O406">
        <v>2030</v>
      </c>
      <c r="P406">
        <v>8119.0316179991396</v>
      </c>
      <c r="Q406">
        <v>68.755259026523561</v>
      </c>
      <c r="R406" t="s">
        <v>249</v>
      </c>
      <c r="S406">
        <v>0.29876527460377861</v>
      </c>
      <c r="T406" t="s">
        <v>250</v>
      </c>
      <c r="U406">
        <v>0.72295184490306452</v>
      </c>
      <c r="V406">
        <v>11448.59347260918</v>
      </c>
      <c r="W406">
        <v>96.951341826723592</v>
      </c>
      <c r="X406" t="s">
        <v>111</v>
      </c>
      <c r="Y406">
        <v>20</v>
      </c>
      <c r="Z406">
        <v>0.44</v>
      </c>
      <c r="AA406">
        <v>31.536000000000001</v>
      </c>
    </row>
    <row r="407" spans="1:27" hidden="1" x14ac:dyDescent="0.25">
      <c r="A407" t="s">
        <v>98</v>
      </c>
      <c r="B407" t="s">
        <v>674</v>
      </c>
      <c r="D407" t="s">
        <v>100</v>
      </c>
      <c r="E407" t="s">
        <v>243</v>
      </c>
      <c r="F407" t="s">
        <v>267</v>
      </c>
      <c r="G407" t="s">
        <v>112</v>
      </c>
      <c r="H407" t="s">
        <v>104</v>
      </c>
      <c r="I407">
        <v>2030</v>
      </c>
      <c r="J407" t="s">
        <v>274</v>
      </c>
      <c r="K407" t="s">
        <v>106</v>
      </c>
      <c r="L407" t="s">
        <v>732</v>
      </c>
      <c r="M407" t="s">
        <v>745</v>
      </c>
      <c r="N407">
        <v>1</v>
      </c>
      <c r="O407">
        <v>2030</v>
      </c>
      <c r="P407">
        <v>8151.6394802345676</v>
      </c>
      <c r="Q407">
        <v>68.755259026523561</v>
      </c>
      <c r="R407" t="s">
        <v>249</v>
      </c>
      <c r="S407">
        <v>0.31450011460924421</v>
      </c>
      <c r="T407" t="s">
        <v>250</v>
      </c>
      <c r="U407">
        <v>0.76102699144173802</v>
      </c>
      <c r="V407">
        <v>11494.57360623949</v>
      </c>
      <c r="W407">
        <v>96.951341826723578</v>
      </c>
      <c r="X407" t="s">
        <v>111</v>
      </c>
      <c r="Y407">
        <v>20</v>
      </c>
      <c r="Z407">
        <v>0.44</v>
      </c>
      <c r="AA407">
        <v>31.536000000000001</v>
      </c>
    </row>
    <row r="408" spans="1:27" hidden="1" x14ac:dyDescent="0.25">
      <c r="A408" t="s">
        <v>98</v>
      </c>
      <c r="B408" t="s">
        <v>674</v>
      </c>
      <c r="D408" t="s">
        <v>100</v>
      </c>
      <c r="E408" t="s">
        <v>243</v>
      </c>
      <c r="F408" t="s">
        <v>267</v>
      </c>
      <c r="G408" t="s">
        <v>103</v>
      </c>
      <c r="H408" t="s">
        <v>104</v>
      </c>
      <c r="I408">
        <v>2040</v>
      </c>
      <c r="J408" t="s">
        <v>276</v>
      </c>
      <c r="K408" t="s">
        <v>106</v>
      </c>
      <c r="L408" t="s">
        <v>732</v>
      </c>
      <c r="M408" t="s">
        <v>746</v>
      </c>
      <c r="N408">
        <v>1</v>
      </c>
      <c r="O408">
        <v>2040</v>
      </c>
      <c r="P408">
        <v>8119.0316179991396</v>
      </c>
      <c r="Q408">
        <v>68.755259026523561</v>
      </c>
      <c r="R408" t="s">
        <v>249</v>
      </c>
      <c r="S408">
        <v>0.29876527460377861</v>
      </c>
      <c r="T408" t="s">
        <v>250</v>
      </c>
      <c r="U408">
        <v>0.72295184490306452</v>
      </c>
      <c r="V408">
        <v>11448.59347260918</v>
      </c>
      <c r="W408">
        <v>96.951341826723592</v>
      </c>
      <c r="X408" t="s">
        <v>111</v>
      </c>
      <c r="Y408">
        <v>20</v>
      </c>
      <c r="Z408">
        <v>0.44</v>
      </c>
      <c r="AA408">
        <v>31.536000000000001</v>
      </c>
    </row>
    <row r="409" spans="1:27" hidden="1" x14ac:dyDescent="0.25">
      <c r="A409" t="s">
        <v>98</v>
      </c>
      <c r="B409" t="s">
        <v>674</v>
      </c>
      <c r="D409" t="s">
        <v>100</v>
      </c>
      <c r="E409" t="s">
        <v>243</v>
      </c>
      <c r="F409" t="s">
        <v>267</v>
      </c>
      <c r="G409" t="s">
        <v>112</v>
      </c>
      <c r="H409" t="s">
        <v>104</v>
      </c>
      <c r="I409">
        <v>2040</v>
      </c>
      <c r="J409" t="s">
        <v>278</v>
      </c>
      <c r="K409" t="s">
        <v>106</v>
      </c>
      <c r="L409" t="s">
        <v>732</v>
      </c>
      <c r="M409" t="s">
        <v>747</v>
      </c>
      <c r="N409">
        <v>1</v>
      </c>
      <c r="O409">
        <v>2040</v>
      </c>
      <c r="P409">
        <v>8151.6394802345676</v>
      </c>
      <c r="Q409">
        <v>68.755259026523561</v>
      </c>
      <c r="R409" t="s">
        <v>249</v>
      </c>
      <c r="S409">
        <v>0.31450011460924421</v>
      </c>
      <c r="T409" t="s">
        <v>250</v>
      </c>
      <c r="U409">
        <v>0.76102699144173802</v>
      </c>
      <c r="V409">
        <v>11494.57360623949</v>
      </c>
      <c r="W409">
        <v>96.951341826723578</v>
      </c>
      <c r="X409" t="s">
        <v>111</v>
      </c>
      <c r="Y409">
        <v>20</v>
      </c>
      <c r="Z409">
        <v>0.44</v>
      </c>
      <c r="AA409">
        <v>31.536000000000001</v>
      </c>
    </row>
    <row r="410" spans="1:27" hidden="1" x14ac:dyDescent="0.25">
      <c r="A410" t="s">
        <v>98</v>
      </c>
      <c r="B410" t="s">
        <v>674</v>
      </c>
      <c r="D410" t="s">
        <v>100</v>
      </c>
      <c r="E410" t="s">
        <v>243</v>
      </c>
      <c r="F410" t="s">
        <v>267</v>
      </c>
      <c r="G410" t="s">
        <v>103</v>
      </c>
      <c r="H410" t="s">
        <v>104</v>
      </c>
      <c r="I410">
        <v>2050</v>
      </c>
      <c r="J410" t="s">
        <v>280</v>
      </c>
      <c r="K410" t="s">
        <v>106</v>
      </c>
      <c r="L410" t="s">
        <v>732</v>
      </c>
      <c r="M410" t="s">
        <v>748</v>
      </c>
      <c r="N410">
        <v>1</v>
      </c>
      <c r="O410">
        <v>2050</v>
      </c>
      <c r="P410">
        <v>8119.0316179991396</v>
      </c>
      <c r="Q410">
        <v>68.755259026523561</v>
      </c>
      <c r="R410" t="s">
        <v>249</v>
      </c>
      <c r="S410">
        <v>0.29876527460377861</v>
      </c>
      <c r="T410" t="s">
        <v>250</v>
      </c>
      <c r="U410">
        <v>0.72295184490306452</v>
      </c>
      <c r="V410">
        <v>11448.59347260918</v>
      </c>
      <c r="W410">
        <v>96.951341826723592</v>
      </c>
      <c r="X410" t="s">
        <v>111</v>
      </c>
      <c r="Y410">
        <v>20</v>
      </c>
      <c r="Z410">
        <v>0.44</v>
      </c>
      <c r="AA410">
        <v>31.536000000000001</v>
      </c>
    </row>
    <row r="411" spans="1:27" hidden="1" x14ac:dyDescent="0.25">
      <c r="A411" t="s">
        <v>98</v>
      </c>
      <c r="B411" t="s">
        <v>674</v>
      </c>
      <c r="D411" t="s">
        <v>100</v>
      </c>
      <c r="E411" t="s">
        <v>243</v>
      </c>
      <c r="F411" t="s">
        <v>267</v>
      </c>
      <c r="G411" t="s">
        <v>112</v>
      </c>
      <c r="H411" t="s">
        <v>104</v>
      </c>
      <c r="I411">
        <v>2050</v>
      </c>
      <c r="J411" t="s">
        <v>282</v>
      </c>
      <c r="K411" t="s">
        <v>106</v>
      </c>
      <c r="L411" t="s">
        <v>732</v>
      </c>
      <c r="M411" t="s">
        <v>749</v>
      </c>
      <c r="N411">
        <v>1</v>
      </c>
      <c r="O411">
        <v>2050</v>
      </c>
      <c r="P411">
        <v>8151.6394802345676</v>
      </c>
      <c r="Q411">
        <v>68.755259026523561</v>
      </c>
      <c r="R411" t="s">
        <v>249</v>
      </c>
      <c r="S411">
        <v>0.31450011460924421</v>
      </c>
      <c r="T411" t="s">
        <v>250</v>
      </c>
      <c r="U411">
        <v>0.76102699144173802</v>
      </c>
      <c r="V411">
        <v>11494.57360623949</v>
      </c>
      <c r="W411">
        <v>96.951341826723578</v>
      </c>
      <c r="X411" t="s">
        <v>111</v>
      </c>
      <c r="Y411">
        <v>20</v>
      </c>
      <c r="Z411">
        <v>0.44</v>
      </c>
      <c r="AA411">
        <v>31.536000000000001</v>
      </c>
    </row>
    <row r="412" spans="1:27" hidden="1" x14ac:dyDescent="0.25">
      <c r="A412" t="s">
        <v>98</v>
      </c>
      <c r="B412" t="s">
        <v>674</v>
      </c>
      <c r="D412" t="s">
        <v>100</v>
      </c>
      <c r="E412" t="s">
        <v>284</v>
      </c>
      <c r="F412" t="s">
        <v>285</v>
      </c>
      <c r="G412" t="s">
        <v>103</v>
      </c>
      <c r="H412" t="s">
        <v>104</v>
      </c>
      <c r="I412">
        <v>2022</v>
      </c>
      <c r="J412" t="s">
        <v>286</v>
      </c>
      <c r="K412" t="s">
        <v>106</v>
      </c>
      <c r="L412" t="s">
        <v>750</v>
      </c>
      <c r="M412" t="s">
        <v>751</v>
      </c>
      <c r="N412">
        <v>1</v>
      </c>
      <c r="O412">
        <v>2020</v>
      </c>
      <c r="P412">
        <v>100.10336678844671</v>
      </c>
      <c r="Q412">
        <v>36.612504973710713</v>
      </c>
      <c r="R412" t="s">
        <v>289</v>
      </c>
      <c r="S412">
        <v>15.58191798941797</v>
      </c>
      <c r="T412" t="s">
        <v>290</v>
      </c>
      <c r="U412">
        <v>15.58191798941797</v>
      </c>
      <c r="V412">
        <v>100.10336678844671</v>
      </c>
      <c r="W412">
        <v>36.612504973710713</v>
      </c>
      <c r="X412" t="s">
        <v>291</v>
      </c>
      <c r="Y412">
        <v>10</v>
      </c>
      <c r="Z412">
        <v>0.28693283304369371</v>
      </c>
      <c r="AA412">
        <v>1</v>
      </c>
    </row>
    <row r="413" spans="1:27" hidden="1" x14ac:dyDescent="0.25">
      <c r="A413" t="s">
        <v>98</v>
      </c>
      <c r="B413" t="s">
        <v>674</v>
      </c>
      <c r="D413" t="s">
        <v>100</v>
      </c>
      <c r="E413" t="s">
        <v>284</v>
      </c>
      <c r="F413" t="s">
        <v>292</v>
      </c>
      <c r="G413" t="s">
        <v>103</v>
      </c>
      <c r="H413" t="s">
        <v>104</v>
      </c>
      <c r="I413">
        <v>2022</v>
      </c>
      <c r="J413" t="s">
        <v>293</v>
      </c>
      <c r="K413" t="s">
        <v>106</v>
      </c>
      <c r="L413" t="s">
        <v>750</v>
      </c>
      <c r="M413" t="s">
        <v>752</v>
      </c>
      <c r="N413">
        <v>1</v>
      </c>
      <c r="O413">
        <v>2020</v>
      </c>
      <c r="P413">
        <v>99.46253669701926</v>
      </c>
      <c r="Q413">
        <v>6.0605044913603194</v>
      </c>
      <c r="R413" t="s">
        <v>289</v>
      </c>
      <c r="S413">
        <v>42.005691056910557</v>
      </c>
      <c r="T413" t="s">
        <v>290</v>
      </c>
      <c r="U413">
        <v>42.005691056910557</v>
      </c>
      <c r="V413">
        <v>99.46253669701926</v>
      </c>
      <c r="W413">
        <v>6.0605044913603194</v>
      </c>
      <c r="X413" t="s">
        <v>291</v>
      </c>
      <c r="Y413">
        <v>10</v>
      </c>
      <c r="Z413">
        <v>0.28693283304369371</v>
      </c>
      <c r="AA413">
        <v>1</v>
      </c>
    </row>
    <row r="414" spans="1:27" hidden="1" x14ac:dyDescent="0.25">
      <c r="A414" t="s">
        <v>98</v>
      </c>
      <c r="B414" t="s">
        <v>674</v>
      </c>
      <c r="D414" t="s">
        <v>100</v>
      </c>
      <c r="E414" t="s">
        <v>284</v>
      </c>
      <c r="F414" t="s">
        <v>292</v>
      </c>
      <c r="G414" t="s">
        <v>112</v>
      </c>
      <c r="H414" t="s">
        <v>104</v>
      </c>
      <c r="I414">
        <v>2022</v>
      </c>
      <c r="J414" t="s">
        <v>295</v>
      </c>
      <c r="K414" t="s">
        <v>106</v>
      </c>
      <c r="L414" t="s">
        <v>750</v>
      </c>
      <c r="M414" t="s">
        <v>753</v>
      </c>
      <c r="N414">
        <v>1</v>
      </c>
      <c r="O414">
        <v>2020</v>
      </c>
      <c r="P414">
        <v>92.517129414925563</v>
      </c>
      <c r="Q414">
        <v>5.9256499638890956</v>
      </c>
      <c r="R414" t="s">
        <v>289</v>
      </c>
      <c r="S414">
        <v>43.051923076923067</v>
      </c>
      <c r="T414" t="s">
        <v>290</v>
      </c>
      <c r="U414">
        <v>43.051923076923067</v>
      </c>
      <c r="V414">
        <v>92.517129414925563</v>
      </c>
      <c r="W414">
        <v>5.9256499638890956</v>
      </c>
      <c r="X414" t="s">
        <v>291</v>
      </c>
      <c r="Y414">
        <v>10</v>
      </c>
      <c r="Z414">
        <v>0.28693283304369371</v>
      </c>
      <c r="AA414">
        <v>1</v>
      </c>
    </row>
    <row r="415" spans="1:27" hidden="1" x14ac:dyDescent="0.25">
      <c r="A415" t="s">
        <v>98</v>
      </c>
      <c r="B415" t="s">
        <v>674</v>
      </c>
      <c r="D415" t="s">
        <v>100</v>
      </c>
      <c r="E415" t="s">
        <v>284</v>
      </c>
      <c r="F415" t="s">
        <v>297</v>
      </c>
      <c r="G415" t="s">
        <v>103</v>
      </c>
      <c r="H415" t="s">
        <v>104</v>
      </c>
      <c r="I415">
        <v>2022</v>
      </c>
      <c r="J415" t="s">
        <v>298</v>
      </c>
      <c r="K415" t="s">
        <v>106</v>
      </c>
      <c r="L415" t="s">
        <v>750</v>
      </c>
      <c r="M415" t="s">
        <v>754</v>
      </c>
      <c r="N415">
        <v>1</v>
      </c>
      <c r="O415">
        <v>2020</v>
      </c>
      <c r="P415">
        <v>94.526951376087595</v>
      </c>
      <c r="Q415">
        <v>3.949349451558744</v>
      </c>
      <c r="R415" t="s">
        <v>289</v>
      </c>
      <c r="S415">
        <v>76.146700507614213</v>
      </c>
      <c r="T415" t="s">
        <v>290</v>
      </c>
      <c r="U415">
        <v>76.146700507614213</v>
      </c>
      <c r="V415">
        <v>94.526951376087595</v>
      </c>
      <c r="W415">
        <v>3.949349451558744</v>
      </c>
      <c r="X415" t="s">
        <v>291</v>
      </c>
      <c r="Y415">
        <v>10</v>
      </c>
      <c r="Z415">
        <v>0.28693283304369371</v>
      </c>
      <c r="AA415">
        <v>1</v>
      </c>
    </row>
    <row r="416" spans="1:27" hidden="1" x14ac:dyDescent="0.25">
      <c r="A416" t="s">
        <v>98</v>
      </c>
      <c r="B416" t="s">
        <v>674</v>
      </c>
      <c r="D416" t="s">
        <v>100</v>
      </c>
      <c r="E416" t="s">
        <v>284</v>
      </c>
      <c r="F416" t="s">
        <v>297</v>
      </c>
      <c r="G416" t="s">
        <v>112</v>
      </c>
      <c r="H416" t="s">
        <v>104</v>
      </c>
      <c r="I416">
        <v>2022</v>
      </c>
      <c r="J416" t="s">
        <v>300</v>
      </c>
      <c r="K416" t="s">
        <v>106</v>
      </c>
      <c r="L416" t="s">
        <v>750</v>
      </c>
      <c r="M416" t="s">
        <v>755</v>
      </c>
      <c r="N416">
        <v>1</v>
      </c>
      <c r="O416">
        <v>2020</v>
      </c>
      <c r="P416">
        <v>69.765067810793198</v>
      </c>
      <c r="Q416">
        <v>2.516631606553434</v>
      </c>
      <c r="R416" t="s">
        <v>289</v>
      </c>
      <c r="S416">
        <v>93</v>
      </c>
      <c r="T416" t="s">
        <v>290</v>
      </c>
      <c r="U416">
        <v>93</v>
      </c>
      <c r="V416">
        <v>69.765067810793198</v>
      </c>
      <c r="W416">
        <v>2.516631606553434</v>
      </c>
      <c r="X416" t="s">
        <v>291</v>
      </c>
      <c r="Y416">
        <v>10</v>
      </c>
      <c r="Z416">
        <v>0.28693283304369371</v>
      </c>
      <c r="AA416">
        <v>1</v>
      </c>
    </row>
    <row r="417" spans="1:27" hidden="1" x14ac:dyDescent="0.25">
      <c r="A417" t="s">
        <v>98</v>
      </c>
      <c r="B417" t="s">
        <v>674</v>
      </c>
      <c r="D417" t="s">
        <v>100</v>
      </c>
      <c r="E417" t="s">
        <v>284</v>
      </c>
      <c r="F417" t="s">
        <v>302</v>
      </c>
      <c r="G417" t="s">
        <v>103</v>
      </c>
      <c r="H417" t="s">
        <v>104</v>
      </c>
      <c r="I417">
        <v>2022</v>
      </c>
      <c r="J417" t="s">
        <v>303</v>
      </c>
      <c r="K417" t="s">
        <v>106</v>
      </c>
      <c r="L417" t="s">
        <v>750</v>
      </c>
      <c r="M417" t="s">
        <v>756</v>
      </c>
      <c r="N417">
        <v>1</v>
      </c>
      <c r="O417">
        <v>2020</v>
      </c>
      <c r="P417">
        <v>105.7930490817716</v>
      </c>
      <c r="Q417">
        <v>3.355492309527206</v>
      </c>
      <c r="R417" t="s">
        <v>289</v>
      </c>
      <c r="S417">
        <v>64.669172932330824</v>
      </c>
      <c r="T417" t="s">
        <v>290</v>
      </c>
      <c r="U417">
        <v>64.669172932330824</v>
      </c>
      <c r="V417">
        <v>105.7930490817716</v>
      </c>
      <c r="W417">
        <v>3.355492309527206</v>
      </c>
      <c r="X417" t="s">
        <v>291</v>
      </c>
      <c r="Y417">
        <v>10</v>
      </c>
      <c r="Z417">
        <v>0.28693283304369371</v>
      </c>
      <c r="AA417">
        <v>1</v>
      </c>
    </row>
    <row r="418" spans="1:27" hidden="1" x14ac:dyDescent="0.25">
      <c r="A418" t="s">
        <v>98</v>
      </c>
      <c r="B418" t="s">
        <v>674</v>
      </c>
      <c r="D418" t="s">
        <v>100</v>
      </c>
      <c r="E418" t="s">
        <v>284</v>
      </c>
      <c r="F418" t="s">
        <v>302</v>
      </c>
      <c r="G418" t="s">
        <v>112</v>
      </c>
      <c r="H418" t="s">
        <v>104</v>
      </c>
      <c r="I418">
        <v>2022</v>
      </c>
      <c r="J418" t="s">
        <v>305</v>
      </c>
      <c r="K418" t="s">
        <v>106</v>
      </c>
      <c r="L418" t="s">
        <v>750</v>
      </c>
      <c r="M418" t="s">
        <v>757</v>
      </c>
      <c r="N418">
        <v>1</v>
      </c>
      <c r="O418">
        <v>2020</v>
      </c>
      <c r="P418">
        <v>99.614212714858894</v>
      </c>
      <c r="Q418">
        <v>1.4361600838792941</v>
      </c>
      <c r="R418" t="s">
        <v>289</v>
      </c>
      <c r="S418">
        <v>75.07692307692308</v>
      </c>
      <c r="T418" t="s">
        <v>290</v>
      </c>
      <c r="U418">
        <v>75.07692307692308</v>
      </c>
      <c r="V418">
        <v>99.614212714858894</v>
      </c>
      <c r="W418">
        <v>1.4361600838792941</v>
      </c>
      <c r="X418" t="s">
        <v>291</v>
      </c>
      <c r="Y418">
        <v>10</v>
      </c>
      <c r="Z418">
        <v>0.28693283304369371</v>
      </c>
      <c r="AA418">
        <v>1</v>
      </c>
    </row>
    <row r="419" spans="1:27" hidden="1" x14ac:dyDescent="0.25">
      <c r="A419" t="s">
        <v>98</v>
      </c>
      <c r="B419" t="s">
        <v>674</v>
      </c>
      <c r="D419" t="s">
        <v>100</v>
      </c>
      <c r="E419" t="s">
        <v>284</v>
      </c>
      <c r="F419" t="s">
        <v>297</v>
      </c>
      <c r="G419" t="s">
        <v>103</v>
      </c>
      <c r="H419" t="s">
        <v>104</v>
      </c>
      <c r="I419">
        <v>2023</v>
      </c>
      <c r="J419" t="s">
        <v>307</v>
      </c>
      <c r="K419" t="s">
        <v>106</v>
      </c>
      <c r="L419" t="s">
        <v>750</v>
      </c>
      <c r="M419" t="s">
        <v>758</v>
      </c>
      <c r="N419">
        <v>1</v>
      </c>
      <c r="O419">
        <v>2023</v>
      </c>
      <c r="P419">
        <v>94.526951376087595</v>
      </c>
      <c r="Q419">
        <v>3.949349451558744</v>
      </c>
      <c r="R419" t="s">
        <v>289</v>
      </c>
      <c r="S419">
        <v>76.146700507614213</v>
      </c>
      <c r="T419" t="s">
        <v>290</v>
      </c>
      <c r="U419">
        <v>76.146700507614213</v>
      </c>
      <c r="V419">
        <v>94.526951376087595</v>
      </c>
      <c r="W419">
        <v>3.949349451558744</v>
      </c>
      <c r="X419" t="s">
        <v>291</v>
      </c>
      <c r="Y419">
        <v>10</v>
      </c>
      <c r="Z419">
        <v>0.28693283304369371</v>
      </c>
      <c r="AA419">
        <v>1</v>
      </c>
    </row>
    <row r="420" spans="1:27" hidden="1" x14ac:dyDescent="0.25">
      <c r="A420" t="s">
        <v>98</v>
      </c>
      <c r="B420" t="s">
        <v>674</v>
      </c>
      <c r="D420" t="s">
        <v>100</v>
      </c>
      <c r="E420" t="s">
        <v>284</v>
      </c>
      <c r="F420" t="s">
        <v>297</v>
      </c>
      <c r="G420" t="s">
        <v>112</v>
      </c>
      <c r="H420" t="s">
        <v>104</v>
      </c>
      <c r="I420">
        <v>2023</v>
      </c>
      <c r="J420" t="s">
        <v>309</v>
      </c>
      <c r="K420" t="s">
        <v>106</v>
      </c>
      <c r="L420" t="s">
        <v>750</v>
      </c>
      <c r="M420" t="s">
        <v>759</v>
      </c>
      <c r="N420">
        <v>1</v>
      </c>
      <c r="O420">
        <v>2023</v>
      </c>
      <c r="P420">
        <v>69.765067810793198</v>
      </c>
      <c r="Q420">
        <v>2.516631606553434</v>
      </c>
      <c r="R420" t="s">
        <v>289</v>
      </c>
      <c r="S420">
        <v>93</v>
      </c>
      <c r="T420" t="s">
        <v>290</v>
      </c>
      <c r="U420">
        <v>93</v>
      </c>
      <c r="V420">
        <v>69.765067810793198</v>
      </c>
      <c r="W420">
        <v>2.516631606553434</v>
      </c>
      <c r="X420" t="s">
        <v>291</v>
      </c>
      <c r="Y420">
        <v>10</v>
      </c>
      <c r="Z420">
        <v>0.28693283304369371</v>
      </c>
      <c r="AA420">
        <v>1</v>
      </c>
    </row>
    <row r="421" spans="1:27" hidden="1" x14ac:dyDescent="0.25">
      <c r="A421" t="s">
        <v>98</v>
      </c>
      <c r="B421" t="s">
        <v>674</v>
      </c>
      <c r="D421" t="s">
        <v>100</v>
      </c>
      <c r="E421" t="s">
        <v>284</v>
      </c>
      <c r="F421" t="s">
        <v>302</v>
      </c>
      <c r="G421" t="s">
        <v>103</v>
      </c>
      <c r="H421" t="s">
        <v>104</v>
      </c>
      <c r="I421">
        <v>2023</v>
      </c>
      <c r="J421" t="s">
        <v>311</v>
      </c>
      <c r="K421" t="s">
        <v>106</v>
      </c>
      <c r="L421" t="s">
        <v>750</v>
      </c>
      <c r="M421" t="s">
        <v>760</v>
      </c>
      <c r="N421">
        <v>1</v>
      </c>
      <c r="O421">
        <v>2023</v>
      </c>
      <c r="P421">
        <v>105.7930490817716</v>
      </c>
      <c r="Q421">
        <v>3.355492309527206</v>
      </c>
      <c r="R421" t="s">
        <v>289</v>
      </c>
      <c r="S421">
        <v>64.669172932330824</v>
      </c>
      <c r="T421" t="s">
        <v>290</v>
      </c>
      <c r="U421">
        <v>64.669172932330824</v>
      </c>
      <c r="V421">
        <v>105.7930490817716</v>
      </c>
      <c r="W421">
        <v>3.355492309527206</v>
      </c>
      <c r="X421" t="s">
        <v>291</v>
      </c>
      <c r="Y421">
        <v>10</v>
      </c>
      <c r="Z421">
        <v>0.28693283304369371</v>
      </c>
      <c r="AA421">
        <v>1</v>
      </c>
    </row>
    <row r="422" spans="1:27" hidden="1" x14ac:dyDescent="0.25">
      <c r="A422" t="s">
        <v>98</v>
      </c>
      <c r="B422" t="s">
        <v>674</v>
      </c>
      <c r="D422" t="s">
        <v>100</v>
      </c>
      <c r="E422" t="s">
        <v>284</v>
      </c>
      <c r="F422" t="s">
        <v>302</v>
      </c>
      <c r="G422" t="s">
        <v>112</v>
      </c>
      <c r="H422" t="s">
        <v>104</v>
      </c>
      <c r="I422">
        <v>2023</v>
      </c>
      <c r="J422" t="s">
        <v>313</v>
      </c>
      <c r="K422" t="s">
        <v>106</v>
      </c>
      <c r="L422" t="s">
        <v>750</v>
      </c>
      <c r="M422" t="s">
        <v>761</v>
      </c>
      <c r="N422">
        <v>1</v>
      </c>
      <c r="O422">
        <v>2023</v>
      </c>
      <c r="P422">
        <v>99.614212714858894</v>
      </c>
      <c r="Q422">
        <v>1.4361600838792941</v>
      </c>
      <c r="R422" t="s">
        <v>289</v>
      </c>
      <c r="S422">
        <v>75.07692307692308</v>
      </c>
      <c r="T422" t="s">
        <v>290</v>
      </c>
      <c r="U422">
        <v>75.07692307692308</v>
      </c>
      <c r="V422">
        <v>99.614212714858894</v>
      </c>
      <c r="W422">
        <v>1.4361600838792941</v>
      </c>
      <c r="X422" t="s">
        <v>291</v>
      </c>
      <c r="Y422">
        <v>10</v>
      </c>
      <c r="Z422">
        <v>0.28693283304369371</v>
      </c>
      <c r="AA422">
        <v>1</v>
      </c>
    </row>
    <row r="423" spans="1:27" hidden="1" x14ac:dyDescent="0.25">
      <c r="A423" t="s">
        <v>98</v>
      </c>
      <c r="B423" t="s">
        <v>674</v>
      </c>
      <c r="D423" t="s">
        <v>100</v>
      </c>
      <c r="E423" t="s">
        <v>284</v>
      </c>
      <c r="F423" t="s">
        <v>297</v>
      </c>
      <c r="G423" t="s">
        <v>103</v>
      </c>
      <c r="H423" t="s">
        <v>104</v>
      </c>
      <c r="I423">
        <v>2024</v>
      </c>
      <c r="J423" t="s">
        <v>315</v>
      </c>
      <c r="K423" t="s">
        <v>106</v>
      </c>
      <c r="L423" t="s">
        <v>750</v>
      </c>
      <c r="M423" t="s">
        <v>762</v>
      </c>
      <c r="N423">
        <v>1</v>
      </c>
      <c r="O423">
        <v>2024</v>
      </c>
      <c r="P423">
        <v>94.526951376087595</v>
      </c>
      <c r="Q423">
        <v>3.949349451558744</v>
      </c>
      <c r="R423" t="s">
        <v>289</v>
      </c>
      <c r="S423">
        <v>76.146700507614213</v>
      </c>
      <c r="T423" t="s">
        <v>290</v>
      </c>
      <c r="U423">
        <v>76.146700507614213</v>
      </c>
      <c r="V423">
        <v>94.526951376087595</v>
      </c>
      <c r="W423">
        <v>3.949349451558744</v>
      </c>
      <c r="X423" t="s">
        <v>291</v>
      </c>
      <c r="Y423">
        <v>10</v>
      </c>
      <c r="Z423">
        <v>0.28693283304369371</v>
      </c>
      <c r="AA423">
        <v>1</v>
      </c>
    </row>
    <row r="424" spans="1:27" hidden="1" x14ac:dyDescent="0.25">
      <c r="A424" t="s">
        <v>98</v>
      </c>
      <c r="B424" t="s">
        <v>674</v>
      </c>
      <c r="D424" t="s">
        <v>100</v>
      </c>
      <c r="E424" t="s">
        <v>284</v>
      </c>
      <c r="F424" t="s">
        <v>297</v>
      </c>
      <c r="G424" t="s">
        <v>112</v>
      </c>
      <c r="H424" t="s">
        <v>104</v>
      </c>
      <c r="I424">
        <v>2024</v>
      </c>
      <c r="J424" t="s">
        <v>317</v>
      </c>
      <c r="K424" t="s">
        <v>106</v>
      </c>
      <c r="L424" t="s">
        <v>750</v>
      </c>
      <c r="M424" t="s">
        <v>763</v>
      </c>
      <c r="N424">
        <v>1</v>
      </c>
      <c r="O424">
        <v>2024</v>
      </c>
      <c r="P424">
        <v>69.765067810793198</v>
      </c>
      <c r="Q424">
        <v>2.516631606553434</v>
      </c>
      <c r="R424" t="s">
        <v>289</v>
      </c>
      <c r="S424">
        <v>93</v>
      </c>
      <c r="T424" t="s">
        <v>290</v>
      </c>
      <c r="U424">
        <v>93</v>
      </c>
      <c r="V424">
        <v>69.765067810793198</v>
      </c>
      <c r="W424">
        <v>2.516631606553434</v>
      </c>
      <c r="X424" t="s">
        <v>291</v>
      </c>
      <c r="Y424">
        <v>10</v>
      </c>
      <c r="Z424">
        <v>0.28693283304369371</v>
      </c>
      <c r="AA424">
        <v>1</v>
      </c>
    </row>
    <row r="425" spans="1:27" hidden="1" x14ac:dyDescent="0.25">
      <c r="A425" t="s">
        <v>98</v>
      </c>
      <c r="B425" t="s">
        <v>674</v>
      </c>
      <c r="D425" t="s">
        <v>100</v>
      </c>
      <c r="E425" t="s">
        <v>284</v>
      </c>
      <c r="F425" t="s">
        <v>302</v>
      </c>
      <c r="G425" t="s">
        <v>103</v>
      </c>
      <c r="H425" t="s">
        <v>104</v>
      </c>
      <c r="I425">
        <v>2024</v>
      </c>
      <c r="J425" t="s">
        <v>319</v>
      </c>
      <c r="K425" t="s">
        <v>106</v>
      </c>
      <c r="L425" t="s">
        <v>750</v>
      </c>
      <c r="M425" t="s">
        <v>764</v>
      </c>
      <c r="N425">
        <v>1</v>
      </c>
      <c r="O425">
        <v>2024</v>
      </c>
      <c r="P425">
        <v>105.7930490817716</v>
      </c>
      <c r="Q425">
        <v>3.355492309527206</v>
      </c>
      <c r="R425" t="s">
        <v>289</v>
      </c>
      <c r="S425">
        <v>64.669172932330824</v>
      </c>
      <c r="T425" t="s">
        <v>290</v>
      </c>
      <c r="U425">
        <v>64.669172932330824</v>
      </c>
      <c r="V425">
        <v>105.7930490817716</v>
      </c>
      <c r="W425">
        <v>3.355492309527206</v>
      </c>
      <c r="X425" t="s">
        <v>291</v>
      </c>
      <c r="Y425">
        <v>10</v>
      </c>
      <c r="Z425">
        <v>0.28693283304369371</v>
      </c>
      <c r="AA425">
        <v>1</v>
      </c>
    </row>
    <row r="426" spans="1:27" hidden="1" x14ac:dyDescent="0.25">
      <c r="A426" t="s">
        <v>98</v>
      </c>
      <c r="B426" t="s">
        <v>674</v>
      </c>
      <c r="D426" t="s">
        <v>100</v>
      </c>
      <c r="E426" t="s">
        <v>284</v>
      </c>
      <c r="F426" t="s">
        <v>302</v>
      </c>
      <c r="G426" t="s">
        <v>112</v>
      </c>
      <c r="H426" t="s">
        <v>104</v>
      </c>
      <c r="I426">
        <v>2024</v>
      </c>
      <c r="J426" t="s">
        <v>321</v>
      </c>
      <c r="K426" t="s">
        <v>106</v>
      </c>
      <c r="L426" t="s">
        <v>750</v>
      </c>
      <c r="M426" t="s">
        <v>765</v>
      </c>
      <c r="N426">
        <v>1</v>
      </c>
      <c r="O426">
        <v>2024</v>
      </c>
      <c r="P426">
        <v>99.614212714858894</v>
      </c>
      <c r="Q426">
        <v>1.4361600838792941</v>
      </c>
      <c r="R426" t="s">
        <v>289</v>
      </c>
      <c r="S426">
        <v>75.07692307692308</v>
      </c>
      <c r="T426" t="s">
        <v>290</v>
      </c>
      <c r="U426">
        <v>75.07692307692308</v>
      </c>
      <c r="V426">
        <v>99.614212714858894</v>
      </c>
      <c r="W426">
        <v>1.4361600838792941</v>
      </c>
      <c r="X426" t="s">
        <v>291</v>
      </c>
      <c r="Y426">
        <v>10</v>
      </c>
      <c r="Z426">
        <v>0.28693283304369371</v>
      </c>
      <c r="AA426">
        <v>1</v>
      </c>
    </row>
    <row r="427" spans="1:27" hidden="1" x14ac:dyDescent="0.25">
      <c r="A427" t="s">
        <v>98</v>
      </c>
      <c r="B427" t="s">
        <v>674</v>
      </c>
      <c r="D427" t="s">
        <v>100</v>
      </c>
      <c r="E427" t="s">
        <v>284</v>
      </c>
      <c r="F427" t="s">
        <v>297</v>
      </c>
      <c r="G427" t="s">
        <v>103</v>
      </c>
      <c r="H427" t="s">
        <v>104</v>
      </c>
      <c r="I427">
        <v>2025</v>
      </c>
      <c r="J427" t="s">
        <v>323</v>
      </c>
      <c r="K427" t="s">
        <v>106</v>
      </c>
      <c r="L427" t="s">
        <v>750</v>
      </c>
      <c r="M427" t="s">
        <v>766</v>
      </c>
      <c r="N427">
        <v>1</v>
      </c>
      <c r="O427">
        <v>2025</v>
      </c>
      <c r="P427">
        <v>94.526951376087595</v>
      </c>
      <c r="Q427">
        <v>3.949349451558744</v>
      </c>
      <c r="R427" t="s">
        <v>289</v>
      </c>
      <c r="S427">
        <v>76.146700507614213</v>
      </c>
      <c r="T427" t="s">
        <v>290</v>
      </c>
      <c r="U427">
        <v>76.146700507614213</v>
      </c>
      <c r="V427">
        <v>94.526951376087595</v>
      </c>
      <c r="W427">
        <v>3.949349451558744</v>
      </c>
      <c r="X427" t="s">
        <v>291</v>
      </c>
      <c r="Y427">
        <v>10</v>
      </c>
      <c r="Z427">
        <v>0.28693283304369371</v>
      </c>
      <c r="AA427">
        <v>1</v>
      </c>
    </row>
    <row r="428" spans="1:27" hidden="1" x14ac:dyDescent="0.25">
      <c r="A428" t="s">
        <v>98</v>
      </c>
      <c r="B428" t="s">
        <v>674</v>
      </c>
      <c r="D428" t="s">
        <v>100</v>
      </c>
      <c r="E428" t="s">
        <v>284</v>
      </c>
      <c r="F428" t="s">
        <v>297</v>
      </c>
      <c r="G428" t="s">
        <v>112</v>
      </c>
      <c r="H428" t="s">
        <v>104</v>
      </c>
      <c r="I428">
        <v>2025</v>
      </c>
      <c r="J428" t="s">
        <v>325</v>
      </c>
      <c r="K428" t="s">
        <v>106</v>
      </c>
      <c r="L428" t="s">
        <v>750</v>
      </c>
      <c r="M428" t="s">
        <v>767</v>
      </c>
      <c r="N428">
        <v>1</v>
      </c>
      <c r="O428">
        <v>2025</v>
      </c>
      <c r="P428">
        <v>69.765067810793198</v>
      </c>
      <c r="Q428">
        <v>2.516631606553434</v>
      </c>
      <c r="R428" t="s">
        <v>289</v>
      </c>
      <c r="S428">
        <v>93</v>
      </c>
      <c r="T428" t="s">
        <v>290</v>
      </c>
      <c r="U428">
        <v>93</v>
      </c>
      <c r="V428">
        <v>69.765067810793198</v>
      </c>
      <c r="W428">
        <v>2.516631606553434</v>
      </c>
      <c r="X428" t="s">
        <v>291</v>
      </c>
      <c r="Y428">
        <v>10</v>
      </c>
      <c r="Z428">
        <v>0.28693283304369371</v>
      </c>
      <c r="AA428">
        <v>1</v>
      </c>
    </row>
    <row r="429" spans="1:27" hidden="1" x14ac:dyDescent="0.25">
      <c r="A429" t="s">
        <v>98</v>
      </c>
      <c r="B429" t="s">
        <v>674</v>
      </c>
      <c r="D429" t="s">
        <v>100</v>
      </c>
      <c r="E429" t="s">
        <v>284</v>
      </c>
      <c r="F429" t="s">
        <v>302</v>
      </c>
      <c r="G429" t="s">
        <v>103</v>
      </c>
      <c r="H429" t="s">
        <v>104</v>
      </c>
      <c r="I429">
        <v>2025</v>
      </c>
      <c r="J429" t="s">
        <v>327</v>
      </c>
      <c r="K429" t="s">
        <v>106</v>
      </c>
      <c r="L429" t="s">
        <v>750</v>
      </c>
      <c r="M429" t="s">
        <v>768</v>
      </c>
      <c r="N429">
        <v>1</v>
      </c>
      <c r="O429">
        <v>2025</v>
      </c>
      <c r="P429">
        <v>105.7930490817716</v>
      </c>
      <c r="Q429">
        <v>3.355492309527206</v>
      </c>
      <c r="R429" t="s">
        <v>289</v>
      </c>
      <c r="S429">
        <v>64.669172932330824</v>
      </c>
      <c r="T429" t="s">
        <v>290</v>
      </c>
      <c r="U429">
        <v>64.669172932330824</v>
      </c>
      <c r="V429">
        <v>105.7930490817716</v>
      </c>
      <c r="W429">
        <v>3.355492309527206</v>
      </c>
      <c r="X429" t="s">
        <v>291</v>
      </c>
      <c r="Y429">
        <v>10</v>
      </c>
      <c r="Z429">
        <v>0.28693283304369371</v>
      </c>
      <c r="AA429">
        <v>1</v>
      </c>
    </row>
    <row r="430" spans="1:27" hidden="1" x14ac:dyDescent="0.25">
      <c r="A430" t="s">
        <v>98</v>
      </c>
      <c r="B430" t="s">
        <v>674</v>
      </c>
      <c r="D430" t="s">
        <v>100</v>
      </c>
      <c r="E430" t="s">
        <v>284</v>
      </c>
      <c r="F430" t="s">
        <v>302</v>
      </c>
      <c r="G430" t="s">
        <v>112</v>
      </c>
      <c r="H430" t="s">
        <v>104</v>
      </c>
      <c r="I430">
        <v>2025</v>
      </c>
      <c r="J430" t="s">
        <v>329</v>
      </c>
      <c r="K430" t="s">
        <v>106</v>
      </c>
      <c r="L430" t="s">
        <v>750</v>
      </c>
      <c r="M430" t="s">
        <v>769</v>
      </c>
      <c r="N430">
        <v>1</v>
      </c>
      <c r="O430">
        <v>2025</v>
      </c>
      <c r="P430">
        <v>99.614212714858894</v>
      </c>
      <c r="Q430">
        <v>1.4361600838792941</v>
      </c>
      <c r="R430" t="s">
        <v>289</v>
      </c>
      <c r="S430">
        <v>75.07692307692308</v>
      </c>
      <c r="T430" t="s">
        <v>290</v>
      </c>
      <c r="U430">
        <v>75.07692307692308</v>
      </c>
      <c r="V430">
        <v>99.614212714858894</v>
      </c>
      <c r="W430">
        <v>1.4361600838792941</v>
      </c>
      <c r="X430" t="s">
        <v>291</v>
      </c>
      <c r="Y430">
        <v>10</v>
      </c>
      <c r="Z430">
        <v>0.28693283304369371</v>
      </c>
      <c r="AA430">
        <v>1</v>
      </c>
    </row>
    <row r="431" spans="1:27" hidden="1" x14ac:dyDescent="0.25">
      <c r="A431" t="s">
        <v>98</v>
      </c>
      <c r="B431" t="s">
        <v>674</v>
      </c>
      <c r="D431" t="s">
        <v>100</v>
      </c>
      <c r="E431" t="s">
        <v>284</v>
      </c>
      <c r="F431" t="s">
        <v>297</v>
      </c>
      <c r="G431" t="s">
        <v>103</v>
      </c>
      <c r="H431" t="s">
        <v>104</v>
      </c>
      <c r="I431">
        <v>2026</v>
      </c>
      <c r="J431" t="s">
        <v>331</v>
      </c>
      <c r="K431" t="s">
        <v>106</v>
      </c>
      <c r="L431" t="s">
        <v>750</v>
      </c>
      <c r="M431" t="s">
        <v>770</v>
      </c>
      <c r="N431">
        <v>1</v>
      </c>
      <c r="O431">
        <v>2026</v>
      </c>
      <c r="P431">
        <v>94.526951376087595</v>
      </c>
      <c r="Q431">
        <v>3.949349451558744</v>
      </c>
      <c r="R431" t="s">
        <v>289</v>
      </c>
      <c r="S431">
        <v>76.146700507614213</v>
      </c>
      <c r="T431" t="s">
        <v>290</v>
      </c>
      <c r="U431">
        <v>76.146700507614213</v>
      </c>
      <c r="V431">
        <v>94.526951376087595</v>
      </c>
      <c r="W431">
        <v>3.949349451558744</v>
      </c>
      <c r="X431" t="s">
        <v>291</v>
      </c>
      <c r="Y431">
        <v>10</v>
      </c>
      <c r="Z431">
        <v>0.28693283304369371</v>
      </c>
      <c r="AA431">
        <v>1</v>
      </c>
    </row>
    <row r="432" spans="1:27" hidden="1" x14ac:dyDescent="0.25">
      <c r="A432" t="s">
        <v>98</v>
      </c>
      <c r="B432" t="s">
        <v>674</v>
      </c>
      <c r="D432" t="s">
        <v>100</v>
      </c>
      <c r="E432" t="s">
        <v>284</v>
      </c>
      <c r="F432" t="s">
        <v>297</v>
      </c>
      <c r="G432" t="s">
        <v>112</v>
      </c>
      <c r="H432" t="s">
        <v>104</v>
      </c>
      <c r="I432">
        <v>2026</v>
      </c>
      <c r="J432" t="s">
        <v>333</v>
      </c>
      <c r="K432" t="s">
        <v>106</v>
      </c>
      <c r="L432" t="s">
        <v>750</v>
      </c>
      <c r="M432" t="s">
        <v>771</v>
      </c>
      <c r="N432">
        <v>1</v>
      </c>
      <c r="O432">
        <v>2026</v>
      </c>
      <c r="P432">
        <v>69.765067810793198</v>
      </c>
      <c r="Q432">
        <v>2.516631606553434</v>
      </c>
      <c r="R432" t="s">
        <v>289</v>
      </c>
      <c r="S432">
        <v>93</v>
      </c>
      <c r="T432" t="s">
        <v>290</v>
      </c>
      <c r="U432">
        <v>93</v>
      </c>
      <c r="V432">
        <v>69.765067810793198</v>
      </c>
      <c r="W432">
        <v>2.516631606553434</v>
      </c>
      <c r="X432" t="s">
        <v>291</v>
      </c>
      <c r="Y432">
        <v>10</v>
      </c>
      <c r="Z432">
        <v>0.28693283304369371</v>
      </c>
      <c r="AA432">
        <v>1</v>
      </c>
    </row>
    <row r="433" spans="1:27" hidden="1" x14ac:dyDescent="0.25">
      <c r="A433" t="s">
        <v>98</v>
      </c>
      <c r="B433" t="s">
        <v>674</v>
      </c>
      <c r="D433" t="s">
        <v>100</v>
      </c>
      <c r="E433" t="s">
        <v>284</v>
      </c>
      <c r="F433" t="s">
        <v>302</v>
      </c>
      <c r="G433" t="s">
        <v>103</v>
      </c>
      <c r="H433" t="s">
        <v>104</v>
      </c>
      <c r="I433">
        <v>2026</v>
      </c>
      <c r="J433" t="s">
        <v>335</v>
      </c>
      <c r="K433" t="s">
        <v>106</v>
      </c>
      <c r="L433" t="s">
        <v>750</v>
      </c>
      <c r="M433" t="s">
        <v>772</v>
      </c>
      <c r="N433">
        <v>1</v>
      </c>
      <c r="O433">
        <v>2026</v>
      </c>
      <c r="P433">
        <v>105.7930490817716</v>
      </c>
      <c r="Q433">
        <v>3.355492309527206</v>
      </c>
      <c r="R433" t="s">
        <v>289</v>
      </c>
      <c r="S433">
        <v>64.669172932330824</v>
      </c>
      <c r="T433" t="s">
        <v>290</v>
      </c>
      <c r="U433">
        <v>64.669172932330824</v>
      </c>
      <c r="V433">
        <v>105.7930490817716</v>
      </c>
      <c r="W433">
        <v>3.355492309527206</v>
      </c>
      <c r="X433" t="s">
        <v>291</v>
      </c>
      <c r="Y433">
        <v>10</v>
      </c>
      <c r="Z433">
        <v>0.28693283304369371</v>
      </c>
      <c r="AA433">
        <v>1</v>
      </c>
    </row>
    <row r="434" spans="1:27" hidden="1" x14ac:dyDescent="0.25">
      <c r="A434" t="s">
        <v>98</v>
      </c>
      <c r="B434" t="s">
        <v>674</v>
      </c>
      <c r="D434" t="s">
        <v>100</v>
      </c>
      <c r="E434" t="s">
        <v>284</v>
      </c>
      <c r="F434" t="s">
        <v>302</v>
      </c>
      <c r="G434" t="s">
        <v>112</v>
      </c>
      <c r="H434" t="s">
        <v>104</v>
      </c>
      <c r="I434">
        <v>2026</v>
      </c>
      <c r="J434" t="s">
        <v>337</v>
      </c>
      <c r="K434" t="s">
        <v>106</v>
      </c>
      <c r="L434" t="s">
        <v>750</v>
      </c>
      <c r="M434" t="s">
        <v>773</v>
      </c>
      <c r="N434">
        <v>1</v>
      </c>
      <c r="O434">
        <v>2026</v>
      </c>
      <c r="P434">
        <v>99.614212714858894</v>
      </c>
      <c r="Q434">
        <v>1.4361600838792941</v>
      </c>
      <c r="R434" t="s">
        <v>289</v>
      </c>
      <c r="S434">
        <v>75.07692307692308</v>
      </c>
      <c r="T434" t="s">
        <v>290</v>
      </c>
      <c r="U434">
        <v>75.07692307692308</v>
      </c>
      <c r="V434">
        <v>99.614212714858894</v>
      </c>
      <c r="W434">
        <v>1.4361600838792941</v>
      </c>
      <c r="X434" t="s">
        <v>291</v>
      </c>
      <c r="Y434">
        <v>10</v>
      </c>
      <c r="Z434">
        <v>0.28693283304369371</v>
      </c>
      <c r="AA434">
        <v>1</v>
      </c>
    </row>
    <row r="435" spans="1:27" hidden="1" x14ac:dyDescent="0.25">
      <c r="A435" t="s">
        <v>98</v>
      </c>
      <c r="B435" t="s">
        <v>674</v>
      </c>
      <c r="D435" t="s">
        <v>100</v>
      </c>
      <c r="E435" t="s">
        <v>284</v>
      </c>
      <c r="F435" t="s">
        <v>292</v>
      </c>
      <c r="G435" t="s">
        <v>103</v>
      </c>
      <c r="H435" t="s">
        <v>104</v>
      </c>
      <c r="I435">
        <v>2030</v>
      </c>
      <c r="J435" t="s">
        <v>339</v>
      </c>
      <c r="K435" t="s">
        <v>106</v>
      </c>
      <c r="L435" t="s">
        <v>750</v>
      </c>
      <c r="M435" t="s">
        <v>774</v>
      </c>
      <c r="N435">
        <v>1</v>
      </c>
      <c r="O435">
        <v>2030</v>
      </c>
      <c r="P435">
        <v>99.96668875570353</v>
      </c>
      <c r="Q435">
        <v>4.9152448223495018</v>
      </c>
      <c r="R435" t="s">
        <v>289</v>
      </c>
      <c r="S435">
        <v>55.211046644573933</v>
      </c>
      <c r="T435" t="s">
        <v>290</v>
      </c>
      <c r="U435">
        <v>55.211046644573933</v>
      </c>
      <c r="V435">
        <v>99.96668875570353</v>
      </c>
      <c r="W435">
        <v>4.9152448223495018</v>
      </c>
      <c r="X435" t="s">
        <v>291</v>
      </c>
      <c r="Y435">
        <v>10</v>
      </c>
      <c r="Z435">
        <v>0.28693283304369371</v>
      </c>
      <c r="AA435">
        <v>1</v>
      </c>
    </row>
    <row r="436" spans="1:27" hidden="1" x14ac:dyDescent="0.25">
      <c r="A436" t="s">
        <v>98</v>
      </c>
      <c r="B436" t="s">
        <v>674</v>
      </c>
      <c r="D436" t="s">
        <v>100</v>
      </c>
      <c r="E436" t="s">
        <v>284</v>
      </c>
      <c r="F436" t="s">
        <v>292</v>
      </c>
      <c r="G436" t="s">
        <v>112</v>
      </c>
      <c r="H436" t="s">
        <v>104</v>
      </c>
      <c r="I436">
        <v>2030</v>
      </c>
      <c r="J436" t="s">
        <v>341</v>
      </c>
      <c r="K436" t="s">
        <v>106</v>
      </c>
      <c r="L436" t="s">
        <v>750</v>
      </c>
      <c r="M436" t="s">
        <v>775</v>
      </c>
      <c r="N436">
        <v>1</v>
      </c>
      <c r="O436">
        <v>2030</v>
      </c>
      <c r="P436">
        <v>93.570390823718384</v>
      </c>
      <c r="Q436">
        <v>4.27625645181514</v>
      </c>
      <c r="R436" t="s">
        <v>289</v>
      </c>
      <c r="S436">
        <v>60.132155797450622</v>
      </c>
      <c r="T436" t="s">
        <v>290</v>
      </c>
      <c r="U436">
        <v>60.132155797450622</v>
      </c>
      <c r="V436">
        <v>93.570390823718384</v>
      </c>
      <c r="W436">
        <v>4.27625645181514</v>
      </c>
      <c r="X436" t="s">
        <v>291</v>
      </c>
      <c r="Y436">
        <v>10</v>
      </c>
      <c r="Z436">
        <v>0.28693283304369371</v>
      </c>
      <c r="AA436">
        <v>1</v>
      </c>
    </row>
    <row r="437" spans="1:27" hidden="1" x14ac:dyDescent="0.25">
      <c r="A437" t="s">
        <v>98</v>
      </c>
      <c r="B437" t="s">
        <v>674</v>
      </c>
      <c r="D437" t="s">
        <v>100</v>
      </c>
      <c r="E437" t="s">
        <v>284</v>
      </c>
      <c r="F437" t="s">
        <v>297</v>
      </c>
      <c r="G437" t="s">
        <v>103</v>
      </c>
      <c r="H437" t="s">
        <v>104</v>
      </c>
      <c r="I437">
        <v>2030</v>
      </c>
      <c r="J437" t="s">
        <v>343</v>
      </c>
      <c r="K437" t="s">
        <v>106</v>
      </c>
      <c r="L437" t="s">
        <v>750</v>
      </c>
      <c r="M437" t="s">
        <v>776</v>
      </c>
      <c r="N437">
        <v>1</v>
      </c>
      <c r="O437">
        <v>2030</v>
      </c>
      <c r="P437">
        <v>112.2464608710101</v>
      </c>
      <c r="Q437">
        <v>3.5870084905918258</v>
      </c>
      <c r="R437" t="s">
        <v>289</v>
      </c>
      <c r="S437">
        <v>89.042769074884546</v>
      </c>
      <c r="T437" t="s">
        <v>290</v>
      </c>
      <c r="U437">
        <v>89.042769074884546</v>
      </c>
      <c r="V437">
        <v>112.2464608710101</v>
      </c>
      <c r="W437">
        <v>3.5870084905918258</v>
      </c>
      <c r="X437" t="s">
        <v>291</v>
      </c>
      <c r="Y437">
        <v>10</v>
      </c>
      <c r="Z437">
        <v>0.28693283304369371</v>
      </c>
      <c r="AA437">
        <v>1</v>
      </c>
    </row>
    <row r="438" spans="1:27" hidden="1" x14ac:dyDescent="0.25">
      <c r="A438" t="s">
        <v>98</v>
      </c>
      <c r="B438" t="s">
        <v>674</v>
      </c>
      <c r="D438" t="s">
        <v>100</v>
      </c>
      <c r="E438" t="s">
        <v>284</v>
      </c>
      <c r="F438" t="s">
        <v>297</v>
      </c>
      <c r="G438" t="s">
        <v>112</v>
      </c>
      <c r="H438" t="s">
        <v>104</v>
      </c>
      <c r="I438">
        <v>2030</v>
      </c>
      <c r="J438" t="s">
        <v>345</v>
      </c>
      <c r="K438" t="s">
        <v>106</v>
      </c>
      <c r="L438" t="s">
        <v>750</v>
      </c>
      <c r="M438" t="s">
        <v>777</v>
      </c>
      <c r="N438">
        <v>1</v>
      </c>
      <c r="O438">
        <v>2030</v>
      </c>
      <c r="P438">
        <v>84.571073913548247</v>
      </c>
      <c r="Q438">
        <v>2.3525336937486059</v>
      </c>
      <c r="R438" t="s">
        <v>289</v>
      </c>
      <c r="S438">
        <v>108.5525423728814</v>
      </c>
      <c r="T438" t="s">
        <v>290</v>
      </c>
      <c r="U438">
        <v>108.5525423728814</v>
      </c>
      <c r="V438">
        <v>84.571073913548247</v>
      </c>
      <c r="W438">
        <v>2.3525336937486059</v>
      </c>
      <c r="X438" t="s">
        <v>291</v>
      </c>
      <c r="Y438">
        <v>10</v>
      </c>
      <c r="Z438">
        <v>0.28693283304369371</v>
      </c>
      <c r="AA438">
        <v>1</v>
      </c>
    </row>
    <row r="439" spans="1:27" hidden="1" x14ac:dyDescent="0.25">
      <c r="A439" t="s">
        <v>98</v>
      </c>
      <c r="B439" t="s">
        <v>674</v>
      </c>
      <c r="D439" t="s">
        <v>100</v>
      </c>
      <c r="E439" t="s">
        <v>284</v>
      </c>
      <c r="F439" t="s">
        <v>292</v>
      </c>
      <c r="G439" t="s">
        <v>103</v>
      </c>
      <c r="H439" t="s">
        <v>104</v>
      </c>
      <c r="I439">
        <v>2040</v>
      </c>
      <c r="J439" t="s">
        <v>347</v>
      </c>
      <c r="K439" t="s">
        <v>106</v>
      </c>
      <c r="L439" t="s">
        <v>750</v>
      </c>
      <c r="M439" t="s">
        <v>778</v>
      </c>
      <c r="N439">
        <v>1</v>
      </c>
      <c r="O439">
        <v>2040</v>
      </c>
      <c r="P439">
        <v>98.335071194105581</v>
      </c>
      <c r="Q439">
        <v>4.7080379086524973</v>
      </c>
      <c r="R439" t="s">
        <v>289</v>
      </c>
      <c r="S439">
        <v>63.829339223058007</v>
      </c>
      <c r="T439" t="s">
        <v>290</v>
      </c>
      <c r="U439">
        <v>63.829339223058007</v>
      </c>
      <c r="V439">
        <v>98.335071194105581</v>
      </c>
      <c r="W439">
        <v>4.7080379086524973</v>
      </c>
      <c r="X439" t="s">
        <v>291</v>
      </c>
      <c r="Y439">
        <v>10</v>
      </c>
      <c r="Z439">
        <v>0.28693283304369371</v>
      </c>
      <c r="AA439">
        <v>1</v>
      </c>
    </row>
    <row r="440" spans="1:27" hidden="1" x14ac:dyDescent="0.25">
      <c r="A440" t="s">
        <v>98</v>
      </c>
      <c r="B440" t="s">
        <v>674</v>
      </c>
      <c r="D440" t="s">
        <v>100</v>
      </c>
      <c r="E440" t="s">
        <v>284</v>
      </c>
      <c r="F440" t="s">
        <v>292</v>
      </c>
      <c r="G440" t="s">
        <v>112</v>
      </c>
      <c r="H440" t="s">
        <v>104</v>
      </c>
      <c r="I440">
        <v>2040</v>
      </c>
      <c r="J440" t="s">
        <v>349</v>
      </c>
      <c r="K440" t="s">
        <v>106</v>
      </c>
      <c r="L440" t="s">
        <v>750</v>
      </c>
      <c r="M440" t="s">
        <v>779</v>
      </c>
      <c r="N440">
        <v>1</v>
      </c>
      <c r="O440">
        <v>2040</v>
      </c>
      <c r="P440">
        <v>92.137687829328328</v>
      </c>
      <c r="Q440">
        <v>4.1202723323867074</v>
      </c>
      <c r="R440" t="s">
        <v>289</v>
      </c>
      <c r="S440">
        <v>69.934718883357121</v>
      </c>
      <c r="T440" t="s">
        <v>290</v>
      </c>
      <c r="U440">
        <v>69.934718883357121</v>
      </c>
      <c r="V440">
        <v>92.137687829328328</v>
      </c>
      <c r="W440">
        <v>4.1202723323867074</v>
      </c>
      <c r="X440" t="s">
        <v>291</v>
      </c>
      <c r="Y440">
        <v>10</v>
      </c>
      <c r="Z440">
        <v>0.28693283304369371</v>
      </c>
      <c r="AA440">
        <v>1</v>
      </c>
    </row>
    <row r="441" spans="1:27" hidden="1" x14ac:dyDescent="0.25">
      <c r="A441" t="s">
        <v>98</v>
      </c>
      <c r="B441" t="s">
        <v>674</v>
      </c>
      <c r="D441" t="s">
        <v>100</v>
      </c>
      <c r="E441" t="s">
        <v>284</v>
      </c>
      <c r="F441" t="s">
        <v>297</v>
      </c>
      <c r="G441" t="s">
        <v>103</v>
      </c>
      <c r="H441" t="s">
        <v>104</v>
      </c>
      <c r="I441">
        <v>2040</v>
      </c>
      <c r="J441" t="s">
        <v>351</v>
      </c>
      <c r="K441" t="s">
        <v>106</v>
      </c>
      <c r="L441" t="s">
        <v>750</v>
      </c>
      <c r="M441" t="s">
        <v>780</v>
      </c>
      <c r="N441">
        <v>1</v>
      </c>
      <c r="O441">
        <v>2040</v>
      </c>
      <c r="P441">
        <v>109.62871509832991</v>
      </c>
      <c r="Q441">
        <v>3.28145573783857</v>
      </c>
      <c r="R441" t="s">
        <v>289</v>
      </c>
      <c r="S441">
        <v>101.8534675620791</v>
      </c>
      <c r="T441" t="s">
        <v>290</v>
      </c>
      <c r="U441">
        <v>101.8534675620791</v>
      </c>
      <c r="V441">
        <v>109.62871509832991</v>
      </c>
      <c r="W441">
        <v>3.28145573783857</v>
      </c>
      <c r="X441" t="s">
        <v>291</v>
      </c>
      <c r="Y441">
        <v>10</v>
      </c>
      <c r="Z441">
        <v>0.28693283304369371</v>
      </c>
      <c r="AA441">
        <v>1</v>
      </c>
    </row>
    <row r="442" spans="1:27" hidden="1" x14ac:dyDescent="0.25">
      <c r="A442" t="s">
        <v>98</v>
      </c>
      <c r="B442" t="s">
        <v>674</v>
      </c>
      <c r="D442" t="s">
        <v>100</v>
      </c>
      <c r="E442" t="s">
        <v>284</v>
      </c>
      <c r="F442" t="s">
        <v>297</v>
      </c>
      <c r="G442" t="s">
        <v>112</v>
      </c>
      <c r="H442" t="s">
        <v>104</v>
      </c>
      <c r="I442">
        <v>2040</v>
      </c>
      <c r="J442" t="s">
        <v>353</v>
      </c>
      <c r="K442" t="s">
        <v>106</v>
      </c>
      <c r="L442" t="s">
        <v>750</v>
      </c>
      <c r="M442" t="s">
        <v>781</v>
      </c>
      <c r="N442">
        <v>1</v>
      </c>
      <c r="O442">
        <v>2040</v>
      </c>
      <c r="P442">
        <v>82.941268534212341</v>
      </c>
      <c r="Q442">
        <v>2.168671786742209</v>
      </c>
      <c r="R442" t="s">
        <v>289</v>
      </c>
      <c r="S442">
        <v>124.1701372074253</v>
      </c>
      <c r="T442" t="s">
        <v>290</v>
      </c>
      <c r="U442">
        <v>124.1701372074253</v>
      </c>
      <c r="V442">
        <v>82.941268534212341</v>
      </c>
      <c r="W442">
        <v>2.168671786742209</v>
      </c>
      <c r="X442" t="s">
        <v>291</v>
      </c>
      <c r="Y442">
        <v>10</v>
      </c>
      <c r="Z442">
        <v>0.28693283304369371</v>
      </c>
      <c r="AA442">
        <v>1</v>
      </c>
    </row>
    <row r="443" spans="1:27" hidden="1" x14ac:dyDescent="0.25">
      <c r="A443" t="s">
        <v>98</v>
      </c>
      <c r="B443" t="s">
        <v>674</v>
      </c>
      <c r="D443" t="s">
        <v>100</v>
      </c>
      <c r="E443" t="s">
        <v>284</v>
      </c>
      <c r="F443" t="s">
        <v>355</v>
      </c>
      <c r="G443" t="s">
        <v>103</v>
      </c>
      <c r="H443" t="s">
        <v>104</v>
      </c>
      <c r="I443">
        <v>2022</v>
      </c>
      <c r="J443" t="s">
        <v>356</v>
      </c>
      <c r="K443" t="s">
        <v>106</v>
      </c>
      <c r="L443" t="s">
        <v>750</v>
      </c>
      <c r="M443" t="s">
        <v>782</v>
      </c>
      <c r="N443">
        <v>1</v>
      </c>
      <c r="O443">
        <v>2020</v>
      </c>
      <c r="P443">
        <v>26.539302440149839</v>
      </c>
      <c r="Q443">
        <v>0.71977466386263589</v>
      </c>
      <c r="R443" t="s">
        <v>289</v>
      </c>
      <c r="S443">
        <v>85.75677051732572</v>
      </c>
      <c r="T443" t="s">
        <v>290</v>
      </c>
      <c r="U443">
        <v>85.75677051732572</v>
      </c>
      <c r="V443">
        <v>26.539302440149839</v>
      </c>
      <c r="W443">
        <v>0.71977466386263589</v>
      </c>
      <c r="X443" t="s">
        <v>291</v>
      </c>
      <c r="Y443">
        <v>10</v>
      </c>
      <c r="Z443">
        <v>0.28693283304369371</v>
      </c>
      <c r="AA443">
        <v>1</v>
      </c>
    </row>
    <row r="444" spans="1:27" hidden="1" x14ac:dyDescent="0.25">
      <c r="A444" t="s">
        <v>98</v>
      </c>
      <c r="B444" t="s">
        <v>674</v>
      </c>
      <c r="D444" t="s">
        <v>100</v>
      </c>
      <c r="E444" t="s">
        <v>284</v>
      </c>
      <c r="F444" t="s">
        <v>355</v>
      </c>
      <c r="G444" t="s">
        <v>112</v>
      </c>
      <c r="H444" t="s">
        <v>104</v>
      </c>
      <c r="I444">
        <v>2022</v>
      </c>
      <c r="J444" t="s">
        <v>358</v>
      </c>
      <c r="K444" t="s">
        <v>106</v>
      </c>
      <c r="L444" t="s">
        <v>750</v>
      </c>
      <c r="M444" t="s">
        <v>783</v>
      </c>
      <c r="N444">
        <v>1</v>
      </c>
      <c r="O444">
        <v>2020</v>
      </c>
      <c r="P444">
        <v>27.952547937105681</v>
      </c>
      <c r="Q444">
        <v>0.83346015109483984</v>
      </c>
      <c r="R444" t="s">
        <v>289</v>
      </c>
      <c r="S444">
        <v>88.372750377742747</v>
      </c>
      <c r="T444" t="s">
        <v>290</v>
      </c>
      <c r="U444">
        <v>88.372750377742747</v>
      </c>
      <c r="V444">
        <v>27.952547937105681</v>
      </c>
      <c r="W444">
        <v>0.83346015109483984</v>
      </c>
      <c r="X444" t="s">
        <v>291</v>
      </c>
      <c r="Y444">
        <v>10</v>
      </c>
      <c r="Z444">
        <v>0.28693283304369371</v>
      </c>
      <c r="AA444">
        <v>1</v>
      </c>
    </row>
    <row r="445" spans="1:27" hidden="1" x14ac:dyDescent="0.25">
      <c r="A445" t="s">
        <v>98</v>
      </c>
      <c r="B445" t="s">
        <v>674</v>
      </c>
      <c r="D445" t="s">
        <v>100</v>
      </c>
      <c r="E445" t="s">
        <v>284</v>
      </c>
      <c r="F445" t="s">
        <v>360</v>
      </c>
      <c r="G445" t="s">
        <v>103</v>
      </c>
      <c r="H445" t="s">
        <v>104</v>
      </c>
      <c r="I445">
        <v>2022</v>
      </c>
      <c r="J445" t="s">
        <v>361</v>
      </c>
      <c r="K445" t="s">
        <v>106</v>
      </c>
      <c r="L445" t="s">
        <v>750</v>
      </c>
      <c r="M445" t="s">
        <v>784</v>
      </c>
      <c r="N445">
        <v>1</v>
      </c>
      <c r="O445">
        <v>2020</v>
      </c>
      <c r="P445">
        <v>30.743231458982891</v>
      </c>
      <c r="Q445">
        <v>0.75530083267302539</v>
      </c>
      <c r="R445" t="s">
        <v>289</v>
      </c>
      <c r="S445">
        <v>85.752844444444449</v>
      </c>
      <c r="T445" t="s">
        <v>290</v>
      </c>
      <c r="U445">
        <v>85.752844444444449</v>
      </c>
      <c r="V445">
        <v>30.743231458982891</v>
      </c>
      <c r="W445">
        <v>0.75530083267302539</v>
      </c>
      <c r="X445" t="s">
        <v>291</v>
      </c>
      <c r="Y445">
        <v>10</v>
      </c>
      <c r="Z445">
        <v>0.28693283304369371</v>
      </c>
      <c r="AA445">
        <v>1</v>
      </c>
    </row>
    <row r="446" spans="1:27" hidden="1" x14ac:dyDescent="0.25">
      <c r="A446" t="s">
        <v>98</v>
      </c>
      <c r="B446" t="s">
        <v>674</v>
      </c>
      <c r="D446" t="s">
        <v>100</v>
      </c>
      <c r="E446" t="s">
        <v>284</v>
      </c>
      <c r="F446" t="s">
        <v>360</v>
      </c>
      <c r="G446" t="s">
        <v>112</v>
      </c>
      <c r="H446" t="s">
        <v>104</v>
      </c>
      <c r="I446">
        <v>2022</v>
      </c>
      <c r="J446" t="s">
        <v>363</v>
      </c>
      <c r="K446" t="s">
        <v>106</v>
      </c>
      <c r="L446" t="s">
        <v>750</v>
      </c>
      <c r="M446" t="s">
        <v>785</v>
      </c>
      <c r="N446">
        <v>1</v>
      </c>
      <c r="O446">
        <v>2020</v>
      </c>
      <c r="P446">
        <v>30.995290460986698</v>
      </c>
      <c r="Q446">
        <v>1.07624732944957</v>
      </c>
      <c r="R446" t="s">
        <v>289</v>
      </c>
      <c r="S446">
        <v>91.18482905982907</v>
      </c>
      <c r="T446" t="s">
        <v>290</v>
      </c>
      <c r="U446">
        <v>91.18482905982907</v>
      </c>
      <c r="V446">
        <v>30.995290460986698</v>
      </c>
      <c r="W446">
        <v>1.07624732944957</v>
      </c>
      <c r="X446" t="s">
        <v>291</v>
      </c>
      <c r="Y446">
        <v>10</v>
      </c>
      <c r="Z446">
        <v>0.28693283304369371</v>
      </c>
      <c r="AA446">
        <v>1</v>
      </c>
    </row>
    <row r="447" spans="1:27" hidden="1" x14ac:dyDescent="0.25">
      <c r="A447" t="s">
        <v>98</v>
      </c>
      <c r="B447" t="s">
        <v>674</v>
      </c>
      <c r="D447" t="s">
        <v>100</v>
      </c>
      <c r="E447" t="s">
        <v>284</v>
      </c>
      <c r="F447" t="s">
        <v>365</v>
      </c>
      <c r="G447" t="s">
        <v>103</v>
      </c>
      <c r="H447" t="s">
        <v>104</v>
      </c>
      <c r="I447">
        <v>2022</v>
      </c>
      <c r="J447" t="s">
        <v>366</v>
      </c>
      <c r="K447" t="s">
        <v>106</v>
      </c>
      <c r="L447" t="s">
        <v>750</v>
      </c>
      <c r="M447" t="s">
        <v>786</v>
      </c>
      <c r="N447">
        <v>1</v>
      </c>
      <c r="O447">
        <v>2020</v>
      </c>
      <c r="P447">
        <v>34.581332645158973</v>
      </c>
      <c r="Q447">
        <v>1.926881708285624</v>
      </c>
      <c r="R447" t="s">
        <v>289</v>
      </c>
      <c r="S447">
        <v>115.45533602622641</v>
      </c>
      <c r="T447" t="s">
        <v>290</v>
      </c>
      <c r="U447">
        <v>115.45533602622641</v>
      </c>
      <c r="V447">
        <v>34.581332645158973</v>
      </c>
      <c r="W447">
        <v>1.926881708285624</v>
      </c>
      <c r="X447" t="s">
        <v>291</v>
      </c>
      <c r="Y447">
        <v>10</v>
      </c>
      <c r="Z447">
        <v>0.28693283304369371</v>
      </c>
      <c r="AA447">
        <v>1</v>
      </c>
    </row>
    <row r="448" spans="1:27" hidden="1" x14ac:dyDescent="0.25">
      <c r="A448" t="s">
        <v>98</v>
      </c>
      <c r="B448" t="s">
        <v>674</v>
      </c>
      <c r="D448" t="s">
        <v>100</v>
      </c>
      <c r="E448" t="s">
        <v>284</v>
      </c>
      <c r="F448" t="s">
        <v>365</v>
      </c>
      <c r="G448" t="s">
        <v>112</v>
      </c>
      <c r="H448" t="s">
        <v>104</v>
      </c>
      <c r="I448">
        <v>2022</v>
      </c>
      <c r="J448" t="s">
        <v>368</v>
      </c>
      <c r="K448" t="s">
        <v>106</v>
      </c>
      <c r="L448" t="s">
        <v>750</v>
      </c>
      <c r="M448" t="s">
        <v>787</v>
      </c>
      <c r="N448">
        <v>1</v>
      </c>
      <c r="O448">
        <v>2020</v>
      </c>
      <c r="P448">
        <v>44.653862333829821</v>
      </c>
      <c r="Q448">
        <v>2.4693086643180591</v>
      </c>
      <c r="R448" t="s">
        <v>289</v>
      </c>
      <c r="S448">
        <v>130.6177318295739</v>
      </c>
      <c r="T448" t="s">
        <v>290</v>
      </c>
      <c r="U448">
        <v>130.6177318295739</v>
      </c>
      <c r="V448">
        <v>44.653862333829821</v>
      </c>
      <c r="W448">
        <v>2.4693086643180591</v>
      </c>
      <c r="X448" t="s">
        <v>291</v>
      </c>
      <c r="Y448">
        <v>10</v>
      </c>
      <c r="Z448">
        <v>0.28693283304369371</v>
      </c>
      <c r="AA448">
        <v>1</v>
      </c>
    </row>
    <row r="449" spans="1:27" hidden="1" x14ac:dyDescent="0.25">
      <c r="A449" t="s">
        <v>98</v>
      </c>
      <c r="B449" t="s">
        <v>674</v>
      </c>
      <c r="D449" t="s">
        <v>100</v>
      </c>
      <c r="E449" t="s">
        <v>284</v>
      </c>
      <c r="F449" t="s">
        <v>365</v>
      </c>
      <c r="G449" t="s">
        <v>103</v>
      </c>
      <c r="H449" t="s">
        <v>104</v>
      </c>
      <c r="I449">
        <v>2023</v>
      </c>
      <c r="J449" t="s">
        <v>370</v>
      </c>
      <c r="K449" t="s">
        <v>106</v>
      </c>
      <c r="L449" t="s">
        <v>750</v>
      </c>
      <c r="M449" t="s">
        <v>788</v>
      </c>
      <c r="N449">
        <v>1</v>
      </c>
      <c r="O449">
        <v>2023</v>
      </c>
      <c r="P449">
        <v>34.353918735727063</v>
      </c>
      <c r="Q449">
        <v>1.893397965391721</v>
      </c>
      <c r="R449" t="s">
        <v>289</v>
      </c>
      <c r="S449">
        <v>115.45533602622641</v>
      </c>
      <c r="T449" t="s">
        <v>290</v>
      </c>
      <c r="U449">
        <v>115.45533602622641</v>
      </c>
      <c r="V449">
        <v>34.353918735727063</v>
      </c>
      <c r="W449">
        <v>1.893397965391721</v>
      </c>
      <c r="X449" t="s">
        <v>291</v>
      </c>
      <c r="Y449">
        <v>10</v>
      </c>
      <c r="Z449">
        <v>0.28693283304369371</v>
      </c>
      <c r="AA449">
        <v>1</v>
      </c>
    </row>
    <row r="450" spans="1:27" hidden="1" x14ac:dyDescent="0.25">
      <c r="A450" t="s">
        <v>98</v>
      </c>
      <c r="B450" t="s">
        <v>674</v>
      </c>
      <c r="D450" t="s">
        <v>100</v>
      </c>
      <c r="E450" t="s">
        <v>284</v>
      </c>
      <c r="F450" t="s">
        <v>365</v>
      </c>
      <c r="G450" t="s">
        <v>112</v>
      </c>
      <c r="H450" t="s">
        <v>104</v>
      </c>
      <c r="I450">
        <v>2023</v>
      </c>
      <c r="J450" t="s">
        <v>372</v>
      </c>
      <c r="K450" t="s">
        <v>106</v>
      </c>
      <c r="L450" t="s">
        <v>750</v>
      </c>
      <c r="M450" t="s">
        <v>789</v>
      </c>
      <c r="N450">
        <v>1</v>
      </c>
      <c r="O450">
        <v>2023</v>
      </c>
      <c r="P450">
        <v>43.733464606512037</v>
      </c>
      <c r="Q450">
        <v>2.4042644647868401</v>
      </c>
      <c r="R450" t="s">
        <v>289</v>
      </c>
      <c r="S450">
        <v>130.6177318295739</v>
      </c>
      <c r="T450" t="s">
        <v>290</v>
      </c>
      <c r="U450">
        <v>130.6177318295739</v>
      </c>
      <c r="V450">
        <v>43.733464606512037</v>
      </c>
      <c r="W450">
        <v>2.4042644647868401</v>
      </c>
      <c r="X450" t="s">
        <v>291</v>
      </c>
      <c r="Y450">
        <v>10</v>
      </c>
      <c r="Z450">
        <v>0.28693283304369371</v>
      </c>
      <c r="AA450">
        <v>1</v>
      </c>
    </row>
    <row r="451" spans="1:27" hidden="1" x14ac:dyDescent="0.25">
      <c r="A451" t="s">
        <v>98</v>
      </c>
      <c r="B451" t="s">
        <v>674</v>
      </c>
      <c r="D451" t="s">
        <v>100</v>
      </c>
      <c r="E451" t="s">
        <v>284</v>
      </c>
      <c r="F451" t="s">
        <v>365</v>
      </c>
      <c r="G451" t="s">
        <v>103</v>
      </c>
      <c r="H451" t="s">
        <v>104</v>
      </c>
      <c r="I451">
        <v>2024</v>
      </c>
      <c r="J451" t="s">
        <v>374</v>
      </c>
      <c r="K451" t="s">
        <v>106</v>
      </c>
      <c r="L451" t="s">
        <v>750</v>
      </c>
      <c r="M451" t="s">
        <v>790</v>
      </c>
      <c r="N451">
        <v>1</v>
      </c>
      <c r="O451">
        <v>2024</v>
      </c>
      <c r="P451">
        <v>34.353918735727063</v>
      </c>
      <c r="Q451">
        <v>1.893397965391721</v>
      </c>
      <c r="R451" t="s">
        <v>289</v>
      </c>
      <c r="S451">
        <v>115.45533602622641</v>
      </c>
      <c r="T451" t="s">
        <v>290</v>
      </c>
      <c r="U451">
        <v>115.45533602622641</v>
      </c>
      <c r="V451">
        <v>34.353918735727063</v>
      </c>
      <c r="W451">
        <v>1.893397965391721</v>
      </c>
      <c r="X451" t="s">
        <v>291</v>
      </c>
      <c r="Y451">
        <v>10</v>
      </c>
      <c r="Z451">
        <v>0.28693283304369371</v>
      </c>
      <c r="AA451">
        <v>1</v>
      </c>
    </row>
    <row r="452" spans="1:27" hidden="1" x14ac:dyDescent="0.25">
      <c r="A452" t="s">
        <v>98</v>
      </c>
      <c r="B452" t="s">
        <v>674</v>
      </c>
      <c r="D452" t="s">
        <v>100</v>
      </c>
      <c r="E452" t="s">
        <v>284</v>
      </c>
      <c r="F452" t="s">
        <v>365</v>
      </c>
      <c r="G452" t="s">
        <v>112</v>
      </c>
      <c r="H452" t="s">
        <v>104</v>
      </c>
      <c r="I452">
        <v>2024</v>
      </c>
      <c r="J452" t="s">
        <v>376</v>
      </c>
      <c r="K452" t="s">
        <v>106</v>
      </c>
      <c r="L452" t="s">
        <v>750</v>
      </c>
      <c r="M452" t="s">
        <v>791</v>
      </c>
      <c r="N452">
        <v>1</v>
      </c>
      <c r="O452">
        <v>2024</v>
      </c>
      <c r="P452">
        <v>43.733464606512037</v>
      </c>
      <c r="Q452">
        <v>2.4042644647868401</v>
      </c>
      <c r="R452" t="s">
        <v>289</v>
      </c>
      <c r="S452">
        <v>130.6177318295739</v>
      </c>
      <c r="T452" t="s">
        <v>290</v>
      </c>
      <c r="U452">
        <v>130.6177318295739</v>
      </c>
      <c r="V452">
        <v>43.733464606512037</v>
      </c>
      <c r="W452">
        <v>2.4042644647868401</v>
      </c>
      <c r="X452" t="s">
        <v>291</v>
      </c>
      <c r="Y452">
        <v>10</v>
      </c>
      <c r="Z452">
        <v>0.28693283304369371</v>
      </c>
      <c r="AA452">
        <v>1</v>
      </c>
    </row>
    <row r="453" spans="1:27" hidden="1" x14ac:dyDescent="0.25">
      <c r="A453" t="s">
        <v>98</v>
      </c>
      <c r="B453" t="s">
        <v>674</v>
      </c>
      <c r="D453" t="s">
        <v>100</v>
      </c>
      <c r="E453" t="s">
        <v>284</v>
      </c>
      <c r="F453" t="s">
        <v>365</v>
      </c>
      <c r="G453" t="s">
        <v>103</v>
      </c>
      <c r="H453" t="s">
        <v>104</v>
      </c>
      <c r="I453">
        <v>2025</v>
      </c>
      <c r="J453" t="s">
        <v>378</v>
      </c>
      <c r="K453" t="s">
        <v>106</v>
      </c>
      <c r="L453" t="s">
        <v>750</v>
      </c>
      <c r="M453" t="s">
        <v>792</v>
      </c>
      <c r="N453">
        <v>1</v>
      </c>
      <c r="O453">
        <v>2025</v>
      </c>
      <c r="P453">
        <v>34.353918735727063</v>
      </c>
      <c r="Q453">
        <v>1.893397965391721</v>
      </c>
      <c r="R453" t="s">
        <v>289</v>
      </c>
      <c r="S453">
        <v>115.45533602622641</v>
      </c>
      <c r="T453" t="s">
        <v>290</v>
      </c>
      <c r="U453">
        <v>115.45533602622641</v>
      </c>
      <c r="V453">
        <v>34.353918735727063</v>
      </c>
      <c r="W453">
        <v>1.893397965391721</v>
      </c>
      <c r="X453" t="s">
        <v>291</v>
      </c>
      <c r="Y453">
        <v>10</v>
      </c>
      <c r="Z453">
        <v>0.28693283304369371</v>
      </c>
      <c r="AA453">
        <v>1</v>
      </c>
    </row>
    <row r="454" spans="1:27" hidden="1" x14ac:dyDescent="0.25">
      <c r="A454" t="s">
        <v>98</v>
      </c>
      <c r="B454" t="s">
        <v>674</v>
      </c>
      <c r="D454" t="s">
        <v>100</v>
      </c>
      <c r="E454" t="s">
        <v>284</v>
      </c>
      <c r="F454" t="s">
        <v>365</v>
      </c>
      <c r="G454" t="s">
        <v>112</v>
      </c>
      <c r="H454" t="s">
        <v>104</v>
      </c>
      <c r="I454">
        <v>2025</v>
      </c>
      <c r="J454" t="s">
        <v>380</v>
      </c>
      <c r="K454" t="s">
        <v>106</v>
      </c>
      <c r="L454" t="s">
        <v>750</v>
      </c>
      <c r="M454" t="s">
        <v>793</v>
      </c>
      <c r="N454">
        <v>1</v>
      </c>
      <c r="O454">
        <v>2025</v>
      </c>
      <c r="P454">
        <v>43.733464606512037</v>
      </c>
      <c r="Q454">
        <v>2.4042644647868401</v>
      </c>
      <c r="R454" t="s">
        <v>289</v>
      </c>
      <c r="S454">
        <v>130.6177318295739</v>
      </c>
      <c r="T454" t="s">
        <v>290</v>
      </c>
      <c r="U454">
        <v>130.6177318295739</v>
      </c>
      <c r="V454">
        <v>43.733464606512037</v>
      </c>
      <c r="W454">
        <v>2.4042644647868401</v>
      </c>
      <c r="X454" t="s">
        <v>291</v>
      </c>
      <c r="Y454">
        <v>10</v>
      </c>
      <c r="Z454">
        <v>0.28693283304369371</v>
      </c>
      <c r="AA454">
        <v>1</v>
      </c>
    </row>
    <row r="455" spans="1:27" hidden="1" x14ac:dyDescent="0.25">
      <c r="A455" t="s">
        <v>98</v>
      </c>
      <c r="B455" t="s">
        <v>674</v>
      </c>
      <c r="D455" t="s">
        <v>100</v>
      </c>
      <c r="E455" t="s">
        <v>284</v>
      </c>
      <c r="F455" t="s">
        <v>365</v>
      </c>
      <c r="G455" t="s">
        <v>103</v>
      </c>
      <c r="H455" t="s">
        <v>104</v>
      </c>
      <c r="I455">
        <v>2026</v>
      </c>
      <c r="J455" t="s">
        <v>382</v>
      </c>
      <c r="K455" t="s">
        <v>106</v>
      </c>
      <c r="L455" t="s">
        <v>750</v>
      </c>
      <c r="M455" t="s">
        <v>794</v>
      </c>
      <c r="N455">
        <v>1</v>
      </c>
      <c r="O455">
        <v>2026</v>
      </c>
      <c r="P455">
        <v>34.353918735727063</v>
      </c>
      <c r="Q455">
        <v>1.893397965391721</v>
      </c>
      <c r="R455" t="s">
        <v>289</v>
      </c>
      <c r="S455">
        <v>115.45533602622641</v>
      </c>
      <c r="T455" t="s">
        <v>290</v>
      </c>
      <c r="U455">
        <v>115.45533602622641</v>
      </c>
      <c r="V455">
        <v>34.353918735727063</v>
      </c>
      <c r="W455">
        <v>1.893397965391721</v>
      </c>
      <c r="X455" t="s">
        <v>291</v>
      </c>
      <c r="Y455">
        <v>10</v>
      </c>
      <c r="Z455">
        <v>0.28693283304369371</v>
      </c>
      <c r="AA455">
        <v>1</v>
      </c>
    </row>
    <row r="456" spans="1:27" hidden="1" x14ac:dyDescent="0.25">
      <c r="A456" t="s">
        <v>98</v>
      </c>
      <c r="B456" t="s">
        <v>674</v>
      </c>
      <c r="D456" t="s">
        <v>100</v>
      </c>
      <c r="E456" t="s">
        <v>284</v>
      </c>
      <c r="F456" t="s">
        <v>365</v>
      </c>
      <c r="G456" t="s">
        <v>112</v>
      </c>
      <c r="H456" t="s">
        <v>104</v>
      </c>
      <c r="I456">
        <v>2026</v>
      </c>
      <c r="J456" t="s">
        <v>384</v>
      </c>
      <c r="K456" t="s">
        <v>106</v>
      </c>
      <c r="L456" t="s">
        <v>750</v>
      </c>
      <c r="M456" t="s">
        <v>795</v>
      </c>
      <c r="N456">
        <v>1</v>
      </c>
      <c r="O456">
        <v>2026</v>
      </c>
      <c r="P456">
        <v>43.733464606512037</v>
      </c>
      <c r="Q456">
        <v>2.4042644647868401</v>
      </c>
      <c r="R456" t="s">
        <v>289</v>
      </c>
      <c r="S456">
        <v>130.6177318295739</v>
      </c>
      <c r="T456" t="s">
        <v>290</v>
      </c>
      <c r="U456">
        <v>130.6177318295739</v>
      </c>
      <c r="V456">
        <v>43.733464606512037</v>
      </c>
      <c r="W456">
        <v>2.4042644647868401</v>
      </c>
      <c r="X456" t="s">
        <v>291</v>
      </c>
      <c r="Y456">
        <v>10</v>
      </c>
      <c r="Z456">
        <v>0.28693283304369371</v>
      </c>
      <c r="AA456">
        <v>1</v>
      </c>
    </row>
    <row r="457" spans="1:27" hidden="1" x14ac:dyDescent="0.25">
      <c r="A457" t="s">
        <v>98</v>
      </c>
      <c r="B457" t="s">
        <v>674</v>
      </c>
      <c r="D457" t="s">
        <v>100</v>
      </c>
      <c r="E457" t="s">
        <v>284</v>
      </c>
      <c r="F457" t="s">
        <v>365</v>
      </c>
      <c r="G457" t="s">
        <v>103</v>
      </c>
      <c r="H457" t="s">
        <v>104</v>
      </c>
      <c r="I457">
        <v>2027</v>
      </c>
      <c r="J457" t="s">
        <v>386</v>
      </c>
      <c r="K457" t="s">
        <v>106</v>
      </c>
      <c r="L457" t="s">
        <v>750</v>
      </c>
      <c r="M457" t="s">
        <v>796</v>
      </c>
      <c r="N457">
        <v>1</v>
      </c>
      <c r="O457">
        <v>2027</v>
      </c>
      <c r="P457">
        <v>34.353918735727063</v>
      </c>
      <c r="Q457">
        <v>1.893397965391721</v>
      </c>
      <c r="R457" t="s">
        <v>289</v>
      </c>
      <c r="S457">
        <v>115.45533602622641</v>
      </c>
      <c r="T457" t="s">
        <v>290</v>
      </c>
      <c r="U457">
        <v>115.45533602622641</v>
      </c>
      <c r="V457">
        <v>34.353918735727063</v>
      </c>
      <c r="W457">
        <v>1.893397965391721</v>
      </c>
      <c r="X457" t="s">
        <v>291</v>
      </c>
      <c r="Y457">
        <v>10</v>
      </c>
      <c r="Z457">
        <v>0.28693283304369371</v>
      </c>
      <c r="AA457">
        <v>1</v>
      </c>
    </row>
    <row r="458" spans="1:27" hidden="1" x14ac:dyDescent="0.25">
      <c r="A458" t="s">
        <v>98</v>
      </c>
      <c r="B458" t="s">
        <v>674</v>
      </c>
      <c r="D458" t="s">
        <v>100</v>
      </c>
      <c r="E458" t="s">
        <v>284</v>
      </c>
      <c r="F458" t="s">
        <v>365</v>
      </c>
      <c r="G458" t="s">
        <v>112</v>
      </c>
      <c r="H458" t="s">
        <v>104</v>
      </c>
      <c r="I458">
        <v>2027</v>
      </c>
      <c r="J458" t="s">
        <v>388</v>
      </c>
      <c r="K458" t="s">
        <v>106</v>
      </c>
      <c r="L458" t="s">
        <v>750</v>
      </c>
      <c r="M458" t="s">
        <v>797</v>
      </c>
      <c r="N458">
        <v>1</v>
      </c>
      <c r="O458">
        <v>2027</v>
      </c>
      <c r="P458">
        <v>43.733464606512037</v>
      </c>
      <c r="Q458">
        <v>2.4042644647868401</v>
      </c>
      <c r="R458" t="s">
        <v>289</v>
      </c>
      <c r="S458">
        <v>130.6177318295739</v>
      </c>
      <c r="T458" t="s">
        <v>290</v>
      </c>
      <c r="U458">
        <v>130.6177318295739</v>
      </c>
      <c r="V458">
        <v>43.733464606512037</v>
      </c>
      <c r="W458">
        <v>2.4042644647868401</v>
      </c>
      <c r="X458" t="s">
        <v>291</v>
      </c>
      <c r="Y458">
        <v>10</v>
      </c>
      <c r="Z458">
        <v>0.28693283304369371</v>
      </c>
      <c r="AA458">
        <v>1</v>
      </c>
    </row>
    <row r="459" spans="1:27" hidden="1" x14ac:dyDescent="0.25">
      <c r="A459" t="s">
        <v>98</v>
      </c>
      <c r="B459" t="s">
        <v>674</v>
      </c>
      <c r="D459" t="s">
        <v>100</v>
      </c>
      <c r="E459" t="s">
        <v>284</v>
      </c>
      <c r="F459" t="s">
        <v>365</v>
      </c>
      <c r="G459" t="s">
        <v>103</v>
      </c>
      <c r="H459" t="s">
        <v>104</v>
      </c>
      <c r="I459">
        <v>2028</v>
      </c>
      <c r="J459" t="s">
        <v>390</v>
      </c>
      <c r="K459" t="s">
        <v>106</v>
      </c>
      <c r="L459" t="s">
        <v>750</v>
      </c>
      <c r="M459" t="s">
        <v>798</v>
      </c>
      <c r="N459">
        <v>1</v>
      </c>
      <c r="O459">
        <v>2028</v>
      </c>
      <c r="P459">
        <v>34.353918735727063</v>
      </c>
      <c r="Q459">
        <v>1.893397965391721</v>
      </c>
      <c r="R459" t="s">
        <v>289</v>
      </c>
      <c r="S459">
        <v>115.45533602622641</v>
      </c>
      <c r="T459" t="s">
        <v>290</v>
      </c>
      <c r="U459">
        <v>115.45533602622641</v>
      </c>
      <c r="V459">
        <v>34.353918735727063</v>
      </c>
      <c r="W459">
        <v>1.893397965391721</v>
      </c>
      <c r="X459" t="s">
        <v>291</v>
      </c>
      <c r="Y459">
        <v>10</v>
      </c>
      <c r="Z459">
        <v>0.28693283304369371</v>
      </c>
      <c r="AA459">
        <v>1</v>
      </c>
    </row>
    <row r="460" spans="1:27" hidden="1" x14ac:dyDescent="0.25">
      <c r="A460" t="s">
        <v>98</v>
      </c>
      <c r="B460" t="s">
        <v>674</v>
      </c>
      <c r="D460" t="s">
        <v>100</v>
      </c>
      <c r="E460" t="s">
        <v>284</v>
      </c>
      <c r="F460" t="s">
        <v>365</v>
      </c>
      <c r="G460" t="s">
        <v>112</v>
      </c>
      <c r="H460" t="s">
        <v>104</v>
      </c>
      <c r="I460">
        <v>2028</v>
      </c>
      <c r="J460" t="s">
        <v>392</v>
      </c>
      <c r="K460" t="s">
        <v>106</v>
      </c>
      <c r="L460" t="s">
        <v>750</v>
      </c>
      <c r="M460" t="s">
        <v>799</v>
      </c>
      <c r="N460">
        <v>1</v>
      </c>
      <c r="O460">
        <v>2028</v>
      </c>
      <c r="P460">
        <v>43.733464606512037</v>
      </c>
      <c r="Q460">
        <v>2.4042644647868401</v>
      </c>
      <c r="R460" t="s">
        <v>289</v>
      </c>
      <c r="S460">
        <v>130.6177318295739</v>
      </c>
      <c r="T460" t="s">
        <v>290</v>
      </c>
      <c r="U460">
        <v>130.6177318295739</v>
      </c>
      <c r="V460">
        <v>43.733464606512037</v>
      </c>
      <c r="W460">
        <v>2.4042644647868401</v>
      </c>
      <c r="X460" t="s">
        <v>291</v>
      </c>
      <c r="Y460">
        <v>10</v>
      </c>
      <c r="Z460">
        <v>0.28693283304369371</v>
      </c>
      <c r="AA460">
        <v>1</v>
      </c>
    </row>
    <row r="461" spans="1:27" hidden="1" x14ac:dyDescent="0.25">
      <c r="A461" t="s">
        <v>98</v>
      </c>
      <c r="B461" t="s">
        <v>674</v>
      </c>
      <c r="D461" t="s">
        <v>100</v>
      </c>
      <c r="E461" t="s">
        <v>284</v>
      </c>
      <c r="F461" t="s">
        <v>365</v>
      </c>
      <c r="G461" t="s">
        <v>103</v>
      </c>
      <c r="H461" t="s">
        <v>104</v>
      </c>
      <c r="I461">
        <v>2029</v>
      </c>
      <c r="J461" t="s">
        <v>394</v>
      </c>
      <c r="K461" t="s">
        <v>106</v>
      </c>
      <c r="L461" t="s">
        <v>750</v>
      </c>
      <c r="M461" t="s">
        <v>800</v>
      </c>
      <c r="N461">
        <v>1</v>
      </c>
      <c r="O461">
        <v>2029</v>
      </c>
      <c r="P461">
        <v>34.353918735727063</v>
      </c>
      <c r="Q461">
        <v>1.893397965391721</v>
      </c>
      <c r="R461" t="s">
        <v>289</v>
      </c>
      <c r="S461">
        <v>115.45533602622641</v>
      </c>
      <c r="T461" t="s">
        <v>290</v>
      </c>
      <c r="U461">
        <v>115.45533602622641</v>
      </c>
      <c r="V461">
        <v>34.353918735727063</v>
      </c>
      <c r="W461">
        <v>1.893397965391721</v>
      </c>
      <c r="X461" t="s">
        <v>291</v>
      </c>
      <c r="Y461">
        <v>10</v>
      </c>
      <c r="Z461">
        <v>0.28693283304369371</v>
      </c>
      <c r="AA461">
        <v>1</v>
      </c>
    </row>
    <row r="462" spans="1:27" hidden="1" x14ac:dyDescent="0.25">
      <c r="A462" t="s">
        <v>98</v>
      </c>
      <c r="B462" t="s">
        <v>674</v>
      </c>
      <c r="D462" t="s">
        <v>100</v>
      </c>
      <c r="E462" t="s">
        <v>284</v>
      </c>
      <c r="F462" t="s">
        <v>365</v>
      </c>
      <c r="G462" t="s">
        <v>112</v>
      </c>
      <c r="H462" t="s">
        <v>104</v>
      </c>
      <c r="I462">
        <v>2029</v>
      </c>
      <c r="J462" t="s">
        <v>396</v>
      </c>
      <c r="K462" t="s">
        <v>106</v>
      </c>
      <c r="L462" t="s">
        <v>750</v>
      </c>
      <c r="M462" t="s">
        <v>801</v>
      </c>
      <c r="N462">
        <v>1</v>
      </c>
      <c r="O462">
        <v>2029</v>
      </c>
      <c r="P462">
        <v>43.733464606512037</v>
      </c>
      <c r="Q462">
        <v>2.4042644647868401</v>
      </c>
      <c r="R462" t="s">
        <v>289</v>
      </c>
      <c r="S462">
        <v>130.6177318295739</v>
      </c>
      <c r="T462" t="s">
        <v>290</v>
      </c>
      <c r="U462">
        <v>130.6177318295739</v>
      </c>
      <c r="V462">
        <v>43.733464606512037</v>
      </c>
      <c r="W462">
        <v>2.4042644647868401</v>
      </c>
      <c r="X462" t="s">
        <v>291</v>
      </c>
      <c r="Y462">
        <v>10</v>
      </c>
      <c r="Z462">
        <v>0.28693283304369371</v>
      </c>
      <c r="AA462">
        <v>1</v>
      </c>
    </row>
    <row r="463" spans="1:27" hidden="1" x14ac:dyDescent="0.25">
      <c r="A463" t="s">
        <v>98</v>
      </c>
      <c r="B463" t="s">
        <v>674</v>
      </c>
      <c r="D463" t="s">
        <v>100</v>
      </c>
      <c r="E463" t="s">
        <v>284</v>
      </c>
      <c r="F463" t="s">
        <v>355</v>
      </c>
      <c r="G463" t="s">
        <v>103</v>
      </c>
      <c r="H463" t="s">
        <v>104</v>
      </c>
      <c r="I463">
        <v>2030</v>
      </c>
      <c r="J463" t="s">
        <v>398</v>
      </c>
      <c r="K463" t="s">
        <v>106</v>
      </c>
      <c r="L463" t="s">
        <v>750</v>
      </c>
      <c r="M463" t="s">
        <v>802</v>
      </c>
      <c r="N463">
        <v>1</v>
      </c>
      <c r="O463">
        <v>2030</v>
      </c>
      <c r="P463">
        <v>22.026606087295281</v>
      </c>
      <c r="Q463">
        <v>0.67594869632979349</v>
      </c>
      <c r="R463" t="s">
        <v>289</v>
      </c>
      <c r="S463">
        <v>87.209325187237212</v>
      </c>
      <c r="T463" t="s">
        <v>290</v>
      </c>
      <c r="U463">
        <v>87.209325187237212</v>
      </c>
      <c r="V463">
        <v>22.026606087295281</v>
      </c>
      <c r="W463">
        <v>0.67594869632979349</v>
      </c>
      <c r="X463" t="s">
        <v>291</v>
      </c>
      <c r="Y463">
        <v>10</v>
      </c>
      <c r="Z463">
        <v>0.28693283304369371</v>
      </c>
      <c r="AA463">
        <v>1</v>
      </c>
    </row>
    <row r="464" spans="1:27" hidden="1" x14ac:dyDescent="0.25">
      <c r="A464" t="s">
        <v>98</v>
      </c>
      <c r="B464" t="s">
        <v>674</v>
      </c>
      <c r="D464" t="s">
        <v>100</v>
      </c>
      <c r="E464" t="s">
        <v>284</v>
      </c>
      <c r="F464" t="s">
        <v>355</v>
      </c>
      <c r="G464" t="s">
        <v>112</v>
      </c>
      <c r="H464" t="s">
        <v>104</v>
      </c>
      <c r="I464">
        <v>2030</v>
      </c>
      <c r="J464" t="s">
        <v>400</v>
      </c>
      <c r="K464" t="s">
        <v>106</v>
      </c>
      <c r="L464" t="s">
        <v>750</v>
      </c>
      <c r="M464" t="s">
        <v>803</v>
      </c>
      <c r="N464">
        <v>1</v>
      </c>
      <c r="O464">
        <v>2030</v>
      </c>
      <c r="P464">
        <v>23.051216439564651</v>
      </c>
      <c r="Q464">
        <v>0.88782640486853737</v>
      </c>
      <c r="R464" t="s">
        <v>289</v>
      </c>
      <c r="S464">
        <v>87.494679062376832</v>
      </c>
      <c r="T464" t="s">
        <v>290</v>
      </c>
      <c r="U464">
        <v>87.494679062376832</v>
      </c>
      <c r="V464">
        <v>23.051216439564651</v>
      </c>
      <c r="W464">
        <v>0.88782640486853737</v>
      </c>
      <c r="X464" t="s">
        <v>291</v>
      </c>
      <c r="Y464">
        <v>10</v>
      </c>
      <c r="Z464">
        <v>0.28693283304369371</v>
      </c>
      <c r="AA464">
        <v>1</v>
      </c>
    </row>
    <row r="465" spans="1:27" hidden="1" x14ac:dyDescent="0.25">
      <c r="A465" t="s">
        <v>98</v>
      </c>
      <c r="B465" t="s">
        <v>674</v>
      </c>
      <c r="D465" t="s">
        <v>100</v>
      </c>
      <c r="E465" t="s">
        <v>284</v>
      </c>
      <c r="F465" t="s">
        <v>360</v>
      </c>
      <c r="G465" t="s">
        <v>103</v>
      </c>
      <c r="H465" t="s">
        <v>104</v>
      </c>
      <c r="I465">
        <v>2030</v>
      </c>
      <c r="J465" t="s">
        <v>402</v>
      </c>
      <c r="K465" t="s">
        <v>106</v>
      </c>
      <c r="L465" t="s">
        <v>750</v>
      </c>
      <c r="M465" t="s">
        <v>804</v>
      </c>
      <c r="N465">
        <v>1</v>
      </c>
      <c r="O465">
        <v>2030</v>
      </c>
      <c r="P465">
        <v>32.03338343675982</v>
      </c>
      <c r="Q465">
        <v>0.74367453538487105</v>
      </c>
      <c r="R465" t="s">
        <v>289</v>
      </c>
      <c r="S465">
        <v>80.816288888888892</v>
      </c>
      <c r="T465" t="s">
        <v>290</v>
      </c>
      <c r="U465">
        <v>80.816288888888892</v>
      </c>
      <c r="V465">
        <v>32.03338343675982</v>
      </c>
      <c r="W465">
        <v>0.74367453538487105</v>
      </c>
      <c r="X465" t="s">
        <v>291</v>
      </c>
      <c r="Y465">
        <v>10</v>
      </c>
      <c r="Z465">
        <v>0.28693283304369371</v>
      </c>
      <c r="AA465">
        <v>1</v>
      </c>
    </row>
    <row r="466" spans="1:27" hidden="1" x14ac:dyDescent="0.25">
      <c r="A466" t="s">
        <v>98</v>
      </c>
      <c r="B466" t="s">
        <v>674</v>
      </c>
      <c r="D466" t="s">
        <v>100</v>
      </c>
      <c r="E466" t="s">
        <v>284</v>
      </c>
      <c r="F466" t="s">
        <v>360</v>
      </c>
      <c r="G466" t="s">
        <v>112</v>
      </c>
      <c r="H466" t="s">
        <v>104</v>
      </c>
      <c r="I466">
        <v>2030</v>
      </c>
      <c r="J466" t="s">
        <v>404</v>
      </c>
      <c r="K466" t="s">
        <v>106</v>
      </c>
      <c r="L466" t="s">
        <v>750</v>
      </c>
      <c r="M466" t="s">
        <v>805</v>
      </c>
      <c r="N466">
        <v>1</v>
      </c>
      <c r="O466">
        <v>2030</v>
      </c>
      <c r="P466">
        <v>30.04097222030375</v>
      </c>
      <c r="Q466">
        <v>1.0503155304453009</v>
      </c>
      <c r="R466" t="s">
        <v>289</v>
      </c>
      <c r="S466">
        <v>90.329273504273502</v>
      </c>
      <c r="T466" t="s">
        <v>290</v>
      </c>
      <c r="U466">
        <v>90.329273504273502</v>
      </c>
      <c r="V466">
        <v>30.04097222030375</v>
      </c>
      <c r="W466">
        <v>1.0503155304453009</v>
      </c>
      <c r="X466" t="s">
        <v>291</v>
      </c>
      <c r="Y466">
        <v>10</v>
      </c>
      <c r="Z466">
        <v>0.28693283304369371</v>
      </c>
      <c r="AA466">
        <v>1</v>
      </c>
    </row>
    <row r="467" spans="1:27" hidden="1" x14ac:dyDescent="0.25">
      <c r="A467" t="s">
        <v>98</v>
      </c>
      <c r="B467" t="s">
        <v>674</v>
      </c>
      <c r="D467" t="s">
        <v>100</v>
      </c>
      <c r="E467" t="s">
        <v>284</v>
      </c>
      <c r="F467" t="s">
        <v>365</v>
      </c>
      <c r="G467" t="s">
        <v>103</v>
      </c>
      <c r="H467" t="s">
        <v>104</v>
      </c>
      <c r="I467">
        <v>2030</v>
      </c>
      <c r="J467" t="s">
        <v>406</v>
      </c>
      <c r="K467" t="s">
        <v>106</v>
      </c>
      <c r="L467" t="s">
        <v>750</v>
      </c>
      <c r="M467" t="s">
        <v>806</v>
      </c>
      <c r="N467">
        <v>1</v>
      </c>
      <c r="O467">
        <v>2030</v>
      </c>
      <c r="P467">
        <v>23.710775767327672</v>
      </c>
      <c r="Q467">
        <v>1.668845649337886</v>
      </c>
      <c r="R467" t="s">
        <v>289</v>
      </c>
      <c r="S467">
        <v>154.72558108377279</v>
      </c>
      <c r="T467" t="s">
        <v>290</v>
      </c>
      <c r="U467">
        <v>154.72558108377279</v>
      </c>
      <c r="V467">
        <v>23.710775767327672</v>
      </c>
      <c r="W467">
        <v>1.668845649337886</v>
      </c>
      <c r="X467" t="s">
        <v>291</v>
      </c>
      <c r="Y467">
        <v>10</v>
      </c>
      <c r="Z467">
        <v>0.28693283304369371</v>
      </c>
      <c r="AA467">
        <v>1</v>
      </c>
    </row>
    <row r="468" spans="1:27" hidden="1" x14ac:dyDescent="0.25">
      <c r="A468" t="s">
        <v>98</v>
      </c>
      <c r="B468" t="s">
        <v>674</v>
      </c>
      <c r="D468" t="s">
        <v>100</v>
      </c>
      <c r="E468" t="s">
        <v>284</v>
      </c>
      <c r="F468" t="s">
        <v>365</v>
      </c>
      <c r="G468" t="s">
        <v>112</v>
      </c>
      <c r="H468" t="s">
        <v>104</v>
      </c>
      <c r="I468">
        <v>2030</v>
      </c>
      <c r="J468" t="s">
        <v>408</v>
      </c>
      <c r="K468" t="s">
        <v>106</v>
      </c>
      <c r="L468" t="s">
        <v>750</v>
      </c>
      <c r="M468" t="s">
        <v>807</v>
      </c>
      <c r="N468">
        <v>1</v>
      </c>
      <c r="O468">
        <v>2030</v>
      </c>
      <c r="P468">
        <v>28.858905605402359</v>
      </c>
      <c r="Q468">
        <v>2.128664396371156</v>
      </c>
      <c r="R468" t="s">
        <v>289</v>
      </c>
      <c r="S468">
        <v>176.3746647164572</v>
      </c>
      <c r="T468" t="s">
        <v>290</v>
      </c>
      <c r="U468">
        <v>176.3746647164572</v>
      </c>
      <c r="V468">
        <v>28.858905605402359</v>
      </c>
      <c r="W468">
        <v>2.128664396371156</v>
      </c>
      <c r="X468" t="s">
        <v>291</v>
      </c>
      <c r="Y468">
        <v>10</v>
      </c>
      <c r="Z468">
        <v>0.28693283304369371</v>
      </c>
      <c r="AA468">
        <v>1</v>
      </c>
    </row>
    <row r="469" spans="1:27" hidden="1" x14ac:dyDescent="0.25">
      <c r="A469" t="s">
        <v>98</v>
      </c>
      <c r="B469" t="s">
        <v>674</v>
      </c>
      <c r="D469" t="s">
        <v>100</v>
      </c>
      <c r="E469" t="s">
        <v>284</v>
      </c>
      <c r="F469" t="s">
        <v>355</v>
      </c>
      <c r="G469" t="s">
        <v>103</v>
      </c>
      <c r="H469" t="s">
        <v>104</v>
      </c>
      <c r="I469">
        <v>2040</v>
      </c>
      <c r="J469" t="s">
        <v>410</v>
      </c>
      <c r="K469" t="s">
        <v>106</v>
      </c>
      <c r="L469" t="s">
        <v>750</v>
      </c>
      <c r="M469" t="s">
        <v>808</v>
      </c>
      <c r="N469">
        <v>1</v>
      </c>
      <c r="O469">
        <v>2040</v>
      </c>
      <c r="P469">
        <v>22.159986853322259</v>
      </c>
      <c r="Q469">
        <v>0.64769049265200085</v>
      </c>
      <c r="R469" t="s">
        <v>289</v>
      </c>
      <c r="S469">
        <v>85.846844985289152</v>
      </c>
      <c r="T469" t="s">
        <v>290</v>
      </c>
      <c r="U469">
        <v>85.846844985289152</v>
      </c>
      <c r="V469">
        <v>22.159986853322259</v>
      </c>
      <c r="W469">
        <v>0.64769049265200085</v>
      </c>
      <c r="X469" t="s">
        <v>291</v>
      </c>
      <c r="Y469">
        <v>10</v>
      </c>
      <c r="Z469">
        <v>0.28693283304369371</v>
      </c>
      <c r="AA469">
        <v>1</v>
      </c>
    </row>
    <row r="470" spans="1:27" hidden="1" x14ac:dyDescent="0.25">
      <c r="A470" t="s">
        <v>98</v>
      </c>
      <c r="B470" t="s">
        <v>674</v>
      </c>
      <c r="D470" t="s">
        <v>100</v>
      </c>
      <c r="E470" t="s">
        <v>284</v>
      </c>
      <c r="F470" t="s">
        <v>355</v>
      </c>
      <c r="G470" t="s">
        <v>112</v>
      </c>
      <c r="H470" t="s">
        <v>104</v>
      </c>
      <c r="I470">
        <v>2040</v>
      </c>
      <c r="J470" t="s">
        <v>412</v>
      </c>
      <c r="K470" t="s">
        <v>106</v>
      </c>
      <c r="L470" t="s">
        <v>750</v>
      </c>
      <c r="M470" t="s">
        <v>809</v>
      </c>
      <c r="N470">
        <v>1</v>
      </c>
      <c r="O470">
        <v>2040</v>
      </c>
      <c r="P470">
        <v>22.287209700822071</v>
      </c>
      <c r="Q470">
        <v>0.78348370867951755</v>
      </c>
      <c r="R470" t="s">
        <v>289</v>
      </c>
      <c r="S470">
        <v>88.372750377742747</v>
      </c>
      <c r="T470" t="s">
        <v>290</v>
      </c>
      <c r="U470">
        <v>88.372750377742747</v>
      </c>
      <c r="V470">
        <v>22.287209700822071</v>
      </c>
      <c r="W470">
        <v>0.78348370867951755</v>
      </c>
      <c r="X470" t="s">
        <v>291</v>
      </c>
      <c r="Y470">
        <v>10</v>
      </c>
      <c r="Z470">
        <v>0.28693283304369371</v>
      </c>
      <c r="AA470">
        <v>1</v>
      </c>
    </row>
    <row r="471" spans="1:27" hidden="1" x14ac:dyDescent="0.25">
      <c r="A471" t="s">
        <v>98</v>
      </c>
      <c r="B471" t="s">
        <v>674</v>
      </c>
      <c r="D471" t="s">
        <v>100</v>
      </c>
      <c r="E471" t="s">
        <v>284</v>
      </c>
      <c r="F471" t="s">
        <v>360</v>
      </c>
      <c r="G471" t="s">
        <v>103</v>
      </c>
      <c r="H471" t="s">
        <v>104</v>
      </c>
      <c r="I471">
        <v>2040</v>
      </c>
      <c r="J471" t="s">
        <v>414</v>
      </c>
      <c r="K471" t="s">
        <v>106</v>
      </c>
      <c r="L471" t="s">
        <v>750</v>
      </c>
      <c r="M471" t="s">
        <v>810</v>
      </c>
      <c r="N471">
        <v>1</v>
      </c>
      <c r="O471">
        <v>2040</v>
      </c>
      <c r="P471">
        <v>28.721945226708339</v>
      </c>
      <c r="Q471">
        <v>0.72978219131721256</v>
      </c>
      <c r="R471" t="s">
        <v>289</v>
      </c>
      <c r="S471">
        <v>80.816288888888892</v>
      </c>
      <c r="T471" t="s">
        <v>290</v>
      </c>
      <c r="U471">
        <v>80.816288888888892</v>
      </c>
      <c r="V471">
        <v>28.721945226708339</v>
      </c>
      <c r="W471">
        <v>0.72978219131721256</v>
      </c>
      <c r="X471" t="s">
        <v>291</v>
      </c>
      <c r="Y471">
        <v>10</v>
      </c>
      <c r="Z471">
        <v>0.28693283304369371</v>
      </c>
      <c r="AA471">
        <v>1</v>
      </c>
    </row>
    <row r="472" spans="1:27" hidden="1" x14ac:dyDescent="0.25">
      <c r="A472" t="s">
        <v>98</v>
      </c>
      <c r="B472" t="s">
        <v>674</v>
      </c>
      <c r="D472" t="s">
        <v>100</v>
      </c>
      <c r="E472" t="s">
        <v>284</v>
      </c>
      <c r="F472" t="s">
        <v>360</v>
      </c>
      <c r="G472" t="s">
        <v>112</v>
      </c>
      <c r="H472" t="s">
        <v>104</v>
      </c>
      <c r="I472">
        <v>2040</v>
      </c>
      <c r="J472" t="s">
        <v>416</v>
      </c>
      <c r="K472" t="s">
        <v>106</v>
      </c>
      <c r="L472" t="s">
        <v>750</v>
      </c>
      <c r="M472" t="s">
        <v>811</v>
      </c>
      <c r="N472">
        <v>1</v>
      </c>
      <c r="O472">
        <v>2040</v>
      </c>
      <c r="P472">
        <v>33.197275628385512</v>
      </c>
      <c r="Q472">
        <v>1.1034319170477349</v>
      </c>
      <c r="R472" t="s">
        <v>289</v>
      </c>
      <c r="S472">
        <v>93.34643874643875</v>
      </c>
      <c r="T472" t="s">
        <v>290</v>
      </c>
      <c r="U472">
        <v>93.34643874643875</v>
      </c>
      <c r="V472">
        <v>33.197275628385512</v>
      </c>
      <c r="W472">
        <v>1.1034319170477349</v>
      </c>
      <c r="X472" t="s">
        <v>291</v>
      </c>
      <c r="Y472">
        <v>10</v>
      </c>
      <c r="Z472">
        <v>0.28693283304369371</v>
      </c>
      <c r="AA472">
        <v>1</v>
      </c>
    </row>
    <row r="473" spans="1:27" hidden="1" x14ac:dyDescent="0.25">
      <c r="A473" t="s">
        <v>98</v>
      </c>
      <c r="B473" t="s">
        <v>674</v>
      </c>
      <c r="D473" t="s">
        <v>100</v>
      </c>
      <c r="E473" t="s">
        <v>284</v>
      </c>
      <c r="F473" t="s">
        <v>365</v>
      </c>
      <c r="G473" t="s">
        <v>103</v>
      </c>
      <c r="H473" t="s">
        <v>104</v>
      </c>
      <c r="I473">
        <v>2040</v>
      </c>
      <c r="J473" t="s">
        <v>418</v>
      </c>
      <c r="K473" t="s">
        <v>106</v>
      </c>
      <c r="L473" t="s">
        <v>750</v>
      </c>
      <c r="M473" t="s">
        <v>812</v>
      </c>
      <c r="N473">
        <v>1</v>
      </c>
      <c r="O473">
        <v>2040</v>
      </c>
      <c r="P473">
        <v>22.333975775561878</v>
      </c>
      <c r="Q473">
        <v>1.552983156443519</v>
      </c>
      <c r="R473" t="s">
        <v>289</v>
      </c>
      <c r="S473">
        <v>181.1420784222461</v>
      </c>
      <c r="T473" t="s">
        <v>290</v>
      </c>
      <c r="U473">
        <v>181.1420784222461</v>
      </c>
      <c r="V473">
        <v>22.333975775561878</v>
      </c>
      <c r="W473">
        <v>1.552983156443519</v>
      </c>
      <c r="X473" t="s">
        <v>291</v>
      </c>
      <c r="Y473">
        <v>10</v>
      </c>
      <c r="Z473">
        <v>0.28693283304369371</v>
      </c>
      <c r="AA473">
        <v>1</v>
      </c>
    </row>
    <row r="474" spans="1:27" hidden="1" x14ac:dyDescent="0.25">
      <c r="A474" t="s">
        <v>98</v>
      </c>
      <c r="B474" t="s">
        <v>674</v>
      </c>
      <c r="D474" t="s">
        <v>100</v>
      </c>
      <c r="E474" t="s">
        <v>284</v>
      </c>
      <c r="F474" t="s">
        <v>365</v>
      </c>
      <c r="G474" t="s">
        <v>112</v>
      </c>
      <c r="H474" t="s">
        <v>104</v>
      </c>
      <c r="I474">
        <v>2040</v>
      </c>
      <c r="J474" t="s">
        <v>420</v>
      </c>
      <c r="K474" t="s">
        <v>106</v>
      </c>
      <c r="L474" t="s">
        <v>750</v>
      </c>
      <c r="M474" t="s">
        <v>813</v>
      </c>
      <c r="N474">
        <v>1</v>
      </c>
      <c r="O474">
        <v>2040</v>
      </c>
      <c r="P474">
        <v>27.009726996743201</v>
      </c>
      <c r="Q474">
        <v>1.971842815426603</v>
      </c>
      <c r="R474" t="s">
        <v>289</v>
      </c>
      <c r="S474">
        <v>206.50467814395611</v>
      </c>
      <c r="T474" t="s">
        <v>290</v>
      </c>
      <c r="U474">
        <v>206.50467814395611</v>
      </c>
      <c r="V474">
        <v>27.009726996743201</v>
      </c>
      <c r="W474">
        <v>1.971842815426603</v>
      </c>
      <c r="X474" t="s">
        <v>291</v>
      </c>
      <c r="Y474">
        <v>10</v>
      </c>
      <c r="Z474">
        <v>0.28693283304369371</v>
      </c>
      <c r="AA474">
        <v>1</v>
      </c>
    </row>
    <row r="475" spans="1:27" hidden="1" x14ac:dyDescent="0.25">
      <c r="A475" t="s">
        <v>98</v>
      </c>
      <c r="B475" t="s">
        <v>674</v>
      </c>
      <c r="D475" t="s">
        <v>100</v>
      </c>
      <c r="E475" t="s">
        <v>284</v>
      </c>
      <c r="F475" t="s">
        <v>422</v>
      </c>
      <c r="G475" t="s">
        <v>103</v>
      </c>
      <c r="H475" t="s">
        <v>104</v>
      </c>
      <c r="I475">
        <v>2022</v>
      </c>
      <c r="J475" t="s">
        <v>423</v>
      </c>
      <c r="K475" t="s">
        <v>106</v>
      </c>
      <c r="L475" t="s">
        <v>750</v>
      </c>
      <c r="M475" t="s">
        <v>814</v>
      </c>
      <c r="N475">
        <v>1</v>
      </c>
      <c r="O475">
        <v>2020</v>
      </c>
      <c r="P475">
        <v>22.570490905245428</v>
      </c>
      <c r="Q475">
        <v>0.77947598919167282</v>
      </c>
      <c r="R475" t="s">
        <v>289</v>
      </c>
      <c r="S475">
        <v>59.465873015873022</v>
      </c>
      <c r="T475" t="s">
        <v>290</v>
      </c>
      <c r="U475">
        <v>59.465873015873022</v>
      </c>
      <c r="V475">
        <v>22.570490905245428</v>
      </c>
      <c r="W475">
        <v>0.77947598919167282</v>
      </c>
      <c r="X475" t="s">
        <v>291</v>
      </c>
      <c r="Y475">
        <v>10</v>
      </c>
      <c r="Z475">
        <v>0.28693283304369371</v>
      </c>
      <c r="AA475">
        <v>1</v>
      </c>
    </row>
    <row r="476" spans="1:27" hidden="1" x14ac:dyDescent="0.25">
      <c r="A476" t="s">
        <v>98</v>
      </c>
      <c r="B476" t="s">
        <v>674</v>
      </c>
      <c r="D476" t="s">
        <v>100</v>
      </c>
      <c r="E476" t="s">
        <v>284</v>
      </c>
      <c r="F476" t="s">
        <v>425</v>
      </c>
      <c r="G476" t="s">
        <v>103</v>
      </c>
      <c r="H476" t="s">
        <v>104</v>
      </c>
      <c r="I476">
        <v>2022</v>
      </c>
      <c r="J476" t="s">
        <v>426</v>
      </c>
      <c r="K476" t="s">
        <v>106</v>
      </c>
      <c r="L476" t="s">
        <v>750</v>
      </c>
      <c r="M476" t="s">
        <v>815</v>
      </c>
      <c r="N476">
        <v>1</v>
      </c>
      <c r="O476">
        <v>2020</v>
      </c>
      <c r="P476">
        <v>20.699165146358741</v>
      </c>
      <c r="Q476">
        <v>1.111231451610436</v>
      </c>
      <c r="R476" t="s">
        <v>289</v>
      </c>
      <c r="S476">
        <v>74.054444444444442</v>
      </c>
      <c r="T476" t="s">
        <v>290</v>
      </c>
      <c r="U476">
        <v>74.054444444444442</v>
      </c>
      <c r="V476">
        <v>20.699165146358741</v>
      </c>
      <c r="W476">
        <v>1.111231451610436</v>
      </c>
      <c r="X476" t="s">
        <v>291</v>
      </c>
      <c r="Y476">
        <v>10</v>
      </c>
      <c r="Z476">
        <v>0.28693283304369371</v>
      </c>
      <c r="AA476">
        <v>1</v>
      </c>
    </row>
    <row r="477" spans="1:27" hidden="1" x14ac:dyDescent="0.25">
      <c r="A477" t="s">
        <v>98</v>
      </c>
      <c r="B477" t="s">
        <v>674</v>
      </c>
      <c r="D477" t="s">
        <v>100</v>
      </c>
      <c r="E477" t="s">
        <v>284</v>
      </c>
      <c r="F477" t="s">
        <v>428</v>
      </c>
      <c r="G477" t="s">
        <v>103</v>
      </c>
      <c r="H477" t="s">
        <v>104</v>
      </c>
      <c r="I477">
        <v>2022</v>
      </c>
      <c r="J477" t="s">
        <v>429</v>
      </c>
      <c r="K477" t="s">
        <v>106</v>
      </c>
      <c r="L477" t="s">
        <v>750</v>
      </c>
      <c r="M477" t="s">
        <v>816</v>
      </c>
      <c r="N477">
        <v>1</v>
      </c>
      <c r="O477">
        <v>2020</v>
      </c>
      <c r="P477">
        <v>25.347672779313449</v>
      </c>
      <c r="Q477">
        <v>0.56400508525842741</v>
      </c>
      <c r="R477" t="s">
        <v>289</v>
      </c>
      <c r="S477">
        <v>77.810944444444459</v>
      </c>
      <c r="T477" t="s">
        <v>290</v>
      </c>
      <c r="U477">
        <v>77.810944444444459</v>
      </c>
      <c r="V477">
        <v>25.347672779313449</v>
      </c>
      <c r="W477">
        <v>0.56400508525842741</v>
      </c>
      <c r="X477" t="s">
        <v>291</v>
      </c>
      <c r="Y477">
        <v>10</v>
      </c>
      <c r="Z477">
        <v>0.28693283304369371</v>
      </c>
      <c r="AA477">
        <v>1</v>
      </c>
    </row>
    <row r="478" spans="1:27" hidden="1" x14ac:dyDescent="0.25">
      <c r="A478" t="s">
        <v>98</v>
      </c>
      <c r="B478" t="s">
        <v>674</v>
      </c>
      <c r="D478" t="s">
        <v>100</v>
      </c>
      <c r="E478" t="s">
        <v>284</v>
      </c>
      <c r="F478" t="s">
        <v>425</v>
      </c>
      <c r="G478" t="s">
        <v>103</v>
      </c>
      <c r="H478" t="s">
        <v>104</v>
      </c>
      <c r="I478">
        <v>2030</v>
      </c>
      <c r="J478" t="s">
        <v>431</v>
      </c>
      <c r="K478" t="s">
        <v>106</v>
      </c>
      <c r="L478" t="s">
        <v>750</v>
      </c>
      <c r="M478" t="s">
        <v>817</v>
      </c>
      <c r="N478">
        <v>1</v>
      </c>
      <c r="O478">
        <v>2030</v>
      </c>
      <c r="P478">
        <v>20.230705085538521</v>
      </c>
      <c r="Q478">
        <v>1.0951903363739519</v>
      </c>
      <c r="R478" t="s">
        <v>289</v>
      </c>
      <c r="S478">
        <v>79.81</v>
      </c>
      <c r="T478" t="s">
        <v>290</v>
      </c>
      <c r="U478">
        <v>79.81</v>
      </c>
      <c r="V478">
        <v>20.230705085538521</v>
      </c>
      <c r="W478">
        <v>1.0951903363739519</v>
      </c>
      <c r="X478" t="s">
        <v>291</v>
      </c>
      <c r="Y478">
        <v>10</v>
      </c>
      <c r="Z478">
        <v>0.28693283304369371</v>
      </c>
      <c r="AA478">
        <v>1</v>
      </c>
    </row>
    <row r="479" spans="1:27" hidden="1" x14ac:dyDescent="0.25">
      <c r="A479" t="s">
        <v>98</v>
      </c>
      <c r="B479" t="s">
        <v>674</v>
      </c>
      <c r="D479" t="s">
        <v>100</v>
      </c>
      <c r="E479" t="s">
        <v>284</v>
      </c>
      <c r="F479" t="s">
        <v>428</v>
      </c>
      <c r="G479" t="s">
        <v>103</v>
      </c>
      <c r="H479" t="s">
        <v>104</v>
      </c>
      <c r="I479">
        <v>2030</v>
      </c>
      <c r="J479" t="s">
        <v>433</v>
      </c>
      <c r="K479" t="s">
        <v>106</v>
      </c>
      <c r="L479" t="s">
        <v>750</v>
      </c>
      <c r="M479" t="s">
        <v>818</v>
      </c>
      <c r="N479">
        <v>1</v>
      </c>
      <c r="O479">
        <v>2030</v>
      </c>
      <c r="P479">
        <v>24.67049407605251</v>
      </c>
      <c r="Q479">
        <v>0.55731249361340607</v>
      </c>
      <c r="R479" t="s">
        <v>289</v>
      </c>
      <c r="S479">
        <v>84.367500000000007</v>
      </c>
      <c r="T479" t="s">
        <v>290</v>
      </c>
      <c r="U479">
        <v>84.367500000000007</v>
      </c>
      <c r="V479">
        <v>24.67049407605251</v>
      </c>
      <c r="W479">
        <v>0.55731249361340607</v>
      </c>
      <c r="X479" t="s">
        <v>291</v>
      </c>
      <c r="Y479">
        <v>10</v>
      </c>
      <c r="Z479">
        <v>0.28693283304369371</v>
      </c>
      <c r="AA479">
        <v>1</v>
      </c>
    </row>
    <row r="480" spans="1:27" hidden="1" x14ac:dyDescent="0.25">
      <c r="A480" t="s">
        <v>98</v>
      </c>
      <c r="B480" t="s">
        <v>674</v>
      </c>
      <c r="D480" t="s">
        <v>100</v>
      </c>
      <c r="E480" t="s">
        <v>284</v>
      </c>
      <c r="F480" t="s">
        <v>425</v>
      </c>
      <c r="G480" t="s">
        <v>103</v>
      </c>
      <c r="H480" t="s">
        <v>104</v>
      </c>
      <c r="I480">
        <v>2040</v>
      </c>
      <c r="J480" t="s">
        <v>435</v>
      </c>
      <c r="K480" t="s">
        <v>106</v>
      </c>
      <c r="L480" t="s">
        <v>750</v>
      </c>
      <c r="M480" t="s">
        <v>819</v>
      </c>
      <c r="N480">
        <v>1</v>
      </c>
      <c r="O480">
        <v>2040</v>
      </c>
      <c r="P480">
        <v>19.670938877469698</v>
      </c>
      <c r="Q480">
        <v>1.076022695415618</v>
      </c>
      <c r="R480" t="s">
        <v>289</v>
      </c>
      <c r="S480">
        <v>79.81</v>
      </c>
      <c r="T480" t="s">
        <v>290</v>
      </c>
      <c r="U480">
        <v>79.81</v>
      </c>
      <c r="V480">
        <v>19.670938877469698</v>
      </c>
      <c r="W480">
        <v>1.076022695415618</v>
      </c>
      <c r="X480" t="s">
        <v>291</v>
      </c>
      <c r="Y480">
        <v>10</v>
      </c>
      <c r="Z480">
        <v>0.28693283304369371</v>
      </c>
      <c r="AA480">
        <v>1</v>
      </c>
    </row>
    <row r="481" spans="1:27" hidden="1" x14ac:dyDescent="0.25">
      <c r="A481" t="s">
        <v>98</v>
      </c>
      <c r="B481" t="s">
        <v>674</v>
      </c>
      <c r="D481" t="s">
        <v>100</v>
      </c>
      <c r="E481" t="s">
        <v>284</v>
      </c>
      <c r="F481" t="s">
        <v>428</v>
      </c>
      <c r="G481" t="s">
        <v>103</v>
      </c>
      <c r="H481" t="s">
        <v>104</v>
      </c>
      <c r="I481">
        <v>2040</v>
      </c>
      <c r="J481" t="s">
        <v>437</v>
      </c>
      <c r="K481" t="s">
        <v>106</v>
      </c>
      <c r="L481" t="s">
        <v>750</v>
      </c>
      <c r="M481" t="s">
        <v>820</v>
      </c>
      <c r="N481">
        <v>1</v>
      </c>
      <c r="O481">
        <v>2040</v>
      </c>
      <c r="P481">
        <v>23.861328500132039</v>
      </c>
      <c r="Q481">
        <v>0.54931546897756556</v>
      </c>
      <c r="R481" t="s">
        <v>289</v>
      </c>
      <c r="S481">
        <v>84.367500000000007</v>
      </c>
      <c r="T481" t="s">
        <v>290</v>
      </c>
      <c r="U481">
        <v>84.367500000000007</v>
      </c>
      <c r="V481">
        <v>23.861328500132039</v>
      </c>
      <c r="W481">
        <v>0.54931546897756556</v>
      </c>
      <c r="X481" t="s">
        <v>291</v>
      </c>
      <c r="Y481">
        <v>10</v>
      </c>
      <c r="Z481">
        <v>0.28693283304369371</v>
      </c>
      <c r="AA481">
        <v>1</v>
      </c>
    </row>
    <row r="482" spans="1:27" hidden="1" x14ac:dyDescent="0.25">
      <c r="A482" t="s">
        <v>98</v>
      </c>
      <c r="B482" t="s">
        <v>674</v>
      </c>
      <c r="D482" t="s">
        <v>100</v>
      </c>
      <c r="E482" t="s">
        <v>439</v>
      </c>
      <c r="F482" t="s">
        <v>440</v>
      </c>
      <c r="G482" t="s">
        <v>245</v>
      </c>
      <c r="H482" t="s">
        <v>104</v>
      </c>
      <c r="I482">
        <v>2022</v>
      </c>
      <c r="J482" t="s">
        <v>441</v>
      </c>
      <c r="K482" t="s">
        <v>106</v>
      </c>
      <c r="L482" t="s">
        <v>821</v>
      </c>
      <c r="M482" t="s">
        <v>822</v>
      </c>
      <c r="N482">
        <v>1</v>
      </c>
      <c r="O482">
        <v>2020</v>
      </c>
      <c r="P482">
        <v>831.12625331024003</v>
      </c>
      <c r="Q482">
        <v>84.323656568982784</v>
      </c>
      <c r="R482" t="s">
        <v>109</v>
      </c>
      <c r="S482">
        <v>2.8957310176295739</v>
      </c>
      <c r="T482" t="s">
        <v>110</v>
      </c>
      <c r="U482">
        <v>1</v>
      </c>
      <c r="V482">
        <v>8212.0648964814554</v>
      </c>
      <c r="W482">
        <v>833.17226148867417</v>
      </c>
      <c r="X482" t="s">
        <v>111</v>
      </c>
      <c r="Y482">
        <v>10</v>
      </c>
      <c r="Z482">
        <v>0.44</v>
      </c>
      <c r="AA482">
        <v>31.536000000000001</v>
      </c>
    </row>
    <row r="483" spans="1:27" hidden="1" x14ac:dyDescent="0.25">
      <c r="A483" t="s">
        <v>98</v>
      </c>
      <c r="B483" t="s">
        <v>674</v>
      </c>
      <c r="D483" t="s">
        <v>100</v>
      </c>
      <c r="E483" t="s">
        <v>439</v>
      </c>
      <c r="F483" t="s">
        <v>440</v>
      </c>
      <c r="G483" t="s">
        <v>103</v>
      </c>
      <c r="H483" t="s">
        <v>104</v>
      </c>
      <c r="I483">
        <v>2022</v>
      </c>
      <c r="J483" t="s">
        <v>444</v>
      </c>
      <c r="K483" t="s">
        <v>106</v>
      </c>
      <c r="L483" t="s">
        <v>821</v>
      </c>
      <c r="M483" t="s">
        <v>823</v>
      </c>
      <c r="N483">
        <v>1</v>
      </c>
      <c r="O483">
        <v>2020</v>
      </c>
      <c r="P483">
        <v>1031.6192027056411</v>
      </c>
      <c r="Q483">
        <v>84.323656568982784</v>
      </c>
      <c r="R483" t="s">
        <v>109</v>
      </c>
      <c r="S483">
        <v>3.1136892662683588</v>
      </c>
      <c r="T483" t="s">
        <v>110</v>
      </c>
      <c r="U483">
        <v>1.075268817204301</v>
      </c>
      <c r="V483">
        <v>10193.06490119123</v>
      </c>
      <c r="W483">
        <v>833.17226148867428</v>
      </c>
      <c r="X483" t="s">
        <v>111</v>
      </c>
      <c r="Y483">
        <v>10</v>
      </c>
      <c r="Z483">
        <v>0.44</v>
      </c>
      <c r="AA483">
        <v>31.536000000000001</v>
      </c>
    </row>
    <row r="484" spans="1:27" hidden="1" x14ac:dyDescent="0.25">
      <c r="A484" t="s">
        <v>98</v>
      </c>
      <c r="B484" t="s">
        <v>674</v>
      </c>
      <c r="D484" t="s">
        <v>100</v>
      </c>
      <c r="E484" t="s">
        <v>439</v>
      </c>
      <c r="F484" t="s">
        <v>440</v>
      </c>
      <c r="G484" t="s">
        <v>112</v>
      </c>
      <c r="H484" t="s">
        <v>104</v>
      </c>
      <c r="I484">
        <v>2022</v>
      </c>
      <c r="J484" t="s">
        <v>446</v>
      </c>
      <c r="K484" t="s">
        <v>106</v>
      </c>
      <c r="L484" t="s">
        <v>821</v>
      </c>
      <c r="M484" t="s">
        <v>824</v>
      </c>
      <c r="N484">
        <v>1</v>
      </c>
      <c r="O484">
        <v>2020</v>
      </c>
      <c r="P484">
        <v>1137.4723035050019</v>
      </c>
      <c r="Q484">
        <v>84.323656568982784</v>
      </c>
      <c r="R484" t="s">
        <v>109</v>
      </c>
      <c r="S484">
        <v>3.348052974482107</v>
      </c>
      <c r="T484" t="s">
        <v>110</v>
      </c>
      <c r="U484">
        <v>1.156203029251937</v>
      </c>
      <c r="V484">
        <v>11238.961995400419</v>
      </c>
      <c r="W484">
        <v>833.17226148867417</v>
      </c>
      <c r="X484" t="s">
        <v>111</v>
      </c>
      <c r="Y484">
        <v>10</v>
      </c>
      <c r="Z484">
        <v>0.44</v>
      </c>
      <c r="AA484">
        <v>31.536000000000001</v>
      </c>
    </row>
    <row r="485" spans="1:27" hidden="1" x14ac:dyDescent="0.25">
      <c r="A485" t="s">
        <v>98</v>
      </c>
      <c r="B485" t="s">
        <v>674</v>
      </c>
      <c r="D485" t="s">
        <v>100</v>
      </c>
      <c r="E485" t="s">
        <v>439</v>
      </c>
      <c r="F485" t="s">
        <v>440</v>
      </c>
      <c r="G485" t="s">
        <v>103</v>
      </c>
      <c r="H485" t="s">
        <v>104</v>
      </c>
      <c r="I485">
        <v>2030</v>
      </c>
      <c r="J485" t="s">
        <v>448</v>
      </c>
      <c r="K485" t="s">
        <v>106</v>
      </c>
      <c r="L485" t="s">
        <v>821</v>
      </c>
      <c r="M485" t="s">
        <v>825</v>
      </c>
      <c r="N485">
        <v>0</v>
      </c>
      <c r="O485">
        <v>2030</v>
      </c>
      <c r="P485">
        <v>1031.6192027056411</v>
      </c>
      <c r="Q485">
        <v>84.323656568982784</v>
      </c>
      <c r="R485" t="s">
        <v>109</v>
      </c>
      <c r="S485">
        <v>3.1136892662683588</v>
      </c>
      <c r="T485" t="s">
        <v>110</v>
      </c>
      <c r="U485">
        <v>1.075268817204301</v>
      </c>
      <c r="V485">
        <v>10193.06490119123</v>
      </c>
      <c r="W485">
        <v>833.17226148867428</v>
      </c>
      <c r="X485" t="s">
        <v>111</v>
      </c>
      <c r="Y485">
        <v>10</v>
      </c>
      <c r="Z485">
        <v>0.44</v>
      </c>
      <c r="AA485">
        <v>31.536000000000001</v>
      </c>
    </row>
    <row r="486" spans="1:27" hidden="1" x14ac:dyDescent="0.25">
      <c r="A486" t="s">
        <v>98</v>
      </c>
      <c r="B486" t="s">
        <v>674</v>
      </c>
      <c r="D486" t="s">
        <v>100</v>
      </c>
      <c r="E486" t="s">
        <v>439</v>
      </c>
      <c r="F486" t="s">
        <v>440</v>
      </c>
      <c r="G486" t="s">
        <v>112</v>
      </c>
      <c r="H486" t="s">
        <v>104</v>
      </c>
      <c r="I486">
        <v>2030</v>
      </c>
      <c r="J486" t="s">
        <v>450</v>
      </c>
      <c r="K486" t="s">
        <v>106</v>
      </c>
      <c r="L486" t="s">
        <v>821</v>
      </c>
      <c r="M486" t="s">
        <v>826</v>
      </c>
      <c r="N486">
        <v>0</v>
      </c>
      <c r="O486">
        <v>2030</v>
      </c>
      <c r="P486">
        <v>1137.4723035050019</v>
      </c>
      <c r="Q486">
        <v>84.323656568982784</v>
      </c>
      <c r="R486" t="s">
        <v>109</v>
      </c>
      <c r="S486">
        <v>3.348052974482107</v>
      </c>
      <c r="T486" t="s">
        <v>110</v>
      </c>
      <c r="U486">
        <v>1.156203029251937</v>
      </c>
      <c r="V486">
        <v>11238.961995400419</v>
      </c>
      <c r="W486">
        <v>833.17226148867417</v>
      </c>
      <c r="X486" t="s">
        <v>111</v>
      </c>
      <c r="Y486">
        <v>10</v>
      </c>
      <c r="Z486">
        <v>0.44</v>
      </c>
      <c r="AA486">
        <v>31.536000000000001</v>
      </c>
    </row>
    <row r="487" spans="1:27" hidden="1" x14ac:dyDescent="0.25">
      <c r="A487" t="s">
        <v>98</v>
      </c>
      <c r="B487" t="s">
        <v>674</v>
      </c>
      <c r="D487" t="s">
        <v>100</v>
      </c>
      <c r="E487" t="s">
        <v>439</v>
      </c>
      <c r="F487" t="s">
        <v>440</v>
      </c>
      <c r="G487" t="s">
        <v>103</v>
      </c>
      <c r="H487" t="s">
        <v>104</v>
      </c>
      <c r="I487">
        <v>2040</v>
      </c>
      <c r="J487" t="s">
        <v>452</v>
      </c>
      <c r="K487" t="s">
        <v>106</v>
      </c>
      <c r="L487" t="s">
        <v>821</v>
      </c>
      <c r="M487" t="s">
        <v>827</v>
      </c>
      <c r="N487">
        <v>0</v>
      </c>
      <c r="O487">
        <v>2040</v>
      </c>
      <c r="P487">
        <v>1031.6192027056411</v>
      </c>
      <c r="Q487">
        <v>84.323656568982784</v>
      </c>
      <c r="R487" t="s">
        <v>109</v>
      </c>
      <c r="S487">
        <v>3.1136892662683588</v>
      </c>
      <c r="T487" t="s">
        <v>110</v>
      </c>
      <c r="U487">
        <v>1.075268817204301</v>
      </c>
      <c r="V487">
        <v>10193.06490119123</v>
      </c>
      <c r="W487">
        <v>833.17226148867428</v>
      </c>
      <c r="X487" t="s">
        <v>111</v>
      </c>
      <c r="Y487">
        <v>10</v>
      </c>
      <c r="Z487">
        <v>0.44</v>
      </c>
      <c r="AA487">
        <v>31.536000000000001</v>
      </c>
    </row>
    <row r="488" spans="1:27" hidden="1" x14ac:dyDescent="0.25">
      <c r="A488" t="s">
        <v>98</v>
      </c>
      <c r="B488" t="s">
        <v>674</v>
      </c>
      <c r="D488" t="s">
        <v>100</v>
      </c>
      <c r="E488" t="s">
        <v>439</v>
      </c>
      <c r="F488" t="s">
        <v>440</v>
      </c>
      <c r="G488" t="s">
        <v>112</v>
      </c>
      <c r="H488" t="s">
        <v>104</v>
      </c>
      <c r="I488">
        <v>2040</v>
      </c>
      <c r="J488" t="s">
        <v>454</v>
      </c>
      <c r="K488" t="s">
        <v>106</v>
      </c>
      <c r="L488" t="s">
        <v>821</v>
      </c>
      <c r="M488" t="s">
        <v>828</v>
      </c>
      <c r="N488">
        <v>0</v>
      </c>
      <c r="O488">
        <v>2040</v>
      </c>
      <c r="P488">
        <v>1137.4723035050019</v>
      </c>
      <c r="Q488">
        <v>84.323656568982784</v>
      </c>
      <c r="R488" t="s">
        <v>109</v>
      </c>
      <c r="S488">
        <v>3.348052974482107</v>
      </c>
      <c r="T488" t="s">
        <v>110</v>
      </c>
      <c r="U488">
        <v>1.156203029251937</v>
      </c>
      <c r="V488">
        <v>11238.961995400419</v>
      </c>
      <c r="W488">
        <v>833.17226148867417</v>
      </c>
      <c r="X488" t="s">
        <v>111</v>
      </c>
      <c r="Y488">
        <v>10</v>
      </c>
      <c r="Z488">
        <v>0.44</v>
      </c>
      <c r="AA488">
        <v>31.536000000000001</v>
      </c>
    </row>
    <row r="489" spans="1:27" hidden="1" x14ac:dyDescent="0.25">
      <c r="A489" t="s">
        <v>98</v>
      </c>
      <c r="B489" t="s">
        <v>674</v>
      </c>
      <c r="D489" t="s">
        <v>100</v>
      </c>
      <c r="E489" t="s">
        <v>439</v>
      </c>
      <c r="F489" t="s">
        <v>440</v>
      </c>
      <c r="G489" t="s">
        <v>103</v>
      </c>
      <c r="H489" t="s">
        <v>104</v>
      </c>
      <c r="I489">
        <v>2050</v>
      </c>
      <c r="J489" t="s">
        <v>456</v>
      </c>
      <c r="K489" t="s">
        <v>106</v>
      </c>
      <c r="L489" t="s">
        <v>821</v>
      </c>
      <c r="M489" t="s">
        <v>829</v>
      </c>
      <c r="N489">
        <v>0</v>
      </c>
      <c r="O489">
        <v>2050</v>
      </c>
      <c r="P489">
        <v>1031.6192027056411</v>
      </c>
      <c r="Q489">
        <v>84.323656568982784</v>
      </c>
      <c r="R489" t="s">
        <v>109</v>
      </c>
      <c r="S489">
        <v>3.1136892662683588</v>
      </c>
      <c r="T489" t="s">
        <v>110</v>
      </c>
      <c r="U489">
        <v>1.075268817204301</v>
      </c>
      <c r="V489">
        <v>10193.06490119123</v>
      </c>
      <c r="W489">
        <v>833.17226148867428</v>
      </c>
      <c r="X489" t="s">
        <v>111</v>
      </c>
      <c r="Y489">
        <v>10</v>
      </c>
      <c r="Z489">
        <v>0.44</v>
      </c>
      <c r="AA489">
        <v>31.536000000000001</v>
      </c>
    </row>
    <row r="490" spans="1:27" hidden="1" x14ac:dyDescent="0.25">
      <c r="A490" t="s">
        <v>98</v>
      </c>
      <c r="B490" t="s">
        <v>674</v>
      </c>
      <c r="D490" t="s">
        <v>100</v>
      </c>
      <c r="E490" t="s">
        <v>439</v>
      </c>
      <c r="F490" t="s">
        <v>440</v>
      </c>
      <c r="G490" t="s">
        <v>112</v>
      </c>
      <c r="H490" t="s">
        <v>104</v>
      </c>
      <c r="I490">
        <v>2050</v>
      </c>
      <c r="J490" t="s">
        <v>458</v>
      </c>
      <c r="K490" t="s">
        <v>106</v>
      </c>
      <c r="L490" t="s">
        <v>821</v>
      </c>
      <c r="M490" t="s">
        <v>830</v>
      </c>
      <c r="N490">
        <v>0</v>
      </c>
      <c r="O490">
        <v>2050</v>
      </c>
      <c r="P490">
        <v>1137.4723035050019</v>
      </c>
      <c r="Q490">
        <v>84.323656568982784</v>
      </c>
      <c r="R490" t="s">
        <v>109</v>
      </c>
      <c r="S490">
        <v>3.348052974482107</v>
      </c>
      <c r="T490" t="s">
        <v>110</v>
      </c>
      <c r="U490">
        <v>1.156203029251937</v>
      </c>
      <c r="V490">
        <v>11238.961995400419</v>
      </c>
      <c r="W490">
        <v>833.17226148867417</v>
      </c>
      <c r="X490" t="s">
        <v>111</v>
      </c>
      <c r="Y490">
        <v>10</v>
      </c>
      <c r="Z490">
        <v>0.44</v>
      </c>
      <c r="AA490">
        <v>31.536000000000001</v>
      </c>
    </row>
    <row r="491" spans="1:27" hidden="1" x14ac:dyDescent="0.25">
      <c r="A491" t="s">
        <v>98</v>
      </c>
      <c r="B491" t="s">
        <v>674</v>
      </c>
      <c r="D491" t="s">
        <v>100</v>
      </c>
      <c r="E491" t="s">
        <v>439</v>
      </c>
      <c r="F491" t="s">
        <v>460</v>
      </c>
      <c r="G491" t="s">
        <v>245</v>
      </c>
      <c r="H491" t="s">
        <v>104</v>
      </c>
      <c r="I491">
        <v>2022</v>
      </c>
      <c r="J491" t="s">
        <v>461</v>
      </c>
      <c r="K491" t="s">
        <v>106</v>
      </c>
      <c r="L491" t="s">
        <v>821</v>
      </c>
      <c r="M491" t="s">
        <v>831</v>
      </c>
      <c r="N491">
        <v>1</v>
      </c>
      <c r="O491">
        <v>2020</v>
      </c>
      <c r="P491">
        <v>520.8323861248623</v>
      </c>
      <c r="Q491">
        <v>19.17492366827851</v>
      </c>
      <c r="R491" t="s">
        <v>109</v>
      </c>
      <c r="S491">
        <v>5.9841517746527506</v>
      </c>
      <c r="T491" t="s">
        <v>110</v>
      </c>
      <c r="U491">
        <v>2.066542692750287</v>
      </c>
      <c r="V491">
        <v>5146.1608125259299</v>
      </c>
      <c r="W491">
        <v>189.46064682931279</v>
      </c>
      <c r="X491" t="s">
        <v>111</v>
      </c>
      <c r="Y491">
        <v>10</v>
      </c>
      <c r="Z491">
        <v>0.44</v>
      </c>
      <c r="AA491">
        <v>31.536000000000001</v>
      </c>
    </row>
    <row r="492" spans="1:27" hidden="1" x14ac:dyDescent="0.25">
      <c r="A492" t="s">
        <v>98</v>
      </c>
      <c r="B492" t="s">
        <v>674</v>
      </c>
      <c r="D492" t="s">
        <v>100</v>
      </c>
      <c r="E492" t="s">
        <v>439</v>
      </c>
      <c r="F492" t="s">
        <v>460</v>
      </c>
      <c r="G492" t="s">
        <v>103</v>
      </c>
      <c r="H492" t="s">
        <v>104</v>
      </c>
      <c r="I492">
        <v>2022</v>
      </c>
      <c r="J492" t="s">
        <v>463</v>
      </c>
      <c r="K492" t="s">
        <v>106</v>
      </c>
      <c r="L492" t="s">
        <v>821</v>
      </c>
      <c r="M492" t="s">
        <v>832</v>
      </c>
      <c r="N492">
        <v>1</v>
      </c>
      <c r="O492">
        <v>2020</v>
      </c>
      <c r="P492">
        <v>619.22047419033993</v>
      </c>
      <c r="Q492">
        <v>19.17492366827851</v>
      </c>
      <c r="R492" t="s">
        <v>109</v>
      </c>
      <c r="S492">
        <v>6.5013006934499016</v>
      </c>
      <c r="T492" t="s">
        <v>110</v>
      </c>
      <c r="U492">
        <v>2.2451328020003118</v>
      </c>
      <c r="V492">
        <v>6118.2987530812006</v>
      </c>
      <c r="W492">
        <v>189.46064682931279</v>
      </c>
      <c r="X492" t="s">
        <v>111</v>
      </c>
      <c r="Y492">
        <v>10</v>
      </c>
      <c r="Z492">
        <v>0.44</v>
      </c>
      <c r="AA492">
        <v>31.536000000000001</v>
      </c>
    </row>
    <row r="493" spans="1:27" hidden="1" x14ac:dyDescent="0.25">
      <c r="A493" t="s">
        <v>98</v>
      </c>
      <c r="B493" t="s">
        <v>674</v>
      </c>
      <c r="D493" t="s">
        <v>100</v>
      </c>
      <c r="E493" t="s">
        <v>439</v>
      </c>
      <c r="F493" t="s">
        <v>460</v>
      </c>
      <c r="G493" t="s">
        <v>112</v>
      </c>
      <c r="H493" t="s">
        <v>104</v>
      </c>
      <c r="I493">
        <v>2022</v>
      </c>
      <c r="J493" t="s">
        <v>465</v>
      </c>
      <c r="K493" t="s">
        <v>106</v>
      </c>
      <c r="L493" t="s">
        <v>821</v>
      </c>
      <c r="M493" t="s">
        <v>833</v>
      </c>
      <c r="N493">
        <v>1</v>
      </c>
      <c r="O493">
        <v>2020</v>
      </c>
      <c r="P493">
        <v>717.59767919103297</v>
      </c>
      <c r="Q493">
        <v>19.17492366827851</v>
      </c>
      <c r="R493" t="s">
        <v>109</v>
      </c>
      <c r="S493">
        <v>7.1162885968843517</v>
      </c>
      <c r="T493" t="s">
        <v>110</v>
      </c>
      <c r="U493">
        <v>2.4575102292165578</v>
      </c>
      <c r="V493">
        <v>7090.3291619180018</v>
      </c>
      <c r="W493">
        <v>189.46064682931279</v>
      </c>
      <c r="X493" t="s">
        <v>111</v>
      </c>
      <c r="Y493">
        <v>10</v>
      </c>
      <c r="Z493">
        <v>0.44</v>
      </c>
      <c r="AA493">
        <v>31.536000000000001</v>
      </c>
    </row>
    <row r="494" spans="1:27" hidden="1" x14ac:dyDescent="0.25">
      <c r="A494" t="s">
        <v>98</v>
      </c>
      <c r="B494" t="s">
        <v>674</v>
      </c>
      <c r="D494" t="s">
        <v>100</v>
      </c>
      <c r="E494" t="s">
        <v>439</v>
      </c>
      <c r="F494" t="s">
        <v>460</v>
      </c>
      <c r="G494" t="s">
        <v>103</v>
      </c>
      <c r="H494" t="s">
        <v>104</v>
      </c>
      <c r="I494">
        <v>2030</v>
      </c>
      <c r="J494" t="s">
        <v>467</v>
      </c>
      <c r="K494" t="s">
        <v>106</v>
      </c>
      <c r="L494" t="s">
        <v>821</v>
      </c>
      <c r="M494" t="s">
        <v>834</v>
      </c>
      <c r="N494">
        <v>1</v>
      </c>
      <c r="O494">
        <v>2030</v>
      </c>
      <c r="P494">
        <v>520.8323861248623</v>
      </c>
      <c r="Q494">
        <v>19.17492366827851</v>
      </c>
      <c r="R494" t="s">
        <v>109</v>
      </c>
      <c r="S494">
        <v>6.5013006934499016</v>
      </c>
      <c r="T494" t="s">
        <v>110</v>
      </c>
      <c r="U494">
        <v>2.2451328020003118</v>
      </c>
      <c r="V494">
        <v>5146.1608125259299</v>
      </c>
      <c r="W494">
        <v>189.46064682931279</v>
      </c>
      <c r="X494" t="s">
        <v>111</v>
      </c>
      <c r="Y494">
        <v>10</v>
      </c>
      <c r="Z494">
        <v>0.44</v>
      </c>
      <c r="AA494">
        <v>31.536000000000001</v>
      </c>
    </row>
    <row r="495" spans="1:27" hidden="1" x14ac:dyDescent="0.25">
      <c r="A495" t="s">
        <v>98</v>
      </c>
      <c r="B495" t="s">
        <v>674</v>
      </c>
      <c r="D495" t="s">
        <v>100</v>
      </c>
      <c r="E495" t="s">
        <v>439</v>
      </c>
      <c r="F495" t="s">
        <v>460</v>
      </c>
      <c r="G495" t="s">
        <v>112</v>
      </c>
      <c r="H495" t="s">
        <v>104</v>
      </c>
      <c r="I495">
        <v>2030</v>
      </c>
      <c r="J495" t="s">
        <v>469</v>
      </c>
      <c r="K495" t="s">
        <v>106</v>
      </c>
      <c r="L495" t="s">
        <v>821</v>
      </c>
      <c r="M495" t="s">
        <v>835</v>
      </c>
      <c r="N495">
        <v>1</v>
      </c>
      <c r="O495">
        <v>2030</v>
      </c>
      <c r="P495">
        <v>717.59767919103297</v>
      </c>
      <c r="Q495">
        <v>19.17492366827851</v>
      </c>
      <c r="R495" t="s">
        <v>109</v>
      </c>
      <c r="S495">
        <v>7.1162885968843517</v>
      </c>
      <c r="T495" t="s">
        <v>110</v>
      </c>
      <c r="U495">
        <v>2.4575102292165578</v>
      </c>
      <c r="V495">
        <v>7090.3291619180018</v>
      </c>
      <c r="W495">
        <v>189.46064682931279</v>
      </c>
      <c r="X495" t="s">
        <v>111</v>
      </c>
      <c r="Y495">
        <v>10</v>
      </c>
      <c r="Z495">
        <v>0.44</v>
      </c>
      <c r="AA495">
        <v>31.536000000000001</v>
      </c>
    </row>
    <row r="496" spans="1:27" hidden="1" x14ac:dyDescent="0.25">
      <c r="A496" t="s">
        <v>98</v>
      </c>
      <c r="B496" t="s">
        <v>674</v>
      </c>
      <c r="D496" t="s">
        <v>100</v>
      </c>
      <c r="E496" t="s">
        <v>439</v>
      </c>
      <c r="F496" t="s">
        <v>460</v>
      </c>
      <c r="G496" t="s">
        <v>103</v>
      </c>
      <c r="H496" t="s">
        <v>104</v>
      </c>
      <c r="I496">
        <v>2040</v>
      </c>
      <c r="J496" t="s">
        <v>471</v>
      </c>
      <c r="K496" t="s">
        <v>106</v>
      </c>
      <c r="L496" t="s">
        <v>821</v>
      </c>
      <c r="M496" t="s">
        <v>836</v>
      </c>
      <c r="N496">
        <v>1</v>
      </c>
      <c r="O496">
        <v>2040</v>
      </c>
      <c r="P496">
        <v>520.8323861248623</v>
      </c>
      <c r="Q496">
        <v>19.17492366827851</v>
      </c>
      <c r="R496" t="s">
        <v>109</v>
      </c>
      <c r="S496">
        <v>6.5013006934499016</v>
      </c>
      <c r="T496" t="s">
        <v>110</v>
      </c>
      <c r="U496">
        <v>2.2451328020003118</v>
      </c>
      <c r="V496">
        <v>5146.1608125259299</v>
      </c>
      <c r="W496">
        <v>189.46064682931279</v>
      </c>
      <c r="X496" t="s">
        <v>111</v>
      </c>
      <c r="Y496">
        <v>10</v>
      </c>
      <c r="Z496">
        <v>0.44</v>
      </c>
      <c r="AA496">
        <v>31.536000000000001</v>
      </c>
    </row>
    <row r="497" spans="1:27" hidden="1" x14ac:dyDescent="0.25">
      <c r="A497" t="s">
        <v>98</v>
      </c>
      <c r="B497" t="s">
        <v>674</v>
      </c>
      <c r="D497" t="s">
        <v>100</v>
      </c>
      <c r="E497" t="s">
        <v>439</v>
      </c>
      <c r="F497" t="s">
        <v>460</v>
      </c>
      <c r="G497" t="s">
        <v>112</v>
      </c>
      <c r="H497" t="s">
        <v>104</v>
      </c>
      <c r="I497">
        <v>2040</v>
      </c>
      <c r="J497" t="s">
        <v>473</v>
      </c>
      <c r="K497" t="s">
        <v>106</v>
      </c>
      <c r="L497" t="s">
        <v>821</v>
      </c>
      <c r="M497" t="s">
        <v>837</v>
      </c>
      <c r="N497">
        <v>1</v>
      </c>
      <c r="O497">
        <v>2040</v>
      </c>
      <c r="P497">
        <v>717.59767919103297</v>
      </c>
      <c r="Q497">
        <v>19.17492366827851</v>
      </c>
      <c r="R497" t="s">
        <v>109</v>
      </c>
      <c r="S497">
        <v>7.1162885968843517</v>
      </c>
      <c r="T497" t="s">
        <v>110</v>
      </c>
      <c r="U497">
        <v>2.4575102292165578</v>
      </c>
      <c r="V497">
        <v>7090.3291619180018</v>
      </c>
      <c r="W497">
        <v>189.46064682931279</v>
      </c>
      <c r="X497" t="s">
        <v>111</v>
      </c>
      <c r="Y497">
        <v>10</v>
      </c>
      <c r="Z497">
        <v>0.44</v>
      </c>
      <c r="AA497">
        <v>31.536000000000001</v>
      </c>
    </row>
    <row r="498" spans="1:27" hidden="1" x14ac:dyDescent="0.25">
      <c r="A498" t="s">
        <v>98</v>
      </c>
      <c r="B498" t="s">
        <v>674</v>
      </c>
      <c r="D498" t="s">
        <v>100</v>
      </c>
      <c r="E498" t="s">
        <v>439</v>
      </c>
      <c r="F498" t="s">
        <v>460</v>
      </c>
      <c r="G498" t="s">
        <v>103</v>
      </c>
      <c r="H498" t="s">
        <v>104</v>
      </c>
      <c r="I498">
        <v>2050</v>
      </c>
      <c r="J498" t="s">
        <v>475</v>
      </c>
      <c r="K498" t="s">
        <v>106</v>
      </c>
      <c r="L498" t="s">
        <v>821</v>
      </c>
      <c r="M498" t="s">
        <v>838</v>
      </c>
      <c r="N498">
        <v>1</v>
      </c>
      <c r="O498">
        <v>2050</v>
      </c>
      <c r="P498">
        <v>520.8323861248623</v>
      </c>
      <c r="Q498">
        <v>19.17492366827851</v>
      </c>
      <c r="R498" t="s">
        <v>109</v>
      </c>
      <c r="S498">
        <v>6.5013006934499016</v>
      </c>
      <c r="T498" t="s">
        <v>110</v>
      </c>
      <c r="U498">
        <v>2.2451328020003118</v>
      </c>
      <c r="V498">
        <v>5146.1608125259299</v>
      </c>
      <c r="W498">
        <v>189.46064682931279</v>
      </c>
      <c r="X498" t="s">
        <v>111</v>
      </c>
      <c r="Y498">
        <v>10</v>
      </c>
      <c r="Z498">
        <v>0.44</v>
      </c>
      <c r="AA498">
        <v>31.536000000000001</v>
      </c>
    </row>
    <row r="499" spans="1:27" hidden="1" x14ac:dyDescent="0.25">
      <c r="A499" t="s">
        <v>98</v>
      </c>
      <c r="B499" t="s">
        <v>674</v>
      </c>
      <c r="D499" t="s">
        <v>100</v>
      </c>
      <c r="E499" t="s">
        <v>439</v>
      </c>
      <c r="F499" t="s">
        <v>460</v>
      </c>
      <c r="G499" t="s">
        <v>112</v>
      </c>
      <c r="H499" t="s">
        <v>104</v>
      </c>
      <c r="I499">
        <v>2050</v>
      </c>
      <c r="J499" t="s">
        <v>477</v>
      </c>
      <c r="K499" t="s">
        <v>106</v>
      </c>
      <c r="L499" t="s">
        <v>821</v>
      </c>
      <c r="M499" t="s">
        <v>839</v>
      </c>
      <c r="N499">
        <v>1</v>
      </c>
      <c r="O499">
        <v>2050</v>
      </c>
      <c r="P499">
        <v>717.59767919103297</v>
      </c>
      <c r="Q499">
        <v>19.17492366827851</v>
      </c>
      <c r="R499" t="s">
        <v>109</v>
      </c>
      <c r="S499">
        <v>7.1162885968843517</v>
      </c>
      <c r="T499" t="s">
        <v>110</v>
      </c>
      <c r="U499">
        <v>2.4575102292165578</v>
      </c>
      <c r="V499">
        <v>7090.3291619180018</v>
      </c>
      <c r="W499">
        <v>189.46064682931279</v>
      </c>
      <c r="X499" t="s">
        <v>111</v>
      </c>
      <c r="Y499">
        <v>10</v>
      </c>
      <c r="Z499">
        <v>0.44</v>
      </c>
      <c r="AA499">
        <v>31.536000000000001</v>
      </c>
    </row>
    <row r="500" spans="1:27" hidden="1" x14ac:dyDescent="0.25">
      <c r="A500" t="s">
        <v>98</v>
      </c>
      <c r="B500" t="s">
        <v>674</v>
      </c>
      <c r="D500" t="s">
        <v>100</v>
      </c>
      <c r="E500" t="s">
        <v>439</v>
      </c>
      <c r="F500" t="s">
        <v>479</v>
      </c>
      <c r="G500" t="s">
        <v>245</v>
      </c>
      <c r="H500" t="s">
        <v>104</v>
      </c>
      <c r="I500">
        <v>2022</v>
      </c>
      <c r="J500" t="s">
        <v>480</v>
      </c>
      <c r="K500" t="s">
        <v>106</v>
      </c>
      <c r="L500" t="s">
        <v>821</v>
      </c>
      <c r="M500" t="s">
        <v>840</v>
      </c>
      <c r="N500">
        <v>1</v>
      </c>
      <c r="O500">
        <v>2020</v>
      </c>
      <c r="P500">
        <v>1625.561814955347</v>
      </c>
      <c r="Q500">
        <v>83.737016934227881</v>
      </c>
      <c r="R500" t="s">
        <v>109</v>
      </c>
      <c r="S500">
        <v>3.1167552571169028</v>
      </c>
      <c r="T500" t="s">
        <v>110</v>
      </c>
      <c r="U500">
        <v>1.0763276140434681</v>
      </c>
      <c r="V500">
        <v>16061.60203036269</v>
      </c>
      <c r="W500">
        <v>827.37588250020144</v>
      </c>
      <c r="X500" t="s">
        <v>111</v>
      </c>
      <c r="Y500">
        <v>10</v>
      </c>
      <c r="Z500">
        <v>0.44</v>
      </c>
      <c r="AA500">
        <v>31.536000000000001</v>
      </c>
    </row>
    <row r="501" spans="1:27" hidden="1" x14ac:dyDescent="0.25">
      <c r="A501" t="s">
        <v>98</v>
      </c>
      <c r="B501" t="s">
        <v>674</v>
      </c>
      <c r="D501" t="s">
        <v>100</v>
      </c>
      <c r="E501" t="s">
        <v>439</v>
      </c>
      <c r="F501" t="s">
        <v>479</v>
      </c>
      <c r="G501" t="s">
        <v>103</v>
      </c>
      <c r="H501" t="s">
        <v>104</v>
      </c>
      <c r="I501">
        <v>2022</v>
      </c>
      <c r="J501" t="s">
        <v>482</v>
      </c>
      <c r="K501" t="s">
        <v>106</v>
      </c>
      <c r="L501" t="s">
        <v>821</v>
      </c>
      <c r="M501" t="s">
        <v>841</v>
      </c>
      <c r="N501">
        <v>1</v>
      </c>
      <c r="O501">
        <v>2020</v>
      </c>
      <c r="P501">
        <v>1649.1429636040691</v>
      </c>
      <c r="Q501">
        <v>83.737016934227881</v>
      </c>
      <c r="R501" t="s">
        <v>109</v>
      </c>
      <c r="S501">
        <v>4.464541314248538</v>
      </c>
      <c r="T501" t="s">
        <v>110</v>
      </c>
      <c r="U501">
        <v>1.541766582278481</v>
      </c>
      <c r="V501">
        <v>16294.59902963399</v>
      </c>
      <c r="W501">
        <v>827.37588250020167</v>
      </c>
      <c r="X501" t="s">
        <v>111</v>
      </c>
      <c r="Y501">
        <v>10</v>
      </c>
      <c r="Z501">
        <v>0.44</v>
      </c>
      <c r="AA501">
        <v>31.536000000000001</v>
      </c>
    </row>
    <row r="502" spans="1:27" hidden="1" x14ac:dyDescent="0.25">
      <c r="A502" t="s">
        <v>98</v>
      </c>
      <c r="B502" t="s">
        <v>674</v>
      </c>
      <c r="D502" t="s">
        <v>100</v>
      </c>
      <c r="E502" t="s">
        <v>439</v>
      </c>
      <c r="F502" t="s">
        <v>479</v>
      </c>
      <c r="G502" t="s">
        <v>112</v>
      </c>
      <c r="H502" t="s">
        <v>104</v>
      </c>
      <c r="I502">
        <v>2022</v>
      </c>
      <c r="J502" t="s">
        <v>484</v>
      </c>
      <c r="K502" t="s">
        <v>106</v>
      </c>
      <c r="L502" t="s">
        <v>821</v>
      </c>
      <c r="M502" t="s">
        <v>842</v>
      </c>
      <c r="N502">
        <v>1</v>
      </c>
      <c r="O502">
        <v>2020</v>
      </c>
      <c r="P502">
        <v>1758.024723094816</v>
      </c>
      <c r="Q502">
        <v>83.737016934227881</v>
      </c>
      <c r="R502" t="s">
        <v>109</v>
      </c>
      <c r="S502">
        <v>7.4409021904142287</v>
      </c>
      <c r="T502" t="s">
        <v>110</v>
      </c>
      <c r="U502">
        <v>2.5696109704641348</v>
      </c>
      <c r="V502">
        <v>17370.421230436659</v>
      </c>
      <c r="W502">
        <v>827.37588250020167</v>
      </c>
      <c r="X502" t="s">
        <v>111</v>
      </c>
      <c r="Y502">
        <v>10</v>
      </c>
      <c r="Z502">
        <v>0.44</v>
      </c>
      <c r="AA502">
        <v>31.536000000000001</v>
      </c>
    </row>
    <row r="503" spans="1:27" hidden="1" x14ac:dyDescent="0.25">
      <c r="A503" t="s">
        <v>98</v>
      </c>
      <c r="B503" t="s">
        <v>674</v>
      </c>
      <c r="D503" t="s">
        <v>100</v>
      </c>
      <c r="E503" t="s">
        <v>439</v>
      </c>
      <c r="F503" t="s">
        <v>479</v>
      </c>
      <c r="G503" t="s">
        <v>219</v>
      </c>
      <c r="H503" t="s">
        <v>104</v>
      </c>
      <c r="I503">
        <v>2022</v>
      </c>
      <c r="J503" t="s">
        <v>486</v>
      </c>
      <c r="K503" t="s">
        <v>106</v>
      </c>
      <c r="L503" t="s">
        <v>821</v>
      </c>
      <c r="M503" t="s">
        <v>843</v>
      </c>
      <c r="N503">
        <v>1</v>
      </c>
      <c r="O503">
        <v>2020</v>
      </c>
      <c r="P503">
        <v>1758.024723094816</v>
      </c>
      <c r="Q503">
        <v>84.189649458196669</v>
      </c>
      <c r="R503" t="s">
        <v>109</v>
      </c>
      <c r="S503">
        <v>7.4409021904142287</v>
      </c>
      <c r="T503" t="s">
        <v>110</v>
      </c>
      <c r="U503">
        <v>2.5696109704641348</v>
      </c>
      <c r="V503">
        <v>17370.421230436659</v>
      </c>
      <c r="W503">
        <v>831.8481845677702</v>
      </c>
      <c r="X503" t="s">
        <v>111</v>
      </c>
      <c r="Y503">
        <v>10</v>
      </c>
      <c r="Z503">
        <v>0.44</v>
      </c>
      <c r="AA503">
        <v>31.536000000000001</v>
      </c>
    </row>
    <row r="504" spans="1:27" hidden="1" x14ac:dyDescent="0.25">
      <c r="A504" t="s">
        <v>98</v>
      </c>
      <c r="B504" t="s">
        <v>674</v>
      </c>
      <c r="D504" t="s">
        <v>100</v>
      </c>
      <c r="E504" t="s">
        <v>439</v>
      </c>
      <c r="F504" t="s">
        <v>479</v>
      </c>
      <c r="G504" t="s">
        <v>103</v>
      </c>
      <c r="H504" t="s">
        <v>104</v>
      </c>
      <c r="I504">
        <v>2030</v>
      </c>
      <c r="J504" t="s">
        <v>488</v>
      </c>
      <c r="K504" t="s">
        <v>106</v>
      </c>
      <c r="L504" t="s">
        <v>821</v>
      </c>
      <c r="M504" t="s">
        <v>844</v>
      </c>
      <c r="N504">
        <v>1</v>
      </c>
      <c r="O504">
        <v>2030</v>
      </c>
      <c r="P504">
        <v>1649.1429636040691</v>
      </c>
      <c r="Q504">
        <v>83.737016934227881</v>
      </c>
      <c r="R504" t="s">
        <v>109</v>
      </c>
      <c r="S504">
        <v>4.464541314248538</v>
      </c>
      <c r="T504" t="s">
        <v>110</v>
      </c>
      <c r="U504">
        <v>1.541766582278481</v>
      </c>
      <c r="V504">
        <v>16294.59902963399</v>
      </c>
      <c r="W504">
        <v>827.37588250020167</v>
      </c>
      <c r="X504" t="s">
        <v>111</v>
      </c>
      <c r="Y504">
        <v>10</v>
      </c>
      <c r="Z504">
        <v>0.44</v>
      </c>
      <c r="AA504">
        <v>31.536000000000001</v>
      </c>
    </row>
    <row r="505" spans="1:27" hidden="1" x14ac:dyDescent="0.25">
      <c r="A505" t="s">
        <v>98</v>
      </c>
      <c r="B505" t="s">
        <v>674</v>
      </c>
      <c r="D505" t="s">
        <v>100</v>
      </c>
      <c r="E505" t="s">
        <v>439</v>
      </c>
      <c r="F505" t="s">
        <v>479</v>
      </c>
      <c r="G505" t="s">
        <v>112</v>
      </c>
      <c r="H505" t="s">
        <v>104</v>
      </c>
      <c r="I505">
        <v>2030</v>
      </c>
      <c r="J505" t="s">
        <v>490</v>
      </c>
      <c r="K505" t="s">
        <v>106</v>
      </c>
      <c r="L505" t="s">
        <v>821</v>
      </c>
      <c r="M505" t="s">
        <v>845</v>
      </c>
      <c r="N505">
        <v>1</v>
      </c>
      <c r="O505">
        <v>2030</v>
      </c>
      <c r="P505">
        <v>1758.024723094816</v>
      </c>
      <c r="Q505">
        <v>83.737016934227881</v>
      </c>
      <c r="R505" t="s">
        <v>109</v>
      </c>
      <c r="S505">
        <v>7.4409021904142287</v>
      </c>
      <c r="T505" t="s">
        <v>110</v>
      </c>
      <c r="U505">
        <v>2.5696109704641348</v>
      </c>
      <c r="V505">
        <v>17370.421230436659</v>
      </c>
      <c r="W505">
        <v>827.37588250020167</v>
      </c>
      <c r="X505" t="s">
        <v>111</v>
      </c>
      <c r="Y505">
        <v>10</v>
      </c>
      <c r="Z505">
        <v>0.44</v>
      </c>
      <c r="AA505">
        <v>31.536000000000001</v>
      </c>
    </row>
    <row r="506" spans="1:27" hidden="1" x14ac:dyDescent="0.25">
      <c r="A506" t="s">
        <v>98</v>
      </c>
      <c r="B506" t="s">
        <v>674</v>
      </c>
      <c r="D506" t="s">
        <v>100</v>
      </c>
      <c r="E506" t="s">
        <v>439</v>
      </c>
      <c r="F506" t="s">
        <v>479</v>
      </c>
      <c r="G506" t="s">
        <v>103</v>
      </c>
      <c r="H506" t="s">
        <v>104</v>
      </c>
      <c r="I506">
        <v>2040</v>
      </c>
      <c r="J506" t="s">
        <v>492</v>
      </c>
      <c r="K506" t="s">
        <v>106</v>
      </c>
      <c r="L506" t="s">
        <v>821</v>
      </c>
      <c r="M506" t="s">
        <v>846</v>
      </c>
      <c r="N506">
        <v>1</v>
      </c>
      <c r="O506">
        <v>2040</v>
      </c>
      <c r="P506">
        <v>1649.1429636040691</v>
      </c>
      <c r="Q506">
        <v>83.737016934227881</v>
      </c>
      <c r="R506" t="s">
        <v>109</v>
      </c>
      <c r="S506">
        <v>4.464541314248538</v>
      </c>
      <c r="T506" t="s">
        <v>110</v>
      </c>
      <c r="U506">
        <v>1.541766582278481</v>
      </c>
      <c r="V506">
        <v>16294.59902963399</v>
      </c>
      <c r="W506">
        <v>827.37588250020167</v>
      </c>
      <c r="X506" t="s">
        <v>111</v>
      </c>
      <c r="Y506">
        <v>10</v>
      </c>
      <c r="Z506">
        <v>0.44</v>
      </c>
      <c r="AA506">
        <v>31.536000000000001</v>
      </c>
    </row>
    <row r="507" spans="1:27" hidden="1" x14ac:dyDescent="0.25">
      <c r="A507" t="s">
        <v>98</v>
      </c>
      <c r="B507" t="s">
        <v>674</v>
      </c>
      <c r="D507" t="s">
        <v>100</v>
      </c>
      <c r="E507" t="s">
        <v>439</v>
      </c>
      <c r="F507" t="s">
        <v>479</v>
      </c>
      <c r="G507" t="s">
        <v>112</v>
      </c>
      <c r="H507" t="s">
        <v>104</v>
      </c>
      <c r="I507">
        <v>2040</v>
      </c>
      <c r="J507" t="s">
        <v>494</v>
      </c>
      <c r="K507" t="s">
        <v>106</v>
      </c>
      <c r="L507" t="s">
        <v>821</v>
      </c>
      <c r="M507" t="s">
        <v>847</v>
      </c>
      <c r="N507">
        <v>1</v>
      </c>
      <c r="O507">
        <v>2040</v>
      </c>
      <c r="P507">
        <v>1758.024723094816</v>
      </c>
      <c r="Q507">
        <v>83.737016934227881</v>
      </c>
      <c r="R507" t="s">
        <v>109</v>
      </c>
      <c r="S507">
        <v>7.4409021904142287</v>
      </c>
      <c r="T507" t="s">
        <v>110</v>
      </c>
      <c r="U507">
        <v>2.5696109704641348</v>
      </c>
      <c r="V507">
        <v>17370.421230436659</v>
      </c>
      <c r="W507">
        <v>827.37588250020167</v>
      </c>
      <c r="X507" t="s">
        <v>111</v>
      </c>
      <c r="Y507">
        <v>10</v>
      </c>
      <c r="Z507">
        <v>0.44</v>
      </c>
      <c r="AA507">
        <v>31.536000000000001</v>
      </c>
    </row>
    <row r="508" spans="1:27" hidden="1" x14ac:dyDescent="0.25">
      <c r="A508" t="s">
        <v>98</v>
      </c>
      <c r="B508" t="s">
        <v>674</v>
      </c>
      <c r="D508" t="s">
        <v>100</v>
      </c>
      <c r="E508" t="s">
        <v>439</v>
      </c>
      <c r="F508" t="s">
        <v>479</v>
      </c>
      <c r="G508" t="s">
        <v>112</v>
      </c>
      <c r="H508" t="s">
        <v>104</v>
      </c>
      <c r="I508">
        <v>2025</v>
      </c>
      <c r="J508" t="s">
        <v>496</v>
      </c>
      <c r="K508" t="s">
        <v>106</v>
      </c>
      <c r="L508" t="s">
        <v>821</v>
      </c>
      <c r="M508" t="s">
        <v>848</v>
      </c>
      <c r="N508">
        <v>1</v>
      </c>
      <c r="O508">
        <v>2025</v>
      </c>
      <c r="P508">
        <v>1758.024723094816</v>
      </c>
      <c r="Q508">
        <v>83.737016934227881</v>
      </c>
      <c r="R508" t="s">
        <v>109</v>
      </c>
      <c r="S508">
        <v>7.4409021904142287</v>
      </c>
      <c r="T508" t="s">
        <v>110</v>
      </c>
      <c r="U508">
        <v>2.5696109704641348</v>
      </c>
      <c r="V508">
        <v>17370.421230436659</v>
      </c>
      <c r="W508">
        <v>827.37588250020167</v>
      </c>
      <c r="X508" t="s">
        <v>111</v>
      </c>
      <c r="Y508">
        <v>10</v>
      </c>
      <c r="Z508">
        <v>0.44</v>
      </c>
      <c r="AA508">
        <v>31.536000000000001</v>
      </c>
    </row>
    <row r="509" spans="1:27" hidden="1" x14ac:dyDescent="0.25">
      <c r="A509" t="s">
        <v>498</v>
      </c>
      <c r="M509" t="s">
        <v>498</v>
      </c>
      <c r="N509" t="s">
        <v>498</v>
      </c>
    </row>
    <row r="510" spans="1:27" hidden="1" x14ac:dyDescent="0.25">
      <c r="A510" t="s">
        <v>98</v>
      </c>
      <c r="B510" t="s">
        <v>849</v>
      </c>
      <c r="D510" t="s">
        <v>100</v>
      </c>
      <c r="E510" t="s">
        <v>101</v>
      </c>
      <c r="F510" t="s">
        <v>102</v>
      </c>
      <c r="G510" t="s">
        <v>103</v>
      </c>
      <c r="H510" t="s">
        <v>104</v>
      </c>
      <c r="I510">
        <v>2061</v>
      </c>
      <c r="J510" t="s">
        <v>105</v>
      </c>
      <c r="K510" t="s">
        <v>106</v>
      </c>
      <c r="L510" t="s">
        <v>850</v>
      </c>
      <c r="M510" t="s">
        <v>851</v>
      </c>
      <c r="N510">
        <v>0</v>
      </c>
      <c r="O510">
        <v>2061</v>
      </c>
      <c r="P510">
        <v>117.0584711706526</v>
      </c>
      <c r="Q510">
        <v>4.2000145906136934</v>
      </c>
      <c r="R510" t="s">
        <v>109</v>
      </c>
      <c r="S510">
        <v>3.3</v>
      </c>
      <c r="T510" t="s">
        <v>110</v>
      </c>
      <c r="U510">
        <v>3.3</v>
      </c>
      <c r="V510">
        <v>399.42017862788401</v>
      </c>
      <c r="W510">
        <v>14.33104807576899</v>
      </c>
      <c r="X510" t="s">
        <v>111</v>
      </c>
      <c r="Y510">
        <v>21</v>
      </c>
      <c r="Z510">
        <v>0.23526879880086071</v>
      </c>
      <c r="AA510">
        <v>31.536000000000001</v>
      </c>
    </row>
    <row r="511" spans="1:27" hidden="1" x14ac:dyDescent="0.25">
      <c r="A511" t="s">
        <v>98</v>
      </c>
      <c r="B511" t="s">
        <v>849</v>
      </c>
      <c r="D511" t="s">
        <v>100</v>
      </c>
      <c r="E511" t="s">
        <v>101</v>
      </c>
      <c r="F511" t="s">
        <v>102</v>
      </c>
      <c r="G511" t="s">
        <v>112</v>
      </c>
      <c r="H511" t="s">
        <v>104</v>
      </c>
      <c r="I511">
        <v>2022</v>
      </c>
      <c r="J511" t="s">
        <v>113</v>
      </c>
      <c r="K511" t="s">
        <v>106</v>
      </c>
      <c r="L511" t="s">
        <v>850</v>
      </c>
      <c r="M511" t="s">
        <v>852</v>
      </c>
      <c r="N511">
        <v>1</v>
      </c>
      <c r="O511">
        <v>2020</v>
      </c>
      <c r="P511">
        <v>200.7885700942916</v>
      </c>
      <c r="Q511">
        <v>4.2000145906136934</v>
      </c>
      <c r="R511" t="s">
        <v>109</v>
      </c>
      <c r="S511">
        <v>3.7</v>
      </c>
      <c r="T511" t="s">
        <v>110</v>
      </c>
      <c r="U511">
        <v>3.7</v>
      </c>
      <c r="V511">
        <v>685.1192035182313</v>
      </c>
      <c r="W511">
        <v>14.33104807576899</v>
      </c>
      <c r="X511" t="s">
        <v>111</v>
      </c>
      <c r="Y511">
        <v>21</v>
      </c>
      <c r="Z511">
        <v>0.23526879880086071</v>
      </c>
      <c r="AA511">
        <v>31.536000000000001</v>
      </c>
    </row>
    <row r="512" spans="1:27" hidden="1" x14ac:dyDescent="0.25">
      <c r="A512" t="s">
        <v>98</v>
      </c>
      <c r="B512" t="s">
        <v>849</v>
      </c>
      <c r="D512" t="s">
        <v>100</v>
      </c>
      <c r="E512" t="s">
        <v>101</v>
      </c>
      <c r="F512" t="s">
        <v>102</v>
      </c>
      <c r="G512" t="s">
        <v>103</v>
      </c>
      <c r="H512" t="s">
        <v>104</v>
      </c>
      <c r="I512">
        <v>2023</v>
      </c>
      <c r="J512" t="s">
        <v>115</v>
      </c>
      <c r="K512" t="s">
        <v>106</v>
      </c>
      <c r="L512" t="s">
        <v>850</v>
      </c>
      <c r="M512" t="s">
        <v>853</v>
      </c>
      <c r="N512">
        <v>0</v>
      </c>
      <c r="O512">
        <v>2023</v>
      </c>
      <c r="P512">
        <v>135.73557542199771</v>
      </c>
      <c r="Q512">
        <v>4.2000145906136934</v>
      </c>
      <c r="R512" t="s">
        <v>109</v>
      </c>
      <c r="S512">
        <v>3.4</v>
      </c>
      <c r="T512" t="s">
        <v>110</v>
      </c>
      <c r="U512">
        <v>3.4</v>
      </c>
      <c r="V512">
        <v>463.14911888927151</v>
      </c>
      <c r="W512">
        <v>14.33104807576899</v>
      </c>
      <c r="X512" t="s">
        <v>111</v>
      </c>
      <c r="Y512">
        <v>21</v>
      </c>
      <c r="Z512">
        <v>0.23526879880086071</v>
      </c>
      <c r="AA512">
        <v>31.536000000000001</v>
      </c>
    </row>
    <row r="513" spans="1:27" hidden="1" x14ac:dyDescent="0.25">
      <c r="A513" t="s">
        <v>98</v>
      </c>
      <c r="B513" t="s">
        <v>849</v>
      </c>
      <c r="D513" t="s">
        <v>100</v>
      </c>
      <c r="E513" t="s">
        <v>101</v>
      </c>
      <c r="F513" t="s">
        <v>117</v>
      </c>
      <c r="G513" t="s">
        <v>103</v>
      </c>
      <c r="H513" t="s">
        <v>104</v>
      </c>
      <c r="I513">
        <v>2033</v>
      </c>
      <c r="J513" t="s">
        <v>118</v>
      </c>
      <c r="K513" t="s">
        <v>106</v>
      </c>
      <c r="L513" t="s">
        <v>850</v>
      </c>
      <c r="M513" t="s">
        <v>854</v>
      </c>
      <c r="N513">
        <v>0</v>
      </c>
      <c r="O513">
        <v>2033</v>
      </c>
      <c r="P513">
        <v>483.9331327692995</v>
      </c>
      <c r="Q513">
        <v>3.810497108419681</v>
      </c>
      <c r="R513" t="s">
        <v>109</v>
      </c>
      <c r="S513">
        <v>3.7</v>
      </c>
      <c r="T513" t="s">
        <v>110</v>
      </c>
      <c r="U513">
        <v>3.7</v>
      </c>
      <c r="V513">
        <v>1651.2487853431401</v>
      </c>
      <c r="W513">
        <v>13.00195893970977</v>
      </c>
      <c r="X513" t="s">
        <v>111</v>
      </c>
      <c r="Y513">
        <v>14.4</v>
      </c>
      <c r="Z513">
        <v>0.23526879880086071</v>
      </c>
      <c r="AA513">
        <v>31.536000000000001</v>
      </c>
    </row>
    <row r="514" spans="1:27" hidden="1" x14ac:dyDescent="0.25">
      <c r="A514" t="s">
        <v>98</v>
      </c>
      <c r="B514" t="s">
        <v>849</v>
      </c>
      <c r="D514" t="s">
        <v>100</v>
      </c>
      <c r="E514" t="s">
        <v>101</v>
      </c>
      <c r="F514" t="s">
        <v>117</v>
      </c>
      <c r="G514" t="s">
        <v>67</v>
      </c>
      <c r="H514" t="s">
        <v>104</v>
      </c>
      <c r="I514">
        <v>2033</v>
      </c>
      <c r="J514" t="s">
        <v>120</v>
      </c>
      <c r="K514" t="s">
        <v>106</v>
      </c>
      <c r="L514" t="s">
        <v>850</v>
      </c>
      <c r="M514" t="s">
        <v>855</v>
      </c>
      <c r="N514">
        <v>0</v>
      </c>
      <c r="O514">
        <v>2033</v>
      </c>
      <c r="P514">
        <v>497.90495550017158</v>
      </c>
      <c r="Q514">
        <v>3.810497108419681</v>
      </c>
      <c r="R514" t="s">
        <v>109</v>
      </c>
      <c r="S514">
        <v>3.8</v>
      </c>
      <c r="T514" t="s">
        <v>110</v>
      </c>
      <c r="U514">
        <v>3.8</v>
      </c>
      <c r="V514">
        <v>1698.9226347887429</v>
      </c>
      <c r="W514">
        <v>13.00195893970977</v>
      </c>
      <c r="X514" t="s">
        <v>111</v>
      </c>
      <c r="Y514">
        <v>14.4</v>
      </c>
      <c r="Z514">
        <v>0.23526879880086071</v>
      </c>
      <c r="AA514">
        <v>31.536000000000001</v>
      </c>
    </row>
    <row r="515" spans="1:27" hidden="1" x14ac:dyDescent="0.25">
      <c r="A515" t="s">
        <v>98</v>
      </c>
      <c r="B515" t="s">
        <v>849</v>
      </c>
      <c r="D515" t="s">
        <v>100</v>
      </c>
      <c r="E515" t="s">
        <v>101</v>
      </c>
      <c r="F515" t="s">
        <v>117</v>
      </c>
      <c r="G515" t="s">
        <v>112</v>
      </c>
      <c r="H515" t="s">
        <v>104</v>
      </c>
      <c r="I515">
        <v>2033</v>
      </c>
      <c r="J515" t="s">
        <v>122</v>
      </c>
      <c r="K515" t="s">
        <v>106</v>
      </c>
      <c r="L515" t="s">
        <v>850</v>
      </c>
      <c r="M515" t="s">
        <v>856</v>
      </c>
      <c r="N515">
        <v>0</v>
      </c>
      <c r="O515">
        <v>2033</v>
      </c>
      <c r="P515">
        <v>513.14694393385037</v>
      </c>
      <c r="Q515">
        <v>3.810497108419681</v>
      </c>
      <c r="R515" t="s">
        <v>109</v>
      </c>
      <c r="S515">
        <v>4</v>
      </c>
      <c r="T515" t="s">
        <v>110</v>
      </c>
      <c r="U515">
        <v>4</v>
      </c>
      <c r="V515">
        <v>1750.930470547582</v>
      </c>
      <c r="W515">
        <v>13.00195893970977</v>
      </c>
      <c r="X515" t="s">
        <v>111</v>
      </c>
      <c r="Y515">
        <v>14.4</v>
      </c>
      <c r="Z515">
        <v>0.23526879880086071</v>
      </c>
      <c r="AA515">
        <v>31.536000000000001</v>
      </c>
    </row>
    <row r="516" spans="1:27" hidden="1" x14ac:dyDescent="0.25">
      <c r="A516" t="s">
        <v>98</v>
      </c>
      <c r="B516" t="s">
        <v>849</v>
      </c>
      <c r="D516" t="s">
        <v>100</v>
      </c>
      <c r="E516" t="s">
        <v>101</v>
      </c>
      <c r="F516" t="s">
        <v>117</v>
      </c>
      <c r="G516" t="s">
        <v>103</v>
      </c>
      <c r="H516" t="s">
        <v>104</v>
      </c>
      <c r="I516">
        <v>2023</v>
      </c>
      <c r="J516" t="s">
        <v>124</v>
      </c>
      <c r="K516" t="s">
        <v>106</v>
      </c>
      <c r="L516" t="s">
        <v>850</v>
      </c>
      <c r="M516" t="s">
        <v>857</v>
      </c>
      <c r="N516">
        <v>0</v>
      </c>
      <c r="O516">
        <v>2023</v>
      </c>
      <c r="P516">
        <v>483.9331327692995</v>
      </c>
      <c r="Q516">
        <v>3.810497108419681</v>
      </c>
      <c r="R516" t="s">
        <v>109</v>
      </c>
      <c r="S516">
        <v>3.7</v>
      </c>
      <c r="T516" t="s">
        <v>110</v>
      </c>
      <c r="U516">
        <v>3.7</v>
      </c>
      <c r="V516">
        <v>1651.2487853431401</v>
      </c>
      <c r="W516">
        <v>13.00195893970977</v>
      </c>
      <c r="X516" t="s">
        <v>111</v>
      </c>
      <c r="Y516">
        <v>14.4</v>
      </c>
      <c r="Z516">
        <v>0.23526879880086071</v>
      </c>
      <c r="AA516">
        <v>31.536000000000001</v>
      </c>
    </row>
    <row r="517" spans="1:27" hidden="1" x14ac:dyDescent="0.25">
      <c r="A517" t="s">
        <v>98</v>
      </c>
      <c r="B517" t="s">
        <v>849</v>
      </c>
      <c r="D517" t="s">
        <v>100</v>
      </c>
      <c r="E517" t="s">
        <v>101</v>
      </c>
      <c r="F517" t="s">
        <v>117</v>
      </c>
      <c r="G517" t="s">
        <v>67</v>
      </c>
      <c r="H517" t="s">
        <v>104</v>
      </c>
      <c r="I517">
        <v>2023</v>
      </c>
      <c r="J517" t="s">
        <v>126</v>
      </c>
      <c r="K517" t="s">
        <v>106</v>
      </c>
      <c r="L517" t="s">
        <v>850</v>
      </c>
      <c r="M517" t="s">
        <v>858</v>
      </c>
      <c r="N517">
        <v>0</v>
      </c>
      <c r="O517">
        <v>2023</v>
      </c>
      <c r="P517">
        <v>497.90495550017158</v>
      </c>
      <c r="Q517">
        <v>3.810497108419681</v>
      </c>
      <c r="R517" t="s">
        <v>109</v>
      </c>
      <c r="S517">
        <v>3.8</v>
      </c>
      <c r="T517" t="s">
        <v>110</v>
      </c>
      <c r="U517">
        <v>3.8</v>
      </c>
      <c r="V517">
        <v>1698.9226347887429</v>
      </c>
      <c r="W517">
        <v>13.00195893970977</v>
      </c>
      <c r="X517" t="s">
        <v>111</v>
      </c>
      <c r="Y517">
        <v>14.4</v>
      </c>
      <c r="Z517">
        <v>0.23526879880086071</v>
      </c>
      <c r="AA517">
        <v>31.536000000000001</v>
      </c>
    </row>
    <row r="518" spans="1:27" hidden="1" x14ac:dyDescent="0.25">
      <c r="A518" t="s">
        <v>98</v>
      </c>
      <c r="B518" t="s">
        <v>849</v>
      </c>
      <c r="D518" t="s">
        <v>100</v>
      </c>
      <c r="E518" t="s">
        <v>101</v>
      </c>
      <c r="F518" t="s">
        <v>117</v>
      </c>
      <c r="G518" t="s">
        <v>112</v>
      </c>
      <c r="H518" t="s">
        <v>104</v>
      </c>
      <c r="I518">
        <v>2023</v>
      </c>
      <c r="J518" t="s">
        <v>128</v>
      </c>
      <c r="K518" t="s">
        <v>106</v>
      </c>
      <c r="L518" t="s">
        <v>850</v>
      </c>
      <c r="M518" t="s">
        <v>859</v>
      </c>
      <c r="N518">
        <v>0</v>
      </c>
      <c r="O518">
        <v>2023</v>
      </c>
      <c r="P518">
        <v>513.14694393385037</v>
      </c>
      <c r="Q518">
        <v>3.810497108419681</v>
      </c>
      <c r="R518" t="s">
        <v>109</v>
      </c>
      <c r="S518">
        <v>4</v>
      </c>
      <c r="T518" t="s">
        <v>110</v>
      </c>
      <c r="U518">
        <v>4</v>
      </c>
      <c r="V518">
        <v>1750.930470547582</v>
      </c>
      <c r="W518">
        <v>13.00195893970977</v>
      </c>
      <c r="X518" t="s">
        <v>111</v>
      </c>
      <c r="Y518">
        <v>14.4</v>
      </c>
      <c r="Z518">
        <v>0.23526879880086071</v>
      </c>
      <c r="AA518">
        <v>31.536000000000001</v>
      </c>
    </row>
    <row r="519" spans="1:27" hidden="1" x14ac:dyDescent="0.25">
      <c r="A519" t="s">
        <v>98</v>
      </c>
      <c r="B519" t="s">
        <v>849</v>
      </c>
      <c r="D519" t="s">
        <v>100</v>
      </c>
      <c r="E519" t="s">
        <v>101</v>
      </c>
      <c r="F519" t="s">
        <v>130</v>
      </c>
      <c r="G519" t="s">
        <v>103</v>
      </c>
      <c r="H519" t="s">
        <v>131</v>
      </c>
      <c r="I519">
        <v>2022</v>
      </c>
      <c r="J519" t="s">
        <v>132</v>
      </c>
      <c r="K519" t="s">
        <v>133</v>
      </c>
      <c r="L519" t="s">
        <v>850</v>
      </c>
      <c r="M519" t="s">
        <v>860</v>
      </c>
      <c r="N519">
        <v>1</v>
      </c>
      <c r="O519">
        <v>2020</v>
      </c>
      <c r="P519">
        <v>335.32374554093201</v>
      </c>
      <c r="Q519">
        <v>6.3000218859205397</v>
      </c>
      <c r="R519" t="s">
        <v>109</v>
      </c>
      <c r="S519">
        <v>1.4</v>
      </c>
      <c r="T519" t="s">
        <v>110</v>
      </c>
      <c r="U519">
        <v>1.4</v>
      </c>
      <c r="V519">
        <v>1144.172386694459</v>
      </c>
      <c r="W519">
        <v>21.496572113653482</v>
      </c>
      <c r="X519" t="s">
        <v>111</v>
      </c>
      <c r="Y519">
        <v>15</v>
      </c>
      <c r="Z519">
        <v>0.23526879880086071</v>
      </c>
      <c r="AA519">
        <v>31.536000000000001</v>
      </c>
    </row>
    <row r="520" spans="1:27" hidden="1" x14ac:dyDescent="0.25">
      <c r="A520" t="s">
        <v>98</v>
      </c>
      <c r="B520" t="s">
        <v>849</v>
      </c>
      <c r="D520" t="s">
        <v>100</v>
      </c>
      <c r="E520" t="s">
        <v>101</v>
      </c>
      <c r="F520" t="s">
        <v>135</v>
      </c>
      <c r="G520" t="s">
        <v>103</v>
      </c>
      <c r="H520" t="s">
        <v>136</v>
      </c>
      <c r="I520">
        <v>2030</v>
      </c>
      <c r="J520" t="s">
        <v>137</v>
      </c>
      <c r="K520" t="s">
        <v>138</v>
      </c>
      <c r="L520" t="s">
        <v>850</v>
      </c>
      <c r="M520" t="s">
        <v>861</v>
      </c>
      <c r="N520">
        <v>1</v>
      </c>
      <c r="O520">
        <v>2030</v>
      </c>
      <c r="P520">
        <v>55.186509846078152</v>
      </c>
      <c r="Q520">
        <v>4.0294911951104666</v>
      </c>
      <c r="R520" t="s">
        <v>109</v>
      </c>
      <c r="S520">
        <v>0.87</v>
      </c>
      <c r="T520" t="s">
        <v>110</v>
      </c>
      <c r="U520">
        <v>0.87</v>
      </c>
      <c r="V520">
        <v>188.30423291993449</v>
      </c>
      <c r="W520">
        <v>13.749197959233321</v>
      </c>
      <c r="X520" t="s">
        <v>111</v>
      </c>
      <c r="Y520">
        <v>25</v>
      </c>
      <c r="Z520">
        <v>0.23526879880086071</v>
      </c>
      <c r="AA520">
        <v>31.536000000000001</v>
      </c>
    </row>
    <row r="521" spans="1:27" hidden="1" x14ac:dyDescent="0.25">
      <c r="A521" t="s">
        <v>98</v>
      </c>
      <c r="B521" t="s">
        <v>849</v>
      </c>
      <c r="D521" t="s">
        <v>100</v>
      </c>
      <c r="E521" t="s">
        <v>101</v>
      </c>
      <c r="F521" t="s">
        <v>135</v>
      </c>
      <c r="G521" t="s">
        <v>103</v>
      </c>
      <c r="H521" t="s">
        <v>136</v>
      </c>
      <c r="I521">
        <v>2040</v>
      </c>
      <c r="J521" t="s">
        <v>140</v>
      </c>
      <c r="K521" t="s">
        <v>138</v>
      </c>
      <c r="L521" t="s">
        <v>850</v>
      </c>
      <c r="M521" t="s">
        <v>862</v>
      </c>
      <c r="N521">
        <v>1</v>
      </c>
      <c r="O521">
        <v>2040</v>
      </c>
      <c r="P521">
        <v>53.946363557402229</v>
      </c>
      <c r="Q521">
        <v>3.9389408311754002</v>
      </c>
      <c r="R521" t="s">
        <v>109</v>
      </c>
      <c r="S521">
        <v>0.89</v>
      </c>
      <c r="T521" t="s">
        <v>110</v>
      </c>
      <c r="U521">
        <v>0.89</v>
      </c>
      <c r="V521">
        <v>184.07267712398101</v>
      </c>
      <c r="W521">
        <v>13.440227218576389</v>
      </c>
      <c r="X521" t="s">
        <v>111</v>
      </c>
      <c r="Y521">
        <v>25</v>
      </c>
      <c r="Z521">
        <v>0.23526879880086071</v>
      </c>
      <c r="AA521">
        <v>31.536000000000001</v>
      </c>
    </row>
    <row r="522" spans="1:27" hidden="1" x14ac:dyDescent="0.25">
      <c r="A522" t="s">
        <v>98</v>
      </c>
      <c r="B522" t="s">
        <v>849</v>
      </c>
      <c r="D522" t="s">
        <v>100</v>
      </c>
      <c r="E522" t="s">
        <v>142</v>
      </c>
      <c r="F522" t="s">
        <v>102</v>
      </c>
      <c r="G522" t="s">
        <v>103</v>
      </c>
      <c r="H522" t="s">
        <v>104</v>
      </c>
      <c r="I522">
        <v>2061</v>
      </c>
      <c r="J522" t="s">
        <v>143</v>
      </c>
      <c r="K522" t="s">
        <v>106</v>
      </c>
      <c r="L522" t="s">
        <v>863</v>
      </c>
      <c r="M522" t="s">
        <v>864</v>
      </c>
      <c r="N522">
        <v>0</v>
      </c>
      <c r="O522">
        <v>2061</v>
      </c>
      <c r="P522">
        <v>117.0584711706526</v>
      </c>
      <c r="Q522">
        <v>4.2000145906136934</v>
      </c>
      <c r="R522" t="s">
        <v>109</v>
      </c>
      <c r="S522">
        <v>3.2239155920281362</v>
      </c>
      <c r="T522" t="s">
        <v>110</v>
      </c>
      <c r="U522">
        <v>3.2239155920281362</v>
      </c>
      <c r="V522">
        <v>399.42017862788401</v>
      </c>
      <c r="W522">
        <v>14.33104807576899</v>
      </c>
      <c r="X522" t="s">
        <v>111</v>
      </c>
      <c r="Y522">
        <v>21</v>
      </c>
      <c r="Z522">
        <v>0.17702743665447629</v>
      </c>
      <c r="AA522">
        <v>31.536000000000001</v>
      </c>
    </row>
    <row r="523" spans="1:27" hidden="1" x14ac:dyDescent="0.25">
      <c r="A523" t="s">
        <v>98</v>
      </c>
      <c r="B523" t="s">
        <v>849</v>
      </c>
      <c r="D523" t="s">
        <v>100</v>
      </c>
      <c r="E523" t="s">
        <v>142</v>
      </c>
      <c r="F523" t="s">
        <v>102</v>
      </c>
      <c r="G523" t="s">
        <v>112</v>
      </c>
      <c r="H523" t="s">
        <v>104</v>
      </c>
      <c r="I523">
        <v>2022</v>
      </c>
      <c r="J523" t="s">
        <v>146</v>
      </c>
      <c r="K523" t="s">
        <v>106</v>
      </c>
      <c r="L523" t="s">
        <v>863</v>
      </c>
      <c r="M523" t="s">
        <v>865</v>
      </c>
      <c r="N523">
        <v>1</v>
      </c>
      <c r="O523">
        <v>2020</v>
      </c>
      <c r="P523">
        <v>200.7885700942916</v>
      </c>
      <c r="Q523">
        <v>4.2000145906136934</v>
      </c>
      <c r="R523" t="s">
        <v>109</v>
      </c>
      <c r="S523">
        <v>3.8393903868698711</v>
      </c>
      <c r="T523" t="s">
        <v>110</v>
      </c>
      <c r="U523">
        <v>3.8393903868698711</v>
      </c>
      <c r="V523">
        <v>685.1192035182313</v>
      </c>
      <c r="W523">
        <v>14.33104807576899</v>
      </c>
      <c r="X523" t="s">
        <v>111</v>
      </c>
      <c r="Y523">
        <v>21</v>
      </c>
      <c r="Z523">
        <v>0.17702743665447629</v>
      </c>
      <c r="AA523">
        <v>31.536000000000001</v>
      </c>
    </row>
    <row r="524" spans="1:27" hidden="1" x14ac:dyDescent="0.25">
      <c r="A524" t="s">
        <v>98</v>
      </c>
      <c r="B524" t="s">
        <v>849</v>
      </c>
      <c r="D524" t="s">
        <v>100</v>
      </c>
      <c r="E524" t="s">
        <v>142</v>
      </c>
      <c r="F524" t="s">
        <v>102</v>
      </c>
      <c r="G524" t="s">
        <v>103</v>
      </c>
      <c r="H524" t="s">
        <v>104</v>
      </c>
      <c r="I524">
        <v>2023</v>
      </c>
      <c r="J524" t="s">
        <v>148</v>
      </c>
      <c r="K524" t="s">
        <v>106</v>
      </c>
      <c r="L524" t="s">
        <v>863</v>
      </c>
      <c r="M524" t="s">
        <v>866</v>
      </c>
      <c r="N524">
        <v>0</v>
      </c>
      <c r="O524">
        <v>2023</v>
      </c>
      <c r="P524">
        <v>135.73557542199771</v>
      </c>
      <c r="Q524">
        <v>4.2000145906136934</v>
      </c>
      <c r="R524" t="s">
        <v>109</v>
      </c>
      <c r="S524">
        <v>3.4290738569753811</v>
      </c>
      <c r="T524" t="s">
        <v>110</v>
      </c>
      <c r="U524">
        <v>3.4290738569753811</v>
      </c>
      <c r="V524">
        <v>463.14911888927151</v>
      </c>
      <c r="W524">
        <v>14.33104807576899</v>
      </c>
      <c r="X524" t="s">
        <v>111</v>
      </c>
      <c r="Y524">
        <v>21</v>
      </c>
      <c r="Z524">
        <v>0.17702743665447629</v>
      </c>
      <c r="AA524">
        <v>31.536000000000001</v>
      </c>
    </row>
    <row r="525" spans="1:27" hidden="1" x14ac:dyDescent="0.25">
      <c r="A525" t="s">
        <v>98</v>
      </c>
      <c r="B525" t="s">
        <v>849</v>
      </c>
      <c r="D525" t="s">
        <v>100</v>
      </c>
      <c r="E525" t="s">
        <v>142</v>
      </c>
      <c r="F525" t="s">
        <v>117</v>
      </c>
      <c r="G525" t="s">
        <v>103</v>
      </c>
      <c r="H525" t="s">
        <v>104</v>
      </c>
      <c r="I525">
        <v>2033</v>
      </c>
      <c r="J525" t="s">
        <v>150</v>
      </c>
      <c r="K525" t="s">
        <v>106</v>
      </c>
      <c r="L525" t="s">
        <v>863</v>
      </c>
      <c r="M525" t="s">
        <v>867</v>
      </c>
      <c r="N525">
        <v>0</v>
      </c>
      <c r="O525">
        <v>2033</v>
      </c>
      <c r="P525">
        <v>483.9331327692995</v>
      </c>
      <c r="Q525">
        <v>3.810497108419681</v>
      </c>
      <c r="R525" t="s">
        <v>109</v>
      </c>
      <c r="S525">
        <v>5.0996483001172326</v>
      </c>
      <c r="T525" t="s">
        <v>110</v>
      </c>
      <c r="U525">
        <v>5.0996483001172326</v>
      </c>
      <c r="V525">
        <v>1651.2487853431401</v>
      </c>
      <c r="W525">
        <v>13.00195893970977</v>
      </c>
      <c r="X525" t="s">
        <v>111</v>
      </c>
      <c r="Y525">
        <v>14.4</v>
      </c>
      <c r="Z525">
        <v>0.17702743665447629</v>
      </c>
      <c r="AA525">
        <v>31.536000000000001</v>
      </c>
    </row>
    <row r="526" spans="1:27" hidden="1" x14ac:dyDescent="0.25">
      <c r="A526" t="s">
        <v>98</v>
      </c>
      <c r="B526" t="s">
        <v>849</v>
      </c>
      <c r="D526" t="s">
        <v>100</v>
      </c>
      <c r="E526" t="s">
        <v>142</v>
      </c>
      <c r="F526" t="s">
        <v>117</v>
      </c>
      <c r="G526" t="s">
        <v>67</v>
      </c>
      <c r="H526" t="s">
        <v>104</v>
      </c>
      <c r="I526">
        <v>2033</v>
      </c>
      <c r="J526" t="s">
        <v>152</v>
      </c>
      <c r="K526" t="s">
        <v>106</v>
      </c>
      <c r="L526" t="s">
        <v>863</v>
      </c>
      <c r="M526" t="s">
        <v>868</v>
      </c>
      <c r="N526">
        <v>0</v>
      </c>
      <c r="O526">
        <v>2033</v>
      </c>
      <c r="P526">
        <v>497.90495550017158</v>
      </c>
      <c r="Q526">
        <v>3.810497108419681</v>
      </c>
      <c r="R526" t="s">
        <v>109</v>
      </c>
      <c r="S526">
        <v>5.7737397420867529</v>
      </c>
      <c r="T526" t="s">
        <v>110</v>
      </c>
      <c r="U526">
        <v>5.7737397420867529</v>
      </c>
      <c r="V526">
        <v>1698.9226347887429</v>
      </c>
      <c r="W526">
        <v>13.00195893970977</v>
      </c>
      <c r="X526" t="s">
        <v>111</v>
      </c>
      <c r="Y526">
        <v>14.4</v>
      </c>
      <c r="Z526">
        <v>0.17702743665447629</v>
      </c>
      <c r="AA526">
        <v>31.536000000000001</v>
      </c>
    </row>
    <row r="527" spans="1:27" hidden="1" x14ac:dyDescent="0.25">
      <c r="A527" t="s">
        <v>98</v>
      </c>
      <c r="B527" t="s">
        <v>849</v>
      </c>
      <c r="D527" t="s">
        <v>100</v>
      </c>
      <c r="E527" t="s">
        <v>142</v>
      </c>
      <c r="F527" t="s">
        <v>117</v>
      </c>
      <c r="G527" t="s">
        <v>112</v>
      </c>
      <c r="H527" t="s">
        <v>104</v>
      </c>
      <c r="I527">
        <v>2033</v>
      </c>
      <c r="J527" t="s">
        <v>154</v>
      </c>
      <c r="K527" t="s">
        <v>106</v>
      </c>
      <c r="L527" t="s">
        <v>863</v>
      </c>
      <c r="M527" t="s">
        <v>869</v>
      </c>
      <c r="N527">
        <v>0</v>
      </c>
      <c r="O527">
        <v>2033</v>
      </c>
      <c r="P527">
        <v>513.14694393385037</v>
      </c>
      <c r="Q527">
        <v>3.810497108419681</v>
      </c>
      <c r="R527" t="s">
        <v>109</v>
      </c>
      <c r="S527">
        <v>6.4771395076201648</v>
      </c>
      <c r="T527" t="s">
        <v>110</v>
      </c>
      <c r="U527">
        <v>6.4771395076201648</v>
      </c>
      <c r="V527">
        <v>1750.930470547582</v>
      </c>
      <c r="W527">
        <v>13.00195893970977</v>
      </c>
      <c r="X527" t="s">
        <v>111</v>
      </c>
      <c r="Y527">
        <v>14.4</v>
      </c>
      <c r="Z527">
        <v>0.17702743665447629</v>
      </c>
      <c r="AA527">
        <v>31.536000000000001</v>
      </c>
    </row>
    <row r="528" spans="1:27" hidden="1" x14ac:dyDescent="0.25">
      <c r="A528" t="s">
        <v>98</v>
      </c>
      <c r="B528" t="s">
        <v>849</v>
      </c>
      <c r="D528" t="s">
        <v>100</v>
      </c>
      <c r="E528" t="s">
        <v>142</v>
      </c>
      <c r="F528" t="s">
        <v>117</v>
      </c>
      <c r="G528" t="s">
        <v>103</v>
      </c>
      <c r="H528" t="s">
        <v>104</v>
      </c>
      <c r="I528">
        <v>2023</v>
      </c>
      <c r="J528" t="s">
        <v>156</v>
      </c>
      <c r="K528" t="s">
        <v>106</v>
      </c>
      <c r="L528" t="s">
        <v>863</v>
      </c>
      <c r="M528" t="s">
        <v>870</v>
      </c>
      <c r="N528">
        <v>0</v>
      </c>
      <c r="O528">
        <v>2023</v>
      </c>
      <c r="P528">
        <v>498.32834406777368</v>
      </c>
      <c r="Q528">
        <v>3.810497108419681</v>
      </c>
      <c r="R528" t="s">
        <v>109</v>
      </c>
      <c r="S528">
        <v>3.833333333333333</v>
      </c>
      <c r="T528" t="s">
        <v>110</v>
      </c>
      <c r="U528">
        <v>3.833333333333333</v>
      </c>
      <c r="V528">
        <v>1700.3672968931551</v>
      </c>
      <c r="W528">
        <v>13.00195893970977</v>
      </c>
      <c r="X528" t="s">
        <v>111</v>
      </c>
      <c r="Y528">
        <v>14.4</v>
      </c>
      <c r="Z528">
        <v>0.17702743665447629</v>
      </c>
      <c r="AA528">
        <v>31.536000000000001</v>
      </c>
    </row>
    <row r="529" spans="1:27" hidden="1" x14ac:dyDescent="0.25">
      <c r="A529" t="s">
        <v>98</v>
      </c>
      <c r="B529" t="s">
        <v>849</v>
      </c>
      <c r="D529" t="s">
        <v>100</v>
      </c>
      <c r="E529" t="s">
        <v>142</v>
      </c>
      <c r="F529" t="s">
        <v>130</v>
      </c>
      <c r="G529" t="s">
        <v>103</v>
      </c>
      <c r="H529" t="s">
        <v>131</v>
      </c>
      <c r="I529">
        <v>2022</v>
      </c>
      <c r="J529" t="s">
        <v>158</v>
      </c>
      <c r="K529" t="s">
        <v>133</v>
      </c>
      <c r="L529" t="s">
        <v>863</v>
      </c>
      <c r="M529" t="s">
        <v>871</v>
      </c>
      <c r="N529">
        <v>1</v>
      </c>
      <c r="O529">
        <v>2020</v>
      </c>
      <c r="P529">
        <v>335.32374554093201</v>
      </c>
      <c r="Q529">
        <v>6.3000218859205397</v>
      </c>
      <c r="R529" t="s">
        <v>109</v>
      </c>
      <c r="S529">
        <v>1.2</v>
      </c>
      <c r="T529" t="s">
        <v>110</v>
      </c>
      <c r="U529">
        <v>1.2</v>
      </c>
      <c r="V529">
        <v>1144.172386694459</v>
      </c>
      <c r="W529">
        <v>21.496572113653482</v>
      </c>
      <c r="X529" t="s">
        <v>111</v>
      </c>
      <c r="Y529">
        <v>15</v>
      </c>
      <c r="Z529">
        <v>0.17702743665447629</v>
      </c>
      <c r="AA529">
        <v>31.536000000000001</v>
      </c>
    </row>
    <row r="530" spans="1:27" hidden="1" x14ac:dyDescent="0.25">
      <c r="A530" t="s">
        <v>98</v>
      </c>
      <c r="B530" t="s">
        <v>849</v>
      </c>
      <c r="D530" t="s">
        <v>100</v>
      </c>
      <c r="E530" t="s">
        <v>142</v>
      </c>
      <c r="F530" t="s">
        <v>160</v>
      </c>
      <c r="G530" t="s">
        <v>103</v>
      </c>
      <c r="H530" t="s">
        <v>104</v>
      </c>
      <c r="I530">
        <v>2030</v>
      </c>
      <c r="J530" t="s">
        <v>161</v>
      </c>
      <c r="K530" t="s">
        <v>106</v>
      </c>
      <c r="L530" t="s">
        <v>863</v>
      </c>
      <c r="M530" t="s">
        <v>872</v>
      </c>
      <c r="N530">
        <v>1</v>
      </c>
      <c r="O530">
        <v>2030</v>
      </c>
      <c r="P530">
        <v>93.992262007685454</v>
      </c>
      <c r="Q530">
        <v>4.3185633895423052</v>
      </c>
      <c r="R530" t="s">
        <v>109</v>
      </c>
      <c r="S530">
        <v>4.8178066132425448</v>
      </c>
      <c r="T530" t="s">
        <v>110</v>
      </c>
      <c r="U530">
        <v>4.8178066132425448</v>
      </c>
      <c r="V530">
        <v>320.71498717950749</v>
      </c>
      <c r="W530">
        <v>14.735553465004401</v>
      </c>
      <c r="X530" t="s">
        <v>111</v>
      </c>
      <c r="Y530">
        <v>20</v>
      </c>
      <c r="Z530">
        <v>0.17702743665447629</v>
      </c>
      <c r="AA530">
        <v>31.536000000000001</v>
      </c>
    </row>
    <row r="531" spans="1:27" hidden="1" x14ac:dyDescent="0.25">
      <c r="A531" t="s">
        <v>98</v>
      </c>
      <c r="B531" t="s">
        <v>849</v>
      </c>
      <c r="D531" t="s">
        <v>100</v>
      </c>
      <c r="E531" t="s">
        <v>142</v>
      </c>
      <c r="F531" t="s">
        <v>160</v>
      </c>
      <c r="G531" t="s">
        <v>112</v>
      </c>
      <c r="H531" t="s">
        <v>104</v>
      </c>
      <c r="I531">
        <v>2030</v>
      </c>
      <c r="J531" t="s">
        <v>163</v>
      </c>
      <c r="K531" t="s">
        <v>106</v>
      </c>
      <c r="L531" t="s">
        <v>863</v>
      </c>
      <c r="M531" t="s">
        <v>873</v>
      </c>
      <c r="N531">
        <v>1</v>
      </c>
      <c r="O531">
        <v>2030</v>
      </c>
      <c r="P531">
        <v>104.15358763013791</v>
      </c>
      <c r="Q531">
        <v>4.3185633895423052</v>
      </c>
      <c r="R531" t="s">
        <v>109</v>
      </c>
      <c r="S531">
        <v>5.1720570995103783</v>
      </c>
      <c r="T531" t="s">
        <v>110</v>
      </c>
      <c r="U531">
        <v>5.1720570995103783</v>
      </c>
      <c r="V531">
        <v>355.38687768540018</v>
      </c>
      <c r="W531">
        <v>14.735553465004401</v>
      </c>
      <c r="X531" t="s">
        <v>111</v>
      </c>
      <c r="Y531">
        <v>20</v>
      </c>
      <c r="Z531">
        <v>0.17702743665447629</v>
      </c>
      <c r="AA531">
        <v>31.536000000000001</v>
      </c>
    </row>
    <row r="532" spans="1:27" hidden="1" x14ac:dyDescent="0.25">
      <c r="A532" t="s">
        <v>98</v>
      </c>
      <c r="B532" t="s">
        <v>849</v>
      </c>
      <c r="D532" t="s">
        <v>100</v>
      </c>
      <c r="E532" t="s">
        <v>142</v>
      </c>
      <c r="F532" t="s">
        <v>160</v>
      </c>
      <c r="G532" t="s">
        <v>103</v>
      </c>
      <c r="H532" t="s">
        <v>104</v>
      </c>
      <c r="I532">
        <v>2040</v>
      </c>
      <c r="J532" t="s">
        <v>165</v>
      </c>
      <c r="K532" t="s">
        <v>106</v>
      </c>
      <c r="L532" t="s">
        <v>863</v>
      </c>
      <c r="M532" t="s">
        <v>874</v>
      </c>
      <c r="N532">
        <v>1</v>
      </c>
      <c r="O532">
        <v>2040</v>
      </c>
      <c r="P532">
        <v>93.992262007685454</v>
      </c>
      <c r="Q532">
        <v>4.3185633895423052</v>
      </c>
      <c r="R532" t="s">
        <v>109</v>
      </c>
      <c r="S532">
        <v>4.9535194755874059</v>
      </c>
      <c r="T532" t="s">
        <v>110</v>
      </c>
      <c r="U532">
        <v>4.9535194755874059</v>
      </c>
      <c r="V532">
        <v>320.71498717950749</v>
      </c>
      <c r="W532">
        <v>14.735553465004401</v>
      </c>
      <c r="X532" t="s">
        <v>111</v>
      </c>
      <c r="Y532">
        <v>20</v>
      </c>
      <c r="Z532">
        <v>0.17702743665447629</v>
      </c>
      <c r="AA532">
        <v>31.536000000000001</v>
      </c>
    </row>
    <row r="533" spans="1:27" hidden="1" x14ac:dyDescent="0.25">
      <c r="A533" t="s">
        <v>98</v>
      </c>
      <c r="B533" t="s">
        <v>849</v>
      </c>
      <c r="D533" t="s">
        <v>100</v>
      </c>
      <c r="E533" t="s">
        <v>142</v>
      </c>
      <c r="F533" t="s">
        <v>160</v>
      </c>
      <c r="G533" t="s">
        <v>112</v>
      </c>
      <c r="H533" t="s">
        <v>104</v>
      </c>
      <c r="I533">
        <v>2040</v>
      </c>
      <c r="J533" t="s">
        <v>167</v>
      </c>
      <c r="K533" t="s">
        <v>106</v>
      </c>
      <c r="L533" t="s">
        <v>863</v>
      </c>
      <c r="M533" t="s">
        <v>875</v>
      </c>
      <c r="N533">
        <v>1</v>
      </c>
      <c r="O533">
        <v>2040</v>
      </c>
      <c r="P533">
        <v>104.15358763013791</v>
      </c>
      <c r="Q533">
        <v>4.3185633895423052</v>
      </c>
      <c r="R533" t="s">
        <v>109</v>
      </c>
      <c r="S533">
        <v>5.4107674271800876</v>
      </c>
      <c r="T533" t="s">
        <v>110</v>
      </c>
      <c r="U533">
        <v>5.4107674271800876</v>
      </c>
      <c r="V533">
        <v>355.38687768540018</v>
      </c>
      <c r="W533">
        <v>14.735553465004401</v>
      </c>
      <c r="X533" t="s">
        <v>111</v>
      </c>
      <c r="Y533">
        <v>20</v>
      </c>
      <c r="Z533">
        <v>0.17702743665447629</v>
      </c>
      <c r="AA533">
        <v>31.536000000000001</v>
      </c>
    </row>
    <row r="534" spans="1:27" hidden="1" x14ac:dyDescent="0.25">
      <c r="A534" t="s">
        <v>98</v>
      </c>
      <c r="B534" t="s">
        <v>849</v>
      </c>
      <c r="D534" t="s">
        <v>100</v>
      </c>
      <c r="E534" t="s">
        <v>142</v>
      </c>
      <c r="F534" t="s">
        <v>160</v>
      </c>
      <c r="G534" t="s">
        <v>112</v>
      </c>
      <c r="H534" t="s">
        <v>104</v>
      </c>
      <c r="I534">
        <v>2022</v>
      </c>
      <c r="J534" t="s">
        <v>169</v>
      </c>
      <c r="K534" t="s">
        <v>106</v>
      </c>
      <c r="L534" t="s">
        <v>863</v>
      </c>
      <c r="M534" t="s">
        <v>876</v>
      </c>
      <c r="N534">
        <v>1</v>
      </c>
      <c r="O534">
        <v>2020</v>
      </c>
      <c r="P534">
        <v>104.15358763013791</v>
      </c>
      <c r="Q534">
        <v>4.3185633895423052</v>
      </c>
      <c r="R534" t="s">
        <v>109</v>
      </c>
      <c r="S534">
        <v>4.9886508193858967</v>
      </c>
      <c r="T534" t="s">
        <v>110</v>
      </c>
      <c r="U534">
        <v>4.9886508193858967</v>
      </c>
      <c r="V534">
        <v>355.38687768540018</v>
      </c>
      <c r="W534">
        <v>14.735553465004401</v>
      </c>
      <c r="X534" t="s">
        <v>111</v>
      </c>
      <c r="Y534">
        <v>20</v>
      </c>
      <c r="Z534">
        <v>0.17702743665447629</v>
      </c>
      <c r="AA534">
        <v>31.536000000000001</v>
      </c>
    </row>
    <row r="535" spans="1:27" hidden="1" x14ac:dyDescent="0.25">
      <c r="A535" t="s">
        <v>98</v>
      </c>
      <c r="B535" t="s">
        <v>849</v>
      </c>
      <c r="D535" t="s">
        <v>100</v>
      </c>
      <c r="E535" t="s">
        <v>142</v>
      </c>
      <c r="F535" t="s">
        <v>171</v>
      </c>
      <c r="G535" t="s">
        <v>172</v>
      </c>
      <c r="H535" t="s">
        <v>104</v>
      </c>
      <c r="I535">
        <v>2061</v>
      </c>
      <c r="J535" t="s">
        <v>173</v>
      </c>
      <c r="K535" t="s">
        <v>106</v>
      </c>
      <c r="L535" t="s">
        <v>863</v>
      </c>
      <c r="M535" t="s">
        <v>877</v>
      </c>
      <c r="N535">
        <v>1</v>
      </c>
      <c r="O535">
        <v>2061</v>
      </c>
      <c r="P535">
        <v>90.181764899265772</v>
      </c>
      <c r="Q535">
        <v>3.3024308272970568</v>
      </c>
      <c r="R535" t="s">
        <v>109</v>
      </c>
      <c r="S535">
        <v>4.1038492738238714</v>
      </c>
      <c r="T535" t="s">
        <v>110</v>
      </c>
      <c r="U535">
        <v>4.1038492738238714</v>
      </c>
      <c r="V535">
        <v>307.71302823979772</v>
      </c>
      <c r="W535">
        <v>11.26836441441513</v>
      </c>
      <c r="X535" t="s">
        <v>111</v>
      </c>
      <c r="Y535">
        <v>20</v>
      </c>
      <c r="Z535">
        <v>0.17702743665447629</v>
      </c>
      <c r="AA535">
        <v>31.536000000000001</v>
      </c>
    </row>
    <row r="536" spans="1:27" hidden="1" x14ac:dyDescent="0.25">
      <c r="A536" t="s">
        <v>98</v>
      </c>
      <c r="B536" t="s">
        <v>849</v>
      </c>
      <c r="D536" t="s">
        <v>100</v>
      </c>
      <c r="E536" t="s">
        <v>142</v>
      </c>
      <c r="F536" t="s">
        <v>171</v>
      </c>
      <c r="G536" t="s">
        <v>112</v>
      </c>
      <c r="H536" t="s">
        <v>104</v>
      </c>
      <c r="I536">
        <v>2022</v>
      </c>
      <c r="J536" t="s">
        <v>175</v>
      </c>
      <c r="K536" t="s">
        <v>106</v>
      </c>
      <c r="L536" t="s">
        <v>863</v>
      </c>
      <c r="M536" t="s">
        <v>878</v>
      </c>
      <c r="N536">
        <v>1</v>
      </c>
      <c r="O536">
        <v>2020</v>
      </c>
      <c r="P536">
        <v>99.072924818911702</v>
      </c>
      <c r="Q536">
        <v>3.3024308272970568</v>
      </c>
      <c r="R536" t="s">
        <v>109</v>
      </c>
      <c r="S536">
        <v>6.6358468446548251</v>
      </c>
      <c r="T536" t="s">
        <v>110</v>
      </c>
      <c r="U536">
        <v>6.6358468446548251</v>
      </c>
      <c r="V536">
        <v>338.05093243245392</v>
      </c>
      <c r="W536">
        <v>11.26836441441513</v>
      </c>
      <c r="X536" t="s">
        <v>111</v>
      </c>
      <c r="Y536">
        <v>20</v>
      </c>
      <c r="Z536">
        <v>0.17702743665447629</v>
      </c>
      <c r="AA536">
        <v>31.536000000000001</v>
      </c>
    </row>
    <row r="537" spans="1:27" hidden="1" x14ac:dyDescent="0.25">
      <c r="A537" t="s">
        <v>98</v>
      </c>
      <c r="B537" t="s">
        <v>849</v>
      </c>
      <c r="D537" t="s">
        <v>100</v>
      </c>
      <c r="E537" t="s">
        <v>142</v>
      </c>
      <c r="F537" t="s">
        <v>171</v>
      </c>
      <c r="G537" t="s">
        <v>103</v>
      </c>
      <c r="H537" t="s">
        <v>104</v>
      </c>
      <c r="I537">
        <v>2030</v>
      </c>
      <c r="J537" t="s">
        <v>177</v>
      </c>
      <c r="K537" t="s">
        <v>106</v>
      </c>
      <c r="L537" t="s">
        <v>863</v>
      </c>
      <c r="M537" t="s">
        <v>879</v>
      </c>
      <c r="N537">
        <v>1</v>
      </c>
      <c r="O537">
        <v>2030</v>
      </c>
      <c r="P537">
        <v>90.181764899265772</v>
      </c>
      <c r="Q537">
        <v>3.3024308272970568</v>
      </c>
      <c r="R537" t="s">
        <v>109</v>
      </c>
      <c r="S537">
        <v>4.8847205939820251</v>
      </c>
      <c r="T537" t="s">
        <v>110</v>
      </c>
      <c r="U537">
        <v>4.8847205939820251</v>
      </c>
      <c r="V537">
        <v>307.71302823979772</v>
      </c>
      <c r="W537">
        <v>11.26836441441513</v>
      </c>
      <c r="X537" t="s">
        <v>111</v>
      </c>
      <c r="Y537">
        <v>20</v>
      </c>
      <c r="Z537">
        <v>0.17702743665447629</v>
      </c>
      <c r="AA537">
        <v>31.536000000000001</v>
      </c>
    </row>
    <row r="538" spans="1:27" hidden="1" x14ac:dyDescent="0.25">
      <c r="A538" t="s">
        <v>98</v>
      </c>
      <c r="B538" t="s">
        <v>849</v>
      </c>
      <c r="D538" t="s">
        <v>100</v>
      </c>
      <c r="E538" t="s">
        <v>142</v>
      </c>
      <c r="F538" t="s">
        <v>171</v>
      </c>
      <c r="G538" t="s">
        <v>112</v>
      </c>
      <c r="H538" t="s">
        <v>104</v>
      </c>
      <c r="I538">
        <v>2030</v>
      </c>
      <c r="J538" t="s">
        <v>179</v>
      </c>
      <c r="K538" t="s">
        <v>106</v>
      </c>
      <c r="L538" t="s">
        <v>863</v>
      </c>
      <c r="M538" t="s">
        <v>880</v>
      </c>
      <c r="N538">
        <v>1</v>
      </c>
      <c r="O538">
        <v>2030</v>
      </c>
      <c r="P538">
        <v>99.072924818911702</v>
      </c>
      <c r="Q538">
        <v>3.3024308272970568</v>
      </c>
      <c r="R538" t="s">
        <v>109</v>
      </c>
      <c r="S538">
        <v>7.1775486278919534</v>
      </c>
      <c r="T538" t="s">
        <v>110</v>
      </c>
      <c r="U538">
        <v>7.1775486278919534</v>
      </c>
      <c r="V538">
        <v>338.05093243245392</v>
      </c>
      <c r="W538">
        <v>11.26836441441513</v>
      </c>
      <c r="X538" t="s">
        <v>111</v>
      </c>
      <c r="Y538">
        <v>20</v>
      </c>
      <c r="Z538">
        <v>0.17702743665447629</v>
      </c>
      <c r="AA538">
        <v>31.536000000000001</v>
      </c>
    </row>
    <row r="539" spans="1:27" hidden="1" x14ac:dyDescent="0.25">
      <c r="A539" t="s">
        <v>98</v>
      </c>
      <c r="B539" t="s">
        <v>849</v>
      </c>
      <c r="D539" t="s">
        <v>100</v>
      </c>
      <c r="E539" t="s">
        <v>142</v>
      </c>
      <c r="F539" t="s">
        <v>171</v>
      </c>
      <c r="G539" t="s">
        <v>103</v>
      </c>
      <c r="H539" t="s">
        <v>104</v>
      </c>
      <c r="I539">
        <v>2040</v>
      </c>
      <c r="J539" t="s">
        <v>181</v>
      </c>
      <c r="K539" t="s">
        <v>106</v>
      </c>
      <c r="L539" t="s">
        <v>863</v>
      </c>
      <c r="M539" t="s">
        <v>881</v>
      </c>
      <c r="N539">
        <v>1</v>
      </c>
      <c r="O539">
        <v>2040</v>
      </c>
      <c r="P539">
        <v>90.181764899265772</v>
      </c>
      <c r="Q539">
        <v>3.3024308272970568</v>
      </c>
      <c r="R539" t="s">
        <v>109</v>
      </c>
      <c r="S539">
        <v>5.1720570995103783</v>
      </c>
      <c r="T539" t="s">
        <v>110</v>
      </c>
      <c r="U539">
        <v>5.1720570995103783</v>
      </c>
      <c r="V539">
        <v>307.71302823979772</v>
      </c>
      <c r="W539">
        <v>11.26836441441513</v>
      </c>
      <c r="X539" t="s">
        <v>111</v>
      </c>
      <c r="Y539">
        <v>20</v>
      </c>
      <c r="Z539">
        <v>0.17702743665447629</v>
      </c>
      <c r="AA539">
        <v>31.536000000000001</v>
      </c>
    </row>
    <row r="540" spans="1:27" hidden="1" x14ac:dyDescent="0.25">
      <c r="A540" t="s">
        <v>98</v>
      </c>
      <c r="B540" t="s">
        <v>849</v>
      </c>
      <c r="D540" t="s">
        <v>100</v>
      </c>
      <c r="E540" t="s">
        <v>142</v>
      </c>
      <c r="F540" t="s">
        <v>171</v>
      </c>
      <c r="G540" t="s">
        <v>112</v>
      </c>
      <c r="H540" t="s">
        <v>104</v>
      </c>
      <c r="I540">
        <v>2040</v>
      </c>
      <c r="J540" t="s">
        <v>183</v>
      </c>
      <c r="K540" t="s">
        <v>106</v>
      </c>
      <c r="L540" t="s">
        <v>863</v>
      </c>
      <c r="M540" t="s">
        <v>882</v>
      </c>
      <c r="N540">
        <v>1</v>
      </c>
      <c r="O540">
        <v>2040</v>
      </c>
      <c r="P540">
        <v>99.072924818911702</v>
      </c>
      <c r="Q540">
        <v>3.3024308272970568</v>
      </c>
      <c r="R540" t="s">
        <v>109</v>
      </c>
      <c r="S540">
        <v>7.815552950371238</v>
      </c>
      <c r="T540" t="s">
        <v>110</v>
      </c>
      <c r="U540">
        <v>7.815552950371238</v>
      </c>
      <c r="V540">
        <v>338.05093243245392</v>
      </c>
      <c r="W540">
        <v>11.26836441441513</v>
      </c>
      <c r="X540" t="s">
        <v>111</v>
      </c>
      <c r="Y540">
        <v>20</v>
      </c>
      <c r="Z540">
        <v>0.17702743665447629</v>
      </c>
      <c r="AA540">
        <v>31.536000000000001</v>
      </c>
    </row>
    <row r="541" spans="1:27" hidden="1" x14ac:dyDescent="0.25">
      <c r="A541" t="s">
        <v>98</v>
      </c>
      <c r="B541" t="s">
        <v>849</v>
      </c>
      <c r="D541" t="s">
        <v>100</v>
      </c>
      <c r="E541" t="s">
        <v>142</v>
      </c>
      <c r="F541" t="s">
        <v>185</v>
      </c>
      <c r="G541" t="s">
        <v>112</v>
      </c>
      <c r="H541" t="s">
        <v>104</v>
      </c>
      <c r="I541">
        <v>2022</v>
      </c>
      <c r="J541" t="s">
        <v>186</v>
      </c>
      <c r="K541" t="s">
        <v>106</v>
      </c>
      <c r="L541" t="s">
        <v>863</v>
      </c>
      <c r="M541" t="s">
        <v>883</v>
      </c>
      <c r="N541">
        <v>1</v>
      </c>
      <c r="O541">
        <v>2020</v>
      </c>
      <c r="P541">
        <v>97.802759116105136</v>
      </c>
      <c r="Q541">
        <v>3.5564639678583689</v>
      </c>
      <c r="R541" t="s">
        <v>109</v>
      </c>
      <c r="S541">
        <v>4.4518972502114647</v>
      </c>
      <c r="T541" t="s">
        <v>110</v>
      </c>
      <c r="U541">
        <v>4.4518972502114647</v>
      </c>
      <c r="V541">
        <v>333.71694611921731</v>
      </c>
      <c r="W541">
        <v>12.135161677062451</v>
      </c>
      <c r="X541" t="s">
        <v>111</v>
      </c>
      <c r="Y541">
        <v>20</v>
      </c>
      <c r="Z541">
        <v>0.17702743665447629</v>
      </c>
      <c r="AA541">
        <v>31.536000000000001</v>
      </c>
    </row>
    <row r="542" spans="1:27" hidden="1" x14ac:dyDescent="0.25">
      <c r="A542" t="s">
        <v>98</v>
      </c>
      <c r="B542" t="s">
        <v>849</v>
      </c>
      <c r="D542" t="s">
        <v>100</v>
      </c>
      <c r="E542" t="s">
        <v>142</v>
      </c>
      <c r="F542" t="s">
        <v>188</v>
      </c>
      <c r="G542" t="s">
        <v>103</v>
      </c>
      <c r="H542" t="s">
        <v>104</v>
      </c>
      <c r="I542">
        <v>2030</v>
      </c>
      <c r="J542" t="s">
        <v>189</v>
      </c>
      <c r="K542" t="s">
        <v>106</v>
      </c>
      <c r="L542" t="s">
        <v>863</v>
      </c>
      <c r="M542" t="s">
        <v>884</v>
      </c>
      <c r="N542">
        <v>1</v>
      </c>
      <c r="O542">
        <v>2030</v>
      </c>
      <c r="P542">
        <v>49.536462409455851</v>
      </c>
      <c r="Q542">
        <v>3.0483976867357452</v>
      </c>
      <c r="R542" t="s">
        <v>109</v>
      </c>
      <c r="S542">
        <v>10.04856807904874</v>
      </c>
      <c r="T542" t="s">
        <v>110</v>
      </c>
      <c r="U542">
        <v>10.04856807904874</v>
      </c>
      <c r="V542">
        <v>169.0254662162269</v>
      </c>
      <c r="W542">
        <v>10.401567151767811</v>
      </c>
      <c r="X542" t="s">
        <v>111</v>
      </c>
      <c r="Y542">
        <v>25</v>
      </c>
      <c r="Z542">
        <v>0.17702743665447629</v>
      </c>
      <c r="AA542">
        <v>31.536000000000001</v>
      </c>
    </row>
    <row r="543" spans="1:27" hidden="1" x14ac:dyDescent="0.25">
      <c r="A543" t="s">
        <v>98</v>
      </c>
      <c r="B543" t="s">
        <v>849</v>
      </c>
      <c r="D543" t="s">
        <v>100</v>
      </c>
      <c r="E543" t="s">
        <v>142</v>
      </c>
      <c r="F543" t="s">
        <v>188</v>
      </c>
      <c r="G543" t="s">
        <v>112</v>
      </c>
      <c r="H543" t="s">
        <v>104</v>
      </c>
      <c r="I543">
        <v>2030</v>
      </c>
      <c r="J543" t="s">
        <v>191</v>
      </c>
      <c r="K543" t="s">
        <v>106</v>
      </c>
      <c r="L543" t="s">
        <v>863</v>
      </c>
      <c r="M543" t="s">
        <v>885</v>
      </c>
      <c r="N543">
        <v>1</v>
      </c>
      <c r="O543">
        <v>2030</v>
      </c>
      <c r="P543">
        <v>64.778450843134578</v>
      </c>
      <c r="Q543">
        <v>3.0483976867357452</v>
      </c>
      <c r="R543" t="s">
        <v>109</v>
      </c>
      <c r="S543">
        <v>13.02592158395206</v>
      </c>
      <c r="T543" t="s">
        <v>110</v>
      </c>
      <c r="U543">
        <v>13.02592158395206</v>
      </c>
      <c r="V543">
        <v>221.033301975066</v>
      </c>
      <c r="W543">
        <v>10.401567151767811</v>
      </c>
      <c r="X543" t="s">
        <v>111</v>
      </c>
      <c r="Y543">
        <v>25</v>
      </c>
      <c r="Z543">
        <v>0.17702743665447629</v>
      </c>
      <c r="AA543">
        <v>31.536000000000001</v>
      </c>
    </row>
    <row r="544" spans="1:27" hidden="1" x14ac:dyDescent="0.25">
      <c r="A544" t="s">
        <v>98</v>
      </c>
      <c r="B544" t="s">
        <v>849</v>
      </c>
      <c r="D544" t="s">
        <v>100</v>
      </c>
      <c r="E544" t="s">
        <v>142</v>
      </c>
      <c r="F544" t="s">
        <v>188</v>
      </c>
      <c r="G544" t="s">
        <v>103</v>
      </c>
      <c r="H544" t="s">
        <v>104</v>
      </c>
      <c r="I544">
        <v>2040</v>
      </c>
      <c r="J544" t="s">
        <v>193</v>
      </c>
      <c r="K544" t="s">
        <v>106</v>
      </c>
      <c r="L544" t="s">
        <v>863</v>
      </c>
      <c r="M544" t="s">
        <v>886</v>
      </c>
      <c r="N544">
        <v>1</v>
      </c>
      <c r="O544">
        <v>2040</v>
      </c>
      <c r="P544">
        <v>49.536462409455851</v>
      </c>
      <c r="Q544">
        <v>3.0483976867357452</v>
      </c>
      <c r="R544" t="s">
        <v>109</v>
      </c>
      <c r="S544">
        <v>10.34411419902076</v>
      </c>
      <c r="T544" t="s">
        <v>110</v>
      </c>
      <c r="U544">
        <v>10.34411419902076</v>
      </c>
      <c r="V544">
        <v>169.0254662162269</v>
      </c>
      <c r="W544">
        <v>10.401567151767811</v>
      </c>
      <c r="X544" t="s">
        <v>111</v>
      </c>
      <c r="Y544">
        <v>25</v>
      </c>
      <c r="Z544">
        <v>0.17702743665447629</v>
      </c>
      <c r="AA544">
        <v>31.536000000000001</v>
      </c>
    </row>
    <row r="545" spans="1:27" hidden="1" x14ac:dyDescent="0.25">
      <c r="A545" t="s">
        <v>98</v>
      </c>
      <c r="B545" t="s">
        <v>849</v>
      </c>
      <c r="D545" t="s">
        <v>100</v>
      </c>
      <c r="E545" t="s">
        <v>142</v>
      </c>
      <c r="F545" t="s">
        <v>188</v>
      </c>
      <c r="G545" t="s">
        <v>112</v>
      </c>
      <c r="H545" t="s">
        <v>104</v>
      </c>
      <c r="I545">
        <v>2040</v>
      </c>
      <c r="J545" t="s">
        <v>195</v>
      </c>
      <c r="K545" t="s">
        <v>106</v>
      </c>
      <c r="L545" t="s">
        <v>863</v>
      </c>
      <c r="M545" t="s">
        <v>887</v>
      </c>
      <c r="N545">
        <v>1</v>
      </c>
      <c r="O545">
        <v>2040</v>
      </c>
      <c r="P545">
        <v>64.778450843134578</v>
      </c>
      <c r="Q545">
        <v>3.0483976867357452</v>
      </c>
      <c r="R545" t="s">
        <v>109</v>
      </c>
      <c r="S545">
        <v>14.067995310668231</v>
      </c>
      <c r="T545" t="s">
        <v>110</v>
      </c>
      <c r="U545">
        <v>14.067995310668231</v>
      </c>
      <c r="V545">
        <v>221.033301975066</v>
      </c>
      <c r="W545">
        <v>10.401567151767811</v>
      </c>
      <c r="X545" t="s">
        <v>111</v>
      </c>
      <c r="Y545">
        <v>25</v>
      </c>
      <c r="Z545">
        <v>0.17702743665447629</v>
      </c>
      <c r="AA545">
        <v>31.536000000000001</v>
      </c>
    </row>
    <row r="546" spans="1:27" hidden="1" x14ac:dyDescent="0.25">
      <c r="A546" t="s">
        <v>98</v>
      </c>
      <c r="B546" t="s">
        <v>849</v>
      </c>
      <c r="D546" t="s">
        <v>100</v>
      </c>
      <c r="E546" t="s">
        <v>142</v>
      </c>
      <c r="F546" t="s">
        <v>188</v>
      </c>
      <c r="G546" t="s">
        <v>112</v>
      </c>
      <c r="H546" t="s">
        <v>104</v>
      </c>
      <c r="I546">
        <v>2022</v>
      </c>
      <c r="J546" t="s">
        <v>197</v>
      </c>
      <c r="K546" t="s">
        <v>106</v>
      </c>
      <c r="L546" t="s">
        <v>863</v>
      </c>
      <c r="M546" t="s">
        <v>888</v>
      </c>
      <c r="N546">
        <v>1</v>
      </c>
      <c r="O546">
        <v>2020</v>
      </c>
      <c r="P546">
        <v>64.778450843134578</v>
      </c>
      <c r="Q546">
        <v>3.0483976867357452</v>
      </c>
      <c r="R546" t="s">
        <v>109</v>
      </c>
      <c r="S546">
        <v>12.12758216436916</v>
      </c>
      <c r="T546" t="s">
        <v>110</v>
      </c>
      <c r="U546">
        <v>12.12758216436916</v>
      </c>
      <c r="V546">
        <v>221.033301975066</v>
      </c>
      <c r="W546">
        <v>10.401567151767811</v>
      </c>
      <c r="X546" t="s">
        <v>111</v>
      </c>
      <c r="Y546">
        <v>25</v>
      </c>
      <c r="Z546">
        <v>0.17702743665447629</v>
      </c>
      <c r="AA546">
        <v>31.536000000000001</v>
      </c>
    </row>
    <row r="547" spans="1:27" hidden="1" x14ac:dyDescent="0.25">
      <c r="A547" t="s">
        <v>98</v>
      </c>
      <c r="B547" t="s">
        <v>849</v>
      </c>
      <c r="D547" t="s">
        <v>100</v>
      </c>
      <c r="E547" t="s">
        <v>142</v>
      </c>
      <c r="F547" t="s">
        <v>199</v>
      </c>
      <c r="G547" t="s">
        <v>103</v>
      </c>
      <c r="H547" t="s">
        <v>131</v>
      </c>
      <c r="I547">
        <v>2030</v>
      </c>
      <c r="J547" t="s">
        <v>200</v>
      </c>
      <c r="K547" t="s">
        <v>133</v>
      </c>
      <c r="L547" t="s">
        <v>863</v>
      </c>
      <c r="M547" t="s">
        <v>889</v>
      </c>
      <c r="N547">
        <v>1</v>
      </c>
      <c r="O547">
        <v>2030</v>
      </c>
      <c r="P547">
        <v>93.992262007685454</v>
      </c>
      <c r="Q547">
        <v>2.7943645461744331</v>
      </c>
      <c r="R547" t="s">
        <v>109</v>
      </c>
      <c r="S547">
        <v>1.4</v>
      </c>
      <c r="T547" t="s">
        <v>110</v>
      </c>
      <c r="U547">
        <v>1.4</v>
      </c>
      <c r="V547">
        <v>320.71498717950749</v>
      </c>
      <c r="W547">
        <v>9.5347698891204935</v>
      </c>
      <c r="X547" t="s">
        <v>111</v>
      </c>
      <c r="Y547">
        <v>23</v>
      </c>
      <c r="Z547">
        <v>0.17702743665447629</v>
      </c>
      <c r="AA547">
        <v>31.536000000000001</v>
      </c>
    </row>
    <row r="548" spans="1:27" hidden="1" x14ac:dyDescent="0.25">
      <c r="A548" t="s">
        <v>98</v>
      </c>
      <c r="B548" t="s">
        <v>849</v>
      </c>
      <c r="D548" t="s">
        <v>100</v>
      </c>
      <c r="E548" t="s">
        <v>142</v>
      </c>
      <c r="F548" t="s">
        <v>202</v>
      </c>
      <c r="G548" t="s">
        <v>103</v>
      </c>
      <c r="H548" t="s">
        <v>104</v>
      </c>
      <c r="I548">
        <v>2023</v>
      </c>
      <c r="J548" t="s">
        <v>203</v>
      </c>
      <c r="K548" t="s">
        <v>106</v>
      </c>
      <c r="L548" t="s">
        <v>863</v>
      </c>
      <c r="M548" t="s">
        <v>890</v>
      </c>
      <c r="N548">
        <v>1</v>
      </c>
      <c r="O548">
        <v>2023</v>
      </c>
      <c r="P548">
        <v>138.8714501735173</v>
      </c>
      <c r="Q548">
        <v>4.2000145906136934</v>
      </c>
      <c r="R548" t="s">
        <v>109</v>
      </c>
      <c r="S548">
        <v>3.5756154747948421</v>
      </c>
      <c r="T548" t="s">
        <v>110</v>
      </c>
      <c r="U548">
        <v>3.5756154747948421</v>
      </c>
      <c r="V548">
        <v>473.84917024720039</v>
      </c>
      <c r="W548">
        <v>14.33104807576899</v>
      </c>
      <c r="X548" t="s">
        <v>111</v>
      </c>
      <c r="Y548">
        <v>21</v>
      </c>
      <c r="Z548">
        <v>0.17702743665447629</v>
      </c>
      <c r="AA548">
        <v>31.536000000000001</v>
      </c>
    </row>
    <row r="549" spans="1:27" hidden="1" x14ac:dyDescent="0.25">
      <c r="A549" t="s">
        <v>98</v>
      </c>
      <c r="B549" t="s">
        <v>849</v>
      </c>
      <c r="D549" t="s">
        <v>100</v>
      </c>
      <c r="E549" t="s">
        <v>142</v>
      </c>
      <c r="F549" t="s">
        <v>202</v>
      </c>
      <c r="G549" t="s">
        <v>112</v>
      </c>
      <c r="H549" t="s">
        <v>104</v>
      </c>
      <c r="I549">
        <v>2022</v>
      </c>
      <c r="J549" t="s">
        <v>205</v>
      </c>
      <c r="K549" t="s">
        <v>106</v>
      </c>
      <c r="L549" t="s">
        <v>863</v>
      </c>
      <c r="M549" t="s">
        <v>891</v>
      </c>
      <c r="N549">
        <v>1</v>
      </c>
      <c r="O549">
        <v>2020</v>
      </c>
      <c r="P549">
        <v>201.87166903272271</v>
      </c>
      <c r="Q549">
        <v>4.2000145906136934</v>
      </c>
      <c r="R549" t="s">
        <v>109</v>
      </c>
      <c r="S549">
        <v>3.7514654161781951</v>
      </c>
      <c r="T549" t="s">
        <v>110</v>
      </c>
      <c r="U549">
        <v>3.7514654161781951</v>
      </c>
      <c r="V549">
        <v>688.81489138373513</v>
      </c>
      <c r="W549">
        <v>14.33104807576899</v>
      </c>
      <c r="X549" t="s">
        <v>111</v>
      </c>
      <c r="Y549">
        <v>21</v>
      </c>
      <c r="Z549">
        <v>0.17702743665447629</v>
      </c>
      <c r="AA549">
        <v>31.536000000000001</v>
      </c>
    </row>
    <row r="550" spans="1:27" hidden="1" x14ac:dyDescent="0.25">
      <c r="A550" t="s">
        <v>98</v>
      </c>
      <c r="B550" t="s">
        <v>849</v>
      </c>
      <c r="D550" t="s">
        <v>100</v>
      </c>
      <c r="E550" t="s">
        <v>142</v>
      </c>
      <c r="F550" t="s">
        <v>207</v>
      </c>
      <c r="G550" t="s">
        <v>103</v>
      </c>
      <c r="H550" t="s">
        <v>104</v>
      </c>
      <c r="I550">
        <v>2030</v>
      </c>
      <c r="J550" t="s">
        <v>208</v>
      </c>
      <c r="K550" t="s">
        <v>106</v>
      </c>
      <c r="L550" t="s">
        <v>863</v>
      </c>
      <c r="M550" t="s">
        <v>892</v>
      </c>
      <c r="N550">
        <v>0</v>
      </c>
      <c r="O550">
        <v>2030</v>
      </c>
      <c r="P550">
        <v>74.322838838509583</v>
      </c>
      <c r="Q550">
        <v>1.219359074694298E-2</v>
      </c>
      <c r="R550" t="s">
        <v>109</v>
      </c>
      <c r="S550">
        <v>3.5902696365767879</v>
      </c>
      <c r="T550" t="s">
        <v>110</v>
      </c>
      <c r="U550">
        <v>3.5902696365767879</v>
      </c>
      <c r="V550">
        <v>253.60011341452949</v>
      </c>
      <c r="W550">
        <v>4.1606268607071263E-2</v>
      </c>
      <c r="X550" t="s">
        <v>111</v>
      </c>
      <c r="Y550">
        <v>9.5</v>
      </c>
      <c r="Z550">
        <v>0.17702743665447629</v>
      </c>
      <c r="AA550">
        <v>31.536000000000001</v>
      </c>
    </row>
    <row r="551" spans="1:27" hidden="1" x14ac:dyDescent="0.25">
      <c r="A551" t="s">
        <v>98</v>
      </c>
      <c r="B551" t="s">
        <v>849</v>
      </c>
      <c r="D551" t="s">
        <v>100</v>
      </c>
      <c r="E551" t="s">
        <v>142</v>
      </c>
      <c r="F551" t="s">
        <v>207</v>
      </c>
      <c r="G551" t="s">
        <v>112</v>
      </c>
      <c r="H551" t="s">
        <v>104</v>
      </c>
      <c r="I551">
        <v>2030</v>
      </c>
      <c r="J551" t="s">
        <v>210</v>
      </c>
      <c r="K551" t="s">
        <v>106</v>
      </c>
      <c r="L551" t="s">
        <v>863</v>
      </c>
      <c r="M551" t="s">
        <v>893</v>
      </c>
      <c r="N551">
        <v>0</v>
      </c>
      <c r="O551">
        <v>2030</v>
      </c>
      <c r="P551">
        <v>81.871252158045721</v>
      </c>
      <c r="Q551">
        <v>1.219359074694298E-2</v>
      </c>
      <c r="R551" t="s">
        <v>109</v>
      </c>
      <c r="S551">
        <v>3.8100820633059791</v>
      </c>
      <c r="T551" t="s">
        <v>110</v>
      </c>
      <c r="U551">
        <v>3.8100820633059791</v>
      </c>
      <c r="V551">
        <v>279.35637493319268</v>
      </c>
      <c r="W551">
        <v>4.1606268607071263E-2</v>
      </c>
      <c r="X551" t="s">
        <v>111</v>
      </c>
      <c r="Y551">
        <v>9.5</v>
      </c>
      <c r="Z551">
        <v>0.17702743665447629</v>
      </c>
      <c r="AA551">
        <v>31.536000000000001</v>
      </c>
    </row>
    <row r="552" spans="1:27" hidden="1" x14ac:dyDescent="0.25">
      <c r="A552" t="s">
        <v>98</v>
      </c>
      <c r="B552" t="s">
        <v>849</v>
      </c>
      <c r="D552" t="s">
        <v>100</v>
      </c>
      <c r="E552" t="s">
        <v>142</v>
      </c>
      <c r="F552" t="s">
        <v>207</v>
      </c>
      <c r="G552" t="s">
        <v>103</v>
      </c>
      <c r="H552" t="s">
        <v>104</v>
      </c>
      <c r="I552">
        <v>2040</v>
      </c>
      <c r="J552" t="s">
        <v>212</v>
      </c>
      <c r="K552" t="s">
        <v>106</v>
      </c>
      <c r="L552" t="s">
        <v>863</v>
      </c>
      <c r="M552" t="s">
        <v>894</v>
      </c>
      <c r="N552">
        <v>0</v>
      </c>
      <c r="O552">
        <v>2040</v>
      </c>
      <c r="P552">
        <v>74.322838838509583</v>
      </c>
      <c r="Q552">
        <v>1.219359074694298E-2</v>
      </c>
      <c r="R552" t="s">
        <v>109</v>
      </c>
      <c r="S552">
        <v>3.6635404454865181</v>
      </c>
      <c r="T552" t="s">
        <v>110</v>
      </c>
      <c r="U552">
        <v>3.6635404454865181</v>
      </c>
      <c r="V552">
        <v>253.60011341452949</v>
      </c>
      <c r="W552">
        <v>4.1606268607071263E-2</v>
      </c>
      <c r="X552" t="s">
        <v>111</v>
      </c>
      <c r="Y552">
        <v>9.5</v>
      </c>
      <c r="Z552">
        <v>0.17702743665447629</v>
      </c>
      <c r="AA552">
        <v>31.536000000000001</v>
      </c>
    </row>
    <row r="553" spans="1:27" hidden="1" x14ac:dyDescent="0.25">
      <c r="A553" t="s">
        <v>98</v>
      </c>
      <c r="B553" t="s">
        <v>849</v>
      </c>
      <c r="D553" t="s">
        <v>100</v>
      </c>
      <c r="E553" t="s">
        <v>142</v>
      </c>
      <c r="F553" t="s">
        <v>207</v>
      </c>
      <c r="G553" t="s">
        <v>112</v>
      </c>
      <c r="H553" t="s">
        <v>104</v>
      </c>
      <c r="I553">
        <v>2040</v>
      </c>
      <c r="J553" t="s">
        <v>214</v>
      </c>
      <c r="K553" t="s">
        <v>106</v>
      </c>
      <c r="L553" t="s">
        <v>863</v>
      </c>
      <c r="M553" t="s">
        <v>895</v>
      </c>
      <c r="N553">
        <v>0</v>
      </c>
      <c r="O553">
        <v>2040</v>
      </c>
      <c r="P553">
        <v>81.871252158045721</v>
      </c>
      <c r="Q553">
        <v>1.219359074694298E-2</v>
      </c>
      <c r="R553" t="s">
        <v>109</v>
      </c>
      <c r="S553">
        <v>3.9566236811254401</v>
      </c>
      <c r="T553" t="s">
        <v>110</v>
      </c>
      <c r="U553">
        <v>3.9566236811254401</v>
      </c>
      <c r="V553">
        <v>279.35637493319268</v>
      </c>
      <c r="W553">
        <v>4.1606268607071263E-2</v>
      </c>
      <c r="X553" t="s">
        <v>111</v>
      </c>
      <c r="Y553">
        <v>9.5</v>
      </c>
      <c r="Z553">
        <v>0.17702743665447629</v>
      </c>
      <c r="AA553">
        <v>31.536000000000001</v>
      </c>
    </row>
    <row r="554" spans="1:27" hidden="1" x14ac:dyDescent="0.25">
      <c r="A554" t="s">
        <v>98</v>
      </c>
      <c r="B554" t="s">
        <v>849</v>
      </c>
      <c r="D554" t="s">
        <v>100</v>
      </c>
      <c r="E554" t="s">
        <v>142</v>
      </c>
      <c r="F554" t="s">
        <v>207</v>
      </c>
      <c r="G554" t="s">
        <v>112</v>
      </c>
      <c r="H554" t="s">
        <v>104</v>
      </c>
      <c r="I554">
        <v>2022</v>
      </c>
      <c r="J554" t="s">
        <v>216</v>
      </c>
      <c r="K554" t="s">
        <v>106</v>
      </c>
      <c r="L554" t="s">
        <v>863</v>
      </c>
      <c r="M554" t="s">
        <v>896</v>
      </c>
      <c r="N554">
        <v>1</v>
      </c>
      <c r="O554">
        <v>2020</v>
      </c>
      <c r="P554">
        <v>81.871252158045721</v>
      </c>
      <c r="Q554">
        <v>1.219359074694298E-2</v>
      </c>
      <c r="R554" t="s">
        <v>109</v>
      </c>
      <c r="S554">
        <v>3.6635404454865181</v>
      </c>
      <c r="T554" t="s">
        <v>110</v>
      </c>
      <c r="U554">
        <v>3.6635404454865181</v>
      </c>
      <c r="V554">
        <v>279.35637493319268</v>
      </c>
      <c r="W554">
        <v>4.1606268607071263E-2</v>
      </c>
      <c r="X554" t="s">
        <v>111</v>
      </c>
      <c r="Y554">
        <v>9.5</v>
      </c>
      <c r="Z554">
        <v>0.17702743665447629</v>
      </c>
      <c r="AA554">
        <v>31.536000000000001</v>
      </c>
    </row>
    <row r="555" spans="1:27" hidden="1" x14ac:dyDescent="0.25">
      <c r="A555" t="s">
        <v>98</v>
      </c>
      <c r="B555" t="s">
        <v>849</v>
      </c>
      <c r="D555" t="s">
        <v>100</v>
      </c>
      <c r="E555" t="s">
        <v>142</v>
      </c>
      <c r="F555" t="s">
        <v>218</v>
      </c>
      <c r="G555" t="s">
        <v>219</v>
      </c>
      <c r="H555" t="s">
        <v>104</v>
      </c>
      <c r="I555">
        <v>2023</v>
      </c>
      <c r="J555" t="s">
        <v>220</v>
      </c>
      <c r="K555" t="s">
        <v>106</v>
      </c>
      <c r="L555" t="s">
        <v>863</v>
      </c>
      <c r="M555" t="s">
        <v>897</v>
      </c>
      <c r="N555">
        <v>0</v>
      </c>
      <c r="O555">
        <v>2023</v>
      </c>
      <c r="P555">
        <v>144.5166310748798</v>
      </c>
      <c r="Q555">
        <v>2.6193639382321958</v>
      </c>
      <c r="R555" t="s">
        <v>109</v>
      </c>
      <c r="S555">
        <v>4.6893317702227444</v>
      </c>
      <c r="T555" t="s">
        <v>110</v>
      </c>
      <c r="U555">
        <v>4.6893317702227444</v>
      </c>
      <c r="V555">
        <v>493.11133163936307</v>
      </c>
      <c r="W555">
        <v>8.937642885963454</v>
      </c>
      <c r="X555" t="s">
        <v>111</v>
      </c>
      <c r="Y555">
        <v>18</v>
      </c>
      <c r="Z555">
        <v>0.17702743665447629</v>
      </c>
      <c r="AA555">
        <v>31.536000000000001</v>
      </c>
    </row>
    <row r="556" spans="1:27" hidden="1" x14ac:dyDescent="0.25">
      <c r="A556" t="s">
        <v>98</v>
      </c>
      <c r="B556" t="s">
        <v>849</v>
      </c>
      <c r="D556" t="s">
        <v>100</v>
      </c>
      <c r="E556" t="s">
        <v>142</v>
      </c>
      <c r="F556" t="s">
        <v>218</v>
      </c>
      <c r="G556" t="s">
        <v>112</v>
      </c>
      <c r="H556" t="s">
        <v>104</v>
      </c>
      <c r="I556">
        <v>2022</v>
      </c>
      <c r="J556" t="s">
        <v>222</v>
      </c>
      <c r="K556" t="s">
        <v>106</v>
      </c>
      <c r="L556" t="s">
        <v>863</v>
      </c>
      <c r="M556" t="s">
        <v>898</v>
      </c>
      <c r="N556">
        <v>1</v>
      </c>
      <c r="O556">
        <v>2020</v>
      </c>
      <c r="P556">
        <v>157.50054714801351</v>
      </c>
      <c r="Q556">
        <v>2.455653692092683</v>
      </c>
      <c r="R556" t="s">
        <v>109</v>
      </c>
      <c r="S556">
        <v>4.835873388042204</v>
      </c>
      <c r="T556" t="s">
        <v>110</v>
      </c>
      <c r="U556">
        <v>4.835873388042204</v>
      </c>
      <c r="V556">
        <v>537.41430284133696</v>
      </c>
      <c r="W556">
        <v>8.3790402055907389</v>
      </c>
      <c r="X556" t="s">
        <v>111</v>
      </c>
      <c r="Y556">
        <v>18</v>
      </c>
      <c r="Z556">
        <v>0.17702743665447629</v>
      </c>
      <c r="AA556">
        <v>31.536000000000001</v>
      </c>
    </row>
    <row r="557" spans="1:27" hidden="1" x14ac:dyDescent="0.25">
      <c r="A557" t="s">
        <v>98</v>
      </c>
      <c r="B557" t="s">
        <v>849</v>
      </c>
      <c r="D557" t="s">
        <v>100</v>
      </c>
      <c r="E557" t="s">
        <v>142</v>
      </c>
      <c r="F557" t="s">
        <v>218</v>
      </c>
      <c r="G557" t="s">
        <v>103</v>
      </c>
      <c r="H557" t="s">
        <v>104</v>
      </c>
      <c r="I557">
        <v>2023</v>
      </c>
      <c r="J557" t="s">
        <v>224</v>
      </c>
      <c r="K557" t="s">
        <v>106</v>
      </c>
      <c r="L557" t="s">
        <v>863</v>
      </c>
      <c r="M557" t="s">
        <v>899</v>
      </c>
      <c r="N557">
        <v>0</v>
      </c>
      <c r="O557">
        <v>2023</v>
      </c>
      <c r="P557">
        <v>125.3230160102473</v>
      </c>
      <c r="Q557">
        <v>2.455653692092683</v>
      </c>
      <c r="R557" t="s">
        <v>109</v>
      </c>
      <c r="S557">
        <v>4.2203985932004704</v>
      </c>
      <c r="T557" t="s">
        <v>110</v>
      </c>
      <c r="U557">
        <v>4.2203985932004704</v>
      </c>
      <c r="V557">
        <v>427.61998290601008</v>
      </c>
      <c r="W557">
        <v>8.3790402055907389</v>
      </c>
      <c r="X557" t="s">
        <v>111</v>
      </c>
      <c r="Y557">
        <v>18</v>
      </c>
      <c r="Z557">
        <v>0.17702743665447629</v>
      </c>
      <c r="AA557">
        <v>31.536000000000001</v>
      </c>
    </row>
    <row r="558" spans="1:27" x14ac:dyDescent="0.25">
      <c r="A558" t="s">
        <v>98</v>
      </c>
      <c r="B558" t="s">
        <v>849</v>
      </c>
      <c r="D558" t="s">
        <v>100</v>
      </c>
      <c r="E558" t="s">
        <v>226</v>
      </c>
      <c r="F558" t="s">
        <v>227</v>
      </c>
      <c r="G558" t="s">
        <v>228</v>
      </c>
      <c r="H558" t="s">
        <v>104</v>
      </c>
      <c r="I558">
        <v>2023</v>
      </c>
      <c r="J558" t="s">
        <v>229</v>
      </c>
      <c r="K558" t="s">
        <v>106</v>
      </c>
      <c r="L558" t="s">
        <v>900</v>
      </c>
      <c r="M558" t="s">
        <v>901</v>
      </c>
      <c r="N558">
        <v>1</v>
      </c>
      <c r="O558">
        <v>2023</v>
      </c>
      <c r="P558">
        <v>351.48905933689161</v>
      </c>
      <c r="Q558">
        <v>0.67078064758948786</v>
      </c>
      <c r="R558" t="s">
        <v>109</v>
      </c>
      <c r="S558">
        <v>2.7</v>
      </c>
      <c r="T558" t="s">
        <v>110</v>
      </c>
      <c r="U558">
        <v>2.7</v>
      </c>
      <c r="V558">
        <v>1199.3307401172131</v>
      </c>
      <c r="W558">
        <v>2.2887991223610928</v>
      </c>
      <c r="X558" t="s">
        <v>111</v>
      </c>
      <c r="Y558">
        <v>20</v>
      </c>
      <c r="Z558">
        <v>0.44</v>
      </c>
      <c r="AA558">
        <v>31.536000000000001</v>
      </c>
    </row>
    <row r="559" spans="1:27" x14ac:dyDescent="0.25">
      <c r="A559" t="s">
        <v>98</v>
      </c>
      <c r="B559" t="s">
        <v>849</v>
      </c>
      <c r="D559" t="s">
        <v>100</v>
      </c>
      <c r="E559" t="s">
        <v>226</v>
      </c>
      <c r="F559" t="s">
        <v>227</v>
      </c>
      <c r="G559" t="s">
        <v>228</v>
      </c>
      <c r="H559" t="s">
        <v>104</v>
      </c>
      <c r="I559">
        <v>2024</v>
      </c>
      <c r="J559" t="s">
        <v>232</v>
      </c>
      <c r="K559" t="s">
        <v>106</v>
      </c>
      <c r="L559" t="s">
        <v>900</v>
      </c>
      <c r="M559" t="s">
        <v>902</v>
      </c>
      <c r="N559">
        <v>1</v>
      </c>
      <c r="O559">
        <v>2024</v>
      </c>
      <c r="P559">
        <v>351.48905933689161</v>
      </c>
      <c r="Q559">
        <v>0.67078064758948786</v>
      </c>
      <c r="R559" t="s">
        <v>109</v>
      </c>
      <c r="S559">
        <v>2.7</v>
      </c>
      <c r="T559" t="s">
        <v>110</v>
      </c>
      <c r="U559">
        <v>2.7</v>
      </c>
      <c r="V559">
        <v>1199.3307401172131</v>
      </c>
      <c r="W559">
        <v>2.2887991223610928</v>
      </c>
      <c r="X559" t="s">
        <v>111</v>
      </c>
      <c r="Y559">
        <v>20</v>
      </c>
      <c r="Z559">
        <v>0.44</v>
      </c>
      <c r="AA559">
        <v>31.536000000000001</v>
      </c>
    </row>
    <row r="560" spans="1:27" x14ac:dyDescent="0.25">
      <c r="A560" t="s">
        <v>98</v>
      </c>
      <c r="B560" t="s">
        <v>849</v>
      </c>
      <c r="D560" t="s">
        <v>100</v>
      </c>
      <c r="E560" t="s">
        <v>226</v>
      </c>
      <c r="F560" t="s">
        <v>227</v>
      </c>
      <c r="G560" t="s">
        <v>228</v>
      </c>
      <c r="H560" t="s">
        <v>104</v>
      </c>
      <c r="I560">
        <v>2025</v>
      </c>
      <c r="J560" t="s">
        <v>234</v>
      </c>
      <c r="K560" t="s">
        <v>106</v>
      </c>
      <c r="L560" t="s">
        <v>900</v>
      </c>
      <c r="M560" t="s">
        <v>903</v>
      </c>
      <c r="N560">
        <v>1</v>
      </c>
      <c r="O560">
        <v>2025</v>
      </c>
      <c r="P560">
        <v>351.48905933689161</v>
      </c>
      <c r="Q560">
        <v>0.67078064758948786</v>
      </c>
      <c r="R560" t="s">
        <v>109</v>
      </c>
      <c r="S560">
        <v>2.7</v>
      </c>
      <c r="T560" t="s">
        <v>110</v>
      </c>
      <c r="U560">
        <v>2.7</v>
      </c>
      <c r="V560">
        <v>1199.3307401172131</v>
      </c>
      <c r="W560">
        <v>2.2887991223610928</v>
      </c>
      <c r="X560" t="s">
        <v>111</v>
      </c>
      <c r="Y560">
        <v>20</v>
      </c>
      <c r="Z560">
        <v>0.44</v>
      </c>
      <c r="AA560">
        <v>31.536000000000001</v>
      </c>
    </row>
    <row r="561" spans="1:27" x14ac:dyDescent="0.25">
      <c r="A561" t="s">
        <v>98</v>
      </c>
      <c r="B561" t="s">
        <v>849</v>
      </c>
      <c r="D561" t="s">
        <v>100</v>
      </c>
      <c r="E561" t="s">
        <v>226</v>
      </c>
      <c r="F561" t="s">
        <v>227</v>
      </c>
      <c r="G561" t="s">
        <v>228</v>
      </c>
      <c r="H561" t="s">
        <v>104</v>
      </c>
      <c r="I561">
        <v>2026</v>
      </c>
      <c r="J561" t="s">
        <v>236</v>
      </c>
      <c r="K561" t="s">
        <v>106</v>
      </c>
      <c r="L561" t="s">
        <v>900</v>
      </c>
      <c r="M561" t="s">
        <v>904</v>
      </c>
      <c r="N561">
        <v>1</v>
      </c>
      <c r="O561">
        <v>2026</v>
      </c>
      <c r="P561">
        <v>351.48905933689161</v>
      </c>
      <c r="Q561">
        <v>0.67078064758948786</v>
      </c>
      <c r="R561" t="s">
        <v>109</v>
      </c>
      <c r="S561">
        <v>2.7</v>
      </c>
      <c r="T561" t="s">
        <v>110</v>
      </c>
      <c r="U561">
        <v>2.7</v>
      </c>
      <c r="V561">
        <v>1199.3307401172131</v>
      </c>
      <c r="W561">
        <v>2.2887991223610928</v>
      </c>
      <c r="X561" t="s">
        <v>111</v>
      </c>
      <c r="Y561">
        <v>20</v>
      </c>
      <c r="Z561">
        <v>0.44</v>
      </c>
      <c r="AA561">
        <v>31.536000000000001</v>
      </c>
    </row>
    <row r="562" spans="1:27" x14ac:dyDescent="0.25">
      <c r="A562" t="s">
        <v>98</v>
      </c>
      <c r="B562" t="s">
        <v>849</v>
      </c>
      <c r="D562" t="s">
        <v>100</v>
      </c>
      <c r="E562" t="s">
        <v>226</v>
      </c>
      <c r="F562" t="s">
        <v>227</v>
      </c>
      <c r="G562" t="s">
        <v>228</v>
      </c>
      <c r="H562" t="s">
        <v>104</v>
      </c>
      <c r="I562">
        <v>2027</v>
      </c>
      <c r="J562" t="s">
        <v>238</v>
      </c>
      <c r="K562" t="s">
        <v>106</v>
      </c>
      <c r="L562" t="s">
        <v>900</v>
      </c>
      <c r="M562" t="s">
        <v>905</v>
      </c>
      <c r="N562">
        <v>1</v>
      </c>
      <c r="O562">
        <v>2027</v>
      </c>
      <c r="P562">
        <v>351.48905933689161</v>
      </c>
      <c r="Q562">
        <v>0.67078064758948786</v>
      </c>
      <c r="R562" t="s">
        <v>109</v>
      </c>
      <c r="S562">
        <v>2.7</v>
      </c>
      <c r="T562" t="s">
        <v>110</v>
      </c>
      <c r="U562">
        <v>2.7</v>
      </c>
      <c r="V562">
        <v>1199.3307401172131</v>
      </c>
      <c r="W562">
        <v>2.2887991223610928</v>
      </c>
      <c r="X562" t="s">
        <v>111</v>
      </c>
      <c r="Y562">
        <v>20</v>
      </c>
      <c r="Z562">
        <v>0.44</v>
      </c>
      <c r="AA562">
        <v>31.536000000000001</v>
      </c>
    </row>
    <row r="563" spans="1:27" x14ac:dyDescent="0.25">
      <c r="A563" t="s">
        <v>98</v>
      </c>
      <c r="B563" t="s">
        <v>849</v>
      </c>
      <c r="D563" t="s">
        <v>100</v>
      </c>
      <c r="E563" t="s">
        <v>226</v>
      </c>
      <c r="F563" t="s">
        <v>240</v>
      </c>
      <c r="G563" t="s">
        <v>103</v>
      </c>
      <c r="H563" t="s">
        <v>104</v>
      </c>
      <c r="I563">
        <v>2022</v>
      </c>
      <c r="J563" t="s">
        <v>241</v>
      </c>
      <c r="K563" t="s">
        <v>106</v>
      </c>
      <c r="L563" t="s">
        <v>900</v>
      </c>
      <c r="M563" t="s">
        <v>906</v>
      </c>
      <c r="N563">
        <v>1</v>
      </c>
      <c r="O563">
        <v>2020</v>
      </c>
      <c r="P563">
        <v>364.1638033744108</v>
      </c>
      <c r="Q563">
        <v>0.71474740603417231</v>
      </c>
      <c r="R563" t="s">
        <v>109</v>
      </c>
      <c r="S563">
        <v>3.9</v>
      </c>
      <c r="T563" t="s">
        <v>110</v>
      </c>
      <c r="U563">
        <v>3.9</v>
      </c>
      <c r="V563">
        <v>1242.578772292075</v>
      </c>
      <c r="W563">
        <v>2.4388199652445048</v>
      </c>
      <c r="X563" t="s">
        <v>111</v>
      </c>
      <c r="Y563">
        <v>15</v>
      </c>
      <c r="Z563">
        <v>0.44</v>
      </c>
      <c r="AA563">
        <v>31.536000000000001</v>
      </c>
    </row>
    <row r="564" spans="1:27" hidden="1" x14ac:dyDescent="0.25">
      <c r="A564" t="s">
        <v>98</v>
      </c>
      <c r="B564" t="s">
        <v>849</v>
      </c>
      <c r="D564" t="s">
        <v>100</v>
      </c>
      <c r="E564" t="s">
        <v>243</v>
      </c>
      <c r="F564" t="s">
        <v>244</v>
      </c>
      <c r="G564" t="s">
        <v>245</v>
      </c>
      <c r="H564" t="s">
        <v>104</v>
      </c>
      <c r="I564">
        <v>2022</v>
      </c>
      <c r="J564" t="s">
        <v>246</v>
      </c>
      <c r="K564" t="s">
        <v>106</v>
      </c>
      <c r="L564" t="s">
        <v>907</v>
      </c>
      <c r="M564" t="s">
        <v>908</v>
      </c>
      <c r="N564">
        <v>1</v>
      </c>
      <c r="O564">
        <v>2020</v>
      </c>
      <c r="P564">
        <v>5418.3180362120765</v>
      </c>
      <c r="Q564">
        <v>63.780978532496562</v>
      </c>
      <c r="R564" t="s">
        <v>249</v>
      </c>
      <c r="S564">
        <v>0.41325750353930962</v>
      </c>
      <c r="T564" t="s">
        <v>250</v>
      </c>
      <c r="U564">
        <v>1</v>
      </c>
      <c r="V564">
        <v>7640.3348848129563</v>
      </c>
      <c r="W564">
        <v>89.937141380872987</v>
      </c>
      <c r="X564" t="s">
        <v>111</v>
      </c>
      <c r="Y564">
        <v>20</v>
      </c>
      <c r="Z564">
        <v>0.44</v>
      </c>
      <c r="AA564">
        <v>31.536000000000001</v>
      </c>
    </row>
    <row r="565" spans="1:27" hidden="1" x14ac:dyDescent="0.25">
      <c r="A565" t="s">
        <v>98</v>
      </c>
      <c r="B565" t="s">
        <v>849</v>
      </c>
      <c r="D565" t="s">
        <v>100</v>
      </c>
      <c r="E565" t="s">
        <v>243</v>
      </c>
      <c r="F565" t="s">
        <v>244</v>
      </c>
      <c r="G565" t="s">
        <v>103</v>
      </c>
      <c r="H565" t="s">
        <v>104</v>
      </c>
      <c r="I565">
        <v>2022</v>
      </c>
      <c r="J565" t="s">
        <v>251</v>
      </c>
      <c r="K565" t="s">
        <v>106</v>
      </c>
      <c r="L565" t="s">
        <v>907</v>
      </c>
      <c r="M565" t="s">
        <v>909</v>
      </c>
      <c r="N565">
        <v>1</v>
      </c>
      <c r="O565">
        <v>2020</v>
      </c>
      <c r="P565">
        <v>5667.3116722418044</v>
      </c>
      <c r="Q565">
        <v>63.780978532496562</v>
      </c>
      <c r="R565" t="s">
        <v>249</v>
      </c>
      <c r="S565">
        <v>0.43508713487380868</v>
      </c>
      <c r="T565" t="s">
        <v>250</v>
      </c>
      <c r="U565">
        <v>1.052823315118397</v>
      </c>
      <c r="V565">
        <v>7991.4391852139524</v>
      </c>
      <c r="W565">
        <v>89.937141380873001</v>
      </c>
      <c r="X565" t="s">
        <v>111</v>
      </c>
      <c r="Y565">
        <v>20</v>
      </c>
      <c r="Z565">
        <v>0.44</v>
      </c>
      <c r="AA565">
        <v>31.536000000000001</v>
      </c>
    </row>
    <row r="566" spans="1:27" hidden="1" x14ac:dyDescent="0.25">
      <c r="A566" t="s">
        <v>98</v>
      </c>
      <c r="B566" t="s">
        <v>849</v>
      </c>
      <c r="D566" t="s">
        <v>100</v>
      </c>
      <c r="E566" t="s">
        <v>243</v>
      </c>
      <c r="F566" t="s">
        <v>244</v>
      </c>
      <c r="G566" t="s">
        <v>112</v>
      </c>
      <c r="H566" t="s">
        <v>104</v>
      </c>
      <c r="I566">
        <v>2022</v>
      </c>
      <c r="J566" t="s">
        <v>253</v>
      </c>
      <c r="K566" t="s">
        <v>106</v>
      </c>
      <c r="L566" t="s">
        <v>907</v>
      </c>
      <c r="M566" t="s">
        <v>910</v>
      </c>
      <c r="N566">
        <v>1</v>
      </c>
      <c r="O566">
        <v>2020</v>
      </c>
      <c r="P566">
        <v>5911.8706390075113</v>
      </c>
      <c r="Q566">
        <v>63.780978532496562</v>
      </c>
      <c r="R566" t="s">
        <v>249</v>
      </c>
      <c r="S566">
        <v>0.44315925240393511</v>
      </c>
      <c r="T566" t="s">
        <v>250</v>
      </c>
      <c r="U566">
        <v>1.0723562152133581</v>
      </c>
      <c r="V566">
        <v>8336.2901874412255</v>
      </c>
      <c r="W566">
        <v>89.937141380873001</v>
      </c>
      <c r="X566" t="s">
        <v>111</v>
      </c>
      <c r="Y566">
        <v>20</v>
      </c>
      <c r="Z566">
        <v>0.44</v>
      </c>
      <c r="AA566">
        <v>31.536000000000001</v>
      </c>
    </row>
    <row r="567" spans="1:27" hidden="1" x14ac:dyDescent="0.25">
      <c r="A567" t="s">
        <v>98</v>
      </c>
      <c r="B567" t="s">
        <v>849</v>
      </c>
      <c r="D567" t="s">
        <v>100</v>
      </c>
      <c r="E567" t="s">
        <v>243</v>
      </c>
      <c r="F567" t="s">
        <v>244</v>
      </c>
      <c r="G567" t="s">
        <v>103</v>
      </c>
      <c r="H567" t="s">
        <v>104</v>
      </c>
      <c r="I567">
        <v>2030</v>
      </c>
      <c r="J567" t="s">
        <v>255</v>
      </c>
      <c r="K567" t="s">
        <v>106</v>
      </c>
      <c r="L567" t="s">
        <v>907</v>
      </c>
      <c r="M567" t="s">
        <v>911</v>
      </c>
      <c r="N567">
        <v>1</v>
      </c>
      <c r="O567">
        <v>2030</v>
      </c>
      <c r="P567">
        <v>5667.3116722418044</v>
      </c>
      <c r="Q567">
        <v>63.780978532496562</v>
      </c>
      <c r="R567" t="s">
        <v>249</v>
      </c>
      <c r="S567">
        <v>0.43508713487380868</v>
      </c>
      <c r="T567" t="s">
        <v>250</v>
      </c>
      <c r="U567">
        <v>1.052823315118397</v>
      </c>
      <c r="V567">
        <v>7991.4391852139524</v>
      </c>
      <c r="W567">
        <v>89.937141380873001</v>
      </c>
      <c r="X567" t="s">
        <v>111</v>
      </c>
      <c r="Y567">
        <v>20</v>
      </c>
      <c r="Z567">
        <v>0.44</v>
      </c>
      <c r="AA567">
        <v>31.536000000000001</v>
      </c>
    </row>
    <row r="568" spans="1:27" hidden="1" x14ac:dyDescent="0.25">
      <c r="A568" t="s">
        <v>98</v>
      </c>
      <c r="B568" t="s">
        <v>849</v>
      </c>
      <c r="D568" t="s">
        <v>100</v>
      </c>
      <c r="E568" t="s">
        <v>243</v>
      </c>
      <c r="F568" t="s">
        <v>244</v>
      </c>
      <c r="G568" t="s">
        <v>112</v>
      </c>
      <c r="H568" t="s">
        <v>104</v>
      </c>
      <c r="I568">
        <v>2030</v>
      </c>
      <c r="J568" t="s">
        <v>257</v>
      </c>
      <c r="K568" t="s">
        <v>106</v>
      </c>
      <c r="L568" t="s">
        <v>907</v>
      </c>
      <c r="M568" t="s">
        <v>912</v>
      </c>
      <c r="N568">
        <v>1</v>
      </c>
      <c r="O568">
        <v>2030</v>
      </c>
      <c r="P568">
        <v>5911.8706390075113</v>
      </c>
      <c r="Q568">
        <v>63.780978532496562</v>
      </c>
      <c r="R568" t="s">
        <v>249</v>
      </c>
      <c r="S568">
        <v>0.44315925240393511</v>
      </c>
      <c r="T568" t="s">
        <v>250</v>
      </c>
      <c r="U568">
        <v>1.0723562152133581</v>
      </c>
      <c r="V568">
        <v>8336.2901874412255</v>
      </c>
      <c r="W568">
        <v>89.937141380873001</v>
      </c>
      <c r="X568" t="s">
        <v>111</v>
      </c>
      <c r="Y568">
        <v>20</v>
      </c>
      <c r="Z568">
        <v>0.44</v>
      </c>
      <c r="AA568">
        <v>31.536000000000001</v>
      </c>
    </row>
    <row r="569" spans="1:27" hidden="1" x14ac:dyDescent="0.25">
      <c r="A569" t="s">
        <v>98</v>
      </c>
      <c r="B569" t="s">
        <v>849</v>
      </c>
      <c r="D569" t="s">
        <v>100</v>
      </c>
      <c r="E569" t="s">
        <v>243</v>
      </c>
      <c r="F569" t="s">
        <v>244</v>
      </c>
      <c r="G569" t="s">
        <v>103</v>
      </c>
      <c r="H569" t="s">
        <v>104</v>
      </c>
      <c r="I569">
        <v>2040</v>
      </c>
      <c r="J569" t="s">
        <v>259</v>
      </c>
      <c r="K569" t="s">
        <v>106</v>
      </c>
      <c r="L569" t="s">
        <v>907</v>
      </c>
      <c r="M569" t="s">
        <v>913</v>
      </c>
      <c r="N569">
        <v>1</v>
      </c>
      <c r="O569">
        <v>2040</v>
      </c>
      <c r="P569">
        <v>5667.3116722418044</v>
      </c>
      <c r="Q569">
        <v>63.780978532496562</v>
      </c>
      <c r="R569" t="s">
        <v>249</v>
      </c>
      <c r="S569">
        <v>0.43508713487380868</v>
      </c>
      <c r="T569" t="s">
        <v>250</v>
      </c>
      <c r="U569">
        <v>1.052823315118397</v>
      </c>
      <c r="V569">
        <v>7991.4391852139524</v>
      </c>
      <c r="W569">
        <v>89.937141380873001</v>
      </c>
      <c r="X569" t="s">
        <v>111</v>
      </c>
      <c r="Y569">
        <v>20</v>
      </c>
      <c r="Z569">
        <v>0.44</v>
      </c>
      <c r="AA569">
        <v>31.536000000000001</v>
      </c>
    </row>
    <row r="570" spans="1:27" hidden="1" x14ac:dyDescent="0.25">
      <c r="A570" t="s">
        <v>98</v>
      </c>
      <c r="B570" t="s">
        <v>849</v>
      </c>
      <c r="D570" t="s">
        <v>100</v>
      </c>
      <c r="E570" t="s">
        <v>243</v>
      </c>
      <c r="F570" t="s">
        <v>244</v>
      </c>
      <c r="G570" t="s">
        <v>112</v>
      </c>
      <c r="H570" t="s">
        <v>104</v>
      </c>
      <c r="I570">
        <v>2040</v>
      </c>
      <c r="J570" t="s">
        <v>261</v>
      </c>
      <c r="K570" t="s">
        <v>106</v>
      </c>
      <c r="L570" t="s">
        <v>907</v>
      </c>
      <c r="M570" t="s">
        <v>914</v>
      </c>
      <c r="N570">
        <v>1</v>
      </c>
      <c r="O570">
        <v>2040</v>
      </c>
      <c r="P570">
        <v>5911.8706390075113</v>
      </c>
      <c r="Q570">
        <v>63.780978532496562</v>
      </c>
      <c r="R570" t="s">
        <v>249</v>
      </c>
      <c r="S570">
        <v>0.44315925240393511</v>
      </c>
      <c r="T570" t="s">
        <v>250</v>
      </c>
      <c r="U570">
        <v>1.0723562152133581</v>
      </c>
      <c r="V570">
        <v>8336.2901874412255</v>
      </c>
      <c r="W570">
        <v>89.937141380873001</v>
      </c>
      <c r="X570" t="s">
        <v>111</v>
      </c>
      <c r="Y570">
        <v>20</v>
      </c>
      <c r="Z570">
        <v>0.44</v>
      </c>
      <c r="AA570">
        <v>31.536000000000001</v>
      </c>
    </row>
    <row r="571" spans="1:27" hidden="1" x14ac:dyDescent="0.25">
      <c r="A571" t="s">
        <v>98</v>
      </c>
      <c r="B571" t="s">
        <v>849</v>
      </c>
      <c r="D571" t="s">
        <v>100</v>
      </c>
      <c r="E571" t="s">
        <v>243</v>
      </c>
      <c r="F571" t="s">
        <v>244</v>
      </c>
      <c r="G571" t="s">
        <v>103</v>
      </c>
      <c r="H571" t="s">
        <v>104</v>
      </c>
      <c r="I571">
        <v>2050</v>
      </c>
      <c r="J571" t="s">
        <v>263</v>
      </c>
      <c r="K571" t="s">
        <v>106</v>
      </c>
      <c r="L571" t="s">
        <v>907</v>
      </c>
      <c r="M571" t="s">
        <v>915</v>
      </c>
      <c r="N571">
        <v>1</v>
      </c>
      <c r="O571">
        <v>2050</v>
      </c>
      <c r="P571">
        <v>5667.3116722418044</v>
      </c>
      <c r="Q571">
        <v>63.780978532496562</v>
      </c>
      <c r="R571" t="s">
        <v>249</v>
      </c>
      <c r="S571">
        <v>0.43508713487380868</v>
      </c>
      <c r="T571" t="s">
        <v>250</v>
      </c>
      <c r="U571">
        <v>1.052823315118397</v>
      </c>
      <c r="V571">
        <v>7991.4391852139524</v>
      </c>
      <c r="W571">
        <v>89.937141380873001</v>
      </c>
      <c r="X571" t="s">
        <v>111</v>
      </c>
      <c r="Y571">
        <v>20</v>
      </c>
      <c r="Z571">
        <v>0.44</v>
      </c>
      <c r="AA571">
        <v>31.536000000000001</v>
      </c>
    </row>
    <row r="572" spans="1:27" hidden="1" x14ac:dyDescent="0.25">
      <c r="A572" t="s">
        <v>98</v>
      </c>
      <c r="B572" t="s">
        <v>849</v>
      </c>
      <c r="D572" t="s">
        <v>100</v>
      </c>
      <c r="E572" t="s">
        <v>243</v>
      </c>
      <c r="F572" t="s">
        <v>244</v>
      </c>
      <c r="G572" t="s">
        <v>112</v>
      </c>
      <c r="H572" t="s">
        <v>104</v>
      </c>
      <c r="I572">
        <v>2050</v>
      </c>
      <c r="J572" t="s">
        <v>265</v>
      </c>
      <c r="K572" t="s">
        <v>106</v>
      </c>
      <c r="L572" t="s">
        <v>907</v>
      </c>
      <c r="M572" t="s">
        <v>916</v>
      </c>
      <c r="N572">
        <v>1</v>
      </c>
      <c r="O572">
        <v>2050</v>
      </c>
      <c r="P572">
        <v>5911.8706390075113</v>
      </c>
      <c r="Q572">
        <v>63.780978532496562</v>
      </c>
      <c r="R572" t="s">
        <v>249</v>
      </c>
      <c r="S572">
        <v>0.44315925240393511</v>
      </c>
      <c r="T572" t="s">
        <v>250</v>
      </c>
      <c r="U572">
        <v>1.0723562152133581</v>
      </c>
      <c r="V572">
        <v>8336.2901874412255</v>
      </c>
      <c r="W572">
        <v>89.937141380873001</v>
      </c>
      <c r="X572" t="s">
        <v>111</v>
      </c>
      <c r="Y572">
        <v>20</v>
      </c>
      <c r="Z572">
        <v>0.44</v>
      </c>
      <c r="AA572">
        <v>31.536000000000001</v>
      </c>
    </row>
    <row r="573" spans="1:27" hidden="1" x14ac:dyDescent="0.25">
      <c r="A573" t="s">
        <v>98</v>
      </c>
      <c r="B573" t="s">
        <v>849</v>
      </c>
      <c r="D573" t="s">
        <v>100</v>
      </c>
      <c r="E573" t="s">
        <v>243</v>
      </c>
      <c r="F573" t="s">
        <v>267</v>
      </c>
      <c r="G573" t="s">
        <v>245</v>
      </c>
      <c r="H573" t="s">
        <v>104</v>
      </c>
      <c r="I573">
        <v>2022</v>
      </c>
      <c r="J573" t="s">
        <v>268</v>
      </c>
      <c r="K573" t="s">
        <v>106</v>
      </c>
      <c r="L573" t="s">
        <v>907</v>
      </c>
      <c r="M573" t="s">
        <v>917</v>
      </c>
      <c r="N573">
        <v>1</v>
      </c>
      <c r="O573">
        <v>2020</v>
      </c>
      <c r="P573">
        <v>7748.5410872802086</v>
      </c>
      <c r="Q573">
        <v>68.755259026523561</v>
      </c>
      <c r="R573" t="s">
        <v>249</v>
      </c>
      <c r="S573">
        <v>0.29876527460377861</v>
      </c>
      <c r="T573" t="s">
        <v>250</v>
      </c>
      <c r="U573">
        <v>0.72295184490306452</v>
      </c>
      <c r="V573">
        <v>10926.167194301681</v>
      </c>
      <c r="W573">
        <v>96.951341826723592</v>
      </c>
      <c r="X573" t="s">
        <v>111</v>
      </c>
      <c r="Y573">
        <v>20</v>
      </c>
      <c r="Z573">
        <v>0.44</v>
      </c>
      <c r="AA573">
        <v>31.536000000000001</v>
      </c>
    </row>
    <row r="574" spans="1:27" hidden="1" x14ac:dyDescent="0.25">
      <c r="A574" t="s">
        <v>98</v>
      </c>
      <c r="B574" t="s">
        <v>849</v>
      </c>
      <c r="D574" t="s">
        <v>100</v>
      </c>
      <c r="E574" t="s">
        <v>243</v>
      </c>
      <c r="F574" t="s">
        <v>267</v>
      </c>
      <c r="G574" t="s">
        <v>112</v>
      </c>
      <c r="H574" t="s">
        <v>104</v>
      </c>
      <c r="I574">
        <v>2022</v>
      </c>
      <c r="J574" t="s">
        <v>270</v>
      </c>
      <c r="K574" t="s">
        <v>106</v>
      </c>
      <c r="L574" t="s">
        <v>907</v>
      </c>
      <c r="M574" t="s">
        <v>918</v>
      </c>
      <c r="N574">
        <v>1</v>
      </c>
      <c r="O574">
        <v>2020</v>
      </c>
      <c r="P574">
        <v>8151.6394802345676</v>
      </c>
      <c r="Q574">
        <v>68.755259026523561</v>
      </c>
      <c r="R574" t="s">
        <v>249</v>
      </c>
      <c r="S574">
        <v>0.29876527460377861</v>
      </c>
      <c r="T574" t="s">
        <v>250</v>
      </c>
      <c r="U574">
        <v>0.72295184490306452</v>
      </c>
      <c r="V574">
        <v>11494.57360623949</v>
      </c>
      <c r="W574">
        <v>96.951341826723592</v>
      </c>
      <c r="X574" t="s">
        <v>111</v>
      </c>
      <c r="Y574">
        <v>20</v>
      </c>
      <c r="Z574">
        <v>0.44</v>
      </c>
      <c r="AA574">
        <v>31.536000000000001</v>
      </c>
    </row>
    <row r="575" spans="1:27" hidden="1" x14ac:dyDescent="0.25">
      <c r="A575" t="s">
        <v>98</v>
      </c>
      <c r="B575" t="s">
        <v>849</v>
      </c>
      <c r="D575" t="s">
        <v>100</v>
      </c>
      <c r="E575" t="s">
        <v>243</v>
      </c>
      <c r="F575" t="s">
        <v>267</v>
      </c>
      <c r="G575" t="s">
        <v>103</v>
      </c>
      <c r="H575" t="s">
        <v>104</v>
      </c>
      <c r="I575">
        <v>2030</v>
      </c>
      <c r="J575" t="s">
        <v>272</v>
      </c>
      <c r="K575" t="s">
        <v>106</v>
      </c>
      <c r="L575" t="s">
        <v>907</v>
      </c>
      <c r="M575" t="s">
        <v>919</v>
      </c>
      <c r="N575">
        <v>1</v>
      </c>
      <c r="O575">
        <v>2030</v>
      </c>
      <c r="P575">
        <v>8119.0316179991396</v>
      </c>
      <c r="Q575">
        <v>68.755259026523561</v>
      </c>
      <c r="R575" t="s">
        <v>249</v>
      </c>
      <c r="S575">
        <v>0.29876527460377861</v>
      </c>
      <c r="T575" t="s">
        <v>250</v>
      </c>
      <c r="U575">
        <v>0.72295184490306452</v>
      </c>
      <c r="V575">
        <v>11448.59347260918</v>
      </c>
      <c r="W575">
        <v>96.951341826723592</v>
      </c>
      <c r="X575" t="s">
        <v>111</v>
      </c>
      <c r="Y575">
        <v>20</v>
      </c>
      <c r="Z575">
        <v>0.44</v>
      </c>
      <c r="AA575">
        <v>31.536000000000001</v>
      </c>
    </row>
    <row r="576" spans="1:27" hidden="1" x14ac:dyDescent="0.25">
      <c r="A576" t="s">
        <v>98</v>
      </c>
      <c r="B576" t="s">
        <v>849</v>
      </c>
      <c r="D576" t="s">
        <v>100</v>
      </c>
      <c r="E576" t="s">
        <v>243</v>
      </c>
      <c r="F576" t="s">
        <v>267</v>
      </c>
      <c r="G576" t="s">
        <v>112</v>
      </c>
      <c r="H576" t="s">
        <v>104</v>
      </c>
      <c r="I576">
        <v>2030</v>
      </c>
      <c r="J576" t="s">
        <v>274</v>
      </c>
      <c r="K576" t="s">
        <v>106</v>
      </c>
      <c r="L576" t="s">
        <v>907</v>
      </c>
      <c r="M576" t="s">
        <v>920</v>
      </c>
      <c r="N576">
        <v>1</v>
      </c>
      <c r="O576">
        <v>2030</v>
      </c>
      <c r="P576">
        <v>8151.6394802345676</v>
      </c>
      <c r="Q576">
        <v>68.755259026523561</v>
      </c>
      <c r="R576" t="s">
        <v>249</v>
      </c>
      <c r="S576">
        <v>0.31450011460924421</v>
      </c>
      <c r="T576" t="s">
        <v>250</v>
      </c>
      <c r="U576">
        <v>0.76102699144173802</v>
      </c>
      <c r="V576">
        <v>11494.57360623949</v>
      </c>
      <c r="W576">
        <v>96.951341826723578</v>
      </c>
      <c r="X576" t="s">
        <v>111</v>
      </c>
      <c r="Y576">
        <v>20</v>
      </c>
      <c r="Z576">
        <v>0.44</v>
      </c>
      <c r="AA576">
        <v>31.536000000000001</v>
      </c>
    </row>
    <row r="577" spans="1:27" hidden="1" x14ac:dyDescent="0.25">
      <c r="A577" t="s">
        <v>98</v>
      </c>
      <c r="B577" t="s">
        <v>849</v>
      </c>
      <c r="D577" t="s">
        <v>100</v>
      </c>
      <c r="E577" t="s">
        <v>243</v>
      </c>
      <c r="F577" t="s">
        <v>267</v>
      </c>
      <c r="G577" t="s">
        <v>103</v>
      </c>
      <c r="H577" t="s">
        <v>104</v>
      </c>
      <c r="I577">
        <v>2040</v>
      </c>
      <c r="J577" t="s">
        <v>276</v>
      </c>
      <c r="K577" t="s">
        <v>106</v>
      </c>
      <c r="L577" t="s">
        <v>907</v>
      </c>
      <c r="M577" t="s">
        <v>921</v>
      </c>
      <c r="N577">
        <v>1</v>
      </c>
      <c r="O577">
        <v>2040</v>
      </c>
      <c r="P577">
        <v>8119.0316179991396</v>
      </c>
      <c r="Q577">
        <v>68.755259026523561</v>
      </c>
      <c r="R577" t="s">
        <v>249</v>
      </c>
      <c r="S577">
        <v>0.29876527460377861</v>
      </c>
      <c r="T577" t="s">
        <v>250</v>
      </c>
      <c r="U577">
        <v>0.72295184490306452</v>
      </c>
      <c r="V577">
        <v>11448.59347260918</v>
      </c>
      <c r="W577">
        <v>96.951341826723592</v>
      </c>
      <c r="X577" t="s">
        <v>111</v>
      </c>
      <c r="Y577">
        <v>20</v>
      </c>
      <c r="Z577">
        <v>0.44</v>
      </c>
      <c r="AA577">
        <v>31.536000000000001</v>
      </c>
    </row>
    <row r="578" spans="1:27" hidden="1" x14ac:dyDescent="0.25">
      <c r="A578" t="s">
        <v>98</v>
      </c>
      <c r="B578" t="s">
        <v>849</v>
      </c>
      <c r="D578" t="s">
        <v>100</v>
      </c>
      <c r="E578" t="s">
        <v>243</v>
      </c>
      <c r="F578" t="s">
        <v>267</v>
      </c>
      <c r="G578" t="s">
        <v>112</v>
      </c>
      <c r="H578" t="s">
        <v>104</v>
      </c>
      <c r="I578">
        <v>2040</v>
      </c>
      <c r="J578" t="s">
        <v>278</v>
      </c>
      <c r="K578" t="s">
        <v>106</v>
      </c>
      <c r="L578" t="s">
        <v>907</v>
      </c>
      <c r="M578" t="s">
        <v>922</v>
      </c>
      <c r="N578">
        <v>1</v>
      </c>
      <c r="O578">
        <v>2040</v>
      </c>
      <c r="P578">
        <v>8151.6394802345676</v>
      </c>
      <c r="Q578">
        <v>68.755259026523561</v>
      </c>
      <c r="R578" t="s">
        <v>249</v>
      </c>
      <c r="S578">
        <v>0.31450011460924421</v>
      </c>
      <c r="T578" t="s">
        <v>250</v>
      </c>
      <c r="U578">
        <v>0.76102699144173802</v>
      </c>
      <c r="V578">
        <v>11494.57360623949</v>
      </c>
      <c r="W578">
        <v>96.951341826723578</v>
      </c>
      <c r="X578" t="s">
        <v>111</v>
      </c>
      <c r="Y578">
        <v>20</v>
      </c>
      <c r="Z578">
        <v>0.44</v>
      </c>
      <c r="AA578">
        <v>31.536000000000001</v>
      </c>
    </row>
    <row r="579" spans="1:27" hidden="1" x14ac:dyDescent="0.25">
      <c r="A579" t="s">
        <v>98</v>
      </c>
      <c r="B579" t="s">
        <v>849</v>
      </c>
      <c r="D579" t="s">
        <v>100</v>
      </c>
      <c r="E579" t="s">
        <v>243</v>
      </c>
      <c r="F579" t="s">
        <v>267</v>
      </c>
      <c r="G579" t="s">
        <v>103</v>
      </c>
      <c r="H579" t="s">
        <v>104</v>
      </c>
      <c r="I579">
        <v>2050</v>
      </c>
      <c r="J579" t="s">
        <v>280</v>
      </c>
      <c r="K579" t="s">
        <v>106</v>
      </c>
      <c r="L579" t="s">
        <v>907</v>
      </c>
      <c r="M579" t="s">
        <v>923</v>
      </c>
      <c r="N579">
        <v>1</v>
      </c>
      <c r="O579">
        <v>2050</v>
      </c>
      <c r="P579">
        <v>8119.0316179991396</v>
      </c>
      <c r="Q579">
        <v>68.755259026523561</v>
      </c>
      <c r="R579" t="s">
        <v>249</v>
      </c>
      <c r="S579">
        <v>0.29876527460377861</v>
      </c>
      <c r="T579" t="s">
        <v>250</v>
      </c>
      <c r="U579">
        <v>0.72295184490306452</v>
      </c>
      <c r="V579">
        <v>11448.59347260918</v>
      </c>
      <c r="W579">
        <v>96.951341826723592</v>
      </c>
      <c r="X579" t="s">
        <v>111</v>
      </c>
      <c r="Y579">
        <v>20</v>
      </c>
      <c r="Z579">
        <v>0.44</v>
      </c>
      <c r="AA579">
        <v>31.536000000000001</v>
      </c>
    </row>
    <row r="580" spans="1:27" hidden="1" x14ac:dyDescent="0.25">
      <c r="A580" t="s">
        <v>98</v>
      </c>
      <c r="B580" t="s">
        <v>849</v>
      </c>
      <c r="D580" t="s">
        <v>100</v>
      </c>
      <c r="E580" t="s">
        <v>243</v>
      </c>
      <c r="F580" t="s">
        <v>267</v>
      </c>
      <c r="G580" t="s">
        <v>112</v>
      </c>
      <c r="H580" t="s">
        <v>104</v>
      </c>
      <c r="I580">
        <v>2050</v>
      </c>
      <c r="J580" t="s">
        <v>282</v>
      </c>
      <c r="K580" t="s">
        <v>106</v>
      </c>
      <c r="L580" t="s">
        <v>907</v>
      </c>
      <c r="M580" t="s">
        <v>924</v>
      </c>
      <c r="N580">
        <v>1</v>
      </c>
      <c r="O580">
        <v>2050</v>
      </c>
      <c r="P580">
        <v>8151.6394802345676</v>
      </c>
      <c r="Q580">
        <v>68.755259026523561</v>
      </c>
      <c r="R580" t="s">
        <v>249</v>
      </c>
      <c r="S580">
        <v>0.31450011460924421</v>
      </c>
      <c r="T580" t="s">
        <v>250</v>
      </c>
      <c r="U580">
        <v>0.76102699144173802</v>
      </c>
      <c r="V580">
        <v>11494.57360623949</v>
      </c>
      <c r="W580">
        <v>96.951341826723578</v>
      </c>
      <c r="X580" t="s">
        <v>111</v>
      </c>
      <c r="Y580">
        <v>20</v>
      </c>
      <c r="Z580">
        <v>0.44</v>
      </c>
      <c r="AA580">
        <v>31.536000000000001</v>
      </c>
    </row>
    <row r="581" spans="1:27" hidden="1" x14ac:dyDescent="0.25">
      <c r="A581" t="s">
        <v>98</v>
      </c>
      <c r="B581" t="s">
        <v>849</v>
      </c>
      <c r="D581" t="s">
        <v>100</v>
      </c>
      <c r="E581" t="s">
        <v>284</v>
      </c>
      <c r="F581" t="s">
        <v>285</v>
      </c>
      <c r="G581" t="s">
        <v>103</v>
      </c>
      <c r="H581" t="s">
        <v>104</v>
      </c>
      <c r="I581">
        <v>2022</v>
      </c>
      <c r="J581" t="s">
        <v>286</v>
      </c>
      <c r="K581" t="s">
        <v>106</v>
      </c>
      <c r="L581" t="s">
        <v>925</v>
      </c>
      <c r="M581" t="s">
        <v>926</v>
      </c>
      <c r="N581">
        <v>1</v>
      </c>
      <c r="O581">
        <v>2020</v>
      </c>
      <c r="P581">
        <v>100.10336678844671</v>
      </c>
      <c r="Q581">
        <v>36.612504973710713</v>
      </c>
      <c r="R581" t="s">
        <v>289</v>
      </c>
      <c r="S581">
        <v>15.58191798941797</v>
      </c>
      <c r="T581" t="s">
        <v>290</v>
      </c>
      <c r="U581">
        <v>15.58191798941797</v>
      </c>
      <c r="V581">
        <v>100.10336678844671</v>
      </c>
      <c r="W581">
        <v>36.612504973710713</v>
      </c>
      <c r="X581" t="s">
        <v>291</v>
      </c>
      <c r="Y581">
        <v>10</v>
      </c>
      <c r="Z581">
        <v>0.24729609702719399</v>
      </c>
      <c r="AA581">
        <v>1</v>
      </c>
    </row>
    <row r="582" spans="1:27" hidden="1" x14ac:dyDescent="0.25">
      <c r="A582" t="s">
        <v>98</v>
      </c>
      <c r="B582" t="s">
        <v>849</v>
      </c>
      <c r="D582" t="s">
        <v>100</v>
      </c>
      <c r="E582" t="s">
        <v>284</v>
      </c>
      <c r="F582" t="s">
        <v>292</v>
      </c>
      <c r="G582" t="s">
        <v>103</v>
      </c>
      <c r="H582" t="s">
        <v>104</v>
      </c>
      <c r="I582">
        <v>2022</v>
      </c>
      <c r="J582" t="s">
        <v>293</v>
      </c>
      <c r="K582" t="s">
        <v>106</v>
      </c>
      <c r="L582" t="s">
        <v>925</v>
      </c>
      <c r="M582" t="s">
        <v>927</v>
      </c>
      <c r="N582">
        <v>1</v>
      </c>
      <c r="O582">
        <v>2020</v>
      </c>
      <c r="P582">
        <v>99.46253669701926</v>
      </c>
      <c r="Q582">
        <v>6.0605044913603194</v>
      </c>
      <c r="R582" t="s">
        <v>289</v>
      </c>
      <c r="S582">
        <v>42.005691056910557</v>
      </c>
      <c r="T582" t="s">
        <v>290</v>
      </c>
      <c r="U582">
        <v>42.005691056910557</v>
      </c>
      <c r="V582">
        <v>99.46253669701926</v>
      </c>
      <c r="W582">
        <v>6.0605044913603194</v>
      </c>
      <c r="X582" t="s">
        <v>291</v>
      </c>
      <c r="Y582">
        <v>10</v>
      </c>
      <c r="Z582">
        <v>0.24729609702719399</v>
      </c>
      <c r="AA582">
        <v>1</v>
      </c>
    </row>
    <row r="583" spans="1:27" hidden="1" x14ac:dyDescent="0.25">
      <c r="A583" t="s">
        <v>98</v>
      </c>
      <c r="B583" t="s">
        <v>849</v>
      </c>
      <c r="D583" t="s">
        <v>100</v>
      </c>
      <c r="E583" t="s">
        <v>284</v>
      </c>
      <c r="F583" t="s">
        <v>292</v>
      </c>
      <c r="G583" t="s">
        <v>112</v>
      </c>
      <c r="H583" t="s">
        <v>104</v>
      </c>
      <c r="I583">
        <v>2022</v>
      </c>
      <c r="J583" t="s">
        <v>295</v>
      </c>
      <c r="K583" t="s">
        <v>106</v>
      </c>
      <c r="L583" t="s">
        <v>925</v>
      </c>
      <c r="M583" t="s">
        <v>928</v>
      </c>
      <c r="N583">
        <v>1</v>
      </c>
      <c r="O583">
        <v>2020</v>
      </c>
      <c r="P583">
        <v>92.517129414925563</v>
      </c>
      <c r="Q583">
        <v>5.9256499638890956</v>
      </c>
      <c r="R583" t="s">
        <v>289</v>
      </c>
      <c r="S583">
        <v>43.051923076923067</v>
      </c>
      <c r="T583" t="s">
        <v>290</v>
      </c>
      <c r="U583">
        <v>43.051923076923067</v>
      </c>
      <c r="V583">
        <v>92.517129414925563</v>
      </c>
      <c r="W583">
        <v>5.9256499638890956</v>
      </c>
      <c r="X583" t="s">
        <v>291</v>
      </c>
      <c r="Y583">
        <v>10</v>
      </c>
      <c r="Z583">
        <v>0.24729609702719399</v>
      </c>
      <c r="AA583">
        <v>1</v>
      </c>
    </row>
    <row r="584" spans="1:27" hidden="1" x14ac:dyDescent="0.25">
      <c r="A584" t="s">
        <v>98</v>
      </c>
      <c r="B584" t="s">
        <v>849</v>
      </c>
      <c r="D584" t="s">
        <v>100</v>
      </c>
      <c r="E584" t="s">
        <v>284</v>
      </c>
      <c r="F584" t="s">
        <v>297</v>
      </c>
      <c r="G584" t="s">
        <v>103</v>
      </c>
      <c r="H584" t="s">
        <v>104</v>
      </c>
      <c r="I584">
        <v>2022</v>
      </c>
      <c r="J584" t="s">
        <v>298</v>
      </c>
      <c r="K584" t="s">
        <v>106</v>
      </c>
      <c r="L584" t="s">
        <v>925</v>
      </c>
      <c r="M584" t="s">
        <v>929</v>
      </c>
      <c r="N584">
        <v>1</v>
      </c>
      <c r="O584">
        <v>2020</v>
      </c>
      <c r="P584">
        <v>94.526951376087595</v>
      </c>
      <c r="Q584">
        <v>3.949349451558744</v>
      </c>
      <c r="R584" t="s">
        <v>289</v>
      </c>
      <c r="S584">
        <v>76.146700507614213</v>
      </c>
      <c r="T584" t="s">
        <v>290</v>
      </c>
      <c r="U584">
        <v>76.146700507614213</v>
      </c>
      <c r="V584">
        <v>94.526951376087595</v>
      </c>
      <c r="W584">
        <v>3.949349451558744</v>
      </c>
      <c r="X584" t="s">
        <v>291</v>
      </c>
      <c r="Y584">
        <v>10</v>
      </c>
      <c r="Z584">
        <v>0.24729609702719399</v>
      </c>
      <c r="AA584">
        <v>1</v>
      </c>
    </row>
    <row r="585" spans="1:27" hidden="1" x14ac:dyDescent="0.25">
      <c r="A585" t="s">
        <v>98</v>
      </c>
      <c r="B585" t="s">
        <v>849</v>
      </c>
      <c r="D585" t="s">
        <v>100</v>
      </c>
      <c r="E585" t="s">
        <v>284</v>
      </c>
      <c r="F585" t="s">
        <v>297</v>
      </c>
      <c r="G585" t="s">
        <v>112</v>
      </c>
      <c r="H585" t="s">
        <v>104</v>
      </c>
      <c r="I585">
        <v>2022</v>
      </c>
      <c r="J585" t="s">
        <v>300</v>
      </c>
      <c r="K585" t="s">
        <v>106</v>
      </c>
      <c r="L585" t="s">
        <v>925</v>
      </c>
      <c r="M585" t="s">
        <v>930</v>
      </c>
      <c r="N585">
        <v>1</v>
      </c>
      <c r="O585">
        <v>2020</v>
      </c>
      <c r="P585">
        <v>69.765067810793198</v>
      </c>
      <c r="Q585">
        <v>2.516631606553434</v>
      </c>
      <c r="R585" t="s">
        <v>289</v>
      </c>
      <c r="S585">
        <v>93</v>
      </c>
      <c r="T585" t="s">
        <v>290</v>
      </c>
      <c r="U585">
        <v>93</v>
      </c>
      <c r="V585">
        <v>69.765067810793198</v>
      </c>
      <c r="W585">
        <v>2.516631606553434</v>
      </c>
      <c r="X585" t="s">
        <v>291</v>
      </c>
      <c r="Y585">
        <v>10</v>
      </c>
      <c r="Z585">
        <v>0.24729609702719399</v>
      </c>
      <c r="AA585">
        <v>1</v>
      </c>
    </row>
    <row r="586" spans="1:27" hidden="1" x14ac:dyDescent="0.25">
      <c r="A586" t="s">
        <v>98</v>
      </c>
      <c r="B586" t="s">
        <v>849</v>
      </c>
      <c r="D586" t="s">
        <v>100</v>
      </c>
      <c r="E586" t="s">
        <v>284</v>
      </c>
      <c r="F586" t="s">
        <v>302</v>
      </c>
      <c r="G586" t="s">
        <v>103</v>
      </c>
      <c r="H586" t="s">
        <v>104</v>
      </c>
      <c r="I586">
        <v>2022</v>
      </c>
      <c r="J586" t="s">
        <v>303</v>
      </c>
      <c r="K586" t="s">
        <v>106</v>
      </c>
      <c r="L586" t="s">
        <v>925</v>
      </c>
      <c r="M586" t="s">
        <v>931</v>
      </c>
      <c r="N586">
        <v>1</v>
      </c>
      <c r="O586">
        <v>2020</v>
      </c>
      <c r="P586">
        <v>105.7930490817716</v>
      </c>
      <c r="Q586">
        <v>3.355492309527206</v>
      </c>
      <c r="R586" t="s">
        <v>289</v>
      </c>
      <c r="S586">
        <v>64.669172932330824</v>
      </c>
      <c r="T586" t="s">
        <v>290</v>
      </c>
      <c r="U586">
        <v>64.669172932330824</v>
      </c>
      <c r="V586">
        <v>105.7930490817716</v>
      </c>
      <c r="W586">
        <v>3.355492309527206</v>
      </c>
      <c r="X586" t="s">
        <v>291</v>
      </c>
      <c r="Y586">
        <v>10</v>
      </c>
      <c r="Z586">
        <v>0.24729609702719399</v>
      </c>
      <c r="AA586">
        <v>1</v>
      </c>
    </row>
    <row r="587" spans="1:27" hidden="1" x14ac:dyDescent="0.25">
      <c r="A587" t="s">
        <v>98</v>
      </c>
      <c r="B587" t="s">
        <v>849</v>
      </c>
      <c r="D587" t="s">
        <v>100</v>
      </c>
      <c r="E587" t="s">
        <v>284</v>
      </c>
      <c r="F587" t="s">
        <v>302</v>
      </c>
      <c r="G587" t="s">
        <v>112</v>
      </c>
      <c r="H587" t="s">
        <v>104</v>
      </c>
      <c r="I587">
        <v>2022</v>
      </c>
      <c r="J587" t="s">
        <v>305</v>
      </c>
      <c r="K587" t="s">
        <v>106</v>
      </c>
      <c r="L587" t="s">
        <v>925</v>
      </c>
      <c r="M587" t="s">
        <v>932</v>
      </c>
      <c r="N587">
        <v>1</v>
      </c>
      <c r="O587">
        <v>2020</v>
      </c>
      <c r="P587">
        <v>99.614212714858894</v>
      </c>
      <c r="Q587">
        <v>1.4361600838792941</v>
      </c>
      <c r="R587" t="s">
        <v>289</v>
      </c>
      <c r="S587">
        <v>75.07692307692308</v>
      </c>
      <c r="T587" t="s">
        <v>290</v>
      </c>
      <c r="U587">
        <v>75.07692307692308</v>
      </c>
      <c r="V587">
        <v>99.614212714858894</v>
      </c>
      <c r="W587">
        <v>1.4361600838792941</v>
      </c>
      <c r="X587" t="s">
        <v>291</v>
      </c>
      <c r="Y587">
        <v>10</v>
      </c>
      <c r="Z587">
        <v>0.24729609702719399</v>
      </c>
      <c r="AA587">
        <v>1</v>
      </c>
    </row>
    <row r="588" spans="1:27" hidden="1" x14ac:dyDescent="0.25">
      <c r="A588" t="s">
        <v>98</v>
      </c>
      <c r="B588" t="s">
        <v>849</v>
      </c>
      <c r="D588" t="s">
        <v>100</v>
      </c>
      <c r="E588" t="s">
        <v>284</v>
      </c>
      <c r="F588" t="s">
        <v>297</v>
      </c>
      <c r="G588" t="s">
        <v>103</v>
      </c>
      <c r="H588" t="s">
        <v>104</v>
      </c>
      <c r="I588">
        <v>2023</v>
      </c>
      <c r="J588" t="s">
        <v>307</v>
      </c>
      <c r="K588" t="s">
        <v>106</v>
      </c>
      <c r="L588" t="s">
        <v>925</v>
      </c>
      <c r="M588" t="s">
        <v>933</v>
      </c>
      <c r="N588">
        <v>1</v>
      </c>
      <c r="O588">
        <v>2023</v>
      </c>
      <c r="P588">
        <v>94.526951376087595</v>
      </c>
      <c r="Q588">
        <v>3.949349451558744</v>
      </c>
      <c r="R588" t="s">
        <v>289</v>
      </c>
      <c r="S588">
        <v>76.146700507614213</v>
      </c>
      <c r="T588" t="s">
        <v>290</v>
      </c>
      <c r="U588">
        <v>76.146700507614213</v>
      </c>
      <c r="V588">
        <v>94.526951376087595</v>
      </c>
      <c r="W588">
        <v>3.949349451558744</v>
      </c>
      <c r="X588" t="s">
        <v>291</v>
      </c>
      <c r="Y588">
        <v>10</v>
      </c>
      <c r="Z588">
        <v>0.24729609702719399</v>
      </c>
      <c r="AA588">
        <v>1</v>
      </c>
    </row>
    <row r="589" spans="1:27" hidden="1" x14ac:dyDescent="0.25">
      <c r="A589" t="s">
        <v>98</v>
      </c>
      <c r="B589" t="s">
        <v>849</v>
      </c>
      <c r="D589" t="s">
        <v>100</v>
      </c>
      <c r="E589" t="s">
        <v>284</v>
      </c>
      <c r="F589" t="s">
        <v>297</v>
      </c>
      <c r="G589" t="s">
        <v>112</v>
      </c>
      <c r="H589" t="s">
        <v>104</v>
      </c>
      <c r="I589">
        <v>2023</v>
      </c>
      <c r="J589" t="s">
        <v>309</v>
      </c>
      <c r="K589" t="s">
        <v>106</v>
      </c>
      <c r="L589" t="s">
        <v>925</v>
      </c>
      <c r="M589" t="s">
        <v>934</v>
      </c>
      <c r="N589">
        <v>1</v>
      </c>
      <c r="O589">
        <v>2023</v>
      </c>
      <c r="P589">
        <v>69.765067810793198</v>
      </c>
      <c r="Q589">
        <v>2.516631606553434</v>
      </c>
      <c r="R589" t="s">
        <v>289</v>
      </c>
      <c r="S589">
        <v>93</v>
      </c>
      <c r="T589" t="s">
        <v>290</v>
      </c>
      <c r="U589">
        <v>93</v>
      </c>
      <c r="V589">
        <v>69.765067810793198</v>
      </c>
      <c r="W589">
        <v>2.516631606553434</v>
      </c>
      <c r="X589" t="s">
        <v>291</v>
      </c>
      <c r="Y589">
        <v>10</v>
      </c>
      <c r="Z589">
        <v>0.24729609702719399</v>
      </c>
      <c r="AA589">
        <v>1</v>
      </c>
    </row>
    <row r="590" spans="1:27" hidden="1" x14ac:dyDescent="0.25">
      <c r="A590" t="s">
        <v>98</v>
      </c>
      <c r="B590" t="s">
        <v>849</v>
      </c>
      <c r="D590" t="s">
        <v>100</v>
      </c>
      <c r="E590" t="s">
        <v>284</v>
      </c>
      <c r="F590" t="s">
        <v>302</v>
      </c>
      <c r="G590" t="s">
        <v>103</v>
      </c>
      <c r="H590" t="s">
        <v>104</v>
      </c>
      <c r="I590">
        <v>2023</v>
      </c>
      <c r="J590" t="s">
        <v>311</v>
      </c>
      <c r="K590" t="s">
        <v>106</v>
      </c>
      <c r="L590" t="s">
        <v>925</v>
      </c>
      <c r="M590" t="s">
        <v>935</v>
      </c>
      <c r="N590">
        <v>1</v>
      </c>
      <c r="O590">
        <v>2023</v>
      </c>
      <c r="P590">
        <v>105.7930490817716</v>
      </c>
      <c r="Q590">
        <v>3.355492309527206</v>
      </c>
      <c r="R590" t="s">
        <v>289</v>
      </c>
      <c r="S590">
        <v>64.669172932330824</v>
      </c>
      <c r="T590" t="s">
        <v>290</v>
      </c>
      <c r="U590">
        <v>64.669172932330824</v>
      </c>
      <c r="V590">
        <v>105.7930490817716</v>
      </c>
      <c r="W590">
        <v>3.355492309527206</v>
      </c>
      <c r="X590" t="s">
        <v>291</v>
      </c>
      <c r="Y590">
        <v>10</v>
      </c>
      <c r="Z590">
        <v>0.24729609702719399</v>
      </c>
      <c r="AA590">
        <v>1</v>
      </c>
    </row>
    <row r="591" spans="1:27" hidden="1" x14ac:dyDescent="0.25">
      <c r="A591" t="s">
        <v>98</v>
      </c>
      <c r="B591" t="s">
        <v>849</v>
      </c>
      <c r="D591" t="s">
        <v>100</v>
      </c>
      <c r="E591" t="s">
        <v>284</v>
      </c>
      <c r="F591" t="s">
        <v>302</v>
      </c>
      <c r="G591" t="s">
        <v>112</v>
      </c>
      <c r="H591" t="s">
        <v>104</v>
      </c>
      <c r="I591">
        <v>2023</v>
      </c>
      <c r="J591" t="s">
        <v>313</v>
      </c>
      <c r="K591" t="s">
        <v>106</v>
      </c>
      <c r="L591" t="s">
        <v>925</v>
      </c>
      <c r="M591" t="s">
        <v>936</v>
      </c>
      <c r="N591">
        <v>1</v>
      </c>
      <c r="O591">
        <v>2023</v>
      </c>
      <c r="P591">
        <v>99.614212714858894</v>
      </c>
      <c r="Q591">
        <v>1.4361600838792941</v>
      </c>
      <c r="R591" t="s">
        <v>289</v>
      </c>
      <c r="S591">
        <v>75.07692307692308</v>
      </c>
      <c r="T591" t="s">
        <v>290</v>
      </c>
      <c r="U591">
        <v>75.07692307692308</v>
      </c>
      <c r="V591">
        <v>99.614212714858894</v>
      </c>
      <c r="W591">
        <v>1.4361600838792941</v>
      </c>
      <c r="X591" t="s">
        <v>291</v>
      </c>
      <c r="Y591">
        <v>10</v>
      </c>
      <c r="Z591">
        <v>0.24729609702719399</v>
      </c>
      <c r="AA591">
        <v>1</v>
      </c>
    </row>
    <row r="592" spans="1:27" hidden="1" x14ac:dyDescent="0.25">
      <c r="A592" t="s">
        <v>98</v>
      </c>
      <c r="B592" t="s">
        <v>849</v>
      </c>
      <c r="D592" t="s">
        <v>100</v>
      </c>
      <c r="E592" t="s">
        <v>284</v>
      </c>
      <c r="F592" t="s">
        <v>297</v>
      </c>
      <c r="G592" t="s">
        <v>103</v>
      </c>
      <c r="H592" t="s">
        <v>104</v>
      </c>
      <c r="I592">
        <v>2024</v>
      </c>
      <c r="J592" t="s">
        <v>315</v>
      </c>
      <c r="K592" t="s">
        <v>106</v>
      </c>
      <c r="L592" t="s">
        <v>925</v>
      </c>
      <c r="M592" t="s">
        <v>937</v>
      </c>
      <c r="N592">
        <v>1</v>
      </c>
      <c r="O592">
        <v>2024</v>
      </c>
      <c r="P592">
        <v>94.526951376087595</v>
      </c>
      <c r="Q592">
        <v>3.949349451558744</v>
      </c>
      <c r="R592" t="s">
        <v>289</v>
      </c>
      <c r="S592">
        <v>76.146700507614213</v>
      </c>
      <c r="T592" t="s">
        <v>290</v>
      </c>
      <c r="U592">
        <v>76.146700507614213</v>
      </c>
      <c r="V592">
        <v>94.526951376087595</v>
      </c>
      <c r="W592">
        <v>3.949349451558744</v>
      </c>
      <c r="X592" t="s">
        <v>291</v>
      </c>
      <c r="Y592">
        <v>10</v>
      </c>
      <c r="Z592">
        <v>0.24729609702719399</v>
      </c>
      <c r="AA592">
        <v>1</v>
      </c>
    </row>
    <row r="593" spans="1:27" hidden="1" x14ac:dyDescent="0.25">
      <c r="A593" t="s">
        <v>98</v>
      </c>
      <c r="B593" t="s">
        <v>849</v>
      </c>
      <c r="D593" t="s">
        <v>100</v>
      </c>
      <c r="E593" t="s">
        <v>284</v>
      </c>
      <c r="F593" t="s">
        <v>297</v>
      </c>
      <c r="G593" t="s">
        <v>112</v>
      </c>
      <c r="H593" t="s">
        <v>104</v>
      </c>
      <c r="I593">
        <v>2024</v>
      </c>
      <c r="J593" t="s">
        <v>317</v>
      </c>
      <c r="K593" t="s">
        <v>106</v>
      </c>
      <c r="L593" t="s">
        <v>925</v>
      </c>
      <c r="M593" t="s">
        <v>938</v>
      </c>
      <c r="N593">
        <v>1</v>
      </c>
      <c r="O593">
        <v>2024</v>
      </c>
      <c r="P593">
        <v>69.765067810793198</v>
      </c>
      <c r="Q593">
        <v>2.516631606553434</v>
      </c>
      <c r="R593" t="s">
        <v>289</v>
      </c>
      <c r="S593">
        <v>93</v>
      </c>
      <c r="T593" t="s">
        <v>290</v>
      </c>
      <c r="U593">
        <v>93</v>
      </c>
      <c r="V593">
        <v>69.765067810793198</v>
      </c>
      <c r="W593">
        <v>2.516631606553434</v>
      </c>
      <c r="X593" t="s">
        <v>291</v>
      </c>
      <c r="Y593">
        <v>10</v>
      </c>
      <c r="Z593">
        <v>0.24729609702719399</v>
      </c>
      <c r="AA593">
        <v>1</v>
      </c>
    </row>
    <row r="594" spans="1:27" hidden="1" x14ac:dyDescent="0.25">
      <c r="A594" t="s">
        <v>98</v>
      </c>
      <c r="B594" t="s">
        <v>849</v>
      </c>
      <c r="D594" t="s">
        <v>100</v>
      </c>
      <c r="E594" t="s">
        <v>284</v>
      </c>
      <c r="F594" t="s">
        <v>302</v>
      </c>
      <c r="G594" t="s">
        <v>103</v>
      </c>
      <c r="H594" t="s">
        <v>104</v>
      </c>
      <c r="I594">
        <v>2024</v>
      </c>
      <c r="J594" t="s">
        <v>319</v>
      </c>
      <c r="K594" t="s">
        <v>106</v>
      </c>
      <c r="L594" t="s">
        <v>925</v>
      </c>
      <c r="M594" t="s">
        <v>939</v>
      </c>
      <c r="N594">
        <v>1</v>
      </c>
      <c r="O594">
        <v>2024</v>
      </c>
      <c r="P594">
        <v>105.7930490817716</v>
      </c>
      <c r="Q594">
        <v>3.355492309527206</v>
      </c>
      <c r="R594" t="s">
        <v>289</v>
      </c>
      <c r="S594">
        <v>64.669172932330824</v>
      </c>
      <c r="T594" t="s">
        <v>290</v>
      </c>
      <c r="U594">
        <v>64.669172932330824</v>
      </c>
      <c r="V594">
        <v>105.7930490817716</v>
      </c>
      <c r="W594">
        <v>3.355492309527206</v>
      </c>
      <c r="X594" t="s">
        <v>291</v>
      </c>
      <c r="Y594">
        <v>10</v>
      </c>
      <c r="Z594">
        <v>0.24729609702719399</v>
      </c>
      <c r="AA594">
        <v>1</v>
      </c>
    </row>
    <row r="595" spans="1:27" hidden="1" x14ac:dyDescent="0.25">
      <c r="A595" t="s">
        <v>98</v>
      </c>
      <c r="B595" t="s">
        <v>849</v>
      </c>
      <c r="D595" t="s">
        <v>100</v>
      </c>
      <c r="E595" t="s">
        <v>284</v>
      </c>
      <c r="F595" t="s">
        <v>302</v>
      </c>
      <c r="G595" t="s">
        <v>112</v>
      </c>
      <c r="H595" t="s">
        <v>104</v>
      </c>
      <c r="I595">
        <v>2024</v>
      </c>
      <c r="J595" t="s">
        <v>321</v>
      </c>
      <c r="K595" t="s">
        <v>106</v>
      </c>
      <c r="L595" t="s">
        <v>925</v>
      </c>
      <c r="M595" t="s">
        <v>940</v>
      </c>
      <c r="N595">
        <v>1</v>
      </c>
      <c r="O595">
        <v>2024</v>
      </c>
      <c r="P595">
        <v>99.614212714858894</v>
      </c>
      <c r="Q595">
        <v>1.4361600838792941</v>
      </c>
      <c r="R595" t="s">
        <v>289</v>
      </c>
      <c r="S595">
        <v>75.07692307692308</v>
      </c>
      <c r="T595" t="s">
        <v>290</v>
      </c>
      <c r="U595">
        <v>75.07692307692308</v>
      </c>
      <c r="V595">
        <v>99.614212714858894</v>
      </c>
      <c r="W595">
        <v>1.4361600838792941</v>
      </c>
      <c r="X595" t="s">
        <v>291</v>
      </c>
      <c r="Y595">
        <v>10</v>
      </c>
      <c r="Z595">
        <v>0.24729609702719399</v>
      </c>
      <c r="AA595">
        <v>1</v>
      </c>
    </row>
    <row r="596" spans="1:27" hidden="1" x14ac:dyDescent="0.25">
      <c r="A596" t="s">
        <v>98</v>
      </c>
      <c r="B596" t="s">
        <v>849</v>
      </c>
      <c r="D596" t="s">
        <v>100</v>
      </c>
      <c r="E596" t="s">
        <v>284</v>
      </c>
      <c r="F596" t="s">
        <v>297</v>
      </c>
      <c r="G596" t="s">
        <v>103</v>
      </c>
      <c r="H596" t="s">
        <v>104</v>
      </c>
      <c r="I596">
        <v>2025</v>
      </c>
      <c r="J596" t="s">
        <v>323</v>
      </c>
      <c r="K596" t="s">
        <v>106</v>
      </c>
      <c r="L596" t="s">
        <v>925</v>
      </c>
      <c r="M596" t="s">
        <v>941</v>
      </c>
      <c r="N596">
        <v>1</v>
      </c>
      <c r="O596">
        <v>2025</v>
      </c>
      <c r="P596">
        <v>94.526951376087595</v>
      </c>
      <c r="Q596">
        <v>3.949349451558744</v>
      </c>
      <c r="R596" t="s">
        <v>289</v>
      </c>
      <c r="S596">
        <v>76.146700507614213</v>
      </c>
      <c r="T596" t="s">
        <v>290</v>
      </c>
      <c r="U596">
        <v>76.146700507614213</v>
      </c>
      <c r="V596">
        <v>94.526951376087595</v>
      </c>
      <c r="W596">
        <v>3.949349451558744</v>
      </c>
      <c r="X596" t="s">
        <v>291</v>
      </c>
      <c r="Y596">
        <v>10</v>
      </c>
      <c r="Z596">
        <v>0.24729609702719399</v>
      </c>
      <c r="AA596">
        <v>1</v>
      </c>
    </row>
    <row r="597" spans="1:27" hidden="1" x14ac:dyDescent="0.25">
      <c r="A597" t="s">
        <v>98</v>
      </c>
      <c r="B597" t="s">
        <v>849</v>
      </c>
      <c r="D597" t="s">
        <v>100</v>
      </c>
      <c r="E597" t="s">
        <v>284</v>
      </c>
      <c r="F597" t="s">
        <v>297</v>
      </c>
      <c r="G597" t="s">
        <v>112</v>
      </c>
      <c r="H597" t="s">
        <v>104</v>
      </c>
      <c r="I597">
        <v>2025</v>
      </c>
      <c r="J597" t="s">
        <v>325</v>
      </c>
      <c r="K597" t="s">
        <v>106</v>
      </c>
      <c r="L597" t="s">
        <v>925</v>
      </c>
      <c r="M597" t="s">
        <v>942</v>
      </c>
      <c r="N597">
        <v>1</v>
      </c>
      <c r="O597">
        <v>2025</v>
      </c>
      <c r="P597">
        <v>69.765067810793198</v>
      </c>
      <c r="Q597">
        <v>2.516631606553434</v>
      </c>
      <c r="R597" t="s">
        <v>289</v>
      </c>
      <c r="S597">
        <v>93</v>
      </c>
      <c r="T597" t="s">
        <v>290</v>
      </c>
      <c r="U597">
        <v>93</v>
      </c>
      <c r="V597">
        <v>69.765067810793198</v>
      </c>
      <c r="W597">
        <v>2.516631606553434</v>
      </c>
      <c r="X597" t="s">
        <v>291</v>
      </c>
      <c r="Y597">
        <v>10</v>
      </c>
      <c r="Z597">
        <v>0.24729609702719399</v>
      </c>
      <c r="AA597">
        <v>1</v>
      </c>
    </row>
    <row r="598" spans="1:27" hidden="1" x14ac:dyDescent="0.25">
      <c r="A598" t="s">
        <v>98</v>
      </c>
      <c r="B598" t="s">
        <v>849</v>
      </c>
      <c r="D598" t="s">
        <v>100</v>
      </c>
      <c r="E598" t="s">
        <v>284</v>
      </c>
      <c r="F598" t="s">
        <v>302</v>
      </c>
      <c r="G598" t="s">
        <v>103</v>
      </c>
      <c r="H598" t="s">
        <v>104</v>
      </c>
      <c r="I598">
        <v>2025</v>
      </c>
      <c r="J598" t="s">
        <v>327</v>
      </c>
      <c r="K598" t="s">
        <v>106</v>
      </c>
      <c r="L598" t="s">
        <v>925</v>
      </c>
      <c r="M598" t="s">
        <v>943</v>
      </c>
      <c r="N598">
        <v>1</v>
      </c>
      <c r="O598">
        <v>2025</v>
      </c>
      <c r="P598">
        <v>105.7930490817716</v>
      </c>
      <c r="Q598">
        <v>3.355492309527206</v>
      </c>
      <c r="R598" t="s">
        <v>289</v>
      </c>
      <c r="S598">
        <v>64.669172932330824</v>
      </c>
      <c r="T598" t="s">
        <v>290</v>
      </c>
      <c r="U598">
        <v>64.669172932330824</v>
      </c>
      <c r="V598">
        <v>105.7930490817716</v>
      </c>
      <c r="W598">
        <v>3.355492309527206</v>
      </c>
      <c r="X598" t="s">
        <v>291</v>
      </c>
      <c r="Y598">
        <v>10</v>
      </c>
      <c r="Z598">
        <v>0.24729609702719399</v>
      </c>
      <c r="AA598">
        <v>1</v>
      </c>
    </row>
    <row r="599" spans="1:27" hidden="1" x14ac:dyDescent="0.25">
      <c r="A599" t="s">
        <v>98</v>
      </c>
      <c r="B599" t="s">
        <v>849</v>
      </c>
      <c r="D599" t="s">
        <v>100</v>
      </c>
      <c r="E599" t="s">
        <v>284</v>
      </c>
      <c r="F599" t="s">
        <v>302</v>
      </c>
      <c r="G599" t="s">
        <v>112</v>
      </c>
      <c r="H599" t="s">
        <v>104</v>
      </c>
      <c r="I599">
        <v>2025</v>
      </c>
      <c r="J599" t="s">
        <v>329</v>
      </c>
      <c r="K599" t="s">
        <v>106</v>
      </c>
      <c r="L599" t="s">
        <v>925</v>
      </c>
      <c r="M599" t="s">
        <v>944</v>
      </c>
      <c r="N599">
        <v>1</v>
      </c>
      <c r="O599">
        <v>2025</v>
      </c>
      <c r="P599">
        <v>99.614212714858894</v>
      </c>
      <c r="Q599">
        <v>1.4361600838792941</v>
      </c>
      <c r="R599" t="s">
        <v>289</v>
      </c>
      <c r="S599">
        <v>75.07692307692308</v>
      </c>
      <c r="T599" t="s">
        <v>290</v>
      </c>
      <c r="U599">
        <v>75.07692307692308</v>
      </c>
      <c r="V599">
        <v>99.614212714858894</v>
      </c>
      <c r="W599">
        <v>1.4361600838792941</v>
      </c>
      <c r="X599" t="s">
        <v>291</v>
      </c>
      <c r="Y599">
        <v>10</v>
      </c>
      <c r="Z599">
        <v>0.24729609702719399</v>
      </c>
      <c r="AA599">
        <v>1</v>
      </c>
    </row>
    <row r="600" spans="1:27" hidden="1" x14ac:dyDescent="0.25">
      <c r="A600" t="s">
        <v>98</v>
      </c>
      <c r="B600" t="s">
        <v>849</v>
      </c>
      <c r="D600" t="s">
        <v>100</v>
      </c>
      <c r="E600" t="s">
        <v>284</v>
      </c>
      <c r="F600" t="s">
        <v>297</v>
      </c>
      <c r="G600" t="s">
        <v>103</v>
      </c>
      <c r="H600" t="s">
        <v>104</v>
      </c>
      <c r="I600">
        <v>2026</v>
      </c>
      <c r="J600" t="s">
        <v>331</v>
      </c>
      <c r="K600" t="s">
        <v>106</v>
      </c>
      <c r="L600" t="s">
        <v>925</v>
      </c>
      <c r="M600" t="s">
        <v>945</v>
      </c>
      <c r="N600">
        <v>1</v>
      </c>
      <c r="O600">
        <v>2026</v>
      </c>
      <c r="P600">
        <v>94.526951376087595</v>
      </c>
      <c r="Q600">
        <v>3.949349451558744</v>
      </c>
      <c r="R600" t="s">
        <v>289</v>
      </c>
      <c r="S600">
        <v>76.146700507614213</v>
      </c>
      <c r="T600" t="s">
        <v>290</v>
      </c>
      <c r="U600">
        <v>76.146700507614213</v>
      </c>
      <c r="V600">
        <v>94.526951376087595</v>
      </c>
      <c r="W600">
        <v>3.949349451558744</v>
      </c>
      <c r="X600" t="s">
        <v>291</v>
      </c>
      <c r="Y600">
        <v>10</v>
      </c>
      <c r="Z600">
        <v>0.24729609702719399</v>
      </c>
      <c r="AA600">
        <v>1</v>
      </c>
    </row>
    <row r="601" spans="1:27" hidden="1" x14ac:dyDescent="0.25">
      <c r="A601" t="s">
        <v>98</v>
      </c>
      <c r="B601" t="s">
        <v>849</v>
      </c>
      <c r="D601" t="s">
        <v>100</v>
      </c>
      <c r="E601" t="s">
        <v>284</v>
      </c>
      <c r="F601" t="s">
        <v>297</v>
      </c>
      <c r="G601" t="s">
        <v>112</v>
      </c>
      <c r="H601" t="s">
        <v>104</v>
      </c>
      <c r="I601">
        <v>2026</v>
      </c>
      <c r="J601" t="s">
        <v>333</v>
      </c>
      <c r="K601" t="s">
        <v>106</v>
      </c>
      <c r="L601" t="s">
        <v>925</v>
      </c>
      <c r="M601" t="s">
        <v>946</v>
      </c>
      <c r="N601">
        <v>1</v>
      </c>
      <c r="O601">
        <v>2026</v>
      </c>
      <c r="P601">
        <v>69.765067810793198</v>
      </c>
      <c r="Q601">
        <v>2.516631606553434</v>
      </c>
      <c r="R601" t="s">
        <v>289</v>
      </c>
      <c r="S601">
        <v>93</v>
      </c>
      <c r="T601" t="s">
        <v>290</v>
      </c>
      <c r="U601">
        <v>93</v>
      </c>
      <c r="V601">
        <v>69.765067810793198</v>
      </c>
      <c r="W601">
        <v>2.516631606553434</v>
      </c>
      <c r="X601" t="s">
        <v>291</v>
      </c>
      <c r="Y601">
        <v>10</v>
      </c>
      <c r="Z601">
        <v>0.24729609702719399</v>
      </c>
      <c r="AA601">
        <v>1</v>
      </c>
    </row>
    <row r="602" spans="1:27" hidden="1" x14ac:dyDescent="0.25">
      <c r="A602" t="s">
        <v>98</v>
      </c>
      <c r="B602" t="s">
        <v>849</v>
      </c>
      <c r="D602" t="s">
        <v>100</v>
      </c>
      <c r="E602" t="s">
        <v>284</v>
      </c>
      <c r="F602" t="s">
        <v>302</v>
      </c>
      <c r="G602" t="s">
        <v>103</v>
      </c>
      <c r="H602" t="s">
        <v>104</v>
      </c>
      <c r="I602">
        <v>2026</v>
      </c>
      <c r="J602" t="s">
        <v>335</v>
      </c>
      <c r="K602" t="s">
        <v>106</v>
      </c>
      <c r="L602" t="s">
        <v>925</v>
      </c>
      <c r="M602" t="s">
        <v>947</v>
      </c>
      <c r="N602">
        <v>1</v>
      </c>
      <c r="O602">
        <v>2026</v>
      </c>
      <c r="P602">
        <v>105.7930490817716</v>
      </c>
      <c r="Q602">
        <v>3.355492309527206</v>
      </c>
      <c r="R602" t="s">
        <v>289</v>
      </c>
      <c r="S602">
        <v>64.669172932330824</v>
      </c>
      <c r="T602" t="s">
        <v>290</v>
      </c>
      <c r="U602">
        <v>64.669172932330824</v>
      </c>
      <c r="V602">
        <v>105.7930490817716</v>
      </c>
      <c r="W602">
        <v>3.355492309527206</v>
      </c>
      <c r="X602" t="s">
        <v>291</v>
      </c>
      <c r="Y602">
        <v>10</v>
      </c>
      <c r="Z602">
        <v>0.24729609702719399</v>
      </c>
      <c r="AA602">
        <v>1</v>
      </c>
    </row>
    <row r="603" spans="1:27" hidden="1" x14ac:dyDescent="0.25">
      <c r="A603" t="s">
        <v>98</v>
      </c>
      <c r="B603" t="s">
        <v>849</v>
      </c>
      <c r="D603" t="s">
        <v>100</v>
      </c>
      <c r="E603" t="s">
        <v>284</v>
      </c>
      <c r="F603" t="s">
        <v>302</v>
      </c>
      <c r="G603" t="s">
        <v>112</v>
      </c>
      <c r="H603" t="s">
        <v>104</v>
      </c>
      <c r="I603">
        <v>2026</v>
      </c>
      <c r="J603" t="s">
        <v>337</v>
      </c>
      <c r="K603" t="s">
        <v>106</v>
      </c>
      <c r="L603" t="s">
        <v>925</v>
      </c>
      <c r="M603" t="s">
        <v>948</v>
      </c>
      <c r="N603">
        <v>1</v>
      </c>
      <c r="O603">
        <v>2026</v>
      </c>
      <c r="P603">
        <v>99.614212714858894</v>
      </c>
      <c r="Q603">
        <v>1.4361600838792941</v>
      </c>
      <c r="R603" t="s">
        <v>289</v>
      </c>
      <c r="S603">
        <v>75.07692307692308</v>
      </c>
      <c r="T603" t="s">
        <v>290</v>
      </c>
      <c r="U603">
        <v>75.07692307692308</v>
      </c>
      <c r="V603">
        <v>99.614212714858894</v>
      </c>
      <c r="W603">
        <v>1.4361600838792941</v>
      </c>
      <c r="X603" t="s">
        <v>291</v>
      </c>
      <c r="Y603">
        <v>10</v>
      </c>
      <c r="Z603">
        <v>0.24729609702719399</v>
      </c>
      <c r="AA603">
        <v>1</v>
      </c>
    </row>
    <row r="604" spans="1:27" hidden="1" x14ac:dyDescent="0.25">
      <c r="A604" t="s">
        <v>98</v>
      </c>
      <c r="B604" t="s">
        <v>849</v>
      </c>
      <c r="D604" t="s">
        <v>100</v>
      </c>
      <c r="E604" t="s">
        <v>284</v>
      </c>
      <c r="F604" t="s">
        <v>292</v>
      </c>
      <c r="G604" t="s">
        <v>103</v>
      </c>
      <c r="H604" t="s">
        <v>104</v>
      </c>
      <c r="I604">
        <v>2030</v>
      </c>
      <c r="J604" t="s">
        <v>339</v>
      </c>
      <c r="K604" t="s">
        <v>106</v>
      </c>
      <c r="L604" t="s">
        <v>925</v>
      </c>
      <c r="M604" t="s">
        <v>949</v>
      </c>
      <c r="N604">
        <v>1</v>
      </c>
      <c r="O604">
        <v>2030</v>
      </c>
      <c r="P604">
        <v>99.96668875570353</v>
      </c>
      <c r="Q604">
        <v>4.9152448223495018</v>
      </c>
      <c r="R604" t="s">
        <v>289</v>
      </c>
      <c r="S604">
        <v>55.211046644573933</v>
      </c>
      <c r="T604" t="s">
        <v>290</v>
      </c>
      <c r="U604">
        <v>55.211046644573933</v>
      </c>
      <c r="V604">
        <v>99.96668875570353</v>
      </c>
      <c r="W604">
        <v>4.9152448223495018</v>
      </c>
      <c r="X604" t="s">
        <v>291</v>
      </c>
      <c r="Y604">
        <v>10</v>
      </c>
      <c r="Z604">
        <v>0.24729609702719399</v>
      </c>
      <c r="AA604">
        <v>1</v>
      </c>
    </row>
    <row r="605" spans="1:27" hidden="1" x14ac:dyDescent="0.25">
      <c r="A605" t="s">
        <v>98</v>
      </c>
      <c r="B605" t="s">
        <v>849</v>
      </c>
      <c r="D605" t="s">
        <v>100</v>
      </c>
      <c r="E605" t="s">
        <v>284</v>
      </c>
      <c r="F605" t="s">
        <v>292</v>
      </c>
      <c r="G605" t="s">
        <v>112</v>
      </c>
      <c r="H605" t="s">
        <v>104</v>
      </c>
      <c r="I605">
        <v>2030</v>
      </c>
      <c r="J605" t="s">
        <v>341</v>
      </c>
      <c r="K605" t="s">
        <v>106</v>
      </c>
      <c r="L605" t="s">
        <v>925</v>
      </c>
      <c r="M605" t="s">
        <v>950</v>
      </c>
      <c r="N605">
        <v>1</v>
      </c>
      <c r="O605">
        <v>2030</v>
      </c>
      <c r="P605">
        <v>93.570390823718384</v>
      </c>
      <c r="Q605">
        <v>4.27625645181514</v>
      </c>
      <c r="R605" t="s">
        <v>289</v>
      </c>
      <c r="S605">
        <v>60.132155797450622</v>
      </c>
      <c r="T605" t="s">
        <v>290</v>
      </c>
      <c r="U605">
        <v>60.132155797450622</v>
      </c>
      <c r="V605">
        <v>93.570390823718384</v>
      </c>
      <c r="W605">
        <v>4.27625645181514</v>
      </c>
      <c r="X605" t="s">
        <v>291</v>
      </c>
      <c r="Y605">
        <v>10</v>
      </c>
      <c r="Z605">
        <v>0.24729609702719399</v>
      </c>
      <c r="AA605">
        <v>1</v>
      </c>
    </row>
    <row r="606" spans="1:27" hidden="1" x14ac:dyDescent="0.25">
      <c r="A606" t="s">
        <v>98</v>
      </c>
      <c r="B606" t="s">
        <v>849</v>
      </c>
      <c r="D606" t="s">
        <v>100</v>
      </c>
      <c r="E606" t="s">
        <v>284</v>
      </c>
      <c r="F606" t="s">
        <v>297</v>
      </c>
      <c r="G606" t="s">
        <v>103</v>
      </c>
      <c r="H606" t="s">
        <v>104</v>
      </c>
      <c r="I606">
        <v>2030</v>
      </c>
      <c r="J606" t="s">
        <v>343</v>
      </c>
      <c r="K606" t="s">
        <v>106</v>
      </c>
      <c r="L606" t="s">
        <v>925</v>
      </c>
      <c r="M606" t="s">
        <v>951</v>
      </c>
      <c r="N606">
        <v>1</v>
      </c>
      <c r="O606">
        <v>2030</v>
      </c>
      <c r="P606">
        <v>112.2464608710101</v>
      </c>
      <c r="Q606">
        <v>3.5870084905918258</v>
      </c>
      <c r="R606" t="s">
        <v>289</v>
      </c>
      <c r="S606">
        <v>89.042769074884546</v>
      </c>
      <c r="T606" t="s">
        <v>290</v>
      </c>
      <c r="U606">
        <v>89.042769074884546</v>
      </c>
      <c r="V606">
        <v>112.2464608710101</v>
      </c>
      <c r="W606">
        <v>3.5870084905918258</v>
      </c>
      <c r="X606" t="s">
        <v>291</v>
      </c>
      <c r="Y606">
        <v>10</v>
      </c>
      <c r="Z606">
        <v>0.24729609702719399</v>
      </c>
      <c r="AA606">
        <v>1</v>
      </c>
    </row>
    <row r="607" spans="1:27" hidden="1" x14ac:dyDescent="0.25">
      <c r="A607" t="s">
        <v>98</v>
      </c>
      <c r="B607" t="s">
        <v>849</v>
      </c>
      <c r="D607" t="s">
        <v>100</v>
      </c>
      <c r="E607" t="s">
        <v>284</v>
      </c>
      <c r="F607" t="s">
        <v>297</v>
      </c>
      <c r="G607" t="s">
        <v>112</v>
      </c>
      <c r="H607" t="s">
        <v>104</v>
      </c>
      <c r="I607">
        <v>2030</v>
      </c>
      <c r="J607" t="s">
        <v>345</v>
      </c>
      <c r="K607" t="s">
        <v>106</v>
      </c>
      <c r="L607" t="s">
        <v>925</v>
      </c>
      <c r="M607" t="s">
        <v>952</v>
      </c>
      <c r="N607">
        <v>1</v>
      </c>
      <c r="O607">
        <v>2030</v>
      </c>
      <c r="P607">
        <v>84.571073913548247</v>
      </c>
      <c r="Q607">
        <v>2.3525336937486059</v>
      </c>
      <c r="R607" t="s">
        <v>289</v>
      </c>
      <c r="S607">
        <v>108.5525423728814</v>
      </c>
      <c r="T607" t="s">
        <v>290</v>
      </c>
      <c r="U607">
        <v>108.5525423728814</v>
      </c>
      <c r="V607">
        <v>84.571073913548247</v>
      </c>
      <c r="W607">
        <v>2.3525336937486059</v>
      </c>
      <c r="X607" t="s">
        <v>291</v>
      </c>
      <c r="Y607">
        <v>10</v>
      </c>
      <c r="Z607">
        <v>0.24729609702719399</v>
      </c>
      <c r="AA607">
        <v>1</v>
      </c>
    </row>
    <row r="608" spans="1:27" hidden="1" x14ac:dyDescent="0.25">
      <c r="A608" t="s">
        <v>98</v>
      </c>
      <c r="B608" t="s">
        <v>849</v>
      </c>
      <c r="D608" t="s">
        <v>100</v>
      </c>
      <c r="E608" t="s">
        <v>284</v>
      </c>
      <c r="F608" t="s">
        <v>292</v>
      </c>
      <c r="G608" t="s">
        <v>103</v>
      </c>
      <c r="H608" t="s">
        <v>104</v>
      </c>
      <c r="I608">
        <v>2040</v>
      </c>
      <c r="J608" t="s">
        <v>347</v>
      </c>
      <c r="K608" t="s">
        <v>106</v>
      </c>
      <c r="L608" t="s">
        <v>925</v>
      </c>
      <c r="M608" t="s">
        <v>953</v>
      </c>
      <c r="N608">
        <v>1</v>
      </c>
      <c r="O608">
        <v>2040</v>
      </c>
      <c r="P608">
        <v>98.335071194105581</v>
      </c>
      <c r="Q608">
        <v>4.7080379086524973</v>
      </c>
      <c r="R608" t="s">
        <v>289</v>
      </c>
      <c r="S608">
        <v>63.829339223058007</v>
      </c>
      <c r="T608" t="s">
        <v>290</v>
      </c>
      <c r="U608">
        <v>63.829339223058007</v>
      </c>
      <c r="V608">
        <v>98.335071194105581</v>
      </c>
      <c r="W608">
        <v>4.7080379086524973</v>
      </c>
      <c r="X608" t="s">
        <v>291</v>
      </c>
      <c r="Y608">
        <v>10</v>
      </c>
      <c r="Z608">
        <v>0.24729609702719399</v>
      </c>
      <c r="AA608">
        <v>1</v>
      </c>
    </row>
    <row r="609" spans="1:27" hidden="1" x14ac:dyDescent="0.25">
      <c r="A609" t="s">
        <v>98</v>
      </c>
      <c r="B609" t="s">
        <v>849</v>
      </c>
      <c r="D609" t="s">
        <v>100</v>
      </c>
      <c r="E609" t="s">
        <v>284</v>
      </c>
      <c r="F609" t="s">
        <v>292</v>
      </c>
      <c r="G609" t="s">
        <v>112</v>
      </c>
      <c r="H609" t="s">
        <v>104</v>
      </c>
      <c r="I609">
        <v>2040</v>
      </c>
      <c r="J609" t="s">
        <v>349</v>
      </c>
      <c r="K609" t="s">
        <v>106</v>
      </c>
      <c r="L609" t="s">
        <v>925</v>
      </c>
      <c r="M609" t="s">
        <v>954</v>
      </c>
      <c r="N609">
        <v>1</v>
      </c>
      <c r="O609">
        <v>2040</v>
      </c>
      <c r="P609">
        <v>92.137687829328328</v>
      </c>
      <c r="Q609">
        <v>4.1202723323867074</v>
      </c>
      <c r="R609" t="s">
        <v>289</v>
      </c>
      <c r="S609">
        <v>69.934718883357121</v>
      </c>
      <c r="T609" t="s">
        <v>290</v>
      </c>
      <c r="U609">
        <v>69.934718883357121</v>
      </c>
      <c r="V609">
        <v>92.137687829328328</v>
      </c>
      <c r="W609">
        <v>4.1202723323867074</v>
      </c>
      <c r="X609" t="s">
        <v>291</v>
      </c>
      <c r="Y609">
        <v>10</v>
      </c>
      <c r="Z609">
        <v>0.24729609702719399</v>
      </c>
      <c r="AA609">
        <v>1</v>
      </c>
    </row>
    <row r="610" spans="1:27" hidden="1" x14ac:dyDescent="0.25">
      <c r="A610" t="s">
        <v>98</v>
      </c>
      <c r="B610" t="s">
        <v>849</v>
      </c>
      <c r="D610" t="s">
        <v>100</v>
      </c>
      <c r="E610" t="s">
        <v>284</v>
      </c>
      <c r="F610" t="s">
        <v>297</v>
      </c>
      <c r="G610" t="s">
        <v>103</v>
      </c>
      <c r="H610" t="s">
        <v>104</v>
      </c>
      <c r="I610">
        <v>2040</v>
      </c>
      <c r="J610" t="s">
        <v>351</v>
      </c>
      <c r="K610" t="s">
        <v>106</v>
      </c>
      <c r="L610" t="s">
        <v>925</v>
      </c>
      <c r="M610" t="s">
        <v>955</v>
      </c>
      <c r="N610">
        <v>1</v>
      </c>
      <c r="O610">
        <v>2040</v>
      </c>
      <c r="P610">
        <v>109.62871509832991</v>
      </c>
      <c r="Q610">
        <v>3.28145573783857</v>
      </c>
      <c r="R610" t="s">
        <v>289</v>
      </c>
      <c r="S610">
        <v>101.8534675620791</v>
      </c>
      <c r="T610" t="s">
        <v>290</v>
      </c>
      <c r="U610">
        <v>101.8534675620791</v>
      </c>
      <c r="V610">
        <v>109.62871509832991</v>
      </c>
      <c r="W610">
        <v>3.28145573783857</v>
      </c>
      <c r="X610" t="s">
        <v>291</v>
      </c>
      <c r="Y610">
        <v>10</v>
      </c>
      <c r="Z610">
        <v>0.24729609702719399</v>
      </c>
      <c r="AA610">
        <v>1</v>
      </c>
    </row>
    <row r="611" spans="1:27" hidden="1" x14ac:dyDescent="0.25">
      <c r="A611" t="s">
        <v>98</v>
      </c>
      <c r="B611" t="s">
        <v>849</v>
      </c>
      <c r="D611" t="s">
        <v>100</v>
      </c>
      <c r="E611" t="s">
        <v>284</v>
      </c>
      <c r="F611" t="s">
        <v>297</v>
      </c>
      <c r="G611" t="s">
        <v>112</v>
      </c>
      <c r="H611" t="s">
        <v>104</v>
      </c>
      <c r="I611">
        <v>2040</v>
      </c>
      <c r="J611" t="s">
        <v>353</v>
      </c>
      <c r="K611" t="s">
        <v>106</v>
      </c>
      <c r="L611" t="s">
        <v>925</v>
      </c>
      <c r="M611" t="s">
        <v>956</v>
      </c>
      <c r="N611">
        <v>1</v>
      </c>
      <c r="O611">
        <v>2040</v>
      </c>
      <c r="P611">
        <v>82.941268534212341</v>
      </c>
      <c r="Q611">
        <v>2.168671786742209</v>
      </c>
      <c r="R611" t="s">
        <v>289</v>
      </c>
      <c r="S611">
        <v>124.1701372074253</v>
      </c>
      <c r="T611" t="s">
        <v>290</v>
      </c>
      <c r="U611">
        <v>124.1701372074253</v>
      </c>
      <c r="V611">
        <v>82.941268534212341</v>
      </c>
      <c r="W611">
        <v>2.168671786742209</v>
      </c>
      <c r="X611" t="s">
        <v>291</v>
      </c>
      <c r="Y611">
        <v>10</v>
      </c>
      <c r="Z611">
        <v>0.24729609702719399</v>
      </c>
      <c r="AA611">
        <v>1</v>
      </c>
    </row>
    <row r="612" spans="1:27" hidden="1" x14ac:dyDescent="0.25">
      <c r="A612" t="s">
        <v>98</v>
      </c>
      <c r="B612" t="s">
        <v>849</v>
      </c>
      <c r="D612" t="s">
        <v>100</v>
      </c>
      <c r="E612" t="s">
        <v>284</v>
      </c>
      <c r="F612" t="s">
        <v>355</v>
      </c>
      <c r="G612" t="s">
        <v>103</v>
      </c>
      <c r="H612" t="s">
        <v>104</v>
      </c>
      <c r="I612">
        <v>2022</v>
      </c>
      <c r="J612" t="s">
        <v>356</v>
      </c>
      <c r="K612" t="s">
        <v>106</v>
      </c>
      <c r="L612" t="s">
        <v>925</v>
      </c>
      <c r="M612" t="s">
        <v>957</v>
      </c>
      <c r="N612">
        <v>1</v>
      </c>
      <c r="O612">
        <v>2020</v>
      </c>
      <c r="P612">
        <v>26.539302440149839</v>
      </c>
      <c r="Q612">
        <v>0.71977466386263589</v>
      </c>
      <c r="R612" t="s">
        <v>289</v>
      </c>
      <c r="S612">
        <v>85.75677051732572</v>
      </c>
      <c r="T612" t="s">
        <v>290</v>
      </c>
      <c r="U612">
        <v>85.75677051732572</v>
      </c>
      <c r="V612">
        <v>26.539302440149839</v>
      </c>
      <c r="W612">
        <v>0.71977466386263589</v>
      </c>
      <c r="X612" t="s">
        <v>291</v>
      </c>
      <c r="Y612">
        <v>10</v>
      </c>
      <c r="Z612">
        <v>0.24729609702719399</v>
      </c>
      <c r="AA612">
        <v>1</v>
      </c>
    </row>
    <row r="613" spans="1:27" hidden="1" x14ac:dyDescent="0.25">
      <c r="A613" t="s">
        <v>98</v>
      </c>
      <c r="B613" t="s">
        <v>849</v>
      </c>
      <c r="D613" t="s">
        <v>100</v>
      </c>
      <c r="E613" t="s">
        <v>284</v>
      </c>
      <c r="F613" t="s">
        <v>355</v>
      </c>
      <c r="G613" t="s">
        <v>112</v>
      </c>
      <c r="H613" t="s">
        <v>104</v>
      </c>
      <c r="I613">
        <v>2022</v>
      </c>
      <c r="J613" t="s">
        <v>358</v>
      </c>
      <c r="K613" t="s">
        <v>106</v>
      </c>
      <c r="L613" t="s">
        <v>925</v>
      </c>
      <c r="M613" t="s">
        <v>958</v>
      </c>
      <c r="N613">
        <v>1</v>
      </c>
      <c r="O613">
        <v>2020</v>
      </c>
      <c r="P613">
        <v>27.952547937105681</v>
      </c>
      <c r="Q613">
        <v>0.83346015109483984</v>
      </c>
      <c r="R613" t="s">
        <v>289</v>
      </c>
      <c r="S613">
        <v>88.372750377742747</v>
      </c>
      <c r="T613" t="s">
        <v>290</v>
      </c>
      <c r="U613">
        <v>88.372750377742747</v>
      </c>
      <c r="V613">
        <v>27.952547937105681</v>
      </c>
      <c r="W613">
        <v>0.83346015109483984</v>
      </c>
      <c r="X613" t="s">
        <v>291</v>
      </c>
      <c r="Y613">
        <v>10</v>
      </c>
      <c r="Z613">
        <v>0.24729609702719399</v>
      </c>
      <c r="AA613">
        <v>1</v>
      </c>
    </row>
    <row r="614" spans="1:27" hidden="1" x14ac:dyDescent="0.25">
      <c r="A614" t="s">
        <v>98</v>
      </c>
      <c r="B614" t="s">
        <v>849</v>
      </c>
      <c r="D614" t="s">
        <v>100</v>
      </c>
      <c r="E614" t="s">
        <v>284</v>
      </c>
      <c r="F614" t="s">
        <v>360</v>
      </c>
      <c r="G614" t="s">
        <v>103</v>
      </c>
      <c r="H614" t="s">
        <v>104</v>
      </c>
      <c r="I614">
        <v>2022</v>
      </c>
      <c r="J614" t="s">
        <v>361</v>
      </c>
      <c r="K614" t="s">
        <v>106</v>
      </c>
      <c r="L614" t="s">
        <v>925</v>
      </c>
      <c r="M614" t="s">
        <v>959</v>
      </c>
      <c r="N614">
        <v>1</v>
      </c>
      <c r="O614">
        <v>2020</v>
      </c>
      <c r="P614">
        <v>30.743231458982891</v>
      </c>
      <c r="Q614">
        <v>0.75530083267302539</v>
      </c>
      <c r="R614" t="s">
        <v>289</v>
      </c>
      <c r="S614">
        <v>85.752844444444449</v>
      </c>
      <c r="T614" t="s">
        <v>290</v>
      </c>
      <c r="U614">
        <v>85.752844444444449</v>
      </c>
      <c r="V614">
        <v>30.743231458982891</v>
      </c>
      <c r="W614">
        <v>0.75530083267302539</v>
      </c>
      <c r="X614" t="s">
        <v>291</v>
      </c>
      <c r="Y614">
        <v>10</v>
      </c>
      <c r="Z614">
        <v>0.24729609702719399</v>
      </c>
      <c r="AA614">
        <v>1</v>
      </c>
    </row>
    <row r="615" spans="1:27" hidden="1" x14ac:dyDescent="0.25">
      <c r="A615" t="s">
        <v>98</v>
      </c>
      <c r="B615" t="s">
        <v>849</v>
      </c>
      <c r="D615" t="s">
        <v>100</v>
      </c>
      <c r="E615" t="s">
        <v>284</v>
      </c>
      <c r="F615" t="s">
        <v>360</v>
      </c>
      <c r="G615" t="s">
        <v>112</v>
      </c>
      <c r="H615" t="s">
        <v>104</v>
      </c>
      <c r="I615">
        <v>2022</v>
      </c>
      <c r="J615" t="s">
        <v>363</v>
      </c>
      <c r="K615" t="s">
        <v>106</v>
      </c>
      <c r="L615" t="s">
        <v>925</v>
      </c>
      <c r="M615" t="s">
        <v>960</v>
      </c>
      <c r="N615">
        <v>1</v>
      </c>
      <c r="O615">
        <v>2020</v>
      </c>
      <c r="P615">
        <v>30.995290460986698</v>
      </c>
      <c r="Q615">
        <v>1.07624732944957</v>
      </c>
      <c r="R615" t="s">
        <v>289</v>
      </c>
      <c r="S615">
        <v>91.18482905982907</v>
      </c>
      <c r="T615" t="s">
        <v>290</v>
      </c>
      <c r="U615">
        <v>91.18482905982907</v>
      </c>
      <c r="V615">
        <v>30.995290460986698</v>
      </c>
      <c r="W615">
        <v>1.07624732944957</v>
      </c>
      <c r="X615" t="s">
        <v>291</v>
      </c>
      <c r="Y615">
        <v>10</v>
      </c>
      <c r="Z615">
        <v>0.24729609702719399</v>
      </c>
      <c r="AA615">
        <v>1</v>
      </c>
    </row>
    <row r="616" spans="1:27" hidden="1" x14ac:dyDescent="0.25">
      <c r="A616" t="s">
        <v>98</v>
      </c>
      <c r="B616" t="s">
        <v>849</v>
      </c>
      <c r="D616" t="s">
        <v>100</v>
      </c>
      <c r="E616" t="s">
        <v>284</v>
      </c>
      <c r="F616" t="s">
        <v>365</v>
      </c>
      <c r="G616" t="s">
        <v>103</v>
      </c>
      <c r="H616" t="s">
        <v>104</v>
      </c>
      <c r="I616">
        <v>2022</v>
      </c>
      <c r="J616" t="s">
        <v>366</v>
      </c>
      <c r="K616" t="s">
        <v>106</v>
      </c>
      <c r="L616" t="s">
        <v>925</v>
      </c>
      <c r="M616" t="s">
        <v>961</v>
      </c>
      <c r="N616">
        <v>1</v>
      </c>
      <c r="O616">
        <v>2020</v>
      </c>
      <c r="P616">
        <v>34.581332645158973</v>
      </c>
      <c r="Q616">
        <v>1.926881708285624</v>
      </c>
      <c r="R616" t="s">
        <v>289</v>
      </c>
      <c r="S616">
        <v>115.45533602622641</v>
      </c>
      <c r="T616" t="s">
        <v>290</v>
      </c>
      <c r="U616">
        <v>115.45533602622641</v>
      </c>
      <c r="V616">
        <v>34.581332645158973</v>
      </c>
      <c r="W616">
        <v>1.926881708285624</v>
      </c>
      <c r="X616" t="s">
        <v>291</v>
      </c>
      <c r="Y616">
        <v>10</v>
      </c>
      <c r="Z616">
        <v>0.24729609702719399</v>
      </c>
      <c r="AA616">
        <v>1</v>
      </c>
    </row>
    <row r="617" spans="1:27" hidden="1" x14ac:dyDescent="0.25">
      <c r="A617" t="s">
        <v>98</v>
      </c>
      <c r="B617" t="s">
        <v>849</v>
      </c>
      <c r="D617" t="s">
        <v>100</v>
      </c>
      <c r="E617" t="s">
        <v>284</v>
      </c>
      <c r="F617" t="s">
        <v>365</v>
      </c>
      <c r="G617" t="s">
        <v>112</v>
      </c>
      <c r="H617" t="s">
        <v>104</v>
      </c>
      <c r="I617">
        <v>2022</v>
      </c>
      <c r="J617" t="s">
        <v>368</v>
      </c>
      <c r="K617" t="s">
        <v>106</v>
      </c>
      <c r="L617" t="s">
        <v>925</v>
      </c>
      <c r="M617" t="s">
        <v>962</v>
      </c>
      <c r="N617">
        <v>1</v>
      </c>
      <c r="O617">
        <v>2020</v>
      </c>
      <c r="P617">
        <v>44.653862333829821</v>
      </c>
      <c r="Q617">
        <v>2.4693086643180591</v>
      </c>
      <c r="R617" t="s">
        <v>289</v>
      </c>
      <c r="S617">
        <v>130.6177318295739</v>
      </c>
      <c r="T617" t="s">
        <v>290</v>
      </c>
      <c r="U617">
        <v>130.6177318295739</v>
      </c>
      <c r="V617">
        <v>44.653862333829821</v>
      </c>
      <c r="W617">
        <v>2.4693086643180591</v>
      </c>
      <c r="X617" t="s">
        <v>291</v>
      </c>
      <c r="Y617">
        <v>10</v>
      </c>
      <c r="Z617">
        <v>0.24729609702719399</v>
      </c>
      <c r="AA617">
        <v>1</v>
      </c>
    </row>
    <row r="618" spans="1:27" hidden="1" x14ac:dyDescent="0.25">
      <c r="A618" t="s">
        <v>98</v>
      </c>
      <c r="B618" t="s">
        <v>849</v>
      </c>
      <c r="D618" t="s">
        <v>100</v>
      </c>
      <c r="E618" t="s">
        <v>284</v>
      </c>
      <c r="F618" t="s">
        <v>365</v>
      </c>
      <c r="G618" t="s">
        <v>103</v>
      </c>
      <c r="H618" t="s">
        <v>104</v>
      </c>
      <c r="I618">
        <v>2023</v>
      </c>
      <c r="J618" t="s">
        <v>370</v>
      </c>
      <c r="K618" t="s">
        <v>106</v>
      </c>
      <c r="L618" t="s">
        <v>925</v>
      </c>
      <c r="M618" t="s">
        <v>963</v>
      </c>
      <c r="N618">
        <v>1</v>
      </c>
      <c r="O618">
        <v>2023</v>
      </c>
      <c r="P618">
        <v>34.353918735727063</v>
      </c>
      <c r="Q618">
        <v>1.893397965391721</v>
      </c>
      <c r="R618" t="s">
        <v>289</v>
      </c>
      <c r="S618">
        <v>115.45533602622641</v>
      </c>
      <c r="T618" t="s">
        <v>290</v>
      </c>
      <c r="U618">
        <v>115.45533602622641</v>
      </c>
      <c r="V618">
        <v>34.353918735727063</v>
      </c>
      <c r="W618">
        <v>1.893397965391721</v>
      </c>
      <c r="X618" t="s">
        <v>291</v>
      </c>
      <c r="Y618">
        <v>10</v>
      </c>
      <c r="Z618">
        <v>0.24729609702719399</v>
      </c>
      <c r="AA618">
        <v>1</v>
      </c>
    </row>
    <row r="619" spans="1:27" hidden="1" x14ac:dyDescent="0.25">
      <c r="A619" t="s">
        <v>98</v>
      </c>
      <c r="B619" t="s">
        <v>849</v>
      </c>
      <c r="D619" t="s">
        <v>100</v>
      </c>
      <c r="E619" t="s">
        <v>284</v>
      </c>
      <c r="F619" t="s">
        <v>365</v>
      </c>
      <c r="G619" t="s">
        <v>112</v>
      </c>
      <c r="H619" t="s">
        <v>104</v>
      </c>
      <c r="I619">
        <v>2023</v>
      </c>
      <c r="J619" t="s">
        <v>372</v>
      </c>
      <c r="K619" t="s">
        <v>106</v>
      </c>
      <c r="L619" t="s">
        <v>925</v>
      </c>
      <c r="M619" t="s">
        <v>964</v>
      </c>
      <c r="N619">
        <v>1</v>
      </c>
      <c r="O619">
        <v>2023</v>
      </c>
      <c r="P619">
        <v>43.733464606512037</v>
      </c>
      <c r="Q619">
        <v>2.4042644647868401</v>
      </c>
      <c r="R619" t="s">
        <v>289</v>
      </c>
      <c r="S619">
        <v>130.6177318295739</v>
      </c>
      <c r="T619" t="s">
        <v>290</v>
      </c>
      <c r="U619">
        <v>130.6177318295739</v>
      </c>
      <c r="V619">
        <v>43.733464606512037</v>
      </c>
      <c r="W619">
        <v>2.4042644647868401</v>
      </c>
      <c r="X619" t="s">
        <v>291</v>
      </c>
      <c r="Y619">
        <v>10</v>
      </c>
      <c r="Z619">
        <v>0.24729609702719399</v>
      </c>
      <c r="AA619">
        <v>1</v>
      </c>
    </row>
    <row r="620" spans="1:27" hidden="1" x14ac:dyDescent="0.25">
      <c r="A620" t="s">
        <v>98</v>
      </c>
      <c r="B620" t="s">
        <v>849</v>
      </c>
      <c r="D620" t="s">
        <v>100</v>
      </c>
      <c r="E620" t="s">
        <v>284</v>
      </c>
      <c r="F620" t="s">
        <v>365</v>
      </c>
      <c r="G620" t="s">
        <v>103</v>
      </c>
      <c r="H620" t="s">
        <v>104</v>
      </c>
      <c r="I620">
        <v>2024</v>
      </c>
      <c r="J620" t="s">
        <v>374</v>
      </c>
      <c r="K620" t="s">
        <v>106</v>
      </c>
      <c r="L620" t="s">
        <v>925</v>
      </c>
      <c r="M620" t="s">
        <v>965</v>
      </c>
      <c r="N620">
        <v>1</v>
      </c>
      <c r="O620">
        <v>2024</v>
      </c>
      <c r="P620">
        <v>34.353918735727063</v>
      </c>
      <c r="Q620">
        <v>1.893397965391721</v>
      </c>
      <c r="R620" t="s">
        <v>289</v>
      </c>
      <c r="S620">
        <v>115.45533602622641</v>
      </c>
      <c r="T620" t="s">
        <v>290</v>
      </c>
      <c r="U620">
        <v>115.45533602622641</v>
      </c>
      <c r="V620">
        <v>34.353918735727063</v>
      </c>
      <c r="W620">
        <v>1.893397965391721</v>
      </c>
      <c r="X620" t="s">
        <v>291</v>
      </c>
      <c r="Y620">
        <v>10</v>
      </c>
      <c r="Z620">
        <v>0.24729609702719399</v>
      </c>
      <c r="AA620">
        <v>1</v>
      </c>
    </row>
    <row r="621" spans="1:27" hidden="1" x14ac:dyDescent="0.25">
      <c r="A621" t="s">
        <v>98</v>
      </c>
      <c r="B621" t="s">
        <v>849</v>
      </c>
      <c r="D621" t="s">
        <v>100</v>
      </c>
      <c r="E621" t="s">
        <v>284</v>
      </c>
      <c r="F621" t="s">
        <v>365</v>
      </c>
      <c r="G621" t="s">
        <v>112</v>
      </c>
      <c r="H621" t="s">
        <v>104</v>
      </c>
      <c r="I621">
        <v>2024</v>
      </c>
      <c r="J621" t="s">
        <v>376</v>
      </c>
      <c r="K621" t="s">
        <v>106</v>
      </c>
      <c r="L621" t="s">
        <v>925</v>
      </c>
      <c r="M621" t="s">
        <v>966</v>
      </c>
      <c r="N621">
        <v>1</v>
      </c>
      <c r="O621">
        <v>2024</v>
      </c>
      <c r="P621">
        <v>43.733464606512037</v>
      </c>
      <c r="Q621">
        <v>2.4042644647868401</v>
      </c>
      <c r="R621" t="s">
        <v>289</v>
      </c>
      <c r="S621">
        <v>130.6177318295739</v>
      </c>
      <c r="T621" t="s">
        <v>290</v>
      </c>
      <c r="U621">
        <v>130.6177318295739</v>
      </c>
      <c r="V621">
        <v>43.733464606512037</v>
      </c>
      <c r="W621">
        <v>2.4042644647868401</v>
      </c>
      <c r="X621" t="s">
        <v>291</v>
      </c>
      <c r="Y621">
        <v>10</v>
      </c>
      <c r="Z621">
        <v>0.24729609702719399</v>
      </c>
      <c r="AA621">
        <v>1</v>
      </c>
    </row>
    <row r="622" spans="1:27" hidden="1" x14ac:dyDescent="0.25">
      <c r="A622" t="s">
        <v>98</v>
      </c>
      <c r="B622" t="s">
        <v>849</v>
      </c>
      <c r="D622" t="s">
        <v>100</v>
      </c>
      <c r="E622" t="s">
        <v>284</v>
      </c>
      <c r="F622" t="s">
        <v>365</v>
      </c>
      <c r="G622" t="s">
        <v>103</v>
      </c>
      <c r="H622" t="s">
        <v>104</v>
      </c>
      <c r="I622">
        <v>2025</v>
      </c>
      <c r="J622" t="s">
        <v>378</v>
      </c>
      <c r="K622" t="s">
        <v>106</v>
      </c>
      <c r="L622" t="s">
        <v>925</v>
      </c>
      <c r="M622" t="s">
        <v>967</v>
      </c>
      <c r="N622">
        <v>1</v>
      </c>
      <c r="O622">
        <v>2025</v>
      </c>
      <c r="P622">
        <v>34.353918735727063</v>
      </c>
      <c r="Q622">
        <v>1.893397965391721</v>
      </c>
      <c r="R622" t="s">
        <v>289</v>
      </c>
      <c r="S622">
        <v>115.45533602622641</v>
      </c>
      <c r="T622" t="s">
        <v>290</v>
      </c>
      <c r="U622">
        <v>115.45533602622641</v>
      </c>
      <c r="V622">
        <v>34.353918735727063</v>
      </c>
      <c r="W622">
        <v>1.893397965391721</v>
      </c>
      <c r="X622" t="s">
        <v>291</v>
      </c>
      <c r="Y622">
        <v>10</v>
      </c>
      <c r="Z622">
        <v>0.24729609702719399</v>
      </c>
      <c r="AA622">
        <v>1</v>
      </c>
    </row>
    <row r="623" spans="1:27" hidden="1" x14ac:dyDescent="0.25">
      <c r="A623" t="s">
        <v>98</v>
      </c>
      <c r="B623" t="s">
        <v>849</v>
      </c>
      <c r="D623" t="s">
        <v>100</v>
      </c>
      <c r="E623" t="s">
        <v>284</v>
      </c>
      <c r="F623" t="s">
        <v>365</v>
      </c>
      <c r="G623" t="s">
        <v>112</v>
      </c>
      <c r="H623" t="s">
        <v>104</v>
      </c>
      <c r="I623">
        <v>2025</v>
      </c>
      <c r="J623" t="s">
        <v>380</v>
      </c>
      <c r="K623" t="s">
        <v>106</v>
      </c>
      <c r="L623" t="s">
        <v>925</v>
      </c>
      <c r="M623" t="s">
        <v>968</v>
      </c>
      <c r="N623">
        <v>1</v>
      </c>
      <c r="O623">
        <v>2025</v>
      </c>
      <c r="P623">
        <v>43.733464606512037</v>
      </c>
      <c r="Q623">
        <v>2.4042644647868401</v>
      </c>
      <c r="R623" t="s">
        <v>289</v>
      </c>
      <c r="S623">
        <v>130.6177318295739</v>
      </c>
      <c r="T623" t="s">
        <v>290</v>
      </c>
      <c r="U623">
        <v>130.6177318295739</v>
      </c>
      <c r="V623">
        <v>43.733464606512037</v>
      </c>
      <c r="W623">
        <v>2.4042644647868401</v>
      </c>
      <c r="X623" t="s">
        <v>291</v>
      </c>
      <c r="Y623">
        <v>10</v>
      </c>
      <c r="Z623">
        <v>0.24729609702719399</v>
      </c>
      <c r="AA623">
        <v>1</v>
      </c>
    </row>
    <row r="624" spans="1:27" hidden="1" x14ac:dyDescent="0.25">
      <c r="A624" t="s">
        <v>98</v>
      </c>
      <c r="B624" t="s">
        <v>849</v>
      </c>
      <c r="D624" t="s">
        <v>100</v>
      </c>
      <c r="E624" t="s">
        <v>284</v>
      </c>
      <c r="F624" t="s">
        <v>365</v>
      </c>
      <c r="G624" t="s">
        <v>103</v>
      </c>
      <c r="H624" t="s">
        <v>104</v>
      </c>
      <c r="I624">
        <v>2026</v>
      </c>
      <c r="J624" t="s">
        <v>382</v>
      </c>
      <c r="K624" t="s">
        <v>106</v>
      </c>
      <c r="L624" t="s">
        <v>925</v>
      </c>
      <c r="M624" t="s">
        <v>969</v>
      </c>
      <c r="N624">
        <v>1</v>
      </c>
      <c r="O624">
        <v>2026</v>
      </c>
      <c r="P624">
        <v>34.353918735727063</v>
      </c>
      <c r="Q624">
        <v>1.893397965391721</v>
      </c>
      <c r="R624" t="s">
        <v>289</v>
      </c>
      <c r="S624">
        <v>115.45533602622641</v>
      </c>
      <c r="T624" t="s">
        <v>290</v>
      </c>
      <c r="U624">
        <v>115.45533602622641</v>
      </c>
      <c r="V624">
        <v>34.353918735727063</v>
      </c>
      <c r="W624">
        <v>1.893397965391721</v>
      </c>
      <c r="X624" t="s">
        <v>291</v>
      </c>
      <c r="Y624">
        <v>10</v>
      </c>
      <c r="Z624">
        <v>0.24729609702719399</v>
      </c>
      <c r="AA624">
        <v>1</v>
      </c>
    </row>
    <row r="625" spans="1:27" hidden="1" x14ac:dyDescent="0.25">
      <c r="A625" t="s">
        <v>98</v>
      </c>
      <c r="B625" t="s">
        <v>849</v>
      </c>
      <c r="D625" t="s">
        <v>100</v>
      </c>
      <c r="E625" t="s">
        <v>284</v>
      </c>
      <c r="F625" t="s">
        <v>365</v>
      </c>
      <c r="G625" t="s">
        <v>112</v>
      </c>
      <c r="H625" t="s">
        <v>104</v>
      </c>
      <c r="I625">
        <v>2026</v>
      </c>
      <c r="J625" t="s">
        <v>384</v>
      </c>
      <c r="K625" t="s">
        <v>106</v>
      </c>
      <c r="L625" t="s">
        <v>925</v>
      </c>
      <c r="M625" t="s">
        <v>970</v>
      </c>
      <c r="N625">
        <v>1</v>
      </c>
      <c r="O625">
        <v>2026</v>
      </c>
      <c r="P625">
        <v>43.733464606512037</v>
      </c>
      <c r="Q625">
        <v>2.4042644647868401</v>
      </c>
      <c r="R625" t="s">
        <v>289</v>
      </c>
      <c r="S625">
        <v>130.6177318295739</v>
      </c>
      <c r="T625" t="s">
        <v>290</v>
      </c>
      <c r="U625">
        <v>130.6177318295739</v>
      </c>
      <c r="V625">
        <v>43.733464606512037</v>
      </c>
      <c r="W625">
        <v>2.4042644647868401</v>
      </c>
      <c r="X625" t="s">
        <v>291</v>
      </c>
      <c r="Y625">
        <v>10</v>
      </c>
      <c r="Z625">
        <v>0.24729609702719399</v>
      </c>
      <c r="AA625">
        <v>1</v>
      </c>
    </row>
    <row r="626" spans="1:27" hidden="1" x14ac:dyDescent="0.25">
      <c r="A626" t="s">
        <v>98</v>
      </c>
      <c r="B626" t="s">
        <v>849</v>
      </c>
      <c r="D626" t="s">
        <v>100</v>
      </c>
      <c r="E626" t="s">
        <v>284</v>
      </c>
      <c r="F626" t="s">
        <v>365</v>
      </c>
      <c r="G626" t="s">
        <v>103</v>
      </c>
      <c r="H626" t="s">
        <v>104</v>
      </c>
      <c r="I626">
        <v>2027</v>
      </c>
      <c r="J626" t="s">
        <v>386</v>
      </c>
      <c r="K626" t="s">
        <v>106</v>
      </c>
      <c r="L626" t="s">
        <v>925</v>
      </c>
      <c r="M626" t="s">
        <v>971</v>
      </c>
      <c r="N626">
        <v>1</v>
      </c>
      <c r="O626">
        <v>2027</v>
      </c>
      <c r="P626">
        <v>34.353918735727063</v>
      </c>
      <c r="Q626">
        <v>1.893397965391721</v>
      </c>
      <c r="R626" t="s">
        <v>289</v>
      </c>
      <c r="S626">
        <v>115.45533602622641</v>
      </c>
      <c r="T626" t="s">
        <v>290</v>
      </c>
      <c r="U626">
        <v>115.45533602622641</v>
      </c>
      <c r="V626">
        <v>34.353918735727063</v>
      </c>
      <c r="W626">
        <v>1.893397965391721</v>
      </c>
      <c r="X626" t="s">
        <v>291</v>
      </c>
      <c r="Y626">
        <v>10</v>
      </c>
      <c r="Z626">
        <v>0.24729609702719399</v>
      </c>
      <c r="AA626">
        <v>1</v>
      </c>
    </row>
    <row r="627" spans="1:27" hidden="1" x14ac:dyDescent="0.25">
      <c r="A627" t="s">
        <v>98</v>
      </c>
      <c r="B627" t="s">
        <v>849</v>
      </c>
      <c r="D627" t="s">
        <v>100</v>
      </c>
      <c r="E627" t="s">
        <v>284</v>
      </c>
      <c r="F627" t="s">
        <v>365</v>
      </c>
      <c r="G627" t="s">
        <v>112</v>
      </c>
      <c r="H627" t="s">
        <v>104</v>
      </c>
      <c r="I627">
        <v>2027</v>
      </c>
      <c r="J627" t="s">
        <v>388</v>
      </c>
      <c r="K627" t="s">
        <v>106</v>
      </c>
      <c r="L627" t="s">
        <v>925</v>
      </c>
      <c r="M627" t="s">
        <v>972</v>
      </c>
      <c r="N627">
        <v>1</v>
      </c>
      <c r="O627">
        <v>2027</v>
      </c>
      <c r="P627">
        <v>43.733464606512037</v>
      </c>
      <c r="Q627">
        <v>2.4042644647868401</v>
      </c>
      <c r="R627" t="s">
        <v>289</v>
      </c>
      <c r="S627">
        <v>130.6177318295739</v>
      </c>
      <c r="T627" t="s">
        <v>290</v>
      </c>
      <c r="U627">
        <v>130.6177318295739</v>
      </c>
      <c r="V627">
        <v>43.733464606512037</v>
      </c>
      <c r="W627">
        <v>2.4042644647868401</v>
      </c>
      <c r="X627" t="s">
        <v>291</v>
      </c>
      <c r="Y627">
        <v>10</v>
      </c>
      <c r="Z627">
        <v>0.24729609702719399</v>
      </c>
      <c r="AA627">
        <v>1</v>
      </c>
    </row>
    <row r="628" spans="1:27" hidden="1" x14ac:dyDescent="0.25">
      <c r="A628" t="s">
        <v>98</v>
      </c>
      <c r="B628" t="s">
        <v>849</v>
      </c>
      <c r="D628" t="s">
        <v>100</v>
      </c>
      <c r="E628" t="s">
        <v>284</v>
      </c>
      <c r="F628" t="s">
        <v>365</v>
      </c>
      <c r="G628" t="s">
        <v>103</v>
      </c>
      <c r="H628" t="s">
        <v>104</v>
      </c>
      <c r="I628">
        <v>2028</v>
      </c>
      <c r="J628" t="s">
        <v>390</v>
      </c>
      <c r="K628" t="s">
        <v>106</v>
      </c>
      <c r="L628" t="s">
        <v>925</v>
      </c>
      <c r="M628" t="s">
        <v>973</v>
      </c>
      <c r="N628">
        <v>1</v>
      </c>
      <c r="O628">
        <v>2028</v>
      </c>
      <c r="P628">
        <v>34.353918735727063</v>
      </c>
      <c r="Q628">
        <v>1.893397965391721</v>
      </c>
      <c r="R628" t="s">
        <v>289</v>
      </c>
      <c r="S628">
        <v>115.45533602622641</v>
      </c>
      <c r="T628" t="s">
        <v>290</v>
      </c>
      <c r="U628">
        <v>115.45533602622641</v>
      </c>
      <c r="V628">
        <v>34.353918735727063</v>
      </c>
      <c r="W628">
        <v>1.893397965391721</v>
      </c>
      <c r="X628" t="s">
        <v>291</v>
      </c>
      <c r="Y628">
        <v>10</v>
      </c>
      <c r="Z628">
        <v>0.24729609702719399</v>
      </c>
      <c r="AA628">
        <v>1</v>
      </c>
    </row>
    <row r="629" spans="1:27" hidden="1" x14ac:dyDescent="0.25">
      <c r="A629" t="s">
        <v>98</v>
      </c>
      <c r="B629" t="s">
        <v>849</v>
      </c>
      <c r="D629" t="s">
        <v>100</v>
      </c>
      <c r="E629" t="s">
        <v>284</v>
      </c>
      <c r="F629" t="s">
        <v>365</v>
      </c>
      <c r="G629" t="s">
        <v>112</v>
      </c>
      <c r="H629" t="s">
        <v>104</v>
      </c>
      <c r="I629">
        <v>2028</v>
      </c>
      <c r="J629" t="s">
        <v>392</v>
      </c>
      <c r="K629" t="s">
        <v>106</v>
      </c>
      <c r="L629" t="s">
        <v>925</v>
      </c>
      <c r="M629" t="s">
        <v>974</v>
      </c>
      <c r="N629">
        <v>1</v>
      </c>
      <c r="O629">
        <v>2028</v>
      </c>
      <c r="P629">
        <v>43.733464606512037</v>
      </c>
      <c r="Q629">
        <v>2.4042644647868401</v>
      </c>
      <c r="R629" t="s">
        <v>289</v>
      </c>
      <c r="S629">
        <v>130.6177318295739</v>
      </c>
      <c r="T629" t="s">
        <v>290</v>
      </c>
      <c r="U629">
        <v>130.6177318295739</v>
      </c>
      <c r="V629">
        <v>43.733464606512037</v>
      </c>
      <c r="W629">
        <v>2.4042644647868401</v>
      </c>
      <c r="X629" t="s">
        <v>291</v>
      </c>
      <c r="Y629">
        <v>10</v>
      </c>
      <c r="Z629">
        <v>0.24729609702719399</v>
      </c>
      <c r="AA629">
        <v>1</v>
      </c>
    </row>
    <row r="630" spans="1:27" hidden="1" x14ac:dyDescent="0.25">
      <c r="A630" t="s">
        <v>98</v>
      </c>
      <c r="B630" t="s">
        <v>849</v>
      </c>
      <c r="D630" t="s">
        <v>100</v>
      </c>
      <c r="E630" t="s">
        <v>284</v>
      </c>
      <c r="F630" t="s">
        <v>365</v>
      </c>
      <c r="G630" t="s">
        <v>103</v>
      </c>
      <c r="H630" t="s">
        <v>104</v>
      </c>
      <c r="I630">
        <v>2029</v>
      </c>
      <c r="J630" t="s">
        <v>394</v>
      </c>
      <c r="K630" t="s">
        <v>106</v>
      </c>
      <c r="L630" t="s">
        <v>925</v>
      </c>
      <c r="M630" t="s">
        <v>975</v>
      </c>
      <c r="N630">
        <v>1</v>
      </c>
      <c r="O630">
        <v>2029</v>
      </c>
      <c r="P630">
        <v>34.353918735727063</v>
      </c>
      <c r="Q630">
        <v>1.893397965391721</v>
      </c>
      <c r="R630" t="s">
        <v>289</v>
      </c>
      <c r="S630">
        <v>115.45533602622641</v>
      </c>
      <c r="T630" t="s">
        <v>290</v>
      </c>
      <c r="U630">
        <v>115.45533602622641</v>
      </c>
      <c r="V630">
        <v>34.353918735727063</v>
      </c>
      <c r="W630">
        <v>1.893397965391721</v>
      </c>
      <c r="X630" t="s">
        <v>291</v>
      </c>
      <c r="Y630">
        <v>10</v>
      </c>
      <c r="Z630">
        <v>0.24729609702719399</v>
      </c>
      <c r="AA630">
        <v>1</v>
      </c>
    </row>
    <row r="631" spans="1:27" hidden="1" x14ac:dyDescent="0.25">
      <c r="A631" t="s">
        <v>98</v>
      </c>
      <c r="B631" t="s">
        <v>849</v>
      </c>
      <c r="D631" t="s">
        <v>100</v>
      </c>
      <c r="E631" t="s">
        <v>284</v>
      </c>
      <c r="F631" t="s">
        <v>365</v>
      </c>
      <c r="G631" t="s">
        <v>112</v>
      </c>
      <c r="H631" t="s">
        <v>104</v>
      </c>
      <c r="I631">
        <v>2029</v>
      </c>
      <c r="J631" t="s">
        <v>396</v>
      </c>
      <c r="K631" t="s">
        <v>106</v>
      </c>
      <c r="L631" t="s">
        <v>925</v>
      </c>
      <c r="M631" t="s">
        <v>976</v>
      </c>
      <c r="N631">
        <v>1</v>
      </c>
      <c r="O631">
        <v>2029</v>
      </c>
      <c r="P631">
        <v>43.733464606512037</v>
      </c>
      <c r="Q631">
        <v>2.4042644647868401</v>
      </c>
      <c r="R631" t="s">
        <v>289</v>
      </c>
      <c r="S631">
        <v>130.6177318295739</v>
      </c>
      <c r="T631" t="s">
        <v>290</v>
      </c>
      <c r="U631">
        <v>130.6177318295739</v>
      </c>
      <c r="V631">
        <v>43.733464606512037</v>
      </c>
      <c r="W631">
        <v>2.4042644647868401</v>
      </c>
      <c r="X631" t="s">
        <v>291</v>
      </c>
      <c r="Y631">
        <v>10</v>
      </c>
      <c r="Z631">
        <v>0.24729609702719399</v>
      </c>
      <c r="AA631">
        <v>1</v>
      </c>
    </row>
    <row r="632" spans="1:27" hidden="1" x14ac:dyDescent="0.25">
      <c r="A632" t="s">
        <v>98</v>
      </c>
      <c r="B632" t="s">
        <v>849</v>
      </c>
      <c r="D632" t="s">
        <v>100</v>
      </c>
      <c r="E632" t="s">
        <v>284</v>
      </c>
      <c r="F632" t="s">
        <v>355</v>
      </c>
      <c r="G632" t="s">
        <v>103</v>
      </c>
      <c r="H632" t="s">
        <v>104</v>
      </c>
      <c r="I632">
        <v>2030</v>
      </c>
      <c r="J632" t="s">
        <v>398</v>
      </c>
      <c r="K632" t="s">
        <v>106</v>
      </c>
      <c r="L632" t="s">
        <v>925</v>
      </c>
      <c r="M632" t="s">
        <v>977</v>
      </c>
      <c r="N632">
        <v>1</v>
      </c>
      <c r="O632">
        <v>2030</v>
      </c>
      <c r="P632">
        <v>22.026606087295281</v>
      </c>
      <c r="Q632">
        <v>0.67594869632979349</v>
      </c>
      <c r="R632" t="s">
        <v>289</v>
      </c>
      <c r="S632">
        <v>87.209325187237212</v>
      </c>
      <c r="T632" t="s">
        <v>290</v>
      </c>
      <c r="U632">
        <v>87.209325187237212</v>
      </c>
      <c r="V632">
        <v>22.026606087295281</v>
      </c>
      <c r="W632">
        <v>0.67594869632979349</v>
      </c>
      <c r="X632" t="s">
        <v>291</v>
      </c>
      <c r="Y632">
        <v>10</v>
      </c>
      <c r="Z632">
        <v>0.24729609702719399</v>
      </c>
      <c r="AA632">
        <v>1</v>
      </c>
    </row>
    <row r="633" spans="1:27" hidden="1" x14ac:dyDescent="0.25">
      <c r="A633" t="s">
        <v>98</v>
      </c>
      <c r="B633" t="s">
        <v>849</v>
      </c>
      <c r="D633" t="s">
        <v>100</v>
      </c>
      <c r="E633" t="s">
        <v>284</v>
      </c>
      <c r="F633" t="s">
        <v>355</v>
      </c>
      <c r="G633" t="s">
        <v>112</v>
      </c>
      <c r="H633" t="s">
        <v>104</v>
      </c>
      <c r="I633">
        <v>2030</v>
      </c>
      <c r="J633" t="s">
        <v>400</v>
      </c>
      <c r="K633" t="s">
        <v>106</v>
      </c>
      <c r="L633" t="s">
        <v>925</v>
      </c>
      <c r="M633" t="s">
        <v>978</v>
      </c>
      <c r="N633">
        <v>1</v>
      </c>
      <c r="O633">
        <v>2030</v>
      </c>
      <c r="P633">
        <v>23.051216439564651</v>
      </c>
      <c r="Q633">
        <v>0.88782640486853737</v>
      </c>
      <c r="R633" t="s">
        <v>289</v>
      </c>
      <c r="S633">
        <v>87.494679062376832</v>
      </c>
      <c r="T633" t="s">
        <v>290</v>
      </c>
      <c r="U633">
        <v>87.494679062376832</v>
      </c>
      <c r="V633">
        <v>23.051216439564651</v>
      </c>
      <c r="W633">
        <v>0.88782640486853737</v>
      </c>
      <c r="X633" t="s">
        <v>291</v>
      </c>
      <c r="Y633">
        <v>10</v>
      </c>
      <c r="Z633">
        <v>0.24729609702719399</v>
      </c>
      <c r="AA633">
        <v>1</v>
      </c>
    </row>
    <row r="634" spans="1:27" hidden="1" x14ac:dyDescent="0.25">
      <c r="A634" t="s">
        <v>98</v>
      </c>
      <c r="B634" t="s">
        <v>849</v>
      </c>
      <c r="D634" t="s">
        <v>100</v>
      </c>
      <c r="E634" t="s">
        <v>284</v>
      </c>
      <c r="F634" t="s">
        <v>360</v>
      </c>
      <c r="G634" t="s">
        <v>103</v>
      </c>
      <c r="H634" t="s">
        <v>104</v>
      </c>
      <c r="I634">
        <v>2030</v>
      </c>
      <c r="J634" t="s">
        <v>402</v>
      </c>
      <c r="K634" t="s">
        <v>106</v>
      </c>
      <c r="L634" t="s">
        <v>925</v>
      </c>
      <c r="M634" t="s">
        <v>979</v>
      </c>
      <c r="N634">
        <v>1</v>
      </c>
      <c r="O634">
        <v>2030</v>
      </c>
      <c r="P634">
        <v>32.03338343675982</v>
      </c>
      <c r="Q634">
        <v>0.74367453538487105</v>
      </c>
      <c r="R634" t="s">
        <v>289</v>
      </c>
      <c r="S634">
        <v>80.816288888888892</v>
      </c>
      <c r="T634" t="s">
        <v>290</v>
      </c>
      <c r="U634">
        <v>80.816288888888892</v>
      </c>
      <c r="V634">
        <v>32.03338343675982</v>
      </c>
      <c r="W634">
        <v>0.74367453538487105</v>
      </c>
      <c r="X634" t="s">
        <v>291</v>
      </c>
      <c r="Y634">
        <v>10</v>
      </c>
      <c r="Z634">
        <v>0.24729609702719399</v>
      </c>
      <c r="AA634">
        <v>1</v>
      </c>
    </row>
    <row r="635" spans="1:27" hidden="1" x14ac:dyDescent="0.25">
      <c r="A635" t="s">
        <v>98</v>
      </c>
      <c r="B635" t="s">
        <v>849</v>
      </c>
      <c r="D635" t="s">
        <v>100</v>
      </c>
      <c r="E635" t="s">
        <v>284</v>
      </c>
      <c r="F635" t="s">
        <v>360</v>
      </c>
      <c r="G635" t="s">
        <v>112</v>
      </c>
      <c r="H635" t="s">
        <v>104</v>
      </c>
      <c r="I635">
        <v>2030</v>
      </c>
      <c r="J635" t="s">
        <v>404</v>
      </c>
      <c r="K635" t="s">
        <v>106</v>
      </c>
      <c r="L635" t="s">
        <v>925</v>
      </c>
      <c r="M635" t="s">
        <v>980</v>
      </c>
      <c r="N635">
        <v>1</v>
      </c>
      <c r="O635">
        <v>2030</v>
      </c>
      <c r="P635">
        <v>30.04097222030375</v>
      </c>
      <c r="Q635">
        <v>1.0503155304453009</v>
      </c>
      <c r="R635" t="s">
        <v>289</v>
      </c>
      <c r="S635">
        <v>90.329273504273502</v>
      </c>
      <c r="T635" t="s">
        <v>290</v>
      </c>
      <c r="U635">
        <v>90.329273504273502</v>
      </c>
      <c r="V635">
        <v>30.04097222030375</v>
      </c>
      <c r="W635">
        <v>1.0503155304453009</v>
      </c>
      <c r="X635" t="s">
        <v>291</v>
      </c>
      <c r="Y635">
        <v>10</v>
      </c>
      <c r="Z635">
        <v>0.24729609702719399</v>
      </c>
      <c r="AA635">
        <v>1</v>
      </c>
    </row>
    <row r="636" spans="1:27" hidden="1" x14ac:dyDescent="0.25">
      <c r="A636" t="s">
        <v>98</v>
      </c>
      <c r="B636" t="s">
        <v>849</v>
      </c>
      <c r="D636" t="s">
        <v>100</v>
      </c>
      <c r="E636" t="s">
        <v>284</v>
      </c>
      <c r="F636" t="s">
        <v>365</v>
      </c>
      <c r="G636" t="s">
        <v>103</v>
      </c>
      <c r="H636" t="s">
        <v>104</v>
      </c>
      <c r="I636">
        <v>2030</v>
      </c>
      <c r="J636" t="s">
        <v>406</v>
      </c>
      <c r="K636" t="s">
        <v>106</v>
      </c>
      <c r="L636" t="s">
        <v>925</v>
      </c>
      <c r="M636" t="s">
        <v>981</v>
      </c>
      <c r="N636">
        <v>1</v>
      </c>
      <c r="O636">
        <v>2030</v>
      </c>
      <c r="P636">
        <v>23.710775767327672</v>
      </c>
      <c r="Q636">
        <v>1.668845649337886</v>
      </c>
      <c r="R636" t="s">
        <v>289</v>
      </c>
      <c r="S636">
        <v>154.72558108377279</v>
      </c>
      <c r="T636" t="s">
        <v>290</v>
      </c>
      <c r="U636">
        <v>154.72558108377279</v>
      </c>
      <c r="V636">
        <v>23.710775767327672</v>
      </c>
      <c r="W636">
        <v>1.668845649337886</v>
      </c>
      <c r="X636" t="s">
        <v>291</v>
      </c>
      <c r="Y636">
        <v>10</v>
      </c>
      <c r="Z636">
        <v>0.24729609702719399</v>
      </c>
      <c r="AA636">
        <v>1</v>
      </c>
    </row>
    <row r="637" spans="1:27" hidden="1" x14ac:dyDescent="0.25">
      <c r="A637" t="s">
        <v>98</v>
      </c>
      <c r="B637" t="s">
        <v>849</v>
      </c>
      <c r="D637" t="s">
        <v>100</v>
      </c>
      <c r="E637" t="s">
        <v>284</v>
      </c>
      <c r="F637" t="s">
        <v>365</v>
      </c>
      <c r="G637" t="s">
        <v>112</v>
      </c>
      <c r="H637" t="s">
        <v>104</v>
      </c>
      <c r="I637">
        <v>2030</v>
      </c>
      <c r="J637" t="s">
        <v>408</v>
      </c>
      <c r="K637" t="s">
        <v>106</v>
      </c>
      <c r="L637" t="s">
        <v>925</v>
      </c>
      <c r="M637" t="s">
        <v>982</v>
      </c>
      <c r="N637">
        <v>1</v>
      </c>
      <c r="O637">
        <v>2030</v>
      </c>
      <c r="P637">
        <v>28.858905605402359</v>
      </c>
      <c r="Q637">
        <v>2.128664396371156</v>
      </c>
      <c r="R637" t="s">
        <v>289</v>
      </c>
      <c r="S637">
        <v>176.3746647164572</v>
      </c>
      <c r="T637" t="s">
        <v>290</v>
      </c>
      <c r="U637">
        <v>176.3746647164572</v>
      </c>
      <c r="V637">
        <v>28.858905605402359</v>
      </c>
      <c r="W637">
        <v>2.128664396371156</v>
      </c>
      <c r="X637" t="s">
        <v>291</v>
      </c>
      <c r="Y637">
        <v>10</v>
      </c>
      <c r="Z637">
        <v>0.24729609702719399</v>
      </c>
      <c r="AA637">
        <v>1</v>
      </c>
    </row>
    <row r="638" spans="1:27" hidden="1" x14ac:dyDescent="0.25">
      <c r="A638" t="s">
        <v>98</v>
      </c>
      <c r="B638" t="s">
        <v>849</v>
      </c>
      <c r="D638" t="s">
        <v>100</v>
      </c>
      <c r="E638" t="s">
        <v>284</v>
      </c>
      <c r="F638" t="s">
        <v>355</v>
      </c>
      <c r="G638" t="s">
        <v>103</v>
      </c>
      <c r="H638" t="s">
        <v>104</v>
      </c>
      <c r="I638">
        <v>2040</v>
      </c>
      <c r="J638" t="s">
        <v>410</v>
      </c>
      <c r="K638" t="s">
        <v>106</v>
      </c>
      <c r="L638" t="s">
        <v>925</v>
      </c>
      <c r="M638" t="s">
        <v>983</v>
      </c>
      <c r="N638">
        <v>1</v>
      </c>
      <c r="O638">
        <v>2040</v>
      </c>
      <c r="P638">
        <v>22.159986853322259</v>
      </c>
      <c r="Q638">
        <v>0.64769049265200085</v>
      </c>
      <c r="R638" t="s">
        <v>289</v>
      </c>
      <c r="S638">
        <v>85.846844985289152</v>
      </c>
      <c r="T638" t="s">
        <v>290</v>
      </c>
      <c r="U638">
        <v>85.846844985289152</v>
      </c>
      <c r="V638">
        <v>22.159986853322259</v>
      </c>
      <c r="W638">
        <v>0.64769049265200085</v>
      </c>
      <c r="X638" t="s">
        <v>291</v>
      </c>
      <c r="Y638">
        <v>10</v>
      </c>
      <c r="Z638">
        <v>0.24729609702719399</v>
      </c>
      <c r="AA638">
        <v>1</v>
      </c>
    </row>
    <row r="639" spans="1:27" hidden="1" x14ac:dyDescent="0.25">
      <c r="A639" t="s">
        <v>98</v>
      </c>
      <c r="B639" t="s">
        <v>849</v>
      </c>
      <c r="D639" t="s">
        <v>100</v>
      </c>
      <c r="E639" t="s">
        <v>284</v>
      </c>
      <c r="F639" t="s">
        <v>355</v>
      </c>
      <c r="G639" t="s">
        <v>112</v>
      </c>
      <c r="H639" t="s">
        <v>104</v>
      </c>
      <c r="I639">
        <v>2040</v>
      </c>
      <c r="J639" t="s">
        <v>412</v>
      </c>
      <c r="K639" t="s">
        <v>106</v>
      </c>
      <c r="L639" t="s">
        <v>925</v>
      </c>
      <c r="M639" t="s">
        <v>984</v>
      </c>
      <c r="N639">
        <v>1</v>
      </c>
      <c r="O639">
        <v>2040</v>
      </c>
      <c r="P639">
        <v>22.287209700822071</v>
      </c>
      <c r="Q639">
        <v>0.78348370867951755</v>
      </c>
      <c r="R639" t="s">
        <v>289</v>
      </c>
      <c r="S639">
        <v>88.372750377742747</v>
      </c>
      <c r="T639" t="s">
        <v>290</v>
      </c>
      <c r="U639">
        <v>88.372750377742747</v>
      </c>
      <c r="V639">
        <v>22.287209700822071</v>
      </c>
      <c r="W639">
        <v>0.78348370867951755</v>
      </c>
      <c r="X639" t="s">
        <v>291</v>
      </c>
      <c r="Y639">
        <v>10</v>
      </c>
      <c r="Z639">
        <v>0.24729609702719399</v>
      </c>
      <c r="AA639">
        <v>1</v>
      </c>
    </row>
    <row r="640" spans="1:27" hidden="1" x14ac:dyDescent="0.25">
      <c r="A640" t="s">
        <v>98</v>
      </c>
      <c r="B640" t="s">
        <v>849</v>
      </c>
      <c r="D640" t="s">
        <v>100</v>
      </c>
      <c r="E640" t="s">
        <v>284</v>
      </c>
      <c r="F640" t="s">
        <v>360</v>
      </c>
      <c r="G640" t="s">
        <v>103</v>
      </c>
      <c r="H640" t="s">
        <v>104</v>
      </c>
      <c r="I640">
        <v>2040</v>
      </c>
      <c r="J640" t="s">
        <v>414</v>
      </c>
      <c r="K640" t="s">
        <v>106</v>
      </c>
      <c r="L640" t="s">
        <v>925</v>
      </c>
      <c r="M640" t="s">
        <v>985</v>
      </c>
      <c r="N640">
        <v>1</v>
      </c>
      <c r="O640">
        <v>2040</v>
      </c>
      <c r="P640">
        <v>28.721945226708339</v>
      </c>
      <c r="Q640">
        <v>0.72978219131721256</v>
      </c>
      <c r="R640" t="s">
        <v>289</v>
      </c>
      <c r="S640">
        <v>80.816288888888892</v>
      </c>
      <c r="T640" t="s">
        <v>290</v>
      </c>
      <c r="U640">
        <v>80.816288888888892</v>
      </c>
      <c r="V640">
        <v>28.721945226708339</v>
      </c>
      <c r="W640">
        <v>0.72978219131721256</v>
      </c>
      <c r="X640" t="s">
        <v>291</v>
      </c>
      <c r="Y640">
        <v>10</v>
      </c>
      <c r="Z640">
        <v>0.24729609702719399</v>
      </c>
      <c r="AA640">
        <v>1</v>
      </c>
    </row>
    <row r="641" spans="1:27" hidden="1" x14ac:dyDescent="0.25">
      <c r="A641" t="s">
        <v>98</v>
      </c>
      <c r="B641" t="s">
        <v>849</v>
      </c>
      <c r="D641" t="s">
        <v>100</v>
      </c>
      <c r="E641" t="s">
        <v>284</v>
      </c>
      <c r="F641" t="s">
        <v>360</v>
      </c>
      <c r="G641" t="s">
        <v>112</v>
      </c>
      <c r="H641" t="s">
        <v>104</v>
      </c>
      <c r="I641">
        <v>2040</v>
      </c>
      <c r="J641" t="s">
        <v>416</v>
      </c>
      <c r="K641" t="s">
        <v>106</v>
      </c>
      <c r="L641" t="s">
        <v>925</v>
      </c>
      <c r="M641" t="s">
        <v>986</v>
      </c>
      <c r="N641">
        <v>1</v>
      </c>
      <c r="O641">
        <v>2040</v>
      </c>
      <c r="P641">
        <v>33.197275628385512</v>
      </c>
      <c r="Q641">
        <v>1.1034319170477349</v>
      </c>
      <c r="R641" t="s">
        <v>289</v>
      </c>
      <c r="S641">
        <v>93.34643874643875</v>
      </c>
      <c r="T641" t="s">
        <v>290</v>
      </c>
      <c r="U641">
        <v>93.34643874643875</v>
      </c>
      <c r="V641">
        <v>33.197275628385512</v>
      </c>
      <c r="W641">
        <v>1.1034319170477349</v>
      </c>
      <c r="X641" t="s">
        <v>291</v>
      </c>
      <c r="Y641">
        <v>10</v>
      </c>
      <c r="Z641">
        <v>0.24729609702719399</v>
      </c>
      <c r="AA641">
        <v>1</v>
      </c>
    </row>
    <row r="642" spans="1:27" hidden="1" x14ac:dyDescent="0.25">
      <c r="A642" t="s">
        <v>98</v>
      </c>
      <c r="B642" t="s">
        <v>849</v>
      </c>
      <c r="D642" t="s">
        <v>100</v>
      </c>
      <c r="E642" t="s">
        <v>284</v>
      </c>
      <c r="F642" t="s">
        <v>365</v>
      </c>
      <c r="G642" t="s">
        <v>103</v>
      </c>
      <c r="H642" t="s">
        <v>104</v>
      </c>
      <c r="I642">
        <v>2040</v>
      </c>
      <c r="J642" t="s">
        <v>418</v>
      </c>
      <c r="K642" t="s">
        <v>106</v>
      </c>
      <c r="L642" t="s">
        <v>925</v>
      </c>
      <c r="M642" t="s">
        <v>987</v>
      </c>
      <c r="N642">
        <v>1</v>
      </c>
      <c r="O642">
        <v>2040</v>
      </c>
      <c r="P642">
        <v>22.333975775561878</v>
      </c>
      <c r="Q642">
        <v>1.552983156443519</v>
      </c>
      <c r="R642" t="s">
        <v>289</v>
      </c>
      <c r="S642">
        <v>181.1420784222461</v>
      </c>
      <c r="T642" t="s">
        <v>290</v>
      </c>
      <c r="U642">
        <v>181.1420784222461</v>
      </c>
      <c r="V642">
        <v>22.333975775561878</v>
      </c>
      <c r="W642">
        <v>1.552983156443519</v>
      </c>
      <c r="X642" t="s">
        <v>291</v>
      </c>
      <c r="Y642">
        <v>10</v>
      </c>
      <c r="Z642">
        <v>0.24729609702719399</v>
      </c>
      <c r="AA642">
        <v>1</v>
      </c>
    </row>
    <row r="643" spans="1:27" hidden="1" x14ac:dyDescent="0.25">
      <c r="A643" t="s">
        <v>98</v>
      </c>
      <c r="B643" t="s">
        <v>849</v>
      </c>
      <c r="D643" t="s">
        <v>100</v>
      </c>
      <c r="E643" t="s">
        <v>284</v>
      </c>
      <c r="F643" t="s">
        <v>365</v>
      </c>
      <c r="G643" t="s">
        <v>112</v>
      </c>
      <c r="H643" t="s">
        <v>104</v>
      </c>
      <c r="I643">
        <v>2040</v>
      </c>
      <c r="J643" t="s">
        <v>420</v>
      </c>
      <c r="K643" t="s">
        <v>106</v>
      </c>
      <c r="L643" t="s">
        <v>925</v>
      </c>
      <c r="M643" t="s">
        <v>988</v>
      </c>
      <c r="N643">
        <v>1</v>
      </c>
      <c r="O643">
        <v>2040</v>
      </c>
      <c r="P643">
        <v>27.009726996743201</v>
      </c>
      <c r="Q643">
        <v>1.971842815426603</v>
      </c>
      <c r="R643" t="s">
        <v>289</v>
      </c>
      <c r="S643">
        <v>206.50467814395611</v>
      </c>
      <c r="T643" t="s">
        <v>290</v>
      </c>
      <c r="U643">
        <v>206.50467814395611</v>
      </c>
      <c r="V643">
        <v>27.009726996743201</v>
      </c>
      <c r="W643">
        <v>1.971842815426603</v>
      </c>
      <c r="X643" t="s">
        <v>291</v>
      </c>
      <c r="Y643">
        <v>10</v>
      </c>
      <c r="Z643">
        <v>0.24729609702719399</v>
      </c>
      <c r="AA643">
        <v>1</v>
      </c>
    </row>
    <row r="644" spans="1:27" hidden="1" x14ac:dyDescent="0.25">
      <c r="A644" t="s">
        <v>98</v>
      </c>
      <c r="B644" t="s">
        <v>849</v>
      </c>
      <c r="D644" t="s">
        <v>100</v>
      </c>
      <c r="E644" t="s">
        <v>284</v>
      </c>
      <c r="F644" t="s">
        <v>422</v>
      </c>
      <c r="G644" t="s">
        <v>103</v>
      </c>
      <c r="H644" t="s">
        <v>104</v>
      </c>
      <c r="I644">
        <v>2022</v>
      </c>
      <c r="J644" t="s">
        <v>423</v>
      </c>
      <c r="K644" t="s">
        <v>106</v>
      </c>
      <c r="L644" t="s">
        <v>925</v>
      </c>
      <c r="M644" t="s">
        <v>989</v>
      </c>
      <c r="N644">
        <v>1</v>
      </c>
      <c r="O644">
        <v>2020</v>
      </c>
      <c r="P644">
        <v>22.570490905245428</v>
      </c>
      <c r="Q644">
        <v>0.77947598919167282</v>
      </c>
      <c r="R644" t="s">
        <v>289</v>
      </c>
      <c r="S644">
        <v>59.465873015873022</v>
      </c>
      <c r="T644" t="s">
        <v>290</v>
      </c>
      <c r="U644">
        <v>59.465873015873022</v>
      </c>
      <c r="V644">
        <v>22.570490905245428</v>
      </c>
      <c r="W644">
        <v>0.77947598919167282</v>
      </c>
      <c r="X644" t="s">
        <v>291</v>
      </c>
      <c r="Y644">
        <v>10</v>
      </c>
      <c r="Z644">
        <v>0.24729609702719399</v>
      </c>
      <c r="AA644">
        <v>1</v>
      </c>
    </row>
    <row r="645" spans="1:27" hidden="1" x14ac:dyDescent="0.25">
      <c r="A645" t="s">
        <v>98</v>
      </c>
      <c r="B645" t="s">
        <v>849</v>
      </c>
      <c r="D645" t="s">
        <v>100</v>
      </c>
      <c r="E645" t="s">
        <v>284</v>
      </c>
      <c r="F645" t="s">
        <v>425</v>
      </c>
      <c r="G645" t="s">
        <v>103</v>
      </c>
      <c r="H645" t="s">
        <v>104</v>
      </c>
      <c r="I645">
        <v>2022</v>
      </c>
      <c r="J645" t="s">
        <v>426</v>
      </c>
      <c r="K645" t="s">
        <v>106</v>
      </c>
      <c r="L645" t="s">
        <v>925</v>
      </c>
      <c r="M645" t="s">
        <v>990</v>
      </c>
      <c r="N645">
        <v>1</v>
      </c>
      <c r="O645">
        <v>2020</v>
      </c>
      <c r="P645">
        <v>20.699165146358741</v>
      </c>
      <c r="Q645">
        <v>1.111231451610436</v>
      </c>
      <c r="R645" t="s">
        <v>289</v>
      </c>
      <c r="S645">
        <v>74.054444444444442</v>
      </c>
      <c r="T645" t="s">
        <v>290</v>
      </c>
      <c r="U645">
        <v>74.054444444444442</v>
      </c>
      <c r="V645">
        <v>20.699165146358741</v>
      </c>
      <c r="W645">
        <v>1.111231451610436</v>
      </c>
      <c r="X645" t="s">
        <v>291</v>
      </c>
      <c r="Y645">
        <v>10</v>
      </c>
      <c r="Z645">
        <v>0.24729609702719399</v>
      </c>
      <c r="AA645">
        <v>1</v>
      </c>
    </row>
    <row r="646" spans="1:27" hidden="1" x14ac:dyDescent="0.25">
      <c r="A646" t="s">
        <v>98</v>
      </c>
      <c r="B646" t="s">
        <v>849</v>
      </c>
      <c r="D646" t="s">
        <v>100</v>
      </c>
      <c r="E646" t="s">
        <v>284</v>
      </c>
      <c r="F646" t="s">
        <v>428</v>
      </c>
      <c r="G646" t="s">
        <v>103</v>
      </c>
      <c r="H646" t="s">
        <v>104</v>
      </c>
      <c r="I646">
        <v>2022</v>
      </c>
      <c r="J646" t="s">
        <v>429</v>
      </c>
      <c r="K646" t="s">
        <v>106</v>
      </c>
      <c r="L646" t="s">
        <v>925</v>
      </c>
      <c r="M646" t="s">
        <v>991</v>
      </c>
      <c r="N646">
        <v>1</v>
      </c>
      <c r="O646">
        <v>2020</v>
      </c>
      <c r="P646">
        <v>25.347672779313449</v>
      </c>
      <c r="Q646">
        <v>0.56400508525842741</v>
      </c>
      <c r="R646" t="s">
        <v>289</v>
      </c>
      <c r="S646">
        <v>77.810944444444459</v>
      </c>
      <c r="T646" t="s">
        <v>290</v>
      </c>
      <c r="U646">
        <v>77.810944444444459</v>
      </c>
      <c r="V646">
        <v>25.347672779313449</v>
      </c>
      <c r="W646">
        <v>0.56400508525842741</v>
      </c>
      <c r="X646" t="s">
        <v>291</v>
      </c>
      <c r="Y646">
        <v>10</v>
      </c>
      <c r="Z646">
        <v>0.24729609702719399</v>
      </c>
      <c r="AA646">
        <v>1</v>
      </c>
    </row>
    <row r="647" spans="1:27" hidden="1" x14ac:dyDescent="0.25">
      <c r="A647" t="s">
        <v>98</v>
      </c>
      <c r="B647" t="s">
        <v>849</v>
      </c>
      <c r="D647" t="s">
        <v>100</v>
      </c>
      <c r="E647" t="s">
        <v>284</v>
      </c>
      <c r="F647" t="s">
        <v>425</v>
      </c>
      <c r="G647" t="s">
        <v>103</v>
      </c>
      <c r="H647" t="s">
        <v>104</v>
      </c>
      <c r="I647">
        <v>2030</v>
      </c>
      <c r="J647" t="s">
        <v>431</v>
      </c>
      <c r="K647" t="s">
        <v>106</v>
      </c>
      <c r="L647" t="s">
        <v>925</v>
      </c>
      <c r="M647" t="s">
        <v>992</v>
      </c>
      <c r="N647">
        <v>1</v>
      </c>
      <c r="O647">
        <v>2030</v>
      </c>
      <c r="P647">
        <v>20.230705085538521</v>
      </c>
      <c r="Q647">
        <v>1.0951903363739519</v>
      </c>
      <c r="R647" t="s">
        <v>289</v>
      </c>
      <c r="S647">
        <v>79.81</v>
      </c>
      <c r="T647" t="s">
        <v>290</v>
      </c>
      <c r="U647">
        <v>79.81</v>
      </c>
      <c r="V647">
        <v>20.230705085538521</v>
      </c>
      <c r="W647">
        <v>1.0951903363739519</v>
      </c>
      <c r="X647" t="s">
        <v>291</v>
      </c>
      <c r="Y647">
        <v>10</v>
      </c>
      <c r="Z647">
        <v>0.24729609702719399</v>
      </c>
      <c r="AA647">
        <v>1</v>
      </c>
    </row>
    <row r="648" spans="1:27" hidden="1" x14ac:dyDescent="0.25">
      <c r="A648" t="s">
        <v>98</v>
      </c>
      <c r="B648" t="s">
        <v>849</v>
      </c>
      <c r="D648" t="s">
        <v>100</v>
      </c>
      <c r="E648" t="s">
        <v>284</v>
      </c>
      <c r="F648" t="s">
        <v>428</v>
      </c>
      <c r="G648" t="s">
        <v>103</v>
      </c>
      <c r="H648" t="s">
        <v>104</v>
      </c>
      <c r="I648">
        <v>2030</v>
      </c>
      <c r="J648" t="s">
        <v>433</v>
      </c>
      <c r="K648" t="s">
        <v>106</v>
      </c>
      <c r="L648" t="s">
        <v>925</v>
      </c>
      <c r="M648" t="s">
        <v>993</v>
      </c>
      <c r="N648">
        <v>1</v>
      </c>
      <c r="O648">
        <v>2030</v>
      </c>
      <c r="P648">
        <v>24.67049407605251</v>
      </c>
      <c r="Q648">
        <v>0.55731249361340607</v>
      </c>
      <c r="R648" t="s">
        <v>289</v>
      </c>
      <c r="S648">
        <v>84.367500000000007</v>
      </c>
      <c r="T648" t="s">
        <v>290</v>
      </c>
      <c r="U648">
        <v>84.367500000000007</v>
      </c>
      <c r="V648">
        <v>24.67049407605251</v>
      </c>
      <c r="W648">
        <v>0.55731249361340607</v>
      </c>
      <c r="X648" t="s">
        <v>291</v>
      </c>
      <c r="Y648">
        <v>10</v>
      </c>
      <c r="Z648">
        <v>0.24729609702719399</v>
      </c>
      <c r="AA648">
        <v>1</v>
      </c>
    </row>
    <row r="649" spans="1:27" hidden="1" x14ac:dyDescent="0.25">
      <c r="A649" t="s">
        <v>98</v>
      </c>
      <c r="B649" t="s">
        <v>849</v>
      </c>
      <c r="D649" t="s">
        <v>100</v>
      </c>
      <c r="E649" t="s">
        <v>284</v>
      </c>
      <c r="F649" t="s">
        <v>425</v>
      </c>
      <c r="G649" t="s">
        <v>103</v>
      </c>
      <c r="H649" t="s">
        <v>104</v>
      </c>
      <c r="I649">
        <v>2040</v>
      </c>
      <c r="J649" t="s">
        <v>435</v>
      </c>
      <c r="K649" t="s">
        <v>106</v>
      </c>
      <c r="L649" t="s">
        <v>925</v>
      </c>
      <c r="M649" t="s">
        <v>994</v>
      </c>
      <c r="N649">
        <v>1</v>
      </c>
      <c r="O649">
        <v>2040</v>
      </c>
      <c r="P649">
        <v>19.670938877469698</v>
      </c>
      <c r="Q649">
        <v>1.076022695415618</v>
      </c>
      <c r="R649" t="s">
        <v>289</v>
      </c>
      <c r="S649">
        <v>79.81</v>
      </c>
      <c r="T649" t="s">
        <v>290</v>
      </c>
      <c r="U649">
        <v>79.81</v>
      </c>
      <c r="V649">
        <v>19.670938877469698</v>
      </c>
      <c r="W649">
        <v>1.076022695415618</v>
      </c>
      <c r="X649" t="s">
        <v>291</v>
      </c>
      <c r="Y649">
        <v>10</v>
      </c>
      <c r="Z649">
        <v>0.24729609702719399</v>
      </c>
      <c r="AA649">
        <v>1</v>
      </c>
    </row>
    <row r="650" spans="1:27" hidden="1" x14ac:dyDescent="0.25">
      <c r="A650" t="s">
        <v>98</v>
      </c>
      <c r="B650" t="s">
        <v>849</v>
      </c>
      <c r="D650" t="s">
        <v>100</v>
      </c>
      <c r="E650" t="s">
        <v>284</v>
      </c>
      <c r="F650" t="s">
        <v>428</v>
      </c>
      <c r="G650" t="s">
        <v>103</v>
      </c>
      <c r="H650" t="s">
        <v>104</v>
      </c>
      <c r="I650">
        <v>2040</v>
      </c>
      <c r="J650" t="s">
        <v>437</v>
      </c>
      <c r="K650" t="s">
        <v>106</v>
      </c>
      <c r="L650" t="s">
        <v>925</v>
      </c>
      <c r="M650" t="s">
        <v>995</v>
      </c>
      <c r="N650">
        <v>1</v>
      </c>
      <c r="O650">
        <v>2040</v>
      </c>
      <c r="P650">
        <v>23.861328500132039</v>
      </c>
      <c r="Q650">
        <v>0.54931546897756556</v>
      </c>
      <c r="R650" t="s">
        <v>289</v>
      </c>
      <c r="S650">
        <v>84.367500000000007</v>
      </c>
      <c r="T650" t="s">
        <v>290</v>
      </c>
      <c r="U650">
        <v>84.367500000000007</v>
      </c>
      <c r="V650">
        <v>23.861328500132039</v>
      </c>
      <c r="W650">
        <v>0.54931546897756556</v>
      </c>
      <c r="X650" t="s">
        <v>291</v>
      </c>
      <c r="Y650">
        <v>10</v>
      </c>
      <c r="Z650">
        <v>0.24729609702719399</v>
      </c>
      <c r="AA650">
        <v>1</v>
      </c>
    </row>
    <row r="651" spans="1:27" hidden="1" x14ac:dyDescent="0.25">
      <c r="A651" t="s">
        <v>98</v>
      </c>
      <c r="B651" t="s">
        <v>849</v>
      </c>
      <c r="D651" t="s">
        <v>100</v>
      </c>
      <c r="E651" t="s">
        <v>439</v>
      </c>
      <c r="F651" t="s">
        <v>440</v>
      </c>
      <c r="G651" t="s">
        <v>245</v>
      </c>
      <c r="H651" t="s">
        <v>104</v>
      </c>
      <c r="I651">
        <v>2022</v>
      </c>
      <c r="J651" t="s">
        <v>441</v>
      </c>
      <c r="K651" t="s">
        <v>106</v>
      </c>
      <c r="L651" t="s">
        <v>996</v>
      </c>
      <c r="M651" t="s">
        <v>997</v>
      </c>
      <c r="N651">
        <v>1</v>
      </c>
      <c r="O651">
        <v>2020</v>
      </c>
      <c r="P651">
        <v>831.12625331024003</v>
      </c>
      <c r="Q651">
        <v>84.323656568982784</v>
      </c>
      <c r="R651" t="s">
        <v>109</v>
      </c>
      <c r="S651">
        <v>2.8957310176295739</v>
      </c>
      <c r="T651" t="s">
        <v>110</v>
      </c>
      <c r="U651">
        <v>1</v>
      </c>
      <c r="V651">
        <v>8212.0648964814554</v>
      </c>
      <c r="W651">
        <v>833.17226148867417</v>
      </c>
      <c r="X651" t="s">
        <v>111</v>
      </c>
      <c r="Y651">
        <v>10</v>
      </c>
      <c r="Z651">
        <v>0.44</v>
      </c>
      <c r="AA651">
        <v>31.536000000000001</v>
      </c>
    </row>
    <row r="652" spans="1:27" hidden="1" x14ac:dyDescent="0.25">
      <c r="A652" t="s">
        <v>98</v>
      </c>
      <c r="B652" t="s">
        <v>849</v>
      </c>
      <c r="D652" t="s">
        <v>100</v>
      </c>
      <c r="E652" t="s">
        <v>439</v>
      </c>
      <c r="F652" t="s">
        <v>440</v>
      </c>
      <c r="G652" t="s">
        <v>103</v>
      </c>
      <c r="H652" t="s">
        <v>104</v>
      </c>
      <c r="I652">
        <v>2022</v>
      </c>
      <c r="J652" t="s">
        <v>444</v>
      </c>
      <c r="K652" t="s">
        <v>106</v>
      </c>
      <c r="L652" t="s">
        <v>996</v>
      </c>
      <c r="M652" t="s">
        <v>998</v>
      </c>
      <c r="N652">
        <v>1</v>
      </c>
      <c r="O652">
        <v>2020</v>
      </c>
      <c r="P652">
        <v>1031.6192027056411</v>
      </c>
      <c r="Q652">
        <v>84.323656568982784</v>
      </c>
      <c r="R652" t="s">
        <v>109</v>
      </c>
      <c r="S652">
        <v>3.1136892662683588</v>
      </c>
      <c r="T652" t="s">
        <v>110</v>
      </c>
      <c r="U652">
        <v>1.075268817204301</v>
      </c>
      <c r="V652">
        <v>10193.06490119123</v>
      </c>
      <c r="W652">
        <v>833.17226148867428</v>
      </c>
      <c r="X652" t="s">
        <v>111</v>
      </c>
      <c r="Y652">
        <v>10</v>
      </c>
      <c r="Z652">
        <v>0.44</v>
      </c>
      <c r="AA652">
        <v>31.536000000000001</v>
      </c>
    </row>
    <row r="653" spans="1:27" hidden="1" x14ac:dyDescent="0.25">
      <c r="A653" t="s">
        <v>98</v>
      </c>
      <c r="B653" t="s">
        <v>849</v>
      </c>
      <c r="D653" t="s">
        <v>100</v>
      </c>
      <c r="E653" t="s">
        <v>439</v>
      </c>
      <c r="F653" t="s">
        <v>440</v>
      </c>
      <c r="G653" t="s">
        <v>112</v>
      </c>
      <c r="H653" t="s">
        <v>104</v>
      </c>
      <c r="I653">
        <v>2022</v>
      </c>
      <c r="J653" t="s">
        <v>446</v>
      </c>
      <c r="K653" t="s">
        <v>106</v>
      </c>
      <c r="L653" t="s">
        <v>996</v>
      </c>
      <c r="M653" t="s">
        <v>999</v>
      </c>
      <c r="N653">
        <v>1</v>
      </c>
      <c r="O653">
        <v>2020</v>
      </c>
      <c r="P653">
        <v>1137.4723035050019</v>
      </c>
      <c r="Q653">
        <v>84.323656568982784</v>
      </c>
      <c r="R653" t="s">
        <v>109</v>
      </c>
      <c r="S653">
        <v>3.348052974482107</v>
      </c>
      <c r="T653" t="s">
        <v>110</v>
      </c>
      <c r="U653">
        <v>1.156203029251937</v>
      </c>
      <c r="V653">
        <v>11238.961995400419</v>
      </c>
      <c r="W653">
        <v>833.17226148867417</v>
      </c>
      <c r="X653" t="s">
        <v>111</v>
      </c>
      <c r="Y653">
        <v>10</v>
      </c>
      <c r="Z653">
        <v>0.44</v>
      </c>
      <c r="AA653">
        <v>31.536000000000001</v>
      </c>
    </row>
    <row r="654" spans="1:27" hidden="1" x14ac:dyDescent="0.25">
      <c r="A654" t="s">
        <v>98</v>
      </c>
      <c r="B654" t="s">
        <v>849</v>
      </c>
      <c r="D654" t="s">
        <v>100</v>
      </c>
      <c r="E654" t="s">
        <v>439</v>
      </c>
      <c r="F654" t="s">
        <v>440</v>
      </c>
      <c r="G654" t="s">
        <v>103</v>
      </c>
      <c r="H654" t="s">
        <v>104</v>
      </c>
      <c r="I654">
        <v>2030</v>
      </c>
      <c r="J654" t="s">
        <v>448</v>
      </c>
      <c r="K654" t="s">
        <v>106</v>
      </c>
      <c r="L654" t="s">
        <v>996</v>
      </c>
      <c r="M654" t="s">
        <v>1000</v>
      </c>
      <c r="N654">
        <v>0</v>
      </c>
      <c r="O654">
        <v>2030</v>
      </c>
      <c r="P654">
        <v>1031.6192027056411</v>
      </c>
      <c r="Q654">
        <v>84.323656568982784</v>
      </c>
      <c r="R654" t="s">
        <v>109</v>
      </c>
      <c r="S654">
        <v>3.1136892662683588</v>
      </c>
      <c r="T654" t="s">
        <v>110</v>
      </c>
      <c r="U654">
        <v>1.075268817204301</v>
      </c>
      <c r="V654">
        <v>10193.06490119123</v>
      </c>
      <c r="W654">
        <v>833.17226148867428</v>
      </c>
      <c r="X654" t="s">
        <v>111</v>
      </c>
      <c r="Y654">
        <v>10</v>
      </c>
      <c r="Z654">
        <v>0.44</v>
      </c>
      <c r="AA654">
        <v>31.536000000000001</v>
      </c>
    </row>
    <row r="655" spans="1:27" hidden="1" x14ac:dyDescent="0.25">
      <c r="A655" t="s">
        <v>98</v>
      </c>
      <c r="B655" t="s">
        <v>849</v>
      </c>
      <c r="D655" t="s">
        <v>100</v>
      </c>
      <c r="E655" t="s">
        <v>439</v>
      </c>
      <c r="F655" t="s">
        <v>440</v>
      </c>
      <c r="G655" t="s">
        <v>112</v>
      </c>
      <c r="H655" t="s">
        <v>104</v>
      </c>
      <c r="I655">
        <v>2030</v>
      </c>
      <c r="J655" t="s">
        <v>450</v>
      </c>
      <c r="K655" t="s">
        <v>106</v>
      </c>
      <c r="L655" t="s">
        <v>996</v>
      </c>
      <c r="M655" t="s">
        <v>1001</v>
      </c>
      <c r="N655">
        <v>0</v>
      </c>
      <c r="O655">
        <v>2030</v>
      </c>
      <c r="P655">
        <v>1137.4723035050019</v>
      </c>
      <c r="Q655">
        <v>84.323656568982784</v>
      </c>
      <c r="R655" t="s">
        <v>109</v>
      </c>
      <c r="S655">
        <v>3.348052974482107</v>
      </c>
      <c r="T655" t="s">
        <v>110</v>
      </c>
      <c r="U655">
        <v>1.156203029251937</v>
      </c>
      <c r="V655">
        <v>11238.961995400419</v>
      </c>
      <c r="W655">
        <v>833.17226148867417</v>
      </c>
      <c r="X655" t="s">
        <v>111</v>
      </c>
      <c r="Y655">
        <v>10</v>
      </c>
      <c r="Z655">
        <v>0.44</v>
      </c>
      <c r="AA655">
        <v>31.536000000000001</v>
      </c>
    </row>
    <row r="656" spans="1:27" hidden="1" x14ac:dyDescent="0.25">
      <c r="A656" t="s">
        <v>98</v>
      </c>
      <c r="B656" t="s">
        <v>849</v>
      </c>
      <c r="D656" t="s">
        <v>100</v>
      </c>
      <c r="E656" t="s">
        <v>439</v>
      </c>
      <c r="F656" t="s">
        <v>440</v>
      </c>
      <c r="G656" t="s">
        <v>103</v>
      </c>
      <c r="H656" t="s">
        <v>104</v>
      </c>
      <c r="I656">
        <v>2040</v>
      </c>
      <c r="J656" t="s">
        <v>452</v>
      </c>
      <c r="K656" t="s">
        <v>106</v>
      </c>
      <c r="L656" t="s">
        <v>996</v>
      </c>
      <c r="M656" t="s">
        <v>1002</v>
      </c>
      <c r="N656">
        <v>0</v>
      </c>
      <c r="O656">
        <v>2040</v>
      </c>
      <c r="P656">
        <v>1031.6192027056411</v>
      </c>
      <c r="Q656">
        <v>84.323656568982784</v>
      </c>
      <c r="R656" t="s">
        <v>109</v>
      </c>
      <c r="S656">
        <v>3.1136892662683588</v>
      </c>
      <c r="T656" t="s">
        <v>110</v>
      </c>
      <c r="U656">
        <v>1.075268817204301</v>
      </c>
      <c r="V656">
        <v>10193.06490119123</v>
      </c>
      <c r="W656">
        <v>833.17226148867428</v>
      </c>
      <c r="X656" t="s">
        <v>111</v>
      </c>
      <c r="Y656">
        <v>10</v>
      </c>
      <c r="Z656">
        <v>0.44</v>
      </c>
      <c r="AA656">
        <v>31.536000000000001</v>
      </c>
    </row>
    <row r="657" spans="1:27" hidden="1" x14ac:dyDescent="0.25">
      <c r="A657" t="s">
        <v>98</v>
      </c>
      <c r="B657" t="s">
        <v>849</v>
      </c>
      <c r="D657" t="s">
        <v>100</v>
      </c>
      <c r="E657" t="s">
        <v>439</v>
      </c>
      <c r="F657" t="s">
        <v>440</v>
      </c>
      <c r="G657" t="s">
        <v>112</v>
      </c>
      <c r="H657" t="s">
        <v>104</v>
      </c>
      <c r="I657">
        <v>2040</v>
      </c>
      <c r="J657" t="s">
        <v>454</v>
      </c>
      <c r="K657" t="s">
        <v>106</v>
      </c>
      <c r="L657" t="s">
        <v>996</v>
      </c>
      <c r="M657" t="s">
        <v>1003</v>
      </c>
      <c r="N657">
        <v>0</v>
      </c>
      <c r="O657">
        <v>2040</v>
      </c>
      <c r="P657">
        <v>1137.4723035050019</v>
      </c>
      <c r="Q657">
        <v>84.323656568982784</v>
      </c>
      <c r="R657" t="s">
        <v>109</v>
      </c>
      <c r="S657">
        <v>3.348052974482107</v>
      </c>
      <c r="T657" t="s">
        <v>110</v>
      </c>
      <c r="U657">
        <v>1.156203029251937</v>
      </c>
      <c r="V657">
        <v>11238.961995400419</v>
      </c>
      <c r="W657">
        <v>833.17226148867417</v>
      </c>
      <c r="X657" t="s">
        <v>111</v>
      </c>
      <c r="Y657">
        <v>10</v>
      </c>
      <c r="Z657">
        <v>0.44</v>
      </c>
      <c r="AA657">
        <v>31.536000000000001</v>
      </c>
    </row>
    <row r="658" spans="1:27" hidden="1" x14ac:dyDescent="0.25">
      <c r="A658" t="s">
        <v>98</v>
      </c>
      <c r="B658" t="s">
        <v>849</v>
      </c>
      <c r="D658" t="s">
        <v>100</v>
      </c>
      <c r="E658" t="s">
        <v>439</v>
      </c>
      <c r="F658" t="s">
        <v>440</v>
      </c>
      <c r="G658" t="s">
        <v>103</v>
      </c>
      <c r="H658" t="s">
        <v>104</v>
      </c>
      <c r="I658">
        <v>2050</v>
      </c>
      <c r="J658" t="s">
        <v>456</v>
      </c>
      <c r="K658" t="s">
        <v>106</v>
      </c>
      <c r="L658" t="s">
        <v>996</v>
      </c>
      <c r="M658" t="s">
        <v>1004</v>
      </c>
      <c r="N658">
        <v>0</v>
      </c>
      <c r="O658">
        <v>2050</v>
      </c>
      <c r="P658">
        <v>1031.6192027056411</v>
      </c>
      <c r="Q658">
        <v>84.323656568982784</v>
      </c>
      <c r="R658" t="s">
        <v>109</v>
      </c>
      <c r="S658">
        <v>3.1136892662683588</v>
      </c>
      <c r="T658" t="s">
        <v>110</v>
      </c>
      <c r="U658">
        <v>1.075268817204301</v>
      </c>
      <c r="V658">
        <v>10193.06490119123</v>
      </c>
      <c r="W658">
        <v>833.17226148867428</v>
      </c>
      <c r="X658" t="s">
        <v>111</v>
      </c>
      <c r="Y658">
        <v>10</v>
      </c>
      <c r="Z658">
        <v>0.44</v>
      </c>
      <c r="AA658">
        <v>31.536000000000001</v>
      </c>
    </row>
    <row r="659" spans="1:27" hidden="1" x14ac:dyDescent="0.25">
      <c r="A659" t="s">
        <v>98</v>
      </c>
      <c r="B659" t="s">
        <v>849</v>
      </c>
      <c r="D659" t="s">
        <v>100</v>
      </c>
      <c r="E659" t="s">
        <v>439</v>
      </c>
      <c r="F659" t="s">
        <v>440</v>
      </c>
      <c r="G659" t="s">
        <v>112</v>
      </c>
      <c r="H659" t="s">
        <v>104</v>
      </c>
      <c r="I659">
        <v>2050</v>
      </c>
      <c r="J659" t="s">
        <v>458</v>
      </c>
      <c r="K659" t="s">
        <v>106</v>
      </c>
      <c r="L659" t="s">
        <v>996</v>
      </c>
      <c r="M659" t="s">
        <v>1005</v>
      </c>
      <c r="N659">
        <v>0</v>
      </c>
      <c r="O659">
        <v>2050</v>
      </c>
      <c r="P659">
        <v>1137.4723035050019</v>
      </c>
      <c r="Q659">
        <v>84.323656568982784</v>
      </c>
      <c r="R659" t="s">
        <v>109</v>
      </c>
      <c r="S659">
        <v>3.348052974482107</v>
      </c>
      <c r="T659" t="s">
        <v>110</v>
      </c>
      <c r="U659">
        <v>1.156203029251937</v>
      </c>
      <c r="V659">
        <v>11238.961995400419</v>
      </c>
      <c r="W659">
        <v>833.17226148867417</v>
      </c>
      <c r="X659" t="s">
        <v>111</v>
      </c>
      <c r="Y659">
        <v>10</v>
      </c>
      <c r="Z659">
        <v>0.44</v>
      </c>
      <c r="AA659">
        <v>31.536000000000001</v>
      </c>
    </row>
    <row r="660" spans="1:27" hidden="1" x14ac:dyDescent="0.25">
      <c r="A660" t="s">
        <v>98</v>
      </c>
      <c r="B660" t="s">
        <v>849</v>
      </c>
      <c r="D660" t="s">
        <v>100</v>
      </c>
      <c r="E660" t="s">
        <v>439</v>
      </c>
      <c r="F660" t="s">
        <v>460</v>
      </c>
      <c r="G660" t="s">
        <v>245</v>
      </c>
      <c r="H660" t="s">
        <v>104</v>
      </c>
      <c r="I660">
        <v>2022</v>
      </c>
      <c r="J660" t="s">
        <v>461</v>
      </c>
      <c r="K660" t="s">
        <v>106</v>
      </c>
      <c r="L660" t="s">
        <v>996</v>
      </c>
      <c r="M660" t="s">
        <v>1006</v>
      </c>
      <c r="N660">
        <v>1</v>
      </c>
      <c r="O660">
        <v>2020</v>
      </c>
      <c r="P660">
        <v>520.8323861248623</v>
      </c>
      <c r="Q660">
        <v>19.17492366827851</v>
      </c>
      <c r="R660" t="s">
        <v>109</v>
      </c>
      <c r="S660">
        <v>5.9841517746527506</v>
      </c>
      <c r="T660" t="s">
        <v>110</v>
      </c>
      <c r="U660">
        <v>2.066542692750287</v>
      </c>
      <c r="V660">
        <v>5146.1608125259299</v>
      </c>
      <c r="W660">
        <v>189.46064682931279</v>
      </c>
      <c r="X660" t="s">
        <v>111</v>
      </c>
      <c r="Y660">
        <v>10</v>
      </c>
      <c r="Z660">
        <v>0.44</v>
      </c>
      <c r="AA660">
        <v>31.536000000000001</v>
      </c>
    </row>
    <row r="661" spans="1:27" hidden="1" x14ac:dyDescent="0.25">
      <c r="A661" t="s">
        <v>98</v>
      </c>
      <c r="B661" t="s">
        <v>849</v>
      </c>
      <c r="D661" t="s">
        <v>100</v>
      </c>
      <c r="E661" t="s">
        <v>439</v>
      </c>
      <c r="F661" t="s">
        <v>460</v>
      </c>
      <c r="G661" t="s">
        <v>103</v>
      </c>
      <c r="H661" t="s">
        <v>104</v>
      </c>
      <c r="I661">
        <v>2022</v>
      </c>
      <c r="J661" t="s">
        <v>463</v>
      </c>
      <c r="K661" t="s">
        <v>106</v>
      </c>
      <c r="L661" t="s">
        <v>996</v>
      </c>
      <c r="M661" t="s">
        <v>1007</v>
      </c>
      <c r="N661">
        <v>1</v>
      </c>
      <c r="O661">
        <v>2020</v>
      </c>
      <c r="P661">
        <v>619.22047419033993</v>
      </c>
      <c r="Q661">
        <v>19.17492366827851</v>
      </c>
      <c r="R661" t="s">
        <v>109</v>
      </c>
      <c r="S661">
        <v>6.5013006934499016</v>
      </c>
      <c r="T661" t="s">
        <v>110</v>
      </c>
      <c r="U661">
        <v>2.2451328020003118</v>
      </c>
      <c r="V661">
        <v>6118.2987530812006</v>
      </c>
      <c r="W661">
        <v>189.46064682931279</v>
      </c>
      <c r="X661" t="s">
        <v>111</v>
      </c>
      <c r="Y661">
        <v>10</v>
      </c>
      <c r="Z661">
        <v>0.44</v>
      </c>
      <c r="AA661">
        <v>31.536000000000001</v>
      </c>
    </row>
    <row r="662" spans="1:27" hidden="1" x14ac:dyDescent="0.25">
      <c r="A662" t="s">
        <v>98</v>
      </c>
      <c r="B662" t="s">
        <v>849</v>
      </c>
      <c r="D662" t="s">
        <v>100</v>
      </c>
      <c r="E662" t="s">
        <v>439</v>
      </c>
      <c r="F662" t="s">
        <v>460</v>
      </c>
      <c r="G662" t="s">
        <v>112</v>
      </c>
      <c r="H662" t="s">
        <v>104</v>
      </c>
      <c r="I662">
        <v>2022</v>
      </c>
      <c r="J662" t="s">
        <v>465</v>
      </c>
      <c r="K662" t="s">
        <v>106</v>
      </c>
      <c r="L662" t="s">
        <v>996</v>
      </c>
      <c r="M662" t="s">
        <v>1008</v>
      </c>
      <c r="N662">
        <v>1</v>
      </c>
      <c r="O662">
        <v>2020</v>
      </c>
      <c r="P662">
        <v>717.59767919103297</v>
      </c>
      <c r="Q662">
        <v>19.17492366827851</v>
      </c>
      <c r="R662" t="s">
        <v>109</v>
      </c>
      <c r="S662">
        <v>7.1162885968843517</v>
      </c>
      <c r="T662" t="s">
        <v>110</v>
      </c>
      <c r="U662">
        <v>2.4575102292165578</v>
      </c>
      <c r="V662">
        <v>7090.3291619180018</v>
      </c>
      <c r="W662">
        <v>189.46064682931279</v>
      </c>
      <c r="X662" t="s">
        <v>111</v>
      </c>
      <c r="Y662">
        <v>10</v>
      </c>
      <c r="Z662">
        <v>0.44</v>
      </c>
      <c r="AA662">
        <v>31.536000000000001</v>
      </c>
    </row>
    <row r="663" spans="1:27" hidden="1" x14ac:dyDescent="0.25">
      <c r="A663" t="s">
        <v>98</v>
      </c>
      <c r="B663" t="s">
        <v>849</v>
      </c>
      <c r="D663" t="s">
        <v>100</v>
      </c>
      <c r="E663" t="s">
        <v>439</v>
      </c>
      <c r="F663" t="s">
        <v>460</v>
      </c>
      <c r="G663" t="s">
        <v>103</v>
      </c>
      <c r="H663" t="s">
        <v>104</v>
      </c>
      <c r="I663">
        <v>2030</v>
      </c>
      <c r="J663" t="s">
        <v>467</v>
      </c>
      <c r="K663" t="s">
        <v>106</v>
      </c>
      <c r="L663" t="s">
        <v>996</v>
      </c>
      <c r="M663" t="s">
        <v>1009</v>
      </c>
      <c r="N663">
        <v>1</v>
      </c>
      <c r="O663">
        <v>2030</v>
      </c>
      <c r="P663">
        <v>520.8323861248623</v>
      </c>
      <c r="Q663">
        <v>19.17492366827851</v>
      </c>
      <c r="R663" t="s">
        <v>109</v>
      </c>
      <c r="S663">
        <v>6.5013006934499016</v>
      </c>
      <c r="T663" t="s">
        <v>110</v>
      </c>
      <c r="U663">
        <v>2.2451328020003118</v>
      </c>
      <c r="V663">
        <v>5146.1608125259299</v>
      </c>
      <c r="W663">
        <v>189.46064682931279</v>
      </c>
      <c r="X663" t="s">
        <v>111</v>
      </c>
      <c r="Y663">
        <v>10</v>
      </c>
      <c r="Z663">
        <v>0.44</v>
      </c>
      <c r="AA663">
        <v>31.536000000000001</v>
      </c>
    </row>
    <row r="664" spans="1:27" hidden="1" x14ac:dyDescent="0.25">
      <c r="A664" t="s">
        <v>98</v>
      </c>
      <c r="B664" t="s">
        <v>849</v>
      </c>
      <c r="D664" t="s">
        <v>100</v>
      </c>
      <c r="E664" t="s">
        <v>439</v>
      </c>
      <c r="F664" t="s">
        <v>460</v>
      </c>
      <c r="G664" t="s">
        <v>112</v>
      </c>
      <c r="H664" t="s">
        <v>104</v>
      </c>
      <c r="I664">
        <v>2030</v>
      </c>
      <c r="J664" t="s">
        <v>469</v>
      </c>
      <c r="K664" t="s">
        <v>106</v>
      </c>
      <c r="L664" t="s">
        <v>996</v>
      </c>
      <c r="M664" t="s">
        <v>1010</v>
      </c>
      <c r="N664">
        <v>1</v>
      </c>
      <c r="O664">
        <v>2030</v>
      </c>
      <c r="P664">
        <v>717.59767919103297</v>
      </c>
      <c r="Q664">
        <v>19.17492366827851</v>
      </c>
      <c r="R664" t="s">
        <v>109</v>
      </c>
      <c r="S664">
        <v>7.1162885968843517</v>
      </c>
      <c r="T664" t="s">
        <v>110</v>
      </c>
      <c r="U664">
        <v>2.4575102292165578</v>
      </c>
      <c r="V664">
        <v>7090.3291619180018</v>
      </c>
      <c r="W664">
        <v>189.46064682931279</v>
      </c>
      <c r="X664" t="s">
        <v>111</v>
      </c>
      <c r="Y664">
        <v>10</v>
      </c>
      <c r="Z664">
        <v>0.44</v>
      </c>
      <c r="AA664">
        <v>31.536000000000001</v>
      </c>
    </row>
    <row r="665" spans="1:27" hidden="1" x14ac:dyDescent="0.25">
      <c r="A665" t="s">
        <v>98</v>
      </c>
      <c r="B665" t="s">
        <v>849</v>
      </c>
      <c r="D665" t="s">
        <v>100</v>
      </c>
      <c r="E665" t="s">
        <v>439</v>
      </c>
      <c r="F665" t="s">
        <v>460</v>
      </c>
      <c r="G665" t="s">
        <v>103</v>
      </c>
      <c r="H665" t="s">
        <v>104</v>
      </c>
      <c r="I665">
        <v>2040</v>
      </c>
      <c r="J665" t="s">
        <v>471</v>
      </c>
      <c r="K665" t="s">
        <v>106</v>
      </c>
      <c r="L665" t="s">
        <v>996</v>
      </c>
      <c r="M665" t="s">
        <v>1011</v>
      </c>
      <c r="N665">
        <v>1</v>
      </c>
      <c r="O665">
        <v>2040</v>
      </c>
      <c r="P665">
        <v>520.8323861248623</v>
      </c>
      <c r="Q665">
        <v>19.17492366827851</v>
      </c>
      <c r="R665" t="s">
        <v>109</v>
      </c>
      <c r="S665">
        <v>6.5013006934499016</v>
      </c>
      <c r="T665" t="s">
        <v>110</v>
      </c>
      <c r="U665">
        <v>2.2451328020003118</v>
      </c>
      <c r="V665">
        <v>5146.1608125259299</v>
      </c>
      <c r="W665">
        <v>189.46064682931279</v>
      </c>
      <c r="X665" t="s">
        <v>111</v>
      </c>
      <c r="Y665">
        <v>10</v>
      </c>
      <c r="Z665">
        <v>0.44</v>
      </c>
      <c r="AA665">
        <v>31.536000000000001</v>
      </c>
    </row>
    <row r="666" spans="1:27" hidden="1" x14ac:dyDescent="0.25">
      <c r="A666" t="s">
        <v>98</v>
      </c>
      <c r="B666" t="s">
        <v>849</v>
      </c>
      <c r="D666" t="s">
        <v>100</v>
      </c>
      <c r="E666" t="s">
        <v>439</v>
      </c>
      <c r="F666" t="s">
        <v>460</v>
      </c>
      <c r="G666" t="s">
        <v>112</v>
      </c>
      <c r="H666" t="s">
        <v>104</v>
      </c>
      <c r="I666">
        <v>2040</v>
      </c>
      <c r="J666" t="s">
        <v>473</v>
      </c>
      <c r="K666" t="s">
        <v>106</v>
      </c>
      <c r="L666" t="s">
        <v>996</v>
      </c>
      <c r="M666" t="s">
        <v>1012</v>
      </c>
      <c r="N666">
        <v>1</v>
      </c>
      <c r="O666">
        <v>2040</v>
      </c>
      <c r="P666">
        <v>717.59767919103297</v>
      </c>
      <c r="Q666">
        <v>19.17492366827851</v>
      </c>
      <c r="R666" t="s">
        <v>109</v>
      </c>
      <c r="S666">
        <v>7.1162885968843517</v>
      </c>
      <c r="T666" t="s">
        <v>110</v>
      </c>
      <c r="U666">
        <v>2.4575102292165578</v>
      </c>
      <c r="V666">
        <v>7090.3291619180018</v>
      </c>
      <c r="W666">
        <v>189.46064682931279</v>
      </c>
      <c r="X666" t="s">
        <v>111</v>
      </c>
      <c r="Y666">
        <v>10</v>
      </c>
      <c r="Z666">
        <v>0.44</v>
      </c>
      <c r="AA666">
        <v>31.536000000000001</v>
      </c>
    </row>
    <row r="667" spans="1:27" hidden="1" x14ac:dyDescent="0.25">
      <c r="A667" t="s">
        <v>98</v>
      </c>
      <c r="B667" t="s">
        <v>849</v>
      </c>
      <c r="D667" t="s">
        <v>100</v>
      </c>
      <c r="E667" t="s">
        <v>439</v>
      </c>
      <c r="F667" t="s">
        <v>460</v>
      </c>
      <c r="G667" t="s">
        <v>103</v>
      </c>
      <c r="H667" t="s">
        <v>104</v>
      </c>
      <c r="I667">
        <v>2050</v>
      </c>
      <c r="J667" t="s">
        <v>475</v>
      </c>
      <c r="K667" t="s">
        <v>106</v>
      </c>
      <c r="L667" t="s">
        <v>996</v>
      </c>
      <c r="M667" t="s">
        <v>1013</v>
      </c>
      <c r="N667">
        <v>1</v>
      </c>
      <c r="O667">
        <v>2050</v>
      </c>
      <c r="P667">
        <v>520.8323861248623</v>
      </c>
      <c r="Q667">
        <v>19.17492366827851</v>
      </c>
      <c r="R667" t="s">
        <v>109</v>
      </c>
      <c r="S667">
        <v>6.5013006934499016</v>
      </c>
      <c r="T667" t="s">
        <v>110</v>
      </c>
      <c r="U667">
        <v>2.2451328020003118</v>
      </c>
      <c r="V667">
        <v>5146.1608125259299</v>
      </c>
      <c r="W667">
        <v>189.46064682931279</v>
      </c>
      <c r="X667" t="s">
        <v>111</v>
      </c>
      <c r="Y667">
        <v>10</v>
      </c>
      <c r="Z667">
        <v>0.44</v>
      </c>
      <c r="AA667">
        <v>31.536000000000001</v>
      </c>
    </row>
    <row r="668" spans="1:27" hidden="1" x14ac:dyDescent="0.25">
      <c r="A668" t="s">
        <v>98</v>
      </c>
      <c r="B668" t="s">
        <v>849</v>
      </c>
      <c r="D668" t="s">
        <v>100</v>
      </c>
      <c r="E668" t="s">
        <v>439</v>
      </c>
      <c r="F668" t="s">
        <v>460</v>
      </c>
      <c r="G668" t="s">
        <v>112</v>
      </c>
      <c r="H668" t="s">
        <v>104</v>
      </c>
      <c r="I668">
        <v>2050</v>
      </c>
      <c r="J668" t="s">
        <v>477</v>
      </c>
      <c r="K668" t="s">
        <v>106</v>
      </c>
      <c r="L668" t="s">
        <v>996</v>
      </c>
      <c r="M668" t="s">
        <v>1014</v>
      </c>
      <c r="N668">
        <v>1</v>
      </c>
      <c r="O668">
        <v>2050</v>
      </c>
      <c r="P668">
        <v>717.59767919103297</v>
      </c>
      <c r="Q668">
        <v>19.17492366827851</v>
      </c>
      <c r="R668" t="s">
        <v>109</v>
      </c>
      <c r="S668">
        <v>7.1162885968843517</v>
      </c>
      <c r="T668" t="s">
        <v>110</v>
      </c>
      <c r="U668">
        <v>2.4575102292165578</v>
      </c>
      <c r="V668">
        <v>7090.3291619180018</v>
      </c>
      <c r="W668">
        <v>189.46064682931279</v>
      </c>
      <c r="X668" t="s">
        <v>111</v>
      </c>
      <c r="Y668">
        <v>10</v>
      </c>
      <c r="Z668">
        <v>0.44</v>
      </c>
      <c r="AA668">
        <v>31.536000000000001</v>
      </c>
    </row>
    <row r="669" spans="1:27" hidden="1" x14ac:dyDescent="0.25">
      <c r="A669" t="s">
        <v>98</v>
      </c>
      <c r="B669" t="s">
        <v>849</v>
      </c>
      <c r="D669" t="s">
        <v>100</v>
      </c>
      <c r="E669" t="s">
        <v>439</v>
      </c>
      <c r="F669" t="s">
        <v>479</v>
      </c>
      <c r="G669" t="s">
        <v>245</v>
      </c>
      <c r="H669" t="s">
        <v>104</v>
      </c>
      <c r="I669">
        <v>2022</v>
      </c>
      <c r="J669" t="s">
        <v>480</v>
      </c>
      <c r="K669" t="s">
        <v>106</v>
      </c>
      <c r="L669" t="s">
        <v>996</v>
      </c>
      <c r="M669" t="s">
        <v>1015</v>
      </c>
      <c r="N669">
        <v>1</v>
      </c>
      <c r="O669">
        <v>2020</v>
      </c>
      <c r="P669">
        <v>1625.561814955347</v>
      </c>
      <c r="Q669">
        <v>83.737016934227881</v>
      </c>
      <c r="R669" t="s">
        <v>109</v>
      </c>
      <c r="S669">
        <v>3.1167552571169028</v>
      </c>
      <c r="T669" t="s">
        <v>110</v>
      </c>
      <c r="U669">
        <v>1.0763276140434681</v>
      </c>
      <c r="V669">
        <v>16061.60203036269</v>
      </c>
      <c r="W669">
        <v>827.37588250020144</v>
      </c>
      <c r="X669" t="s">
        <v>111</v>
      </c>
      <c r="Y669">
        <v>10</v>
      </c>
      <c r="Z669">
        <v>0.44</v>
      </c>
      <c r="AA669">
        <v>31.536000000000001</v>
      </c>
    </row>
    <row r="670" spans="1:27" hidden="1" x14ac:dyDescent="0.25">
      <c r="A670" t="s">
        <v>98</v>
      </c>
      <c r="B670" t="s">
        <v>849</v>
      </c>
      <c r="D670" t="s">
        <v>100</v>
      </c>
      <c r="E670" t="s">
        <v>439</v>
      </c>
      <c r="F670" t="s">
        <v>479</v>
      </c>
      <c r="G670" t="s">
        <v>103</v>
      </c>
      <c r="H670" t="s">
        <v>104</v>
      </c>
      <c r="I670">
        <v>2022</v>
      </c>
      <c r="J670" t="s">
        <v>482</v>
      </c>
      <c r="K670" t="s">
        <v>106</v>
      </c>
      <c r="L670" t="s">
        <v>996</v>
      </c>
      <c r="M670" t="s">
        <v>1016</v>
      </c>
      <c r="N670">
        <v>1</v>
      </c>
      <c r="O670">
        <v>2020</v>
      </c>
      <c r="P670">
        <v>1649.1429636040691</v>
      </c>
      <c r="Q670">
        <v>83.737016934227881</v>
      </c>
      <c r="R670" t="s">
        <v>109</v>
      </c>
      <c r="S670">
        <v>4.464541314248538</v>
      </c>
      <c r="T670" t="s">
        <v>110</v>
      </c>
      <c r="U670">
        <v>1.541766582278481</v>
      </c>
      <c r="V670">
        <v>16294.59902963399</v>
      </c>
      <c r="W670">
        <v>827.37588250020167</v>
      </c>
      <c r="X670" t="s">
        <v>111</v>
      </c>
      <c r="Y670">
        <v>10</v>
      </c>
      <c r="Z670">
        <v>0.44</v>
      </c>
      <c r="AA670">
        <v>31.536000000000001</v>
      </c>
    </row>
    <row r="671" spans="1:27" hidden="1" x14ac:dyDescent="0.25">
      <c r="A671" t="s">
        <v>98</v>
      </c>
      <c r="B671" t="s">
        <v>849</v>
      </c>
      <c r="D671" t="s">
        <v>100</v>
      </c>
      <c r="E671" t="s">
        <v>439</v>
      </c>
      <c r="F671" t="s">
        <v>479</v>
      </c>
      <c r="G671" t="s">
        <v>112</v>
      </c>
      <c r="H671" t="s">
        <v>104</v>
      </c>
      <c r="I671">
        <v>2022</v>
      </c>
      <c r="J671" t="s">
        <v>484</v>
      </c>
      <c r="K671" t="s">
        <v>106</v>
      </c>
      <c r="L671" t="s">
        <v>996</v>
      </c>
      <c r="M671" t="s">
        <v>1017</v>
      </c>
      <c r="N671">
        <v>1</v>
      </c>
      <c r="O671">
        <v>2020</v>
      </c>
      <c r="P671">
        <v>1758.024723094816</v>
      </c>
      <c r="Q671">
        <v>83.737016934227881</v>
      </c>
      <c r="R671" t="s">
        <v>109</v>
      </c>
      <c r="S671">
        <v>7.4409021904142287</v>
      </c>
      <c r="T671" t="s">
        <v>110</v>
      </c>
      <c r="U671">
        <v>2.5696109704641348</v>
      </c>
      <c r="V671">
        <v>17370.421230436659</v>
      </c>
      <c r="W671">
        <v>827.37588250020167</v>
      </c>
      <c r="X671" t="s">
        <v>111</v>
      </c>
      <c r="Y671">
        <v>10</v>
      </c>
      <c r="Z671">
        <v>0.44</v>
      </c>
      <c r="AA671">
        <v>31.536000000000001</v>
      </c>
    </row>
    <row r="672" spans="1:27" hidden="1" x14ac:dyDescent="0.25">
      <c r="A672" t="s">
        <v>98</v>
      </c>
      <c r="B672" t="s">
        <v>849</v>
      </c>
      <c r="D672" t="s">
        <v>100</v>
      </c>
      <c r="E672" t="s">
        <v>439</v>
      </c>
      <c r="F672" t="s">
        <v>479</v>
      </c>
      <c r="G672" t="s">
        <v>219</v>
      </c>
      <c r="H672" t="s">
        <v>104</v>
      </c>
      <c r="I672">
        <v>2022</v>
      </c>
      <c r="J672" t="s">
        <v>486</v>
      </c>
      <c r="K672" t="s">
        <v>106</v>
      </c>
      <c r="L672" t="s">
        <v>996</v>
      </c>
      <c r="M672" t="s">
        <v>1018</v>
      </c>
      <c r="N672">
        <v>1</v>
      </c>
      <c r="O672">
        <v>2020</v>
      </c>
      <c r="P672">
        <v>1758.024723094816</v>
      </c>
      <c r="Q672">
        <v>84.189649458196669</v>
      </c>
      <c r="R672" t="s">
        <v>109</v>
      </c>
      <c r="S672">
        <v>7.4409021904142287</v>
      </c>
      <c r="T672" t="s">
        <v>110</v>
      </c>
      <c r="U672">
        <v>2.5696109704641348</v>
      </c>
      <c r="V672">
        <v>17370.421230436659</v>
      </c>
      <c r="W672">
        <v>831.8481845677702</v>
      </c>
      <c r="X672" t="s">
        <v>111</v>
      </c>
      <c r="Y672">
        <v>10</v>
      </c>
      <c r="Z672">
        <v>0.44</v>
      </c>
      <c r="AA672">
        <v>31.536000000000001</v>
      </c>
    </row>
    <row r="673" spans="1:27" hidden="1" x14ac:dyDescent="0.25">
      <c r="A673" t="s">
        <v>98</v>
      </c>
      <c r="B673" t="s">
        <v>849</v>
      </c>
      <c r="D673" t="s">
        <v>100</v>
      </c>
      <c r="E673" t="s">
        <v>439</v>
      </c>
      <c r="F673" t="s">
        <v>479</v>
      </c>
      <c r="G673" t="s">
        <v>103</v>
      </c>
      <c r="H673" t="s">
        <v>104</v>
      </c>
      <c r="I673">
        <v>2030</v>
      </c>
      <c r="J673" t="s">
        <v>488</v>
      </c>
      <c r="K673" t="s">
        <v>106</v>
      </c>
      <c r="L673" t="s">
        <v>996</v>
      </c>
      <c r="M673" t="s">
        <v>1019</v>
      </c>
      <c r="N673">
        <v>1</v>
      </c>
      <c r="O673">
        <v>2030</v>
      </c>
      <c r="P673">
        <v>1649.1429636040691</v>
      </c>
      <c r="Q673">
        <v>83.737016934227881</v>
      </c>
      <c r="R673" t="s">
        <v>109</v>
      </c>
      <c r="S673">
        <v>4.464541314248538</v>
      </c>
      <c r="T673" t="s">
        <v>110</v>
      </c>
      <c r="U673">
        <v>1.541766582278481</v>
      </c>
      <c r="V673">
        <v>16294.59902963399</v>
      </c>
      <c r="W673">
        <v>827.37588250020167</v>
      </c>
      <c r="X673" t="s">
        <v>111</v>
      </c>
      <c r="Y673">
        <v>10</v>
      </c>
      <c r="Z673">
        <v>0.44</v>
      </c>
      <c r="AA673">
        <v>31.536000000000001</v>
      </c>
    </row>
    <row r="674" spans="1:27" hidden="1" x14ac:dyDescent="0.25">
      <c r="A674" t="s">
        <v>98</v>
      </c>
      <c r="B674" t="s">
        <v>849</v>
      </c>
      <c r="D674" t="s">
        <v>100</v>
      </c>
      <c r="E674" t="s">
        <v>439</v>
      </c>
      <c r="F674" t="s">
        <v>479</v>
      </c>
      <c r="G674" t="s">
        <v>112</v>
      </c>
      <c r="H674" t="s">
        <v>104</v>
      </c>
      <c r="I674">
        <v>2030</v>
      </c>
      <c r="J674" t="s">
        <v>490</v>
      </c>
      <c r="K674" t="s">
        <v>106</v>
      </c>
      <c r="L674" t="s">
        <v>996</v>
      </c>
      <c r="M674" t="s">
        <v>1020</v>
      </c>
      <c r="N674">
        <v>1</v>
      </c>
      <c r="O674">
        <v>2030</v>
      </c>
      <c r="P674">
        <v>1758.024723094816</v>
      </c>
      <c r="Q674">
        <v>83.737016934227881</v>
      </c>
      <c r="R674" t="s">
        <v>109</v>
      </c>
      <c r="S674">
        <v>7.4409021904142287</v>
      </c>
      <c r="T674" t="s">
        <v>110</v>
      </c>
      <c r="U674">
        <v>2.5696109704641348</v>
      </c>
      <c r="V674">
        <v>17370.421230436659</v>
      </c>
      <c r="W674">
        <v>827.37588250020167</v>
      </c>
      <c r="X674" t="s">
        <v>111</v>
      </c>
      <c r="Y674">
        <v>10</v>
      </c>
      <c r="Z674">
        <v>0.44</v>
      </c>
      <c r="AA674">
        <v>31.536000000000001</v>
      </c>
    </row>
    <row r="675" spans="1:27" hidden="1" x14ac:dyDescent="0.25">
      <c r="A675" t="s">
        <v>98</v>
      </c>
      <c r="B675" t="s">
        <v>849</v>
      </c>
      <c r="D675" t="s">
        <v>100</v>
      </c>
      <c r="E675" t="s">
        <v>439</v>
      </c>
      <c r="F675" t="s">
        <v>479</v>
      </c>
      <c r="G675" t="s">
        <v>103</v>
      </c>
      <c r="H675" t="s">
        <v>104</v>
      </c>
      <c r="I675">
        <v>2040</v>
      </c>
      <c r="J675" t="s">
        <v>492</v>
      </c>
      <c r="K675" t="s">
        <v>106</v>
      </c>
      <c r="L675" t="s">
        <v>996</v>
      </c>
      <c r="M675" t="s">
        <v>1021</v>
      </c>
      <c r="N675">
        <v>1</v>
      </c>
      <c r="O675">
        <v>2040</v>
      </c>
      <c r="P675">
        <v>1649.1429636040691</v>
      </c>
      <c r="Q675">
        <v>83.737016934227881</v>
      </c>
      <c r="R675" t="s">
        <v>109</v>
      </c>
      <c r="S675">
        <v>4.464541314248538</v>
      </c>
      <c r="T675" t="s">
        <v>110</v>
      </c>
      <c r="U675">
        <v>1.541766582278481</v>
      </c>
      <c r="V675">
        <v>16294.59902963399</v>
      </c>
      <c r="W675">
        <v>827.37588250020167</v>
      </c>
      <c r="X675" t="s">
        <v>111</v>
      </c>
      <c r="Y675">
        <v>10</v>
      </c>
      <c r="Z675">
        <v>0.44</v>
      </c>
      <c r="AA675">
        <v>31.536000000000001</v>
      </c>
    </row>
    <row r="676" spans="1:27" hidden="1" x14ac:dyDescent="0.25">
      <c r="A676" t="s">
        <v>98</v>
      </c>
      <c r="B676" t="s">
        <v>849</v>
      </c>
      <c r="D676" t="s">
        <v>100</v>
      </c>
      <c r="E676" t="s">
        <v>439</v>
      </c>
      <c r="F676" t="s">
        <v>479</v>
      </c>
      <c r="G676" t="s">
        <v>112</v>
      </c>
      <c r="H676" t="s">
        <v>104</v>
      </c>
      <c r="I676">
        <v>2040</v>
      </c>
      <c r="J676" t="s">
        <v>494</v>
      </c>
      <c r="K676" t="s">
        <v>106</v>
      </c>
      <c r="L676" t="s">
        <v>996</v>
      </c>
      <c r="M676" t="s">
        <v>1022</v>
      </c>
      <c r="N676">
        <v>1</v>
      </c>
      <c r="O676">
        <v>2040</v>
      </c>
      <c r="P676">
        <v>1758.024723094816</v>
      </c>
      <c r="Q676">
        <v>83.737016934227881</v>
      </c>
      <c r="R676" t="s">
        <v>109</v>
      </c>
      <c r="S676">
        <v>7.4409021904142287</v>
      </c>
      <c r="T676" t="s">
        <v>110</v>
      </c>
      <c r="U676">
        <v>2.5696109704641348</v>
      </c>
      <c r="V676">
        <v>17370.421230436659</v>
      </c>
      <c r="W676">
        <v>827.37588250020167</v>
      </c>
      <c r="X676" t="s">
        <v>111</v>
      </c>
      <c r="Y676">
        <v>10</v>
      </c>
      <c r="Z676">
        <v>0.44</v>
      </c>
      <c r="AA676">
        <v>31.536000000000001</v>
      </c>
    </row>
    <row r="677" spans="1:27" hidden="1" x14ac:dyDescent="0.25">
      <c r="A677" t="s">
        <v>98</v>
      </c>
      <c r="B677" t="s">
        <v>849</v>
      </c>
      <c r="D677" t="s">
        <v>100</v>
      </c>
      <c r="E677" t="s">
        <v>439</v>
      </c>
      <c r="F677" t="s">
        <v>479</v>
      </c>
      <c r="G677" t="s">
        <v>112</v>
      </c>
      <c r="H677" t="s">
        <v>104</v>
      </c>
      <c r="I677">
        <v>2025</v>
      </c>
      <c r="J677" t="s">
        <v>496</v>
      </c>
      <c r="K677" t="s">
        <v>106</v>
      </c>
      <c r="L677" t="s">
        <v>996</v>
      </c>
      <c r="M677" t="s">
        <v>1023</v>
      </c>
      <c r="N677">
        <v>1</v>
      </c>
      <c r="O677">
        <v>2025</v>
      </c>
      <c r="P677">
        <v>1758.024723094816</v>
      </c>
      <c r="Q677">
        <v>83.737016934227881</v>
      </c>
      <c r="R677" t="s">
        <v>109</v>
      </c>
      <c r="S677">
        <v>7.4409021904142287</v>
      </c>
      <c r="T677" t="s">
        <v>110</v>
      </c>
      <c r="U677">
        <v>2.5696109704641348</v>
      </c>
      <c r="V677">
        <v>17370.421230436659</v>
      </c>
      <c r="W677">
        <v>827.37588250020167</v>
      </c>
      <c r="X677" t="s">
        <v>111</v>
      </c>
      <c r="Y677">
        <v>10</v>
      </c>
      <c r="Z677">
        <v>0.44</v>
      </c>
      <c r="AA677">
        <v>31.536000000000001</v>
      </c>
    </row>
    <row r="678" spans="1:27" hidden="1" x14ac:dyDescent="0.25">
      <c r="A678" t="s">
        <v>498</v>
      </c>
      <c r="M678" t="s">
        <v>498</v>
      </c>
      <c r="N678" t="s">
        <v>498</v>
      </c>
    </row>
    <row r="679" spans="1:27" hidden="1" x14ac:dyDescent="0.25">
      <c r="A679" t="s">
        <v>98</v>
      </c>
      <c r="B679" t="s">
        <v>1024</v>
      </c>
      <c r="D679" t="s">
        <v>100</v>
      </c>
      <c r="E679" t="s">
        <v>101</v>
      </c>
      <c r="F679" t="s">
        <v>102</v>
      </c>
      <c r="G679" t="s">
        <v>103</v>
      </c>
      <c r="H679" t="s">
        <v>104</v>
      </c>
      <c r="I679">
        <v>2061</v>
      </c>
      <c r="J679" t="s">
        <v>105</v>
      </c>
      <c r="K679" t="s">
        <v>106</v>
      </c>
      <c r="L679" t="s">
        <v>1025</v>
      </c>
      <c r="M679" t="s">
        <v>1026</v>
      </c>
      <c r="N679">
        <v>1</v>
      </c>
      <c r="O679">
        <v>2061</v>
      </c>
      <c r="P679">
        <v>117.0584711706526</v>
      </c>
      <c r="Q679">
        <v>4.2000145906136934</v>
      </c>
      <c r="R679" t="s">
        <v>109</v>
      </c>
      <c r="S679">
        <v>3.3</v>
      </c>
      <c r="T679" t="s">
        <v>110</v>
      </c>
      <c r="U679">
        <v>3.3</v>
      </c>
      <c r="V679">
        <v>399.42017862788401</v>
      </c>
      <c r="W679">
        <v>14.33104807576899</v>
      </c>
      <c r="X679" t="s">
        <v>111</v>
      </c>
      <c r="Y679">
        <v>21</v>
      </c>
      <c r="Z679">
        <v>0.24297719080451799</v>
      </c>
      <c r="AA679">
        <v>31.536000000000001</v>
      </c>
    </row>
    <row r="680" spans="1:27" hidden="1" x14ac:dyDescent="0.25">
      <c r="A680" t="s">
        <v>98</v>
      </c>
      <c r="B680" t="s">
        <v>1024</v>
      </c>
      <c r="D680" t="s">
        <v>100</v>
      </c>
      <c r="E680" t="s">
        <v>101</v>
      </c>
      <c r="F680" t="s">
        <v>102</v>
      </c>
      <c r="G680" t="s">
        <v>112</v>
      </c>
      <c r="H680" t="s">
        <v>104</v>
      </c>
      <c r="I680">
        <v>2022</v>
      </c>
      <c r="J680" t="s">
        <v>113</v>
      </c>
      <c r="K680" t="s">
        <v>106</v>
      </c>
      <c r="L680" t="s">
        <v>1025</v>
      </c>
      <c r="M680" t="s">
        <v>1027</v>
      </c>
      <c r="N680">
        <v>1</v>
      </c>
      <c r="O680">
        <v>2020</v>
      </c>
      <c r="P680">
        <v>200.7885700942916</v>
      </c>
      <c r="Q680">
        <v>4.2000145906136934</v>
      </c>
      <c r="R680" t="s">
        <v>109</v>
      </c>
      <c r="S680">
        <v>3.7</v>
      </c>
      <c r="T680" t="s">
        <v>110</v>
      </c>
      <c r="U680">
        <v>3.7</v>
      </c>
      <c r="V680">
        <v>685.1192035182313</v>
      </c>
      <c r="W680">
        <v>14.33104807576899</v>
      </c>
      <c r="X680" t="s">
        <v>111</v>
      </c>
      <c r="Y680">
        <v>21</v>
      </c>
      <c r="Z680">
        <v>0.24297719080451799</v>
      </c>
      <c r="AA680">
        <v>31.536000000000001</v>
      </c>
    </row>
    <row r="681" spans="1:27" hidden="1" x14ac:dyDescent="0.25">
      <c r="A681" t="s">
        <v>98</v>
      </c>
      <c r="B681" t="s">
        <v>1024</v>
      </c>
      <c r="D681" t="s">
        <v>100</v>
      </c>
      <c r="E681" t="s">
        <v>101</v>
      </c>
      <c r="F681" t="s">
        <v>102</v>
      </c>
      <c r="G681" t="s">
        <v>103</v>
      </c>
      <c r="H681" t="s">
        <v>104</v>
      </c>
      <c r="I681">
        <v>2023</v>
      </c>
      <c r="J681" t="s">
        <v>115</v>
      </c>
      <c r="K681" t="s">
        <v>106</v>
      </c>
      <c r="L681" t="s">
        <v>1025</v>
      </c>
      <c r="M681" t="s">
        <v>1028</v>
      </c>
      <c r="N681">
        <v>1</v>
      </c>
      <c r="O681">
        <v>2023</v>
      </c>
      <c r="P681">
        <v>135.73557542199771</v>
      </c>
      <c r="Q681">
        <v>4.2000145906136934</v>
      </c>
      <c r="R681" t="s">
        <v>109</v>
      </c>
      <c r="S681">
        <v>3.4</v>
      </c>
      <c r="T681" t="s">
        <v>110</v>
      </c>
      <c r="U681">
        <v>3.4</v>
      </c>
      <c r="V681">
        <v>463.14911888927151</v>
      </c>
      <c r="W681">
        <v>14.33104807576899</v>
      </c>
      <c r="X681" t="s">
        <v>111</v>
      </c>
      <c r="Y681">
        <v>21</v>
      </c>
      <c r="Z681">
        <v>0.24297719080451799</v>
      </c>
      <c r="AA681">
        <v>31.536000000000001</v>
      </c>
    </row>
    <row r="682" spans="1:27" hidden="1" x14ac:dyDescent="0.25">
      <c r="A682" t="s">
        <v>98</v>
      </c>
      <c r="B682" t="s">
        <v>1024</v>
      </c>
      <c r="D682" t="s">
        <v>100</v>
      </c>
      <c r="E682" t="s">
        <v>101</v>
      </c>
      <c r="F682" t="s">
        <v>117</v>
      </c>
      <c r="G682" t="s">
        <v>103</v>
      </c>
      <c r="H682" t="s">
        <v>104</v>
      </c>
      <c r="I682">
        <v>2033</v>
      </c>
      <c r="J682" t="s">
        <v>118</v>
      </c>
      <c r="K682" t="s">
        <v>106</v>
      </c>
      <c r="L682" t="s">
        <v>1025</v>
      </c>
      <c r="M682" t="s">
        <v>1029</v>
      </c>
      <c r="N682">
        <v>1</v>
      </c>
      <c r="O682">
        <v>2033</v>
      </c>
      <c r="P682">
        <v>483.9331327692995</v>
      </c>
      <c r="Q682">
        <v>3.810497108419681</v>
      </c>
      <c r="R682" t="s">
        <v>109</v>
      </c>
      <c r="S682">
        <v>3.7</v>
      </c>
      <c r="T682" t="s">
        <v>110</v>
      </c>
      <c r="U682">
        <v>3.7</v>
      </c>
      <c r="V682">
        <v>1651.2487853431401</v>
      </c>
      <c r="W682">
        <v>13.00195893970977</v>
      </c>
      <c r="X682" t="s">
        <v>111</v>
      </c>
      <c r="Y682">
        <v>14.4</v>
      </c>
      <c r="Z682">
        <v>0.24297719080451799</v>
      </c>
      <c r="AA682">
        <v>31.536000000000001</v>
      </c>
    </row>
    <row r="683" spans="1:27" hidden="1" x14ac:dyDescent="0.25">
      <c r="A683" t="s">
        <v>98</v>
      </c>
      <c r="B683" t="s">
        <v>1024</v>
      </c>
      <c r="D683" t="s">
        <v>100</v>
      </c>
      <c r="E683" t="s">
        <v>101</v>
      </c>
      <c r="F683" t="s">
        <v>117</v>
      </c>
      <c r="G683" t="s">
        <v>67</v>
      </c>
      <c r="H683" t="s">
        <v>104</v>
      </c>
      <c r="I683">
        <v>2033</v>
      </c>
      <c r="J683" t="s">
        <v>120</v>
      </c>
      <c r="K683" t="s">
        <v>106</v>
      </c>
      <c r="L683" t="s">
        <v>1025</v>
      </c>
      <c r="M683" t="s">
        <v>1030</v>
      </c>
      <c r="N683">
        <v>1</v>
      </c>
      <c r="O683">
        <v>2033</v>
      </c>
      <c r="P683">
        <v>497.90495550017158</v>
      </c>
      <c r="Q683">
        <v>3.810497108419681</v>
      </c>
      <c r="R683" t="s">
        <v>109</v>
      </c>
      <c r="S683">
        <v>3.8</v>
      </c>
      <c r="T683" t="s">
        <v>110</v>
      </c>
      <c r="U683">
        <v>3.8</v>
      </c>
      <c r="V683">
        <v>1698.9226347887429</v>
      </c>
      <c r="W683">
        <v>13.00195893970977</v>
      </c>
      <c r="X683" t="s">
        <v>111</v>
      </c>
      <c r="Y683">
        <v>14.4</v>
      </c>
      <c r="Z683">
        <v>0.24297719080451799</v>
      </c>
      <c r="AA683">
        <v>31.536000000000001</v>
      </c>
    </row>
    <row r="684" spans="1:27" hidden="1" x14ac:dyDescent="0.25">
      <c r="A684" t="s">
        <v>98</v>
      </c>
      <c r="B684" t="s">
        <v>1024</v>
      </c>
      <c r="D684" t="s">
        <v>100</v>
      </c>
      <c r="E684" t="s">
        <v>101</v>
      </c>
      <c r="F684" t="s">
        <v>117</v>
      </c>
      <c r="G684" t="s">
        <v>112</v>
      </c>
      <c r="H684" t="s">
        <v>104</v>
      </c>
      <c r="I684">
        <v>2033</v>
      </c>
      <c r="J684" t="s">
        <v>122</v>
      </c>
      <c r="K684" t="s">
        <v>106</v>
      </c>
      <c r="L684" t="s">
        <v>1025</v>
      </c>
      <c r="M684" t="s">
        <v>1031</v>
      </c>
      <c r="N684">
        <v>1</v>
      </c>
      <c r="O684">
        <v>2033</v>
      </c>
      <c r="P684">
        <v>513.14694393385037</v>
      </c>
      <c r="Q684">
        <v>3.810497108419681</v>
      </c>
      <c r="R684" t="s">
        <v>109</v>
      </c>
      <c r="S684">
        <v>4</v>
      </c>
      <c r="T684" t="s">
        <v>110</v>
      </c>
      <c r="U684">
        <v>4</v>
      </c>
      <c r="V684">
        <v>1750.930470547582</v>
      </c>
      <c r="W684">
        <v>13.00195893970977</v>
      </c>
      <c r="X684" t="s">
        <v>111</v>
      </c>
      <c r="Y684">
        <v>14.4</v>
      </c>
      <c r="Z684">
        <v>0.24297719080451799</v>
      </c>
      <c r="AA684">
        <v>31.536000000000001</v>
      </c>
    </row>
    <row r="685" spans="1:27" hidden="1" x14ac:dyDescent="0.25">
      <c r="A685" t="s">
        <v>98</v>
      </c>
      <c r="B685" t="s">
        <v>1024</v>
      </c>
      <c r="D685" t="s">
        <v>100</v>
      </c>
      <c r="E685" t="s">
        <v>101</v>
      </c>
      <c r="F685" t="s">
        <v>117</v>
      </c>
      <c r="G685" t="s">
        <v>103</v>
      </c>
      <c r="H685" t="s">
        <v>104</v>
      </c>
      <c r="I685">
        <v>2023</v>
      </c>
      <c r="J685" t="s">
        <v>124</v>
      </c>
      <c r="K685" t="s">
        <v>106</v>
      </c>
      <c r="L685" t="s">
        <v>1025</v>
      </c>
      <c r="M685" t="s">
        <v>1032</v>
      </c>
      <c r="N685">
        <v>1</v>
      </c>
      <c r="O685">
        <v>2023</v>
      </c>
      <c r="P685">
        <v>483.9331327692995</v>
      </c>
      <c r="Q685">
        <v>3.810497108419681</v>
      </c>
      <c r="R685" t="s">
        <v>109</v>
      </c>
      <c r="S685">
        <v>3.7</v>
      </c>
      <c r="T685" t="s">
        <v>110</v>
      </c>
      <c r="U685">
        <v>3.7</v>
      </c>
      <c r="V685">
        <v>1651.2487853431401</v>
      </c>
      <c r="W685">
        <v>13.00195893970977</v>
      </c>
      <c r="X685" t="s">
        <v>111</v>
      </c>
      <c r="Y685">
        <v>14.4</v>
      </c>
      <c r="Z685">
        <v>0.24297719080451799</v>
      </c>
      <c r="AA685">
        <v>31.536000000000001</v>
      </c>
    </row>
    <row r="686" spans="1:27" hidden="1" x14ac:dyDescent="0.25">
      <c r="A686" t="s">
        <v>98</v>
      </c>
      <c r="B686" t="s">
        <v>1024</v>
      </c>
      <c r="D686" t="s">
        <v>100</v>
      </c>
      <c r="E686" t="s">
        <v>101</v>
      </c>
      <c r="F686" t="s">
        <v>117</v>
      </c>
      <c r="G686" t="s">
        <v>67</v>
      </c>
      <c r="H686" t="s">
        <v>104</v>
      </c>
      <c r="I686">
        <v>2023</v>
      </c>
      <c r="J686" t="s">
        <v>126</v>
      </c>
      <c r="K686" t="s">
        <v>106</v>
      </c>
      <c r="L686" t="s">
        <v>1025</v>
      </c>
      <c r="M686" t="s">
        <v>1033</v>
      </c>
      <c r="N686">
        <v>1</v>
      </c>
      <c r="O686">
        <v>2023</v>
      </c>
      <c r="P686">
        <v>497.90495550017158</v>
      </c>
      <c r="Q686">
        <v>3.810497108419681</v>
      </c>
      <c r="R686" t="s">
        <v>109</v>
      </c>
      <c r="S686">
        <v>3.8</v>
      </c>
      <c r="T686" t="s">
        <v>110</v>
      </c>
      <c r="U686">
        <v>3.8</v>
      </c>
      <c r="V686">
        <v>1698.9226347887429</v>
      </c>
      <c r="W686">
        <v>13.00195893970977</v>
      </c>
      <c r="X686" t="s">
        <v>111</v>
      </c>
      <c r="Y686">
        <v>14.4</v>
      </c>
      <c r="Z686">
        <v>0.24297719080451799</v>
      </c>
      <c r="AA686">
        <v>31.536000000000001</v>
      </c>
    </row>
    <row r="687" spans="1:27" hidden="1" x14ac:dyDescent="0.25">
      <c r="A687" t="s">
        <v>98</v>
      </c>
      <c r="B687" t="s">
        <v>1024</v>
      </c>
      <c r="D687" t="s">
        <v>100</v>
      </c>
      <c r="E687" t="s">
        <v>101</v>
      </c>
      <c r="F687" t="s">
        <v>117</v>
      </c>
      <c r="G687" t="s">
        <v>112</v>
      </c>
      <c r="H687" t="s">
        <v>104</v>
      </c>
      <c r="I687">
        <v>2023</v>
      </c>
      <c r="J687" t="s">
        <v>128</v>
      </c>
      <c r="K687" t="s">
        <v>106</v>
      </c>
      <c r="L687" t="s">
        <v>1025</v>
      </c>
      <c r="M687" t="s">
        <v>1034</v>
      </c>
      <c r="N687">
        <v>1</v>
      </c>
      <c r="O687">
        <v>2023</v>
      </c>
      <c r="P687">
        <v>513.14694393385037</v>
      </c>
      <c r="Q687">
        <v>3.810497108419681</v>
      </c>
      <c r="R687" t="s">
        <v>109</v>
      </c>
      <c r="S687">
        <v>4</v>
      </c>
      <c r="T687" t="s">
        <v>110</v>
      </c>
      <c r="U687">
        <v>4</v>
      </c>
      <c r="V687">
        <v>1750.930470547582</v>
      </c>
      <c r="W687">
        <v>13.00195893970977</v>
      </c>
      <c r="X687" t="s">
        <v>111</v>
      </c>
      <c r="Y687">
        <v>14.4</v>
      </c>
      <c r="Z687">
        <v>0.24297719080451799</v>
      </c>
      <c r="AA687">
        <v>31.536000000000001</v>
      </c>
    </row>
    <row r="688" spans="1:27" hidden="1" x14ac:dyDescent="0.25">
      <c r="A688" t="s">
        <v>98</v>
      </c>
      <c r="B688" t="s">
        <v>1024</v>
      </c>
      <c r="D688" t="s">
        <v>100</v>
      </c>
      <c r="E688" t="s">
        <v>101</v>
      </c>
      <c r="F688" t="s">
        <v>130</v>
      </c>
      <c r="G688" t="s">
        <v>103</v>
      </c>
      <c r="H688" t="s">
        <v>131</v>
      </c>
      <c r="I688">
        <v>2022</v>
      </c>
      <c r="J688" t="s">
        <v>132</v>
      </c>
      <c r="K688" t="s">
        <v>133</v>
      </c>
      <c r="L688" t="s">
        <v>1025</v>
      </c>
      <c r="M688" t="s">
        <v>1035</v>
      </c>
      <c r="N688">
        <v>1</v>
      </c>
      <c r="O688">
        <v>2020</v>
      </c>
      <c r="P688">
        <v>335.32374554093201</v>
      </c>
      <c r="Q688">
        <v>6.3000218859205397</v>
      </c>
      <c r="R688" t="s">
        <v>109</v>
      </c>
      <c r="S688">
        <v>1.4</v>
      </c>
      <c r="T688" t="s">
        <v>110</v>
      </c>
      <c r="U688">
        <v>1.4</v>
      </c>
      <c r="V688">
        <v>1144.172386694459</v>
      </c>
      <c r="W688">
        <v>21.496572113653482</v>
      </c>
      <c r="X688" t="s">
        <v>111</v>
      </c>
      <c r="Y688">
        <v>15</v>
      </c>
      <c r="Z688">
        <v>0.24297719080451799</v>
      </c>
      <c r="AA688">
        <v>31.536000000000001</v>
      </c>
    </row>
    <row r="689" spans="1:27" hidden="1" x14ac:dyDescent="0.25">
      <c r="A689" t="s">
        <v>98</v>
      </c>
      <c r="B689" t="s">
        <v>1024</v>
      </c>
      <c r="D689" t="s">
        <v>100</v>
      </c>
      <c r="E689" t="s">
        <v>101</v>
      </c>
      <c r="F689" t="s">
        <v>135</v>
      </c>
      <c r="G689" t="s">
        <v>103</v>
      </c>
      <c r="H689" t="s">
        <v>136</v>
      </c>
      <c r="I689">
        <v>2030</v>
      </c>
      <c r="J689" t="s">
        <v>137</v>
      </c>
      <c r="K689" t="s">
        <v>138</v>
      </c>
      <c r="L689" t="s">
        <v>1025</v>
      </c>
      <c r="M689" t="s">
        <v>1036</v>
      </c>
      <c r="N689">
        <v>1</v>
      </c>
      <c r="O689">
        <v>2030</v>
      </c>
      <c r="P689">
        <v>55.186509846078152</v>
      </c>
      <c r="Q689">
        <v>4.0294911951104666</v>
      </c>
      <c r="R689" t="s">
        <v>109</v>
      </c>
      <c r="S689">
        <v>0.87</v>
      </c>
      <c r="T689" t="s">
        <v>110</v>
      </c>
      <c r="U689">
        <v>0.87</v>
      </c>
      <c r="V689">
        <v>188.30423291993449</v>
      </c>
      <c r="W689">
        <v>13.749197959233321</v>
      </c>
      <c r="X689" t="s">
        <v>111</v>
      </c>
      <c r="Y689">
        <v>25</v>
      </c>
      <c r="Z689">
        <v>0.24297719080451799</v>
      </c>
      <c r="AA689">
        <v>31.536000000000001</v>
      </c>
    </row>
    <row r="690" spans="1:27" hidden="1" x14ac:dyDescent="0.25">
      <c r="A690" t="s">
        <v>98</v>
      </c>
      <c r="B690" t="s">
        <v>1024</v>
      </c>
      <c r="D690" t="s">
        <v>100</v>
      </c>
      <c r="E690" t="s">
        <v>101</v>
      </c>
      <c r="F690" t="s">
        <v>135</v>
      </c>
      <c r="G690" t="s">
        <v>103</v>
      </c>
      <c r="H690" t="s">
        <v>136</v>
      </c>
      <c r="I690">
        <v>2040</v>
      </c>
      <c r="J690" t="s">
        <v>140</v>
      </c>
      <c r="K690" t="s">
        <v>138</v>
      </c>
      <c r="L690" t="s">
        <v>1025</v>
      </c>
      <c r="M690" t="s">
        <v>1037</v>
      </c>
      <c r="N690">
        <v>1</v>
      </c>
      <c r="O690">
        <v>2040</v>
      </c>
      <c r="P690">
        <v>53.946363557402229</v>
      </c>
      <c r="Q690">
        <v>3.9389408311754002</v>
      </c>
      <c r="R690" t="s">
        <v>109</v>
      </c>
      <c r="S690">
        <v>0.89</v>
      </c>
      <c r="T690" t="s">
        <v>110</v>
      </c>
      <c r="U690">
        <v>0.89</v>
      </c>
      <c r="V690">
        <v>184.07267712398101</v>
      </c>
      <c r="W690">
        <v>13.440227218576389</v>
      </c>
      <c r="X690" t="s">
        <v>111</v>
      </c>
      <c r="Y690">
        <v>25</v>
      </c>
      <c r="Z690">
        <v>0.24297719080451799</v>
      </c>
      <c r="AA690">
        <v>31.536000000000001</v>
      </c>
    </row>
    <row r="691" spans="1:27" hidden="1" x14ac:dyDescent="0.25">
      <c r="A691" t="s">
        <v>98</v>
      </c>
      <c r="B691" t="s">
        <v>1024</v>
      </c>
      <c r="D691" t="s">
        <v>100</v>
      </c>
      <c r="E691" t="s">
        <v>142</v>
      </c>
      <c r="F691" t="s">
        <v>102</v>
      </c>
      <c r="G691" t="s">
        <v>103</v>
      </c>
      <c r="H691" t="s">
        <v>104</v>
      </c>
      <c r="I691">
        <v>2061</v>
      </c>
      <c r="J691" t="s">
        <v>143</v>
      </c>
      <c r="K691" t="s">
        <v>106</v>
      </c>
      <c r="L691" t="s">
        <v>1038</v>
      </c>
      <c r="M691" t="s">
        <v>1039</v>
      </c>
      <c r="N691">
        <v>1</v>
      </c>
      <c r="O691">
        <v>2061</v>
      </c>
      <c r="P691">
        <v>117.0584711706526</v>
      </c>
      <c r="Q691">
        <v>4.2000145906136934</v>
      </c>
      <c r="R691" t="s">
        <v>109</v>
      </c>
      <c r="S691">
        <v>3.2239155920281362</v>
      </c>
      <c r="T691" t="s">
        <v>110</v>
      </c>
      <c r="U691">
        <v>3.2239155920281362</v>
      </c>
      <c r="V691">
        <v>399.42017862788401</v>
      </c>
      <c r="W691">
        <v>14.33104807576899</v>
      </c>
      <c r="X691" t="s">
        <v>111</v>
      </c>
      <c r="Y691">
        <v>21</v>
      </c>
      <c r="Z691">
        <v>0.13552551554294709</v>
      </c>
      <c r="AA691">
        <v>31.536000000000001</v>
      </c>
    </row>
    <row r="692" spans="1:27" hidden="1" x14ac:dyDescent="0.25">
      <c r="A692" t="s">
        <v>98</v>
      </c>
      <c r="B692" t="s">
        <v>1024</v>
      </c>
      <c r="D692" t="s">
        <v>100</v>
      </c>
      <c r="E692" t="s">
        <v>142</v>
      </c>
      <c r="F692" t="s">
        <v>102</v>
      </c>
      <c r="G692" t="s">
        <v>112</v>
      </c>
      <c r="H692" t="s">
        <v>104</v>
      </c>
      <c r="I692">
        <v>2022</v>
      </c>
      <c r="J692" t="s">
        <v>146</v>
      </c>
      <c r="K692" t="s">
        <v>106</v>
      </c>
      <c r="L692" t="s">
        <v>1038</v>
      </c>
      <c r="M692" t="s">
        <v>1040</v>
      </c>
      <c r="N692">
        <v>1</v>
      </c>
      <c r="O692">
        <v>2020</v>
      </c>
      <c r="P692">
        <v>200.7885700942916</v>
      </c>
      <c r="Q692">
        <v>4.2000145906136934</v>
      </c>
      <c r="R692" t="s">
        <v>109</v>
      </c>
      <c r="S692">
        <v>3.8393903868698711</v>
      </c>
      <c r="T692" t="s">
        <v>110</v>
      </c>
      <c r="U692">
        <v>3.8393903868698711</v>
      </c>
      <c r="V692">
        <v>685.1192035182313</v>
      </c>
      <c r="W692">
        <v>14.33104807576899</v>
      </c>
      <c r="X692" t="s">
        <v>111</v>
      </c>
      <c r="Y692">
        <v>21</v>
      </c>
      <c r="Z692">
        <v>0.13552551554294709</v>
      </c>
      <c r="AA692">
        <v>31.536000000000001</v>
      </c>
    </row>
    <row r="693" spans="1:27" hidden="1" x14ac:dyDescent="0.25">
      <c r="A693" t="s">
        <v>98</v>
      </c>
      <c r="B693" t="s">
        <v>1024</v>
      </c>
      <c r="D693" t="s">
        <v>100</v>
      </c>
      <c r="E693" t="s">
        <v>142</v>
      </c>
      <c r="F693" t="s">
        <v>102</v>
      </c>
      <c r="G693" t="s">
        <v>103</v>
      </c>
      <c r="H693" t="s">
        <v>104</v>
      </c>
      <c r="I693">
        <v>2023</v>
      </c>
      <c r="J693" t="s">
        <v>148</v>
      </c>
      <c r="K693" t="s">
        <v>106</v>
      </c>
      <c r="L693" t="s">
        <v>1038</v>
      </c>
      <c r="M693" t="s">
        <v>1041</v>
      </c>
      <c r="N693">
        <v>1</v>
      </c>
      <c r="O693">
        <v>2023</v>
      </c>
      <c r="P693">
        <v>135.73557542199771</v>
      </c>
      <c r="Q693">
        <v>4.2000145906136934</v>
      </c>
      <c r="R693" t="s">
        <v>109</v>
      </c>
      <c r="S693">
        <v>3.4290738569753811</v>
      </c>
      <c r="T693" t="s">
        <v>110</v>
      </c>
      <c r="U693">
        <v>3.4290738569753811</v>
      </c>
      <c r="V693">
        <v>463.14911888927151</v>
      </c>
      <c r="W693">
        <v>14.33104807576899</v>
      </c>
      <c r="X693" t="s">
        <v>111</v>
      </c>
      <c r="Y693">
        <v>21</v>
      </c>
      <c r="Z693">
        <v>0.13552551554294709</v>
      </c>
      <c r="AA693">
        <v>31.536000000000001</v>
      </c>
    </row>
    <row r="694" spans="1:27" hidden="1" x14ac:dyDescent="0.25">
      <c r="A694" t="s">
        <v>98</v>
      </c>
      <c r="B694" t="s">
        <v>1024</v>
      </c>
      <c r="D694" t="s">
        <v>100</v>
      </c>
      <c r="E694" t="s">
        <v>142</v>
      </c>
      <c r="F694" t="s">
        <v>117</v>
      </c>
      <c r="G694" t="s">
        <v>103</v>
      </c>
      <c r="H694" t="s">
        <v>104</v>
      </c>
      <c r="I694">
        <v>2033</v>
      </c>
      <c r="J694" t="s">
        <v>150</v>
      </c>
      <c r="K694" t="s">
        <v>106</v>
      </c>
      <c r="L694" t="s">
        <v>1038</v>
      </c>
      <c r="M694" t="s">
        <v>1042</v>
      </c>
      <c r="N694">
        <v>1</v>
      </c>
      <c r="O694">
        <v>2033</v>
      </c>
      <c r="P694">
        <v>483.9331327692995</v>
      </c>
      <c r="Q694">
        <v>3.810497108419681</v>
      </c>
      <c r="R694" t="s">
        <v>109</v>
      </c>
      <c r="S694">
        <v>5.0996483001172326</v>
      </c>
      <c r="T694" t="s">
        <v>110</v>
      </c>
      <c r="U694">
        <v>5.0996483001172326</v>
      </c>
      <c r="V694">
        <v>1651.2487853431401</v>
      </c>
      <c r="W694">
        <v>13.00195893970977</v>
      </c>
      <c r="X694" t="s">
        <v>111</v>
      </c>
      <c r="Y694">
        <v>14.4</v>
      </c>
      <c r="Z694">
        <v>0.13552551554294709</v>
      </c>
      <c r="AA694">
        <v>31.536000000000001</v>
      </c>
    </row>
    <row r="695" spans="1:27" hidden="1" x14ac:dyDescent="0.25">
      <c r="A695" t="s">
        <v>98</v>
      </c>
      <c r="B695" t="s">
        <v>1024</v>
      </c>
      <c r="D695" t="s">
        <v>100</v>
      </c>
      <c r="E695" t="s">
        <v>142</v>
      </c>
      <c r="F695" t="s">
        <v>117</v>
      </c>
      <c r="G695" t="s">
        <v>67</v>
      </c>
      <c r="H695" t="s">
        <v>104</v>
      </c>
      <c r="I695">
        <v>2033</v>
      </c>
      <c r="J695" t="s">
        <v>152</v>
      </c>
      <c r="K695" t="s">
        <v>106</v>
      </c>
      <c r="L695" t="s">
        <v>1038</v>
      </c>
      <c r="M695" t="s">
        <v>1043</v>
      </c>
      <c r="N695">
        <v>1</v>
      </c>
      <c r="O695">
        <v>2033</v>
      </c>
      <c r="P695">
        <v>497.90495550017158</v>
      </c>
      <c r="Q695">
        <v>3.810497108419681</v>
      </c>
      <c r="R695" t="s">
        <v>109</v>
      </c>
      <c r="S695">
        <v>5.7737397420867529</v>
      </c>
      <c r="T695" t="s">
        <v>110</v>
      </c>
      <c r="U695">
        <v>5.7737397420867529</v>
      </c>
      <c r="V695">
        <v>1698.9226347887429</v>
      </c>
      <c r="W695">
        <v>13.00195893970977</v>
      </c>
      <c r="X695" t="s">
        <v>111</v>
      </c>
      <c r="Y695">
        <v>14.4</v>
      </c>
      <c r="Z695">
        <v>0.13552551554294709</v>
      </c>
      <c r="AA695">
        <v>31.536000000000001</v>
      </c>
    </row>
    <row r="696" spans="1:27" hidden="1" x14ac:dyDescent="0.25">
      <c r="A696" t="s">
        <v>98</v>
      </c>
      <c r="B696" t="s">
        <v>1024</v>
      </c>
      <c r="D696" t="s">
        <v>100</v>
      </c>
      <c r="E696" t="s">
        <v>142</v>
      </c>
      <c r="F696" t="s">
        <v>117</v>
      </c>
      <c r="G696" t="s">
        <v>112</v>
      </c>
      <c r="H696" t="s">
        <v>104</v>
      </c>
      <c r="I696">
        <v>2033</v>
      </c>
      <c r="J696" t="s">
        <v>154</v>
      </c>
      <c r="K696" t="s">
        <v>106</v>
      </c>
      <c r="L696" t="s">
        <v>1038</v>
      </c>
      <c r="M696" t="s">
        <v>1044</v>
      </c>
      <c r="N696">
        <v>1</v>
      </c>
      <c r="O696">
        <v>2033</v>
      </c>
      <c r="P696">
        <v>513.14694393385037</v>
      </c>
      <c r="Q696">
        <v>3.810497108419681</v>
      </c>
      <c r="R696" t="s">
        <v>109</v>
      </c>
      <c r="S696">
        <v>6.4771395076201648</v>
      </c>
      <c r="T696" t="s">
        <v>110</v>
      </c>
      <c r="U696">
        <v>6.4771395076201648</v>
      </c>
      <c r="V696">
        <v>1750.930470547582</v>
      </c>
      <c r="W696">
        <v>13.00195893970977</v>
      </c>
      <c r="X696" t="s">
        <v>111</v>
      </c>
      <c r="Y696">
        <v>14.4</v>
      </c>
      <c r="Z696">
        <v>0.13552551554294709</v>
      </c>
      <c r="AA696">
        <v>31.536000000000001</v>
      </c>
    </row>
    <row r="697" spans="1:27" hidden="1" x14ac:dyDescent="0.25">
      <c r="A697" t="s">
        <v>98</v>
      </c>
      <c r="B697" t="s">
        <v>1024</v>
      </c>
      <c r="D697" t="s">
        <v>100</v>
      </c>
      <c r="E697" t="s">
        <v>142</v>
      </c>
      <c r="F697" t="s">
        <v>117</v>
      </c>
      <c r="G697" t="s">
        <v>103</v>
      </c>
      <c r="H697" t="s">
        <v>104</v>
      </c>
      <c r="I697">
        <v>2023</v>
      </c>
      <c r="J697" t="s">
        <v>156</v>
      </c>
      <c r="K697" t="s">
        <v>106</v>
      </c>
      <c r="L697" t="s">
        <v>1038</v>
      </c>
      <c r="M697" t="s">
        <v>1045</v>
      </c>
      <c r="N697">
        <v>1</v>
      </c>
      <c r="O697">
        <v>2023</v>
      </c>
      <c r="P697">
        <v>498.32834406777368</v>
      </c>
      <c r="Q697">
        <v>3.810497108419681</v>
      </c>
      <c r="R697" t="s">
        <v>109</v>
      </c>
      <c r="S697">
        <v>3.833333333333333</v>
      </c>
      <c r="T697" t="s">
        <v>110</v>
      </c>
      <c r="U697">
        <v>3.833333333333333</v>
      </c>
      <c r="V697">
        <v>1700.3672968931551</v>
      </c>
      <c r="W697">
        <v>13.00195893970977</v>
      </c>
      <c r="X697" t="s">
        <v>111</v>
      </c>
      <c r="Y697">
        <v>14.4</v>
      </c>
      <c r="Z697">
        <v>0.13552551554294709</v>
      </c>
      <c r="AA697">
        <v>31.536000000000001</v>
      </c>
    </row>
    <row r="698" spans="1:27" hidden="1" x14ac:dyDescent="0.25">
      <c r="A698" t="s">
        <v>98</v>
      </c>
      <c r="B698" t="s">
        <v>1024</v>
      </c>
      <c r="D698" t="s">
        <v>100</v>
      </c>
      <c r="E698" t="s">
        <v>142</v>
      </c>
      <c r="F698" t="s">
        <v>130</v>
      </c>
      <c r="G698" t="s">
        <v>103</v>
      </c>
      <c r="H698" t="s">
        <v>131</v>
      </c>
      <c r="I698">
        <v>2022</v>
      </c>
      <c r="J698" t="s">
        <v>158</v>
      </c>
      <c r="K698" t="s">
        <v>133</v>
      </c>
      <c r="L698" t="s">
        <v>1038</v>
      </c>
      <c r="M698" t="s">
        <v>1046</v>
      </c>
      <c r="N698">
        <v>1</v>
      </c>
      <c r="O698">
        <v>2020</v>
      </c>
      <c r="P698">
        <v>335.32374554093201</v>
      </c>
      <c r="Q698">
        <v>6.3000218859205397</v>
      </c>
      <c r="R698" t="s">
        <v>109</v>
      </c>
      <c r="S698">
        <v>1.2</v>
      </c>
      <c r="T698" t="s">
        <v>110</v>
      </c>
      <c r="U698">
        <v>1.2</v>
      </c>
      <c r="V698">
        <v>1144.172386694459</v>
      </c>
      <c r="W698">
        <v>21.496572113653482</v>
      </c>
      <c r="X698" t="s">
        <v>111</v>
      </c>
      <c r="Y698">
        <v>15</v>
      </c>
      <c r="Z698">
        <v>0.13552551554294709</v>
      </c>
      <c r="AA698">
        <v>31.536000000000001</v>
      </c>
    </row>
    <row r="699" spans="1:27" hidden="1" x14ac:dyDescent="0.25">
      <c r="A699" t="s">
        <v>98</v>
      </c>
      <c r="B699" t="s">
        <v>1024</v>
      </c>
      <c r="D699" t="s">
        <v>100</v>
      </c>
      <c r="E699" t="s">
        <v>142</v>
      </c>
      <c r="F699" t="s">
        <v>160</v>
      </c>
      <c r="G699" t="s">
        <v>103</v>
      </c>
      <c r="H699" t="s">
        <v>104</v>
      </c>
      <c r="I699">
        <v>2030</v>
      </c>
      <c r="J699" t="s">
        <v>161</v>
      </c>
      <c r="K699" t="s">
        <v>106</v>
      </c>
      <c r="L699" t="s">
        <v>1038</v>
      </c>
      <c r="M699" t="s">
        <v>1047</v>
      </c>
      <c r="N699">
        <v>1</v>
      </c>
      <c r="O699">
        <v>2030</v>
      </c>
      <c r="P699">
        <v>93.992262007685454</v>
      </c>
      <c r="Q699">
        <v>4.3185633895423052</v>
      </c>
      <c r="R699" t="s">
        <v>109</v>
      </c>
      <c r="S699">
        <v>4.8178066132425448</v>
      </c>
      <c r="T699" t="s">
        <v>110</v>
      </c>
      <c r="U699">
        <v>4.8178066132425448</v>
      </c>
      <c r="V699">
        <v>320.71498717950749</v>
      </c>
      <c r="W699">
        <v>14.735553465004401</v>
      </c>
      <c r="X699" t="s">
        <v>111</v>
      </c>
      <c r="Y699">
        <v>20</v>
      </c>
      <c r="Z699">
        <v>0.13552551554294709</v>
      </c>
      <c r="AA699">
        <v>31.536000000000001</v>
      </c>
    </row>
    <row r="700" spans="1:27" hidden="1" x14ac:dyDescent="0.25">
      <c r="A700" t="s">
        <v>98</v>
      </c>
      <c r="B700" t="s">
        <v>1024</v>
      </c>
      <c r="D700" t="s">
        <v>100</v>
      </c>
      <c r="E700" t="s">
        <v>142</v>
      </c>
      <c r="F700" t="s">
        <v>160</v>
      </c>
      <c r="G700" t="s">
        <v>112</v>
      </c>
      <c r="H700" t="s">
        <v>104</v>
      </c>
      <c r="I700">
        <v>2030</v>
      </c>
      <c r="J700" t="s">
        <v>163</v>
      </c>
      <c r="K700" t="s">
        <v>106</v>
      </c>
      <c r="L700" t="s">
        <v>1038</v>
      </c>
      <c r="M700" t="s">
        <v>1048</v>
      </c>
      <c r="N700">
        <v>1</v>
      </c>
      <c r="O700">
        <v>2030</v>
      </c>
      <c r="P700">
        <v>104.15358763013791</v>
      </c>
      <c r="Q700">
        <v>4.3185633895423052</v>
      </c>
      <c r="R700" t="s">
        <v>109</v>
      </c>
      <c r="S700">
        <v>5.1720570995103783</v>
      </c>
      <c r="T700" t="s">
        <v>110</v>
      </c>
      <c r="U700">
        <v>5.1720570995103783</v>
      </c>
      <c r="V700">
        <v>355.38687768540018</v>
      </c>
      <c r="W700">
        <v>14.735553465004401</v>
      </c>
      <c r="X700" t="s">
        <v>111</v>
      </c>
      <c r="Y700">
        <v>20</v>
      </c>
      <c r="Z700">
        <v>0.13552551554294709</v>
      </c>
      <c r="AA700">
        <v>31.536000000000001</v>
      </c>
    </row>
    <row r="701" spans="1:27" hidden="1" x14ac:dyDescent="0.25">
      <c r="A701" t="s">
        <v>98</v>
      </c>
      <c r="B701" t="s">
        <v>1024</v>
      </c>
      <c r="D701" t="s">
        <v>100</v>
      </c>
      <c r="E701" t="s">
        <v>142</v>
      </c>
      <c r="F701" t="s">
        <v>160</v>
      </c>
      <c r="G701" t="s">
        <v>103</v>
      </c>
      <c r="H701" t="s">
        <v>104</v>
      </c>
      <c r="I701">
        <v>2040</v>
      </c>
      <c r="J701" t="s">
        <v>165</v>
      </c>
      <c r="K701" t="s">
        <v>106</v>
      </c>
      <c r="L701" t="s">
        <v>1038</v>
      </c>
      <c r="M701" t="s">
        <v>1049</v>
      </c>
      <c r="N701">
        <v>1</v>
      </c>
      <c r="O701">
        <v>2040</v>
      </c>
      <c r="P701">
        <v>93.992262007685454</v>
      </c>
      <c r="Q701">
        <v>4.3185633895423052</v>
      </c>
      <c r="R701" t="s">
        <v>109</v>
      </c>
      <c r="S701">
        <v>4.9535194755874059</v>
      </c>
      <c r="T701" t="s">
        <v>110</v>
      </c>
      <c r="U701">
        <v>4.9535194755874059</v>
      </c>
      <c r="V701">
        <v>320.71498717950749</v>
      </c>
      <c r="W701">
        <v>14.735553465004401</v>
      </c>
      <c r="X701" t="s">
        <v>111</v>
      </c>
      <c r="Y701">
        <v>20</v>
      </c>
      <c r="Z701">
        <v>0.13552551554294709</v>
      </c>
      <c r="AA701">
        <v>31.536000000000001</v>
      </c>
    </row>
    <row r="702" spans="1:27" hidden="1" x14ac:dyDescent="0.25">
      <c r="A702" t="s">
        <v>98</v>
      </c>
      <c r="B702" t="s">
        <v>1024</v>
      </c>
      <c r="D702" t="s">
        <v>100</v>
      </c>
      <c r="E702" t="s">
        <v>142</v>
      </c>
      <c r="F702" t="s">
        <v>160</v>
      </c>
      <c r="G702" t="s">
        <v>112</v>
      </c>
      <c r="H702" t="s">
        <v>104</v>
      </c>
      <c r="I702">
        <v>2040</v>
      </c>
      <c r="J702" t="s">
        <v>167</v>
      </c>
      <c r="K702" t="s">
        <v>106</v>
      </c>
      <c r="L702" t="s">
        <v>1038</v>
      </c>
      <c r="M702" t="s">
        <v>1050</v>
      </c>
      <c r="N702">
        <v>1</v>
      </c>
      <c r="O702">
        <v>2040</v>
      </c>
      <c r="P702">
        <v>104.15358763013791</v>
      </c>
      <c r="Q702">
        <v>4.3185633895423052</v>
      </c>
      <c r="R702" t="s">
        <v>109</v>
      </c>
      <c r="S702">
        <v>5.4107674271800876</v>
      </c>
      <c r="T702" t="s">
        <v>110</v>
      </c>
      <c r="U702">
        <v>5.4107674271800876</v>
      </c>
      <c r="V702">
        <v>355.38687768540018</v>
      </c>
      <c r="W702">
        <v>14.735553465004401</v>
      </c>
      <c r="X702" t="s">
        <v>111</v>
      </c>
      <c r="Y702">
        <v>20</v>
      </c>
      <c r="Z702">
        <v>0.13552551554294709</v>
      </c>
      <c r="AA702">
        <v>31.536000000000001</v>
      </c>
    </row>
    <row r="703" spans="1:27" hidden="1" x14ac:dyDescent="0.25">
      <c r="A703" t="s">
        <v>98</v>
      </c>
      <c r="B703" t="s">
        <v>1024</v>
      </c>
      <c r="D703" t="s">
        <v>100</v>
      </c>
      <c r="E703" t="s">
        <v>142</v>
      </c>
      <c r="F703" t="s">
        <v>160</v>
      </c>
      <c r="G703" t="s">
        <v>112</v>
      </c>
      <c r="H703" t="s">
        <v>104</v>
      </c>
      <c r="I703">
        <v>2022</v>
      </c>
      <c r="J703" t="s">
        <v>169</v>
      </c>
      <c r="K703" t="s">
        <v>106</v>
      </c>
      <c r="L703" t="s">
        <v>1038</v>
      </c>
      <c r="M703" t="s">
        <v>1051</v>
      </c>
      <c r="N703">
        <v>1</v>
      </c>
      <c r="O703">
        <v>2020</v>
      </c>
      <c r="P703">
        <v>104.15358763013791</v>
      </c>
      <c r="Q703">
        <v>4.3185633895423052</v>
      </c>
      <c r="R703" t="s">
        <v>109</v>
      </c>
      <c r="S703">
        <v>4.9886508193858967</v>
      </c>
      <c r="T703" t="s">
        <v>110</v>
      </c>
      <c r="U703">
        <v>4.9886508193858967</v>
      </c>
      <c r="V703">
        <v>355.38687768540018</v>
      </c>
      <c r="W703">
        <v>14.735553465004401</v>
      </c>
      <c r="X703" t="s">
        <v>111</v>
      </c>
      <c r="Y703">
        <v>20</v>
      </c>
      <c r="Z703">
        <v>0.13552551554294709</v>
      </c>
      <c r="AA703">
        <v>31.536000000000001</v>
      </c>
    </row>
    <row r="704" spans="1:27" hidden="1" x14ac:dyDescent="0.25">
      <c r="A704" t="s">
        <v>98</v>
      </c>
      <c r="B704" t="s">
        <v>1024</v>
      </c>
      <c r="D704" t="s">
        <v>100</v>
      </c>
      <c r="E704" t="s">
        <v>142</v>
      </c>
      <c r="F704" t="s">
        <v>171</v>
      </c>
      <c r="G704" t="s">
        <v>172</v>
      </c>
      <c r="H704" t="s">
        <v>104</v>
      </c>
      <c r="I704">
        <v>2061</v>
      </c>
      <c r="J704" t="s">
        <v>173</v>
      </c>
      <c r="K704" t="s">
        <v>106</v>
      </c>
      <c r="L704" t="s">
        <v>1038</v>
      </c>
      <c r="M704" t="s">
        <v>1052</v>
      </c>
      <c r="N704">
        <v>1</v>
      </c>
      <c r="O704">
        <v>2061</v>
      </c>
      <c r="P704">
        <v>90.181764899265772</v>
      </c>
      <c r="Q704">
        <v>3.3024308272970568</v>
      </c>
      <c r="R704" t="s">
        <v>109</v>
      </c>
      <c r="S704">
        <v>4.1038492738238714</v>
      </c>
      <c r="T704" t="s">
        <v>110</v>
      </c>
      <c r="U704">
        <v>4.1038492738238714</v>
      </c>
      <c r="V704">
        <v>307.71302823979772</v>
      </c>
      <c r="W704">
        <v>11.26836441441513</v>
      </c>
      <c r="X704" t="s">
        <v>111</v>
      </c>
      <c r="Y704">
        <v>20</v>
      </c>
      <c r="Z704">
        <v>0.13552551554294709</v>
      </c>
      <c r="AA704">
        <v>31.536000000000001</v>
      </c>
    </row>
    <row r="705" spans="1:27" hidden="1" x14ac:dyDescent="0.25">
      <c r="A705" t="s">
        <v>98</v>
      </c>
      <c r="B705" t="s">
        <v>1024</v>
      </c>
      <c r="D705" t="s">
        <v>100</v>
      </c>
      <c r="E705" t="s">
        <v>142</v>
      </c>
      <c r="F705" t="s">
        <v>171</v>
      </c>
      <c r="G705" t="s">
        <v>112</v>
      </c>
      <c r="H705" t="s">
        <v>104</v>
      </c>
      <c r="I705">
        <v>2022</v>
      </c>
      <c r="J705" t="s">
        <v>175</v>
      </c>
      <c r="K705" t="s">
        <v>106</v>
      </c>
      <c r="L705" t="s">
        <v>1038</v>
      </c>
      <c r="M705" t="s">
        <v>1053</v>
      </c>
      <c r="N705">
        <v>1</v>
      </c>
      <c r="O705">
        <v>2020</v>
      </c>
      <c r="P705">
        <v>99.072924818911702</v>
      </c>
      <c r="Q705">
        <v>3.3024308272970568</v>
      </c>
      <c r="R705" t="s">
        <v>109</v>
      </c>
      <c r="S705">
        <v>6.6358468446548251</v>
      </c>
      <c r="T705" t="s">
        <v>110</v>
      </c>
      <c r="U705">
        <v>6.6358468446548251</v>
      </c>
      <c r="V705">
        <v>338.05093243245392</v>
      </c>
      <c r="W705">
        <v>11.26836441441513</v>
      </c>
      <c r="X705" t="s">
        <v>111</v>
      </c>
      <c r="Y705">
        <v>20</v>
      </c>
      <c r="Z705">
        <v>0.13552551554294709</v>
      </c>
      <c r="AA705">
        <v>31.536000000000001</v>
      </c>
    </row>
    <row r="706" spans="1:27" hidden="1" x14ac:dyDescent="0.25">
      <c r="A706" t="s">
        <v>98</v>
      </c>
      <c r="B706" t="s">
        <v>1024</v>
      </c>
      <c r="D706" t="s">
        <v>100</v>
      </c>
      <c r="E706" t="s">
        <v>142</v>
      </c>
      <c r="F706" t="s">
        <v>171</v>
      </c>
      <c r="G706" t="s">
        <v>103</v>
      </c>
      <c r="H706" t="s">
        <v>104</v>
      </c>
      <c r="I706">
        <v>2030</v>
      </c>
      <c r="J706" t="s">
        <v>177</v>
      </c>
      <c r="K706" t="s">
        <v>106</v>
      </c>
      <c r="L706" t="s">
        <v>1038</v>
      </c>
      <c r="M706" t="s">
        <v>1054</v>
      </c>
      <c r="N706">
        <v>1</v>
      </c>
      <c r="O706">
        <v>2030</v>
      </c>
      <c r="P706">
        <v>90.181764899265772</v>
      </c>
      <c r="Q706">
        <v>3.3024308272970568</v>
      </c>
      <c r="R706" t="s">
        <v>109</v>
      </c>
      <c r="S706">
        <v>4.8847205939820251</v>
      </c>
      <c r="T706" t="s">
        <v>110</v>
      </c>
      <c r="U706">
        <v>4.8847205939820251</v>
      </c>
      <c r="V706">
        <v>307.71302823979772</v>
      </c>
      <c r="W706">
        <v>11.26836441441513</v>
      </c>
      <c r="X706" t="s">
        <v>111</v>
      </c>
      <c r="Y706">
        <v>20</v>
      </c>
      <c r="Z706">
        <v>0.13552551554294709</v>
      </c>
      <c r="AA706">
        <v>31.536000000000001</v>
      </c>
    </row>
    <row r="707" spans="1:27" hidden="1" x14ac:dyDescent="0.25">
      <c r="A707" t="s">
        <v>98</v>
      </c>
      <c r="B707" t="s">
        <v>1024</v>
      </c>
      <c r="D707" t="s">
        <v>100</v>
      </c>
      <c r="E707" t="s">
        <v>142</v>
      </c>
      <c r="F707" t="s">
        <v>171</v>
      </c>
      <c r="G707" t="s">
        <v>112</v>
      </c>
      <c r="H707" t="s">
        <v>104</v>
      </c>
      <c r="I707">
        <v>2030</v>
      </c>
      <c r="J707" t="s">
        <v>179</v>
      </c>
      <c r="K707" t="s">
        <v>106</v>
      </c>
      <c r="L707" t="s">
        <v>1038</v>
      </c>
      <c r="M707" t="s">
        <v>1055</v>
      </c>
      <c r="N707">
        <v>1</v>
      </c>
      <c r="O707">
        <v>2030</v>
      </c>
      <c r="P707">
        <v>99.072924818911702</v>
      </c>
      <c r="Q707">
        <v>3.3024308272970568</v>
      </c>
      <c r="R707" t="s">
        <v>109</v>
      </c>
      <c r="S707">
        <v>7.1775486278919534</v>
      </c>
      <c r="T707" t="s">
        <v>110</v>
      </c>
      <c r="U707">
        <v>7.1775486278919534</v>
      </c>
      <c r="V707">
        <v>338.05093243245392</v>
      </c>
      <c r="W707">
        <v>11.26836441441513</v>
      </c>
      <c r="X707" t="s">
        <v>111</v>
      </c>
      <c r="Y707">
        <v>20</v>
      </c>
      <c r="Z707">
        <v>0.13552551554294709</v>
      </c>
      <c r="AA707">
        <v>31.536000000000001</v>
      </c>
    </row>
    <row r="708" spans="1:27" hidden="1" x14ac:dyDescent="0.25">
      <c r="A708" t="s">
        <v>98</v>
      </c>
      <c r="B708" t="s">
        <v>1024</v>
      </c>
      <c r="D708" t="s">
        <v>100</v>
      </c>
      <c r="E708" t="s">
        <v>142</v>
      </c>
      <c r="F708" t="s">
        <v>171</v>
      </c>
      <c r="G708" t="s">
        <v>103</v>
      </c>
      <c r="H708" t="s">
        <v>104</v>
      </c>
      <c r="I708">
        <v>2040</v>
      </c>
      <c r="J708" t="s">
        <v>181</v>
      </c>
      <c r="K708" t="s">
        <v>106</v>
      </c>
      <c r="L708" t="s">
        <v>1038</v>
      </c>
      <c r="M708" t="s">
        <v>1056</v>
      </c>
      <c r="N708">
        <v>1</v>
      </c>
      <c r="O708">
        <v>2040</v>
      </c>
      <c r="P708">
        <v>90.181764899265772</v>
      </c>
      <c r="Q708">
        <v>3.3024308272970568</v>
      </c>
      <c r="R708" t="s">
        <v>109</v>
      </c>
      <c r="S708">
        <v>5.1720570995103783</v>
      </c>
      <c r="T708" t="s">
        <v>110</v>
      </c>
      <c r="U708">
        <v>5.1720570995103783</v>
      </c>
      <c r="V708">
        <v>307.71302823979772</v>
      </c>
      <c r="W708">
        <v>11.26836441441513</v>
      </c>
      <c r="X708" t="s">
        <v>111</v>
      </c>
      <c r="Y708">
        <v>20</v>
      </c>
      <c r="Z708">
        <v>0.13552551554294709</v>
      </c>
      <c r="AA708">
        <v>31.536000000000001</v>
      </c>
    </row>
    <row r="709" spans="1:27" hidden="1" x14ac:dyDescent="0.25">
      <c r="A709" t="s">
        <v>98</v>
      </c>
      <c r="B709" t="s">
        <v>1024</v>
      </c>
      <c r="D709" t="s">
        <v>100</v>
      </c>
      <c r="E709" t="s">
        <v>142</v>
      </c>
      <c r="F709" t="s">
        <v>171</v>
      </c>
      <c r="G709" t="s">
        <v>112</v>
      </c>
      <c r="H709" t="s">
        <v>104</v>
      </c>
      <c r="I709">
        <v>2040</v>
      </c>
      <c r="J709" t="s">
        <v>183</v>
      </c>
      <c r="K709" t="s">
        <v>106</v>
      </c>
      <c r="L709" t="s">
        <v>1038</v>
      </c>
      <c r="M709" t="s">
        <v>1057</v>
      </c>
      <c r="N709">
        <v>1</v>
      </c>
      <c r="O709">
        <v>2040</v>
      </c>
      <c r="P709">
        <v>99.072924818911702</v>
      </c>
      <c r="Q709">
        <v>3.3024308272970568</v>
      </c>
      <c r="R709" t="s">
        <v>109</v>
      </c>
      <c r="S709">
        <v>7.815552950371238</v>
      </c>
      <c r="T709" t="s">
        <v>110</v>
      </c>
      <c r="U709">
        <v>7.815552950371238</v>
      </c>
      <c r="V709">
        <v>338.05093243245392</v>
      </c>
      <c r="W709">
        <v>11.26836441441513</v>
      </c>
      <c r="X709" t="s">
        <v>111</v>
      </c>
      <c r="Y709">
        <v>20</v>
      </c>
      <c r="Z709">
        <v>0.13552551554294709</v>
      </c>
      <c r="AA709">
        <v>31.536000000000001</v>
      </c>
    </row>
    <row r="710" spans="1:27" hidden="1" x14ac:dyDescent="0.25">
      <c r="A710" t="s">
        <v>98</v>
      </c>
      <c r="B710" t="s">
        <v>1024</v>
      </c>
      <c r="D710" t="s">
        <v>100</v>
      </c>
      <c r="E710" t="s">
        <v>142</v>
      </c>
      <c r="F710" t="s">
        <v>185</v>
      </c>
      <c r="G710" t="s">
        <v>112</v>
      </c>
      <c r="H710" t="s">
        <v>104</v>
      </c>
      <c r="I710">
        <v>2022</v>
      </c>
      <c r="J710" t="s">
        <v>186</v>
      </c>
      <c r="K710" t="s">
        <v>106</v>
      </c>
      <c r="L710" t="s">
        <v>1038</v>
      </c>
      <c r="M710" t="s">
        <v>1058</v>
      </c>
      <c r="N710">
        <v>1</v>
      </c>
      <c r="O710">
        <v>2020</v>
      </c>
      <c r="P710">
        <v>97.802759116105136</v>
      </c>
      <c r="Q710">
        <v>3.5564639678583689</v>
      </c>
      <c r="R710" t="s">
        <v>109</v>
      </c>
      <c r="S710">
        <v>4.4518972502114647</v>
      </c>
      <c r="T710" t="s">
        <v>110</v>
      </c>
      <c r="U710">
        <v>4.4518972502114647</v>
      </c>
      <c r="V710">
        <v>333.71694611921731</v>
      </c>
      <c r="W710">
        <v>12.135161677062451</v>
      </c>
      <c r="X710" t="s">
        <v>111</v>
      </c>
      <c r="Y710">
        <v>20</v>
      </c>
      <c r="Z710">
        <v>0.13552551554294709</v>
      </c>
      <c r="AA710">
        <v>31.536000000000001</v>
      </c>
    </row>
    <row r="711" spans="1:27" hidden="1" x14ac:dyDescent="0.25">
      <c r="A711" t="s">
        <v>98</v>
      </c>
      <c r="B711" t="s">
        <v>1024</v>
      </c>
      <c r="D711" t="s">
        <v>100</v>
      </c>
      <c r="E711" t="s">
        <v>142</v>
      </c>
      <c r="F711" t="s">
        <v>188</v>
      </c>
      <c r="G711" t="s">
        <v>103</v>
      </c>
      <c r="H711" t="s">
        <v>104</v>
      </c>
      <c r="I711">
        <v>2030</v>
      </c>
      <c r="J711" t="s">
        <v>189</v>
      </c>
      <c r="K711" t="s">
        <v>106</v>
      </c>
      <c r="L711" t="s">
        <v>1038</v>
      </c>
      <c r="M711" t="s">
        <v>1059</v>
      </c>
      <c r="N711">
        <v>1</v>
      </c>
      <c r="O711">
        <v>2030</v>
      </c>
      <c r="P711">
        <v>49.536462409455851</v>
      </c>
      <c r="Q711">
        <v>3.0483976867357452</v>
      </c>
      <c r="R711" t="s">
        <v>109</v>
      </c>
      <c r="S711">
        <v>10.04856807904874</v>
      </c>
      <c r="T711" t="s">
        <v>110</v>
      </c>
      <c r="U711">
        <v>10.04856807904874</v>
      </c>
      <c r="V711">
        <v>169.0254662162269</v>
      </c>
      <c r="W711">
        <v>10.401567151767811</v>
      </c>
      <c r="X711" t="s">
        <v>111</v>
      </c>
      <c r="Y711">
        <v>25</v>
      </c>
      <c r="Z711">
        <v>0.13552551554294709</v>
      </c>
      <c r="AA711">
        <v>31.536000000000001</v>
      </c>
    </row>
    <row r="712" spans="1:27" hidden="1" x14ac:dyDescent="0.25">
      <c r="A712" t="s">
        <v>98</v>
      </c>
      <c r="B712" t="s">
        <v>1024</v>
      </c>
      <c r="D712" t="s">
        <v>100</v>
      </c>
      <c r="E712" t="s">
        <v>142</v>
      </c>
      <c r="F712" t="s">
        <v>188</v>
      </c>
      <c r="G712" t="s">
        <v>112</v>
      </c>
      <c r="H712" t="s">
        <v>104</v>
      </c>
      <c r="I712">
        <v>2030</v>
      </c>
      <c r="J712" t="s">
        <v>191</v>
      </c>
      <c r="K712" t="s">
        <v>106</v>
      </c>
      <c r="L712" t="s">
        <v>1038</v>
      </c>
      <c r="M712" t="s">
        <v>1060</v>
      </c>
      <c r="N712">
        <v>1</v>
      </c>
      <c r="O712">
        <v>2030</v>
      </c>
      <c r="P712">
        <v>64.778450843134578</v>
      </c>
      <c r="Q712">
        <v>3.0483976867357452</v>
      </c>
      <c r="R712" t="s">
        <v>109</v>
      </c>
      <c r="S712">
        <v>13.02592158395206</v>
      </c>
      <c r="T712" t="s">
        <v>110</v>
      </c>
      <c r="U712">
        <v>13.02592158395206</v>
      </c>
      <c r="V712">
        <v>221.033301975066</v>
      </c>
      <c r="W712">
        <v>10.401567151767811</v>
      </c>
      <c r="X712" t="s">
        <v>111</v>
      </c>
      <c r="Y712">
        <v>25</v>
      </c>
      <c r="Z712">
        <v>0.13552551554294709</v>
      </c>
      <c r="AA712">
        <v>31.536000000000001</v>
      </c>
    </row>
    <row r="713" spans="1:27" hidden="1" x14ac:dyDescent="0.25">
      <c r="A713" t="s">
        <v>98</v>
      </c>
      <c r="B713" t="s">
        <v>1024</v>
      </c>
      <c r="D713" t="s">
        <v>100</v>
      </c>
      <c r="E713" t="s">
        <v>142</v>
      </c>
      <c r="F713" t="s">
        <v>188</v>
      </c>
      <c r="G713" t="s">
        <v>103</v>
      </c>
      <c r="H713" t="s">
        <v>104</v>
      </c>
      <c r="I713">
        <v>2040</v>
      </c>
      <c r="J713" t="s">
        <v>193</v>
      </c>
      <c r="K713" t="s">
        <v>106</v>
      </c>
      <c r="L713" t="s">
        <v>1038</v>
      </c>
      <c r="M713" t="s">
        <v>1061</v>
      </c>
      <c r="N713">
        <v>1</v>
      </c>
      <c r="O713">
        <v>2040</v>
      </c>
      <c r="P713">
        <v>49.536462409455851</v>
      </c>
      <c r="Q713">
        <v>3.0483976867357452</v>
      </c>
      <c r="R713" t="s">
        <v>109</v>
      </c>
      <c r="S713">
        <v>10.34411419902076</v>
      </c>
      <c r="T713" t="s">
        <v>110</v>
      </c>
      <c r="U713">
        <v>10.34411419902076</v>
      </c>
      <c r="V713">
        <v>169.0254662162269</v>
      </c>
      <c r="W713">
        <v>10.401567151767811</v>
      </c>
      <c r="X713" t="s">
        <v>111</v>
      </c>
      <c r="Y713">
        <v>25</v>
      </c>
      <c r="Z713">
        <v>0.13552551554294709</v>
      </c>
      <c r="AA713">
        <v>31.536000000000001</v>
      </c>
    </row>
    <row r="714" spans="1:27" hidden="1" x14ac:dyDescent="0.25">
      <c r="A714" t="s">
        <v>98</v>
      </c>
      <c r="B714" t="s">
        <v>1024</v>
      </c>
      <c r="D714" t="s">
        <v>100</v>
      </c>
      <c r="E714" t="s">
        <v>142</v>
      </c>
      <c r="F714" t="s">
        <v>188</v>
      </c>
      <c r="G714" t="s">
        <v>112</v>
      </c>
      <c r="H714" t="s">
        <v>104</v>
      </c>
      <c r="I714">
        <v>2040</v>
      </c>
      <c r="J714" t="s">
        <v>195</v>
      </c>
      <c r="K714" t="s">
        <v>106</v>
      </c>
      <c r="L714" t="s">
        <v>1038</v>
      </c>
      <c r="M714" t="s">
        <v>1062</v>
      </c>
      <c r="N714">
        <v>1</v>
      </c>
      <c r="O714">
        <v>2040</v>
      </c>
      <c r="P714">
        <v>64.778450843134578</v>
      </c>
      <c r="Q714">
        <v>3.0483976867357452</v>
      </c>
      <c r="R714" t="s">
        <v>109</v>
      </c>
      <c r="S714">
        <v>14.067995310668231</v>
      </c>
      <c r="T714" t="s">
        <v>110</v>
      </c>
      <c r="U714">
        <v>14.067995310668231</v>
      </c>
      <c r="V714">
        <v>221.033301975066</v>
      </c>
      <c r="W714">
        <v>10.401567151767811</v>
      </c>
      <c r="X714" t="s">
        <v>111</v>
      </c>
      <c r="Y714">
        <v>25</v>
      </c>
      <c r="Z714">
        <v>0.13552551554294709</v>
      </c>
      <c r="AA714">
        <v>31.536000000000001</v>
      </c>
    </row>
    <row r="715" spans="1:27" hidden="1" x14ac:dyDescent="0.25">
      <c r="A715" t="s">
        <v>98</v>
      </c>
      <c r="B715" t="s">
        <v>1024</v>
      </c>
      <c r="D715" t="s">
        <v>100</v>
      </c>
      <c r="E715" t="s">
        <v>142</v>
      </c>
      <c r="F715" t="s">
        <v>188</v>
      </c>
      <c r="G715" t="s">
        <v>112</v>
      </c>
      <c r="H715" t="s">
        <v>104</v>
      </c>
      <c r="I715">
        <v>2022</v>
      </c>
      <c r="J715" t="s">
        <v>197</v>
      </c>
      <c r="K715" t="s">
        <v>106</v>
      </c>
      <c r="L715" t="s">
        <v>1038</v>
      </c>
      <c r="M715" t="s">
        <v>1063</v>
      </c>
      <c r="N715">
        <v>1</v>
      </c>
      <c r="O715">
        <v>2020</v>
      </c>
      <c r="P715">
        <v>64.778450843134578</v>
      </c>
      <c r="Q715">
        <v>3.0483976867357452</v>
      </c>
      <c r="R715" t="s">
        <v>109</v>
      </c>
      <c r="S715">
        <v>12.12758216436916</v>
      </c>
      <c r="T715" t="s">
        <v>110</v>
      </c>
      <c r="U715">
        <v>12.12758216436916</v>
      </c>
      <c r="V715">
        <v>221.033301975066</v>
      </c>
      <c r="W715">
        <v>10.401567151767811</v>
      </c>
      <c r="X715" t="s">
        <v>111</v>
      </c>
      <c r="Y715">
        <v>25</v>
      </c>
      <c r="Z715">
        <v>0.13552551554294709</v>
      </c>
      <c r="AA715">
        <v>31.536000000000001</v>
      </c>
    </row>
    <row r="716" spans="1:27" hidden="1" x14ac:dyDescent="0.25">
      <c r="A716" t="s">
        <v>98</v>
      </c>
      <c r="B716" t="s">
        <v>1024</v>
      </c>
      <c r="D716" t="s">
        <v>100</v>
      </c>
      <c r="E716" t="s">
        <v>142</v>
      </c>
      <c r="F716" t="s">
        <v>199</v>
      </c>
      <c r="G716" t="s">
        <v>103</v>
      </c>
      <c r="H716" t="s">
        <v>131</v>
      </c>
      <c r="I716">
        <v>2030</v>
      </c>
      <c r="J716" t="s">
        <v>200</v>
      </c>
      <c r="K716" t="s">
        <v>133</v>
      </c>
      <c r="L716" t="s">
        <v>1038</v>
      </c>
      <c r="M716" t="s">
        <v>1064</v>
      </c>
      <c r="N716">
        <v>1</v>
      </c>
      <c r="O716">
        <v>2030</v>
      </c>
      <c r="P716">
        <v>93.992262007685454</v>
      </c>
      <c r="Q716">
        <v>2.7943645461744331</v>
      </c>
      <c r="R716" t="s">
        <v>109</v>
      </c>
      <c r="S716">
        <v>1.4</v>
      </c>
      <c r="T716" t="s">
        <v>110</v>
      </c>
      <c r="U716">
        <v>1.4</v>
      </c>
      <c r="V716">
        <v>320.71498717950749</v>
      </c>
      <c r="W716">
        <v>9.5347698891204935</v>
      </c>
      <c r="X716" t="s">
        <v>111</v>
      </c>
      <c r="Y716">
        <v>23</v>
      </c>
      <c r="Z716">
        <v>0.13552551554294709</v>
      </c>
      <c r="AA716">
        <v>31.536000000000001</v>
      </c>
    </row>
    <row r="717" spans="1:27" hidden="1" x14ac:dyDescent="0.25">
      <c r="A717" t="s">
        <v>98</v>
      </c>
      <c r="B717" t="s">
        <v>1024</v>
      </c>
      <c r="D717" t="s">
        <v>100</v>
      </c>
      <c r="E717" t="s">
        <v>142</v>
      </c>
      <c r="F717" t="s">
        <v>202</v>
      </c>
      <c r="G717" t="s">
        <v>103</v>
      </c>
      <c r="H717" t="s">
        <v>104</v>
      </c>
      <c r="I717">
        <v>2023</v>
      </c>
      <c r="J717" t="s">
        <v>203</v>
      </c>
      <c r="K717" t="s">
        <v>106</v>
      </c>
      <c r="L717" t="s">
        <v>1038</v>
      </c>
      <c r="M717" t="s">
        <v>1065</v>
      </c>
      <c r="N717">
        <v>1</v>
      </c>
      <c r="O717">
        <v>2023</v>
      </c>
      <c r="P717">
        <v>138.8714501735173</v>
      </c>
      <c r="Q717">
        <v>4.2000145906136934</v>
      </c>
      <c r="R717" t="s">
        <v>109</v>
      </c>
      <c r="S717">
        <v>3.5756154747948421</v>
      </c>
      <c r="T717" t="s">
        <v>110</v>
      </c>
      <c r="U717">
        <v>3.5756154747948421</v>
      </c>
      <c r="V717">
        <v>473.84917024720039</v>
      </c>
      <c r="W717">
        <v>14.33104807576899</v>
      </c>
      <c r="X717" t="s">
        <v>111</v>
      </c>
      <c r="Y717">
        <v>21</v>
      </c>
      <c r="Z717">
        <v>0.13552551554294709</v>
      </c>
      <c r="AA717">
        <v>31.536000000000001</v>
      </c>
    </row>
    <row r="718" spans="1:27" hidden="1" x14ac:dyDescent="0.25">
      <c r="A718" t="s">
        <v>98</v>
      </c>
      <c r="B718" t="s">
        <v>1024</v>
      </c>
      <c r="D718" t="s">
        <v>100</v>
      </c>
      <c r="E718" t="s">
        <v>142</v>
      </c>
      <c r="F718" t="s">
        <v>202</v>
      </c>
      <c r="G718" t="s">
        <v>112</v>
      </c>
      <c r="H718" t="s">
        <v>104</v>
      </c>
      <c r="I718">
        <v>2022</v>
      </c>
      <c r="J718" t="s">
        <v>205</v>
      </c>
      <c r="K718" t="s">
        <v>106</v>
      </c>
      <c r="L718" t="s">
        <v>1038</v>
      </c>
      <c r="M718" t="s">
        <v>1066</v>
      </c>
      <c r="N718">
        <v>1</v>
      </c>
      <c r="O718">
        <v>2020</v>
      </c>
      <c r="P718">
        <v>201.87166903272271</v>
      </c>
      <c r="Q718">
        <v>4.2000145906136934</v>
      </c>
      <c r="R718" t="s">
        <v>109</v>
      </c>
      <c r="S718">
        <v>3.7514654161781951</v>
      </c>
      <c r="T718" t="s">
        <v>110</v>
      </c>
      <c r="U718">
        <v>3.7514654161781951</v>
      </c>
      <c r="V718">
        <v>688.81489138373513</v>
      </c>
      <c r="W718">
        <v>14.33104807576899</v>
      </c>
      <c r="X718" t="s">
        <v>111</v>
      </c>
      <c r="Y718">
        <v>21</v>
      </c>
      <c r="Z718">
        <v>0.13552551554294709</v>
      </c>
      <c r="AA718">
        <v>31.536000000000001</v>
      </c>
    </row>
    <row r="719" spans="1:27" hidden="1" x14ac:dyDescent="0.25">
      <c r="A719" t="s">
        <v>98</v>
      </c>
      <c r="B719" t="s">
        <v>1024</v>
      </c>
      <c r="D719" t="s">
        <v>100</v>
      </c>
      <c r="E719" t="s">
        <v>142</v>
      </c>
      <c r="F719" t="s">
        <v>207</v>
      </c>
      <c r="G719" t="s">
        <v>103</v>
      </c>
      <c r="H719" t="s">
        <v>104</v>
      </c>
      <c r="I719">
        <v>2030</v>
      </c>
      <c r="J719" t="s">
        <v>208</v>
      </c>
      <c r="K719" t="s">
        <v>106</v>
      </c>
      <c r="L719" t="s">
        <v>1038</v>
      </c>
      <c r="M719" t="s">
        <v>1067</v>
      </c>
      <c r="N719">
        <v>0</v>
      </c>
      <c r="O719">
        <v>2030</v>
      </c>
      <c r="P719">
        <v>74.322838838509583</v>
      </c>
      <c r="Q719">
        <v>1.219359074694298E-2</v>
      </c>
      <c r="R719" t="s">
        <v>109</v>
      </c>
      <c r="S719">
        <v>3.5902696365767879</v>
      </c>
      <c r="T719" t="s">
        <v>110</v>
      </c>
      <c r="U719">
        <v>3.5902696365767879</v>
      </c>
      <c r="V719">
        <v>253.60011341452949</v>
      </c>
      <c r="W719">
        <v>4.1606268607071263E-2</v>
      </c>
      <c r="X719" t="s">
        <v>111</v>
      </c>
      <c r="Y719">
        <v>9.5</v>
      </c>
      <c r="Z719">
        <v>0.13552551554294709</v>
      </c>
      <c r="AA719">
        <v>31.536000000000001</v>
      </c>
    </row>
    <row r="720" spans="1:27" hidden="1" x14ac:dyDescent="0.25">
      <c r="A720" t="s">
        <v>98</v>
      </c>
      <c r="B720" t="s">
        <v>1024</v>
      </c>
      <c r="D720" t="s">
        <v>100</v>
      </c>
      <c r="E720" t="s">
        <v>142</v>
      </c>
      <c r="F720" t="s">
        <v>207</v>
      </c>
      <c r="G720" t="s">
        <v>112</v>
      </c>
      <c r="H720" t="s">
        <v>104</v>
      </c>
      <c r="I720">
        <v>2030</v>
      </c>
      <c r="J720" t="s">
        <v>210</v>
      </c>
      <c r="K720" t="s">
        <v>106</v>
      </c>
      <c r="L720" t="s">
        <v>1038</v>
      </c>
      <c r="M720" t="s">
        <v>1068</v>
      </c>
      <c r="N720">
        <v>0</v>
      </c>
      <c r="O720">
        <v>2030</v>
      </c>
      <c r="P720">
        <v>81.871252158045721</v>
      </c>
      <c r="Q720">
        <v>1.219359074694298E-2</v>
      </c>
      <c r="R720" t="s">
        <v>109</v>
      </c>
      <c r="S720">
        <v>3.8100820633059791</v>
      </c>
      <c r="T720" t="s">
        <v>110</v>
      </c>
      <c r="U720">
        <v>3.8100820633059791</v>
      </c>
      <c r="V720">
        <v>279.35637493319268</v>
      </c>
      <c r="W720">
        <v>4.1606268607071263E-2</v>
      </c>
      <c r="X720" t="s">
        <v>111</v>
      </c>
      <c r="Y720">
        <v>9.5</v>
      </c>
      <c r="Z720">
        <v>0.13552551554294709</v>
      </c>
      <c r="AA720">
        <v>31.536000000000001</v>
      </c>
    </row>
    <row r="721" spans="1:27" hidden="1" x14ac:dyDescent="0.25">
      <c r="A721" t="s">
        <v>98</v>
      </c>
      <c r="B721" t="s">
        <v>1024</v>
      </c>
      <c r="D721" t="s">
        <v>100</v>
      </c>
      <c r="E721" t="s">
        <v>142</v>
      </c>
      <c r="F721" t="s">
        <v>207</v>
      </c>
      <c r="G721" t="s">
        <v>103</v>
      </c>
      <c r="H721" t="s">
        <v>104</v>
      </c>
      <c r="I721">
        <v>2040</v>
      </c>
      <c r="J721" t="s">
        <v>212</v>
      </c>
      <c r="K721" t="s">
        <v>106</v>
      </c>
      <c r="L721" t="s">
        <v>1038</v>
      </c>
      <c r="M721" t="s">
        <v>1069</v>
      </c>
      <c r="N721">
        <v>0</v>
      </c>
      <c r="O721">
        <v>2040</v>
      </c>
      <c r="P721">
        <v>74.322838838509583</v>
      </c>
      <c r="Q721">
        <v>1.219359074694298E-2</v>
      </c>
      <c r="R721" t="s">
        <v>109</v>
      </c>
      <c r="S721">
        <v>3.6635404454865181</v>
      </c>
      <c r="T721" t="s">
        <v>110</v>
      </c>
      <c r="U721">
        <v>3.6635404454865181</v>
      </c>
      <c r="V721">
        <v>253.60011341452949</v>
      </c>
      <c r="W721">
        <v>4.1606268607071263E-2</v>
      </c>
      <c r="X721" t="s">
        <v>111</v>
      </c>
      <c r="Y721">
        <v>9.5</v>
      </c>
      <c r="Z721">
        <v>0.13552551554294709</v>
      </c>
      <c r="AA721">
        <v>31.536000000000001</v>
      </c>
    </row>
    <row r="722" spans="1:27" hidden="1" x14ac:dyDescent="0.25">
      <c r="A722" t="s">
        <v>98</v>
      </c>
      <c r="B722" t="s">
        <v>1024</v>
      </c>
      <c r="D722" t="s">
        <v>100</v>
      </c>
      <c r="E722" t="s">
        <v>142</v>
      </c>
      <c r="F722" t="s">
        <v>207</v>
      </c>
      <c r="G722" t="s">
        <v>112</v>
      </c>
      <c r="H722" t="s">
        <v>104</v>
      </c>
      <c r="I722">
        <v>2040</v>
      </c>
      <c r="J722" t="s">
        <v>214</v>
      </c>
      <c r="K722" t="s">
        <v>106</v>
      </c>
      <c r="L722" t="s">
        <v>1038</v>
      </c>
      <c r="M722" t="s">
        <v>1070</v>
      </c>
      <c r="N722">
        <v>0</v>
      </c>
      <c r="O722">
        <v>2040</v>
      </c>
      <c r="P722">
        <v>81.871252158045721</v>
      </c>
      <c r="Q722">
        <v>1.219359074694298E-2</v>
      </c>
      <c r="R722" t="s">
        <v>109</v>
      </c>
      <c r="S722">
        <v>3.9566236811254401</v>
      </c>
      <c r="T722" t="s">
        <v>110</v>
      </c>
      <c r="U722">
        <v>3.9566236811254401</v>
      </c>
      <c r="V722">
        <v>279.35637493319268</v>
      </c>
      <c r="W722">
        <v>4.1606268607071263E-2</v>
      </c>
      <c r="X722" t="s">
        <v>111</v>
      </c>
      <c r="Y722">
        <v>9.5</v>
      </c>
      <c r="Z722">
        <v>0.13552551554294709</v>
      </c>
      <c r="AA722">
        <v>31.536000000000001</v>
      </c>
    </row>
    <row r="723" spans="1:27" hidden="1" x14ac:dyDescent="0.25">
      <c r="A723" t="s">
        <v>98</v>
      </c>
      <c r="B723" t="s">
        <v>1024</v>
      </c>
      <c r="D723" t="s">
        <v>100</v>
      </c>
      <c r="E723" t="s">
        <v>142</v>
      </c>
      <c r="F723" t="s">
        <v>207</v>
      </c>
      <c r="G723" t="s">
        <v>112</v>
      </c>
      <c r="H723" t="s">
        <v>104</v>
      </c>
      <c r="I723">
        <v>2022</v>
      </c>
      <c r="J723" t="s">
        <v>216</v>
      </c>
      <c r="K723" t="s">
        <v>106</v>
      </c>
      <c r="L723" t="s">
        <v>1038</v>
      </c>
      <c r="M723" t="s">
        <v>1071</v>
      </c>
      <c r="N723">
        <v>1</v>
      </c>
      <c r="O723">
        <v>2020</v>
      </c>
      <c r="P723">
        <v>81.871252158045721</v>
      </c>
      <c r="Q723">
        <v>1.219359074694298E-2</v>
      </c>
      <c r="R723" t="s">
        <v>109</v>
      </c>
      <c r="S723">
        <v>3.6635404454865181</v>
      </c>
      <c r="T723" t="s">
        <v>110</v>
      </c>
      <c r="U723">
        <v>3.6635404454865181</v>
      </c>
      <c r="V723">
        <v>279.35637493319268</v>
      </c>
      <c r="W723">
        <v>4.1606268607071263E-2</v>
      </c>
      <c r="X723" t="s">
        <v>111</v>
      </c>
      <c r="Y723">
        <v>9.5</v>
      </c>
      <c r="Z723">
        <v>0.13552551554294709</v>
      </c>
      <c r="AA723">
        <v>31.536000000000001</v>
      </c>
    </row>
    <row r="724" spans="1:27" hidden="1" x14ac:dyDescent="0.25">
      <c r="A724" t="s">
        <v>98</v>
      </c>
      <c r="B724" t="s">
        <v>1024</v>
      </c>
      <c r="D724" t="s">
        <v>100</v>
      </c>
      <c r="E724" t="s">
        <v>142</v>
      </c>
      <c r="F724" t="s">
        <v>218</v>
      </c>
      <c r="G724" t="s">
        <v>219</v>
      </c>
      <c r="H724" t="s">
        <v>104</v>
      </c>
      <c r="I724">
        <v>2023</v>
      </c>
      <c r="J724" t="s">
        <v>220</v>
      </c>
      <c r="K724" t="s">
        <v>106</v>
      </c>
      <c r="L724" t="s">
        <v>1038</v>
      </c>
      <c r="M724" t="s">
        <v>1072</v>
      </c>
      <c r="N724">
        <v>0</v>
      </c>
      <c r="O724">
        <v>2023</v>
      </c>
      <c r="P724">
        <v>144.5166310748798</v>
      </c>
      <c r="Q724">
        <v>2.6193639382321958</v>
      </c>
      <c r="R724" t="s">
        <v>109</v>
      </c>
      <c r="S724">
        <v>4.6893317702227444</v>
      </c>
      <c r="T724" t="s">
        <v>110</v>
      </c>
      <c r="U724">
        <v>4.6893317702227444</v>
      </c>
      <c r="V724">
        <v>493.11133163936307</v>
      </c>
      <c r="W724">
        <v>8.937642885963454</v>
      </c>
      <c r="X724" t="s">
        <v>111</v>
      </c>
      <c r="Y724">
        <v>18</v>
      </c>
      <c r="Z724">
        <v>0.13552551554294709</v>
      </c>
      <c r="AA724">
        <v>31.536000000000001</v>
      </c>
    </row>
    <row r="725" spans="1:27" hidden="1" x14ac:dyDescent="0.25">
      <c r="A725" t="s">
        <v>98</v>
      </c>
      <c r="B725" t="s">
        <v>1024</v>
      </c>
      <c r="D725" t="s">
        <v>100</v>
      </c>
      <c r="E725" t="s">
        <v>142</v>
      </c>
      <c r="F725" t="s">
        <v>218</v>
      </c>
      <c r="G725" t="s">
        <v>112</v>
      </c>
      <c r="H725" t="s">
        <v>104</v>
      </c>
      <c r="I725">
        <v>2022</v>
      </c>
      <c r="J725" t="s">
        <v>222</v>
      </c>
      <c r="K725" t="s">
        <v>106</v>
      </c>
      <c r="L725" t="s">
        <v>1038</v>
      </c>
      <c r="M725" t="s">
        <v>1073</v>
      </c>
      <c r="N725">
        <v>1</v>
      </c>
      <c r="O725">
        <v>2020</v>
      </c>
      <c r="P725">
        <v>157.50054714801351</v>
      </c>
      <c r="Q725">
        <v>2.455653692092683</v>
      </c>
      <c r="R725" t="s">
        <v>109</v>
      </c>
      <c r="S725">
        <v>4.835873388042204</v>
      </c>
      <c r="T725" t="s">
        <v>110</v>
      </c>
      <c r="U725">
        <v>4.835873388042204</v>
      </c>
      <c r="V725">
        <v>537.41430284133696</v>
      </c>
      <c r="W725">
        <v>8.3790402055907389</v>
      </c>
      <c r="X725" t="s">
        <v>111</v>
      </c>
      <c r="Y725">
        <v>18</v>
      </c>
      <c r="Z725">
        <v>0.13552551554294709</v>
      </c>
      <c r="AA725">
        <v>31.536000000000001</v>
      </c>
    </row>
    <row r="726" spans="1:27" hidden="1" x14ac:dyDescent="0.25">
      <c r="A726" t="s">
        <v>98</v>
      </c>
      <c r="B726" t="s">
        <v>1024</v>
      </c>
      <c r="D726" t="s">
        <v>100</v>
      </c>
      <c r="E726" t="s">
        <v>142</v>
      </c>
      <c r="F726" t="s">
        <v>218</v>
      </c>
      <c r="G726" t="s">
        <v>103</v>
      </c>
      <c r="H726" t="s">
        <v>104</v>
      </c>
      <c r="I726">
        <v>2023</v>
      </c>
      <c r="J726" t="s">
        <v>224</v>
      </c>
      <c r="K726" t="s">
        <v>106</v>
      </c>
      <c r="L726" t="s">
        <v>1038</v>
      </c>
      <c r="M726" t="s">
        <v>1074</v>
      </c>
      <c r="N726">
        <v>0</v>
      </c>
      <c r="O726">
        <v>2023</v>
      </c>
      <c r="P726">
        <v>125.3230160102473</v>
      </c>
      <c r="Q726">
        <v>2.455653692092683</v>
      </c>
      <c r="R726" t="s">
        <v>109</v>
      </c>
      <c r="S726">
        <v>4.2203985932004704</v>
      </c>
      <c r="T726" t="s">
        <v>110</v>
      </c>
      <c r="U726">
        <v>4.2203985932004704</v>
      </c>
      <c r="V726">
        <v>427.61998290601008</v>
      </c>
      <c r="W726">
        <v>8.3790402055907389</v>
      </c>
      <c r="X726" t="s">
        <v>111</v>
      </c>
      <c r="Y726">
        <v>18</v>
      </c>
      <c r="Z726">
        <v>0.13552551554294709</v>
      </c>
      <c r="AA726">
        <v>31.536000000000001</v>
      </c>
    </row>
    <row r="727" spans="1:27" x14ac:dyDescent="0.25">
      <c r="A727" t="s">
        <v>98</v>
      </c>
      <c r="B727" t="s">
        <v>1024</v>
      </c>
      <c r="D727" t="s">
        <v>100</v>
      </c>
      <c r="E727" t="s">
        <v>226</v>
      </c>
      <c r="F727" t="s">
        <v>227</v>
      </c>
      <c r="G727" t="s">
        <v>228</v>
      </c>
      <c r="H727" t="s">
        <v>104</v>
      </c>
      <c r="I727">
        <v>2023</v>
      </c>
      <c r="J727" t="s">
        <v>229</v>
      </c>
      <c r="K727" t="s">
        <v>106</v>
      </c>
      <c r="L727" t="s">
        <v>1075</v>
      </c>
      <c r="M727" t="s">
        <v>1076</v>
      </c>
      <c r="N727">
        <v>1</v>
      </c>
      <c r="O727">
        <v>2023</v>
      </c>
      <c r="P727">
        <v>351.48905933689161</v>
      </c>
      <c r="Q727">
        <v>0.67078064758948786</v>
      </c>
      <c r="R727" t="s">
        <v>109</v>
      </c>
      <c r="S727">
        <v>2.7</v>
      </c>
      <c r="T727" t="s">
        <v>110</v>
      </c>
      <c r="U727">
        <v>2.7</v>
      </c>
      <c r="V727">
        <v>1199.3307401172131</v>
      </c>
      <c r="W727">
        <v>2.2887991223610928</v>
      </c>
      <c r="X727" t="s">
        <v>111</v>
      </c>
      <c r="Y727">
        <v>20</v>
      </c>
      <c r="Z727">
        <v>0.44</v>
      </c>
      <c r="AA727">
        <v>31.536000000000001</v>
      </c>
    </row>
    <row r="728" spans="1:27" x14ac:dyDescent="0.25">
      <c r="A728" t="s">
        <v>98</v>
      </c>
      <c r="B728" t="s">
        <v>1024</v>
      </c>
      <c r="D728" t="s">
        <v>100</v>
      </c>
      <c r="E728" t="s">
        <v>226</v>
      </c>
      <c r="F728" t="s">
        <v>227</v>
      </c>
      <c r="G728" t="s">
        <v>228</v>
      </c>
      <c r="H728" t="s">
        <v>104</v>
      </c>
      <c r="I728">
        <v>2024</v>
      </c>
      <c r="J728" t="s">
        <v>232</v>
      </c>
      <c r="K728" t="s">
        <v>106</v>
      </c>
      <c r="L728" t="s">
        <v>1075</v>
      </c>
      <c r="M728" t="s">
        <v>1077</v>
      </c>
      <c r="N728">
        <v>1</v>
      </c>
      <c r="O728">
        <v>2024</v>
      </c>
      <c r="P728">
        <v>351.48905933689161</v>
      </c>
      <c r="Q728">
        <v>0.67078064758948786</v>
      </c>
      <c r="R728" t="s">
        <v>109</v>
      </c>
      <c r="S728">
        <v>2.7</v>
      </c>
      <c r="T728" t="s">
        <v>110</v>
      </c>
      <c r="U728">
        <v>2.7</v>
      </c>
      <c r="V728">
        <v>1199.3307401172131</v>
      </c>
      <c r="W728">
        <v>2.2887991223610928</v>
      </c>
      <c r="X728" t="s">
        <v>111</v>
      </c>
      <c r="Y728">
        <v>20</v>
      </c>
      <c r="Z728">
        <v>0.44</v>
      </c>
      <c r="AA728">
        <v>31.536000000000001</v>
      </c>
    </row>
    <row r="729" spans="1:27" x14ac:dyDescent="0.25">
      <c r="A729" t="s">
        <v>98</v>
      </c>
      <c r="B729" t="s">
        <v>1024</v>
      </c>
      <c r="D729" t="s">
        <v>100</v>
      </c>
      <c r="E729" t="s">
        <v>226</v>
      </c>
      <c r="F729" t="s">
        <v>227</v>
      </c>
      <c r="G729" t="s">
        <v>228</v>
      </c>
      <c r="H729" t="s">
        <v>104</v>
      </c>
      <c r="I729">
        <v>2025</v>
      </c>
      <c r="J729" t="s">
        <v>234</v>
      </c>
      <c r="K729" t="s">
        <v>106</v>
      </c>
      <c r="L729" t="s">
        <v>1075</v>
      </c>
      <c r="M729" t="s">
        <v>1078</v>
      </c>
      <c r="N729">
        <v>1</v>
      </c>
      <c r="O729">
        <v>2025</v>
      </c>
      <c r="P729">
        <v>351.48905933689161</v>
      </c>
      <c r="Q729">
        <v>0.67078064758948786</v>
      </c>
      <c r="R729" t="s">
        <v>109</v>
      </c>
      <c r="S729">
        <v>2.7</v>
      </c>
      <c r="T729" t="s">
        <v>110</v>
      </c>
      <c r="U729">
        <v>2.7</v>
      </c>
      <c r="V729">
        <v>1199.3307401172131</v>
      </c>
      <c r="W729">
        <v>2.2887991223610928</v>
      </c>
      <c r="X729" t="s">
        <v>111</v>
      </c>
      <c r="Y729">
        <v>20</v>
      </c>
      <c r="Z729">
        <v>0.44</v>
      </c>
      <c r="AA729">
        <v>31.536000000000001</v>
      </c>
    </row>
    <row r="730" spans="1:27" x14ac:dyDescent="0.25">
      <c r="A730" t="s">
        <v>98</v>
      </c>
      <c r="B730" t="s">
        <v>1024</v>
      </c>
      <c r="D730" t="s">
        <v>100</v>
      </c>
      <c r="E730" t="s">
        <v>226</v>
      </c>
      <c r="F730" t="s">
        <v>227</v>
      </c>
      <c r="G730" t="s">
        <v>228</v>
      </c>
      <c r="H730" t="s">
        <v>104</v>
      </c>
      <c r="I730">
        <v>2026</v>
      </c>
      <c r="J730" t="s">
        <v>236</v>
      </c>
      <c r="K730" t="s">
        <v>106</v>
      </c>
      <c r="L730" t="s">
        <v>1075</v>
      </c>
      <c r="M730" t="s">
        <v>1079</v>
      </c>
      <c r="N730">
        <v>1</v>
      </c>
      <c r="O730">
        <v>2026</v>
      </c>
      <c r="P730">
        <v>351.48905933689161</v>
      </c>
      <c r="Q730">
        <v>0.67078064758948786</v>
      </c>
      <c r="R730" t="s">
        <v>109</v>
      </c>
      <c r="S730">
        <v>2.7</v>
      </c>
      <c r="T730" t="s">
        <v>110</v>
      </c>
      <c r="U730">
        <v>2.7</v>
      </c>
      <c r="V730">
        <v>1199.3307401172131</v>
      </c>
      <c r="W730">
        <v>2.2887991223610928</v>
      </c>
      <c r="X730" t="s">
        <v>111</v>
      </c>
      <c r="Y730">
        <v>20</v>
      </c>
      <c r="Z730">
        <v>0.44</v>
      </c>
      <c r="AA730">
        <v>31.536000000000001</v>
      </c>
    </row>
    <row r="731" spans="1:27" x14ac:dyDescent="0.25">
      <c r="A731" t="s">
        <v>98</v>
      </c>
      <c r="B731" t="s">
        <v>1024</v>
      </c>
      <c r="D731" t="s">
        <v>100</v>
      </c>
      <c r="E731" t="s">
        <v>226</v>
      </c>
      <c r="F731" t="s">
        <v>227</v>
      </c>
      <c r="G731" t="s">
        <v>228</v>
      </c>
      <c r="H731" t="s">
        <v>104</v>
      </c>
      <c r="I731">
        <v>2027</v>
      </c>
      <c r="J731" t="s">
        <v>238</v>
      </c>
      <c r="K731" t="s">
        <v>106</v>
      </c>
      <c r="L731" t="s">
        <v>1075</v>
      </c>
      <c r="M731" t="s">
        <v>1080</v>
      </c>
      <c r="N731">
        <v>1</v>
      </c>
      <c r="O731">
        <v>2027</v>
      </c>
      <c r="P731">
        <v>351.48905933689161</v>
      </c>
      <c r="Q731">
        <v>0.67078064758948786</v>
      </c>
      <c r="R731" t="s">
        <v>109</v>
      </c>
      <c r="S731">
        <v>2.7</v>
      </c>
      <c r="T731" t="s">
        <v>110</v>
      </c>
      <c r="U731">
        <v>2.7</v>
      </c>
      <c r="V731">
        <v>1199.3307401172131</v>
      </c>
      <c r="W731">
        <v>2.2887991223610928</v>
      </c>
      <c r="X731" t="s">
        <v>111</v>
      </c>
      <c r="Y731">
        <v>20</v>
      </c>
      <c r="Z731">
        <v>0.44</v>
      </c>
      <c r="AA731">
        <v>31.536000000000001</v>
      </c>
    </row>
    <row r="732" spans="1:27" x14ac:dyDescent="0.25">
      <c r="A732" t="s">
        <v>98</v>
      </c>
      <c r="B732" t="s">
        <v>1024</v>
      </c>
      <c r="D732" t="s">
        <v>100</v>
      </c>
      <c r="E732" t="s">
        <v>226</v>
      </c>
      <c r="F732" t="s">
        <v>240</v>
      </c>
      <c r="G732" t="s">
        <v>103</v>
      </c>
      <c r="H732" t="s">
        <v>104</v>
      </c>
      <c r="I732">
        <v>2022</v>
      </c>
      <c r="J732" t="s">
        <v>241</v>
      </c>
      <c r="K732" t="s">
        <v>106</v>
      </c>
      <c r="L732" t="s">
        <v>1075</v>
      </c>
      <c r="M732" t="s">
        <v>1081</v>
      </c>
      <c r="N732">
        <v>1</v>
      </c>
      <c r="O732">
        <v>2020</v>
      </c>
      <c r="P732">
        <v>364.1638033744108</v>
      </c>
      <c r="Q732">
        <v>0.71474740603417231</v>
      </c>
      <c r="R732" t="s">
        <v>109</v>
      </c>
      <c r="S732">
        <v>3.9</v>
      </c>
      <c r="T732" t="s">
        <v>110</v>
      </c>
      <c r="U732">
        <v>3.9</v>
      </c>
      <c r="V732">
        <v>1242.578772292075</v>
      </c>
      <c r="W732">
        <v>2.4388199652445048</v>
      </c>
      <c r="X732" t="s">
        <v>111</v>
      </c>
      <c r="Y732">
        <v>15</v>
      </c>
      <c r="Z732">
        <v>0.44</v>
      </c>
      <c r="AA732">
        <v>31.536000000000001</v>
      </c>
    </row>
    <row r="733" spans="1:27" hidden="1" x14ac:dyDescent="0.25">
      <c r="A733" t="s">
        <v>98</v>
      </c>
      <c r="B733" t="s">
        <v>1024</v>
      </c>
      <c r="D733" t="s">
        <v>100</v>
      </c>
      <c r="E733" t="s">
        <v>243</v>
      </c>
      <c r="F733" t="s">
        <v>244</v>
      </c>
      <c r="G733" t="s">
        <v>245</v>
      </c>
      <c r="H733" t="s">
        <v>104</v>
      </c>
      <c r="I733">
        <v>2022</v>
      </c>
      <c r="J733" t="s">
        <v>246</v>
      </c>
      <c r="K733" t="s">
        <v>106</v>
      </c>
      <c r="L733" t="s">
        <v>1082</v>
      </c>
      <c r="M733" t="s">
        <v>1083</v>
      </c>
      <c r="N733">
        <v>1</v>
      </c>
      <c r="O733">
        <v>2020</v>
      </c>
      <c r="P733">
        <v>5418.3180362120765</v>
      </c>
      <c r="Q733">
        <v>63.780978532496562</v>
      </c>
      <c r="R733" t="s">
        <v>249</v>
      </c>
      <c r="S733">
        <v>0.41325750353930962</v>
      </c>
      <c r="T733" t="s">
        <v>250</v>
      </c>
      <c r="U733">
        <v>1</v>
      </c>
      <c r="V733">
        <v>7640.3348848129563</v>
      </c>
      <c r="W733">
        <v>89.937141380872987</v>
      </c>
      <c r="X733" t="s">
        <v>111</v>
      </c>
      <c r="Y733">
        <v>20</v>
      </c>
      <c r="Z733">
        <v>0.44</v>
      </c>
      <c r="AA733">
        <v>31.536000000000001</v>
      </c>
    </row>
    <row r="734" spans="1:27" hidden="1" x14ac:dyDescent="0.25">
      <c r="A734" t="s">
        <v>98</v>
      </c>
      <c r="B734" t="s">
        <v>1024</v>
      </c>
      <c r="D734" t="s">
        <v>100</v>
      </c>
      <c r="E734" t="s">
        <v>243</v>
      </c>
      <c r="F734" t="s">
        <v>244</v>
      </c>
      <c r="G734" t="s">
        <v>103</v>
      </c>
      <c r="H734" t="s">
        <v>104</v>
      </c>
      <c r="I734">
        <v>2022</v>
      </c>
      <c r="J734" t="s">
        <v>251</v>
      </c>
      <c r="K734" t="s">
        <v>106</v>
      </c>
      <c r="L734" t="s">
        <v>1082</v>
      </c>
      <c r="M734" t="s">
        <v>1084</v>
      </c>
      <c r="N734">
        <v>1</v>
      </c>
      <c r="O734">
        <v>2020</v>
      </c>
      <c r="P734">
        <v>5667.3116722418044</v>
      </c>
      <c r="Q734">
        <v>63.780978532496562</v>
      </c>
      <c r="R734" t="s">
        <v>249</v>
      </c>
      <c r="S734">
        <v>0.43508713487380868</v>
      </c>
      <c r="T734" t="s">
        <v>250</v>
      </c>
      <c r="U734">
        <v>1.052823315118397</v>
      </c>
      <c r="V734">
        <v>7991.4391852139524</v>
      </c>
      <c r="W734">
        <v>89.937141380873001</v>
      </c>
      <c r="X734" t="s">
        <v>111</v>
      </c>
      <c r="Y734">
        <v>20</v>
      </c>
      <c r="Z734">
        <v>0.44</v>
      </c>
      <c r="AA734">
        <v>31.536000000000001</v>
      </c>
    </row>
    <row r="735" spans="1:27" hidden="1" x14ac:dyDescent="0.25">
      <c r="A735" t="s">
        <v>98</v>
      </c>
      <c r="B735" t="s">
        <v>1024</v>
      </c>
      <c r="D735" t="s">
        <v>100</v>
      </c>
      <c r="E735" t="s">
        <v>243</v>
      </c>
      <c r="F735" t="s">
        <v>244</v>
      </c>
      <c r="G735" t="s">
        <v>112</v>
      </c>
      <c r="H735" t="s">
        <v>104</v>
      </c>
      <c r="I735">
        <v>2022</v>
      </c>
      <c r="J735" t="s">
        <v>253</v>
      </c>
      <c r="K735" t="s">
        <v>106</v>
      </c>
      <c r="L735" t="s">
        <v>1082</v>
      </c>
      <c r="M735" t="s">
        <v>1085</v>
      </c>
      <c r="N735">
        <v>1</v>
      </c>
      <c r="O735">
        <v>2020</v>
      </c>
      <c r="P735">
        <v>5911.8706390075113</v>
      </c>
      <c r="Q735">
        <v>63.780978532496562</v>
      </c>
      <c r="R735" t="s">
        <v>249</v>
      </c>
      <c r="S735">
        <v>0.44315925240393511</v>
      </c>
      <c r="T735" t="s">
        <v>250</v>
      </c>
      <c r="U735">
        <v>1.0723562152133581</v>
      </c>
      <c r="V735">
        <v>8336.2901874412255</v>
      </c>
      <c r="W735">
        <v>89.937141380873001</v>
      </c>
      <c r="X735" t="s">
        <v>111</v>
      </c>
      <c r="Y735">
        <v>20</v>
      </c>
      <c r="Z735">
        <v>0.44</v>
      </c>
      <c r="AA735">
        <v>31.536000000000001</v>
      </c>
    </row>
    <row r="736" spans="1:27" hidden="1" x14ac:dyDescent="0.25">
      <c r="A736" t="s">
        <v>98</v>
      </c>
      <c r="B736" t="s">
        <v>1024</v>
      </c>
      <c r="D736" t="s">
        <v>100</v>
      </c>
      <c r="E736" t="s">
        <v>243</v>
      </c>
      <c r="F736" t="s">
        <v>244</v>
      </c>
      <c r="G736" t="s">
        <v>103</v>
      </c>
      <c r="H736" t="s">
        <v>104</v>
      </c>
      <c r="I736">
        <v>2030</v>
      </c>
      <c r="J736" t="s">
        <v>255</v>
      </c>
      <c r="K736" t="s">
        <v>106</v>
      </c>
      <c r="L736" t="s">
        <v>1082</v>
      </c>
      <c r="M736" t="s">
        <v>1086</v>
      </c>
      <c r="N736">
        <v>1</v>
      </c>
      <c r="O736">
        <v>2030</v>
      </c>
      <c r="P736">
        <v>5667.3116722418044</v>
      </c>
      <c r="Q736">
        <v>63.780978532496562</v>
      </c>
      <c r="R736" t="s">
        <v>249</v>
      </c>
      <c r="S736">
        <v>0.43508713487380868</v>
      </c>
      <c r="T736" t="s">
        <v>250</v>
      </c>
      <c r="U736">
        <v>1.052823315118397</v>
      </c>
      <c r="V736">
        <v>7991.4391852139524</v>
      </c>
      <c r="W736">
        <v>89.937141380873001</v>
      </c>
      <c r="X736" t="s">
        <v>111</v>
      </c>
      <c r="Y736">
        <v>20</v>
      </c>
      <c r="Z736">
        <v>0.44</v>
      </c>
      <c r="AA736">
        <v>31.536000000000001</v>
      </c>
    </row>
    <row r="737" spans="1:27" hidden="1" x14ac:dyDescent="0.25">
      <c r="A737" t="s">
        <v>98</v>
      </c>
      <c r="B737" t="s">
        <v>1024</v>
      </c>
      <c r="D737" t="s">
        <v>100</v>
      </c>
      <c r="E737" t="s">
        <v>243</v>
      </c>
      <c r="F737" t="s">
        <v>244</v>
      </c>
      <c r="G737" t="s">
        <v>112</v>
      </c>
      <c r="H737" t="s">
        <v>104</v>
      </c>
      <c r="I737">
        <v>2030</v>
      </c>
      <c r="J737" t="s">
        <v>257</v>
      </c>
      <c r="K737" t="s">
        <v>106</v>
      </c>
      <c r="L737" t="s">
        <v>1082</v>
      </c>
      <c r="M737" t="s">
        <v>1087</v>
      </c>
      <c r="N737">
        <v>1</v>
      </c>
      <c r="O737">
        <v>2030</v>
      </c>
      <c r="P737">
        <v>5911.8706390075113</v>
      </c>
      <c r="Q737">
        <v>63.780978532496562</v>
      </c>
      <c r="R737" t="s">
        <v>249</v>
      </c>
      <c r="S737">
        <v>0.44315925240393511</v>
      </c>
      <c r="T737" t="s">
        <v>250</v>
      </c>
      <c r="U737">
        <v>1.0723562152133581</v>
      </c>
      <c r="V737">
        <v>8336.2901874412255</v>
      </c>
      <c r="W737">
        <v>89.937141380873001</v>
      </c>
      <c r="X737" t="s">
        <v>111</v>
      </c>
      <c r="Y737">
        <v>20</v>
      </c>
      <c r="Z737">
        <v>0.44</v>
      </c>
      <c r="AA737">
        <v>31.536000000000001</v>
      </c>
    </row>
    <row r="738" spans="1:27" hidden="1" x14ac:dyDescent="0.25">
      <c r="A738" t="s">
        <v>98</v>
      </c>
      <c r="B738" t="s">
        <v>1024</v>
      </c>
      <c r="D738" t="s">
        <v>100</v>
      </c>
      <c r="E738" t="s">
        <v>243</v>
      </c>
      <c r="F738" t="s">
        <v>244</v>
      </c>
      <c r="G738" t="s">
        <v>103</v>
      </c>
      <c r="H738" t="s">
        <v>104</v>
      </c>
      <c r="I738">
        <v>2040</v>
      </c>
      <c r="J738" t="s">
        <v>259</v>
      </c>
      <c r="K738" t="s">
        <v>106</v>
      </c>
      <c r="L738" t="s">
        <v>1082</v>
      </c>
      <c r="M738" t="s">
        <v>1088</v>
      </c>
      <c r="N738">
        <v>1</v>
      </c>
      <c r="O738">
        <v>2040</v>
      </c>
      <c r="P738">
        <v>5667.3116722418044</v>
      </c>
      <c r="Q738">
        <v>63.780978532496562</v>
      </c>
      <c r="R738" t="s">
        <v>249</v>
      </c>
      <c r="S738">
        <v>0.43508713487380868</v>
      </c>
      <c r="T738" t="s">
        <v>250</v>
      </c>
      <c r="U738">
        <v>1.052823315118397</v>
      </c>
      <c r="V738">
        <v>7991.4391852139524</v>
      </c>
      <c r="W738">
        <v>89.937141380873001</v>
      </c>
      <c r="X738" t="s">
        <v>111</v>
      </c>
      <c r="Y738">
        <v>20</v>
      </c>
      <c r="Z738">
        <v>0.44</v>
      </c>
      <c r="AA738">
        <v>31.536000000000001</v>
      </c>
    </row>
    <row r="739" spans="1:27" hidden="1" x14ac:dyDescent="0.25">
      <c r="A739" t="s">
        <v>98</v>
      </c>
      <c r="B739" t="s">
        <v>1024</v>
      </c>
      <c r="D739" t="s">
        <v>100</v>
      </c>
      <c r="E739" t="s">
        <v>243</v>
      </c>
      <c r="F739" t="s">
        <v>244</v>
      </c>
      <c r="G739" t="s">
        <v>112</v>
      </c>
      <c r="H739" t="s">
        <v>104</v>
      </c>
      <c r="I739">
        <v>2040</v>
      </c>
      <c r="J739" t="s">
        <v>261</v>
      </c>
      <c r="K739" t="s">
        <v>106</v>
      </c>
      <c r="L739" t="s">
        <v>1082</v>
      </c>
      <c r="M739" t="s">
        <v>1089</v>
      </c>
      <c r="N739">
        <v>1</v>
      </c>
      <c r="O739">
        <v>2040</v>
      </c>
      <c r="P739">
        <v>5911.8706390075113</v>
      </c>
      <c r="Q739">
        <v>63.780978532496562</v>
      </c>
      <c r="R739" t="s">
        <v>249</v>
      </c>
      <c r="S739">
        <v>0.44315925240393511</v>
      </c>
      <c r="T739" t="s">
        <v>250</v>
      </c>
      <c r="U739">
        <v>1.0723562152133581</v>
      </c>
      <c r="V739">
        <v>8336.2901874412255</v>
      </c>
      <c r="W739">
        <v>89.937141380873001</v>
      </c>
      <c r="X739" t="s">
        <v>111</v>
      </c>
      <c r="Y739">
        <v>20</v>
      </c>
      <c r="Z739">
        <v>0.44</v>
      </c>
      <c r="AA739">
        <v>31.536000000000001</v>
      </c>
    </row>
    <row r="740" spans="1:27" hidden="1" x14ac:dyDescent="0.25">
      <c r="A740" t="s">
        <v>98</v>
      </c>
      <c r="B740" t="s">
        <v>1024</v>
      </c>
      <c r="D740" t="s">
        <v>100</v>
      </c>
      <c r="E740" t="s">
        <v>243</v>
      </c>
      <c r="F740" t="s">
        <v>244</v>
      </c>
      <c r="G740" t="s">
        <v>103</v>
      </c>
      <c r="H740" t="s">
        <v>104</v>
      </c>
      <c r="I740">
        <v>2050</v>
      </c>
      <c r="J740" t="s">
        <v>263</v>
      </c>
      <c r="K740" t="s">
        <v>106</v>
      </c>
      <c r="L740" t="s">
        <v>1082</v>
      </c>
      <c r="M740" t="s">
        <v>1090</v>
      </c>
      <c r="N740">
        <v>1</v>
      </c>
      <c r="O740">
        <v>2050</v>
      </c>
      <c r="P740">
        <v>5667.3116722418044</v>
      </c>
      <c r="Q740">
        <v>63.780978532496562</v>
      </c>
      <c r="R740" t="s">
        <v>249</v>
      </c>
      <c r="S740">
        <v>0.43508713487380868</v>
      </c>
      <c r="T740" t="s">
        <v>250</v>
      </c>
      <c r="U740">
        <v>1.052823315118397</v>
      </c>
      <c r="V740">
        <v>7991.4391852139524</v>
      </c>
      <c r="W740">
        <v>89.937141380873001</v>
      </c>
      <c r="X740" t="s">
        <v>111</v>
      </c>
      <c r="Y740">
        <v>20</v>
      </c>
      <c r="Z740">
        <v>0.44</v>
      </c>
      <c r="AA740">
        <v>31.536000000000001</v>
      </c>
    </row>
    <row r="741" spans="1:27" hidden="1" x14ac:dyDescent="0.25">
      <c r="A741" t="s">
        <v>98</v>
      </c>
      <c r="B741" t="s">
        <v>1024</v>
      </c>
      <c r="D741" t="s">
        <v>100</v>
      </c>
      <c r="E741" t="s">
        <v>243</v>
      </c>
      <c r="F741" t="s">
        <v>244</v>
      </c>
      <c r="G741" t="s">
        <v>112</v>
      </c>
      <c r="H741" t="s">
        <v>104</v>
      </c>
      <c r="I741">
        <v>2050</v>
      </c>
      <c r="J741" t="s">
        <v>265</v>
      </c>
      <c r="K741" t="s">
        <v>106</v>
      </c>
      <c r="L741" t="s">
        <v>1082</v>
      </c>
      <c r="M741" t="s">
        <v>1091</v>
      </c>
      <c r="N741">
        <v>1</v>
      </c>
      <c r="O741">
        <v>2050</v>
      </c>
      <c r="P741">
        <v>5911.8706390075113</v>
      </c>
      <c r="Q741">
        <v>63.780978532496562</v>
      </c>
      <c r="R741" t="s">
        <v>249</v>
      </c>
      <c r="S741">
        <v>0.44315925240393511</v>
      </c>
      <c r="T741" t="s">
        <v>250</v>
      </c>
      <c r="U741">
        <v>1.0723562152133581</v>
      </c>
      <c r="V741">
        <v>8336.2901874412255</v>
      </c>
      <c r="W741">
        <v>89.937141380873001</v>
      </c>
      <c r="X741" t="s">
        <v>111</v>
      </c>
      <c r="Y741">
        <v>20</v>
      </c>
      <c r="Z741">
        <v>0.44</v>
      </c>
      <c r="AA741">
        <v>31.536000000000001</v>
      </c>
    </row>
    <row r="742" spans="1:27" hidden="1" x14ac:dyDescent="0.25">
      <c r="A742" t="s">
        <v>98</v>
      </c>
      <c r="B742" t="s">
        <v>1024</v>
      </c>
      <c r="D742" t="s">
        <v>100</v>
      </c>
      <c r="E742" t="s">
        <v>243</v>
      </c>
      <c r="F742" t="s">
        <v>267</v>
      </c>
      <c r="G742" t="s">
        <v>245</v>
      </c>
      <c r="H742" t="s">
        <v>104</v>
      </c>
      <c r="I742">
        <v>2022</v>
      </c>
      <c r="J742" t="s">
        <v>268</v>
      </c>
      <c r="K742" t="s">
        <v>106</v>
      </c>
      <c r="L742" t="s">
        <v>1082</v>
      </c>
      <c r="M742" t="s">
        <v>1092</v>
      </c>
      <c r="N742">
        <v>1</v>
      </c>
      <c r="O742">
        <v>2020</v>
      </c>
      <c r="P742">
        <v>7748.5410872802086</v>
      </c>
      <c r="Q742">
        <v>68.755259026523561</v>
      </c>
      <c r="R742" t="s">
        <v>249</v>
      </c>
      <c r="S742">
        <v>0.29876527460377861</v>
      </c>
      <c r="T742" t="s">
        <v>250</v>
      </c>
      <c r="U742">
        <v>0.72295184490306452</v>
      </c>
      <c r="V742">
        <v>10926.167194301681</v>
      </c>
      <c r="W742">
        <v>96.951341826723592</v>
      </c>
      <c r="X742" t="s">
        <v>111</v>
      </c>
      <c r="Y742">
        <v>20</v>
      </c>
      <c r="Z742">
        <v>0.44</v>
      </c>
      <c r="AA742">
        <v>31.536000000000001</v>
      </c>
    </row>
    <row r="743" spans="1:27" hidden="1" x14ac:dyDescent="0.25">
      <c r="A743" t="s">
        <v>98</v>
      </c>
      <c r="B743" t="s">
        <v>1024</v>
      </c>
      <c r="D743" t="s">
        <v>100</v>
      </c>
      <c r="E743" t="s">
        <v>243</v>
      </c>
      <c r="F743" t="s">
        <v>267</v>
      </c>
      <c r="G743" t="s">
        <v>112</v>
      </c>
      <c r="H743" t="s">
        <v>104</v>
      </c>
      <c r="I743">
        <v>2022</v>
      </c>
      <c r="J743" t="s">
        <v>270</v>
      </c>
      <c r="K743" t="s">
        <v>106</v>
      </c>
      <c r="L743" t="s">
        <v>1082</v>
      </c>
      <c r="M743" t="s">
        <v>1093</v>
      </c>
      <c r="N743">
        <v>1</v>
      </c>
      <c r="O743">
        <v>2020</v>
      </c>
      <c r="P743">
        <v>8151.6394802345676</v>
      </c>
      <c r="Q743">
        <v>68.755259026523561</v>
      </c>
      <c r="R743" t="s">
        <v>249</v>
      </c>
      <c r="S743">
        <v>0.29876527460377861</v>
      </c>
      <c r="T743" t="s">
        <v>250</v>
      </c>
      <c r="U743">
        <v>0.72295184490306452</v>
      </c>
      <c r="V743">
        <v>11494.57360623949</v>
      </c>
      <c r="W743">
        <v>96.951341826723592</v>
      </c>
      <c r="X743" t="s">
        <v>111</v>
      </c>
      <c r="Y743">
        <v>20</v>
      </c>
      <c r="Z743">
        <v>0.44</v>
      </c>
      <c r="AA743">
        <v>31.536000000000001</v>
      </c>
    </row>
    <row r="744" spans="1:27" hidden="1" x14ac:dyDescent="0.25">
      <c r="A744" t="s">
        <v>98</v>
      </c>
      <c r="B744" t="s">
        <v>1024</v>
      </c>
      <c r="D744" t="s">
        <v>100</v>
      </c>
      <c r="E744" t="s">
        <v>243</v>
      </c>
      <c r="F744" t="s">
        <v>267</v>
      </c>
      <c r="G744" t="s">
        <v>103</v>
      </c>
      <c r="H744" t="s">
        <v>104</v>
      </c>
      <c r="I744">
        <v>2030</v>
      </c>
      <c r="J744" t="s">
        <v>272</v>
      </c>
      <c r="K744" t="s">
        <v>106</v>
      </c>
      <c r="L744" t="s">
        <v>1082</v>
      </c>
      <c r="M744" t="s">
        <v>1094</v>
      </c>
      <c r="N744">
        <v>1</v>
      </c>
      <c r="O744">
        <v>2030</v>
      </c>
      <c r="P744">
        <v>8119.0316179991396</v>
      </c>
      <c r="Q744">
        <v>68.755259026523561</v>
      </c>
      <c r="R744" t="s">
        <v>249</v>
      </c>
      <c r="S744">
        <v>0.29876527460377861</v>
      </c>
      <c r="T744" t="s">
        <v>250</v>
      </c>
      <c r="U744">
        <v>0.72295184490306452</v>
      </c>
      <c r="V744">
        <v>11448.59347260918</v>
      </c>
      <c r="W744">
        <v>96.951341826723592</v>
      </c>
      <c r="X744" t="s">
        <v>111</v>
      </c>
      <c r="Y744">
        <v>20</v>
      </c>
      <c r="Z744">
        <v>0.44</v>
      </c>
      <c r="AA744">
        <v>31.536000000000001</v>
      </c>
    </row>
    <row r="745" spans="1:27" hidden="1" x14ac:dyDescent="0.25">
      <c r="A745" t="s">
        <v>98</v>
      </c>
      <c r="B745" t="s">
        <v>1024</v>
      </c>
      <c r="D745" t="s">
        <v>100</v>
      </c>
      <c r="E745" t="s">
        <v>243</v>
      </c>
      <c r="F745" t="s">
        <v>267</v>
      </c>
      <c r="G745" t="s">
        <v>112</v>
      </c>
      <c r="H745" t="s">
        <v>104</v>
      </c>
      <c r="I745">
        <v>2030</v>
      </c>
      <c r="J745" t="s">
        <v>274</v>
      </c>
      <c r="K745" t="s">
        <v>106</v>
      </c>
      <c r="L745" t="s">
        <v>1082</v>
      </c>
      <c r="M745" t="s">
        <v>1095</v>
      </c>
      <c r="N745">
        <v>1</v>
      </c>
      <c r="O745">
        <v>2030</v>
      </c>
      <c r="P745">
        <v>8151.6394802345676</v>
      </c>
      <c r="Q745">
        <v>68.755259026523561</v>
      </c>
      <c r="R745" t="s">
        <v>249</v>
      </c>
      <c r="S745">
        <v>0.31450011460924421</v>
      </c>
      <c r="T745" t="s">
        <v>250</v>
      </c>
      <c r="U745">
        <v>0.76102699144173802</v>
      </c>
      <c r="V745">
        <v>11494.57360623949</v>
      </c>
      <c r="W745">
        <v>96.951341826723578</v>
      </c>
      <c r="X745" t="s">
        <v>111</v>
      </c>
      <c r="Y745">
        <v>20</v>
      </c>
      <c r="Z745">
        <v>0.44</v>
      </c>
      <c r="AA745">
        <v>31.536000000000001</v>
      </c>
    </row>
    <row r="746" spans="1:27" hidden="1" x14ac:dyDescent="0.25">
      <c r="A746" t="s">
        <v>98</v>
      </c>
      <c r="B746" t="s">
        <v>1024</v>
      </c>
      <c r="D746" t="s">
        <v>100</v>
      </c>
      <c r="E746" t="s">
        <v>243</v>
      </c>
      <c r="F746" t="s">
        <v>267</v>
      </c>
      <c r="G746" t="s">
        <v>103</v>
      </c>
      <c r="H746" t="s">
        <v>104</v>
      </c>
      <c r="I746">
        <v>2040</v>
      </c>
      <c r="J746" t="s">
        <v>276</v>
      </c>
      <c r="K746" t="s">
        <v>106</v>
      </c>
      <c r="L746" t="s">
        <v>1082</v>
      </c>
      <c r="M746" t="s">
        <v>1096</v>
      </c>
      <c r="N746">
        <v>1</v>
      </c>
      <c r="O746">
        <v>2040</v>
      </c>
      <c r="P746">
        <v>8119.0316179991396</v>
      </c>
      <c r="Q746">
        <v>68.755259026523561</v>
      </c>
      <c r="R746" t="s">
        <v>249</v>
      </c>
      <c r="S746">
        <v>0.29876527460377861</v>
      </c>
      <c r="T746" t="s">
        <v>250</v>
      </c>
      <c r="U746">
        <v>0.72295184490306452</v>
      </c>
      <c r="V746">
        <v>11448.59347260918</v>
      </c>
      <c r="W746">
        <v>96.951341826723592</v>
      </c>
      <c r="X746" t="s">
        <v>111</v>
      </c>
      <c r="Y746">
        <v>20</v>
      </c>
      <c r="Z746">
        <v>0.44</v>
      </c>
      <c r="AA746">
        <v>31.536000000000001</v>
      </c>
    </row>
    <row r="747" spans="1:27" hidden="1" x14ac:dyDescent="0.25">
      <c r="A747" t="s">
        <v>98</v>
      </c>
      <c r="B747" t="s">
        <v>1024</v>
      </c>
      <c r="D747" t="s">
        <v>100</v>
      </c>
      <c r="E747" t="s">
        <v>243</v>
      </c>
      <c r="F747" t="s">
        <v>267</v>
      </c>
      <c r="G747" t="s">
        <v>112</v>
      </c>
      <c r="H747" t="s">
        <v>104</v>
      </c>
      <c r="I747">
        <v>2040</v>
      </c>
      <c r="J747" t="s">
        <v>278</v>
      </c>
      <c r="K747" t="s">
        <v>106</v>
      </c>
      <c r="L747" t="s">
        <v>1082</v>
      </c>
      <c r="M747" t="s">
        <v>1097</v>
      </c>
      <c r="N747">
        <v>1</v>
      </c>
      <c r="O747">
        <v>2040</v>
      </c>
      <c r="P747">
        <v>8151.6394802345676</v>
      </c>
      <c r="Q747">
        <v>68.755259026523561</v>
      </c>
      <c r="R747" t="s">
        <v>249</v>
      </c>
      <c r="S747">
        <v>0.31450011460924421</v>
      </c>
      <c r="T747" t="s">
        <v>250</v>
      </c>
      <c r="U747">
        <v>0.76102699144173802</v>
      </c>
      <c r="V747">
        <v>11494.57360623949</v>
      </c>
      <c r="W747">
        <v>96.951341826723578</v>
      </c>
      <c r="X747" t="s">
        <v>111</v>
      </c>
      <c r="Y747">
        <v>20</v>
      </c>
      <c r="Z747">
        <v>0.44</v>
      </c>
      <c r="AA747">
        <v>31.536000000000001</v>
      </c>
    </row>
    <row r="748" spans="1:27" hidden="1" x14ac:dyDescent="0.25">
      <c r="A748" t="s">
        <v>98</v>
      </c>
      <c r="B748" t="s">
        <v>1024</v>
      </c>
      <c r="D748" t="s">
        <v>100</v>
      </c>
      <c r="E748" t="s">
        <v>243</v>
      </c>
      <c r="F748" t="s">
        <v>267</v>
      </c>
      <c r="G748" t="s">
        <v>103</v>
      </c>
      <c r="H748" t="s">
        <v>104</v>
      </c>
      <c r="I748">
        <v>2050</v>
      </c>
      <c r="J748" t="s">
        <v>280</v>
      </c>
      <c r="K748" t="s">
        <v>106</v>
      </c>
      <c r="L748" t="s">
        <v>1082</v>
      </c>
      <c r="M748" t="s">
        <v>1098</v>
      </c>
      <c r="N748">
        <v>1</v>
      </c>
      <c r="O748">
        <v>2050</v>
      </c>
      <c r="P748">
        <v>8119.0316179991396</v>
      </c>
      <c r="Q748">
        <v>68.755259026523561</v>
      </c>
      <c r="R748" t="s">
        <v>249</v>
      </c>
      <c r="S748">
        <v>0.29876527460377861</v>
      </c>
      <c r="T748" t="s">
        <v>250</v>
      </c>
      <c r="U748">
        <v>0.72295184490306452</v>
      </c>
      <c r="V748">
        <v>11448.59347260918</v>
      </c>
      <c r="W748">
        <v>96.951341826723592</v>
      </c>
      <c r="X748" t="s">
        <v>111</v>
      </c>
      <c r="Y748">
        <v>20</v>
      </c>
      <c r="Z748">
        <v>0.44</v>
      </c>
      <c r="AA748">
        <v>31.536000000000001</v>
      </c>
    </row>
    <row r="749" spans="1:27" hidden="1" x14ac:dyDescent="0.25">
      <c r="A749" t="s">
        <v>98</v>
      </c>
      <c r="B749" t="s">
        <v>1024</v>
      </c>
      <c r="D749" t="s">
        <v>100</v>
      </c>
      <c r="E749" t="s">
        <v>243</v>
      </c>
      <c r="F749" t="s">
        <v>267</v>
      </c>
      <c r="G749" t="s">
        <v>112</v>
      </c>
      <c r="H749" t="s">
        <v>104</v>
      </c>
      <c r="I749">
        <v>2050</v>
      </c>
      <c r="J749" t="s">
        <v>282</v>
      </c>
      <c r="K749" t="s">
        <v>106</v>
      </c>
      <c r="L749" t="s">
        <v>1082</v>
      </c>
      <c r="M749" t="s">
        <v>1099</v>
      </c>
      <c r="N749">
        <v>1</v>
      </c>
      <c r="O749">
        <v>2050</v>
      </c>
      <c r="P749">
        <v>8151.6394802345676</v>
      </c>
      <c r="Q749">
        <v>68.755259026523561</v>
      </c>
      <c r="R749" t="s">
        <v>249</v>
      </c>
      <c r="S749">
        <v>0.31450011460924421</v>
      </c>
      <c r="T749" t="s">
        <v>250</v>
      </c>
      <c r="U749">
        <v>0.76102699144173802</v>
      </c>
      <c r="V749">
        <v>11494.57360623949</v>
      </c>
      <c r="W749">
        <v>96.951341826723578</v>
      </c>
      <c r="X749" t="s">
        <v>111</v>
      </c>
      <c r="Y749">
        <v>20</v>
      </c>
      <c r="Z749">
        <v>0.44</v>
      </c>
      <c r="AA749">
        <v>31.536000000000001</v>
      </c>
    </row>
    <row r="750" spans="1:27" hidden="1" x14ac:dyDescent="0.25">
      <c r="A750" t="s">
        <v>98</v>
      </c>
      <c r="B750" t="s">
        <v>1024</v>
      </c>
      <c r="D750" t="s">
        <v>100</v>
      </c>
      <c r="E750" t="s">
        <v>284</v>
      </c>
      <c r="F750" t="s">
        <v>285</v>
      </c>
      <c r="G750" t="s">
        <v>103</v>
      </c>
      <c r="H750" t="s">
        <v>104</v>
      </c>
      <c r="I750">
        <v>2022</v>
      </c>
      <c r="J750" t="s">
        <v>286</v>
      </c>
      <c r="K750" t="s">
        <v>106</v>
      </c>
      <c r="L750" t="s">
        <v>1100</v>
      </c>
      <c r="M750" t="s">
        <v>1101</v>
      </c>
      <c r="N750">
        <v>1</v>
      </c>
      <c r="O750">
        <v>2020</v>
      </c>
      <c r="P750">
        <v>100.10336678844671</v>
      </c>
      <c r="Q750">
        <v>36.612504973710713</v>
      </c>
      <c r="R750" t="s">
        <v>289</v>
      </c>
      <c r="S750">
        <v>15.58191798941797</v>
      </c>
      <c r="T750" t="s">
        <v>290</v>
      </c>
      <c r="U750">
        <v>15.58191798941797</v>
      </c>
      <c r="V750">
        <v>100.10336678844671</v>
      </c>
      <c r="W750">
        <v>36.612504973710713</v>
      </c>
      <c r="X750" t="s">
        <v>291</v>
      </c>
      <c r="Y750">
        <v>10</v>
      </c>
      <c r="Z750">
        <v>0.34401375729085998</v>
      </c>
      <c r="AA750">
        <v>1</v>
      </c>
    </row>
    <row r="751" spans="1:27" hidden="1" x14ac:dyDescent="0.25">
      <c r="A751" t="s">
        <v>98</v>
      </c>
      <c r="B751" t="s">
        <v>1024</v>
      </c>
      <c r="D751" t="s">
        <v>100</v>
      </c>
      <c r="E751" t="s">
        <v>284</v>
      </c>
      <c r="F751" t="s">
        <v>292</v>
      </c>
      <c r="G751" t="s">
        <v>103</v>
      </c>
      <c r="H751" t="s">
        <v>104</v>
      </c>
      <c r="I751">
        <v>2022</v>
      </c>
      <c r="J751" t="s">
        <v>293</v>
      </c>
      <c r="K751" t="s">
        <v>106</v>
      </c>
      <c r="L751" t="s">
        <v>1100</v>
      </c>
      <c r="M751" t="s">
        <v>1102</v>
      </c>
      <c r="N751">
        <v>1</v>
      </c>
      <c r="O751">
        <v>2020</v>
      </c>
      <c r="P751">
        <v>99.46253669701926</v>
      </c>
      <c r="Q751">
        <v>6.0605044913603194</v>
      </c>
      <c r="R751" t="s">
        <v>289</v>
      </c>
      <c r="S751">
        <v>42.005691056910557</v>
      </c>
      <c r="T751" t="s">
        <v>290</v>
      </c>
      <c r="U751">
        <v>42.005691056910557</v>
      </c>
      <c r="V751">
        <v>99.46253669701926</v>
      </c>
      <c r="W751">
        <v>6.0605044913603194</v>
      </c>
      <c r="X751" t="s">
        <v>291</v>
      </c>
      <c r="Y751">
        <v>10</v>
      </c>
      <c r="Z751">
        <v>0.34401375729085998</v>
      </c>
      <c r="AA751">
        <v>1</v>
      </c>
    </row>
    <row r="752" spans="1:27" hidden="1" x14ac:dyDescent="0.25">
      <c r="A752" t="s">
        <v>98</v>
      </c>
      <c r="B752" t="s">
        <v>1024</v>
      </c>
      <c r="D752" t="s">
        <v>100</v>
      </c>
      <c r="E752" t="s">
        <v>284</v>
      </c>
      <c r="F752" t="s">
        <v>292</v>
      </c>
      <c r="G752" t="s">
        <v>112</v>
      </c>
      <c r="H752" t="s">
        <v>104</v>
      </c>
      <c r="I752">
        <v>2022</v>
      </c>
      <c r="J752" t="s">
        <v>295</v>
      </c>
      <c r="K752" t="s">
        <v>106</v>
      </c>
      <c r="L752" t="s">
        <v>1100</v>
      </c>
      <c r="M752" t="s">
        <v>1103</v>
      </c>
      <c r="N752">
        <v>1</v>
      </c>
      <c r="O752">
        <v>2020</v>
      </c>
      <c r="P752">
        <v>92.517129414925563</v>
      </c>
      <c r="Q752">
        <v>5.9256499638890956</v>
      </c>
      <c r="R752" t="s">
        <v>289</v>
      </c>
      <c r="S752">
        <v>43.051923076923067</v>
      </c>
      <c r="T752" t="s">
        <v>290</v>
      </c>
      <c r="U752">
        <v>43.051923076923067</v>
      </c>
      <c r="V752">
        <v>92.517129414925563</v>
      </c>
      <c r="W752">
        <v>5.9256499638890956</v>
      </c>
      <c r="X752" t="s">
        <v>291</v>
      </c>
      <c r="Y752">
        <v>10</v>
      </c>
      <c r="Z752">
        <v>0.34401375729085998</v>
      </c>
      <c r="AA752">
        <v>1</v>
      </c>
    </row>
    <row r="753" spans="1:27" hidden="1" x14ac:dyDescent="0.25">
      <c r="A753" t="s">
        <v>98</v>
      </c>
      <c r="B753" t="s">
        <v>1024</v>
      </c>
      <c r="D753" t="s">
        <v>100</v>
      </c>
      <c r="E753" t="s">
        <v>284</v>
      </c>
      <c r="F753" t="s">
        <v>297</v>
      </c>
      <c r="G753" t="s">
        <v>103</v>
      </c>
      <c r="H753" t="s">
        <v>104</v>
      </c>
      <c r="I753">
        <v>2022</v>
      </c>
      <c r="J753" t="s">
        <v>298</v>
      </c>
      <c r="K753" t="s">
        <v>106</v>
      </c>
      <c r="L753" t="s">
        <v>1100</v>
      </c>
      <c r="M753" t="s">
        <v>1104</v>
      </c>
      <c r="N753">
        <v>1</v>
      </c>
      <c r="O753">
        <v>2020</v>
      </c>
      <c r="P753">
        <v>94.526951376087595</v>
      </c>
      <c r="Q753">
        <v>3.949349451558744</v>
      </c>
      <c r="R753" t="s">
        <v>289</v>
      </c>
      <c r="S753">
        <v>76.146700507614213</v>
      </c>
      <c r="T753" t="s">
        <v>290</v>
      </c>
      <c r="U753">
        <v>76.146700507614213</v>
      </c>
      <c r="V753">
        <v>94.526951376087595</v>
      </c>
      <c r="W753">
        <v>3.949349451558744</v>
      </c>
      <c r="X753" t="s">
        <v>291</v>
      </c>
      <c r="Y753">
        <v>10</v>
      </c>
      <c r="Z753">
        <v>0.34401375729085998</v>
      </c>
      <c r="AA753">
        <v>1</v>
      </c>
    </row>
    <row r="754" spans="1:27" hidden="1" x14ac:dyDescent="0.25">
      <c r="A754" t="s">
        <v>98</v>
      </c>
      <c r="B754" t="s">
        <v>1024</v>
      </c>
      <c r="D754" t="s">
        <v>100</v>
      </c>
      <c r="E754" t="s">
        <v>284</v>
      </c>
      <c r="F754" t="s">
        <v>297</v>
      </c>
      <c r="G754" t="s">
        <v>112</v>
      </c>
      <c r="H754" t="s">
        <v>104</v>
      </c>
      <c r="I754">
        <v>2022</v>
      </c>
      <c r="J754" t="s">
        <v>300</v>
      </c>
      <c r="K754" t="s">
        <v>106</v>
      </c>
      <c r="L754" t="s">
        <v>1100</v>
      </c>
      <c r="M754" t="s">
        <v>1105</v>
      </c>
      <c r="N754">
        <v>1</v>
      </c>
      <c r="O754">
        <v>2020</v>
      </c>
      <c r="P754">
        <v>69.765067810793198</v>
      </c>
      <c r="Q754">
        <v>2.516631606553434</v>
      </c>
      <c r="R754" t="s">
        <v>289</v>
      </c>
      <c r="S754">
        <v>93</v>
      </c>
      <c r="T754" t="s">
        <v>290</v>
      </c>
      <c r="U754">
        <v>93</v>
      </c>
      <c r="V754">
        <v>69.765067810793198</v>
      </c>
      <c r="W754">
        <v>2.516631606553434</v>
      </c>
      <c r="X754" t="s">
        <v>291</v>
      </c>
      <c r="Y754">
        <v>10</v>
      </c>
      <c r="Z754">
        <v>0.34401375729085998</v>
      </c>
      <c r="AA754">
        <v>1</v>
      </c>
    </row>
    <row r="755" spans="1:27" hidden="1" x14ac:dyDescent="0.25">
      <c r="A755" t="s">
        <v>98</v>
      </c>
      <c r="B755" t="s">
        <v>1024</v>
      </c>
      <c r="D755" t="s">
        <v>100</v>
      </c>
      <c r="E755" t="s">
        <v>284</v>
      </c>
      <c r="F755" t="s">
        <v>302</v>
      </c>
      <c r="G755" t="s">
        <v>103</v>
      </c>
      <c r="H755" t="s">
        <v>104</v>
      </c>
      <c r="I755">
        <v>2022</v>
      </c>
      <c r="J755" t="s">
        <v>303</v>
      </c>
      <c r="K755" t="s">
        <v>106</v>
      </c>
      <c r="L755" t="s">
        <v>1100</v>
      </c>
      <c r="M755" t="s">
        <v>1106</v>
      </c>
      <c r="N755">
        <v>1</v>
      </c>
      <c r="O755">
        <v>2020</v>
      </c>
      <c r="P755">
        <v>105.7930490817716</v>
      </c>
      <c r="Q755">
        <v>3.355492309527206</v>
      </c>
      <c r="R755" t="s">
        <v>289</v>
      </c>
      <c r="S755">
        <v>64.669172932330824</v>
      </c>
      <c r="T755" t="s">
        <v>290</v>
      </c>
      <c r="U755">
        <v>64.669172932330824</v>
      </c>
      <c r="V755">
        <v>105.7930490817716</v>
      </c>
      <c r="W755">
        <v>3.355492309527206</v>
      </c>
      <c r="X755" t="s">
        <v>291</v>
      </c>
      <c r="Y755">
        <v>10</v>
      </c>
      <c r="Z755">
        <v>0.34401375729085998</v>
      </c>
      <c r="AA755">
        <v>1</v>
      </c>
    </row>
    <row r="756" spans="1:27" hidden="1" x14ac:dyDescent="0.25">
      <c r="A756" t="s">
        <v>98</v>
      </c>
      <c r="B756" t="s">
        <v>1024</v>
      </c>
      <c r="D756" t="s">
        <v>100</v>
      </c>
      <c r="E756" t="s">
        <v>284</v>
      </c>
      <c r="F756" t="s">
        <v>302</v>
      </c>
      <c r="G756" t="s">
        <v>112</v>
      </c>
      <c r="H756" t="s">
        <v>104</v>
      </c>
      <c r="I756">
        <v>2022</v>
      </c>
      <c r="J756" t="s">
        <v>305</v>
      </c>
      <c r="K756" t="s">
        <v>106</v>
      </c>
      <c r="L756" t="s">
        <v>1100</v>
      </c>
      <c r="M756" t="s">
        <v>1107</v>
      </c>
      <c r="N756">
        <v>1</v>
      </c>
      <c r="O756">
        <v>2020</v>
      </c>
      <c r="P756">
        <v>99.614212714858894</v>
      </c>
      <c r="Q756">
        <v>1.4361600838792941</v>
      </c>
      <c r="R756" t="s">
        <v>289</v>
      </c>
      <c r="S756">
        <v>75.07692307692308</v>
      </c>
      <c r="T756" t="s">
        <v>290</v>
      </c>
      <c r="U756">
        <v>75.07692307692308</v>
      </c>
      <c r="V756">
        <v>99.614212714858894</v>
      </c>
      <c r="W756">
        <v>1.4361600838792941</v>
      </c>
      <c r="X756" t="s">
        <v>291</v>
      </c>
      <c r="Y756">
        <v>10</v>
      </c>
      <c r="Z756">
        <v>0.34401375729085998</v>
      </c>
      <c r="AA756">
        <v>1</v>
      </c>
    </row>
    <row r="757" spans="1:27" hidden="1" x14ac:dyDescent="0.25">
      <c r="A757" t="s">
        <v>98</v>
      </c>
      <c r="B757" t="s">
        <v>1024</v>
      </c>
      <c r="D757" t="s">
        <v>100</v>
      </c>
      <c r="E757" t="s">
        <v>284</v>
      </c>
      <c r="F757" t="s">
        <v>297</v>
      </c>
      <c r="G757" t="s">
        <v>103</v>
      </c>
      <c r="H757" t="s">
        <v>104</v>
      </c>
      <c r="I757">
        <v>2023</v>
      </c>
      <c r="J757" t="s">
        <v>307</v>
      </c>
      <c r="K757" t="s">
        <v>106</v>
      </c>
      <c r="L757" t="s">
        <v>1100</v>
      </c>
      <c r="M757" t="s">
        <v>1108</v>
      </c>
      <c r="N757">
        <v>1</v>
      </c>
      <c r="O757">
        <v>2023</v>
      </c>
      <c r="P757">
        <v>94.526951376087595</v>
      </c>
      <c r="Q757">
        <v>3.949349451558744</v>
      </c>
      <c r="R757" t="s">
        <v>289</v>
      </c>
      <c r="S757">
        <v>76.146700507614213</v>
      </c>
      <c r="T757" t="s">
        <v>290</v>
      </c>
      <c r="U757">
        <v>76.146700507614213</v>
      </c>
      <c r="V757">
        <v>94.526951376087595</v>
      </c>
      <c r="W757">
        <v>3.949349451558744</v>
      </c>
      <c r="X757" t="s">
        <v>291</v>
      </c>
      <c r="Y757">
        <v>10</v>
      </c>
      <c r="Z757">
        <v>0.34401375729085998</v>
      </c>
      <c r="AA757">
        <v>1</v>
      </c>
    </row>
    <row r="758" spans="1:27" hidden="1" x14ac:dyDescent="0.25">
      <c r="A758" t="s">
        <v>98</v>
      </c>
      <c r="B758" t="s">
        <v>1024</v>
      </c>
      <c r="D758" t="s">
        <v>100</v>
      </c>
      <c r="E758" t="s">
        <v>284</v>
      </c>
      <c r="F758" t="s">
        <v>297</v>
      </c>
      <c r="G758" t="s">
        <v>112</v>
      </c>
      <c r="H758" t="s">
        <v>104</v>
      </c>
      <c r="I758">
        <v>2023</v>
      </c>
      <c r="J758" t="s">
        <v>309</v>
      </c>
      <c r="K758" t="s">
        <v>106</v>
      </c>
      <c r="L758" t="s">
        <v>1100</v>
      </c>
      <c r="M758" t="s">
        <v>1109</v>
      </c>
      <c r="N758">
        <v>1</v>
      </c>
      <c r="O758">
        <v>2023</v>
      </c>
      <c r="P758">
        <v>69.765067810793198</v>
      </c>
      <c r="Q758">
        <v>2.516631606553434</v>
      </c>
      <c r="R758" t="s">
        <v>289</v>
      </c>
      <c r="S758">
        <v>93</v>
      </c>
      <c r="T758" t="s">
        <v>290</v>
      </c>
      <c r="U758">
        <v>93</v>
      </c>
      <c r="V758">
        <v>69.765067810793198</v>
      </c>
      <c r="W758">
        <v>2.516631606553434</v>
      </c>
      <c r="X758" t="s">
        <v>291</v>
      </c>
      <c r="Y758">
        <v>10</v>
      </c>
      <c r="Z758">
        <v>0.34401375729085998</v>
      </c>
      <c r="AA758">
        <v>1</v>
      </c>
    </row>
    <row r="759" spans="1:27" hidden="1" x14ac:dyDescent="0.25">
      <c r="A759" t="s">
        <v>98</v>
      </c>
      <c r="B759" t="s">
        <v>1024</v>
      </c>
      <c r="D759" t="s">
        <v>100</v>
      </c>
      <c r="E759" t="s">
        <v>284</v>
      </c>
      <c r="F759" t="s">
        <v>302</v>
      </c>
      <c r="G759" t="s">
        <v>103</v>
      </c>
      <c r="H759" t="s">
        <v>104</v>
      </c>
      <c r="I759">
        <v>2023</v>
      </c>
      <c r="J759" t="s">
        <v>311</v>
      </c>
      <c r="K759" t="s">
        <v>106</v>
      </c>
      <c r="L759" t="s">
        <v>1100</v>
      </c>
      <c r="M759" t="s">
        <v>1110</v>
      </c>
      <c r="N759">
        <v>1</v>
      </c>
      <c r="O759">
        <v>2023</v>
      </c>
      <c r="P759">
        <v>105.7930490817716</v>
      </c>
      <c r="Q759">
        <v>3.355492309527206</v>
      </c>
      <c r="R759" t="s">
        <v>289</v>
      </c>
      <c r="S759">
        <v>64.669172932330824</v>
      </c>
      <c r="T759" t="s">
        <v>290</v>
      </c>
      <c r="U759">
        <v>64.669172932330824</v>
      </c>
      <c r="V759">
        <v>105.7930490817716</v>
      </c>
      <c r="W759">
        <v>3.355492309527206</v>
      </c>
      <c r="X759" t="s">
        <v>291</v>
      </c>
      <c r="Y759">
        <v>10</v>
      </c>
      <c r="Z759">
        <v>0.34401375729085998</v>
      </c>
      <c r="AA759">
        <v>1</v>
      </c>
    </row>
    <row r="760" spans="1:27" hidden="1" x14ac:dyDescent="0.25">
      <c r="A760" t="s">
        <v>98</v>
      </c>
      <c r="B760" t="s">
        <v>1024</v>
      </c>
      <c r="D760" t="s">
        <v>100</v>
      </c>
      <c r="E760" t="s">
        <v>284</v>
      </c>
      <c r="F760" t="s">
        <v>302</v>
      </c>
      <c r="G760" t="s">
        <v>112</v>
      </c>
      <c r="H760" t="s">
        <v>104</v>
      </c>
      <c r="I760">
        <v>2023</v>
      </c>
      <c r="J760" t="s">
        <v>313</v>
      </c>
      <c r="K760" t="s">
        <v>106</v>
      </c>
      <c r="L760" t="s">
        <v>1100</v>
      </c>
      <c r="M760" t="s">
        <v>1111</v>
      </c>
      <c r="N760">
        <v>1</v>
      </c>
      <c r="O760">
        <v>2023</v>
      </c>
      <c r="P760">
        <v>99.614212714858894</v>
      </c>
      <c r="Q760">
        <v>1.4361600838792941</v>
      </c>
      <c r="R760" t="s">
        <v>289</v>
      </c>
      <c r="S760">
        <v>75.07692307692308</v>
      </c>
      <c r="T760" t="s">
        <v>290</v>
      </c>
      <c r="U760">
        <v>75.07692307692308</v>
      </c>
      <c r="V760">
        <v>99.614212714858894</v>
      </c>
      <c r="W760">
        <v>1.4361600838792941</v>
      </c>
      <c r="X760" t="s">
        <v>291</v>
      </c>
      <c r="Y760">
        <v>10</v>
      </c>
      <c r="Z760">
        <v>0.34401375729085998</v>
      </c>
      <c r="AA760">
        <v>1</v>
      </c>
    </row>
    <row r="761" spans="1:27" hidden="1" x14ac:dyDescent="0.25">
      <c r="A761" t="s">
        <v>98</v>
      </c>
      <c r="B761" t="s">
        <v>1024</v>
      </c>
      <c r="D761" t="s">
        <v>100</v>
      </c>
      <c r="E761" t="s">
        <v>284</v>
      </c>
      <c r="F761" t="s">
        <v>297</v>
      </c>
      <c r="G761" t="s">
        <v>103</v>
      </c>
      <c r="H761" t="s">
        <v>104</v>
      </c>
      <c r="I761">
        <v>2024</v>
      </c>
      <c r="J761" t="s">
        <v>315</v>
      </c>
      <c r="K761" t="s">
        <v>106</v>
      </c>
      <c r="L761" t="s">
        <v>1100</v>
      </c>
      <c r="M761" t="s">
        <v>1112</v>
      </c>
      <c r="N761">
        <v>1</v>
      </c>
      <c r="O761">
        <v>2024</v>
      </c>
      <c r="P761">
        <v>94.526951376087595</v>
      </c>
      <c r="Q761">
        <v>3.949349451558744</v>
      </c>
      <c r="R761" t="s">
        <v>289</v>
      </c>
      <c r="S761">
        <v>76.146700507614213</v>
      </c>
      <c r="T761" t="s">
        <v>290</v>
      </c>
      <c r="U761">
        <v>76.146700507614213</v>
      </c>
      <c r="V761">
        <v>94.526951376087595</v>
      </c>
      <c r="W761">
        <v>3.949349451558744</v>
      </c>
      <c r="X761" t="s">
        <v>291</v>
      </c>
      <c r="Y761">
        <v>10</v>
      </c>
      <c r="Z761">
        <v>0.34401375729085998</v>
      </c>
      <c r="AA761">
        <v>1</v>
      </c>
    </row>
    <row r="762" spans="1:27" hidden="1" x14ac:dyDescent="0.25">
      <c r="A762" t="s">
        <v>98</v>
      </c>
      <c r="B762" t="s">
        <v>1024</v>
      </c>
      <c r="D762" t="s">
        <v>100</v>
      </c>
      <c r="E762" t="s">
        <v>284</v>
      </c>
      <c r="F762" t="s">
        <v>297</v>
      </c>
      <c r="G762" t="s">
        <v>112</v>
      </c>
      <c r="H762" t="s">
        <v>104</v>
      </c>
      <c r="I762">
        <v>2024</v>
      </c>
      <c r="J762" t="s">
        <v>317</v>
      </c>
      <c r="K762" t="s">
        <v>106</v>
      </c>
      <c r="L762" t="s">
        <v>1100</v>
      </c>
      <c r="M762" t="s">
        <v>1113</v>
      </c>
      <c r="N762">
        <v>1</v>
      </c>
      <c r="O762">
        <v>2024</v>
      </c>
      <c r="P762">
        <v>69.765067810793198</v>
      </c>
      <c r="Q762">
        <v>2.516631606553434</v>
      </c>
      <c r="R762" t="s">
        <v>289</v>
      </c>
      <c r="S762">
        <v>93</v>
      </c>
      <c r="T762" t="s">
        <v>290</v>
      </c>
      <c r="U762">
        <v>93</v>
      </c>
      <c r="V762">
        <v>69.765067810793198</v>
      </c>
      <c r="W762">
        <v>2.516631606553434</v>
      </c>
      <c r="X762" t="s">
        <v>291</v>
      </c>
      <c r="Y762">
        <v>10</v>
      </c>
      <c r="Z762">
        <v>0.34401375729085998</v>
      </c>
      <c r="AA762">
        <v>1</v>
      </c>
    </row>
    <row r="763" spans="1:27" hidden="1" x14ac:dyDescent="0.25">
      <c r="A763" t="s">
        <v>98</v>
      </c>
      <c r="B763" t="s">
        <v>1024</v>
      </c>
      <c r="D763" t="s">
        <v>100</v>
      </c>
      <c r="E763" t="s">
        <v>284</v>
      </c>
      <c r="F763" t="s">
        <v>302</v>
      </c>
      <c r="G763" t="s">
        <v>103</v>
      </c>
      <c r="H763" t="s">
        <v>104</v>
      </c>
      <c r="I763">
        <v>2024</v>
      </c>
      <c r="J763" t="s">
        <v>319</v>
      </c>
      <c r="K763" t="s">
        <v>106</v>
      </c>
      <c r="L763" t="s">
        <v>1100</v>
      </c>
      <c r="M763" t="s">
        <v>1114</v>
      </c>
      <c r="N763">
        <v>1</v>
      </c>
      <c r="O763">
        <v>2024</v>
      </c>
      <c r="P763">
        <v>105.7930490817716</v>
      </c>
      <c r="Q763">
        <v>3.355492309527206</v>
      </c>
      <c r="R763" t="s">
        <v>289</v>
      </c>
      <c r="S763">
        <v>64.669172932330824</v>
      </c>
      <c r="T763" t="s">
        <v>290</v>
      </c>
      <c r="U763">
        <v>64.669172932330824</v>
      </c>
      <c r="V763">
        <v>105.7930490817716</v>
      </c>
      <c r="W763">
        <v>3.355492309527206</v>
      </c>
      <c r="X763" t="s">
        <v>291</v>
      </c>
      <c r="Y763">
        <v>10</v>
      </c>
      <c r="Z763">
        <v>0.34401375729085998</v>
      </c>
      <c r="AA763">
        <v>1</v>
      </c>
    </row>
    <row r="764" spans="1:27" hidden="1" x14ac:dyDescent="0.25">
      <c r="A764" t="s">
        <v>98</v>
      </c>
      <c r="B764" t="s">
        <v>1024</v>
      </c>
      <c r="D764" t="s">
        <v>100</v>
      </c>
      <c r="E764" t="s">
        <v>284</v>
      </c>
      <c r="F764" t="s">
        <v>302</v>
      </c>
      <c r="G764" t="s">
        <v>112</v>
      </c>
      <c r="H764" t="s">
        <v>104</v>
      </c>
      <c r="I764">
        <v>2024</v>
      </c>
      <c r="J764" t="s">
        <v>321</v>
      </c>
      <c r="K764" t="s">
        <v>106</v>
      </c>
      <c r="L764" t="s">
        <v>1100</v>
      </c>
      <c r="M764" t="s">
        <v>1115</v>
      </c>
      <c r="N764">
        <v>1</v>
      </c>
      <c r="O764">
        <v>2024</v>
      </c>
      <c r="P764">
        <v>99.614212714858894</v>
      </c>
      <c r="Q764">
        <v>1.4361600838792941</v>
      </c>
      <c r="R764" t="s">
        <v>289</v>
      </c>
      <c r="S764">
        <v>75.07692307692308</v>
      </c>
      <c r="T764" t="s">
        <v>290</v>
      </c>
      <c r="U764">
        <v>75.07692307692308</v>
      </c>
      <c r="V764">
        <v>99.614212714858894</v>
      </c>
      <c r="W764">
        <v>1.4361600838792941</v>
      </c>
      <c r="X764" t="s">
        <v>291</v>
      </c>
      <c r="Y764">
        <v>10</v>
      </c>
      <c r="Z764">
        <v>0.34401375729085998</v>
      </c>
      <c r="AA764">
        <v>1</v>
      </c>
    </row>
    <row r="765" spans="1:27" hidden="1" x14ac:dyDescent="0.25">
      <c r="A765" t="s">
        <v>98</v>
      </c>
      <c r="B765" t="s">
        <v>1024</v>
      </c>
      <c r="D765" t="s">
        <v>100</v>
      </c>
      <c r="E765" t="s">
        <v>284</v>
      </c>
      <c r="F765" t="s">
        <v>297</v>
      </c>
      <c r="G765" t="s">
        <v>103</v>
      </c>
      <c r="H765" t="s">
        <v>104</v>
      </c>
      <c r="I765">
        <v>2025</v>
      </c>
      <c r="J765" t="s">
        <v>323</v>
      </c>
      <c r="K765" t="s">
        <v>106</v>
      </c>
      <c r="L765" t="s">
        <v>1100</v>
      </c>
      <c r="M765" t="s">
        <v>1116</v>
      </c>
      <c r="N765">
        <v>1</v>
      </c>
      <c r="O765">
        <v>2025</v>
      </c>
      <c r="P765">
        <v>94.526951376087595</v>
      </c>
      <c r="Q765">
        <v>3.949349451558744</v>
      </c>
      <c r="R765" t="s">
        <v>289</v>
      </c>
      <c r="S765">
        <v>76.146700507614213</v>
      </c>
      <c r="T765" t="s">
        <v>290</v>
      </c>
      <c r="U765">
        <v>76.146700507614213</v>
      </c>
      <c r="V765">
        <v>94.526951376087595</v>
      </c>
      <c r="W765">
        <v>3.949349451558744</v>
      </c>
      <c r="X765" t="s">
        <v>291</v>
      </c>
      <c r="Y765">
        <v>10</v>
      </c>
      <c r="Z765">
        <v>0.34401375729085998</v>
      </c>
      <c r="AA765">
        <v>1</v>
      </c>
    </row>
    <row r="766" spans="1:27" hidden="1" x14ac:dyDescent="0.25">
      <c r="A766" t="s">
        <v>98</v>
      </c>
      <c r="B766" t="s">
        <v>1024</v>
      </c>
      <c r="D766" t="s">
        <v>100</v>
      </c>
      <c r="E766" t="s">
        <v>284</v>
      </c>
      <c r="F766" t="s">
        <v>297</v>
      </c>
      <c r="G766" t="s">
        <v>112</v>
      </c>
      <c r="H766" t="s">
        <v>104</v>
      </c>
      <c r="I766">
        <v>2025</v>
      </c>
      <c r="J766" t="s">
        <v>325</v>
      </c>
      <c r="K766" t="s">
        <v>106</v>
      </c>
      <c r="L766" t="s">
        <v>1100</v>
      </c>
      <c r="M766" t="s">
        <v>1117</v>
      </c>
      <c r="N766">
        <v>1</v>
      </c>
      <c r="O766">
        <v>2025</v>
      </c>
      <c r="P766">
        <v>69.765067810793198</v>
      </c>
      <c r="Q766">
        <v>2.516631606553434</v>
      </c>
      <c r="R766" t="s">
        <v>289</v>
      </c>
      <c r="S766">
        <v>93</v>
      </c>
      <c r="T766" t="s">
        <v>290</v>
      </c>
      <c r="U766">
        <v>93</v>
      </c>
      <c r="V766">
        <v>69.765067810793198</v>
      </c>
      <c r="W766">
        <v>2.516631606553434</v>
      </c>
      <c r="X766" t="s">
        <v>291</v>
      </c>
      <c r="Y766">
        <v>10</v>
      </c>
      <c r="Z766">
        <v>0.34401375729085998</v>
      </c>
      <c r="AA766">
        <v>1</v>
      </c>
    </row>
    <row r="767" spans="1:27" hidden="1" x14ac:dyDescent="0.25">
      <c r="A767" t="s">
        <v>98</v>
      </c>
      <c r="B767" t="s">
        <v>1024</v>
      </c>
      <c r="D767" t="s">
        <v>100</v>
      </c>
      <c r="E767" t="s">
        <v>284</v>
      </c>
      <c r="F767" t="s">
        <v>302</v>
      </c>
      <c r="G767" t="s">
        <v>103</v>
      </c>
      <c r="H767" t="s">
        <v>104</v>
      </c>
      <c r="I767">
        <v>2025</v>
      </c>
      <c r="J767" t="s">
        <v>327</v>
      </c>
      <c r="K767" t="s">
        <v>106</v>
      </c>
      <c r="L767" t="s">
        <v>1100</v>
      </c>
      <c r="M767" t="s">
        <v>1118</v>
      </c>
      <c r="N767">
        <v>1</v>
      </c>
      <c r="O767">
        <v>2025</v>
      </c>
      <c r="P767">
        <v>105.7930490817716</v>
      </c>
      <c r="Q767">
        <v>3.355492309527206</v>
      </c>
      <c r="R767" t="s">
        <v>289</v>
      </c>
      <c r="S767">
        <v>64.669172932330824</v>
      </c>
      <c r="T767" t="s">
        <v>290</v>
      </c>
      <c r="U767">
        <v>64.669172932330824</v>
      </c>
      <c r="V767">
        <v>105.7930490817716</v>
      </c>
      <c r="W767">
        <v>3.355492309527206</v>
      </c>
      <c r="X767" t="s">
        <v>291</v>
      </c>
      <c r="Y767">
        <v>10</v>
      </c>
      <c r="Z767">
        <v>0.34401375729085998</v>
      </c>
      <c r="AA767">
        <v>1</v>
      </c>
    </row>
    <row r="768" spans="1:27" hidden="1" x14ac:dyDescent="0.25">
      <c r="A768" t="s">
        <v>98</v>
      </c>
      <c r="B768" t="s">
        <v>1024</v>
      </c>
      <c r="D768" t="s">
        <v>100</v>
      </c>
      <c r="E768" t="s">
        <v>284</v>
      </c>
      <c r="F768" t="s">
        <v>302</v>
      </c>
      <c r="G768" t="s">
        <v>112</v>
      </c>
      <c r="H768" t="s">
        <v>104</v>
      </c>
      <c r="I768">
        <v>2025</v>
      </c>
      <c r="J768" t="s">
        <v>329</v>
      </c>
      <c r="K768" t="s">
        <v>106</v>
      </c>
      <c r="L768" t="s">
        <v>1100</v>
      </c>
      <c r="M768" t="s">
        <v>1119</v>
      </c>
      <c r="N768">
        <v>1</v>
      </c>
      <c r="O768">
        <v>2025</v>
      </c>
      <c r="P768">
        <v>99.614212714858894</v>
      </c>
      <c r="Q768">
        <v>1.4361600838792941</v>
      </c>
      <c r="R768" t="s">
        <v>289</v>
      </c>
      <c r="S768">
        <v>75.07692307692308</v>
      </c>
      <c r="T768" t="s">
        <v>290</v>
      </c>
      <c r="U768">
        <v>75.07692307692308</v>
      </c>
      <c r="V768">
        <v>99.614212714858894</v>
      </c>
      <c r="W768">
        <v>1.4361600838792941</v>
      </c>
      <c r="X768" t="s">
        <v>291</v>
      </c>
      <c r="Y768">
        <v>10</v>
      </c>
      <c r="Z768">
        <v>0.34401375729085998</v>
      </c>
      <c r="AA768">
        <v>1</v>
      </c>
    </row>
    <row r="769" spans="1:27" hidden="1" x14ac:dyDescent="0.25">
      <c r="A769" t="s">
        <v>98</v>
      </c>
      <c r="B769" t="s">
        <v>1024</v>
      </c>
      <c r="D769" t="s">
        <v>100</v>
      </c>
      <c r="E769" t="s">
        <v>284</v>
      </c>
      <c r="F769" t="s">
        <v>297</v>
      </c>
      <c r="G769" t="s">
        <v>103</v>
      </c>
      <c r="H769" t="s">
        <v>104</v>
      </c>
      <c r="I769">
        <v>2026</v>
      </c>
      <c r="J769" t="s">
        <v>331</v>
      </c>
      <c r="K769" t="s">
        <v>106</v>
      </c>
      <c r="L769" t="s">
        <v>1100</v>
      </c>
      <c r="M769" t="s">
        <v>1120</v>
      </c>
      <c r="N769">
        <v>1</v>
      </c>
      <c r="O769">
        <v>2026</v>
      </c>
      <c r="P769">
        <v>94.526951376087595</v>
      </c>
      <c r="Q769">
        <v>3.949349451558744</v>
      </c>
      <c r="R769" t="s">
        <v>289</v>
      </c>
      <c r="S769">
        <v>76.146700507614213</v>
      </c>
      <c r="T769" t="s">
        <v>290</v>
      </c>
      <c r="U769">
        <v>76.146700507614213</v>
      </c>
      <c r="V769">
        <v>94.526951376087595</v>
      </c>
      <c r="W769">
        <v>3.949349451558744</v>
      </c>
      <c r="X769" t="s">
        <v>291</v>
      </c>
      <c r="Y769">
        <v>10</v>
      </c>
      <c r="Z769">
        <v>0.34401375729085998</v>
      </c>
      <c r="AA769">
        <v>1</v>
      </c>
    </row>
    <row r="770" spans="1:27" hidden="1" x14ac:dyDescent="0.25">
      <c r="A770" t="s">
        <v>98</v>
      </c>
      <c r="B770" t="s">
        <v>1024</v>
      </c>
      <c r="D770" t="s">
        <v>100</v>
      </c>
      <c r="E770" t="s">
        <v>284</v>
      </c>
      <c r="F770" t="s">
        <v>297</v>
      </c>
      <c r="G770" t="s">
        <v>112</v>
      </c>
      <c r="H770" t="s">
        <v>104</v>
      </c>
      <c r="I770">
        <v>2026</v>
      </c>
      <c r="J770" t="s">
        <v>333</v>
      </c>
      <c r="K770" t="s">
        <v>106</v>
      </c>
      <c r="L770" t="s">
        <v>1100</v>
      </c>
      <c r="M770" t="s">
        <v>1121</v>
      </c>
      <c r="N770">
        <v>1</v>
      </c>
      <c r="O770">
        <v>2026</v>
      </c>
      <c r="P770">
        <v>69.765067810793198</v>
      </c>
      <c r="Q770">
        <v>2.516631606553434</v>
      </c>
      <c r="R770" t="s">
        <v>289</v>
      </c>
      <c r="S770">
        <v>93</v>
      </c>
      <c r="T770" t="s">
        <v>290</v>
      </c>
      <c r="U770">
        <v>93</v>
      </c>
      <c r="V770">
        <v>69.765067810793198</v>
      </c>
      <c r="W770">
        <v>2.516631606553434</v>
      </c>
      <c r="X770" t="s">
        <v>291</v>
      </c>
      <c r="Y770">
        <v>10</v>
      </c>
      <c r="Z770">
        <v>0.34401375729085998</v>
      </c>
      <c r="AA770">
        <v>1</v>
      </c>
    </row>
    <row r="771" spans="1:27" hidden="1" x14ac:dyDescent="0.25">
      <c r="A771" t="s">
        <v>98</v>
      </c>
      <c r="B771" t="s">
        <v>1024</v>
      </c>
      <c r="D771" t="s">
        <v>100</v>
      </c>
      <c r="E771" t="s">
        <v>284</v>
      </c>
      <c r="F771" t="s">
        <v>302</v>
      </c>
      <c r="G771" t="s">
        <v>103</v>
      </c>
      <c r="H771" t="s">
        <v>104</v>
      </c>
      <c r="I771">
        <v>2026</v>
      </c>
      <c r="J771" t="s">
        <v>335</v>
      </c>
      <c r="K771" t="s">
        <v>106</v>
      </c>
      <c r="L771" t="s">
        <v>1100</v>
      </c>
      <c r="M771" t="s">
        <v>1122</v>
      </c>
      <c r="N771">
        <v>1</v>
      </c>
      <c r="O771">
        <v>2026</v>
      </c>
      <c r="P771">
        <v>105.7930490817716</v>
      </c>
      <c r="Q771">
        <v>3.355492309527206</v>
      </c>
      <c r="R771" t="s">
        <v>289</v>
      </c>
      <c r="S771">
        <v>64.669172932330824</v>
      </c>
      <c r="T771" t="s">
        <v>290</v>
      </c>
      <c r="U771">
        <v>64.669172932330824</v>
      </c>
      <c r="V771">
        <v>105.7930490817716</v>
      </c>
      <c r="W771">
        <v>3.355492309527206</v>
      </c>
      <c r="X771" t="s">
        <v>291</v>
      </c>
      <c r="Y771">
        <v>10</v>
      </c>
      <c r="Z771">
        <v>0.34401375729085998</v>
      </c>
      <c r="AA771">
        <v>1</v>
      </c>
    </row>
    <row r="772" spans="1:27" hidden="1" x14ac:dyDescent="0.25">
      <c r="A772" t="s">
        <v>98</v>
      </c>
      <c r="B772" t="s">
        <v>1024</v>
      </c>
      <c r="D772" t="s">
        <v>100</v>
      </c>
      <c r="E772" t="s">
        <v>284</v>
      </c>
      <c r="F772" t="s">
        <v>302</v>
      </c>
      <c r="G772" t="s">
        <v>112</v>
      </c>
      <c r="H772" t="s">
        <v>104</v>
      </c>
      <c r="I772">
        <v>2026</v>
      </c>
      <c r="J772" t="s">
        <v>337</v>
      </c>
      <c r="K772" t="s">
        <v>106</v>
      </c>
      <c r="L772" t="s">
        <v>1100</v>
      </c>
      <c r="M772" t="s">
        <v>1123</v>
      </c>
      <c r="N772">
        <v>1</v>
      </c>
      <c r="O772">
        <v>2026</v>
      </c>
      <c r="P772">
        <v>99.614212714858894</v>
      </c>
      <c r="Q772">
        <v>1.4361600838792941</v>
      </c>
      <c r="R772" t="s">
        <v>289</v>
      </c>
      <c r="S772">
        <v>75.07692307692308</v>
      </c>
      <c r="T772" t="s">
        <v>290</v>
      </c>
      <c r="U772">
        <v>75.07692307692308</v>
      </c>
      <c r="V772">
        <v>99.614212714858894</v>
      </c>
      <c r="W772">
        <v>1.4361600838792941</v>
      </c>
      <c r="X772" t="s">
        <v>291</v>
      </c>
      <c r="Y772">
        <v>10</v>
      </c>
      <c r="Z772">
        <v>0.34401375729085998</v>
      </c>
      <c r="AA772">
        <v>1</v>
      </c>
    </row>
    <row r="773" spans="1:27" hidden="1" x14ac:dyDescent="0.25">
      <c r="A773" t="s">
        <v>98</v>
      </c>
      <c r="B773" t="s">
        <v>1024</v>
      </c>
      <c r="D773" t="s">
        <v>100</v>
      </c>
      <c r="E773" t="s">
        <v>284</v>
      </c>
      <c r="F773" t="s">
        <v>292</v>
      </c>
      <c r="G773" t="s">
        <v>103</v>
      </c>
      <c r="H773" t="s">
        <v>104</v>
      </c>
      <c r="I773">
        <v>2030</v>
      </c>
      <c r="J773" t="s">
        <v>339</v>
      </c>
      <c r="K773" t="s">
        <v>106</v>
      </c>
      <c r="L773" t="s">
        <v>1100</v>
      </c>
      <c r="M773" t="s">
        <v>1124</v>
      </c>
      <c r="N773">
        <v>1</v>
      </c>
      <c r="O773">
        <v>2030</v>
      </c>
      <c r="P773">
        <v>99.96668875570353</v>
      </c>
      <c r="Q773">
        <v>4.9152448223495018</v>
      </c>
      <c r="R773" t="s">
        <v>289</v>
      </c>
      <c r="S773">
        <v>55.211046644573933</v>
      </c>
      <c r="T773" t="s">
        <v>290</v>
      </c>
      <c r="U773">
        <v>55.211046644573933</v>
      </c>
      <c r="V773">
        <v>99.96668875570353</v>
      </c>
      <c r="W773">
        <v>4.9152448223495018</v>
      </c>
      <c r="X773" t="s">
        <v>291</v>
      </c>
      <c r="Y773">
        <v>10</v>
      </c>
      <c r="Z773">
        <v>0.34401375729085998</v>
      </c>
      <c r="AA773">
        <v>1</v>
      </c>
    </row>
    <row r="774" spans="1:27" hidden="1" x14ac:dyDescent="0.25">
      <c r="A774" t="s">
        <v>98</v>
      </c>
      <c r="B774" t="s">
        <v>1024</v>
      </c>
      <c r="D774" t="s">
        <v>100</v>
      </c>
      <c r="E774" t="s">
        <v>284</v>
      </c>
      <c r="F774" t="s">
        <v>292</v>
      </c>
      <c r="G774" t="s">
        <v>112</v>
      </c>
      <c r="H774" t="s">
        <v>104</v>
      </c>
      <c r="I774">
        <v>2030</v>
      </c>
      <c r="J774" t="s">
        <v>341</v>
      </c>
      <c r="K774" t="s">
        <v>106</v>
      </c>
      <c r="L774" t="s">
        <v>1100</v>
      </c>
      <c r="M774" t="s">
        <v>1125</v>
      </c>
      <c r="N774">
        <v>1</v>
      </c>
      <c r="O774">
        <v>2030</v>
      </c>
      <c r="P774">
        <v>93.570390823718384</v>
      </c>
      <c r="Q774">
        <v>4.27625645181514</v>
      </c>
      <c r="R774" t="s">
        <v>289</v>
      </c>
      <c r="S774">
        <v>60.132155797450622</v>
      </c>
      <c r="T774" t="s">
        <v>290</v>
      </c>
      <c r="U774">
        <v>60.132155797450622</v>
      </c>
      <c r="V774">
        <v>93.570390823718384</v>
      </c>
      <c r="W774">
        <v>4.27625645181514</v>
      </c>
      <c r="X774" t="s">
        <v>291</v>
      </c>
      <c r="Y774">
        <v>10</v>
      </c>
      <c r="Z774">
        <v>0.34401375729085998</v>
      </c>
      <c r="AA774">
        <v>1</v>
      </c>
    </row>
    <row r="775" spans="1:27" hidden="1" x14ac:dyDescent="0.25">
      <c r="A775" t="s">
        <v>98</v>
      </c>
      <c r="B775" t="s">
        <v>1024</v>
      </c>
      <c r="D775" t="s">
        <v>100</v>
      </c>
      <c r="E775" t="s">
        <v>284</v>
      </c>
      <c r="F775" t="s">
        <v>297</v>
      </c>
      <c r="G775" t="s">
        <v>103</v>
      </c>
      <c r="H775" t="s">
        <v>104</v>
      </c>
      <c r="I775">
        <v>2030</v>
      </c>
      <c r="J775" t="s">
        <v>343</v>
      </c>
      <c r="K775" t="s">
        <v>106</v>
      </c>
      <c r="L775" t="s">
        <v>1100</v>
      </c>
      <c r="M775" t="s">
        <v>1126</v>
      </c>
      <c r="N775">
        <v>1</v>
      </c>
      <c r="O775">
        <v>2030</v>
      </c>
      <c r="P775">
        <v>112.2464608710101</v>
      </c>
      <c r="Q775">
        <v>3.5870084905918258</v>
      </c>
      <c r="R775" t="s">
        <v>289</v>
      </c>
      <c r="S775">
        <v>89.042769074884546</v>
      </c>
      <c r="T775" t="s">
        <v>290</v>
      </c>
      <c r="U775">
        <v>89.042769074884546</v>
      </c>
      <c r="V775">
        <v>112.2464608710101</v>
      </c>
      <c r="W775">
        <v>3.5870084905918258</v>
      </c>
      <c r="X775" t="s">
        <v>291</v>
      </c>
      <c r="Y775">
        <v>10</v>
      </c>
      <c r="Z775">
        <v>0.34401375729085998</v>
      </c>
      <c r="AA775">
        <v>1</v>
      </c>
    </row>
    <row r="776" spans="1:27" hidden="1" x14ac:dyDescent="0.25">
      <c r="A776" t="s">
        <v>98</v>
      </c>
      <c r="B776" t="s">
        <v>1024</v>
      </c>
      <c r="D776" t="s">
        <v>100</v>
      </c>
      <c r="E776" t="s">
        <v>284</v>
      </c>
      <c r="F776" t="s">
        <v>297</v>
      </c>
      <c r="G776" t="s">
        <v>112</v>
      </c>
      <c r="H776" t="s">
        <v>104</v>
      </c>
      <c r="I776">
        <v>2030</v>
      </c>
      <c r="J776" t="s">
        <v>345</v>
      </c>
      <c r="K776" t="s">
        <v>106</v>
      </c>
      <c r="L776" t="s">
        <v>1100</v>
      </c>
      <c r="M776" t="s">
        <v>1127</v>
      </c>
      <c r="N776">
        <v>1</v>
      </c>
      <c r="O776">
        <v>2030</v>
      </c>
      <c r="P776">
        <v>84.571073913548247</v>
      </c>
      <c r="Q776">
        <v>2.3525336937486059</v>
      </c>
      <c r="R776" t="s">
        <v>289</v>
      </c>
      <c r="S776">
        <v>108.5525423728814</v>
      </c>
      <c r="T776" t="s">
        <v>290</v>
      </c>
      <c r="U776">
        <v>108.5525423728814</v>
      </c>
      <c r="V776">
        <v>84.571073913548247</v>
      </c>
      <c r="W776">
        <v>2.3525336937486059</v>
      </c>
      <c r="X776" t="s">
        <v>291</v>
      </c>
      <c r="Y776">
        <v>10</v>
      </c>
      <c r="Z776">
        <v>0.34401375729085998</v>
      </c>
      <c r="AA776">
        <v>1</v>
      </c>
    </row>
    <row r="777" spans="1:27" hidden="1" x14ac:dyDescent="0.25">
      <c r="A777" t="s">
        <v>98</v>
      </c>
      <c r="B777" t="s">
        <v>1024</v>
      </c>
      <c r="D777" t="s">
        <v>100</v>
      </c>
      <c r="E777" t="s">
        <v>284</v>
      </c>
      <c r="F777" t="s">
        <v>292</v>
      </c>
      <c r="G777" t="s">
        <v>103</v>
      </c>
      <c r="H777" t="s">
        <v>104</v>
      </c>
      <c r="I777">
        <v>2040</v>
      </c>
      <c r="J777" t="s">
        <v>347</v>
      </c>
      <c r="K777" t="s">
        <v>106</v>
      </c>
      <c r="L777" t="s">
        <v>1100</v>
      </c>
      <c r="M777" t="s">
        <v>1128</v>
      </c>
      <c r="N777">
        <v>1</v>
      </c>
      <c r="O777">
        <v>2040</v>
      </c>
      <c r="P777">
        <v>98.335071194105581</v>
      </c>
      <c r="Q777">
        <v>4.7080379086524973</v>
      </c>
      <c r="R777" t="s">
        <v>289</v>
      </c>
      <c r="S777">
        <v>63.829339223058007</v>
      </c>
      <c r="T777" t="s">
        <v>290</v>
      </c>
      <c r="U777">
        <v>63.829339223058007</v>
      </c>
      <c r="V777">
        <v>98.335071194105581</v>
      </c>
      <c r="W777">
        <v>4.7080379086524973</v>
      </c>
      <c r="X777" t="s">
        <v>291</v>
      </c>
      <c r="Y777">
        <v>10</v>
      </c>
      <c r="Z777">
        <v>0.34401375729085998</v>
      </c>
      <c r="AA777">
        <v>1</v>
      </c>
    </row>
    <row r="778" spans="1:27" hidden="1" x14ac:dyDescent="0.25">
      <c r="A778" t="s">
        <v>98</v>
      </c>
      <c r="B778" t="s">
        <v>1024</v>
      </c>
      <c r="D778" t="s">
        <v>100</v>
      </c>
      <c r="E778" t="s">
        <v>284</v>
      </c>
      <c r="F778" t="s">
        <v>292</v>
      </c>
      <c r="G778" t="s">
        <v>112</v>
      </c>
      <c r="H778" t="s">
        <v>104</v>
      </c>
      <c r="I778">
        <v>2040</v>
      </c>
      <c r="J778" t="s">
        <v>349</v>
      </c>
      <c r="K778" t="s">
        <v>106</v>
      </c>
      <c r="L778" t="s">
        <v>1100</v>
      </c>
      <c r="M778" t="s">
        <v>1129</v>
      </c>
      <c r="N778">
        <v>1</v>
      </c>
      <c r="O778">
        <v>2040</v>
      </c>
      <c r="P778">
        <v>92.137687829328328</v>
      </c>
      <c r="Q778">
        <v>4.1202723323867074</v>
      </c>
      <c r="R778" t="s">
        <v>289</v>
      </c>
      <c r="S778">
        <v>69.934718883357121</v>
      </c>
      <c r="T778" t="s">
        <v>290</v>
      </c>
      <c r="U778">
        <v>69.934718883357121</v>
      </c>
      <c r="V778">
        <v>92.137687829328328</v>
      </c>
      <c r="W778">
        <v>4.1202723323867074</v>
      </c>
      <c r="X778" t="s">
        <v>291</v>
      </c>
      <c r="Y778">
        <v>10</v>
      </c>
      <c r="Z778">
        <v>0.34401375729085998</v>
      </c>
      <c r="AA778">
        <v>1</v>
      </c>
    </row>
    <row r="779" spans="1:27" hidden="1" x14ac:dyDescent="0.25">
      <c r="A779" t="s">
        <v>98</v>
      </c>
      <c r="B779" t="s">
        <v>1024</v>
      </c>
      <c r="D779" t="s">
        <v>100</v>
      </c>
      <c r="E779" t="s">
        <v>284</v>
      </c>
      <c r="F779" t="s">
        <v>297</v>
      </c>
      <c r="G779" t="s">
        <v>103</v>
      </c>
      <c r="H779" t="s">
        <v>104</v>
      </c>
      <c r="I779">
        <v>2040</v>
      </c>
      <c r="J779" t="s">
        <v>351</v>
      </c>
      <c r="K779" t="s">
        <v>106</v>
      </c>
      <c r="L779" t="s">
        <v>1100</v>
      </c>
      <c r="M779" t="s">
        <v>1130</v>
      </c>
      <c r="N779">
        <v>1</v>
      </c>
      <c r="O779">
        <v>2040</v>
      </c>
      <c r="P779">
        <v>109.62871509832991</v>
      </c>
      <c r="Q779">
        <v>3.28145573783857</v>
      </c>
      <c r="R779" t="s">
        <v>289</v>
      </c>
      <c r="S779">
        <v>101.8534675620791</v>
      </c>
      <c r="T779" t="s">
        <v>290</v>
      </c>
      <c r="U779">
        <v>101.8534675620791</v>
      </c>
      <c r="V779">
        <v>109.62871509832991</v>
      </c>
      <c r="W779">
        <v>3.28145573783857</v>
      </c>
      <c r="X779" t="s">
        <v>291</v>
      </c>
      <c r="Y779">
        <v>10</v>
      </c>
      <c r="Z779">
        <v>0.34401375729085998</v>
      </c>
      <c r="AA779">
        <v>1</v>
      </c>
    </row>
    <row r="780" spans="1:27" hidden="1" x14ac:dyDescent="0.25">
      <c r="A780" t="s">
        <v>98</v>
      </c>
      <c r="B780" t="s">
        <v>1024</v>
      </c>
      <c r="D780" t="s">
        <v>100</v>
      </c>
      <c r="E780" t="s">
        <v>284</v>
      </c>
      <c r="F780" t="s">
        <v>297</v>
      </c>
      <c r="G780" t="s">
        <v>112</v>
      </c>
      <c r="H780" t="s">
        <v>104</v>
      </c>
      <c r="I780">
        <v>2040</v>
      </c>
      <c r="J780" t="s">
        <v>353</v>
      </c>
      <c r="K780" t="s">
        <v>106</v>
      </c>
      <c r="L780" t="s">
        <v>1100</v>
      </c>
      <c r="M780" t="s">
        <v>1131</v>
      </c>
      <c r="N780">
        <v>1</v>
      </c>
      <c r="O780">
        <v>2040</v>
      </c>
      <c r="P780">
        <v>82.941268534212341</v>
      </c>
      <c r="Q780">
        <v>2.168671786742209</v>
      </c>
      <c r="R780" t="s">
        <v>289</v>
      </c>
      <c r="S780">
        <v>124.1701372074253</v>
      </c>
      <c r="T780" t="s">
        <v>290</v>
      </c>
      <c r="U780">
        <v>124.1701372074253</v>
      </c>
      <c r="V780">
        <v>82.941268534212341</v>
      </c>
      <c r="W780">
        <v>2.168671786742209</v>
      </c>
      <c r="X780" t="s">
        <v>291</v>
      </c>
      <c r="Y780">
        <v>10</v>
      </c>
      <c r="Z780">
        <v>0.34401375729085998</v>
      </c>
      <c r="AA780">
        <v>1</v>
      </c>
    </row>
    <row r="781" spans="1:27" hidden="1" x14ac:dyDescent="0.25">
      <c r="A781" t="s">
        <v>98</v>
      </c>
      <c r="B781" t="s">
        <v>1024</v>
      </c>
      <c r="D781" t="s">
        <v>100</v>
      </c>
      <c r="E781" t="s">
        <v>284</v>
      </c>
      <c r="F781" t="s">
        <v>355</v>
      </c>
      <c r="G781" t="s">
        <v>103</v>
      </c>
      <c r="H781" t="s">
        <v>104</v>
      </c>
      <c r="I781">
        <v>2022</v>
      </c>
      <c r="J781" t="s">
        <v>356</v>
      </c>
      <c r="K781" t="s">
        <v>106</v>
      </c>
      <c r="L781" t="s">
        <v>1100</v>
      </c>
      <c r="M781" t="s">
        <v>1132</v>
      </c>
      <c r="N781">
        <v>1</v>
      </c>
      <c r="O781">
        <v>2020</v>
      </c>
      <c r="P781">
        <v>26.539302440149839</v>
      </c>
      <c r="Q781">
        <v>0.71977466386263589</v>
      </c>
      <c r="R781" t="s">
        <v>289</v>
      </c>
      <c r="S781">
        <v>85.75677051732572</v>
      </c>
      <c r="T781" t="s">
        <v>290</v>
      </c>
      <c r="U781">
        <v>85.75677051732572</v>
      </c>
      <c r="V781">
        <v>26.539302440149839</v>
      </c>
      <c r="W781">
        <v>0.71977466386263589</v>
      </c>
      <c r="X781" t="s">
        <v>291</v>
      </c>
      <c r="Y781">
        <v>10</v>
      </c>
      <c r="Z781">
        <v>0.34401375729085998</v>
      </c>
      <c r="AA781">
        <v>1</v>
      </c>
    </row>
    <row r="782" spans="1:27" hidden="1" x14ac:dyDescent="0.25">
      <c r="A782" t="s">
        <v>98</v>
      </c>
      <c r="B782" t="s">
        <v>1024</v>
      </c>
      <c r="D782" t="s">
        <v>100</v>
      </c>
      <c r="E782" t="s">
        <v>284</v>
      </c>
      <c r="F782" t="s">
        <v>355</v>
      </c>
      <c r="G782" t="s">
        <v>112</v>
      </c>
      <c r="H782" t="s">
        <v>104</v>
      </c>
      <c r="I782">
        <v>2022</v>
      </c>
      <c r="J782" t="s">
        <v>358</v>
      </c>
      <c r="K782" t="s">
        <v>106</v>
      </c>
      <c r="L782" t="s">
        <v>1100</v>
      </c>
      <c r="M782" t="s">
        <v>1133</v>
      </c>
      <c r="N782">
        <v>1</v>
      </c>
      <c r="O782">
        <v>2020</v>
      </c>
      <c r="P782">
        <v>27.952547937105681</v>
      </c>
      <c r="Q782">
        <v>0.83346015109483984</v>
      </c>
      <c r="R782" t="s">
        <v>289</v>
      </c>
      <c r="S782">
        <v>88.372750377742747</v>
      </c>
      <c r="T782" t="s">
        <v>290</v>
      </c>
      <c r="U782">
        <v>88.372750377742747</v>
      </c>
      <c r="V782">
        <v>27.952547937105681</v>
      </c>
      <c r="W782">
        <v>0.83346015109483984</v>
      </c>
      <c r="X782" t="s">
        <v>291</v>
      </c>
      <c r="Y782">
        <v>10</v>
      </c>
      <c r="Z782">
        <v>0.34401375729085998</v>
      </c>
      <c r="AA782">
        <v>1</v>
      </c>
    </row>
    <row r="783" spans="1:27" hidden="1" x14ac:dyDescent="0.25">
      <c r="A783" t="s">
        <v>98</v>
      </c>
      <c r="B783" t="s">
        <v>1024</v>
      </c>
      <c r="D783" t="s">
        <v>100</v>
      </c>
      <c r="E783" t="s">
        <v>284</v>
      </c>
      <c r="F783" t="s">
        <v>360</v>
      </c>
      <c r="G783" t="s">
        <v>103</v>
      </c>
      <c r="H783" t="s">
        <v>104</v>
      </c>
      <c r="I783">
        <v>2022</v>
      </c>
      <c r="J783" t="s">
        <v>361</v>
      </c>
      <c r="K783" t="s">
        <v>106</v>
      </c>
      <c r="L783" t="s">
        <v>1100</v>
      </c>
      <c r="M783" t="s">
        <v>1134</v>
      </c>
      <c r="N783">
        <v>1</v>
      </c>
      <c r="O783">
        <v>2020</v>
      </c>
      <c r="P783">
        <v>30.743231458982891</v>
      </c>
      <c r="Q783">
        <v>0.75530083267302539</v>
      </c>
      <c r="R783" t="s">
        <v>289</v>
      </c>
      <c r="S783">
        <v>85.752844444444449</v>
      </c>
      <c r="T783" t="s">
        <v>290</v>
      </c>
      <c r="U783">
        <v>85.752844444444449</v>
      </c>
      <c r="V783">
        <v>30.743231458982891</v>
      </c>
      <c r="W783">
        <v>0.75530083267302539</v>
      </c>
      <c r="X783" t="s">
        <v>291</v>
      </c>
      <c r="Y783">
        <v>10</v>
      </c>
      <c r="Z783">
        <v>0.34401375729085998</v>
      </c>
      <c r="AA783">
        <v>1</v>
      </c>
    </row>
    <row r="784" spans="1:27" hidden="1" x14ac:dyDescent="0.25">
      <c r="A784" t="s">
        <v>98</v>
      </c>
      <c r="B784" t="s">
        <v>1024</v>
      </c>
      <c r="D784" t="s">
        <v>100</v>
      </c>
      <c r="E784" t="s">
        <v>284</v>
      </c>
      <c r="F784" t="s">
        <v>360</v>
      </c>
      <c r="G784" t="s">
        <v>112</v>
      </c>
      <c r="H784" t="s">
        <v>104</v>
      </c>
      <c r="I784">
        <v>2022</v>
      </c>
      <c r="J784" t="s">
        <v>363</v>
      </c>
      <c r="K784" t="s">
        <v>106</v>
      </c>
      <c r="L784" t="s">
        <v>1100</v>
      </c>
      <c r="M784" t="s">
        <v>1135</v>
      </c>
      <c r="N784">
        <v>1</v>
      </c>
      <c r="O784">
        <v>2020</v>
      </c>
      <c r="P784">
        <v>30.995290460986698</v>
      </c>
      <c r="Q784">
        <v>1.07624732944957</v>
      </c>
      <c r="R784" t="s">
        <v>289</v>
      </c>
      <c r="S784">
        <v>91.18482905982907</v>
      </c>
      <c r="T784" t="s">
        <v>290</v>
      </c>
      <c r="U784">
        <v>91.18482905982907</v>
      </c>
      <c r="V784">
        <v>30.995290460986698</v>
      </c>
      <c r="W784">
        <v>1.07624732944957</v>
      </c>
      <c r="X784" t="s">
        <v>291</v>
      </c>
      <c r="Y784">
        <v>10</v>
      </c>
      <c r="Z784">
        <v>0.34401375729085998</v>
      </c>
      <c r="AA784">
        <v>1</v>
      </c>
    </row>
    <row r="785" spans="1:27" hidden="1" x14ac:dyDescent="0.25">
      <c r="A785" t="s">
        <v>98</v>
      </c>
      <c r="B785" t="s">
        <v>1024</v>
      </c>
      <c r="D785" t="s">
        <v>100</v>
      </c>
      <c r="E785" t="s">
        <v>284</v>
      </c>
      <c r="F785" t="s">
        <v>365</v>
      </c>
      <c r="G785" t="s">
        <v>103</v>
      </c>
      <c r="H785" t="s">
        <v>104</v>
      </c>
      <c r="I785">
        <v>2022</v>
      </c>
      <c r="J785" t="s">
        <v>366</v>
      </c>
      <c r="K785" t="s">
        <v>106</v>
      </c>
      <c r="L785" t="s">
        <v>1100</v>
      </c>
      <c r="M785" t="s">
        <v>1136</v>
      </c>
      <c r="N785">
        <v>1</v>
      </c>
      <c r="O785">
        <v>2020</v>
      </c>
      <c r="P785">
        <v>34.581332645158973</v>
      </c>
      <c r="Q785">
        <v>1.926881708285624</v>
      </c>
      <c r="R785" t="s">
        <v>289</v>
      </c>
      <c r="S785">
        <v>115.45533602622641</v>
      </c>
      <c r="T785" t="s">
        <v>290</v>
      </c>
      <c r="U785">
        <v>115.45533602622641</v>
      </c>
      <c r="V785">
        <v>34.581332645158973</v>
      </c>
      <c r="W785">
        <v>1.926881708285624</v>
      </c>
      <c r="X785" t="s">
        <v>291</v>
      </c>
      <c r="Y785">
        <v>10</v>
      </c>
      <c r="Z785">
        <v>0.34401375729085998</v>
      </c>
      <c r="AA785">
        <v>1</v>
      </c>
    </row>
    <row r="786" spans="1:27" hidden="1" x14ac:dyDescent="0.25">
      <c r="A786" t="s">
        <v>98</v>
      </c>
      <c r="B786" t="s">
        <v>1024</v>
      </c>
      <c r="D786" t="s">
        <v>100</v>
      </c>
      <c r="E786" t="s">
        <v>284</v>
      </c>
      <c r="F786" t="s">
        <v>365</v>
      </c>
      <c r="G786" t="s">
        <v>112</v>
      </c>
      <c r="H786" t="s">
        <v>104</v>
      </c>
      <c r="I786">
        <v>2022</v>
      </c>
      <c r="J786" t="s">
        <v>368</v>
      </c>
      <c r="K786" t="s">
        <v>106</v>
      </c>
      <c r="L786" t="s">
        <v>1100</v>
      </c>
      <c r="M786" t="s">
        <v>1137</v>
      </c>
      <c r="N786">
        <v>1</v>
      </c>
      <c r="O786">
        <v>2020</v>
      </c>
      <c r="P786">
        <v>44.653862333829821</v>
      </c>
      <c r="Q786">
        <v>2.4693086643180591</v>
      </c>
      <c r="R786" t="s">
        <v>289</v>
      </c>
      <c r="S786">
        <v>130.6177318295739</v>
      </c>
      <c r="T786" t="s">
        <v>290</v>
      </c>
      <c r="U786">
        <v>130.6177318295739</v>
      </c>
      <c r="V786">
        <v>44.653862333829821</v>
      </c>
      <c r="W786">
        <v>2.4693086643180591</v>
      </c>
      <c r="X786" t="s">
        <v>291</v>
      </c>
      <c r="Y786">
        <v>10</v>
      </c>
      <c r="Z786">
        <v>0.34401375729085998</v>
      </c>
      <c r="AA786">
        <v>1</v>
      </c>
    </row>
    <row r="787" spans="1:27" hidden="1" x14ac:dyDescent="0.25">
      <c r="A787" t="s">
        <v>98</v>
      </c>
      <c r="B787" t="s">
        <v>1024</v>
      </c>
      <c r="D787" t="s">
        <v>100</v>
      </c>
      <c r="E787" t="s">
        <v>284</v>
      </c>
      <c r="F787" t="s">
        <v>365</v>
      </c>
      <c r="G787" t="s">
        <v>103</v>
      </c>
      <c r="H787" t="s">
        <v>104</v>
      </c>
      <c r="I787">
        <v>2023</v>
      </c>
      <c r="J787" t="s">
        <v>370</v>
      </c>
      <c r="K787" t="s">
        <v>106</v>
      </c>
      <c r="L787" t="s">
        <v>1100</v>
      </c>
      <c r="M787" t="s">
        <v>1138</v>
      </c>
      <c r="N787">
        <v>1</v>
      </c>
      <c r="O787">
        <v>2023</v>
      </c>
      <c r="P787">
        <v>34.353918735727063</v>
      </c>
      <c r="Q787">
        <v>1.893397965391721</v>
      </c>
      <c r="R787" t="s">
        <v>289</v>
      </c>
      <c r="S787">
        <v>115.45533602622641</v>
      </c>
      <c r="T787" t="s">
        <v>290</v>
      </c>
      <c r="U787">
        <v>115.45533602622641</v>
      </c>
      <c r="V787">
        <v>34.353918735727063</v>
      </c>
      <c r="W787">
        <v>1.893397965391721</v>
      </c>
      <c r="X787" t="s">
        <v>291</v>
      </c>
      <c r="Y787">
        <v>10</v>
      </c>
      <c r="Z787">
        <v>0.34401375729085998</v>
      </c>
      <c r="AA787">
        <v>1</v>
      </c>
    </row>
    <row r="788" spans="1:27" hidden="1" x14ac:dyDescent="0.25">
      <c r="A788" t="s">
        <v>98</v>
      </c>
      <c r="B788" t="s">
        <v>1024</v>
      </c>
      <c r="D788" t="s">
        <v>100</v>
      </c>
      <c r="E788" t="s">
        <v>284</v>
      </c>
      <c r="F788" t="s">
        <v>365</v>
      </c>
      <c r="G788" t="s">
        <v>112</v>
      </c>
      <c r="H788" t="s">
        <v>104</v>
      </c>
      <c r="I788">
        <v>2023</v>
      </c>
      <c r="J788" t="s">
        <v>372</v>
      </c>
      <c r="K788" t="s">
        <v>106</v>
      </c>
      <c r="L788" t="s">
        <v>1100</v>
      </c>
      <c r="M788" t="s">
        <v>1139</v>
      </c>
      <c r="N788">
        <v>1</v>
      </c>
      <c r="O788">
        <v>2023</v>
      </c>
      <c r="P788">
        <v>43.733464606512037</v>
      </c>
      <c r="Q788">
        <v>2.4042644647868401</v>
      </c>
      <c r="R788" t="s">
        <v>289</v>
      </c>
      <c r="S788">
        <v>130.6177318295739</v>
      </c>
      <c r="T788" t="s">
        <v>290</v>
      </c>
      <c r="U788">
        <v>130.6177318295739</v>
      </c>
      <c r="V788">
        <v>43.733464606512037</v>
      </c>
      <c r="W788">
        <v>2.4042644647868401</v>
      </c>
      <c r="X788" t="s">
        <v>291</v>
      </c>
      <c r="Y788">
        <v>10</v>
      </c>
      <c r="Z788">
        <v>0.34401375729085998</v>
      </c>
      <c r="AA788">
        <v>1</v>
      </c>
    </row>
    <row r="789" spans="1:27" hidden="1" x14ac:dyDescent="0.25">
      <c r="A789" t="s">
        <v>98</v>
      </c>
      <c r="B789" t="s">
        <v>1024</v>
      </c>
      <c r="D789" t="s">
        <v>100</v>
      </c>
      <c r="E789" t="s">
        <v>284</v>
      </c>
      <c r="F789" t="s">
        <v>365</v>
      </c>
      <c r="G789" t="s">
        <v>103</v>
      </c>
      <c r="H789" t="s">
        <v>104</v>
      </c>
      <c r="I789">
        <v>2024</v>
      </c>
      <c r="J789" t="s">
        <v>374</v>
      </c>
      <c r="K789" t="s">
        <v>106</v>
      </c>
      <c r="L789" t="s">
        <v>1100</v>
      </c>
      <c r="M789" t="s">
        <v>1140</v>
      </c>
      <c r="N789">
        <v>1</v>
      </c>
      <c r="O789">
        <v>2024</v>
      </c>
      <c r="P789">
        <v>34.353918735727063</v>
      </c>
      <c r="Q789">
        <v>1.893397965391721</v>
      </c>
      <c r="R789" t="s">
        <v>289</v>
      </c>
      <c r="S789">
        <v>115.45533602622641</v>
      </c>
      <c r="T789" t="s">
        <v>290</v>
      </c>
      <c r="U789">
        <v>115.45533602622641</v>
      </c>
      <c r="V789">
        <v>34.353918735727063</v>
      </c>
      <c r="W789">
        <v>1.893397965391721</v>
      </c>
      <c r="X789" t="s">
        <v>291</v>
      </c>
      <c r="Y789">
        <v>10</v>
      </c>
      <c r="Z789">
        <v>0.34401375729085998</v>
      </c>
      <c r="AA789">
        <v>1</v>
      </c>
    </row>
    <row r="790" spans="1:27" hidden="1" x14ac:dyDescent="0.25">
      <c r="A790" t="s">
        <v>98</v>
      </c>
      <c r="B790" t="s">
        <v>1024</v>
      </c>
      <c r="D790" t="s">
        <v>100</v>
      </c>
      <c r="E790" t="s">
        <v>284</v>
      </c>
      <c r="F790" t="s">
        <v>365</v>
      </c>
      <c r="G790" t="s">
        <v>112</v>
      </c>
      <c r="H790" t="s">
        <v>104</v>
      </c>
      <c r="I790">
        <v>2024</v>
      </c>
      <c r="J790" t="s">
        <v>376</v>
      </c>
      <c r="K790" t="s">
        <v>106</v>
      </c>
      <c r="L790" t="s">
        <v>1100</v>
      </c>
      <c r="M790" t="s">
        <v>1141</v>
      </c>
      <c r="N790">
        <v>1</v>
      </c>
      <c r="O790">
        <v>2024</v>
      </c>
      <c r="P790">
        <v>43.733464606512037</v>
      </c>
      <c r="Q790">
        <v>2.4042644647868401</v>
      </c>
      <c r="R790" t="s">
        <v>289</v>
      </c>
      <c r="S790">
        <v>130.6177318295739</v>
      </c>
      <c r="T790" t="s">
        <v>290</v>
      </c>
      <c r="U790">
        <v>130.6177318295739</v>
      </c>
      <c r="V790">
        <v>43.733464606512037</v>
      </c>
      <c r="W790">
        <v>2.4042644647868401</v>
      </c>
      <c r="X790" t="s">
        <v>291</v>
      </c>
      <c r="Y790">
        <v>10</v>
      </c>
      <c r="Z790">
        <v>0.34401375729085998</v>
      </c>
      <c r="AA790">
        <v>1</v>
      </c>
    </row>
    <row r="791" spans="1:27" hidden="1" x14ac:dyDescent="0.25">
      <c r="A791" t="s">
        <v>98</v>
      </c>
      <c r="B791" t="s">
        <v>1024</v>
      </c>
      <c r="D791" t="s">
        <v>100</v>
      </c>
      <c r="E791" t="s">
        <v>284</v>
      </c>
      <c r="F791" t="s">
        <v>365</v>
      </c>
      <c r="G791" t="s">
        <v>103</v>
      </c>
      <c r="H791" t="s">
        <v>104</v>
      </c>
      <c r="I791">
        <v>2025</v>
      </c>
      <c r="J791" t="s">
        <v>378</v>
      </c>
      <c r="K791" t="s">
        <v>106</v>
      </c>
      <c r="L791" t="s">
        <v>1100</v>
      </c>
      <c r="M791" t="s">
        <v>1142</v>
      </c>
      <c r="N791">
        <v>1</v>
      </c>
      <c r="O791">
        <v>2025</v>
      </c>
      <c r="P791">
        <v>34.353918735727063</v>
      </c>
      <c r="Q791">
        <v>1.893397965391721</v>
      </c>
      <c r="R791" t="s">
        <v>289</v>
      </c>
      <c r="S791">
        <v>115.45533602622641</v>
      </c>
      <c r="T791" t="s">
        <v>290</v>
      </c>
      <c r="U791">
        <v>115.45533602622641</v>
      </c>
      <c r="V791">
        <v>34.353918735727063</v>
      </c>
      <c r="W791">
        <v>1.893397965391721</v>
      </c>
      <c r="X791" t="s">
        <v>291</v>
      </c>
      <c r="Y791">
        <v>10</v>
      </c>
      <c r="Z791">
        <v>0.34401375729085998</v>
      </c>
      <c r="AA791">
        <v>1</v>
      </c>
    </row>
    <row r="792" spans="1:27" hidden="1" x14ac:dyDescent="0.25">
      <c r="A792" t="s">
        <v>98</v>
      </c>
      <c r="B792" t="s">
        <v>1024</v>
      </c>
      <c r="D792" t="s">
        <v>100</v>
      </c>
      <c r="E792" t="s">
        <v>284</v>
      </c>
      <c r="F792" t="s">
        <v>365</v>
      </c>
      <c r="G792" t="s">
        <v>112</v>
      </c>
      <c r="H792" t="s">
        <v>104</v>
      </c>
      <c r="I792">
        <v>2025</v>
      </c>
      <c r="J792" t="s">
        <v>380</v>
      </c>
      <c r="K792" t="s">
        <v>106</v>
      </c>
      <c r="L792" t="s">
        <v>1100</v>
      </c>
      <c r="M792" t="s">
        <v>1143</v>
      </c>
      <c r="N792">
        <v>1</v>
      </c>
      <c r="O792">
        <v>2025</v>
      </c>
      <c r="P792">
        <v>43.733464606512037</v>
      </c>
      <c r="Q792">
        <v>2.4042644647868401</v>
      </c>
      <c r="R792" t="s">
        <v>289</v>
      </c>
      <c r="S792">
        <v>130.6177318295739</v>
      </c>
      <c r="T792" t="s">
        <v>290</v>
      </c>
      <c r="U792">
        <v>130.6177318295739</v>
      </c>
      <c r="V792">
        <v>43.733464606512037</v>
      </c>
      <c r="W792">
        <v>2.4042644647868401</v>
      </c>
      <c r="X792" t="s">
        <v>291</v>
      </c>
      <c r="Y792">
        <v>10</v>
      </c>
      <c r="Z792">
        <v>0.34401375729085998</v>
      </c>
      <c r="AA792">
        <v>1</v>
      </c>
    </row>
    <row r="793" spans="1:27" hidden="1" x14ac:dyDescent="0.25">
      <c r="A793" t="s">
        <v>98</v>
      </c>
      <c r="B793" t="s">
        <v>1024</v>
      </c>
      <c r="D793" t="s">
        <v>100</v>
      </c>
      <c r="E793" t="s">
        <v>284</v>
      </c>
      <c r="F793" t="s">
        <v>365</v>
      </c>
      <c r="G793" t="s">
        <v>103</v>
      </c>
      <c r="H793" t="s">
        <v>104</v>
      </c>
      <c r="I793">
        <v>2026</v>
      </c>
      <c r="J793" t="s">
        <v>382</v>
      </c>
      <c r="K793" t="s">
        <v>106</v>
      </c>
      <c r="L793" t="s">
        <v>1100</v>
      </c>
      <c r="M793" t="s">
        <v>1144</v>
      </c>
      <c r="N793">
        <v>1</v>
      </c>
      <c r="O793">
        <v>2026</v>
      </c>
      <c r="P793">
        <v>34.353918735727063</v>
      </c>
      <c r="Q793">
        <v>1.893397965391721</v>
      </c>
      <c r="R793" t="s">
        <v>289</v>
      </c>
      <c r="S793">
        <v>115.45533602622641</v>
      </c>
      <c r="T793" t="s">
        <v>290</v>
      </c>
      <c r="U793">
        <v>115.45533602622641</v>
      </c>
      <c r="V793">
        <v>34.353918735727063</v>
      </c>
      <c r="W793">
        <v>1.893397965391721</v>
      </c>
      <c r="X793" t="s">
        <v>291</v>
      </c>
      <c r="Y793">
        <v>10</v>
      </c>
      <c r="Z793">
        <v>0.34401375729085998</v>
      </c>
      <c r="AA793">
        <v>1</v>
      </c>
    </row>
    <row r="794" spans="1:27" hidden="1" x14ac:dyDescent="0.25">
      <c r="A794" t="s">
        <v>98</v>
      </c>
      <c r="B794" t="s">
        <v>1024</v>
      </c>
      <c r="D794" t="s">
        <v>100</v>
      </c>
      <c r="E794" t="s">
        <v>284</v>
      </c>
      <c r="F794" t="s">
        <v>365</v>
      </c>
      <c r="G794" t="s">
        <v>112</v>
      </c>
      <c r="H794" t="s">
        <v>104</v>
      </c>
      <c r="I794">
        <v>2026</v>
      </c>
      <c r="J794" t="s">
        <v>384</v>
      </c>
      <c r="K794" t="s">
        <v>106</v>
      </c>
      <c r="L794" t="s">
        <v>1100</v>
      </c>
      <c r="M794" t="s">
        <v>1145</v>
      </c>
      <c r="N794">
        <v>1</v>
      </c>
      <c r="O794">
        <v>2026</v>
      </c>
      <c r="P794">
        <v>43.733464606512037</v>
      </c>
      <c r="Q794">
        <v>2.4042644647868401</v>
      </c>
      <c r="R794" t="s">
        <v>289</v>
      </c>
      <c r="S794">
        <v>130.6177318295739</v>
      </c>
      <c r="T794" t="s">
        <v>290</v>
      </c>
      <c r="U794">
        <v>130.6177318295739</v>
      </c>
      <c r="V794">
        <v>43.733464606512037</v>
      </c>
      <c r="W794">
        <v>2.4042644647868401</v>
      </c>
      <c r="X794" t="s">
        <v>291</v>
      </c>
      <c r="Y794">
        <v>10</v>
      </c>
      <c r="Z794">
        <v>0.34401375729085998</v>
      </c>
      <c r="AA794">
        <v>1</v>
      </c>
    </row>
    <row r="795" spans="1:27" hidden="1" x14ac:dyDescent="0.25">
      <c r="A795" t="s">
        <v>98</v>
      </c>
      <c r="B795" t="s">
        <v>1024</v>
      </c>
      <c r="D795" t="s">
        <v>100</v>
      </c>
      <c r="E795" t="s">
        <v>284</v>
      </c>
      <c r="F795" t="s">
        <v>365</v>
      </c>
      <c r="G795" t="s">
        <v>103</v>
      </c>
      <c r="H795" t="s">
        <v>104</v>
      </c>
      <c r="I795">
        <v>2027</v>
      </c>
      <c r="J795" t="s">
        <v>386</v>
      </c>
      <c r="K795" t="s">
        <v>106</v>
      </c>
      <c r="L795" t="s">
        <v>1100</v>
      </c>
      <c r="M795" t="s">
        <v>1146</v>
      </c>
      <c r="N795">
        <v>1</v>
      </c>
      <c r="O795">
        <v>2027</v>
      </c>
      <c r="P795">
        <v>34.353918735727063</v>
      </c>
      <c r="Q795">
        <v>1.893397965391721</v>
      </c>
      <c r="R795" t="s">
        <v>289</v>
      </c>
      <c r="S795">
        <v>115.45533602622641</v>
      </c>
      <c r="T795" t="s">
        <v>290</v>
      </c>
      <c r="U795">
        <v>115.45533602622641</v>
      </c>
      <c r="V795">
        <v>34.353918735727063</v>
      </c>
      <c r="W795">
        <v>1.893397965391721</v>
      </c>
      <c r="X795" t="s">
        <v>291</v>
      </c>
      <c r="Y795">
        <v>10</v>
      </c>
      <c r="Z795">
        <v>0.34401375729085998</v>
      </c>
      <c r="AA795">
        <v>1</v>
      </c>
    </row>
    <row r="796" spans="1:27" hidden="1" x14ac:dyDescent="0.25">
      <c r="A796" t="s">
        <v>98</v>
      </c>
      <c r="B796" t="s">
        <v>1024</v>
      </c>
      <c r="D796" t="s">
        <v>100</v>
      </c>
      <c r="E796" t="s">
        <v>284</v>
      </c>
      <c r="F796" t="s">
        <v>365</v>
      </c>
      <c r="G796" t="s">
        <v>112</v>
      </c>
      <c r="H796" t="s">
        <v>104</v>
      </c>
      <c r="I796">
        <v>2027</v>
      </c>
      <c r="J796" t="s">
        <v>388</v>
      </c>
      <c r="K796" t="s">
        <v>106</v>
      </c>
      <c r="L796" t="s">
        <v>1100</v>
      </c>
      <c r="M796" t="s">
        <v>1147</v>
      </c>
      <c r="N796">
        <v>1</v>
      </c>
      <c r="O796">
        <v>2027</v>
      </c>
      <c r="P796">
        <v>43.733464606512037</v>
      </c>
      <c r="Q796">
        <v>2.4042644647868401</v>
      </c>
      <c r="R796" t="s">
        <v>289</v>
      </c>
      <c r="S796">
        <v>130.6177318295739</v>
      </c>
      <c r="T796" t="s">
        <v>290</v>
      </c>
      <c r="U796">
        <v>130.6177318295739</v>
      </c>
      <c r="V796">
        <v>43.733464606512037</v>
      </c>
      <c r="W796">
        <v>2.4042644647868401</v>
      </c>
      <c r="X796" t="s">
        <v>291</v>
      </c>
      <c r="Y796">
        <v>10</v>
      </c>
      <c r="Z796">
        <v>0.34401375729085998</v>
      </c>
      <c r="AA796">
        <v>1</v>
      </c>
    </row>
    <row r="797" spans="1:27" hidden="1" x14ac:dyDescent="0.25">
      <c r="A797" t="s">
        <v>98</v>
      </c>
      <c r="B797" t="s">
        <v>1024</v>
      </c>
      <c r="D797" t="s">
        <v>100</v>
      </c>
      <c r="E797" t="s">
        <v>284</v>
      </c>
      <c r="F797" t="s">
        <v>365</v>
      </c>
      <c r="G797" t="s">
        <v>103</v>
      </c>
      <c r="H797" t="s">
        <v>104</v>
      </c>
      <c r="I797">
        <v>2028</v>
      </c>
      <c r="J797" t="s">
        <v>390</v>
      </c>
      <c r="K797" t="s">
        <v>106</v>
      </c>
      <c r="L797" t="s">
        <v>1100</v>
      </c>
      <c r="M797" t="s">
        <v>1148</v>
      </c>
      <c r="N797">
        <v>1</v>
      </c>
      <c r="O797">
        <v>2028</v>
      </c>
      <c r="P797">
        <v>34.353918735727063</v>
      </c>
      <c r="Q797">
        <v>1.893397965391721</v>
      </c>
      <c r="R797" t="s">
        <v>289</v>
      </c>
      <c r="S797">
        <v>115.45533602622641</v>
      </c>
      <c r="T797" t="s">
        <v>290</v>
      </c>
      <c r="U797">
        <v>115.45533602622641</v>
      </c>
      <c r="V797">
        <v>34.353918735727063</v>
      </c>
      <c r="W797">
        <v>1.893397965391721</v>
      </c>
      <c r="X797" t="s">
        <v>291</v>
      </c>
      <c r="Y797">
        <v>10</v>
      </c>
      <c r="Z797">
        <v>0.34401375729085998</v>
      </c>
      <c r="AA797">
        <v>1</v>
      </c>
    </row>
    <row r="798" spans="1:27" hidden="1" x14ac:dyDescent="0.25">
      <c r="A798" t="s">
        <v>98</v>
      </c>
      <c r="B798" t="s">
        <v>1024</v>
      </c>
      <c r="D798" t="s">
        <v>100</v>
      </c>
      <c r="E798" t="s">
        <v>284</v>
      </c>
      <c r="F798" t="s">
        <v>365</v>
      </c>
      <c r="G798" t="s">
        <v>112</v>
      </c>
      <c r="H798" t="s">
        <v>104</v>
      </c>
      <c r="I798">
        <v>2028</v>
      </c>
      <c r="J798" t="s">
        <v>392</v>
      </c>
      <c r="K798" t="s">
        <v>106</v>
      </c>
      <c r="L798" t="s">
        <v>1100</v>
      </c>
      <c r="M798" t="s">
        <v>1149</v>
      </c>
      <c r="N798">
        <v>1</v>
      </c>
      <c r="O798">
        <v>2028</v>
      </c>
      <c r="P798">
        <v>43.733464606512037</v>
      </c>
      <c r="Q798">
        <v>2.4042644647868401</v>
      </c>
      <c r="R798" t="s">
        <v>289</v>
      </c>
      <c r="S798">
        <v>130.6177318295739</v>
      </c>
      <c r="T798" t="s">
        <v>290</v>
      </c>
      <c r="U798">
        <v>130.6177318295739</v>
      </c>
      <c r="V798">
        <v>43.733464606512037</v>
      </c>
      <c r="W798">
        <v>2.4042644647868401</v>
      </c>
      <c r="X798" t="s">
        <v>291</v>
      </c>
      <c r="Y798">
        <v>10</v>
      </c>
      <c r="Z798">
        <v>0.34401375729085998</v>
      </c>
      <c r="AA798">
        <v>1</v>
      </c>
    </row>
    <row r="799" spans="1:27" hidden="1" x14ac:dyDescent="0.25">
      <c r="A799" t="s">
        <v>98</v>
      </c>
      <c r="B799" t="s">
        <v>1024</v>
      </c>
      <c r="D799" t="s">
        <v>100</v>
      </c>
      <c r="E799" t="s">
        <v>284</v>
      </c>
      <c r="F799" t="s">
        <v>365</v>
      </c>
      <c r="G799" t="s">
        <v>103</v>
      </c>
      <c r="H799" t="s">
        <v>104</v>
      </c>
      <c r="I799">
        <v>2029</v>
      </c>
      <c r="J799" t="s">
        <v>394</v>
      </c>
      <c r="K799" t="s">
        <v>106</v>
      </c>
      <c r="L799" t="s">
        <v>1100</v>
      </c>
      <c r="M799" t="s">
        <v>1150</v>
      </c>
      <c r="N799">
        <v>1</v>
      </c>
      <c r="O799">
        <v>2029</v>
      </c>
      <c r="P799">
        <v>34.353918735727063</v>
      </c>
      <c r="Q799">
        <v>1.893397965391721</v>
      </c>
      <c r="R799" t="s">
        <v>289</v>
      </c>
      <c r="S799">
        <v>115.45533602622641</v>
      </c>
      <c r="T799" t="s">
        <v>290</v>
      </c>
      <c r="U799">
        <v>115.45533602622641</v>
      </c>
      <c r="V799">
        <v>34.353918735727063</v>
      </c>
      <c r="W799">
        <v>1.893397965391721</v>
      </c>
      <c r="X799" t="s">
        <v>291</v>
      </c>
      <c r="Y799">
        <v>10</v>
      </c>
      <c r="Z799">
        <v>0.34401375729085998</v>
      </c>
      <c r="AA799">
        <v>1</v>
      </c>
    </row>
    <row r="800" spans="1:27" hidden="1" x14ac:dyDescent="0.25">
      <c r="A800" t="s">
        <v>98</v>
      </c>
      <c r="B800" t="s">
        <v>1024</v>
      </c>
      <c r="D800" t="s">
        <v>100</v>
      </c>
      <c r="E800" t="s">
        <v>284</v>
      </c>
      <c r="F800" t="s">
        <v>365</v>
      </c>
      <c r="G800" t="s">
        <v>112</v>
      </c>
      <c r="H800" t="s">
        <v>104</v>
      </c>
      <c r="I800">
        <v>2029</v>
      </c>
      <c r="J800" t="s">
        <v>396</v>
      </c>
      <c r="K800" t="s">
        <v>106</v>
      </c>
      <c r="L800" t="s">
        <v>1100</v>
      </c>
      <c r="M800" t="s">
        <v>1151</v>
      </c>
      <c r="N800">
        <v>1</v>
      </c>
      <c r="O800">
        <v>2029</v>
      </c>
      <c r="P800">
        <v>43.733464606512037</v>
      </c>
      <c r="Q800">
        <v>2.4042644647868401</v>
      </c>
      <c r="R800" t="s">
        <v>289</v>
      </c>
      <c r="S800">
        <v>130.6177318295739</v>
      </c>
      <c r="T800" t="s">
        <v>290</v>
      </c>
      <c r="U800">
        <v>130.6177318295739</v>
      </c>
      <c r="V800">
        <v>43.733464606512037</v>
      </c>
      <c r="W800">
        <v>2.4042644647868401</v>
      </c>
      <c r="X800" t="s">
        <v>291</v>
      </c>
      <c r="Y800">
        <v>10</v>
      </c>
      <c r="Z800">
        <v>0.34401375729085998</v>
      </c>
      <c r="AA800">
        <v>1</v>
      </c>
    </row>
    <row r="801" spans="1:27" hidden="1" x14ac:dyDescent="0.25">
      <c r="A801" t="s">
        <v>98</v>
      </c>
      <c r="B801" t="s">
        <v>1024</v>
      </c>
      <c r="D801" t="s">
        <v>100</v>
      </c>
      <c r="E801" t="s">
        <v>284</v>
      </c>
      <c r="F801" t="s">
        <v>355</v>
      </c>
      <c r="G801" t="s">
        <v>103</v>
      </c>
      <c r="H801" t="s">
        <v>104</v>
      </c>
      <c r="I801">
        <v>2030</v>
      </c>
      <c r="J801" t="s">
        <v>398</v>
      </c>
      <c r="K801" t="s">
        <v>106</v>
      </c>
      <c r="L801" t="s">
        <v>1100</v>
      </c>
      <c r="M801" t="s">
        <v>1152</v>
      </c>
      <c r="N801">
        <v>1</v>
      </c>
      <c r="O801">
        <v>2030</v>
      </c>
      <c r="P801">
        <v>22.026606087295281</v>
      </c>
      <c r="Q801">
        <v>0.67594869632979349</v>
      </c>
      <c r="R801" t="s">
        <v>289</v>
      </c>
      <c r="S801">
        <v>87.209325187237212</v>
      </c>
      <c r="T801" t="s">
        <v>290</v>
      </c>
      <c r="U801">
        <v>87.209325187237212</v>
      </c>
      <c r="V801">
        <v>22.026606087295281</v>
      </c>
      <c r="W801">
        <v>0.67594869632979349</v>
      </c>
      <c r="X801" t="s">
        <v>291</v>
      </c>
      <c r="Y801">
        <v>10</v>
      </c>
      <c r="Z801">
        <v>0.34401375729085998</v>
      </c>
      <c r="AA801">
        <v>1</v>
      </c>
    </row>
    <row r="802" spans="1:27" hidden="1" x14ac:dyDescent="0.25">
      <c r="A802" t="s">
        <v>98</v>
      </c>
      <c r="B802" t="s">
        <v>1024</v>
      </c>
      <c r="D802" t="s">
        <v>100</v>
      </c>
      <c r="E802" t="s">
        <v>284</v>
      </c>
      <c r="F802" t="s">
        <v>355</v>
      </c>
      <c r="G802" t="s">
        <v>112</v>
      </c>
      <c r="H802" t="s">
        <v>104</v>
      </c>
      <c r="I802">
        <v>2030</v>
      </c>
      <c r="J802" t="s">
        <v>400</v>
      </c>
      <c r="K802" t="s">
        <v>106</v>
      </c>
      <c r="L802" t="s">
        <v>1100</v>
      </c>
      <c r="M802" t="s">
        <v>1153</v>
      </c>
      <c r="N802">
        <v>1</v>
      </c>
      <c r="O802">
        <v>2030</v>
      </c>
      <c r="P802">
        <v>23.051216439564651</v>
      </c>
      <c r="Q802">
        <v>0.88782640486853737</v>
      </c>
      <c r="R802" t="s">
        <v>289</v>
      </c>
      <c r="S802">
        <v>87.494679062376832</v>
      </c>
      <c r="T802" t="s">
        <v>290</v>
      </c>
      <c r="U802">
        <v>87.494679062376832</v>
      </c>
      <c r="V802">
        <v>23.051216439564651</v>
      </c>
      <c r="W802">
        <v>0.88782640486853737</v>
      </c>
      <c r="X802" t="s">
        <v>291</v>
      </c>
      <c r="Y802">
        <v>10</v>
      </c>
      <c r="Z802">
        <v>0.34401375729085998</v>
      </c>
      <c r="AA802">
        <v>1</v>
      </c>
    </row>
    <row r="803" spans="1:27" hidden="1" x14ac:dyDescent="0.25">
      <c r="A803" t="s">
        <v>98</v>
      </c>
      <c r="B803" t="s">
        <v>1024</v>
      </c>
      <c r="D803" t="s">
        <v>100</v>
      </c>
      <c r="E803" t="s">
        <v>284</v>
      </c>
      <c r="F803" t="s">
        <v>360</v>
      </c>
      <c r="G803" t="s">
        <v>103</v>
      </c>
      <c r="H803" t="s">
        <v>104</v>
      </c>
      <c r="I803">
        <v>2030</v>
      </c>
      <c r="J803" t="s">
        <v>402</v>
      </c>
      <c r="K803" t="s">
        <v>106</v>
      </c>
      <c r="L803" t="s">
        <v>1100</v>
      </c>
      <c r="M803" t="s">
        <v>1154</v>
      </c>
      <c r="N803">
        <v>1</v>
      </c>
      <c r="O803">
        <v>2030</v>
      </c>
      <c r="P803">
        <v>32.03338343675982</v>
      </c>
      <c r="Q803">
        <v>0.74367453538487105</v>
      </c>
      <c r="R803" t="s">
        <v>289</v>
      </c>
      <c r="S803">
        <v>80.816288888888892</v>
      </c>
      <c r="T803" t="s">
        <v>290</v>
      </c>
      <c r="U803">
        <v>80.816288888888892</v>
      </c>
      <c r="V803">
        <v>32.03338343675982</v>
      </c>
      <c r="W803">
        <v>0.74367453538487105</v>
      </c>
      <c r="X803" t="s">
        <v>291</v>
      </c>
      <c r="Y803">
        <v>10</v>
      </c>
      <c r="Z803">
        <v>0.34401375729085998</v>
      </c>
      <c r="AA803">
        <v>1</v>
      </c>
    </row>
    <row r="804" spans="1:27" hidden="1" x14ac:dyDescent="0.25">
      <c r="A804" t="s">
        <v>98</v>
      </c>
      <c r="B804" t="s">
        <v>1024</v>
      </c>
      <c r="D804" t="s">
        <v>100</v>
      </c>
      <c r="E804" t="s">
        <v>284</v>
      </c>
      <c r="F804" t="s">
        <v>360</v>
      </c>
      <c r="G804" t="s">
        <v>112</v>
      </c>
      <c r="H804" t="s">
        <v>104</v>
      </c>
      <c r="I804">
        <v>2030</v>
      </c>
      <c r="J804" t="s">
        <v>404</v>
      </c>
      <c r="K804" t="s">
        <v>106</v>
      </c>
      <c r="L804" t="s">
        <v>1100</v>
      </c>
      <c r="M804" t="s">
        <v>1155</v>
      </c>
      <c r="N804">
        <v>1</v>
      </c>
      <c r="O804">
        <v>2030</v>
      </c>
      <c r="P804">
        <v>30.04097222030375</v>
      </c>
      <c r="Q804">
        <v>1.0503155304453009</v>
      </c>
      <c r="R804" t="s">
        <v>289</v>
      </c>
      <c r="S804">
        <v>90.329273504273502</v>
      </c>
      <c r="T804" t="s">
        <v>290</v>
      </c>
      <c r="U804">
        <v>90.329273504273502</v>
      </c>
      <c r="V804">
        <v>30.04097222030375</v>
      </c>
      <c r="W804">
        <v>1.0503155304453009</v>
      </c>
      <c r="X804" t="s">
        <v>291</v>
      </c>
      <c r="Y804">
        <v>10</v>
      </c>
      <c r="Z804">
        <v>0.34401375729085998</v>
      </c>
      <c r="AA804">
        <v>1</v>
      </c>
    </row>
    <row r="805" spans="1:27" hidden="1" x14ac:dyDescent="0.25">
      <c r="A805" t="s">
        <v>98</v>
      </c>
      <c r="B805" t="s">
        <v>1024</v>
      </c>
      <c r="D805" t="s">
        <v>100</v>
      </c>
      <c r="E805" t="s">
        <v>284</v>
      </c>
      <c r="F805" t="s">
        <v>365</v>
      </c>
      <c r="G805" t="s">
        <v>103</v>
      </c>
      <c r="H805" t="s">
        <v>104</v>
      </c>
      <c r="I805">
        <v>2030</v>
      </c>
      <c r="J805" t="s">
        <v>406</v>
      </c>
      <c r="K805" t="s">
        <v>106</v>
      </c>
      <c r="L805" t="s">
        <v>1100</v>
      </c>
      <c r="M805" t="s">
        <v>1156</v>
      </c>
      <c r="N805">
        <v>1</v>
      </c>
      <c r="O805">
        <v>2030</v>
      </c>
      <c r="P805">
        <v>23.710775767327672</v>
      </c>
      <c r="Q805">
        <v>1.668845649337886</v>
      </c>
      <c r="R805" t="s">
        <v>289</v>
      </c>
      <c r="S805">
        <v>154.72558108377279</v>
      </c>
      <c r="T805" t="s">
        <v>290</v>
      </c>
      <c r="U805">
        <v>154.72558108377279</v>
      </c>
      <c r="V805">
        <v>23.710775767327672</v>
      </c>
      <c r="W805">
        <v>1.668845649337886</v>
      </c>
      <c r="X805" t="s">
        <v>291</v>
      </c>
      <c r="Y805">
        <v>10</v>
      </c>
      <c r="Z805">
        <v>0.34401375729085998</v>
      </c>
      <c r="AA805">
        <v>1</v>
      </c>
    </row>
    <row r="806" spans="1:27" hidden="1" x14ac:dyDescent="0.25">
      <c r="A806" t="s">
        <v>98</v>
      </c>
      <c r="B806" t="s">
        <v>1024</v>
      </c>
      <c r="D806" t="s">
        <v>100</v>
      </c>
      <c r="E806" t="s">
        <v>284</v>
      </c>
      <c r="F806" t="s">
        <v>365</v>
      </c>
      <c r="G806" t="s">
        <v>112</v>
      </c>
      <c r="H806" t="s">
        <v>104</v>
      </c>
      <c r="I806">
        <v>2030</v>
      </c>
      <c r="J806" t="s">
        <v>408</v>
      </c>
      <c r="K806" t="s">
        <v>106</v>
      </c>
      <c r="L806" t="s">
        <v>1100</v>
      </c>
      <c r="M806" t="s">
        <v>1157</v>
      </c>
      <c r="N806">
        <v>1</v>
      </c>
      <c r="O806">
        <v>2030</v>
      </c>
      <c r="P806">
        <v>28.858905605402359</v>
      </c>
      <c r="Q806">
        <v>2.128664396371156</v>
      </c>
      <c r="R806" t="s">
        <v>289</v>
      </c>
      <c r="S806">
        <v>176.3746647164572</v>
      </c>
      <c r="T806" t="s">
        <v>290</v>
      </c>
      <c r="U806">
        <v>176.3746647164572</v>
      </c>
      <c r="V806">
        <v>28.858905605402359</v>
      </c>
      <c r="W806">
        <v>2.128664396371156</v>
      </c>
      <c r="X806" t="s">
        <v>291</v>
      </c>
      <c r="Y806">
        <v>10</v>
      </c>
      <c r="Z806">
        <v>0.34401375729085998</v>
      </c>
      <c r="AA806">
        <v>1</v>
      </c>
    </row>
    <row r="807" spans="1:27" hidden="1" x14ac:dyDescent="0.25">
      <c r="A807" t="s">
        <v>98</v>
      </c>
      <c r="B807" t="s">
        <v>1024</v>
      </c>
      <c r="D807" t="s">
        <v>100</v>
      </c>
      <c r="E807" t="s">
        <v>284</v>
      </c>
      <c r="F807" t="s">
        <v>355</v>
      </c>
      <c r="G807" t="s">
        <v>103</v>
      </c>
      <c r="H807" t="s">
        <v>104</v>
      </c>
      <c r="I807">
        <v>2040</v>
      </c>
      <c r="J807" t="s">
        <v>410</v>
      </c>
      <c r="K807" t="s">
        <v>106</v>
      </c>
      <c r="L807" t="s">
        <v>1100</v>
      </c>
      <c r="M807" t="s">
        <v>1158</v>
      </c>
      <c r="N807">
        <v>1</v>
      </c>
      <c r="O807">
        <v>2040</v>
      </c>
      <c r="P807">
        <v>22.159986853322259</v>
      </c>
      <c r="Q807">
        <v>0.64769049265200085</v>
      </c>
      <c r="R807" t="s">
        <v>289</v>
      </c>
      <c r="S807">
        <v>85.846844985289152</v>
      </c>
      <c r="T807" t="s">
        <v>290</v>
      </c>
      <c r="U807">
        <v>85.846844985289152</v>
      </c>
      <c r="V807">
        <v>22.159986853322259</v>
      </c>
      <c r="W807">
        <v>0.64769049265200085</v>
      </c>
      <c r="X807" t="s">
        <v>291</v>
      </c>
      <c r="Y807">
        <v>10</v>
      </c>
      <c r="Z807">
        <v>0.34401375729085998</v>
      </c>
      <c r="AA807">
        <v>1</v>
      </c>
    </row>
    <row r="808" spans="1:27" hidden="1" x14ac:dyDescent="0.25">
      <c r="A808" t="s">
        <v>98</v>
      </c>
      <c r="B808" t="s">
        <v>1024</v>
      </c>
      <c r="D808" t="s">
        <v>100</v>
      </c>
      <c r="E808" t="s">
        <v>284</v>
      </c>
      <c r="F808" t="s">
        <v>355</v>
      </c>
      <c r="G808" t="s">
        <v>112</v>
      </c>
      <c r="H808" t="s">
        <v>104</v>
      </c>
      <c r="I808">
        <v>2040</v>
      </c>
      <c r="J808" t="s">
        <v>412</v>
      </c>
      <c r="K808" t="s">
        <v>106</v>
      </c>
      <c r="L808" t="s">
        <v>1100</v>
      </c>
      <c r="M808" t="s">
        <v>1159</v>
      </c>
      <c r="N808">
        <v>1</v>
      </c>
      <c r="O808">
        <v>2040</v>
      </c>
      <c r="P808">
        <v>22.287209700822071</v>
      </c>
      <c r="Q808">
        <v>0.78348370867951755</v>
      </c>
      <c r="R808" t="s">
        <v>289</v>
      </c>
      <c r="S808">
        <v>88.372750377742747</v>
      </c>
      <c r="T808" t="s">
        <v>290</v>
      </c>
      <c r="U808">
        <v>88.372750377742747</v>
      </c>
      <c r="V808">
        <v>22.287209700822071</v>
      </c>
      <c r="W808">
        <v>0.78348370867951755</v>
      </c>
      <c r="X808" t="s">
        <v>291</v>
      </c>
      <c r="Y808">
        <v>10</v>
      </c>
      <c r="Z808">
        <v>0.34401375729085998</v>
      </c>
      <c r="AA808">
        <v>1</v>
      </c>
    </row>
    <row r="809" spans="1:27" hidden="1" x14ac:dyDescent="0.25">
      <c r="A809" t="s">
        <v>98</v>
      </c>
      <c r="B809" t="s">
        <v>1024</v>
      </c>
      <c r="D809" t="s">
        <v>100</v>
      </c>
      <c r="E809" t="s">
        <v>284</v>
      </c>
      <c r="F809" t="s">
        <v>360</v>
      </c>
      <c r="G809" t="s">
        <v>103</v>
      </c>
      <c r="H809" t="s">
        <v>104</v>
      </c>
      <c r="I809">
        <v>2040</v>
      </c>
      <c r="J809" t="s">
        <v>414</v>
      </c>
      <c r="K809" t="s">
        <v>106</v>
      </c>
      <c r="L809" t="s">
        <v>1100</v>
      </c>
      <c r="M809" t="s">
        <v>1160</v>
      </c>
      <c r="N809">
        <v>1</v>
      </c>
      <c r="O809">
        <v>2040</v>
      </c>
      <c r="P809">
        <v>28.721945226708339</v>
      </c>
      <c r="Q809">
        <v>0.72978219131721256</v>
      </c>
      <c r="R809" t="s">
        <v>289</v>
      </c>
      <c r="S809">
        <v>80.816288888888892</v>
      </c>
      <c r="T809" t="s">
        <v>290</v>
      </c>
      <c r="U809">
        <v>80.816288888888892</v>
      </c>
      <c r="V809">
        <v>28.721945226708339</v>
      </c>
      <c r="W809">
        <v>0.72978219131721256</v>
      </c>
      <c r="X809" t="s">
        <v>291</v>
      </c>
      <c r="Y809">
        <v>10</v>
      </c>
      <c r="Z809">
        <v>0.34401375729085998</v>
      </c>
      <c r="AA809">
        <v>1</v>
      </c>
    </row>
    <row r="810" spans="1:27" hidden="1" x14ac:dyDescent="0.25">
      <c r="A810" t="s">
        <v>98</v>
      </c>
      <c r="B810" t="s">
        <v>1024</v>
      </c>
      <c r="D810" t="s">
        <v>100</v>
      </c>
      <c r="E810" t="s">
        <v>284</v>
      </c>
      <c r="F810" t="s">
        <v>360</v>
      </c>
      <c r="G810" t="s">
        <v>112</v>
      </c>
      <c r="H810" t="s">
        <v>104</v>
      </c>
      <c r="I810">
        <v>2040</v>
      </c>
      <c r="J810" t="s">
        <v>416</v>
      </c>
      <c r="K810" t="s">
        <v>106</v>
      </c>
      <c r="L810" t="s">
        <v>1100</v>
      </c>
      <c r="M810" t="s">
        <v>1161</v>
      </c>
      <c r="N810">
        <v>1</v>
      </c>
      <c r="O810">
        <v>2040</v>
      </c>
      <c r="P810">
        <v>33.197275628385512</v>
      </c>
      <c r="Q810">
        <v>1.1034319170477349</v>
      </c>
      <c r="R810" t="s">
        <v>289</v>
      </c>
      <c r="S810">
        <v>93.34643874643875</v>
      </c>
      <c r="T810" t="s">
        <v>290</v>
      </c>
      <c r="U810">
        <v>93.34643874643875</v>
      </c>
      <c r="V810">
        <v>33.197275628385512</v>
      </c>
      <c r="W810">
        <v>1.1034319170477349</v>
      </c>
      <c r="X810" t="s">
        <v>291</v>
      </c>
      <c r="Y810">
        <v>10</v>
      </c>
      <c r="Z810">
        <v>0.34401375729085998</v>
      </c>
      <c r="AA810">
        <v>1</v>
      </c>
    </row>
    <row r="811" spans="1:27" hidden="1" x14ac:dyDescent="0.25">
      <c r="A811" t="s">
        <v>98</v>
      </c>
      <c r="B811" t="s">
        <v>1024</v>
      </c>
      <c r="D811" t="s">
        <v>100</v>
      </c>
      <c r="E811" t="s">
        <v>284</v>
      </c>
      <c r="F811" t="s">
        <v>365</v>
      </c>
      <c r="G811" t="s">
        <v>103</v>
      </c>
      <c r="H811" t="s">
        <v>104</v>
      </c>
      <c r="I811">
        <v>2040</v>
      </c>
      <c r="J811" t="s">
        <v>418</v>
      </c>
      <c r="K811" t="s">
        <v>106</v>
      </c>
      <c r="L811" t="s">
        <v>1100</v>
      </c>
      <c r="M811" t="s">
        <v>1162</v>
      </c>
      <c r="N811">
        <v>1</v>
      </c>
      <c r="O811">
        <v>2040</v>
      </c>
      <c r="P811">
        <v>22.333975775561878</v>
      </c>
      <c r="Q811">
        <v>1.552983156443519</v>
      </c>
      <c r="R811" t="s">
        <v>289</v>
      </c>
      <c r="S811">
        <v>181.1420784222461</v>
      </c>
      <c r="T811" t="s">
        <v>290</v>
      </c>
      <c r="U811">
        <v>181.1420784222461</v>
      </c>
      <c r="V811">
        <v>22.333975775561878</v>
      </c>
      <c r="W811">
        <v>1.552983156443519</v>
      </c>
      <c r="X811" t="s">
        <v>291</v>
      </c>
      <c r="Y811">
        <v>10</v>
      </c>
      <c r="Z811">
        <v>0.34401375729085998</v>
      </c>
      <c r="AA811">
        <v>1</v>
      </c>
    </row>
    <row r="812" spans="1:27" hidden="1" x14ac:dyDescent="0.25">
      <c r="A812" t="s">
        <v>98</v>
      </c>
      <c r="B812" t="s">
        <v>1024</v>
      </c>
      <c r="D812" t="s">
        <v>100</v>
      </c>
      <c r="E812" t="s">
        <v>284</v>
      </c>
      <c r="F812" t="s">
        <v>365</v>
      </c>
      <c r="G812" t="s">
        <v>112</v>
      </c>
      <c r="H812" t="s">
        <v>104</v>
      </c>
      <c r="I812">
        <v>2040</v>
      </c>
      <c r="J812" t="s">
        <v>420</v>
      </c>
      <c r="K812" t="s">
        <v>106</v>
      </c>
      <c r="L812" t="s">
        <v>1100</v>
      </c>
      <c r="M812" t="s">
        <v>1163</v>
      </c>
      <c r="N812">
        <v>1</v>
      </c>
      <c r="O812">
        <v>2040</v>
      </c>
      <c r="P812">
        <v>27.009726996743201</v>
      </c>
      <c r="Q812">
        <v>1.971842815426603</v>
      </c>
      <c r="R812" t="s">
        <v>289</v>
      </c>
      <c r="S812">
        <v>206.50467814395611</v>
      </c>
      <c r="T812" t="s">
        <v>290</v>
      </c>
      <c r="U812">
        <v>206.50467814395611</v>
      </c>
      <c r="V812">
        <v>27.009726996743201</v>
      </c>
      <c r="W812">
        <v>1.971842815426603</v>
      </c>
      <c r="X812" t="s">
        <v>291</v>
      </c>
      <c r="Y812">
        <v>10</v>
      </c>
      <c r="Z812">
        <v>0.34401375729085998</v>
      </c>
      <c r="AA812">
        <v>1</v>
      </c>
    </row>
    <row r="813" spans="1:27" hidden="1" x14ac:dyDescent="0.25">
      <c r="A813" t="s">
        <v>98</v>
      </c>
      <c r="B813" t="s">
        <v>1024</v>
      </c>
      <c r="D813" t="s">
        <v>100</v>
      </c>
      <c r="E813" t="s">
        <v>284</v>
      </c>
      <c r="F813" t="s">
        <v>422</v>
      </c>
      <c r="G813" t="s">
        <v>103</v>
      </c>
      <c r="H813" t="s">
        <v>104</v>
      </c>
      <c r="I813">
        <v>2022</v>
      </c>
      <c r="J813" t="s">
        <v>423</v>
      </c>
      <c r="K813" t="s">
        <v>106</v>
      </c>
      <c r="L813" t="s">
        <v>1100</v>
      </c>
      <c r="M813" t="s">
        <v>1164</v>
      </c>
      <c r="N813">
        <v>1</v>
      </c>
      <c r="O813">
        <v>2020</v>
      </c>
      <c r="P813">
        <v>22.570490905245428</v>
      </c>
      <c r="Q813">
        <v>0.77947598919167282</v>
      </c>
      <c r="R813" t="s">
        <v>289</v>
      </c>
      <c r="S813">
        <v>59.465873015873022</v>
      </c>
      <c r="T813" t="s">
        <v>290</v>
      </c>
      <c r="U813">
        <v>59.465873015873022</v>
      </c>
      <c r="V813">
        <v>22.570490905245428</v>
      </c>
      <c r="W813">
        <v>0.77947598919167282</v>
      </c>
      <c r="X813" t="s">
        <v>291</v>
      </c>
      <c r="Y813">
        <v>10</v>
      </c>
      <c r="Z813">
        <v>0.34401375729085998</v>
      </c>
      <c r="AA813">
        <v>1</v>
      </c>
    </row>
    <row r="814" spans="1:27" hidden="1" x14ac:dyDescent="0.25">
      <c r="A814" t="s">
        <v>98</v>
      </c>
      <c r="B814" t="s">
        <v>1024</v>
      </c>
      <c r="D814" t="s">
        <v>100</v>
      </c>
      <c r="E814" t="s">
        <v>284</v>
      </c>
      <c r="F814" t="s">
        <v>425</v>
      </c>
      <c r="G814" t="s">
        <v>103</v>
      </c>
      <c r="H814" t="s">
        <v>104</v>
      </c>
      <c r="I814">
        <v>2022</v>
      </c>
      <c r="J814" t="s">
        <v>426</v>
      </c>
      <c r="K814" t="s">
        <v>106</v>
      </c>
      <c r="L814" t="s">
        <v>1100</v>
      </c>
      <c r="M814" t="s">
        <v>1165</v>
      </c>
      <c r="N814">
        <v>1</v>
      </c>
      <c r="O814">
        <v>2020</v>
      </c>
      <c r="P814">
        <v>20.699165146358741</v>
      </c>
      <c r="Q814">
        <v>1.111231451610436</v>
      </c>
      <c r="R814" t="s">
        <v>289</v>
      </c>
      <c r="S814">
        <v>74.054444444444442</v>
      </c>
      <c r="T814" t="s">
        <v>290</v>
      </c>
      <c r="U814">
        <v>74.054444444444442</v>
      </c>
      <c r="V814">
        <v>20.699165146358741</v>
      </c>
      <c r="W814">
        <v>1.111231451610436</v>
      </c>
      <c r="X814" t="s">
        <v>291</v>
      </c>
      <c r="Y814">
        <v>10</v>
      </c>
      <c r="Z814">
        <v>0.34401375729085998</v>
      </c>
      <c r="AA814">
        <v>1</v>
      </c>
    </row>
    <row r="815" spans="1:27" hidden="1" x14ac:dyDescent="0.25">
      <c r="A815" t="s">
        <v>98</v>
      </c>
      <c r="B815" t="s">
        <v>1024</v>
      </c>
      <c r="D815" t="s">
        <v>100</v>
      </c>
      <c r="E815" t="s">
        <v>284</v>
      </c>
      <c r="F815" t="s">
        <v>428</v>
      </c>
      <c r="G815" t="s">
        <v>103</v>
      </c>
      <c r="H815" t="s">
        <v>104</v>
      </c>
      <c r="I815">
        <v>2022</v>
      </c>
      <c r="J815" t="s">
        <v>429</v>
      </c>
      <c r="K815" t="s">
        <v>106</v>
      </c>
      <c r="L815" t="s">
        <v>1100</v>
      </c>
      <c r="M815" t="s">
        <v>1166</v>
      </c>
      <c r="N815">
        <v>1</v>
      </c>
      <c r="O815">
        <v>2020</v>
      </c>
      <c r="P815">
        <v>25.347672779313449</v>
      </c>
      <c r="Q815">
        <v>0.56400508525842741</v>
      </c>
      <c r="R815" t="s">
        <v>289</v>
      </c>
      <c r="S815">
        <v>77.810944444444459</v>
      </c>
      <c r="T815" t="s">
        <v>290</v>
      </c>
      <c r="U815">
        <v>77.810944444444459</v>
      </c>
      <c r="V815">
        <v>25.347672779313449</v>
      </c>
      <c r="W815">
        <v>0.56400508525842741</v>
      </c>
      <c r="X815" t="s">
        <v>291</v>
      </c>
      <c r="Y815">
        <v>10</v>
      </c>
      <c r="Z815">
        <v>0.34401375729085998</v>
      </c>
      <c r="AA815">
        <v>1</v>
      </c>
    </row>
    <row r="816" spans="1:27" hidden="1" x14ac:dyDescent="0.25">
      <c r="A816" t="s">
        <v>98</v>
      </c>
      <c r="B816" t="s">
        <v>1024</v>
      </c>
      <c r="D816" t="s">
        <v>100</v>
      </c>
      <c r="E816" t="s">
        <v>284</v>
      </c>
      <c r="F816" t="s">
        <v>425</v>
      </c>
      <c r="G816" t="s">
        <v>103</v>
      </c>
      <c r="H816" t="s">
        <v>104</v>
      </c>
      <c r="I816">
        <v>2030</v>
      </c>
      <c r="J816" t="s">
        <v>431</v>
      </c>
      <c r="K816" t="s">
        <v>106</v>
      </c>
      <c r="L816" t="s">
        <v>1100</v>
      </c>
      <c r="M816" t="s">
        <v>1167</v>
      </c>
      <c r="N816">
        <v>1</v>
      </c>
      <c r="O816">
        <v>2030</v>
      </c>
      <c r="P816">
        <v>20.230705085538521</v>
      </c>
      <c r="Q816">
        <v>1.0951903363739519</v>
      </c>
      <c r="R816" t="s">
        <v>289</v>
      </c>
      <c r="S816">
        <v>79.81</v>
      </c>
      <c r="T816" t="s">
        <v>290</v>
      </c>
      <c r="U816">
        <v>79.81</v>
      </c>
      <c r="V816">
        <v>20.230705085538521</v>
      </c>
      <c r="W816">
        <v>1.0951903363739519</v>
      </c>
      <c r="X816" t="s">
        <v>291</v>
      </c>
      <c r="Y816">
        <v>10</v>
      </c>
      <c r="Z816">
        <v>0.34401375729085998</v>
      </c>
      <c r="AA816">
        <v>1</v>
      </c>
    </row>
    <row r="817" spans="1:27" hidden="1" x14ac:dyDescent="0.25">
      <c r="A817" t="s">
        <v>98</v>
      </c>
      <c r="B817" t="s">
        <v>1024</v>
      </c>
      <c r="D817" t="s">
        <v>100</v>
      </c>
      <c r="E817" t="s">
        <v>284</v>
      </c>
      <c r="F817" t="s">
        <v>428</v>
      </c>
      <c r="G817" t="s">
        <v>103</v>
      </c>
      <c r="H817" t="s">
        <v>104</v>
      </c>
      <c r="I817">
        <v>2030</v>
      </c>
      <c r="J817" t="s">
        <v>433</v>
      </c>
      <c r="K817" t="s">
        <v>106</v>
      </c>
      <c r="L817" t="s">
        <v>1100</v>
      </c>
      <c r="M817" t="s">
        <v>1168</v>
      </c>
      <c r="N817">
        <v>1</v>
      </c>
      <c r="O817">
        <v>2030</v>
      </c>
      <c r="P817">
        <v>24.67049407605251</v>
      </c>
      <c r="Q817">
        <v>0.55731249361340607</v>
      </c>
      <c r="R817" t="s">
        <v>289</v>
      </c>
      <c r="S817">
        <v>84.367500000000007</v>
      </c>
      <c r="T817" t="s">
        <v>290</v>
      </c>
      <c r="U817">
        <v>84.367500000000007</v>
      </c>
      <c r="V817">
        <v>24.67049407605251</v>
      </c>
      <c r="W817">
        <v>0.55731249361340607</v>
      </c>
      <c r="X817" t="s">
        <v>291</v>
      </c>
      <c r="Y817">
        <v>10</v>
      </c>
      <c r="Z817">
        <v>0.34401375729085998</v>
      </c>
      <c r="AA817">
        <v>1</v>
      </c>
    </row>
    <row r="818" spans="1:27" hidden="1" x14ac:dyDescent="0.25">
      <c r="A818" t="s">
        <v>98</v>
      </c>
      <c r="B818" t="s">
        <v>1024</v>
      </c>
      <c r="D818" t="s">
        <v>100</v>
      </c>
      <c r="E818" t="s">
        <v>284</v>
      </c>
      <c r="F818" t="s">
        <v>425</v>
      </c>
      <c r="G818" t="s">
        <v>103</v>
      </c>
      <c r="H818" t="s">
        <v>104</v>
      </c>
      <c r="I818">
        <v>2040</v>
      </c>
      <c r="J818" t="s">
        <v>435</v>
      </c>
      <c r="K818" t="s">
        <v>106</v>
      </c>
      <c r="L818" t="s">
        <v>1100</v>
      </c>
      <c r="M818" t="s">
        <v>1169</v>
      </c>
      <c r="N818">
        <v>1</v>
      </c>
      <c r="O818">
        <v>2040</v>
      </c>
      <c r="P818">
        <v>19.670938877469698</v>
      </c>
      <c r="Q818">
        <v>1.076022695415618</v>
      </c>
      <c r="R818" t="s">
        <v>289</v>
      </c>
      <c r="S818">
        <v>79.81</v>
      </c>
      <c r="T818" t="s">
        <v>290</v>
      </c>
      <c r="U818">
        <v>79.81</v>
      </c>
      <c r="V818">
        <v>19.670938877469698</v>
      </c>
      <c r="W818">
        <v>1.076022695415618</v>
      </c>
      <c r="X818" t="s">
        <v>291</v>
      </c>
      <c r="Y818">
        <v>10</v>
      </c>
      <c r="Z818">
        <v>0.34401375729085998</v>
      </c>
      <c r="AA818">
        <v>1</v>
      </c>
    </row>
    <row r="819" spans="1:27" hidden="1" x14ac:dyDescent="0.25">
      <c r="A819" t="s">
        <v>98</v>
      </c>
      <c r="B819" t="s">
        <v>1024</v>
      </c>
      <c r="D819" t="s">
        <v>100</v>
      </c>
      <c r="E819" t="s">
        <v>284</v>
      </c>
      <c r="F819" t="s">
        <v>428</v>
      </c>
      <c r="G819" t="s">
        <v>103</v>
      </c>
      <c r="H819" t="s">
        <v>104</v>
      </c>
      <c r="I819">
        <v>2040</v>
      </c>
      <c r="J819" t="s">
        <v>437</v>
      </c>
      <c r="K819" t="s">
        <v>106</v>
      </c>
      <c r="L819" t="s">
        <v>1100</v>
      </c>
      <c r="M819" t="s">
        <v>1170</v>
      </c>
      <c r="N819">
        <v>1</v>
      </c>
      <c r="O819">
        <v>2040</v>
      </c>
      <c r="P819">
        <v>23.861328500132039</v>
      </c>
      <c r="Q819">
        <v>0.54931546897756556</v>
      </c>
      <c r="R819" t="s">
        <v>289</v>
      </c>
      <c r="S819">
        <v>84.367500000000007</v>
      </c>
      <c r="T819" t="s">
        <v>290</v>
      </c>
      <c r="U819">
        <v>84.367500000000007</v>
      </c>
      <c r="V819">
        <v>23.861328500132039</v>
      </c>
      <c r="W819">
        <v>0.54931546897756556</v>
      </c>
      <c r="X819" t="s">
        <v>291</v>
      </c>
      <c r="Y819">
        <v>10</v>
      </c>
      <c r="Z819">
        <v>0.34401375729085998</v>
      </c>
      <c r="AA819">
        <v>1</v>
      </c>
    </row>
    <row r="820" spans="1:27" hidden="1" x14ac:dyDescent="0.25">
      <c r="A820" t="s">
        <v>98</v>
      </c>
      <c r="B820" t="s">
        <v>1024</v>
      </c>
      <c r="D820" t="s">
        <v>100</v>
      </c>
      <c r="E820" t="s">
        <v>439</v>
      </c>
      <c r="F820" t="s">
        <v>440</v>
      </c>
      <c r="G820" t="s">
        <v>245</v>
      </c>
      <c r="H820" t="s">
        <v>104</v>
      </c>
      <c r="I820">
        <v>2022</v>
      </c>
      <c r="J820" t="s">
        <v>441</v>
      </c>
      <c r="K820" t="s">
        <v>106</v>
      </c>
      <c r="L820" t="s">
        <v>1171</v>
      </c>
      <c r="M820" t="s">
        <v>1172</v>
      </c>
      <c r="N820">
        <v>1</v>
      </c>
      <c r="O820">
        <v>2020</v>
      </c>
      <c r="P820">
        <v>831.12625331024003</v>
      </c>
      <c r="Q820">
        <v>84.323656568982784</v>
      </c>
      <c r="R820" t="s">
        <v>109</v>
      </c>
      <c r="S820">
        <v>2.8957310176295739</v>
      </c>
      <c r="T820" t="s">
        <v>110</v>
      </c>
      <c r="U820">
        <v>1</v>
      </c>
      <c r="V820">
        <v>8212.0648964814554</v>
      </c>
      <c r="W820">
        <v>833.17226148867417</v>
      </c>
      <c r="X820" t="s">
        <v>111</v>
      </c>
      <c r="Y820">
        <v>10</v>
      </c>
      <c r="Z820">
        <v>0.44</v>
      </c>
      <c r="AA820">
        <v>31.536000000000001</v>
      </c>
    </row>
    <row r="821" spans="1:27" hidden="1" x14ac:dyDescent="0.25">
      <c r="A821" t="s">
        <v>98</v>
      </c>
      <c r="B821" t="s">
        <v>1024</v>
      </c>
      <c r="D821" t="s">
        <v>100</v>
      </c>
      <c r="E821" t="s">
        <v>439</v>
      </c>
      <c r="F821" t="s">
        <v>440</v>
      </c>
      <c r="G821" t="s">
        <v>103</v>
      </c>
      <c r="H821" t="s">
        <v>104</v>
      </c>
      <c r="I821">
        <v>2022</v>
      </c>
      <c r="J821" t="s">
        <v>444</v>
      </c>
      <c r="K821" t="s">
        <v>106</v>
      </c>
      <c r="L821" t="s">
        <v>1171</v>
      </c>
      <c r="M821" t="s">
        <v>1173</v>
      </c>
      <c r="N821">
        <v>1</v>
      </c>
      <c r="O821">
        <v>2020</v>
      </c>
      <c r="P821">
        <v>1031.6192027056411</v>
      </c>
      <c r="Q821">
        <v>84.323656568982784</v>
      </c>
      <c r="R821" t="s">
        <v>109</v>
      </c>
      <c r="S821">
        <v>3.1136892662683588</v>
      </c>
      <c r="T821" t="s">
        <v>110</v>
      </c>
      <c r="U821">
        <v>1.075268817204301</v>
      </c>
      <c r="V821">
        <v>10193.06490119123</v>
      </c>
      <c r="W821">
        <v>833.17226148867428</v>
      </c>
      <c r="X821" t="s">
        <v>111</v>
      </c>
      <c r="Y821">
        <v>10</v>
      </c>
      <c r="Z821">
        <v>0.44</v>
      </c>
      <c r="AA821">
        <v>31.536000000000001</v>
      </c>
    </row>
    <row r="822" spans="1:27" hidden="1" x14ac:dyDescent="0.25">
      <c r="A822" t="s">
        <v>98</v>
      </c>
      <c r="B822" t="s">
        <v>1024</v>
      </c>
      <c r="D822" t="s">
        <v>100</v>
      </c>
      <c r="E822" t="s">
        <v>439</v>
      </c>
      <c r="F822" t="s">
        <v>440</v>
      </c>
      <c r="G822" t="s">
        <v>112</v>
      </c>
      <c r="H822" t="s">
        <v>104</v>
      </c>
      <c r="I822">
        <v>2022</v>
      </c>
      <c r="J822" t="s">
        <v>446</v>
      </c>
      <c r="K822" t="s">
        <v>106</v>
      </c>
      <c r="L822" t="s">
        <v>1171</v>
      </c>
      <c r="M822" t="s">
        <v>1174</v>
      </c>
      <c r="N822">
        <v>1</v>
      </c>
      <c r="O822">
        <v>2020</v>
      </c>
      <c r="P822">
        <v>1137.4723035050019</v>
      </c>
      <c r="Q822">
        <v>84.323656568982784</v>
      </c>
      <c r="R822" t="s">
        <v>109</v>
      </c>
      <c r="S822">
        <v>3.348052974482107</v>
      </c>
      <c r="T822" t="s">
        <v>110</v>
      </c>
      <c r="U822">
        <v>1.156203029251937</v>
      </c>
      <c r="V822">
        <v>11238.961995400419</v>
      </c>
      <c r="W822">
        <v>833.17226148867417</v>
      </c>
      <c r="X822" t="s">
        <v>111</v>
      </c>
      <c r="Y822">
        <v>10</v>
      </c>
      <c r="Z822">
        <v>0.44</v>
      </c>
      <c r="AA822">
        <v>31.536000000000001</v>
      </c>
    </row>
    <row r="823" spans="1:27" hidden="1" x14ac:dyDescent="0.25">
      <c r="A823" t="s">
        <v>98</v>
      </c>
      <c r="B823" t="s">
        <v>1024</v>
      </c>
      <c r="D823" t="s">
        <v>100</v>
      </c>
      <c r="E823" t="s">
        <v>439</v>
      </c>
      <c r="F823" t="s">
        <v>440</v>
      </c>
      <c r="G823" t="s">
        <v>103</v>
      </c>
      <c r="H823" t="s">
        <v>104</v>
      </c>
      <c r="I823">
        <v>2030</v>
      </c>
      <c r="J823" t="s">
        <v>448</v>
      </c>
      <c r="K823" t="s">
        <v>106</v>
      </c>
      <c r="L823" t="s">
        <v>1171</v>
      </c>
      <c r="M823" t="s">
        <v>1175</v>
      </c>
      <c r="N823">
        <v>0</v>
      </c>
      <c r="O823">
        <v>2030</v>
      </c>
      <c r="P823">
        <v>1031.6192027056411</v>
      </c>
      <c r="Q823">
        <v>84.323656568982784</v>
      </c>
      <c r="R823" t="s">
        <v>109</v>
      </c>
      <c r="S823">
        <v>3.1136892662683588</v>
      </c>
      <c r="T823" t="s">
        <v>110</v>
      </c>
      <c r="U823">
        <v>1.075268817204301</v>
      </c>
      <c r="V823">
        <v>10193.06490119123</v>
      </c>
      <c r="W823">
        <v>833.17226148867428</v>
      </c>
      <c r="X823" t="s">
        <v>111</v>
      </c>
      <c r="Y823">
        <v>10</v>
      </c>
      <c r="Z823">
        <v>0.44</v>
      </c>
      <c r="AA823">
        <v>31.536000000000001</v>
      </c>
    </row>
    <row r="824" spans="1:27" hidden="1" x14ac:dyDescent="0.25">
      <c r="A824" t="s">
        <v>98</v>
      </c>
      <c r="B824" t="s">
        <v>1024</v>
      </c>
      <c r="D824" t="s">
        <v>100</v>
      </c>
      <c r="E824" t="s">
        <v>439</v>
      </c>
      <c r="F824" t="s">
        <v>440</v>
      </c>
      <c r="G824" t="s">
        <v>112</v>
      </c>
      <c r="H824" t="s">
        <v>104</v>
      </c>
      <c r="I824">
        <v>2030</v>
      </c>
      <c r="J824" t="s">
        <v>450</v>
      </c>
      <c r="K824" t="s">
        <v>106</v>
      </c>
      <c r="L824" t="s">
        <v>1171</v>
      </c>
      <c r="M824" t="s">
        <v>1176</v>
      </c>
      <c r="N824">
        <v>0</v>
      </c>
      <c r="O824">
        <v>2030</v>
      </c>
      <c r="P824">
        <v>1137.4723035050019</v>
      </c>
      <c r="Q824">
        <v>84.323656568982784</v>
      </c>
      <c r="R824" t="s">
        <v>109</v>
      </c>
      <c r="S824">
        <v>3.348052974482107</v>
      </c>
      <c r="T824" t="s">
        <v>110</v>
      </c>
      <c r="U824">
        <v>1.156203029251937</v>
      </c>
      <c r="V824">
        <v>11238.961995400419</v>
      </c>
      <c r="W824">
        <v>833.17226148867417</v>
      </c>
      <c r="X824" t="s">
        <v>111</v>
      </c>
      <c r="Y824">
        <v>10</v>
      </c>
      <c r="Z824">
        <v>0.44</v>
      </c>
      <c r="AA824">
        <v>31.536000000000001</v>
      </c>
    </row>
    <row r="825" spans="1:27" hidden="1" x14ac:dyDescent="0.25">
      <c r="A825" t="s">
        <v>98</v>
      </c>
      <c r="B825" t="s">
        <v>1024</v>
      </c>
      <c r="D825" t="s">
        <v>100</v>
      </c>
      <c r="E825" t="s">
        <v>439</v>
      </c>
      <c r="F825" t="s">
        <v>440</v>
      </c>
      <c r="G825" t="s">
        <v>103</v>
      </c>
      <c r="H825" t="s">
        <v>104</v>
      </c>
      <c r="I825">
        <v>2040</v>
      </c>
      <c r="J825" t="s">
        <v>452</v>
      </c>
      <c r="K825" t="s">
        <v>106</v>
      </c>
      <c r="L825" t="s">
        <v>1171</v>
      </c>
      <c r="M825" t="s">
        <v>1177</v>
      </c>
      <c r="N825">
        <v>0</v>
      </c>
      <c r="O825">
        <v>2040</v>
      </c>
      <c r="P825">
        <v>1031.6192027056411</v>
      </c>
      <c r="Q825">
        <v>84.323656568982784</v>
      </c>
      <c r="R825" t="s">
        <v>109</v>
      </c>
      <c r="S825">
        <v>3.1136892662683588</v>
      </c>
      <c r="T825" t="s">
        <v>110</v>
      </c>
      <c r="U825">
        <v>1.075268817204301</v>
      </c>
      <c r="V825">
        <v>10193.06490119123</v>
      </c>
      <c r="W825">
        <v>833.17226148867428</v>
      </c>
      <c r="X825" t="s">
        <v>111</v>
      </c>
      <c r="Y825">
        <v>10</v>
      </c>
      <c r="Z825">
        <v>0.44</v>
      </c>
      <c r="AA825">
        <v>31.536000000000001</v>
      </c>
    </row>
    <row r="826" spans="1:27" hidden="1" x14ac:dyDescent="0.25">
      <c r="A826" t="s">
        <v>98</v>
      </c>
      <c r="B826" t="s">
        <v>1024</v>
      </c>
      <c r="D826" t="s">
        <v>100</v>
      </c>
      <c r="E826" t="s">
        <v>439</v>
      </c>
      <c r="F826" t="s">
        <v>440</v>
      </c>
      <c r="G826" t="s">
        <v>112</v>
      </c>
      <c r="H826" t="s">
        <v>104</v>
      </c>
      <c r="I826">
        <v>2040</v>
      </c>
      <c r="J826" t="s">
        <v>454</v>
      </c>
      <c r="K826" t="s">
        <v>106</v>
      </c>
      <c r="L826" t="s">
        <v>1171</v>
      </c>
      <c r="M826" t="s">
        <v>1178</v>
      </c>
      <c r="N826">
        <v>0</v>
      </c>
      <c r="O826">
        <v>2040</v>
      </c>
      <c r="P826">
        <v>1137.4723035050019</v>
      </c>
      <c r="Q826">
        <v>84.323656568982784</v>
      </c>
      <c r="R826" t="s">
        <v>109</v>
      </c>
      <c r="S826">
        <v>3.348052974482107</v>
      </c>
      <c r="T826" t="s">
        <v>110</v>
      </c>
      <c r="U826">
        <v>1.156203029251937</v>
      </c>
      <c r="V826">
        <v>11238.961995400419</v>
      </c>
      <c r="W826">
        <v>833.17226148867417</v>
      </c>
      <c r="X826" t="s">
        <v>111</v>
      </c>
      <c r="Y826">
        <v>10</v>
      </c>
      <c r="Z826">
        <v>0.44</v>
      </c>
      <c r="AA826">
        <v>31.536000000000001</v>
      </c>
    </row>
    <row r="827" spans="1:27" hidden="1" x14ac:dyDescent="0.25">
      <c r="A827" t="s">
        <v>98</v>
      </c>
      <c r="B827" t="s">
        <v>1024</v>
      </c>
      <c r="D827" t="s">
        <v>100</v>
      </c>
      <c r="E827" t="s">
        <v>439</v>
      </c>
      <c r="F827" t="s">
        <v>440</v>
      </c>
      <c r="G827" t="s">
        <v>103</v>
      </c>
      <c r="H827" t="s">
        <v>104</v>
      </c>
      <c r="I827">
        <v>2050</v>
      </c>
      <c r="J827" t="s">
        <v>456</v>
      </c>
      <c r="K827" t="s">
        <v>106</v>
      </c>
      <c r="L827" t="s">
        <v>1171</v>
      </c>
      <c r="M827" t="s">
        <v>1179</v>
      </c>
      <c r="N827">
        <v>0</v>
      </c>
      <c r="O827">
        <v>2050</v>
      </c>
      <c r="P827">
        <v>1031.6192027056411</v>
      </c>
      <c r="Q827">
        <v>84.323656568982784</v>
      </c>
      <c r="R827" t="s">
        <v>109</v>
      </c>
      <c r="S827">
        <v>3.1136892662683588</v>
      </c>
      <c r="T827" t="s">
        <v>110</v>
      </c>
      <c r="U827">
        <v>1.075268817204301</v>
      </c>
      <c r="V827">
        <v>10193.06490119123</v>
      </c>
      <c r="W827">
        <v>833.17226148867428</v>
      </c>
      <c r="X827" t="s">
        <v>111</v>
      </c>
      <c r="Y827">
        <v>10</v>
      </c>
      <c r="Z827">
        <v>0.44</v>
      </c>
      <c r="AA827">
        <v>31.536000000000001</v>
      </c>
    </row>
    <row r="828" spans="1:27" hidden="1" x14ac:dyDescent="0.25">
      <c r="A828" t="s">
        <v>98</v>
      </c>
      <c r="B828" t="s">
        <v>1024</v>
      </c>
      <c r="D828" t="s">
        <v>100</v>
      </c>
      <c r="E828" t="s">
        <v>439</v>
      </c>
      <c r="F828" t="s">
        <v>440</v>
      </c>
      <c r="G828" t="s">
        <v>112</v>
      </c>
      <c r="H828" t="s">
        <v>104</v>
      </c>
      <c r="I828">
        <v>2050</v>
      </c>
      <c r="J828" t="s">
        <v>458</v>
      </c>
      <c r="K828" t="s">
        <v>106</v>
      </c>
      <c r="L828" t="s">
        <v>1171</v>
      </c>
      <c r="M828" t="s">
        <v>1180</v>
      </c>
      <c r="N828">
        <v>0</v>
      </c>
      <c r="O828">
        <v>2050</v>
      </c>
      <c r="P828">
        <v>1137.4723035050019</v>
      </c>
      <c r="Q828">
        <v>84.323656568982784</v>
      </c>
      <c r="R828" t="s">
        <v>109</v>
      </c>
      <c r="S828">
        <v>3.348052974482107</v>
      </c>
      <c r="T828" t="s">
        <v>110</v>
      </c>
      <c r="U828">
        <v>1.156203029251937</v>
      </c>
      <c r="V828">
        <v>11238.961995400419</v>
      </c>
      <c r="W828">
        <v>833.17226148867417</v>
      </c>
      <c r="X828" t="s">
        <v>111</v>
      </c>
      <c r="Y828">
        <v>10</v>
      </c>
      <c r="Z828">
        <v>0.44</v>
      </c>
      <c r="AA828">
        <v>31.536000000000001</v>
      </c>
    </row>
    <row r="829" spans="1:27" hidden="1" x14ac:dyDescent="0.25">
      <c r="A829" t="s">
        <v>98</v>
      </c>
      <c r="B829" t="s">
        <v>1024</v>
      </c>
      <c r="D829" t="s">
        <v>100</v>
      </c>
      <c r="E829" t="s">
        <v>439</v>
      </c>
      <c r="F829" t="s">
        <v>460</v>
      </c>
      <c r="G829" t="s">
        <v>245</v>
      </c>
      <c r="H829" t="s">
        <v>104</v>
      </c>
      <c r="I829">
        <v>2022</v>
      </c>
      <c r="J829" t="s">
        <v>461</v>
      </c>
      <c r="K829" t="s">
        <v>106</v>
      </c>
      <c r="L829" t="s">
        <v>1171</v>
      </c>
      <c r="M829" t="s">
        <v>1181</v>
      </c>
      <c r="N829">
        <v>1</v>
      </c>
      <c r="O829">
        <v>2020</v>
      </c>
      <c r="P829">
        <v>520.8323861248623</v>
      </c>
      <c r="Q829">
        <v>19.17492366827851</v>
      </c>
      <c r="R829" t="s">
        <v>109</v>
      </c>
      <c r="S829">
        <v>5.9841517746527506</v>
      </c>
      <c r="T829" t="s">
        <v>110</v>
      </c>
      <c r="U829">
        <v>2.066542692750287</v>
      </c>
      <c r="V829">
        <v>5146.1608125259299</v>
      </c>
      <c r="W829">
        <v>189.46064682931279</v>
      </c>
      <c r="X829" t="s">
        <v>111</v>
      </c>
      <c r="Y829">
        <v>10</v>
      </c>
      <c r="Z829">
        <v>0.44</v>
      </c>
      <c r="AA829">
        <v>31.536000000000001</v>
      </c>
    </row>
    <row r="830" spans="1:27" hidden="1" x14ac:dyDescent="0.25">
      <c r="A830" t="s">
        <v>98</v>
      </c>
      <c r="B830" t="s">
        <v>1024</v>
      </c>
      <c r="D830" t="s">
        <v>100</v>
      </c>
      <c r="E830" t="s">
        <v>439</v>
      </c>
      <c r="F830" t="s">
        <v>460</v>
      </c>
      <c r="G830" t="s">
        <v>103</v>
      </c>
      <c r="H830" t="s">
        <v>104</v>
      </c>
      <c r="I830">
        <v>2022</v>
      </c>
      <c r="J830" t="s">
        <v>463</v>
      </c>
      <c r="K830" t="s">
        <v>106</v>
      </c>
      <c r="L830" t="s">
        <v>1171</v>
      </c>
      <c r="M830" t="s">
        <v>1182</v>
      </c>
      <c r="N830">
        <v>1</v>
      </c>
      <c r="O830">
        <v>2020</v>
      </c>
      <c r="P830">
        <v>619.22047419033993</v>
      </c>
      <c r="Q830">
        <v>19.17492366827851</v>
      </c>
      <c r="R830" t="s">
        <v>109</v>
      </c>
      <c r="S830">
        <v>6.5013006934499016</v>
      </c>
      <c r="T830" t="s">
        <v>110</v>
      </c>
      <c r="U830">
        <v>2.2451328020003118</v>
      </c>
      <c r="V830">
        <v>6118.2987530812006</v>
      </c>
      <c r="W830">
        <v>189.46064682931279</v>
      </c>
      <c r="X830" t="s">
        <v>111</v>
      </c>
      <c r="Y830">
        <v>10</v>
      </c>
      <c r="Z830">
        <v>0.44</v>
      </c>
      <c r="AA830">
        <v>31.536000000000001</v>
      </c>
    </row>
    <row r="831" spans="1:27" hidden="1" x14ac:dyDescent="0.25">
      <c r="A831" t="s">
        <v>98</v>
      </c>
      <c r="B831" t="s">
        <v>1024</v>
      </c>
      <c r="D831" t="s">
        <v>100</v>
      </c>
      <c r="E831" t="s">
        <v>439</v>
      </c>
      <c r="F831" t="s">
        <v>460</v>
      </c>
      <c r="G831" t="s">
        <v>112</v>
      </c>
      <c r="H831" t="s">
        <v>104</v>
      </c>
      <c r="I831">
        <v>2022</v>
      </c>
      <c r="J831" t="s">
        <v>465</v>
      </c>
      <c r="K831" t="s">
        <v>106</v>
      </c>
      <c r="L831" t="s">
        <v>1171</v>
      </c>
      <c r="M831" t="s">
        <v>1183</v>
      </c>
      <c r="N831">
        <v>1</v>
      </c>
      <c r="O831">
        <v>2020</v>
      </c>
      <c r="P831">
        <v>717.59767919103297</v>
      </c>
      <c r="Q831">
        <v>19.17492366827851</v>
      </c>
      <c r="R831" t="s">
        <v>109</v>
      </c>
      <c r="S831">
        <v>7.1162885968843517</v>
      </c>
      <c r="T831" t="s">
        <v>110</v>
      </c>
      <c r="U831">
        <v>2.4575102292165578</v>
      </c>
      <c r="V831">
        <v>7090.3291619180018</v>
      </c>
      <c r="W831">
        <v>189.46064682931279</v>
      </c>
      <c r="X831" t="s">
        <v>111</v>
      </c>
      <c r="Y831">
        <v>10</v>
      </c>
      <c r="Z831">
        <v>0.44</v>
      </c>
      <c r="AA831">
        <v>31.536000000000001</v>
      </c>
    </row>
    <row r="832" spans="1:27" hidden="1" x14ac:dyDescent="0.25">
      <c r="A832" t="s">
        <v>98</v>
      </c>
      <c r="B832" t="s">
        <v>1024</v>
      </c>
      <c r="D832" t="s">
        <v>100</v>
      </c>
      <c r="E832" t="s">
        <v>439</v>
      </c>
      <c r="F832" t="s">
        <v>460</v>
      </c>
      <c r="G832" t="s">
        <v>103</v>
      </c>
      <c r="H832" t="s">
        <v>104</v>
      </c>
      <c r="I832">
        <v>2030</v>
      </c>
      <c r="J832" t="s">
        <v>467</v>
      </c>
      <c r="K832" t="s">
        <v>106</v>
      </c>
      <c r="L832" t="s">
        <v>1171</v>
      </c>
      <c r="M832" t="s">
        <v>1184</v>
      </c>
      <c r="N832">
        <v>1</v>
      </c>
      <c r="O832">
        <v>2030</v>
      </c>
      <c r="P832">
        <v>520.8323861248623</v>
      </c>
      <c r="Q832">
        <v>19.17492366827851</v>
      </c>
      <c r="R832" t="s">
        <v>109</v>
      </c>
      <c r="S832">
        <v>6.5013006934499016</v>
      </c>
      <c r="T832" t="s">
        <v>110</v>
      </c>
      <c r="U832">
        <v>2.2451328020003118</v>
      </c>
      <c r="V832">
        <v>5146.1608125259299</v>
      </c>
      <c r="W832">
        <v>189.46064682931279</v>
      </c>
      <c r="X832" t="s">
        <v>111</v>
      </c>
      <c r="Y832">
        <v>10</v>
      </c>
      <c r="Z832">
        <v>0.44</v>
      </c>
      <c r="AA832">
        <v>31.536000000000001</v>
      </c>
    </row>
    <row r="833" spans="1:27" hidden="1" x14ac:dyDescent="0.25">
      <c r="A833" t="s">
        <v>98</v>
      </c>
      <c r="B833" t="s">
        <v>1024</v>
      </c>
      <c r="D833" t="s">
        <v>100</v>
      </c>
      <c r="E833" t="s">
        <v>439</v>
      </c>
      <c r="F833" t="s">
        <v>460</v>
      </c>
      <c r="G833" t="s">
        <v>112</v>
      </c>
      <c r="H833" t="s">
        <v>104</v>
      </c>
      <c r="I833">
        <v>2030</v>
      </c>
      <c r="J833" t="s">
        <v>469</v>
      </c>
      <c r="K833" t="s">
        <v>106</v>
      </c>
      <c r="L833" t="s">
        <v>1171</v>
      </c>
      <c r="M833" t="s">
        <v>1185</v>
      </c>
      <c r="N833">
        <v>1</v>
      </c>
      <c r="O833">
        <v>2030</v>
      </c>
      <c r="P833">
        <v>717.59767919103297</v>
      </c>
      <c r="Q833">
        <v>19.17492366827851</v>
      </c>
      <c r="R833" t="s">
        <v>109</v>
      </c>
      <c r="S833">
        <v>7.1162885968843517</v>
      </c>
      <c r="T833" t="s">
        <v>110</v>
      </c>
      <c r="U833">
        <v>2.4575102292165578</v>
      </c>
      <c r="V833">
        <v>7090.3291619180018</v>
      </c>
      <c r="W833">
        <v>189.46064682931279</v>
      </c>
      <c r="X833" t="s">
        <v>111</v>
      </c>
      <c r="Y833">
        <v>10</v>
      </c>
      <c r="Z833">
        <v>0.44</v>
      </c>
      <c r="AA833">
        <v>31.536000000000001</v>
      </c>
    </row>
    <row r="834" spans="1:27" hidden="1" x14ac:dyDescent="0.25">
      <c r="A834" t="s">
        <v>98</v>
      </c>
      <c r="B834" t="s">
        <v>1024</v>
      </c>
      <c r="D834" t="s">
        <v>100</v>
      </c>
      <c r="E834" t="s">
        <v>439</v>
      </c>
      <c r="F834" t="s">
        <v>460</v>
      </c>
      <c r="G834" t="s">
        <v>103</v>
      </c>
      <c r="H834" t="s">
        <v>104</v>
      </c>
      <c r="I834">
        <v>2040</v>
      </c>
      <c r="J834" t="s">
        <v>471</v>
      </c>
      <c r="K834" t="s">
        <v>106</v>
      </c>
      <c r="L834" t="s">
        <v>1171</v>
      </c>
      <c r="M834" t="s">
        <v>1186</v>
      </c>
      <c r="N834">
        <v>1</v>
      </c>
      <c r="O834">
        <v>2040</v>
      </c>
      <c r="P834">
        <v>520.8323861248623</v>
      </c>
      <c r="Q834">
        <v>19.17492366827851</v>
      </c>
      <c r="R834" t="s">
        <v>109</v>
      </c>
      <c r="S834">
        <v>6.5013006934499016</v>
      </c>
      <c r="T834" t="s">
        <v>110</v>
      </c>
      <c r="U834">
        <v>2.2451328020003118</v>
      </c>
      <c r="V834">
        <v>5146.1608125259299</v>
      </c>
      <c r="W834">
        <v>189.46064682931279</v>
      </c>
      <c r="X834" t="s">
        <v>111</v>
      </c>
      <c r="Y834">
        <v>10</v>
      </c>
      <c r="Z834">
        <v>0.44</v>
      </c>
      <c r="AA834">
        <v>31.536000000000001</v>
      </c>
    </row>
    <row r="835" spans="1:27" hidden="1" x14ac:dyDescent="0.25">
      <c r="A835" t="s">
        <v>98</v>
      </c>
      <c r="B835" t="s">
        <v>1024</v>
      </c>
      <c r="D835" t="s">
        <v>100</v>
      </c>
      <c r="E835" t="s">
        <v>439</v>
      </c>
      <c r="F835" t="s">
        <v>460</v>
      </c>
      <c r="G835" t="s">
        <v>112</v>
      </c>
      <c r="H835" t="s">
        <v>104</v>
      </c>
      <c r="I835">
        <v>2040</v>
      </c>
      <c r="J835" t="s">
        <v>473</v>
      </c>
      <c r="K835" t="s">
        <v>106</v>
      </c>
      <c r="L835" t="s">
        <v>1171</v>
      </c>
      <c r="M835" t="s">
        <v>1187</v>
      </c>
      <c r="N835">
        <v>1</v>
      </c>
      <c r="O835">
        <v>2040</v>
      </c>
      <c r="P835">
        <v>717.59767919103297</v>
      </c>
      <c r="Q835">
        <v>19.17492366827851</v>
      </c>
      <c r="R835" t="s">
        <v>109</v>
      </c>
      <c r="S835">
        <v>7.1162885968843517</v>
      </c>
      <c r="T835" t="s">
        <v>110</v>
      </c>
      <c r="U835">
        <v>2.4575102292165578</v>
      </c>
      <c r="V835">
        <v>7090.3291619180018</v>
      </c>
      <c r="W835">
        <v>189.46064682931279</v>
      </c>
      <c r="X835" t="s">
        <v>111</v>
      </c>
      <c r="Y835">
        <v>10</v>
      </c>
      <c r="Z835">
        <v>0.44</v>
      </c>
      <c r="AA835">
        <v>31.536000000000001</v>
      </c>
    </row>
    <row r="836" spans="1:27" hidden="1" x14ac:dyDescent="0.25">
      <c r="A836" t="s">
        <v>98</v>
      </c>
      <c r="B836" t="s">
        <v>1024</v>
      </c>
      <c r="D836" t="s">
        <v>100</v>
      </c>
      <c r="E836" t="s">
        <v>439</v>
      </c>
      <c r="F836" t="s">
        <v>460</v>
      </c>
      <c r="G836" t="s">
        <v>103</v>
      </c>
      <c r="H836" t="s">
        <v>104</v>
      </c>
      <c r="I836">
        <v>2050</v>
      </c>
      <c r="J836" t="s">
        <v>475</v>
      </c>
      <c r="K836" t="s">
        <v>106</v>
      </c>
      <c r="L836" t="s">
        <v>1171</v>
      </c>
      <c r="M836" t="s">
        <v>1188</v>
      </c>
      <c r="N836">
        <v>1</v>
      </c>
      <c r="O836">
        <v>2050</v>
      </c>
      <c r="P836">
        <v>520.8323861248623</v>
      </c>
      <c r="Q836">
        <v>19.17492366827851</v>
      </c>
      <c r="R836" t="s">
        <v>109</v>
      </c>
      <c r="S836">
        <v>6.5013006934499016</v>
      </c>
      <c r="T836" t="s">
        <v>110</v>
      </c>
      <c r="U836">
        <v>2.2451328020003118</v>
      </c>
      <c r="V836">
        <v>5146.1608125259299</v>
      </c>
      <c r="W836">
        <v>189.46064682931279</v>
      </c>
      <c r="X836" t="s">
        <v>111</v>
      </c>
      <c r="Y836">
        <v>10</v>
      </c>
      <c r="Z836">
        <v>0.44</v>
      </c>
      <c r="AA836">
        <v>31.536000000000001</v>
      </c>
    </row>
    <row r="837" spans="1:27" hidden="1" x14ac:dyDescent="0.25">
      <c r="A837" t="s">
        <v>98</v>
      </c>
      <c r="B837" t="s">
        <v>1024</v>
      </c>
      <c r="D837" t="s">
        <v>100</v>
      </c>
      <c r="E837" t="s">
        <v>439</v>
      </c>
      <c r="F837" t="s">
        <v>460</v>
      </c>
      <c r="G837" t="s">
        <v>112</v>
      </c>
      <c r="H837" t="s">
        <v>104</v>
      </c>
      <c r="I837">
        <v>2050</v>
      </c>
      <c r="J837" t="s">
        <v>477</v>
      </c>
      <c r="K837" t="s">
        <v>106</v>
      </c>
      <c r="L837" t="s">
        <v>1171</v>
      </c>
      <c r="M837" t="s">
        <v>1189</v>
      </c>
      <c r="N837">
        <v>1</v>
      </c>
      <c r="O837">
        <v>2050</v>
      </c>
      <c r="P837">
        <v>717.59767919103297</v>
      </c>
      <c r="Q837">
        <v>19.17492366827851</v>
      </c>
      <c r="R837" t="s">
        <v>109</v>
      </c>
      <c r="S837">
        <v>7.1162885968843517</v>
      </c>
      <c r="T837" t="s">
        <v>110</v>
      </c>
      <c r="U837">
        <v>2.4575102292165578</v>
      </c>
      <c r="V837">
        <v>7090.3291619180018</v>
      </c>
      <c r="W837">
        <v>189.46064682931279</v>
      </c>
      <c r="X837" t="s">
        <v>111</v>
      </c>
      <c r="Y837">
        <v>10</v>
      </c>
      <c r="Z837">
        <v>0.44</v>
      </c>
      <c r="AA837">
        <v>31.536000000000001</v>
      </c>
    </row>
    <row r="838" spans="1:27" hidden="1" x14ac:dyDescent="0.25">
      <c r="A838" t="s">
        <v>98</v>
      </c>
      <c r="B838" t="s">
        <v>1024</v>
      </c>
      <c r="D838" t="s">
        <v>100</v>
      </c>
      <c r="E838" t="s">
        <v>439</v>
      </c>
      <c r="F838" t="s">
        <v>479</v>
      </c>
      <c r="G838" t="s">
        <v>245</v>
      </c>
      <c r="H838" t="s">
        <v>104</v>
      </c>
      <c r="I838">
        <v>2022</v>
      </c>
      <c r="J838" t="s">
        <v>480</v>
      </c>
      <c r="K838" t="s">
        <v>106</v>
      </c>
      <c r="L838" t="s">
        <v>1171</v>
      </c>
      <c r="M838" t="s">
        <v>1190</v>
      </c>
      <c r="N838">
        <v>1</v>
      </c>
      <c r="O838">
        <v>2020</v>
      </c>
      <c r="P838">
        <v>1625.561814955347</v>
      </c>
      <c r="Q838">
        <v>83.737016934227881</v>
      </c>
      <c r="R838" t="s">
        <v>109</v>
      </c>
      <c r="S838">
        <v>3.1167552571169028</v>
      </c>
      <c r="T838" t="s">
        <v>110</v>
      </c>
      <c r="U838">
        <v>1.0763276140434681</v>
      </c>
      <c r="V838">
        <v>16061.60203036269</v>
      </c>
      <c r="W838">
        <v>827.37588250020144</v>
      </c>
      <c r="X838" t="s">
        <v>111</v>
      </c>
      <c r="Y838">
        <v>10</v>
      </c>
      <c r="Z838">
        <v>0.44</v>
      </c>
      <c r="AA838">
        <v>31.536000000000001</v>
      </c>
    </row>
    <row r="839" spans="1:27" hidden="1" x14ac:dyDescent="0.25">
      <c r="A839" t="s">
        <v>98</v>
      </c>
      <c r="B839" t="s">
        <v>1024</v>
      </c>
      <c r="D839" t="s">
        <v>100</v>
      </c>
      <c r="E839" t="s">
        <v>439</v>
      </c>
      <c r="F839" t="s">
        <v>479</v>
      </c>
      <c r="G839" t="s">
        <v>103</v>
      </c>
      <c r="H839" t="s">
        <v>104</v>
      </c>
      <c r="I839">
        <v>2022</v>
      </c>
      <c r="J839" t="s">
        <v>482</v>
      </c>
      <c r="K839" t="s">
        <v>106</v>
      </c>
      <c r="L839" t="s">
        <v>1171</v>
      </c>
      <c r="M839" t="s">
        <v>1191</v>
      </c>
      <c r="N839">
        <v>1</v>
      </c>
      <c r="O839">
        <v>2020</v>
      </c>
      <c r="P839">
        <v>1649.1429636040691</v>
      </c>
      <c r="Q839">
        <v>83.737016934227881</v>
      </c>
      <c r="R839" t="s">
        <v>109</v>
      </c>
      <c r="S839">
        <v>4.464541314248538</v>
      </c>
      <c r="T839" t="s">
        <v>110</v>
      </c>
      <c r="U839">
        <v>1.541766582278481</v>
      </c>
      <c r="V839">
        <v>16294.59902963399</v>
      </c>
      <c r="W839">
        <v>827.37588250020167</v>
      </c>
      <c r="X839" t="s">
        <v>111</v>
      </c>
      <c r="Y839">
        <v>10</v>
      </c>
      <c r="Z839">
        <v>0.44</v>
      </c>
      <c r="AA839">
        <v>31.536000000000001</v>
      </c>
    </row>
    <row r="840" spans="1:27" hidden="1" x14ac:dyDescent="0.25">
      <c r="A840" t="s">
        <v>98</v>
      </c>
      <c r="B840" t="s">
        <v>1024</v>
      </c>
      <c r="D840" t="s">
        <v>100</v>
      </c>
      <c r="E840" t="s">
        <v>439</v>
      </c>
      <c r="F840" t="s">
        <v>479</v>
      </c>
      <c r="G840" t="s">
        <v>112</v>
      </c>
      <c r="H840" t="s">
        <v>104</v>
      </c>
      <c r="I840">
        <v>2022</v>
      </c>
      <c r="J840" t="s">
        <v>484</v>
      </c>
      <c r="K840" t="s">
        <v>106</v>
      </c>
      <c r="L840" t="s">
        <v>1171</v>
      </c>
      <c r="M840" t="s">
        <v>1192</v>
      </c>
      <c r="N840">
        <v>1</v>
      </c>
      <c r="O840">
        <v>2020</v>
      </c>
      <c r="P840">
        <v>1758.024723094816</v>
      </c>
      <c r="Q840">
        <v>83.737016934227881</v>
      </c>
      <c r="R840" t="s">
        <v>109</v>
      </c>
      <c r="S840">
        <v>7.4409021904142287</v>
      </c>
      <c r="T840" t="s">
        <v>110</v>
      </c>
      <c r="U840">
        <v>2.5696109704641348</v>
      </c>
      <c r="V840">
        <v>17370.421230436659</v>
      </c>
      <c r="W840">
        <v>827.37588250020167</v>
      </c>
      <c r="X840" t="s">
        <v>111</v>
      </c>
      <c r="Y840">
        <v>10</v>
      </c>
      <c r="Z840">
        <v>0.44</v>
      </c>
      <c r="AA840">
        <v>31.536000000000001</v>
      </c>
    </row>
    <row r="841" spans="1:27" hidden="1" x14ac:dyDescent="0.25">
      <c r="A841" t="s">
        <v>98</v>
      </c>
      <c r="B841" t="s">
        <v>1024</v>
      </c>
      <c r="D841" t="s">
        <v>100</v>
      </c>
      <c r="E841" t="s">
        <v>439</v>
      </c>
      <c r="F841" t="s">
        <v>479</v>
      </c>
      <c r="G841" t="s">
        <v>219</v>
      </c>
      <c r="H841" t="s">
        <v>104</v>
      </c>
      <c r="I841">
        <v>2022</v>
      </c>
      <c r="J841" t="s">
        <v>486</v>
      </c>
      <c r="K841" t="s">
        <v>106</v>
      </c>
      <c r="L841" t="s">
        <v>1171</v>
      </c>
      <c r="M841" t="s">
        <v>1193</v>
      </c>
      <c r="N841">
        <v>1</v>
      </c>
      <c r="O841">
        <v>2020</v>
      </c>
      <c r="P841">
        <v>1758.024723094816</v>
      </c>
      <c r="Q841">
        <v>84.189649458196669</v>
      </c>
      <c r="R841" t="s">
        <v>109</v>
      </c>
      <c r="S841">
        <v>7.4409021904142287</v>
      </c>
      <c r="T841" t="s">
        <v>110</v>
      </c>
      <c r="U841">
        <v>2.5696109704641348</v>
      </c>
      <c r="V841">
        <v>17370.421230436659</v>
      </c>
      <c r="W841">
        <v>831.8481845677702</v>
      </c>
      <c r="X841" t="s">
        <v>111</v>
      </c>
      <c r="Y841">
        <v>10</v>
      </c>
      <c r="Z841">
        <v>0.44</v>
      </c>
      <c r="AA841">
        <v>31.536000000000001</v>
      </c>
    </row>
    <row r="842" spans="1:27" hidden="1" x14ac:dyDescent="0.25">
      <c r="A842" t="s">
        <v>98</v>
      </c>
      <c r="B842" t="s">
        <v>1024</v>
      </c>
      <c r="D842" t="s">
        <v>100</v>
      </c>
      <c r="E842" t="s">
        <v>439</v>
      </c>
      <c r="F842" t="s">
        <v>479</v>
      </c>
      <c r="G842" t="s">
        <v>103</v>
      </c>
      <c r="H842" t="s">
        <v>104</v>
      </c>
      <c r="I842">
        <v>2030</v>
      </c>
      <c r="J842" t="s">
        <v>488</v>
      </c>
      <c r="K842" t="s">
        <v>106</v>
      </c>
      <c r="L842" t="s">
        <v>1171</v>
      </c>
      <c r="M842" t="s">
        <v>1194</v>
      </c>
      <c r="N842">
        <v>1</v>
      </c>
      <c r="O842">
        <v>2030</v>
      </c>
      <c r="P842">
        <v>1649.1429636040691</v>
      </c>
      <c r="Q842">
        <v>83.737016934227881</v>
      </c>
      <c r="R842" t="s">
        <v>109</v>
      </c>
      <c r="S842">
        <v>4.464541314248538</v>
      </c>
      <c r="T842" t="s">
        <v>110</v>
      </c>
      <c r="U842">
        <v>1.541766582278481</v>
      </c>
      <c r="V842">
        <v>16294.59902963399</v>
      </c>
      <c r="W842">
        <v>827.37588250020167</v>
      </c>
      <c r="X842" t="s">
        <v>111</v>
      </c>
      <c r="Y842">
        <v>10</v>
      </c>
      <c r="Z842">
        <v>0.44</v>
      </c>
      <c r="AA842">
        <v>31.536000000000001</v>
      </c>
    </row>
    <row r="843" spans="1:27" hidden="1" x14ac:dyDescent="0.25">
      <c r="A843" t="s">
        <v>98</v>
      </c>
      <c r="B843" t="s">
        <v>1024</v>
      </c>
      <c r="D843" t="s">
        <v>100</v>
      </c>
      <c r="E843" t="s">
        <v>439</v>
      </c>
      <c r="F843" t="s">
        <v>479</v>
      </c>
      <c r="G843" t="s">
        <v>112</v>
      </c>
      <c r="H843" t="s">
        <v>104</v>
      </c>
      <c r="I843">
        <v>2030</v>
      </c>
      <c r="J843" t="s">
        <v>490</v>
      </c>
      <c r="K843" t="s">
        <v>106</v>
      </c>
      <c r="L843" t="s">
        <v>1171</v>
      </c>
      <c r="M843" t="s">
        <v>1195</v>
      </c>
      <c r="N843">
        <v>1</v>
      </c>
      <c r="O843">
        <v>2030</v>
      </c>
      <c r="P843">
        <v>1758.024723094816</v>
      </c>
      <c r="Q843">
        <v>83.737016934227881</v>
      </c>
      <c r="R843" t="s">
        <v>109</v>
      </c>
      <c r="S843">
        <v>7.4409021904142287</v>
      </c>
      <c r="T843" t="s">
        <v>110</v>
      </c>
      <c r="U843">
        <v>2.5696109704641348</v>
      </c>
      <c r="V843">
        <v>17370.421230436659</v>
      </c>
      <c r="W843">
        <v>827.37588250020167</v>
      </c>
      <c r="X843" t="s">
        <v>111</v>
      </c>
      <c r="Y843">
        <v>10</v>
      </c>
      <c r="Z843">
        <v>0.44</v>
      </c>
      <c r="AA843">
        <v>31.536000000000001</v>
      </c>
    </row>
    <row r="844" spans="1:27" hidden="1" x14ac:dyDescent="0.25">
      <c r="A844" t="s">
        <v>98</v>
      </c>
      <c r="B844" t="s">
        <v>1024</v>
      </c>
      <c r="D844" t="s">
        <v>100</v>
      </c>
      <c r="E844" t="s">
        <v>439</v>
      </c>
      <c r="F844" t="s">
        <v>479</v>
      </c>
      <c r="G844" t="s">
        <v>103</v>
      </c>
      <c r="H844" t="s">
        <v>104</v>
      </c>
      <c r="I844">
        <v>2040</v>
      </c>
      <c r="J844" t="s">
        <v>492</v>
      </c>
      <c r="K844" t="s">
        <v>106</v>
      </c>
      <c r="L844" t="s">
        <v>1171</v>
      </c>
      <c r="M844" t="s">
        <v>1196</v>
      </c>
      <c r="N844">
        <v>1</v>
      </c>
      <c r="O844">
        <v>2040</v>
      </c>
      <c r="P844">
        <v>1649.1429636040691</v>
      </c>
      <c r="Q844">
        <v>83.737016934227881</v>
      </c>
      <c r="R844" t="s">
        <v>109</v>
      </c>
      <c r="S844">
        <v>4.464541314248538</v>
      </c>
      <c r="T844" t="s">
        <v>110</v>
      </c>
      <c r="U844">
        <v>1.541766582278481</v>
      </c>
      <c r="V844">
        <v>16294.59902963399</v>
      </c>
      <c r="W844">
        <v>827.37588250020167</v>
      </c>
      <c r="X844" t="s">
        <v>111</v>
      </c>
      <c r="Y844">
        <v>10</v>
      </c>
      <c r="Z844">
        <v>0.44</v>
      </c>
      <c r="AA844">
        <v>31.536000000000001</v>
      </c>
    </row>
    <row r="845" spans="1:27" hidden="1" x14ac:dyDescent="0.25">
      <c r="A845" t="s">
        <v>98</v>
      </c>
      <c r="B845" t="s">
        <v>1024</v>
      </c>
      <c r="D845" t="s">
        <v>100</v>
      </c>
      <c r="E845" t="s">
        <v>439</v>
      </c>
      <c r="F845" t="s">
        <v>479</v>
      </c>
      <c r="G845" t="s">
        <v>112</v>
      </c>
      <c r="H845" t="s">
        <v>104</v>
      </c>
      <c r="I845">
        <v>2040</v>
      </c>
      <c r="J845" t="s">
        <v>494</v>
      </c>
      <c r="K845" t="s">
        <v>106</v>
      </c>
      <c r="L845" t="s">
        <v>1171</v>
      </c>
      <c r="M845" t="s">
        <v>1197</v>
      </c>
      <c r="N845">
        <v>1</v>
      </c>
      <c r="O845">
        <v>2040</v>
      </c>
      <c r="P845">
        <v>1758.024723094816</v>
      </c>
      <c r="Q845">
        <v>83.737016934227881</v>
      </c>
      <c r="R845" t="s">
        <v>109</v>
      </c>
      <c r="S845">
        <v>7.4409021904142287</v>
      </c>
      <c r="T845" t="s">
        <v>110</v>
      </c>
      <c r="U845">
        <v>2.5696109704641348</v>
      </c>
      <c r="V845">
        <v>17370.421230436659</v>
      </c>
      <c r="W845">
        <v>827.37588250020167</v>
      </c>
      <c r="X845" t="s">
        <v>111</v>
      </c>
      <c r="Y845">
        <v>10</v>
      </c>
      <c r="Z845">
        <v>0.44</v>
      </c>
      <c r="AA845">
        <v>31.536000000000001</v>
      </c>
    </row>
    <row r="846" spans="1:27" hidden="1" x14ac:dyDescent="0.25">
      <c r="A846" t="s">
        <v>98</v>
      </c>
      <c r="B846" t="s">
        <v>1024</v>
      </c>
      <c r="D846" t="s">
        <v>100</v>
      </c>
      <c r="E846" t="s">
        <v>439</v>
      </c>
      <c r="F846" t="s">
        <v>479</v>
      </c>
      <c r="G846" t="s">
        <v>112</v>
      </c>
      <c r="H846" t="s">
        <v>104</v>
      </c>
      <c r="I846">
        <v>2025</v>
      </c>
      <c r="J846" t="s">
        <v>496</v>
      </c>
      <c r="K846" t="s">
        <v>106</v>
      </c>
      <c r="L846" t="s">
        <v>1171</v>
      </c>
      <c r="M846" t="s">
        <v>1198</v>
      </c>
      <c r="N846">
        <v>1</v>
      </c>
      <c r="O846">
        <v>2025</v>
      </c>
      <c r="P846">
        <v>1758.024723094816</v>
      </c>
      <c r="Q846">
        <v>83.737016934227881</v>
      </c>
      <c r="R846" t="s">
        <v>109</v>
      </c>
      <c r="S846">
        <v>7.4409021904142287</v>
      </c>
      <c r="T846" t="s">
        <v>110</v>
      </c>
      <c r="U846">
        <v>2.5696109704641348</v>
      </c>
      <c r="V846">
        <v>17370.421230436659</v>
      </c>
      <c r="W846">
        <v>827.37588250020167</v>
      </c>
      <c r="X846" t="s">
        <v>111</v>
      </c>
      <c r="Y846">
        <v>10</v>
      </c>
      <c r="Z846">
        <v>0.44</v>
      </c>
      <c r="AA846">
        <v>31.536000000000001</v>
      </c>
    </row>
    <row r="847" spans="1:27" hidden="1" x14ac:dyDescent="0.25">
      <c r="A847" t="s">
        <v>498</v>
      </c>
      <c r="M847" t="s">
        <v>498</v>
      </c>
      <c r="N847" t="s">
        <v>498</v>
      </c>
    </row>
    <row r="848" spans="1:27" hidden="1" x14ac:dyDescent="0.25">
      <c r="A848" t="s">
        <v>98</v>
      </c>
      <c r="B848" t="s">
        <v>1199</v>
      </c>
      <c r="D848" t="s">
        <v>100</v>
      </c>
      <c r="E848" t="s">
        <v>101</v>
      </c>
      <c r="F848" t="s">
        <v>102</v>
      </c>
      <c r="G848" t="s">
        <v>103</v>
      </c>
      <c r="H848" t="s">
        <v>104</v>
      </c>
      <c r="I848">
        <v>2061</v>
      </c>
      <c r="J848" t="s">
        <v>105</v>
      </c>
      <c r="K848" t="s">
        <v>106</v>
      </c>
      <c r="L848" t="s">
        <v>1200</v>
      </c>
      <c r="M848" t="s">
        <v>1201</v>
      </c>
      <c r="N848">
        <v>0</v>
      </c>
      <c r="O848">
        <v>2061</v>
      </c>
      <c r="P848">
        <v>117.0584711706526</v>
      </c>
      <c r="Q848">
        <v>4.2000145906136934</v>
      </c>
      <c r="R848" t="s">
        <v>109</v>
      </c>
      <c r="S848">
        <v>3.3</v>
      </c>
      <c r="T848" t="s">
        <v>110</v>
      </c>
      <c r="U848">
        <v>3.3</v>
      </c>
      <c r="V848">
        <v>399.42017862788401</v>
      </c>
      <c r="W848">
        <v>14.33104807576899</v>
      </c>
      <c r="X848" t="s">
        <v>111</v>
      </c>
      <c r="Y848">
        <v>21</v>
      </c>
      <c r="Z848">
        <v>0.37802164273770222</v>
      </c>
      <c r="AA848">
        <v>31.536000000000001</v>
      </c>
    </row>
    <row r="849" spans="1:27" hidden="1" x14ac:dyDescent="0.25">
      <c r="A849" t="s">
        <v>98</v>
      </c>
      <c r="B849" t="s">
        <v>1199</v>
      </c>
      <c r="D849" t="s">
        <v>100</v>
      </c>
      <c r="E849" t="s">
        <v>101</v>
      </c>
      <c r="F849" t="s">
        <v>102</v>
      </c>
      <c r="G849" t="s">
        <v>112</v>
      </c>
      <c r="H849" t="s">
        <v>104</v>
      </c>
      <c r="I849">
        <v>2022</v>
      </c>
      <c r="J849" t="s">
        <v>113</v>
      </c>
      <c r="K849" t="s">
        <v>106</v>
      </c>
      <c r="L849" t="s">
        <v>1200</v>
      </c>
      <c r="M849" t="s">
        <v>1202</v>
      </c>
      <c r="N849">
        <v>1</v>
      </c>
      <c r="O849">
        <v>2020</v>
      </c>
      <c r="P849">
        <v>200.7885700942916</v>
      </c>
      <c r="Q849">
        <v>4.2000145906136934</v>
      </c>
      <c r="R849" t="s">
        <v>109</v>
      </c>
      <c r="S849">
        <v>3.7</v>
      </c>
      <c r="T849" t="s">
        <v>110</v>
      </c>
      <c r="U849">
        <v>3.7</v>
      </c>
      <c r="V849">
        <v>685.1192035182313</v>
      </c>
      <c r="W849">
        <v>14.33104807576899</v>
      </c>
      <c r="X849" t="s">
        <v>111</v>
      </c>
      <c r="Y849">
        <v>21</v>
      </c>
      <c r="Z849">
        <v>0.37802164273770222</v>
      </c>
      <c r="AA849">
        <v>31.536000000000001</v>
      </c>
    </row>
    <row r="850" spans="1:27" hidden="1" x14ac:dyDescent="0.25">
      <c r="A850" t="s">
        <v>98</v>
      </c>
      <c r="B850" t="s">
        <v>1199</v>
      </c>
      <c r="D850" t="s">
        <v>100</v>
      </c>
      <c r="E850" t="s">
        <v>101</v>
      </c>
      <c r="F850" t="s">
        <v>102</v>
      </c>
      <c r="G850" t="s">
        <v>103</v>
      </c>
      <c r="H850" t="s">
        <v>104</v>
      </c>
      <c r="I850">
        <v>2023</v>
      </c>
      <c r="J850" t="s">
        <v>115</v>
      </c>
      <c r="K850" t="s">
        <v>106</v>
      </c>
      <c r="L850" t="s">
        <v>1200</v>
      </c>
      <c r="M850" t="s">
        <v>1203</v>
      </c>
      <c r="N850">
        <v>0</v>
      </c>
      <c r="O850">
        <v>2023</v>
      </c>
      <c r="P850">
        <v>135.73557542199771</v>
      </c>
      <c r="Q850">
        <v>4.2000145906136934</v>
      </c>
      <c r="R850" t="s">
        <v>109</v>
      </c>
      <c r="S850">
        <v>3.4</v>
      </c>
      <c r="T850" t="s">
        <v>110</v>
      </c>
      <c r="U850">
        <v>3.4</v>
      </c>
      <c r="V850">
        <v>463.14911888927151</v>
      </c>
      <c r="W850">
        <v>14.33104807576899</v>
      </c>
      <c r="X850" t="s">
        <v>111</v>
      </c>
      <c r="Y850">
        <v>21</v>
      </c>
      <c r="Z850">
        <v>0.37802164273770222</v>
      </c>
      <c r="AA850">
        <v>31.536000000000001</v>
      </c>
    </row>
    <row r="851" spans="1:27" hidden="1" x14ac:dyDescent="0.25">
      <c r="A851" t="s">
        <v>98</v>
      </c>
      <c r="B851" t="s">
        <v>1199</v>
      </c>
      <c r="D851" t="s">
        <v>100</v>
      </c>
      <c r="E851" t="s">
        <v>101</v>
      </c>
      <c r="F851" t="s">
        <v>117</v>
      </c>
      <c r="G851" t="s">
        <v>103</v>
      </c>
      <c r="H851" t="s">
        <v>104</v>
      </c>
      <c r="I851">
        <v>2033</v>
      </c>
      <c r="J851" t="s">
        <v>118</v>
      </c>
      <c r="K851" t="s">
        <v>106</v>
      </c>
      <c r="L851" t="s">
        <v>1200</v>
      </c>
      <c r="M851" t="s">
        <v>1204</v>
      </c>
      <c r="N851">
        <v>0</v>
      </c>
      <c r="O851">
        <v>2033</v>
      </c>
      <c r="P851">
        <v>483.9331327692995</v>
      </c>
      <c r="Q851">
        <v>3.810497108419681</v>
      </c>
      <c r="R851" t="s">
        <v>109</v>
      </c>
      <c r="S851">
        <v>3.7</v>
      </c>
      <c r="T851" t="s">
        <v>110</v>
      </c>
      <c r="U851">
        <v>3.7</v>
      </c>
      <c r="V851">
        <v>1651.2487853431401</v>
      </c>
      <c r="W851">
        <v>13.00195893970977</v>
      </c>
      <c r="X851" t="s">
        <v>111</v>
      </c>
      <c r="Y851">
        <v>14.4</v>
      </c>
      <c r="Z851">
        <v>0.37802164273770222</v>
      </c>
      <c r="AA851">
        <v>31.536000000000001</v>
      </c>
    </row>
    <row r="852" spans="1:27" hidden="1" x14ac:dyDescent="0.25">
      <c r="A852" t="s">
        <v>98</v>
      </c>
      <c r="B852" t="s">
        <v>1199</v>
      </c>
      <c r="D852" t="s">
        <v>100</v>
      </c>
      <c r="E852" t="s">
        <v>101</v>
      </c>
      <c r="F852" t="s">
        <v>117</v>
      </c>
      <c r="G852" t="s">
        <v>67</v>
      </c>
      <c r="H852" t="s">
        <v>104</v>
      </c>
      <c r="I852">
        <v>2033</v>
      </c>
      <c r="J852" t="s">
        <v>120</v>
      </c>
      <c r="K852" t="s">
        <v>106</v>
      </c>
      <c r="L852" t="s">
        <v>1200</v>
      </c>
      <c r="M852" t="s">
        <v>1205</v>
      </c>
      <c r="N852">
        <v>0</v>
      </c>
      <c r="O852">
        <v>2033</v>
      </c>
      <c r="P852">
        <v>497.90495550017158</v>
      </c>
      <c r="Q852">
        <v>3.810497108419681</v>
      </c>
      <c r="R852" t="s">
        <v>109</v>
      </c>
      <c r="S852">
        <v>3.8</v>
      </c>
      <c r="T852" t="s">
        <v>110</v>
      </c>
      <c r="U852">
        <v>3.8</v>
      </c>
      <c r="V852">
        <v>1698.9226347887429</v>
      </c>
      <c r="W852">
        <v>13.00195893970977</v>
      </c>
      <c r="X852" t="s">
        <v>111</v>
      </c>
      <c r="Y852">
        <v>14.4</v>
      </c>
      <c r="Z852">
        <v>0.37802164273770222</v>
      </c>
      <c r="AA852">
        <v>31.536000000000001</v>
      </c>
    </row>
    <row r="853" spans="1:27" hidden="1" x14ac:dyDescent="0.25">
      <c r="A853" t="s">
        <v>98</v>
      </c>
      <c r="B853" t="s">
        <v>1199</v>
      </c>
      <c r="D853" t="s">
        <v>100</v>
      </c>
      <c r="E853" t="s">
        <v>101</v>
      </c>
      <c r="F853" t="s">
        <v>117</v>
      </c>
      <c r="G853" t="s">
        <v>112</v>
      </c>
      <c r="H853" t="s">
        <v>104</v>
      </c>
      <c r="I853">
        <v>2033</v>
      </c>
      <c r="J853" t="s">
        <v>122</v>
      </c>
      <c r="K853" t="s">
        <v>106</v>
      </c>
      <c r="L853" t="s">
        <v>1200</v>
      </c>
      <c r="M853" t="s">
        <v>1206</v>
      </c>
      <c r="N853">
        <v>0</v>
      </c>
      <c r="O853">
        <v>2033</v>
      </c>
      <c r="P853">
        <v>513.14694393385037</v>
      </c>
      <c r="Q853">
        <v>3.810497108419681</v>
      </c>
      <c r="R853" t="s">
        <v>109</v>
      </c>
      <c r="S853">
        <v>4</v>
      </c>
      <c r="T853" t="s">
        <v>110</v>
      </c>
      <c r="U853">
        <v>4</v>
      </c>
      <c r="V853">
        <v>1750.930470547582</v>
      </c>
      <c r="W853">
        <v>13.00195893970977</v>
      </c>
      <c r="X853" t="s">
        <v>111</v>
      </c>
      <c r="Y853">
        <v>14.4</v>
      </c>
      <c r="Z853">
        <v>0.37802164273770222</v>
      </c>
      <c r="AA853">
        <v>31.536000000000001</v>
      </c>
    </row>
    <row r="854" spans="1:27" hidden="1" x14ac:dyDescent="0.25">
      <c r="A854" t="s">
        <v>98</v>
      </c>
      <c r="B854" t="s">
        <v>1199</v>
      </c>
      <c r="D854" t="s">
        <v>100</v>
      </c>
      <c r="E854" t="s">
        <v>101</v>
      </c>
      <c r="F854" t="s">
        <v>117</v>
      </c>
      <c r="G854" t="s">
        <v>103</v>
      </c>
      <c r="H854" t="s">
        <v>104</v>
      </c>
      <c r="I854">
        <v>2023</v>
      </c>
      <c r="J854" t="s">
        <v>124</v>
      </c>
      <c r="K854" t="s">
        <v>106</v>
      </c>
      <c r="L854" t="s">
        <v>1200</v>
      </c>
      <c r="M854" t="s">
        <v>1207</v>
      </c>
      <c r="N854">
        <v>0</v>
      </c>
      <c r="O854">
        <v>2023</v>
      </c>
      <c r="P854">
        <v>483.9331327692995</v>
      </c>
      <c r="Q854">
        <v>3.810497108419681</v>
      </c>
      <c r="R854" t="s">
        <v>109</v>
      </c>
      <c r="S854">
        <v>3.7</v>
      </c>
      <c r="T854" t="s">
        <v>110</v>
      </c>
      <c r="U854">
        <v>3.7</v>
      </c>
      <c r="V854">
        <v>1651.2487853431401</v>
      </c>
      <c r="W854">
        <v>13.00195893970977</v>
      </c>
      <c r="X854" t="s">
        <v>111</v>
      </c>
      <c r="Y854">
        <v>14.4</v>
      </c>
      <c r="Z854">
        <v>0.37802164273770222</v>
      </c>
      <c r="AA854">
        <v>31.536000000000001</v>
      </c>
    </row>
    <row r="855" spans="1:27" hidden="1" x14ac:dyDescent="0.25">
      <c r="A855" t="s">
        <v>98</v>
      </c>
      <c r="B855" t="s">
        <v>1199</v>
      </c>
      <c r="D855" t="s">
        <v>100</v>
      </c>
      <c r="E855" t="s">
        <v>101</v>
      </c>
      <c r="F855" t="s">
        <v>117</v>
      </c>
      <c r="G855" t="s">
        <v>67</v>
      </c>
      <c r="H855" t="s">
        <v>104</v>
      </c>
      <c r="I855">
        <v>2023</v>
      </c>
      <c r="J855" t="s">
        <v>126</v>
      </c>
      <c r="K855" t="s">
        <v>106</v>
      </c>
      <c r="L855" t="s">
        <v>1200</v>
      </c>
      <c r="M855" t="s">
        <v>1208</v>
      </c>
      <c r="N855">
        <v>0</v>
      </c>
      <c r="O855">
        <v>2023</v>
      </c>
      <c r="P855">
        <v>497.90495550017158</v>
      </c>
      <c r="Q855">
        <v>3.810497108419681</v>
      </c>
      <c r="R855" t="s">
        <v>109</v>
      </c>
      <c r="S855">
        <v>3.8</v>
      </c>
      <c r="T855" t="s">
        <v>110</v>
      </c>
      <c r="U855">
        <v>3.8</v>
      </c>
      <c r="V855">
        <v>1698.9226347887429</v>
      </c>
      <c r="W855">
        <v>13.00195893970977</v>
      </c>
      <c r="X855" t="s">
        <v>111</v>
      </c>
      <c r="Y855">
        <v>14.4</v>
      </c>
      <c r="Z855">
        <v>0.37802164273770222</v>
      </c>
      <c r="AA855">
        <v>31.536000000000001</v>
      </c>
    </row>
    <row r="856" spans="1:27" hidden="1" x14ac:dyDescent="0.25">
      <c r="A856" t="s">
        <v>98</v>
      </c>
      <c r="B856" t="s">
        <v>1199</v>
      </c>
      <c r="D856" t="s">
        <v>100</v>
      </c>
      <c r="E856" t="s">
        <v>101</v>
      </c>
      <c r="F856" t="s">
        <v>117</v>
      </c>
      <c r="G856" t="s">
        <v>112</v>
      </c>
      <c r="H856" t="s">
        <v>104</v>
      </c>
      <c r="I856">
        <v>2023</v>
      </c>
      <c r="J856" t="s">
        <v>128</v>
      </c>
      <c r="K856" t="s">
        <v>106</v>
      </c>
      <c r="L856" t="s">
        <v>1200</v>
      </c>
      <c r="M856" t="s">
        <v>1209</v>
      </c>
      <c r="N856">
        <v>0</v>
      </c>
      <c r="O856">
        <v>2023</v>
      </c>
      <c r="P856">
        <v>513.14694393385037</v>
      </c>
      <c r="Q856">
        <v>3.810497108419681</v>
      </c>
      <c r="R856" t="s">
        <v>109</v>
      </c>
      <c r="S856">
        <v>4</v>
      </c>
      <c r="T856" t="s">
        <v>110</v>
      </c>
      <c r="U856">
        <v>4</v>
      </c>
      <c r="V856">
        <v>1750.930470547582</v>
      </c>
      <c r="W856">
        <v>13.00195893970977</v>
      </c>
      <c r="X856" t="s">
        <v>111</v>
      </c>
      <c r="Y856">
        <v>14.4</v>
      </c>
      <c r="Z856">
        <v>0.37802164273770222</v>
      </c>
      <c r="AA856">
        <v>31.536000000000001</v>
      </c>
    </row>
    <row r="857" spans="1:27" hidden="1" x14ac:dyDescent="0.25">
      <c r="A857" t="s">
        <v>98</v>
      </c>
      <c r="B857" t="s">
        <v>1199</v>
      </c>
      <c r="D857" t="s">
        <v>100</v>
      </c>
      <c r="E857" t="s">
        <v>101</v>
      </c>
      <c r="F857" t="s">
        <v>130</v>
      </c>
      <c r="G857" t="s">
        <v>103</v>
      </c>
      <c r="H857" t="s">
        <v>131</v>
      </c>
      <c r="I857">
        <v>2022</v>
      </c>
      <c r="J857" t="s">
        <v>132</v>
      </c>
      <c r="K857" t="s">
        <v>133</v>
      </c>
      <c r="L857" t="s">
        <v>1200</v>
      </c>
      <c r="M857" t="s">
        <v>1210</v>
      </c>
      <c r="N857">
        <v>1</v>
      </c>
      <c r="O857">
        <v>2020</v>
      </c>
      <c r="P857">
        <v>335.32374554093201</v>
      </c>
      <c r="Q857">
        <v>6.3000218859205397</v>
      </c>
      <c r="R857" t="s">
        <v>109</v>
      </c>
      <c r="S857">
        <v>1.4</v>
      </c>
      <c r="T857" t="s">
        <v>110</v>
      </c>
      <c r="U857">
        <v>1.4</v>
      </c>
      <c r="V857">
        <v>1144.172386694459</v>
      </c>
      <c r="W857">
        <v>21.496572113653482</v>
      </c>
      <c r="X857" t="s">
        <v>111</v>
      </c>
      <c r="Y857">
        <v>15</v>
      </c>
      <c r="Z857">
        <v>0.37802164273770222</v>
      </c>
      <c r="AA857">
        <v>31.536000000000001</v>
      </c>
    </row>
    <row r="858" spans="1:27" hidden="1" x14ac:dyDescent="0.25">
      <c r="A858" t="s">
        <v>98</v>
      </c>
      <c r="B858" t="s">
        <v>1199</v>
      </c>
      <c r="D858" t="s">
        <v>100</v>
      </c>
      <c r="E858" t="s">
        <v>101</v>
      </c>
      <c r="F858" t="s">
        <v>135</v>
      </c>
      <c r="G858" t="s">
        <v>103</v>
      </c>
      <c r="H858" t="s">
        <v>136</v>
      </c>
      <c r="I858">
        <v>2030</v>
      </c>
      <c r="J858" t="s">
        <v>137</v>
      </c>
      <c r="K858" t="s">
        <v>138</v>
      </c>
      <c r="L858" t="s">
        <v>1200</v>
      </c>
      <c r="M858" t="s">
        <v>1211</v>
      </c>
      <c r="N858">
        <v>1</v>
      </c>
      <c r="O858">
        <v>2030</v>
      </c>
      <c r="P858">
        <v>55.186509846078152</v>
      </c>
      <c r="Q858">
        <v>4.0294911951104666</v>
      </c>
      <c r="R858" t="s">
        <v>109</v>
      </c>
      <c r="S858">
        <v>0.87</v>
      </c>
      <c r="T858" t="s">
        <v>110</v>
      </c>
      <c r="U858">
        <v>0.87</v>
      </c>
      <c r="V858">
        <v>188.30423291993449</v>
      </c>
      <c r="W858">
        <v>13.749197959233321</v>
      </c>
      <c r="X858" t="s">
        <v>111</v>
      </c>
      <c r="Y858">
        <v>25</v>
      </c>
      <c r="Z858">
        <v>0.37802164273770222</v>
      </c>
      <c r="AA858">
        <v>31.536000000000001</v>
      </c>
    </row>
    <row r="859" spans="1:27" hidden="1" x14ac:dyDescent="0.25">
      <c r="A859" t="s">
        <v>98</v>
      </c>
      <c r="B859" t="s">
        <v>1199</v>
      </c>
      <c r="D859" t="s">
        <v>100</v>
      </c>
      <c r="E859" t="s">
        <v>101</v>
      </c>
      <c r="F859" t="s">
        <v>135</v>
      </c>
      <c r="G859" t="s">
        <v>103</v>
      </c>
      <c r="H859" t="s">
        <v>136</v>
      </c>
      <c r="I859">
        <v>2040</v>
      </c>
      <c r="J859" t="s">
        <v>140</v>
      </c>
      <c r="K859" t="s">
        <v>138</v>
      </c>
      <c r="L859" t="s">
        <v>1200</v>
      </c>
      <c r="M859" t="s">
        <v>1212</v>
      </c>
      <c r="N859">
        <v>1</v>
      </c>
      <c r="O859">
        <v>2040</v>
      </c>
      <c r="P859">
        <v>53.946363557402229</v>
      </c>
      <c r="Q859">
        <v>3.9389408311754002</v>
      </c>
      <c r="R859" t="s">
        <v>109</v>
      </c>
      <c r="S859">
        <v>0.89</v>
      </c>
      <c r="T859" t="s">
        <v>110</v>
      </c>
      <c r="U859">
        <v>0.89</v>
      </c>
      <c r="V859">
        <v>184.07267712398101</v>
      </c>
      <c r="W859">
        <v>13.440227218576389</v>
      </c>
      <c r="X859" t="s">
        <v>111</v>
      </c>
      <c r="Y859">
        <v>25</v>
      </c>
      <c r="Z859">
        <v>0.37802164273770222</v>
      </c>
      <c r="AA859">
        <v>31.536000000000001</v>
      </c>
    </row>
    <row r="860" spans="1:27" hidden="1" x14ac:dyDescent="0.25">
      <c r="A860" t="s">
        <v>98</v>
      </c>
      <c r="B860" t="s">
        <v>1199</v>
      </c>
      <c r="D860" t="s">
        <v>100</v>
      </c>
      <c r="E860" t="s">
        <v>142</v>
      </c>
      <c r="F860" t="s">
        <v>102</v>
      </c>
      <c r="G860" t="s">
        <v>103</v>
      </c>
      <c r="H860" t="s">
        <v>104</v>
      </c>
      <c r="I860">
        <v>2061</v>
      </c>
      <c r="J860" t="s">
        <v>143</v>
      </c>
      <c r="K860" t="s">
        <v>106</v>
      </c>
      <c r="L860" t="s">
        <v>1213</v>
      </c>
      <c r="M860" t="s">
        <v>1214</v>
      </c>
      <c r="N860">
        <v>0</v>
      </c>
      <c r="O860">
        <v>2061</v>
      </c>
      <c r="P860">
        <v>117.0584711706526</v>
      </c>
      <c r="Q860">
        <v>4.2000145906136934</v>
      </c>
      <c r="R860" t="s">
        <v>109</v>
      </c>
      <c r="S860">
        <v>3.2239155920281362</v>
      </c>
      <c r="T860" t="s">
        <v>110</v>
      </c>
      <c r="U860">
        <v>3.2239155920281362</v>
      </c>
      <c r="V860">
        <v>399.42017862788401</v>
      </c>
      <c r="W860">
        <v>14.33104807576899</v>
      </c>
      <c r="X860" t="s">
        <v>111</v>
      </c>
      <c r="Y860">
        <v>21</v>
      </c>
      <c r="Z860">
        <v>0.17185415591273859</v>
      </c>
      <c r="AA860">
        <v>31.536000000000001</v>
      </c>
    </row>
    <row r="861" spans="1:27" hidden="1" x14ac:dyDescent="0.25">
      <c r="A861" t="s">
        <v>98</v>
      </c>
      <c r="B861" t="s">
        <v>1199</v>
      </c>
      <c r="D861" t="s">
        <v>100</v>
      </c>
      <c r="E861" t="s">
        <v>142</v>
      </c>
      <c r="F861" t="s">
        <v>102</v>
      </c>
      <c r="G861" t="s">
        <v>112</v>
      </c>
      <c r="H861" t="s">
        <v>104</v>
      </c>
      <c r="I861">
        <v>2022</v>
      </c>
      <c r="J861" t="s">
        <v>146</v>
      </c>
      <c r="K861" t="s">
        <v>106</v>
      </c>
      <c r="L861" t="s">
        <v>1213</v>
      </c>
      <c r="M861" t="s">
        <v>1215</v>
      </c>
      <c r="N861">
        <v>1</v>
      </c>
      <c r="O861">
        <v>2020</v>
      </c>
      <c r="P861">
        <v>200.7885700942916</v>
      </c>
      <c r="Q861">
        <v>4.2000145906136934</v>
      </c>
      <c r="R861" t="s">
        <v>109</v>
      </c>
      <c r="S861">
        <v>3.8393903868698711</v>
      </c>
      <c r="T861" t="s">
        <v>110</v>
      </c>
      <c r="U861">
        <v>3.8393903868698711</v>
      </c>
      <c r="V861">
        <v>685.1192035182313</v>
      </c>
      <c r="W861">
        <v>14.33104807576899</v>
      </c>
      <c r="X861" t="s">
        <v>111</v>
      </c>
      <c r="Y861">
        <v>21</v>
      </c>
      <c r="Z861">
        <v>0.17185415591273859</v>
      </c>
      <c r="AA861">
        <v>31.536000000000001</v>
      </c>
    </row>
    <row r="862" spans="1:27" hidden="1" x14ac:dyDescent="0.25">
      <c r="A862" t="s">
        <v>98</v>
      </c>
      <c r="B862" t="s">
        <v>1199</v>
      </c>
      <c r="D862" t="s">
        <v>100</v>
      </c>
      <c r="E862" t="s">
        <v>142</v>
      </c>
      <c r="F862" t="s">
        <v>102</v>
      </c>
      <c r="G862" t="s">
        <v>103</v>
      </c>
      <c r="H862" t="s">
        <v>104</v>
      </c>
      <c r="I862">
        <v>2023</v>
      </c>
      <c r="J862" t="s">
        <v>148</v>
      </c>
      <c r="K862" t="s">
        <v>106</v>
      </c>
      <c r="L862" t="s">
        <v>1213</v>
      </c>
      <c r="M862" t="s">
        <v>1216</v>
      </c>
      <c r="N862">
        <v>0</v>
      </c>
      <c r="O862">
        <v>2023</v>
      </c>
      <c r="P862">
        <v>135.73557542199771</v>
      </c>
      <c r="Q862">
        <v>4.2000145906136934</v>
      </c>
      <c r="R862" t="s">
        <v>109</v>
      </c>
      <c r="S862">
        <v>3.4290738569753811</v>
      </c>
      <c r="T862" t="s">
        <v>110</v>
      </c>
      <c r="U862">
        <v>3.4290738569753811</v>
      </c>
      <c r="V862">
        <v>463.14911888927151</v>
      </c>
      <c r="W862">
        <v>14.33104807576899</v>
      </c>
      <c r="X862" t="s">
        <v>111</v>
      </c>
      <c r="Y862">
        <v>21</v>
      </c>
      <c r="Z862">
        <v>0.17185415591273859</v>
      </c>
      <c r="AA862">
        <v>31.536000000000001</v>
      </c>
    </row>
    <row r="863" spans="1:27" hidden="1" x14ac:dyDescent="0.25">
      <c r="A863" t="s">
        <v>98</v>
      </c>
      <c r="B863" t="s">
        <v>1199</v>
      </c>
      <c r="D863" t="s">
        <v>100</v>
      </c>
      <c r="E863" t="s">
        <v>142</v>
      </c>
      <c r="F863" t="s">
        <v>117</v>
      </c>
      <c r="G863" t="s">
        <v>103</v>
      </c>
      <c r="H863" t="s">
        <v>104</v>
      </c>
      <c r="I863">
        <v>2033</v>
      </c>
      <c r="J863" t="s">
        <v>150</v>
      </c>
      <c r="K863" t="s">
        <v>106</v>
      </c>
      <c r="L863" t="s">
        <v>1213</v>
      </c>
      <c r="M863" t="s">
        <v>1217</v>
      </c>
      <c r="N863">
        <v>0</v>
      </c>
      <c r="O863">
        <v>2033</v>
      </c>
      <c r="P863">
        <v>483.9331327692995</v>
      </c>
      <c r="Q863">
        <v>3.810497108419681</v>
      </c>
      <c r="R863" t="s">
        <v>109</v>
      </c>
      <c r="S863">
        <v>5.0996483001172326</v>
      </c>
      <c r="T863" t="s">
        <v>110</v>
      </c>
      <c r="U863">
        <v>5.0996483001172326</v>
      </c>
      <c r="V863">
        <v>1651.2487853431401</v>
      </c>
      <c r="W863">
        <v>13.00195893970977</v>
      </c>
      <c r="X863" t="s">
        <v>111</v>
      </c>
      <c r="Y863">
        <v>14.4</v>
      </c>
      <c r="Z863">
        <v>0.17185415591273859</v>
      </c>
      <c r="AA863">
        <v>31.536000000000001</v>
      </c>
    </row>
    <row r="864" spans="1:27" hidden="1" x14ac:dyDescent="0.25">
      <c r="A864" t="s">
        <v>98</v>
      </c>
      <c r="B864" t="s">
        <v>1199</v>
      </c>
      <c r="D864" t="s">
        <v>100</v>
      </c>
      <c r="E864" t="s">
        <v>142</v>
      </c>
      <c r="F864" t="s">
        <v>117</v>
      </c>
      <c r="G864" t="s">
        <v>67</v>
      </c>
      <c r="H864" t="s">
        <v>104</v>
      </c>
      <c r="I864">
        <v>2033</v>
      </c>
      <c r="J864" t="s">
        <v>152</v>
      </c>
      <c r="K864" t="s">
        <v>106</v>
      </c>
      <c r="L864" t="s">
        <v>1213</v>
      </c>
      <c r="M864" t="s">
        <v>1218</v>
      </c>
      <c r="N864">
        <v>0</v>
      </c>
      <c r="O864">
        <v>2033</v>
      </c>
      <c r="P864">
        <v>497.90495550017158</v>
      </c>
      <c r="Q864">
        <v>3.810497108419681</v>
      </c>
      <c r="R864" t="s">
        <v>109</v>
      </c>
      <c r="S864">
        <v>5.7737397420867529</v>
      </c>
      <c r="T864" t="s">
        <v>110</v>
      </c>
      <c r="U864">
        <v>5.7737397420867529</v>
      </c>
      <c r="V864">
        <v>1698.9226347887429</v>
      </c>
      <c r="W864">
        <v>13.00195893970977</v>
      </c>
      <c r="X864" t="s">
        <v>111</v>
      </c>
      <c r="Y864">
        <v>14.4</v>
      </c>
      <c r="Z864">
        <v>0.17185415591273859</v>
      </c>
      <c r="AA864">
        <v>31.536000000000001</v>
      </c>
    </row>
    <row r="865" spans="1:27" hidden="1" x14ac:dyDescent="0.25">
      <c r="A865" t="s">
        <v>98</v>
      </c>
      <c r="B865" t="s">
        <v>1199</v>
      </c>
      <c r="D865" t="s">
        <v>100</v>
      </c>
      <c r="E865" t="s">
        <v>142</v>
      </c>
      <c r="F865" t="s">
        <v>117</v>
      </c>
      <c r="G865" t="s">
        <v>112</v>
      </c>
      <c r="H865" t="s">
        <v>104</v>
      </c>
      <c r="I865">
        <v>2033</v>
      </c>
      <c r="J865" t="s">
        <v>154</v>
      </c>
      <c r="K865" t="s">
        <v>106</v>
      </c>
      <c r="L865" t="s">
        <v>1213</v>
      </c>
      <c r="M865" t="s">
        <v>1219</v>
      </c>
      <c r="N865">
        <v>0</v>
      </c>
      <c r="O865">
        <v>2033</v>
      </c>
      <c r="P865">
        <v>513.14694393385037</v>
      </c>
      <c r="Q865">
        <v>3.810497108419681</v>
      </c>
      <c r="R865" t="s">
        <v>109</v>
      </c>
      <c r="S865">
        <v>6.4771395076201648</v>
      </c>
      <c r="T865" t="s">
        <v>110</v>
      </c>
      <c r="U865">
        <v>6.4771395076201648</v>
      </c>
      <c r="V865">
        <v>1750.930470547582</v>
      </c>
      <c r="W865">
        <v>13.00195893970977</v>
      </c>
      <c r="X865" t="s">
        <v>111</v>
      </c>
      <c r="Y865">
        <v>14.4</v>
      </c>
      <c r="Z865">
        <v>0.17185415591273859</v>
      </c>
      <c r="AA865">
        <v>31.536000000000001</v>
      </c>
    </row>
    <row r="866" spans="1:27" hidden="1" x14ac:dyDescent="0.25">
      <c r="A866" t="s">
        <v>98</v>
      </c>
      <c r="B866" t="s">
        <v>1199</v>
      </c>
      <c r="D866" t="s">
        <v>100</v>
      </c>
      <c r="E866" t="s">
        <v>142</v>
      </c>
      <c r="F866" t="s">
        <v>117</v>
      </c>
      <c r="G866" t="s">
        <v>103</v>
      </c>
      <c r="H866" t="s">
        <v>104</v>
      </c>
      <c r="I866">
        <v>2023</v>
      </c>
      <c r="J866" t="s">
        <v>156</v>
      </c>
      <c r="K866" t="s">
        <v>106</v>
      </c>
      <c r="L866" t="s">
        <v>1213</v>
      </c>
      <c r="M866" t="s">
        <v>1220</v>
      </c>
      <c r="N866">
        <v>0</v>
      </c>
      <c r="O866">
        <v>2023</v>
      </c>
      <c r="P866">
        <v>498.32834406777368</v>
      </c>
      <c r="Q866">
        <v>3.810497108419681</v>
      </c>
      <c r="R866" t="s">
        <v>109</v>
      </c>
      <c r="S866">
        <v>3.833333333333333</v>
      </c>
      <c r="T866" t="s">
        <v>110</v>
      </c>
      <c r="U866">
        <v>3.833333333333333</v>
      </c>
      <c r="V866">
        <v>1700.3672968931551</v>
      </c>
      <c r="W866">
        <v>13.00195893970977</v>
      </c>
      <c r="X866" t="s">
        <v>111</v>
      </c>
      <c r="Y866">
        <v>14.4</v>
      </c>
      <c r="Z866">
        <v>0.17185415591273859</v>
      </c>
      <c r="AA866">
        <v>31.536000000000001</v>
      </c>
    </row>
    <row r="867" spans="1:27" hidden="1" x14ac:dyDescent="0.25">
      <c r="A867" t="s">
        <v>98</v>
      </c>
      <c r="B867" t="s">
        <v>1199</v>
      </c>
      <c r="D867" t="s">
        <v>100</v>
      </c>
      <c r="E867" t="s">
        <v>142</v>
      </c>
      <c r="F867" t="s">
        <v>130</v>
      </c>
      <c r="G867" t="s">
        <v>103</v>
      </c>
      <c r="H867" t="s">
        <v>131</v>
      </c>
      <c r="I867">
        <v>2022</v>
      </c>
      <c r="J867" t="s">
        <v>158</v>
      </c>
      <c r="K867" t="s">
        <v>133</v>
      </c>
      <c r="L867" t="s">
        <v>1213</v>
      </c>
      <c r="M867" t="s">
        <v>1221</v>
      </c>
      <c r="N867">
        <v>1</v>
      </c>
      <c r="O867">
        <v>2020</v>
      </c>
      <c r="P867">
        <v>335.32374554093201</v>
      </c>
      <c r="Q867">
        <v>6.3000218859205397</v>
      </c>
      <c r="R867" t="s">
        <v>109</v>
      </c>
      <c r="S867">
        <v>1.2</v>
      </c>
      <c r="T867" t="s">
        <v>110</v>
      </c>
      <c r="U867">
        <v>1.2</v>
      </c>
      <c r="V867">
        <v>1144.172386694459</v>
      </c>
      <c r="W867">
        <v>21.496572113653482</v>
      </c>
      <c r="X867" t="s">
        <v>111</v>
      </c>
      <c r="Y867">
        <v>15</v>
      </c>
      <c r="Z867">
        <v>0.17185415591273859</v>
      </c>
      <c r="AA867">
        <v>31.536000000000001</v>
      </c>
    </row>
    <row r="868" spans="1:27" hidden="1" x14ac:dyDescent="0.25">
      <c r="A868" t="s">
        <v>98</v>
      </c>
      <c r="B868" t="s">
        <v>1199</v>
      </c>
      <c r="D868" t="s">
        <v>100</v>
      </c>
      <c r="E868" t="s">
        <v>142</v>
      </c>
      <c r="F868" t="s">
        <v>160</v>
      </c>
      <c r="G868" t="s">
        <v>103</v>
      </c>
      <c r="H868" t="s">
        <v>104</v>
      </c>
      <c r="I868">
        <v>2030</v>
      </c>
      <c r="J868" t="s">
        <v>161</v>
      </c>
      <c r="K868" t="s">
        <v>106</v>
      </c>
      <c r="L868" t="s">
        <v>1213</v>
      </c>
      <c r="M868" t="s">
        <v>1222</v>
      </c>
      <c r="N868">
        <v>0</v>
      </c>
      <c r="O868">
        <v>2030</v>
      </c>
      <c r="P868">
        <v>93.992262007685454</v>
      </c>
      <c r="Q868">
        <v>4.3185633895423052</v>
      </c>
      <c r="R868" t="s">
        <v>109</v>
      </c>
      <c r="S868">
        <v>4.8178066132425448</v>
      </c>
      <c r="T868" t="s">
        <v>110</v>
      </c>
      <c r="U868">
        <v>4.8178066132425448</v>
      </c>
      <c r="V868">
        <v>320.71498717950749</v>
      </c>
      <c r="W868">
        <v>14.735553465004401</v>
      </c>
      <c r="X868" t="s">
        <v>111</v>
      </c>
      <c r="Y868">
        <v>20</v>
      </c>
      <c r="Z868">
        <v>0.17185415591273859</v>
      </c>
      <c r="AA868">
        <v>31.536000000000001</v>
      </c>
    </row>
    <row r="869" spans="1:27" hidden="1" x14ac:dyDescent="0.25">
      <c r="A869" t="s">
        <v>98</v>
      </c>
      <c r="B869" t="s">
        <v>1199</v>
      </c>
      <c r="D869" t="s">
        <v>100</v>
      </c>
      <c r="E869" t="s">
        <v>142</v>
      </c>
      <c r="F869" t="s">
        <v>160</v>
      </c>
      <c r="G869" t="s">
        <v>112</v>
      </c>
      <c r="H869" t="s">
        <v>104</v>
      </c>
      <c r="I869">
        <v>2030</v>
      </c>
      <c r="J869" t="s">
        <v>163</v>
      </c>
      <c r="K869" t="s">
        <v>106</v>
      </c>
      <c r="L869" t="s">
        <v>1213</v>
      </c>
      <c r="M869" t="s">
        <v>1223</v>
      </c>
      <c r="N869">
        <v>0</v>
      </c>
      <c r="O869">
        <v>2030</v>
      </c>
      <c r="P869">
        <v>104.15358763013791</v>
      </c>
      <c r="Q869">
        <v>4.3185633895423052</v>
      </c>
      <c r="R869" t="s">
        <v>109</v>
      </c>
      <c r="S869">
        <v>5.1720570995103783</v>
      </c>
      <c r="T869" t="s">
        <v>110</v>
      </c>
      <c r="U869">
        <v>5.1720570995103783</v>
      </c>
      <c r="V869">
        <v>355.38687768540018</v>
      </c>
      <c r="W869">
        <v>14.735553465004401</v>
      </c>
      <c r="X869" t="s">
        <v>111</v>
      </c>
      <c r="Y869">
        <v>20</v>
      </c>
      <c r="Z869">
        <v>0.17185415591273859</v>
      </c>
      <c r="AA869">
        <v>31.536000000000001</v>
      </c>
    </row>
    <row r="870" spans="1:27" hidden="1" x14ac:dyDescent="0.25">
      <c r="A870" t="s">
        <v>98</v>
      </c>
      <c r="B870" t="s">
        <v>1199</v>
      </c>
      <c r="D870" t="s">
        <v>100</v>
      </c>
      <c r="E870" t="s">
        <v>142</v>
      </c>
      <c r="F870" t="s">
        <v>160</v>
      </c>
      <c r="G870" t="s">
        <v>103</v>
      </c>
      <c r="H870" t="s">
        <v>104</v>
      </c>
      <c r="I870">
        <v>2040</v>
      </c>
      <c r="J870" t="s">
        <v>165</v>
      </c>
      <c r="K870" t="s">
        <v>106</v>
      </c>
      <c r="L870" t="s">
        <v>1213</v>
      </c>
      <c r="M870" t="s">
        <v>1224</v>
      </c>
      <c r="N870">
        <v>0</v>
      </c>
      <c r="O870">
        <v>2040</v>
      </c>
      <c r="P870">
        <v>93.992262007685454</v>
      </c>
      <c r="Q870">
        <v>4.3185633895423052</v>
      </c>
      <c r="R870" t="s">
        <v>109</v>
      </c>
      <c r="S870">
        <v>4.9535194755874059</v>
      </c>
      <c r="T870" t="s">
        <v>110</v>
      </c>
      <c r="U870">
        <v>4.9535194755874059</v>
      </c>
      <c r="V870">
        <v>320.71498717950749</v>
      </c>
      <c r="W870">
        <v>14.735553465004401</v>
      </c>
      <c r="X870" t="s">
        <v>111</v>
      </c>
      <c r="Y870">
        <v>20</v>
      </c>
      <c r="Z870">
        <v>0.17185415591273859</v>
      </c>
      <c r="AA870">
        <v>31.536000000000001</v>
      </c>
    </row>
    <row r="871" spans="1:27" hidden="1" x14ac:dyDescent="0.25">
      <c r="A871" t="s">
        <v>98</v>
      </c>
      <c r="B871" t="s">
        <v>1199</v>
      </c>
      <c r="D871" t="s">
        <v>100</v>
      </c>
      <c r="E871" t="s">
        <v>142</v>
      </c>
      <c r="F871" t="s">
        <v>160</v>
      </c>
      <c r="G871" t="s">
        <v>112</v>
      </c>
      <c r="H871" t="s">
        <v>104</v>
      </c>
      <c r="I871">
        <v>2040</v>
      </c>
      <c r="J871" t="s">
        <v>167</v>
      </c>
      <c r="K871" t="s">
        <v>106</v>
      </c>
      <c r="L871" t="s">
        <v>1213</v>
      </c>
      <c r="M871" t="s">
        <v>1225</v>
      </c>
      <c r="N871">
        <v>0</v>
      </c>
      <c r="O871">
        <v>2040</v>
      </c>
      <c r="P871">
        <v>104.15358763013791</v>
      </c>
      <c r="Q871">
        <v>4.3185633895423052</v>
      </c>
      <c r="R871" t="s">
        <v>109</v>
      </c>
      <c r="S871">
        <v>5.4107674271800876</v>
      </c>
      <c r="T871" t="s">
        <v>110</v>
      </c>
      <c r="U871">
        <v>5.4107674271800876</v>
      </c>
      <c r="V871">
        <v>355.38687768540018</v>
      </c>
      <c r="W871">
        <v>14.735553465004401</v>
      </c>
      <c r="X871" t="s">
        <v>111</v>
      </c>
      <c r="Y871">
        <v>20</v>
      </c>
      <c r="Z871">
        <v>0.17185415591273859</v>
      </c>
      <c r="AA871">
        <v>31.536000000000001</v>
      </c>
    </row>
    <row r="872" spans="1:27" hidden="1" x14ac:dyDescent="0.25">
      <c r="A872" t="s">
        <v>98</v>
      </c>
      <c r="B872" t="s">
        <v>1199</v>
      </c>
      <c r="D872" t="s">
        <v>100</v>
      </c>
      <c r="E872" t="s">
        <v>142</v>
      </c>
      <c r="F872" t="s">
        <v>160</v>
      </c>
      <c r="G872" t="s">
        <v>112</v>
      </c>
      <c r="H872" t="s">
        <v>104</v>
      </c>
      <c r="I872">
        <v>2022</v>
      </c>
      <c r="J872" t="s">
        <v>169</v>
      </c>
      <c r="K872" t="s">
        <v>106</v>
      </c>
      <c r="L872" t="s">
        <v>1213</v>
      </c>
      <c r="M872" t="s">
        <v>1226</v>
      </c>
      <c r="N872">
        <v>1</v>
      </c>
      <c r="O872">
        <v>2020</v>
      </c>
      <c r="P872">
        <v>104.15358763013791</v>
      </c>
      <c r="Q872">
        <v>4.3185633895423052</v>
      </c>
      <c r="R872" t="s">
        <v>109</v>
      </c>
      <c r="S872">
        <v>4.9886508193858967</v>
      </c>
      <c r="T872" t="s">
        <v>110</v>
      </c>
      <c r="U872">
        <v>4.9886508193858967</v>
      </c>
      <c r="V872">
        <v>355.38687768540018</v>
      </c>
      <c r="W872">
        <v>14.735553465004401</v>
      </c>
      <c r="X872" t="s">
        <v>111</v>
      </c>
      <c r="Y872">
        <v>20</v>
      </c>
      <c r="Z872">
        <v>0.17185415591273859</v>
      </c>
      <c r="AA872">
        <v>31.536000000000001</v>
      </c>
    </row>
    <row r="873" spans="1:27" hidden="1" x14ac:dyDescent="0.25">
      <c r="A873" t="s">
        <v>98</v>
      </c>
      <c r="B873" t="s">
        <v>1199</v>
      </c>
      <c r="D873" t="s">
        <v>100</v>
      </c>
      <c r="E873" t="s">
        <v>142</v>
      </c>
      <c r="F873" t="s">
        <v>171</v>
      </c>
      <c r="G873" t="s">
        <v>172</v>
      </c>
      <c r="H873" t="s">
        <v>104</v>
      </c>
      <c r="I873">
        <v>2061</v>
      </c>
      <c r="J873" t="s">
        <v>173</v>
      </c>
      <c r="K873" t="s">
        <v>106</v>
      </c>
      <c r="L873" t="s">
        <v>1213</v>
      </c>
      <c r="M873" t="s">
        <v>1227</v>
      </c>
      <c r="N873">
        <v>0</v>
      </c>
      <c r="O873">
        <v>2061</v>
      </c>
      <c r="P873">
        <v>90.181764899265772</v>
      </c>
      <c r="Q873">
        <v>3.3024308272970568</v>
      </c>
      <c r="R873" t="s">
        <v>109</v>
      </c>
      <c r="S873">
        <v>4.1038492738238714</v>
      </c>
      <c r="T873" t="s">
        <v>110</v>
      </c>
      <c r="U873">
        <v>4.1038492738238714</v>
      </c>
      <c r="V873">
        <v>307.71302823979772</v>
      </c>
      <c r="W873">
        <v>11.26836441441513</v>
      </c>
      <c r="X873" t="s">
        <v>111</v>
      </c>
      <c r="Y873">
        <v>20</v>
      </c>
      <c r="Z873">
        <v>0.17185415591273859</v>
      </c>
      <c r="AA873">
        <v>31.536000000000001</v>
      </c>
    </row>
    <row r="874" spans="1:27" hidden="1" x14ac:dyDescent="0.25">
      <c r="A874" t="s">
        <v>98</v>
      </c>
      <c r="B874" t="s">
        <v>1199</v>
      </c>
      <c r="D874" t="s">
        <v>100</v>
      </c>
      <c r="E874" t="s">
        <v>142</v>
      </c>
      <c r="F874" t="s">
        <v>171</v>
      </c>
      <c r="G874" t="s">
        <v>112</v>
      </c>
      <c r="H874" t="s">
        <v>104</v>
      </c>
      <c r="I874">
        <v>2022</v>
      </c>
      <c r="J874" t="s">
        <v>175</v>
      </c>
      <c r="K874" t="s">
        <v>106</v>
      </c>
      <c r="L874" t="s">
        <v>1213</v>
      </c>
      <c r="M874" t="s">
        <v>1228</v>
      </c>
      <c r="N874">
        <v>1</v>
      </c>
      <c r="O874">
        <v>2020</v>
      </c>
      <c r="P874">
        <v>99.072924818911702</v>
      </c>
      <c r="Q874">
        <v>3.3024308272970568</v>
      </c>
      <c r="R874" t="s">
        <v>109</v>
      </c>
      <c r="S874">
        <v>6.6358468446548251</v>
      </c>
      <c r="T874" t="s">
        <v>110</v>
      </c>
      <c r="U874">
        <v>6.6358468446548251</v>
      </c>
      <c r="V874">
        <v>338.05093243245392</v>
      </c>
      <c r="W874">
        <v>11.26836441441513</v>
      </c>
      <c r="X874" t="s">
        <v>111</v>
      </c>
      <c r="Y874">
        <v>20</v>
      </c>
      <c r="Z874">
        <v>0.17185415591273859</v>
      </c>
      <c r="AA874">
        <v>31.536000000000001</v>
      </c>
    </row>
    <row r="875" spans="1:27" hidden="1" x14ac:dyDescent="0.25">
      <c r="A875" t="s">
        <v>98</v>
      </c>
      <c r="B875" t="s">
        <v>1199</v>
      </c>
      <c r="D875" t="s">
        <v>100</v>
      </c>
      <c r="E875" t="s">
        <v>142</v>
      </c>
      <c r="F875" t="s">
        <v>171</v>
      </c>
      <c r="G875" t="s">
        <v>103</v>
      </c>
      <c r="H875" t="s">
        <v>104</v>
      </c>
      <c r="I875">
        <v>2030</v>
      </c>
      <c r="J875" t="s">
        <v>177</v>
      </c>
      <c r="K875" t="s">
        <v>106</v>
      </c>
      <c r="L875" t="s">
        <v>1213</v>
      </c>
      <c r="M875" t="s">
        <v>1229</v>
      </c>
      <c r="N875">
        <v>0</v>
      </c>
      <c r="O875">
        <v>2030</v>
      </c>
      <c r="P875">
        <v>90.181764899265772</v>
      </c>
      <c r="Q875">
        <v>3.3024308272970568</v>
      </c>
      <c r="R875" t="s">
        <v>109</v>
      </c>
      <c r="S875">
        <v>4.8847205939820251</v>
      </c>
      <c r="T875" t="s">
        <v>110</v>
      </c>
      <c r="U875">
        <v>4.8847205939820251</v>
      </c>
      <c r="V875">
        <v>307.71302823979772</v>
      </c>
      <c r="W875">
        <v>11.26836441441513</v>
      </c>
      <c r="X875" t="s">
        <v>111</v>
      </c>
      <c r="Y875">
        <v>20</v>
      </c>
      <c r="Z875">
        <v>0.17185415591273859</v>
      </c>
      <c r="AA875">
        <v>31.536000000000001</v>
      </c>
    </row>
    <row r="876" spans="1:27" hidden="1" x14ac:dyDescent="0.25">
      <c r="A876" t="s">
        <v>98</v>
      </c>
      <c r="B876" t="s">
        <v>1199</v>
      </c>
      <c r="D876" t="s">
        <v>100</v>
      </c>
      <c r="E876" t="s">
        <v>142</v>
      </c>
      <c r="F876" t="s">
        <v>171</v>
      </c>
      <c r="G876" t="s">
        <v>112</v>
      </c>
      <c r="H876" t="s">
        <v>104</v>
      </c>
      <c r="I876">
        <v>2030</v>
      </c>
      <c r="J876" t="s">
        <v>179</v>
      </c>
      <c r="K876" t="s">
        <v>106</v>
      </c>
      <c r="L876" t="s">
        <v>1213</v>
      </c>
      <c r="M876" t="s">
        <v>1230</v>
      </c>
      <c r="N876">
        <v>0</v>
      </c>
      <c r="O876">
        <v>2030</v>
      </c>
      <c r="P876">
        <v>99.072924818911702</v>
      </c>
      <c r="Q876">
        <v>3.3024308272970568</v>
      </c>
      <c r="R876" t="s">
        <v>109</v>
      </c>
      <c r="S876">
        <v>7.1775486278919534</v>
      </c>
      <c r="T876" t="s">
        <v>110</v>
      </c>
      <c r="U876">
        <v>7.1775486278919534</v>
      </c>
      <c r="V876">
        <v>338.05093243245392</v>
      </c>
      <c r="W876">
        <v>11.26836441441513</v>
      </c>
      <c r="X876" t="s">
        <v>111</v>
      </c>
      <c r="Y876">
        <v>20</v>
      </c>
      <c r="Z876">
        <v>0.17185415591273859</v>
      </c>
      <c r="AA876">
        <v>31.536000000000001</v>
      </c>
    </row>
    <row r="877" spans="1:27" hidden="1" x14ac:dyDescent="0.25">
      <c r="A877" t="s">
        <v>98</v>
      </c>
      <c r="B877" t="s">
        <v>1199</v>
      </c>
      <c r="D877" t="s">
        <v>100</v>
      </c>
      <c r="E877" t="s">
        <v>142</v>
      </c>
      <c r="F877" t="s">
        <v>171</v>
      </c>
      <c r="G877" t="s">
        <v>103</v>
      </c>
      <c r="H877" t="s">
        <v>104</v>
      </c>
      <c r="I877">
        <v>2040</v>
      </c>
      <c r="J877" t="s">
        <v>181</v>
      </c>
      <c r="K877" t="s">
        <v>106</v>
      </c>
      <c r="L877" t="s">
        <v>1213</v>
      </c>
      <c r="M877" t="s">
        <v>1231</v>
      </c>
      <c r="N877">
        <v>0</v>
      </c>
      <c r="O877">
        <v>2040</v>
      </c>
      <c r="P877">
        <v>90.181764899265772</v>
      </c>
      <c r="Q877">
        <v>3.3024308272970568</v>
      </c>
      <c r="R877" t="s">
        <v>109</v>
      </c>
      <c r="S877">
        <v>5.1720570995103783</v>
      </c>
      <c r="T877" t="s">
        <v>110</v>
      </c>
      <c r="U877">
        <v>5.1720570995103783</v>
      </c>
      <c r="V877">
        <v>307.71302823979772</v>
      </c>
      <c r="W877">
        <v>11.26836441441513</v>
      </c>
      <c r="X877" t="s">
        <v>111</v>
      </c>
      <c r="Y877">
        <v>20</v>
      </c>
      <c r="Z877">
        <v>0.17185415591273859</v>
      </c>
      <c r="AA877">
        <v>31.536000000000001</v>
      </c>
    </row>
    <row r="878" spans="1:27" hidden="1" x14ac:dyDescent="0.25">
      <c r="A878" t="s">
        <v>98</v>
      </c>
      <c r="B878" t="s">
        <v>1199</v>
      </c>
      <c r="D878" t="s">
        <v>100</v>
      </c>
      <c r="E878" t="s">
        <v>142</v>
      </c>
      <c r="F878" t="s">
        <v>171</v>
      </c>
      <c r="G878" t="s">
        <v>112</v>
      </c>
      <c r="H878" t="s">
        <v>104</v>
      </c>
      <c r="I878">
        <v>2040</v>
      </c>
      <c r="J878" t="s">
        <v>183</v>
      </c>
      <c r="K878" t="s">
        <v>106</v>
      </c>
      <c r="L878" t="s">
        <v>1213</v>
      </c>
      <c r="M878" t="s">
        <v>1232</v>
      </c>
      <c r="N878">
        <v>0</v>
      </c>
      <c r="O878">
        <v>2040</v>
      </c>
      <c r="P878">
        <v>99.072924818911702</v>
      </c>
      <c r="Q878">
        <v>3.3024308272970568</v>
      </c>
      <c r="R878" t="s">
        <v>109</v>
      </c>
      <c r="S878">
        <v>7.815552950371238</v>
      </c>
      <c r="T878" t="s">
        <v>110</v>
      </c>
      <c r="U878">
        <v>7.815552950371238</v>
      </c>
      <c r="V878">
        <v>338.05093243245392</v>
      </c>
      <c r="W878">
        <v>11.26836441441513</v>
      </c>
      <c r="X878" t="s">
        <v>111</v>
      </c>
      <c r="Y878">
        <v>20</v>
      </c>
      <c r="Z878">
        <v>0.17185415591273859</v>
      </c>
      <c r="AA878">
        <v>31.536000000000001</v>
      </c>
    </row>
    <row r="879" spans="1:27" hidden="1" x14ac:dyDescent="0.25">
      <c r="A879" t="s">
        <v>98</v>
      </c>
      <c r="B879" t="s">
        <v>1199</v>
      </c>
      <c r="D879" t="s">
        <v>100</v>
      </c>
      <c r="E879" t="s">
        <v>142</v>
      </c>
      <c r="F879" t="s">
        <v>185</v>
      </c>
      <c r="G879" t="s">
        <v>112</v>
      </c>
      <c r="H879" t="s">
        <v>104</v>
      </c>
      <c r="I879">
        <v>2022</v>
      </c>
      <c r="J879" t="s">
        <v>186</v>
      </c>
      <c r="K879" t="s">
        <v>106</v>
      </c>
      <c r="L879" t="s">
        <v>1213</v>
      </c>
      <c r="M879" t="s">
        <v>1233</v>
      </c>
      <c r="N879">
        <v>1</v>
      </c>
      <c r="O879">
        <v>2020</v>
      </c>
      <c r="P879">
        <v>97.802759116105136</v>
      </c>
      <c r="Q879">
        <v>3.5564639678583689</v>
      </c>
      <c r="R879" t="s">
        <v>109</v>
      </c>
      <c r="S879">
        <v>4.4518972502114647</v>
      </c>
      <c r="T879" t="s">
        <v>110</v>
      </c>
      <c r="U879">
        <v>4.4518972502114647</v>
      </c>
      <c r="V879">
        <v>333.71694611921731</v>
      </c>
      <c r="W879">
        <v>12.135161677062451</v>
      </c>
      <c r="X879" t="s">
        <v>111</v>
      </c>
      <c r="Y879">
        <v>20</v>
      </c>
      <c r="Z879">
        <v>0.17185415591273859</v>
      </c>
      <c r="AA879">
        <v>31.536000000000001</v>
      </c>
    </row>
    <row r="880" spans="1:27" hidden="1" x14ac:dyDescent="0.25">
      <c r="A880" t="s">
        <v>98</v>
      </c>
      <c r="B880" t="s">
        <v>1199</v>
      </c>
      <c r="D880" t="s">
        <v>100</v>
      </c>
      <c r="E880" t="s">
        <v>142</v>
      </c>
      <c r="F880" t="s">
        <v>188</v>
      </c>
      <c r="G880" t="s">
        <v>103</v>
      </c>
      <c r="H880" t="s">
        <v>104</v>
      </c>
      <c r="I880">
        <v>2030</v>
      </c>
      <c r="J880" t="s">
        <v>189</v>
      </c>
      <c r="K880" t="s">
        <v>106</v>
      </c>
      <c r="L880" t="s">
        <v>1213</v>
      </c>
      <c r="M880" t="s">
        <v>1234</v>
      </c>
      <c r="N880">
        <v>0</v>
      </c>
      <c r="O880">
        <v>2030</v>
      </c>
      <c r="P880">
        <v>49.536462409455851</v>
      </c>
      <c r="Q880">
        <v>3.0483976867357452</v>
      </c>
      <c r="R880" t="s">
        <v>109</v>
      </c>
      <c r="S880">
        <v>10.04856807904874</v>
      </c>
      <c r="T880" t="s">
        <v>110</v>
      </c>
      <c r="U880">
        <v>10.04856807904874</v>
      </c>
      <c r="V880">
        <v>169.0254662162269</v>
      </c>
      <c r="W880">
        <v>10.401567151767811</v>
      </c>
      <c r="X880" t="s">
        <v>111</v>
      </c>
      <c r="Y880">
        <v>25</v>
      </c>
      <c r="Z880">
        <v>0.17185415591273859</v>
      </c>
      <c r="AA880">
        <v>31.536000000000001</v>
      </c>
    </row>
    <row r="881" spans="1:27" hidden="1" x14ac:dyDescent="0.25">
      <c r="A881" t="s">
        <v>98</v>
      </c>
      <c r="B881" t="s">
        <v>1199</v>
      </c>
      <c r="D881" t="s">
        <v>100</v>
      </c>
      <c r="E881" t="s">
        <v>142</v>
      </c>
      <c r="F881" t="s">
        <v>188</v>
      </c>
      <c r="G881" t="s">
        <v>112</v>
      </c>
      <c r="H881" t="s">
        <v>104</v>
      </c>
      <c r="I881">
        <v>2030</v>
      </c>
      <c r="J881" t="s">
        <v>191</v>
      </c>
      <c r="K881" t="s">
        <v>106</v>
      </c>
      <c r="L881" t="s">
        <v>1213</v>
      </c>
      <c r="M881" t="s">
        <v>1235</v>
      </c>
      <c r="N881">
        <v>0</v>
      </c>
      <c r="O881">
        <v>2030</v>
      </c>
      <c r="P881">
        <v>64.778450843134578</v>
      </c>
      <c r="Q881">
        <v>3.0483976867357452</v>
      </c>
      <c r="R881" t="s">
        <v>109</v>
      </c>
      <c r="S881">
        <v>13.02592158395206</v>
      </c>
      <c r="T881" t="s">
        <v>110</v>
      </c>
      <c r="U881">
        <v>13.02592158395206</v>
      </c>
      <c r="V881">
        <v>221.033301975066</v>
      </c>
      <c r="W881">
        <v>10.401567151767811</v>
      </c>
      <c r="X881" t="s">
        <v>111</v>
      </c>
      <c r="Y881">
        <v>25</v>
      </c>
      <c r="Z881">
        <v>0.17185415591273859</v>
      </c>
      <c r="AA881">
        <v>31.536000000000001</v>
      </c>
    </row>
    <row r="882" spans="1:27" hidden="1" x14ac:dyDescent="0.25">
      <c r="A882" t="s">
        <v>98</v>
      </c>
      <c r="B882" t="s">
        <v>1199</v>
      </c>
      <c r="D882" t="s">
        <v>100</v>
      </c>
      <c r="E882" t="s">
        <v>142</v>
      </c>
      <c r="F882" t="s">
        <v>188</v>
      </c>
      <c r="G882" t="s">
        <v>103</v>
      </c>
      <c r="H882" t="s">
        <v>104</v>
      </c>
      <c r="I882">
        <v>2040</v>
      </c>
      <c r="J882" t="s">
        <v>193</v>
      </c>
      <c r="K882" t="s">
        <v>106</v>
      </c>
      <c r="L882" t="s">
        <v>1213</v>
      </c>
      <c r="M882" t="s">
        <v>1236</v>
      </c>
      <c r="N882">
        <v>0</v>
      </c>
      <c r="O882">
        <v>2040</v>
      </c>
      <c r="P882">
        <v>49.536462409455851</v>
      </c>
      <c r="Q882">
        <v>3.0483976867357452</v>
      </c>
      <c r="R882" t="s">
        <v>109</v>
      </c>
      <c r="S882">
        <v>10.34411419902076</v>
      </c>
      <c r="T882" t="s">
        <v>110</v>
      </c>
      <c r="U882">
        <v>10.34411419902076</v>
      </c>
      <c r="V882">
        <v>169.0254662162269</v>
      </c>
      <c r="W882">
        <v>10.401567151767811</v>
      </c>
      <c r="X882" t="s">
        <v>111</v>
      </c>
      <c r="Y882">
        <v>25</v>
      </c>
      <c r="Z882">
        <v>0.17185415591273859</v>
      </c>
      <c r="AA882">
        <v>31.536000000000001</v>
      </c>
    </row>
    <row r="883" spans="1:27" hidden="1" x14ac:dyDescent="0.25">
      <c r="A883" t="s">
        <v>98</v>
      </c>
      <c r="B883" t="s">
        <v>1199</v>
      </c>
      <c r="D883" t="s">
        <v>100</v>
      </c>
      <c r="E883" t="s">
        <v>142</v>
      </c>
      <c r="F883" t="s">
        <v>188</v>
      </c>
      <c r="G883" t="s">
        <v>112</v>
      </c>
      <c r="H883" t="s">
        <v>104</v>
      </c>
      <c r="I883">
        <v>2040</v>
      </c>
      <c r="J883" t="s">
        <v>195</v>
      </c>
      <c r="K883" t="s">
        <v>106</v>
      </c>
      <c r="L883" t="s">
        <v>1213</v>
      </c>
      <c r="M883" t="s">
        <v>1237</v>
      </c>
      <c r="N883">
        <v>0</v>
      </c>
      <c r="O883">
        <v>2040</v>
      </c>
      <c r="P883">
        <v>64.778450843134578</v>
      </c>
      <c r="Q883">
        <v>3.0483976867357452</v>
      </c>
      <c r="R883" t="s">
        <v>109</v>
      </c>
      <c r="S883">
        <v>14.067995310668231</v>
      </c>
      <c r="T883" t="s">
        <v>110</v>
      </c>
      <c r="U883">
        <v>14.067995310668231</v>
      </c>
      <c r="V883">
        <v>221.033301975066</v>
      </c>
      <c r="W883">
        <v>10.401567151767811</v>
      </c>
      <c r="X883" t="s">
        <v>111</v>
      </c>
      <c r="Y883">
        <v>25</v>
      </c>
      <c r="Z883">
        <v>0.17185415591273859</v>
      </c>
      <c r="AA883">
        <v>31.536000000000001</v>
      </c>
    </row>
    <row r="884" spans="1:27" hidden="1" x14ac:dyDescent="0.25">
      <c r="A884" t="s">
        <v>98</v>
      </c>
      <c r="B884" t="s">
        <v>1199</v>
      </c>
      <c r="D884" t="s">
        <v>100</v>
      </c>
      <c r="E884" t="s">
        <v>142</v>
      </c>
      <c r="F884" t="s">
        <v>188</v>
      </c>
      <c r="G884" t="s">
        <v>112</v>
      </c>
      <c r="H884" t="s">
        <v>104</v>
      </c>
      <c r="I884">
        <v>2022</v>
      </c>
      <c r="J884" t="s">
        <v>197</v>
      </c>
      <c r="K884" t="s">
        <v>106</v>
      </c>
      <c r="L884" t="s">
        <v>1213</v>
      </c>
      <c r="M884" t="s">
        <v>1238</v>
      </c>
      <c r="N884">
        <v>1</v>
      </c>
      <c r="O884">
        <v>2020</v>
      </c>
      <c r="P884">
        <v>64.778450843134578</v>
      </c>
      <c r="Q884">
        <v>3.0483976867357452</v>
      </c>
      <c r="R884" t="s">
        <v>109</v>
      </c>
      <c r="S884">
        <v>12.12758216436916</v>
      </c>
      <c r="T884" t="s">
        <v>110</v>
      </c>
      <c r="U884">
        <v>12.12758216436916</v>
      </c>
      <c r="V884">
        <v>221.033301975066</v>
      </c>
      <c r="W884">
        <v>10.401567151767811</v>
      </c>
      <c r="X884" t="s">
        <v>111</v>
      </c>
      <c r="Y884">
        <v>25</v>
      </c>
      <c r="Z884">
        <v>0.17185415591273859</v>
      </c>
      <c r="AA884">
        <v>31.536000000000001</v>
      </c>
    </row>
    <row r="885" spans="1:27" hidden="1" x14ac:dyDescent="0.25">
      <c r="A885" t="s">
        <v>98</v>
      </c>
      <c r="B885" t="s">
        <v>1199</v>
      </c>
      <c r="D885" t="s">
        <v>100</v>
      </c>
      <c r="E885" t="s">
        <v>142</v>
      </c>
      <c r="F885" t="s">
        <v>199</v>
      </c>
      <c r="G885" t="s">
        <v>103</v>
      </c>
      <c r="H885" t="s">
        <v>131</v>
      </c>
      <c r="I885">
        <v>2030</v>
      </c>
      <c r="J885" t="s">
        <v>200</v>
      </c>
      <c r="K885" t="s">
        <v>133</v>
      </c>
      <c r="L885" t="s">
        <v>1213</v>
      </c>
      <c r="M885" t="s">
        <v>1239</v>
      </c>
      <c r="N885">
        <v>0</v>
      </c>
      <c r="O885">
        <v>2030</v>
      </c>
      <c r="P885">
        <v>93.992262007685454</v>
      </c>
      <c r="Q885">
        <v>2.7943645461744331</v>
      </c>
      <c r="R885" t="s">
        <v>109</v>
      </c>
      <c r="S885">
        <v>1.4</v>
      </c>
      <c r="T885" t="s">
        <v>110</v>
      </c>
      <c r="U885">
        <v>1.4</v>
      </c>
      <c r="V885">
        <v>320.71498717950749</v>
      </c>
      <c r="W885">
        <v>9.5347698891204935</v>
      </c>
      <c r="X885" t="s">
        <v>111</v>
      </c>
      <c r="Y885">
        <v>23</v>
      </c>
      <c r="Z885">
        <v>0.17185415591273859</v>
      </c>
      <c r="AA885">
        <v>31.536000000000001</v>
      </c>
    </row>
    <row r="886" spans="1:27" hidden="1" x14ac:dyDescent="0.25">
      <c r="A886" t="s">
        <v>98</v>
      </c>
      <c r="B886" t="s">
        <v>1199</v>
      </c>
      <c r="D886" t="s">
        <v>100</v>
      </c>
      <c r="E886" t="s">
        <v>142</v>
      </c>
      <c r="F886" t="s">
        <v>202</v>
      </c>
      <c r="G886" t="s">
        <v>103</v>
      </c>
      <c r="H886" t="s">
        <v>104</v>
      </c>
      <c r="I886">
        <v>2023</v>
      </c>
      <c r="J886" t="s">
        <v>203</v>
      </c>
      <c r="K886" t="s">
        <v>106</v>
      </c>
      <c r="L886" t="s">
        <v>1213</v>
      </c>
      <c r="M886" t="s">
        <v>1240</v>
      </c>
      <c r="N886">
        <v>1</v>
      </c>
      <c r="O886">
        <v>2023</v>
      </c>
      <c r="P886">
        <v>138.8714501735173</v>
      </c>
      <c r="Q886">
        <v>4.2000145906136934</v>
      </c>
      <c r="R886" t="s">
        <v>109</v>
      </c>
      <c r="S886">
        <v>3.5756154747948421</v>
      </c>
      <c r="T886" t="s">
        <v>110</v>
      </c>
      <c r="U886">
        <v>3.5756154747948421</v>
      </c>
      <c r="V886">
        <v>473.84917024720039</v>
      </c>
      <c r="W886">
        <v>14.33104807576899</v>
      </c>
      <c r="X886" t="s">
        <v>111</v>
      </c>
      <c r="Y886">
        <v>21</v>
      </c>
      <c r="Z886">
        <v>0.17185415591273859</v>
      </c>
      <c r="AA886">
        <v>31.536000000000001</v>
      </c>
    </row>
    <row r="887" spans="1:27" hidden="1" x14ac:dyDescent="0.25">
      <c r="A887" t="s">
        <v>98</v>
      </c>
      <c r="B887" t="s">
        <v>1199</v>
      </c>
      <c r="D887" t="s">
        <v>100</v>
      </c>
      <c r="E887" t="s">
        <v>142</v>
      </c>
      <c r="F887" t="s">
        <v>202</v>
      </c>
      <c r="G887" t="s">
        <v>112</v>
      </c>
      <c r="H887" t="s">
        <v>104</v>
      </c>
      <c r="I887">
        <v>2022</v>
      </c>
      <c r="J887" t="s">
        <v>205</v>
      </c>
      <c r="K887" t="s">
        <v>106</v>
      </c>
      <c r="L887" t="s">
        <v>1213</v>
      </c>
      <c r="M887" t="s">
        <v>1241</v>
      </c>
      <c r="N887">
        <v>1</v>
      </c>
      <c r="O887">
        <v>2020</v>
      </c>
      <c r="P887">
        <v>201.87166903272271</v>
      </c>
      <c r="Q887">
        <v>4.2000145906136934</v>
      </c>
      <c r="R887" t="s">
        <v>109</v>
      </c>
      <c r="S887">
        <v>3.7514654161781951</v>
      </c>
      <c r="T887" t="s">
        <v>110</v>
      </c>
      <c r="U887">
        <v>3.7514654161781951</v>
      </c>
      <c r="V887">
        <v>688.81489138373513</v>
      </c>
      <c r="W887">
        <v>14.33104807576899</v>
      </c>
      <c r="X887" t="s">
        <v>111</v>
      </c>
      <c r="Y887">
        <v>21</v>
      </c>
      <c r="Z887">
        <v>0.17185415591273859</v>
      </c>
      <c r="AA887">
        <v>31.536000000000001</v>
      </c>
    </row>
    <row r="888" spans="1:27" hidden="1" x14ac:dyDescent="0.25">
      <c r="A888" t="s">
        <v>98</v>
      </c>
      <c r="B888" t="s">
        <v>1199</v>
      </c>
      <c r="D888" t="s">
        <v>100</v>
      </c>
      <c r="E888" t="s">
        <v>142</v>
      </c>
      <c r="F888" t="s">
        <v>207</v>
      </c>
      <c r="G888" t="s">
        <v>103</v>
      </c>
      <c r="H888" t="s">
        <v>104</v>
      </c>
      <c r="I888">
        <v>2030</v>
      </c>
      <c r="J888" t="s">
        <v>208</v>
      </c>
      <c r="K888" t="s">
        <v>106</v>
      </c>
      <c r="L888" t="s">
        <v>1213</v>
      </c>
      <c r="M888" t="s">
        <v>1242</v>
      </c>
      <c r="N888">
        <v>0</v>
      </c>
      <c r="O888">
        <v>2030</v>
      </c>
      <c r="P888">
        <v>74.322838838509583</v>
      </c>
      <c r="Q888">
        <v>1.219359074694298E-2</v>
      </c>
      <c r="R888" t="s">
        <v>109</v>
      </c>
      <c r="S888">
        <v>3.5902696365767879</v>
      </c>
      <c r="T888" t="s">
        <v>110</v>
      </c>
      <c r="U888">
        <v>3.5902696365767879</v>
      </c>
      <c r="V888">
        <v>253.60011341452949</v>
      </c>
      <c r="W888">
        <v>4.1606268607071263E-2</v>
      </c>
      <c r="X888" t="s">
        <v>111</v>
      </c>
      <c r="Y888">
        <v>9.5</v>
      </c>
      <c r="Z888">
        <v>0.17185415591273859</v>
      </c>
      <c r="AA888">
        <v>31.536000000000001</v>
      </c>
    </row>
    <row r="889" spans="1:27" hidden="1" x14ac:dyDescent="0.25">
      <c r="A889" t="s">
        <v>98</v>
      </c>
      <c r="B889" t="s">
        <v>1199</v>
      </c>
      <c r="D889" t="s">
        <v>100</v>
      </c>
      <c r="E889" t="s">
        <v>142</v>
      </c>
      <c r="F889" t="s">
        <v>207</v>
      </c>
      <c r="G889" t="s">
        <v>112</v>
      </c>
      <c r="H889" t="s">
        <v>104</v>
      </c>
      <c r="I889">
        <v>2030</v>
      </c>
      <c r="J889" t="s">
        <v>210</v>
      </c>
      <c r="K889" t="s">
        <v>106</v>
      </c>
      <c r="L889" t="s">
        <v>1213</v>
      </c>
      <c r="M889" t="s">
        <v>1243</v>
      </c>
      <c r="N889">
        <v>0</v>
      </c>
      <c r="O889">
        <v>2030</v>
      </c>
      <c r="P889">
        <v>81.871252158045721</v>
      </c>
      <c r="Q889">
        <v>1.219359074694298E-2</v>
      </c>
      <c r="R889" t="s">
        <v>109</v>
      </c>
      <c r="S889">
        <v>3.8100820633059791</v>
      </c>
      <c r="T889" t="s">
        <v>110</v>
      </c>
      <c r="U889">
        <v>3.8100820633059791</v>
      </c>
      <c r="V889">
        <v>279.35637493319268</v>
      </c>
      <c r="W889">
        <v>4.1606268607071263E-2</v>
      </c>
      <c r="X889" t="s">
        <v>111</v>
      </c>
      <c r="Y889">
        <v>9.5</v>
      </c>
      <c r="Z889">
        <v>0.17185415591273859</v>
      </c>
      <c r="AA889">
        <v>31.536000000000001</v>
      </c>
    </row>
    <row r="890" spans="1:27" hidden="1" x14ac:dyDescent="0.25">
      <c r="A890" t="s">
        <v>98</v>
      </c>
      <c r="B890" t="s">
        <v>1199</v>
      </c>
      <c r="D890" t="s">
        <v>100</v>
      </c>
      <c r="E890" t="s">
        <v>142</v>
      </c>
      <c r="F890" t="s">
        <v>207</v>
      </c>
      <c r="G890" t="s">
        <v>103</v>
      </c>
      <c r="H890" t="s">
        <v>104</v>
      </c>
      <c r="I890">
        <v>2040</v>
      </c>
      <c r="J890" t="s">
        <v>212</v>
      </c>
      <c r="K890" t="s">
        <v>106</v>
      </c>
      <c r="L890" t="s">
        <v>1213</v>
      </c>
      <c r="M890" t="s">
        <v>1244</v>
      </c>
      <c r="N890">
        <v>0</v>
      </c>
      <c r="O890">
        <v>2040</v>
      </c>
      <c r="P890">
        <v>74.322838838509583</v>
      </c>
      <c r="Q890">
        <v>1.219359074694298E-2</v>
      </c>
      <c r="R890" t="s">
        <v>109</v>
      </c>
      <c r="S890">
        <v>3.6635404454865181</v>
      </c>
      <c r="T890" t="s">
        <v>110</v>
      </c>
      <c r="U890">
        <v>3.6635404454865181</v>
      </c>
      <c r="V890">
        <v>253.60011341452949</v>
      </c>
      <c r="W890">
        <v>4.1606268607071263E-2</v>
      </c>
      <c r="X890" t="s">
        <v>111</v>
      </c>
      <c r="Y890">
        <v>9.5</v>
      </c>
      <c r="Z890">
        <v>0.17185415591273859</v>
      </c>
      <c r="AA890">
        <v>31.536000000000001</v>
      </c>
    </row>
    <row r="891" spans="1:27" hidden="1" x14ac:dyDescent="0.25">
      <c r="A891" t="s">
        <v>98</v>
      </c>
      <c r="B891" t="s">
        <v>1199</v>
      </c>
      <c r="D891" t="s">
        <v>100</v>
      </c>
      <c r="E891" t="s">
        <v>142</v>
      </c>
      <c r="F891" t="s">
        <v>207</v>
      </c>
      <c r="G891" t="s">
        <v>112</v>
      </c>
      <c r="H891" t="s">
        <v>104</v>
      </c>
      <c r="I891">
        <v>2040</v>
      </c>
      <c r="J891" t="s">
        <v>214</v>
      </c>
      <c r="K891" t="s">
        <v>106</v>
      </c>
      <c r="L891" t="s">
        <v>1213</v>
      </c>
      <c r="M891" t="s">
        <v>1245</v>
      </c>
      <c r="N891">
        <v>0</v>
      </c>
      <c r="O891">
        <v>2040</v>
      </c>
      <c r="P891">
        <v>81.871252158045721</v>
      </c>
      <c r="Q891">
        <v>1.219359074694298E-2</v>
      </c>
      <c r="R891" t="s">
        <v>109</v>
      </c>
      <c r="S891">
        <v>3.9566236811254401</v>
      </c>
      <c r="T891" t="s">
        <v>110</v>
      </c>
      <c r="U891">
        <v>3.9566236811254401</v>
      </c>
      <c r="V891">
        <v>279.35637493319268</v>
      </c>
      <c r="W891">
        <v>4.1606268607071263E-2</v>
      </c>
      <c r="X891" t="s">
        <v>111</v>
      </c>
      <c r="Y891">
        <v>9.5</v>
      </c>
      <c r="Z891">
        <v>0.17185415591273859</v>
      </c>
      <c r="AA891">
        <v>31.536000000000001</v>
      </c>
    </row>
    <row r="892" spans="1:27" hidden="1" x14ac:dyDescent="0.25">
      <c r="A892" t="s">
        <v>98</v>
      </c>
      <c r="B892" t="s">
        <v>1199</v>
      </c>
      <c r="D892" t="s">
        <v>100</v>
      </c>
      <c r="E892" t="s">
        <v>142</v>
      </c>
      <c r="F892" t="s">
        <v>207</v>
      </c>
      <c r="G892" t="s">
        <v>112</v>
      </c>
      <c r="H892" t="s">
        <v>104</v>
      </c>
      <c r="I892">
        <v>2022</v>
      </c>
      <c r="J892" t="s">
        <v>216</v>
      </c>
      <c r="K892" t="s">
        <v>106</v>
      </c>
      <c r="L892" t="s">
        <v>1213</v>
      </c>
      <c r="M892" t="s">
        <v>1246</v>
      </c>
      <c r="N892">
        <v>1</v>
      </c>
      <c r="O892">
        <v>2020</v>
      </c>
      <c r="P892">
        <v>81.871252158045721</v>
      </c>
      <c r="Q892">
        <v>1.219359074694298E-2</v>
      </c>
      <c r="R892" t="s">
        <v>109</v>
      </c>
      <c r="S892">
        <v>3.6635404454865181</v>
      </c>
      <c r="T892" t="s">
        <v>110</v>
      </c>
      <c r="U892">
        <v>3.6635404454865181</v>
      </c>
      <c r="V892">
        <v>279.35637493319268</v>
      </c>
      <c r="W892">
        <v>4.1606268607071263E-2</v>
      </c>
      <c r="X892" t="s">
        <v>111</v>
      </c>
      <c r="Y892">
        <v>9.5</v>
      </c>
      <c r="Z892">
        <v>0.17185415591273859</v>
      </c>
      <c r="AA892">
        <v>31.536000000000001</v>
      </c>
    </row>
    <row r="893" spans="1:27" hidden="1" x14ac:dyDescent="0.25">
      <c r="A893" t="s">
        <v>98</v>
      </c>
      <c r="B893" t="s">
        <v>1199</v>
      </c>
      <c r="D893" t="s">
        <v>100</v>
      </c>
      <c r="E893" t="s">
        <v>142</v>
      </c>
      <c r="F893" t="s">
        <v>218</v>
      </c>
      <c r="G893" t="s">
        <v>219</v>
      </c>
      <c r="H893" t="s">
        <v>104</v>
      </c>
      <c r="I893">
        <v>2023</v>
      </c>
      <c r="J893" t="s">
        <v>220</v>
      </c>
      <c r="K893" t="s">
        <v>106</v>
      </c>
      <c r="L893" t="s">
        <v>1213</v>
      </c>
      <c r="M893" t="s">
        <v>1247</v>
      </c>
      <c r="N893">
        <v>1</v>
      </c>
      <c r="O893">
        <v>2023</v>
      </c>
      <c r="P893">
        <v>144.5166310748798</v>
      </c>
      <c r="Q893">
        <v>2.6193639382321958</v>
      </c>
      <c r="R893" t="s">
        <v>109</v>
      </c>
      <c r="S893">
        <v>4.6893317702227444</v>
      </c>
      <c r="T893" t="s">
        <v>110</v>
      </c>
      <c r="U893">
        <v>4.6893317702227444</v>
      </c>
      <c r="V893">
        <v>493.11133163936307</v>
      </c>
      <c r="W893">
        <v>8.937642885963454</v>
      </c>
      <c r="X893" t="s">
        <v>111</v>
      </c>
      <c r="Y893">
        <v>18</v>
      </c>
      <c r="Z893">
        <v>0.17185415591273859</v>
      </c>
      <c r="AA893">
        <v>31.536000000000001</v>
      </c>
    </row>
    <row r="894" spans="1:27" hidden="1" x14ac:dyDescent="0.25">
      <c r="A894" t="s">
        <v>98</v>
      </c>
      <c r="B894" t="s">
        <v>1199</v>
      </c>
      <c r="D894" t="s">
        <v>100</v>
      </c>
      <c r="E894" t="s">
        <v>142</v>
      </c>
      <c r="F894" t="s">
        <v>218</v>
      </c>
      <c r="G894" t="s">
        <v>112</v>
      </c>
      <c r="H894" t="s">
        <v>104</v>
      </c>
      <c r="I894">
        <v>2022</v>
      </c>
      <c r="J894" t="s">
        <v>222</v>
      </c>
      <c r="K894" t="s">
        <v>106</v>
      </c>
      <c r="L894" t="s">
        <v>1213</v>
      </c>
      <c r="M894" t="s">
        <v>1248</v>
      </c>
      <c r="N894">
        <v>1</v>
      </c>
      <c r="O894">
        <v>2020</v>
      </c>
      <c r="P894">
        <v>157.50054714801351</v>
      </c>
      <c r="Q894">
        <v>2.455653692092683</v>
      </c>
      <c r="R894" t="s">
        <v>109</v>
      </c>
      <c r="S894">
        <v>4.835873388042204</v>
      </c>
      <c r="T894" t="s">
        <v>110</v>
      </c>
      <c r="U894">
        <v>4.835873388042204</v>
      </c>
      <c r="V894">
        <v>537.41430284133696</v>
      </c>
      <c r="W894">
        <v>8.3790402055907389</v>
      </c>
      <c r="X894" t="s">
        <v>111</v>
      </c>
      <c r="Y894">
        <v>18</v>
      </c>
      <c r="Z894">
        <v>0.17185415591273859</v>
      </c>
      <c r="AA894">
        <v>31.536000000000001</v>
      </c>
    </row>
    <row r="895" spans="1:27" hidden="1" x14ac:dyDescent="0.25">
      <c r="A895" t="s">
        <v>98</v>
      </c>
      <c r="B895" t="s">
        <v>1199</v>
      </c>
      <c r="D895" t="s">
        <v>100</v>
      </c>
      <c r="E895" t="s">
        <v>142</v>
      </c>
      <c r="F895" t="s">
        <v>218</v>
      </c>
      <c r="G895" t="s">
        <v>103</v>
      </c>
      <c r="H895" t="s">
        <v>104</v>
      </c>
      <c r="I895">
        <v>2023</v>
      </c>
      <c r="J895" t="s">
        <v>224</v>
      </c>
      <c r="K895" t="s">
        <v>106</v>
      </c>
      <c r="L895" t="s">
        <v>1213</v>
      </c>
      <c r="M895" t="s">
        <v>1249</v>
      </c>
      <c r="N895">
        <v>1</v>
      </c>
      <c r="O895">
        <v>2023</v>
      </c>
      <c r="P895">
        <v>125.3230160102473</v>
      </c>
      <c r="Q895">
        <v>2.455653692092683</v>
      </c>
      <c r="R895" t="s">
        <v>109</v>
      </c>
      <c r="S895">
        <v>4.2203985932004704</v>
      </c>
      <c r="T895" t="s">
        <v>110</v>
      </c>
      <c r="U895">
        <v>4.2203985932004704</v>
      </c>
      <c r="V895">
        <v>427.61998290601008</v>
      </c>
      <c r="W895">
        <v>8.3790402055907389</v>
      </c>
      <c r="X895" t="s">
        <v>111</v>
      </c>
      <c r="Y895">
        <v>18</v>
      </c>
      <c r="Z895">
        <v>0.17185415591273859</v>
      </c>
      <c r="AA895">
        <v>31.536000000000001</v>
      </c>
    </row>
    <row r="896" spans="1:27" x14ac:dyDescent="0.25">
      <c r="A896" t="s">
        <v>98</v>
      </c>
      <c r="B896" t="s">
        <v>1199</v>
      </c>
      <c r="D896" t="s">
        <v>100</v>
      </c>
      <c r="E896" t="s">
        <v>226</v>
      </c>
      <c r="F896" t="s">
        <v>227</v>
      </c>
      <c r="G896" t="s">
        <v>228</v>
      </c>
      <c r="H896" t="s">
        <v>104</v>
      </c>
      <c r="I896">
        <v>2023</v>
      </c>
      <c r="J896" t="s">
        <v>229</v>
      </c>
      <c r="K896" t="s">
        <v>106</v>
      </c>
      <c r="L896" t="s">
        <v>1250</v>
      </c>
      <c r="M896" t="s">
        <v>1251</v>
      </c>
      <c r="N896">
        <v>0</v>
      </c>
      <c r="O896">
        <v>2023</v>
      </c>
      <c r="P896">
        <v>351.48905933689161</v>
      </c>
      <c r="Q896">
        <v>0.67078064758948786</v>
      </c>
      <c r="R896" t="s">
        <v>109</v>
      </c>
      <c r="S896">
        <v>2.7</v>
      </c>
      <c r="T896" t="s">
        <v>110</v>
      </c>
      <c r="U896">
        <v>2.7</v>
      </c>
      <c r="V896">
        <v>1199.3307401172131</v>
      </c>
      <c r="W896">
        <v>2.2887991223610928</v>
      </c>
      <c r="X896" t="s">
        <v>111</v>
      </c>
      <c r="Y896">
        <v>20</v>
      </c>
      <c r="Z896">
        <v>0.44</v>
      </c>
      <c r="AA896">
        <v>31.536000000000001</v>
      </c>
    </row>
    <row r="897" spans="1:27" x14ac:dyDescent="0.25">
      <c r="A897" t="s">
        <v>98</v>
      </c>
      <c r="B897" t="s">
        <v>1199</v>
      </c>
      <c r="D897" t="s">
        <v>100</v>
      </c>
      <c r="E897" t="s">
        <v>226</v>
      </c>
      <c r="F897" t="s">
        <v>227</v>
      </c>
      <c r="G897" t="s">
        <v>228</v>
      </c>
      <c r="H897" t="s">
        <v>104</v>
      </c>
      <c r="I897">
        <v>2024</v>
      </c>
      <c r="J897" t="s">
        <v>232</v>
      </c>
      <c r="K897" t="s">
        <v>106</v>
      </c>
      <c r="L897" t="s">
        <v>1250</v>
      </c>
      <c r="M897" t="s">
        <v>1252</v>
      </c>
      <c r="N897">
        <v>0</v>
      </c>
      <c r="O897">
        <v>2024</v>
      </c>
      <c r="P897">
        <v>351.48905933689161</v>
      </c>
      <c r="Q897">
        <v>0.67078064758948786</v>
      </c>
      <c r="R897" t="s">
        <v>109</v>
      </c>
      <c r="S897">
        <v>2.7</v>
      </c>
      <c r="T897" t="s">
        <v>110</v>
      </c>
      <c r="U897">
        <v>2.7</v>
      </c>
      <c r="V897">
        <v>1199.3307401172131</v>
      </c>
      <c r="W897">
        <v>2.2887991223610928</v>
      </c>
      <c r="X897" t="s">
        <v>111</v>
      </c>
      <c r="Y897">
        <v>20</v>
      </c>
      <c r="Z897">
        <v>0.44</v>
      </c>
      <c r="AA897">
        <v>31.536000000000001</v>
      </c>
    </row>
    <row r="898" spans="1:27" x14ac:dyDescent="0.25">
      <c r="A898" t="s">
        <v>98</v>
      </c>
      <c r="B898" t="s">
        <v>1199</v>
      </c>
      <c r="D898" t="s">
        <v>100</v>
      </c>
      <c r="E898" t="s">
        <v>226</v>
      </c>
      <c r="F898" t="s">
        <v>227</v>
      </c>
      <c r="G898" t="s">
        <v>228</v>
      </c>
      <c r="H898" t="s">
        <v>104</v>
      </c>
      <c r="I898">
        <v>2025</v>
      </c>
      <c r="J898" t="s">
        <v>234</v>
      </c>
      <c r="K898" t="s">
        <v>106</v>
      </c>
      <c r="L898" t="s">
        <v>1250</v>
      </c>
      <c r="M898" t="s">
        <v>1253</v>
      </c>
      <c r="N898">
        <v>0</v>
      </c>
      <c r="O898">
        <v>2025</v>
      </c>
      <c r="P898">
        <v>351.48905933689161</v>
      </c>
      <c r="Q898">
        <v>0.67078064758948786</v>
      </c>
      <c r="R898" t="s">
        <v>109</v>
      </c>
      <c r="S898">
        <v>2.7</v>
      </c>
      <c r="T898" t="s">
        <v>110</v>
      </c>
      <c r="U898">
        <v>2.7</v>
      </c>
      <c r="V898">
        <v>1199.3307401172131</v>
      </c>
      <c r="W898">
        <v>2.2887991223610928</v>
      </c>
      <c r="X898" t="s">
        <v>111</v>
      </c>
      <c r="Y898">
        <v>20</v>
      </c>
      <c r="Z898">
        <v>0.44</v>
      </c>
      <c r="AA898">
        <v>31.536000000000001</v>
      </c>
    </row>
    <row r="899" spans="1:27" x14ac:dyDescent="0.25">
      <c r="A899" t="s">
        <v>98</v>
      </c>
      <c r="B899" t="s">
        <v>1199</v>
      </c>
      <c r="D899" t="s">
        <v>100</v>
      </c>
      <c r="E899" t="s">
        <v>226</v>
      </c>
      <c r="F899" t="s">
        <v>227</v>
      </c>
      <c r="G899" t="s">
        <v>228</v>
      </c>
      <c r="H899" t="s">
        <v>104</v>
      </c>
      <c r="I899">
        <v>2026</v>
      </c>
      <c r="J899" t="s">
        <v>236</v>
      </c>
      <c r="K899" t="s">
        <v>106</v>
      </c>
      <c r="L899" t="s">
        <v>1250</v>
      </c>
      <c r="M899" t="s">
        <v>1254</v>
      </c>
      <c r="N899">
        <v>0</v>
      </c>
      <c r="O899">
        <v>2026</v>
      </c>
      <c r="P899">
        <v>351.48905933689161</v>
      </c>
      <c r="Q899">
        <v>0.67078064758948786</v>
      </c>
      <c r="R899" t="s">
        <v>109</v>
      </c>
      <c r="S899">
        <v>2.7</v>
      </c>
      <c r="T899" t="s">
        <v>110</v>
      </c>
      <c r="U899">
        <v>2.7</v>
      </c>
      <c r="V899">
        <v>1199.3307401172131</v>
      </c>
      <c r="W899">
        <v>2.2887991223610928</v>
      </c>
      <c r="X899" t="s">
        <v>111</v>
      </c>
      <c r="Y899">
        <v>20</v>
      </c>
      <c r="Z899">
        <v>0.44</v>
      </c>
      <c r="AA899">
        <v>31.536000000000001</v>
      </c>
    </row>
    <row r="900" spans="1:27" x14ac:dyDescent="0.25">
      <c r="A900" t="s">
        <v>98</v>
      </c>
      <c r="B900" t="s">
        <v>1199</v>
      </c>
      <c r="D900" t="s">
        <v>100</v>
      </c>
      <c r="E900" t="s">
        <v>226</v>
      </c>
      <c r="F900" t="s">
        <v>227</v>
      </c>
      <c r="G900" t="s">
        <v>228</v>
      </c>
      <c r="H900" t="s">
        <v>104</v>
      </c>
      <c r="I900">
        <v>2027</v>
      </c>
      <c r="J900" t="s">
        <v>238</v>
      </c>
      <c r="K900" t="s">
        <v>106</v>
      </c>
      <c r="L900" t="s">
        <v>1250</v>
      </c>
      <c r="M900" t="s">
        <v>1255</v>
      </c>
      <c r="N900">
        <v>0</v>
      </c>
      <c r="O900">
        <v>2027</v>
      </c>
      <c r="P900">
        <v>351.48905933689161</v>
      </c>
      <c r="Q900">
        <v>0.67078064758948786</v>
      </c>
      <c r="R900" t="s">
        <v>109</v>
      </c>
      <c r="S900">
        <v>2.7</v>
      </c>
      <c r="T900" t="s">
        <v>110</v>
      </c>
      <c r="U900">
        <v>2.7</v>
      </c>
      <c r="V900">
        <v>1199.3307401172131</v>
      </c>
      <c r="W900">
        <v>2.2887991223610928</v>
      </c>
      <c r="X900" t="s">
        <v>111</v>
      </c>
      <c r="Y900">
        <v>20</v>
      </c>
      <c r="Z900">
        <v>0.44</v>
      </c>
      <c r="AA900">
        <v>31.536000000000001</v>
      </c>
    </row>
    <row r="901" spans="1:27" x14ac:dyDescent="0.25">
      <c r="A901" t="s">
        <v>98</v>
      </c>
      <c r="B901" t="s">
        <v>1199</v>
      </c>
      <c r="D901" t="s">
        <v>100</v>
      </c>
      <c r="E901" t="s">
        <v>226</v>
      </c>
      <c r="F901" t="s">
        <v>240</v>
      </c>
      <c r="G901" t="s">
        <v>103</v>
      </c>
      <c r="H901" t="s">
        <v>104</v>
      </c>
      <c r="I901">
        <v>2022</v>
      </c>
      <c r="J901" t="s">
        <v>241</v>
      </c>
      <c r="K901" t="s">
        <v>106</v>
      </c>
      <c r="L901" t="s">
        <v>1250</v>
      </c>
      <c r="M901" t="s">
        <v>1256</v>
      </c>
      <c r="N901">
        <v>1</v>
      </c>
      <c r="O901">
        <v>2020</v>
      </c>
      <c r="P901">
        <v>364.1638033744108</v>
      </c>
      <c r="Q901">
        <v>0.71474740603417231</v>
      </c>
      <c r="R901" t="s">
        <v>109</v>
      </c>
      <c r="S901">
        <v>3.9</v>
      </c>
      <c r="T901" t="s">
        <v>110</v>
      </c>
      <c r="U901">
        <v>3.9</v>
      </c>
      <c r="V901">
        <v>1242.578772292075</v>
      </c>
      <c r="W901">
        <v>2.4388199652445048</v>
      </c>
      <c r="X901" t="s">
        <v>111</v>
      </c>
      <c r="Y901">
        <v>15</v>
      </c>
      <c r="Z901">
        <v>0.44</v>
      </c>
      <c r="AA901">
        <v>31.536000000000001</v>
      </c>
    </row>
    <row r="902" spans="1:27" hidden="1" x14ac:dyDescent="0.25">
      <c r="A902" t="s">
        <v>98</v>
      </c>
      <c r="B902" t="s">
        <v>1199</v>
      </c>
      <c r="D902" t="s">
        <v>100</v>
      </c>
      <c r="E902" t="s">
        <v>243</v>
      </c>
      <c r="F902" t="s">
        <v>244</v>
      </c>
      <c r="G902" t="s">
        <v>245</v>
      </c>
      <c r="H902" t="s">
        <v>104</v>
      </c>
      <c r="I902">
        <v>2022</v>
      </c>
      <c r="J902" t="s">
        <v>246</v>
      </c>
      <c r="K902" t="s">
        <v>106</v>
      </c>
      <c r="L902" t="s">
        <v>1257</v>
      </c>
      <c r="M902" t="s">
        <v>1258</v>
      </c>
      <c r="N902">
        <v>1</v>
      </c>
      <c r="O902">
        <v>2020</v>
      </c>
      <c r="P902">
        <v>5418.3180362120765</v>
      </c>
      <c r="Q902">
        <v>63.780978532496562</v>
      </c>
      <c r="R902" t="s">
        <v>249</v>
      </c>
      <c r="S902">
        <v>0.41325750353930962</v>
      </c>
      <c r="T902" t="s">
        <v>250</v>
      </c>
      <c r="U902">
        <v>1</v>
      </c>
      <c r="V902">
        <v>7640.3348848129563</v>
      </c>
      <c r="W902">
        <v>89.937141380872987</v>
      </c>
      <c r="X902" t="s">
        <v>111</v>
      </c>
      <c r="Y902">
        <v>20</v>
      </c>
      <c r="Z902">
        <v>0.44</v>
      </c>
      <c r="AA902">
        <v>31.536000000000001</v>
      </c>
    </row>
    <row r="903" spans="1:27" hidden="1" x14ac:dyDescent="0.25">
      <c r="A903" t="s">
        <v>98</v>
      </c>
      <c r="B903" t="s">
        <v>1199</v>
      </c>
      <c r="D903" t="s">
        <v>100</v>
      </c>
      <c r="E903" t="s">
        <v>243</v>
      </c>
      <c r="F903" t="s">
        <v>244</v>
      </c>
      <c r="G903" t="s">
        <v>103</v>
      </c>
      <c r="H903" t="s">
        <v>104</v>
      </c>
      <c r="I903">
        <v>2022</v>
      </c>
      <c r="J903" t="s">
        <v>251</v>
      </c>
      <c r="K903" t="s">
        <v>106</v>
      </c>
      <c r="L903" t="s">
        <v>1257</v>
      </c>
      <c r="M903" t="s">
        <v>1259</v>
      </c>
      <c r="N903">
        <v>1</v>
      </c>
      <c r="O903">
        <v>2020</v>
      </c>
      <c r="P903">
        <v>5667.3116722418044</v>
      </c>
      <c r="Q903">
        <v>63.780978532496562</v>
      </c>
      <c r="R903" t="s">
        <v>249</v>
      </c>
      <c r="S903">
        <v>0.43508713487380868</v>
      </c>
      <c r="T903" t="s">
        <v>250</v>
      </c>
      <c r="U903">
        <v>1.052823315118397</v>
      </c>
      <c r="V903">
        <v>7991.4391852139524</v>
      </c>
      <c r="W903">
        <v>89.937141380873001</v>
      </c>
      <c r="X903" t="s">
        <v>111</v>
      </c>
      <c r="Y903">
        <v>20</v>
      </c>
      <c r="Z903">
        <v>0.44</v>
      </c>
      <c r="AA903">
        <v>31.536000000000001</v>
      </c>
    </row>
    <row r="904" spans="1:27" hidden="1" x14ac:dyDescent="0.25">
      <c r="A904" t="s">
        <v>98</v>
      </c>
      <c r="B904" t="s">
        <v>1199</v>
      </c>
      <c r="D904" t="s">
        <v>100</v>
      </c>
      <c r="E904" t="s">
        <v>243</v>
      </c>
      <c r="F904" t="s">
        <v>244</v>
      </c>
      <c r="G904" t="s">
        <v>112</v>
      </c>
      <c r="H904" t="s">
        <v>104</v>
      </c>
      <c r="I904">
        <v>2022</v>
      </c>
      <c r="J904" t="s">
        <v>253</v>
      </c>
      <c r="K904" t="s">
        <v>106</v>
      </c>
      <c r="L904" t="s">
        <v>1257</v>
      </c>
      <c r="M904" t="s">
        <v>1260</v>
      </c>
      <c r="N904">
        <v>1</v>
      </c>
      <c r="O904">
        <v>2020</v>
      </c>
      <c r="P904">
        <v>5911.8706390075113</v>
      </c>
      <c r="Q904">
        <v>63.780978532496562</v>
      </c>
      <c r="R904" t="s">
        <v>249</v>
      </c>
      <c r="S904">
        <v>0.44315925240393511</v>
      </c>
      <c r="T904" t="s">
        <v>250</v>
      </c>
      <c r="U904">
        <v>1.0723562152133581</v>
      </c>
      <c r="V904">
        <v>8336.2901874412255</v>
      </c>
      <c r="W904">
        <v>89.937141380873001</v>
      </c>
      <c r="X904" t="s">
        <v>111</v>
      </c>
      <c r="Y904">
        <v>20</v>
      </c>
      <c r="Z904">
        <v>0.44</v>
      </c>
      <c r="AA904">
        <v>31.536000000000001</v>
      </c>
    </row>
    <row r="905" spans="1:27" hidden="1" x14ac:dyDescent="0.25">
      <c r="A905" t="s">
        <v>98</v>
      </c>
      <c r="B905" t="s">
        <v>1199</v>
      </c>
      <c r="D905" t="s">
        <v>100</v>
      </c>
      <c r="E905" t="s">
        <v>243</v>
      </c>
      <c r="F905" t="s">
        <v>244</v>
      </c>
      <c r="G905" t="s">
        <v>103</v>
      </c>
      <c r="H905" t="s">
        <v>104</v>
      </c>
      <c r="I905">
        <v>2030</v>
      </c>
      <c r="J905" t="s">
        <v>255</v>
      </c>
      <c r="K905" t="s">
        <v>106</v>
      </c>
      <c r="L905" t="s">
        <v>1257</v>
      </c>
      <c r="M905" t="s">
        <v>1261</v>
      </c>
      <c r="N905">
        <v>1</v>
      </c>
      <c r="O905">
        <v>2030</v>
      </c>
      <c r="P905">
        <v>5667.3116722418044</v>
      </c>
      <c r="Q905">
        <v>63.780978532496562</v>
      </c>
      <c r="R905" t="s">
        <v>249</v>
      </c>
      <c r="S905">
        <v>0.43508713487380868</v>
      </c>
      <c r="T905" t="s">
        <v>250</v>
      </c>
      <c r="U905">
        <v>1.052823315118397</v>
      </c>
      <c r="V905">
        <v>7991.4391852139524</v>
      </c>
      <c r="W905">
        <v>89.937141380873001</v>
      </c>
      <c r="X905" t="s">
        <v>111</v>
      </c>
      <c r="Y905">
        <v>20</v>
      </c>
      <c r="Z905">
        <v>0.44</v>
      </c>
      <c r="AA905">
        <v>31.536000000000001</v>
      </c>
    </row>
    <row r="906" spans="1:27" hidden="1" x14ac:dyDescent="0.25">
      <c r="A906" t="s">
        <v>98</v>
      </c>
      <c r="B906" t="s">
        <v>1199</v>
      </c>
      <c r="D906" t="s">
        <v>100</v>
      </c>
      <c r="E906" t="s">
        <v>243</v>
      </c>
      <c r="F906" t="s">
        <v>244</v>
      </c>
      <c r="G906" t="s">
        <v>112</v>
      </c>
      <c r="H906" t="s">
        <v>104</v>
      </c>
      <c r="I906">
        <v>2030</v>
      </c>
      <c r="J906" t="s">
        <v>257</v>
      </c>
      <c r="K906" t="s">
        <v>106</v>
      </c>
      <c r="L906" t="s">
        <v>1257</v>
      </c>
      <c r="M906" t="s">
        <v>1262</v>
      </c>
      <c r="N906">
        <v>1</v>
      </c>
      <c r="O906">
        <v>2030</v>
      </c>
      <c r="P906">
        <v>5911.8706390075113</v>
      </c>
      <c r="Q906">
        <v>63.780978532496562</v>
      </c>
      <c r="R906" t="s">
        <v>249</v>
      </c>
      <c r="S906">
        <v>0.44315925240393511</v>
      </c>
      <c r="T906" t="s">
        <v>250</v>
      </c>
      <c r="U906">
        <v>1.0723562152133581</v>
      </c>
      <c r="V906">
        <v>8336.2901874412255</v>
      </c>
      <c r="W906">
        <v>89.937141380873001</v>
      </c>
      <c r="X906" t="s">
        <v>111</v>
      </c>
      <c r="Y906">
        <v>20</v>
      </c>
      <c r="Z906">
        <v>0.44</v>
      </c>
      <c r="AA906">
        <v>31.536000000000001</v>
      </c>
    </row>
    <row r="907" spans="1:27" hidden="1" x14ac:dyDescent="0.25">
      <c r="A907" t="s">
        <v>98</v>
      </c>
      <c r="B907" t="s">
        <v>1199</v>
      </c>
      <c r="D907" t="s">
        <v>100</v>
      </c>
      <c r="E907" t="s">
        <v>243</v>
      </c>
      <c r="F907" t="s">
        <v>244</v>
      </c>
      <c r="G907" t="s">
        <v>103</v>
      </c>
      <c r="H907" t="s">
        <v>104</v>
      </c>
      <c r="I907">
        <v>2040</v>
      </c>
      <c r="J907" t="s">
        <v>259</v>
      </c>
      <c r="K907" t="s">
        <v>106</v>
      </c>
      <c r="L907" t="s">
        <v>1257</v>
      </c>
      <c r="M907" t="s">
        <v>1263</v>
      </c>
      <c r="N907">
        <v>1</v>
      </c>
      <c r="O907">
        <v>2040</v>
      </c>
      <c r="P907">
        <v>5667.3116722418044</v>
      </c>
      <c r="Q907">
        <v>63.780978532496562</v>
      </c>
      <c r="R907" t="s">
        <v>249</v>
      </c>
      <c r="S907">
        <v>0.43508713487380868</v>
      </c>
      <c r="T907" t="s">
        <v>250</v>
      </c>
      <c r="U907">
        <v>1.052823315118397</v>
      </c>
      <c r="V907">
        <v>7991.4391852139524</v>
      </c>
      <c r="W907">
        <v>89.937141380873001</v>
      </c>
      <c r="X907" t="s">
        <v>111</v>
      </c>
      <c r="Y907">
        <v>20</v>
      </c>
      <c r="Z907">
        <v>0.44</v>
      </c>
      <c r="AA907">
        <v>31.536000000000001</v>
      </c>
    </row>
    <row r="908" spans="1:27" hidden="1" x14ac:dyDescent="0.25">
      <c r="A908" t="s">
        <v>98</v>
      </c>
      <c r="B908" t="s">
        <v>1199</v>
      </c>
      <c r="D908" t="s">
        <v>100</v>
      </c>
      <c r="E908" t="s">
        <v>243</v>
      </c>
      <c r="F908" t="s">
        <v>244</v>
      </c>
      <c r="G908" t="s">
        <v>112</v>
      </c>
      <c r="H908" t="s">
        <v>104</v>
      </c>
      <c r="I908">
        <v>2040</v>
      </c>
      <c r="J908" t="s">
        <v>261</v>
      </c>
      <c r="K908" t="s">
        <v>106</v>
      </c>
      <c r="L908" t="s">
        <v>1257</v>
      </c>
      <c r="M908" t="s">
        <v>1264</v>
      </c>
      <c r="N908">
        <v>1</v>
      </c>
      <c r="O908">
        <v>2040</v>
      </c>
      <c r="P908">
        <v>5911.8706390075113</v>
      </c>
      <c r="Q908">
        <v>63.780978532496562</v>
      </c>
      <c r="R908" t="s">
        <v>249</v>
      </c>
      <c r="S908">
        <v>0.44315925240393511</v>
      </c>
      <c r="T908" t="s">
        <v>250</v>
      </c>
      <c r="U908">
        <v>1.0723562152133581</v>
      </c>
      <c r="V908">
        <v>8336.2901874412255</v>
      </c>
      <c r="W908">
        <v>89.937141380873001</v>
      </c>
      <c r="X908" t="s">
        <v>111</v>
      </c>
      <c r="Y908">
        <v>20</v>
      </c>
      <c r="Z908">
        <v>0.44</v>
      </c>
      <c r="AA908">
        <v>31.536000000000001</v>
      </c>
    </row>
    <row r="909" spans="1:27" hidden="1" x14ac:dyDescent="0.25">
      <c r="A909" t="s">
        <v>98</v>
      </c>
      <c r="B909" t="s">
        <v>1199</v>
      </c>
      <c r="D909" t="s">
        <v>100</v>
      </c>
      <c r="E909" t="s">
        <v>243</v>
      </c>
      <c r="F909" t="s">
        <v>244</v>
      </c>
      <c r="G909" t="s">
        <v>103</v>
      </c>
      <c r="H909" t="s">
        <v>104</v>
      </c>
      <c r="I909">
        <v>2050</v>
      </c>
      <c r="J909" t="s">
        <v>263</v>
      </c>
      <c r="K909" t="s">
        <v>106</v>
      </c>
      <c r="L909" t="s">
        <v>1257</v>
      </c>
      <c r="M909" t="s">
        <v>1265</v>
      </c>
      <c r="N909">
        <v>1</v>
      </c>
      <c r="O909">
        <v>2050</v>
      </c>
      <c r="P909">
        <v>5667.3116722418044</v>
      </c>
      <c r="Q909">
        <v>63.780978532496562</v>
      </c>
      <c r="R909" t="s">
        <v>249</v>
      </c>
      <c r="S909">
        <v>0.43508713487380868</v>
      </c>
      <c r="T909" t="s">
        <v>250</v>
      </c>
      <c r="U909">
        <v>1.052823315118397</v>
      </c>
      <c r="V909">
        <v>7991.4391852139524</v>
      </c>
      <c r="W909">
        <v>89.937141380873001</v>
      </c>
      <c r="X909" t="s">
        <v>111</v>
      </c>
      <c r="Y909">
        <v>20</v>
      </c>
      <c r="Z909">
        <v>0.44</v>
      </c>
      <c r="AA909">
        <v>31.536000000000001</v>
      </c>
    </row>
    <row r="910" spans="1:27" hidden="1" x14ac:dyDescent="0.25">
      <c r="A910" t="s">
        <v>98</v>
      </c>
      <c r="B910" t="s">
        <v>1199</v>
      </c>
      <c r="D910" t="s">
        <v>100</v>
      </c>
      <c r="E910" t="s">
        <v>243</v>
      </c>
      <c r="F910" t="s">
        <v>244</v>
      </c>
      <c r="G910" t="s">
        <v>112</v>
      </c>
      <c r="H910" t="s">
        <v>104</v>
      </c>
      <c r="I910">
        <v>2050</v>
      </c>
      <c r="J910" t="s">
        <v>265</v>
      </c>
      <c r="K910" t="s">
        <v>106</v>
      </c>
      <c r="L910" t="s">
        <v>1257</v>
      </c>
      <c r="M910" t="s">
        <v>1266</v>
      </c>
      <c r="N910">
        <v>1</v>
      </c>
      <c r="O910">
        <v>2050</v>
      </c>
      <c r="P910">
        <v>5911.8706390075113</v>
      </c>
      <c r="Q910">
        <v>63.780978532496562</v>
      </c>
      <c r="R910" t="s">
        <v>249</v>
      </c>
      <c r="S910">
        <v>0.44315925240393511</v>
      </c>
      <c r="T910" t="s">
        <v>250</v>
      </c>
      <c r="U910">
        <v>1.0723562152133581</v>
      </c>
      <c r="V910">
        <v>8336.2901874412255</v>
      </c>
      <c r="W910">
        <v>89.937141380873001</v>
      </c>
      <c r="X910" t="s">
        <v>111</v>
      </c>
      <c r="Y910">
        <v>20</v>
      </c>
      <c r="Z910">
        <v>0.44</v>
      </c>
      <c r="AA910">
        <v>31.536000000000001</v>
      </c>
    </row>
    <row r="911" spans="1:27" hidden="1" x14ac:dyDescent="0.25">
      <c r="A911" t="s">
        <v>98</v>
      </c>
      <c r="B911" t="s">
        <v>1199</v>
      </c>
      <c r="D911" t="s">
        <v>100</v>
      </c>
      <c r="E911" t="s">
        <v>243</v>
      </c>
      <c r="F911" t="s">
        <v>267</v>
      </c>
      <c r="G911" t="s">
        <v>245</v>
      </c>
      <c r="H911" t="s">
        <v>104</v>
      </c>
      <c r="I911">
        <v>2022</v>
      </c>
      <c r="J911" t="s">
        <v>268</v>
      </c>
      <c r="K911" t="s">
        <v>106</v>
      </c>
      <c r="L911" t="s">
        <v>1257</v>
      </c>
      <c r="M911" t="s">
        <v>1267</v>
      </c>
      <c r="N911">
        <v>1</v>
      </c>
      <c r="O911">
        <v>2020</v>
      </c>
      <c r="P911">
        <v>7748.5410872802086</v>
      </c>
      <c r="Q911">
        <v>68.755259026523561</v>
      </c>
      <c r="R911" t="s">
        <v>249</v>
      </c>
      <c r="S911">
        <v>0.29876527460377861</v>
      </c>
      <c r="T911" t="s">
        <v>250</v>
      </c>
      <c r="U911">
        <v>0.72295184490306452</v>
      </c>
      <c r="V911">
        <v>10926.167194301681</v>
      </c>
      <c r="W911">
        <v>96.951341826723592</v>
      </c>
      <c r="X911" t="s">
        <v>111</v>
      </c>
      <c r="Y911">
        <v>20</v>
      </c>
      <c r="Z911">
        <v>0.44</v>
      </c>
      <c r="AA911">
        <v>31.536000000000001</v>
      </c>
    </row>
    <row r="912" spans="1:27" hidden="1" x14ac:dyDescent="0.25">
      <c r="A912" t="s">
        <v>98</v>
      </c>
      <c r="B912" t="s">
        <v>1199</v>
      </c>
      <c r="D912" t="s">
        <v>100</v>
      </c>
      <c r="E912" t="s">
        <v>243</v>
      </c>
      <c r="F912" t="s">
        <v>267</v>
      </c>
      <c r="G912" t="s">
        <v>112</v>
      </c>
      <c r="H912" t="s">
        <v>104</v>
      </c>
      <c r="I912">
        <v>2022</v>
      </c>
      <c r="J912" t="s">
        <v>270</v>
      </c>
      <c r="K912" t="s">
        <v>106</v>
      </c>
      <c r="L912" t="s">
        <v>1257</v>
      </c>
      <c r="M912" t="s">
        <v>1268</v>
      </c>
      <c r="N912">
        <v>1</v>
      </c>
      <c r="O912">
        <v>2020</v>
      </c>
      <c r="P912">
        <v>8151.6394802345676</v>
      </c>
      <c r="Q912">
        <v>68.755259026523561</v>
      </c>
      <c r="R912" t="s">
        <v>249</v>
      </c>
      <c r="S912">
        <v>0.29876527460377861</v>
      </c>
      <c r="T912" t="s">
        <v>250</v>
      </c>
      <c r="U912">
        <v>0.72295184490306452</v>
      </c>
      <c r="V912">
        <v>11494.57360623949</v>
      </c>
      <c r="W912">
        <v>96.951341826723592</v>
      </c>
      <c r="X912" t="s">
        <v>111</v>
      </c>
      <c r="Y912">
        <v>20</v>
      </c>
      <c r="Z912">
        <v>0.44</v>
      </c>
      <c r="AA912">
        <v>31.536000000000001</v>
      </c>
    </row>
    <row r="913" spans="1:27" hidden="1" x14ac:dyDescent="0.25">
      <c r="A913" t="s">
        <v>98</v>
      </c>
      <c r="B913" t="s">
        <v>1199</v>
      </c>
      <c r="D913" t="s">
        <v>100</v>
      </c>
      <c r="E913" t="s">
        <v>243</v>
      </c>
      <c r="F913" t="s">
        <v>267</v>
      </c>
      <c r="G913" t="s">
        <v>103</v>
      </c>
      <c r="H913" t="s">
        <v>104</v>
      </c>
      <c r="I913">
        <v>2030</v>
      </c>
      <c r="J913" t="s">
        <v>272</v>
      </c>
      <c r="K913" t="s">
        <v>106</v>
      </c>
      <c r="L913" t="s">
        <v>1257</v>
      </c>
      <c r="M913" t="s">
        <v>1269</v>
      </c>
      <c r="N913">
        <v>1</v>
      </c>
      <c r="O913">
        <v>2030</v>
      </c>
      <c r="P913">
        <v>8119.0316179991396</v>
      </c>
      <c r="Q913">
        <v>68.755259026523561</v>
      </c>
      <c r="R913" t="s">
        <v>249</v>
      </c>
      <c r="S913">
        <v>0.29876527460377861</v>
      </c>
      <c r="T913" t="s">
        <v>250</v>
      </c>
      <c r="U913">
        <v>0.72295184490306452</v>
      </c>
      <c r="V913">
        <v>11448.59347260918</v>
      </c>
      <c r="W913">
        <v>96.951341826723592</v>
      </c>
      <c r="X913" t="s">
        <v>111</v>
      </c>
      <c r="Y913">
        <v>20</v>
      </c>
      <c r="Z913">
        <v>0.44</v>
      </c>
      <c r="AA913">
        <v>31.536000000000001</v>
      </c>
    </row>
    <row r="914" spans="1:27" hidden="1" x14ac:dyDescent="0.25">
      <c r="A914" t="s">
        <v>98</v>
      </c>
      <c r="B914" t="s">
        <v>1199</v>
      </c>
      <c r="D914" t="s">
        <v>100</v>
      </c>
      <c r="E914" t="s">
        <v>243</v>
      </c>
      <c r="F914" t="s">
        <v>267</v>
      </c>
      <c r="G914" t="s">
        <v>112</v>
      </c>
      <c r="H914" t="s">
        <v>104</v>
      </c>
      <c r="I914">
        <v>2030</v>
      </c>
      <c r="J914" t="s">
        <v>274</v>
      </c>
      <c r="K914" t="s">
        <v>106</v>
      </c>
      <c r="L914" t="s">
        <v>1257</v>
      </c>
      <c r="M914" t="s">
        <v>1270</v>
      </c>
      <c r="N914">
        <v>1</v>
      </c>
      <c r="O914">
        <v>2030</v>
      </c>
      <c r="P914">
        <v>8151.6394802345676</v>
      </c>
      <c r="Q914">
        <v>68.755259026523561</v>
      </c>
      <c r="R914" t="s">
        <v>249</v>
      </c>
      <c r="S914">
        <v>0.31450011460924421</v>
      </c>
      <c r="T914" t="s">
        <v>250</v>
      </c>
      <c r="U914">
        <v>0.76102699144173802</v>
      </c>
      <c r="V914">
        <v>11494.57360623949</v>
      </c>
      <c r="W914">
        <v>96.951341826723578</v>
      </c>
      <c r="X914" t="s">
        <v>111</v>
      </c>
      <c r="Y914">
        <v>20</v>
      </c>
      <c r="Z914">
        <v>0.44</v>
      </c>
      <c r="AA914">
        <v>31.536000000000001</v>
      </c>
    </row>
    <row r="915" spans="1:27" hidden="1" x14ac:dyDescent="0.25">
      <c r="A915" t="s">
        <v>98</v>
      </c>
      <c r="B915" t="s">
        <v>1199</v>
      </c>
      <c r="D915" t="s">
        <v>100</v>
      </c>
      <c r="E915" t="s">
        <v>243</v>
      </c>
      <c r="F915" t="s">
        <v>267</v>
      </c>
      <c r="G915" t="s">
        <v>103</v>
      </c>
      <c r="H915" t="s">
        <v>104</v>
      </c>
      <c r="I915">
        <v>2040</v>
      </c>
      <c r="J915" t="s">
        <v>276</v>
      </c>
      <c r="K915" t="s">
        <v>106</v>
      </c>
      <c r="L915" t="s">
        <v>1257</v>
      </c>
      <c r="M915" t="s">
        <v>1271</v>
      </c>
      <c r="N915">
        <v>1</v>
      </c>
      <c r="O915">
        <v>2040</v>
      </c>
      <c r="P915">
        <v>8119.0316179991396</v>
      </c>
      <c r="Q915">
        <v>68.755259026523561</v>
      </c>
      <c r="R915" t="s">
        <v>249</v>
      </c>
      <c r="S915">
        <v>0.29876527460377861</v>
      </c>
      <c r="T915" t="s">
        <v>250</v>
      </c>
      <c r="U915">
        <v>0.72295184490306452</v>
      </c>
      <c r="V915">
        <v>11448.59347260918</v>
      </c>
      <c r="W915">
        <v>96.951341826723592</v>
      </c>
      <c r="X915" t="s">
        <v>111</v>
      </c>
      <c r="Y915">
        <v>20</v>
      </c>
      <c r="Z915">
        <v>0.44</v>
      </c>
      <c r="AA915">
        <v>31.536000000000001</v>
      </c>
    </row>
    <row r="916" spans="1:27" hidden="1" x14ac:dyDescent="0.25">
      <c r="A916" t="s">
        <v>98</v>
      </c>
      <c r="B916" t="s">
        <v>1199</v>
      </c>
      <c r="D916" t="s">
        <v>100</v>
      </c>
      <c r="E916" t="s">
        <v>243</v>
      </c>
      <c r="F916" t="s">
        <v>267</v>
      </c>
      <c r="G916" t="s">
        <v>112</v>
      </c>
      <c r="H916" t="s">
        <v>104</v>
      </c>
      <c r="I916">
        <v>2040</v>
      </c>
      <c r="J916" t="s">
        <v>278</v>
      </c>
      <c r="K916" t="s">
        <v>106</v>
      </c>
      <c r="L916" t="s">
        <v>1257</v>
      </c>
      <c r="M916" t="s">
        <v>1272</v>
      </c>
      <c r="N916">
        <v>1</v>
      </c>
      <c r="O916">
        <v>2040</v>
      </c>
      <c r="P916">
        <v>8151.6394802345676</v>
      </c>
      <c r="Q916">
        <v>68.755259026523561</v>
      </c>
      <c r="R916" t="s">
        <v>249</v>
      </c>
      <c r="S916">
        <v>0.31450011460924421</v>
      </c>
      <c r="T916" t="s">
        <v>250</v>
      </c>
      <c r="U916">
        <v>0.76102699144173802</v>
      </c>
      <c r="V916">
        <v>11494.57360623949</v>
      </c>
      <c r="W916">
        <v>96.951341826723578</v>
      </c>
      <c r="X916" t="s">
        <v>111</v>
      </c>
      <c r="Y916">
        <v>20</v>
      </c>
      <c r="Z916">
        <v>0.44</v>
      </c>
      <c r="AA916">
        <v>31.536000000000001</v>
      </c>
    </row>
    <row r="917" spans="1:27" hidden="1" x14ac:dyDescent="0.25">
      <c r="A917" t="s">
        <v>98</v>
      </c>
      <c r="B917" t="s">
        <v>1199</v>
      </c>
      <c r="D917" t="s">
        <v>100</v>
      </c>
      <c r="E917" t="s">
        <v>243</v>
      </c>
      <c r="F917" t="s">
        <v>267</v>
      </c>
      <c r="G917" t="s">
        <v>103</v>
      </c>
      <c r="H917" t="s">
        <v>104</v>
      </c>
      <c r="I917">
        <v>2050</v>
      </c>
      <c r="J917" t="s">
        <v>280</v>
      </c>
      <c r="K917" t="s">
        <v>106</v>
      </c>
      <c r="L917" t="s">
        <v>1257</v>
      </c>
      <c r="M917" t="s">
        <v>1273</v>
      </c>
      <c r="N917">
        <v>1</v>
      </c>
      <c r="O917">
        <v>2050</v>
      </c>
      <c r="P917">
        <v>8119.0316179991396</v>
      </c>
      <c r="Q917">
        <v>68.755259026523561</v>
      </c>
      <c r="R917" t="s">
        <v>249</v>
      </c>
      <c r="S917">
        <v>0.29876527460377861</v>
      </c>
      <c r="T917" t="s">
        <v>250</v>
      </c>
      <c r="U917">
        <v>0.72295184490306452</v>
      </c>
      <c r="V917">
        <v>11448.59347260918</v>
      </c>
      <c r="W917">
        <v>96.951341826723592</v>
      </c>
      <c r="X917" t="s">
        <v>111</v>
      </c>
      <c r="Y917">
        <v>20</v>
      </c>
      <c r="Z917">
        <v>0.44</v>
      </c>
      <c r="AA917">
        <v>31.536000000000001</v>
      </c>
    </row>
    <row r="918" spans="1:27" hidden="1" x14ac:dyDescent="0.25">
      <c r="A918" t="s">
        <v>98</v>
      </c>
      <c r="B918" t="s">
        <v>1199</v>
      </c>
      <c r="D918" t="s">
        <v>100</v>
      </c>
      <c r="E918" t="s">
        <v>243</v>
      </c>
      <c r="F918" t="s">
        <v>267</v>
      </c>
      <c r="G918" t="s">
        <v>112</v>
      </c>
      <c r="H918" t="s">
        <v>104</v>
      </c>
      <c r="I918">
        <v>2050</v>
      </c>
      <c r="J918" t="s">
        <v>282</v>
      </c>
      <c r="K918" t="s">
        <v>106</v>
      </c>
      <c r="L918" t="s">
        <v>1257</v>
      </c>
      <c r="M918" t="s">
        <v>1274</v>
      </c>
      <c r="N918">
        <v>1</v>
      </c>
      <c r="O918">
        <v>2050</v>
      </c>
      <c r="P918">
        <v>8151.6394802345676</v>
      </c>
      <c r="Q918">
        <v>68.755259026523561</v>
      </c>
      <c r="R918" t="s">
        <v>249</v>
      </c>
      <c r="S918">
        <v>0.31450011460924421</v>
      </c>
      <c r="T918" t="s">
        <v>250</v>
      </c>
      <c r="U918">
        <v>0.76102699144173802</v>
      </c>
      <c r="V918">
        <v>11494.57360623949</v>
      </c>
      <c r="W918">
        <v>96.951341826723578</v>
      </c>
      <c r="X918" t="s">
        <v>111</v>
      </c>
      <c r="Y918">
        <v>20</v>
      </c>
      <c r="Z918">
        <v>0.44</v>
      </c>
      <c r="AA918">
        <v>31.536000000000001</v>
      </c>
    </row>
    <row r="919" spans="1:27" hidden="1" x14ac:dyDescent="0.25">
      <c r="A919" t="s">
        <v>98</v>
      </c>
      <c r="B919" t="s">
        <v>1199</v>
      </c>
      <c r="D919" t="s">
        <v>100</v>
      </c>
      <c r="E919" t="s">
        <v>284</v>
      </c>
      <c r="F919" t="s">
        <v>285</v>
      </c>
      <c r="G919" t="s">
        <v>103</v>
      </c>
      <c r="H919" t="s">
        <v>104</v>
      </c>
      <c r="I919">
        <v>2022</v>
      </c>
      <c r="J919" t="s">
        <v>286</v>
      </c>
      <c r="K919" t="s">
        <v>106</v>
      </c>
      <c r="L919" t="s">
        <v>1275</v>
      </c>
      <c r="M919" t="s">
        <v>1276</v>
      </c>
      <c r="N919">
        <v>1</v>
      </c>
      <c r="O919">
        <v>2020</v>
      </c>
      <c r="P919">
        <v>100.10336678844671</v>
      </c>
      <c r="Q919">
        <v>36.612504973710713</v>
      </c>
      <c r="R919" t="s">
        <v>289</v>
      </c>
      <c r="S919">
        <v>15.58191798941797</v>
      </c>
      <c r="T919" t="s">
        <v>290</v>
      </c>
      <c r="U919">
        <v>15.58191798941797</v>
      </c>
      <c r="V919">
        <v>100.10336678844671</v>
      </c>
      <c r="W919">
        <v>36.612504973710713</v>
      </c>
      <c r="X919" t="s">
        <v>291</v>
      </c>
      <c r="Y919">
        <v>10</v>
      </c>
      <c r="Z919">
        <v>0.30963119843953862</v>
      </c>
      <c r="AA919">
        <v>1</v>
      </c>
    </row>
    <row r="920" spans="1:27" hidden="1" x14ac:dyDescent="0.25">
      <c r="A920" t="s">
        <v>98</v>
      </c>
      <c r="B920" t="s">
        <v>1199</v>
      </c>
      <c r="D920" t="s">
        <v>100</v>
      </c>
      <c r="E920" t="s">
        <v>284</v>
      </c>
      <c r="F920" t="s">
        <v>292</v>
      </c>
      <c r="G920" t="s">
        <v>103</v>
      </c>
      <c r="H920" t="s">
        <v>104</v>
      </c>
      <c r="I920">
        <v>2022</v>
      </c>
      <c r="J920" t="s">
        <v>293</v>
      </c>
      <c r="K920" t="s">
        <v>106</v>
      </c>
      <c r="L920" t="s">
        <v>1275</v>
      </c>
      <c r="M920" t="s">
        <v>1277</v>
      </c>
      <c r="N920">
        <v>1</v>
      </c>
      <c r="O920">
        <v>2020</v>
      </c>
      <c r="P920">
        <v>99.46253669701926</v>
      </c>
      <c r="Q920">
        <v>6.0605044913603194</v>
      </c>
      <c r="R920" t="s">
        <v>289</v>
      </c>
      <c r="S920">
        <v>42.005691056910557</v>
      </c>
      <c r="T920" t="s">
        <v>290</v>
      </c>
      <c r="U920">
        <v>42.005691056910557</v>
      </c>
      <c r="V920">
        <v>99.46253669701926</v>
      </c>
      <c r="W920">
        <v>6.0605044913603194</v>
      </c>
      <c r="X920" t="s">
        <v>291</v>
      </c>
      <c r="Y920">
        <v>10</v>
      </c>
      <c r="Z920">
        <v>0.30963119843953862</v>
      </c>
      <c r="AA920">
        <v>1</v>
      </c>
    </row>
    <row r="921" spans="1:27" hidden="1" x14ac:dyDescent="0.25">
      <c r="A921" t="s">
        <v>98</v>
      </c>
      <c r="B921" t="s">
        <v>1199</v>
      </c>
      <c r="D921" t="s">
        <v>100</v>
      </c>
      <c r="E921" t="s">
        <v>284</v>
      </c>
      <c r="F921" t="s">
        <v>292</v>
      </c>
      <c r="G921" t="s">
        <v>112</v>
      </c>
      <c r="H921" t="s">
        <v>104</v>
      </c>
      <c r="I921">
        <v>2022</v>
      </c>
      <c r="J921" t="s">
        <v>295</v>
      </c>
      <c r="K921" t="s">
        <v>106</v>
      </c>
      <c r="L921" t="s">
        <v>1275</v>
      </c>
      <c r="M921" t="s">
        <v>1278</v>
      </c>
      <c r="N921">
        <v>1</v>
      </c>
      <c r="O921">
        <v>2020</v>
      </c>
      <c r="P921">
        <v>92.517129414925563</v>
      </c>
      <c r="Q921">
        <v>5.9256499638890956</v>
      </c>
      <c r="R921" t="s">
        <v>289</v>
      </c>
      <c r="S921">
        <v>43.051923076923067</v>
      </c>
      <c r="T921" t="s">
        <v>290</v>
      </c>
      <c r="U921">
        <v>43.051923076923067</v>
      </c>
      <c r="V921">
        <v>92.517129414925563</v>
      </c>
      <c r="W921">
        <v>5.9256499638890956</v>
      </c>
      <c r="X921" t="s">
        <v>291</v>
      </c>
      <c r="Y921">
        <v>10</v>
      </c>
      <c r="Z921">
        <v>0.30963119843953862</v>
      </c>
      <c r="AA921">
        <v>1</v>
      </c>
    </row>
    <row r="922" spans="1:27" hidden="1" x14ac:dyDescent="0.25">
      <c r="A922" t="s">
        <v>98</v>
      </c>
      <c r="B922" t="s">
        <v>1199</v>
      </c>
      <c r="D922" t="s">
        <v>100</v>
      </c>
      <c r="E922" t="s">
        <v>284</v>
      </c>
      <c r="F922" t="s">
        <v>297</v>
      </c>
      <c r="G922" t="s">
        <v>103</v>
      </c>
      <c r="H922" t="s">
        <v>104</v>
      </c>
      <c r="I922">
        <v>2022</v>
      </c>
      <c r="J922" t="s">
        <v>298</v>
      </c>
      <c r="K922" t="s">
        <v>106</v>
      </c>
      <c r="L922" t="s">
        <v>1275</v>
      </c>
      <c r="M922" t="s">
        <v>1279</v>
      </c>
      <c r="N922">
        <v>1</v>
      </c>
      <c r="O922">
        <v>2020</v>
      </c>
      <c r="P922">
        <v>94.526951376087595</v>
      </c>
      <c r="Q922">
        <v>3.949349451558744</v>
      </c>
      <c r="R922" t="s">
        <v>289</v>
      </c>
      <c r="S922">
        <v>76.146700507614213</v>
      </c>
      <c r="T922" t="s">
        <v>290</v>
      </c>
      <c r="U922">
        <v>76.146700507614213</v>
      </c>
      <c r="V922">
        <v>94.526951376087595</v>
      </c>
      <c r="W922">
        <v>3.949349451558744</v>
      </c>
      <c r="X922" t="s">
        <v>291</v>
      </c>
      <c r="Y922">
        <v>10</v>
      </c>
      <c r="Z922">
        <v>0.30963119843953862</v>
      </c>
      <c r="AA922">
        <v>1</v>
      </c>
    </row>
    <row r="923" spans="1:27" hidden="1" x14ac:dyDescent="0.25">
      <c r="A923" t="s">
        <v>98</v>
      </c>
      <c r="B923" t="s">
        <v>1199</v>
      </c>
      <c r="D923" t="s">
        <v>100</v>
      </c>
      <c r="E923" t="s">
        <v>284</v>
      </c>
      <c r="F923" t="s">
        <v>297</v>
      </c>
      <c r="G923" t="s">
        <v>112</v>
      </c>
      <c r="H923" t="s">
        <v>104</v>
      </c>
      <c r="I923">
        <v>2022</v>
      </c>
      <c r="J923" t="s">
        <v>300</v>
      </c>
      <c r="K923" t="s">
        <v>106</v>
      </c>
      <c r="L923" t="s">
        <v>1275</v>
      </c>
      <c r="M923" t="s">
        <v>1280</v>
      </c>
      <c r="N923">
        <v>1</v>
      </c>
      <c r="O923">
        <v>2020</v>
      </c>
      <c r="P923">
        <v>69.765067810793198</v>
      </c>
      <c r="Q923">
        <v>2.516631606553434</v>
      </c>
      <c r="R923" t="s">
        <v>289</v>
      </c>
      <c r="S923">
        <v>93</v>
      </c>
      <c r="T923" t="s">
        <v>290</v>
      </c>
      <c r="U923">
        <v>93</v>
      </c>
      <c r="V923">
        <v>69.765067810793198</v>
      </c>
      <c r="W923">
        <v>2.516631606553434</v>
      </c>
      <c r="X923" t="s">
        <v>291</v>
      </c>
      <c r="Y923">
        <v>10</v>
      </c>
      <c r="Z923">
        <v>0.30963119843953862</v>
      </c>
      <c r="AA923">
        <v>1</v>
      </c>
    </row>
    <row r="924" spans="1:27" hidden="1" x14ac:dyDescent="0.25">
      <c r="A924" t="s">
        <v>98</v>
      </c>
      <c r="B924" t="s">
        <v>1199</v>
      </c>
      <c r="D924" t="s">
        <v>100</v>
      </c>
      <c r="E924" t="s">
        <v>284</v>
      </c>
      <c r="F924" t="s">
        <v>302</v>
      </c>
      <c r="G924" t="s">
        <v>103</v>
      </c>
      <c r="H924" t="s">
        <v>104</v>
      </c>
      <c r="I924">
        <v>2022</v>
      </c>
      <c r="J924" t="s">
        <v>303</v>
      </c>
      <c r="K924" t="s">
        <v>106</v>
      </c>
      <c r="L924" t="s">
        <v>1275</v>
      </c>
      <c r="M924" t="s">
        <v>1281</v>
      </c>
      <c r="N924">
        <v>1</v>
      </c>
      <c r="O924">
        <v>2020</v>
      </c>
      <c r="P924">
        <v>105.7930490817716</v>
      </c>
      <c r="Q924">
        <v>3.355492309527206</v>
      </c>
      <c r="R924" t="s">
        <v>289</v>
      </c>
      <c r="S924">
        <v>64.669172932330824</v>
      </c>
      <c r="T924" t="s">
        <v>290</v>
      </c>
      <c r="U924">
        <v>64.669172932330824</v>
      </c>
      <c r="V924">
        <v>105.7930490817716</v>
      </c>
      <c r="W924">
        <v>3.355492309527206</v>
      </c>
      <c r="X924" t="s">
        <v>291</v>
      </c>
      <c r="Y924">
        <v>10</v>
      </c>
      <c r="Z924">
        <v>0.30963119843953862</v>
      </c>
      <c r="AA924">
        <v>1</v>
      </c>
    </row>
    <row r="925" spans="1:27" hidden="1" x14ac:dyDescent="0.25">
      <c r="A925" t="s">
        <v>98</v>
      </c>
      <c r="B925" t="s">
        <v>1199</v>
      </c>
      <c r="D925" t="s">
        <v>100</v>
      </c>
      <c r="E925" t="s">
        <v>284</v>
      </c>
      <c r="F925" t="s">
        <v>302</v>
      </c>
      <c r="G925" t="s">
        <v>112</v>
      </c>
      <c r="H925" t="s">
        <v>104</v>
      </c>
      <c r="I925">
        <v>2022</v>
      </c>
      <c r="J925" t="s">
        <v>305</v>
      </c>
      <c r="K925" t="s">
        <v>106</v>
      </c>
      <c r="L925" t="s">
        <v>1275</v>
      </c>
      <c r="M925" t="s">
        <v>1282</v>
      </c>
      <c r="N925">
        <v>1</v>
      </c>
      <c r="O925">
        <v>2020</v>
      </c>
      <c r="P925">
        <v>99.614212714858894</v>
      </c>
      <c r="Q925">
        <v>1.4361600838792941</v>
      </c>
      <c r="R925" t="s">
        <v>289</v>
      </c>
      <c r="S925">
        <v>75.07692307692308</v>
      </c>
      <c r="T925" t="s">
        <v>290</v>
      </c>
      <c r="U925">
        <v>75.07692307692308</v>
      </c>
      <c r="V925">
        <v>99.614212714858894</v>
      </c>
      <c r="W925">
        <v>1.4361600838792941</v>
      </c>
      <c r="X925" t="s">
        <v>291</v>
      </c>
      <c r="Y925">
        <v>10</v>
      </c>
      <c r="Z925">
        <v>0.30963119843953862</v>
      </c>
      <c r="AA925">
        <v>1</v>
      </c>
    </row>
    <row r="926" spans="1:27" hidden="1" x14ac:dyDescent="0.25">
      <c r="A926" t="s">
        <v>98</v>
      </c>
      <c r="B926" t="s">
        <v>1199</v>
      </c>
      <c r="D926" t="s">
        <v>100</v>
      </c>
      <c r="E926" t="s">
        <v>284</v>
      </c>
      <c r="F926" t="s">
        <v>297</v>
      </c>
      <c r="G926" t="s">
        <v>103</v>
      </c>
      <c r="H926" t="s">
        <v>104</v>
      </c>
      <c r="I926">
        <v>2023</v>
      </c>
      <c r="J926" t="s">
        <v>307</v>
      </c>
      <c r="K926" t="s">
        <v>106</v>
      </c>
      <c r="L926" t="s">
        <v>1275</v>
      </c>
      <c r="M926" t="s">
        <v>1283</v>
      </c>
      <c r="N926">
        <v>1</v>
      </c>
      <c r="O926">
        <v>2023</v>
      </c>
      <c r="P926">
        <v>94.526951376087595</v>
      </c>
      <c r="Q926">
        <v>3.949349451558744</v>
      </c>
      <c r="R926" t="s">
        <v>289</v>
      </c>
      <c r="S926">
        <v>76.146700507614213</v>
      </c>
      <c r="T926" t="s">
        <v>290</v>
      </c>
      <c r="U926">
        <v>76.146700507614213</v>
      </c>
      <c r="V926">
        <v>94.526951376087595</v>
      </c>
      <c r="W926">
        <v>3.949349451558744</v>
      </c>
      <c r="X926" t="s">
        <v>291</v>
      </c>
      <c r="Y926">
        <v>10</v>
      </c>
      <c r="Z926">
        <v>0.30963119843953862</v>
      </c>
      <c r="AA926">
        <v>1</v>
      </c>
    </row>
    <row r="927" spans="1:27" hidden="1" x14ac:dyDescent="0.25">
      <c r="A927" t="s">
        <v>98</v>
      </c>
      <c r="B927" t="s">
        <v>1199</v>
      </c>
      <c r="D927" t="s">
        <v>100</v>
      </c>
      <c r="E927" t="s">
        <v>284</v>
      </c>
      <c r="F927" t="s">
        <v>297</v>
      </c>
      <c r="G927" t="s">
        <v>112</v>
      </c>
      <c r="H927" t="s">
        <v>104</v>
      </c>
      <c r="I927">
        <v>2023</v>
      </c>
      <c r="J927" t="s">
        <v>309</v>
      </c>
      <c r="K927" t="s">
        <v>106</v>
      </c>
      <c r="L927" t="s">
        <v>1275</v>
      </c>
      <c r="M927" t="s">
        <v>1284</v>
      </c>
      <c r="N927">
        <v>1</v>
      </c>
      <c r="O927">
        <v>2023</v>
      </c>
      <c r="P927">
        <v>69.765067810793198</v>
      </c>
      <c r="Q927">
        <v>2.516631606553434</v>
      </c>
      <c r="R927" t="s">
        <v>289</v>
      </c>
      <c r="S927">
        <v>93</v>
      </c>
      <c r="T927" t="s">
        <v>290</v>
      </c>
      <c r="U927">
        <v>93</v>
      </c>
      <c r="V927">
        <v>69.765067810793198</v>
      </c>
      <c r="W927">
        <v>2.516631606553434</v>
      </c>
      <c r="X927" t="s">
        <v>291</v>
      </c>
      <c r="Y927">
        <v>10</v>
      </c>
      <c r="Z927">
        <v>0.30963119843953862</v>
      </c>
      <c r="AA927">
        <v>1</v>
      </c>
    </row>
    <row r="928" spans="1:27" hidden="1" x14ac:dyDescent="0.25">
      <c r="A928" t="s">
        <v>98</v>
      </c>
      <c r="B928" t="s">
        <v>1199</v>
      </c>
      <c r="D928" t="s">
        <v>100</v>
      </c>
      <c r="E928" t="s">
        <v>284</v>
      </c>
      <c r="F928" t="s">
        <v>302</v>
      </c>
      <c r="G928" t="s">
        <v>103</v>
      </c>
      <c r="H928" t="s">
        <v>104</v>
      </c>
      <c r="I928">
        <v>2023</v>
      </c>
      <c r="J928" t="s">
        <v>311</v>
      </c>
      <c r="K928" t="s">
        <v>106</v>
      </c>
      <c r="L928" t="s">
        <v>1275</v>
      </c>
      <c r="M928" t="s">
        <v>1285</v>
      </c>
      <c r="N928">
        <v>1</v>
      </c>
      <c r="O928">
        <v>2023</v>
      </c>
      <c r="P928">
        <v>105.7930490817716</v>
      </c>
      <c r="Q928">
        <v>3.355492309527206</v>
      </c>
      <c r="R928" t="s">
        <v>289</v>
      </c>
      <c r="S928">
        <v>64.669172932330824</v>
      </c>
      <c r="T928" t="s">
        <v>290</v>
      </c>
      <c r="U928">
        <v>64.669172932330824</v>
      </c>
      <c r="V928">
        <v>105.7930490817716</v>
      </c>
      <c r="W928">
        <v>3.355492309527206</v>
      </c>
      <c r="X928" t="s">
        <v>291</v>
      </c>
      <c r="Y928">
        <v>10</v>
      </c>
      <c r="Z928">
        <v>0.30963119843953862</v>
      </c>
      <c r="AA928">
        <v>1</v>
      </c>
    </row>
    <row r="929" spans="1:27" hidden="1" x14ac:dyDescent="0.25">
      <c r="A929" t="s">
        <v>98</v>
      </c>
      <c r="B929" t="s">
        <v>1199</v>
      </c>
      <c r="D929" t="s">
        <v>100</v>
      </c>
      <c r="E929" t="s">
        <v>284</v>
      </c>
      <c r="F929" t="s">
        <v>302</v>
      </c>
      <c r="G929" t="s">
        <v>112</v>
      </c>
      <c r="H929" t="s">
        <v>104</v>
      </c>
      <c r="I929">
        <v>2023</v>
      </c>
      <c r="J929" t="s">
        <v>313</v>
      </c>
      <c r="K929" t="s">
        <v>106</v>
      </c>
      <c r="L929" t="s">
        <v>1275</v>
      </c>
      <c r="M929" t="s">
        <v>1286</v>
      </c>
      <c r="N929">
        <v>1</v>
      </c>
      <c r="O929">
        <v>2023</v>
      </c>
      <c r="P929">
        <v>99.614212714858894</v>
      </c>
      <c r="Q929">
        <v>1.4361600838792941</v>
      </c>
      <c r="R929" t="s">
        <v>289</v>
      </c>
      <c r="S929">
        <v>75.07692307692308</v>
      </c>
      <c r="T929" t="s">
        <v>290</v>
      </c>
      <c r="U929">
        <v>75.07692307692308</v>
      </c>
      <c r="V929">
        <v>99.614212714858894</v>
      </c>
      <c r="W929">
        <v>1.4361600838792941</v>
      </c>
      <c r="X929" t="s">
        <v>291</v>
      </c>
      <c r="Y929">
        <v>10</v>
      </c>
      <c r="Z929">
        <v>0.30963119843953862</v>
      </c>
      <c r="AA929">
        <v>1</v>
      </c>
    </row>
    <row r="930" spans="1:27" hidden="1" x14ac:dyDescent="0.25">
      <c r="A930" t="s">
        <v>98</v>
      </c>
      <c r="B930" t="s">
        <v>1199</v>
      </c>
      <c r="D930" t="s">
        <v>100</v>
      </c>
      <c r="E930" t="s">
        <v>284</v>
      </c>
      <c r="F930" t="s">
        <v>297</v>
      </c>
      <c r="G930" t="s">
        <v>103</v>
      </c>
      <c r="H930" t="s">
        <v>104</v>
      </c>
      <c r="I930">
        <v>2024</v>
      </c>
      <c r="J930" t="s">
        <v>315</v>
      </c>
      <c r="K930" t="s">
        <v>106</v>
      </c>
      <c r="L930" t="s">
        <v>1275</v>
      </c>
      <c r="M930" t="s">
        <v>1287</v>
      </c>
      <c r="N930">
        <v>1</v>
      </c>
      <c r="O930">
        <v>2024</v>
      </c>
      <c r="P930">
        <v>94.526951376087595</v>
      </c>
      <c r="Q930">
        <v>3.949349451558744</v>
      </c>
      <c r="R930" t="s">
        <v>289</v>
      </c>
      <c r="S930">
        <v>76.146700507614213</v>
      </c>
      <c r="T930" t="s">
        <v>290</v>
      </c>
      <c r="U930">
        <v>76.146700507614213</v>
      </c>
      <c r="V930">
        <v>94.526951376087595</v>
      </c>
      <c r="W930">
        <v>3.949349451558744</v>
      </c>
      <c r="X930" t="s">
        <v>291</v>
      </c>
      <c r="Y930">
        <v>10</v>
      </c>
      <c r="Z930">
        <v>0.30963119843953862</v>
      </c>
      <c r="AA930">
        <v>1</v>
      </c>
    </row>
    <row r="931" spans="1:27" hidden="1" x14ac:dyDescent="0.25">
      <c r="A931" t="s">
        <v>98</v>
      </c>
      <c r="B931" t="s">
        <v>1199</v>
      </c>
      <c r="D931" t="s">
        <v>100</v>
      </c>
      <c r="E931" t="s">
        <v>284</v>
      </c>
      <c r="F931" t="s">
        <v>297</v>
      </c>
      <c r="G931" t="s">
        <v>112</v>
      </c>
      <c r="H931" t="s">
        <v>104</v>
      </c>
      <c r="I931">
        <v>2024</v>
      </c>
      <c r="J931" t="s">
        <v>317</v>
      </c>
      <c r="K931" t="s">
        <v>106</v>
      </c>
      <c r="L931" t="s">
        <v>1275</v>
      </c>
      <c r="M931" t="s">
        <v>1288</v>
      </c>
      <c r="N931">
        <v>1</v>
      </c>
      <c r="O931">
        <v>2024</v>
      </c>
      <c r="P931">
        <v>69.765067810793198</v>
      </c>
      <c r="Q931">
        <v>2.516631606553434</v>
      </c>
      <c r="R931" t="s">
        <v>289</v>
      </c>
      <c r="S931">
        <v>93</v>
      </c>
      <c r="T931" t="s">
        <v>290</v>
      </c>
      <c r="U931">
        <v>93</v>
      </c>
      <c r="V931">
        <v>69.765067810793198</v>
      </c>
      <c r="W931">
        <v>2.516631606553434</v>
      </c>
      <c r="X931" t="s">
        <v>291</v>
      </c>
      <c r="Y931">
        <v>10</v>
      </c>
      <c r="Z931">
        <v>0.30963119843953862</v>
      </c>
      <c r="AA931">
        <v>1</v>
      </c>
    </row>
    <row r="932" spans="1:27" hidden="1" x14ac:dyDescent="0.25">
      <c r="A932" t="s">
        <v>98</v>
      </c>
      <c r="B932" t="s">
        <v>1199</v>
      </c>
      <c r="D932" t="s">
        <v>100</v>
      </c>
      <c r="E932" t="s">
        <v>284</v>
      </c>
      <c r="F932" t="s">
        <v>302</v>
      </c>
      <c r="G932" t="s">
        <v>103</v>
      </c>
      <c r="H932" t="s">
        <v>104</v>
      </c>
      <c r="I932">
        <v>2024</v>
      </c>
      <c r="J932" t="s">
        <v>319</v>
      </c>
      <c r="K932" t="s">
        <v>106</v>
      </c>
      <c r="L932" t="s">
        <v>1275</v>
      </c>
      <c r="M932" t="s">
        <v>1289</v>
      </c>
      <c r="N932">
        <v>1</v>
      </c>
      <c r="O932">
        <v>2024</v>
      </c>
      <c r="P932">
        <v>105.7930490817716</v>
      </c>
      <c r="Q932">
        <v>3.355492309527206</v>
      </c>
      <c r="R932" t="s">
        <v>289</v>
      </c>
      <c r="S932">
        <v>64.669172932330824</v>
      </c>
      <c r="T932" t="s">
        <v>290</v>
      </c>
      <c r="U932">
        <v>64.669172932330824</v>
      </c>
      <c r="V932">
        <v>105.7930490817716</v>
      </c>
      <c r="W932">
        <v>3.355492309527206</v>
      </c>
      <c r="X932" t="s">
        <v>291</v>
      </c>
      <c r="Y932">
        <v>10</v>
      </c>
      <c r="Z932">
        <v>0.30963119843953862</v>
      </c>
      <c r="AA932">
        <v>1</v>
      </c>
    </row>
    <row r="933" spans="1:27" hidden="1" x14ac:dyDescent="0.25">
      <c r="A933" t="s">
        <v>98</v>
      </c>
      <c r="B933" t="s">
        <v>1199</v>
      </c>
      <c r="D933" t="s">
        <v>100</v>
      </c>
      <c r="E933" t="s">
        <v>284</v>
      </c>
      <c r="F933" t="s">
        <v>302</v>
      </c>
      <c r="G933" t="s">
        <v>112</v>
      </c>
      <c r="H933" t="s">
        <v>104</v>
      </c>
      <c r="I933">
        <v>2024</v>
      </c>
      <c r="J933" t="s">
        <v>321</v>
      </c>
      <c r="K933" t="s">
        <v>106</v>
      </c>
      <c r="L933" t="s">
        <v>1275</v>
      </c>
      <c r="M933" t="s">
        <v>1290</v>
      </c>
      <c r="N933">
        <v>1</v>
      </c>
      <c r="O933">
        <v>2024</v>
      </c>
      <c r="P933">
        <v>99.614212714858894</v>
      </c>
      <c r="Q933">
        <v>1.4361600838792941</v>
      </c>
      <c r="R933" t="s">
        <v>289</v>
      </c>
      <c r="S933">
        <v>75.07692307692308</v>
      </c>
      <c r="T933" t="s">
        <v>290</v>
      </c>
      <c r="U933">
        <v>75.07692307692308</v>
      </c>
      <c r="V933">
        <v>99.614212714858894</v>
      </c>
      <c r="W933">
        <v>1.4361600838792941</v>
      </c>
      <c r="X933" t="s">
        <v>291</v>
      </c>
      <c r="Y933">
        <v>10</v>
      </c>
      <c r="Z933">
        <v>0.30963119843953862</v>
      </c>
      <c r="AA933">
        <v>1</v>
      </c>
    </row>
    <row r="934" spans="1:27" hidden="1" x14ac:dyDescent="0.25">
      <c r="A934" t="s">
        <v>98</v>
      </c>
      <c r="B934" t="s">
        <v>1199</v>
      </c>
      <c r="D934" t="s">
        <v>100</v>
      </c>
      <c r="E934" t="s">
        <v>284</v>
      </c>
      <c r="F934" t="s">
        <v>297</v>
      </c>
      <c r="G934" t="s">
        <v>103</v>
      </c>
      <c r="H934" t="s">
        <v>104</v>
      </c>
      <c r="I934">
        <v>2025</v>
      </c>
      <c r="J934" t="s">
        <v>323</v>
      </c>
      <c r="K934" t="s">
        <v>106</v>
      </c>
      <c r="L934" t="s">
        <v>1275</v>
      </c>
      <c r="M934" t="s">
        <v>1291</v>
      </c>
      <c r="N934">
        <v>1</v>
      </c>
      <c r="O934">
        <v>2025</v>
      </c>
      <c r="P934">
        <v>94.526951376087595</v>
      </c>
      <c r="Q934">
        <v>3.949349451558744</v>
      </c>
      <c r="R934" t="s">
        <v>289</v>
      </c>
      <c r="S934">
        <v>76.146700507614213</v>
      </c>
      <c r="T934" t="s">
        <v>290</v>
      </c>
      <c r="U934">
        <v>76.146700507614213</v>
      </c>
      <c r="V934">
        <v>94.526951376087595</v>
      </c>
      <c r="W934">
        <v>3.949349451558744</v>
      </c>
      <c r="X934" t="s">
        <v>291</v>
      </c>
      <c r="Y934">
        <v>10</v>
      </c>
      <c r="Z934">
        <v>0.30963119843953862</v>
      </c>
      <c r="AA934">
        <v>1</v>
      </c>
    </row>
    <row r="935" spans="1:27" hidden="1" x14ac:dyDescent="0.25">
      <c r="A935" t="s">
        <v>98</v>
      </c>
      <c r="B935" t="s">
        <v>1199</v>
      </c>
      <c r="D935" t="s">
        <v>100</v>
      </c>
      <c r="E935" t="s">
        <v>284</v>
      </c>
      <c r="F935" t="s">
        <v>297</v>
      </c>
      <c r="G935" t="s">
        <v>112</v>
      </c>
      <c r="H935" t="s">
        <v>104</v>
      </c>
      <c r="I935">
        <v>2025</v>
      </c>
      <c r="J935" t="s">
        <v>325</v>
      </c>
      <c r="K935" t="s">
        <v>106</v>
      </c>
      <c r="L935" t="s">
        <v>1275</v>
      </c>
      <c r="M935" t="s">
        <v>1292</v>
      </c>
      <c r="N935">
        <v>1</v>
      </c>
      <c r="O935">
        <v>2025</v>
      </c>
      <c r="P935">
        <v>69.765067810793198</v>
      </c>
      <c r="Q935">
        <v>2.516631606553434</v>
      </c>
      <c r="R935" t="s">
        <v>289</v>
      </c>
      <c r="S935">
        <v>93</v>
      </c>
      <c r="T935" t="s">
        <v>290</v>
      </c>
      <c r="U935">
        <v>93</v>
      </c>
      <c r="V935">
        <v>69.765067810793198</v>
      </c>
      <c r="W935">
        <v>2.516631606553434</v>
      </c>
      <c r="X935" t="s">
        <v>291</v>
      </c>
      <c r="Y935">
        <v>10</v>
      </c>
      <c r="Z935">
        <v>0.30963119843953862</v>
      </c>
      <c r="AA935">
        <v>1</v>
      </c>
    </row>
    <row r="936" spans="1:27" hidden="1" x14ac:dyDescent="0.25">
      <c r="A936" t="s">
        <v>98</v>
      </c>
      <c r="B936" t="s">
        <v>1199</v>
      </c>
      <c r="D936" t="s">
        <v>100</v>
      </c>
      <c r="E936" t="s">
        <v>284</v>
      </c>
      <c r="F936" t="s">
        <v>302</v>
      </c>
      <c r="G936" t="s">
        <v>103</v>
      </c>
      <c r="H936" t="s">
        <v>104</v>
      </c>
      <c r="I936">
        <v>2025</v>
      </c>
      <c r="J936" t="s">
        <v>327</v>
      </c>
      <c r="K936" t="s">
        <v>106</v>
      </c>
      <c r="L936" t="s">
        <v>1275</v>
      </c>
      <c r="M936" t="s">
        <v>1293</v>
      </c>
      <c r="N936">
        <v>1</v>
      </c>
      <c r="O936">
        <v>2025</v>
      </c>
      <c r="P936">
        <v>105.7930490817716</v>
      </c>
      <c r="Q936">
        <v>3.355492309527206</v>
      </c>
      <c r="R936" t="s">
        <v>289</v>
      </c>
      <c r="S936">
        <v>64.669172932330824</v>
      </c>
      <c r="T936" t="s">
        <v>290</v>
      </c>
      <c r="U936">
        <v>64.669172932330824</v>
      </c>
      <c r="V936">
        <v>105.7930490817716</v>
      </c>
      <c r="W936">
        <v>3.355492309527206</v>
      </c>
      <c r="X936" t="s">
        <v>291</v>
      </c>
      <c r="Y936">
        <v>10</v>
      </c>
      <c r="Z936">
        <v>0.30963119843953862</v>
      </c>
      <c r="AA936">
        <v>1</v>
      </c>
    </row>
    <row r="937" spans="1:27" hidden="1" x14ac:dyDescent="0.25">
      <c r="A937" t="s">
        <v>98</v>
      </c>
      <c r="B937" t="s">
        <v>1199</v>
      </c>
      <c r="D937" t="s">
        <v>100</v>
      </c>
      <c r="E937" t="s">
        <v>284</v>
      </c>
      <c r="F937" t="s">
        <v>302</v>
      </c>
      <c r="G937" t="s">
        <v>112</v>
      </c>
      <c r="H937" t="s">
        <v>104</v>
      </c>
      <c r="I937">
        <v>2025</v>
      </c>
      <c r="J937" t="s">
        <v>329</v>
      </c>
      <c r="K937" t="s">
        <v>106</v>
      </c>
      <c r="L937" t="s">
        <v>1275</v>
      </c>
      <c r="M937" t="s">
        <v>1294</v>
      </c>
      <c r="N937">
        <v>1</v>
      </c>
      <c r="O937">
        <v>2025</v>
      </c>
      <c r="P937">
        <v>99.614212714858894</v>
      </c>
      <c r="Q937">
        <v>1.4361600838792941</v>
      </c>
      <c r="R937" t="s">
        <v>289</v>
      </c>
      <c r="S937">
        <v>75.07692307692308</v>
      </c>
      <c r="T937" t="s">
        <v>290</v>
      </c>
      <c r="U937">
        <v>75.07692307692308</v>
      </c>
      <c r="V937">
        <v>99.614212714858894</v>
      </c>
      <c r="W937">
        <v>1.4361600838792941</v>
      </c>
      <c r="X937" t="s">
        <v>291</v>
      </c>
      <c r="Y937">
        <v>10</v>
      </c>
      <c r="Z937">
        <v>0.30963119843953862</v>
      </c>
      <c r="AA937">
        <v>1</v>
      </c>
    </row>
    <row r="938" spans="1:27" hidden="1" x14ac:dyDescent="0.25">
      <c r="A938" t="s">
        <v>98</v>
      </c>
      <c r="B938" t="s">
        <v>1199</v>
      </c>
      <c r="D938" t="s">
        <v>100</v>
      </c>
      <c r="E938" t="s">
        <v>284</v>
      </c>
      <c r="F938" t="s">
        <v>297</v>
      </c>
      <c r="G938" t="s">
        <v>103</v>
      </c>
      <c r="H938" t="s">
        <v>104</v>
      </c>
      <c r="I938">
        <v>2026</v>
      </c>
      <c r="J938" t="s">
        <v>331</v>
      </c>
      <c r="K938" t="s">
        <v>106</v>
      </c>
      <c r="L938" t="s">
        <v>1275</v>
      </c>
      <c r="M938" t="s">
        <v>1295</v>
      </c>
      <c r="N938">
        <v>1</v>
      </c>
      <c r="O938">
        <v>2026</v>
      </c>
      <c r="P938">
        <v>94.526951376087595</v>
      </c>
      <c r="Q938">
        <v>3.949349451558744</v>
      </c>
      <c r="R938" t="s">
        <v>289</v>
      </c>
      <c r="S938">
        <v>76.146700507614213</v>
      </c>
      <c r="T938" t="s">
        <v>290</v>
      </c>
      <c r="U938">
        <v>76.146700507614213</v>
      </c>
      <c r="V938">
        <v>94.526951376087595</v>
      </c>
      <c r="W938">
        <v>3.949349451558744</v>
      </c>
      <c r="X938" t="s">
        <v>291</v>
      </c>
      <c r="Y938">
        <v>10</v>
      </c>
      <c r="Z938">
        <v>0.30963119843953862</v>
      </c>
      <c r="AA938">
        <v>1</v>
      </c>
    </row>
    <row r="939" spans="1:27" hidden="1" x14ac:dyDescent="0.25">
      <c r="A939" t="s">
        <v>98</v>
      </c>
      <c r="B939" t="s">
        <v>1199</v>
      </c>
      <c r="D939" t="s">
        <v>100</v>
      </c>
      <c r="E939" t="s">
        <v>284</v>
      </c>
      <c r="F939" t="s">
        <v>297</v>
      </c>
      <c r="G939" t="s">
        <v>112</v>
      </c>
      <c r="H939" t="s">
        <v>104</v>
      </c>
      <c r="I939">
        <v>2026</v>
      </c>
      <c r="J939" t="s">
        <v>333</v>
      </c>
      <c r="K939" t="s">
        <v>106</v>
      </c>
      <c r="L939" t="s">
        <v>1275</v>
      </c>
      <c r="M939" t="s">
        <v>1296</v>
      </c>
      <c r="N939">
        <v>1</v>
      </c>
      <c r="O939">
        <v>2026</v>
      </c>
      <c r="P939">
        <v>69.765067810793198</v>
      </c>
      <c r="Q939">
        <v>2.516631606553434</v>
      </c>
      <c r="R939" t="s">
        <v>289</v>
      </c>
      <c r="S939">
        <v>93</v>
      </c>
      <c r="T939" t="s">
        <v>290</v>
      </c>
      <c r="U939">
        <v>93</v>
      </c>
      <c r="V939">
        <v>69.765067810793198</v>
      </c>
      <c r="W939">
        <v>2.516631606553434</v>
      </c>
      <c r="X939" t="s">
        <v>291</v>
      </c>
      <c r="Y939">
        <v>10</v>
      </c>
      <c r="Z939">
        <v>0.30963119843953862</v>
      </c>
      <c r="AA939">
        <v>1</v>
      </c>
    </row>
    <row r="940" spans="1:27" hidden="1" x14ac:dyDescent="0.25">
      <c r="A940" t="s">
        <v>98</v>
      </c>
      <c r="B940" t="s">
        <v>1199</v>
      </c>
      <c r="D940" t="s">
        <v>100</v>
      </c>
      <c r="E940" t="s">
        <v>284</v>
      </c>
      <c r="F940" t="s">
        <v>302</v>
      </c>
      <c r="G940" t="s">
        <v>103</v>
      </c>
      <c r="H940" t="s">
        <v>104</v>
      </c>
      <c r="I940">
        <v>2026</v>
      </c>
      <c r="J940" t="s">
        <v>335</v>
      </c>
      <c r="K940" t="s">
        <v>106</v>
      </c>
      <c r="L940" t="s">
        <v>1275</v>
      </c>
      <c r="M940" t="s">
        <v>1297</v>
      </c>
      <c r="N940">
        <v>1</v>
      </c>
      <c r="O940">
        <v>2026</v>
      </c>
      <c r="P940">
        <v>105.7930490817716</v>
      </c>
      <c r="Q940">
        <v>3.355492309527206</v>
      </c>
      <c r="R940" t="s">
        <v>289</v>
      </c>
      <c r="S940">
        <v>64.669172932330824</v>
      </c>
      <c r="T940" t="s">
        <v>290</v>
      </c>
      <c r="U940">
        <v>64.669172932330824</v>
      </c>
      <c r="V940">
        <v>105.7930490817716</v>
      </c>
      <c r="W940">
        <v>3.355492309527206</v>
      </c>
      <c r="X940" t="s">
        <v>291</v>
      </c>
      <c r="Y940">
        <v>10</v>
      </c>
      <c r="Z940">
        <v>0.30963119843953862</v>
      </c>
      <c r="AA940">
        <v>1</v>
      </c>
    </row>
    <row r="941" spans="1:27" hidden="1" x14ac:dyDescent="0.25">
      <c r="A941" t="s">
        <v>98</v>
      </c>
      <c r="B941" t="s">
        <v>1199</v>
      </c>
      <c r="D941" t="s">
        <v>100</v>
      </c>
      <c r="E941" t="s">
        <v>284</v>
      </c>
      <c r="F941" t="s">
        <v>302</v>
      </c>
      <c r="G941" t="s">
        <v>112</v>
      </c>
      <c r="H941" t="s">
        <v>104</v>
      </c>
      <c r="I941">
        <v>2026</v>
      </c>
      <c r="J941" t="s">
        <v>337</v>
      </c>
      <c r="K941" t="s">
        <v>106</v>
      </c>
      <c r="L941" t="s">
        <v>1275</v>
      </c>
      <c r="M941" t="s">
        <v>1298</v>
      </c>
      <c r="N941">
        <v>1</v>
      </c>
      <c r="O941">
        <v>2026</v>
      </c>
      <c r="P941">
        <v>99.614212714858894</v>
      </c>
      <c r="Q941">
        <v>1.4361600838792941</v>
      </c>
      <c r="R941" t="s">
        <v>289</v>
      </c>
      <c r="S941">
        <v>75.07692307692308</v>
      </c>
      <c r="T941" t="s">
        <v>290</v>
      </c>
      <c r="U941">
        <v>75.07692307692308</v>
      </c>
      <c r="V941">
        <v>99.614212714858894</v>
      </c>
      <c r="W941">
        <v>1.4361600838792941</v>
      </c>
      <c r="X941" t="s">
        <v>291</v>
      </c>
      <c r="Y941">
        <v>10</v>
      </c>
      <c r="Z941">
        <v>0.30963119843953862</v>
      </c>
      <c r="AA941">
        <v>1</v>
      </c>
    </row>
    <row r="942" spans="1:27" hidden="1" x14ac:dyDescent="0.25">
      <c r="A942" t="s">
        <v>98</v>
      </c>
      <c r="B942" t="s">
        <v>1199</v>
      </c>
      <c r="D942" t="s">
        <v>100</v>
      </c>
      <c r="E942" t="s">
        <v>284</v>
      </c>
      <c r="F942" t="s">
        <v>292</v>
      </c>
      <c r="G942" t="s">
        <v>103</v>
      </c>
      <c r="H942" t="s">
        <v>104</v>
      </c>
      <c r="I942">
        <v>2030</v>
      </c>
      <c r="J942" t="s">
        <v>339</v>
      </c>
      <c r="K942" t="s">
        <v>106</v>
      </c>
      <c r="L942" t="s">
        <v>1275</v>
      </c>
      <c r="M942" t="s">
        <v>1299</v>
      </c>
      <c r="N942">
        <v>1</v>
      </c>
      <c r="O942">
        <v>2030</v>
      </c>
      <c r="P942">
        <v>99.96668875570353</v>
      </c>
      <c r="Q942">
        <v>4.9152448223495018</v>
      </c>
      <c r="R942" t="s">
        <v>289</v>
      </c>
      <c r="S942">
        <v>55.211046644573933</v>
      </c>
      <c r="T942" t="s">
        <v>290</v>
      </c>
      <c r="U942">
        <v>55.211046644573933</v>
      </c>
      <c r="V942">
        <v>99.96668875570353</v>
      </c>
      <c r="W942">
        <v>4.9152448223495018</v>
      </c>
      <c r="X942" t="s">
        <v>291</v>
      </c>
      <c r="Y942">
        <v>10</v>
      </c>
      <c r="Z942">
        <v>0.30963119843953862</v>
      </c>
      <c r="AA942">
        <v>1</v>
      </c>
    </row>
    <row r="943" spans="1:27" hidden="1" x14ac:dyDescent="0.25">
      <c r="A943" t="s">
        <v>98</v>
      </c>
      <c r="B943" t="s">
        <v>1199</v>
      </c>
      <c r="D943" t="s">
        <v>100</v>
      </c>
      <c r="E943" t="s">
        <v>284</v>
      </c>
      <c r="F943" t="s">
        <v>292</v>
      </c>
      <c r="G943" t="s">
        <v>112</v>
      </c>
      <c r="H943" t="s">
        <v>104</v>
      </c>
      <c r="I943">
        <v>2030</v>
      </c>
      <c r="J943" t="s">
        <v>341</v>
      </c>
      <c r="K943" t="s">
        <v>106</v>
      </c>
      <c r="L943" t="s">
        <v>1275</v>
      </c>
      <c r="M943" t="s">
        <v>1300</v>
      </c>
      <c r="N943">
        <v>1</v>
      </c>
      <c r="O943">
        <v>2030</v>
      </c>
      <c r="P943">
        <v>93.570390823718384</v>
      </c>
      <c r="Q943">
        <v>4.27625645181514</v>
      </c>
      <c r="R943" t="s">
        <v>289</v>
      </c>
      <c r="S943">
        <v>60.132155797450622</v>
      </c>
      <c r="T943" t="s">
        <v>290</v>
      </c>
      <c r="U943">
        <v>60.132155797450622</v>
      </c>
      <c r="V943">
        <v>93.570390823718384</v>
      </c>
      <c r="W943">
        <v>4.27625645181514</v>
      </c>
      <c r="X943" t="s">
        <v>291</v>
      </c>
      <c r="Y943">
        <v>10</v>
      </c>
      <c r="Z943">
        <v>0.30963119843953862</v>
      </c>
      <c r="AA943">
        <v>1</v>
      </c>
    </row>
    <row r="944" spans="1:27" hidden="1" x14ac:dyDescent="0.25">
      <c r="A944" t="s">
        <v>98</v>
      </c>
      <c r="B944" t="s">
        <v>1199</v>
      </c>
      <c r="D944" t="s">
        <v>100</v>
      </c>
      <c r="E944" t="s">
        <v>284</v>
      </c>
      <c r="F944" t="s">
        <v>297</v>
      </c>
      <c r="G944" t="s">
        <v>103</v>
      </c>
      <c r="H944" t="s">
        <v>104</v>
      </c>
      <c r="I944">
        <v>2030</v>
      </c>
      <c r="J944" t="s">
        <v>343</v>
      </c>
      <c r="K944" t="s">
        <v>106</v>
      </c>
      <c r="L944" t="s">
        <v>1275</v>
      </c>
      <c r="M944" t="s">
        <v>1301</v>
      </c>
      <c r="N944">
        <v>1</v>
      </c>
      <c r="O944">
        <v>2030</v>
      </c>
      <c r="P944">
        <v>112.2464608710101</v>
      </c>
      <c r="Q944">
        <v>3.5870084905918258</v>
      </c>
      <c r="R944" t="s">
        <v>289</v>
      </c>
      <c r="S944">
        <v>89.042769074884546</v>
      </c>
      <c r="T944" t="s">
        <v>290</v>
      </c>
      <c r="U944">
        <v>89.042769074884546</v>
      </c>
      <c r="V944">
        <v>112.2464608710101</v>
      </c>
      <c r="W944">
        <v>3.5870084905918258</v>
      </c>
      <c r="X944" t="s">
        <v>291</v>
      </c>
      <c r="Y944">
        <v>10</v>
      </c>
      <c r="Z944">
        <v>0.30963119843953862</v>
      </c>
      <c r="AA944">
        <v>1</v>
      </c>
    </row>
    <row r="945" spans="1:27" hidden="1" x14ac:dyDescent="0.25">
      <c r="A945" t="s">
        <v>98</v>
      </c>
      <c r="B945" t="s">
        <v>1199</v>
      </c>
      <c r="D945" t="s">
        <v>100</v>
      </c>
      <c r="E945" t="s">
        <v>284</v>
      </c>
      <c r="F945" t="s">
        <v>297</v>
      </c>
      <c r="G945" t="s">
        <v>112</v>
      </c>
      <c r="H945" t="s">
        <v>104</v>
      </c>
      <c r="I945">
        <v>2030</v>
      </c>
      <c r="J945" t="s">
        <v>345</v>
      </c>
      <c r="K945" t="s">
        <v>106</v>
      </c>
      <c r="L945" t="s">
        <v>1275</v>
      </c>
      <c r="M945" t="s">
        <v>1302</v>
      </c>
      <c r="N945">
        <v>1</v>
      </c>
      <c r="O945">
        <v>2030</v>
      </c>
      <c r="P945">
        <v>84.571073913548247</v>
      </c>
      <c r="Q945">
        <v>2.3525336937486059</v>
      </c>
      <c r="R945" t="s">
        <v>289</v>
      </c>
      <c r="S945">
        <v>108.5525423728814</v>
      </c>
      <c r="T945" t="s">
        <v>290</v>
      </c>
      <c r="U945">
        <v>108.5525423728814</v>
      </c>
      <c r="V945">
        <v>84.571073913548247</v>
      </c>
      <c r="W945">
        <v>2.3525336937486059</v>
      </c>
      <c r="X945" t="s">
        <v>291</v>
      </c>
      <c r="Y945">
        <v>10</v>
      </c>
      <c r="Z945">
        <v>0.30963119843953862</v>
      </c>
      <c r="AA945">
        <v>1</v>
      </c>
    </row>
    <row r="946" spans="1:27" hidden="1" x14ac:dyDescent="0.25">
      <c r="A946" t="s">
        <v>98</v>
      </c>
      <c r="B946" t="s">
        <v>1199</v>
      </c>
      <c r="D946" t="s">
        <v>100</v>
      </c>
      <c r="E946" t="s">
        <v>284</v>
      </c>
      <c r="F946" t="s">
        <v>292</v>
      </c>
      <c r="G946" t="s">
        <v>103</v>
      </c>
      <c r="H946" t="s">
        <v>104</v>
      </c>
      <c r="I946">
        <v>2040</v>
      </c>
      <c r="J946" t="s">
        <v>347</v>
      </c>
      <c r="K946" t="s">
        <v>106</v>
      </c>
      <c r="L946" t="s">
        <v>1275</v>
      </c>
      <c r="M946" t="s">
        <v>1303</v>
      </c>
      <c r="N946">
        <v>1</v>
      </c>
      <c r="O946">
        <v>2040</v>
      </c>
      <c r="P946">
        <v>98.335071194105581</v>
      </c>
      <c r="Q946">
        <v>4.7080379086524973</v>
      </c>
      <c r="R946" t="s">
        <v>289</v>
      </c>
      <c r="S946">
        <v>63.829339223058007</v>
      </c>
      <c r="T946" t="s">
        <v>290</v>
      </c>
      <c r="U946">
        <v>63.829339223058007</v>
      </c>
      <c r="V946">
        <v>98.335071194105581</v>
      </c>
      <c r="W946">
        <v>4.7080379086524973</v>
      </c>
      <c r="X946" t="s">
        <v>291</v>
      </c>
      <c r="Y946">
        <v>10</v>
      </c>
      <c r="Z946">
        <v>0.30963119843953862</v>
      </c>
      <c r="AA946">
        <v>1</v>
      </c>
    </row>
    <row r="947" spans="1:27" hidden="1" x14ac:dyDescent="0.25">
      <c r="A947" t="s">
        <v>98</v>
      </c>
      <c r="B947" t="s">
        <v>1199</v>
      </c>
      <c r="D947" t="s">
        <v>100</v>
      </c>
      <c r="E947" t="s">
        <v>284</v>
      </c>
      <c r="F947" t="s">
        <v>292</v>
      </c>
      <c r="G947" t="s">
        <v>112</v>
      </c>
      <c r="H947" t="s">
        <v>104</v>
      </c>
      <c r="I947">
        <v>2040</v>
      </c>
      <c r="J947" t="s">
        <v>349</v>
      </c>
      <c r="K947" t="s">
        <v>106</v>
      </c>
      <c r="L947" t="s">
        <v>1275</v>
      </c>
      <c r="M947" t="s">
        <v>1304</v>
      </c>
      <c r="N947">
        <v>1</v>
      </c>
      <c r="O947">
        <v>2040</v>
      </c>
      <c r="P947">
        <v>92.137687829328328</v>
      </c>
      <c r="Q947">
        <v>4.1202723323867074</v>
      </c>
      <c r="R947" t="s">
        <v>289</v>
      </c>
      <c r="S947">
        <v>69.934718883357121</v>
      </c>
      <c r="T947" t="s">
        <v>290</v>
      </c>
      <c r="U947">
        <v>69.934718883357121</v>
      </c>
      <c r="V947">
        <v>92.137687829328328</v>
      </c>
      <c r="W947">
        <v>4.1202723323867074</v>
      </c>
      <c r="X947" t="s">
        <v>291</v>
      </c>
      <c r="Y947">
        <v>10</v>
      </c>
      <c r="Z947">
        <v>0.30963119843953862</v>
      </c>
      <c r="AA947">
        <v>1</v>
      </c>
    </row>
    <row r="948" spans="1:27" hidden="1" x14ac:dyDescent="0.25">
      <c r="A948" t="s">
        <v>98</v>
      </c>
      <c r="B948" t="s">
        <v>1199</v>
      </c>
      <c r="D948" t="s">
        <v>100</v>
      </c>
      <c r="E948" t="s">
        <v>284</v>
      </c>
      <c r="F948" t="s">
        <v>297</v>
      </c>
      <c r="G948" t="s">
        <v>103</v>
      </c>
      <c r="H948" t="s">
        <v>104</v>
      </c>
      <c r="I948">
        <v>2040</v>
      </c>
      <c r="J948" t="s">
        <v>351</v>
      </c>
      <c r="K948" t="s">
        <v>106</v>
      </c>
      <c r="L948" t="s">
        <v>1275</v>
      </c>
      <c r="M948" t="s">
        <v>1305</v>
      </c>
      <c r="N948">
        <v>1</v>
      </c>
      <c r="O948">
        <v>2040</v>
      </c>
      <c r="P948">
        <v>109.62871509832991</v>
      </c>
      <c r="Q948">
        <v>3.28145573783857</v>
      </c>
      <c r="R948" t="s">
        <v>289</v>
      </c>
      <c r="S948">
        <v>101.8534675620791</v>
      </c>
      <c r="T948" t="s">
        <v>290</v>
      </c>
      <c r="U948">
        <v>101.8534675620791</v>
      </c>
      <c r="V948">
        <v>109.62871509832991</v>
      </c>
      <c r="W948">
        <v>3.28145573783857</v>
      </c>
      <c r="X948" t="s">
        <v>291</v>
      </c>
      <c r="Y948">
        <v>10</v>
      </c>
      <c r="Z948">
        <v>0.30963119843953862</v>
      </c>
      <c r="AA948">
        <v>1</v>
      </c>
    </row>
    <row r="949" spans="1:27" hidden="1" x14ac:dyDescent="0.25">
      <c r="A949" t="s">
        <v>98</v>
      </c>
      <c r="B949" t="s">
        <v>1199</v>
      </c>
      <c r="D949" t="s">
        <v>100</v>
      </c>
      <c r="E949" t="s">
        <v>284</v>
      </c>
      <c r="F949" t="s">
        <v>297</v>
      </c>
      <c r="G949" t="s">
        <v>112</v>
      </c>
      <c r="H949" t="s">
        <v>104</v>
      </c>
      <c r="I949">
        <v>2040</v>
      </c>
      <c r="J949" t="s">
        <v>353</v>
      </c>
      <c r="K949" t="s">
        <v>106</v>
      </c>
      <c r="L949" t="s">
        <v>1275</v>
      </c>
      <c r="M949" t="s">
        <v>1306</v>
      </c>
      <c r="N949">
        <v>1</v>
      </c>
      <c r="O949">
        <v>2040</v>
      </c>
      <c r="P949">
        <v>82.941268534212341</v>
      </c>
      <c r="Q949">
        <v>2.168671786742209</v>
      </c>
      <c r="R949" t="s">
        <v>289</v>
      </c>
      <c r="S949">
        <v>124.1701372074253</v>
      </c>
      <c r="T949" t="s">
        <v>290</v>
      </c>
      <c r="U949">
        <v>124.1701372074253</v>
      </c>
      <c r="V949">
        <v>82.941268534212341</v>
      </c>
      <c r="W949">
        <v>2.168671786742209</v>
      </c>
      <c r="X949" t="s">
        <v>291</v>
      </c>
      <c r="Y949">
        <v>10</v>
      </c>
      <c r="Z949">
        <v>0.30963119843953862</v>
      </c>
      <c r="AA949">
        <v>1</v>
      </c>
    </row>
    <row r="950" spans="1:27" hidden="1" x14ac:dyDescent="0.25">
      <c r="A950" t="s">
        <v>98</v>
      </c>
      <c r="B950" t="s">
        <v>1199</v>
      </c>
      <c r="D950" t="s">
        <v>100</v>
      </c>
      <c r="E950" t="s">
        <v>284</v>
      </c>
      <c r="F950" t="s">
        <v>355</v>
      </c>
      <c r="G950" t="s">
        <v>103</v>
      </c>
      <c r="H950" t="s">
        <v>104</v>
      </c>
      <c r="I950">
        <v>2022</v>
      </c>
      <c r="J950" t="s">
        <v>356</v>
      </c>
      <c r="K950" t="s">
        <v>106</v>
      </c>
      <c r="L950" t="s">
        <v>1275</v>
      </c>
      <c r="M950" t="s">
        <v>1307</v>
      </c>
      <c r="N950">
        <v>1</v>
      </c>
      <c r="O950">
        <v>2020</v>
      </c>
      <c r="P950">
        <v>26.539302440149839</v>
      </c>
      <c r="Q950">
        <v>0.71977466386263589</v>
      </c>
      <c r="R950" t="s">
        <v>289</v>
      </c>
      <c r="S950">
        <v>85.75677051732572</v>
      </c>
      <c r="T950" t="s">
        <v>290</v>
      </c>
      <c r="U950">
        <v>85.75677051732572</v>
      </c>
      <c r="V950">
        <v>26.539302440149839</v>
      </c>
      <c r="W950">
        <v>0.71977466386263589</v>
      </c>
      <c r="X950" t="s">
        <v>291</v>
      </c>
      <c r="Y950">
        <v>10</v>
      </c>
      <c r="Z950">
        <v>0.30963119843953862</v>
      </c>
      <c r="AA950">
        <v>1</v>
      </c>
    </row>
    <row r="951" spans="1:27" hidden="1" x14ac:dyDescent="0.25">
      <c r="A951" t="s">
        <v>98</v>
      </c>
      <c r="B951" t="s">
        <v>1199</v>
      </c>
      <c r="D951" t="s">
        <v>100</v>
      </c>
      <c r="E951" t="s">
        <v>284</v>
      </c>
      <c r="F951" t="s">
        <v>355</v>
      </c>
      <c r="G951" t="s">
        <v>112</v>
      </c>
      <c r="H951" t="s">
        <v>104</v>
      </c>
      <c r="I951">
        <v>2022</v>
      </c>
      <c r="J951" t="s">
        <v>358</v>
      </c>
      <c r="K951" t="s">
        <v>106</v>
      </c>
      <c r="L951" t="s">
        <v>1275</v>
      </c>
      <c r="M951" t="s">
        <v>1308</v>
      </c>
      <c r="N951">
        <v>1</v>
      </c>
      <c r="O951">
        <v>2020</v>
      </c>
      <c r="P951">
        <v>27.952547937105681</v>
      </c>
      <c r="Q951">
        <v>0.83346015109483984</v>
      </c>
      <c r="R951" t="s">
        <v>289</v>
      </c>
      <c r="S951">
        <v>88.372750377742747</v>
      </c>
      <c r="T951" t="s">
        <v>290</v>
      </c>
      <c r="U951">
        <v>88.372750377742747</v>
      </c>
      <c r="V951">
        <v>27.952547937105681</v>
      </c>
      <c r="W951">
        <v>0.83346015109483984</v>
      </c>
      <c r="X951" t="s">
        <v>291</v>
      </c>
      <c r="Y951">
        <v>10</v>
      </c>
      <c r="Z951">
        <v>0.30963119843953862</v>
      </c>
      <c r="AA951">
        <v>1</v>
      </c>
    </row>
    <row r="952" spans="1:27" hidden="1" x14ac:dyDescent="0.25">
      <c r="A952" t="s">
        <v>98</v>
      </c>
      <c r="B952" t="s">
        <v>1199</v>
      </c>
      <c r="D952" t="s">
        <v>100</v>
      </c>
      <c r="E952" t="s">
        <v>284</v>
      </c>
      <c r="F952" t="s">
        <v>360</v>
      </c>
      <c r="G952" t="s">
        <v>103</v>
      </c>
      <c r="H952" t="s">
        <v>104</v>
      </c>
      <c r="I952">
        <v>2022</v>
      </c>
      <c r="J952" t="s">
        <v>361</v>
      </c>
      <c r="K952" t="s">
        <v>106</v>
      </c>
      <c r="L952" t="s">
        <v>1275</v>
      </c>
      <c r="M952" t="s">
        <v>1309</v>
      </c>
      <c r="N952">
        <v>1</v>
      </c>
      <c r="O952">
        <v>2020</v>
      </c>
      <c r="P952">
        <v>30.743231458982891</v>
      </c>
      <c r="Q952">
        <v>0.75530083267302539</v>
      </c>
      <c r="R952" t="s">
        <v>289</v>
      </c>
      <c r="S952">
        <v>85.752844444444449</v>
      </c>
      <c r="T952" t="s">
        <v>290</v>
      </c>
      <c r="U952">
        <v>85.752844444444449</v>
      </c>
      <c r="V952">
        <v>30.743231458982891</v>
      </c>
      <c r="W952">
        <v>0.75530083267302539</v>
      </c>
      <c r="X952" t="s">
        <v>291</v>
      </c>
      <c r="Y952">
        <v>10</v>
      </c>
      <c r="Z952">
        <v>0.30963119843953862</v>
      </c>
      <c r="AA952">
        <v>1</v>
      </c>
    </row>
    <row r="953" spans="1:27" hidden="1" x14ac:dyDescent="0.25">
      <c r="A953" t="s">
        <v>98</v>
      </c>
      <c r="B953" t="s">
        <v>1199</v>
      </c>
      <c r="D953" t="s">
        <v>100</v>
      </c>
      <c r="E953" t="s">
        <v>284</v>
      </c>
      <c r="F953" t="s">
        <v>360</v>
      </c>
      <c r="G953" t="s">
        <v>112</v>
      </c>
      <c r="H953" t="s">
        <v>104</v>
      </c>
      <c r="I953">
        <v>2022</v>
      </c>
      <c r="J953" t="s">
        <v>363</v>
      </c>
      <c r="K953" t="s">
        <v>106</v>
      </c>
      <c r="L953" t="s">
        <v>1275</v>
      </c>
      <c r="M953" t="s">
        <v>1310</v>
      </c>
      <c r="N953">
        <v>1</v>
      </c>
      <c r="O953">
        <v>2020</v>
      </c>
      <c r="P953">
        <v>30.995290460986698</v>
      </c>
      <c r="Q953">
        <v>1.07624732944957</v>
      </c>
      <c r="R953" t="s">
        <v>289</v>
      </c>
      <c r="S953">
        <v>91.18482905982907</v>
      </c>
      <c r="T953" t="s">
        <v>290</v>
      </c>
      <c r="U953">
        <v>91.18482905982907</v>
      </c>
      <c r="V953">
        <v>30.995290460986698</v>
      </c>
      <c r="W953">
        <v>1.07624732944957</v>
      </c>
      <c r="X953" t="s">
        <v>291</v>
      </c>
      <c r="Y953">
        <v>10</v>
      </c>
      <c r="Z953">
        <v>0.30963119843953862</v>
      </c>
      <c r="AA953">
        <v>1</v>
      </c>
    </row>
    <row r="954" spans="1:27" hidden="1" x14ac:dyDescent="0.25">
      <c r="A954" t="s">
        <v>98</v>
      </c>
      <c r="B954" t="s">
        <v>1199</v>
      </c>
      <c r="D954" t="s">
        <v>100</v>
      </c>
      <c r="E954" t="s">
        <v>284</v>
      </c>
      <c r="F954" t="s">
        <v>365</v>
      </c>
      <c r="G954" t="s">
        <v>103</v>
      </c>
      <c r="H954" t="s">
        <v>104</v>
      </c>
      <c r="I954">
        <v>2022</v>
      </c>
      <c r="J954" t="s">
        <v>366</v>
      </c>
      <c r="K954" t="s">
        <v>106</v>
      </c>
      <c r="L954" t="s">
        <v>1275</v>
      </c>
      <c r="M954" t="s">
        <v>1311</v>
      </c>
      <c r="N954">
        <v>1</v>
      </c>
      <c r="O954">
        <v>2020</v>
      </c>
      <c r="P954">
        <v>34.581332645158973</v>
      </c>
      <c r="Q954">
        <v>1.926881708285624</v>
      </c>
      <c r="R954" t="s">
        <v>289</v>
      </c>
      <c r="S954">
        <v>115.45533602622641</v>
      </c>
      <c r="T954" t="s">
        <v>290</v>
      </c>
      <c r="U954">
        <v>115.45533602622641</v>
      </c>
      <c r="V954">
        <v>34.581332645158973</v>
      </c>
      <c r="W954">
        <v>1.926881708285624</v>
      </c>
      <c r="X954" t="s">
        <v>291</v>
      </c>
      <c r="Y954">
        <v>10</v>
      </c>
      <c r="Z954">
        <v>0.30963119843953862</v>
      </c>
      <c r="AA954">
        <v>1</v>
      </c>
    </row>
    <row r="955" spans="1:27" hidden="1" x14ac:dyDescent="0.25">
      <c r="A955" t="s">
        <v>98</v>
      </c>
      <c r="B955" t="s">
        <v>1199</v>
      </c>
      <c r="D955" t="s">
        <v>100</v>
      </c>
      <c r="E955" t="s">
        <v>284</v>
      </c>
      <c r="F955" t="s">
        <v>365</v>
      </c>
      <c r="G955" t="s">
        <v>112</v>
      </c>
      <c r="H955" t="s">
        <v>104</v>
      </c>
      <c r="I955">
        <v>2022</v>
      </c>
      <c r="J955" t="s">
        <v>368</v>
      </c>
      <c r="K955" t="s">
        <v>106</v>
      </c>
      <c r="L955" t="s">
        <v>1275</v>
      </c>
      <c r="M955" t="s">
        <v>1312</v>
      </c>
      <c r="N955">
        <v>1</v>
      </c>
      <c r="O955">
        <v>2020</v>
      </c>
      <c r="P955">
        <v>44.653862333829821</v>
      </c>
      <c r="Q955">
        <v>2.4693086643180591</v>
      </c>
      <c r="R955" t="s">
        <v>289</v>
      </c>
      <c r="S955">
        <v>130.6177318295739</v>
      </c>
      <c r="T955" t="s">
        <v>290</v>
      </c>
      <c r="U955">
        <v>130.6177318295739</v>
      </c>
      <c r="V955">
        <v>44.653862333829821</v>
      </c>
      <c r="W955">
        <v>2.4693086643180591</v>
      </c>
      <c r="X955" t="s">
        <v>291</v>
      </c>
      <c r="Y955">
        <v>10</v>
      </c>
      <c r="Z955">
        <v>0.30963119843953862</v>
      </c>
      <c r="AA955">
        <v>1</v>
      </c>
    </row>
    <row r="956" spans="1:27" hidden="1" x14ac:dyDescent="0.25">
      <c r="A956" t="s">
        <v>98</v>
      </c>
      <c r="B956" t="s">
        <v>1199</v>
      </c>
      <c r="D956" t="s">
        <v>100</v>
      </c>
      <c r="E956" t="s">
        <v>284</v>
      </c>
      <c r="F956" t="s">
        <v>365</v>
      </c>
      <c r="G956" t="s">
        <v>103</v>
      </c>
      <c r="H956" t="s">
        <v>104</v>
      </c>
      <c r="I956">
        <v>2023</v>
      </c>
      <c r="J956" t="s">
        <v>370</v>
      </c>
      <c r="K956" t="s">
        <v>106</v>
      </c>
      <c r="L956" t="s">
        <v>1275</v>
      </c>
      <c r="M956" t="s">
        <v>1313</v>
      </c>
      <c r="N956">
        <v>1</v>
      </c>
      <c r="O956">
        <v>2023</v>
      </c>
      <c r="P956">
        <v>34.353918735727063</v>
      </c>
      <c r="Q956">
        <v>1.893397965391721</v>
      </c>
      <c r="R956" t="s">
        <v>289</v>
      </c>
      <c r="S956">
        <v>115.45533602622641</v>
      </c>
      <c r="T956" t="s">
        <v>290</v>
      </c>
      <c r="U956">
        <v>115.45533602622641</v>
      </c>
      <c r="V956">
        <v>34.353918735727063</v>
      </c>
      <c r="W956">
        <v>1.893397965391721</v>
      </c>
      <c r="X956" t="s">
        <v>291</v>
      </c>
      <c r="Y956">
        <v>10</v>
      </c>
      <c r="Z956">
        <v>0.30963119843953862</v>
      </c>
      <c r="AA956">
        <v>1</v>
      </c>
    </row>
    <row r="957" spans="1:27" hidden="1" x14ac:dyDescent="0.25">
      <c r="A957" t="s">
        <v>98</v>
      </c>
      <c r="B957" t="s">
        <v>1199</v>
      </c>
      <c r="D957" t="s">
        <v>100</v>
      </c>
      <c r="E957" t="s">
        <v>284</v>
      </c>
      <c r="F957" t="s">
        <v>365</v>
      </c>
      <c r="G957" t="s">
        <v>112</v>
      </c>
      <c r="H957" t="s">
        <v>104</v>
      </c>
      <c r="I957">
        <v>2023</v>
      </c>
      <c r="J957" t="s">
        <v>372</v>
      </c>
      <c r="K957" t="s">
        <v>106</v>
      </c>
      <c r="L957" t="s">
        <v>1275</v>
      </c>
      <c r="M957" t="s">
        <v>1314</v>
      </c>
      <c r="N957">
        <v>1</v>
      </c>
      <c r="O957">
        <v>2023</v>
      </c>
      <c r="P957">
        <v>43.733464606512037</v>
      </c>
      <c r="Q957">
        <v>2.4042644647868401</v>
      </c>
      <c r="R957" t="s">
        <v>289</v>
      </c>
      <c r="S957">
        <v>130.6177318295739</v>
      </c>
      <c r="T957" t="s">
        <v>290</v>
      </c>
      <c r="U957">
        <v>130.6177318295739</v>
      </c>
      <c r="V957">
        <v>43.733464606512037</v>
      </c>
      <c r="W957">
        <v>2.4042644647868401</v>
      </c>
      <c r="X957" t="s">
        <v>291</v>
      </c>
      <c r="Y957">
        <v>10</v>
      </c>
      <c r="Z957">
        <v>0.30963119843953862</v>
      </c>
      <c r="AA957">
        <v>1</v>
      </c>
    </row>
    <row r="958" spans="1:27" hidden="1" x14ac:dyDescent="0.25">
      <c r="A958" t="s">
        <v>98</v>
      </c>
      <c r="B958" t="s">
        <v>1199</v>
      </c>
      <c r="D958" t="s">
        <v>100</v>
      </c>
      <c r="E958" t="s">
        <v>284</v>
      </c>
      <c r="F958" t="s">
        <v>365</v>
      </c>
      <c r="G958" t="s">
        <v>103</v>
      </c>
      <c r="H958" t="s">
        <v>104</v>
      </c>
      <c r="I958">
        <v>2024</v>
      </c>
      <c r="J958" t="s">
        <v>374</v>
      </c>
      <c r="K958" t="s">
        <v>106</v>
      </c>
      <c r="L958" t="s">
        <v>1275</v>
      </c>
      <c r="M958" t="s">
        <v>1315</v>
      </c>
      <c r="N958">
        <v>1</v>
      </c>
      <c r="O958">
        <v>2024</v>
      </c>
      <c r="P958">
        <v>34.353918735727063</v>
      </c>
      <c r="Q958">
        <v>1.893397965391721</v>
      </c>
      <c r="R958" t="s">
        <v>289</v>
      </c>
      <c r="S958">
        <v>115.45533602622641</v>
      </c>
      <c r="T958" t="s">
        <v>290</v>
      </c>
      <c r="U958">
        <v>115.45533602622641</v>
      </c>
      <c r="V958">
        <v>34.353918735727063</v>
      </c>
      <c r="W958">
        <v>1.893397965391721</v>
      </c>
      <c r="X958" t="s">
        <v>291</v>
      </c>
      <c r="Y958">
        <v>10</v>
      </c>
      <c r="Z958">
        <v>0.30963119843953862</v>
      </c>
      <c r="AA958">
        <v>1</v>
      </c>
    </row>
    <row r="959" spans="1:27" hidden="1" x14ac:dyDescent="0.25">
      <c r="A959" t="s">
        <v>98</v>
      </c>
      <c r="B959" t="s">
        <v>1199</v>
      </c>
      <c r="D959" t="s">
        <v>100</v>
      </c>
      <c r="E959" t="s">
        <v>284</v>
      </c>
      <c r="F959" t="s">
        <v>365</v>
      </c>
      <c r="G959" t="s">
        <v>112</v>
      </c>
      <c r="H959" t="s">
        <v>104</v>
      </c>
      <c r="I959">
        <v>2024</v>
      </c>
      <c r="J959" t="s">
        <v>376</v>
      </c>
      <c r="K959" t="s">
        <v>106</v>
      </c>
      <c r="L959" t="s">
        <v>1275</v>
      </c>
      <c r="M959" t="s">
        <v>1316</v>
      </c>
      <c r="N959">
        <v>1</v>
      </c>
      <c r="O959">
        <v>2024</v>
      </c>
      <c r="P959">
        <v>43.733464606512037</v>
      </c>
      <c r="Q959">
        <v>2.4042644647868401</v>
      </c>
      <c r="R959" t="s">
        <v>289</v>
      </c>
      <c r="S959">
        <v>130.6177318295739</v>
      </c>
      <c r="T959" t="s">
        <v>290</v>
      </c>
      <c r="U959">
        <v>130.6177318295739</v>
      </c>
      <c r="V959">
        <v>43.733464606512037</v>
      </c>
      <c r="W959">
        <v>2.4042644647868401</v>
      </c>
      <c r="X959" t="s">
        <v>291</v>
      </c>
      <c r="Y959">
        <v>10</v>
      </c>
      <c r="Z959">
        <v>0.30963119843953862</v>
      </c>
      <c r="AA959">
        <v>1</v>
      </c>
    </row>
    <row r="960" spans="1:27" hidden="1" x14ac:dyDescent="0.25">
      <c r="A960" t="s">
        <v>98</v>
      </c>
      <c r="B960" t="s">
        <v>1199</v>
      </c>
      <c r="D960" t="s">
        <v>100</v>
      </c>
      <c r="E960" t="s">
        <v>284</v>
      </c>
      <c r="F960" t="s">
        <v>365</v>
      </c>
      <c r="G960" t="s">
        <v>103</v>
      </c>
      <c r="H960" t="s">
        <v>104</v>
      </c>
      <c r="I960">
        <v>2025</v>
      </c>
      <c r="J960" t="s">
        <v>378</v>
      </c>
      <c r="K960" t="s">
        <v>106</v>
      </c>
      <c r="L960" t="s">
        <v>1275</v>
      </c>
      <c r="M960" t="s">
        <v>1317</v>
      </c>
      <c r="N960">
        <v>1</v>
      </c>
      <c r="O960">
        <v>2025</v>
      </c>
      <c r="P960">
        <v>34.353918735727063</v>
      </c>
      <c r="Q960">
        <v>1.893397965391721</v>
      </c>
      <c r="R960" t="s">
        <v>289</v>
      </c>
      <c r="S960">
        <v>115.45533602622641</v>
      </c>
      <c r="T960" t="s">
        <v>290</v>
      </c>
      <c r="U960">
        <v>115.45533602622641</v>
      </c>
      <c r="V960">
        <v>34.353918735727063</v>
      </c>
      <c r="W960">
        <v>1.893397965391721</v>
      </c>
      <c r="X960" t="s">
        <v>291</v>
      </c>
      <c r="Y960">
        <v>10</v>
      </c>
      <c r="Z960">
        <v>0.30963119843953862</v>
      </c>
      <c r="AA960">
        <v>1</v>
      </c>
    </row>
    <row r="961" spans="1:27" hidden="1" x14ac:dyDescent="0.25">
      <c r="A961" t="s">
        <v>98</v>
      </c>
      <c r="B961" t="s">
        <v>1199</v>
      </c>
      <c r="D961" t="s">
        <v>100</v>
      </c>
      <c r="E961" t="s">
        <v>284</v>
      </c>
      <c r="F961" t="s">
        <v>365</v>
      </c>
      <c r="G961" t="s">
        <v>112</v>
      </c>
      <c r="H961" t="s">
        <v>104</v>
      </c>
      <c r="I961">
        <v>2025</v>
      </c>
      <c r="J961" t="s">
        <v>380</v>
      </c>
      <c r="K961" t="s">
        <v>106</v>
      </c>
      <c r="L961" t="s">
        <v>1275</v>
      </c>
      <c r="M961" t="s">
        <v>1318</v>
      </c>
      <c r="N961">
        <v>1</v>
      </c>
      <c r="O961">
        <v>2025</v>
      </c>
      <c r="P961">
        <v>43.733464606512037</v>
      </c>
      <c r="Q961">
        <v>2.4042644647868401</v>
      </c>
      <c r="R961" t="s">
        <v>289</v>
      </c>
      <c r="S961">
        <v>130.6177318295739</v>
      </c>
      <c r="T961" t="s">
        <v>290</v>
      </c>
      <c r="U961">
        <v>130.6177318295739</v>
      </c>
      <c r="V961">
        <v>43.733464606512037</v>
      </c>
      <c r="W961">
        <v>2.4042644647868401</v>
      </c>
      <c r="X961" t="s">
        <v>291</v>
      </c>
      <c r="Y961">
        <v>10</v>
      </c>
      <c r="Z961">
        <v>0.30963119843953862</v>
      </c>
      <c r="AA961">
        <v>1</v>
      </c>
    </row>
    <row r="962" spans="1:27" hidden="1" x14ac:dyDescent="0.25">
      <c r="A962" t="s">
        <v>98</v>
      </c>
      <c r="B962" t="s">
        <v>1199</v>
      </c>
      <c r="D962" t="s">
        <v>100</v>
      </c>
      <c r="E962" t="s">
        <v>284</v>
      </c>
      <c r="F962" t="s">
        <v>365</v>
      </c>
      <c r="G962" t="s">
        <v>103</v>
      </c>
      <c r="H962" t="s">
        <v>104</v>
      </c>
      <c r="I962">
        <v>2026</v>
      </c>
      <c r="J962" t="s">
        <v>382</v>
      </c>
      <c r="K962" t="s">
        <v>106</v>
      </c>
      <c r="L962" t="s">
        <v>1275</v>
      </c>
      <c r="M962" t="s">
        <v>1319</v>
      </c>
      <c r="N962">
        <v>1</v>
      </c>
      <c r="O962">
        <v>2026</v>
      </c>
      <c r="P962">
        <v>34.353918735727063</v>
      </c>
      <c r="Q962">
        <v>1.893397965391721</v>
      </c>
      <c r="R962" t="s">
        <v>289</v>
      </c>
      <c r="S962">
        <v>115.45533602622641</v>
      </c>
      <c r="T962" t="s">
        <v>290</v>
      </c>
      <c r="U962">
        <v>115.45533602622641</v>
      </c>
      <c r="V962">
        <v>34.353918735727063</v>
      </c>
      <c r="W962">
        <v>1.893397965391721</v>
      </c>
      <c r="X962" t="s">
        <v>291</v>
      </c>
      <c r="Y962">
        <v>10</v>
      </c>
      <c r="Z962">
        <v>0.30963119843953862</v>
      </c>
      <c r="AA962">
        <v>1</v>
      </c>
    </row>
    <row r="963" spans="1:27" hidden="1" x14ac:dyDescent="0.25">
      <c r="A963" t="s">
        <v>98</v>
      </c>
      <c r="B963" t="s">
        <v>1199</v>
      </c>
      <c r="D963" t="s">
        <v>100</v>
      </c>
      <c r="E963" t="s">
        <v>284</v>
      </c>
      <c r="F963" t="s">
        <v>365</v>
      </c>
      <c r="G963" t="s">
        <v>112</v>
      </c>
      <c r="H963" t="s">
        <v>104</v>
      </c>
      <c r="I963">
        <v>2026</v>
      </c>
      <c r="J963" t="s">
        <v>384</v>
      </c>
      <c r="K963" t="s">
        <v>106</v>
      </c>
      <c r="L963" t="s">
        <v>1275</v>
      </c>
      <c r="M963" t="s">
        <v>1320</v>
      </c>
      <c r="N963">
        <v>1</v>
      </c>
      <c r="O963">
        <v>2026</v>
      </c>
      <c r="P963">
        <v>43.733464606512037</v>
      </c>
      <c r="Q963">
        <v>2.4042644647868401</v>
      </c>
      <c r="R963" t="s">
        <v>289</v>
      </c>
      <c r="S963">
        <v>130.6177318295739</v>
      </c>
      <c r="T963" t="s">
        <v>290</v>
      </c>
      <c r="U963">
        <v>130.6177318295739</v>
      </c>
      <c r="V963">
        <v>43.733464606512037</v>
      </c>
      <c r="W963">
        <v>2.4042644647868401</v>
      </c>
      <c r="X963" t="s">
        <v>291</v>
      </c>
      <c r="Y963">
        <v>10</v>
      </c>
      <c r="Z963">
        <v>0.30963119843953862</v>
      </c>
      <c r="AA963">
        <v>1</v>
      </c>
    </row>
    <row r="964" spans="1:27" hidden="1" x14ac:dyDescent="0.25">
      <c r="A964" t="s">
        <v>98</v>
      </c>
      <c r="B964" t="s">
        <v>1199</v>
      </c>
      <c r="D964" t="s">
        <v>100</v>
      </c>
      <c r="E964" t="s">
        <v>284</v>
      </c>
      <c r="F964" t="s">
        <v>365</v>
      </c>
      <c r="G964" t="s">
        <v>103</v>
      </c>
      <c r="H964" t="s">
        <v>104</v>
      </c>
      <c r="I964">
        <v>2027</v>
      </c>
      <c r="J964" t="s">
        <v>386</v>
      </c>
      <c r="K964" t="s">
        <v>106</v>
      </c>
      <c r="L964" t="s">
        <v>1275</v>
      </c>
      <c r="M964" t="s">
        <v>1321</v>
      </c>
      <c r="N964">
        <v>1</v>
      </c>
      <c r="O964">
        <v>2027</v>
      </c>
      <c r="P964">
        <v>34.353918735727063</v>
      </c>
      <c r="Q964">
        <v>1.893397965391721</v>
      </c>
      <c r="R964" t="s">
        <v>289</v>
      </c>
      <c r="S964">
        <v>115.45533602622641</v>
      </c>
      <c r="T964" t="s">
        <v>290</v>
      </c>
      <c r="U964">
        <v>115.45533602622641</v>
      </c>
      <c r="V964">
        <v>34.353918735727063</v>
      </c>
      <c r="W964">
        <v>1.893397965391721</v>
      </c>
      <c r="X964" t="s">
        <v>291</v>
      </c>
      <c r="Y964">
        <v>10</v>
      </c>
      <c r="Z964">
        <v>0.30963119843953862</v>
      </c>
      <c r="AA964">
        <v>1</v>
      </c>
    </row>
    <row r="965" spans="1:27" hidden="1" x14ac:dyDescent="0.25">
      <c r="A965" t="s">
        <v>98</v>
      </c>
      <c r="B965" t="s">
        <v>1199</v>
      </c>
      <c r="D965" t="s">
        <v>100</v>
      </c>
      <c r="E965" t="s">
        <v>284</v>
      </c>
      <c r="F965" t="s">
        <v>365</v>
      </c>
      <c r="G965" t="s">
        <v>112</v>
      </c>
      <c r="H965" t="s">
        <v>104</v>
      </c>
      <c r="I965">
        <v>2027</v>
      </c>
      <c r="J965" t="s">
        <v>388</v>
      </c>
      <c r="K965" t="s">
        <v>106</v>
      </c>
      <c r="L965" t="s">
        <v>1275</v>
      </c>
      <c r="M965" t="s">
        <v>1322</v>
      </c>
      <c r="N965">
        <v>1</v>
      </c>
      <c r="O965">
        <v>2027</v>
      </c>
      <c r="P965">
        <v>43.733464606512037</v>
      </c>
      <c r="Q965">
        <v>2.4042644647868401</v>
      </c>
      <c r="R965" t="s">
        <v>289</v>
      </c>
      <c r="S965">
        <v>130.6177318295739</v>
      </c>
      <c r="T965" t="s">
        <v>290</v>
      </c>
      <c r="U965">
        <v>130.6177318295739</v>
      </c>
      <c r="V965">
        <v>43.733464606512037</v>
      </c>
      <c r="W965">
        <v>2.4042644647868401</v>
      </c>
      <c r="X965" t="s">
        <v>291</v>
      </c>
      <c r="Y965">
        <v>10</v>
      </c>
      <c r="Z965">
        <v>0.30963119843953862</v>
      </c>
      <c r="AA965">
        <v>1</v>
      </c>
    </row>
    <row r="966" spans="1:27" hidden="1" x14ac:dyDescent="0.25">
      <c r="A966" t="s">
        <v>98</v>
      </c>
      <c r="B966" t="s">
        <v>1199</v>
      </c>
      <c r="D966" t="s">
        <v>100</v>
      </c>
      <c r="E966" t="s">
        <v>284</v>
      </c>
      <c r="F966" t="s">
        <v>365</v>
      </c>
      <c r="G966" t="s">
        <v>103</v>
      </c>
      <c r="H966" t="s">
        <v>104</v>
      </c>
      <c r="I966">
        <v>2028</v>
      </c>
      <c r="J966" t="s">
        <v>390</v>
      </c>
      <c r="K966" t="s">
        <v>106</v>
      </c>
      <c r="L966" t="s">
        <v>1275</v>
      </c>
      <c r="M966" t="s">
        <v>1323</v>
      </c>
      <c r="N966">
        <v>1</v>
      </c>
      <c r="O966">
        <v>2028</v>
      </c>
      <c r="P966">
        <v>34.353918735727063</v>
      </c>
      <c r="Q966">
        <v>1.893397965391721</v>
      </c>
      <c r="R966" t="s">
        <v>289</v>
      </c>
      <c r="S966">
        <v>115.45533602622641</v>
      </c>
      <c r="T966" t="s">
        <v>290</v>
      </c>
      <c r="U966">
        <v>115.45533602622641</v>
      </c>
      <c r="V966">
        <v>34.353918735727063</v>
      </c>
      <c r="W966">
        <v>1.893397965391721</v>
      </c>
      <c r="X966" t="s">
        <v>291</v>
      </c>
      <c r="Y966">
        <v>10</v>
      </c>
      <c r="Z966">
        <v>0.30963119843953862</v>
      </c>
      <c r="AA966">
        <v>1</v>
      </c>
    </row>
    <row r="967" spans="1:27" hidden="1" x14ac:dyDescent="0.25">
      <c r="A967" t="s">
        <v>98</v>
      </c>
      <c r="B967" t="s">
        <v>1199</v>
      </c>
      <c r="D967" t="s">
        <v>100</v>
      </c>
      <c r="E967" t="s">
        <v>284</v>
      </c>
      <c r="F967" t="s">
        <v>365</v>
      </c>
      <c r="G967" t="s">
        <v>112</v>
      </c>
      <c r="H967" t="s">
        <v>104</v>
      </c>
      <c r="I967">
        <v>2028</v>
      </c>
      <c r="J967" t="s">
        <v>392</v>
      </c>
      <c r="K967" t="s">
        <v>106</v>
      </c>
      <c r="L967" t="s">
        <v>1275</v>
      </c>
      <c r="M967" t="s">
        <v>1324</v>
      </c>
      <c r="N967">
        <v>1</v>
      </c>
      <c r="O967">
        <v>2028</v>
      </c>
      <c r="P967">
        <v>43.733464606512037</v>
      </c>
      <c r="Q967">
        <v>2.4042644647868401</v>
      </c>
      <c r="R967" t="s">
        <v>289</v>
      </c>
      <c r="S967">
        <v>130.6177318295739</v>
      </c>
      <c r="T967" t="s">
        <v>290</v>
      </c>
      <c r="U967">
        <v>130.6177318295739</v>
      </c>
      <c r="V967">
        <v>43.733464606512037</v>
      </c>
      <c r="W967">
        <v>2.4042644647868401</v>
      </c>
      <c r="X967" t="s">
        <v>291</v>
      </c>
      <c r="Y967">
        <v>10</v>
      </c>
      <c r="Z967">
        <v>0.30963119843953862</v>
      </c>
      <c r="AA967">
        <v>1</v>
      </c>
    </row>
    <row r="968" spans="1:27" hidden="1" x14ac:dyDescent="0.25">
      <c r="A968" t="s">
        <v>98</v>
      </c>
      <c r="B968" t="s">
        <v>1199</v>
      </c>
      <c r="D968" t="s">
        <v>100</v>
      </c>
      <c r="E968" t="s">
        <v>284</v>
      </c>
      <c r="F968" t="s">
        <v>365</v>
      </c>
      <c r="G968" t="s">
        <v>103</v>
      </c>
      <c r="H968" t="s">
        <v>104</v>
      </c>
      <c r="I968">
        <v>2029</v>
      </c>
      <c r="J968" t="s">
        <v>394</v>
      </c>
      <c r="K968" t="s">
        <v>106</v>
      </c>
      <c r="L968" t="s">
        <v>1275</v>
      </c>
      <c r="M968" t="s">
        <v>1325</v>
      </c>
      <c r="N968">
        <v>1</v>
      </c>
      <c r="O968">
        <v>2029</v>
      </c>
      <c r="P968">
        <v>34.353918735727063</v>
      </c>
      <c r="Q968">
        <v>1.893397965391721</v>
      </c>
      <c r="R968" t="s">
        <v>289</v>
      </c>
      <c r="S968">
        <v>115.45533602622641</v>
      </c>
      <c r="T968" t="s">
        <v>290</v>
      </c>
      <c r="U968">
        <v>115.45533602622641</v>
      </c>
      <c r="V968">
        <v>34.353918735727063</v>
      </c>
      <c r="W968">
        <v>1.893397965391721</v>
      </c>
      <c r="X968" t="s">
        <v>291</v>
      </c>
      <c r="Y968">
        <v>10</v>
      </c>
      <c r="Z968">
        <v>0.30963119843953862</v>
      </c>
      <c r="AA968">
        <v>1</v>
      </c>
    </row>
    <row r="969" spans="1:27" hidden="1" x14ac:dyDescent="0.25">
      <c r="A969" t="s">
        <v>98</v>
      </c>
      <c r="B969" t="s">
        <v>1199</v>
      </c>
      <c r="D969" t="s">
        <v>100</v>
      </c>
      <c r="E969" t="s">
        <v>284</v>
      </c>
      <c r="F969" t="s">
        <v>365</v>
      </c>
      <c r="G969" t="s">
        <v>112</v>
      </c>
      <c r="H969" t="s">
        <v>104</v>
      </c>
      <c r="I969">
        <v>2029</v>
      </c>
      <c r="J969" t="s">
        <v>396</v>
      </c>
      <c r="K969" t="s">
        <v>106</v>
      </c>
      <c r="L969" t="s">
        <v>1275</v>
      </c>
      <c r="M969" t="s">
        <v>1326</v>
      </c>
      <c r="N969">
        <v>1</v>
      </c>
      <c r="O969">
        <v>2029</v>
      </c>
      <c r="P969">
        <v>43.733464606512037</v>
      </c>
      <c r="Q969">
        <v>2.4042644647868401</v>
      </c>
      <c r="R969" t="s">
        <v>289</v>
      </c>
      <c r="S969">
        <v>130.6177318295739</v>
      </c>
      <c r="T969" t="s">
        <v>290</v>
      </c>
      <c r="U969">
        <v>130.6177318295739</v>
      </c>
      <c r="V969">
        <v>43.733464606512037</v>
      </c>
      <c r="W969">
        <v>2.4042644647868401</v>
      </c>
      <c r="X969" t="s">
        <v>291</v>
      </c>
      <c r="Y969">
        <v>10</v>
      </c>
      <c r="Z969">
        <v>0.30963119843953862</v>
      </c>
      <c r="AA969">
        <v>1</v>
      </c>
    </row>
    <row r="970" spans="1:27" hidden="1" x14ac:dyDescent="0.25">
      <c r="A970" t="s">
        <v>98</v>
      </c>
      <c r="B970" t="s">
        <v>1199</v>
      </c>
      <c r="D970" t="s">
        <v>100</v>
      </c>
      <c r="E970" t="s">
        <v>284</v>
      </c>
      <c r="F970" t="s">
        <v>355</v>
      </c>
      <c r="G970" t="s">
        <v>103</v>
      </c>
      <c r="H970" t="s">
        <v>104</v>
      </c>
      <c r="I970">
        <v>2030</v>
      </c>
      <c r="J970" t="s">
        <v>398</v>
      </c>
      <c r="K970" t="s">
        <v>106</v>
      </c>
      <c r="L970" t="s">
        <v>1275</v>
      </c>
      <c r="M970" t="s">
        <v>1327</v>
      </c>
      <c r="N970">
        <v>1</v>
      </c>
      <c r="O970">
        <v>2030</v>
      </c>
      <c r="P970">
        <v>22.026606087295281</v>
      </c>
      <c r="Q970">
        <v>0.67594869632979349</v>
      </c>
      <c r="R970" t="s">
        <v>289</v>
      </c>
      <c r="S970">
        <v>87.209325187237212</v>
      </c>
      <c r="T970" t="s">
        <v>290</v>
      </c>
      <c r="U970">
        <v>87.209325187237212</v>
      </c>
      <c r="V970">
        <v>22.026606087295281</v>
      </c>
      <c r="W970">
        <v>0.67594869632979349</v>
      </c>
      <c r="X970" t="s">
        <v>291</v>
      </c>
      <c r="Y970">
        <v>10</v>
      </c>
      <c r="Z970">
        <v>0.30963119843953862</v>
      </c>
      <c r="AA970">
        <v>1</v>
      </c>
    </row>
    <row r="971" spans="1:27" hidden="1" x14ac:dyDescent="0.25">
      <c r="A971" t="s">
        <v>98</v>
      </c>
      <c r="B971" t="s">
        <v>1199</v>
      </c>
      <c r="D971" t="s">
        <v>100</v>
      </c>
      <c r="E971" t="s">
        <v>284</v>
      </c>
      <c r="F971" t="s">
        <v>355</v>
      </c>
      <c r="G971" t="s">
        <v>112</v>
      </c>
      <c r="H971" t="s">
        <v>104</v>
      </c>
      <c r="I971">
        <v>2030</v>
      </c>
      <c r="J971" t="s">
        <v>400</v>
      </c>
      <c r="K971" t="s">
        <v>106</v>
      </c>
      <c r="L971" t="s">
        <v>1275</v>
      </c>
      <c r="M971" t="s">
        <v>1328</v>
      </c>
      <c r="N971">
        <v>1</v>
      </c>
      <c r="O971">
        <v>2030</v>
      </c>
      <c r="P971">
        <v>23.051216439564651</v>
      </c>
      <c r="Q971">
        <v>0.88782640486853737</v>
      </c>
      <c r="R971" t="s">
        <v>289</v>
      </c>
      <c r="S971">
        <v>87.494679062376832</v>
      </c>
      <c r="T971" t="s">
        <v>290</v>
      </c>
      <c r="U971">
        <v>87.494679062376832</v>
      </c>
      <c r="V971">
        <v>23.051216439564651</v>
      </c>
      <c r="W971">
        <v>0.88782640486853737</v>
      </c>
      <c r="X971" t="s">
        <v>291</v>
      </c>
      <c r="Y971">
        <v>10</v>
      </c>
      <c r="Z971">
        <v>0.30963119843953862</v>
      </c>
      <c r="AA971">
        <v>1</v>
      </c>
    </row>
    <row r="972" spans="1:27" hidden="1" x14ac:dyDescent="0.25">
      <c r="A972" t="s">
        <v>98</v>
      </c>
      <c r="B972" t="s">
        <v>1199</v>
      </c>
      <c r="D972" t="s">
        <v>100</v>
      </c>
      <c r="E972" t="s">
        <v>284</v>
      </c>
      <c r="F972" t="s">
        <v>360</v>
      </c>
      <c r="G972" t="s">
        <v>103</v>
      </c>
      <c r="H972" t="s">
        <v>104</v>
      </c>
      <c r="I972">
        <v>2030</v>
      </c>
      <c r="J972" t="s">
        <v>402</v>
      </c>
      <c r="K972" t="s">
        <v>106</v>
      </c>
      <c r="L972" t="s">
        <v>1275</v>
      </c>
      <c r="M972" t="s">
        <v>1329</v>
      </c>
      <c r="N972">
        <v>1</v>
      </c>
      <c r="O972">
        <v>2030</v>
      </c>
      <c r="P972">
        <v>32.03338343675982</v>
      </c>
      <c r="Q972">
        <v>0.74367453538487105</v>
      </c>
      <c r="R972" t="s">
        <v>289</v>
      </c>
      <c r="S972">
        <v>80.816288888888892</v>
      </c>
      <c r="T972" t="s">
        <v>290</v>
      </c>
      <c r="U972">
        <v>80.816288888888892</v>
      </c>
      <c r="V972">
        <v>32.03338343675982</v>
      </c>
      <c r="W972">
        <v>0.74367453538487105</v>
      </c>
      <c r="X972" t="s">
        <v>291</v>
      </c>
      <c r="Y972">
        <v>10</v>
      </c>
      <c r="Z972">
        <v>0.30963119843953862</v>
      </c>
      <c r="AA972">
        <v>1</v>
      </c>
    </row>
    <row r="973" spans="1:27" hidden="1" x14ac:dyDescent="0.25">
      <c r="A973" t="s">
        <v>98</v>
      </c>
      <c r="B973" t="s">
        <v>1199</v>
      </c>
      <c r="D973" t="s">
        <v>100</v>
      </c>
      <c r="E973" t="s">
        <v>284</v>
      </c>
      <c r="F973" t="s">
        <v>360</v>
      </c>
      <c r="G973" t="s">
        <v>112</v>
      </c>
      <c r="H973" t="s">
        <v>104</v>
      </c>
      <c r="I973">
        <v>2030</v>
      </c>
      <c r="J973" t="s">
        <v>404</v>
      </c>
      <c r="K973" t="s">
        <v>106</v>
      </c>
      <c r="L973" t="s">
        <v>1275</v>
      </c>
      <c r="M973" t="s">
        <v>1330</v>
      </c>
      <c r="N973">
        <v>1</v>
      </c>
      <c r="O973">
        <v>2030</v>
      </c>
      <c r="P973">
        <v>30.04097222030375</v>
      </c>
      <c r="Q973">
        <v>1.0503155304453009</v>
      </c>
      <c r="R973" t="s">
        <v>289</v>
      </c>
      <c r="S973">
        <v>90.329273504273502</v>
      </c>
      <c r="T973" t="s">
        <v>290</v>
      </c>
      <c r="U973">
        <v>90.329273504273502</v>
      </c>
      <c r="V973">
        <v>30.04097222030375</v>
      </c>
      <c r="W973">
        <v>1.0503155304453009</v>
      </c>
      <c r="X973" t="s">
        <v>291</v>
      </c>
      <c r="Y973">
        <v>10</v>
      </c>
      <c r="Z973">
        <v>0.30963119843953862</v>
      </c>
      <c r="AA973">
        <v>1</v>
      </c>
    </row>
    <row r="974" spans="1:27" hidden="1" x14ac:dyDescent="0.25">
      <c r="A974" t="s">
        <v>98</v>
      </c>
      <c r="B974" t="s">
        <v>1199</v>
      </c>
      <c r="D974" t="s">
        <v>100</v>
      </c>
      <c r="E974" t="s">
        <v>284</v>
      </c>
      <c r="F974" t="s">
        <v>365</v>
      </c>
      <c r="G974" t="s">
        <v>103</v>
      </c>
      <c r="H974" t="s">
        <v>104</v>
      </c>
      <c r="I974">
        <v>2030</v>
      </c>
      <c r="J974" t="s">
        <v>406</v>
      </c>
      <c r="K974" t="s">
        <v>106</v>
      </c>
      <c r="L974" t="s">
        <v>1275</v>
      </c>
      <c r="M974" t="s">
        <v>1331</v>
      </c>
      <c r="N974">
        <v>1</v>
      </c>
      <c r="O974">
        <v>2030</v>
      </c>
      <c r="P974">
        <v>23.710775767327672</v>
      </c>
      <c r="Q974">
        <v>1.668845649337886</v>
      </c>
      <c r="R974" t="s">
        <v>289</v>
      </c>
      <c r="S974">
        <v>154.72558108377279</v>
      </c>
      <c r="T974" t="s">
        <v>290</v>
      </c>
      <c r="U974">
        <v>154.72558108377279</v>
      </c>
      <c r="V974">
        <v>23.710775767327672</v>
      </c>
      <c r="W974">
        <v>1.668845649337886</v>
      </c>
      <c r="X974" t="s">
        <v>291</v>
      </c>
      <c r="Y974">
        <v>10</v>
      </c>
      <c r="Z974">
        <v>0.30963119843953862</v>
      </c>
      <c r="AA974">
        <v>1</v>
      </c>
    </row>
    <row r="975" spans="1:27" hidden="1" x14ac:dyDescent="0.25">
      <c r="A975" t="s">
        <v>98</v>
      </c>
      <c r="B975" t="s">
        <v>1199</v>
      </c>
      <c r="D975" t="s">
        <v>100</v>
      </c>
      <c r="E975" t="s">
        <v>284</v>
      </c>
      <c r="F975" t="s">
        <v>365</v>
      </c>
      <c r="G975" t="s">
        <v>112</v>
      </c>
      <c r="H975" t="s">
        <v>104</v>
      </c>
      <c r="I975">
        <v>2030</v>
      </c>
      <c r="J975" t="s">
        <v>408</v>
      </c>
      <c r="K975" t="s">
        <v>106</v>
      </c>
      <c r="L975" t="s">
        <v>1275</v>
      </c>
      <c r="M975" t="s">
        <v>1332</v>
      </c>
      <c r="N975">
        <v>1</v>
      </c>
      <c r="O975">
        <v>2030</v>
      </c>
      <c r="P975">
        <v>28.858905605402359</v>
      </c>
      <c r="Q975">
        <v>2.128664396371156</v>
      </c>
      <c r="R975" t="s">
        <v>289</v>
      </c>
      <c r="S975">
        <v>176.3746647164572</v>
      </c>
      <c r="T975" t="s">
        <v>290</v>
      </c>
      <c r="U975">
        <v>176.3746647164572</v>
      </c>
      <c r="V975">
        <v>28.858905605402359</v>
      </c>
      <c r="W975">
        <v>2.128664396371156</v>
      </c>
      <c r="X975" t="s">
        <v>291</v>
      </c>
      <c r="Y975">
        <v>10</v>
      </c>
      <c r="Z975">
        <v>0.30963119843953862</v>
      </c>
      <c r="AA975">
        <v>1</v>
      </c>
    </row>
    <row r="976" spans="1:27" hidden="1" x14ac:dyDescent="0.25">
      <c r="A976" t="s">
        <v>98</v>
      </c>
      <c r="B976" t="s">
        <v>1199</v>
      </c>
      <c r="D976" t="s">
        <v>100</v>
      </c>
      <c r="E976" t="s">
        <v>284</v>
      </c>
      <c r="F976" t="s">
        <v>355</v>
      </c>
      <c r="G976" t="s">
        <v>103</v>
      </c>
      <c r="H976" t="s">
        <v>104</v>
      </c>
      <c r="I976">
        <v>2040</v>
      </c>
      <c r="J976" t="s">
        <v>410</v>
      </c>
      <c r="K976" t="s">
        <v>106</v>
      </c>
      <c r="L976" t="s">
        <v>1275</v>
      </c>
      <c r="M976" t="s">
        <v>1333</v>
      </c>
      <c r="N976">
        <v>1</v>
      </c>
      <c r="O976">
        <v>2040</v>
      </c>
      <c r="P976">
        <v>22.159986853322259</v>
      </c>
      <c r="Q976">
        <v>0.64769049265200085</v>
      </c>
      <c r="R976" t="s">
        <v>289</v>
      </c>
      <c r="S976">
        <v>85.846844985289152</v>
      </c>
      <c r="T976" t="s">
        <v>290</v>
      </c>
      <c r="U976">
        <v>85.846844985289152</v>
      </c>
      <c r="V976">
        <v>22.159986853322259</v>
      </c>
      <c r="W976">
        <v>0.64769049265200085</v>
      </c>
      <c r="X976" t="s">
        <v>291</v>
      </c>
      <c r="Y976">
        <v>10</v>
      </c>
      <c r="Z976">
        <v>0.30963119843953862</v>
      </c>
      <c r="AA976">
        <v>1</v>
      </c>
    </row>
    <row r="977" spans="1:27" hidden="1" x14ac:dyDescent="0.25">
      <c r="A977" t="s">
        <v>98</v>
      </c>
      <c r="B977" t="s">
        <v>1199</v>
      </c>
      <c r="D977" t="s">
        <v>100</v>
      </c>
      <c r="E977" t="s">
        <v>284</v>
      </c>
      <c r="F977" t="s">
        <v>355</v>
      </c>
      <c r="G977" t="s">
        <v>112</v>
      </c>
      <c r="H977" t="s">
        <v>104</v>
      </c>
      <c r="I977">
        <v>2040</v>
      </c>
      <c r="J977" t="s">
        <v>412</v>
      </c>
      <c r="K977" t="s">
        <v>106</v>
      </c>
      <c r="L977" t="s">
        <v>1275</v>
      </c>
      <c r="M977" t="s">
        <v>1334</v>
      </c>
      <c r="N977">
        <v>1</v>
      </c>
      <c r="O977">
        <v>2040</v>
      </c>
      <c r="P977">
        <v>22.287209700822071</v>
      </c>
      <c r="Q977">
        <v>0.78348370867951755</v>
      </c>
      <c r="R977" t="s">
        <v>289</v>
      </c>
      <c r="S977">
        <v>88.372750377742747</v>
      </c>
      <c r="T977" t="s">
        <v>290</v>
      </c>
      <c r="U977">
        <v>88.372750377742747</v>
      </c>
      <c r="V977">
        <v>22.287209700822071</v>
      </c>
      <c r="W977">
        <v>0.78348370867951755</v>
      </c>
      <c r="X977" t="s">
        <v>291</v>
      </c>
      <c r="Y977">
        <v>10</v>
      </c>
      <c r="Z977">
        <v>0.30963119843953862</v>
      </c>
      <c r="AA977">
        <v>1</v>
      </c>
    </row>
    <row r="978" spans="1:27" hidden="1" x14ac:dyDescent="0.25">
      <c r="A978" t="s">
        <v>98</v>
      </c>
      <c r="B978" t="s">
        <v>1199</v>
      </c>
      <c r="D978" t="s">
        <v>100</v>
      </c>
      <c r="E978" t="s">
        <v>284</v>
      </c>
      <c r="F978" t="s">
        <v>360</v>
      </c>
      <c r="G978" t="s">
        <v>103</v>
      </c>
      <c r="H978" t="s">
        <v>104</v>
      </c>
      <c r="I978">
        <v>2040</v>
      </c>
      <c r="J978" t="s">
        <v>414</v>
      </c>
      <c r="K978" t="s">
        <v>106</v>
      </c>
      <c r="L978" t="s">
        <v>1275</v>
      </c>
      <c r="M978" t="s">
        <v>1335</v>
      </c>
      <c r="N978">
        <v>1</v>
      </c>
      <c r="O978">
        <v>2040</v>
      </c>
      <c r="P978">
        <v>28.721945226708339</v>
      </c>
      <c r="Q978">
        <v>0.72978219131721256</v>
      </c>
      <c r="R978" t="s">
        <v>289</v>
      </c>
      <c r="S978">
        <v>80.816288888888892</v>
      </c>
      <c r="T978" t="s">
        <v>290</v>
      </c>
      <c r="U978">
        <v>80.816288888888892</v>
      </c>
      <c r="V978">
        <v>28.721945226708339</v>
      </c>
      <c r="W978">
        <v>0.72978219131721256</v>
      </c>
      <c r="X978" t="s">
        <v>291</v>
      </c>
      <c r="Y978">
        <v>10</v>
      </c>
      <c r="Z978">
        <v>0.30963119843953862</v>
      </c>
      <c r="AA978">
        <v>1</v>
      </c>
    </row>
    <row r="979" spans="1:27" hidden="1" x14ac:dyDescent="0.25">
      <c r="A979" t="s">
        <v>98</v>
      </c>
      <c r="B979" t="s">
        <v>1199</v>
      </c>
      <c r="D979" t="s">
        <v>100</v>
      </c>
      <c r="E979" t="s">
        <v>284</v>
      </c>
      <c r="F979" t="s">
        <v>360</v>
      </c>
      <c r="G979" t="s">
        <v>112</v>
      </c>
      <c r="H979" t="s">
        <v>104</v>
      </c>
      <c r="I979">
        <v>2040</v>
      </c>
      <c r="J979" t="s">
        <v>416</v>
      </c>
      <c r="K979" t="s">
        <v>106</v>
      </c>
      <c r="L979" t="s">
        <v>1275</v>
      </c>
      <c r="M979" t="s">
        <v>1336</v>
      </c>
      <c r="N979">
        <v>1</v>
      </c>
      <c r="O979">
        <v>2040</v>
      </c>
      <c r="P979">
        <v>33.197275628385512</v>
      </c>
      <c r="Q979">
        <v>1.1034319170477349</v>
      </c>
      <c r="R979" t="s">
        <v>289</v>
      </c>
      <c r="S979">
        <v>93.34643874643875</v>
      </c>
      <c r="T979" t="s">
        <v>290</v>
      </c>
      <c r="U979">
        <v>93.34643874643875</v>
      </c>
      <c r="V979">
        <v>33.197275628385512</v>
      </c>
      <c r="W979">
        <v>1.1034319170477349</v>
      </c>
      <c r="X979" t="s">
        <v>291</v>
      </c>
      <c r="Y979">
        <v>10</v>
      </c>
      <c r="Z979">
        <v>0.30963119843953862</v>
      </c>
      <c r="AA979">
        <v>1</v>
      </c>
    </row>
    <row r="980" spans="1:27" hidden="1" x14ac:dyDescent="0.25">
      <c r="A980" t="s">
        <v>98</v>
      </c>
      <c r="B980" t="s">
        <v>1199</v>
      </c>
      <c r="D980" t="s">
        <v>100</v>
      </c>
      <c r="E980" t="s">
        <v>284</v>
      </c>
      <c r="F980" t="s">
        <v>365</v>
      </c>
      <c r="G980" t="s">
        <v>103</v>
      </c>
      <c r="H980" t="s">
        <v>104</v>
      </c>
      <c r="I980">
        <v>2040</v>
      </c>
      <c r="J980" t="s">
        <v>418</v>
      </c>
      <c r="K980" t="s">
        <v>106</v>
      </c>
      <c r="L980" t="s">
        <v>1275</v>
      </c>
      <c r="M980" t="s">
        <v>1337</v>
      </c>
      <c r="N980">
        <v>1</v>
      </c>
      <c r="O980">
        <v>2040</v>
      </c>
      <c r="P980">
        <v>22.333975775561878</v>
      </c>
      <c r="Q980">
        <v>1.552983156443519</v>
      </c>
      <c r="R980" t="s">
        <v>289</v>
      </c>
      <c r="S980">
        <v>181.1420784222461</v>
      </c>
      <c r="T980" t="s">
        <v>290</v>
      </c>
      <c r="U980">
        <v>181.1420784222461</v>
      </c>
      <c r="V980">
        <v>22.333975775561878</v>
      </c>
      <c r="W980">
        <v>1.552983156443519</v>
      </c>
      <c r="X980" t="s">
        <v>291</v>
      </c>
      <c r="Y980">
        <v>10</v>
      </c>
      <c r="Z980">
        <v>0.30963119843953862</v>
      </c>
      <c r="AA980">
        <v>1</v>
      </c>
    </row>
    <row r="981" spans="1:27" hidden="1" x14ac:dyDescent="0.25">
      <c r="A981" t="s">
        <v>98</v>
      </c>
      <c r="B981" t="s">
        <v>1199</v>
      </c>
      <c r="D981" t="s">
        <v>100</v>
      </c>
      <c r="E981" t="s">
        <v>284</v>
      </c>
      <c r="F981" t="s">
        <v>365</v>
      </c>
      <c r="G981" t="s">
        <v>112</v>
      </c>
      <c r="H981" t="s">
        <v>104</v>
      </c>
      <c r="I981">
        <v>2040</v>
      </c>
      <c r="J981" t="s">
        <v>420</v>
      </c>
      <c r="K981" t="s">
        <v>106</v>
      </c>
      <c r="L981" t="s">
        <v>1275</v>
      </c>
      <c r="M981" t="s">
        <v>1338</v>
      </c>
      <c r="N981">
        <v>1</v>
      </c>
      <c r="O981">
        <v>2040</v>
      </c>
      <c r="P981">
        <v>27.009726996743201</v>
      </c>
      <c r="Q981">
        <v>1.971842815426603</v>
      </c>
      <c r="R981" t="s">
        <v>289</v>
      </c>
      <c r="S981">
        <v>206.50467814395611</v>
      </c>
      <c r="T981" t="s">
        <v>290</v>
      </c>
      <c r="U981">
        <v>206.50467814395611</v>
      </c>
      <c r="V981">
        <v>27.009726996743201</v>
      </c>
      <c r="W981">
        <v>1.971842815426603</v>
      </c>
      <c r="X981" t="s">
        <v>291</v>
      </c>
      <c r="Y981">
        <v>10</v>
      </c>
      <c r="Z981">
        <v>0.30963119843953862</v>
      </c>
      <c r="AA981">
        <v>1</v>
      </c>
    </row>
    <row r="982" spans="1:27" hidden="1" x14ac:dyDescent="0.25">
      <c r="A982" t="s">
        <v>98</v>
      </c>
      <c r="B982" t="s">
        <v>1199</v>
      </c>
      <c r="D982" t="s">
        <v>100</v>
      </c>
      <c r="E982" t="s">
        <v>284</v>
      </c>
      <c r="F982" t="s">
        <v>422</v>
      </c>
      <c r="G982" t="s">
        <v>103</v>
      </c>
      <c r="H982" t="s">
        <v>104</v>
      </c>
      <c r="I982">
        <v>2022</v>
      </c>
      <c r="J982" t="s">
        <v>423</v>
      </c>
      <c r="K982" t="s">
        <v>106</v>
      </c>
      <c r="L982" t="s">
        <v>1275</v>
      </c>
      <c r="M982" t="s">
        <v>1339</v>
      </c>
      <c r="N982">
        <v>1</v>
      </c>
      <c r="O982">
        <v>2020</v>
      </c>
      <c r="P982">
        <v>22.570490905245428</v>
      </c>
      <c r="Q982">
        <v>0.77947598919167282</v>
      </c>
      <c r="R982" t="s">
        <v>289</v>
      </c>
      <c r="S982">
        <v>59.465873015873022</v>
      </c>
      <c r="T982" t="s">
        <v>290</v>
      </c>
      <c r="U982">
        <v>59.465873015873022</v>
      </c>
      <c r="V982">
        <v>22.570490905245428</v>
      </c>
      <c r="W982">
        <v>0.77947598919167282</v>
      </c>
      <c r="X982" t="s">
        <v>291</v>
      </c>
      <c r="Y982">
        <v>10</v>
      </c>
      <c r="Z982">
        <v>0.30963119843953862</v>
      </c>
      <c r="AA982">
        <v>1</v>
      </c>
    </row>
    <row r="983" spans="1:27" hidden="1" x14ac:dyDescent="0.25">
      <c r="A983" t="s">
        <v>98</v>
      </c>
      <c r="B983" t="s">
        <v>1199</v>
      </c>
      <c r="D983" t="s">
        <v>100</v>
      </c>
      <c r="E983" t="s">
        <v>284</v>
      </c>
      <c r="F983" t="s">
        <v>425</v>
      </c>
      <c r="G983" t="s">
        <v>103</v>
      </c>
      <c r="H983" t="s">
        <v>104</v>
      </c>
      <c r="I983">
        <v>2022</v>
      </c>
      <c r="J983" t="s">
        <v>426</v>
      </c>
      <c r="K983" t="s">
        <v>106</v>
      </c>
      <c r="L983" t="s">
        <v>1275</v>
      </c>
      <c r="M983" t="s">
        <v>1340</v>
      </c>
      <c r="N983">
        <v>1</v>
      </c>
      <c r="O983">
        <v>2020</v>
      </c>
      <c r="P983">
        <v>20.699165146358741</v>
      </c>
      <c r="Q983">
        <v>1.111231451610436</v>
      </c>
      <c r="R983" t="s">
        <v>289</v>
      </c>
      <c r="S983">
        <v>74.054444444444442</v>
      </c>
      <c r="T983" t="s">
        <v>290</v>
      </c>
      <c r="U983">
        <v>74.054444444444442</v>
      </c>
      <c r="V983">
        <v>20.699165146358741</v>
      </c>
      <c r="W983">
        <v>1.111231451610436</v>
      </c>
      <c r="X983" t="s">
        <v>291</v>
      </c>
      <c r="Y983">
        <v>10</v>
      </c>
      <c r="Z983">
        <v>0.30963119843953862</v>
      </c>
      <c r="AA983">
        <v>1</v>
      </c>
    </row>
    <row r="984" spans="1:27" hidden="1" x14ac:dyDescent="0.25">
      <c r="A984" t="s">
        <v>98</v>
      </c>
      <c r="B984" t="s">
        <v>1199</v>
      </c>
      <c r="D984" t="s">
        <v>100</v>
      </c>
      <c r="E984" t="s">
        <v>284</v>
      </c>
      <c r="F984" t="s">
        <v>428</v>
      </c>
      <c r="G984" t="s">
        <v>103</v>
      </c>
      <c r="H984" t="s">
        <v>104</v>
      </c>
      <c r="I984">
        <v>2022</v>
      </c>
      <c r="J984" t="s">
        <v>429</v>
      </c>
      <c r="K984" t="s">
        <v>106</v>
      </c>
      <c r="L984" t="s">
        <v>1275</v>
      </c>
      <c r="M984" t="s">
        <v>1341</v>
      </c>
      <c r="N984">
        <v>1</v>
      </c>
      <c r="O984">
        <v>2020</v>
      </c>
      <c r="P984">
        <v>25.347672779313449</v>
      </c>
      <c r="Q984">
        <v>0.56400508525842741</v>
      </c>
      <c r="R984" t="s">
        <v>289</v>
      </c>
      <c r="S984">
        <v>77.810944444444459</v>
      </c>
      <c r="T984" t="s">
        <v>290</v>
      </c>
      <c r="U984">
        <v>77.810944444444459</v>
      </c>
      <c r="V984">
        <v>25.347672779313449</v>
      </c>
      <c r="W984">
        <v>0.56400508525842741</v>
      </c>
      <c r="X984" t="s">
        <v>291</v>
      </c>
      <c r="Y984">
        <v>10</v>
      </c>
      <c r="Z984">
        <v>0.30963119843953862</v>
      </c>
      <c r="AA984">
        <v>1</v>
      </c>
    </row>
    <row r="985" spans="1:27" hidden="1" x14ac:dyDescent="0.25">
      <c r="A985" t="s">
        <v>98</v>
      </c>
      <c r="B985" t="s">
        <v>1199</v>
      </c>
      <c r="D985" t="s">
        <v>100</v>
      </c>
      <c r="E985" t="s">
        <v>284</v>
      </c>
      <c r="F985" t="s">
        <v>425</v>
      </c>
      <c r="G985" t="s">
        <v>103</v>
      </c>
      <c r="H985" t="s">
        <v>104</v>
      </c>
      <c r="I985">
        <v>2030</v>
      </c>
      <c r="J985" t="s">
        <v>431</v>
      </c>
      <c r="K985" t="s">
        <v>106</v>
      </c>
      <c r="L985" t="s">
        <v>1275</v>
      </c>
      <c r="M985" t="s">
        <v>1342</v>
      </c>
      <c r="N985">
        <v>1</v>
      </c>
      <c r="O985">
        <v>2030</v>
      </c>
      <c r="P985">
        <v>20.230705085538521</v>
      </c>
      <c r="Q985">
        <v>1.0951903363739519</v>
      </c>
      <c r="R985" t="s">
        <v>289</v>
      </c>
      <c r="S985">
        <v>79.81</v>
      </c>
      <c r="T985" t="s">
        <v>290</v>
      </c>
      <c r="U985">
        <v>79.81</v>
      </c>
      <c r="V985">
        <v>20.230705085538521</v>
      </c>
      <c r="W985">
        <v>1.0951903363739519</v>
      </c>
      <c r="X985" t="s">
        <v>291</v>
      </c>
      <c r="Y985">
        <v>10</v>
      </c>
      <c r="Z985">
        <v>0.30963119843953862</v>
      </c>
      <c r="AA985">
        <v>1</v>
      </c>
    </row>
    <row r="986" spans="1:27" hidden="1" x14ac:dyDescent="0.25">
      <c r="A986" t="s">
        <v>98</v>
      </c>
      <c r="B986" t="s">
        <v>1199</v>
      </c>
      <c r="D986" t="s">
        <v>100</v>
      </c>
      <c r="E986" t="s">
        <v>284</v>
      </c>
      <c r="F986" t="s">
        <v>428</v>
      </c>
      <c r="G986" t="s">
        <v>103</v>
      </c>
      <c r="H986" t="s">
        <v>104</v>
      </c>
      <c r="I986">
        <v>2030</v>
      </c>
      <c r="J986" t="s">
        <v>433</v>
      </c>
      <c r="K986" t="s">
        <v>106</v>
      </c>
      <c r="L986" t="s">
        <v>1275</v>
      </c>
      <c r="M986" t="s">
        <v>1343</v>
      </c>
      <c r="N986">
        <v>1</v>
      </c>
      <c r="O986">
        <v>2030</v>
      </c>
      <c r="P986">
        <v>24.67049407605251</v>
      </c>
      <c r="Q986">
        <v>0.55731249361340607</v>
      </c>
      <c r="R986" t="s">
        <v>289</v>
      </c>
      <c r="S986">
        <v>84.367500000000007</v>
      </c>
      <c r="T986" t="s">
        <v>290</v>
      </c>
      <c r="U986">
        <v>84.367500000000007</v>
      </c>
      <c r="V986">
        <v>24.67049407605251</v>
      </c>
      <c r="W986">
        <v>0.55731249361340607</v>
      </c>
      <c r="X986" t="s">
        <v>291</v>
      </c>
      <c r="Y986">
        <v>10</v>
      </c>
      <c r="Z986">
        <v>0.30963119843953862</v>
      </c>
      <c r="AA986">
        <v>1</v>
      </c>
    </row>
    <row r="987" spans="1:27" hidden="1" x14ac:dyDescent="0.25">
      <c r="A987" t="s">
        <v>98</v>
      </c>
      <c r="B987" t="s">
        <v>1199</v>
      </c>
      <c r="D987" t="s">
        <v>100</v>
      </c>
      <c r="E987" t="s">
        <v>284</v>
      </c>
      <c r="F987" t="s">
        <v>425</v>
      </c>
      <c r="G987" t="s">
        <v>103</v>
      </c>
      <c r="H987" t="s">
        <v>104</v>
      </c>
      <c r="I987">
        <v>2040</v>
      </c>
      <c r="J987" t="s">
        <v>435</v>
      </c>
      <c r="K987" t="s">
        <v>106</v>
      </c>
      <c r="L987" t="s">
        <v>1275</v>
      </c>
      <c r="M987" t="s">
        <v>1344</v>
      </c>
      <c r="N987">
        <v>1</v>
      </c>
      <c r="O987">
        <v>2040</v>
      </c>
      <c r="P987">
        <v>19.670938877469698</v>
      </c>
      <c r="Q987">
        <v>1.076022695415618</v>
      </c>
      <c r="R987" t="s">
        <v>289</v>
      </c>
      <c r="S987">
        <v>79.81</v>
      </c>
      <c r="T987" t="s">
        <v>290</v>
      </c>
      <c r="U987">
        <v>79.81</v>
      </c>
      <c r="V987">
        <v>19.670938877469698</v>
      </c>
      <c r="W987">
        <v>1.076022695415618</v>
      </c>
      <c r="X987" t="s">
        <v>291</v>
      </c>
      <c r="Y987">
        <v>10</v>
      </c>
      <c r="Z987">
        <v>0.30963119843953862</v>
      </c>
      <c r="AA987">
        <v>1</v>
      </c>
    </row>
    <row r="988" spans="1:27" hidden="1" x14ac:dyDescent="0.25">
      <c r="A988" t="s">
        <v>98</v>
      </c>
      <c r="B988" t="s">
        <v>1199</v>
      </c>
      <c r="D988" t="s">
        <v>100</v>
      </c>
      <c r="E988" t="s">
        <v>284</v>
      </c>
      <c r="F988" t="s">
        <v>428</v>
      </c>
      <c r="G988" t="s">
        <v>103</v>
      </c>
      <c r="H988" t="s">
        <v>104</v>
      </c>
      <c r="I988">
        <v>2040</v>
      </c>
      <c r="J988" t="s">
        <v>437</v>
      </c>
      <c r="K988" t="s">
        <v>106</v>
      </c>
      <c r="L988" t="s">
        <v>1275</v>
      </c>
      <c r="M988" t="s">
        <v>1345</v>
      </c>
      <c r="N988">
        <v>1</v>
      </c>
      <c r="O988">
        <v>2040</v>
      </c>
      <c r="P988">
        <v>23.861328500132039</v>
      </c>
      <c r="Q988">
        <v>0.54931546897756556</v>
      </c>
      <c r="R988" t="s">
        <v>289</v>
      </c>
      <c r="S988">
        <v>84.367500000000007</v>
      </c>
      <c r="T988" t="s">
        <v>290</v>
      </c>
      <c r="U988">
        <v>84.367500000000007</v>
      </c>
      <c r="V988">
        <v>23.861328500132039</v>
      </c>
      <c r="W988">
        <v>0.54931546897756556</v>
      </c>
      <c r="X988" t="s">
        <v>291</v>
      </c>
      <c r="Y988">
        <v>10</v>
      </c>
      <c r="Z988">
        <v>0.30963119843953862</v>
      </c>
      <c r="AA988">
        <v>1</v>
      </c>
    </row>
    <row r="989" spans="1:27" hidden="1" x14ac:dyDescent="0.25">
      <c r="A989" t="s">
        <v>98</v>
      </c>
      <c r="B989" t="s">
        <v>1199</v>
      </c>
      <c r="D989" t="s">
        <v>100</v>
      </c>
      <c r="E989" t="s">
        <v>439</v>
      </c>
      <c r="F989" t="s">
        <v>440</v>
      </c>
      <c r="G989" t="s">
        <v>245</v>
      </c>
      <c r="H989" t="s">
        <v>104</v>
      </c>
      <c r="I989">
        <v>2022</v>
      </c>
      <c r="J989" t="s">
        <v>441</v>
      </c>
      <c r="K989" t="s">
        <v>106</v>
      </c>
      <c r="L989" t="s">
        <v>1346</v>
      </c>
      <c r="M989" t="s">
        <v>1347</v>
      </c>
      <c r="N989">
        <v>1</v>
      </c>
      <c r="O989">
        <v>2020</v>
      </c>
      <c r="P989">
        <v>831.12625331024003</v>
      </c>
      <c r="Q989">
        <v>84.323656568982784</v>
      </c>
      <c r="R989" t="s">
        <v>109</v>
      </c>
      <c r="S989">
        <v>2.8957310176295739</v>
      </c>
      <c r="T989" t="s">
        <v>110</v>
      </c>
      <c r="U989">
        <v>1</v>
      </c>
      <c r="V989">
        <v>8212.0648964814554</v>
      </c>
      <c r="W989">
        <v>833.17226148867417</v>
      </c>
      <c r="X989" t="s">
        <v>111</v>
      </c>
      <c r="Y989">
        <v>10</v>
      </c>
      <c r="Z989">
        <v>0.44</v>
      </c>
      <c r="AA989">
        <v>31.536000000000001</v>
      </c>
    </row>
    <row r="990" spans="1:27" hidden="1" x14ac:dyDescent="0.25">
      <c r="A990" t="s">
        <v>98</v>
      </c>
      <c r="B990" t="s">
        <v>1199</v>
      </c>
      <c r="D990" t="s">
        <v>100</v>
      </c>
      <c r="E990" t="s">
        <v>439</v>
      </c>
      <c r="F990" t="s">
        <v>440</v>
      </c>
      <c r="G990" t="s">
        <v>103</v>
      </c>
      <c r="H990" t="s">
        <v>104</v>
      </c>
      <c r="I990">
        <v>2022</v>
      </c>
      <c r="J990" t="s">
        <v>444</v>
      </c>
      <c r="K990" t="s">
        <v>106</v>
      </c>
      <c r="L990" t="s">
        <v>1346</v>
      </c>
      <c r="M990" t="s">
        <v>1348</v>
      </c>
      <c r="N990">
        <v>1</v>
      </c>
      <c r="O990">
        <v>2020</v>
      </c>
      <c r="P990">
        <v>1031.6192027056411</v>
      </c>
      <c r="Q990">
        <v>84.323656568982784</v>
      </c>
      <c r="R990" t="s">
        <v>109</v>
      </c>
      <c r="S990">
        <v>3.1136892662683588</v>
      </c>
      <c r="T990" t="s">
        <v>110</v>
      </c>
      <c r="U990">
        <v>1.075268817204301</v>
      </c>
      <c r="V990">
        <v>10193.06490119123</v>
      </c>
      <c r="W990">
        <v>833.17226148867428</v>
      </c>
      <c r="X990" t="s">
        <v>111</v>
      </c>
      <c r="Y990">
        <v>10</v>
      </c>
      <c r="Z990">
        <v>0.44</v>
      </c>
      <c r="AA990">
        <v>31.536000000000001</v>
      </c>
    </row>
    <row r="991" spans="1:27" hidden="1" x14ac:dyDescent="0.25">
      <c r="A991" t="s">
        <v>98</v>
      </c>
      <c r="B991" t="s">
        <v>1199</v>
      </c>
      <c r="D991" t="s">
        <v>100</v>
      </c>
      <c r="E991" t="s">
        <v>439</v>
      </c>
      <c r="F991" t="s">
        <v>440</v>
      </c>
      <c r="G991" t="s">
        <v>112</v>
      </c>
      <c r="H991" t="s">
        <v>104</v>
      </c>
      <c r="I991">
        <v>2022</v>
      </c>
      <c r="J991" t="s">
        <v>446</v>
      </c>
      <c r="K991" t="s">
        <v>106</v>
      </c>
      <c r="L991" t="s">
        <v>1346</v>
      </c>
      <c r="M991" t="s">
        <v>1349</v>
      </c>
      <c r="N991">
        <v>1</v>
      </c>
      <c r="O991">
        <v>2020</v>
      </c>
      <c r="P991">
        <v>1137.4723035050019</v>
      </c>
      <c r="Q991">
        <v>84.323656568982784</v>
      </c>
      <c r="R991" t="s">
        <v>109</v>
      </c>
      <c r="S991">
        <v>3.348052974482107</v>
      </c>
      <c r="T991" t="s">
        <v>110</v>
      </c>
      <c r="U991">
        <v>1.156203029251937</v>
      </c>
      <c r="V991">
        <v>11238.961995400419</v>
      </c>
      <c r="W991">
        <v>833.17226148867417</v>
      </c>
      <c r="X991" t="s">
        <v>111</v>
      </c>
      <c r="Y991">
        <v>10</v>
      </c>
      <c r="Z991">
        <v>0.44</v>
      </c>
      <c r="AA991">
        <v>31.536000000000001</v>
      </c>
    </row>
    <row r="992" spans="1:27" hidden="1" x14ac:dyDescent="0.25">
      <c r="A992" t="s">
        <v>98</v>
      </c>
      <c r="B992" t="s">
        <v>1199</v>
      </c>
      <c r="D992" t="s">
        <v>100</v>
      </c>
      <c r="E992" t="s">
        <v>439</v>
      </c>
      <c r="F992" t="s">
        <v>440</v>
      </c>
      <c r="G992" t="s">
        <v>103</v>
      </c>
      <c r="H992" t="s">
        <v>104</v>
      </c>
      <c r="I992">
        <v>2030</v>
      </c>
      <c r="J992" t="s">
        <v>448</v>
      </c>
      <c r="K992" t="s">
        <v>106</v>
      </c>
      <c r="L992" t="s">
        <v>1346</v>
      </c>
      <c r="M992" t="s">
        <v>1350</v>
      </c>
      <c r="N992">
        <v>0</v>
      </c>
      <c r="O992">
        <v>2030</v>
      </c>
      <c r="P992">
        <v>1031.6192027056411</v>
      </c>
      <c r="Q992">
        <v>84.323656568982784</v>
      </c>
      <c r="R992" t="s">
        <v>109</v>
      </c>
      <c r="S992">
        <v>3.1136892662683588</v>
      </c>
      <c r="T992" t="s">
        <v>110</v>
      </c>
      <c r="U992">
        <v>1.075268817204301</v>
      </c>
      <c r="V992">
        <v>10193.06490119123</v>
      </c>
      <c r="W992">
        <v>833.17226148867428</v>
      </c>
      <c r="X992" t="s">
        <v>111</v>
      </c>
      <c r="Y992">
        <v>10</v>
      </c>
      <c r="Z992">
        <v>0.44</v>
      </c>
      <c r="AA992">
        <v>31.536000000000001</v>
      </c>
    </row>
    <row r="993" spans="1:27" hidden="1" x14ac:dyDescent="0.25">
      <c r="A993" t="s">
        <v>98</v>
      </c>
      <c r="B993" t="s">
        <v>1199</v>
      </c>
      <c r="D993" t="s">
        <v>100</v>
      </c>
      <c r="E993" t="s">
        <v>439</v>
      </c>
      <c r="F993" t="s">
        <v>440</v>
      </c>
      <c r="G993" t="s">
        <v>112</v>
      </c>
      <c r="H993" t="s">
        <v>104</v>
      </c>
      <c r="I993">
        <v>2030</v>
      </c>
      <c r="J993" t="s">
        <v>450</v>
      </c>
      <c r="K993" t="s">
        <v>106</v>
      </c>
      <c r="L993" t="s">
        <v>1346</v>
      </c>
      <c r="M993" t="s">
        <v>1351</v>
      </c>
      <c r="N993">
        <v>0</v>
      </c>
      <c r="O993">
        <v>2030</v>
      </c>
      <c r="P993">
        <v>1137.4723035050019</v>
      </c>
      <c r="Q993">
        <v>84.323656568982784</v>
      </c>
      <c r="R993" t="s">
        <v>109</v>
      </c>
      <c r="S993">
        <v>3.348052974482107</v>
      </c>
      <c r="T993" t="s">
        <v>110</v>
      </c>
      <c r="U993">
        <v>1.156203029251937</v>
      </c>
      <c r="V993">
        <v>11238.961995400419</v>
      </c>
      <c r="W993">
        <v>833.17226148867417</v>
      </c>
      <c r="X993" t="s">
        <v>111</v>
      </c>
      <c r="Y993">
        <v>10</v>
      </c>
      <c r="Z993">
        <v>0.44</v>
      </c>
      <c r="AA993">
        <v>31.536000000000001</v>
      </c>
    </row>
    <row r="994" spans="1:27" hidden="1" x14ac:dyDescent="0.25">
      <c r="A994" t="s">
        <v>98</v>
      </c>
      <c r="B994" t="s">
        <v>1199</v>
      </c>
      <c r="D994" t="s">
        <v>100</v>
      </c>
      <c r="E994" t="s">
        <v>439</v>
      </c>
      <c r="F994" t="s">
        <v>440</v>
      </c>
      <c r="G994" t="s">
        <v>103</v>
      </c>
      <c r="H994" t="s">
        <v>104</v>
      </c>
      <c r="I994">
        <v>2040</v>
      </c>
      <c r="J994" t="s">
        <v>452</v>
      </c>
      <c r="K994" t="s">
        <v>106</v>
      </c>
      <c r="L994" t="s">
        <v>1346</v>
      </c>
      <c r="M994" t="s">
        <v>1352</v>
      </c>
      <c r="N994">
        <v>0</v>
      </c>
      <c r="O994">
        <v>2040</v>
      </c>
      <c r="P994">
        <v>1031.6192027056411</v>
      </c>
      <c r="Q994">
        <v>84.323656568982784</v>
      </c>
      <c r="R994" t="s">
        <v>109</v>
      </c>
      <c r="S994">
        <v>3.1136892662683588</v>
      </c>
      <c r="T994" t="s">
        <v>110</v>
      </c>
      <c r="U994">
        <v>1.075268817204301</v>
      </c>
      <c r="V994">
        <v>10193.06490119123</v>
      </c>
      <c r="W994">
        <v>833.17226148867428</v>
      </c>
      <c r="X994" t="s">
        <v>111</v>
      </c>
      <c r="Y994">
        <v>10</v>
      </c>
      <c r="Z994">
        <v>0.44</v>
      </c>
      <c r="AA994">
        <v>31.536000000000001</v>
      </c>
    </row>
    <row r="995" spans="1:27" hidden="1" x14ac:dyDescent="0.25">
      <c r="A995" t="s">
        <v>98</v>
      </c>
      <c r="B995" t="s">
        <v>1199</v>
      </c>
      <c r="D995" t="s">
        <v>100</v>
      </c>
      <c r="E995" t="s">
        <v>439</v>
      </c>
      <c r="F995" t="s">
        <v>440</v>
      </c>
      <c r="G995" t="s">
        <v>112</v>
      </c>
      <c r="H995" t="s">
        <v>104</v>
      </c>
      <c r="I995">
        <v>2040</v>
      </c>
      <c r="J995" t="s">
        <v>454</v>
      </c>
      <c r="K995" t="s">
        <v>106</v>
      </c>
      <c r="L995" t="s">
        <v>1346</v>
      </c>
      <c r="M995" t="s">
        <v>1353</v>
      </c>
      <c r="N995">
        <v>0</v>
      </c>
      <c r="O995">
        <v>2040</v>
      </c>
      <c r="P995">
        <v>1137.4723035050019</v>
      </c>
      <c r="Q995">
        <v>84.323656568982784</v>
      </c>
      <c r="R995" t="s">
        <v>109</v>
      </c>
      <c r="S995">
        <v>3.348052974482107</v>
      </c>
      <c r="T995" t="s">
        <v>110</v>
      </c>
      <c r="U995">
        <v>1.156203029251937</v>
      </c>
      <c r="V995">
        <v>11238.961995400419</v>
      </c>
      <c r="W995">
        <v>833.17226148867417</v>
      </c>
      <c r="X995" t="s">
        <v>111</v>
      </c>
      <c r="Y995">
        <v>10</v>
      </c>
      <c r="Z995">
        <v>0.44</v>
      </c>
      <c r="AA995">
        <v>31.536000000000001</v>
      </c>
    </row>
    <row r="996" spans="1:27" hidden="1" x14ac:dyDescent="0.25">
      <c r="A996" t="s">
        <v>98</v>
      </c>
      <c r="B996" t="s">
        <v>1199</v>
      </c>
      <c r="D996" t="s">
        <v>100</v>
      </c>
      <c r="E996" t="s">
        <v>439</v>
      </c>
      <c r="F996" t="s">
        <v>440</v>
      </c>
      <c r="G996" t="s">
        <v>103</v>
      </c>
      <c r="H996" t="s">
        <v>104</v>
      </c>
      <c r="I996">
        <v>2050</v>
      </c>
      <c r="J996" t="s">
        <v>456</v>
      </c>
      <c r="K996" t="s">
        <v>106</v>
      </c>
      <c r="L996" t="s">
        <v>1346</v>
      </c>
      <c r="M996" t="s">
        <v>1354</v>
      </c>
      <c r="N996">
        <v>0</v>
      </c>
      <c r="O996">
        <v>2050</v>
      </c>
      <c r="P996">
        <v>1031.6192027056411</v>
      </c>
      <c r="Q996">
        <v>84.323656568982784</v>
      </c>
      <c r="R996" t="s">
        <v>109</v>
      </c>
      <c r="S996">
        <v>3.1136892662683588</v>
      </c>
      <c r="T996" t="s">
        <v>110</v>
      </c>
      <c r="U996">
        <v>1.075268817204301</v>
      </c>
      <c r="V996">
        <v>10193.06490119123</v>
      </c>
      <c r="W996">
        <v>833.17226148867428</v>
      </c>
      <c r="X996" t="s">
        <v>111</v>
      </c>
      <c r="Y996">
        <v>10</v>
      </c>
      <c r="Z996">
        <v>0.44</v>
      </c>
      <c r="AA996">
        <v>31.536000000000001</v>
      </c>
    </row>
    <row r="997" spans="1:27" hidden="1" x14ac:dyDescent="0.25">
      <c r="A997" t="s">
        <v>98</v>
      </c>
      <c r="B997" t="s">
        <v>1199</v>
      </c>
      <c r="D997" t="s">
        <v>100</v>
      </c>
      <c r="E997" t="s">
        <v>439</v>
      </c>
      <c r="F997" t="s">
        <v>440</v>
      </c>
      <c r="G997" t="s">
        <v>112</v>
      </c>
      <c r="H997" t="s">
        <v>104</v>
      </c>
      <c r="I997">
        <v>2050</v>
      </c>
      <c r="J997" t="s">
        <v>458</v>
      </c>
      <c r="K997" t="s">
        <v>106</v>
      </c>
      <c r="L997" t="s">
        <v>1346</v>
      </c>
      <c r="M997" t="s">
        <v>1355</v>
      </c>
      <c r="N997">
        <v>0</v>
      </c>
      <c r="O997">
        <v>2050</v>
      </c>
      <c r="P997">
        <v>1137.4723035050019</v>
      </c>
      <c r="Q997">
        <v>84.323656568982784</v>
      </c>
      <c r="R997" t="s">
        <v>109</v>
      </c>
      <c r="S997">
        <v>3.348052974482107</v>
      </c>
      <c r="T997" t="s">
        <v>110</v>
      </c>
      <c r="U997">
        <v>1.156203029251937</v>
      </c>
      <c r="V997">
        <v>11238.961995400419</v>
      </c>
      <c r="W997">
        <v>833.17226148867417</v>
      </c>
      <c r="X997" t="s">
        <v>111</v>
      </c>
      <c r="Y997">
        <v>10</v>
      </c>
      <c r="Z997">
        <v>0.44</v>
      </c>
      <c r="AA997">
        <v>31.536000000000001</v>
      </c>
    </row>
    <row r="998" spans="1:27" hidden="1" x14ac:dyDescent="0.25">
      <c r="A998" t="s">
        <v>98</v>
      </c>
      <c r="B998" t="s">
        <v>1199</v>
      </c>
      <c r="D998" t="s">
        <v>100</v>
      </c>
      <c r="E998" t="s">
        <v>439</v>
      </c>
      <c r="F998" t="s">
        <v>460</v>
      </c>
      <c r="G998" t="s">
        <v>245</v>
      </c>
      <c r="H998" t="s">
        <v>104</v>
      </c>
      <c r="I998">
        <v>2022</v>
      </c>
      <c r="J998" t="s">
        <v>461</v>
      </c>
      <c r="K998" t="s">
        <v>106</v>
      </c>
      <c r="L998" t="s">
        <v>1346</v>
      </c>
      <c r="M998" t="s">
        <v>1356</v>
      </c>
      <c r="N998">
        <v>1</v>
      </c>
      <c r="O998">
        <v>2020</v>
      </c>
      <c r="P998">
        <v>520.8323861248623</v>
      </c>
      <c r="Q998">
        <v>19.17492366827851</v>
      </c>
      <c r="R998" t="s">
        <v>109</v>
      </c>
      <c r="S998">
        <v>5.9841517746527506</v>
      </c>
      <c r="T998" t="s">
        <v>110</v>
      </c>
      <c r="U998">
        <v>2.066542692750287</v>
      </c>
      <c r="V998">
        <v>5146.1608125259299</v>
      </c>
      <c r="W998">
        <v>189.46064682931279</v>
      </c>
      <c r="X998" t="s">
        <v>111</v>
      </c>
      <c r="Y998">
        <v>10</v>
      </c>
      <c r="Z998">
        <v>0.44</v>
      </c>
      <c r="AA998">
        <v>31.536000000000001</v>
      </c>
    </row>
    <row r="999" spans="1:27" hidden="1" x14ac:dyDescent="0.25">
      <c r="A999" t="s">
        <v>98</v>
      </c>
      <c r="B999" t="s">
        <v>1199</v>
      </c>
      <c r="D999" t="s">
        <v>100</v>
      </c>
      <c r="E999" t="s">
        <v>439</v>
      </c>
      <c r="F999" t="s">
        <v>460</v>
      </c>
      <c r="G999" t="s">
        <v>103</v>
      </c>
      <c r="H999" t="s">
        <v>104</v>
      </c>
      <c r="I999">
        <v>2022</v>
      </c>
      <c r="J999" t="s">
        <v>463</v>
      </c>
      <c r="K999" t="s">
        <v>106</v>
      </c>
      <c r="L999" t="s">
        <v>1346</v>
      </c>
      <c r="M999" t="s">
        <v>1357</v>
      </c>
      <c r="N999">
        <v>1</v>
      </c>
      <c r="O999">
        <v>2020</v>
      </c>
      <c r="P999">
        <v>619.22047419033993</v>
      </c>
      <c r="Q999">
        <v>19.17492366827851</v>
      </c>
      <c r="R999" t="s">
        <v>109</v>
      </c>
      <c r="S999">
        <v>6.5013006934499016</v>
      </c>
      <c r="T999" t="s">
        <v>110</v>
      </c>
      <c r="U999">
        <v>2.2451328020003118</v>
      </c>
      <c r="V999">
        <v>6118.2987530812006</v>
      </c>
      <c r="W999">
        <v>189.46064682931279</v>
      </c>
      <c r="X999" t="s">
        <v>111</v>
      </c>
      <c r="Y999">
        <v>10</v>
      </c>
      <c r="Z999">
        <v>0.44</v>
      </c>
      <c r="AA999">
        <v>31.536000000000001</v>
      </c>
    </row>
    <row r="1000" spans="1:27" hidden="1" x14ac:dyDescent="0.25">
      <c r="A1000" t="s">
        <v>98</v>
      </c>
      <c r="B1000" t="s">
        <v>1199</v>
      </c>
      <c r="D1000" t="s">
        <v>100</v>
      </c>
      <c r="E1000" t="s">
        <v>439</v>
      </c>
      <c r="F1000" t="s">
        <v>460</v>
      </c>
      <c r="G1000" t="s">
        <v>112</v>
      </c>
      <c r="H1000" t="s">
        <v>104</v>
      </c>
      <c r="I1000">
        <v>2022</v>
      </c>
      <c r="J1000" t="s">
        <v>465</v>
      </c>
      <c r="K1000" t="s">
        <v>106</v>
      </c>
      <c r="L1000" t="s">
        <v>1346</v>
      </c>
      <c r="M1000" t="s">
        <v>1358</v>
      </c>
      <c r="N1000">
        <v>1</v>
      </c>
      <c r="O1000">
        <v>2020</v>
      </c>
      <c r="P1000">
        <v>717.59767919103297</v>
      </c>
      <c r="Q1000">
        <v>19.17492366827851</v>
      </c>
      <c r="R1000" t="s">
        <v>109</v>
      </c>
      <c r="S1000">
        <v>7.1162885968843517</v>
      </c>
      <c r="T1000" t="s">
        <v>110</v>
      </c>
      <c r="U1000">
        <v>2.4575102292165578</v>
      </c>
      <c r="V1000">
        <v>7090.3291619180018</v>
      </c>
      <c r="W1000">
        <v>189.46064682931279</v>
      </c>
      <c r="X1000" t="s">
        <v>111</v>
      </c>
      <c r="Y1000">
        <v>10</v>
      </c>
      <c r="Z1000">
        <v>0.44</v>
      </c>
      <c r="AA1000">
        <v>31.536000000000001</v>
      </c>
    </row>
    <row r="1001" spans="1:27" hidden="1" x14ac:dyDescent="0.25">
      <c r="A1001" t="s">
        <v>98</v>
      </c>
      <c r="B1001" t="s">
        <v>1199</v>
      </c>
      <c r="D1001" t="s">
        <v>100</v>
      </c>
      <c r="E1001" t="s">
        <v>439</v>
      </c>
      <c r="F1001" t="s">
        <v>460</v>
      </c>
      <c r="G1001" t="s">
        <v>103</v>
      </c>
      <c r="H1001" t="s">
        <v>104</v>
      </c>
      <c r="I1001">
        <v>2030</v>
      </c>
      <c r="J1001" t="s">
        <v>467</v>
      </c>
      <c r="K1001" t="s">
        <v>106</v>
      </c>
      <c r="L1001" t="s">
        <v>1346</v>
      </c>
      <c r="M1001" t="s">
        <v>1359</v>
      </c>
      <c r="N1001">
        <v>1</v>
      </c>
      <c r="O1001">
        <v>2030</v>
      </c>
      <c r="P1001">
        <v>520.8323861248623</v>
      </c>
      <c r="Q1001">
        <v>19.17492366827851</v>
      </c>
      <c r="R1001" t="s">
        <v>109</v>
      </c>
      <c r="S1001">
        <v>6.5013006934499016</v>
      </c>
      <c r="T1001" t="s">
        <v>110</v>
      </c>
      <c r="U1001">
        <v>2.2451328020003118</v>
      </c>
      <c r="V1001">
        <v>5146.1608125259299</v>
      </c>
      <c r="W1001">
        <v>189.46064682931279</v>
      </c>
      <c r="X1001" t="s">
        <v>111</v>
      </c>
      <c r="Y1001">
        <v>10</v>
      </c>
      <c r="Z1001">
        <v>0.44</v>
      </c>
      <c r="AA1001">
        <v>31.536000000000001</v>
      </c>
    </row>
    <row r="1002" spans="1:27" hidden="1" x14ac:dyDescent="0.25">
      <c r="A1002" t="s">
        <v>98</v>
      </c>
      <c r="B1002" t="s">
        <v>1199</v>
      </c>
      <c r="D1002" t="s">
        <v>100</v>
      </c>
      <c r="E1002" t="s">
        <v>439</v>
      </c>
      <c r="F1002" t="s">
        <v>460</v>
      </c>
      <c r="G1002" t="s">
        <v>112</v>
      </c>
      <c r="H1002" t="s">
        <v>104</v>
      </c>
      <c r="I1002">
        <v>2030</v>
      </c>
      <c r="J1002" t="s">
        <v>469</v>
      </c>
      <c r="K1002" t="s">
        <v>106</v>
      </c>
      <c r="L1002" t="s">
        <v>1346</v>
      </c>
      <c r="M1002" t="s">
        <v>1360</v>
      </c>
      <c r="N1002">
        <v>1</v>
      </c>
      <c r="O1002">
        <v>2030</v>
      </c>
      <c r="P1002">
        <v>717.59767919103297</v>
      </c>
      <c r="Q1002">
        <v>19.17492366827851</v>
      </c>
      <c r="R1002" t="s">
        <v>109</v>
      </c>
      <c r="S1002">
        <v>7.1162885968843517</v>
      </c>
      <c r="T1002" t="s">
        <v>110</v>
      </c>
      <c r="U1002">
        <v>2.4575102292165578</v>
      </c>
      <c r="V1002">
        <v>7090.3291619180018</v>
      </c>
      <c r="W1002">
        <v>189.46064682931279</v>
      </c>
      <c r="X1002" t="s">
        <v>111</v>
      </c>
      <c r="Y1002">
        <v>10</v>
      </c>
      <c r="Z1002">
        <v>0.44</v>
      </c>
      <c r="AA1002">
        <v>31.536000000000001</v>
      </c>
    </row>
    <row r="1003" spans="1:27" hidden="1" x14ac:dyDescent="0.25">
      <c r="A1003" t="s">
        <v>98</v>
      </c>
      <c r="B1003" t="s">
        <v>1199</v>
      </c>
      <c r="D1003" t="s">
        <v>100</v>
      </c>
      <c r="E1003" t="s">
        <v>439</v>
      </c>
      <c r="F1003" t="s">
        <v>460</v>
      </c>
      <c r="G1003" t="s">
        <v>103</v>
      </c>
      <c r="H1003" t="s">
        <v>104</v>
      </c>
      <c r="I1003">
        <v>2040</v>
      </c>
      <c r="J1003" t="s">
        <v>471</v>
      </c>
      <c r="K1003" t="s">
        <v>106</v>
      </c>
      <c r="L1003" t="s">
        <v>1346</v>
      </c>
      <c r="M1003" t="s">
        <v>1361</v>
      </c>
      <c r="N1003">
        <v>1</v>
      </c>
      <c r="O1003">
        <v>2040</v>
      </c>
      <c r="P1003">
        <v>520.8323861248623</v>
      </c>
      <c r="Q1003">
        <v>19.17492366827851</v>
      </c>
      <c r="R1003" t="s">
        <v>109</v>
      </c>
      <c r="S1003">
        <v>6.5013006934499016</v>
      </c>
      <c r="T1003" t="s">
        <v>110</v>
      </c>
      <c r="U1003">
        <v>2.2451328020003118</v>
      </c>
      <c r="V1003">
        <v>5146.1608125259299</v>
      </c>
      <c r="W1003">
        <v>189.46064682931279</v>
      </c>
      <c r="X1003" t="s">
        <v>111</v>
      </c>
      <c r="Y1003">
        <v>10</v>
      </c>
      <c r="Z1003">
        <v>0.44</v>
      </c>
      <c r="AA1003">
        <v>31.536000000000001</v>
      </c>
    </row>
    <row r="1004" spans="1:27" hidden="1" x14ac:dyDescent="0.25">
      <c r="A1004" t="s">
        <v>98</v>
      </c>
      <c r="B1004" t="s">
        <v>1199</v>
      </c>
      <c r="D1004" t="s">
        <v>100</v>
      </c>
      <c r="E1004" t="s">
        <v>439</v>
      </c>
      <c r="F1004" t="s">
        <v>460</v>
      </c>
      <c r="G1004" t="s">
        <v>112</v>
      </c>
      <c r="H1004" t="s">
        <v>104</v>
      </c>
      <c r="I1004">
        <v>2040</v>
      </c>
      <c r="J1004" t="s">
        <v>473</v>
      </c>
      <c r="K1004" t="s">
        <v>106</v>
      </c>
      <c r="L1004" t="s">
        <v>1346</v>
      </c>
      <c r="M1004" t="s">
        <v>1362</v>
      </c>
      <c r="N1004">
        <v>1</v>
      </c>
      <c r="O1004">
        <v>2040</v>
      </c>
      <c r="P1004">
        <v>717.59767919103297</v>
      </c>
      <c r="Q1004">
        <v>19.17492366827851</v>
      </c>
      <c r="R1004" t="s">
        <v>109</v>
      </c>
      <c r="S1004">
        <v>7.1162885968843517</v>
      </c>
      <c r="T1004" t="s">
        <v>110</v>
      </c>
      <c r="U1004">
        <v>2.4575102292165578</v>
      </c>
      <c r="V1004">
        <v>7090.3291619180018</v>
      </c>
      <c r="W1004">
        <v>189.46064682931279</v>
      </c>
      <c r="X1004" t="s">
        <v>111</v>
      </c>
      <c r="Y1004">
        <v>10</v>
      </c>
      <c r="Z1004">
        <v>0.44</v>
      </c>
      <c r="AA1004">
        <v>31.536000000000001</v>
      </c>
    </row>
    <row r="1005" spans="1:27" hidden="1" x14ac:dyDescent="0.25">
      <c r="A1005" t="s">
        <v>98</v>
      </c>
      <c r="B1005" t="s">
        <v>1199</v>
      </c>
      <c r="D1005" t="s">
        <v>100</v>
      </c>
      <c r="E1005" t="s">
        <v>439</v>
      </c>
      <c r="F1005" t="s">
        <v>460</v>
      </c>
      <c r="G1005" t="s">
        <v>103</v>
      </c>
      <c r="H1005" t="s">
        <v>104</v>
      </c>
      <c r="I1005">
        <v>2050</v>
      </c>
      <c r="J1005" t="s">
        <v>475</v>
      </c>
      <c r="K1005" t="s">
        <v>106</v>
      </c>
      <c r="L1005" t="s">
        <v>1346</v>
      </c>
      <c r="M1005" t="s">
        <v>1363</v>
      </c>
      <c r="N1005">
        <v>1</v>
      </c>
      <c r="O1005">
        <v>2050</v>
      </c>
      <c r="P1005">
        <v>520.8323861248623</v>
      </c>
      <c r="Q1005">
        <v>19.17492366827851</v>
      </c>
      <c r="R1005" t="s">
        <v>109</v>
      </c>
      <c r="S1005">
        <v>6.5013006934499016</v>
      </c>
      <c r="T1005" t="s">
        <v>110</v>
      </c>
      <c r="U1005">
        <v>2.2451328020003118</v>
      </c>
      <c r="V1005">
        <v>5146.1608125259299</v>
      </c>
      <c r="W1005">
        <v>189.46064682931279</v>
      </c>
      <c r="X1005" t="s">
        <v>111</v>
      </c>
      <c r="Y1005">
        <v>10</v>
      </c>
      <c r="Z1005">
        <v>0.44</v>
      </c>
      <c r="AA1005">
        <v>31.536000000000001</v>
      </c>
    </row>
    <row r="1006" spans="1:27" hidden="1" x14ac:dyDescent="0.25">
      <c r="A1006" t="s">
        <v>98</v>
      </c>
      <c r="B1006" t="s">
        <v>1199</v>
      </c>
      <c r="D1006" t="s">
        <v>100</v>
      </c>
      <c r="E1006" t="s">
        <v>439</v>
      </c>
      <c r="F1006" t="s">
        <v>460</v>
      </c>
      <c r="G1006" t="s">
        <v>112</v>
      </c>
      <c r="H1006" t="s">
        <v>104</v>
      </c>
      <c r="I1006">
        <v>2050</v>
      </c>
      <c r="J1006" t="s">
        <v>477</v>
      </c>
      <c r="K1006" t="s">
        <v>106</v>
      </c>
      <c r="L1006" t="s">
        <v>1346</v>
      </c>
      <c r="M1006" t="s">
        <v>1364</v>
      </c>
      <c r="N1006">
        <v>1</v>
      </c>
      <c r="O1006">
        <v>2050</v>
      </c>
      <c r="P1006">
        <v>717.59767919103297</v>
      </c>
      <c r="Q1006">
        <v>19.17492366827851</v>
      </c>
      <c r="R1006" t="s">
        <v>109</v>
      </c>
      <c r="S1006">
        <v>7.1162885968843517</v>
      </c>
      <c r="T1006" t="s">
        <v>110</v>
      </c>
      <c r="U1006">
        <v>2.4575102292165578</v>
      </c>
      <c r="V1006">
        <v>7090.3291619180018</v>
      </c>
      <c r="W1006">
        <v>189.46064682931279</v>
      </c>
      <c r="X1006" t="s">
        <v>111</v>
      </c>
      <c r="Y1006">
        <v>10</v>
      </c>
      <c r="Z1006">
        <v>0.44</v>
      </c>
      <c r="AA1006">
        <v>31.536000000000001</v>
      </c>
    </row>
    <row r="1007" spans="1:27" hidden="1" x14ac:dyDescent="0.25">
      <c r="A1007" t="s">
        <v>98</v>
      </c>
      <c r="B1007" t="s">
        <v>1199</v>
      </c>
      <c r="D1007" t="s">
        <v>100</v>
      </c>
      <c r="E1007" t="s">
        <v>439</v>
      </c>
      <c r="F1007" t="s">
        <v>479</v>
      </c>
      <c r="G1007" t="s">
        <v>245</v>
      </c>
      <c r="H1007" t="s">
        <v>104</v>
      </c>
      <c r="I1007">
        <v>2022</v>
      </c>
      <c r="J1007" t="s">
        <v>480</v>
      </c>
      <c r="K1007" t="s">
        <v>106</v>
      </c>
      <c r="L1007" t="s">
        <v>1346</v>
      </c>
      <c r="M1007" t="s">
        <v>1365</v>
      </c>
      <c r="N1007">
        <v>1</v>
      </c>
      <c r="O1007">
        <v>2020</v>
      </c>
      <c r="P1007">
        <v>1625.561814955347</v>
      </c>
      <c r="Q1007">
        <v>83.737016934227881</v>
      </c>
      <c r="R1007" t="s">
        <v>109</v>
      </c>
      <c r="S1007">
        <v>3.1167552571169028</v>
      </c>
      <c r="T1007" t="s">
        <v>110</v>
      </c>
      <c r="U1007">
        <v>1.0763276140434681</v>
      </c>
      <c r="V1007">
        <v>16061.60203036269</v>
      </c>
      <c r="W1007">
        <v>827.37588250020144</v>
      </c>
      <c r="X1007" t="s">
        <v>111</v>
      </c>
      <c r="Y1007">
        <v>10</v>
      </c>
      <c r="Z1007">
        <v>0.44</v>
      </c>
      <c r="AA1007">
        <v>31.536000000000001</v>
      </c>
    </row>
    <row r="1008" spans="1:27" hidden="1" x14ac:dyDescent="0.25">
      <c r="A1008" t="s">
        <v>98</v>
      </c>
      <c r="B1008" t="s">
        <v>1199</v>
      </c>
      <c r="D1008" t="s">
        <v>100</v>
      </c>
      <c r="E1008" t="s">
        <v>439</v>
      </c>
      <c r="F1008" t="s">
        <v>479</v>
      </c>
      <c r="G1008" t="s">
        <v>103</v>
      </c>
      <c r="H1008" t="s">
        <v>104</v>
      </c>
      <c r="I1008">
        <v>2022</v>
      </c>
      <c r="J1008" t="s">
        <v>482</v>
      </c>
      <c r="K1008" t="s">
        <v>106</v>
      </c>
      <c r="L1008" t="s">
        <v>1346</v>
      </c>
      <c r="M1008" t="s">
        <v>1366</v>
      </c>
      <c r="N1008">
        <v>1</v>
      </c>
      <c r="O1008">
        <v>2020</v>
      </c>
      <c r="P1008">
        <v>1649.1429636040691</v>
      </c>
      <c r="Q1008">
        <v>83.737016934227881</v>
      </c>
      <c r="R1008" t="s">
        <v>109</v>
      </c>
      <c r="S1008">
        <v>4.464541314248538</v>
      </c>
      <c r="T1008" t="s">
        <v>110</v>
      </c>
      <c r="U1008">
        <v>1.541766582278481</v>
      </c>
      <c r="V1008">
        <v>16294.59902963399</v>
      </c>
      <c r="W1008">
        <v>827.37588250020167</v>
      </c>
      <c r="X1008" t="s">
        <v>111</v>
      </c>
      <c r="Y1008">
        <v>10</v>
      </c>
      <c r="Z1008">
        <v>0.44</v>
      </c>
      <c r="AA1008">
        <v>31.536000000000001</v>
      </c>
    </row>
    <row r="1009" spans="1:27" hidden="1" x14ac:dyDescent="0.25">
      <c r="A1009" t="s">
        <v>98</v>
      </c>
      <c r="B1009" t="s">
        <v>1199</v>
      </c>
      <c r="D1009" t="s">
        <v>100</v>
      </c>
      <c r="E1009" t="s">
        <v>439</v>
      </c>
      <c r="F1009" t="s">
        <v>479</v>
      </c>
      <c r="G1009" t="s">
        <v>112</v>
      </c>
      <c r="H1009" t="s">
        <v>104</v>
      </c>
      <c r="I1009">
        <v>2022</v>
      </c>
      <c r="J1009" t="s">
        <v>484</v>
      </c>
      <c r="K1009" t="s">
        <v>106</v>
      </c>
      <c r="L1009" t="s">
        <v>1346</v>
      </c>
      <c r="M1009" t="s">
        <v>1367</v>
      </c>
      <c r="N1009">
        <v>1</v>
      </c>
      <c r="O1009">
        <v>2020</v>
      </c>
      <c r="P1009">
        <v>1758.024723094816</v>
      </c>
      <c r="Q1009">
        <v>83.737016934227881</v>
      </c>
      <c r="R1009" t="s">
        <v>109</v>
      </c>
      <c r="S1009">
        <v>7.4409021904142287</v>
      </c>
      <c r="T1009" t="s">
        <v>110</v>
      </c>
      <c r="U1009">
        <v>2.5696109704641348</v>
      </c>
      <c r="V1009">
        <v>17370.421230436659</v>
      </c>
      <c r="W1009">
        <v>827.37588250020167</v>
      </c>
      <c r="X1009" t="s">
        <v>111</v>
      </c>
      <c r="Y1009">
        <v>10</v>
      </c>
      <c r="Z1009">
        <v>0.44</v>
      </c>
      <c r="AA1009">
        <v>31.536000000000001</v>
      </c>
    </row>
    <row r="1010" spans="1:27" hidden="1" x14ac:dyDescent="0.25">
      <c r="A1010" t="s">
        <v>98</v>
      </c>
      <c r="B1010" t="s">
        <v>1199</v>
      </c>
      <c r="D1010" t="s">
        <v>100</v>
      </c>
      <c r="E1010" t="s">
        <v>439</v>
      </c>
      <c r="F1010" t="s">
        <v>479</v>
      </c>
      <c r="G1010" t="s">
        <v>219</v>
      </c>
      <c r="H1010" t="s">
        <v>104</v>
      </c>
      <c r="I1010">
        <v>2022</v>
      </c>
      <c r="J1010" t="s">
        <v>486</v>
      </c>
      <c r="K1010" t="s">
        <v>106</v>
      </c>
      <c r="L1010" t="s">
        <v>1346</v>
      </c>
      <c r="M1010" t="s">
        <v>1368</v>
      </c>
      <c r="N1010">
        <v>1</v>
      </c>
      <c r="O1010">
        <v>2020</v>
      </c>
      <c r="P1010">
        <v>1758.024723094816</v>
      </c>
      <c r="Q1010">
        <v>84.189649458196669</v>
      </c>
      <c r="R1010" t="s">
        <v>109</v>
      </c>
      <c r="S1010">
        <v>7.4409021904142287</v>
      </c>
      <c r="T1010" t="s">
        <v>110</v>
      </c>
      <c r="U1010">
        <v>2.5696109704641348</v>
      </c>
      <c r="V1010">
        <v>17370.421230436659</v>
      </c>
      <c r="W1010">
        <v>831.8481845677702</v>
      </c>
      <c r="X1010" t="s">
        <v>111</v>
      </c>
      <c r="Y1010">
        <v>10</v>
      </c>
      <c r="Z1010">
        <v>0.44</v>
      </c>
      <c r="AA1010">
        <v>31.536000000000001</v>
      </c>
    </row>
    <row r="1011" spans="1:27" hidden="1" x14ac:dyDescent="0.25">
      <c r="A1011" t="s">
        <v>98</v>
      </c>
      <c r="B1011" t="s">
        <v>1199</v>
      </c>
      <c r="D1011" t="s">
        <v>100</v>
      </c>
      <c r="E1011" t="s">
        <v>439</v>
      </c>
      <c r="F1011" t="s">
        <v>479</v>
      </c>
      <c r="G1011" t="s">
        <v>103</v>
      </c>
      <c r="H1011" t="s">
        <v>104</v>
      </c>
      <c r="I1011">
        <v>2030</v>
      </c>
      <c r="J1011" t="s">
        <v>488</v>
      </c>
      <c r="K1011" t="s">
        <v>106</v>
      </c>
      <c r="L1011" t="s">
        <v>1346</v>
      </c>
      <c r="M1011" t="s">
        <v>1369</v>
      </c>
      <c r="N1011">
        <v>1</v>
      </c>
      <c r="O1011">
        <v>2030</v>
      </c>
      <c r="P1011">
        <v>1649.1429636040691</v>
      </c>
      <c r="Q1011">
        <v>83.737016934227881</v>
      </c>
      <c r="R1011" t="s">
        <v>109</v>
      </c>
      <c r="S1011">
        <v>4.464541314248538</v>
      </c>
      <c r="T1011" t="s">
        <v>110</v>
      </c>
      <c r="U1011">
        <v>1.541766582278481</v>
      </c>
      <c r="V1011">
        <v>16294.59902963399</v>
      </c>
      <c r="W1011">
        <v>827.37588250020167</v>
      </c>
      <c r="X1011" t="s">
        <v>111</v>
      </c>
      <c r="Y1011">
        <v>10</v>
      </c>
      <c r="Z1011">
        <v>0.44</v>
      </c>
      <c r="AA1011">
        <v>31.536000000000001</v>
      </c>
    </row>
    <row r="1012" spans="1:27" hidden="1" x14ac:dyDescent="0.25">
      <c r="A1012" t="s">
        <v>98</v>
      </c>
      <c r="B1012" t="s">
        <v>1199</v>
      </c>
      <c r="D1012" t="s">
        <v>100</v>
      </c>
      <c r="E1012" t="s">
        <v>439</v>
      </c>
      <c r="F1012" t="s">
        <v>479</v>
      </c>
      <c r="G1012" t="s">
        <v>112</v>
      </c>
      <c r="H1012" t="s">
        <v>104</v>
      </c>
      <c r="I1012">
        <v>2030</v>
      </c>
      <c r="J1012" t="s">
        <v>490</v>
      </c>
      <c r="K1012" t="s">
        <v>106</v>
      </c>
      <c r="L1012" t="s">
        <v>1346</v>
      </c>
      <c r="M1012" t="s">
        <v>1370</v>
      </c>
      <c r="N1012">
        <v>1</v>
      </c>
      <c r="O1012">
        <v>2030</v>
      </c>
      <c r="P1012">
        <v>1758.024723094816</v>
      </c>
      <c r="Q1012">
        <v>83.737016934227881</v>
      </c>
      <c r="R1012" t="s">
        <v>109</v>
      </c>
      <c r="S1012">
        <v>7.4409021904142287</v>
      </c>
      <c r="T1012" t="s">
        <v>110</v>
      </c>
      <c r="U1012">
        <v>2.5696109704641348</v>
      </c>
      <c r="V1012">
        <v>17370.421230436659</v>
      </c>
      <c r="W1012">
        <v>827.37588250020167</v>
      </c>
      <c r="X1012" t="s">
        <v>111</v>
      </c>
      <c r="Y1012">
        <v>10</v>
      </c>
      <c r="Z1012">
        <v>0.44</v>
      </c>
      <c r="AA1012">
        <v>31.536000000000001</v>
      </c>
    </row>
    <row r="1013" spans="1:27" hidden="1" x14ac:dyDescent="0.25">
      <c r="A1013" t="s">
        <v>98</v>
      </c>
      <c r="B1013" t="s">
        <v>1199</v>
      </c>
      <c r="D1013" t="s">
        <v>100</v>
      </c>
      <c r="E1013" t="s">
        <v>439</v>
      </c>
      <c r="F1013" t="s">
        <v>479</v>
      </c>
      <c r="G1013" t="s">
        <v>103</v>
      </c>
      <c r="H1013" t="s">
        <v>104</v>
      </c>
      <c r="I1013">
        <v>2040</v>
      </c>
      <c r="J1013" t="s">
        <v>492</v>
      </c>
      <c r="K1013" t="s">
        <v>106</v>
      </c>
      <c r="L1013" t="s">
        <v>1346</v>
      </c>
      <c r="M1013" t="s">
        <v>1371</v>
      </c>
      <c r="N1013">
        <v>1</v>
      </c>
      <c r="O1013">
        <v>2040</v>
      </c>
      <c r="P1013">
        <v>1649.1429636040691</v>
      </c>
      <c r="Q1013">
        <v>83.737016934227881</v>
      </c>
      <c r="R1013" t="s">
        <v>109</v>
      </c>
      <c r="S1013">
        <v>4.464541314248538</v>
      </c>
      <c r="T1013" t="s">
        <v>110</v>
      </c>
      <c r="U1013">
        <v>1.541766582278481</v>
      </c>
      <c r="V1013">
        <v>16294.59902963399</v>
      </c>
      <c r="W1013">
        <v>827.37588250020167</v>
      </c>
      <c r="X1013" t="s">
        <v>111</v>
      </c>
      <c r="Y1013">
        <v>10</v>
      </c>
      <c r="Z1013">
        <v>0.44</v>
      </c>
      <c r="AA1013">
        <v>31.536000000000001</v>
      </c>
    </row>
    <row r="1014" spans="1:27" hidden="1" x14ac:dyDescent="0.25">
      <c r="A1014" t="s">
        <v>98</v>
      </c>
      <c r="B1014" t="s">
        <v>1199</v>
      </c>
      <c r="D1014" t="s">
        <v>100</v>
      </c>
      <c r="E1014" t="s">
        <v>439</v>
      </c>
      <c r="F1014" t="s">
        <v>479</v>
      </c>
      <c r="G1014" t="s">
        <v>112</v>
      </c>
      <c r="H1014" t="s">
        <v>104</v>
      </c>
      <c r="I1014">
        <v>2040</v>
      </c>
      <c r="J1014" t="s">
        <v>494</v>
      </c>
      <c r="K1014" t="s">
        <v>106</v>
      </c>
      <c r="L1014" t="s">
        <v>1346</v>
      </c>
      <c r="M1014" t="s">
        <v>1372</v>
      </c>
      <c r="N1014">
        <v>1</v>
      </c>
      <c r="O1014">
        <v>2040</v>
      </c>
      <c r="P1014">
        <v>1758.024723094816</v>
      </c>
      <c r="Q1014">
        <v>83.737016934227881</v>
      </c>
      <c r="R1014" t="s">
        <v>109</v>
      </c>
      <c r="S1014">
        <v>7.4409021904142287</v>
      </c>
      <c r="T1014" t="s">
        <v>110</v>
      </c>
      <c r="U1014">
        <v>2.5696109704641348</v>
      </c>
      <c r="V1014">
        <v>17370.421230436659</v>
      </c>
      <c r="W1014">
        <v>827.37588250020167</v>
      </c>
      <c r="X1014" t="s">
        <v>111</v>
      </c>
      <c r="Y1014">
        <v>10</v>
      </c>
      <c r="Z1014">
        <v>0.44</v>
      </c>
      <c r="AA1014">
        <v>31.536000000000001</v>
      </c>
    </row>
    <row r="1015" spans="1:27" hidden="1" x14ac:dyDescent="0.25">
      <c r="A1015" t="s">
        <v>98</v>
      </c>
      <c r="B1015" t="s">
        <v>1199</v>
      </c>
      <c r="D1015" t="s">
        <v>100</v>
      </c>
      <c r="E1015" t="s">
        <v>439</v>
      </c>
      <c r="F1015" t="s">
        <v>479</v>
      </c>
      <c r="G1015" t="s">
        <v>112</v>
      </c>
      <c r="H1015" t="s">
        <v>104</v>
      </c>
      <c r="I1015">
        <v>2025</v>
      </c>
      <c r="J1015" t="s">
        <v>496</v>
      </c>
      <c r="K1015" t="s">
        <v>106</v>
      </c>
      <c r="L1015" t="s">
        <v>1346</v>
      </c>
      <c r="M1015" t="s">
        <v>1373</v>
      </c>
      <c r="N1015">
        <v>1</v>
      </c>
      <c r="O1015">
        <v>2025</v>
      </c>
      <c r="P1015">
        <v>1758.024723094816</v>
      </c>
      <c r="Q1015">
        <v>83.737016934227881</v>
      </c>
      <c r="R1015" t="s">
        <v>109</v>
      </c>
      <c r="S1015">
        <v>7.4409021904142287</v>
      </c>
      <c r="T1015" t="s">
        <v>110</v>
      </c>
      <c r="U1015">
        <v>2.5696109704641348</v>
      </c>
      <c r="V1015">
        <v>17370.421230436659</v>
      </c>
      <c r="W1015">
        <v>827.37588250020167</v>
      </c>
      <c r="X1015" t="s">
        <v>111</v>
      </c>
      <c r="Y1015">
        <v>10</v>
      </c>
      <c r="Z1015">
        <v>0.44</v>
      </c>
      <c r="AA1015">
        <v>31.536000000000001</v>
      </c>
    </row>
    <row r="1016" spans="1:27" hidden="1" x14ac:dyDescent="0.25">
      <c r="A1016" t="s">
        <v>98</v>
      </c>
      <c r="B1016" t="s">
        <v>1199</v>
      </c>
      <c r="D1016" t="s">
        <v>100</v>
      </c>
      <c r="E1016" t="s">
        <v>101</v>
      </c>
      <c r="F1016" t="s">
        <v>102</v>
      </c>
      <c r="G1016" t="s">
        <v>103</v>
      </c>
      <c r="H1016" t="s">
        <v>104</v>
      </c>
      <c r="I1016">
        <v>2061</v>
      </c>
      <c r="J1016" t="s">
        <v>105</v>
      </c>
      <c r="K1016" t="s">
        <v>106</v>
      </c>
      <c r="L1016" t="s">
        <v>1200</v>
      </c>
      <c r="M1016" t="s">
        <v>1201</v>
      </c>
      <c r="N1016">
        <v>0</v>
      </c>
      <c r="O1016">
        <v>2061</v>
      </c>
      <c r="P1016">
        <v>117.0584711706526</v>
      </c>
      <c r="Q1016">
        <v>4.2000145906136934</v>
      </c>
      <c r="R1016" t="s">
        <v>109</v>
      </c>
      <c r="S1016">
        <v>3.3</v>
      </c>
      <c r="T1016" t="s">
        <v>110</v>
      </c>
      <c r="U1016">
        <v>3.3</v>
      </c>
      <c r="V1016">
        <v>399.42017862788401</v>
      </c>
      <c r="W1016">
        <v>14.33104807576899</v>
      </c>
      <c r="X1016" t="s">
        <v>111</v>
      </c>
      <c r="Y1016">
        <v>21</v>
      </c>
      <c r="Z1016">
        <v>0.37802164273770222</v>
      </c>
      <c r="AA1016">
        <v>31.536000000000001</v>
      </c>
    </row>
    <row r="1017" spans="1:27" hidden="1" x14ac:dyDescent="0.25">
      <c r="A1017" t="s">
        <v>498</v>
      </c>
      <c r="M1017" t="s">
        <v>498</v>
      </c>
      <c r="N1017" t="s">
        <v>498</v>
      </c>
    </row>
    <row r="1018" spans="1:27" hidden="1" x14ac:dyDescent="0.25">
      <c r="A1018" t="s">
        <v>98</v>
      </c>
      <c r="B1018" t="s">
        <v>1374</v>
      </c>
      <c r="D1018" t="s">
        <v>100</v>
      </c>
      <c r="E1018" t="s">
        <v>101</v>
      </c>
      <c r="F1018" t="s">
        <v>102</v>
      </c>
      <c r="G1018" t="s">
        <v>112</v>
      </c>
      <c r="H1018" t="s">
        <v>104</v>
      </c>
      <c r="I1018">
        <v>2022</v>
      </c>
      <c r="J1018" t="s">
        <v>113</v>
      </c>
      <c r="K1018" t="s">
        <v>106</v>
      </c>
      <c r="L1018" t="s">
        <v>1375</v>
      </c>
      <c r="M1018" t="s">
        <v>1376</v>
      </c>
      <c r="N1018">
        <v>1</v>
      </c>
      <c r="O1018">
        <v>2020</v>
      </c>
      <c r="P1018">
        <v>200.7885700942916</v>
      </c>
      <c r="Q1018">
        <v>4.2000145906136934</v>
      </c>
      <c r="R1018" t="s">
        <v>109</v>
      </c>
      <c r="S1018">
        <v>3.7</v>
      </c>
      <c r="T1018" t="s">
        <v>110</v>
      </c>
      <c r="U1018">
        <v>3.7</v>
      </c>
      <c r="V1018">
        <v>685.1192035182313</v>
      </c>
      <c r="W1018">
        <v>14.33104807576899</v>
      </c>
      <c r="X1018" t="s">
        <v>111</v>
      </c>
      <c r="Y1018">
        <v>21</v>
      </c>
      <c r="Z1018">
        <v>0.22779524453645689</v>
      </c>
      <c r="AA1018">
        <v>31.536000000000001</v>
      </c>
    </row>
    <row r="1019" spans="1:27" hidden="1" x14ac:dyDescent="0.25">
      <c r="A1019" t="s">
        <v>98</v>
      </c>
      <c r="B1019" t="s">
        <v>1374</v>
      </c>
      <c r="D1019" t="s">
        <v>100</v>
      </c>
      <c r="E1019" t="s">
        <v>101</v>
      </c>
      <c r="F1019" t="s">
        <v>102</v>
      </c>
      <c r="G1019" t="s">
        <v>103</v>
      </c>
      <c r="H1019" t="s">
        <v>104</v>
      </c>
      <c r="I1019">
        <v>2023</v>
      </c>
      <c r="J1019" t="s">
        <v>115</v>
      </c>
      <c r="K1019" t="s">
        <v>106</v>
      </c>
      <c r="L1019" t="s">
        <v>1375</v>
      </c>
      <c r="M1019" t="s">
        <v>1377</v>
      </c>
      <c r="N1019">
        <v>1</v>
      </c>
      <c r="O1019">
        <v>2023</v>
      </c>
      <c r="P1019">
        <v>135.73557542199771</v>
      </c>
      <c r="Q1019">
        <v>4.2000145906136934</v>
      </c>
      <c r="R1019" t="s">
        <v>109</v>
      </c>
      <c r="S1019">
        <v>3.4</v>
      </c>
      <c r="T1019" t="s">
        <v>110</v>
      </c>
      <c r="U1019">
        <v>3.4</v>
      </c>
      <c r="V1019">
        <v>463.14911888927151</v>
      </c>
      <c r="W1019">
        <v>14.33104807576899</v>
      </c>
      <c r="X1019" t="s">
        <v>111</v>
      </c>
      <c r="Y1019">
        <v>21</v>
      </c>
      <c r="Z1019">
        <v>0.22779524453645689</v>
      </c>
      <c r="AA1019">
        <v>31.536000000000001</v>
      </c>
    </row>
    <row r="1020" spans="1:27" hidden="1" x14ac:dyDescent="0.25">
      <c r="A1020" t="s">
        <v>98</v>
      </c>
      <c r="B1020" t="s">
        <v>1374</v>
      </c>
      <c r="D1020" t="s">
        <v>100</v>
      </c>
      <c r="E1020" t="s">
        <v>101</v>
      </c>
      <c r="F1020" t="s">
        <v>117</v>
      </c>
      <c r="G1020" t="s">
        <v>103</v>
      </c>
      <c r="H1020" t="s">
        <v>104</v>
      </c>
      <c r="I1020">
        <v>2033</v>
      </c>
      <c r="J1020" t="s">
        <v>118</v>
      </c>
      <c r="K1020" t="s">
        <v>106</v>
      </c>
      <c r="L1020" t="s">
        <v>1375</v>
      </c>
      <c r="M1020" t="s">
        <v>1378</v>
      </c>
      <c r="N1020">
        <v>1</v>
      </c>
      <c r="O1020">
        <v>2033</v>
      </c>
      <c r="P1020">
        <v>483.9331327692995</v>
      </c>
      <c r="Q1020">
        <v>3.810497108419681</v>
      </c>
      <c r="R1020" t="s">
        <v>109</v>
      </c>
      <c r="S1020">
        <v>3.7</v>
      </c>
      <c r="T1020" t="s">
        <v>110</v>
      </c>
      <c r="U1020">
        <v>3.7</v>
      </c>
      <c r="V1020">
        <v>1651.2487853431401</v>
      </c>
      <c r="W1020">
        <v>13.00195893970977</v>
      </c>
      <c r="X1020" t="s">
        <v>111</v>
      </c>
      <c r="Y1020">
        <v>14.4</v>
      </c>
      <c r="Z1020">
        <v>0.22779524453645689</v>
      </c>
      <c r="AA1020">
        <v>31.536000000000001</v>
      </c>
    </row>
    <row r="1021" spans="1:27" hidden="1" x14ac:dyDescent="0.25">
      <c r="A1021" t="s">
        <v>98</v>
      </c>
      <c r="B1021" t="s">
        <v>1374</v>
      </c>
      <c r="D1021" t="s">
        <v>100</v>
      </c>
      <c r="E1021" t="s">
        <v>101</v>
      </c>
      <c r="F1021" t="s">
        <v>117</v>
      </c>
      <c r="G1021" t="s">
        <v>67</v>
      </c>
      <c r="H1021" t="s">
        <v>104</v>
      </c>
      <c r="I1021">
        <v>2033</v>
      </c>
      <c r="J1021" t="s">
        <v>120</v>
      </c>
      <c r="K1021" t="s">
        <v>106</v>
      </c>
      <c r="L1021" t="s">
        <v>1375</v>
      </c>
      <c r="M1021" t="s">
        <v>1379</v>
      </c>
      <c r="N1021">
        <v>1</v>
      </c>
      <c r="O1021">
        <v>2033</v>
      </c>
      <c r="P1021">
        <v>497.90495550017158</v>
      </c>
      <c r="Q1021">
        <v>3.810497108419681</v>
      </c>
      <c r="R1021" t="s">
        <v>109</v>
      </c>
      <c r="S1021">
        <v>3.8</v>
      </c>
      <c r="T1021" t="s">
        <v>110</v>
      </c>
      <c r="U1021">
        <v>3.8</v>
      </c>
      <c r="V1021">
        <v>1698.9226347887429</v>
      </c>
      <c r="W1021">
        <v>13.00195893970977</v>
      </c>
      <c r="X1021" t="s">
        <v>111</v>
      </c>
      <c r="Y1021">
        <v>14.4</v>
      </c>
      <c r="Z1021">
        <v>0.22779524453645689</v>
      </c>
      <c r="AA1021">
        <v>31.536000000000001</v>
      </c>
    </row>
    <row r="1022" spans="1:27" hidden="1" x14ac:dyDescent="0.25">
      <c r="A1022" t="s">
        <v>98</v>
      </c>
      <c r="B1022" t="s">
        <v>1374</v>
      </c>
      <c r="D1022" t="s">
        <v>100</v>
      </c>
      <c r="E1022" t="s">
        <v>101</v>
      </c>
      <c r="F1022" t="s">
        <v>117</v>
      </c>
      <c r="G1022" t="s">
        <v>112</v>
      </c>
      <c r="H1022" t="s">
        <v>104</v>
      </c>
      <c r="I1022">
        <v>2033</v>
      </c>
      <c r="J1022" t="s">
        <v>122</v>
      </c>
      <c r="K1022" t="s">
        <v>106</v>
      </c>
      <c r="L1022" t="s">
        <v>1375</v>
      </c>
      <c r="M1022" t="s">
        <v>1380</v>
      </c>
      <c r="N1022">
        <v>1</v>
      </c>
      <c r="O1022">
        <v>2033</v>
      </c>
      <c r="P1022">
        <v>513.14694393385037</v>
      </c>
      <c r="Q1022">
        <v>3.810497108419681</v>
      </c>
      <c r="R1022" t="s">
        <v>109</v>
      </c>
      <c r="S1022">
        <v>4</v>
      </c>
      <c r="T1022" t="s">
        <v>110</v>
      </c>
      <c r="U1022">
        <v>4</v>
      </c>
      <c r="V1022">
        <v>1750.930470547582</v>
      </c>
      <c r="W1022">
        <v>13.00195893970977</v>
      </c>
      <c r="X1022" t="s">
        <v>111</v>
      </c>
      <c r="Y1022">
        <v>14.4</v>
      </c>
      <c r="Z1022">
        <v>0.22779524453645689</v>
      </c>
      <c r="AA1022">
        <v>31.536000000000001</v>
      </c>
    </row>
    <row r="1023" spans="1:27" hidden="1" x14ac:dyDescent="0.25">
      <c r="A1023" t="s">
        <v>98</v>
      </c>
      <c r="B1023" t="s">
        <v>1374</v>
      </c>
      <c r="D1023" t="s">
        <v>100</v>
      </c>
      <c r="E1023" t="s">
        <v>101</v>
      </c>
      <c r="F1023" t="s">
        <v>117</v>
      </c>
      <c r="G1023" t="s">
        <v>103</v>
      </c>
      <c r="H1023" t="s">
        <v>104</v>
      </c>
      <c r="I1023">
        <v>2023</v>
      </c>
      <c r="J1023" t="s">
        <v>124</v>
      </c>
      <c r="K1023" t="s">
        <v>106</v>
      </c>
      <c r="L1023" t="s">
        <v>1375</v>
      </c>
      <c r="M1023" t="s">
        <v>1381</v>
      </c>
      <c r="N1023">
        <v>1</v>
      </c>
      <c r="O1023">
        <v>2023</v>
      </c>
      <c r="P1023">
        <v>483.9331327692995</v>
      </c>
      <c r="Q1023">
        <v>3.810497108419681</v>
      </c>
      <c r="R1023" t="s">
        <v>109</v>
      </c>
      <c r="S1023">
        <v>3.7</v>
      </c>
      <c r="T1023" t="s">
        <v>110</v>
      </c>
      <c r="U1023">
        <v>3.7</v>
      </c>
      <c r="V1023">
        <v>1651.2487853431401</v>
      </c>
      <c r="W1023">
        <v>13.00195893970977</v>
      </c>
      <c r="X1023" t="s">
        <v>111</v>
      </c>
      <c r="Y1023">
        <v>14.4</v>
      </c>
      <c r="Z1023">
        <v>0.22779524453645689</v>
      </c>
      <c r="AA1023">
        <v>31.536000000000001</v>
      </c>
    </row>
    <row r="1024" spans="1:27" hidden="1" x14ac:dyDescent="0.25">
      <c r="A1024" t="s">
        <v>98</v>
      </c>
      <c r="B1024" t="s">
        <v>1374</v>
      </c>
      <c r="D1024" t="s">
        <v>100</v>
      </c>
      <c r="E1024" t="s">
        <v>101</v>
      </c>
      <c r="F1024" t="s">
        <v>117</v>
      </c>
      <c r="G1024" t="s">
        <v>67</v>
      </c>
      <c r="H1024" t="s">
        <v>104</v>
      </c>
      <c r="I1024">
        <v>2023</v>
      </c>
      <c r="J1024" t="s">
        <v>126</v>
      </c>
      <c r="K1024" t="s">
        <v>106</v>
      </c>
      <c r="L1024" t="s">
        <v>1375</v>
      </c>
      <c r="M1024" t="s">
        <v>1382</v>
      </c>
      <c r="N1024">
        <v>1</v>
      </c>
      <c r="O1024">
        <v>2023</v>
      </c>
      <c r="P1024">
        <v>497.90495550017158</v>
      </c>
      <c r="Q1024">
        <v>3.810497108419681</v>
      </c>
      <c r="R1024" t="s">
        <v>109</v>
      </c>
      <c r="S1024">
        <v>3.8</v>
      </c>
      <c r="T1024" t="s">
        <v>110</v>
      </c>
      <c r="U1024">
        <v>3.8</v>
      </c>
      <c r="V1024">
        <v>1698.9226347887429</v>
      </c>
      <c r="W1024">
        <v>13.00195893970977</v>
      </c>
      <c r="X1024" t="s">
        <v>111</v>
      </c>
      <c r="Y1024">
        <v>14.4</v>
      </c>
      <c r="Z1024">
        <v>0.22779524453645689</v>
      </c>
      <c r="AA1024">
        <v>31.536000000000001</v>
      </c>
    </row>
    <row r="1025" spans="1:27" hidden="1" x14ac:dyDescent="0.25">
      <c r="A1025" t="s">
        <v>98</v>
      </c>
      <c r="B1025" t="s">
        <v>1374</v>
      </c>
      <c r="D1025" t="s">
        <v>100</v>
      </c>
      <c r="E1025" t="s">
        <v>101</v>
      </c>
      <c r="F1025" t="s">
        <v>117</v>
      </c>
      <c r="G1025" t="s">
        <v>112</v>
      </c>
      <c r="H1025" t="s">
        <v>104</v>
      </c>
      <c r="I1025">
        <v>2023</v>
      </c>
      <c r="J1025" t="s">
        <v>128</v>
      </c>
      <c r="K1025" t="s">
        <v>106</v>
      </c>
      <c r="L1025" t="s">
        <v>1375</v>
      </c>
      <c r="M1025" t="s">
        <v>1383</v>
      </c>
      <c r="N1025">
        <v>1</v>
      </c>
      <c r="O1025">
        <v>2023</v>
      </c>
      <c r="P1025">
        <v>513.14694393385037</v>
      </c>
      <c r="Q1025">
        <v>3.810497108419681</v>
      </c>
      <c r="R1025" t="s">
        <v>109</v>
      </c>
      <c r="S1025">
        <v>4</v>
      </c>
      <c r="T1025" t="s">
        <v>110</v>
      </c>
      <c r="U1025">
        <v>4</v>
      </c>
      <c r="V1025">
        <v>1750.930470547582</v>
      </c>
      <c r="W1025">
        <v>13.00195893970977</v>
      </c>
      <c r="X1025" t="s">
        <v>111</v>
      </c>
      <c r="Y1025">
        <v>14.4</v>
      </c>
      <c r="Z1025">
        <v>0.22779524453645689</v>
      </c>
      <c r="AA1025">
        <v>31.536000000000001</v>
      </c>
    </row>
    <row r="1026" spans="1:27" hidden="1" x14ac:dyDescent="0.25">
      <c r="A1026" t="s">
        <v>98</v>
      </c>
      <c r="B1026" t="s">
        <v>1374</v>
      </c>
      <c r="D1026" t="s">
        <v>100</v>
      </c>
      <c r="E1026" t="s">
        <v>101</v>
      </c>
      <c r="F1026" t="s">
        <v>130</v>
      </c>
      <c r="G1026" t="s">
        <v>103</v>
      </c>
      <c r="H1026" t="s">
        <v>131</v>
      </c>
      <c r="I1026">
        <v>2022</v>
      </c>
      <c r="J1026" t="s">
        <v>132</v>
      </c>
      <c r="K1026" t="s">
        <v>133</v>
      </c>
      <c r="L1026" t="s">
        <v>1375</v>
      </c>
      <c r="M1026" t="s">
        <v>1384</v>
      </c>
      <c r="N1026">
        <v>1</v>
      </c>
      <c r="O1026">
        <v>2020</v>
      </c>
      <c r="P1026">
        <v>335.32374554093201</v>
      </c>
      <c r="Q1026">
        <v>6.3000218859205397</v>
      </c>
      <c r="R1026" t="s">
        <v>109</v>
      </c>
      <c r="S1026">
        <v>1.4</v>
      </c>
      <c r="T1026" t="s">
        <v>110</v>
      </c>
      <c r="U1026">
        <v>1.4</v>
      </c>
      <c r="V1026">
        <v>1144.172386694459</v>
      </c>
      <c r="W1026">
        <v>21.496572113653482</v>
      </c>
      <c r="X1026" t="s">
        <v>111</v>
      </c>
      <c r="Y1026">
        <v>15</v>
      </c>
      <c r="Z1026">
        <v>0.22779524453645689</v>
      </c>
      <c r="AA1026">
        <v>31.536000000000001</v>
      </c>
    </row>
    <row r="1027" spans="1:27" hidden="1" x14ac:dyDescent="0.25">
      <c r="A1027" t="s">
        <v>98</v>
      </c>
      <c r="B1027" t="s">
        <v>1374</v>
      </c>
      <c r="D1027" t="s">
        <v>100</v>
      </c>
      <c r="E1027" t="s">
        <v>101</v>
      </c>
      <c r="F1027" t="s">
        <v>135</v>
      </c>
      <c r="G1027" t="s">
        <v>103</v>
      </c>
      <c r="H1027" t="s">
        <v>136</v>
      </c>
      <c r="I1027">
        <v>2030</v>
      </c>
      <c r="J1027" t="s">
        <v>137</v>
      </c>
      <c r="K1027" t="s">
        <v>138</v>
      </c>
      <c r="L1027" t="s">
        <v>1375</v>
      </c>
      <c r="M1027" t="s">
        <v>1385</v>
      </c>
      <c r="N1027">
        <v>1</v>
      </c>
      <c r="O1027">
        <v>2030</v>
      </c>
      <c r="P1027">
        <v>55.186509846078152</v>
      </c>
      <c r="Q1027">
        <v>4.0294911951104666</v>
      </c>
      <c r="R1027" t="s">
        <v>109</v>
      </c>
      <c r="S1027">
        <v>0.87</v>
      </c>
      <c r="T1027" t="s">
        <v>110</v>
      </c>
      <c r="U1027">
        <v>0.87</v>
      </c>
      <c r="V1027">
        <v>188.30423291993449</v>
      </c>
      <c r="W1027">
        <v>13.749197959233321</v>
      </c>
      <c r="X1027" t="s">
        <v>111</v>
      </c>
      <c r="Y1027">
        <v>25</v>
      </c>
      <c r="Z1027">
        <v>0.22779524453645689</v>
      </c>
      <c r="AA1027">
        <v>31.536000000000001</v>
      </c>
    </row>
    <row r="1028" spans="1:27" hidden="1" x14ac:dyDescent="0.25">
      <c r="A1028" t="s">
        <v>98</v>
      </c>
      <c r="B1028" t="s">
        <v>1374</v>
      </c>
      <c r="D1028" t="s">
        <v>100</v>
      </c>
      <c r="E1028" t="s">
        <v>101</v>
      </c>
      <c r="F1028" t="s">
        <v>135</v>
      </c>
      <c r="G1028" t="s">
        <v>103</v>
      </c>
      <c r="H1028" t="s">
        <v>136</v>
      </c>
      <c r="I1028">
        <v>2040</v>
      </c>
      <c r="J1028" t="s">
        <v>140</v>
      </c>
      <c r="K1028" t="s">
        <v>138</v>
      </c>
      <c r="L1028" t="s">
        <v>1375</v>
      </c>
      <c r="M1028" t="s">
        <v>1386</v>
      </c>
      <c r="N1028">
        <v>1</v>
      </c>
      <c r="O1028">
        <v>2040</v>
      </c>
      <c r="P1028">
        <v>53.946363557402229</v>
      </c>
      <c r="Q1028">
        <v>3.9389408311754002</v>
      </c>
      <c r="R1028" t="s">
        <v>109</v>
      </c>
      <c r="S1028">
        <v>0.89</v>
      </c>
      <c r="T1028" t="s">
        <v>110</v>
      </c>
      <c r="U1028">
        <v>0.89</v>
      </c>
      <c r="V1028">
        <v>184.07267712398101</v>
      </c>
      <c r="W1028">
        <v>13.440227218576389</v>
      </c>
      <c r="X1028" t="s">
        <v>111</v>
      </c>
      <c r="Y1028">
        <v>25</v>
      </c>
      <c r="Z1028">
        <v>0.22779524453645689</v>
      </c>
      <c r="AA1028">
        <v>31.536000000000001</v>
      </c>
    </row>
    <row r="1029" spans="1:27" hidden="1" x14ac:dyDescent="0.25">
      <c r="A1029" t="s">
        <v>98</v>
      </c>
      <c r="B1029" t="s">
        <v>1374</v>
      </c>
      <c r="D1029" t="s">
        <v>100</v>
      </c>
      <c r="E1029" t="s">
        <v>142</v>
      </c>
      <c r="F1029" t="s">
        <v>102</v>
      </c>
      <c r="G1029" t="s">
        <v>103</v>
      </c>
      <c r="H1029" t="s">
        <v>104</v>
      </c>
      <c r="I1029">
        <v>2061</v>
      </c>
      <c r="J1029" t="s">
        <v>143</v>
      </c>
      <c r="K1029" t="s">
        <v>106</v>
      </c>
      <c r="L1029" t="s">
        <v>1387</v>
      </c>
      <c r="M1029" t="s">
        <v>1388</v>
      </c>
      <c r="N1029">
        <v>1</v>
      </c>
      <c r="O1029">
        <v>2061</v>
      </c>
      <c r="P1029">
        <v>117.0584711706526</v>
      </c>
      <c r="Q1029">
        <v>4.2000145906136934</v>
      </c>
      <c r="R1029" t="s">
        <v>109</v>
      </c>
      <c r="S1029">
        <v>3.2239155920281362</v>
      </c>
      <c r="T1029" t="s">
        <v>110</v>
      </c>
      <c r="U1029">
        <v>3.2239155920281362</v>
      </c>
      <c r="V1029">
        <v>399.42017862788401</v>
      </c>
      <c r="W1029">
        <v>14.33104807576899</v>
      </c>
      <c r="X1029" t="s">
        <v>111</v>
      </c>
      <c r="Y1029">
        <v>21</v>
      </c>
      <c r="Z1029">
        <v>0.1064322100008962</v>
      </c>
      <c r="AA1029">
        <v>31.536000000000001</v>
      </c>
    </row>
    <row r="1030" spans="1:27" hidden="1" x14ac:dyDescent="0.25">
      <c r="A1030" t="s">
        <v>98</v>
      </c>
      <c r="B1030" t="s">
        <v>1374</v>
      </c>
      <c r="D1030" t="s">
        <v>100</v>
      </c>
      <c r="E1030" t="s">
        <v>142</v>
      </c>
      <c r="F1030" t="s">
        <v>102</v>
      </c>
      <c r="G1030" t="s">
        <v>112</v>
      </c>
      <c r="H1030" t="s">
        <v>104</v>
      </c>
      <c r="I1030">
        <v>2022</v>
      </c>
      <c r="J1030" t="s">
        <v>146</v>
      </c>
      <c r="K1030" t="s">
        <v>106</v>
      </c>
      <c r="L1030" t="s">
        <v>1387</v>
      </c>
      <c r="M1030" t="s">
        <v>1389</v>
      </c>
      <c r="N1030">
        <v>1</v>
      </c>
      <c r="O1030">
        <v>2020</v>
      </c>
      <c r="P1030">
        <v>200.7885700942916</v>
      </c>
      <c r="Q1030">
        <v>4.2000145906136934</v>
      </c>
      <c r="R1030" t="s">
        <v>109</v>
      </c>
      <c r="S1030">
        <v>3.8393903868698711</v>
      </c>
      <c r="T1030" t="s">
        <v>110</v>
      </c>
      <c r="U1030">
        <v>3.8393903868698711</v>
      </c>
      <c r="V1030">
        <v>685.1192035182313</v>
      </c>
      <c r="W1030">
        <v>14.33104807576899</v>
      </c>
      <c r="X1030" t="s">
        <v>111</v>
      </c>
      <c r="Y1030">
        <v>21</v>
      </c>
      <c r="Z1030">
        <v>0.1064322100008962</v>
      </c>
      <c r="AA1030">
        <v>31.536000000000001</v>
      </c>
    </row>
    <row r="1031" spans="1:27" hidden="1" x14ac:dyDescent="0.25">
      <c r="A1031" t="s">
        <v>98</v>
      </c>
      <c r="B1031" t="s">
        <v>1374</v>
      </c>
      <c r="D1031" t="s">
        <v>100</v>
      </c>
      <c r="E1031" t="s">
        <v>142</v>
      </c>
      <c r="F1031" t="s">
        <v>102</v>
      </c>
      <c r="G1031" t="s">
        <v>103</v>
      </c>
      <c r="H1031" t="s">
        <v>104</v>
      </c>
      <c r="I1031">
        <v>2023</v>
      </c>
      <c r="J1031" t="s">
        <v>148</v>
      </c>
      <c r="K1031" t="s">
        <v>106</v>
      </c>
      <c r="L1031" t="s">
        <v>1387</v>
      </c>
      <c r="M1031" t="s">
        <v>1390</v>
      </c>
      <c r="N1031">
        <v>1</v>
      </c>
      <c r="O1031">
        <v>2023</v>
      </c>
      <c r="P1031">
        <v>135.73557542199771</v>
      </c>
      <c r="Q1031">
        <v>4.2000145906136934</v>
      </c>
      <c r="R1031" t="s">
        <v>109</v>
      </c>
      <c r="S1031">
        <v>3.4290738569753811</v>
      </c>
      <c r="T1031" t="s">
        <v>110</v>
      </c>
      <c r="U1031">
        <v>3.4290738569753811</v>
      </c>
      <c r="V1031">
        <v>463.14911888927151</v>
      </c>
      <c r="W1031">
        <v>14.33104807576899</v>
      </c>
      <c r="X1031" t="s">
        <v>111</v>
      </c>
      <c r="Y1031">
        <v>21</v>
      </c>
      <c r="Z1031">
        <v>0.1064322100008962</v>
      </c>
      <c r="AA1031">
        <v>31.536000000000001</v>
      </c>
    </row>
    <row r="1032" spans="1:27" hidden="1" x14ac:dyDescent="0.25">
      <c r="A1032" t="s">
        <v>98</v>
      </c>
      <c r="B1032" t="s">
        <v>1374</v>
      </c>
      <c r="D1032" t="s">
        <v>100</v>
      </c>
      <c r="E1032" t="s">
        <v>142</v>
      </c>
      <c r="F1032" t="s">
        <v>117</v>
      </c>
      <c r="G1032" t="s">
        <v>103</v>
      </c>
      <c r="H1032" t="s">
        <v>104</v>
      </c>
      <c r="I1032">
        <v>2033</v>
      </c>
      <c r="J1032" t="s">
        <v>150</v>
      </c>
      <c r="K1032" t="s">
        <v>106</v>
      </c>
      <c r="L1032" t="s">
        <v>1387</v>
      </c>
      <c r="M1032" t="s">
        <v>1391</v>
      </c>
      <c r="N1032">
        <v>1</v>
      </c>
      <c r="O1032">
        <v>2033</v>
      </c>
      <c r="P1032">
        <v>483.9331327692995</v>
      </c>
      <c r="Q1032">
        <v>3.810497108419681</v>
      </c>
      <c r="R1032" t="s">
        <v>109</v>
      </c>
      <c r="S1032">
        <v>5.0996483001172326</v>
      </c>
      <c r="T1032" t="s">
        <v>110</v>
      </c>
      <c r="U1032">
        <v>5.0996483001172326</v>
      </c>
      <c r="V1032">
        <v>1651.2487853431401</v>
      </c>
      <c r="W1032">
        <v>13.00195893970977</v>
      </c>
      <c r="X1032" t="s">
        <v>111</v>
      </c>
      <c r="Y1032">
        <v>14.4</v>
      </c>
      <c r="Z1032">
        <v>0.1064322100008962</v>
      </c>
      <c r="AA1032">
        <v>31.536000000000001</v>
      </c>
    </row>
    <row r="1033" spans="1:27" hidden="1" x14ac:dyDescent="0.25">
      <c r="A1033" t="s">
        <v>98</v>
      </c>
      <c r="B1033" t="s">
        <v>1374</v>
      </c>
      <c r="D1033" t="s">
        <v>100</v>
      </c>
      <c r="E1033" t="s">
        <v>142</v>
      </c>
      <c r="F1033" t="s">
        <v>117</v>
      </c>
      <c r="G1033" t="s">
        <v>67</v>
      </c>
      <c r="H1033" t="s">
        <v>104</v>
      </c>
      <c r="I1033">
        <v>2033</v>
      </c>
      <c r="J1033" t="s">
        <v>152</v>
      </c>
      <c r="K1033" t="s">
        <v>106</v>
      </c>
      <c r="L1033" t="s">
        <v>1387</v>
      </c>
      <c r="M1033" t="s">
        <v>1392</v>
      </c>
      <c r="N1033">
        <v>1</v>
      </c>
      <c r="O1033">
        <v>2033</v>
      </c>
      <c r="P1033">
        <v>497.90495550017158</v>
      </c>
      <c r="Q1033">
        <v>3.810497108419681</v>
      </c>
      <c r="R1033" t="s">
        <v>109</v>
      </c>
      <c r="S1033">
        <v>5.7737397420867529</v>
      </c>
      <c r="T1033" t="s">
        <v>110</v>
      </c>
      <c r="U1033">
        <v>5.7737397420867529</v>
      </c>
      <c r="V1033">
        <v>1698.9226347887429</v>
      </c>
      <c r="W1033">
        <v>13.00195893970977</v>
      </c>
      <c r="X1033" t="s">
        <v>111</v>
      </c>
      <c r="Y1033">
        <v>14.4</v>
      </c>
      <c r="Z1033">
        <v>0.1064322100008962</v>
      </c>
      <c r="AA1033">
        <v>31.536000000000001</v>
      </c>
    </row>
    <row r="1034" spans="1:27" hidden="1" x14ac:dyDescent="0.25">
      <c r="A1034" t="s">
        <v>98</v>
      </c>
      <c r="B1034" t="s">
        <v>1374</v>
      </c>
      <c r="D1034" t="s">
        <v>100</v>
      </c>
      <c r="E1034" t="s">
        <v>142</v>
      </c>
      <c r="F1034" t="s">
        <v>117</v>
      </c>
      <c r="G1034" t="s">
        <v>112</v>
      </c>
      <c r="H1034" t="s">
        <v>104</v>
      </c>
      <c r="I1034">
        <v>2033</v>
      </c>
      <c r="J1034" t="s">
        <v>154</v>
      </c>
      <c r="K1034" t="s">
        <v>106</v>
      </c>
      <c r="L1034" t="s">
        <v>1387</v>
      </c>
      <c r="M1034" t="s">
        <v>1393</v>
      </c>
      <c r="N1034">
        <v>1</v>
      </c>
      <c r="O1034">
        <v>2033</v>
      </c>
      <c r="P1034">
        <v>513.14694393385037</v>
      </c>
      <c r="Q1034">
        <v>3.810497108419681</v>
      </c>
      <c r="R1034" t="s">
        <v>109</v>
      </c>
      <c r="S1034">
        <v>6.4771395076201648</v>
      </c>
      <c r="T1034" t="s">
        <v>110</v>
      </c>
      <c r="U1034">
        <v>6.4771395076201648</v>
      </c>
      <c r="V1034">
        <v>1750.930470547582</v>
      </c>
      <c r="W1034">
        <v>13.00195893970977</v>
      </c>
      <c r="X1034" t="s">
        <v>111</v>
      </c>
      <c r="Y1034">
        <v>14.4</v>
      </c>
      <c r="Z1034">
        <v>0.1064322100008962</v>
      </c>
      <c r="AA1034">
        <v>31.536000000000001</v>
      </c>
    </row>
    <row r="1035" spans="1:27" hidden="1" x14ac:dyDescent="0.25">
      <c r="A1035" t="s">
        <v>98</v>
      </c>
      <c r="B1035" t="s">
        <v>1374</v>
      </c>
      <c r="D1035" t="s">
        <v>100</v>
      </c>
      <c r="E1035" t="s">
        <v>142</v>
      </c>
      <c r="F1035" t="s">
        <v>117</v>
      </c>
      <c r="G1035" t="s">
        <v>103</v>
      </c>
      <c r="H1035" t="s">
        <v>104</v>
      </c>
      <c r="I1035">
        <v>2023</v>
      </c>
      <c r="J1035" t="s">
        <v>156</v>
      </c>
      <c r="K1035" t="s">
        <v>106</v>
      </c>
      <c r="L1035" t="s">
        <v>1387</v>
      </c>
      <c r="M1035" t="s">
        <v>1394</v>
      </c>
      <c r="N1035">
        <v>1</v>
      </c>
      <c r="O1035">
        <v>2023</v>
      </c>
      <c r="P1035">
        <v>498.32834406777368</v>
      </c>
      <c r="Q1035">
        <v>3.810497108419681</v>
      </c>
      <c r="R1035" t="s">
        <v>109</v>
      </c>
      <c r="S1035">
        <v>3.833333333333333</v>
      </c>
      <c r="T1035" t="s">
        <v>110</v>
      </c>
      <c r="U1035">
        <v>3.833333333333333</v>
      </c>
      <c r="V1035">
        <v>1700.3672968931551</v>
      </c>
      <c r="W1035">
        <v>13.00195893970977</v>
      </c>
      <c r="X1035" t="s">
        <v>111</v>
      </c>
      <c r="Y1035">
        <v>14.4</v>
      </c>
      <c r="Z1035">
        <v>0.1064322100008962</v>
      </c>
      <c r="AA1035">
        <v>31.536000000000001</v>
      </c>
    </row>
    <row r="1036" spans="1:27" hidden="1" x14ac:dyDescent="0.25">
      <c r="A1036" t="s">
        <v>98</v>
      </c>
      <c r="B1036" t="s">
        <v>1374</v>
      </c>
      <c r="D1036" t="s">
        <v>100</v>
      </c>
      <c r="E1036" t="s">
        <v>142</v>
      </c>
      <c r="F1036" t="s">
        <v>130</v>
      </c>
      <c r="G1036" t="s">
        <v>103</v>
      </c>
      <c r="H1036" t="s">
        <v>131</v>
      </c>
      <c r="I1036">
        <v>2022</v>
      </c>
      <c r="J1036" t="s">
        <v>158</v>
      </c>
      <c r="K1036" t="s">
        <v>133</v>
      </c>
      <c r="L1036" t="s">
        <v>1387</v>
      </c>
      <c r="M1036" t="s">
        <v>1395</v>
      </c>
      <c r="N1036">
        <v>1</v>
      </c>
      <c r="O1036">
        <v>2020</v>
      </c>
      <c r="P1036">
        <v>335.32374554093201</v>
      </c>
      <c r="Q1036">
        <v>6.3000218859205397</v>
      </c>
      <c r="R1036" t="s">
        <v>109</v>
      </c>
      <c r="S1036">
        <v>1.2</v>
      </c>
      <c r="T1036" t="s">
        <v>110</v>
      </c>
      <c r="U1036">
        <v>1.2</v>
      </c>
      <c r="V1036">
        <v>1144.172386694459</v>
      </c>
      <c r="W1036">
        <v>21.496572113653482</v>
      </c>
      <c r="X1036" t="s">
        <v>111</v>
      </c>
      <c r="Y1036">
        <v>15</v>
      </c>
      <c r="Z1036">
        <v>0.1064322100008962</v>
      </c>
      <c r="AA1036">
        <v>31.536000000000001</v>
      </c>
    </row>
    <row r="1037" spans="1:27" hidden="1" x14ac:dyDescent="0.25">
      <c r="A1037" t="s">
        <v>98</v>
      </c>
      <c r="B1037" t="s">
        <v>1374</v>
      </c>
      <c r="D1037" t="s">
        <v>100</v>
      </c>
      <c r="E1037" t="s">
        <v>142</v>
      </c>
      <c r="F1037" t="s">
        <v>160</v>
      </c>
      <c r="G1037" t="s">
        <v>103</v>
      </c>
      <c r="H1037" t="s">
        <v>104</v>
      </c>
      <c r="I1037">
        <v>2030</v>
      </c>
      <c r="J1037" t="s">
        <v>161</v>
      </c>
      <c r="K1037" t="s">
        <v>106</v>
      </c>
      <c r="L1037" t="s">
        <v>1387</v>
      </c>
      <c r="M1037" t="s">
        <v>1396</v>
      </c>
      <c r="N1037">
        <v>1</v>
      </c>
      <c r="O1037">
        <v>2030</v>
      </c>
      <c r="P1037">
        <v>93.992262007685454</v>
      </c>
      <c r="Q1037">
        <v>4.3185633895423052</v>
      </c>
      <c r="R1037" t="s">
        <v>109</v>
      </c>
      <c r="S1037">
        <v>4.8178066132425448</v>
      </c>
      <c r="T1037" t="s">
        <v>110</v>
      </c>
      <c r="U1037">
        <v>4.8178066132425448</v>
      </c>
      <c r="V1037">
        <v>320.71498717950749</v>
      </c>
      <c r="W1037">
        <v>14.735553465004401</v>
      </c>
      <c r="X1037" t="s">
        <v>111</v>
      </c>
      <c r="Y1037">
        <v>20</v>
      </c>
      <c r="Z1037">
        <v>0.1064322100008962</v>
      </c>
      <c r="AA1037">
        <v>31.536000000000001</v>
      </c>
    </row>
    <row r="1038" spans="1:27" hidden="1" x14ac:dyDescent="0.25">
      <c r="A1038" t="s">
        <v>98</v>
      </c>
      <c r="B1038" t="s">
        <v>1374</v>
      </c>
      <c r="D1038" t="s">
        <v>100</v>
      </c>
      <c r="E1038" t="s">
        <v>142</v>
      </c>
      <c r="F1038" t="s">
        <v>160</v>
      </c>
      <c r="G1038" t="s">
        <v>112</v>
      </c>
      <c r="H1038" t="s">
        <v>104</v>
      </c>
      <c r="I1038">
        <v>2030</v>
      </c>
      <c r="J1038" t="s">
        <v>163</v>
      </c>
      <c r="K1038" t="s">
        <v>106</v>
      </c>
      <c r="L1038" t="s">
        <v>1387</v>
      </c>
      <c r="M1038" t="s">
        <v>1397</v>
      </c>
      <c r="N1038">
        <v>1</v>
      </c>
      <c r="O1038">
        <v>2030</v>
      </c>
      <c r="P1038">
        <v>104.15358763013791</v>
      </c>
      <c r="Q1038">
        <v>4.3185633895423052</v>
      </c>
      <c r="R1038" t="s">
        <v>109</v>
      </c>
      <c r="S1038">
        <v>5.1720570995103783</v>
      </c>
      <c r="T1038" t="s">
        <v>110</v>
      </c>
      <c r="U1038">
        <v>5.1720570995103783</v>
      </c>
      <c r="V1038">
        <v>355.38687768540018</v>
      </c>
      <c r="W1038">
        <v>14.735553465004401</v>
      </c>
      <c r="X1038" t="s">
        <v>111</v>
      </c>
      <c r="Y1038">
        <v>20</v>
      </c>
      <c r="Z1038">
        <v>0.1064322100008962</v>
      </c>
      <c r="AA1038">
        <v>31.536000000000001</v>
      </c>
    </row>
    <row r="1039" spans="1:27" hidden="1" x14ac:dyDescent="0.25">
      <c r="A1039" t="s">
        <v>98</v>
      </c>
      <c r="B1039" t="s">
        <v>1374</v>
      </c>
      <c r="D1039" t="s">
        <v>100</v>
      </c>
      <c r="E1039" t="s">
        <v>142</v>
      </c>
      <c r="F1039" t="s">
        <v>160</v>
      </c>
      <c r="G1039" t="s">
        <v>103</v>
      </c>
      <c r="H1039" t="s">
        <v>104</v>
      </c>
      <c r="I1039">
        <v>2040</v>
      </c>
      <c r="J1039" t="s">
        <v>165</v>
      </c>
      <c r="K1039" t="s">
        <v>106</v>
      </c>
      <c r="L1039" t="s">
        <v>1387</v>
      </c>
      <c r="M1039" t="s">
        <v>1398</v>
      </c>
      <c r="N1039">
        <v>1</v>
      </c>
      <c r="O1039">
        <v>2040</v>
      </c>
      <c r="P1039">
        <v>93.992262007685454</v>
      </c>
      <c r="Q1039">
        <v>4.3185633895423052</v>
      </c>
      <c r="R1039" t="s">
        <v>109</v>
      </c>
      <c r="S1039">
        <v>4.9535194755874059</v>
      </c>
      <c r="T1039" t="s">
        <v>110</v>
      </c>
      <c r="U1039">
        <v>4.9535194755874059</v>
      </c>
      <c r="V1039">
        <v>320.71498717950749</v>
      </c>
      <c r="W1039">
        <v>14.735553465004401</v>
      </c>
      <c r="X1039" t="s">
        <v>111</v>
      </c>
      <c r="Y1039">
        <v>20</v>
      </c>
      <c r="Z1039">
        <v>0.1064322100008962</v>
      </c>
      <c r="AA1039">
        <v>31.536000000000001</v>
      </c>
    </row>
    <row r="1040" spans="1:27" hidden="1" x14ac:dyDescent="0.25">
      <c r="A1040" t="s">
        <v>98</v>
      </c>
      <c r="B1040" t="s">
        <v>1374</v>
      </c>
      <c r="D1040" t="s">
        <v>100</v>
      </c>
      <c r="E1040" t="s">
        <v>142</v>
      </c>
      <c r="F1040" t="s">
        <v>160</v>
      </c>
      <c r="G1040" t="s">
        <v>112</v>
      </c>
      <c r="H1040" t="s">
        <v>104</v>
      </c>
      <c r="I1040">
        <v>2040</v>
      </c>
      <c r="J1040" t="s">
        <v>167</v>
      </c>
      <c r="K1040" t="s">
        <v>106</v>
      </c>
      <c r="L1040" t="s">
        <v>1387</v>
      </c>
      <c r="M1040" t="s">
        <v>1399</v>
      </c>
      <c r="N1040">
        <v>1</v>
      </c>
      <c r="O1040">
        <v>2040</v>
      </c>
      <c r="P1040">
        <v>104.15358763013791</v>
      </c>
      <c r="Q1040">
        <v>4.3185633895423052</v>
      </c>
      <c r="R1040" t="s">
        <v>109</v>
      </c>
      <c r="S1040">
        <v>5.4107674271800876</v>
      </c>
      <c r="T1040" t="s">
        <v>110</v>
      </c>
      <c r="U1040">
        <v>5.4107674271800876</v>
      </c>
      <c r="V1040">
        <v>355.38687768540018</v>
      </c>
      <c r="W1040">
        <v>14.735553465004401</v>
      </c>
      <c r="X1040" t="s">
        <v>111</v>
      </c>
      <c r="Y1040">
        <v>20</v>
      </c>
      <c r="Z1040">
        <v>0.1064322100008962</v>
      </c>
      <c r="AA1040">
        <v>31.536000000000001</v>
      </c>
    </row>
    <row r="1041" spans="1:27" hidden="1" x14ac:dyDescent="0.25">
      <c r="A1041" t="s">
        <v>98</v>
      </c>
      <c r="B1041" t="s">
        <v>1374</v>
      </c>
      <c r="D1041" t="s">
        <v>100</v>
      </c>
      <c r="E1041" t="s">
        <v>142</v>
      </c>
      <c r="F1041" t="s">
        <v>160</v>
      </c>
      <c r="G1041" t="s">
        <v>112</v>
      </c>
      <c r="H1041" t="s">
        <v>104</v>
      </c>
      <c r="I1041">
        <v>2022</v>
      </c>
      <c r="J1041" t="s">
        <v>169</v>
      </c>
      <c r="K1041" t="s">
        <v>106</v>
      </c>
      <c r="L1041" t="s">
        <v>1387</v>
      </c>
      <c r="M1041" t="s">
        <v>1400</v>
      </c>
      <c r="N1041">
        <v>1</v>
      </c>
      <c r="O1041">
        <v>2020</v>
      </c>
      <c r="P1041">
        <v>104.15358763013791</v>
      </c>
      <c r="Q1041">
        <v>4.3185633895423052</v>
      </c>
      <c r="R1041" t="s">
        <v>109</v>
      </c>
      <c r="S1041">
        <v>4.9886508193858967</v>
      </c>
      <c r="T1041" t="s">
        <v>110</v>
      </c>
      <c r="U1041">
        <v>4.9886508193858967</v>
      </c>
      <c r="V1041">
        <v>355.38687768540018</v>
      </c>
      <c r="W1041">
        <v>14.735553465004401</v>
      </c>
      <c r="X1041" t="s">
        <v>111</v>
      </c>
      <c r="Y1041">
        <v>20</v>
      </c>
      <c r="Z1041">
        <v>0.1064322100008962</v>
      </c>
      <c r="AA1041">
        <v>31.536000000000001</v>
      </c>
    </row>
    <row r="1042" spans="1:27" hidden="1" x14ac:dyDescent="0.25">
      <c r="A1042" t="s">
        <v>98</v>
      </c>
      <c r="B1042" t="s">
        <v>1374</v>
      </c>
      <c r="D1042" t="s">
        <v>100</v>
      </c>
      <c r="E1042" t="s">
        <v>142</v>
      </c>
      <c r="F1042" t="s">
        <v>171</v>
      </c>
      <c r="G1042" t="s">
        <v>172</v>
      </c>
      <c r="H1042" t="s">
        <v>104</v>
      </c>
      <c r="I1042">
        <v>2061</v>
      </c>
      <c r="J1042" t="s">
        <v>173</v>
      </c>
      <c r="K1042" t="s">
        <v>106</v>
      </c>
      <c r="L1042" t="s">
        <v>1387</v>
      </c>
      <c r="M1042" t="s">
        <v>1401</v>
      </c>
      <c r="N1042">
        <v>1</v>
      </c>
      <c r="O1042">
        <v>2061</v>
      </c>
      <c r="P1042">
        <v>90.181764899265772</v>
      </c>
      <c r="Q1042">
        <v>3.3024308272970568</v>
      </c>
      <c r="R1042" t="s">
        <v>109</v>
      </c>
      <c r="S1042">
        <v>4.1038492738238714</v>
      </c>
      <c r="T1042" t="s">
        <v>110</v>
      </c>
      <c r="U1042">
        <v>4.1038492738238714</v>
      </c>
      <c r="V1042">
        <v>307.71302823979772</v>
      </c>
      <c r="W1042">
        <v>11.26836441441513</v>
      </c>
      <c r="X1042" t="s">
        <v>111</v>
      </c>
      <c r="Y1042">
        <v>20</v>
      </c>
      <c r="Z1042">
        <v>0.1064322100008962</v>
      </c>
      <c r="AA1042">
        <v>31.536000000000001</v>
      </c>
    </row>
    <row r="1043" spans="1:27" hidden="1" x14ac:dyDescent="0.25">
      <c r="A1043" t="s">
        <v>98</v>
      </c>
      <c r="B1043" t="s">
        <v>1374</v>
      </c>
      <c r="D1043" t="s">
        <v>100</v>
      </c>
      <c r="E1043" t="s">
        <v>142</v>
      </c>
      <c r="F1043" t="s">
        <v>171</v>
      </c>
      <c r="G1043" t="s">
        <v>112</v>
      </c>
      <c r="H1043" t="s">
        <v>104</v>
      </c>
      <c r="I1043">
        <v>2022</v>
      </c>
      <c r="J1043" t="s">
        <v>175</v>
      </c>
      <c r="K1043" t="s">
        <v>106</v>
      </c>
      <c r="L1043" t="s">
        <v>1387</v>
      </c>
      <c r="M1043" t="s">
        <v>1402</v>
      </c>
      <c r="N1043">
        <v>1</v>
      </c>
      <c r="O1043">
        <v>2020</v>
      </c>
      <c r="P1043">
        <v>99.072924818911702</v>
      </c>
      <c r="Q1043">
        <v>3.3024308272970568</v>
      </c>
      <c r="R1043" t="s">
        <v>109</v>
      </c>
      <c r="S1043">
        <v>6.6358468446548251</v>
      </c>
      <c r="T1043" t="s">
        <v>110</v>
      </c>
      <c r="U1043">
        <v>6.6358468446548251</v>
      </c>
      <c r="V1043">
        <v>338.05093243245392</v>
      </c>
      <c r="W1043">
        <v>11.26836441441513</v>
      </c>
      <c r="X1043" t="s">
        <v>111</v>
      </c>
      <c r="Y1043">
        <v>20</v>
      </c>
      <c r="Z1043">
        <v>0.1064322100008962</v>
      </c>
      <c r="AA1043">
        <v>31.536000000000001</v>
      </c>
    </row>
    <row r="1044" spans="1:27" hidden="1" x14ac:dyDescent="0.25">
      <c r="A1044" t="s">
        <v>98</v>
      </c>
      <c r="B1044" t="s">
        <v>1374</v>
      </c>
      <c r="D1044" t="s">
        <v>100</v>
      </c>
      <c r="E1044" t="s">
        <v>142</v>
      </c>
      <c r="F1044" t="s">
        <v>171</v>
      </c>
      <c r="G1044" t="s">
        <v>103</v>
      </c>
      <c r="H1044" t="s">
        <v>104</v>
      </c>
      <c r="I1044">
        <v>2030</v>
      </c>
      <c r="J1044" t="s">
        <v>177</v>
      </c>
      <c r="K1044" t="s">
        <v>106</v>
      </c>
      <c r="L1044" t="s">
        <v>1387</v>
      </c>
      <c r="M1044" t="s">
        <v>1403</v>
      </c>
      <c r="N1044">
        <v>1</v>
      </c>
      <c r="O1044">
        <v>2030</v>
      </c>
      <c r="P1044">
        <v>90.181764899265772</v>
      </c>
      <c r="Q1044">
        <v>3.3024308272970568</v>
      </c>
      <c r="R1044" t="s">
        <v>109</v>
      </c>
      <c r="S1044">
        <v>4.8847205939820251</v>
      </c>
      <c r="T1044" t="s">
        <v>110</v>
      </c>
      <c r="U1044">
        <v>4.8847205939820251</v>
      </c>
      <c r="V1044">
        <v>307.71302823979772</v>
      </c>
      <c r="W1044">
        <v>11.26836441441513</v>
      </c>
      <c r="X1044" t="s">
        <v>111</v>
      </c>
      <c r="Y1044">
        <v>20</v>
      </c>
      <c r="Z1044">
        <v>0.1064322100008962</v>
      </c>
      <c r="AA1044">
        <v>31.536000000000001</v>
      </c>
    </row>
    <row r="1045" spans="1:27" hidden="1" x14ac:dyDescent="0.25">
      <c r="A1045" t="s">
        <v>98</v>
      </c>
      <c r="B1045" t="s">
        <v>1374</v>
      </c>
      <c r="D1045" t="s">
        <v>100</v>
      </c>
      <c r="E1045" t="s">
        <v>142</v>
      </c>
      <c r="F1045" t="s">
        <v>171</v>
      </c>
      <c r="G1045" t="s">
        <v>112</v>
      </c>
      <c r="H1045" t="s">
        <v>104</v>
      </c>
      <c r="I1045">
        <v>2030</v>
      </c>
      <c r="J1045" t="s">
        <v>179</v>
      </c>
      <c r="K1045" t="s">
        <v>106</v>
      </c>
      <c r="L1045" t="s">
        <v>1387</v>
      </c>
      <c r="M1045" t="s">
        <v>1404</v>
      </c>
      <c r="N1045">
        <v>1</v>
      </c>
      <c r="O1045">
        <v>2030</v>
      </c>
      <c r="P1045">
        <v>99.072924818911702</v>
      </c>
      <c r="Q1045">
        <v>3.3024308272970568</v>
      </c>
      <c r="R1045" t="s">
        <v>109</v>
      </c>
      <c r="S1045">
        <v>7.1775486278919534</v>
      </c>
      <c r="T1045" t="s">
        <v>110</v>
      </c>
      <c r="U1045">
        <v>7.1775486278919534</v>
      </c>
      <c r="V1045">
        <v>338.05093243245392</v>
      </c>
      <c r="W1045">
        <v>11.26836441441513</v>
      </c>
      <c r="X1045" t="s">
        <v>111</v>
      </c>
      <c r="Y1045">
        <v>20</v>
      </c>
      <c r="Z1045">
        <v>0.1064322100008962</v>
      </c>
      <c r="AA1045">
        <v>31.536000000000001</v>
      </c>
    </row>
    <row r="1046" spans="1:27" hidden="1" x14ac:dyDescent="0.25">
      <c r="A1046" t="s">
        <v>98</v>
      </c>
      <c r="B1046" t="s">
        <v>1374</v>
      </c>
      <c r="D1046" t="s">
        <v>100</v>
      </c>
      <c r="E1046" t="s">
        <v>142</v>
      </c>
      <c r="F1046" t="s">
        <v>171</v>
      </c>
      <c r="G1046" t="s">
        <v>103</v>
      </c>
      <c r="H1046" t="s">
        <v>104</v>
      </c>
      <c r="I1046">
        <v>2040</v>
      </c>
      <c r="J1046" t="s">
        <v>181</v>
      </c>
      <c r="K1046" t="s">
        <v>106</v>
      </c>
      <c r="L1046" t="s">
        <v>1387</v>
      </c>
      <c r="M1046" t="s">
        <v>1405</v>
      </c>
      <c r="N1046">
        <v>1</v>
      </c>
      <c r="O1046">
        <v>2040</v>
      </c>
      <c r="P1046">
        <v>90.181764899265772</v>
      </c>
      <c r="Q1046">
        <v>3.3024308272970568</v>
      </c>
      <c r="R1046" t="s">
        <v>109</v>
      </c>
      <c r="S1046">
        <v>5.1720570995103783</v>
      </c>
      <c r="T1046" t="s">
        <v>110</v>
      </c>
      <c r="U1046">
        <v>5.1720570995103783</v>
      </c>
      <c r="V1046">
        <v>307.71302823979772</v>
      </c>
      <c r="W1046">
        <v>11.26836441441513</v>
      </c>
      <c r="X1046" t="s">
        <v>111</v>
      </c>
      <c r="Y1046">
        <v>20</v>
      </c>
      <c r="Z1046">
        <v>0.1064322100008962</v>
      </c>
      <c r="AA1046">
        <v>31.536000000000001</v>
      </c>
    </row>
    <row r="1047" spans="1:27" hidden="1" x14ac:dyDescent="0.25">
      <c r="A1047" t="s">
        <v>98</v>
      </c>
      <c r="B1047" t="s">
        <v>1374</v>
      </c>
      <c r="D1047" t="s">
        <v>100</v>
      </c>
      <c r="E1047" t="s">
        <v>142</v>
      </c>
      <c r="F1047" t="s">
        <v>171</v>
      </c>
      <c r="G1047" t="s">
        <v>112</v>
      </c>
      <c r="H1047" t="s">
        <v>104</v>
      </c>
      <c r="I1047">
        <v>2040</v>
      </c>
      <c r="J1047" t="s">
        <v>183</v>
      </c>
      <c r="K1047" t="s">
        <v>106</v>
      </c>
      <c r="L1047" t="s">
        <v>1387</v>
      </c>
      <c r="M1047" t="s">
        <v>1406</v>
      </c>
      <c r="N1047">
        <v>1</v>
      </c>
      <c r="O1047">
        <v>2040</v>
      </c>
      <c r="P1047">
        <v>99.072924818911702</v>
      </c>
      <c r="Q1047">
        <v>3.3024308272970568</v>
      </c>
      <c r="R1047" t="s">
        <v>109</v>
      </c>
      <c r="S1047">
        <v>7.815552950371238</v>
      </c>
      <c r="T1047" t="s">
        <v>110</v>
      </c>
      <c r="U1047">
        <v>7.815552950371238</v>
      </c>
      <c r="V1047">
        <v>338.05093243245392</v>
      </c>
      <c r="W1047">
        <v>11.26836441441513</v>
      </c>
      <c r="X1047" t="s">
        <v>111</v>
      </c>
      <c r="Y1047">
        <v>20</v>
      </c>
      <c r="Z1047">
        <v>0.1064322100008962</v>
      </c>
      <c r="AA1047">
        <v>31.536000000000001</v>
      </c>
    </row>
    <row r="1048" spans="1:27" hidden="1" x14ac:dyDescent="0.25">
      <c r="A1048" t="s">
        <v>98</v>
      </c>
      <c r="B1048" t="s">
        <v>1374</v>
      </c>
      <c r="D1048" t="s">
        <v>100</v>
      </c>
      <c r="E1048" t="s">
        <v>142</v>
      </c>
      <c r="F1048" t="s">
        <v>185</v>
      </c>
      <c r="G1048" t="s">
        <v>112</v>
      </c>
      <c r="H1048" t="s">
        <v>104</v>
      </c>
      <c r="I1048">
        <v>2022</v>
      </c>
      <c r="J1048" t="s">
        <v>186</v>
      </c>
      <c r="K1048" t="s">
        <v>106</v>
      </c>
      <c r="L1048" t="s">
        <v>1387</v>
      </c>
      <c r="M1048" t="s">
        <v>1407</v>
      </c>
      <c r="N1048">
        <v>1</v>
      </c>
      <c r="O1048">
        <v>2020</v>
      </c>
      <c r="P1048">
        <v>97.802759116105136</v>
      </c>
      <c r="Q1048">
        <v>3.5564639678583689</v>
      </c>
      <c r="R1048" t="s">
        <v>109</v>
      </c>
      <c r="S1048">
        <v>4.4518972502114647</v>
      </c>
      <c r="T1048" t="s">
        <v>110</v>
      </c>
      <c r="U1048">
        <v>4.4518972502114647</v>
      </c>
      <c r="V1048">
        <v>333.71694611921731</v>
      </c>
      <c r="W1048">
        <v>12.135161677062451</v>
      </c>
      <c r="X1048" t="s">
        <v>111</v>
      </c>
      <c r="Y1048">
        <v>20</v>
      </c>
      <c r="Z1048">
        <v>0.1064322100008962</v>
      </c>
      <c r="AA1048">
        <v>31.536000000000001</v>
      </c>
    </row>
    <row r="1049" spans="1:27" hidden="1" x14ac:dyDescent="0.25">
      <c r="A1049" t="s">
        <v>98</v>
      </c>
      <c r="B1049" t="s">
        <v>1374</v>
      </c>
      <c r="D1049" t="s">
        <v>100</v>
      </c>
      <c r="E1049" t="s">
        <v>142</v>
      </c>
      <c r="F1049" t="s">
        <v>188</v>
      </c>
      <c r="G1049" t="s">
        <v>103</v>
      </c>
      <c r="H1049" t="s">
        <v>104</v>
      </c>
      <c r="I1049">
        <v>2030</v>
      </c>
      <c r="J1049" t="s">
        <v>189</v>
      </c>
      <c r="K1049" t="s">
        <v>106</v>
      </c>
      <c r="L1049" t="s">
        <v>1387</v>
      </c>
      <c r="M1049" t="s">
        <v>1408</v>
      </c>
      <c r="N1049">
        <v>0</v>
      </c>
      <c r="O1049">
        <v>2030</v>
      </c>
      <c r="P1049">
        <v>49.536462409455851</v>
      </c>
      <c r="Q1049">
        <v>3.0483976867357452</v>
      </c>
      <c r="R1049" t="s">
        <v>109</v>
      </c>
      <c r="S1049">
        <v>10.04856807904874</v>
      </c>
      <c r="T1049" t="s">
        <v>110</v>
      </c>
      <c r="U1049">
        <v>10.04856807904874</v>
      </c>
      <c r="V1049">
        <v>169.0254662162269</v>
      </c>
      <c r="W1049">
        <v>10.401567151767811</v>
      </c>
      <c r="X1049" t="s">
        <v>111</v>
      </c>
      <c r="Y1049">
        <v>25</v>
      </c>
      <c r="Z1049">
        <v>0.1064322100008962</v>
      </c>
      <c r="AA1049">
        <v>31.536000000000001</v>
      </c>
    </row>
    <row r="1050" spans="1:27" hidden="1" x14ac:dyDescent="0.25">
      <c r="A1050" t="s">
        <v>98</v>
      </c>
      <c r="B1050" t="s">
        <v>1374</v>
      </c>
      <c r="D1050" t="s">
        <v>100</v>
      </c>
      <c r="E1050" t="s">
        <v>142</v>
      </c>
      <c r="F1050" t="s">
        <v>188</v>
      </c>
      <c r="G1050" t="s">
        <v>112</v>
      </c>
      <c r="H1050" t="s">
        <v>104</v>
      </c>
      <c r="I1050">
        <v>2030</v>
      </c>
      <c r="J1050" t="s">
        <v>191</v>
      </c>
      <c r="K1050" t="s">
        <v>106</v>
      </c>
      <c r="L1050" t="s">
        <v>1387</v>
      </c>
      <c r="M1050" t="s">
        <v>1409</v>
      </c>
      <c r="N1050">
        <v>0</v>
      </c>
      <c r="O1050">
        <v>2030</v>
      </c>
      <c r="P1050">
        <v>64.778450843134578</v>
      </c>
      <c r="Q1050">
        <v>3.0483976867357452</v>
      </c>
      <c r="R1050" t="s">
        <v>109</v>
      </c>
      <c r="S1050">
        <v>13.02592158395206</v>
      </c>
      <c r="T1050" t="s">
        <v>110</v>
      </c>
      <c r="U1050">
        <v>13.02592158395206</v>
      </c>
      <c r="V1050">
        <v>221.033301975066</v>
      </c>
      <c r="W1050">
        <v>10.401567151767811</v>
      </c>
      <c r="X1050" t="s">
        <v>111</v>
      </c>
      <c r="Y1050">
        <v>25</v>
      </c>
      <c r="Z1050">
        <v>0.1064322100008962</v>
      </c>
      <c r="AA1050">
        <v>31.536000000000001</v>
      </c>
    </row>
    <row r="1051" spans="1:27" hidden="1" x14ac:dyDescent="0.25">
      <c r="A1051" t="s">
        <v>98</v>
      </c>
      <c r="B1051" t="s">
        <v>1374</v>
      </c>
      <c r="D1051" t="s">
        <v>100</v>
      </c>
      <c r="E1051" t="s">
        <v>142</v>
      </c>
      <c r="F1051" t="s">
        <v>188</v>
      </c>
      <c r="G1051" t="s">
        <v>103</v>
      </c>
      <c r="H1051" t="s">
        <v>104</v>
      </c>
      <c r="I1051">
        <v>2040</v>
      </c>
      <c r="J1051" t="s">
        <v>193</v>
      </c>
      <c r="K1051" t="s">
        <v>106</v>
      </c>
      <c r="L1051" t="s">
        <v>1387</v>
      </c>
      <c r="M1051" t="s">
        <v>1410</v>
      </c>
      <c r="N1051">
        <v>0</v>
      </c>
      <c r="O1051">
        <v>2040</v>
      </c>
      <c r="P1051">
        <v>49.536462409455851</v>
      </c>
      <c r="Q1051">
        <v>3.0483976867357452</v>
      </c>
      <c r="R1051" t="s">
        <v>109</v>
      </c>
      <c r="S1051">
        <v>10.34411419902076</v>
      </c>
      <c r="T1051" t="s">
        <v>110</v>
      </c>
      <c r="U1051">
        <v>10.34411419902076</v>
      </c>
      <c r="V1051">
        <v>169.0254662162269</v>
      </c>
      <c r="W1051">
        <v>10.401567151767811</v>
      </c>
      <c r="X1051" t="s">
        <v>111</v>
      </c>
      <c r="Y1051">
        <v>25</v>
      </c>
      <c r="Z1051">
        <v>0.1064322100008962</v>
      </c>
      <c r="AA1051">
        <v>31.536000000000001</v>
      </c>
    </row>
    <row r="1052" spans="1:27" hidden="1" x14ac:dyDescent="0.25">
      <c r="A1052" t="s">
        <v>98</v>
      </c>
      <c r="B1052" t="s">
        <v>1374</v>
      </c>
      <c r="D1052" t="s">
        <v>100</v>
      </c>
      <c r="E1052" t="s">
        <v>142</v>
      </c>
      <c r="F1052" t="s">
        <v>188</v>
      </c>
      <c r="G1052" t="s">
        <v>112</v>
      </c>
      <c r="H1052" t="s">
        <v>104</v>
      </c>
      <c r="I1052">
        <v>2040</v>
      </c>
      <c r="J1052" t="s">
        <v>195</v>
      </c>
      <c r="K1052" t="s">
        <v>106</v>
      </c>
      <c r="L1052" t="s">
        <v>1387</v>
      </c>
      <c r="M1052" t="s">
        <v>1411</v>
      </c>
      <c r="N1052">
        <v>0</v>
      </c>
      <c r="O1052">
        <v>2040</v>
      </c>
      <c r="P1052">
        <v>64.778450843134578</v>
      </c>
      <c r="Q1052">
        <v>3.0483976867357452</v>
      </c>
      <c r="R1052" t="s">
        <v>109</v>
      </c>
      <c r="S1052">
        <v>14.067995310668231</v>
      </c>
      <c r="T1052" t="s">
        <v>110</v>
      </c>
      <c r="U1052">
        <v>14.067995310668231</v>
      </c>
      <c r="V1052">
        <v>221.033301975066</v>
      </c>
      <c r="W1052">
        <v>10.401567151767811</v>
      </c>
      <c r="X1052" t="s">
        <v>111</v>
      </c>
      <c r="Y1052">
        <v>25</v>
      </c>
      <c r="Z1052">
        <v>0.1064322100008962</v>
      </c>
      <c r="AA1052">
        <v>31.536000000000001</v>
      </c>
    </row>
    <row r="1053" spans="1:27" hidden="1" x14ac:dyDescent="0.25">
      <c r="A1053" t="s">
        <v>98</v>
      </c>
      <c r="B1053" t="s">
        <v>1374</v>
      </c>
      <c r="D1053" t="s">
        <v>100</v>
      </c>
      <c r="E1053" t="s">
        <v>142</v>
      </c>
      <c r="F1053" t="s">
        <v>188</v>
      </c>
      <c r="G1053" t="s">
        <v>112</v>
      </c>
      <c r="H1053" t="s">
        <v>104</v>
      </c>
      <c r="I1053">
        <v>2022</v>
      </c>
      <c r="J1053" t="s">
        <v>197</v>
      </c>
      <c r="K1053" t="s">
        <v>106</v>
      </c>
      <c r="L1053" t="s">
        <v>1387</v>
      </c>
      <c r="M1053" t="s">
        <v>1412</v>
      </c>
      <c r="N1053">
        <v>1</v>
      </c>
      <c r="O1053">
        <v>2020</v>
      </c>
      <c r="P1053">
        <v>64.778450843134578</v>
      </c>
      <c r="Q1053">
        <v>3.0483976867357452</v>
      </c>
      <c r="R1053" t="s">
        <v>109</v>
      </c>
      <c r="S1053">
        <v>12.12758216436916</v>
      </c>
      <c r="T1053" t="s">
        <v>110</v>
      </c>
      <c r="U1053">
        <v>12.12758216436916</v>
      </c>
      <c r="V1053">
        <v>221.033301975066</v>
      </c>
      <c r="W1053">
        <v>10.401567151767811</v>
      </c>
      <c r="X1053" t="s">
        <v>111</v>
      </c>
      <c r="Y1053">
        <v>25</v>
      </c>
      <c r="Z1053">
        <v>0.1064322100008962</v>
      </c>
      <c r="AA1053">
        <v>31.536000000000001</v>
      </c>
    </row>
    <row r="1054" spans="1:27" hidden="1" x14ac:dyDescent="0.25">
      <c r="A1054" t="s">
        <v>98</v>
      </c>
      <c r="B1054" t="s">
        <v>1374</v>
      </c>
      <c r="D1054" t="s">
        <v>100</v>
      </c>
      <c r="E1054" t="s">
        <v>142</v>
      </c>
      <c r="F1054" t="s">
        <v>199</v>
      </c>
      <c r="G1054" t="s">
        <v>103</v>
      </c>
      <c r="H1054" t="s">
        <v>131</v>
      </c>
      <c r="I1054">
        <v>2030</v>
      </c>
      <c r="J1054" t="s">
        <v>200</v>
      </c>
      <c r="K1054" t="s">
        <v>133</v>
      </c>
      <c r="L1054" t="s">
        <v>1387</v>
      </c>
      <c r="M1054" t="s">
        <v>1413</v>
      </c>
      <c r="N1054">
        <v>0</v>
      </c>
      <c r="O1054">
        <v>2030</v>
      </c>
      <c r="P1054">
        <v>93.992262007685454</v>
      </c>
      <c r="Q1054">
        <v>2.7943645461744331</v>
      </c>
      <c r="R1054" t="s">
        <v>109</v>
      </c>
      <c r="S1054">
        <v>1.4</v>
      </c>
      <c r="T1054" t="s">
        <v>110</v>
      </c>
      <c r="U1054">
        <v>1.4</v>
      </c>
      <c r="V1054">
        <v>320.71498717950749</v>
      </c>
      <c r="W1054">
        <v>9.5347698891204935</v>
      </c>
      <c r="X1054" t="s">
        <v>111</v>
      </c>
      <c r="Y1054">
        <v>23</v>
      </c>
      <c r="Z1054">
        <v>0.1064322100008962</v>
      </c>
      <c r="AA1054">
        <v>31.536000000000001</v>
      </c>
    </row>
    <row r="1055" spans="1:27" hidden="1" x14ac:dyDescent="0.25">
      <c r="A1055" t="s">
        <v>98</v>
      </c>
      <c r="B1055" t="s">
        <v>1374</v>
      </c>
      <c r="D1055" t="s">
        <v>100</v>
      </c>
      <c r="E1055" t="s">
        <v>142</v>
      </c>
      <c r="F1055" t="s">
        <v>202</v>
      </c>
      <c r="G1055" t="s">
        <v>103</v>
      </c>
      <c r="H1055" t="s">
        <v>104</v>
      </c>
      <c r="I1055">
        <v>2023</v>
      </c>
      <c r="J1055" t="s">
        <v>203</v>
      </c>
      <c r="K1055" t="s">
        <v>106</v>
      </c>
      <c r="L1055" t="s">
        <v>1387</v>
      </c>
      <c r="M1055" t="s">
        <v>1414</v>
      </c>
      <c r="N1055">
        <v>1</v>
      </c>
      <c r="O1055">
        <v>2023</v>
      </c>
      <c r="P1055">
        <v>138.8714501735173</v>
      </c>
      <c r="Q1055">
        <v>4.2000145906136934</v>
      </c>
      <c r="R1055" t="s">
        <v>109</v>
      </c>
      <c r="S1055">
        <v>3.5756154747948421</v>
      </c>
      <c r="T1055" t="s">
        <v>110</v>
      </c>
      <c r="U1055">
        <v>3.5756154747948421</v>
      </c>
      <c r="V1055">
        <v>473.84917024720039</v>
      </c>
      <c r="W1055">
        <v>14.33104807576899</v>
      </c>
      <c r="X1055" t="s">
        <v>111</v>
      </c>
      <c r="Y1055">
        <v>21</v>
      </c>
      <c r="Z1055">
        <v>0.1064322100008962</v>
      </c>
      <c r="AA1055">
        <v>31.536000000000001</v>
      </c>
    </row>
    <row r="1056" spans="1:27" hidden="1" x14ac:dyDescent="0.25">
      <c r="A1056" t="s">
        <v>98</v>
      </c>
      <c r="B1056" t="s">
        <v>1374</v>
      </c>
      <c r="D1056" t="s">
        <v>100</v>
      </c>
      <c r="E1056" t="s">
        <v>142</v>
      </c>
      <c r="F1056" t="s">
        <v>202</v>
      </c>
      <c r="G1056" t="s">
        <v>112</v>
      </c>
      <c r="H1056" t="s">
        <v>104</v>
      </c>
      <c r="I1056">
        <v>2022</v>
      </c>
      <c r="J1056" t="s">
        <v>205</v>
      </c>
      <c r="K1056" t="s">
        <v>106</v>
      </c>
      <c r="L1056" t="s">
        <v>1387</v>
      </c>
      <c r="M1056" t="s">
        <v>1415</v>
      </c>
      <c r="N1056">
        <v>1</v>
      </c>
      <c r="O1056">
        <v>2020</v>
      </c>
      <c r="P1056">
        <v>201.87166903272271</v>
      </c>
      <c r="Q1056">
        <v>4.2000145906136934</v>
      </c>
      <c r="R1056" t="s">
        <v>109</v>
      </c>
      <c r="S1056">
        <v>3.7514654161781951</v>
      </c>
      <c r="T1056" t="s">
        <v>110</v>
      </c>
      <c r="U1056">
        <v>3.7514654161781951</v>
      </c>
      <c r="V1056">
        <v>688.81489138373513</v>
      </c>
      <c r="W1056">
        <v>14.33104807576899</v>
      </c>
      <c r="X1056" t="s">
        <v>111</v>
      </c>
      <c r="Y1056">
        <v>21</v>
      </c>
      <c r="Z1056">
        <v>0.1064322100008962</v>
      </c>
      <c r="AA1056">
        <v>31.536000000000001</v>
      </c>
    </row>
    <row r="1057" spans="1:27" hidden="1" x14ac:dyDescent="0.25">
      <c r="A1057" t="s">
        <v>98</v>
      </c>
      <c r="B1057" t="s">
        <v>1374</v>
      </c>
      <c r="D1057" t="s">
        <v>100</v>
      </c>
      <c r="E1057" t="s">
        <v>142</v>
      </c>
      <c r="F1057" t="s">
        <v>207</v>
      </c>
      <c r="G1057" t="s">
        <v>103</v>
      </c>
      <c r="H1057" t="s">
        <v>104</v>
      </c>
      <c r="I1057">
        <v>2030</v>
      </c>
      <c r="J1057" t="s">
        <v>208</v>
      </c>
      <c r="K1057" t="s">
        <v>106</v>
      </c>
      <c r="L1057" t="s">
        <v>1387</v>
      </c>
      <c r="M1057" t="s">
        <v>1416</v>
      </c>
      <c r="N1057">
        <v>1</v>
      </c>
      <c r="O1057">
        <v>2030</v>
      </c>
      <c r="P1057">
        <v>74.322838838509583</v>
      </c>
      <c r="Q1057">
        <v>1.219359074694298E-2</v>
      </c>
      <c r="R1057" t="s">
        <v>109</v>
      </c>
      <c r="S1057">
        <v>3.5902696365767879</v>
      </c>
      <c r="T1057" t="s">
        <v>110</v>
      </c>
      <c r="U1057">
        <v>3.5902696365767879</v>
      </c>
      <c r="V1057">
        <v>253.60011341452949</v>
      </c>
      <c r="W1057">
        <v>4.1606268607071263E-2</v>
      </c>
      <c r="X1057" t="s">
        <v>111</v>
      </c>
      <c r="Y1057">
        <v>9.5</v>
      </c>
      <c r="Z1057">
        <v>0.1064322100008962</v>
      </c>
      <c r="AA1057">
        <v>31.536000000000001</v>
      </c>
    </row>
    <row r="1058" spans="1:27" hidden="1" x14ac:dyDescent="0.25">
      <c r="A1058" t="s">
        <v>98</v>
      </c>
      <c r="B1058" t="s">
        <v>1374</v>
      </c>
      <c r="D1058" t="s">
        <v>100</v>
      </c>
      <c r="E1058" t="s">
        <v>142</v>
      </c>
      <c r="F1058" t="s">
        <v>207</v>
      </c>
      <c r="G1058" t="s">
        <v>112</v>
      </c>
      <c r="H1058" t="s">
        <v>104</v>
      </c>
      <c r="I1058">
        <v>2030</v>
      </c>
      <c r="J1058" t="s">
        <v>210</v>
      </c>
      <c r="K1058" t="s">
        <v>106</v>
      </c>
      <c r="L1058" t="s">
        <v>1387</v>
      </c>
      <c r="M1058" t="s">
        <v>1417</v>
      </c>
      <c r="N1058">
        <v>1</v>
      </c>
      <c r="O1058">
        <v>2030</v>
      </c>
      <c r="P1058">
        <v>81.871252158045721</v>
      </c>
      <c r="Q1058">
        <v>1.219359074694298E-2</v>
      </c>
      <c r="R1058" t="s">
        <v>109</v>
      </c>
      <c r="S1058">
        <v>3.8100820633059791</v>
      </c>
      <c r="T1058" t="s">
        <v>110</v>
      </c>
      <c r="U1058">
        <v>3.8100820633059791</v>
      </c>
      <c r="V1058">
        <v>279.35637493319268</v>
      </c>
      <c r="W1058">
        <v>4.1606268607071263E-2</v>
      </c>
      <c r="X1058" t="s">
        <v>111</v>
      </c>
      <c r="Y1058">
        <v>9.5</v>
      </c>
      <c r="Z1058">
        <v>0.1064322100008962</v>
      </c>
      <c r="AA1058">
        <v>31.536000000000001</v>
      </c>
    </row>
    <row r="1059" spans="1:27" hidden="1" x14ac:dyDescent="0.25">
      <c r="A1059" t="s">
        <v>98</v>
      </c>
      <c r="B1059" t="s">
        <v>1374</v>
      </c>
      <c r="D1059" t="s">
        <v>100</v>
      </c>
      <c r="E1059" t="s">
        <v>142</v>
      </c>
      <c r="F1059" t="s">
        <v>207</v>
      </c>
      <c r="G1059" t="s">
        <v>103</v>
      </c>
      <c r="H1059" t="s">
        <v>104</v>
      </c>
      <c r="I1059">
        <v>2040</v>
      </c>
      <c r="J1059" t="s">
        <v>212</v>
      </c>
      <c r="K1059" t="s">
        <v>106</v>
      </c>
      <c r="L1059" t="s">
        <v>1387</v>
      </c>
      <c r="M1059" t="s">
        <v>1418</v>
      </c>
      <c r="N1059">
        <v>1</v>
      </c>
      <c r="O1059">
        <v>2040</v>
      </c>
      <c r="P1059">
        <v>74.322838838509583</v>
      </c>
      <c r="Q1059">
        <v>1.219359074694298E-2</v>
      </c>
      <c r="R1059" t="s">
        <v>109</v>
      </c>
      <c r="S1059">
        <v>3.6635404454865181</v>
      </c>
      <c r="T1059" t="s">
        <v>110</v>
      </c>
      <c r="U1059">
        <v>3.6635404454865181</v>
      </c>
      <c r="V1059">
        <v>253.60011341452949</v>
      </c>
      <c r="W1059">
        <v>4.1606268607071263E-2</v>
      </c>
      <c r="X1059" t="s">
        <v>111</v>
      </c>
      <c r="Y1059">
        <v>9.5</v>
      </c>
      <c r="Z1059">
        <v>0.1064322100008962</v>
      </c>
      <c r="AA1059">
        <v>31.536000000000001</v>
      </c>
    </row>
    <row r="1060" spans="1:27" hidden="1" x14ac:dyDescent="0.25">
      <c r="A1060" t="s">
        <v>98</v>
      </c>
      <c r="B1060" t="s">
        <v>1374</v>
      </c>
      <c r="D1060" t="s">
        <v>100</v>
      </c>
      <c r="E1060" t="s">
        <v>142</v>
      </c>
      <c r="F1060" t="s">
        <v>207</v>
      </c>
      <c r="G1060" t="s">
        <v>112</v>
      </c>
      <c r="H1060" t="s">
        <v>104</v>
      </c>
      <c r="I1060">
        <v>2040</v>
      </c>
      <c r="J1060" t="s">
        <v>214</v>
      </c>
      <c r="K1060" t="s">
        <v>106</v>
      </c>
      <c r="L1060" t="s">
        <v>1387</v>
      </c>
      <c r="M1060" t="s">
        <v>1419</v>
      </c>
      <c r="N1060">
        <v>1</v>
      </c>
      <c r="O1060">
        <v>2040</v>
      </c>
      <c r="P1060">
        <v>81.871252158045721</v>
      </c>
      <c r="Q1060">
        <v>1.219359074694298E-2</v>
      </c>
      <c r="R1060" t="s">
        <v>109</v>
      </c>
      <c r="S1060">
        <v>3.9566236811254401</v>
      </c>
      <c r="T1060" t="s">
        <v>110</v>
      </c>
      <c r="U1060">
        <v>3.9566236811254401</v>
      </c>
      <c r="V1060">
        <v>279.35637493319268</v>
      </c>
      <c r="W1060">
        <v>4.1606268607071263E-2</v>
      </c>
      <c r="X1060" t="s">
        <v>111</v>
      </c>
      <c r="Y1060">
        <v>9.5</v>
      </c>
      <c r="Z1060">
        <v>0.1064322100008962</v>
      </c>
      <c r="AA1060">
        <v>31.536000000000001</v>
      </c>
    </row>
    <row r="1061" spans="1:27" hidden="1" x14ac:dyDescent="0.25">
      <c r="A1061" t="s">
        <v>98</v>
      </c>
      <c r="B1061" t="s">
        <v>1374</v>
      </c>
      <c r="D1061" t="s">
        <v>100</v>
      </c>
      <c r="E1061" t="s">
        <v>142</v>
      </c>
      <c r="F1061" t="s">
        <v>207</v>
      </c>
      <c r="G1061" t="s">
        <v>112</v>
      </c>
      <c r="H1061" t="s">
        <v>104</v>
      </c>
      <c r="I1061">
        <v>2022</v>
      </c>
      <c r="J1061" t="s">
        <v>216</v>
      </c>
      <c r="K1061" t="s">
        <v>106</v>
      </c>
      <c r="L1061" t="s">
        <v>1387</v>
      </c>
      <c r="M1061" t="s">
        <v>1420</v>
      </c>
      <c r="N1061">
        <v>1</v>
      </c>
      <c r="O1061">
        <v>2020</v>
      </c>
      <c r="P1061">
        <v>81.871252158045721</v>
      </c>
      <c r="Q1061">
        <v>1.219359074694298E-2</v>
      </c>
      <c r="R1061" t="s">
        <v>109</v>
      </c>
      <c r="S1061">
        <v>3.6635404454865181</v>
      </c>
      <c r="T1061" t="s">
        <v>110</v>
      </c>
      <c r="U1061">
        <v>3.6635404454865181</v>
      </c>
      <c r="V1061">
        <v>279.35637493319268</v>
      </c>
      <c r="W1061">
        <v>4.1606268607071263E-2</v>
      </c>
      <c r="X1061" t="s">
        <v>111</v>
      </c>
      <c r="Y1061">
        <v>9.5</v>
      </c>
      <c r="Z1061">
        <v>0.1064322100008962</v>
      </c>
      <c r="AA1061">
        <v>31.536000000000001</v>
      </c>
    </row>
    <row r="1062" spans="1:27" hidden="1" x14ac:dyDescent="0.25">
      <c r="A1062" t="s">
        <v>98</v>
      </c>
      <c r="B1062" t="s">
        <v>1374</v>
      </c>
      <c r="D1062" t="s">
        <v>100</v>
      </c>
      <c r="E1062" t="s">
        <v>142</v>
      </c>
      <c r="F1062" t="s">
        <v>218</v>
      </c>
      <c r="G1062" t="s">
        <v>219</v>
      </c>
      <c r="H1062" t="s">
        <v>104</v>
      </c>
      <c r="I1062">
        <v>2023</v>
      </c>
      <c r="J1062" t="s">
        <v>220</v>
      </c>
      <c r="K1062" t="s">
        <v>106</v>
      </c>
      <c r="L1062" t="s">
        <v>1387</v>
      </c>
      <c r="M1062" t="s">
        <v>1421</v>
      </c>
      <c r="N1062">
        <v>1</v>
      </c>
      <c r="O1062">
        <v>2023</v>
      </c>
      <c r="P1062">
        <v>144.5166310748798</v>
      </c>
      <c r="Q1062">
        <v>2.6193639382321958</v>
      </c>
      <c r="R1062" t="s">
        <v>109</v>
      </c>
      <c r="S1062">
        <v>4.6893317702227444</v>
      </c>
      <c r="T1062" t="s">
        <v>110</v>
      </c>
      <c r="U1062">
        <v>4.6893317702227444</v>
      </c>
      <c r="V1062">
        <v>493.11133163936307</v>
      </c>
      <c r="W1062">
        <v>8.937642885963454</v>
      </c>
      <c r="X1062" t="s">
        <v>111</v>
      </c>
      <c r="Y1062">
        <v>18</v>
      </c>
      <c r="Z1062">
        <v>0.1064322100008962</v>
      </c>
      <c r="AA1062">
        <v>31.536000000000001</v>
      </c>
    </row>
    <row r="1063" spans="1:27" hidden="1" x14ac:dyDescent="0.25">
      <c r="A1063" t="s">
        <v>98</v>
      </c>
      <c r="B1063" t="s">
        <v>1374</v>
      </c>
      <c r="D1063" t="s">
        <v>100</v>
      </c>
      <c r="E1063" t="s">
        <v>142</v>
      </c>
      <c r="F1063" t="s">
        <v>218</v>
      </c>
      <c r="G1063" t="s">
        <v>112</v>
      </c>
      <c r="H1063" t="s">
        <v>104</v>
      </c>
      <c r="I1063">
        <v>2022</v>
      </c>
      <c r="J1063" t="s">
        <v>222</v>
      </c>
      <c r="K1063" t="s">
        <v>106</v>
      </c>
      <c r="L1063" t="s">
        <v>1387</v>
      </c>
      <c r="M1063" t="s">
        <v>1422</v>
      </c>
      <c r="N1063">
        <v>1</v>
      </c>
      <c r="O1063">
        <v>2020</v>
      </c>
      <c r="P1063">
        <v>157.50054714801351</v>
      </c>
      <c r="Q1063">
        <v>2.455653692092683</v>
      </c>
      <c r="R1063" t="s">
        <v>109</v>
      </c>
      <c r="S1063">
        <v>4.835873388042204</v>
      </c>
      <c r="T1063" t="s">
        <v>110</v>
      </c>
      <c r="U1063">
        <v>4.835873388042204</v>
      </c>
      <c r="V1063">
        <v>537.41430284133696</v>
      </c>
      <c r="W1063">
        <v>8.3790402055907389</v>
      </c>
      <c r="X1063" t="s">
        <v>111</v>
      </c>
      <c r="Y1063">
        <v>18</v>
      </c>
      <c r="Z1063">
        <v>0.1064322100008962</v>
      </c>
      <c r="AA1063">
        <v>31.536000000000001</v>
      </c>
    </row>
    <row r="1064" spans="1:27" hidden="1" x14ac:dyDescent="0.25">
      <c r="A1064" t="s">
        <v>98</v>
      </c>
      <c r="B1064" t="s">
        <v>1374</v>
      </c>
      <c r="D1064" t="s">
        <v>100</v>
      </c>
      <c r="E1064" t="s">
        <v>142</v>
      </c>
      <c r="F1064" t="s">
        <v>218</v>
      </c>
      <c r="G1064" t="s">
        <v>103</v>
      </c>
      <c r="H1064" t="s">
        <v>104</v>
      </c>
      <c r="I1064">
        <v>2023</v>
      </c>
      <c r="J1064" t="s">
        <v>224</v>
      </c>
      <c r="K1064" t="s">
        <v>106</v>
      </c>
      <c r="L1064" t="s">
        <v>1387</v>
      </c>
      <c r="M1064" t="s">
        <v>1423</v>
      </c>
      <c r="N1064">
        <v>1</v>
      </c>
      <c r="O1064">
        <v>2023</v>
      </c>
      <c r="P1064">
        <v>125.3230160102473</v>
      </c>
      <c r="Q1064">
        <v>2.455653692092683</v>
      </c>
      <c r="R1064" t="s">
        <v>109</v>
      </c>
      <c r="S1064">
        <v>4.2203985932004704</v>
      </c>
      <c r="T1064" t="s">
        <v>110</v>
      </c>
      <c r="U1064">
        <v>4.2203985932004704</v>
      </c>
      <c r="V1064">
        <v>427.61998290601008</v>
      </c>
      <c r="W1064">
        <v>8.3790402055907389</v>
      </c>
      <c r="X1064" t="s">
        <v>111</v>
      </c>
      <c r="Y1064">
        <v>18</v>
      </c>
      <c r="Z1064">
        <v>0.1064322100008962</v>
      </c>
      <c r="AA1064">
        <v>31.536000000000001</v>
      </c>
    </row>
    <row r="1065" spans="1:27" x14ac:dyDescent="0.25">
      <c r="A1065" t="s">
        <v>98</v>
      </c>
      <c r="B1065" t="s">
        <v>1374</v>
      </c>
      <c r="D1065" t="s">
        <v>100</v>
      </c>
      <c r="E1065" t="s">
        <v>226</v>
      </c>
      <c r="F1065" t="s">
        <v>227</v>
      </c>
      <c r="G1065" t="s">
        <v>228</v>
      </c>
      <c r="H1065" t="s">
        <v>104</v>
      </c>
      <c r="I1065">
        <v>2023</v>
      </c>
      <c r="J1065" t="s">
        <v>229</v>
      </c>
      <c r="K1065" t="s">
        <v>106</v>
      </c>
      <c r="L1065" t="s">
        <v>1424</v>
      </c>
      <c r="M1065" t="s">
        <v>1425</v>
      </c>
      <c r="N1065">
        <v>1</v>
      </c>
      <c r="O1065">
        <v>2023</v>
      </c>
      <c r="P1065">
        <v>351.48905933689161</v>
      </c>
      <c r="Q1065">
        <v>0.67078064758948786</v>
      </c>
      <c r="R1065" t="s">
        <v>109</v>
      </c>
      <c r="S1065">
        <v>2.7</v>
      </c>
      <c r="T1065" t="s">
        <v>110</v>
      </c>
      <c r="U1065">
        <v>2.7</v>
      </c>
      <c r="V1065">
        <v>1199.3307401172131</v>
      </c>
      <c r="W1065">
        <v>2.2887991223610928</v>
      </c>
      <c r="X1065" t="s">
        <v>111</v>
      </c>
      <c r="Y1065">
        <v>20</v>
      </c>
      <c r="Z1065">
        <v>0.44</v>
      </c>
      <c r="AA1065">
        <v>31.536000000000001</v>
      </c>
    </row>
    <row r="1066" spans="1:27" x14ac:dyDescent="0.25">
      <c r="A1066" t="s">
        <v>98</v>
      </c>
      <c r="B1066" t="s">
        <v>1374</v>
      </c>
      <c r="D1066" t="s">
        <v>100</v>
      </c>
      <c r="E1066" t="s">
        <v>226</v>
      </c>
      <c r="F1066" t="s">
        <v>227</v>
      </c>
      <c r="G1066" t="s">
        <v>228</v>
      </c>
      <c r="H1066" t="s">
        <v>104</v>
      </c>
      <c r="I1066">
        <v>2024</v>
      </c>
      <c r="J1066" t="s">
        <v>232</v>
      </c>
      <c r="K1066" t="s">
        <v>106</v>
      </c>
      <c r="L1066" t="s">
        <v>1424</v>
      </c>
      <c r="M1066" t="s">
        <v>1426</v>
      </c>
      <c r="N1066">
        <v>1</v>
      </c>
      <c r="O1066">
        <v>2024</v>
      </c>
      <c r="P1066">
        <v>351.48905933689161</v>
      </c>
      <c r="Q1066">
        <v>0.67078064758948786</v>
      </c>
      <c r="R1066" t="s">
        <v>109</v>
      </c>
      <c r="S1066">
        <v>2.7</v>
      </c>
      <c r="T1066" t="s">
        <v>110</v>
      </c>
      <c r="U1066">
        <v>2.7</v>
      </c>
      <c r="V1066">
        <v>1199.3307401172131</v>
      </c>
      <c r="W1066">
        <v>2.2887991223610928</v>
      </c>
      <c r="X1066" t="s">
        <v>111</v>
      </c>
      <c r="Y1066">
        <v>20</v>
      </c>
      <c r="Z1066">
        <v>0.44</v>
      </c>
      <c r="AA1066">
        <v>31.536000000000001</v>
      </c>
    </row>
    <row r="1067" spans="1:27" x14ac:dyDescent="0.25">
      <c r="A1067" t="s">
        <v>98</v>
      </c>
      <c r="B1067" t="s">
        <v>1374</v>
      </c>
      <c r="D1067" t="s">
        <v>100</v>
      </c>
      <c r="E1067" t="s">
        <v>226</v>
      </c>
      <c r="F1067" t="s">
        <v>227</v>
      </c>
      <c r="G1067" t="s">
        <v>228</v>
      </c>
      <c r="H1067" t="s">
        <v>104</v>
      </c>
      <c r="I1067">
        <v>2025</v>
      </c>
      <c r="J1067" t="s">
        <v>234</v>
      </c>
      <c r="K1067" t="s">
        <v>106</v>
      </c>
      <c r="L1067" t="s">
        <v>1424</v>
      </c>
      <c r="M1067" t="s">
        <v>1427</v>
      </c>
      <c r="N1067">
        <v>1</v>
      </c>
      <c r="O1067">
        <v>2025</v>
      </c>
      <c r="P1067">
        <v>351.48905933689161</v>
      </c>
      <c r="Q1067">
        <v>0.67078064758948786</v>
      </c>
      <c r="R1067" t="s">
        <v>109</v>
      </c>
      <c r="S1067">
        <v>2.7</v>
      </c>
      <c r="T1067" t="s">
        <v>110</v>
      </c>
      <c r="U1067">
        <v>2.7</v>
      </c>
      <c r="V1067">
        <v>1199.3307401172131</v>
      </c>
      <c r="W1067">
        <v>2.2887991223610928</v>
      </c>
      <c r="X1067" t="s">
        <v>111</v>
      </c>
      <c r="Y1067">
        <v>20</v>
      </c>
      <c r="Z1067">
        <v>0.44</v>
      </c>
      <c r="AA1067">
        <v>31.536000000000001</v>
      </c>
    </row>
    <row r="1068" spans="1:27" x14ac:dyDescent="0.25">
      <c r="A1068" t="s">
        <v>98</v>
      </c>
      <c r="B1068" t="s">
        <v>1374</v>
      </c>
      <c r="D1068" t="s">
        <v>100</v>
      </c>
      <c r="E1068" t="s">
        <v>226</v>
      </c>
      <c r="F1068" t="s">
        <v>227</v>
      </c>
      <c r="G1068" t="s">
        <v>228</v>
      </c>
      <c r="H1068" t="s">
        <v>104</v>
      </c>
      <c r="I1068">
        <v>2026</v>
      </c>
      <c r="J1068" t="s">
        <v>236</v>
      </c>
      <c r="K1068" t="s">
        <v>106</v>
      </c>
      <c r="L1068" t="s">
        <v>1424</v>
      </c>
      <c r="M1068" t="s">
        <v>1428</v>
      </c>
      <c r="N1068">
        <v>1</v>
      </c>
      <c r="O1068">
        <v>2026</v>
      </c>
      <c r="P1068">
        <v>351.48905933689161</v>
      </c>
      <c r="Q1068">
        <v>0.67078064758948786</v>
      </c>
      <c r="R1068" t="s">
        <v>109</v>
      </c>
      <c r="S1068">
        <v>2.7</v>
      </c>
      <c r="T1068" t="s">
        <v>110</v>
      </c>
      <c r="U1068">
        <v>2.7</v>
      </c>
      <c r="V1068">
        <v>1199.3307401172131</v>
      </c>
      <c r="W1068">
        <v>2.2887991223610928</v>
      </c>
      <c r="X1068" t="s">
        <v>111</v>
      </c>
      <c r="Y1068">
        <v>20</v>
      </c>
      <c r="Z1068">
        <v>0.44</v>
      </c>
      <c r="AA1068">
        <v>31.536000000000001</v>
      </c>
    </row>
    <row r="1069" spans="1:27" x14ac:dyDescent="0.25">
      <c r="A1069" t="s">
        <v>98</v>
      </c>
      <c r="B1069" t="s">
        <v>1374</v>
      </c>
      <c r="D1069" t="s">
        <v>100</v>
      </c>
      <c r="E1069" t="s">
        <v>226</v>
      </c>
      <c r="F1069" t="s">
        <v>227</v>
      </c>
      <c r="G1069" t="s">
        <v>228</v>
      </c>
      <c r="H1069" t="s">
        <v>104</v>
      </c>
      <c r="I1069">
        <v>2027</v>
      </c>
      <c r="J1069" t="s">
        <v>238</v>
      </c>
      <c r="K1069" t="s">
        <v>106</v>
      </c>
      <c r="L1069" t="s">
        <v>1424</v>
      </c>
      <c r="M1069" t="s">
        <v>1429</v>
      </c>
      <c r="N1069">
        <v>1</v>
      </c>
      <c r="O1069">
        <v>2027</v>
      </c>
      <c r="P1069">
        <v>351.48905933689161</v>
      </c>
      <c r="Q1069">
        <v>0.67078064758948786</v>
      </c>
      <c r="R1069" t="s">
        <v>109</v>
      </c>
      <c r="S1069">
        <v>2.7</v>
      </c>
      <c r="T1069" t="s">
        <v>110</v>
      </c>
      <c r="U1069">
        <v>2.7</v>
      </c>
      <c r="V1069">
        <v>1199.3307401172131</v>
      </c>
      <c r="W1069">
        <v>2.2887991223610928</v>
      </c>
      <c r="X1069" t="s">
        <v>111</v>
      </c>
      <c r="Y1069">
        <v>20</v>
      </c>
      <c r="Z1069">
        <v>0.44</v>
      </c>
      <c r="AA1069">
        <v>31.536000000000001</v>
      </c>
    </row>
    <row r="1070" spans="1:27" x14ac:dyDescent="0.25">
      <c r="A1070" t="s">
        <v>98</v>
      </c>
      <c r="B1070" t="s">
        <v>1374</v>
      </c>
      <c r="D1070" t="s">
        <v>100</v>
      </c>
      <c r="E1070" t="s">
        <v>226</v>
      </c>
      <c r="F1070" t="s">
        <v>240</v>
      </c>
      <c r="G1070" t="s">
        <v>103</v>
      </c>
      <c r="H1070" t="s">
        <v>104</v>
      </c>
      <c r="I1070">
        <v>2022</v>
      </c>
      <c r="J1070" t="s">
        <v>241</v>
      </c>
      <c r="K1070" t="s">
        <v>106</v>
      </c>
      <c r="L1070" t="s">
        <v>1424</v>
      </c>
      <c r="M1070" t="s">
        <v>1430</v>
      </c>
      <c r="N1070">
        <v>1</v>
      </c>
      <c r="O1070">
        <v>2020</v>
      </c>
      <c r="P1070">
        <v>364.1638033744108</v>
      </c>
      <c r="Q1070">
        <v>0.71474740603417231</v>
      </c>
      <c r="R1070" t="s">
        <v>109</v>
      </c>
      <c r="S1070">
        <v>3.9</v>
      </c>
      <c r="T1070" t="s">
        <v>110</v>
      </c>
      <c r="U1070">
        <v>3.9</v>
      </c>
      <c r="V1070">
        <v>1242.578772292075</v>
      </c>
      <c r="W1070">
        <v>2.4388199652445048</v>
      </c>
      <c r="X1070" t="s">
        <v>111</v>
      </c>
      <c r="Y1070">
        <v>15</v>
      </c>
      <c r="Z1070">
        <v>0.44</v>
      </c>
      <c r="AA1070">
        <v>31.536000000000001</v>
      </c>
    </row>
    <row r="1071" spans="1:27" hidden="1" x14ac:dyDescent="0.25">
      <c r="A1071" t="s">
        <v>98</v>
      </c>
      <c r="B1071" t="s">
        <v>1374</v>
      </c>
      <c r="D1071" t="s">
        <v>100</v>
      </c>
      <c r="E1071" t="s">
        <v>243</v>
      </c>
      <c r="F1071" t="s">
        <v>244</v>
      </c>
      <c r="G1071" t="s">
        <v>245</v>
      </c>
      <c r="H1071" t="s">
        <v>104</v>
      </c>
      <c r="I1071">
        <v>2022</v>
      </c>
      <c r="J1071" t="s">
        <v>246</v>
      </c>
      <c r="K1071" t="s">
        <v>106</v>
      </c>
      <c r="L1071" t="s">
        <v>1431</v>
      </c>
      <c r="M1071" t="s">
        <v>1432</v>
      </c>
      <c r="N1071">
        <v>1</v>
      </c>
      <c r="O1071">
        <v>2020</v>
      </c>
      <c r="P1071">
        <v>5418.3180362120765</v>
      </c>
      <c r="Q1071">
        <v>63.780978532496562</v>
      </c>
      <c r="R1071" t="s">
        <v>249</v>
      </c>
      <c r="S1071">
        <v>0.41325750353930962</v>
      </c>
      <c r="T1071" t="s">
        <v>250</v>
      </c>
      <c r="U1071">
        <v>1</v>
      </c>
      <c r="V1071">
        <v>7640.3348848129563</v>
      </c>
      <c r="W1071">
        <v>89.937141380872987</v>
      </c>
      <c r="X1071" t="s">
        <v>111</v>
      </c>
      <c r="Y1071">
        <v>20</v>
      </c>
      <c r="Z1071">
        <v>0.44</v>
      </c>
      <c r="AA1071">
        <v>31.536000000000001</v>
      </c>
    </row>
    <row r="1072" spans="1:27" hidden="1" x14ac:dyDescent="0.25">
      <c r="A1072" t="s">
        <v>98</v>
      </c>
      <c r="B1072" t="s">
        <v>1374</v>
      </c>
      <c r="D1072" t="s">
        <v>100</v>
      </c>
      <c r="E1072" t="s">
        <v>243</v>
      </c>
      <c r="F1072" t="s">
        <v>244</v>
      </c>
      <c r="G1072" t="s">
        <v>103</v>
      </c>
      <c r="H1072" t="s">
        <v>104</v>
      </c>
      <c r="I1072">
        <v>2022</v>
      </c>
      <c r="J1072" t="s">
        <v>251</v>
      </c>
      <c r="K1072" t="s">
        <v>106</v>
      </c>
      <c r="L1072" t="s">
        <v>1431</v>
      </c>
      <c r="M1072" t="s">
        <v>1433</v>
      </c>
      <c r="N1072">
        <v>1</v>
      </c>
      <c r="O1072">
        <v>2020</v>
      </c>
      <c r="P1072">
        <v>5667.3116722418044</v>
      </c>
      <c r="Q1072">
        <v>63.780978532496562</v>
      </c>
      <c r="R1072" t="s">
        <v>249</v>
      </c>
      <c r="S1072">
        <v>0.43508713487380868</v>
      </c>
      <c r="T1072" t="s">
        <v>250</v>
      </c>
      <c r="U1072">
        <v>1.052823315118397</v>
      </c>
      <c r="V1072">
        <v>7991.4391852139524</v>
      </c>
      <c r="W1072">
        <v>89.937141380873001</v>
      </c>
      <c r="X1072" t="s">
        <v>111</v>
      </c>
      <c r="Y1072">
        <v>20</v>
      </c>
      <c r="Z1072">
        <v>0.44</v>
      </c>
      <c r="AA1072">
        <v>31.536000000000001</v>
      </c>
    </row>
    <row r="1073" spans="1:27" hidden="1" x14ac:dyDescent="0.25">
      <c r="A1073" t="s">
        <v>98</v>
      </c>
      <c r="B1073" t="s">
        <v>1374</v>
      </c>
      <c r="D1073" t="s">
        <v>100</v>
      </c>
      <c r="E1073" t="s">
        <v>243</v>
      </c>
      <c r="F1073" t="s">
        <v>244</v>
      </c>
      <c r="G1073" t="s">
        <v>112</v>
      </c>
      <c r="H1073" t="s">
        <v>104</v>
      </c>
      <c r="I1073">
        <v>2022</v>
      </c>
      <c r="J1073" t="s">
        <v>253</v>
      </c>
      <c r="K1073" t="s">
        <v>106</v>
      </c>
      <c r="L1073" t="s">
        <v>1431</v>
      </c>
      <c r="M1073" t="s">
        <v>1434</v>
      </c>
      <c r="N1073">
        <v>1</v>
      </c>
      <c r="O1073">
        <v>2020</v>
      </c>
      <c r="P1073">
        <v>5911.8706390075113</v>
      </c>
      <c r="Q1073">
        <v>63.780978532496562</v>
      </c>
      <c r="R1073" t="s">
        <v>249</v>
      </c>
      <c r="S1073">
        <v>0.44315925240393511</v>
      </c>
      <c r="T1073" t="s">
        <v>250</v>
      </c>
      <c r="U1073">
        <v>1.0723562152133581</v>
      </c>
      <c r="V1073">
        <v>8336.2901874412255</v>
      </c>
      <c r="W1073">
        <v>89.937141380873001</v>
      </c>
      <c r="X1073" t="s">
        <v>111</v>
      </c>
      <c r="Y1073">
        <v>20</v>
      </c>
      <c r="Z1073">
        <v>0.44</v>
      </c>
      <c r="AA1073">
        <v>31.536000000000001</v>
      </c>
    </row>
    <row r="1074" spans="1:27" hidden="1" x14ac:dyDescent="0.25">
      <c r="A1074" t="s">
        <v>98</v>
      </c>
      <c r="B1074" t="s">
        <v>1374</v>
      </c>
      <c r="D1074" t="s">
        <v>100</v>
      </c>
      <c r="E1074" t="s">
        <v>243</v>
      </c>
      <c r="F1074" t="s">
        <v>244</v>
      </c>
      <c r="G1074" t="s">
        <v>103</v>
      </c>
      <c r="H1074" t="s">
        <v>104</v>
      </c>
      <c r="I1074">
        <v>2030</v>
      </c>
      <c r="J1074" t="s">
        <v>255</v>
      </c>
      <c r="K1074" t="s">
        <v>106</v>
      </c>
      <c r="L1074" t="s">
        <v>1431</v>
      </c>
      <c r="M1074" t="s">
        <v>1435</v>
      </c>
      <c r="N1074">
        <v>1</v>
      </c>
      <c r="O1074">
        <v>2030</v>
      </c>
      <c r="P1074">
        <v>5667.3116722418044</v>
      </c>
      <c r="Q1074">
        <v>63.780978532496562</v>
      </c>
      <c r="R1074" t="s">
        <v>249</v>
      </c>
      <c r="S1074">
        <v>0.43508713487380868</v>
      </c>
      <c r="T1074" t="s">
        <v>250</v>
      </c>
      <c r="U1074">
        <v>1.052823315118397</v>
      </c>
      <c r="V1074">
        <v>7991.4391852139524</v>
      </c>
      <c r="W1074">
        <v>89.937141380873001</v>
      </c>
      <c r="X1074" t="s">
        <v>111</v>
      </c>
      <c r="Y1074">
        <v>20</v>
      </c>
      <c r="Z1074">
        <v>0.44</v>
      </c>
      <c r="AA1074">
        <v>31.536000000000001</v>
      </c>
    </row>
    <row r="1075" spans="1:27" hidden="1" x14ac:dyDescent="0.25">
      <c r="A1075" t="s">
        <v>98</v>
      </c>
      <c r="B1075" t="s">
        <v>1374</v>
      </c>
      <c r="D1075" t="s">
        <v>100</v>
      </c>
      <c r="E1075" t="s">
        <v>243</v>
      </c>
      <c r="F1075" t="s">
        <v>244</v>
      </c>
      <c r="G1075" t="s">
        <v>112</v>
      </c>
      <c r="H1075" t="s">
        <v>104</v>
      </c>
      <c r="I1075">
        <v>2030</v>
      </c>
      <c r="J1075" t="s">
        <v>257</v>
      </c>
      <c r="K1075" t="s">
        <v>106</v>
      </c>
      <c r="L1075" t="s">
        <v>1431</v>
      </c>
      <c r="M1075" t="s">
        <v>1436</v>
      </c>
      <c r="N1075">
        <v>1</v>
      </c>
      <c r="O1075">
        <v>2030</v>
      </c>
      <c r="P1075">
        <v>5911.8706390075113</v>
      </c>
      <c r="Q1075">
        <v>63.780978532496562</v>
      </c>
      <c r="R1075" t="s">
        <v>249</v>
      </c>
      <c r="S1075">
        <v>0.44315925240393511</v>
      </c>
      <c r="T1075" t="s">
        <v>250</v>
      </c>
      <c r="U1075">
        <v>1.0723562152133581</v>
      </c>
      <c r="V1075">
        <v>8336.2901874412255</v>
      </c>
      <c r="W1075">
        <v>89.937141380873001</v>
      </c>
      <c r="X1075" t="s">
        <v>111</v>
      </c>
      <c r="Y1075">
        <v>20</v>
      </c>
      <c r="Z1075">
        <v>0.44</v>
      </c>
      <c r="AA1075">
        <v>31.536000000000001</v>
      </c>
    </row>
    <row r="1076" spans="1:27" hidden="1" x14ac:dyDescent="0.25">
      <c r="A1076" t="s">
        <v>98</v>
      </c>
      <c r="B1076" t="s">
        <v>1374</v>
      </c>
      <c r="D1076" t="s">
        <v>100</v>
      </c>
      <c r="E1076" t="s">
        <v>243</v>
      </c>
      <c r="F1076" t="s">
        <v>244</v>
      </c>
      <c r="G1076" t="s">
        <v>103</v>
      </c>
      <c r="H1076" t="s">
        <v>104</v>
      </c>
      <c r="I1076">
        <v>2040</v>
      </c>
      <c r="J1076" t="s">
        <v>259</v>
      </c>
      <c r="K1076" t="s">
        <v>106</v>
      </c>
      <c r="L1076" t="s">
        <v>1431</v>
      </c>
      <c r="M1076" t="s">
        <v>1437</v>
      </c>
      <c r="N1076">
        <v>1</v>
      </c>
      <c r="O1076">
        <v>2040</v>
      </c>
      <c r="P1076">
        <v>5667.3116722418044</v>
      </c>
      <c r="Q1076">
        <v>63.780978532496562</v>
      </c>
      <c r="R1076" t="s">
        <v>249</v>
      </c>
      <c r="S1076">
        <v>0.43508713487380868</v>
      </c>
      <c r="T1076" t="s">
        <v>250</v>
      </c>
      <c r="U1076">
        <v>1.052823315118397</v>
      </c>
      <c r="V1076">
        <v>7991.4391852139524</v>
      </c>
      <c r="W1076">
        <v>89.937141380873001</v>
      </c>
      <c r="X1076" t="s">
        <v>111</v>
      </c>
      <c r="Y1076">
        <v>20</v>
      </c>
      <c r="Z1076">
        <v>0.44</v>
      </c>
      <c r="AA1076">
        <v>31.536000000000001</v>
      </c>
    </row>
    <row r="1077" spans="1:27" hidden="1" x14ac:dyDescent="0.25">
      <c r="A1077" t="s">
        <v>98</v>
      </c>
      <c r="B1077" t="s">
        <v>1374</v>
      </c>
      <c r="D1077" t="s">
        <v>100</v>
      </c>
      <c r="E1077" t="s">
        <v>243</v>
      </c>
      <c r="F1077" t="s">
        <v>244</v>
      </c>
      <c r="G1077" t="s">
        <v>112</v>
      </c>
      <c r="H1077" t="s">
        <v>104</v>
      </c>
      <c r="I1077">
        <v>2040</v>
      </c>
      <c r="J1077" t="s">
        <v>261</v>
      </c>
      <c r="K1077" t="s">
        <v>106</v>
      </c>
      <c r="L1077" t="s">
        <v>1431</v>
      </c>
      <c r="M1077" t="s">
        <v>1438</v>
      </c>
      <c r="N1077">
        <v>1</v>
      </c>
      <c r="O1077">
        <v>2040</v>
      </c>
      <c r="P1077">
        <v>5911.8706390075113</v>
      </c>
      <c r="Q1077">
        <v>63.780978532496562</v>
      </c>
      <c r="R1077" t="s">
        <v>249</v>
      </c>
      <c r="S1077">
        <v>0.44315925240393511</v>
      </c>
      <c r="T1077" t="s">
        <v>250</v>
      </c>
      <c r="U1077">
        <v>1.0723562152133581</v>
      </c>
      <c r="V1077">
        <v>8336.2901874412255</v>
      </c>
      <c r="W1077">
        <v>89.937141380873001</v>
      </c>
      <c r="X1077" t="s">
        <v>111</v>
      </c>
      <c r="Y1077">
        <v>20</v>
      </c>
      <c r="Z1077">
        <v>0.44</v>
      </c>
      <c r="AA1077">
        <v>31.536000000000001</v>
      </c>
    </row>
    <row r="1078" spans="1:27" hidden="1" x14ac:dyDescent="0.25">
      <c r="A1078" t="s">
        <v>98</v>
      </c>
      <c r="B1078" t="s">
        <v>1374</v>
      </c>
      <c r="D1078" t="s">
        <v>100</v>
      </c>
      <c r="E1078" t="s">
        <v>243</v>
      </c>
      <c r="F1078" t="s">
        <v>244</v>
      </c>
      <c r="G1078" t="s">
        <v>103</v>
      </c>
      <c r="H1078" t="s">
        <v>104</v>
      </c>
      <c r="I1078">
        <v>2050</v>
      </c>
      <c r="J1078" t="s">
        <v>263</v>
      </c>
      <c r="K1078" t="s">
        <v>106</v>
      </c>
      <c r="L1078" t="s">
        <v>1431</v>
      </c>
      <c r="M1078" t="s">
        <v>1439</v>
      </c>
      <c r="N1078">
        <v>1</v>
      </c>
      <c r="O1078">
        <v>2050</v>
      </c>
      <c r="P1078">
        <v>5667.3116722418044</v>
      </c>
      <c r="Q1078">
        <v>63.780978532496562</v>
      </c>
      <c r="R1078" t="s">
        <v>249</v>
      </c>
      <c r="S1078">
        <v>0.43508713487380868</v>
      </c>
      <c r="T1078" t="s">
        <v>250</v>
      </c>
      <c r="U1078">
        <v>1.052823315118397</v>
      </c>
      <c r="V1078">
        <v>7991.4391852139524</v>
      </c>
      <c r="W1078">
        <v>89.937141380873001</v>
      </c>
      <c r="X1078" t="s">
        <v>111</v>
      </c>
      <c r="Y1078">
        <v>20</v>
      </c>
      <c r="Z1078">
        <v>0.44</v>
      </c>
      <c r="AA1078">
        <v>31.536000000000001</v>
      </c>
    </row>
    <row r="1079" spans="1:27" hidden="1" x14ac:dyDescent="0.25">
      <c r="A1079" t="s">
        <v>98</v>
      </c>
      <c r="B1079" t="s">
        <v>1374</v>
      </c>
      <c r="D1079" t="s">
        <v>100</v>
      </c>
      <c r="E1079" t="s">
        <v>243</v>
      </c>
      <c r="F1079" t="s">
        <v>244</v>
      </c>
      <c r="G1079" t="s">
        <v>112</v>
      </c>
      <c r="H1079" t="s">
        <v>104</v>
      </c>
      <c r="I1079">
        <v>2050</v>
      </c>
      <c r="J1079" t="s">
        <v>265</v>
      </c>
      <c r="K1079" t="s">
        <v>106</v>
      </c>
      <c r="L1079" t="s">
        <v>1431</v>
      </c>
      <c r="M1079" t="s">
        <v>1440</v>
      </c>
      <c r="N1079">
        <v>1</v>
      </c>
      <c r="O1079">
        <v>2050</v>
      </c>
      <c r="P1079">
        <v>5911.8706390075113</v>
      </c>
      <c r="Q1079">
        <v>63.780978532496562</v>
      </c>
      <c r="R1079" t="s">
        <v>249</v>
      </c>
      <c r="S1079">
        <v>0.44315925240393511</v>
      </c>
      <c r="T1079" t="s">
        <v>250</v>
      </c>
      <c r="U1079">
        <v>1.0723562152133581</v>
      </c>
      <c r="V1079">
        <v>8336.2901874412255</v>
      </c>
      <c r="W1079">
        <v>89.937141380873001</v>
      </c>
      <c r="X1079" t="s">
        <v>111</v>
      </c>
      <c r="Y1079">
        <v>20</v>
      </c>
      <c r="Z1079">
        <v>0.44</v>
      </c>
      <c r="AA1079">
        <v>31.536000000000001</v>
      </c>
    </row>
    <row r="1080" spans="1:27" hidden="1" x14ac:dyDescent="0.25">
      <c r="A1080" t="s">
        <v>98</v>
      </c>
      <c r="B1080" t="s">
        <v>1374</v>
      </c>
      <c r="D1080" t="s">
        <v>100</v>
      </c>
      <c r="E1080" t="s">
        <v>243</v>
      </c>
      <c r="F1080" t="s">
        <v>267</v>
      </c>
      <c r="G1080" t="s">
        <v>245</v>
      </c>
      <c r="H1080" t="s">
        <v>104</v>
      </c>
      <c r="I1080">
        <v>2022</v>
      </c>
      <c r="J1080" t="s">
        <v>268</v>
      </c>
      <c r="K1080" t="s">
        <v>106</v>
      </c>
      <c r="L1080" t="s">
        <v>1431</v>
      </c>
      <c r="M1080" t="s">
        <v>1441</v>
      </c>
      <c r="N1080">
        <v>1</v>
      </c>
      <c r="O1080">
        <v>2020</v>
      </c>
      <c r="P1080">
        <v>7748.5410872802086</v>
      </c>
      <c r="Q1080">
        <v>68.755259026523561</v>
      </c>
      <c r="R1080" t="s">
        <v>249</v>
      </c>
      <c r="S1080">
        <v>0.29876527460377861</v>
      </c>
      <c r="T1080" t="s">
        <v>250</v>
      </c>
      <c r="U1080">
        <v>0.72295184490306452</v>
      </c>
      <c r="V1080">
        <v>10926.167194301681</v>
      </c>
      <c r="W1080">
        <v>96.951341826723592</v>
      </c>
      <c r="X1080" t="s">
        <v>111</v>
      </c>
      <c r="Y1080">
        <v>20</v>
      </c>
      <c r="Z1080">
        <v>0.44</v>
      </c>
      <c r="AA1080">
        <v>31.536000000000001</v>
      </c>
    </row>
    <row r="1081" spans="1:27" hidden="1" x14ac:dyDescent="0.25">
      <c r="A1081" t="s">
        <v>98</v>
      </c>
      <c r="B1081" t="s">
        <v>1374</v>
      </c>
      <c r="D1081" t="s">
        <v>100</v>
      </c>
      <c r="E1081" t="s">
        <v>243</v>
      </c>
      <c r="F1081" t="s">
        <v>267</v>
      </c>
      <c r="G1081" t="s">
        <v>112</v>
      </c>
      <c r="H1081" t="s">
        <v>104</v>
      </c>
      <c r="I1081">
        <v>2022</v>
      </c>
      <c r="J1081" t="s">
        <v>270</v>
      </c>
      <c r="K1081" t="s">
        <v>106</v>
      </c>
      <c r="L1081" t="s">
        <v>1431</v>
      </c>
      <c r="M1081" t="s">
        <v>1442</v>
      </c>
      <c r="N1081">
        <v>1</v>
      </c>
      <c r="O1081">
        <v>2020</v>
      </c>
      <c r="P1081">
        <v>8151.6394802345676</v>
      </c>
      <c r="Q1081">
        <v>68.755259026523561</v>
      </c>
      <c r="R1081" t="s">
        <v>249</v>
      </c>
      <c r="S1081">
        <v>0.29876527460377861</v>
      </c>
      <c r="T1081" t="s">
        <v>250</v>
      </c>
      <c r="U1081">
        <v>0.72295184490306452</v>
      </c>
      <c r="V1081">
        <v>11494.57360623949</v>
      </c>
      <c r="W1081">
        <v>96.951341826723592</v>
      </c>
      <c r="X1081" t="s">
        <v>111</v>
      </c>
      <c r="Y1081">
        <v>20</v>
      </c>
      <c r="Z1081">
        <v>0.44</v>
      </c>
      <c r="AA1081">
        <v>31.536000000000001</v>
      </c>
    </row>
    <row r="1082" spans="1:27" hidden="1" x14ac:dyDescent="0.25">
      <c r="A1082" t="s">
        <v>98</v>
      </c>
      <c r="B1082" t="s">
        <v>1374</v>
      </c>
      <c r="D1082" t="s">
        <v>100</v>
      </c>
      <c r="E1082" t="s">
        <v>243</v>
      </c>
      <c r="F1082" t="s">
        <v>267</v>
      </c>
      <c r="G1082" t="s">
        <v>103</v>
      </c>
      <c r="H1082" t="s">
        <v>104</v>
      </c>
      <c r="I1082">
        <v>2030</v>
      </c>
      <c r="J1082" t="s">
        <v>272</v>
      </c>
      <c r="K1082" t="s">
        <v>106</v>
      </c>
      <c r="L1082" t="s">
        <v>1431</v>
      </c>
      <c r="M1082" t="s">
        <v>1443</v>
      </c>
      <c r="N1082">
        <v>1</v>
      </c>
      <c r="O1082">
        <v>2030</v>
      </c>
      <c r="P1082">
        <v>8119.0316179991396</v>
      </c>
      <c r="Q1082">
        <v>68.755259026523561</v>
      </c>
      <c r="R1082" t="s">
        <v>249</v>
      </c>
      <c r="S1082">
        <v>0.29876527460377861</v>
      </c>
      <c r="T1082" t="s">
        <v>250</v>
      </c>
      <c r="U1082">
        <v>0.72295184490306452</v>
      </c>
      <c r="V1082">
        <v>11448.59347260918</v>
      </c>
      <c r="W1082">
        <v>96.951341826723592</v>
      </c>
      <c r="X1082" t="s">
        <v>111</v>
      </c>
      <c r="Y1082">
        <v>20</v>
      </c>
      <c r="Z1082">
        <v>0.44</v>
      </c>
      <c r="AA1082">
        <v>31.536000000000001</v>
      </c>
    </row>
    <row r="1083" spans="1:27" hidden="1" x14ac:dyDescent="0.25">
      <c r="A1083" t="s">
        <v>98</v>
      </c>
      <c r="B1083" t="s">
        <v>1374</v>
      </c>
      <c r="D1083" t="s">
        <v>100</v>
      </c>
      <c r="E1083" t="s">
        <v>243</v>
      </c>
      <c r="F1083" t="s">
        <v>267</v>
      </c>
      <c r="G1083" t="s">
        <v>112</v>
      </c>
      <c r="H1083" t="s">
        <v>104</v>
      </c>
      <c r="I1083">
        <v>2030</v>
      </c>
      <c r="J1083" t="s">
        <v>274</v>
      </c>
      <c r="K1083" t="s">
        <v>106</v>
      </c>
      <c r="L1083" t="s">
        <v>1431</v>
      </c>
      <c r="M1083" t="s">
        <v>1444</v>
      </c>
      <c r="N1083">
        <v>1</v>
      </c>
      <c r="O1083">
        <v>2030</v>
      </c>
      <c r="P1083">
        <v>8151.6394802345676</v>
      </c>
      <c r="Q1083">
        <v>68.755259026523561</v>
      </c>
      <c r="R1083" t="s">
        <v>249</v>
      </c>
      <c r="S1083">
        <v>0.31450011460924421</v>
      </c>
      <c r="T1083" t="s">
        <v>250</v>
      </c>
      <c r="U1083">
        <v>0.76102699144173802</v>
      </c>
      <c r="V1083">
        <v>11494.57360623949</v>
      </c>
      <c r="W1083">
        <v>96.951341826723578</v>
      </c>
      <c r="X1083" t="s">
        <v>111</v>
      </c>
      <c r="Y1083">
        <v>20</v>
      </c>
      <c r="Z1083">
        <v>0.44</v>
      </c>
      <c r="AA1083">
        <v>31.536000000000001</v>
      </c>
    </row>
    <row r="1084" spans="1:27" hidden="1" x14ac:dyDescent="0.25">
      <c r="A1084" t="s">
        <v>98</v>
      </c>
      <c r="B1084" t="s">
        <v>1374</v>
      </c>
      <c r="D1084" t="s">
        <v>100</v>
      </c>
      <c r="E1084" t="s">
        <v>243</v>
      </c>
      <c r="F1084" t="s">
        <v>267</v>
      </c>
      <c r="G1084" t="s">
        <v>103</v>
      </c>
      <c r="H1084" t="s">
        <v>104</v>
      </c>
      <c r="I1084">
        <v>2040</v>
      </c>
      <c r="J1084" t="s">
        <v>276</v>
      </c>
      <c r="K1084" t="s">
        <v>106</v>
      </c>
      <c r="L1084" t="s">
        <v>1431</v>
      </c>
      <c r="M1084" t="s">
        <v>1445</v>
      </c>
      <c r="N1084">
        <v>1</v>
      </c>
      <c r="O1084">
        <v>2040</v>
      </c>
      <c r="P1084">
        <v>8119.0316179991396</v>
      </c>
      <c r="Q1084">
        <v>68.755259026523561</v>
      </c>
      <c r="R1084" t="s">
        <v>249</v>
      </c>
      <c r="S1084">
        <v>0.29876527460377861</v>
      </c>
      <c r="T1084" t="s">
        <v>250</v>
      </c>
      <c r="U1084">
        <v>0.72295184490306452</v>
      </c>
      <c r="V1084">
        <v>11448.59347260918</v>
      </c>
      <c r="W1084">
        <v>96.951341826723592</v>
      </c>
      <c r="X1084" t="s">
        <v>111</v>
      </c>
      <c r="Y1084">
        <v>20</v>
      </c>
      <c r="Z1084">
        <v>0.44</v>
      </c>
      <c r="AA1084">
        <v>31.536000000000001</v>
      </c>
    </row>
    <row r="1085" spans="1:27" hidden="1" x14ac:dyDescent="0.25">
      <c r="A1085" t="s">
        <v>98</v>
      </c>
      <c r="B1085" t="s">
        <v>1374</v>
      </c>
      <c r="D1085" t="s">
        <v>100</v>
      </c>
      <c r="E1085" t="s">
        <v>243</v>
      </c>
      <c r="F1085" t="s">
        <v>267</v>
      </c>
      <c r="G1085" t="s">
        <v>112</v>
      </c>
      <c r="H1085" t="s">
        <v>104</v>
      </c>
      <c r="I1085">
        <v>2040</v>
      </c>
      <c r="J1085" t="s">
        <v>278</v>
      </c>
      <c r="K1085" t="s">
        <v>106</v>
      </c>
      <c r="L1085" t="s">
        <v>1431</v>
      </c>
      <c r="M1085" t="s">
        <v>1446</v>
      </c>
      <c r="N1085">
        <v>1</v>
      </c>
      <c r="O1085">
        <v>2040</v>
      </c>
      <c r="P1085">
        <v>8151.6394802345676</v>
      </c>
      <c r="Q1085">
        <v>68.755259026523561</v>
      </c>
      <c r="R1085" t="s">
        <v>249</v>
      </c>
      <c r="S1085">
        <v>0.31450011460924421</v>
      </c>
      <c r="T1085" t="s">
        <v>250</v>
      </c>
      <c r="U1085">
        <v>0.76102699144173802</v>
      </c>
      <c r="V1085">
        <v>11494.57360623949</v>
      </c>
      <c r="W1085">
        <v>96.951341826723578</v>
      </c>
      <c r="X1085" t="s">
        <v>111</v>
      </c>
      <c r="Y1085">
        <v>20</v>
      </c>
      <c r="Z1085">
        <v>0.44</v>
      </c>
      <c r="AA1085">
        <v>31.536000000000001</v>
      </c>
    </row>
    <row r="1086" spans="1:27" hidden="1" x14ac:dyDescent="0.25">
      <c r="A1086" t="s">
        <v>98</v>
      </c>
      <c r="B1086" t="s">
        <v>1374</v>
      </c>
      <c r="D1086" t="s">
        <v>100</v>
      </c>
      <c r="E1086" t="s">
        <v>243</v>
      </c>
      <c r="F1086" t="s">
        <v>267</v>
      </c>
      <c r="G1086" t="s">
        <v>103</v>
      </c>
      <c r="H1086" t="s">
        <v>104</v>
      </c>
      <c r="I1086">
        <v>2050</v>
      </c>
      <c r="J1086" t="s">
        <v>280</v>
      </c>
      <c r="K1086" t="s">
        <v>106</v>
      </c>
      <c r="L1086" t="s">
        <v>1431</v>
      </c>
      <c r="M1086" t="s">
        <v>1447</v>
      </c>
      <c r="N1086">
        <v>1</v>
      </c>
      <c r="O1086">
        <v>2050</v>
      </c>
      <c r="P1086">
        <v>8119.0316179991396</v>
      </c>
      <c r="Q1086">
        <v>68.755259026523561</v>
      </c>
      <c r="R1086" t="s">
        <v>249</v>
      </c>
      <c r="S1086">
        <v>0.29876527460377861</v>
      </c>
      <c r="T1086" t="s">
        <v>250</v>
      </c>
      <c r="U1086">
        <v>0.72295184490306452</v>
      </c>
      <c r="V1086">
        <v>11448.59347260918</v>
      </c>
      <c r="W1086">
        <v>96.951341826723592</v>
      </c>
      <c r="X1086" t="s">
        <v>111</v>
      </c>
      <c r="Y1086">
        <v>20</v>
      </c>
      <c r="Z1086">
        <v>0.44</v>
      </c>
      <c r="AA1086">
        <v>31.536000000000001</v>
      </c>
    </row>
    <row r="1087" spans="1:27" hidden="1" x14ac:dyDescent="0.25">
      <c r="A1087" t="s">
        <v>98</v>
      </c>
      <c r="B1087" t="s">
        <v>1374</v>
      </c>
      <c r="D1087" t="s">
        <v>100</v>
      </c>
      <c r="E1087" t="s">
        <v>243</v>
      </c>
      <c r="F1087" t="s">
        <v>267</v>
      </c>
      <c r="G1087" t="s">
        <v>112</v>
      </c>
      <c r="H1087" t="s">
        <v>104</v>
      </c>
      <c r="I1087">
        <v>2050</v>
      </c>
      <c r="J1087" t="s">
        <v>282</v>
      </c>
      <c r="K1087" t="s">
        <v>106</v>
      </c>
      <c r="L1087" t="s">
        <v>1431</v>
      </c>
      <c r="M1087" t="s">
        <v>1448</v>
      </c>
      <c r="N1087">
        <v>1</v>
      </c>
      <c r="O1087">
        <v>2050</v>
      </c>
      <c r="P1087">
        <v>8151.6394802345676</v>
      </c>
      <c r="Q1087">
        <v>68.755259026523561</v>
      </c>
      <c r="R1087" t="s">
        <v>249</v>
      </c>
      <c r="S1087">
        <v>0.31450011460924421</v>
      </c>
      <c r="T1087" t="s">
        <v>250</v>
      </c>
      <c r="U1087">
        <v>0.76102699144173802</v>
      </c>
      <c r="V1087">
        <v>11494.57360623949</v>
      </c>
      <c r="W1087">
        <v>96.951341826723578</v>
      </c>
      <c r="X1087" t="s">
        <v>111</v>
      </c>
      <c r="Y1087">
        <v>20</v>
      </c>
      <c r="Z1087">
        <v>0.44</v>
      </c>
      <c r="AA1087">
        <v>31.536000000000001</v>
      </c>
    </row>
    <row r="1088" spans="1:27" hidden="1" x14ac:dyDescent="0.25">
      <c r="A1088" t="s">
        <v>98</v>
      </c>
      <c r="B1088" t="s">
        <v>1374</v>
      </c>
      <c r="D1088" t="s">
        <v>100</v>
      </c>
      <c r="E1088" t="s">
        <v>284</v>
      </c>
      <c r="F1088" t="s">
        <v>285</v>
      </c>
      <c r="G1088" t="s">
        <v>103</v>
      </c>
      <c r="H1088" t="s">
        <v>104</v>
      </c>
      <c r="I1088">
        <v>2022</v>
      </c>
      <c r="J1088" t="s">
        <v>286</v>
      </c>
      <c r="K1088" t="s">
        <v>106</v>
      </c>
      <c r="L1088" t="s">
        <v>1449</v>
      </c>
      <c r="M1088" t="s">
        <v>1450</v>
      </c>
      <c r="N1088">
        <v>1</v>
      </c>
      <c r="O1088">
        <v>2020</v>
      </c>
      <c r="P1088">
        <v>100.10336678844671</v>
      </c>
      <c r="Q1088">
        <v>36.612504973710713</v>
      </c>
      <c r="R1088" t="s">
        <v>289</v>
      </c>
      <c r="S1088">
        <v>15.58191798941797</v>
      </c>
      <c r="T1088" t="s">
        <v>290</v>
      </c>
      <c r="U1088">
        <v>37.705106031875843</v>
      </c>
      <c r="V1088">
        <v>100.10336678844671</v>
      </c>
      <c r="W1088">
        <v>36.612504973710713</v>
      </c>
      <c r="X1088" t="s">
        <v>291</v>
      </c>
      <c r="Y1088">
        <v>10</v>
      </c>
      <c r="Z1088">
        <v>0.26592676994077491</v>
      </c>
      <c r="AA1088">
        <v>1</v>
      </c>
    </row>
    <row r="1089" spans="1:27" hidden="1" x14ac:dyDescent="0.25">
      <c r="A1089" t="s">
        <v>98</v>
      </c>
      <c r="B1089" t="s">
        <v>1374</v>
      </c>
      <c r="D1089" t="s">
        <v>100</v>
      </c>
      <c r="E1089" t="s">
        <v>284</v>
      </c>
      <c r="F1089" t="s">
        <v>292</v>
      </c>
      <c r="G1089" t="s">
        <v>103</v>
      </c>
      <c r="H1089" t="s">
        <v>104</v>
      </c>
      <c r="I1089">
        <v>2022</v>
      </c>
      <c r="J1089" t="s">
        <v>293</v>
      </c>
      <c r="K1089" t="s">
        <v>106</v>
      </c>
      <c r="L1089" t="s">
        <v>1449</v>
      </c>
      <c r="M1089" t="s">
        <v>1451</v>
      </c>
      <c r="N1089">
        <v>1</v>
      </c>
      <c r="O1089">
        <v>2020</v>
      </c>
      <c r="P1089">
        <v>99.46253669701926</v>
      </c>
      <c r="Q1089">
        <v>6.0605044913603194</v>
      </c>
      <c r="R1089" t="s">
        <v>289</v>
      </c>
      <c r="S1089">
        <v>42.005691056910557</v>
      </c>
      <c r="T1089" t="s">
        <v>290</v>
      </c>
      <c r="U1089">
        <v>42.005691056910557</v>
      </c>
      <c r="V1089">
        <v>99.46253669701926</v>
      </c>
      <c r="W1089">
        <v>6.0605044913603194</v>
      </c>
      <c r="X1089" t="s">
        <v>291</v>
      </c>
      <c r="Y1089">
        <v>10</v>
      </c>
      <c r="Z1089">
        <v>0.26592676994077491</v>
      </c>
      <c r="AA1089">
        <v>1</v>
      </c>
    </row>
    <row r="1090" spans="1:27" hidden="1" x14ac:dyDescent="0.25">
      <c r="A1090" t="s">
        <v>98</v>
      </c>
      <c r="B1090" t="s">
        <v>1374</v>
      </c>
      <c r="D1090" t="s">
        <v>100</v>
      </c>
      <c r="E1090" t="s">
        <v>284</v>
      </c>
      <c r="F1090" t="s">
        <v>292</v>
      </c>
      <c r="G1090" t="s">
        <v>112</v>
      </c>
      <c r="H1090" t="s">
        <v>104</v>
      </c>
      <c r="I1090">
        <v>2022</v>
      </c>
      <c r="J1090" t="s">
        <v>295</v>
      </c>
      <c r="K1090" t="s">
        <v>106</v>
      </c>
      <c r="L1090" t="s">
        <v>1449</v>
      </c>
      <c r="M1090" t="s">
        <v>1452</v>
      </c>
      <c r="N1090">
        <v>1</v>
      </c>
      <c r="O1090">
        <v>2020</v>
      </c>
      <c r="P1090">
        <v>92.517129414925563</v>
      </c>
      <c r="Q1090">
        <v>5.9256499638890956</v>
      </c>
      <c r="R1090" t="s">
        <v>289</v>
      </c>
      <c r="S1090">
        <v>43.051923076923067</v>
      </c>
      <c r="T1090" t="s">
        <v>290</v>
      </c>
      <c r="U1090">
        <v>43.051923076923067</v>
      </c>
      <c r="V1090">
        <v>92.517129414925563</v>
      </c>
      <c r="W1090">
        <v>5.9256499638890956</v>
      </c>
      <c r="X1090" t="s">
        <v>291</v>
      </c>
      <c r="Y1090">
        <v>10</v>
      </c>
      <c r="Z1090">
        <v>0.26592676994077491</v>
      </c>
      <c r="AA1090">
        <v>1</v>
      </c>
    </row>
    <row r="1091" spans="1:27" hidden="1" x14ac:dyDescent="0.25">
      <c r="A1091" t="s">
        <v>98</v>
      </c>
      <c r="B1091" t="s">
        <v>1374</v>
      </c>
      <c r="D1091" t="s">
        <v>100</v>
      </c>
      <c r="E1091" t="s">
        <v>284</v>
      </c>
      <c r="F1091" t="s">
        <v>297</v>
      </c>
      <c r="G1091" t="s">
        <v>103</v>
      </c>
      <c r="H1091" t="s">
        <v>104</v>
      </c>
      <c r="I1091">
        <v>2022</v>
      </c>
      <c r="J1091" t="s">
        <v>298</v>
      </c>
      <c r="K1091" t="s">
        <v>106</v>
      </c>
      <c r="L1091" t="s">
        <v>1449</v>
      </c>
      <c r="M1091" t="s">
        <v>1453</v>
      </c>
      <c r="N1091">
        <v>1</v>
      </c>
      <c r="O1091">
        <v>2020</v>
      </c>
      <c r="P1091">
        <v>94.526951376087595</v>
      </c>
      <c r="Q1091">
        <v>3.949349451558744</v>
      </c>
      <c r="R1091" t="s">
        <v>289</v>
      </c>
      <c r="S1091">
        <v>76.146700507614213</v>
      </c>
      <c r="T1091" t="s">
        <v>290</v>
      </c>
      <c r="U1091">
        <v>76.146700507614213</v>
      </c>
      <c r="V1091">
        <v>94.526951376087595</v>
      </c>
      <c r="W1091">
        <v>3.949349451558744</v>
      </c>
      <c r="X1091" t="s">
        <v>291</v>
      </c>
      <c r="Y1091">
        <v>10</v>
      </c>
      <c r="Z1091">
        <v>0.26592676994077491</v>
      </c>
      <c r="AA1091">
        <v>1</v>
      </c>
    </row>
    <row r="1092" spans="1:27" hidden="1" x14ac:dyDescent="0.25">
      <c r="A1092" t="s">
        <v>98</v>
      </c>
      <c r="B1092" t="s">
        <v>1374</v>
      </c>
      <c r="D1092" t="s">
        <v>100</v>
      </c>
      <c r="E1092" t="s">
        <v>284</v>
      </c>
      <c r="F1092" t="s">
        <v>297</v>
      </c>
      <c r="G1092" t="s">
        <v>112</v>
      </c>
      <c r="H1092" t="s">
        <v>104</v>
      </c>
      <c r="I1092">
        <v>2022</v>
      </c>
      <c r="J1092" t="s">
        <v>300</v>
      </c>
      <c r="K1092" t="s">
        <v>106</v>
      </c>
      <c r="L1092" t="s">
        <v>1449</v>
      </c>
      <c r="M1092" t="s">
        <v>1454</v>
      </c>
      <c r="N1092">
        <v>1</v>
      </c>
      <c r="O1092">
        <v>2020</v>
      </c>
      <c r="P1092">
        <v>69.765067810793198</v>
      </c>
      <c r="Q1092">
        <v>2.516631606553434</v>
      </c>
      <c r="R1092" t="s">
        <v>289</v>
      </c>
      <c r="S1092">
        <v>93</v>
      </c>
      <c r="T1092" t="s">
        <v>290</v>
      </c>
      <c r="U1092">
        <v>93</v>
      </c>
      <c r="V1092">
        <v>69.765067810793198</v>
      </c>
      <c r="W1092">
        <v>2.516631606553434</v>
      </c>
      <c r="X1092" t="s">
        <v>291</v>
      </c>
      <c r="Y1092">
        <v>10</v>
      </c>
      <c r="Z1092">
        <v>0.26592676994077491</v>
      </c>
      <c r="AA1092">
        <v>1</v>
      </c>
    </row>
    <row r="1093" spans="1:27" hidden="1" x14ac:dyDescent="0.25">
      <c r="A1093" t="s">
        <v>98</v>
      </c>
      <c r="B1093" t="s">
        <v>1374</v>
      </c>
      <c r="D1093" t="s">
        <v>100</v>
      </c>
      <c r="E1093" t="s">
        <v>284</v>
      </c>
      <c r="F1093" t="s">
        <v>302</v>
      </c>
      <c r="G1093" t="s">
        <v>103</v>
      </c>
      <c r="H1093" t="s">
        <v>104</v>
      </c>
      <c r="I1093">
        <v>2022</v>
      </c>
      <c r="J1093" t="s">
        <v>303</v>
      </c>
      <c r="K1093" t="s">
        <v>106</v>
      </c>
      <c r="L1093" t="s">
        <v>1449</v>
      </c>
      <c r="M1093" t="s">
        <v>1455</v>
      </c>
      <c r="N1093">
        <v>1</v>
      </c>
      <c r="O1093">
        <v>2020</v>
      </c>
      <c r="P1093">
        <v>105.7930490817716</v>
      </c>
      <c r="Q1093">
        <v>3.355492309527206</v>
      </c>
      <c r="R1093" t="s">
        <v>289</v>
      </c>
      <c r="S1093">
        <v>64.669172932330824</v>
      </c>
      <c r="T1093" t="s">
        <v>290</v>
      </c>
      <c r="U1093">
        <v>64.669172932330824</v>
      </c>
      <c r="V1093">
        <v>105.7930490817716</v>
      </c>
      <c r="W1093">
        <v>3.355492309527206</v>
      </c>
      <c r="X1093" t="s">
        <v>291</v>
      </c>
      <c r="Y1093">
        <v>10</v>
      </c>
      <c r="Z1093">
        <v>0.26592676994077491</v>
      </c>
      <c r="AA1093">
        <v>1</v>
      </c>
    </row>
    <row r="1094" spans="1:27" hidden="1" x14ac:dyDescent="0.25">
      <c r="A1094" t="s">
        <v>98</v>
      </c>
      <c r="B1094" t="s">
        <v>1374</v>
      </c>
      <c r="D1094" t="s">
        <v>100</v>
      </c>
      <c r="E1094" t="s">
        <v>284</v>
      </c>
      <c r="F1094" t="s">
        <v>302</v>
      </c>
      <c r="G1094" t="s">
        <v>112</v>
      </c>
      <c r="H1094" t="s">
        <v>104</v>
      </c>
      <c r="I1094">
        <v>2022</v>
      </c>
      <c r="J1094" t="s">
        <v>305</v>
      </c>
      <c r="K1094" t="s">
        <v>106</v>
      </c>
      <c r="L1094" t="s">
        <v>1449</v>
      </c>
      <c r="M1094" t="s">
        <v>1456</v>
      </c>
      <c r="N1094">
        <v>1</v>
      </c>
      <c r="O1094">
        <v>2020</v>
      </c>
      <c r="P1094">
        <v>99.614212714858894</v>
      </c>
      <c r="Q1094">
        <v>1.4361600838792941</v>
      </c>
      <c r="R1094" t="s">
        <v>289</v>
      </c>
      <c r="S1094">
        <v>75.07692307692308</v>
      </c>
      <c r="T1094" t="s">
        <v>290</v>
      </c>
      <c r="U1094">
        <v>75.07692307692308</v>
      </c>
      <c r="V1094">
        <v>99.614212714858894</v>
      </c>
      <c r="W1094">
        <v>1.4361600838792941</v>
      </c>
      <c r="X1094" t="s">
        <v>291</v>
      </c>
      <c r="Y1094">
        <v>10</v>
      </c>
      <c r="Z1094">
        <v>0.26592676994077491</v>
      </c>
      <c r="AA1094">
        <v>1</v>
      </c>
    </row>
    <row r="1095" spans="1:27" hidden="1" x14ac:dyDescent="0.25">
      <c r="A1095" t="s">
        <v>98</v>
      </c>
      <c r="B1095" t="s">
        <v>1374</v>
      </c>
      <c r="D1095" t="s">
        <v>100</v>
      </c>
      <c r="E1095" t="s">
        <v>284</v>
      </c>
      <c r="F1095" t="s">
        <v>297</v>
      </c>
      <c r="G1095" t="s">
        <v>103</v>
      </c>
      <c r="H1095" t="s">
        <v>104</v>
      </c>
      <c r="I1095">
        <v>2023</v>
      </c>
      <c r="J1095" t="s">
        <v>307</v>
      </c>
      <c r="K1095" t="s">
        <v>106</v>
      </c>
      <c r="L1095" t="s">
        <v>1449</v>
      </c>
      <c r="M1095" t="s">
        <v>1457</v>
      </c>
      <c r="N1095">
        <v>1</v>
      </c>
      <c r="O1095">
        <v>2023</v>
      </c>
      <c r="P1095">
        <v>94.526951376087595</v>
      </c>
      <c r="Q1095">
        <v>3.949349451558744</v>
      </c>
      <c r="R1095" t="s">
        <v>289</v>
      </c>
      <c r="S1095">
        <v>76.146700507614213</v>
      </c>
      <c r="T1095" t="s">
        <v>290</v>
      </c>
      <c r="U1095">
        <v>76.146700507614213</v>
      </c>
      <c r="V1095">
        <v>94.526951376087595</v>
      </c>
      <c r="W1095">
        <v>3.949349451558744</v>
      </c>
      <c r="X1095" t="s">
        <v>291</v>
      </c>
      <c r="Y1095">
        <v>10</v>
      </c>
      <c r="Z1095">
        <v>0.26592676994077491</v>
      </c>
      <c r="AA1095">
        <v>1</v>
      </c>
    </row>
    <row r="1096" spans="1:27" hidden="1" x14ac:dyDescent="0.25">
      <c r="A1096" t="s">
        <v>98</v>
      </c>
      <c r="B1096" t="s">
        <v>1374</v>
      </c>
      <c r="D1096" t="s">
        <v>100</v>
      </c>
      <c r="E1096" t="s">
        <v>284</v>
      </c>
      <c r="F1096" t="s">
        <v>297</v>
      </c>
      <c r="G1096" t="s">
        <v>112</v>
      </c>
      <c r="H1096" t="s">
        <v>104</v>
      </c>
      <c r="I1096">
        <v>2023</v>
      </c>
      <c r="J1096" t="s">
        <v>309</v>
      </c>
      <c r="K1096" t="s">
        <v>106</v>
      </c>
      <c r="L1096" t="s">
        <v>1449</v>
      </c>
      <c r="M1096" t="s">
        <v>1458</v>
      </c>
      <c r="N1096">
        <v>1</v>
      </c>
      <c r="O1096">
        <v>2023</v>
      </c>
      <c r="P1096">
        <v>69.765067810793198</v>
      </c>
      <c r="Q1096">
        <v>2.516631606553434</v>
      </c>
      <c r="R1096" t="s">
        <v>289</v>
      </c>
      <c r="S1096">
        <v>93</v>
      </c>
      <c r="T1096" t="s">
        <v>290</v>
      </c>
      <c r="U1096">
        <v>93</v>
      </c>
      <c r="V1096">
        <v>69.765067810793198</v>
      </c>
      <c r="W1096">
        <v>2.516631606553434</v>
      </c>
      <c r="X1096" t="s">
        <v>291</v>
      </c>
      <c r="Y1096">
        <v>10</v>
      </c>
      <c r="Z1096">
        <v>0.26592676994077491</v>
      </c>
      <c r="AA1096">
        <v>1</v>
      </c>
    </row>
    <row r="1097" spans="1:27" hidden="1" x14ac:dyDescent="0.25">
      <c r="A1097" t="s">
        <v>98</v>
      </c>
      <c r="B1097" t="s">
        <v>1374</v>
      </c>
      <c r="D1097" t="s">
        <v>100</v>
      </c>
      <c r="E1097" t="s">
        <v>284</v>
      </c>
      <c r="F1097" t="s">
        <v>302</v>
      </c>
      <c r="G1097" t="s">
        <v>103</v>
      </c>
      <c r="H1097" t="s">
        <v>104</v>
      </c>
      <c r="I1097">
        <v>2023</v>
      </c>
      <c r="J1097" t="s">
        <v>311</v>
      </c>
      <c r="K1097" t="s">
        <v>106</v>
      </c>
      <c r="L1097" t="s">
        <v>1449</v>
      </c>
      <c r="M1097" t="s">
        <v>1459</v>
      </c>
      <c r="N1097">
        <v>1</v>
      </c>
      <c r="O1097">
        <v>2023</v>
      </c>
      <c r="P1097">
        <v>105.7930490817716</v>
      </c>
      <c r="Q1097">
        <v>3.355492309527206</v>
      </c>
      <c r="R1097" t="s">
        <v>289</v>
      </c>
      <c r="S1097">
        <v>64.669172932330824</v>
      </c>
      <c r="T1097" t="s">
        <v>290</v>
      </c>
      <c r="U1097">
        <v>64.669172932330824</v>
      </c>
      <c r="V1097">
        <v>105.7930490817716</v>
      </c>
      <c r="W1097">
        <v>3.355492309527206</v>
      </c>
      <c r="X1097" t="s">
        <v>291</v>
      </c>
      <c r="Y1097">
        <v>10</v>
      </c>
      <c r="Z1097">
        <v>0.26592676994077491</v>
      </c>
      <c r="AA1097">
        <v>1</v>
      </c>
    </row>
    <row r="1098" spans="1:27" hidden="1" x14ac:dyDescent="0.25">
      <c r="A1098" t="s">
        <v>98</v>
      </c>
      <c r="B1098" t="s">
        <v>1374</v>
      </c>
      <c r="D1098" t="s">
        <v>100</v>
      </c>
      <c r="E1098" t="s">
        <v>284</v>
      </c>
      <c r="F1098" t="s">
        <v>302</v>
      </c>
      <c r="G1098" t="s">
        <v>112</v>
      </c>
      <c r="H1098" t="s">
        <v>104</v>
      </c>
      <c r="I1098">
        <v>2023</v>
      </c>
      <c r="J1098" t="s">
        <v>313</v>
      </c>
      <c r="K1098" t="s">
        <v>106</v>
      </c>
      <c r="L1098" t="s">
        <v>1449</v>
      </c>
      <c r="M1098" t="s">
        <v>1460</v>
      </c>
      <c r="N1098">
        <v>1</v>
      </c>
      <c r="O1098">
        <v>2023</v>
      </c>
      <c r="P1098">
        <v>99.614212714858894</v>
      </c>
      <c r="Q1098">
        <v>1.4361600838792941</v>
      </c>
      <c r="R1098" t="s">
        <v>289</v>
      </c>
      <c r="S1098">
        <v>75.07692307692308</v>
      </c>
      <c r="T1098" t="s">
        <v>290</v>
      </c>
      <c r="U1098">
        <v>75.07692307692308</v>
      </c>
      <c r="V1098">
        <v>99.614212714858894</v>
      </c>
      <c r="W1098">
        <v>1.4361600838792941</v>
      </c>
      <c r="X1098" t="s">
        <v>291</v>
      </c>
      <c r="Y1098">
        <v>10</v>
      </c>
      <c r="Z1098">
        <v>0.26592676994077491</v>
      </c>
      <c r="AA1098">
        <v>1</v>
      </c>
    </row>
    <row r="1099" spans="1:27" hidden="1" x14ac:dyDescent="0.25">
      <c r="A1099" t="s">
        <v>98</v>
      </c>
      <c r="B1099" t="s">
        <v>1374</v>
      </c>
      <c r="D1099" t="s">
        <v>100</v>
      </c>
      <c r="E1099" t="s">
        <v>284</v>
      </c>
      <c r="F1099" t="s">
        <v>297</v>
      </c>
      <c r="G1099" t="s">
        <v>103</v>
      </c>
      <c r="H1099" t="s">
        <v>104</v>
      </c>
      <c r="I1099">
        <v>2024</v>
      </c>
      <c r="J1099" t="s">
        <v>315</v>
      </c>
      <c r="K1099" t="s">
        <v>106</v>
      </c>
      <c r="L1099" t="s">
        <v>1449</v>
      </c>
      <c r="M1099" t="s">
        <v>1461</v>
      </c>
      <c r="N1099">
        <v>1</v>
      </c>
      <c r="O1099">
        <v>2024</v>
      </c>
      <c r="P1099">
        <v>94.526951376087595</v>
      </c>
      <c r="Q1099">
        <v>3.949349451558744</v>
      </c>
      <c r="R1099" t="s">
        <v>289</v>
      </c>
      <c r="S1099">
        <v>76.146700507614213</v>
      </c>
      <c r="T1099" t="s">
        <v>290</v>
      </c>
      <c r="U1099">
        <v>76.146700507614213</v>
      </c>
      <c r="V1099">
        <v>94.526951376087595</v>
      </c>
      <c r="W1099">
        <v>3.949349451558744</v>
      </c>
      <c r="X1099" t="s">
        <v>291</v>
      </c>
      <c r="Y1099">
        <v>10</v>
      </c>
      <c r="Z1099">
        <v>0.26592676994077491</v>
      </c>
      <c r="AA1099">
        <v>1</v>
      </c>
    </row>
    <row r="1100" spans="1:27" hidden="1" x14ac:dyDescent="0.25">
      <c r="A1100" t="s">
        <v>98</v>
      </c>
      <c r="B1100" t="s">
        <v>1374</v>
      </c>
      <c r="D1100" t="s">
        <v>100</v>
      </c>
      <c r="E1100" t="s">
        <v>284</v>
      </c>
      <c r="F1100" t="s">
        <v>297</v>
      </c>
      <c r="G1100" t="s">
        <v>112</v>
      </c>
      <c r="H1100" t="s">
        <v>104</v>
      </c>
      <c r="I1100">
        <v>2024</v>
      </c>
      <c r="J1100" t="s">
        <v>317</v>
      </c>
      <c r="K1100" t="s">
        <v>106</v>
      </c>
      <c r="L1100" t="s">
        <v>1449</v>
      </c>
      <c r="M1100" t="s">
        <v>1462</v>
      </c>
      <c r="N1100">
        <v>1</v>
      </c>
      <c r="O1100">
        <v>2024</v>
      </c>
      <c r="P1100">
        <v>69.765067810793198</v>
      </c>
      <c r="Q1100">
        <v>2.516631606553434</v>
      </c>
      <c r="R1100" t="s">
        <v>289</v>
      </c>
      <c r="S1100">
        <v>93</v>
      </c>
      <c r="T1100" t="s">
        <v>290</v>
      </c>
      <c r="U1100">
        <v>93</v>
      </c>
      <c r="V1100">
        <v>69.765067810793198</v>
      </c>
      <c r="W1100">
        <v>2.516631606553434</v>
      </c>
      <c r="X1100" t="s">
        <v>291</v>
      </c>
      <c r="Y1100">
        <v>10</v>
      </c>
      <c r="Z1100">
        <v>0.26592676994077491</v>
      </c>
      <c r="AA1100">
        <v>1</v>
      </c>
    </row>
    <row r="1101" spans="1:27" hidden="1" x14ac:dyDescent="0.25">
      <c r="A1101" t="s">
        <v>98</v>
      </c>
      <c r="B1101" t="s">
        <v>1374</v>
      </c>
      <c r="D1101" t="s">
        <v>100</v>
      </c>
      <c r="E1101" t="s">
        <v>284</v>
      </c>
      <c r="F1101" t="s">
        <v>302</v>
      </c>
      <c r="G1101" t="s">
        <v>103</v>
      </c>
      <c r="H1101" t="s">
        <v>104</v>
      </c>
      <c r="I1101">
        <v>2024</v>
      </c>
      <c r="J1101" t="s">
        <v>319</v>
      </c>
      <c r="K1101" t="s">
        <v>106</v>
      </c>
      <c r="L1101" t="s">
        <v>1449</v>
      </c>
      <c r="M1101" t="s">
        <v>1463</v>
      </c>
      <c r="N1101">
        <v>1</v>
      </c>
      <c r="O1101">
        <v>2024</v>
      </c>
      <c r="P1101">
        <v>105.7930490817716</v>
      </c>
      <c r="Q1101">
        <v>3.355492309527206</v>
      </c>
      <c r="R1101" t="s">
        <v>289</v>
      </c>
      <c r="S1101">
        <v>64.669172932330824</v>
      </c>
      <c r="T1101" t="s">
        <v>290</v>
      </c>
      <c r="U1101">
        <v>64.669172932330824</v>
      </c>
      <c r="V1101">
        <v>105.7930490817716</v>
      </c>
      <c r="W1101">
        <v>3.355492309527206</v>
      </c>
      <c r="X1101" t="s">
        <v>291</v>
      </c>
      <c r="Y1101">
        <v>10</v>
      </c>
      <c r="Z1101">
        <v>0.26592676994077491</v>
      </c>
      <c r="AA1101">
        <v>1</v>
      </c>
    </row>
    <row r="1102" spans="1:27" hidden="1" x14ac:dyDescent="0.25">
      <c r="A1102" t="s">
        <v>98</v>
      </c>
      <c r="B1102" t="s">
        <v>1374</v>
      </c>
      <c r="D1102" t="s">
        <v>100</v>
      </c>
      <c r="E1102" t="s">
        <v>284</v>
      </c>
      <c r="F1102" t="s">
        <v>302</v>
      </c>
      <c r="G1102" t="s">
        <v>112</v>
      </c>
      <c r="H1102" t="s">
        <v>104</v>
      </c>
      <c r="I1102">
        <v>2024</v>
      </c>
      <c r="J1102" t="s">
        <v>321</v>
      </c>
      <c r="K1102" t="s">
        <v>106</v>
      </c>
      <c r="L1102" t="s">
        <v>1449</v>
      </c>
      <c r="M1102" t="s">
        <v>1464</v>
      </c>
      <c r="N1102">
        <v>1</v>
      </c>
      <c r="O1102">
        <v>2024</v>
      </c>
      <c r="P1102">
        <v>99.614212714858894</v>
      </c>
      <c r="Q1102">
        <v>1.4361600838792941</v>
      </c>
      <c r="R1102" t="s">
        <v>289</v>
      </c>
      <c r="S1102">
        <v>75.07692307692308</v>
      </c>
      <c r="T1102" t="s">
        <v>290</v>
      </c>
      <c r="U1102">
        <v>75.07692307692308</v>
      </c>
      <c r="V1102">
        <v>99.614212714858894</v>
      </c>
      <c r="W1102">
        <v>1.4361600838792941</v>
      </c>
      <c r="X1102" t="s">
        <v>291</v>
      </c>
      <c r="Y1102">
        <v>10</v>
      </c>
      <c r="Z1102">
        <v>0.26592676994077491</v>
      </c>
      <c r="AA1102">
        <v>1</v>
      </c>
    </row>
    <row r="1103" spans="1:27" hidden="1" x14ac:dyDescent="0.25">
      <c r="A1103" t="s">
        <v>98</v>
      </c>
      <c r="B1103" t="s">
        <v>1374</v>
      </c>
      <c r="D1103" t="s">
        <v>100</v>
      </c>
      <c r="E1103" t="s">
        <v>284</v>
      </c>
      <c r="F1103" t="s">
        <v>297</v>
      </c>
      <c r="G1103" t="s">
        <v>103</v>
      </c>
      <c r="H1103" t="s">
        <v>104</v>
      </c>
      <c r="I1103">
        <v>2025</v>
      </c>
      <c r="J1103" t="s">
        <v>323</v>
      </c>
      <c r="K1103" t="s">
        <v>106</v>
      </c>
      <c r="L1103" t="s">
        <v>1449</v>
      </c>
      <c r="M1103" t="s">
        <v>1465</v>
      </c>
      <c r="N1103">
        <v>1</v>
      </c>
      <c r="O1103">
        <v>2025</v>
      </c>
      <c r="P1103">
        <v>94.526951376087595</v>
      </c>
      <c r="Q1103">
        <v>3.949349451558744</v>
      </c>
      <c r="R1103" t="s">
        <v>289</v>
      </c>
      <c r="S1103">
        <v>76.146700507614213</v>
      </c>
      <c r="T1103" t="s">
        <v>290</v>
      </c>
      <c r="U1103">
        <v>76.146700507614213</v>
      </c>
      <c r="V1103">
        <v>94.526951376087595</v>
      </c>
      <c r="W1103">
        <v>3.949349451558744</v>
      </c>
      <c r="X1103" t="s">
        <v>291</v>
      </c>
      <c r="Y1103">
        <v>10</v>
      </c>
      <c r="Z1103">
        <v>0.26592676994077491</v>
      </c>
      <c r="AA1103">
        <v>1</v>
      </c>
    </row>
    <row r="1104" spans="1:27" hidden="1" x14ac:dyDescent="0.25">
      <c r="A1104" t="s">
        <v>98</v>
      </c>
      <c r="B1104" t="s">
        <v>1374</v>
      </c>
      <c r="D1104" t="s">
        <v>100</v>
      </c>
      <c r="E1104" t="s">
        <v>284</v>
      </c>
      <c r="F1104" t="s">
        <v>297</v>
      </c>
      <c r="G1104" t="s">
        <v>112</v>
      </c>
      <c r="H1104" t="s">
        <v>104</v>
      </c>
      <c r="I1104">
        <v>2025</v>
      </c>
      <c r="J1104" t="s">
        <v>325</v>
      </c>
      <c r="K1104" t="s">
        <v>106</v>
      </c>
      <c r="L1104" t="s">
        <v>1449</v>
      </c>
      <c r="M1104" t="s">
        <v>1466</v>
      </c>
      <c r="N1104">
        <v>1</v>
      </c>
      <c r="O1104">
        <v>2025</v>
      </c>
      <c r="P1104">
        <v>69.765067810793198</v>
      </c>
      <c r="Q1104">
        <v>2.516631606553434</v>
      </c>
      <c r="R1104" t="s">
        <v>289</v>
      </c>
      <c r="S1104">
        <v>93</v>
      </c>
      <c r="T1104" t="s">
        <v>290</v>
      </c>
      <c r="U1104">
        <v>93</v>
      </c>
      <c r="V1104">
        <v>69.765067810793198</v>
      </c>
      <c r="W1104">
        <v>2.516631606553434</v>
      </c>
      <c r="X1104" t="s">
        <v>291</v>
      </c>
      <c r="Y1104">
        <v>10</v>
      </c>
      <c r="Z1104">
        <v>0.26592676994077491</v>
      </c>
      <c r="AA1104">
        <v>1</v>
      </c>
    </row>
    <row r="1105" spans="1:27" hidden="1" x14ac:dyDescent="0.25">
      <c r="A1105" t="s">
        <v>98</v>
      </c>
      <c r="B1105" t="s">
        <v>1374</v>
      </c>
      <c r="D1105" t="s">
        <v>100</v>
      </c>
      <c r="E1105" t="s">
        <v>284</v>
      </c>
      <c r="F1105" t="s">
        <v>302</v>
      </c>
      <c r="G1105" t="s">
        <v>103</v>
      </c>
      <c r="H1105" t="s">
        <v>104</v>
      </c>
      <c r="I1105">
        <v>2025</v>
      </c>
      <c r="J1105" t="s">
        <v>327</v>
      </c>
      <c r="K1105" t="s">
        <v>106</v>
      </c>
      <c r="L1105" t="s">
        <v>1449</v>
      </c>
      <c r="M1105" t="s">
        <v>1467</v>
      </c>
      <c r="N1105">
        <v>1</v>
      </c>
      <c r="O1105">
        <v>2025</v>
      </c>
      <c r="P1105">
        <v>105.7930490817716</v>
      </c>
      <c r="Q1105">
        <v>3.355492309527206</v>
      </c>
      <c r="R1105" t="s">
        <v>289</v>
      </c>
      <c r="S1105">
        <v>64.669172932330824</v>
      </c>
      <c r="T1105" t="s">
        <v>290</v>
      </c>
      <c r="U1105">
        <v>64.669172932330824</v>
      </c>
      <c r="V1105">
        <v>105.7930490817716</v>
      </c>
      <c r="W1105">
        <v>3.355492309527206</v>
      </c>
      <c r="X1105" t="s">
        <v>291</v>
      </c>
      <c r="Y1105">
        <v>10</v>
      </c>
      <c r="Z1105">
        <v>0.26592676994077491</v>
      </c>
      <c r="AA1105">
        <v>1</v>
      </c>
    </row>
    <row r="1106" spans="1:27" hidden="1" x14ac:dyDescent="0.25">
      <c r="A1106" t="s">
        <v>98</v>
      </c>
      <c r="B1106" t="s">
        <v>1374</v>
      </c>
      <c r="D1106" t="s">
        <v>100</v>
      </c>
      <c r="E1106" t="s">
        <v>284</v>
      </c>
      <c r="F1106" t="s">
        <v>302</v>
      </c>
      <c r="G1106" t="s">
        <v>112</v>
      </c>
      <c r="H1106" t="s">
        <v>104</v>
      </c>
      <c r="I1106">
        <v>2025</v>
      </c>
      <c r="J1106" t="s">
        <v>329</v>
      </c>
      <c r="K1106" t="s">
        <v>106</v>
      </c>
      <c r="L1106" t="s">
        <v>1449</v>
      </c>
      <c r="M1106" t="s">
        <v>1468</v>
      </c>
      <c r="N1106">
        <v>1</v>
      </c>
      <c r="O1106">
        <v>2025</v>
      </c>
      <c r="P1106">
        <v>99.614212714858894</v>
      </c>
      <c r="Q1106">
        <v>1.4361600838792941</v>
      </c>
      <c r="R1106" t="s">
        <v>289</v>
      </c>
      <c r="S1106">
        <v>75.07692307692308</v>
      </c>
      <c r="T1106" t="s">
        <v>290</v>
      </c>
      <c r="U1106">
        <v>75.07692307692308</v>
      </c>
      <c r="V1106">
        <v>99.614212714858894</v>
      </c>
      <c r="W1106">
        <v>1.4361600838792941</v>
      </c>
      <c r="X1106" t="s">
        <v>291</v>
      </c>
      <c r="Y1106">
        <v>10</v>
      </c>
      <c r="Z1106">
        <v>0.26592676994077491</v>
      </c>
      <c r="AA1106">
        <v>1</v>
      </c>
    </row>
    <row r="1107" spans="1:27" hidden="1" x14ac:dyDescent="0.25">
      <c r="A1107" t="s">
        <v>98</v>
      </c>
      <c r="B1107" t="s">
        <v>1374</v>
      </c>
      <c r="D1107" t="s">
        <v>100</v>
      </c>
      <c r="E1107" t="s">
        <v>284</v>
      </c>
      <c r="F1107" t="s">
        <v>297</v>
      </c>
      <c r="G1107" t="s">
        <v>103</v>
      </c>
      <c r="H1107" t="s">
        <v>104</v>
      </c>
      <c r="I1107">
        <v>2026</v>
      </c>
      <c r="J1107" t="s">
        <v>331</v>
      </c>
      <c r="K1107" t="s">
        <v>106</v>
      </c>
      <c r="L1107" t="s">
        <v>1449</v>
      </c>
      <c r="M1107" t="s">
        <v>1469</v>
      </c>
      <c r="N1107">
        <v>1</v>
      </c>
      <c r="O1107">
        <v>2026</v>
      </c>
      <c r="P1107">
        <v>94.526951376087595</v>
      </c>
      <c r="Q1107">
        <v>3.949349451558744</v>
      </c>
      <c r="R1107" t="s">
        <v>289</v>
      </c>
      <c r="S1107">
        <v>76.146700507614213</v>
      </c>
      <c r="T1107" t="s">
        <v>290</v>
      </c>
      <c r="U1107">
        <v>76.146700507614213</v>
      </c>
      <c r="V1107">
        <v>94.526951376087595</v>
      </c>
      <c r="W1107">
        <v>3.949349451558744</v>
      </c>
      <c r="X1107" t="s">
        <v>291</v>
      </c>
      <c r="Y1107">
        <v>10</v>
      </c>
      <c r="Z1107">
        <v>0.26592676994077491</v>
      </c>
      <c r="AA1107">
        <v>1</v>
      </c>
    </row>
    <row r="1108" spans="1:27" hidden="1" x14ac:dyDescent="0.25">
      <c r="A1108" t="s">
        <v>98</v>
      </c>
      <c r="B1108" t="s">
        <v>1374</v>
      </c>
      <c r="D1108" t="s">
        <v>100</v>
      </c>
      <c r="E1108" t="s">
        <v>284</v>
      </c>
      <c r="F1108" t="s">
        <v>297</v>
      </c>
      <c r="G1108" t="s">
        <v>112</v>
      </c>
      <c r="H1108" t="s">
        <v>104</v>
      </c>
      <c r="I1108">
        <v>2026</v>
      </c>
      <c r="J1108" t="s">
        <v>333</v>
      </c>
      <c r="K1108" t="s">
        <v>106</v>
      </c>
      <c r="L1108" t="s">
        <v>1449</v>
      </c>
      <c r="M1108" t="s">
        <v>1470</v>
      </c>
      <c r="N1108">
        <v>1</v>
      </c>
      <c r="O1108">
        <v>2026</v>
      </c>
      <c r="P1108">
        <v>69.765067810793198</v>
      </c>
      <c r="Q1108">
        <v>2.516631606553434</v>
      </c>
      <c r="R1108" t="s">
        <v>289</v>
      </c>
      <c r="S1108">
        <v>93</v>
      </c>
      <c r="T1108" t="s">
        <v>290</v>
      </c>
      <c r="U1108">
        <v>93</v>
      </c>
      <c r="V1108">
        <v>69.765067810793198</v>
      </c>
      <c r="W1108">
        <v>2.516631606553434</v>
      </c>
      <c r="X1108" t="s">
        <v>291</v>
      </c>
      <c r="Y1108">
        <v>10</v>
      </c>
      <c r="Z1108">
        <v>0.26592676994077491</v>
      </c>
      <c r="AA1108">
        <v>1</v>
      </c>
    </row>
    <row r="1109" spans="1:27" hidden="1" x14ac:dyDescent="0.25">
      <c r="A1109" t="s">
        <v>98</v>
      </c>
      <c r="B1109" t="s">
        <v>1374</v>
      </c>
      <c r="D1109" t="s">
        <v>100</v>
      </c>
      <c r="E1109" t="s">
        <v>284</v>
      </c>
      <c r="F1109" t="s">
        <v>302</v>
      </c>
      <c r="G1109" t="s">
        <v>103</v>
      </c>
      <c r="H1109" t="s">
        <v>104</v>
      </c>
      <c r="I1109">
        <v>2026</v>
      </c>
      <c r="J1109" t="s">
        <v>335</v>
      </c>
      <c r="K1109" t="s">
        <v>106</v>
      </c>
      <c r="L1109" t="s">
        <v>1449</v>
      </c>
      <c r="M1109" t="s">
        <v>1471</v>
      </c>
      <c r="N1109">
        <v>1</v>
      </c>
      <c r="O1109">
        <v>2026</v>
      </c>
      <c r="P1109">
        <v>105.7930490817716</v>
      </c>
      <c r="Q1109">
        <v>3.355492309527206</v>
      </c>
      <c r="R1109" t="s">
        <v>289</v>
      </c>
      <c r="S1109">
        <v>64.669172932330824</v>
      </c>
      <c r="T1109" t="s">
        <v>290</v>
      </c>
      <c r="U1109">
        <v>64.669172932330824</v>
      </c>
      <c r="V1109">
        <v>105.7930490817716</v>
      </c>
      <c r="W1109">
        <v>3.355492309527206</v>
      </c>
      <c r="X1109" t="s">
        <v>291</v>
      </c>
      <c r="Y1109">
        <v>10</v>
      </c>
      <c r="Z1109">
        <v>0.26592676994077491</v>
      </c>
      <c r="AA1109">
        <v>1</v>
      </c>
    </row>
    <row r="1110" spans="1:27" hidden="1" x14ac:dyDescent="0.25">
      <c r="A1110" t="s">
        <v>98</v>
      </c>
      <c r="B1110" t="s">
        <v>1374</v>
      </c>
      <c r="D1110" t="s">
        <v>100</v>
      </c>
      <c r="E1110" t="s">
        <v>284</v>
      </c>
      <c r="F1110" t="s">
        <v>302</v>
      </c>
      <c r="G1110" t="s">
        <v>112</v>
      </c>
      <c r="H1110" t="s">
        <v>104</v>
      </c>
      <c r="I1110">
        <v>2026</v>
      </c>
      <c r="J1110" t="s">
        <v>337</v>
      </c>
      <c r="K1110" t="s">
        <v>106</v>
      </c>
      <c r="L1110" t="s">
        <v>1449</v>
      </c>
      <c r="M1110" t="s">
        <v>1472</v>
      </c>
      <c r="N1110">
        <v>1</v>
      </c>
      <c r="O1110">
        <v>2026</v>
      </c>
      <c r="P1110">
        <v>99.614212714858894</v>
      </c>
      <c r="Q1110">
        <v>1.4361600838792941</v>
      </c>
      <c r="R1110" t="s">
        <v>289</v>
      </c>
      <c r="S1110">
        <v>75.07692307692308</v>
      </c>
      <c r="T1110" t="s">
        <v>290</v>
      </c>
      <c r="U1110">
        <v>75.07692307692308</v>
      </c>
      <c r="V1110">
        <v>99.614212714858894</v>
      </c>
      <c r="W1110">
        <v>1.4361600838792941</v>
      </c>
      <c r="X1110" t="s">
        <v>291</v>
      </c>
      <c r="Y1110">
        <v>10</v>
      </c>
      <c r="Z1110">
        <v>0.26592676994077491</v>
      </c>
      <c r="AA1110">
        <v>1</v>
      </c>
    </row>
    <row r="1111" spans="1:27" hidden="1" x14ac:dyDescent="0.25">
      <c r="A1111" t="s">
        <v>98</v>
      </c>
      <c r="B1111" t="s">
        <v>1374</v>
      </c>
      <c r="D1111" t="s">
        <v>100</v>
      </c>
      <c r="E1111" t="s">
        <v>284</v>
      </c>
      <c r="F1111" t="s">
        <v>292</v>
      </c>
      <c r="G1111" t="s">
        <v>103</v>
      </c>
      <c r="H1111" t="s">
        <v>104</v>
      </c>
      <c r="I1111">
        <v>2030</v>
      </c>
      <c r="J1111" t="s">
        <v>339</v>
      </c>
      <c r="K1111" t="s">
        <v>106</v>
      </c>
      <c r="L1111" t="s">
        <v>1449</v>
      </c>
      <c r="M1111" t="s">
        <v>1473</v>
      </c>
      <c r="N1111">
        <v>1</v>
      </c>
      <c r="O1111">
        <v>2030</v>
      </c>
      <c r="P1111">
        <v>99.96668875570353</v>
      </c>
      <c r="Q1111">
        <v>4.9152448223495018</v>
      </c>
      <c r="R1111" t="s">
        <v>289</v>
      </c>
      <c r="S1111">
        <v>55.211046644573933</v>
      </c>
      <c r="T1111" t="s">
        <v>290</v>
      </c>
      <c r="U1111">
        <v>55.211046644573933</v>
      </c>
      <c r="V1111">
        <v>99.96668875570353</v>
      </c>
      <c r="W1111">
        <v>4.9152448223495018</v>
      </c>
      <c r="X1111" t="s">
        <v>291</v>
      </c>
      <c r="Y1111">
        <v>10</v>
      </c>
      <c r="Z1111">
        <v>0.26592676994077491</v>
      </c>
      <c r="AA1111">
        <v>1</v>
      </c>
    </row>
    <row r="1112" spans="1:27" hidden="1" x14ac:dyDescent="0.25">
      <c r="A1112" t="s">
        <v>98</v>
      </c>
      <c r="B1112" t="s">
        <v>1374</v>
      </c>
      <c r="D1112" t="s">
        <v>100</v>
      </c>
      <c r="E1112" t="s">
        <v>284</v>
      </c>
      <c r="F1112" t="s">
        <v>292</v>
      </c>
      <c r="G1112" t="s">
        <v>112</v>
      </c>
      <c r="H1112" t="s">
        <v>104</v>
      </c>
      <c r="I1112">
        <v>2030</v>
      </c>
      <c r="J1112" t="s">
        <v>341</v>
      </c>
      <c r="K1112" t="s">
        <v>106</v>
      </c>
      <c r="L1112" t="s">
        <v>1449</v>
      </c>
      <c r="M1112" t="s">
        <v>1474</v>
      </c>
      <c r="N1112">
        <v>1</v>
      </c>
      <c r="O1112">
        <v>2030</v>
      </c>
      <c r="P1112">
        <v>93.570390823718384</v>
      </c>
      <c r="Q1112">
        <v>4.27625645181514</v>
      </c>
      <c r="R1112" t="s">
        <v>289</v>
      </c>
      <c r="S1112">
        <v>60.132155797450622</v>
      </c>
      <c r="T1112" t="s">
        <v>290</v>
      </c>
      <c r="U1112">
        <v>60.132155797450622</v>
      </c>
      <c r="V1112">
        <v>93.570390823718384</v>
      </c>
      <c r="W1112">
        <v>4.27625645181514</v>
      </c>
      <c r="X1112" t="s">
        <v>291</v>
      </c>
      <c r="Y1112">
        <v>10</v>
      </c>
      <c r="Z1112">
        <v>0.26592676994077491</v>
      </c>
      <c r="AA1112">
        <v>1</v>
      </c>
    </row>
    <row r="1113" spans="1:27" hidden="1" x14ac:dyDescent="0.25">
      <c r="A1113" t="s">
        <v>98</v>
      </c>
      <c r="B1113" t="s">
        <v>1374</v>
      </c>
      <c r="D1113" t="s">
        <v>100</v>
      </c>
      <c r="E1113" t="s">
        <v>284</v>
      </c>
      <c r="F1113" t="s">
        <v>297</v>
      </c>
      <c r="G1113" t="s">
        <v>103</v>
      </c>
      <c r="H1113" t="s">
        <v>104</v>
      </c>
      <c r="I1113">
        <v>2030</v>
      </c>
      <c r="J1113" t="s">
        <v>343</v>
      </c>
      <c r="K1113" t="s">
        <v>106</v>
      </c>
      <c r="L1113" t="s">
        <v>1449</v>
      </c>
      <c r="M1113" t="s">
        <v>1475</v>
      </c>
      <c r="N1113">
        <v>1</v>
      </c>
      <c r="O1113">
        <v>2030</v>
      </c>
      <c r="P1113">
        <v>112.2464608710101</v>
      </c>
      <c r="Q1113">
        <v>3.5870084905918258</v>
      </c>
      <c r="R1113" t="s">
        <v>289</v>
      </c>
      <c r="S1113">
        <v>89.042769074884546</v>
      </c>
      <c r="T1113" t="s">
        <v>290</v>
      </c>
      <c r="U1113">
        <v>89.042769074884546</v>
      </c>
      <c r="V1113">
        <v>112.2464608710101</v>
      </c>
      <c r="W1113">
        <v>3.5870084905918258</v>
      </c>
      <c r="X1113" t="s">
        <v>291</v>
      </c>
      <c r="Y1113">
        <v>10</v>
      </c>
      <c r="Z1113">
        <v>0.26592676994077491</v>
      </c>
      <c r="AA1113">
        <v>1</v>
      </c>
    </row>
    <row r="1114" spans="1:27" hidden="1" x14ac:dyDescent="0.25">
      <c r="A1114" t="s">
        <v>98</v>
      </c>
      <c r="B1114" t="s">
        <v>1374</v>
      </c>
      <c r="D1114" t="s">
        <v>100</v>
      </c>
      <c r="E1114" t="s">
        <v>284</v>
      </c>
      <c r="F1114" t="s">
        <v>297</v>
      </c>
      <c r="G1114" t="s">
        <v>112</v>
      </c>
      <c r="H1114" t="s">
        <v>104</v>
      </c>
      <c r="I1114">
        <v>2030</v>
      </c>
      <c r="J1114" t="s">
        <v>345</v>
      </c>
      <c r="K1114" t="s">
        <v>106</v>
      </c>
      <c r="L1114" t="s">
        <v>1449</v>
      </c>
      <c r="M1114" t="s">
        <v>1476</v>
      </c>
      <c r="N1114">
        <v>1</v>
      </c>
      <c r="O1114">
        <v>2030</v>
      </c>
      <c r="P1114">
        <v>84.571073913548247</v>
      </c>
      <c r="Q1114">
        <v>2.3525336937486059</v>
      </c>
      <c r="R1114" t="s">
        <v>289</v>
      </c>
      <c r="S1114">
        <v>108.5525423728814</v>
      </c>
      <c r="T1114" t="s">
        <v>290</v>
      </c>
      <c r="U1114">
        <v>108.5525423728814</v>
      </c>
      <c r="V1114">
        <v>84.571073913548247</v>
      </c>
      <c r="W1114">
        <v>2.3525336937486059</v>
      </c>
      <c r="X1114" t="s">
        <v>291</v>
      </c>
      <c r="Y1114">
        <v>10</v>
      </c>
      <c r="Z1114">
        <v>0.26592676994077491</v>
      </c>
      <c r="AA1114">
        <v>1</v>
      </c>
    </row>
    <row r="1115" spans="1:27" hidden="1" x14ac:dyDescent="0.25">
      <c r="A1115" t="s">
        <v>98</v>
      </c>
      <c r="B1115" t="s">
        <v>1374</v>
      </c>
      <c r="D1115" t="s">
        <v>100</v>
      </c>
      <c r="E1115" t="s">
        <v>284</v>
      </c>
      <c r="F1115" t="s">
        <v>292</v>
      </c>
      <c r="G1115" t="s">
        <v>103</v>
      </c>
      <c r="H1115" t="s">
        <v>104</v>
      </c>
      <c r="I1115">
        <v>2040</v>
      </c>
      <c r="J1115" t="s">
        <v>347</v>
      </c>
      <c r="K1115" t="s">
        <v>106</v>
      </c>
      <c r="L1115" t="s">
        <v>1449</v>
      </c>
      <c r="M1115" t="s">
        <v>1477</v>
      </c>
      <c r="N1115">
        <v>1</v>
      </c>
      <c r="O1115">
        <v>2040</v>
      </c>
      <c r="P1115">
        <v>98.335071194105581</v>
      </c>
      <c r="Q1115">
        <v>4.7080379086524973</v>
      </c>
      <c r="R1115" t="s">
        <v>289</v>
      </c>
      <c r="S1115">
        <v>63.829339223058007</v>
      </c>
      <c r="T1115" t="s">
        <v>290</v>
      </c>
      <c r="U1115">
        <v>63.829339223058007</v>
      </c>
      <c r="V1115">
        <v>98.335071194105581</v>
      </c>
      <c r="W1115">
        <v>4.7080379086524973</v>
      </c>
      <c r="X1115" t="s">
        <v>291</v>
      </c>
      <c r="Y1115">
        <v>10</v>
      </c>
      <c r="Z1115">
        <v>0.26592676994077491</v>
      </c>
      <c r="AA1115">
        <v>1</v>
      </c>
    </row>
    <row r="1116" spans="1:27" hidden="1" x14ac:dyDescent="0.25">
      <c r="A1116" t="s">
        <v>98</v>
      </c>
      <c r="B1116" t="s">
        <v>1374</v>
      </c>
      <c r="D1116" t="s">
        <v>100</v>
      </c>
      <c r="E1116" t="s">
        <v>284</v>
      </c>
      <c r="F1116" t="s">
        <v>292</v>
      </c>
      <c r="G1116" t="s">
        <v>112</v>
      </c>
      <c r="H1116" t="s">
        <v>104</v>
      </c>
      <c r="I1116">
        <v>2040</v>
      </c>
      <c r="J1116" t="s">
        <v>349</v>
      </c>
      <c r="K1116" t="s">
        <v>106</v>
      </c>
      <c r="L1116" t="s">
        <v>1449</v>
      </c>
      <c r="M1116" t="s">
        <v>1478</v>
      </c>
      <c r="N1116">
        <v>1</v>
      </c>
      <c r="O1116">
        <v>2040</v>
      </c>
      <c r="P1116">
        <v>92.137687829328328</v>
      </c>
      <c r="Q1116">
        <v>4.1202723323867074</v>
      </c>
      <c r="R1116" t="s">
        <v>289</v>
      </c>
      <c r="S1116">
        <v>69.934718883357121</v>
      </c>
      <c r="T1116" t="s">
        <v>290</v>
      </c>
      <c r="U1116">
        <v>69.934718883357121</v>
      </c>
      <c r="V1116">
        <v>92.137687829328328</v>
      </c>
      <c r="W1116">
        <v>4.1202723323867074</v>
      </c>
      <c r="X1116" t="s">
        <v>291</v>
      </c>
      <c r="Y1116">
        <v>10</v>
      </c>
      <c r="Z1116">
        <v>0.26592676994077491</v>
      </c>
      <c r="AA1116">
        <v>1</v>
      </c>
    </row>
    <row r="1117" spans="1:27" hidden="1" x14ac:dyDescent="0.25">
      <c r="A1117" t="s">
        <v>98</v>
      </c>
      <c r="B1117" t="s">
        <v>1374</v>
      </c>
      <c r="D1117" t="s">
        <v>100</v>
      </c>
      <c r="E1117" t="s">
        <v>284</v>
      </c>
      <c r="F1117" t="s">
        <v>297</v>
      </c>
      <c r="G1117" t="s">
        <v>103</v>
      </c>
      <c r="H1117" t="s">
        <v>104</v>
      </c>
      <c r="I1117">
        <v>2040</v>
      </c>
      <c r="J1117" t="s">
        <v>351</v>
      </c>
      <c r="K1117" t="s">
        <v>106</v>
      </c>
      <c r="L1117" t="s">
        <v>1449</v>
      </c>
      <c r="M1117" t="s">
        <v>1479</v>
      </c>
      <c r="N1117">
        <v>1</v>
      </c>
      <c r="O1117">
        <v>2040</v>
      </c>
      <c r="P1117">
        <v>109.62871509832991</v>
      </c>
      <c r="Q1117">
        <v>3.28145573783857</v>
      </c>
      <c r="R1117" t="s">
        <v>289</v>
      </c>
      <c r="S1117">
        <v>101.8534675620791</v>
      </c>
      <c r="T1117" t="s">
        <v>290</v>
      </c>
      <c r="U1117">
        <v>101.8534675620791</v>
      </c>
      <c r="V1117">
        <v>109.62871509832991</v>
      </c>
      <c r="W1117">
        <v>3.28145573783857</v>
      </c>
      <c r="X1117" t="s">
        <v>291</v>
      </c>
      <c r="Y1117">
        <v>10</v>
      </c>
      <c r="Z1117">
        <v>0.26592676994077491</v>
      </c>
      <c r="AA1117">
        <v>1</v>
      </c>
    </row>
    <row r="1118" spans="1:27" hidden="1" x14ac:dyDescent="0.25">
      <c r="A1118" t="s">
        <v>98</v>
      </c>
      <c r="B1118" t="s">
        <v>1374</v>
      </c>
      <c r="D1118" t="s">
        <v>100</v>
      </c>
      <c r="E1118" t="s">
        <v>284</v>
      </c>
      <c r="F1118" t="s">
        <v>297</v>
      </c>
      <c r="G1118" t="s">
        <v>112</v>
      </c>
      <c r="H1118" t="s">
        <v>104</v>
      </c>
      <c r="I1118">
        <v>2040</v>
      </c>
      <c r="J1118" t="s">
        <v>353</v>
      </c>
      <c r="K1118" t="s">
        <v>106</v>
      </c>
      <c r="L1118" t="s">
        <v>1449</v>
      </c>
      <c r="M1118" t="s">
        <v>1480</v>
      </c>
      <c r="N1118">
        <v>1</v>
      </c>
      <c r="O1118">
        <v>2040</v>
      </c>
      <c r="P1118">
        <v>82.941268534212341</v>
      </c>
      <c r="Q1118">
        <v>2.168671786742209</v>
      </c>
      <c r="R1118" t="s">
        <v>289</v>
      </c>
      <c r="S1118">
        <v>124.1701372074253</v>
      </c>
      <c r="T1118" t="s">
        <v>290</v>
      </c>
      <c r="U1118">
        <v>124.1701372074253</v>
      </c>
      <c r="V1118">
        <v>82.941268534212341</v>
      </c>
      <c r="W1118">
        <v>2.168671786742209</v>
      </c>
      <c r="X1118" t="s">
        <v>291</v>
      </c>
      <c r="Y1118">
        <v>10</v>
      </c>
      <c r="Z1118">
        <v>0.26592676994077491</v>
      </c>
      <c r="AA1118">
        <v>1</v>
      </c>
    </row>
    <row r="1119" spans="1:27" hidden="1" x14ac:dyDescent="0.25">
      <c r="A1119" t="s">
        <v>98</v>
      </c>
      <c r="B1119" t="s">
        <v>1374</v>
      </c>
      <c r="D1119" t="s">
        <v>100</v>
      </c>
      <c r="E1119" t="s">
        <v>284</v>
      </c>
      <c r="F1119" t="s">
        <v>355</v>
      </c>
      <c r="G1119" t="s">
        <v>103</v>
      </c>
      <c r="H1119" t="s">
        <v>104</v>
      </c>
      <c r="I1119">
        <v>2022</v>
      </c>
      <c r="J1119" t="s">
        <v>356</v>
      </c>
      <c r="K1119" t="s">
        <v>106</v>
      </c>
      <c r="L1119" t="s">
        <v>1449</v>
      </c>
      <c r="M1119" t="s">
        <v>1481</v>
      </c>
      <c r="N1119">
        <v>1</v>
      </c>
      <c r="O1119">
        <v>2020</v>
      </c>
      <c r="P1119">
        <v>26.539302440149839</v>
      </c>
      <c r="Q1119">
        <v>0.71977466386263589</v>
      </c>
      <c r="R1119" t="s">
        <v>289</v>
      </c>
      <c r="S1119">
        <v>85.75677051732572</v>
      </c>
      <c r="T1119" t="s">
        <v>290</v>
      </c>
      <c r="U1119">
        <v>85.75677051732572</v>
      </c>
      <c r="V1119">
        <v>26.539302440149839</v>
      </c>
      <c r="W1119">
        <v>0.71977466386263589</v>
      </c>
      <c r="X1119" t="s">
        <v>291</v>
      </c>
      <c r="Y1119">
        <v>10</v>
      </c>
      <c r="Z1119">
        <v>0.26592676994077491</v>
      </c>
      <c r="AA1119">
        <v>1</v>
      </c>
    </row>
    <row r="1120" spans="1:27" hidden="1" x14ac:dyDescent="0.25">
      <c r="A1120" t="s">
        <v>98</v>
      </c>
      <c r="B1120" t="s">
        <v>1374</v>
      </c>
      <c r="D1120" t="s">
        <v>100</v>
      </c>
      <c r="E1120" t="s">
        <v>284</v>
      </c>
      <c r="F1120" t="s">
        <v>355</v>
      </c>
      <c r="G1120" t="s">
        <v>112</v>
      </c>
      <c r="H1120" t="s">
        <v>104</v>
      </c>
      <c r="I1120">
        <v>2022</v>
      </c>
      <c r="J1120" t="s">
        <v>358</v>
      </c>
      <c r="K1120" t="s">
        <v>106</v>
      </c>
      <c r="L1120" t="s">
        <v>1449</v>
      </c>
      <c r="M1120" t="s">
        <v>1482</v>
      </c>
      <c r="N1120">
        <v>1</v>
      </c>
      <c r="O1120">
        <v>2020</v>
      </c>
      <c r="P1120">
        <v>27.952547937105681</v>
      </c>
      <c r="Q1120">
        <v>0.83346015109483984</v>
      </c>
      <c r="R1120" t="s">
        <v>289</v>
      </c>
      <c r="S1120">
        <v>88.372750377742747</v>
      </c>
      <c r="T1120" t="s">
        <v>290</v>
      </c>
      <c r="U1120">
        <v>88.372750377742747</v>
      </c>
      <c r="V1120">
        <v>27.952547937105681</v>
      </c>
      <c r="W1120">
        <v>0.83346015109483984</v>
      </c>
      <c r="X1120" t="s">
        <v>291</v>
      </c>
      <c r="Y1120">
        <v>10</v>
      </c>
      <c r="Z1120">
        <v>0.26592676994077491</v>
      </c>
      <c r="AA1120">
        <v>1</v>
      </c>
    </row>
    <row r="1121" spans="1:27" hidden="1" x14ac:dyDescent="0.25">
      <c r="A1121" t="s">
        <v>98</v>
      </c>
      <c r="B1121" t="s">
        <v>1374</v>
      </c>
      <c r="D1121" t="s">
        <v>100</v>
      </c>
      <c r="E1121" t="s">
        <v>284</v>
      </c>
      <c r="F1121" t="s">
        <v>360</v>
      </c>
      <c r="G1121" t="s">
        <v>103</v>
      </c>
      <c r="H1121" t="s">
        <v>104</v>
      </c>
      <c r="I1121">
        <v>2022</v>
      </c>
      <c r="J1121" t="s">
        <v>361</v>
      </c>
      <c r="K1121" t="s">
        <v>106</v>
      </c>
      <c r="L1121" t="s">
        <v>1449</v>
      </c>
      <c r="M1121" t="s">
        <v>1483</v>
      </c>
      <c r="N1121">
        <v>1</v>
      </c>
      <c r="O1121">
        <v>2020</v>
      </c>
      <c r="P1121">
        <v>30.743231458982891</v>
      </c>
      <c r="Q1121">
        <v>0.75530083267302539</v>
      </c>
      <c r="R1121" t="s">
        <v>289</v>
      </c>
      <c r="S1121">
        <v>85.752844444444449</v>
      </c>
      <c r="T1121" t="s">
        <v>290</v>
      </c>
      <c r="U1121">
        <v>85.752844444444449</v>
      </c>
      <c r="V1121">
        <v>30.743231458982891</v>
      </c>
      <c r="W1121">
        <v>0.75530083267302539</v>
      </c>
      <c r="X1121" t="s">
        <v>291</v>
      </c>
      <c r="Y1121">
        <v>10</v>
      </c>
      <c r="Z1121">
        <v>0.26592676994077491</v>
      </c>
      <c r="AA1121">
        <v>1</v>
      </c>
    </row>
    <row r="1122" spans="1:27" hidden="1" x14ac:dyDescent="0.25">
      <c r="A1122" t="s">
        <v>98</v>
      </c>
      <c r="B1122" t="s">
        <v>1374</v>
      </c>
      <c r="D1122" t="s">
        <v>100</v>
      </c>
      <c r="E1122" t="s">
        <v>284</v>
      </c>
      <c r="F1122" t="s">
        <v>360</v>
      </c>
      <c r="G1122" t="s">
        <v>112</v>
      </c>
      <c r="H1122" t="s">
        <v>104</v>
      </c>
      <c r="I1122">
        <v>2022</v>
      </c>
      <c r="J1122" t="s">
        <v>363</v>
      </c>
      <c r="K1122" t="s">
        <v>106</v>
      </c>
      <c r="L1122" t="s">
        <v>1449</v>
      </c>
      <c r="M1122" t="s">
        <v>1484</v>
      </c>
      <c r="N1122">
        <v>1</v>
      </c>
      <c r="O1122">
        <v>2020</v>
      </c>
      <c r="P1122">
        <v>30.995290460986698</v>
      </c>
      <c r="Q1122">
        <v>1.07624732944957</v>
      </c>
      <c r="R1122" t="s">
        <v>289</v>
      </c>
      <c r="S1122">
        <v>91.18482905982907</v>
      </c>
      <c r="T1122" t="s">
        <v>290</v>
      </c>
      <c r="U1122">
        <v>91.18482905982907</v>
      </c>
      <c r="V1122">
        <v>30.995290460986698</v>
      </c>
      <c r="W1122">
        <v>1.07624732944957</v>
      </c>
      <c r="X1122" t="s">
        <v>291</v>
      </c>
      <c r="Y1122">
        <v>10</v>
      </c>
      <c r="Z1122">
        <v>0.26592676994077491</v>
      </c>
      <c r="AA1122">
        <v>1</v>
      </c>
    </row>
    <row r="1123" spans="1:27" hidden="1" x14ac:dyDescent="0.25">
      <c r="A1123" t="s">
        <v>98</v>
      </c>
      <c r="B1123" t="s">
        <v>1374</v>
      </c>
      <c r="D1123" t="s">
        <v>100</v>
      </c>
      <c r="E1123" t="s">
        <v>284</v>
      </c>
      <c r="F1123" t="s">
        <v>365</v>
      </c>
      <c r="G1123" t="s">
        <v>103</v>
      </c>
      <c r="H1123" t="s">
        <v>104</v>
      </c>
      <c r="I1123">
        <v>2022</v>
      </c>
      <c r="J1123" t="s">
        <v>366</v>
      </c>
      <c r="K1123" t="s">
        <v>106</v>
      </c>
      <c r="L1123" t="s">
        <v>1449</v>
      </c>
      <c r="M1123" t="s">
        <v>1485</v>
      </c>
      <c r="N1123">
        <v>1</v>
      </c>
      <c r="O1123">
        <v>2020</v>
      </c>
      <c r="P1123">
        <v>34.581332645158973</v>
      </c>
      <c r="Q1123">
        <v>1.926881708285624</v>
      </c>
      <c r="R1123" t="s">
        <v>289</v>
      </c>
      <c r="S1123">
        <v>115.45533602622641</v>
      </c>
      <c r="T1123" t="s">
        <v>290</v>
      </c>
      <c r="U1123">
        <v>115.45533602622641</v>
      </c>
      <c r="V1123">
        <v>34.581332645158973</v>
      </c>
      <c r="W1123">
        <v>1.926881708285624</v>
      </c>
      <c r="X1123" t="s">
        <v>291</v>
      </c>
      <c r="Y1123">
        <v>10</v>
      </c>
      <c r="Z1123">
        <v>0.26592676994077491</v>
      </c>
      <c r="AA1123">
        <v>1</v>
      </c>
    </row>
    <row r="1124" spans="1:27" hidden="1" x14ac:dyDescent="0.25">
      <c r="A1124" t="s">
        <v>98</v>
      </c>
      <c r="B1124" t="s">
        <v>1374</v>
      </c>
      <c r="D1124" t="s">
        <v>100</v>
      </c>
      <c r="E1124" t="s">
        <v>284</v>
      </c>
      <c r="F1124" t="s">
        <v>365</v>
      </c>
      <c r="G1124" t="s">
        <v>112</v>
      </c>
      <c r="H1124" t="s">
        <v>104</v>
      </c>
      <c r="I1124">
        <v>2022</v>
      </c>
      <c r="J1124" t="s">
        <v>368</v>
      </c>
      <c r="K1124" t="s">
        <v>106</v>
      </c>
      <c r="L1124" t="s">
        <v>1449</v>
      </c>
      <c r="M1124" t="s">
        <v>1486</v>
      </c>
      <c r="N1124">
        <v>1</v>
      </c>
      <c r="O1124">
        <v>2020</v>
      </c>
      <c r="P1124">
        <v>44.653862333829821</v>
      </c>
      <c r="Q1124">
        <v>2.4693086643180591</v>
      </c>
      <c r="R1124" t="s">
        <v>289</v>
      </c>
      <c r="S1124">
        <v>130.6177318295739</v>
      </c>
      <c r="T1124" t="s">
        <v>290</v>
      </c>
      <c r="U1124">
        <v>130.6177318295739</v>
      </c>
      <c r="V1124">
        <v>44.653862333829821</v>
      </c>
      <c r="W1124">
        <v>2.4693086643180591</v>
      </c>
      <c r="X1124" t="s">
        <v>291</v>
      </c>
      <c r="Y1124">
        <v>10</v>
      </c>
      <c r="Z1124">
        <v>0.26592676994077491</v>
      </c>
      <c r="AA1124">
        <v>1</v>
      </c>
    </row>
    <row r="1125" spans="1:27" hidden="1" x14ac:dyDescent="0.25">
      <c r="A1125" t="s">
        <v>98</v>
      </c>
      <c r="B1125" t="s">
        <v>1374</v>
      </c>
      <c r="D1125" t="s">
        <v>100</v>
      </c>
      <c r="E1125" t="s">
        <v>284</v>
      </c>
      <c r="F1125" t="s">
        <v>365</v>
      </c>
      <c r="G1125" t="s">
        <v>103</v>
      </c>
      <c r="H1125" t="s">
        <v>104</v>
      </c>
      <c r="I1125">
        <v>2023</v>
      </c>
      <c r="J1125" t="s">
        <v>370</v>
      </c>
      <c r="K1125" t="s">
        <v>106</v>
      </c>
      <c r="L1125" t="s">
        <v>1449</v>
      </c>
      <c r="M1125" t="s">
        <v>1487</v>
      </c>
      <c r="N1125">
        <v>1</v>
      </c>
      <c r="O1125">
        <v>2023</v>
      </c>
      <c r="P1125">
        <v>34.353918735727063</v>
      </c>
      <c r="Q1125">
        <v>1.893397965391721</v>
      </c>
      <c r="R1125" t="s">
        <v>289</v>
      </c>
      <c r="S1125">
        <v>115.45533602622641</v>
      </c>
      <c r="T1125" t="s">
        <v>290</v>
      </c>
      <c r="U1125">
        <v>115.45533602622641</v>
      </c>
      <c r="V1125">
        <v>34.353918735727063</v>
      </c>
      <c r="W1125">
        <v>1.893397965391721</v>
      </c>
      <c r="X1125" t="s">
        <v>291</v>
      </c>
      <c r="Y1125">
        <v>10</v>
      </c>
      <c r="Z1125">
        <v>0.26592676994077491</v>
      </c>
      <c r="AA1125">
        <v>1</v>
      </c>
    </row>
    <row r="1126" spans="1:27" hidden="1" x14ac:dyDescent="0.25">
      <c r="A1126" t="s">
        <v>98</v>
      </c>
      <c r="B1126" t="s">
        <v>1374</v>
      </c>
      <c r="D1126" t="s">
        <v>100</v>
      </c>
      <c r="E1126" t="s">
        <v>284</v>
      </c>
      <c r="F1126" t="s">
        <v>365</v>
      </c>
      <c r="G1126" t="s">
        <v>112</v>
      </c>
      <c r="H1126" t="s">
        <v>104</v>
      </c>
      <c r="I1126">
        <v>2023</v>
      </c>
      <c r="J1126" t="s">
        <v>372</v>
      </c>
      <c r="K1126" t="s">
        <v>106</v>
      </c>
      <c r="L1126" t="s">
        <v>1449</v>
      </c>
      <c r="M1126" t="s">
        <v>1488</v>
      </c>
      <c r="N1126">
        <v>1</v>
      </c>
      <c r="O1126">
        <v>2023</v>
      </c>
      <c r="P1126">
        <v>43.733464606512037</v>
      </c>
      <c r="Q1126">
        <v>2.4042644647868401</v>
      </c>
      <c r="R1126" t="s">
        <v>289</v>
      </c>
      <c r="S1126">
        <v>130.6177318295739</v>
      </c>
      <c r="T1126" t="s">
        <v>290</v>
      </c>
      <c r="U1126">
        <v>130.6177318295739</v>
      </c>
      <c r="V1126">
        <v>43.733464606512037</v>
      </c>
      <c r="W1126">
        <v>2.4042644647868401</v>
      </c>
      <c r="X1126" t="s">
        <v>291</v>
      </c>
      <c r="Y1126">
        <v>10</v>
      </c>
      <c r="Z1126">
        <v>0.26592676994077491</v>
      </c>
      <c r="AA1126">
        <v>1</v>
      </c>
    </row>
    <row r="1127" spans="1:27" hidden="1" x14ac:dyDescent="0.25">
      <c r="A1127" t="s">
        <v>98</v>
      </c>
      <c r="B1127" t="s">
        <v>1374</v>
      </c>
      <c r="D1127" t="s">
        <v>100</v>
      </c>
      <c r="E1127" t="s">
        <v>284</v>
      </c>
      <c r="F1127" t="s">
        <v>365</v>
      </c>
      <c r="G1127" t="s">
        <v>103</v>
      </c>
      <c r="H1127" t="s">
        <v>104</v>
      </c>
      <c r="I1127">
        <v>2024</v>
      </c>
      <c r="J1127" t="s">
        <v>374</v>
      </c>
      <c r="K1127" t="s">
        <v>106</v>
      </c>
      <c r="L1127" t="s">
        <v>1449</v>
      </c>
      <c r="M1127" t="s">
        <v>1489</v>
      </c>
      <c r="N1127">
        <v>1</v>
      </c>
      <c r="O1127">
        <v>2024</v>
      </c>
      <c r="P1127">
        <v>34.353918735727063</v>
      </c>
      <c r="Q1127">
        <v>1.893397965391721</v>
      </c>
      <c r="R1127" t="s">
        <v>289</v>
      </c>
      <c r="S1127">
        <v>115.45533602622641</v>
      </c>
      <c r="T1127" t="s">
        <v>290</v>
      </c>
      <c r="U1127">
        <v>115.45533602622641</v>
      </c>
      <c r="V1127">
        <v>34.353918735727063</v>
      </c>
      <c r="W1127">
        <v>1.893397965391721</v>
      </c>
      <c r="X1127" t="s">
        <v>291</v>
      </c>
      <c r="Y1127">
        <v>10</v>
      </c>
      <c r="Z1127">
        <v>0.26592676994077491</v>
      </c>
      <c r="AA1127">
        <v>1</v>
      </c>
    </row>
    <row r="1128" spans="1:27" hidden="1" x14ac:dyDescent="0.25">
      <c r="A1128" t="s">
        <v>98</v>
      </c>
      <c r="B1128" t="s">
        <v>1374</v>
      </c>
      <c r="D1128" t="s">
        <v>100</v>
      </c>
      <c r="E1128" t="s">
        <v>284</v>
      </c>
      <c r="F1128" t="s">
        <v>365</v>
      </c>
      <c r="G1128" t="s">
        <v>112</v>
      </c>
      <c r="H1128" t="s">
        <v>104</v>
      </c>
      <c r="I1128">
        <v>2024</v>
      </c>
      <c r="J1128" t="s">
        <v>376</v>
      </c>
      <c r="K1128" t="s">
        <v>106</v>
      </c>
      <c r="L1128" t="s">
        <v>1449</v>
      </c>
      <c r="M1128" t="s">
        <v>1490</v>
      </c>
      <c r="N1128">
        <v>1</v>
      </c>
      <c r="O1128">
        <v>2024</v>
      </c>
      <c r="P1128">
        <v>43.733464606512037</v>
      </c>
      <c r="Q1128">
        <v>2.4042644647868401</v>
      </c>
      <c r="R1128" t="s">
        <v>289</v>
      </c>
      <c r="S1128">
        <v>130.6177318295739</v>
      </c>
      <c r="T1128" t="s">
        <v>290</v>
      </c>
      <c r="U1128">
        <v>130.6177318295739</v>
      </c>
      <c r="V1128">
        <v>43.733464606512037</v>
      </c>
      <c r="W1128">
        <v>2.4042644647868401</v>
      </c>
      <c r="X1128" t="s">
        <v>291</v>
      </c>
      <c r="Y1128">
        <v>10</v>
      </c>
      <c r="Z1128">
        <v>0.26592676994077491</v>
      </c>
      <c r="AA1128">
        <v>1</v>
      </c>
    </row>
    <row r="1129" spans="1:27" hidden="1" x14ac:dyDescent="0.25">
      <c r="A1129" t="s">
        <v>98</v>
      </c>
      <c r="B1129" t="s">
        <v>1374</v>
      </c>
      <c r="D1129" t="s">
        <v>100</v>
      </c>
      <c r="E1129" t="s">
        <v>284</v>
      </c>
      <c r="F1129" t="s">
        <v>365</v>
      </c>
      <c r="G1129" t="s">
        <v>103</v>
      </c>
      <c r="H1129" t="s">
        <v>104</v>
      </c>
      <c r="I1129">
        <v>2025</v>
      </c>
      <c r="J1129" t="s">
        <v>378</v>
      </c>
      <c r="K1129" t="s">
        <v>106</v>
      </c>
      <c r="L1129" t="s">
        <v>1449</v>
      </c>
      <c r="M1129" t="s">
        <v>1491</v>
      </c>
      <c r="N1129">
        <v>1</v>
      </c>
      <c r="O1129">
        <v>2025</v>
      </c>
      <c r="P1129">
        <v>34.353918735727063</v>
      </c>
      <c r="Q1129">
        <v>1.893397965391721</v>
      </c>
      <c r="R1129" t="s">
        <v>289</v>
      </c>
      <c r="S1129">
        <v>115.45533602622641</v>
      </c>
      <c r="T1129" t="s">
        <v>290</v>
      </c>
      <c r="U1129">
        <v>115.45533602622641</v>
      </c>
      <c r="V1129">
        <v>34.353918735727063</v>
      </c>
      <c r="W1129">
        <v>1.893397965391721</v>
      </c>
      <c r="X1129" t="s">
        <v>291</v>
      </c>
      <c r="Y1129">
        <v>10</v>
      </c>
      <c r="Z1129">
        <v>0.26592676994077491</v>
      </c>
      <c r="AA1129">
        <v>1</v>
      </c>
    </row>
    <row r="1130" spans="1:27" hidden="1" x14ac:dyDescent="0.25">
      <c r="A1130" t="s">
        <v>98</v>
      </c>
      <c r="B1130" t="s">
        <v>1374</v>
      </c>
      <c r="D1130" t="s">
        <v>100</v>
      </c>
      <c r="E1130" t="s">
        <v>284</v>
      </c>
      <c r="F1130" t="s">
        <v>365</v>
      </c>
      <c r="G1130" t="s">
        <v>112</v>
      </c>
      <c r="H1130" t="s">
        <v>104</v>
      </c>
      <c r="I1130">
        <v>2025</v>
      </c>
      <c r="J1130" t="s">
        <v>380</v>
      </c>
      <c r="K1130" t="s">
        <v>106</v>
      </c>
      <c r="L1130" t="s">
        <v>1449</v>
      </c>
      <c r="M1130" t="s">
        <v>1492</v>
      </c>
      <c r="N1130">
        <v>1</v>
      </c>
      <c r="O1130">
        <v>2025</v>
      </c>
      <c r="P1130">
        <v>43.733464606512037</v>
      </c>
      <c r="Q1130">
        <v>2.4042644647868401</v>
      </c>
      <c r="R1130" t="s">
        <v>289</v>
      </c>
      <c r="S1130">
        <v>130.6177318295739</v>
      </c>
      <c r="T1130" t="s">
        <v>290</v>
      </c>
      <c r="U1130">
        <v>130.6177318295739</v>
      </c>
      <c r="V1130">
        <v>43.733464606512037</v>
      </c>
      <c r="W1130">
        <v>2.4042644647868401</v>
      </c>
      <c r="X1130" t="s">
        <v>291</v>
      </c>
      <c r="Y1130">
        <v>10</v>
      </c>
      <c r="Z1130">
        <v>0.26592676994077491</v>
      </c>
      <c r="AA1130">
        <v>1</v>
      </c>
    </row>
    <row r="1131" spans="1:27" hidden="1" x14ac:dyDescent="0.25">
      <c r="A1131" t="s">
        <v>98</v>
      </c>
      <c r="B1131" t="s">
        <v>1374</v>
      </c>
      <c r="D1131" t="s">
        <v>100</v>
      </c>
      <c r="E1131" t="s">
        <v>284</v>
      </c>
      <c r="F1131" t="s">
        <v>365</v>
      </c>
      <c r="G1131" t="s">
        <v>103</v>
      </c>
      <c r="H1131" t="s">
        <v>104</v>
      </c>
      <c r="I1131">
        <v>2026</v>
      </c>
      <c r="J1131" t="s">
        <v>382</v>
      </c>
      <c r="K1131" t="s">
        <v>106</v>
      </c>
      <c r="L1131" t="s">
        <v>1449</v>
      </c>
      <c r="M1131" t="s">
        <v>1493</v>
      </c>
      <c r="N1131">
        <v>1</v>
      </c>
      <c r="O1131">
        <v>2026</v>
      </c>
      <c r="P1131">
        <v>34.353918735727063</v>
      </c>
      <c r="Q1131">
        <v>1.893397965391721</v>
      </c>
      <c r="R1131" t="s">
        <v>289</v>
      </c>
      <c r="S1131">
        <v>115.45533602622641</v>
      </c>
      <c r="T1131" t="s">
        <v>290</v>
      </c>
      <c r="U1131">
        <v>115.45533602622641</v>
      </c>
      <c r="V1131">
        <v>34.353918735727063</v>
      </c>
      <c r="W1131">
        <v>1.893397965391721</v>
      </c>
      <c r="X1131" t="s">
        <v>291</v>
      </c>
      <c r="Y1131">
        <v>10</v>
      </c>
      <c r="Z1131">
        <v>0.26592676994077491</v>
      </c>
      <c r="AA1131">
        <v>1</v>
      </c>
    </row>
    <row r="1132" spans="1:27" hidden="1" x14ac:dyDescent="0.25">
      <c r="A1132" t="s">
        <v>98</v>
      </c>
      <c r="B1132" t="s">
        <v>1374</v>
      </c>
      <c r="D1132" t="s">
        <v>100</v>
      </c>
      <c r="E1132" t="s">
        <v>284</v>
      </c>
      <c r="F1132" t="s">
        <v>365</v>
      </c>
      <c r="G1132" t="s">
        <v>112</v>
      </c>
      <c r="H1132" t="s">
        <v>104</v>
      </c>
      <c r="I1132">
        <v>2026</v>
      </c>
      <c r="J1132" t="s">
        <v>384</v>
      </c>
      <c r="K1132" t="s">
        <v>106</v>
      </c>
      <c r="L1132" t="s">
        <v>1449</v>
      </c>
      <c r="M1132" t="s">
        <v>1494</v>
      </c>
      <c r="N1132">
        <v>1</v>
      </c>
      <c r="O1132">
        <v>2026</v>
      </c>
      <c r="P1132">
        <v>43.733464606512037</v>
      </c>
      <c r="Q1132">
        <v>2.4042644647868401</v>
      </c>
      <c r="R1132" t="s">
        <v>289</v>
      </c>
      <c r="S1132">
        <v>130.6177318295739</v>
      </c>
      <c r="T1132" t="s">
        <v>290</v>
      </c>
      <c r="U1132">
        <v>130.6177318295739</v>
      </c>
      <c r="V1132">
        <v>43.733464606512037</v>
      </c>
      <c r="W1132">
        <v>2.4042644647868401</v>
      </c>
      <c r="X1132" t="s">
        <v>291</v>
      </c>
      <c r="Y1132">
        <v>10</v>
      </c>
      <c r="Z1132">
        <v>0.26592676994077491</v>
      </c>
      <c r="AA1132">
        <v>1</v>
      </c>
    </row>
    <row r="1133" spans="1:27" hidden="1" x14ac:dyDescent="0.25">
      <c r="A1133" t="s">
        <v>98</v>
      </c>
      <c r="B1133" t="s">
        <v>1374</v>
      </c>
      <c r="D1133" t="s">
        <v>100</v>
      </c>
      <c r="E1133" t="s">
        <v>284</v>
      </c>
      <c r="F1133" t="s">
        <v>365</v>
      </c>
      <c r="G1133" t="s">
        <v>103</v>
      </c>
      <c r="H1133" t="s">
        <v>104</v>
      </c>
      <c r="I1133">
        <v>2027</v>
      </c>
      <c r="J1133" t="s">
        <v>386</v>
      </c>
      <c r="K1133" t="s">
        <v>106</v>
      </c>
      <c r="L1133" t="s">
        <v>1449</v>
      </c>
      <c r="M1133" t="s">
        <v>1495</v>
      </c>
      <c r="N1133">
        <v>1</v>
      </c>
      <c r="O1133">
        <v>2027</v>
      </c>
      <c r="P1133">
        <v>34.353918735727063</v>
      </c>
      <c r="Q1133">
        <v>1.893397965391721</v>
      </c>
      <c r="R1133" t="s">
        <v>289</v>
      </c>
      <c r="S1133">
        <v>115.45533602622641</v>
      </c>
      <c r="T1133" t="s">
        <v>290</v>
      </c>
      <c r="U1133">
        <v>115.45533602622641</v>
      </c>
      <c r="V1133">
        <v>34.353918735727063</v>
      </c>
      <c r="W1133">
        <v>1.893397965391721</v>
      </c>
      <c r="X1133" t="s">
        <v>291</v>
      </c>
      <c r="Y1133">
        <v>10</v>
      </c>
      <c r="Z1133">
        <v>0.26592676994077491</v>
      </c>
      <c r="AA1133">
        <v>1</v>
      </c>
    </row>
    <row r="1134" spans="1:27" hidden="1" x14ac:dyDescent="0.25">
      <c r="A1134" t="s">
        <v>98</v>
      </c>
      <c r="B1134" t="s">
        <v>1374</v>
      </c>
      <c r="D1134" t="s">
        <v>100</v>
      </c>
      <c r="E1134" t="s">
        <v>284</v>
      </c>
      <c r="F1134" t="s">
        <v>365</v>
      </c>
      <c r="G1134" t="s">
        <v>112</v>
      </c>
      <c r="H1134" t="s">
        <v>104</v>
      </c>
      <c r="I1134">
        <v>2027</v>
      </c>
      <c r="J1134" t="s">
        <v>388</v>
      </c>
      <c r="K1134" t="s">
        <v>106</v>
      </c>
      <c r="L1134" t="s">
        <v>1449</v>
      </c>
      <c r="M1134" t="s">
        <v>1496</v>
      </c>
      <c r="N1134">
        <v>1</v>
      </c>
      <c r="O1134">
        <v>2027</v>
      </c>
      <c r="P1134">
        <v>43.733464606512037</v>
      </c>
      <c r="Q1134">
        <v>2.4042644647868401</v>
      </c>
      <c r="R1134" t="s">
        <v>289</v>
      </c>
      <c r="S1134">
        <v>130.6177318295739</v>
      </c>
      <c r="T1134" t="s">
        <v>290</v>
      </c>
      <c r="U1134">
        <v>130.6177318295739</v>
      </c>
      <c r="V1134">
        <v>43.733464606512037</v>
      </c>
      <c r="W1134">
        <v>2.4042644647868401</v>
      </c>
      <c r="X1134" t="s">
        <v>291</v>
      </c>
      <c r="Y1134">
        <v>10</v>
      </c>
      <c r="Z1134">
        <v>0.26592676994077491</v>
      </c>
      <c r="AA1134">
        <v>1</v>
      </c>
    </row>
    <row r="1135" spans="1:27" hidden="1" x14ac:dyDescent="0.25">
      <c r="A1135" t="s">
        <v>98</v>
      </c>
      <c r="B1135" t="s">
        <v>1374</v>
      </c>
      <c r="D1135" t="s">
        <v>100</v>
      </c>
      <c r="E1135" t="s">
        <v>284</v>
      </c>
      <c r="F1135" t="s">
        <v>365</v>
      </c>
      <c r="G1135" t="s">
        <v>103</v>
      </c>
      <c r="H1135" t="s">
        <v>104</v>
      </c>
      <c r="I1135">
        <v>2028</v>
      </c>
      <c r="J1135" t="s">
        <v>390</v>
      </c>
      <c r="K1135" t="s">
        <v>106</v>
      </c>
      <c r="L1135" t="s">
        <v>1449</v>
      </c>
      <c r="M1135" t="s">
        <v>1497</v>
      </c>
      <c r="N1135">
        <v>1</v>
      </c>
      <c r="O1135">
        <v>2028</v>
      </c>
      <c r="P1135">
        <v>34.353918735727063</v>
      </c>
      <c r="Q1135">
        <v>1.893397965391721</v>
      </c>
      <c r="R1135" t="s">
        <v>289</v>
      </c>
      <c r="S1135">
        <v>115.45533602622641</v>
      </c>
      <c r="T1135" t="s">
        <v>290</v>
      </c>
      <c r="U1135">
        <v>115.45533602622641</v>
      </c>
      <c r="V1135">
        <v>34.353918735727063</v>
      </c>
      <c r="W1135">
        <v>1.893397965391721</v>
      </c>
      <c r="X1135" t="s">
        <v>291</v>
      </c>
      <c r="Y1135">
        <v>10</v>
      </c>
      <c r="Z1135">
        <v>0.26592676994077491</v>
      </c>
      <c r="AA1135">
        <v>1</v>
      </c>
    </row>
    <row r="1136" spans="1:27" hidden="1" x14ac:dyDescent="0.25">
      <c r="A1136" t="s">
        <v>98</v>
      </c>
      <c r="B1136" t="s">
        <v>1374</v>
      </c>
      <c r="D1136" t="s">
        <v>100</v>
      </c>
      <c r="E1136" t="s">
        <v>284</v>
      </c>
      <c r="F1136" t="s">
        <v>365</v>
      </c>
      <c r="G1136" t="s">
        <v>112</v>
      </c>
      <c r="H1136" t="s">
        <v>104</v>
      </c>
      <c r="I1136">
        <v>2028</v>
      </c>
      <c r="J1136" t="s">
        <v>392</v>
      </c>
      <c r="K1136" t="s">
        <v>106</v>
      </c>
      <c r="L1136" t="s">
        <v>1449</v>
      </c>
      <c r="M1136" t="s">
        <v>1498</v>
      </c>
      <c r="N1136">
        <v>1</v>
      </c>
      <c r="O1136">
        <v>2028</v>
      </c>
      <c r="P1136">
        <v>43.733464606512037</v>
      </c>
      <c r="Q1136">
        <v>2.4042644647868401</v>
      </c>
      <c r="R1136" t="s">
        <v>289</v>
      </c>
      <c r="S1136">
        <v>130.6177318295739</v>
      </c>
      <c r="T1136" t="s">
        <v>290</v>
      </c>
      <c r="U1136">
        <v>130.6177318295739</v>
      </c>
      <c r="V1136">
        <v>43.733464606512037</v>
      </c>
      <c r="W1136">
        <v>2.4042644647868401</v>
      </c>
      <c r="X1136" t="s">
        <v>291</v>
      </c>
      <c r="Y1136">
        <v>10</v>
      </c>
      <c r="Z1136">
        <v>0.26592676994077491</v>
      </c>
      <c r="AA1136">
        <v>1</v>
      </c>
    </row>
    <row r="1137" spans="1:27" hidden="1" x14ac:dyDescent="0.25">
      <c r="A1137" t="s">
        <v>98</v>
      </c>
      <c r="B1137" t="s">
        <v>1374</v>
      </c>
      <c r="D1137" t="s">
        <v>100</v>
      </c>
      <c r="E1137" t="s">
        <v>284</v>
      </c>
      <c r="F1137" t="s">
        <v>365</v>
      </c>
      <c r="G1137" t="s">
        <v>103</v>
      </c>
      <c r="H1137" t="s">
        <v>104</v>
      </c>
      <c r="I1137">
        <v>2029</v>
      </c>
      <c r="J1137" t="s">
        <v>394</v>
      </c>
      <c r="K1137" t="s">
        <v>106</v>
      </c>
      <c r="L1137" t="s">
        <v>1449</v>
      </c>
      <c r="M1137" t="s">
        <v>1499</v>
      </c>
      <c r="N1137">
        <v>1</v>
      </c>
      <c r="O1137">
        <v>2029</v>
      </c>
      <c r="P1137">
        <v>34.353918735727063</v>
      </c>
      <c r="Q1137">
        <v>1.893397965391721</v>
      </c>
      <c r="R1137" t="s">
        <v>289</v>
      </c>
      <c r="S1137">
        <v>115.45533602622641</v>
      </c>
      <c r="T1137" t="s">
        <v>290</v>
      </c>
      <c r="U1137">
        <v>115.45533602622641</v>
      </c>
      <c r="V1137">
        <v>34.353918735727063</v>
      </c>
      <c r="W1137">
        <v>1.893397965391721</v>
      </c>
      <c r="X1137" t="s">
        <v>291</v>
      </c>
      <c r="Y1137">
        <v>10</v>
      </c>
      <c r="Z1137">
        <v>0.26592676994077491</v>
      </c>
      <c r="AA1137">
        <v>1</v>
      </c>
    </row>
    <row r="1138" spans="1:27" hidden="1" x14ac:dyDescent="0.25">
      <c r="A1138" t="s">
        <v>98</v>
      </c>
      <c r="B1138" t="s">
        <v>1374</v>
      </c>
      <c r="D1138" t="s">
        <v>100</v>
      </c>
      <c r="E1138" t="s">
        <v>284</v>
      </c>
      <c r="F1138" t="s">
        <v>365</v>
      </c>
      <c r="G1138" t="s">
        <v>112</v>
      </c>
      <c r="H1138" t="s">
        <v>104</v>
      </c>
      <c r="I1138">
        <v>2029</v>
      </c>
      <c r="J1138" t="s">
        <v>396</v>
      </c>
      <c r="K1138" t="s">
        <v>106</v>
      </c>
      <c r="L1138" t="s">
        <v>1449</v>
      </c>
      <c r="M1138" t="s">
        <v>1500</v>
      </c>
      <c r="N1138">
        <v>1</v>
      </c>
      <c r="O1138">
        <v>2029</v>
      </c>
      <c r="P1138">
        <v>43.733464606512037</v>
      </c>
      <c r="Q1138">
        <v>2.4042644647868401</v>
      </c>
      <c r="R1138" t="s">
        <v>289</v>
      </c>
      <c r="S1138">
        <v>130.6177318295739</v>
      </c>
      <c r="T1138" t="s">
        <v>290</v>
      </c>
      <c r="U1138">
        <v>130.6177318295739</v>
      </c>
      <c r="V1138">
        <v>43.733464606512037</v>
      </c>
      <c r="W1138">
        <v>2.4042644647868401</v>
      </c>
      <c r="X1138" t="s">
        <v>291</v>
      </c>
      <c r="Y1138">
        <v>10</v>
      </c>
      <c r="Z1138">
        <v>0.26592676994077491</v>
      </c>
      <c r="AA1138">
        <v>1</v>
      </c>
    </row>
    <row r="1139" spans="1:27" hidden="1" x14ac:dyDescent="0.25">
      <c r="A1139" t="s">
        <v>98</v>
      </c>
      <c r="B1139" t="s">
        <v>1374</v>
      </c>
      <c r="D1139" t="s">
        <v>100</v>
      </c>
      <c r="E1139" t="s">
        <v>284</v>
      </c>
      <c r="F1139" t="s">
        <v>355</v>
      </c>
      <c r="G1139" t="s">
        <v>103</v>
      </c>
      <c r="H1139" t="s">
        <v>104</v>
      </c>
      <c r="I1139">
        <v>2030</v>
      </c>
      <c r="J1139" t="s">
        <v>398</v>
      </c>
      <c r="K1139" t="s">
        <v>106</v>
      </c>
      <c r="L1139" t="s">
        <v>1449</v>
      </c>
      <c r="M1139" t="s">
        <v>1501</v>
      </c>
      <c r="N1139">
        <v>1</v>
      </c>
      <c r="O1139">
        <v>2030</v>
      </c>
      <c r="P1139">
        <v>22.026606087295281</v>
      </c>
      <c r="Q1139">
        <v>0.67594869632979349</v>
      </c>
      <c r="R1139" t="s">
        <v>289</v>
      </c>
      <c r="S1139">
        <v>87.209325187237212</v>
      </c>
      <c r="T1139" t="s">
        <v>290</v>
      </c>
      <c r="U1139">
        <v>87.209325187237212</v>
      </c>
      <c r="V1139">
        <v>22.026606087295281</v>
      </c>
      <c r="W1139">
        <v>0.67594869632979349</v>
      </c>
      <c r="X1139" t="s">
        <v>291</v>
      </c>
      <c r="Y1139">
        <v>10</v>
      </c>
      <c r="Z1139">
        <v>0.26592676994077491</v>
      </c>
      <c r="AA1139">
        <v>1</v>
      </c>
    </row>
    <row r="1140" spans="1:27" hidden="1" x14ac:dyDescent="0.25">
      <c r="A1140" t="s">
        <v>98</v>
      </c>
      <c r="B1140" t="s">
        <v>1374</v>
      </c>
      <c r="D1140" t="s">
        <v>100</v>
      </c>
      <c r="E1140" t="s">
        <v>284</v>
      </c>
      <c r="F1140" t="s">
        <v>355</v>
      </c>
      <c r="G1140" t="s">
        <v>112</v>
      </c>
      <c r="H1140" t="s">
        <v>104</v>
      </c>
      <c r="I1140">
        <v>2030</v>
      </c>
      <c r="J1140" t="s">
        <v>400</v>
      </c>
      <c r="K1140" t="s">
        <v>106</v>
      </c>
      <c r="L1140" t="s">
        <v>1449</v>
      </c>
      <c r="M1140" t="s">
        <v>1502</v>
      </c>
      <c r="N1140">
        <v>1</v>
      </c>
      <c r="O1140">
        <v>2030</v>
      </c>
      <c r="P1140">
        <v>23.051216439564651</v>
      </c>
      <c r="Q1140">
        <v>0.88782640486853737</v>
      </c>
      <c r="R1140" t="s">
        <v>289</v>
      </c>
      <c r="S1140">
        <v>87.494679062376832</v>
      </c>
      <c r="T1140" t="s">
        <v>290</v>
      </c>
      <c r="U1140">
        <v>87.494679062376832</v>
      </c>
      <c r="V1140">
        <v>23.051216439564651</v>
      </c>
      <c r="W1140">
        <v>0.88782640486853737</v>
      </c>
      <c r="X1140" t="s">
        <v>291</v>
      </c>
      <c r="Y1140">
        <v>10</v>
      </c>
      <c r="Z1140">
        <v>0.26592676994077491</v>
      </c>
      <c r="AA1140">
        <v>1</v>
      </c>
    </row>
    <row r="1141" spans="1:27" hidden="1" x14ac:dyDescent="0.25">
      <c r="A1141" t="s">
        <v>98</v>
      </c>
      <c r="B1141" t="s">
        <v>1374</v>
      </c>
      <c r="D1141" t="s">
        <v>100</v>
      </c>
      <c r="E1141" t="s">
        <v>284</v>
      </c>
      <c r="F1141" t="s">
        <v>360</v>
      </c>
      <c r="G1141" t="s">
        <v>103</v>
      </c>
      <c r="H1141" t="s">
        <v>104</v>
      </c>
      <c r="I1141">
        <v>2030</v>
      </c>
      <c r="J1141" t="s">
        <v>402</v>
      </c>
      <c r="K1141" t="s">
        <v>106</v>
      </c>
      <c r="L1141" t="s">
        <v>1449</v>
      </c>
      <c r="M1141" t="s">
        <v>1503</v>
      </c>
      <c r="N1141">
        <v>1</v>
      </c>
      <c r="O1141">
        <v>2030</v>
      </c>
      <c r="P1141">
        <v>32.03338343675982</v>
      </c>
      <c r="Q1141">
        <v>0.74367453538487105</v>
      </c>
      <c r="R1141" t="s">
        <v>289</v>
      </c>
      <c r="S1141">
        <v>80.816288888888892</v>
      </c>
      <c r="T1141" t="s">
        <v>290</v>
      </c>
      <c r="U1141">
        <v>80.816288888888892</v>
      </c>
      <c r="V1141">
        <v>32.03338343675982</v>
      </c>
      <c r="W1141">
        <v>0.74367453538487105</v>
      </c>
      <c r="X1141" t="s">
        <v>291</v>
      </c>
      <c r="Y1141">
        <v>10</v>
      </c>
      <c r="Z1141">
        <v>0.26592676994077491</v>
      </c>
      <c r="AA1141">
        <v>1</v>
      </c>
    </row>
    <row r="1142" spans="1:27" hidden="1" x14ac:dyDescent="0.25">
      <c r="A1142" t="s">
        <v>98</v>
      </c>
      <c r="B1142" t="s">
        <v>1374</v>
      </c>
      <c r="D1142" t="s">
        <v>100</v>
      </c>
      <c r="E1142" t="s">
        <v>284</v>
      </c>
      <c r="F1142" t="s">
        <v>360</v>
      </c>
      <c r="G1142" t="s">
        <v>112</v>
      </c>
      <c r="H1142" t="s">
        <v>104</v>
      </c>
      <c r="I1142">
        <v>2030</v>
      </c>
      <c r="J1142" t="s">
        <v>404</v>
      </c>
      <c r="K1142" t="s">
        <v>106</v>
      </c>
      <c r="L1142" t="s">
        <v>1449</v>
      </c>
      <c r="M1142" t="s">
        <v>1504</v>
      </c>
      <c r="N1142">
        <v>1</v>
      </c>
      <c r="O1142">
        <v>2030</v>
      </c>
      <c r="P1142">
        <v>30.04097222030375</v>
      </c>
      <c r="Q1142">
        <v>1.0503155304453009</v>
      </c>
      <c r="R1142" t="s">
        <v>289</v>
      </c>
      <c r="S1142">
        <v>90.329273504273502</v>
      </c>
      <c r="T1142" t="s">
        <v>290</v>
      </c>
      <c r="U1142">
        <v>90.329273504273502</v>
      </c>
      <c r="V1142">
        <v>30.04097222030375</v>
      </c>
      <c r="W1142">
        <v>1.0503155304453009</v>
      </c>
      <c r="X1142" t="s">
        <v>291</v>
      </c>
      <c r="Y1142">
        <v>10</v>
      </c>
      <c r="Z1142">
        <v>0.26592676994077491</v>
      </c>
      <c r="AA1142">
        <v>1</v>
      </c>
    </row>
    <row r="1143" spans="1:27" hidden="1" x14ac:dyDescent="0.25">
      <c r="A1143" t="s">
        <v>98</v>
      </c>
      <c r="B1143" t="s">
        <v>1374</v>
      </c>
      <c r="D1143" t="s">
        <v>100</v>
      </c>
      <c r="E1143" t="s">
        <v>284</v>
      </c>
      <c r="F1143" t="s">
        <v>365</v>
      </c>
      <c r="G1143" t="s">
        <v>103</v>
      </c>
      <c r="H1143" t="s">
        <v>104</v>
      </c>
      <c r="I1143">
        <v>2030</v>
      </c>
      <c r="J1143" t="s">
        <v>406</v>
      </c>
      <c r="K1143" t="s">
        <v>106</v>
      </c>
      <c r="L1143" t="s">
        <v>1449</v>
      </c>
      <c r="M1143" t="s">
        <v>1505</v>
      </c>
      <c r="N1143">
        <v>1</v>
      </c>
      <c r="O1143">
        <v>2030</v>
      </c>
      <c r="P1143">
        <v>23.710775767327672</v>
      </c>
      <c r="Q1143">
        <v>1.668845649337886</v>
      </c>
      <c r="R1143" t="s">
        <v>289</v>
      </c>
      <c r="S1143">
        <v>154.72558108377279</v>
      </c>
      <c r="T1143" t="s">
        <v>290</v>
      </c>
      <c r="U1143">
        <v>154.72558108377279</v>
      </c>
      <c r="V1143">
        <v>23.710775767327672</v>
      </c>
      <c r="W1143">
        <v>1.668845649337886</v>
      </c>
      <c r="X1143" t="s">
        <v>291</v>
      </c>
      <c r="Y1143">
        <v>10</v>
      </c>
      <c r="Z1143">
        <v>0.26592676994077491</v>
      </c>
      <c r="AA1143">
        <v>1</v>
      </c>
    </row>
    <row r="1144" spans="1:27" hidden="1" x14ac:dyDescent="0.25">
      <c r="A1144" t="s">
        <v>98</v>
      </c>
      <c r="B1144" t="s">
        <v>1374</v>
      </c>
      <c r="D1144" t="s">
        <v>100</v>
      </c>
      <c r="E1144" t="s">
        <v>284</v>
      </c>
      <c r="F1144" t="s">
        <v>365</v>
      </c>
      <c r="G1144" t="s">
        <v>112</v>
      </c>
      <c r="H1144" t="s">
        <v>104</v>
      </c>
      <c r="I1144">
        <v>2030</v>
      </c>
      <c r="J1144" t="s">
        <v>408</v>
      </c>
      <c r="K1144" t="s">
        <v>106</v>
      </c>
      <c r="L1144" t="s">
        <v>1449</v>
      </c>
      <c r="M1144" t="s">
        <v>1506</v>
      </c>
      <c r="N1144">
        <v>1</v>
      </c>
      <c r="O1144">
        <v>2030</v>
      </c>
      <c r="P1144">
        <v>28.858905605402359</v>
      </c>
      <c r="Q1144">
        <v>2.128664396371156</v>
      </c>
      <c r="R1144" t="s">
        <v>289</v>
      </c>
      <c r="S1144">
        <v>176.3746647164572</v>
      </c>
      <c r="T1144" t="s">
        <v>290</v>
      </c>
      <c r="U1144">
        <v>176.3746647164572</v>
      </c>
      <c r="V1144">
        <v>28.858905605402359</v>
      </c>
      <c r="W1144">
        <v>2.128664396371156</v>
      </c>
      <c r="X1144" t="s">
        <v>291</v>
      </c>
      <c r="Y1144">
        <v>10</v>
      </c>
      <c r="Z1144">
        <v>0.26592676994077491</v>
      </c>
      <c r="AA1144">
        <v>1</v>
      </c>
    </row>
    <row r="1145" spans="1:27" hidden="1" x14ac:dyDescent="0.25">
      <c r="A1145" t="s">
        <v>98</v>
      </c>
      <c r="B1145" t="s">
        <v>1374</v>
      </c>
      <c r="D1145" t="s">
        <v>100</v>
      </c>
      <c r="E1145" t="s">
        <v>284</v>
      </c>
      <c r="F1145" t="s">
        <v>355</v>
      </c>
      <c r="G1145" t="s">
        <v>103</v>
      </c>
      <c r="H1145" t="s">
        <v>104</v>
      </c>
      <c r="I1145">
        <v>2040</v>
      </c>
      <c r="J1145" t="s">
        <v>410</v>
      </c>
      <c r="K1145" t="s">
        <v>106</v>
      </c>
      <c r="L1145" t="s">
        <v>1449</v>
      </c>
      <c r="M1145" t="s">
        <v>1507</v>
      </c>
      <c r="N1145">
        <v>1</v>
      </c>
      <c r="O1145">
        <v>2040</v>
      </c>
      <c r="P1145">
        <v>22.159986853322259</v>
      </c>
      <c r="Q1145">
        <v>0.64769049265200085</v>
      </c>
      <c r="R1145" t="s">
        <v>289</v>
      </c>
      <c r="S1145">
        <v>85.846844985289152</v>
      </c>
      <c r="T1145" t="s">
        <v>290</v>
      </c>
      <c r="U1145">
        <v>85.846844985289152</v>
      </c>
      <c r="V1145">
        <v>22.159986853322259</v>
      </c>
      <c r="W1145">
        <v>0.64769049265200085</v>
      </c>
      <c r="X1145" t="s">
        <v>291</v>
      </c>
      <c r="Y1145">
        <v>10</v>
      </c>
      <c r="Z1145">
        <v>0.26592676994077491</v>
      </c>
      <c r="AA1145">
        <v>1</v>
      </c>
    </row>
    <row r="1146" spans="1:27" hidden="1" x14ac:dyDescent="0.25">
      <c r="A1146" t="s">
        <v>98</v>
      </c>
      <c r="B1146" t="s">
        <v>1374</v>
      </c>
      <c r="D1146" t="s">
        <v>100</v>
      </c>
      <c r="E1146" t="s">
        <v>284</v>
      </c>
      <c r="F1146" t="s">
        <v>355</v>
      </c>
      <c r="G1146" t="s">
        <v>112</v>
      </c>
      <c r="H1146" t="s">
        <v>104</v>
      </c>
      <c r="I1146">
        <v>2040</v>
      </c>
      <c r="J1146" t="s">
        <v>412</v>
      </c>
      <c r="K1146" t="s">
        <v>106</v>
      </c>
      <c r="L1146" t="s">
        <v>1449</v>
      </c>
      <c r="M1146" t="s">
        <v>1508</v>
      </c>
      <c r="N1146">
        <v>1</v>
      </c>
      <c r="O1146">
        <v>2040</v>
      </c>
      <c r="P1146">
        <v>22.287209700822071</v>
      </c>
      <c r="Q1146">
        <v>0.78348370867951755</v>
      </c>
      <c r="R1146" t="s">
        <v>289</v>
      </c>
      <c r="S1146">
        <v>88.372750377742747</v>
      </c>
      <c r="T1146" t="s">
        <v>290</v>
      </c>
      <c r="U1146">
        <v>88.372750377742747</v>
      </c>
      <c r="V1146">
        <v>22.287209700822071</v>
      </c>
      <c r="W1146">
        <v>0.78348370867951755</v>
      </c>
      <c r="X1146" t="s">
        <v>291</v>
      </c>
      <c r="Y1146">
        <v>10</v>
      </c>
      <c r="Z1146">
        <v>0.26592676994077491</v>
      </c>
      <c r="AA1146">
        <v>1</v>
      </c>
    </row>
    <row r="1147" spans="1:27" hidden="1" x14ac:dyDescent="0.25">
      <c r="A1147" t="s">
        <v>98</v>
      </c>
      <c r="B1147" t="s">
        <v>1374</v>
      </c>
      <c r="D1147" t="s">
        <v>100</v>
      </c>
      <c r="E1147" t="s">
        <v>284</v>
      </c>
      <c r="F1147" t="s">
        <v>360</v>
      </c>
      <c r="G1147" t="s">
        <v>103</v>
      </c>
      <c r="H1147" t="s">
        <v>104</v>
      </c>
      <c r="I1147">
        <v>2040</v>
      </c>
      <c r="J1147" t="s">
        <v>414</v>
      </c>
      <c r="K1147" t="s">
        <v>106</v>
      </c>
      <c r="L1147" t="s">
        <v>1449</v>
      </c>
      <c r="M1147" t="s">
        <v>1509</v>
      </c>
      <c r="N1147">
        <v>1</v>
      </c>
      <c r="O1147">
        <v>2040</v>
      </c>
      <c r="P1147">
        <v>28.721945226708339</v>
      </c>
      <c r="Q1147">
        <v>0.72978219131721256</v>
      </c>
      <c r="R1147" t="s">
        <v>289</v>
      </c>
      <c r="S1147">
        <v>80.816288888888892</v>
      </c>
      <c r="T1147" t="s">
        <v>290</v>
      </c>
      <c r="U1147">
        <v>80.816288888888892</v>
      </c>
      <c r="V1147">
        <v>28.721945226708339</v>
      </c>
      <c r="W1147">
        <v>0.72978219131721256</v>
      </c>
      <c r="X1147" t="s">
        <v>291</v>
      </c>
      <c r="Y1147">
        <v>10</v>
      </c>
      <c r="Z1147">
        <v>0.26592676994077491</v>
      </c>
      <c r="AA1147">
        <v>1</v>
      </c>
    </row>
    <row r="1148" spans="1:27" hidden="1" x14ac:dyDescent="0.25">
      <c r="A1148" t="s">
        <v>98</v>
      </c>
      <c r="B1148" t="s">
        <v>1374</v>
      </c>
      <c r="D1148" t="s">
        <v>100</v>
      </c>
      <c r="E1148" t="s">
        <v>284</v>
      </c>
      <c r="F1148" t="s">
        <v>360</v>
      </c>
      <c r="G1148" t="s">
        <v>112</v>
      </c>
      <c r="H1148" t="s">
        <v>104</v>
      </c>
      <c r="I1148">
        <v>2040</v>
      </c>
      <c r="J1148" t="s">
        <v>416</v>
      </c>
      <c r="K1148" t="s">
        <v>106</v>
      </c>
      <c r="L1148" t="s">
        <v>1449</v>
      </c>
      <c r="M1148" t="s">
        <v>1510</v>
      </c>
      <c r="N1148">
        <v>1</v>
      </c>
      <c r="O1148">
        <v>2040</v>
      </c>
      <c r="P1148">
        <v>33.197275628385512</v>
      </c>
      <c r="Q1148">
        <v>1.1034319170477349</v>
      </c>
      <c r="R1148" t="s">
        <v>289</v>
      </c>
      <c r="S1148">
        <v>93.34643874643875</v>
      </c>
      <c r="T1148" t="s">
        <v>290</v>
      </c>
      <c r="U1148">
        <v>93.34643874643875</v>
      </c>
      <c r="V1148">
        <v>33.197275628385512</v>
      </c>
      <c r="W1148">
        <v>1.1034319170477349</v>
      </c>
      <c r="X1148" t="s">
        <v>291</v>
      </c>
      <c r="Y1148">
        <v>10</v>
      </c>
      <c r="Z1148">
        <v>0.26592676994077491</v>
      </c>
      <c r="AA1148">
        <v>1</v>
      </c>
    </row>
    <row r="1149" spans="1:27" hidden="1" x14ac:dyDescent="0.25">
      <c r="A1149" t="s">
        <v>98</v>
      </c>
      <c r="B1149" t="s">
        <v>1374</v>
      </c>
      <c r="D1149" t="s">
        <v>100</v>
      </c>
      <c r="E1149" t="s">
        <v>284</v>
      </c>
      <c r="F1149" t="s">
        <v>365</v>
      </c>
      <c r="G1149" t="s">
        <v>103</v>
      </c>
      <c r="H1149" t="s">
        <v>104</v>
      </c>
      <c r="I1149">
        <v>2040</v>
      </c>
      <c r="J1149" t="s">
        <v>418</v>
      </c>
      <c r="K1149" t="s">
        <v>106</v>
      </c>
      <c r="L1149" t="s">
        <v>1449</v>
      </c>
      <c r="M1149" t="s">
        <v>1511</v>
      </c>
      <c r="N1149">
        <v>1</v>
      </c>
      <c r="O1149">
        <v>2040</v>
      </c>
      <c r="P1149">
        <v>22.333975775561878</v>
      </c>
      <c r="Q1149">
        <v>1.552983156443519</v>
      </c>
      <c r="R1149" t="s">
        <v>289</v>
      </c>
      <c r="S1149">
        <v>181.1420784222461</v>
      </c>
      <c r="T1149" t="s">
        <v>290</v>
      </c>
      <c r="U1149">
        <v>181.1420784222461</v>
      </c>
      <c r="V1149">
        <v>22.333975775561878</v>
      </c>
      <c r="W1149">
        <v>1.552983156443519</v>
      </c>
      <c r="X1149" t="s">
        <v>291</v>
      </c>
      <c r="Y1149">
        <v>10</v>
      </c>
      <c r="Z1149">
        <v>0.26592676994077491</v>
      </c>
      <c r="AA1149">
        <v>1</v>
      </c>
    </row>
    <row r="1150" spans="1:27" hidden="1" x14ac:dyDescent="0.25">
      <c r="A1150" t="s">
        <v>98</v>
      </c>
      <c r="B1150" t="s">
        <v>1374</v>
      </c>
      <c r="D1150" t="s">
        <v>100</v>
      </c>
      <c r="E1150" t="s">
        <v>284</v>
      </c>
      <c r="F1150" t="s">
        <v>365</v>
      </c>
      <c r="G1150" t="s">
        <v>112</v>
      </c>
      <c r="H1150" t="s">
        <v>104</v>
      </c>
      <c r="I1150">
        <v>2040</v>
      </c>
      <c r="J1150" t="s">
        <v>420</v>
      </c>
      <c r="K1150" t="s">
        <v>106</v>
      </c>
      <c r="L1150" t="s">
        <v>1449</v>
      </c>
      <c r="M1150" t="s">
        <v>1512</v>
      </c>
      <c r="N1150">
        <v>1</v>
      </c>
      <c r="O1150">
        <v>2040</v>
      </c>
      <c r="P1150">
        <v>27.009726996743201</v>
      </c>
      <c r="Q1150">
        <v>1.971842815426603</v>
      </c>
      <c r="R1150" t="s">
        <v>289</v>
      </c>
      <c r="S1150">
        <v>206.50467814395611</v>
      </c>
      <c r="T1150" t="s">
        <v>290</v>
      </c>
      <c r="U1150">
        <v>206.50467814395611</v>
      </c>
      <c r="V1150">
        <v>27.009726996743201</v>
      </c>
      <c r="W1150">
        <v>1.971842815426603</v>
      </c>
      <c r="X1150" t="s">
        <v>291</v>
      </c>
      <c r="Y1150">
        <v>10</v>
      </c>
      <c r="Z1150">
        <v>0.26592676994077491</v>
      </c>
      <c r="AA1150">
        <v>1</v>
      </c>
    </row>
    <row r="1151" spans="1:27" hidden="1" x14ac:dyDescent="0.25">
      <c r="A1151" t="s">
        <v>98</v>
      </c>
      <c r="B1151" t="s">
        <v>1374</v>
      </c>
      <c r="D1151" t="s">
        <v>100</v>
      </c>
      <c r="E1151" t="s">
        <v>284</v>
      </c>
      <c r="F1151" t="s">
        <v>422</v>
      </c>
      <c r="G1151" t="s">
        <v>103</v>
      </c>
      <c r="H1151" t="s">
        <v>104</v>
      </c>
      <c r="I1151">
        <v>2022</v>
      </c>
      <c r="J1151" t="s">
        <v>423</v>
      </c>
      <c r="K1151" t="s">
        <v>106</v>
      </c>
      <c r="L1151" t="s">
        <v>1449</v>
      </c>
      <c r="M1151" t="s">
        <v>1513</v>
      </c>
      <c r="N1151">
        <v>1</v>
      </c>
      <c r="O1151">
        <v>2020</v>
      </c>
      <c r="P1151">
        <v>22.570490905245428</v>
      </c>
      <c r="Q1151">
        <v>0.77947598919167282</v>
      </c>
      <c r="R1151" t="s">
        <v>289</v>
      </c>
      <c r="S1151">
        <v>59.465873015873022</v>
      </c>
      <c r="T1151" t="s">
        <v>290</v>
      </c>
      <c r="U1151">
        <v>59.465873015873022</v>
      </c>
      <c r="V1151">
        <v>22.570490905245428</v>
      </c>
      <c r="W1151">
        <v>0.77947598919167282</v>
      </c>
      <c r="X1151" t="s">
        <v>291</v>
      </c>
      <c r="Y1151">
        <v>10</v>
      </c>
      <c r="Z1151">
        <v>0.26592676994077491</v>
      </c>
      <c r="AA1151">
        <v>1</v>
      </c>
    </row>
    <row r="1152" spans="1:27" hidden="1" x14ac:dyDescent="0.25">
      <c r="A1152" t="s">
        <v>98</v>
      </c>
      <c r="B1152" t="s">
        <v>1374</v>
      </c>
      <c r="D1152" t="s">
        <v>100</v>
      </c>
      <c r="E1152" t="s">
        <v>284</v>
      </c>
      <c r="F1152" t="s">
        <v>425</v>
      </c>
      <c r="G1152" t="s">
        <v>103</v>
      </c>
      <c r="H1152" t="s">
        <v>104</v>
      </c>
      <c r="I1152">
        <v>2022</v>
      </c>
      <c r="J1152" t="s">
        <v>426</v>
      </c>
      <c r="K1152" t="s">
        <v>106</v>
      </c>
      <c r="L1152" t="s">
        <v>1449</v>
      </c>
      <c r="M1152" t="s">
        <v>1514</v>
      </c>
      <c r="N1152">
        <v>1</v>
      </c>
      <c r="O1152">
        <v>2020</v>
      </c>
      <c r="P1152">
        <v>20.699165146358741</v>
      </c>
      <c r="Q1152">
        <v>1.111231451610436</v>
      </c>
      <c r="R1152" t="s">
        <v>289</v>
      </c>
      <c r="S1152">
        <v>74.054444444444442</v>
      </c>
      <c r="T1152" t="s">
        <v>290</v>
      </c>
      <c r="U1152">
        <v>74.054444444444442</v>
      </c>
      <c r="V1152">
        <v>20.699165146358741</v>
      </c>
      <c r="W1152">
        <v>1.111231451610436</v>
      </c>
      <c r="X1152" t="s">
        <v>291</v>
      </c>
      <c r="Y1152">
        <v>10</v>
      </c>
      <c r="Z1152">
        <v>0.26592676994077491</v>
      </c>
      <c r="AA1152">
        <v>1</v>
      </c>
    </row>
    <row r="1153" spans="1:27" hidden="1" x14ac:dyDescent="0.25">
      <c r="A1153" t="s">
        <v>98</v>
      </c>
      <c r="B1153" t="s">
        <v>1374</v>
      </c>
      <c r="D1153" t="s">
        <v>100</v>
      </c>
      <c r="E1153" t="s">
        <v>284</v>
      </c>
      <c r="F1153" t="s">
        <v>428</v>
      </c>
      <c r="G1153" t="s">
        <v>103</v>
      </c>
      <c r="H1153" t="s">
        <v>104</v>
      </c>
      <c r="I1153">
        <v>2022</v>
      </c>
      <c r="J1153" t="s">
        <v>429</v>
      </c>
      <c r="K1153" t="s">
        <v>106</v>
      </c>
      <c r="L1153" t="s">
        <v>1449</v>
      </c>
      <c r="M1153" t="s">
        <v>1515</v>
      </c>
      <c r="N1153">
        <v>1</v>
      </c>
      <c r="O1153">
        <v>2020</v>
      </c>
      <c r="P1153">
        <v>25.347672779313449</v>
      </c>
      <c r="Q1153">
        <v>0.56400508525842741</v>
      </c>
      <c r="R1153" t="s">
        <v>289</v>
      </c>
      <c r="S1153">
        <v>77.810944444444459</v>
      </c>
      <c r="T1153" t="s">
        <v>290</v>
      </c>
      <c r="U1153">
        <v>77.810944444444459</v>
      </c>
      <c r="V1153">
        <v>25.347672779313449</v>
      </c>
      <c r="W1153">
        <v>0.56400508525842741</v>
      </c>
      <c r="X1153" t="s">
        <v>291</v>
      </c>
      <c r="Y1153">
        <v>10</v>
      </c>
      <c r="Z1153">
        <v>0.26592676994077491</v>
      </c>
      <c r="AA1153">
        <v>1</v>
      </c>
    </row>
    <row r="1154" spans="1:27" hidden="1" x14ac:dyDescent="0.25">
      <c r="A1154" t="s">
        <v>98</v>
      </c>
      <c r="B1154" t="s">
        <v>1374</v>
      </c>
      <c r="D1154" t="s">
        <v>100</v>
      </c>
      <c r="E1154" t="s">
        <v>284</v>
      </c>
      <c r="F1154" t="s">
        <v>425</v>
      </c>
      <c r="G1154" t="s">
        <v>103</v>
      </c>
      <c r="H1154" t="s">
        <v>104</v>
      </c>
      <c r="I1154">
        <v>2030</v>
      </c>
      <c r="J1154" t="s">
        <v>431</v>
      </c>
      <c r="K1154" t="s">
        <v>106</v>
      </c>
      <c r="L1154" t="s">
        <v>1449</v>
      </c>
      <c r="M1154" t="s">
        <v>1516</v>
      </c>
      <c r="N1154">
        <v>1</v>
      </c>
      <c r="O1154">
        <v>2030</v>
      </c>
      <c r="P1154">
        <v>20.230705085538521</v>
      </c>
      <c r="Q1154">
        <v>1.0951903363739519</v>
      </c>
      <c r="R1154" t="s">
        <v>289</v>
      </c>
      <c r="S1154">
        <v>79.81</v>
      </c>
      <c r="T1154" t="s">
        <v>290</v>
      </c>
      <c r="U1154">
        <v>79.81</v>
      </c>
      <c r="V1154">
        <v>20.230705085538521</v>
      </c>
      <c r="W1154">
        <v>1.0951903363739519</v>
      </c>
      <c r="X1154" t="s">
        <v>291</v>
      </c>
      <c r="Y1154">
        <v>10</v>
      </c>
      <c r="Z1154">
        <v>0.26592676994077491</v>
      </c>
      <c r="AA1154">
        <v>1</v>
      </c>
    </row>
    <row r="1155" spans="1:27" hidden="1" x14ac:dyDescent="0.25">
      <c r="A1155" t="s">
        <v>98</v>
      </c>
      <c r="B1155" t="s">
        <v>1374</v>
      </c>
      <c r="D1155" t="s">
        <v>100</v>
      </c>
      <c r="E1155" t="s">
        <v>284</v>
      </c>
      <c r="F1155" t="s">
        <v>428</v>
      </c>
      <c r="G1155" t="s">
        <v>103</v>
      </c>
      <c r="H1155" t="s">
        <v>104</v>
      </c>
      <c r="I1155">
        <v>2030</v>
      </c>
      <c r="J1155" t="s">
        <v>433</v>
      </c>
      <c r="K1155" t="s">
        <v>106</v>
      </c>
      <c r="L1155" t="s">
        <v>1449</v>
      </c>
      <c r="M1155" t="s">
        <v>1517</v>
      </c>
      <c r="N1155">
        <v>1</v>
      </c>
      <c r="O1155">
        <v>2030</v>
      </c>
      <c r="P1155">
        <v>24.67049407605251</v>
      </c>
      <c r="Q1155">
        <v>0.55731249361340607</v>
      </c>
      <c r="R1155" t="s">
        <v>289</v>
      </c>
      <c r="S1155">
        <v>84.367500000000007</v>
      </c>
      <c r="T1155" t="s">
        <v>290</v>
      </c>
      <c r="U1155">
        <v>84.367500000000007</v>
      </c>
      <c r="V1155">
        <v>24.67049407605251</v>
      </c>
      <c r="W1155">
        <v>0.55731249361340607</v>
      </c>
      <c r="X1155" t="s">
        <v>291</v>
      </c>
      <c r="Y1155">
        <v>10</v>
      </c>
      <c r="Z1155">
        <v>0.26592676994077491</v>
      </c>
      <c r="AA1155">
        <v>1</v>
      </c>
    </row>
    <row r="1156" spans="1:27" hidden="1" x14ac:dyDescent="0.25">
      <c r="A1156" t="s">
        <v>98</v>
      </c>
      <c r="B1156" t="s">
        <v>1374</v>
      </c>
      <c r="D1156" t="s">
        <v>100</v>
      </c>
      <c r="E1156" t="s">
        <v>284</v>
      </c>
      <c r="F1156" t="s">
        <v>425</v>
      </c>
      <c r="G1156" t="s">
        <v>103</v>
      </c>
      <c r="H1156" t="s">
        <v>104</v>
      </c>
      <c r="I1156">
        <v>2040</v>
      </c>
      <c r="J1156" t="s">
        <v>435</v>
      </c>
      <c r="K1156" t="s">
        <v>106</v>
      </c>
      <c r="L1156" t="s">
        <v>1449</v>
      </c>
      <c r="M1156" t="s">
        <v>1518</v>
      </c>
      <c r="N1156">
        <v>1</v>
      </c>
      <c r="O1156">
        <v>2040</v>
      </c>
      <c r="P1156">
        <v>19.670938877469698</v>
      </c>
      <c r="Q1156">
        <v>1.076022695415618</v>
      </c>
      <c r="R1156" t="s">
        <v>289</v>
      </c>
      <c r="S1156">
        <v>79.81</v>
      </c>
      <c r="T1156" t="s">
        <v>290</v>
      </c>
      <c r="U1156">
        <v>79.81</v>
      </c>
      <c r="V1156">
        <v>19.670938877469698</v>
      </c>
      <c r="W1156">
        <v>1.076022695415618</v>
      </c>
      <c r="X1156" t="s">
        <v>291</v>
      </c>
      <c r="Y1156">
        <v>10</v>
      </c>
      <c r="Z1156">
        <v>0.26592676994077491</v>
      </c>
      <c r="AA1156">
        <v>1</v>
      </c>
    </row>
    <row r="1157" spans="1:27" hidden="1" x14ac:dyDescent="0.25">
      <c r="A1157" t="s">
        <v>98</v>
      </c>
      <c r="B1157" t="s">
        <v>1374</v>
      </c>
      <c r="D1157" t="s">
        <v>100</v>
      </c>
      <c r="E1157" t="s">
        <v>284</v>
      </c>
      <c r="F1157" t="s">
        <v>428</v>
      </c>
      <c r="G1157" t="s">
        <v>103</v>
      </c>
      <c r="H1157" t="s">
        <v>104</v>
      </c>
      <c r="I1157">
        <v>2040</v>
      </c>
      <c r="J1157" t="s">
        <v>437</v>
      </c>
      <c r="K1157" t="s">
        <v>106</v>
      </c>
      <c r="L1157" t="s">
        <v>1449</v>
      </c>
      <c r="M1157" t="s">
        <v>1519</v>
      </c>
      <c r="N1157">
        <v>1</v>
      </c>
      <c r="O1157">
        <v>2040</v>
      </c>
      <c r="P1157">
        <v>23.861328500132039</v>
      </c>
      <c r="Q1157">
        <v>0.54931546897756556</v>
      </c>
      <c r="R1157" t="s">
        <v>289</v>
      </c>
      <c r="S1157">
        <v>84.367500000000007</v>
      </c>
      <c r="T1157" t="s">
        <v>290</v>
      </c>
      <c r="U1157">
        <v>84.367500000000007</v>
      </c>
      <c r="V1157">
        <v>23.861328500132039</v>
      </c>
      <c r="W1157">
        <v>0.54931546897756556</v>
      </c>
      <c r="X1157" t="s">
        <v>291</v>
      </c>
      <c r="Y1157">
        <v>10</v>
      </c>
      <c r="Z1157">
        <v>0.26592676994077491</v>
      </c>
      <c r="AA1157">
        <v>1</v>
      </c>
    </row>
    <row r="1158" spans="1:27" hidden="1" x14ac:dyDescent="0.25">
      <c r="A1158" t="s">
        <v>98</v>
      </c>
      <c r="B1158" t="s">
        <v>1374</v>
      </c>
      <c r="D1158" t="s">
        <v>100</v>
      </c>
      <c r="E1158" t="s">
        <v>439</v>
      </c>
      <c r="F1158" t="s">
        <v>440</v>
      </c>
      <c r="G1158" t="s">
        <v>245</v>
      </c>
      <c r="H1158" t="s">
        <v>104</v>
      </c>
      <c r="I1158">
        <v>2022</v>
      </c>
      <c r="J1158" t="s">
        <v>441</v>
      </c>
      <c r="K1158" t="s">
        <v>106</v>
      </c>
      <c r="L1158" t="s">
        <v>1520</v>
      </c>
      <c r="M1158" t="s">
        <v>1521</v>
      </c>
      <c r="N1158">
        <v>1</v>
      </c>
      <c r="O1158">
        <v>2020</v>
      </c>
      <c r="P1158">
        <v>831.12625331024003</v>
      </c>
      <c r="Q1158">
        <v>84.323656568982784</v>
      </c>
      <c r="R1158" t="s">
        <v>109</v>
      </c>
      <c r="S1158">
        <v>2.8957310176295739</v>
      </c>
      <c r="T1158" t="s">
        <v>110</v>
      </c>
      <c r="U1158">
        <v>2.8957310176295739</v>
      </c>
      <c r="V1158">
        <v>2835.9211703315582</v>
      </c>
      <c r="W1158">
        <v>287.72432812862002</v>
      </c>
      <c r="X1158" t="s">
        <v>111</v>
      </c>
      <c r="Y1158">
        <v>10</v>
      </c>
      <c r="Z1158">
        <v>0.44</v>
      </c>
      <c r="AA1158">
        <v>31.536000000000001</v>
      </c>
    </row>
    <row r="1159" spans="1:27" hidden="1" x14ac:dyDescent="0.25">
      <c r="A1159" t="s">
        <v>98</v>
      </c>
      <c r="B1159" t="s">
        <v>1374</v>
      </c>
      <c r="D1159" t="s">
        <v>100</v>
      </c>
      <c r="E1159" t="s">
        <v>439</v>
      </c>
      <c r="F1159" t="s">
        <v>440</v>
      </c>
      <c r="G1159" t="s">
        <v>103</v>
      </c>
      <c r="H1159" t="s">
        <v>104</v>
      </c>
      <c r="I1159">
        <v>2022</v>
      </c>
      <c r="J1159" t="s">
        <v>444</v>
      </c>
      <c r="K1159" t="s">
        <v>106</v>
      </c>
      <c r="L1159" t="s">
        <v>1520</v>
      </c>
      <c r="M1159" t="s">
        <v>1522</v>
      </c>
      <c r="N1159">
        <v>1</v>
      </c>
      <c r="O1159">
        <v>2020</v>
      </c>
      <c r="P1159">
        <v>1031.6192027056411</v>
      </c>
      <c r="Q1159">
        <v>84.323656568982784</v>
      </c>
      <c r="R1159" t="s">
        <v>109</v>
      </c>
      <c r="S1159">
        <v>3.1136892662683588</v>
      </c>
      <c r="T1159" t="s">
        <v>110</v>
      </c>
      <c r="U1159">
        <v>1</v>
      </c>
      <c r="V1159">
        <v>10960.284839990571</v>
      </c>
      <c r="W1159">
        <v>895.88415213835935</v>
      </c>
      <c r="X1159" t="s">
        <v>111</v>
      </c>
      <c r="Y1159">
        <v>10</v>
      </c>
      <c r="Z1159">
        <v>0.44</v>
      </c>
      <c r="AA1159">
        <v>31.536000000000001</v>
      </c>
    </row>
    <row r="1160" spans="1:27" hidden="1" x14ac:dyDescent="0.25">
      <c r="A1160" t="s">
        <v>98</v>
      </c>
      <c r="B1160" t="s">
        <v>1374</v>
      </c>
      <c r="D1160" t="s">
        <v>100</v>
      </c>
      <c r="E1160" t="s">
        <v>439</v>
      </c>
      <c r="F1160" t="s">
        <v>440</v>
      </c>
      <c r="G1160" t="s">
        <v>112</v>
      </c>
      <c r="H1160" t="s">
        <v>104</v>
      </c>
      <c r="I1160">
        <v>2022</v>
      </c>
      <c r="J1160" t="s">
        <v>446</v>
      </c>
      <c r="K1160" t="s">
        <v>106</v>
      </c>
      <c r="L1160" t="s">
        <v>1520</v>
      </c>
      <c r="M1160" t="s">
        <v>1523</v>
      </c>
      <c r="N1160">
        <v>1</v>
      </c>
      <c r="O1160">
        <v>2020</v>
      </c>
      <c r="P1160">
        <v>1137.4723035050019</v>
      </c>
      <c r="Q1160">
        <v>84.323656568982784</v>
      </c>
      <c r="R1160" t="s">
        <v>109</v>
      </c>
      <c r="S1160">
        <v>3.348052974482107</v>
      </c>
      <c r="T1160" t="s">
        <v>110</v>
      </c>
      <c r="U1160">
        <v>1.156203029251937</v>
      </c>
      <c r="V1160">
        <v>11238.961995400419</v>
      </c>
      <c r="W1160">
        <v>833.17226148867417</v>
      </c>
      <c r="X1160" t="s">
        <v>111</v>
      </c>
      <c r="Y1160">
        <v>10</v>
      </c>
      <c r="Z1160">
        <v>0.44</v>
      </c>
      <c r="AA1160">
        <v>31.536000000000001</v>
      </c>
    </row>
    <row r="1161" spans="1:27" hidden="1" x14ac:dyDescent="0.25">
      <c r="A1161" t="s">
        <v>98</v>
      </c>
      <c r="B1161" t="s">
        <v>1374</v>
      </c>
      <c r="D1161" t="s">
        <v>100</v>
      </c>
      <c r="E1161" t="s">
        <v>439</v>
      </c>
      <c r="F1161" t="s">
        <v>440</v>
      </c>
      <c r="G1161" t="s">
        <v>103</v>
      </c>
      <c r="H1161" t="s">
        <v>104</v>
      </c>
      <c r="I1161">
        <v>2030</v>
      </c>
      <c r="J1161" t="s">
        <v>448</v>
      </c>
      <c r="K1161" t="s">
        <v>106</v>
      </c>
      <c r="L1161" t="s">
        <v>1520</v>
      </c>
      <c r="M1161" t="s">
        <v>1524</v>
      </c>
      <c r="N1161">
        <v>0</v>
      </c>
      <c r="O1161">
        <v>2030</v>
      </c>
      <c r="P1161">
        <v>1031.6192027056411</v>
      </c>
      <c r="Q1161">
        <v>84.323656568982784</v>
      </c>
      <c r="R1161" t="s">
        <v>109</v>
      </c>
      <c r="S1161">
        <v>3.1136892662683588</v>
      </c>
      <c r="T1161" t="s">
        <v>110</v>
      </c>
      <c r="U1161">
        <v>1.075268817204301</v>
      </c>
      <c r="V1161">
        <v>10193.06490119123</v>
      </c>
      <c r="W1161">
        <v>833.17226148867428</v>
      </c>
      <c r="X1161" t="s">
        <v>111</v>
      </c>
      <c r="Y1161">
        <v>10</v>
      </c>
      <c r="Z1161">
        <v>0.44</v>
      </c>
      <c r="AA1161">
        <v>31.536000000000001</v>
      </c>
    </row>
    <row r="1162" spans="1:27" hidden="1" x14ac:dyDescent="0.25">
      <c r="A1162" t="s">
        <v>98</v>
      </c>
      <c r="B1162" t="s">
        <v>1374</v>
      </c>
      <c r="D1162" t="s">
        <v>100</v>
      </c>
      <c r="E1162" t="s">
        <v>439</v>
      </c>
      <c r="F1162" t="s">
        <v>440</v>
      </c>
      <c r="G1162" t="s">
        <v>112</v>
      </c>
      <c r="H1162" t="s">
        <v>104</v>
      </c>
      <c r="I1162">
        <v>2030</v>
      </c>
      <c r="J1162" t="s">
        <v>450</v>
      </c>
      <c r="K1162" t="s">
        <v>106</v>
      </c>
      <c r="L1162" t="s">
        <v>1520</v>
      </c>
      <c r="M1162" t="s">
        <v>1525</v>
      </c>
      <c r="N1162">
        <v>0</v>
      </c>
      <c r="O1162">
        <v>2030</v>
      </c>
      <c r="P1162">
        <v>1137.4723035050019</v>
      </c>
      <c r="Q1162">
        <v>84.323656568982784</v>
      </c>
      <c r="R1162" t="s">
        <v>109</v>
      </c>
      <c r="S1162">
        <v>3.348052974482107</v>
      </c>
      <c r="T1162" t="s">
        <v>110</v>
      </c>
      <c r="U1162">
        <v>1.156203029251937</v>
      </c>
      <c r="V1162">
        <v>11238.961995400419</v>
      </c>
      <c r="W1162">
        <v>833.17226148867417</v>
      </c>
      <c r="X1162" t="s">
        <v>111</v>
      </c>
      <c r="Y1162">
        <v>10</v>
      </c>
      <c r="Z1162">
        <v>0.44</v>
      </c>
      <c r="AA1162">
        <v>31.536000000000001</v>
      </c>
    </row>
    <row r="1163" spans="1:27" hidden="1" x14ac:dyDescent="0.25">
      <c r="A1163" t="s">
        <v>98</v>
      </c>
      <c r="B1163" t="s">
        <v>1374</v>
      </c>
      <c r="D1163" t="s">
        <v>100</v>
      </c>
      <c r="E1163" t="s">
        <v>439</v>
      </c>
      <c r="F1163" t="s">
        <v>440</v>
      </c>
      <c r="G1163" t="s">
        <v>103</v>
      </c>
      <c r="H1163" t="s">
        <v>104</v>
      </c>
      <c r="I1163">
        <v>2040</v>
      </c>
      <c r="J1163" t="s">
        <v>452</v>
      </c>
      <c r="K1163" t="s">
        <v>106</v>
      </c>
      <c r="L1163" t="s">
        <v>1520</v>
      </c>
      <c r="M1163" t="s">
        <v>1526</v>
      </c>
      <c r="N1163">
        <v>0</v>
      </c>
      <c r="O1163">
        <v>2040</v>
      </c>
      <c r="P1163">
        <v>1031.6192027056411</v>
      </c>
      <c r="Q1163">
        <v>84.323656568982784</v>
      </c>
      <c r="R1163" t="s">
        <v>109</v>
      </c>
      <c r="S1163">
        <v>3.1136892662683588</v>
      </c>
      <c r="T1163" t="s">
        <v>110</v>
      </c>
      <c r="U1163">
        <v>1.075268817204301</v>
      </c>
      <c r="V1163">
        <v>10193.06490119123</v>
      </c>
      <c r="W1163">
        <v>833.17226148867428</v>
      </c>
      <c r="X1163" t="s">
        <v>111</v>
      </c>
      <c r="Y1163">
        <v>10</v>
      </c>
      <c r="Z1163">
        <v>0.44</v>
      </c>
      <c r="AA1163">
        <v>31.536000000000001</v>
      </c>
    </row>
    <row r="1164" spans="1:27" hidden="1" x14ac:dyDescent="0.25">
      <c r="A1164" t="s">
        <v>98</v>
      </c>
      <c r="B1164" t="s">
        <v>1374</v>
      </c>
      <c r="D1164" t="s">
        <v>100</v>
      </c>
      <c r="E1164" t="s">
        <v>439</v>
      </c>
      <c r="F1164" t="s">
        <v>440</v>
      </c>
      <c r="G1164" t="s">
        <v>112</v>
      </c>
      <c r="H1164" t="s">
        <v>104</v>
      </c>
      <c r="I1164">
        <v>2040</v>
      </c>
      <c r="J1164" t="s">
        <v>454</v>
      </c>
      <c r="K1164" t="s">
        <v>106</v>
      </c>
      <c r="L1164" t="s">
        <v>1520</v>
      </c>
      <c r="M1164" t="s">
        <v>1527</v>
      </c>
      <c r="N1164">
        <v>0</v>
      </c>
      <c r="O1164">
        <v>2040</v>
      </c>
      <c r="P1164">
        <v>1137.4723035050019</v>
      </c>
      <c r="Q1164">
        <v>84.323656568982784</v>
      </c>
      <c r="R1164" t="s">
        <v>109</v>
      </c>
      <c r="S1164">
        <v>3.348052974482107</v>
      </c>
      <c r="T1164" t="s">
        <v>110</v>
      </c>
      <c r="U1164">
        <v>1.156203029251937</v>
      </c>
      <c r="V1164">
        <v>11238.961995400419</v>
      </c>
      <c r="W1164">
        <v>833.17226148867417</v>
      </c>
      <c r="X1164" t="s">
        <v>111</v>
      </c>
      <c r="Y1164">
        <v>10</v>
      </c>
      <c r="Z1164">
        <v>0.44</v>
      </c>
      <c r="AA1164">
        <v>31.536000000000001</v>
      </c>
    </row>
    <row r="1165" spans="1:27" hidden="1" x14ac:dyDescent="0.25">
      <c r="A1165" t="s">
        <v>98</v>
      </c>
      <c r="B1165" t="s">
        <v>1374</v>
      </c>
      <c r="D1165" t="s">
        <v>100</v>
      </c>
      <c r="E1165" t="s">
        <v>439</v>
      </c>
      <c r="F1165" t="s">
        <v>440</v>
      </c>
      <c r="G1165" t="s">
        <v>103</v>
      </c>
      <c r="H1165" t="s">
        <v>104</v>
      </c>
      <c r="I1165">
        <v>2050</v>
      </c>
      <c r="J1165" t="s">
        <v>456</v>
      </c>
      <c r="K1165" t="s">
        <v>106</v>
      </c>
      <c r="L1165" t="s">
        <v>1520</v>
      </c>
      <c r="M1165" t="s">
        <v>1528</v>
      </c>
      <c r="N1165">
        <v>0</v>
      </c>
      <c r="O1165">
        <v>2050</v>
      </c>
      <c r="P1165">
        <v>1031.6192027056411</v>
      </c>
      <c r="Q1165">
        <v>84.323656568982784</v>
      </c>
      <c r="R1165" t="s">
        <v>109</v>
      </c>
      <c r="S1165">
        <v>3.1136892662683588</v>
      </c>
      <c r="T1165" t="s">
        <v>110</v>
      </c>
      <c r="U1165">
        <v>1.075268817204301</v>
      </c>
      <c r="V1165">
        <v>10193.06490119123</v>
      </c>
      <c r="W1165">
        <v>833.17226148867428</v>
      </c>
      <c r="X1165" t="s">
        <v>111</v>
      </c>
      <c r="Y1165">
        <v>10</v>
      </c>
      <c r="Z1165">
        <v>0.44</v>
      </c>
      <c r="AA1165">
        <v>31.536000000000001</v>
      </c>
    </row>
    <row r="1166" spans="1:27" hidden="1" x14ac:dyDescent="0.25">
      <c r="A1166" t="s">
        <v>98</v>
      </c>
      <c r="B1166" t="s">
        <v>1374</v>
      </c>
      <c r="D1166" t="s">
        <v>100</v>
      </c>
      <c r="E1166" t="s">
        <v>439</v>
      </c>
      <c r="F1166" t="s">
        <v>440</v>
      </c>
      <c r="G1166" t="s">
        <v>112</v>
      </c>
      <c r="H1166" t="s">
        <v>104</v>
      </c>
      <c r="I1166">
        <v>2050</v>
      </c>
      <c r="J1166" t="s">
        <v>458</v>
      </c>
      <c r="K1166" t="s">
        <v>106</v>
      </c>
      <c r="L1166" t="s">
        <v>1520</v>
      </c>
      <c r="M1166" t="s">
        <v>1529</v>
      </c>
      <c r="N1166">
        <v>0</v>
      </c>
      <c r="O1166">
        <v>2050</v>
      </c>
      <c r="P1166">
        <v>1137.4723035050019</v>
      </c>
      <c r="Q1166">
        <v>84.323656568982784</v>
      </c>
      <c r="R1166" t="s">
        <v>109</v>
      </c>
      <c r="S1166">
        <v>3.348052974482107</v>
      </c>
      <c r="T1166" t="s">
        <v>110</v>
      </c>
      <c r="U1166">
        <v>1.156203029251937</v>
      </c>
      <c r="V1166">
        <v>11238.961995400419</v>
      </c>
      <c r="W1166">
        <v>833.17226148867417</v>
      </c>
      <c r="X1166" t="s">
        <v>111</v>
      </c>
      <c r="Y1166">
        <v>10</v>
      </c>
      <c r="Z1166">
        <v>0.44</v>
      </c>
      <c r="AA1166">
        <v>31.536000000000001</v>
      </c>
    </row>
    <row r="1167" spans="1:27" hidden="1" x14ac:dyDescent="0.25">
      <c r="A1167" t="s">
        <v>98</v>
      </c>
      <c r="B1167" t="s">
        <v>1374</v>
      </c>
      <c r="D1167" t="s">
        <v>100</v>
      </c>
      <c r="E1167" t="s">
        <v>439</v>
      </c>
      <c r="F1167" t="s">
        <v>460</v>
      </c>
      <c r="G1167" t="s">
        <v>245</v>
      </c>
      <c r="H1167" t="s">
        <v>104</v>
      </c>
      <c r="I1167">
        <v>2022</v>
      </c>
      <c r="J1167" t="s">
        <v>461</v>
      </c>
      <c r="K1167" t="s">
        <v>106</v>
      </c>
      <c r="L1167" t="s">
        <v>1520</v>
      </c>
      <c r="M1167" t="s">
        <v>1530</v>
      </c>
      <c r="N1167">
        <v>1</v>
      </c>
      <c r="O1167">
        <v>2020</v>
      </c>
      <c r="P1167">
        <v>520.8323861248623</v>
      </c>
      <c r="Q1167">
        <v>19.17492366827851</v>
      </c>
      <c r="R1167" t="s">
        <v>109</v>
      </c>
      <c r="S1167">
        <v>5.9841517746527506</v>
      </c>
      <c r="T1167" t="s">
        <v>110</v>
      </c>
      <c r="U1167">
        <v>2.066542692750287</v>
      </c>
      <c r="V1167">
        <v>5146.1608125259299</v>
      </c>
      <c r="W1167">
        <v>189.46064682931279</v>
      </c>
      <c r="X1167" t="s">
        <v>111</v>
      </c>
      <c r="Y1167">
        <v>10</v>
      </c>
      <c r="Z1167">
        <v>0.44</v>
      </c>
      <c r="AA1167">
        <v>31.536000000000001</v>
      </c>
    </row>
    <row r="1168" spans="1:27" hidden="1" x14ac:dyDescent="0.25">
      <c r="A1168" t="s">
        <v>98</v>
      </c>
      <c r="B1168" t="s">
        <v>1374</v>
      </c>
      <c r="D1168" t="s">
        <v>100</v>
      </c>
      <c r="E1168" t="s">
        <v>439</v>
      </c>
      <c r="F1168" t="s">
        <v>460</v>
      </c>
      <c r="G1168" t="s">
        <v>103</v>
      </c>
      <c r="H1168" t="s">
        <v>104</v>
      </c>
      <c r="I1168">
        <v>2022</v>
      </c>
      <c r="J1168" t="s">
        <v>463</v>
      </c>
      <c r="K1168" t="s">
        <v>106</v>
      </c>
      <c r="L1168" t="s">
        <v>1520</v>
      </c>
      <c r="M1168" t="s">
        <v>1531</v>
      </c>
      <c r="N1168">
        <v>1</v>
      </c>
      <c r="O1168">
        <v>2020</v>
      </c>
      <c r="P1168">
        <v>619.22047419033993</v>
      </c>
      <c r="Q1168">
        <v>19.17492366827851</v>
      </c>
      <c r="R1168" t="s">
        <v>109</v>
      </c>
      <c r="S1168">
        <v>6.5013006934499016</v>
      </c>
      <c r="T1168" t="s">
        <v>110</v>
      </c>
      <c r="U1168">
        <v>2.2451328020003118</v>
      </c>
      <c r="V1168">
        <v>6118.2987530812006</v>
      </c>
      <c r="W1168">
        <v>189.46064682931279</v>
      </c>
      <c r="X1168" t="s">
        <v>111</v>
      </c>
      <c r="Y1168">
        <v>10</v>
      </c>
      <c r="Z1168">
        <v>0.44</v>
      </c>
      <c r="AA1168">
        <v>31.536000000000001</v>
      </c>
    </row>
    <row r="1169" spans="1:27" hidden="1" x14ac:dyDescent="0.25">
      <c r="A1169" t="s">
        <v>98</v>
      </c>
      <c r="B1169" t="s">
        <v>1374</v>
      </c>
      <c r="D1169" t="s">
        <v>100</v>
      </c>
      <c r="E1169" t="s">
        <v>439</v>
      </c>
      <c r="F1169" t="s">
        <v>460</v>
      </c>
      <c r="G1169" t="s">
        <v>112</v>
      </c>
      <c r="H1169" t="s">
        <v>104</v>
      </c>
      <c r="I1169">
        <v>2022</v>
      </c>
      <c r="J1169" t="s">
        <v>465</v>
      </c>
      <c r="K1169" t="s">
        <v>106</v>
      </c>
      <c r="L1169" t="s">
        <v>1520</v>
      </c>
      <c r="M1169" t="s">
        <v>1532</v>
      </c>
      <c r="N1169">
        <v>1</v>
      </c>
      <c r="O1169">
        <v>2020</v>
      </c>
      <c r="P1169">
        <v>717.59767919103297</v>
      </c>
      <c r="Q1169">
        <v>19.17492366827851</v>
      </c>
      <c r="R1169" t="s">
        <v>109</v>
      </c>
      <c r="S1169">
        <v>7.1162885968843517</v>
      </c>
      <c r="T1169" t="s">
        <v>110</v>
      </c>
      <c r="U1169">
        <v>2.4575102292165578</v>
      </c>
      <c r="V1169">
        <v>7090.3291619180018</v>
      </c>
      <c r="W1169">
        <v>189.46064682931279</v>
      </c>
      <c r="X1169" t="s">
        <v>111</v>
      </c>
      <c r="Y1169">
        <v>10</v>
      </c>
      <c r="Z1169">
        <v>0.44</v>
      </c>
      <c r="AA1169">
        <v>31.536000000000001</v>
      </c>
    </row>
    <row r="1170" spans="1:27" hidden="1" x14ac:dyDescent="0.25">
      <c r="A1170" t="s">
        <v>98</v>
      </c>
      <c r="B1170" t="s">
        <v>1374</v>
      </c>
      <c r="D1170" t="s">
        <v>100</v>
      </c>
      <c r="E1170" t="s">
        <v>439</v>
      </c>
      <c r="F1170" t="s">
        <v>460</v>
      </c>
      <c r="G1170" t="s">
        <v>103</v>
      </c>
      <c r="H1170" t="s">
        <v>104</v>
      </c>
      <c r="I1170">
        <v>2030</v>
      </c>
      <c r="J1170" t="s">
        <v>467</v>
      </c>
      <c r="K1170" t="s">
        <v>106</v>
      </c>
      <c r="L1170" t="s">
        <v>1520</v>
      </c>
      <c r="M1170" t="s">
        <v>1533</v>
      </c>
      <c r="N1170">
        <v>1</v>
      </c>
      <c r="O1170">
        <v>2030</v>
      </c>
      <c r="P1170">
        <v>520.8323861248623</v>
      </c>
      <c r="Q1170">
        <v>19.17492366827851</v>
      </c>
      <c r="R1170" t="s">
        <v>109</v>
      </c>
      <c r="S1170">
        <v>6.5013006934499016</v>
      </c>
      <c r="T1170" t="s">
        <v>110</v>
      </c>
      <c r="U1170">
        <v>2.2451328020003118</v>
      </c>
      <c r="V1170">
        <v>5146.1608125259299</v>
      </c>
      <c r="W1170">
        <v>189.46064682931279</v>
      </c>
      <c r="X1170" t="s">
        <v>111</v>
      </c>
      <c r="Y1170">
        <v>10</v>
      </c>
      <c r="Z1170">
        <v>0.44</v>
      </c>
      <c r="AA1170">
        <v>31.536000000000001</v>
      </c>
    </row>
    <row r="1171" spans="1:27" hidden="1" x14ac:dyDescent="0.25">
      <c r="A1171" t="s">
        <v>98</v>
      </c>
      <c r="B1171" t="s">
        <v>1374</v>
      </c>
      <c r="D1171" t="s">
        <v>100</v>
      </c>
      <c r="E1171" t="s">
        <v>439</v>
      </c>
      <c r="F1171" t="s">
        <v>460</v>
      </c>
      <c r="G1171" t="s">
        <v>112</v>
      </c>
      <c r="H1171" t="s">
        <v>104</v>
      </c>
      <c r="I1171">
        <v>2030</v>
      </c>
      <c r="J1171" t="s">
        <v>469</v>
      </c>
      <c r="K1171" t="s">
        <v>106</v>
      </c>
      <c r="L1171" t="s">
        <v>1520</v>
      </c>
      <c r="M1171" t="s">
        <v>1534</v>
      </c>
      <c r="N1171">
        <v>1</v>
      </c>
      <c r="O1171">
        <v>2030</v>
      </c>
      <c r="P1171">
        <v>717.59767919103297</v>
      </c>
      <c r="Q1171">
        <v>19.17492366827851</v>
      </c>
      <c r="R1171" t="s">
        <v>109</v>
      </c>
      <c r="S1171">
        <v>7.1162885968843517</v>
      </c>
      <c r="T1171" t="s">
        <v>110</v>
      </c>
      <c r="U1171">
        <v>2.4575102292165578</v>
      </c>
      <c r="V1171">
        <v>7090.3291619180018</v>
      </c>
      <c r="W1171">
        <v>189.46064682931279</v>
      </c>
      <c r="X1171" t="s">
        <v>111</v>
      </c>
      <c r="Y1171">
        <v>10</v>
      </c>
      <c r="Z1171">
        <v>0.44</v>
      </c>
      <c r="AA1171">
        <v>31.536000000000001</v>
      </c>
    </row>
    <row r="1172" spans="1:27" hidden="1" x14ac:dyDescent="0.25">
      <c r="A1172" t="s">
        <v>98</v>
      </c>
      <c r="B1172" t="s">
        <v>1374</v>
      </c>
      <c r="D1172" t="s">
        <v>100</v>
      </c>
      <c r="E1172" t="s">
        <v>439</v>
      </c>
      <c r="F1172" t="s">
        <v>460</v>
      </c>
      <c r="G1172" t="s">
        <v>103</v>
      </c>
      <c r="H1172" t="s">
        <v>104</v>
      </c>
      <c r="I1172">
        <v>2040</v>
      </c>
      <c r="J1172" t="s">
        <v>471</v>
      </c>
      <c r="K1172" t="s">
        <v>106</v>
      </c>
      <c r="L1172" t="s">
        <v>1520</v>
      </c>
      <c r="M1172" t="s">
        <v>1535</v>
      </c>
      <c r="N1172">
        <v>1</v>
      </c>
      <c r="O1172">
        <v>2040</v>
      </c>
      <c r="P1172">
        <v>520.8323861248623</v>
      </c>
      <c r="Q1172">
        <v>19.17492366827851</v>
      </c>
      <c r="R1172" t="s">
        <v>109</v>
      </c>
      <c r="S1172">
        <v>6.5013006934499016</v>
      </c>
      <c r="T1172" t="s">
        <v>110</v>
      </c>
      <c r="U1172">
        <v>2.2451328020003118</v>
      </c>
      <c r="V1172">
        <v>5146.1608125259299</v>
      </c>
      <c r="W1172">
        <v>189.46064682931279</v>
      </c>
      <c r="X1172" t="s">
        <v>111</v>
      </c>
      <c r="Y1172">
        <v>10</v>
      </c>
      <c r="Z1172">
        <v>0.44</v>
      </c>
      <c r="AA1172">
        <v>31.536000000000001</v>
      </c>
    </row>
    <row r="1173" spans="1:27" hidden="1" x14ac:dyDescent="0.25">
      <c r="A1173" t="s">
        <v>98</v>
      </c>
      <c r="B1173" t="s">
        <v>1374</v>
      </c>
      <c r="D1173" t="s">
        <v>100</v>
      </c>
      <c r="E1173" t="s">
        <v>439</v>
      </c>
      <c r="F1173" t="s">
        <v>460</v>
      </c>
      <c r="G1173" t="s">
        <v>112</v>
      </c>
      <c r="H1173" t="s">
        <v>104</v>
      </c>
      <c r="I1173">
        <v>2040</v>
      </c>
      <c r="J1173" t="s">
        <v>473</v>
      </c>
      <c r="K1173" t="s">
        <v>106</v>
      </c>
      <c r="L1173" t="s">
        <v>1520</v>
      </c>
      <c r="M1173" t="s">
        <v>1536</v>
      </c>
      <c r="N1173">
        <v>1</v>
      </c>
      <c r="O1173">
        <v>2040</v>
      </c>
      <c r="P1173">
        <v>717.59767919103297</v>
      </c>
      <c r="Q1173">
        <v>19.17492366827851</v>
      </c>
      <c r="R1173" t="s">
        <v>109</v>
      </c>
      <c r="S1173">
        <v>7.1162885968843517</v>
      </c>
      <c r="T1173" t="s">
        <v>110</v>
      </c>
      <c r="U1173">
        <v>2.4575102292165578</v>
      </c>
      <c r="V1173">
        <v>7090.3291619180018</v>
      </c>
      <c r="W1173">
        <v>189.46064682931279</v>
      </c>
      <c r="X1173" t="s">
        <v>111</v>
      </c>
      <c r="Y1173">
        <v>10</v>
      </c>
      <c r="Z1173">
        <v>0.44</v>
      </c>
      <c r="AA1173">
        <v>31.536000000000001</v>
      </c>
    </row>
    <row r="1174" spans="1:27" hidden="1" x14ac:dyDescent="0.25">
      <c r="A1174" t="s">
        <v>98</v>
      </c>
      <c r="B1174" t="s">
        <v>1374</v>
      </c>
      <c r="D1174" t="s">
        <v>100</v>
      </c>
      <c r="E1174" t="s">
        <v>439</v>
      </c>
      <c r="F1174" t="s">
        <v>460</v>
      </c>
      <c r="G1174" t="s">
        <v>103</v>
      </c>
      <c r="H1174" t="s">
        <v>104</v>
      </c>
      <c r="I1174">
        <v>2050</v>
      </c>
      <c r="J1174" t="s">
        <v>475</v>
      </c>
      <c r="K1174" t="s">
        <v>106</v>
      </c>
      <c r="L1174" t="s">
        <v>1520</v>
      </c>
      <c r="M1174" t="s">
        <v>1537</v>
      </c>
      <c r="N1174">
        <v>1</v>
      </c>
      <c r="O1174">
        <v>2050</v>
      </c>
      <c r="P1174">
        <v>520.8323861248623</v>
      </c>
      <c r="Q1174">
        <v>19.17492366827851</v>
      </c>
      <c r="R1174" t="s">
        <v>109</v>
      </c>
      <c r="S1174">
        <v>6.5013006934499016</v>
      </c>
      <c r="T1174" t="s">
        <v>110</v>
      </c>
      <c r="U1174">
        <v>2.2451328020003118</v>
      </c>
      <c r="V1174">
        <v>5146.1608125259299</v>
      </c>
      <c r="W1174">
        <v>189.46064682931279</v>
      </c>
      <c r="X1174" t="s">
        <v>111</v>
      </c>
      <c r="Y1174">
        <v>10</v>
      </c>
      <c r="Z1174">
        <v>0.44</v>
      </c>
      <c r="AA1174">
        <v>31.536000000000001</v>
      </c>
    </row>
    <row r="1175" spans="1:27" hidden="1" x14ac:dyDescent="0.25">
      <c r="A1175" t="s">
        <v>98</v>
      </c>
      <c r="B1175" t="s">
        <v>1374</v>
      </c>
      <c r="D1175" t="s">
        <v>100</v>
      </c>
      <c r="E1175" t="s">
        <v>439</v>
      </c>
      <c r="F1175" t="s">
        <v>460</v>
      </c>
      <c r="G1175" t="s">
        <v>112</v>
      </c>
      <c r="H1175" t="s">
        <v>104</v>
      </c>
      <c r="I1175">
        <v>2050</v>
      </c>
      <c r="J1175" t="s">
        <v>477</v>
      </c>
      <c r="K1175" t="s">
        <v>106</v>
      </c>
      <c r="L1175" t="s">
        <v>1520</v>
      </c>
      <c r="M1175" t="s">
        <v>1538</v>
      </c>
      <c r="N1175">
        <v>1</v>
      </c>
      <c r="O1175">
        <v>2050</v>
      </c>
      <c r="P1175">
        <v>717.59767919103297</v>
      </c>
      <c r="Q1175">
        <v>19.17492366827851</v>
      </c>
      <c r="R1175" t="s">
        <v>109</v>
      </c>
      <c r="S1175">
        <v>7.1162885968843517</v>
      </c>
      <c r="T1175" t="s">
        <v>110</v>
      </c>
      <c r="U1175">
        <v>2.4575102292165578</v>
      </c>
      <c r="V1175">
        <v>7090.3291619180018</v>
      </c>
      <c r="W1175">
        <v>189.46064682931279</v>
      </c>
      <c r="X1175" t="s">
        <v>111</v>
      </c>
      <c r="Y1175">
        <v>10</v>
      </c>
      <c r="Z1175">
        <v>0.44</v>
      </c>
      <c r="AA1175">
        <v>31.536000000000001</v>
      </c>
    </row>
    <row r="1176" spans="1:27" hidden="1" x14ac:dyDescent="0.25">
      <c r="A1176" t="s">
        <v>98</v>
      </c>
      <c r="B1176" t="s">
        <v>1374</v>
      </c>
      <c r="D1176" t="s">
        <v>100</v>
      </c>
      <c r="E1176" t="s">
        <v>439</v>
      </c>
      <c r="F1176" t="s">
        <v>479</v>
      </c>
      <c r="G1176" t="s">
        <v>245</v>
      </c>
      <c r="H1176" t="s">
        <v>104</v>
      </c>
      <c r="I1176">
        <v>2022</v>
      </c>
      <c r="J1176" t="s">
        <v>480</v>
      </c>
      <c r="K1176" t="s">
        <v>106</v>
      </c>
      <c r="L1176" t="s">
        <v>1520</v>
      </c>
      <c r="M1176" t="s">
        <v>1539</v>
      </c>
      <c r="N1176">
        <v>1</v>
      </c>
      <c r="O1176">
        <v>2020</v>
      </c>
      <c r="P1176">
        <v>1625.561814955347</v>
      </c>
      <c r="Q1176">
        <v>83.737016934227881</v>
      </c>
      <c r="R1176" t="s">
        <v>109</v>
      </c>
      <c r="S1176">
        <v>3.1167552571169028</v>
      </c>
      <c r="T1176" t="s">
        <v>110</v>
      </c>
      <c r="U1176">
        <v>1.0763276140434681</v>
      </c>
      <c r="V1176">
        <v>16061.60203036269</v>
      </c>
      <c r="W1176">
        <v>827.37588250020144</v>
      </c>
      <c r="X1176" t="s">
        <v>111</v>
      </c>
      <c r="Y1176">
        <v>10</v>
      </c>
      <c r="Z1176">
        <v>0.44</v>
      </c>
      <c r="AA1176">
        <v>31.536000000000001</v>
      </c>
    </row>
    <row r="1177" spans="1:27" hidden="1" x14ac:dyDescent="0.25">
      <c r="A1177" t="s">
        <v>98</v>
      </c>
      <c r="B1177" t="s">
        <v>1374</v>
      </c>
      <c r="D1177" t="s">
        <v>100</v>
      </c>
      <c r="E1177" t="s">
        <v>439</v>
      </c>
      <c r="F1177" t="s">
        <v>479</v>
      </c>
      <c r="G1177" t="s">
        <v>103</v>
      </c>
      <c r="H1177" t="s">
        <v>104</v>
      </c>
      <c r="I1177">
        <v>2022</v>
      </c>
      <c r="J1177" t="s">
        <v>482</v>
      </c>
      <c r="K1177" t="s">
        <v>106</v>
      </c>
      <c r="L1177" t="s">
        <v>1520</v>
      </c>
      <c r="M1177" t="s">
        <v>1540</v>
      </c>
      <c r="N1177">
        <v>1</v>
      </c>
      <c r="O1177">
        <v>2020</v>
      </c>
      <c r="P1177">
        <v>1649.1429636040691</v>
      </c>
      <c r="Q1177">
        <v>83.737016934227881</v>
      </c>
      <c r="R1177" t="s">
        <v>109</v>
      </c>
      <c r="S1177">
        <v>4.464541314248538</v>
      </c>
      <c r="T1177" t="s">
        <v>110</v>
      </c>
      <c r="U1177">
        <v>1.541766582278481</v>
      </c>
      <c r="V1177">
        <v>16294.59902963399</v>
      </c>
      <c r="W1177">
        <v>827.37588250020167</v>
      </c>
      <c r="X1177" t="s">
        <v>111</v>
      </c>
      <c r="Y1177">
        <v>10</v>
      </c>
      <c r="Z1177">
        <v>0.44</v>
      </c>
      <c r="AA1177">
        <v>31.536000000000001</v>
      </c>
    </row>
    <row r="1178" spans="1:27" hidden="1" x14ac:dyDescent="0.25">
      <c r="A1178" t="s">
        <v>98</v>
      </c>
      <c r="B1178" t="s">
        <v>1374</v>
      </c>
      <c r="D1178" t="s">
        <v>100</v>
      </c>
      <c r="E1178" t="s">
        <v>439</v>
      </c>
      <c r="F1178" t="s">
        <v>479</v>
      </c>
      <c r="G1178" t="s">
        <v>112</v>
      </c>
      <c r="H1178" t="s">
        <v>104</v>
      </c>
      <c r="I1178">
        <v>2022</v>
      </c>
      <c r="J1178" t="s">
        <v>484</v>
      </c>
      <c r="K1178" t="s">
        <v>106</v>
      </c>
      <c r="L1178" t="s">
        <v>1520</v>
      </c>
      <c r="M1178" t="s">
        <v>1541</v>
      </c>
      <c r="N1178">
        <v>1</v>
      </c>
      <c r="O1178">
        <v>2020</v>
      </c>
      <c r="P1178">
        <v>1758.024723094816</v>
      </c>
      <c r="Q1178">
        <v>83.737016934227881</v>
      </c>
      <c r="R1178" t="s">
        <v>109</v>
      </c>
      <c r="S1178">
        <v>7.4409021904142287</v>
      </c>
      <c r="T1178" t="s">
        <v>110</v>
      </c>
      <c r="U1178">
        <v>2.5696109704641348</v>
      </c>
      <c r="V1178">
        <v>17370.421230436659</v>
      </c>
      <c r="W1178">
        <v>827.37588250020167</v>
      </c>
      <c r="X1178" t="s">
        <v>111</v>
      </c>
      <c r="Y1178">
        <v>10</v>
      </c>
      <c r="Z1178">
        <v>0.44</v>
      </c>
      <c r="AA1178">
        <v>31.536000000000001</v>
      </c>
    </row>
    <row r="1179" spans="1:27" hidden="1" x14ac:dyDescent="0.25">
      <c r="A1179" t="s">
        <v>98</v>
      </c>
      <c r="B1179" t="s">
        <v>1374</v>
      </c>
      <c r="D1179" t="s">
        <v>100</v>
      </c>
      <c r="E1179" t="s">
        <v>439</v>
      </c>
      <c r="F1179" t="s">
        <v>479</v>
      </c>
      <c r="G1179" t="s">
        <v>219</v>
      </c>
      <c r="H1179" t="s">
        <v>104</v>
      </c>
      <c r="I1179">
        <v>2022</v>
      </c>
      <c r="J1179" t="s">
        <v>486</v>
      </c>
      <c r="K1179" t="s">
        <v>106</v>
      </c>
      <c r="L1179" t="s">
        <v>1520</v>
      </c>
      <c r="M1179" t="s">
        <v>1542</v>
      </c>
      <c r="N1179">
        <v>1</v>
      </c>
      <c r="O1179">
        <v>2020</v>
      </c>
      <c r="P1179">
        <v>1758.024723094816</v>
      </c>
      <c r="Q1179">
        <v>84.189649458196669</v>
      </c>
      <c r="R1179" t="s">
        <v>109</v>
      </c>
      <c r="S1179">
        <v>7.4409021904142287</v>
      </c>
      <c r="T1179" t="s">
        <v>110</v>
      </c>
      <c r="U1179">
        <v>2.5696109704641348</v>
      </c>
      <c r="V1179">
        <v>17370.421230436659</v>
      </c>
      <c r="W1179">
        <v>831.8481845677702</v>
      </c>
      <c r="X1179" t="s">
        <v>111</v>
      </c>
      <c r="Y1179">
        <v>10</v>
      </c>
      <c r="Z1179">
        <v>0.44</v>
      </c>
      <c r="AA1179">
        <v>31.536000000000001</v>
      </c>
    </row>
    <row r="1180" spans="1:27" hidden="1" x14ac:dyDescent="0.25">
      <c r="A1180" t="s">
        <v>98</v>
      </c>
      <c r="B1180" t="s">
        <v>1374</v>
      </c>
      <c r="D1180" t="s">
        <v>100</v>
      </c>
      <c r="E1180" t="s">
        <v>439</v>
      </c>
      <c r="F1180" t="s">
        <v>479</v>
      </c>
      <c r="G1180" t="s">
        <v>103</v>
      </c>
      <c r="H1180" t="s">
        <v>104</v>
      </c>
      <c r="I1180">
        <v>2030</v>
      </c>
      <c r="J1180" t="s">
        <v>488</v>
      </c>
      <c r="K1180" t="s">
        <v>106</v>
      </c>
      <c r="L1180" t="s">
        <v>1520</v>
      </c>
      <c r="M1180" t="s">
        <v>1543</v>
      </c>
      <c r="N1180">
        <v>1</v>
      </c>
      <c r="O1180">
        <v>2030</v>
      </c>
      <c r="P1180">
        <v>1649.1429636040691</v>
      </c>
      <c r="Q1180">
        <v>83.737016934227881</v>
      </c>
      <c r="R1180" t="s">
        <v>109</v>
      </c>
      <c r="S1180">
        <v>4.464541314248538</v>
      </c>
      <c r="T1180" t="s">
        <v>110</v>
      </c>
      <c r="U1180">
        <v>1.541766582278481</v>
      </c>
      <c r="V1180">
        <v>16294.59902963399</v>
      </c>
      <c r="W1180">
        <v>827.37588250020167</v>
      </c>
      <c r="X1180" t="s">
        <v>111</v>
      </c>
      <c r="Y1180">
        <v>10</v>
      </c>
      <c r="Z1180">
        <v>0.44</v>
      </c>
      <c r="AA1180">
        <v>31.536000000000001</v>
      </c>
    </row>
    <row r="1181" spans="1:27" hidden="1" x14ac:dyDescent="0.25">
      <c r="A1181" t="s">
        <v>98</v>
      </c>
      <c r="B1181" t="s">
        <v>1374</v>
      </c>
      <c r="D1181" t="s">
        <v>100</v>
      </c>
      <c r="E1181" t="s">
        <v>439</v>
      </c>
      <c r="F1181" t="s">
        <v>479</v>
      </c>
      <c r="G1181" t="s">
        <v>112</v>
      </c>
      <c r="H1181" t="s">
        <v>104</v>
      </c>
      <c r="I1181">
        <v>2030</v>
      </c>
      <c r="J1181" t="s">
        <v>490</v>
      </c>
      <c r="K1181" t="s">
        <v>106</v>
      </c>
      <c r="L1181" t="s">
        <v>1520</v>
      </c>
      <c r="M1181" t="s">
        <v>1544</v>
      </c>
      <c r="N1181">
        <v>1</v>
      </c>
      <c r="O1181">
        <v>2030</v>
      </c>
      <c r="P1181">
        <v>1758.024723094816</v>
      </c>
      <c r="Q1181">
        <v>83.737016934227881</v>
      </c>
      <c r="R1181" t="s">
        <v>109</v>
      </c>
      <c r="S1181">
        <v>7.4409021904142287</v>
      </c>
      <c r="T1181" t="s">
        <v>110</v>
      </c>
      <c r="U1181">
        <v>2.5696109704641348</v>
      </c>
      <c r="V1181">
        <v>17370.421230436659</v>
      </c>
      <c r="W1181">
        <v>827.37588250020167</v>
      </c>
      <c r="X1181" t="s">
        <v>111</v>
      </c>
      <c r="Y1181">
        <v>10</v>
      </c>
      <c r="Z1181">
        <v>0.44</v>
      </c>
      <c r="AA1181">
        <v>31.536000000000001</v>
      </c>
    </row>
    <row r="1182" spans="1:27" hidden="1" x14ac:dyDescent="0.25">
      <c r="A1182" t="s">
        <v>98</v>
      </c>
      <c r="B1182" t="s">
        <v>1374</v>
      </c>
      <c r="D1182" t="s">
        <v>100</v>
      </c>
      <c r="E1182" t="s">
        <v>439</v>
      </c>
      <c r="F1182" t="s">
        <v>479</v>
      </c>
      <c r="G1182" t="s">
        <v>103</v>
      </c>
      <c r="H1182" t="s">
        <v>104</v>
      </c>
      <c r="I1182">
        <v>2040</v>
      </c>
      <c r="J1182" t="s">
        <v>492</v>
      </c>
      <c r="K1182" t="s">
        <v>106</v>
      </c>
      <c r="L1182" t="s">
        <v>1520</v>
      </c>
      <c r="M1182" t="s">
        <v>1545</v>
      </c>
      <c r="N1182">
        <v>1</v>
      </c>
      <c r="O1182">
        <v>2040</v>
      </c>
      <c r="P1182">
        <v>1649.1429636040691</v>
      </c>
      <c r="Q1182">
        <v>83.737016934227881</v>
      </c>
      <c r="R1182" t="s">
        <v>109</v>
      </c>
      <c r="S1182">
        <v>4.464541314248538</v>
      </c>
      <c r="T1182" t="s">
        <v>110</v>
      </c>
      <c r="U1182">
        <v>1.541766582278481</v>
      </c>
      <c r="V1182">
        <v>16294.59902963399</v>
      </c>
      <c r="W1182">
        <v>827.37588250020167</v>
      </c>
      <c r="X1182" t="s">
        <v>111</v>
      </c>
      <c r="Y1182">
        <v>10</v>
      </c>
      <c r="Z1182">
        <v>0.44</v>
      </c>
      <c r="AA1182">
        <v>31.536000000000001</v>
      </c>
    </row>
    <row r="1183" spans="1:27" hidden="1" x14ac:dyDescent="0.25">
      <c r="A1183" t="s">
        <v>98</v>
      </c>
      <c r="B1183" t="s">
        <v>1374</v>
      </c>
      <c r="D1183" t="s">
        <v>100</v>
      </c>
      <c r="E1183" t="s">
        <v>439</v>
      </c>
      <c r="F1183" t="s">
        <v>479</v>
      </c>
      <c r="G1183" t="s">
        <v>112</v>
      </c>
      <c r="H1183" t="s">
        <v>104</v>
      </c>
      <c r="I1183">
        <v>2040</v>
      </c>
      <c r="J1183" t="s">
        <v>494</v>
      </c>
      <c r="K1183" t="s">
        <v>106</v>
      </c>
      <c r="L1183" t="s">
        <v>1520</v>
      </c>
      <c r="M1183" t="s">
        <v>1546</v>
      </c>
      <c r="N1183">
        <v>1</v>
      </c>
      <c r="O1183">
        <v>2040</v>
      </c>
      <c r="P1183">
        <v>1758.024723094816</v>
      </c>
      <c r="Q1183">
        <v>83.737016934227881</v>
      </c>
      <c r="R1183" t="s">
        <v>109</v>
      </c>
      <c r="S1183">
        <v>7.4409021904142287</v>
      </c>
      <c r="T1183" t="s">
        <v>110</v>
      </c>
      <c r="U1183">
        <v>2.5696109704641348</v>
      </c>
      <c r="V1183">
        <v>17370.421230436659</v>
      </c>
      <c r="W1183">
        <v>827.37588250020167</v>
      </c>
      <c r="X1183" t="s">
        <v>111</v>
      </c>
      <c r="Y1183">
        <v>10</v>
      </c>
      <c r="Z1183">
        <v>0.44</v>
      </c>
      <c r="AA1183">
        <v>31.536000000000001</v>
      </c>
    </row>
    <row r="1184" spans="1:27" hidden="1" x14ac:dyDescent="0.25">
      <c r="A1184" t="s">
        <v>98</v>
      </c>
      <c r="B1184" t="s">
        <v>1374</v>
      </c>
      <c r="D1184" t="s">
        <v>100</v>
      </c>
      <c r="E1184" t="s">
        <v>439</v>
      </c>
      <c r="F1184" t="s">
        <v>479</v>
      </c>
      <c r="G1184" t="s">
        <v>112</v>
      </c>
      <c r="H1184" t="s">
        <v>104</v>
      </c>
      <c r="I1184">
        <v>2025</v>
      </c>
      <c r="J1184" t="s">
        <v>496</v>
      </c>
      <c r="K1184" t="s">
        <v>106</v>
      </c>
      <c r="L1184" t="s">
        <v>1520</v>
      </c>
      <c r="M1184" t="s">
        <v>1547</v>
      </c>
      <c r="N1184">
        <v>1</v>
      </c>
      <c r="O1184">
        <v>2025</v>
      </c>
      <c r="P1184">
        <v>1758.024723094816</v>
      </c>
      <c r="Q1184">
        <v>83.737016934227881</v>
      </c>
      <c r="R1184" t="s">
        <v>109</v>
      </c>
      <c r="S1184">
        <v>7.4409021904142287</v>
      </c>
      <c r="T1184" t="s">
        <v>110</v>
      </c>
      <c r="U1184">
        <v>2.5696109704641348</v>
      </c>
      <c r="V1184">
        <v>17370.421230436659</v>
      </c>
      <c r="W1184">
        <v>827.37588250020167</v>
      </c>
      <c r="X1184" t="s">
        <v>111</v>
      </c>
      <c r="Y1184">
        <v>10</v>
      </c>
      <c r="Z1184">
        <v>0.44</v>
      </c>
      <c r="AA1184">
        <v>31.536000000000001</v>
      </c>
    </row>
    <row r="1185" spans="1:27" hidden="1" x14ac:dyDescent="0.25">
      <c r="A1185" t="s">
        <v>498</v>
      </c>
      <c r="M1185" t="s">
        <v>498</v>
      </c>
      <c r="N1185" t="s">
        <v>498</v>
      </c>
    </row>
    <row r="1186" spans="1:27" hidden="1" x14ac:dyDescent="0.25">
      <c r="A1186" t="s">
        <v>98</v>
      </c>
      <c r="B1186" t="s">
        <v>1548</v>
      </c>
      <c r="D1186" t="s">
        <v>100</v>
      </c>
      <c r="E1186" t="s">
        <v>101</v>
      </c>
      <c r="F1186" t="s">
        <v>102</v>
      </c>
      <c r="G1186" t="s">
        <v>112</v>
      </c>
      <c r="H1186" t="s">
        <v>104</v>
      </c>
      <c r="I1186">
        <v>2022</v>
      </c>
      <c r="J1186" t="s">
        <v>113</v>
      </c>
      <c r="K1186" t="s">
        <v>106</v>
      </c>
      <c r="L1186" t="s">
        <v>1549</v>
      </c>
      <c r="M1186" t="s">
        <v>1550</v>
      </c>
      <c r="N1186">
        <v>1</v>
      </c>
      <c r="O1186">
        <v>2020</v>
      </c>
      <c r="P1186">
        <v>200.7885700942916</v>
      </c>
      <c r="Q1186">
        <v>4.2000145906136934</v>
      </c>
      <c r="R1186" t="s">
        <v>109</v>
      </c>
      <c r="S1186">
        <v>3.7</v>
      </c>
      <c r="T1186" t="s">
        <v>110</v>
      </c>
      <c r="U1186">
        <v>3.7</v>
      </c>
      <c r="V1186">
        <v>685.1192035182313</v>
      </c>
      <c r="W1186">
        <v>14.33104807576899</v>
      </c>
      <c r="X1186" t="s">
        <v>111</v>
      </c>
      <c r="Y1186">
        <v>21</v>
      </c>
      <c r="Z1186">
        <v>0.18925608949732059</v>
      </c>
      <c r="AA1186">
        <v>31.536000000000001</v>
      </c>
    </row>
    <row r="1187" spans="1:27" hidden="1" x14ac:dyDescent="0.25">
      <c r="A1187" t="s">
        <v>98</v>
      </c>
      <c r="B1187" t="s">
        <v>1548</v>
      </c>
      <c r="D1187" t="s">
        <v>100</v>
      </c>
      <c r="E1187" t="s">
        <v>101</v>
      </c>
      <c r="F1187" t="s">
        <v>102</v>
      </c>
      <c r="G1187" t="s">
        <v>103</v>
      </c>
      <c r="H1187" t="s">
        <v>104</v>
      </c>
      <c r="I1187">
        <v>2023</v>
      </c>
      <c r="J1187" t="s">
        <v>115</v>
      </c>
      <c r="K1187" t="s">
        <v>106</v>
      </c>
      <c r="L1187" t="s">
        <v>1549</v>
      </c>
      <c r="M1187" t="s">
        <v>1551</v>
      </c>
      <c r="N1187">
        <v>0</v>
      </c>
      <c r="O1187">
        <v>2023</v>
      </c>
      <c r="P1187">
        <v>135.73557542199771</v>
      </c>
      <c r="Q1187">
        <v>4.2000145906136934</v>
      </c>
      <c r="R1187" t="s">
        <v>109</v>
      </c>
      <c r="S1187">
        <v>3.4</v>
      </c>
      <c r="T1187" t="s">
        <v>110</v>
      </c>
      <c r="U1187">
        <v>3.4</v>
      </c>
      <c r="V1187">
        <v>463.14911888927151</v>
      </c>
      <c r="W1187">
        <v>14.33104807576899</v>
      </c>
      <c r="X1187" t="s">
        <v>111</v>
      </c>
      <c r="Y1187">
        <v>21</v>
      </c>
      <c r="Z1187">
        <v>0.18925608949732059</v>
      </c>
      <c r="AA1187">
        <v>31.536000000000001</v>
      </c>
    </row>
    <row r="1188" spans="1:27" hidden="1" x14ac:dyDescent="0.25">
      <c r="A1188" t="s">
        <v>98</v>
      </c>
      <c r="B1188" t="s">
        <v>1548</v>
      </c>
      <c r="D1188" t="s">
        <v>100</v>
      </c>
      <c r="E1188" t="s">
        <v>101</v>
      </c>
      <c r="F1188" t="s">
        <v>117</v>
      </c>
      <c r="G1188" t="s">
        <v>103</v>
      </c>
      <c r="H1188" t="s">
        <v>104</v>
      </c>
      <c r="I1188">
        <v>2033</v>
      </c>
      <c r="J1188" t="s">
        <v>118</v>
      </c>
      <c r="K1188" t="s">
        <v>106</v>
      </c>
      <c r="L1188" t="s">
        <v>1549</v>
      </c>
      <c r="M1188" t="s">
        <v>1552</v>
      </c>
      <c r="N1188">
        <v>0</v>
      </c>
      <c r="O1188">
        <v>2033</v>
      </c>
      <c r="P1188">
        <v>483.9331327692995</v>
      </c>
      <c r="Q1188">
        <v>3.810497108419681</v>
      </c>
      <c r="R1188" t="s">
        <v>109</v>
      </c>
      <c r="S1188">
        <v>3.7</v>
      </c>
      <c r="T1188" t="s">
        <v>110</v>
      </c>
      <c r="U1188">
        <v>3.7</v>
      </c>
      <c r="V1188">
        <v>1651.2487853431401</v>
      </c>
      <c r="W1188">
        <v>13.00195893970977</v>
      </c>
      <c r="X1188" t="s">
        <v>111</v>
      </c>
      <c r="Y1188">
        <v>14.4</v>
      </c>
      <c r="Z1188">
        <v>0.18925608949732059</v>
      </c>
      <c r="AA1188">
        <v>31.536000000000001</v>
      </c>
    </row>
    <row r="1189" spans="1:27" hidden="1" x14ac:dyDescent="0.25">
      <c r="A1189" t="s">
        <v>98</v>
      </c>
      <c r="B1189" t="s">
        <v>1548</v>
      </c>
      <c r="D1189" t="s">
        <v>100</v>
      </c>
      <c r="E1189" t="s">
        <v>101</v>
      </c>
      <c r="F1189" t="s">
        <v>117</v>
      </c>
      <c r="G1189" t="s">
        <v>67</v>
      </c>
      <c r="H1189" t="s">
        <v>104</v>
      </c>
      <c r="I1189">
        <v>2033</v>
      </c>
      <c r="J1189" t="s">
        <v>120</v>
      </c>
      <c r="K1189" t="s">
        <v>106</v>
      </c>
      <c r="L1189" t="s">
        <v>1549</v>
      </c>
      <c r="M1189" t="s">
        <v>1553</v>
      </c>
      <c r="N1189">
        <v>0</v>
      </c>
      <c r="O1189">
        <v>2033</v>
      </c>
      <c r="P1189">
        <v>497.90495550017158</v>
      </c>
      <c r="Q1189">
        <v>3.810497108419681</v>
      </c>
      <c r="R1189" t="s">
        <v>109</v>
      </c>
      <c r="S1189">
        <v>3.8</v>
      </c>
      <c r="T1189" t="s">
        <v>110</v>
      </c>
      <c r="U1189">
        <v>3.8</v>
      </c>
      <c r="V1189">
        <v>1698.9226347887429</v>
      </c>
      <c r="W1189">
        <v>13.00195893970977</v>
      </c>
      <c r="X1189" t="s">
        <v>111</v>
      </c>
      <c r="Y1189">
        <v>14.4</v>
      </c>
      <c r="Z1189">
        <v>0.18925608949732059</v>
      </c>
      <c r="AA1189">
        <v>31.536000000000001</v>
      </c>
    </row>
    <row r="1190" spans="1:27" hidden="1" x14ac:dyDescent="0.25">
      <c r="A1190" t="s">
        <v>98</v>
      </c>
      <c r="B1190" t="s">
        <v>1548</v>
      </c>
      <c r="D1190" t="s">
        <v>100</v>
      </c>
      <c r="E1190" t="s">
        <v>101</v>
      </c>
      <c r="F1190" t="s">
        <v>117</v>
      </c>
      <c r="G1190" t="s">
        <v>112</v>
      </c>
      <c r="H1190" t="s">
        <v>104</v>
      </c>
      <c r="I1190">
        <v>2033</v>
      </c>
      <c r="J1190" t="s">
        <v>122</v>
      </c>
      <c r="K1190" t="s">
        <v>106</v>
      </c>
      <c r="L1190" t="s">
        <v>1549</v>
      </c>
      <c r="M1190" t="s">
        <v>1554</v>
      </c>
      <c r="N1190">
        <v>0</v>
      </c>
      <c r="O1190">
        <v>2033</v>
      </c>
      <c r="P1190">
        <v>513.14694393385037</v>
      </c>
      <c r="Q1190">
        <v>3.810497108419681</v>
      </c>
      <c r="R1190" t="s">
        <v>109</v>
      </c>
      <c r="S1190">
        <v>4</v>
      </c>
      <c r="T1190" t="s">
        <v>110</v>
      </c>
      <c r="U1190">
        <v>4</v>
      </c>
      <c r="V1190">
        <v>1750.930470547582</v>
      </c>
      <c r="W1190">
        <v>13.00195893970977</v>
      </c>
      <c r="X1190" t="s">
        <v>111</v>
      </c>
      <c r="Y1190">
        <v>14.4</v>
      </c>
      <c r="Z1190">
        <v>0.18925608949732059</v>
      </c>
      <c r="AA1190">
        <v>31.536000000000001</v>
      </c>
    </row>
    <row r="1191" spans="1:27" hidden="1" x14ac:dyDescent="0.25">
      <c r="A1191" t="s">
        <v>98</v>
      </c>
      <c r="B1191" t="s">
        <v>1548</v>
      </c>
      <c r="D1191" t="s">
        <v>100</v>
      </c>
      <c r="E1191" t="s">
        <v>101</v>
      </c>
      <c r="F1191" t="s">
        <v>117</v>
      </c>
      <c r="G1191" t="s">
        <v>103</v>
      </c>
      <c r="H1191" t="s">
        <v>104</v>
      </c>
      <c r="I1191">
        <v>2023</v>
      </c>
      <c r="J1191" t="s">
        <v>124</v>
      </c>
      <c r="K1191" t="s">
        <v>106</v>
      </c>
      <c r="L1191" t="s">
        <v>1549</v>
      </c>
      <c r="M1191" t="s">
        <v>1555</v>
      </c>
      <c r="N1191">
        <v>0</v>
      </c>
      <c r="O1191">
        <v>2023</v>
      </c>
      <c r="P1191">
        <v>483.9331327692995</v>
      </c>
      <c r="Q1191">
        <v>3.810497108419681</v>
      </c>
      <c r="R1191" t="s">
        <v>109</v>
      </c>
      <c r="S1191">
        <v>3.7</v>
      </c>
      <c r="T1191" t="s">
        <v>110</v>
      </c>
      <c r="U1191">
        <v>3.7</v>
      </c>
      <c r="V1191">
        <v>1651.2487853431401</v>
      </c>
      <c r="W1191">
        <v>13.00195893970977</v>
      </c>
      <c r="X1191" t="s">
        <v>111</v>
      </c>
      <c r="Y1191">
        <v>14.4</v>
      </c>
      <c r="Z1191">
        <v>0.18925608949732059</v>
      </c>
      <c r="AA1191">
        <v>31.536000000000001</v>
      </c>
    </row>
    <row r="1192" spans="1:27" hidden="1" x14ac:dyDescent="0.25">
      <c r="A1192" t="s">
        <v>98</v>
      </c>
      <c r="B1192" t="s">
        <v>1548</v>
      </c>
      <c r="D1192" t="s">
        <v>100</v>
      </c>
      <c r="E1192" t="s">
        <v>101</v>
      </c>
      <c r="F1192" t="s">
        <v>117</v>
      </c>
      <c r="G1192" t="s">
        <v>67</v>
      </c>
      <c r="H1192" t="s">
        <v>104</v>
      </c>
      <c r="I1192">
        <v>2023</v>
      </c>
      <c r="J1192" t="s">
        <v>126</v>
      </c>
      <c r="K1192" t="s">
        <v>106</v>
      </c>
      <c r="L1192" t="s">
        <v>1549</v>
      </c>
      <c r="M1192" t="s">
        <v>1556</v>
      </c>
      <c r="N1192">
        <v>0</v>
      </c>
      <c r="O1192">
        <v>2023</v>
      </c>
      <c r="P1192">
        <v>497.90495550017158</v>
      </c>
      <c r="Q1192">
        <v>3.810497108419681</v>
      </c>
      <c r="R1192" t="s">
        <v>109</v>
      </c>
      <c r="S1192">
        <v>3.8</v>
      </c>
      <c r="T1192" t="s">
        <v>110</v>
      </c>
      <c r="U1192">
        <v>3.8</v>
      </c>
      <c r="V1192">
        <v>1698.9226347887429</v>
      </c>
      <c r="W1192">
        <v>13.00195893970977</v>
      </c>
      <c r="X1192" t="s">
        <v>111</v>
      </c>
      <c r="Y1192">
        <v>14.4</v>
      </c>
      <c r="Z1192">
        <v>0.18925608949732059</v>
      </c>
      <c r="AA1192">
        <v>31.536000000000001</v>
      </c>
    </row>
    <row r="1193" spans="1:27" hidden="1" x14ac:dyDescent="0.25">
      <c r="A1193" t="s">
        <v>98</v>
      </c>
      <c r="B1193" t="s">
        <v>1548</v>
      </c>
      <c r="D1193" t="s">
        <v>100</v>
      </c>
      <c r="E1193" t="s">
        <v>101</v>
      </c>
      <c r="F1193" t="s">
        <v>117</v>
      </c>
      <c r="G1193" t="s">
        <v>112</v>
      </c>
      <c r="H1193" t="s">
        <v>104</v>
      </c>
      <c r="I1193">
        <v>2023</v>
      </c>
      <c r="J1193" t="s">
        <v>128</v>
      </c>
      <c r="K1193" t="s">
        <v>106</v>
      </c>
      <c r="L1193" t="s">
        <v>1549</v>
      </c>
      <c r="M1193" t="s">
        <v>1557</v>
      </c>
      <c r="N1193">
        <v>0</v>
      </c>
      <c r="O1193">
        <v>2023</v>
      </c>
      <c r="P1193">
        <v>513.14694393385037</v>
      </c>
      <c r="Q1193">
        <v>3.810497108419681</v>
      </c>
      <c r="R1193" t="s">
        <v>109</v>
      </c>
      <c r="S1193">
        <v>4</v>
      </c>
      <c r="T1193" t="s">
        <v>110</v>
      </c>
      <c r="U1193">
        <v>4</v>
      </c>
      <c r="V1193">
        <v>1750.930470547582</v>
      </c>
      <c r="W1193">
        <v>13.00195893970977</v>
      </c>
      <c r="X1193" t="s">
        <v>111</v>
      </c>
      <c r="Y1193">
        <v>14.4</v>
      </c>
      <c r="Z1193">
        <v>0.18925608949732059</v>
      </c>
      <c r="AA1193">
        <v>31.536000000000001</v>
      </c>
    </row>
    <row r="1194" spans="1:27" hidden="1" x14ac:dyDescent="0.25">
      <c r="A1194" t="s">
        <v>98</v>
      </c>
      <c r="B1194" t="s">
        <v>1548</v>
      </c>
      <c r="D1194" t="s">
        <v>100</v>
      </c>
      <c r="E1194" t="s">
        <v>101</v>
      </c>
      <c r="F1194" t="s">
        <v>130</v>
      </c>
      <c r="G1194" t="s">
        <v>103</v>
      </c>
      <c r="H1194" t="s">
        <v>131</v>
      </c>
      <c r="I1194">
        <v>2022</v>
      </c>
      <c r="J1194" t="s">
        <v>132</v>
      </c>
      <c r="K1194" t="s">
        <v>133</v>
      </c>
      <c r="L1194" t="s">
        <v>1549</v>
      </c>
      <c r="M1194" t="s">
        <v>1558</v>
      </c>
      <c r="N1194">
        <v>1</v>
      </c>
      <c r="O1194">
        <v>2020</v>
      </c>
      <c r="P1194">
        <v>335.32374554093201</v>
      </c>
      <c r="Q1194">
        <v>6.3000218859205397</v>
      </c>
      <c r="R1194" t="s">
        <v>109</v>
      </c>
      <c r="S1194">
        <v>1.4</v>
      </c>
      <c r="T1194" t="s">
        <v>110</v>
      </c>
      <c r="U1194">
        <v>1.4</v>
      </c>
      <c r="V1194">
        <v>1144.172386694459</v>
      </c>
      <c r="W1194">
        <v>21.496572113653482</v>
      </c>
      <c r="X1194" t="s">
        <v>111</v>
      </c>
      <c r="Y1194">
        <v>15</v>
      </c>
      <c r="Z1194">
        <v>0.18925608949732059</v>
      </c>
      <c r="AA1194">
        <v>31.536000000000001</v>
      </c>
    </row>
    <row r="1195" spans="1:27" hidden="1" x14ac:dyDescent="0.25">
      <c r="A1195" t="s">
        <v>98</v>
      </c>
      <c r="B1195" t="s">
        <v>1548</v>
      </c>
      <c r="D1195" t="s">
        <v>100</v>
      </c>
      <c r="E1195" t="s">
        <v>101</v>
      </c>
      <c r="F1195" t="s">
        <v>135</v>
      </c>
      <c r="G1195" t="s">
        <v>103</v>
      </c>
      <c r="H1195" t="s">
        <v>136</v>
      </c>
      <c r="I1195">
        <v>2030</v>
      </c>
      <c r="J1195" t="s">
        <v>137</v>
      </c>
      <c r="K1195" t="s">
        <v>138</v>
      </c>
      <c r="L1195" t="s">
        <v>1549</v>
      </c>
      <c r="M1195" t="s">
        <v>1559</v>
      </c>
      <c r="N1195">
        <v>1</v>
      </c>
      <c r="O1195">
        <v>2030</v>
      </c>
      <c r="P1195">
        <v>55.186509846078152</v>
      </c>
      <c r="Q1195">
        <v>4.0294911951104666</v>
      </c>
      <c r="R1195" t="s">
        <v>109</v>
      </c>
      <c r="S1195">
        <v>0.87</v>
      </c>
      <c r="T1195" t="s">
        <v>110</v>
      </c>
      <c r="U1195">
        <v>0.87</v>
      </c>
      <c r="V1195">
        <v>188.30423291993449</v>
      </c>
      <c r="W1195">
        <v>13.749197959233321</v>
      </c>
      <c r="X1195" t="s">
        <v>111</v>
      </c>
      <c r="Y1195">
        <v>25</v>
      </c>
      <c r="Z1195">
        <v>0.18925608949732059</v>
      </c>
      <c r="AA1195">
        <v>31.536000000000001</v>
      </c>
    </row>
    <row r="1196" spans="1:27" hidden="1" x14ac:dyDescent="0.25">
      <c r="A1196" t="s">
        <v>98</v>
      </c>
      <c r="B1196" t="s">
        <v>1548</v>
      </c>
      <c r="D1196" t="s">
        <v>100</v>
      </c>
      <c r="E1196" t="s">
        <v>101</v>
      </c>
      <c r="F1196" t="s">
        <v>135</v>
      </c>
      <c r="G1196" t="s">
        <v>103</v>
      </c>
      <c r="H1196" t="s">
        <v>136</v>
      </c>
      <c r="I1196">
        <v>2040</v>
      </c>
      <c r="J1196" t="s">
        <v>140</v>
      </c>
      <c r="K1196" t="s">
        <v>138</v>
      </c>
      <c r="L1196" t="s">
        <v>1549</v>
      </c>
      <c r="M1196" t="s">
        <v>1560</v>
      </c>
      <c r="N1196">
        <v>1</v>
      </c>
      <c r="O1196">
        <v>2040</v>
      </c>
      <c r="P1196">
        <v>53.946363557402229</v>
      </c>
      <c r="Q1196">
        <v>3.9389408311754002</v>
      </c>
      <c r="R1196" t="s">
        <v>109</v>
      </c>
      <c r="S1196">
        <v>0.89</v>
      </c>
      <c r="T1196" t="s">
        <v>110</v>
      </c>
      <c r="U1196">
        <v>0.89</v>
      </c>
      <c r="V1196">
        <v>184.07267712398101</v>
      </c>
      <c r="W1196">
        <v>13.440227218576389</v>
      </c>
      <c r="X1196" t="s">
        <v>111</v>
      </c>
      <c r="Y1196">
        <v>25</v>
      </c>
      <c r="Z1196">
        <v>0.18925608949732059</v>
      </c>
      <c r="AA1196">
        <v>31.536000000000001</v>
      </c>
    </row>
    <row r="1197" spans="1:27" hidden="1" x14ac:dyDescent="0.25">
      <c r="A1197" t="s">
        <v>98</v>
      </c>
      <c r="B1197" t="s">
        <v>1548</v>
      </c>
      <c r="D1197" t="s">
        <v>100</v>
      </c>
      <c r="E1197" t="s">
        <v>142</v>
      </c>
      <c r="F1197" t="s">
        <v>102</v>
      </c>
      <c r="G1197" t="s">
        <v>103</v>
      </c>
      <c r="H1197" t="s">
        <v>104</v>
      </c>
      <c r="I1197">
        <v>2061</v>
      </c>
      <c r="J1197" t="s">
        <v>143</v>
      </c>
      <c r="K1197" t="s">
        <v>106</v>
      </c>
      <c r="L1197" t="s">
        <v>1561</v>
      </c>
      <c r="M1197" t="s">
        <v>1562</v>
      </c>
      <c r="N1197">
        <v>0</v>
      </c>
      <c r="O1197">
        <v>2061</v>
      </c>
      <c r="P1197">
        <v>117.0584711706526</v>
      </c>
      <c r="Q1197">
        <v>4.2000145906136934</v>
      </c>
      <c r="R1197" t="s">
        <v>109</v>
      </c>
      <c r="S1197">
        <v>3.2239155920281362</v>
      </c>
      <c r="T1197" t="s">
        <v>110</v>
      </c>
      <c r="U1197">
        <v>3.2239155920281362</v>
      </c>
      <c r="V1197">
        <v>399.42017862788401</v>
      </c>
      <c r="W1197">
        <v>14.33104807576899</v>
      </c>
      <c r="X1197" t="s">
        <v>111</v>
      </c>
      <c r="Y1197">
        <v>21</v>
      </c>
      <c r="Z1197">
        <v>0.21443134850376791</v>
      </c>
      <c r="AA1197">
        <v>31.536000000000001</v>
      </c>
    </row>
    <row r="1198" spans="1:27" hidden="1" x14ac:dyDescent="0.25">
      <c r="A1198" t="s">
        <v>98</v>
      </c>
      <c r="B1198" t="s">
        <v>1548</v>
      </c>
      <c r="D1198" t="s">
        <v>100</v>
      </c>
      <c r="E1198" t="s">
        <v>142</v>
      </c>
      <c r="F1198" t="s">
        <v>102</v>
      </c>
      <c r="G1198" t="s">
        <v>112</v>
      </c>
      <c r="H1198" t="s">
        <v>104</v>
      </c>
      <c r="I1198">
        <v>2022</v>
      </c>
      <c r="J1198" t="s">
        <v>146</v>
      </c>
      <c r="K1198" t="s">
        <v>106</v>
      </c>
      <c r="L1198" t="s">
        <v>1561</v>
      </c>
      <c r="M1198" t="s">
        <v>1563</v>
      </c>
      <c r="N1198">
        <v>1</v>
      </c>
      <c r="O1198">
        <v>2020</v>
      </c>
      <c r="P1198">
        <v>200.7885700942916</v>
      </c>
      <c r="Q1198">
        <v>4.2000145906136934</v>
      </c>
      <c r="R1198" t="s">
        <v>109</v>
      </c>
      <c r="S1198">
        <v>3.8393903868698711</v>
      </c>
      <c r="T1198" t="s">
        <v>110</v>
      </c>
      <c r="U1198">
        <v>3.8393903868698711</v>
      </c>
      <c r="V1198">
        <v>685.1192035182313</v>
      </c>
      <c r="W1198">
        <v>14.33104807576899</v>
      </c>
      <c r="X1198" t="s">
        <v>111</v>
      </c>
      <c r="Y1198">
        <v>21</v>
      </c>
      <c r="Z1198">
        <v>0.21443134850376791</v>
      </c>
      <c r="AA1198">
        <v>31.536000000000001</v>
      </c>
    </row>
    <row r="1199" spans="1:27" hidden="1" x14ac:dyDescent="0.25">
      <c r="A1199" t="s">
        <v>98</v>
      </c>
      <c r="B1199" t="s">
        <v>1548</v>
      </c>
      <c r="D1199" t="s">
        <v>100</v>
      </c>
      <c r="E1199" t="s">
        <v>142</v>
      </c>
      <c r="F1199" t="s">
        <v>102</v>
      </c>
      <c r="G1199" t="s">
        <v>103</v>
      </c>
      <c r="H1199" t="s">
        <v>104</v>
      </c>
      <c r="I1199">
        <v>2023</v>
      </c>
      <c r="J1199" t="s">
        <v>148</v>
      </c>
      <c r="K1199" t="s">
        <v>106</v>
      </c>
      <c r="L1199" t="s">
        <v>1561</v>
      </c>
      <c r="M1199" t="s">
        <v>1564</v>
      </c>
      <c r="N1199">
        <v>0</v>
      </c>
      <c r="O1199">
        <v>2023</v>
      </c>
      <c r="P1199">
        <v>135.73557542199771</v>
      </c>
      <c r="Q1199">
        <v>4.2000145906136934</v>
      </c>
      <c r="R1199" t="s">
        <v>109</v>
      </c>
      <c r="S1199">
        <v>3.4290738569753811</v>
      </c>
      <c r="T1199" t="s">
        <v>110</v>
      </c>
      <c r="U1199">
        <v>3.4290738569753811</v>
      </c>
      <c r="V1199">
        <v>463.14911888927151</v>
      </c>
      <c r="W1199">
        <v>14.33104807576899</v>
      </c>
      <c r="X1199" t="s">
        <v>111</v>
      </c>
      <c r="Y1199">
        <v>21</v>
      </c>
      <c r="Z1199">
        <v>0.21443134850376791</v>
      </c>
      <c r="AA1199">
        <v>31.536000000000001</v>
      </c>
    </row>
    <row r="1200" spans="1:27" hidden="1" x14ac:dyDescent="0.25">
      <c r="A1200" t="s">
        <v>98</v>
      </c>
      <c r="B1200" t="s">
        <v>1548</v>
      </c>
      <c r="D1200" t="s">
        <v>100</v>
      </c>
      <c r="E1200" t="s">
        <v>142</v>
      </c>
      <c r="F1200" t="s">
        <v>117</v>
      </c>
      <c r="G1200" t="s">
        <v>103</v>
      </c>
      <c r="H1200" t="s">
        <v>104</v>
      </c>
      <c r="I1200">
        <v>2033</v>
      </c>
      <c r="J1200" t="s">
        <v>150</v>
      </c>
      <c r="K1200" t="s">
        <v>106</v>
      </c>
      <c r="L1200" t="s">
        <v>1561</v>
      </c>
      <c r="M1200" t="s">
        <v>1565</v>
      </c>
      <c r="N1200">
        <v>0</v>
      </c>
      <c r="O1200">
        <v>2033</v>
      </c>
      <c r="P1200">
        <v>483.9331327692995</v>
      </c>
      <c r="Q1200">
        <v>3.810497108419681</v>
      </c>
      <c r="R1200" t="s">
        <v>109</v>
      </c>
      <c r="S1200">
        <v>5.0996483001172326</v>
      </c>
      <c r="T1200" t="s">
        <v>110</v>
      </c>
      <c r="U1200">
        <v>5.0996483001172326</v>
      </c>
      <c r="V1200">
        <v>1651.2487853431401</v>
      </c>
      <c r="W1200">
        <v>13.00195893970977</v>
      </c>
      <c r="X1200" t="s">
        <v>111</v>
      </c>
      <c r="Y1200">
        <v>14.4</v>
      </c>
      <c r="Z1200">
        <v>0.21443134850376791</v>
      </c>
      <c r="AA1200">
        <v>31.536000000000001</v>
      </c>
    </row>
    <row r="1201" spans="1:27" hidden="1" x14ac:dyDescent="0.25">
      <c r="A1201" t="s">
        <v>98</v>
      </c>
      <c r="B1201" t="s">
        <v>1548</v>
      </c>
      <c r="D1201" t="s">
        <v>100</v>
      </c>
      <c r="E1201" t="s">
        <v>142</v>
      </c>
      <c r="F1201" t="s">
        <v>117</v>
      </c>
      <c r="G1201" t="s">
        <v>67</v>
      </c>
      <c r="H1201" t="s">
        <v>104</v>
      </c>
      <c r="I1201">
        <v>2033</v>
      </c>
      <c r="J1201" t="s">
        <v>152</v>
      </c>
      <c r="K1201" t="s">
        <v>106</v>
      </c>
      <c r="L1201" t="s">
        <v>1561</v>
      </c>
      <c r="M1201" t="s">
        <v>1566</v>
      </c>
      <c r="N1201">
        <v>0</v>
      </c>
      <c r="O1201">
        <v>2033</v>
      </c>
      <c r="P1201">
        <v>497.90495550017158</v>
      </c>
      <c r="Q1201">
        <v>3.810497108419681</v>
      </c>
      <c r="R1201" t="s">
        <v>109</v>
      </c>
      <c r="S1201">
        <v>5.7737397420867529</v>
      </c>
      <c r="T1201" t="s">
        <v>110</v>
      </c>
      <c r="U1201">
        <v>5.7737397420867529</v>
      </c>
      <c r="V1201">
        <v>1698.9226347887429</v>
      </c>
      <c r="W1201">
        <v>13.00195893970977</v>
      </c>
      <c r="X1201" t="s">
        <v>111</v>
      </c>
      <c r="Y1201">
        <v>14.4</v>
      </c>
      <c r="Z1201">
        <v>0.21443134850376791</v>
      </c>
      <c r="AA1201">
        <v>31.536000000000001</v>
      </c>
    </row>
    <row r="1202" spans="1:27" hidden="1" x14ac:dyDescent="0.25">
      <c r="A1202" t="s">
        <v>98</v>
      </c>
      <c r="B1202" t="s">
        <v>1548</v>
      </c>
      <c r="D1202" t="s">
        <v>100</v>
      </c>
      <c r="E1202" t="s">
        <v>142</v>
      </c>
      <c r="F1202" t="s">
        <v>117</v>
      </c>
      <c r="G1202" t="s">
        <v>112</v>
      </c>
      <c r="H1202" t="s">
        <v>104</v>
      </c>
      <c r="I1202">
        <v>2033</v>
      </c>
      <c r="J1202" t="s">
        <v>154</v>
      </c>
      <c r="K1202" t="s">
        <v>106</v>
      </c>
      <c r="L1202" t="s">
        <v>1561</v>
      </c>
      <c r="M1202" t="s">
        <v>1567</v>
      </c>
      <c r="N1202">
        <v>0</v>
      </c>
      <c r="O1202">
        <v>2033</v>
      </c>
      <c r="P1202">
        <v>513.14694393385037</v>
      </c>
      <c r="Q1202">
        <v>3.810497108419681</v>
      </c>
      <c r="R1202" t="s">
        <v>109</v>
      </c>
      <c r="S1202">
        <v>6.4771395076201648</v>
      </c>
      <c r="T1202" t="s">
        <v>110</v>
      </c>
      <c r="U1202">
        <v>6.4771395076201648</v>
      </c>
      <c r="V1202">
        <v>1750.930470547582</v>
      </c>
      <c r="W1202">
        <v>13.00195893970977</v>
      </c>
      <c r="X1202" t="s">
        <v>111</v>
      </c>
      <c r="Y1202">
        <v>14.4</v>
      </c>
      <c r="Z1202">
        <v>0.21443134850376791</v>
      </c>
      <c r="AA1202">
        <v>31.536000000000001</v>
      </c>
    </row>
    <row r="1203" spans="1:27" hidden="1" x14ac:dyDescent="0.25">
      <c r="A1203" t="s">
        <v>98</v>
      </c>
      <c r="B1203" t="s">
        <v>1548</v>
      </c>
      <c r="D1203" t="s">
        <v>100</v>
      </c>
      <c r="E1203" t="s">
        <v>142</v>
      </c>
      <c r="F1203" t="s">
        <v>117</v>
      </c>
      <c r="G1203" t="s">
        <v>103</v>
      </c>
      <c r="H1203" t="s">
        <v>104</v>
      </c>
      <c r="I1203">
        <v>2023</v>
      </c>
      <c r="J1203" t="s">
        <v>156</v>
      </c>
      <c r="K1203" t="s">
        <v>106</v>
      </c>
      <c r="L1203" t="s">
        <v>1561</v>
      </c>
      <c r="M1203" t="s">
        <v>1568</v>
      </c>
      <c r="N1203">
        <v>0</v>
      </c>
      <c r="O1203">
        <v>2023</v>
      </c>
      <c r="P1203">
        <v>498.32834406777368</v>
      </c>
      <c r="Q1203">
        <v>3.810497108419681</v>
      </c>
      <c r="R1203" t="s">
        <v>109</v>
      </c>
      <c r="S1203">
        <v>3.833333333333333</v>
      </c>
      <c r="T1203" t="s">
        <v>110</v>
      </c>
      <c r="U1203">
        <v>3.833333333333333</v>
      </c>
      <c r="V1203">
        <v>1700.3672968931551</v>
      </c>
      <c r="W1203">
        <v>13.00195893970977</v>
      </c>
      <c r="X1203" t="s">
        <v>111</v>
      </c>
      <c r="Y1203">
        <v>14.4</v>
      </c>
      <c r="Z1203">
        <v>0.21443134850376791</v>
      </c>
      <c r="AA1203">
        <v>31.536000000000001</v>
      </c>
    </row>
    <row r="1204" spans="1:27" hidden="1" x14ac:dyDescent="0.25">
      <c r="A1204" t="s">
        <v>98</v>
      </c>
      <c r="B1204" t="s">
        <v>1548</v>
      </c>
      <c r="D1204" t="s">
        <v>100</v>
      </c>
      <c r="E1204" t="s">
        <v>142</v>
      </c>
      <c r="F1204" t="s">
        <v>130</v>
      </c>
      <c r="G1204" t="s">
        <v>103</v>
      </c>
      <c r="H1204" t="s">
        <v>131</v>
      </c>
      <c r="I1204">
        <v>2022</v>
      </c>
      <c r="J1204" t="s">
        <v>158</v>
      </c>
      <c r="K1204" t="s">
        <v>133</v>
      </c>
      <c r="L1204" t="s">
        <v>1561</v>
      </c>
      <c r="M1204" t="s">
        <v>1569</v>
      </c>
      <c r="N1204">
        <v>1</v>
      </c>
      <c r="O1204">
        <v>2020</v>
      </c>
      <c r="P1204">
        <v>335.32374554093201</v>
      </c>
      <c r="Q1204">
        <v>6.3000218859205397</v>
      </c>
      <c r="R1204" t="s">
        <v>109</v>
      </c>
      <c r="S1204">
        <v>1.2</v>
      </c>
      <c r="T1204" t="s">
        <v>110</v>
      </c>
      <c r="U1204">
        <v>1.2</v>
      </c>
      <c r="V1204">
        <v>1144.172386694459</v>
      </c>
      <c r="W1204">
        <v>21.496572113653482</v>
      </c>
      <c r="X1204" t="s">
        <v>111</v>
      </c>
      <c r="Y1204">
        <v>15</v>
      </c>
      <c r="Z1204">
        <v>0.21443134850376791</v>
      </c>
      <c r="AA1204">
        <v>31.536000000000001</v>
      </c>
    </row>
    <row r="1205" spans="1:27" hidden="1" x14ac:dyDescent="0.25">
      <c r="A1205" t="s">
        <v>98</v>
      </c>
      <c r="B1205" t="s">
        <v>1548</v>
      </c>
      <c r="D1205" t="s">
        <v>100</v>
      </c>
      <c r="E1205" t="s">
        <v>142</v>
      </c>
      <c r="F1205" t="s">
        <v>160</v>
      </c>
      <c r="G1205" t="s">
        <v>103</v>
      </c>
      <c r="H1205" t="s">
        <v>104</v>
      </c>
      <c r="I1205">
        <v>2030</v>
      </c>
      <c r="J1205" t="s">
        <v>161</v>
      </c>
      <c r="K1205" t="s">
        <v>106</v>
      </c>
      <c r="L1205" t="s">
        <v>1561</v>
      </c>
      <c r="M1205" t="s">
        <v>1570</v>
      </c>
      <c r="N1205">
        <v>1</v>
      </c>
      <c r="O1205">
        <v>2030</v>
      </c>
      <c r="P1205">
        <v>93.992262007685454</v>
      </c>
      <c r="Q1205">
        <v>4.3185633895423052</v>
      </c>
      <c r="R1205" t="s">
        <v>109</v>
      </c>
      <c r="S1205">
        <v>4.8178066132425448</v>
      </c>
      <c r="T1205" t="s">
        <v>110</v>
      </c>
      <c r="U1205">
        <v>4.8178066132425448</v>
      </c>
      <c r="V1205">
        <v>320.71498717950749</v>
      </c>
      <c r="W1205">
        <v>14.735553465004401</v>
      </c>
      <c r="X1205" t="s">
        <v>111</v>
      </c>
      <c r="Y1205">
        <v>20</v>
      </c>
      <c r="Z1205">
        <v>0.21443134850376791</v>
      </c>
      <c r="AA1205">
        <v>31.536000000000001</v>
      </c>
    </row>
    <row r="1206" spans="1:27" hidden="1" x14ac:dyDescent="0.25">
      <c r="A1206" t="s">
        <v>98</v>
      </c>
      <c r="B1206" t="s">
        <v>1548</v>
      </c>
      <c r="D1206" t="s">
        <v>100</v>
      </c>
      <c r="E1206" t="s">
        <v>142</v>
      </c>
      <c r="F1206" t="s">
        <v>160</v>
      </c>
      <c r="G1206" t="s">
        <v>112</v>
      </c>
      <c r="H1206" t="s">
        <v>104</v>
      </c>
      <c r="I1206">
        <v>2030</v>
      </c>
      <c r="J1206" t="s">
        <v>163</v>
      </c>
      <c r="K1206" t="s">
        <v>106</v>
      </c>
      <c r="L1206" t="s">
        <v>1561</v>
      </c>
      <c r="M1206" t="s">
        <v>1571</v>
      </c>
      <c r="N1206">
        <v>1</v>
      </c>
      <c r="O1206">
        <v>2030</v>
      </c>
      <c r="P1206">
        <v>104.15358763013791</v>
      </c>
      <c r="Q1206">
        <v>4.3185633895423052</v>
      </c>
      <c r="R1206" t="s">
        <v>109</v>
      </c>
      <c r="S1206">
        <v>5.1720570995103783</v>
      </c>
      <c r="T1206" t="s">
        <v>110</v>
      </c>
      <c r="U1206">
        <v>5.1720570995103783</v>
      </c>
      <c r="V1206">
        <v>355.38687768540018</v>
      </c>
      <c r="W1206">
        <v>14.735553465004401</v>
      </c>
      <c r="X1206" t="s">
        <v>111</v>
      </c>
      <c r="Y1206">
        <v>20</v>
      </c>
      <c r="Z1206">
        <v>0.21443134850376791</v>
      </c>
      <c r="AA1206">
        <v>31.536000000000001</v>
      </c>
    </row>
    <row r="1207" spans="1:27" hidden="1" x14ac:dyDescent="0.25">
      <c r="A1207" t="s">
        <v>98</v>
      </c>
      <c r="B1207" t="s">
        <v>1548</v>
      </c>
      <c r="D1207" t="s">
        <v>100</v>
      </c>
      <c r="E1207" t="s">
        <v>142</v>
      </c>
      <c r="F1207" t="s">
        <v>160</v>
      </c>
      <c r="G1207" t="s">
        <v>103</v>
      </c>
      <c r="H1207" t="s">
        <v>104</v>
      </c>
      <c r="I1207">
        <v>2040</v>
      </c>
      <c r="J1207" t="s">
        <v>165</v>
      </c>
      <c r="K1207" t="s">
        <v>106</v>
      </c>
      <c r="L1207" t="s">
        <v>1561</v>
      </c>
      <c r="M1207" t="s">
        <v>1572</v>
      </c>
      <c r="N1207">
        <v>1</v>
      </c>
      <c r="O1207">
        <v>2040</v>
      </c>
      <c r="P1207">
        <v>93.992262007685454</v>
      </c>
      <c r="Q1207">
        <v>4.3185633895423052</v>
      </c>
      <c r="R1207" t="s">
        <v>109</v>
      </c>
      <c r="S1207">
        <v>4.9535194755874059</v>
      </c>
      <c r="T1207" t="s">
        <v>110</v>
      </c>
      <c r="U1207">
        <v>4.9535194755874059</v>
      </c>
      <c r="V1207">
        <v>320.71498717950749</v>
      </c>
      <c r="W1207">
        <v>14.735553465004401</v>
      </c>
      <c r="X1207" t="s">
        <v>111</v>
      </c>
      <c r="Y1207">
        <v>20</v>
      </c>
      <c r="Z1207">
        <v>0.21443134850376791</v>
      </c>
      <c r="AA1207">
        <v>31.536000000000001</v>
      </c>
    </row>
    <row r="1208" spans="1:27" hidden="1" x14ac:dyDescent="0.25">
      <c r="A1208" t="s">
        <v>98</v>
      </c>
      <c r="B1208" t="s">
        <v>1548</v>
      </c>
      <c r="D1208" t="s">
        <v>100</v>
      </c>
      <c r="E1208" t="s">
        <v>142</v>
      </c>
      <c r="F1208" t="s">
        <v>160</v>
      </c>
      <c r="G1208" t="s">
        <v>112</v>
      </c>
      <c r="H1208" t="s">
        <v>104</v>
      </c>
      <c r="I1208">
        <v>2040</v>
      </c>
      <c r="J1208" t="s">
        <v>167</v>
      </c>
      <c r="K1208" t="s">
        <v>106</v>
      </c>
      <c r="L1208" t="s">
        <v>1561</v>
      </c>
      <c r="M1208" t="s">
        <v>1573</v>
      </c>
      <c r="N1208">
        <v>1</v>
      </c>
      <c r="O1208">
        <v>2040</v>
      </c>
      <c r="P1208">
        <v>104.15358763013791</v>
      </c>
      <c r="Q1208">
        <v>4.3185633895423052</v>
      </c>
      <c r="R1208" t="s">
        <v>109</v>
      </c>
      <c r="S1208">
        <v>5.4107674271800876</v>
      </c>
      <c r="T1208" t="s">
        <v>110</v>
      </c>
      <c r="U1208">
        <v>5.4107674271800876</v>
      </c>
      <c r="V1208">
        <v>355.38687768540018</v>
      </c>
      <c r="W1208">
        <v>14.735553465004401</v>
      </c>
      <c r="X1208" t="s">
        <v>111</v>
      </c>
      <c r="Y1208">
        <v>20</v>
      </c>
      <c r="Z1208">
        <v>0.21443134850376791</v>
      </c>
      <c r="AA1208">
        <v>31.536000000000001</v>
      </c>
    </row>
    <row r="1209" spans="1:27" hidden="1" x14ac:dyDescent="0.25">
      <c r="A1209" t="s">
        <v>98</v>
      </c>
      <c r="B1209" t="s">
        <v>1548</v>
      </c>
      <c r="D1209" t="s">
        <v>100</v>
      </c>
      <c r="E1209" t="s">
        <v>142</v>
      </c>
      <c r="F1209" t="s">
        <v>160</v>
      </c>
      <c r="G1209" t="s">
        <v>112</v>
      </c>
      <c r="H1209" t="s">
        <v>104</v>
      </c>
      <c r="I1209">
        <v>2022</v>
      </c>
      <c r="J1209" t="s">
        <v>169</v>
      </c>
      <c r="K1209" t="s">
        <v>106</v>
      </c>
      <c r="L1209" t="s">
        <v>1561</v>
      </c>
      <c r="M1209" t="s">
        <v>1574</v>
      </c>
      <c r="N1209">
        <v>1</v>
      </c>
      <c r="O1209">
        <v>2020</v>
      </c>
      <c r="P1209">
        <v>104.15358763013791</v>
      </c>
      <c r="Q1209">
        <v>4.3185633895423052</v>
      </c>
      <c r="R1209" t="s">
        <v>109</v>
      </c>
      <c r="S1209">
        <v>4.9886508193858967</v>
      </c>
      <c r="T1209" t="s">
        <v>110</v>
      </c>
      <c r="U1209">
        <v>4.9886508193858967</v>
      </c>
      <c r="V1209">
        <v>355.38687768540018</v>
      </c>
      <c r="W1209">
        <v>14.735553465004401</v>
      </c>
      <c r="X1209" t="s">
        <v>111</v>
      </c>
      <c r="Y1209">
        <v>20</v>
      </c>
      <c r="Z1209">
        <v>0.21443134850376791</v>
      </c>
      <c r="AA1209">
        <v>31.536000000000001</v>
      </c>
    </row>
    <row r="1210" spans="1:27" hidden="1" x14ac:dyDescent="0.25">
      <c r="A1210" t="s">
        <v>98</v>
      </c>
      <c r="B1210" t="s">
        <v>1548</v>
      </c>
      <c r="D1210" t="s">
        <v>100</v>
      </c>
      <c r="E1210" t="s">
        <v>142</v>
      </c>
      <c r="F1210" t="s">
        <v>171</v>
      </c>
      <c r="G1210" t="s">
        <v>172</v>
      </c>
      <c r="H1210" t="s">
        <v>104</v>
      </c>
      <c r="I1210">
        <v>2061</v>
      </c>
      <c r="J1210" t="s">
        <v>173</v>
      </c>
      <c r="K1210" t="s">
        <v>106</v>
      </c>
      <c r="L1210" t="s">
        <v>1561</v>
      </c>
      <c r="M1210" t="s">
        <v>1575</v>
      </c>
      <c r="N1210">
        <v>1</v>
      </c>
      <c r="O1210">
        <v>2061</v>
      </c>
      <c r="P1210">
        <v>90.181764899265772</v>
      </c>
      <c r="Q1210">
        <v>3.3024308272970568</v>
      </c>
      <c r="R1210" t="s">
        <v>109</v>
      </c>
      <c r="S1210">
        <v>4.1038492738238714</v>
      </c>
      <c r="T1210" t="s">
        <v>110</v>
      </c>
      <c r="U1210">
        <v>4.1038492738238714</v>
      </c>
      <c r="V1210">
        <v>307.71302823979772</v>
      </c>
      <c r="W1210">
        <v>11.26836441441513</v>
      </c>
      <c r="X1210" t="s">
        <v>111</v>
      </c>
      <c r="Y1210">
        <v>20</v>
      </c>
      <c r="Z1210">
        <v>0.21443134850376791</v>
      </c>
      <c r="AA1210">
        <v>31.536000000000001</v>
      </c>
    </row>
    <row r="1211" spans="1:27" hidden="1" x14ac:dyDescent="0.25">
      <c r="A1211" t="s">
        <v>98</v>
      </c>
      <c r="B1211" t="s">
        <v>1548</v>
      </c>
      <c r="D1211" t="s">
        <v>100</v>
      </c>
      <c r="E1211" t="s">
        <v>142</v>
      </c>
      <c r="F1211" t="s">
        <v>171</v>
      </c>
      <c r="G1211" t="s">
        <v>112</v>
      </c>
      <c r="H1211" t="s">
        <v>104</v>
      </c>
      <c r="I1211">
        <v>2022</v>
      </c>
      <c r="J1211" t="s">
        <v>175</v>
      </c>
      <c r="K1211" t="s">
        <v>106</v>
      </c>
      <c r="L1211" t="s">
        <v>1561</v>
      </c>
      <c r="M1211" t="s">
        <v>1576</v>
      </c>
      <c r="N1211">
        <v>1</v>
      </c>
      <c r="O1211">
        <v>2020</v>
      </c>
      <c r="P1211">
        <v>99.072924818911702</v>
      </c>
      <c r="Q1211">
        <v>3.3024308272970568</v>
      </c>
      <c r="R1211" t="s">
        <v>109</v>
      </c>
      <c r="S1211">
        <v>6.6358468446548251</v>
      </c>
      <c r="T1211" t="s">
        <v>110</v>
      </c>
      <c r="U1211">
        <v>6.6358468446548251</v>
      </c>
      <c r="V1211">
        <v>338.05093243245392</v>
      </c>
      <c r="W1211">
        <v>11.26836441441513</v>
      </c>
      <c r="X1211" t="s">
        <v>111</v>
      </c>
      <c r="Y1211">
        <v>20</v>
      </c>
      <c r="Z1211">
        <v>0.21443134850376791</v>
      </c>
      <c r="AA1211">
        <v>31.536000000000001</v>
      </c>
    </row>
    <row r="1212" spans="1:27" hidden="1" x14ac:dyDescent="0.25">
      <c r="A1212" t="s">
        <v>98</v>
      </c>
      <c r="B1212" t="s">
        <v>1548</v>
      </c>
      <c r="D1212" t="s">
        <v>100</v>
      </c>
      <c r="E1212" t="s">
        <v>142</v>
      </c>
      <c r="F1212" t="s">
        <v>171</v>
      </c>
      <c r="G1212" t="s">
        <v>103</v>
      </c>
      <c r="H1212" t="s">
        <v>104</v>
      </c>
      <c r="I1212">
        <v>2030</v>
      </c>
      <c r="J1212" t="s">
        <v>177</v>
      </c>
      <c r="K1212" t="s">
        <v>106</v>
      </c>
      <c r="L1212" t="s">
        <v>1561</v>
      </c>
      <c r="M1212" t="s">
        <v>1577</v>
      </c>
      <c r="N1212">
        <v>1</v>
      </c>
      <c r="O1212">
        <v>2030</v>
      </c>
      <c r="P1212">
        <v>90.181764899265772</v>
      </c>
      <c r="Q1212">
        <v>3.3024308272970568</v>
      </c>
      <c r="R1212" t="s">
        <v>109</v>
      </c>
      <c r="S1212">
        <v>4.8847205939820251</v>
      </c>
      <c r="T1212" t="s">
        <v>110</v>
      </c>
      <c r="U1212">
        <v>4.8847205939820251</v>
      </c>
      <c r="V1212">
        <v>307.71302823979772</v>
      </c>
      <c r="W1212">
        <v>11.26836441441513</v>
      </c>
      <c r="X1212" t="s">
        <v>111</v>
      </c>
      <c r="Y1212">
        <v>20</v>
      </c>
      <c r="Z1212">
        <v>0.21443134850376791</v>
      </c>
      <c r="AA1212">
        <v>31.536000000000001</v>
      </c>
    </row>
    <row r="1213" spans="1:27" hidden="1" x14ac:dyDescent="0.25">
      <c r="A1213" t="s">
        <v>98</v>
      </c>
      <c r="B1213" t="s">
        <v>1548</v>
      </c>
      <c r="D1213" t="s">
        <v>100</v>
      </c>
      <c r="E1213" t="s">
        <v>142</v>
      </c>
      <c r="F1213" t="s">
        <v>171</v>
      </c>
      <c r="G1213" t="s">
        <v>112</v>
      </c>
      <c r="H1213" t="s">
        <v>104</v>
      </c>
      <c r="I1213">
        <v>2030</v>
      </c>
      <c r="J1213" t="s">
        <v>179</v>
      </c>
      <c r="K1213" t="s">
        <v>106</v>
      </c>
      <c r="L1213" t="s">
        <v>1561</v>
      </c>
      <c r="M1213" t="s">
        <v>1578</v>
      </c>
      <c r="N1213">
        <v>1</v>
      </c>
      <c r="O1213">
        <v>2030</v>
      </c>
      <c r="P1213">
        <v>99.072924818911702</v>
      </c>
      <c r="Q1213">
        <v>3.3024308272970568</v>
      </c>
      <c r="R1213" t="s">
        <v>109</v>
      </c>
      <c r="S1213">
        <v>7.1775486278919534</v>
      </c>
      <c r="T1213" t="s">
        <v>110</v>
      </c>
      <c r="U1213">
        <v>7.1775486278919534</v>
      </c>
      <c r="V1213">
        <v>338.05093243245392</v>
      </c>
      <c r="W1213">
        <v>11.26836441441513</v>
      </c>
      <c r="X1213" t="s">
        <v>111</v>
      </c>
      <c r="Y1213">
        <v>20</v>
      </c>
      <c r="Z1213">
        <v>0.21443134850376791</v>
      </c>
      <c r="AA1213">
        <v>31.536000000000001</v>
      </c>
    </row>
    <row r="1214" spans="1:27" hidden="1" x14ac:dyDescent="0.25">
      <c r="A1214" t="s">
        <v>98</v>
      </c>
      <c r="B1214" t="s">
        <v>1548</v>
      </c>
      <c r="D1214" t="s">
        <v>100</v>
      </c>
      <c r="E1214" t="s">
        <v>142</v>
      </c>
      <c r="F1214" t="s">
        <v>171</v>
      </c>
      <c r="G1214" t="s">
        <v>103</v>
      </c>
      <c r="H1214" t="s">
        <v>104</v>
      </c>
      <c r="I1214">
        <v>2040</v>
      </c>
      <c r="J1214" t="s">
        <v>181</v>
      </c>
      <c r="K1214" t="s">
        <v>106</v>
      </c>
      <c r="L1214" t="s">
        <v>1561</v>
      </c>
      <c r="M1214" t="s">
        <v>1579</v>
      </c>
      <c r="N1214">
        <v>1</v>
      </c>
      <c r="O1214">
        <v>2040</v>
      </c>
      <c r="P1214">
        <v>90.181764899265772</v>
      </c>
      <c r="Q1214">
        <v>3.3024308272970568</v>
      </c>
      <c r="R1214" t="s">
        <v>109</v>
      </c>
      <c r="S1214">
        <v>5.1720570995103783</v>
      </c>
      <c r="T1214" t="s">
        <v>110</v>
      </c>
      <c r="U1214">
        <v>5.1720570995103783</v>
      </c>
      <c r="V1214">
        <v>307.71302823979772</v>
      </c>
      <c r="W1214">
        <v>11.26836441441513</v>
      </c>
      <c r="X1214" t="s">
        <v>111</v>
      </c>
      <c r="Y1214">
        <v>20</v>
      </c>
      <c r="Z1214">
        <v>0.21443134850376791</v>
      </c>
      <c r="AA1214">
        <v>31.536000000000001</v>
      </c>
    </row>
    <row r="1215" spans="1:27" hidden="1" x14ac:dyDescent="0.25">
      <c r="A1215" t="s">
        <v>98</v>
      </c>
      <c r="B1215" t="s">
        <v>1548</v>
      </c>
      <c r="D1215" t="s">
        <v>100</v>
      </c>
      <c r="E1215" t="s">
        <v>142</v>
      </c>
      <c r="F1215" t="s">
        <v>171</v>
      </c>
      <c r="G1215" t="s">
        <v>112</v>
      </c>
      <c r="H1215" t="s">
        <v>104</v>
      </c>
      <c r="I1215">
        <v>2040</v>
      </c>
      <c r="J1215" t="s">
        <v>183</v>
      </c>
      <c r="K1215" t="s">
        <v>106</v>
      </c>
      <c r="L1215" t="s">
        <v>1561</v>
      </c>
      <c r="M1215" t="s">
        <v>1580</v>
      </c>
      <c r="N1215">
        <v>1</v>
      </c>
      <c r="O1215">
        <v>2040</v>
      </c>
      <c r="P1215">
        <v>99.072924818911702</v>
      </c>
      <c r="Q1215">
        <v>3.3024308272970568</v>
      </c>
      <c r="R1215" t="s">
        <v>109</v>
      </c>
      <c r="S1215">
        <v>7.815552950371238</v>
      </c>
      <c r="T1215" t="s">
        <v>110</v>
      </c>
      <c r="U1215">
        <v>7.815552950371238</v>
      </c>
      <c r="V1215">
        <v>338.05093243245392</v>
      </c>
      <c r="W1215">
        <v>11.26836441441513</v>
      </c>
      <c r="X1215" t="s">
        <v>111</v>
      </c>
      <c r="Y1215">
        <v>20</v>
      </c>
      <c r="Z1215">
        <v>0.21443134850376791</v>
      </c>
      <c r="AA1215">
        <v>31.536000000000001</v>
      </c>
    </row>
    <row r="1216" spans="1:27" hidden="1" x14ac:dyDescent="0.25">
      <c r="A1216" t="s">
        <v>98</v>
      </c>
      <c r="B1216" t="s">
        <v>1548</v>
      </c>
      <c r="D1216" t="s">
        <v>100</v>
      </c>
      <c r="E1216" t="s">
        <v>142</v>
      </c>
      <c r="F1216" t="s">
        <v>185</v>
      </c>
      <c r="G1216" t="s">
        <v>112</v>
      </c>
      <c r="H1216" t="s">
        <v>104</v>
      </c>
      <c r="I1216">
        <v>2022</v>
      </c>
      <c r="J1216" t="s">
        <v>186</v>
      </c>
      <c r="K1216" t="s">
        <v>106</v>
      </c>
      <c r="L1216" t="s">
        <v>1561</v>
      </c>
      <c r="M1216" t="s">
        <v>1581</v>
      </c>
      <c r="N1216">
        <v>1</v>
      </c>
      <c r="O1216">
        <v>2020</v>
      </c>
      <c r="P1216">
        <v>97.802759116105136</v>
      </c>
      <c r="Q1216">
        <v>3.5564639678583689</v>
      </c>
      <c r="R1216" t="s">
        <v>109</v>
      </c>
      <c r="S1216">
        <v>4.4518972502114647</v>
      </c>
      <c r="T1216" t="s">
        <v>110</v>
      </c>
      <c r="U1216">
        <v>4.4518972502114647</v>
      </c>
      <c r="V1216">
        <v>333.71694611921731</v>
      </c>
      <c r="W1216">
        <v>12.135161677062451</v>
      </c>
      <c r="X1216" t="s">
        <v>111</v>
      </c>
      <c r="Y1216">
        <v>20</v>
      </c>
      <c r="Z1216">
        <v>0.21443134850376791</v>
      </c>
      <c r="AA1216">
        <v>31.536000000000001</v>
      </c>
    </row>
    <row r="1217" spans="1:27" hidden="1" x14ac:dyDescent="0.25">
      <c r="A1217" t="s">
        <v>98</v>
      </c>
      <c r="B1217" t="s">
        <v>1548</v>
      </c>
      <c r="D1217" t="s">
        <v>100</v>
      </c>
      <c r="E1217" t="s">
        <v>142</v>
      </c>
      <c r="F1217" t="s">
        <v>188</v>
      </c>
      <c r="G1217" t="s">
        <v>103</v>
      </c>
      <c r="H1217" t="s">
        <v>104</v>
      </c>
      <c r="I1217">
        <v>2030</v>
      </c>
      <c r="J1217" t="s">
        <v>189</v>
      </c>
      <c r="K1217" t="s">
        <v>106</v>
      </c>
      <c r="L1217" t="s">
        <v>1561</v>
      </c>
      <c r="M1217" t="s">
        <v>1582</v>
      </c>
      <c r="N1217">
        <v>0</v>
      </c>
      <c r="O1217">
        <v>2030</v>
      </c>
      <c r="P1217">
        <v>49.536462409455851</v>
      </c>
      <c r="Q1217">
        <v>3.0483976867357452</v>
      </c>
      <c r="R1217" t="s">
        <v>109</v>
      </c>
      <c r="S1217">
        <v>10.04856807904874</v>
      </c>
      <c r="T1217" t="s">
        <v>110</v>
      </c>
      <c r="U1217">
        <v>10.04856807904874</v>
      </c>
      <c r="V1217">
        <v>169.0254662162269</v>
      </c>
      <c r="W1217">
        <v>10.401567151767811</v>
      </c>
      <c r="X1217" t="s">
        <v>111</v>
      </c>
      <c r="Y1217">
        <v>25</v>
      </c>
      <c r="Z1217">
        <v>0.21443134850376791</v>
      </c>
      <c r="AA1217">
        <v>31.536000000000001</v>
      </c>
    </row>
    <row r="1218" spans="1:27" hidden="1" x14ac:dyDescent="0.25">
      <c r="A1218" t="s">
        <v>98</v>
      </c>
      <c r="B1218" t="s">
        <v>1548</v>
      </c>
      <c r="D1218" t="s">
        <v>100</v>
      </c>
      <c r="E1218" t="s">
        <v>142</v>
      </c>
      <c r="F1218" t="s">
        <v>188</v>
      </c>
      <c r="G1218" t="s">
        <v>112</v>
      </c>
      <c r="H1218" t="s">
        <v>104</v>
      </c>
      <c r="I1218">
        <v>2030</v>
      </c>
      <c r="J1218" t="s">
        <v>191</v>
      </c>
      <c r="K1218" t="s">
        <v>106</v>
      </c>
      <c r="L1218" t="s">
        <v>1561</v>
      </c>
      <c r="M1218" t="s">
        <v>1583</v>
      </c>
      <c r="N1218">
        <v>0</v>
      </c>
      <c r="O1218">
        <v>2030</v>
      </c>
      <c r="P1218">
        <v>64.778450843134578</v>
      </c>
      <c r="Q1218">
        <v>3.0483976867357452</v>
      </c>
      <c r="R1218" t="s">
        <v>109</v>
      </c>
      <c r="S1218">
        <v>13.02592158395206</v>
      </c>
      <c r="T1218" t="s">
        <v>110</v>
      </c>
      <c r="U1218">
        <v>13.02592158395206</v>
      </c>
      <c r="V1218">
        <v>221.033301975066</v>
      </c>
      <c r="W1218">
        <v>10.401567151767811</v>
      </c>
      <c r="X1218" t="s">
        <v>111</v>
      </c>
      <c r="Y1218">
        <v>25</v>
      </c>
      <c r="Z1218">
        <v>0.21443134850376791</v>
      </c>
      <c r="AA1218">
        <v>31.536000000000001</v>
      </c>
    </row>
    <row r="1219" spans="1:27" hidden="1" x14ac:dyDescent="0.25">
      <c r="A1219" t="s">
        <v>98</v>
      </c>
      <c r="B1219" t="s">
        <v>1548</v>
      </c>
      <c r="D1219" t="s">
        <v>100</v>
      </c>
      <c r="E1219" t="s">
        <v>142</v>
      </c>
      <c r="F1219" t="s">
        <v>188</v>
      </c>
      <c r="G1219" t="s">
        <v>103</v>
      </c>
      <c r="H1219" t="s">
        <v>104</v>
      </c>
      <c r="I1219">
        <v>2040</v>
      </c>
      <c r="J1219" t="s">
        <v>193</v>
      </c>
      <c r="K1219" t="s">
        <v>106</v>
      </c>
      <c r="L1219" t="s">
        <v>1561</v>
      </c>
      <c r="M1219" t="s">
        <v>1584</v>
      </c>
      <c r="N1219">
        <v>0</v>
      </c>
      <c r="O1219">
        <v>2040</v>
      </c>
      <c r="P1219">
        <v>49.536462409455851</v>
      </c>
      <c r="Q1219">
        <v>3.0483976867357452</v>
      </c>
      <c r="R1219" t="s">
        <v>109</v>
      </c>
      <c r="S1219">
        <v>10.34411419902076</v>
      </c>
      <c r="T1219" t="s">
        <v>110</v>
      </c>
      <c r="U1219">
        <v>10.34411419902076</v>
      </c>
      <c r="V1219">
        <v>169.0254662162269</v>
      </c>
      <c r="W1219">
        <v>10.401567151767811</v>
      </c>
      <c r="X1219" t="s">
        <v>111</v>
      </c>
      <c r="Y1219">
        <v>25</v>
      </c>
      <c r="Z1219">
        <v>0.21443134850376791</v>
      </c>
      <c r="AA1219">
        <v>31.536000000000001</v>
      </c>
    </row>
    <row r="1220" spans="1:27" hidden="1" x14ac:dyDescent="0.25">
      <c r="A1220" t="s">
        <v>98</v>
      </c>
      <c r="B1220" t="s">
        <v>1548</v>
      </c>
      <c r="D1220" t="s">
        <v>100</v>
      </c>
      <c r="E1220" t="s">
        <v>142</v>
      </c>
      <c r="F1220" t="s">
        <v>188</v>
      </c>
      <c r="G1220" t="s">
        <v>112</v>
      </c>
      <c r="H1220" t="s">
        <v>104</v>
      </c>
      <c r="I1220">
        <v>2040</v>
      </c>
      <c r="J1220" t="s">
        <v>195</v>
      </c>
      <c r="K1220" t="s">
        <v>106</v>
      </c>
      <c r="L1220" t="s">
        <v>1561</v>
      </c>
      <c r="M1220" t="s">
        <v>1585</v>
      </c>
      <c r="N1220">
        <v>0</v>
      </c>
      <c r="O1220">
        <v>2040</v>
      </c>
      <c r="P1220">
        <v>64.778450843134578</v>
      </c>
      <c r="Q1220">
        <v>3.0483976867357452</v>
      </c>
      <c r="R1220" t="s">
        <v>109</v>
      </c>
      <c r="S1220">
        <v>14.067995310668231</v>
      </c>
      <c r="T1220" t="s">
        <v>110</v>
      </c>
      <c r="U1220">
        <v>14.067995310668231</v>
      </c>
      <c r="V1220">
        <v>221.033301975066</v>
      </c>
      <c r="W1220">
        <v>10.401567151767811</v>
      </c>
      <c r="X1220" t="s">
        <v>111</v>
      </c>
      <c r="Y1220">
        <v>25</v>
      </c>
      <c r="Z1220">
        <v>0.21443134850376791</v>
      </c>
      <c r="AA1220">
        <v>31.536000000000001</v>
      </c>
    </row>
    <row r="1221" spans="1:27" hidden="1" x14ac:dyDescent="0.25">
      <c r="A1221" t="s">
        <v>98</v>
      </c>
      <c r="B1221" t="s">
        <v>1548</v>
      </c>
      <c r="D1221" t="s">
        <v>100</v>
      </c>
      <c r="E1221" t="s">
        <v>142</v>
      </c>
      <c r="F1221" t="s">
        <v>188</v>
      </c>
      <c r="G1221" t="s">
        <v>112</v>
      </c>
      <c r="H1221" t="s">
        <v>104</v>
      </c>
      <c r="I1221">
        <v>2022</v>
      </c>
      <c r="J1221" t="s">
        <v>197</v>
      </c>
      <c r="K1221" t="s">
        <v>106</v>
      </c>
      <c r="L1221" t="s">
        <v>1561</v>
      </c>
      <c r="M1221" t="s">
        <v>1586</v>
      </c>
      <c r="N1221">
        <v>1</v>
      </c>
      <c r="O1221">
        <v>2020</v>
      </c>
      <c r="P1221">
        <v>64.778450843134578</v>
      </c>
      <c r="Q1221">
        <v>3.0483976867357452</v>
      </c>
      <c r="R1221" t="s">
        <v>109</v>
      </c>
      <c r="S1221">
        <v>12.12758216436916</v>
      </c>
      <c r="T1221" t="s">
        <v>110</v>
      </c>
      <c r="U1221">
        <v>12.12758216436916</v>
      </c>
      <c r="V1221">
        <v>221.033301975066</v>
      </c>
      <c r="W1221">
        <v>10.401567151767811</v>
      </c>
      <c r="X1221" t="s">
        <v>111</v>
      </c>
      <c r="Y1221">
        <v>25</v>
      </c>
      <c r="Z1221">
        <v>0.21443134850376791</v>
      </c>
      <c r="AA1221">
        <v>31.536000000000001</v>
      </c>
    </row>
    <row r="1222" spans="1:27" hidden="1" x14ac:dyDescent="0.25">
      <c r="A1222" t="s">
        <v>98</v>
      </c>
      <c r="B1222" t="s">
        <v>1548</v>
      </c>
      <c r="D1222" t="s">
        <v>100</v>
      </c>
      <c r="E1222" t="s">
        <v>142</v>
      </c>
      <c r="F1222" t="s">
        <v>199</v>
      </c>
      <c r="G1222" t="s">
        <v>103</v>
      </c>
      <c r="H1222" t="s">
        <v>131</v>
      </c>
      <c r="I1222">
        <v>2030</v>
      </c>
      <c r="J1222" t="s">
        <v>200</v>
      </c>
      <c r="K1222" t="s">
        <v>133</v>
      </c>
      <c r="L1222" t="s">
        <v>1561</v>
      </c>
      <c r="M1222" t="s">
        <v>1587</v>
      </c>
      <c r="N1222">
        <v>0</v>
      </c>
      <c r="O1222">
        <v>2030</v>
      </c>
      <c r="P1222">
        <v>93.992262007685454</v>
      </c>
      <c r="Q1222">
        <v>2.7943645461744331</v>
      </c>
      <c r="R1222" t="s">
        <v>109</v>
      </c>
      <c r="S1222">
        <v>1.4</v>
      </c>
      <c r="T1222" t="s">
        <v>110</v>
      </c>
      <c r="U1222">
        <v>1.4</v>
      </c>
      <c r="V1222">
        <v>320.71498717950749</v>
      </c>
      <c r="W1222">
        <v>9.5347698891204935</v>
      </c>
      <c r="X1222" t="s">
        <v>111</v>
      </c>
      <c r="Y1222">
        <v>23</v>
      </c>
      <c r="Z1222">
        <v>0.21443134850376791</v>
      </c>
      <c r="AA1222">
        <v>31.536000000000001</v>
      </c>
    </row>
    <row r="1223" spans="1:27" hidden="1" x14ac:dyDescent="0.25">
      <c r="A1223" t="s">
        <v>98</v>
      </c>
      <c r="B1223" t="s">
        <v>1548</v>
      </c>
      <c r="D1223" t="s">
        <v>100</v>
      </c>
      <c r="E1223" t="s">
        <v>142</v>
      </c>
      <c r="F1223" t="s">
        <v>202</v>
      </c>
      <c r="G1223" t="s">
        <v>103</v>
      </c>
      <c r="H1223" t="s">
        <v>104</v>
      </c>
      <c r="I1223">
        <v>2023</v>
      </c>
      <c r="J1223" t="s">
        <v>203</v>
      </c>
      <c r="K1223" t="s">
        <v>106</v>
      </c>
      <c r="L1223" t="s">
        <v>1561</v>
      </c>
      <c r="M1223" t="s">
        <v>1588</v>
      </c>
      <c r="N1223">
        <v>1</v>
      </c>
      <c r="O1223">
        <v>2023</v>
      </c>
      <c r="P1223">
        <v>138.8714501735173</v>
      </c>
      <c r="Q1223">
        <v>4.2000145906136934</v>
      </c>
      <c r="R1223" t="s">
        <v>109</v>
      </c>
      <c r="S1223">
        <v>3.5756154747948421</v>
      </c>
      <c r="T1223" t="s">
        <v>110</v>
      </c>
      <c r="U1223">
        <v>3.5756154747948421</v>
      </c>
      <c r="V1223">
        <v>473.84917024720039</v>
      </c>
      <c r="W1223">
        <v>14.33104807576899</v>
      </c>
      <c r="X1223" t="s">
        <v>111</v>
      </c>
      <c r="Y1223">
        <v>21</v>
      </c>
      <c r="Z1223">
        <v>0.21443134850376791</v>
      </c>
      <c r="AA1223">
        <v>31.536000000000001</v>
      </c>
    </row>
    <row r="1224" spans="1:27" hidden="1" x14ac:dyDescent="0.25">
      <c r="A1224" t="s">
        <v>98</v>
      </c>
      <c r="B1224" t="s">
        <v>1548</v>
      </c>
      <c r="D1224" t="s">
        <v>100</v>
      </c>
      <c r="E1224" t="s">
        <v>142</v>
      </c>
      <c r="F1224" t="s">
        <v>202</v>
      </c>
      <c r="G1224" t="s">
        <v>112</v>
      </c>
      <c r="H1224" t="s">
        <v>104</v>
      </c>
      <c r="I1224">
        <v>2022</v>
      </c>
      <c r="J1224" t="s">
        <v>205</v>
      </c>
      <c r="K1224" t="s">
        <v>106</v>
      </c>
      <c r="L1224" t="s">
        <v>1561</v>
      </c>
      <c r="M1224" t="s">
        <v>1589</v>
      </c>
      <c r="N1224">
        <v>1</v>
      </c>
      <c r="O1224">
        <v>2020</v>
      </c>
      <c r="P1224">
        <v>201.87166903272271</v>
      </c>
      <c r="Q1224">
        <v>4.2000145906136934</v>
      </c>
      <c r="R1224" t="s">
        <v>109</v>
      </c>
      <c r="S1224">
        <v>3.7514654161781951</v>
      </c>
      <c r="T1224" t="s">
        <v>110</v>
      </c>
      <c r="U1224">
        <v>3.7514654161781951</v>
      </c>
      <c r="V1224">
        <v>688.81489138373513</v>
      </c>
      <c r="W1224">
        <v>14.33104807576899</v>
      </c>
      <c r="X1224" t="s">
        <v>111</v>
      </c>
      <c r="Y1224">
        <v>21</v>
      </c>
      <c r="Z1224">
        <v>0.21443134850376791</v>
      </c>
      <c r="AA1224">
        <v>31.536000000000001</v>
      </c>
    </row>
    <row r="1225" spans="1:27" hidden="1" x14ac:dyDescent="0.25">
      <c r="A1225" t="s">
        <v>98</v>
      </c>
      <c r="B1225" t="s">
        <v>1548</v>
      </c>
      <c r="D1225" t="s">
        <v>100</v>
      </c>
      <c r="E1225" t="s">
        <v>142</v>
      </c>
      <c r="F1225" t="s">
        <v>207</v>
      </c>
      <c r="G1225" t="s">
        <v>103</v>
      </c>
      <c r="H1225" t="s">
        <v>104</v>
      </c>
      <c r="I1225">
        <v>2030</v>
      </c>
      <c r="J1225" t="s">
        <v>208</v>
      </c>
      <c r="K1225" t="s">
        <v>106</v>
      </c>
      <c r="L1225" t="s">
        <v>1561</v>
      </c>
      <c r="M1225" t="s">
        <v>1590</v>
      </c>
      <c r="N1225">
        <v>0</v>
      </c>
      <c r="O1225">
        <v>2030</v>
      </c>
      <c r="P1225">
        <v>74.322838838509583</v>
      </c>
      <c r="Q1225">
        <v>1.219359074694298E-2</v>
      </c>
      <c r="R1225" t="s">
        <v>109</v>
      </c>
      <c r="S1225">
        <v>3.5902696365767879</v>
      </c>
      <c r="T1225" t="s">
        <v>110</v>
      </c>
      <c r="U1225">
        <v>3.5902696365767879</v>
      </c>
      <c r="V1225">
        <v>253.60011341452949</v>
      </c>
      <c r="W1225">
        <v>4.1606268607071263E-2</v>
      </c>
      <c r="X1225" t="s">
        <v>111</v>
      </c>
      <c r="Y1225">
        <v>9.5</v>
      </c>
      <c r="Z1225">
        <v>0.21443134850376791</v>
      </c>
      <c r="AA1225">
        <v>31.536000000000001</v>
      </c>
    </row>
    <row r="1226" spans="1:27" hidden="1" x14ac:dyDescent="0.25">
      <c r="A1226" t="s">
        <v>98</v>
      </c>
      <c r="B1226" t="s">
        <v>1548</v>
      </c>
      <c r="D1226" t="s">
        <v>100</v>
      </c>
      <c r="E1226" t="s">
        <v>142</v>
      </c>
      <c r="F1226" t="s">
        <v>207</v>
      </c>
      <c r="G1226" t="s">
        <v>112</v>
      </c>
      <c r="H1226" t="s">
        <v>104</v>
      </c>
      <c r="I1226">
        <v>2030</v>
      </c>
      <c r="J1226" t="s">
        <v>210</v>
      </c>
      <c r="K1226" t="s">
        <v>106</v>
      </c>
      <c r="L1226" t="s">
        <v>1561</v>
      </c>
      <c r="M1226" t="s">
        <v>1591</v>
      </c>
      <c r="N1226">
        <v>0</v>
      </c>
      <c r="O1226">
        <v>2030</v>
      </c>
      <c r="P1226">
        <v>81.871252158045721</v>
      </c>
      <c r="Q1226">
        <v>1.219359074694298E-2</v>
      </c>
      <c r="R1226" t="s">
        <v>109</v>
      </c>
      <c r="S1226">
        <v>3.8100820633059791</v>
      </c>
      <c r="T1226" t="s">
        <v>110</v>
      </c>
      <c r="U1226">
        <v>3.8100820633059791</v>
      </c>
      <c r="V1226">
        <v>279.35637493319268</v>
      </c>
      <c r="W1226">
        <v>4.1606268607071263E-2</v>
      </c>
      <c r="X1226" t="s">
        <v>111</v>
      </c>
      <c r="Y1226">
        <v>9.5</v>
      </c>
      <c r="Z1226">
        <v>0.21443134850376791</v>
      </c>
      <c r="AA1226">
        <v>31.536000000000001</v>
      </c>
    </row>
    <row r="1227" spans="1:27" hidden="1" x14ac:dyDescent="0.25">
      <c r="A1227" t="s">
        <v>98</v>
      </c>
      <c r="B1227" t="s">
        <v>1548</v>
      </c>
      <c r="D1227" t="s">
        <v>100</v>
      </c>
      <c r="E1227" t="s">
        <v>142</v>
      </c>
      <c r="F1227" t="s">
        <v>207</v>
      </c>
      <c r="G1227" t="s">
        <v>103</v>
      </c>
      <c r="H1227" t="s">
        <v>104</v>
      </c>
      <c r="I1227">
        <v>2040</v>
      </c>
      <c r="J1227" t="s">
        <v>212</v>
      </c>
      <c r="K1227" t="s">
        <v>106</v>
      </c>
      <c r="L1227" t="s">
        <v>1561</v>
      </c>
      <c r="M1227" t="s">
        <v>1592</v>
      </c>
      <c r="N1227">
        <v>0</v>
      </c>
      <c r="O1227">
        <v>2040</v>
      </c>
      <c r="P1227">
        <v>74.322838838509583</v>
      </c>
      <c r="Q1227">
        <v>1.219359074694298E-2</v>
      </c>
      <c r="R1227" t="s">
        <v>109</v>
      </c>
      <c r="S1227">
        <v>3.6635404454865181</v>
      </c>
      <c r="T1227" t="s">
        <v>110</v>
      </c>
      <c r="U1227">
        <v>3.6635404454865181</v>
      </c>
      <c r="V1227">
        <v>253.60011341452949</v>
      </c>
      <c r="W1227">
        <v>4.1606268607071263E-2</v>
      </c>
      <c r="X1227" t="s">
        <v>111</v>
      </c>
      <c r="Y1227">
        <v>9.5</v>
      </c>
      <c r="Z1227">
        <v>0.21443134850376791</v>
      </c>
      <c r="AA1227">
        <v>31.536000000000001</v>
      </c>
    </row>
    <row r="1228" spans="1:27" hidden="1" x14ac:dyDescent="0.25">
      <c r="A1228" t="s">
        <v>98</v>
      </c>
      <c r="B1228" t="s">
        <v>1548</v>
      </c>
      <c r="D1228" t="s">
        <v>100</v>
      </c>
      <c r="E1228" t="s">
        <v>142</v>
      </c>
      <c r="F1228" t="s">
        <v>207</v>
      </c>
      <c r="G1228" t="s">
        <v>112</v>
      </c>
      <c r="H1228" t="s">
        <v>104</v>
      </c>
      <c r="I1228">
        <v>2040</v>
      </c>
      <c r="J1228" t="s">
        <v>214</v>
      </c>
      <c r="K1228" t="s">
        <v>106</v>
      </c>
      <c r="L1228" t="s">
        <v>1561</v>
      </c>
      <c r="M1228" t="s">
        <v>1593</v>
      </c>
      <c r="N1228">
        <v>0</v>
      </c>
      <c r="O1228">
        <v>2040</v>
      </c>
      <c r="P1228">
        <v>81.871252158045721</v>
      </c>
      <c r="Q1228">
        <v>1.219359074694298E-2</v>
      </c>
      <c r="R1228" t="s">
        <v>109</v>
      </c>
      <c r="S1228">
        <v>3.9566236811254401</v>
      </c>
      <c r="T1228" t="s">
        <v>110</v>
      </c>
      <c r="U1228">
        <v>3.9566236811254401</v>
      </c>
      <c r="V1228">
        <v>279.35637493319268</v>
      </c>
      <c r="W1228">
        <v>4.1606268607071263E-2</v>
      </c>
      <c r="X1228" t="s">
        <v>111</v>
      </c>
      <c r="Y1228">
        <v>9.5</v>
      </c>
      <c r="Z1228">
        <v>0.21443134850376791</v>
      </c>
      <c r="AA1228">
        <v>31.536000000000001</v>
      </c>
    </row>
    <row r="1229" spans="1:27" hidden="1" x14ac:dyDescent="0.25">
      <c r="A1229" t="s">
        <v>98</v>
      </c>
      <c r="B1229" t="s">
        <v>1548</v>
      </c>
      <c r="D1229" t="s">
        <v>100</v>
      </c>
      <c r="E1229" t="s">
        <v>142</v>
      </c>
      <c r="F1229" t="s">
        <v>207</v>
      </c>
      <c r="G1229" t="s">
        <v>112</v>
      </c>
      <c r="H1229" t="s">
        <v>104</v>
      </c>
      <c r="I1229">
        <v>2022</v>
      </c>
      <c r="J1229" t="s">
        <v>216</v>
      </c>
      <c r="K1229" t="s">
        <v>106</v>
      </c>
      <c r="L1229" t="s">
        <v>1561</v>
      </c>
      <c r="M1229" t="s">
        <v>1594</v>
      </c>
      <c r="N1229">
        <v>1</v>
      </c>
      <c r="O1229">
        <v>2020</v>
      </c>
      <c r="P1229">
        <v>81.871252158045721</v>
      </c>
      <c r="Q1229">
        <v>1.219359074694298E-2</v>
      </c>
      <c r="R1229" t="s">
        <v>109</v>
      </c>
      <c r="S1229">
        <v>3.6635404454865181</v>
      </c>
      <c r="T1229" t="s">
        <v>110</v>
      </c>
      <c r="U1229">
        <v>3.6635404454865181</v>
      </c>
      <c r="V1229">
        <v>279.35637493319268</v>
      </c>
      <c r="W1229">
        <v>4.1606268607071263E-2</v>
      </c>
      <c r="X1229" t="s">
        <v>111</v>
      </c>
      <c r="Y1229">
        <v>9.5</v>
      </c>
      <c r="Z1229">
        <v>0.21443134850376791</v>
      </c>
      <c r="AA1229">
        <v>31.536000000000001</v>
      </c>
    </row>
    <row r="1230" spans="1:27" hidden="1" x14ac:dyDescent="0.25">
      <c r="A1230" t="s">
        <v>98</v>
      </c>
      <c r="B1230" t="s">
        <v>1548</v>
      </c>
      <c r="D1230" t="s">
        <v>100</v>
      </c>
      <c r="E1230" t="s">
        <v>142</v>
      </c>
      <c r="F1230" t="s">
        <v>218</v>
      </c>
      <c r="G1230" t="s">
        <v>219</v>
      </c>
      <c r="H1230" t="s">
        <v>104</v>
      </c>
      <c r="I1230">
        <v>2023</v>
      </c>
      <c r="J1230" t="s">
        <v>220</v>
      </c>
      <c r="K1230" t="s">
        <v>106</v>
      </c>
      <c r="L1230" t="s">
        <v>1561</v>
      </c>
      <c r="M1230" t="s">
        <v>1595</v>
      </c>
      <c r="N1230">
        <v>0</v>
      </c>
      <c r="O1230">
        <v>2023</v>
      </c>
      <c r="P1230">
        <v>144.5166310748798</v>
      </c>
      <c r="Q1230">
        <v>2.6193639382321958</v>
      </c>
      <c r="R1230" t="s">
        <v>109</v>
      </c>
      <c r="S1230">
        <v>4.6893317702227444</v>
      </c>
      <c r="T1230" t="s">
        <v>110</v>
      </c>
      <c r="U1230">
        <v>4.6893317702227444</v>
      </c>
      <c r="V1230">
        <v>493.11133163936307</v>
      </c>
      <c r="W1230">
        <v>8.937642885963454</v>
      </c>
      <c r="X1230" t="s">
        <v>111</v>
      </c>
      <c r="Y1230">
        <v>18</v>
      </c>
      <c r="Z1230">
        <v>0.21443134850376791</v>
      </c>
      <c r="AA1230">
        <v>31.536000000000001</v>
      </c>
    </row>
    <row r="1231" spans="1:27" hidden="1" x14ac:dyDescent="0.25">
      <c r="A1231" t="s">
        <v>98</v>
      </c>
      <c r="B1231" t="s">
        <v>1548</v>
      </c>
      <c r="D1231" t="s">
        <v>100</v>
      </c>
      <c r="E1231" t="s">
        <v>142</v>
      </c>
      <c r="F1231" t="s">
        <v>218</v>
      </c>
      <c r="G1231" t="s">
        <v>112</v>
      </c>
      <c r="H1231" t="s">
        <v>104</v>
      </c>
      <c r="I1231">
        <v>2022</v>
      </c>
      <c r="J1231" t="s">
        <v>222</v>
      </c>
      <c r="K1231" t="s">
        <v>106</v>
      </c>
      <c r="L1231" t="s">
        <v>1561</v>
      </c>
      <c r="M1231" t="s">
        <v>1596</v>
      </c>
      <c r="N1231">
        <v>1</v>
      </c>
      <c r="O1231">
        <v>2020</v>
      </c>
      <c r="P1231">
        <v>157.50054714801351</v>
      </c>
      <c r="Q1231">
        <v>2.455653692092683</v>
      </c>
      <c r="R1231" t="s">
        <v>109</v>
      </c>
      <c r="S1231">
        <v>4.835873388042204</v>
      </c>
      <c r="T1231" t="s">
        <v>110</v>
      </c>
      <c r="U1231">
        <v>4.835873388042204</v>
      </c>
      <c r="V1231">
        <v>537.41430284133696</v>
      </c>
      <c r="W1231">
        <v>8.3790402055907389</v>
      </c>
      <c r="X1231" t="s">
        <v>111</v>
      </c>
      <c r="Y1231">
        <v>18</v>
      </c>
      <c r="Z1231">
        <v>0.21443134850376791</v>
      </c>
      <c r="AA1231">
        <v>31.536000000000001</v>
      </c>
    </row>
    <row r="1232" spans="1:27" hidden="1" x14ac:dyDescent="0.25">
      <c r="A1232" t="s">
        <v>98</v>
      </c>
      <c r="B1232" t="s">
        <v>1548</v>
      </c>
      <c r="D1232" t="s">
        <v>100</v>
      </c>
      <c r="E1232" t="s">
        <v>142</v>
      </c>
      <c r="F1232" t="s">
        <v>218</v>
      </c>
      <c r="G1232" t="s">
        <v>103</v>
      </c>
      <c r="H1232" t="s">
        <v>104</v>
      </c>
      <c r="I1232">
        <v>2023</v>
      </c>
      <c r="J1232" t="s">
        <v>224</v>
      </c>
      <c r="K1232" t="s">
        <v>106</v>
      </c>
      <c r="L1232" t="s">
        <v>1561</v>
      </c>
      <c r="M1232" t="s">
        <v>1597</v>
      </c>
      <c r="N1232">
        <v>0</v>
      </c>
      <c r="O1232">
        <v>2023</v>
      </c>
      <c r="P1232">
        <v>125.3230160102473</v>
      </c>
      <c r="Q1232">
        <v>2.455653692092683</v>
      </c>
      <c r="R1232" t="s">
        <v>109</v>
      </c>
      <c r="S1232">
        <v>4.2203985932004704</v>
      </c>
      <c r="T1232" t="s">
        <v>110</v>
      </c>
      <c r="U1232">
        <v>4.2203985932004704</v>
      </c>
      <c r="V1232">
        <v>427.61998290601008</v>
      </c>
      <c r="W1232">
        <v>8.3790402055907389</v>
      </c>
      <c r="X1232" t="s">
        <v>111</v>
      </c>
      <c r="Y1232">
        <v>18</v>
      </c>
      <c r="Z1232">
        <v>0.21443134850376791</v>
      </c>
      <c r="AA1232">
        <v>31.536000000000001</v>
      </c>
    </row>
    <row r="1233" spans="1:27" x14ac:dyDescent="0.25">
      <c r="A1233" t="s">
        <v>98</v>
      </c>
      <c r="B1233" t="s">
        <v>1548</v>
      </c>
      <c r="D1233" t="s">
        <v>100</v>
      </c>
      <c r="E1233" t="s">
        <v>226</v>
      </c>
      <c r="F1233" t="s">
        <v>227</v>
      </c>
      <c r="G1233" t="s">
        <v>228</v>
      </c>
      <c r="H1233" t="s">
        <v>104</v>
      </c>
      <c r="I1233">
        <v>2023</v>
      </c>
      <c r="J1233" t="s">
        <v>229</v>
      </c>
      <c r="K1233" t="s">
        <v>106</v>
      </c>
      <c r="L1233" t="s">
        <v>1598</v>
      </c>
      <c r="M1233" t="s">
        <v>1599</v>
      </c>
      <c r="N1233">
        <v>1</v>
      </c>
      <c r="O1233">
        <v>2023</v>
      </c>
      <c r="P1233">
        <v>351.48905933689161</v>
      </c>
      <c r="Q1233">
        <v>0.67078064758948786</v>
      </c>
      <c r="R1233" t="s">
        <v>109</v>
      </c>
      <c r="S1233">
        <v>2.7</v>
      </c>
      <c r="T1233" t="s">
        <v>110</v>
      </c>
      <c r="U1233">
        <v>2.7</v>
      </c>
      <c r="V1233">
        <v>1199.3307401172131</v>
      </c>
      <c r="W1233">
        <v>2.2887991223610928</v>
      </c>
      <c r="X1233" t="s">
        <v>111</v>
      </c>
      <c r="Y1233">
        <v>20</v>
      </c>
      <c r="Z1233">
        <v>0.44</v>
      </c>
      <c r="AA1233">
        <v>31.536000000000001</v>
      </c>
    </row>
    <row r="1234" spans="1:27" x14ac:dyDescent="0.25">
      <c r="A1234" t="s">
        <v>98</v>
      </c>
      <c r="B1234" t="s">
        <v>1548</v>
      </c>
      <c r="D1234" t="s">
        <v>100</v>
      </c>
      <c r="E1234" t="s">
        <v>226</v>
      </c>
      <c r="F1234" t="s">
        <v>227</v>
      </c>
      <c r="G1234" t="s">
        <v>228</v>
      </c>
      <c r="H1234" t="s">
        <v>104</v>
      </c>
      <c r="I1234">
        <v>2024</v>
      </c>
      <c r="J1234" t="s">
        <v>232</v>
      </c>
      <c r="K1234" t="s">
        <v>106</v>
      </c>
      <c r="L1234" t="s">
        <v>1598</v>
      </c>
      <c r="M1234" t="s">
        <v>1600</v>
      </c>
      <c r="N1234">
        <v>1</v>
      </c>
      <c r="O1234">
        <v>2024</v>
      </c>
      <c r="P1234">
        <v>351.48905933689161</v>
      </c>
      <c r="Q1234">
        <v>0.67078064758948786</v>
      </c>
      <c r="R1234" t="s">
        <v>109</v>
      </c>
      <c r="S1234">
        <v>2.7</v>
      </c>
      <c r="T1234" t="s">
        <v>110</v>
      </c>
      <c r="U1234">
        <v>2.7</v>
      </c>
      <c r="V1234">
        <v>1199.3307401172131</v>
      </c>
      <c r="W1234">
        <v>2.2887991223610928</v>
      </c>
      <c r="X1234" t="s">
        <v>111</v>
      </c>
      <c r="Y1234">
        <v>20</v>
      </c>
      <c r="Z1234">
        <v>0.44</v>
      </c>
      <c r="AA1234">
        <v>31.536000000000001</v>
      </c>
    </row>
    <row r="1235" spans="1:27" x14ac:dyDescent="0.25">
      <c r="A1235" t="s">
        <v>98</v>
      </c>
      <c r="B1235" t="s">
        <v>1548</v>
      </c>
      <c r="D1235" t="s">
        <v>100</v>
      </c>
      <c r="E1235" t="s">
        <v>226</v>
      </c>
      <c r="F1235" t="s">
        <v>227</v>
      </c>
      <c r="G1235" t="s">
        <v>228</v>
      </c>
      <c r="H1235" t="s">
        <v>104</v>
      </c>
      <c r="I1235">
        <v>2025</v>
      </c>
      <c r="J1235" t="s">
        <v>234</v>
      </c>
      <c r="K1235" t="s">
        <v>106</v>
      </c>
      <c r="L1235" t="s">
        <v>1598</v>
      </c>
      <c r="M1235" t="s">
        <v>1601</v>
      </c>
      <c r="N1235">
        <v>1</v>
      </c>
      <c r="O1235">
        <v>2025</v>
      </c>
      <c r="P1235">
        <v>351.48905933689161</v>
      </c>
      <c r="Q1235">
        <v>0.67078064758948786</v>
      </c>
      <c r="R1235" t="s">
        <v>109</v>
      </c>
      <c r="S1235">
        <v>2.7</v>
      </c>
      <c r="T1235" t="s">
        <v>110</v>
      </c>
      <c r="U1235">
        <v>2.7</v>
      </c>
      <c r="V1235">
        <v>1199.3307401172131</v>
      </c>
      <c r="W1235">
        <v>2.2887991223610928</v>
      </c>
      <c r="X1235" t="s">
        <v>111</v>
      </c>
      <c r="Y1235">
        <v>20</v>
      </c>
      <c r="Z1235">
        <v>0.44</v>
      </c>
      <c r="AA1235">
        <v>31.536000000000001</v>
      </c>
    </row>
    <row r="1236" spans="1:27" x14ac:dyDescent="0.25">
      <c r="A1236" t="s">
        <v>98</v>
      </c>
      <c r="B1236" t="s">
        <v>1548</v>
      </c>
      <c r="D1236" t="s">
        <v>100</v>
      </c>
      <c r="E1236" t="s">
        <v>226</v>
      </c>
      <c r="F1236" t="s">
        <v>227</v>
      </c>
      <c r="G1236" t="s">
        <v>228</v>
      </c>
      <c r="H1236" t="s">
        <v>104</v>
      </c>
      <c r="I1236">
        <v>2026</v>
      </c>
      <c r="J1236" t="s">
        <v>236</v>
      </c>
      <c r="K1236" t="s">
        <v>106</v>
      </c>
      <c r="L1236" t="s">
        <v>1598</v>
      </c>
      <c r="M1236" t="s">
        <v>1602</v>
      </c>
      <c r="N1236">
        <v>1</v>
      </c>
      <c r="O1236">
        <v>2026</v>
      </c>
      <c r="P1236">
        <v>351.48905933689161</v>
      </c>
      <c r="Q1236">
        <v>0.67078064758948786</v>
      </c>
      <c r="R1236" t="s">
        <v>109</v>
      </c>
      <c r="S1236">
        <v>2.7</v>
      </c>
      <c r="T1236" t="s">
        <v>110</v>
      </c>
      <c r="U1236">
        <v>2.7</v>
      </c>
      <c r="V1236">
        <v>1199.3307401172131</v>
      </c>
      <c r="W1236">
        <v>2.2887991223610928</v>
      </c>
      <c r="X1236" t="s">
        <v>111</v>
      </c>
      <c r="Y1236">
        <v>20</v>
      </c>
      <c r="Z1236">
        <v>0.44</v>
      </c>
      <c r="AA1236">
        <v>31.536000000000001</v>
      </c>
    </row>
    <row r="1237" spans="1:27" x14ac:dyDescent="0.25">
      <c r="A1237" t="s">
        <v>98</v>
      </c>
      <c r="B1237" t="s">
        <v>1548</v>
      </c>
      <c r="D1237" t="s">
        <v>100</v>
      </c>
      <c r="E1237" t="s">
        <v>226</v>
      </c>
      <c r="F1237" t="s">
        <v>227</v>
      </c>
      <c r="G1237" t="s">
        <v>228</v>
      </c>
      <c r="H1237" t="s">
        <v>104</v>
      </c>
      <c r="I1237">
        <v>2027</v>
      </c>
      <c r="J1237" t="s">
        <v>238</v>
      </c>
      <c r="K1237" t="s">
        <v>106</v>
      </c>
      <c r="L1237" t="s">
        <v>1598</v>
      </c>
      <c r="M1237" t="s">
        <v>1603</v>
      </c>
      <c r="N1237">
        <v>1</v>
      </c>
      <c r="O1237">
        <v>2027</v>
      </c>
      <c r="P1237">
        <v>351.48905933689161</v>
      </c>
      <c r="Q1237">
        <v>0.67078064758948786</v>
      </c>
      <c r="R1237" t="s">
        <v>109</v>
      </c>
      <c r="S1237">
        <v>2.7</v>
      </c>
      <c r="T1237" t="s">
        <v>110</v>
      </c>
      <c r="U1237">
        <v>2.7</v>
      </c>
      <c r="V1237">
        <v>1199.3307401172131</v>
      </c>
      <c r="W1237">
        <v>2.2887991223610928</v>
      </c>
      <c r="X1237" t="s">
        <v>111</v>
      </c>
      <c r="Y1237">
        <v>20</v>
      </c>
      <c r="Z1237">
        <v>0.44</v>
      </c>
      <c r="AA1237">
        <v>31.536000000000001</v>
      </c>
    </row>
    <row r="1238" spans="1:27" x14ac:dyDescent="0.25">
      <c r="A1238" t="s">
        <v>98</v>
      </c>
      <c r="B1238" t="s">
        <v>1548</v>
      </c>
      <c r="D1238" t="s">
        <v>100</v>
      </c>
      <c r="E1238" t="s">
        <v>226</v>
      </c>
      <c r="F1238" t="s">
        <v>240</v>
      </c>
      <c r="G1238" t="s">
        <v>103</v>
      </c>
      <c r="H1238" t="s">
        <v>104</v>
      </c>
      <c r="I1238">
        <v>2022</v>
      </c>
      <c r="J1238" t="s">
        <v>241</v>
      </c>
      <c r="K1238" t="s">
        <v>106</v>
      </c>
      <c r="L1238" t="s">
        <v>1598</v>
      </c>
      <c r="M1238" t="s">
        <v>1604</v>
      </c>
      <c r="N1238">
        <v>1</v>
      </c>
      <c r="O1238">
        <v>2020</v>
      </c>
      <c r="P1238">
        <v>364.1638033744108</v>
      </c>
      <c r="Q1238">
        <v>0.71474740603417231</v>
      </c>
      <c r="R1238" t="s">
        <v>109</v>
      </c>
      <c r="S1238">
        <v>3.9</v>
      </c>
      <c r="T1238" t="s">
        <v>110</v>
      </c>
      <c r="U1238">
        <v>3.9</v>
      </c>
      <c r="V1238">
        <v>1242.578772292075</v>
      </c>
      <c r="W1238">
        <v>2.4388199652445048</v>
      </c>
      <c r="X1238" t="s">
        <v>111</v>
      </c>
      <c r="Y1238">
        <v>15</v>
      </c>
      <c r="Z1238">
        <v>0.44</v>
      </c>
      <c r="AA1238">
        <v>31.536000000000001</v>
      </c>
    </row>
    <row r="1239" spans="1:27" hidden="1" x14ac:dyDescent="0.25">
      <c r="A1239" t="s">
        <v>98</v>
      </c>
      <c r="B1239" t="s">
        <v>1548</v>
      </c>
      <c r="D1239" t="s">
        <v>100</v>
      </c>
      <c r="E1239" t="s">
        <v>243</v>
      </c>
      <c r="F1239" t="s">
        <v>244</v>
      </c>
      <c r="G1239" t="s">
        <v>245</v>
      </c>
      <c r="H1239" t="s">
        <v>104</v>
      </c>
      <c r="I1239">
        <v>2022</v>
      </c>
      <c r="J1239" t="s">
        <v>246</v>
      </c>
      <c r="K1239" t="s">
        <v>106</v>
      </c>
      <c r="L1239" t="s">
        <v>1605</v>
      </c>
      <c r="M1239" t="s">
        <v>1606</v>
      </c>
      <c r="N1239">
        <v>1</v>
      </c>
      <c r="O1239">
        <v>2020</v>
      </c>
      <c r="P1239">
        <v>5418.3180362120765</v>
      </c>
      <c r="Q1239">
        <v>63.780978532496562</v>
      </c>
      <c r="R1239" t="s">
        <v>249</v>
      </c>
      <c r="S1239">
        <v>0.41325750353930962</v>
      </c>
      <c r="T1239" t="s">
        <v>250</v>
      </c>
      <c r="U1239">
        <v>1</v>
      </c>
      <c r="V1239">
        <v>7640.3348848129563</v>
      </c>
      <c r="W1239">
        <v>89.937141380872987</v>
      </c>
      <c r="X1239" t="s">
        <v>111</v>
      </c>
      <c r="Y1239">
        <v>20</v>
      </c>
      <c r="Z1239">
        <v>0.44</v>
      </c>
      <c r="AA1239">
        <v>31.536000000000001</v>
      </c>
    </row>
    <row r="1240" spans="1:27" hidden="1" x14ac:dyDescent="0.25">
      <c r="A1240" t="s">
        <v>98</v>
      </c>
      <c r="B1240" t="s">
        <v>1548</v>
      </c>
      <c r="D1240" t="s">
        <v>100</v>
      </c>
      <c r="E1240" t="s">
        <v>243</v>
      </c>
      <c r="F1240" t="s">
        <v>244</v>
      </c>
      <c r="G1240" t="s">
        <v>103</v>
      </c>
      <c r="H1240" t="s">
        <v>104</v>
      </c>
      <c r="I1240">
        <v>2022</v>
      </c>
      <c r="J1240" t="s">
        <v>251</v>
      </c>
      <c r="K1240" t="s">
        <v>106</v>
      </c>
      <c r="L1240" t="s">
        <v>1605</v>
      </c>
      <c r="M1240" t="s">
        <v>1607</v>
      </c>
      <c r="N1240">
        <v>1</v>
      </c>
      <c r="O1240">
        <v>2020</v>
      </c>
      <c r="P1240">
        <v>5667.3116722418044</v>
      </c>
      <c r="Q1240">
        <v>63.780978532496562</v>
      </c>
      <c r="R1240" t="s">
        <v>249</v>
      </c>
      <c r="S1240">
        <v>0.43508713487380868</v>
      </c>
      <c r="T1240" t="s">
        <v>250</v>
      </c>
      <c r="U1240">
        <v>1.052823315118397</v>
      </c>
      <c r="V1240">
        <v>7991.4391852139524</v>
      </c>
      <c r="W1240">
        <v>89.937141380873001</v>
      </c>
      <c r="X1240" t="s">
        <v>111</v>
      </c>
      <c r="Y1240">
        <v>20</v>
      </c>
      <c r="Z1240">
        <v>0.44</v>
      </c>
      <c r="AA1240">
        <v>31.536000000000001</v>
      </c>
    </row>
    <row r="1241" spans="1:27" hidden="1" x14ac:dyDescent="0.25">
      <c r="A1241" t="s">
        <v>98</v>
      </c>
      <c r="B1241" t="s">
        <v>1548</v>
      </c>
      <c r="D1241" t="s">
        <v>100</v>
      </c>
      <c r="E1241" t="s">
        <v>243</v>
      </c>
      <c r="F1241" t="s">
        <v>244</v>
      </c>
      <c r="G1241" t="s">
        <v>112</v>
      </c>
      <c r="H1241" t="s">
        <v>104</v>
      </c>
      <c r="I1241">
        <v>2022</v>
      </c>
      <c r="J1241" t="s">
        <v>253</v>
      </c>
      <c r="K1241" t="s">
        <v>106</v>
      </c>
      <c r="L1241" t="s">
        <v>1605</v>
      </c>
      <c r="M1241" t="s">
        <v>1608</v>
      </c>
      <c r="N1241">
        <v>1</v>
      </c>
      <c r="O1241">
        <v>2020</v>
      </c>
      <c r="P1241">
        <v>5911.8706390075113</v>
      </c>
      <c r="Q1241">
        <v>63.780978532496562</v>
      </c>
      <c r="R1241" t="s">
        <v>249</v>
      </c>
      <c r="S1241">
        <v>0.44315925240393511</v>
      </c>
      <c r="T1241" t="s">
        <v>250</v>
      </c>
      <c r="U1241">
        <v>1.0723562152133581</v>
      </c>
      <c r="V1241">
        <v>8336.2901874412255</v>
      </c>
      <c r="W1241">
        <v>89.937141380873001</v>
      </c>
      <c r="X1241" t="s">
        <v>111</v>
      </c>
      <c r="Y1241">
        <v>20</v>
      </c>
      <c r="Z1241">
        <v>0.44</v>
      </c>
      <c r="AA1241">
        <v>31.536000000000001</v>
      </c>
    </row>
    <row r="1242" spans="1:27" hidden="1" x14ac:dyDescent="0.25">
      <c r="A1242" t="s">
        <v>98</v>
      </c>
      <c r="B1242" t="s">
        <v>1548</v>
      </c>
      <c r="D1242" t="s">
        <v>100</v>
      </c>
      <c r="E1242" t="s">
        <v>243</v>
      </c>
      <c r="F1242" t="s">
        <v>244</v>
      </c>
      <c r="G1242" t="s">
        <v>103</v>
      </c>
      <c r="H1242" t="s">
        <v>104</v>
      </c>
      <c r="I1242">
        <v>2030</v>
      </c>
      <c r="J1242" t="s">
        <v>255</v>
      </c>
      <c r="K1242" t="s">
        <v>106</v>
      </c>
      <c r="L1242" t="s">
        <v>1605</v>
      </c>
      <c r="M1242" t="s">
        <v>1609</v>
      </c>
      <c r="N1242">
        <v>1</v>
      </c>
      <c r="O1242">
        <v>2030</v>
      </c>
      <c r="P1242">
        <v>5667.3116722418044</v>
      </c>
      <c r="Q1242">
        <v>63.780978532496562</v>
      </c>
      <c r="R1242" t="s">
        <v>249</v>
      </c>
      <c r="S1242">
        <v>0.43508713487380868</v>
      </c>
      <c r="T1242" t="s">
        <v>250</v>
      </c>
      <c r="U1242">
        <v>1.052823315118397</v>
      </c>
      <c r="V1242">
        <v>7991.4391852139524</v>
      </c>
      <c r="W1242">
        <v>89.937141380873001</v>
      </c>
      <c r="X1242" t="s">
        <v>111</v>
      </c>
      <c r="Y1242">
        <v>20</v>
      </c>
      <c r="Z1242">
        <v>0.44</v>
      </c>
      <c r="AA1242">
        <v>31.536000000000001</v>
      </c>
    </row>
    <row r="1243" spans="1:27" hidden="1" x14ac:dyDescent="0.25">
      <c r="A1243" t="s">
        <v>98</v>
      </c>
      <c r="B1243" t="s">
        <v>1548</v>
      </c>
      <c r="D1243" t="s">
        <v>100</v>
      </c>
      <c r="E1243" t="s">
        <v>243</v>
      </c>
      <c r="F1243" t="s">
        <v>244</v>
      </c>
      <c r="G1243" t="s">
        <v>112</v>
      </c>
      <c r="H1243" t="s">
        <v>104</v>
      </c>
      <c r="I1243">
        <v>2030</v>
      </c>
      <c r="J1243" t="s">
        <v>257</v>
      </c>
      <c r="K1243" t="s">
        <v>106</v>
      </c>
      <c r="L1243" t="s">
        <v>1605</v>
      </c>
      <c r="M1243" t="s">
        <v>1610</v>
      </c>
      <c r="N1243">
        <v>1</v>
      </c>
      <c r="O1243">
        <v>2030</v>
      </c>
      <c r="P1243">
        <v>5911.8706390075113</v>
      </c>
      <c r="Q1243">
        <v>63.780978532496562</v>
      </c>
      <c r="R1243" t="s">
        <v>249</v>
      </c>
      <c r="S1243">
        <v>0.44315925240393511</v>
      </c>
      <c r="T1243" t="s">
        <v>250</v>
      </c>
      <c r="U1243">
        <v>1.0723562152133581</v>
      </c>
      <c r="V1243">
        <v>8336.2901874412255</v>
      </c>
      <c r="W1243">
        <v>89.937141380873001</v>
      </c>
      <c r="X1243" t="s">
        <v>111</v>
      </c>
      <c r="Y1243">
        <v>20</v>
      </c>
      <c r="Z1243">
        <v>0.44</v>
      </c>
      <c r="AA1243">
        <v>31.536000000000001</v>
      </c>
    </row>
    <row r="1244" spans="1:27" hidden="1" x14ac:dyDescent="0.25">
      <c r="A1244" t="s">
        <v>98</v>
      </c>
      <c r="B1244" t="s">
        <v>1548</v>
      </c>
      <c r="D1244" t="s">
        <v>100</v>
      </c>
      <c r="E1244" t="s">
        <v>243</v>
      </c>
      <c r="F1244" t="s">
        <v>244</v>
      </c>
      <c r="G1244" t="s">
        <v>103</v>
      </c>
      <c r="H1244" t="s">
        <v>104</v>
      </c>
      <c r="I1244">
        <v>2040</v>
      </c>
      <c r="J1244" t="s">
        <v>259</v>
      </c>
      <c r="K1244" t="s">
        <v>106</v>
      </c>
      <c r="L1244" t="s">
        <v>1605</v>
      </c>
      <c r="M1244" t="s">
        <v>1611</v>
      </c>
      <c r="N1244">
        <v>1</v>
      </c>
      <c r="O1244">
        <v>2040</v>
      </c>
      <c r="P1244">
        <v>5667.3116722418044</v>
      </c>
      <c r="Q1244">
        <v>63.780978532496562</v>
      </c>
      <c r="R1244" t="s">
        <v>249</v>
      </c>
      <c r="S1244">
        <v>0.43508713487380868</v>
      </c>
      <c r="T1244" t="s">
        <v>250</v>
      </c>
      <c r="U1244">
        <v>1.052823315118397</v>
      </c>
      <c r="V1244">
        <v>7991.4391852139524</v>
      </c>
      <c r="W1244">
        <v>89.937141380873001</v>
      </c>
      <c r="X1244" t="s">
        <v>111</v>
      </c>
      <c r="Y1244">
        <v>20</v>
      </c>
      <c r="Z1244">
        <v>0.44</v>
      </c>
      <c r="AA1244">
        <v>31.536000000000001</v>
      </c>
    </row>
    <row r="1245" spans="1:27" hidden="1" x14ac:dyDescent="0.25">
      <c r="A1245" t="s">
        <v>98</v>
      </c>
      <c r="B1245" t="s">
        <v>1548</v>
      </c>
      <c r="D1245" t="s">
        <v>100</v>
      </c>
      <c r="E1245" t="s">
        <v>243</v>
      </c>
      <c r="F1245" t="s">
        <v>244</v>
      </c>
      <c r="G1245" t="s">
        <v>112</v>
      </c>
      <c r="H1245" t="s">
        <v>104</v>
      </c>
      <c r="I1245">
        <v>2040</v>
      </c>
      <c r="J1245" t="s">
        <v>261</v>
      </c>
      <c r="K1245" t="s">
        <v>106</v>
      </c>
      <c r="L1245" t="s">
        <v>1605</v>
      </c>
      <c r="M1245" t="s">
        <v>1612</v>
      </c>
      <c r="N1245">
        <v>1</v>
      </c>
      <c r="O1245">
        <v>2040</v>
      </c>
      <c r="P1245">
        <v>5911.8706390075113</v>
      </c>
      <c r="Q1245">
        <v>63.780978532496562</v>
      </c>
      <c r="R1245" t="s">
        <v>249</v>
      </c>
      <c r="S1245">
        <v>0.44315925240393511</v>
      </c>
      <c r="T1245" t="s">
        <v>250</v>
      </c>
      <c r="U1245">
        <v>1.0723562152133581</v>
      </c>
      <c r="V1245">
        <v>8336.2901874412255</v>
      </c>
      <c r="W1245">
        <v>89.937141380873001</v>
      </c>
      <c r="X1245" t="s">
        <v>111</v>
      </c>
      <c r="Y1245">
        <v>20</v>
      </c>
      <c r="Z1245">
        <v>0.44</v>
      </c>
      <c r="AA1245">
        <v>31.536000000000001</v>
      </c>
    </row>
    <row r="1246" spans="1:27" hidden="1" x14ac:dyDescent="0.25">
      <c r="A1246" t="s">
        <v>98</v>
      </c>
      <c r="B1246" t="s">
        <v>1548</v>
      </c>
      <c r="D1246" t="s">
        <v>100</v>
      </c>
      <c r="E1246" t="s">
        <v>243</v>
      </c>
      <c r="F1246" t="s">
        <v>244</v>
      </c>
      <c r="G1246" t="s">
        <v>103</v>
      </c>
      <c r="H1246" t="s">
        <v>104</v>
      </c>
      <c r="I1246">
        <v>2050</v>
      </c>
      <c r="J1246" t="s">
        <v>263</v>
      </c>
      <c r="K1246" t="s">
        <v>106</v>
      </c>
      <c r="L1246" t="s">
        <v>1605</v>
      </c>
      <c r="M1246" t="s">
        <v>1613</v>
      </c>
      <c r="N1246">
        <v>1</v>
      </c>
      <c r="O1246">
        <v>2050</v>
      </c>
      <c r="P1246">
        <v>5667.3116722418044</v>
      </c>
      <c r="Q1246">
        <v>63.780978532496562</v>
      </c>
      <c r="R1246" t="s">
        <v>249</v>
      </c>
      <c r="S1246">
        <v>0.43508713487380868</v>
      </c>
      <c r="T1246" t="s">
        <v>250</v>
      </c>
      <c r="U1246">
        <v>1.052823315118397</v>
      </c>
      <c r="V1246">
        <v>7991.4391852139524</v>
      </c>
      <c r="W1246">
        <v>89.937141380873001</v>
      </c>
      <c r="X1246" t="s">
        <v>111</v>
      </c>
      <c r="Y1246">
        <v>20</v>
      </c>
      <c r="Z1246">
        <v>0.44</v>
      </c>
      <c r="AA1246">
        <v>31.536000000000001</v>
      </c>
    </row>
    <row r="1247" spans="1:27" hidden="1" x14ac:dyDescent="0.25">
      <c r="A1247" t="s">
        <v>98</v>
      </c>
      <c r="B1247" t="s">
        <v>1548</v>
      </c>
      <c r="D1247" t="s">
        <v>100</v>
      </c>
      <c r="E1247" t="s">
        <v>243</v>
      </c>
      <c r="F1247" t="s">
        <v>244</v>
      </c>
      <c r="G1247" t="s">
        <v>112</v>
      </c>
      <c r="H1247" t="s">
        <v>104</v>
      </c>
      <c r="I1247">
        <v>2050</v>
      </c>
      <c r="J1247" t="s">
        <v>265</v>
      </c>
      <c r="K1247" t="s">
        <v>106</v>
      </c>
      <c r="L1247" t="s">
        <v>1605</v>
      </c>
      <c r="M1247" t="s">
        <v>1614</v>
      </c>
      <c r="N1247">
        <v>1</v>
      </c>
      <c r="O1247">
        <v>2050</v>
      </c>
      <c r="P1247">
        <v>5911.8706390075113</v>
      </c>
      <c r="Q1247">
        <v>63.780978532496562</v>
      </c>
      <c r="R1247" t="s">
        <v>249</v>
      </c>
      <c r="S1247">
        <v>0.44315925240393511</v>
      </c>
      <c r="T1247" t="s">
        <v>250</v>
      </c>
      <c r="U1247">
        <v>1.0723562152133581</v>
      </c>
      <c r="V1247">
        <v>8336.2901874412255</v>
      </c>
      <c r="W1247">
        <v>89.937141380873001</v>
      </c>
      <c r="X1247" t="s">
        <v>111</v>
      </c>
      <c r="Y1247">
        <v>20</v>
      </c>
      <c r="Z1247">
        <v>0.44</v>
      </c>
      <c r="AA1247">
        <v>31.536000000000001</v>
      </c>
    </row>
    <row r="1248" spans="1:27" hidden="1" x14ac:dyDescent="0.25">
      <c r="A1248" t="s">
        <v>98</v>
      </c>
      <c r="B1248" t="s">
        <v>1548</v>
      </c>
      <c r="D1248" t="s">
        <v>100</v>
      </c>
      <c r="E1248" t="s">
        <v>243</v>
      </c>
      <c r="F1248" t="s">
        <v>267</v>
      </c>
      <c r="G1248" t="s">
        <v>245</v>
      </c>
      <c r="H1248" t="s">
        <v>104</v>
      </c>
      <c r="I1248">
        <v>2022</v>
      </c>
      <c r="J1248" t="s">
        <v>268</v>
      </c>
      <c r="K1248" t="s">
        <v>106</v>
      </c>
      <c r="L1248" t="s">
        <v>1605</v>
      </c>
      <c r="M1248" t="s">
        <v>1615</v>
      </c>
      <c r="N1248">
        <v>1</v>
      </c>
      <c r="O1248">
        <v>2020</v>
      </c>
      <c r="P1248">
        <v>7748.5410872802086</v>
      </c>
      <c r="Q1248">
        <v>68.755259026523561</v>
      </c>
      <c r="R1248" t="s">
        <v>249</v>
      </c>
      <c r="S1248">
        <v>0.29876527460377861</v>
      </c>
      <c r="T1248" t="s">
        <v>250</v>
      </c>
      <c r="U1248">
        <v>0.72295184490306452</v>
      </c>
      <c r="V1248">
        <v>10926.167194301681</v>
      </c>
      <c r="W1248">
        <v>96.951341826723592</v>
      </c>
      <c r="X1248" t="s">
        <v>111</v>
      </c>
      <c r="Y1248">
        <v>20</v>
      </c>
      <c r="Z1248">
        <v>0.44</v>
      </c>
      <c r="AA1248">
        <v>31.536000000000001</v>
      </c>
    </row>
    <row r="1249" spans="1:27" hidden="1" x14ac:dyDescent="0.25">
      <c r="A1249" t="s">
        <v>98</v>
      </c>
      <c r="B1249" t="s">
        <v>1548</v>
      </c>
      <c r="D1249" t="s">
        <v>100</v>
      </c>
      <c r="E1249" t="s">
        <v>243</v>
      </c>
      <c r="F1249" t="s">
        <v>267</v>
      </c>
      <c r="G1249" t="s">
        <v>112</v>
      </c>
      <c r="H1249" t="s">
        <v>104</v>
      </c>
      <c r="I1249">
        <v>2022</v>
      </c>
      <c r="J1249" t="s">
        <v>270</v>
      </c>
      <c r="K1249" t="s">
        <v>106</v>
      </c>
      <c r="L1249" t="s">
        <v>1605</v>
      </c>
      <c r="M1249" t="s">
        <v>1616</v>
      </c>
      <c r="N1249">
        <v>1</v>
      </c>
      <c r="O1249">
        <v>2020</v>
      </c>
      <c r="P1249">
        <v>8151.6394802345676</v>
      </c>
      <c r="Q1249">
        <v>68.755259026523561</v>
      </c>
      <c r="R1249" t="s">
        <v>249</v>
      </c>
      <c r="S1249">
        <v>0.29876527460377861</v>
      </c>
      <c r="T1249" t="s">
        <v>250</v>
      </c>
      <c r="U1249">
        <v>0.72295184490306452</v>
      </c>
      <c r="V1249">
        <v>11494.57360623949</v>
      </c>
      <c r="W1249">
        <v>96.951341826723592</v>
      </c>
      <c r="X1249" t="s">
        <v>111</v>
      </c>
      <c r="Y1249">
        <v>20</v>
      </c>
      <c r="Z1249">
        <v>0.44</v>
      </c>
      <c r="AA1249">
        <v>31.536000000000001</v>
      </c>
    </row>
    <row r="1250" spans="1:27" hidden="1" x14ac:dyDescent="0.25">
      <c r="A1250" t="s">
        <v>98</v>
      </c>
      <c r="B1250" t="s">
        <v>1548</v>
      </c>
      <c r="D1250" t="s">
        <v>100</v>
      </c>
      <c r="E1250" t="s">
        <v>243</v>
      </c>
      <c r="F1250" t="s">
        <v>267</v>
      </c>
      <c r="G1250" t="s">
        <v>103</v>
      </c>
      <c r="H1250" t="s">
        <v>104</v>
      </c>
      <c r="I1250">
        <v>2030</v>
      </c>
      <c r="J1250" t="s">
        <v>272</v>
      </c>
      <c r="K1250" t="s">
        <v>106</v>
      </c>
      <c r="L1250" t="s">
        <v>1605</v>
      </c>
      <c r="M1250" t="s">
        <v>1617</v>
      </c>
      <c r="N1250">
        <v>1</v>
      </c>
      <c r="O1250">
        <v>2030</v>
      </c>
      <c r="P1250">
        <v>8119.0316179991396</v>
      </c>
      <c r="Q1250">
        <v>68.755259026523561</v>
      </c>
      <c r="R1250" t="s">
        <v>249</v>
      </c>
      <c r="S1250">
        <v>0.29876527460377861</v>
      </c>
      <c r="T1250" t="s">
        <v>250</v>
      </c>
      <c r="U1250">
        <v>0.72295184490306452</v>
      </c>
      <c r="V1250">
        <v>11448.59347260918</v>
      </c>
      <c r="W1250">
        <v>96.951341826723592</v>
      </c>
      <c r="X1250" t="s">
        <v>111</v>
      </c>
      <c r="Y1250">
        <v>20</v>
      </c>
      <c r="Z1250">
        <v>0.44</v>
      </c>
      <c r="AA1250">
        <v>31.536000000000001</v>
      </c>
    </row>
    <row r="1251" spans="1:27" hidden="1" x14ac:dyDescent="0.25">
      <c r="A1251" t="s">
        <v>98</v>
      </c>
      <c r="B1251" t="s">
        <v>1548</v>
      </c>
      <c r="D1251" t="s">
        <v>100</v>
      </c>
      <c r="E1251" t="s">
        <v>243</v>
      </c>
      <c r="F1251" t="s">
        <v>267</v>
      </c>
      <c r="G1251" t="s">
        <v>112</v>
      </c>
      <c r="H1251" t="s">
        <v>104</v>
      </c>
      <c r="I1251">
        <v>2030</v>
      </c>
      <c r="J1251" t="s">
        <v>274</v>
      </c>
      <c r="K1251" t="s">
        <v>106</v>
      </c>
      <c r="L1251" t="s">
        <v>1605</v>
      </c>
      <c r="M1251" t="s">
        <v>1618</v>
      </c>
      <c r="N1251">
        <v>1</v>
      </c>
      <c r="O1251">
        <v>2030</v>
      </c>
      <c r="P1251">
        <v>8151.6394802345676</v>
      </c>
      <c r="Q1251">
        <v>68.755259026523561</v>
      </c>
      <c r="R1251" t="s">
        <v>249</v>
      </c>
      <c r="S1251">
        <v>0.31450011460924421</v>
      </c>
      <c r="T1251" t="s">
        <v>250</v>
      </c>
      <c r="U1251">
        <v>0.76102699144173802</v>
      </c>
      <c r="V1251">
        <v>11494.57360623949</v>
      </c>
      <c r="W1251">
        <v>96.951341826723578</v>
      </c>
      <c r="X1251" t="s">
        <v>111</v>
      </c>
      <c r="Y1251">
        <v>20</v>
      </c>
      <c r="Z1251">
        <v>0.44</v>
      </c>
      <c r="AA1251">
        <v>31.536000000000001</v>
      </c>
    </row>
    <row r="1252" spans="1:27" hidden="1" x14ac:dyDescent="0.25">
      <c r="A1252" t="s">
        <v>98</v>
      </c>
      <c r="B1252" t="s">
        <v>1548</v>
      </c>
      <c r="D1252" t="s">
        <v>100</v>
      </c>
      <c r="E1252" t="s">
        <v>243</v>
      </c>
      <c r="F1252" t="s">
        <v>267</v>
      </c>
      <c r="G1252" t="s">
        <v>103</v>
      </c>
      <c r="H1252" t="s">
        <v>104</v>
      </c>
      <c r="I1252">
        <v>2040</v>
      </c>
      <c r="J1252" t="s">
        <v>276</v>
      </c>
      <c r="K1252" t="s">
        <v>106</v>
      </c>
      <c r="L1252" t="s">
        <v>1605</v>
      </c>
      <c r="M1252" t="s">
        <v>1619</v>
      </c>
      <c r="N1252">
        <v>1</v>
      </c>
      <c r="O1252">
        <v>2040</v>
      </c>
      <c r="P1252">
        <v>8119.0316179991396</v>
      </c>
      <c r="Q1252">
        <v>68.755259026523561</v>
      </c>
      <c r="R1252" t="s">
        <v>249</v>
      </c>
      <c r="S1252">
        <v>0.29876527460377861</v>
      </c>
      <c r="T1252" t="s">
        <v>250</v>
      </c>
      <c r="U1252">
        <v>0.72295184490306452</v>
      </c>
      <c r="V1252">
        <v>11448.59347260918</v>
      </c>
      <c r="W1252">
        <v>96.951341826723592</v>
      </c>
      <c r="X1252" t="s">
        <v>111</v>
      </c>
      <c r="Y1252">
        <v>20</v>
      </c>
      <c r="Z1252">
        <v>0.44</v>
      </c>
      <c r="AA1252">
        <v>31.536000000000001</v>
      </c>
    </row>
    <row r="1253" spans="1:27" hidden="1" x14ac:dyDescent="0.25">
      <c r="A1253" t="s">
        <v>98</v>
      </c>
      <c r="B1253" t="s">
        <v>1548</v>
      </c>
      <c r="D1253" t="s">
        <v>100</v>
      </c>
      <c r="E1253" t="s">
        <v>243</v>
      </c>
      <c r="F1253" t="s">
        <v>267</v>
      </c>
      <c r="G1253" t="s">
        <v>112</v>
      </c>
      <c r="H1253" t="s">
        <v>104</v>
      </c>
      <c r="I1253">
        <v>2040</v>
      </c>
      <c r="J1253" t="s">
        <v>278</v>
      </c>
      <c r="K1253" t="s">
        <v>106</v>
      </c>
      <c r="L1253" t="s">
        <v>1605</v>
      </c>
      <c r="M1253" t="s">
        <v>1620</v>
      </c>
      <c r="N1253">
        <v>1</v>
      </c>
      <c r="O1253">
        <v>2040</v>
      </c>
      <c r="P1253">
        <v>8151.6394802345676</v>
      </c>
      <c r="Q1253">
        <v>68.755259026523561</v>
      </c>
      <c r="R1253" t="s">
        <v>249</v>
      </c>
      <c r="S1253">
        <v>0.31450011460924421</v>
      </c>
      <c r="T1253" t="s">
        <v>250</v>
      </c>
      <c r="U1253">
        <v>0.76102699144173802</v>
      </c>
      <c r="V1253">
        <v>11494.57360623949</v>
      </c>
      <c r="W1253">
        <v>96.951341826723578</v>
      </c>
      <c r="X1253" t="s">
        <v>111</v>
      </c>
      <c r="Y1253">
        <v>20</v>
      </c>
      <c r="Z1253">
        <v>0.44</v>
      </c>
      <c r="AA1253">
        <v>31.536000000000001</v>
      </c>
    </row>
    <row r="1254" spans="1:27" hidden="1" x14ac:dyDescent="0.25">
      <c r="A1254" t="s">
        <v>98</v>
      </c>
      <c r="B1254" t="s">
        <v>1548</v>
      </c>
      <c r="D1254" t="s">
        <v>100</v>
      </c>
      <c r="E1254" t="s">
        <v>243</v>
      </c>
      <c r="F1254" t="s">
        <v>267</v>
      </c>
      <c r="G1254" t="s">
        <v>103</v>
      </c>
      <c r="H1254" t="s">
        <v>104</v>
      </c>
      <c r="I1254">
        <v>2050</v>
      </c>
      <c r="J1254" t="s">
        <v>280</v>
      </c>
      <c r="K1254" t="s">
        <v>106</v>
      </c>
      <c r="L1254" t="s">
        <v>1605</v>
      </c>
      <c r="M1254" t="s">
        <v>1621</v>
      </c>
      <c r="N1254">
        <v>1</v>
      </c>
      <c r="O1254">
        <v>2050</v>
      </c>
      <c r="P1254">
        <v>8119.0316179991396</v>
      </c>
      <c r="Q1254">
        <v>68.755259026523561</v>
      </c>
      <c r="R1254" t="s">
        <v>249</v>
      </c>
      <c r="S1254">
        <v>0.29876527460377861</v>
      </c>
      <c r="T1254" t="s">
        <v>250</v>
      </c>
      <c r="U1254">
        <v>0.72295184490306452</v>
      </c>
      <c r="V1254">
        <v>11448.59347260918</v>
      </c>
      <c r="W1254">
        <v>96.951341826723592</v>
      </c>
      <c r="X1254" t="s">
        <v>111</v>
      </c>
      <c r="Y1254">
        <v>20</v>
      </c>
      <c r="Z1254">
        <v>0.44</v>
      </c>
      <c r="AA1254">
        <v>31.536000000000001</v>
      </c>
    </row>
    <row r="1255" spans="1:27" hidden="1" x14ac:dyDescent="0.25">
      <c r="A1255" t="s">
        <v>98</v>
      </c>
      <c r="B1255" t="s">
        <v>1548</v>
      </c>
      <c r="D1255" t="s">
        <v>100</v>
      </c>
      <c r="E1255" t="s">
        <v>243</v>
      </c>
      <c r="F1255" t="s">
        <v>267</v>
      </c>
      <c r="G1255" t="s">
        <v>112</v>
      </c>
      <c r="H1255" t="s">
        <v>104</v>
      </c>
      <c r="I1255">
        <v>2050</v>
      </c>
      <c r="J1255" t="s">
        <v>282</v>
      </c>
      <c r="K1255" t="s">
        <v>106</v>
      </c>
      <c r="L1255" t="s">
        <v>1605</v>
      </c>
      <c r="M1255" t="s">
        <v>1622</v>
      </c>
      <c r="N1255">
        <v>1</v>
      </c>
      <c r="O1255">
        <v>2050</v>
      </c>
      <c r="P1255">
        <v>8151.6394802345676</v>
      </c>
      <c r="Q1255">
        <v>68.755259026523561</v>
      </c>
      <c r="R1255" t="s">
        <v>249</v>
      </c>
      <c r="S1255">
        <v>0.31450011460924421</v>
      </c>
      <c r="T1255" t="s">
        <v>250</v>
      </c>
      <c r="U1255">
        <v>0.76102699144173802</v>
      </c>
      <c r="V1255">
        <v>11494.57360623949</v>
      </c>
      <c r="W1255">
        <v>96.951341826723578</v>
      </c>
      <c r="X1255" t="s">
        <v>111</v>
      </c>
      <c r="Y1255">
        <v>20</v>
      </c>
      <c r="Z1255">
        <v>0.44</v>
      </c>
      <c r="AA1255">
        <v>31.536000000000001</v>
      </c>
    </row>
    <row r="1256" spans="1:27" hidden="1" x14ac:dyDescent="0.25">
      <c r="A1256" t="s">
        <v>98</v>
      </c>
      <c r="B1256" t="s">
        <v>1548</v>
      </c>
      <c r="D1256" t="s">
        <v>100</v>
      </c>
      <c r="E1256" t="s">
        <v>284</v>
      </c>
      <c r="F1256" t="s">
        <v>285</v>
      </c>
      <c r="G1256" t="s">
        <v>103</v>
      </c>
      <c r="H1256" t="s">
        <v>104</v>
      </c>
      <c r="I1256">
        <v>2022</v>
      </c>
      <c r="J1256" t="s">
        <v>286</v>
      </c>
      <c r="K1256" t="s">
        <v>106</v>
      </c>
      <c r="L1256" t="s">
        <v>1623</v>
      </c>
      <c r="M1256" t="s">
        <v>1624</v>
      </c>
      <c r="N1256">
        <v>1</v>
      </c>
      <c r="O1256">
        <v>2020</v>
      </c>
      <c r="P1256">
        <v>100.10336678844671</v>
      </c>
      <c r="Q1256">
        <v>36.612504973710713</v>
      </c>
      <c r="R1256" t="s">
        <v>289</v>
      </c>
      <c r="S1256">
        <v>15.58191798941797</v>
      </c>
      <c r="T1256" t="s">
        <v>290</v>
      </c>
      <c r="U1256">
        <v>37.705106031875843</v>
      </c>
      <c r="V1256">
        <v>341.56694721909253</v>
      </c>
      <c r="W1256">
        <v>124.9270824261381</v>
      </c>
      <c r="X1256" t="s">
        <v>291</v>
      </c>
      <c r="Y1256">
        <v>10</v>
      </c>
      <c r="Z1256">
        <v>0.2813393128634602</v>
      </c>
      <c r="AA1256">
        <v>1</v>
      </c>
    </row>
    <row r="1257" spans="1:27" hidden="1" x14ac:dyDescent="0.25">
      <c r="A1257" t="s">
        <v>98</v>
      </c>
      <c r="B1257" t="s">
        <v>1548</v>
      </c>
      <c r="D1257" t="s">
        <v>100</v>
      </c>
      <c r="E1257" t="s">
        <v>284</v>
      </c>
      <c r="F1257" t="s">
        <v>292</v>
      </c>
      <c r="G1257" t="s">
        <v>103</v>
      </c>
      <c r="H1257" t="s">
        <v>104</v>
      </c>
      <c r="I1257">
        <v>2022</v>
      </c>
      <c r="J1257" t="s">
        <v>293</v>
      </c>
      <c r="K1257" t="s">
        <v>106</v>
      </c>
      <c r="L1257" t="s">
        <v>1623</v>
      </c>
      <c r="M1257" t="s">
        <v>1625</v>
      </c>
      <c r="N1257">
        <v>1</v>
      </c>
      <c r="O1257">
        <v>2020</v>
      </c>
      <c r="P1257">
        <v>99.46253669701926</v>
      </c>
      <c r="Q1257">
        <v>6.0605044913603194</v>
      </c>
      <c r="R1257" t="s">
        <v>289</v>
      </c>
      <c r="S1257">
        <v>42.005691056910557</v>
      </c>
      <c r="T1257" t="s">
        <v>290</v>
      </c>
      <c r="U1257">
        <v>42.005691056910557</v>
      </c>
      <c r="V1257">
        <v>99.46253669701926</v>
      </c>
      <c r="W1257">
        <v>6.0605044913603194</v>
      </c>
      <c r="X1257" t="s">
        <v>291</v>
      </c>
      <c r="Y1257">
        <v>10</v>
      </c>
      <c r="Z1257">
        <v>0.2813393128634602</v>
      </c>
      <c r="AA1257">
        <v>1</v>
      </c>
    </row>
    <row r="1258" spans="1:27" hidden="1" x14ac:dyDescent="0.25">
      <c r="A1258" t="s">
        <v>98</v>
      </c>
      <c r="B1258" t="s">
        <v>1548</v>
      </c>
      <c r="D1258" t="s">
        <v>100</v>
      </c>
      <c r="E1258" t="s">
        <v>284</v>
      </c>
      <c r="F1258" t="s">
        <v>292</v>
      </c>
      <c r="G1258" t="s">
        <v>112</v>
      </c>
      <c r="H1258" t="s">
        <v>104</v>
      </c>
      <c r="I1258">
        <v>2022</v>
      </c>
      <c r="J1258" t="s">
        <v>295</v>
      </c>
      <c r="K1258" t="s">
        <v>106</v>
      </c>
      <c r="L1258" t="s">
        <v>1623</v>
      </c>
      <c r="M1258" t="s">
        <v>1626</v>
      </c>
      <c r="N1258">
        <v>1</v>
      </c>
      <c r="O1258">
        <v>2020</v>
      </c>
      <c r="P1258">
        <v>92.517129414925563</v>
      </c>
      <c r="Q1258">
        <v>5.9256499638890956</v>
      </c>
      <c r="R1258" t="s">
        <v>289</v>
      </c>
      <c r="S1258">
        <v>43.051923076923067</v>
      </c>
      <c r="T1258" t="s">
        <v>290</v>
      </c>
      <c r="U1258">
        <v>43.051923076923067</v>
      </c>
      <c r="V1258">
        <v>92.517129414925563</v>
      </c>
      <c r="W1258">
        <v>5.9256499638890956</v>
      </c>
      <c r="X1258" t="s">
        <v>291</v>
      </c>
      <c r="Y1258">
        <v>10</v>
      </c>
      <c r="Z1258">
        <v>0.2813393128634602</v>
      </c>
      <c r="AA1258">
        <v>1</v>
      </c>
    </row>
    <row r="1259" spans="1:27" hidden="1" x14ac:dyDescent="0.25">
      <c r="A1259" t="s">
        <v>98</v>
      </c>
      <c r="B1259" t="s">
        <v>1548</v>
      </c>
      <c r="D1259" t="s">
        <v>100</v>
      </c>
      <c r="E1259" t="s">
        <v>284</v>
      </c>
      <c r="F1259" t="s">
        <v>297</v>
      </c>
      <c r="G1259" t="s">
        <v>103</v>
      </c>
      <c r="H1259" t="s">
        <v>104</v>
      </c>
      <c r="I1259">
        <v>2022</v>
      </c>
      <c r="J1259" t="s">
        <v>298</v>
      </c>
      <c r="K1259" t="s">
        <v>106</v>
      </c>
      <c r="L1259" t="s">
        <v>1623</v>
      </c>
      <c r="M1259" t="s">
        <v>1627</v>
      </c>
      <c r="N1259">
        <v>1</v>
      </c>
      <c r="O1259">
        <v>2020</v>
      </c>
      <c r="P1259">
        <v>94.526951376087595</v>
      </c>
      <c r="Q1259">
        <v>3.949349451558744</v>
      </c>
      <c r="R1259" t="s">
        <v>289</v>
      </c>
      <c r="S1259">
        <v>76.146700507614213</v>
      </c>
      <c r="T1259" t="s">
        <v>290</v>
      </c>
      <c r="U1259">
        <v>76.146700507614213</v>
      </c>
      <c r="V1259">
        <v>94.526951376087595</v>
      </c>
      <c r="W1259">
        <v>3.949349451558744</v>
      </c>
      <c r="X1259" t="s">
        <v>291</v>
      </c>
      <c r="Y1259">
        <v>10</v>
      </c>
      <c r="Z1259">
        <v>0.2813393128634602</v>
      </c>
      <c r="AA1259">
        <v>1</v>
      </c>
    </row>
    <row r="1260" spans="1:27" hidden="1" x14ac:dyDescent="0.25">
      <c r="A1260" t="s">
        <v>98</v>
      </c>
      <c r="B1260" t="s">
        <v>1548</v>
      </c>
      <c r="D1260" t="s">
        <v>100</v>
      </c>
      <c r="E1260" t="s">
        <v>284</v>
      </c>
      <c r="F1260" t="s">
        <v>297</v>
      </c>
      <c r="G1260" t="s">
        <v>112</v>
      </c>
      <c r="H1260" t="s">
        <v>104</v>
      </c>
      <c r="I1260">
        <v>2022</v>
      </c>
      <c r="J1260" t="s">
        <v>300</v>
      </c>
      <c r="K1260" t="s">
        <v>106</v>
      </c>
      <c r="L1260" t="s">
        <v>1623</v>
      </c>
      <c r="M1260" t="s">
        <v>1628</v>
      </c>
      <c r="N1260">
        <v>1</v>
      </c>
      <c r="O1260">
        <v>2020</v>
      </c>
      <c r="P1260">
        <v>69.765067810793198</v>
      </c>
      <c r="Q1260">
        <v>2.516631606553434</v>
      </c>
      <c r="R1260" t="s">
        <v>289</v>
      </c>
      <c r="S1260">
        <v>93</v>
      </c>
      <c r="T1260" t="s">
        <v>290</v>
      </c>
      <c r="U1260">
        <v>93</v>
      </c>
      <c r="V1260">
        <v>69.765067810793198</v>
      </c>
      <c r="W1260">
        <v>2.516631606553434</v>
      </c>
      <c r="X1260" t="s">
        <v>291</v>
      </c>
      <c r="Y1260">
        <v>10</v>
      </c>
      <c r="Z1260">
        <v>0.2813393128634602</v>
      </c>
      <c r="AA1260">
        <v>1</v>
      </c>
    </row>
    <row r="1261" spans="1:27" hidden="1" x14ac:dyDescent="0.25">
      <c r="A1261" t="s">
        <v>98</v>
      </c>
      <c r="B1261" t="s">
        <v>1548</v>
      </c>
      <c r="D1261" t="s">
        <v>100</v>
      </c>
      <c r="E1261" t="s">
        <v>284</v>
      </c>
      <c r="F1261" t="s">
        <v>302</v>
      </c>
      <c r="G1261" t="s">
        <v>103</v>
      </c>
      <c r="H1261" t="s">
        <v>104</v>
      </c>
      <c r="I1261">
        <v>2022</v>
      </c>
      <c r="J1261" t="s">
        <v>303</v>
      </c>
      <c r="K1261" t="s">
        <v>106</v>
      </c>
      <c r="L1261" t="s">
        <v>1623</v>
      </c>
      <c r="M1261" t="s">
        <v>1629</v>
      </c>
      <c r="N1261">
        <v>1</v>
      </c>
      <c r="O1261">
        <v>2020</v>
      </c>
      <c r="P1261">
        <v>105.7930490817716</v>
      </c>
      <c r="Q1261">
        <v>3.355492309527206</v>
      </c>
      <c r="R1261" t="s">
        <v>289</v>
      </c>
      <c r="S1261">
        <v>64.669172932330824</v>
      </c>
      <c r="T1261" t="s">
        <v>290</v>
      </c>
      <c r="U1261">
        <v>64.669172932330824</v>
      </c>
      <c r="V1261">
        <v>105.7930490817716</v>
      </c>
      <c r="W1261">
        <v>3.355492309527206</v>
      </c>
      <c r="X1261" t="s">
        <v>291</v>
      </c>
      <c r="Y1261">
        <v>10</v>
      </c>
      <c r="Z1261">
        <v>0.2813393128634602</v>
      </c>
      <c r="AA1261">
        <v>1</v>
      </c>
    </row>
    <row r="1262" spans="1:27" hidden="1" x14ac:dyDescent="0.25">
      <c r="A1262" t="s">
        <v>98</v>
      </c>
      <c r="B1262" t="s">
        <v>1548</v>
      </c>
      <c r="D1262" t="s">
        <v>100</v>
      </c>
      <c r="E1262" t="s">
        <v>284</v>
      </c>
      <c r="F1262" t="s">
        <v>302</v>
      </c>
      <c r="G1262" t="s">
        <v>112</v>
      </c>
      <c r="H1262" t="s">
        <v>104</v>
      </c>
      <c r="I1262">
        <v>2022</v>
      </c>
      <c r="J1262" t="s">
        <v>305</v>
      </c>
      <c r="K1262" t="s">
        <v>106</v>
      </c>
      <c r="L1262" t="s">
        <v>1623</v>
      </c>
      <c r="M1262" t="s">
        <v>1630</v>
      </c>
      <c r="N1262">
        <v>1</v>
      </c>
      <c r="O1262">
        <v>2020</v>
      </c>
      <c r="P1262">
        <v>99.614212714858894</v>
      </c>
      <c r="Q1262">
        <v>1.4361600838792941</v>
      </c>
      <c r="R1262" t="s">
        <v>289</v>
      </c>
      <c r="S1262">
        <v>75.07692307692308</v>
      </c>
      <c r="T1262" t="s">
        <v>290</v>
      </c>
      <c r="U1262">
        <v>75.07692307692308</v>
      </c>
      <c r="V1262">
        <v>99.614212714858894</v>
      </c>
      <c r="W1262">
        <v>1.4361600838792941</v>
      </c>
      <c r="X1262" t="s">
        <v>291</v>
      </c>
      <c r="Y1262">
        <v>10</v>
      </c>
      <c r="Z1262">
        <v>0.2813393128634602</v>
      </c>
      <c r="AA1262">
        <v>1</v>
      </c>
    </row>
    <row r="1263" spans="1:27" hidden="1" x14ac:dyDescent="0.25">
      <c r="A1263" t="s">
        <v>98</v>
      </c>
      <c r="B1263" t="s">
        <v>1548</v>
      </c>
      <c r="D1263" t="s">
        <v>100</v>
      </c>
      <c r="E1263" t="s">
        <v>284</v>
      </c>
      <c r="F1263" t="s">
        <v>297</v>
      </c>
      <c r="G1263" t="s">
        <v>103</v>
      </c>
      <c r="H1263" t="s">
        <v>104</v>
      </c>
      <c r="I1263">
        <v>2023</v>
      </c>
      <c r="J1263" t="s">
        <v>307</v>
      </c>
      <c r="K1263" t="s">
        <v>106</v>
      </c>
      <c r="L1263" t="s">
        <v>1623</v>
      </c>
      <c r="M1263" t="s">
        <v>1631</v>
      </c>
      <c r="N1263">
        <v>1</v>
      </c>
      <c r="O1263">
        <v>2023</v>
      </c>
      <c r="P1263">
        <v>94.526951376087595</v>
      </c>
      <c r="Q1263">
        <v>3.949349451558744</v>
      </c>
      <c r="R1263" t="s">
        <v>289</v>
      </c>
      <c r="S1263">
        <v>76.146700507614213</v>
      </c>
      <c r="T1263" t="s">
        <v>290</v>
      </c>
      <c r="U1263">
        <v>76.146700507614213</v>
      </c>
      <c r="V1263">
        <v>94.526951376087595</v>
      </c>
      <c r="W1263">
        <v>3.949349451558744</v>
      </c>
      <c r="X1263" t="s">
        <v>291</v>
      </c>
      <c r="Y1263">
        <v>10</v>
      </c>
      <c r="Z1263">
        <v>0.2813393128634602</v>
      </c>
      <c r="AA1263">
        <v>1</v>
      </c>
    </row>
    <row r="1264" spans="1:27" hidden="1" x14ac:dyDescent="0.25">
      <c r="A1264" t="s">
        <v>98</v>
      </c>
      <c r="B1264" t="s">
        <v>1548</v>
      </c>
      <c r="D1264" t="s">
        <v>100</v>
      </c>
      <c r="E1264" t="s">
        <v>284</v>
      </c>
      <c r="F1264" t="s">
        <v>297</v>
      </c>
      <c r="G1264" t="s">
        <v>112</v>
      </c>
      <c r="H1264" t="s">
        <v>104</v>
      </c>
      <c r="I1264">
        <v>2023</v>
      </c>
      <c r="J1264" t="s">
        <v>309</v>
      </c>
      <c r="K1264" t="s">
        <v>106</v>
      </c>
      <c r="L1264" t="s">
        <v>1623</v>
      </c>
      <c r="M1264" t="s">
        <v>1632</v>
      </c>
      <c r="N1264">
        <v>1</v>
      </c>
      <c r="O1264">
        <v>2023</v>
      </c>
      <c r="P1264">
        <v>69.765067810793198</v>
      </c>
      <c r="Q1264">
        <v>2.516631606553434</v>
      </c>
      <c r="R1264" t="s">
        <v>289</v>
      </c>
      <c r="S1264">
        <v>93</v>
      </c>
      <c r="T1264" t="s">
        <v>290</v>
      </c>
      <c r="U1264">
        <v>93</v>
      </c>
      <c r="V1264">
        <v>69.765067810793198</v>
      </c>
      <c r="W1264">
        <v>2.516631606553434</v>
      </c>
      <c r="X1264" t="s">
        <v>291</v>
      </c>
      <c r="Y1264">
        <v>10</v>
      </c>
      <c r="Z1264">
        <v>0.2813393128634602</v>
      </c>
      <c r="AA1264">
        <v>1</v>
      </c>
    </row>
    <row r="1265" spans="1:27" hidden="1" x14ac:dyDescent="0.25">
      <c r="A1265" t="s">
        <v>98</v>
      </c>
      <c r="B1265" t="s">
        <v>1548</v>
      </c>
      <c r="D1265" t="s">
        <v>100</v>
      </c>
      <c r="E1265" t="s">
        <v>284</v>
      </c>
      <c r="F1265" t="s">
        <v>302</v>
      </c>
      <c r="G1265" t="s">
        <v>103</v>
      </c>
      <c r="H1265" t="s">
        <v>104</v>
      </c>
      <c r="I1265">
        <v>2023</v>
      </c>
      <c r="J1265" t="s">
        <v>311</v>
      </c>
      <c r="K1265" t="s">
        <v>106</v>
      </c>
      <c r="L1265" t="s">
        <v>1623</v>
      </c>
      <c r="M1265" t="s">
        <v>1633</v>
      </c>
      <c r="N1265">
        <v>1</v>
      </c>
      <c r="O1265">
        <v>2023</v>
      </c>
      <c r="P1265">
        <v>105.7930490817716</v>
      </c>
      <c r="Q1265">
        <v>3.355492309527206</v>
      </c>
      <c r="R1265" t="s">
        <v>289</v>
      </c>
      <c r="S1265">
        <v>64.669172932330824</v>
      </c>
      <c r="T1265" t="s">
        <v>290</v>
      </c>
      <c r="U1265">
        <v>64.669172932330824</v>
      </c>
      <c r="V1265">
        <v>105.7930490817716</v>
      </c>
      <c r="W1265">
        <v>3.355492309527206</v>
      </c>
      <c r="X1265" t="s">
        <v>291</v>
      </c>
      <c r="Y1265">
        <v>10</v>
      </c>
      <c r="Z1265">
        <v>0.2813393128634602</v>
      </c>
      <c r="AA1265">
        <v>1</v>
      </c>
    </row>
    <row r="1266" spans="1:27" hidden="1" x14ac:dyDescent="0.25">
      <c r="A1266" t="s">
        <v>98</v>
      </c>
      <c r="B1266" t="s">
        <v>1548</v>
      </c>
      <c r="D1266" t="s">
        <v>100</v>
      </c>
      <c r="E1266" t="s">
        <v>284</v>
      </c>
      <c r="F1266" t="s">
        <v>302</v>
      </c>
      <c r="G1266" t="s">
        <v>112</v>
      </c>
      <c r="H1266" t="s">
        <v>104</v>
      </c>
      <c r="I1266">
        <v>2023</v>
      </c>
      <c r="J1266" t="s">
        <v>313</v>
      </c>
      <c r="K1266" t="s">
        <v>106</v>
      </c>
      <c r="L1266" t="s">
        <v>1623</v>
      </c>
      <c r="M1266" t="s">
        <v>1634</v>
      </c>
      <c r="N1266">
        <v>1</v>
      </c>
      <c r="O1266">
        <v>2023</v>
      </c>
      <c r="P1266">
        <v>99.614212714858894</v>
      </c>
      <c r="Q1266">
        <v>1.4361600838792941</v>
      </c>
      <c r="R1266" t="s">
        <v>289</v>
      </c>
      <c r="S1266">
        <v>75.07692307692308</v>
      </c>
      <c r="T1266" t="s">
        <v>290</v>
      </c>
      <c r="U1266">
        <v>75.07692307692308</v>
      </c>
      <c r="V1266">
        <v>99.614212714858894</v>
      </c>
      <c r="W1266">
        <v>1.4361600838792941</v>
      </c>
      <c r="X1266" t="s">
        <v>291</v>
      </c>
      <c r="Y1266">
        <v>10</v>
      </c>
      <c r="Z1266">
        <v>0.2813393128634602</v>
      </c>
      <c r="AA1266">
        <v>1</v>
      </c>
    </row>
    <row r="1267" spans="1:27" hidden="1" x14ac:dyDescent="0.25">
      <c r="A1267" t="s">
        <v>98</v>
      </c>
      <c r="B1267" t="s">
        <v>1548</v>
      </c>
      <c r="D1267" t="s">
        <v>100</v>
      </c>
      <c r="E1267" t="s">
        <v>284</v>
      </c>
      <c r="F1267" t="s">
        <v>297</v>
      </c>
      <c r="G1267" t="s">
        <v>103</v>
      </c>
      <c r="H1267" t="s">
        <v>104</v>
      </c>
      <c r="I1267">
        <v>2024</v>
      </c>
      <c r="J1267" t="s">
        <v>315</v>
      </c>
      <c r="K1267" t="s">
        <v>106</v>
      </c>
      <c r="L1267" t="s">
        <v>1623</v>
      </c>
      <c r="M1267" t="s">
        <v>1635</v>
      </c>
      <c r="N1267">
        <v>1</v>
      </c>
      <c r="O1267">
        <v>2024</v>
      </c>
      <c r="P1267">
        <v>94.526951376087595</v>
      </c>
      <c r="Q1267">
        <v>3.949349451558744</v>
      </c>
      <c r="R1267" t="s">
        <v>289</v>
      </c>
      <c r="S1267">
        <v>76.146700507614213</v>
      </c>
      <c r="T1267" t="s">
        <v>290</v>
      </c>
      <c r="U1267">
        <v>76.146700507614213</v>
      </c>
      <c r="V1267">
        <v>94.526951376087595</v>
      </c>
      <c r="W1267">
        <v>3.949349451558744</v>
      </c>
      <c r="X1267" t="s">
        <v>291</v>
      </c>
      <c r="Y1267">
        <v>10</v>
      </c>
      <c r="Z1267">
        <v>0.2813393128634602</v>
      </c>
      <c r="AA1267">
        <v>1</v>
      </c>
    </row>
    <row r="1268" spans="1:27" hidden="1" x14ac:dyDescent="0.25">
      <c r="A1268" t="s">
        <v>98</v>
      </c>
      <c r="B1268" t="s">
        <v>1548</v>
      </c>
      <c r="D1268" t="s">
        <v>100</v>
      </c>
      <c r="E1268" t="s">
        <v>284</v>
      </c>
      <c r="F1268" t="s">
        <v>297</v>
      </c>
      <c r="G1268" t="s">
        <v>112</v>
      </c>
      <c r="H1268" t="s">
        <v>104</v>
      </c>
      <c r="I1268">
        <v>2024</v>
      </c>
      <c r="J1268" t="s">
        <v>317</v>
      </c>
      <c r="K1268" t="s">
        <v>106</v>
      </c>
      <c r="L1268" t="s">
        <v>1623</v>
      </c>
      <c r="M1268" t="s">
        <v>1636</v>
      </c>
      <c r="N1268">
        <v>1</v>
      </c>
      <c r="O1268">
        <v>2024</v>
      </c>
      <c r="P1268">
        <v>69.765067810793198</v>
      </c>
      <c r="Q1268">
        <v>2.516631606553434</v>
      </c>
      <c r="R1268" t="s">
        <v>289</v>
      </c>
      <c r="S1268">
        <v>93</v>
      </c>
      <c r="T1268" t="s">
        <v>290</v>
      </c>
      <c r="U1268">
        <v>93</v>
      </c>
      <c r="V1268">
        <v>69.765067810793198</v>
      </c>
      <c r="W1268">
        <v>2.516631606553434</v>
      </c>
      <c r="X1268" t="s">
        <v>291</v>
      </c>
      <c r="Y1268">
        <v>10</v>
      </c>
      <c r="Z1268">
        <v>0.2813393128634602</v>
      </c>
      <c r="AA1268">
        <v>1</v>
      </c>
    </row>
    <row r="1269" spans="1:27" hidden="1" x14ac:dyDescent="0.25">
      <c r="A1269" t="s">
        <v>98</v>
      </c>
      <c r="B1269" t="s">
        <v>1548</v>
      </c>
      <c r="D1269" t="s">
        <v>100</v>
      </c>
      <c r="E1269" t="s">
        <v>284</v>
      </c>
      <c r="F1269" t="s">
        <v>302</v>
      </c>
      <c r="G1269" t="s">
        <v>103</v>
      </c>
      <c r="H1269" t="s">
        <v>104</v>
      </c>
      <c r="I1269">
        <v>2024</v>
      </c>
      <c r="J1269" t="s">
        <v>319</v>
      </c>
      <c r="K1269" t="s">
        <v>106</v>
      </c>
      <c r="L1269" t="s">
        <v>1623</v>
      </c>
      <c r="M1269" t="s">
        <v>1637</v>
      </c>
      <c r="N1269">
        <v>1</v>
      </c>
      <c r="O1269">
        <v>2024</v>
      </c>
      <c r="P1269">
        <v>105.7930490817716</v>
      </c>
      <c r="Q1269">
        <v>3.355492309527206</v>
      </c>
      <c r="R1269" t="s">
        <v>289</v>
      </c>
      <c r="S1269">
        <v>64.669172932330824</v>
      </c>
      <c r="T1269" t="s">
        <v>290</v>
      </c>
      <c r="U1269">
        <v>64.669172932330824</v>
      </c>
      <c r="V1269">
        <v>105.7930490817716</v>
      </c>
      <c r="W1269">
        <v>3.355492309527206</v>
      </c>
      <c r="X1269" t="s">
        <v>291</v>
      </c>
      <c r="Y1269">
        <v>10</v>
      </c>
      <c r="Z1269">
        <v>0.2813393128634602</v>
      </c>
      <c r="AA1269">
        <v>1</v>
      </c>
    </row>
    <row r="1270" spans="1:27" hidden="1" x14ac:dyDescent="0.25">
      <c r="A1270" t="s">
        <v>98</v>
      </c>
      <c r="B1270" t="s">
        <v>1548</v>
      </c>
      <c r="D1270" t="s">
        <v>100</v>
      </c>
      <c r="E1270" t="s">
        <v>284</v>
      </c>
      <c r="F1270" t="s">
        <v>302</v>
      </c>
      <c r="G1270" t="s">
        <v>112</v>
      </c>
      <c r="H1270" t="s">
        <v>104</v>
      </c>
      <c r="I1270">
        <v>2024</v>
      </c>
      <c r="J1270" t="s">
        <v>321</v>
      </c>
      <c r="K1270" t="s">
        <v>106</v>
      </c>
      <c r="L1270" t="s">
        <v>1623</v>
      </c>
      <c r="M1270" t="s">
        <v>1638</v>
      </c>
      <c r="N1270">
        <v>1</v>
      </c>
      <c r="O1270">
        <v>2024</v>
      </c>
      <c r="P1270">
        <v>99.614212714858894</v>
      </c>
      <c r="Q1270">
        <v>1.4361600838792941</v>
      </c>
      <c r="R1270" t="s">
        <v>289</v>
      </c>
      <c r="S1270">
        <v>75.07692307692308</v>
      </c>
      <c r="T1270" t="s">
        <v>290</v>
      </c>
      <c r="U1270">
        <v>75.07692307692308</v>
      </c>
      <c r="V1270">
        <v>99.614212714858894</v>
      </c>
      <c r="W1270">
        <v>1.4361600838792941</v>
      </c>
      <c r="X1270" t="s">
        <v>291</v>
      </c>
      <c r="Y1270">
        <v>10</v>
      </c>
      <c r="Z1270">
        <v>0.2813393128634602</v>
      </c>
      <c r="AA1270">
        <v>1</v>
      </c>
    </row>
    <row r="1271" spans="1:27" hidden="1" x14ac:dyDescent="0.25">
      <c r="A1271" t="s">
        <v>98</v>
      </c>
      <c r="B1271" t="s">
        <v>1548</v>
      </c>
      <c r="D1271" t="s">
        <v>100</v>
      </c>
      <c r="E1271" t="s">
        <v>284</v>
      </c>
      <c r="F1271" t="s">
        <v>297</v>
      </c>
      <c r="G1271" t="s">
        <v>103</v>
      </c>
      <c r="H1271" t="s">
        <v>104</v>
      </c>
      <c r="I1271">
        <v>2025</v>
      </c>
      <c r="J1271" t="s">
        <v>323</v>
      </c>
      <c r="K1271" t="s">
        <v>106</v>
      </c>
      <c r="L1271" t="s">
        <v>1623</v>
      </c>
      <c r="M1271" t="s">
        <v>1639</v>
      </c>
      <c r="N1271">
        <v>1</v>
      </c>
      <c r="O1271">
        <v>2025</v>
      </c>
      <c r="P1271">
        <v>94.526951376087595</v>
      </c>
      <c r="Q1271">
        <v>3.949349451558744</v>
      </c>
      <c r="R1271" t="s">
        <v>289</v>
      </c>
      <c r="S1271">
        <v>76.146700507614213</v>
      </c>
      <c r="T1271" t="s">
        <v>290</v>
      </c>
      <c r="U1271">
        <v>76.146700507614213</v>
      </c>
      <c r="V1271">
        <v>94.526951376087595</v>
      </c>
      <c r="W1271">
        <v>3.949349451558744</v>
      </c>
      <c r="X1271" t="s">
        <v>291</v>
      </c>
      <c r="Y1271">
        <v>10</v>
      </c>
      <c r="Z1271">
        <v>0.2813393128634602</v>
      </c>
      <c r="AA1271">
        <v>1</v>
      </c>
    </row>
    <row r="1272" spans="1:27" hidden="1" x14ac:dyDescent="0.25">
      <c r="A1272" t="s">
        <v>98</v>
      </c>
      <c r="B1272" t="s">
        <v>1548</v>
      </c>
      <c r="D1272" t="s">
        <v>100</v>
      </c>
      <c r="E1272" t="s">
        <v>284</v>
      </c>
      <c r="F1272" t="s">
        <v>297</v>
      </c>
      <c r="G1272" t="s">
        <v>112</v>
      </c>
      <c r="H1272" t="s">
        <v>104</v>
      </c>
      <c r="I1272">
        <v>2025</v>
      </c>
      <c r="J1272" t="s">
        <v>325</v>
      </c>
      <c r="K1272" t="s">
        <v>106</v>
      </c>
      <c r="L1272" t="s">
        <v>1623</v>
      </c>
      <c r="M1272" t="s">
        <v>1640</v>
      </c>
      <c r="N1272">
        <v>1</v>
      </c>
      <c r="O1272">
        <v>2025</v>
      </c>
      <c r="P1272">
        <v>69.765067810793198</v>
      </c>
      <c r="Q1272">
        <v>2.516631606553434</v>
      </c>
      <c r="R1272" t="s">
        <v>289</v>
      </c>
      <c r="S1272">
        <v>93</v>
      </c>
      <c r="T1272" t="s">
        <v>290</v>
      </c>
      <c r="U1272">
        <v>93</v>
      </c>
      <c r="V1272">
        <v>69.765067810793198</v>
      </c>
      <c r="W1272">
        <v>2.516631606553434</v>
      </c>
      <c r="X1272" t="s">
        <v>291</v>
      </c>
      <c r="Y1272">
        <v>10</v>
      </c>
      <c r="Z1272">
        <v>0.2813393128634602</v>
      </c>
      <c r="AA1272">
        <v>1</v>
      </c>
    </row>
    <row r="1273" spans="1:27" hidden="1" x14ac:dyDescent="0.25">
      <c r="A1273" t="s">
        <v>98</v>
      </c>
      <c r="B1273" t="s">
        <v>1548</v>
      </c>
      <c r="D1273" t="s">
        <v>100</v>
      </c>
      <c r="E1273" t="s">
        <v>284</v>
      </c>
      <c r="F1273" t="s">
        <v>302</v>
      </c>
      <c r="G1273" t="s">
        <v>103</v>
      </c>
      <c r="H1273" t="s">
        <v>104</v>
      </c>
      <c r="I1273">
        <v>2025</v>
      </c>
      <c r="J1273" t="s">
        <v>327</v>
      </c>
      <c r="K1273" t="s">
        <v>106</v>
      </c>
      <c r="L1273" t="s">
        <v>1623</v>
      </c>
      <c r="M1273" t="s">
        <v>1641</v>
      </c>
      <c r="N1273">
        <v>1</v>
      </c>
      <c r="O1273">
        <v>2025</v>
      </c>
      <c r="P1273">
        <v>105.7930490817716</v>
      </c>
      <c r="Q1273">
        <v>3.355492309527206</v>
      </c>
      <c r="R1273" t="s">
        <v>289</v>
      </c>
      <c r="S1273">
        <v>64.669172932330824</v>
      </c>
      <c r="T1273" t="s">
        <v>290</v>
      </c>
      <c r="U1273">
        <v>64.669172932330824</v>
      </c>
      <c r="V1273">
        <v>105.7930490817716</v>
      </c>
      <c r="W1273">
        <v>3.355492309527206</v>
      </c>
      <c r="X1273" t="s">
        <v>291</v>
      </c>
      <c r="Y1273">
        <v>10</v>
      </c>
      <c r="Z1273">
        <v>0.2813393128634602</v>
      </c>
      <c r="AA1273">
        <v>1</v>
      </c>
    </row>
    <row r="1274" spans="1:27" hidden="1" x14ac:dyDescent="0.25">
      <c r="A1274" t="s">
        <v>98</v>
      </c>
      <c r="B1274" t="s">
        <v>1548</v>
      </c>
      <c r="D1274" t="s">
        <v>100</v>
      </c>
      <c r="E1274" t="s">
        <v>284</v>
      </c>
      <c r="F1274" t="s">
        <v>302</v>
      </c>
      <c r="G1274" t="s">
        <v>112</v>
      </c>
      <c r="H1274" t="s">
        <v>104</v>
      </c>
      <c r="I1274">
        <v>2025</v>
      </c>
      <c r="J1274" t="s">
        <v>329</v>
      </c>
      <c r="K1274" t="s">
        <v>106</v>
      </c>
      <c r="L1274" t="s">
        <v>1623</v>
      </c>
      <c r="M1274" t="s">
        <v>1642</v>
      </c>
      <c r="N1274">
        <v>1</v>
      </c>
      <c r="O1274">
        <v>2025</v>
      </c>
      <c r="P1274">
        <v>99.614212714858894</v>
      </c>
      <c r="Q1274">
        <v>1.4361600838792941</v>
      </c>
      <c r="R1274" t="s">
        <v>289</v>
      </c>
      <c r="S1274">
        <v>75.07692307692308</v>
      </c>
      <c r="T1274" t="s">
        <v>290</v>
      </c>
      <c r="U1274">
        <v>75.07692307692308</v>
      </c>
      <c r="V1274">
        <v>99.614212714858894</v>
      </c>
      <c r="W1274">
        <v>1.4361600838792941</v>
      </c>
      <c r="X1274" t="s">
        <v>291</v>
      </c>
      <c r="Y1274">
        <v>10</v>
      </c>
      <c r="Z1274">
        <v>0.2813393128634602</v>
      </c>
      <c r="AA1274">
        <v>1</v>
      </c>
    </row>
    <row r="1275" spans="1:27" hidden="1" x14ac:dyDescent="0.25">
      <c r="A1275" t="s">
        <v>98</v>
      </c>
      <c r="B1275" t="s">
        <v>1548</v>
      </c>
      <c r="D1275" t="s">
        <v>100</v>
      </c>
      <c r="E1275" t="s">
        <v>284</v>
      </c>
      <c r="F1275" t="s">
        <v>297</v>
      </c>
      <c r="G1275" t="s">
        <v>103</v>
      </c>
      <c r="H1275" t="s">
        <v>104</v>
      </c>
      <c r="I1275">
        <v>2026</v>
      </c>
      <c r="J1275" t="s">
        <v>331</v>
      </c>
      <c r="K1275" t="s">
        <v>106</v>
      </c>
      <c r="L1275" t="s">
        <v>1623</v>
      </c>
      <c r="M1275" t="s">
        <v>1643</v>
      </c>
      <c r="N1275">
        <v>1</v>
      </c>
      <c r="O1275">
        <v>2026</v>
      </c>
      <c r="P1275">
        <v>94.526951376087595</v>
      </c>
      <c r="Q1275">
        <v>3.949349451558744</v>
      </c>
      <c r="R1275" t="s">
        <v>289</v>
      </c>
      <c r="S1275">
        <v>76.146700507614213</v>
      </c>
      <c r="T1275" t="s">
        <v>290</v>
      </c>
      <c r="U1275">
        <v>76.146700507614213</v>
      </c>
      <c r="V1275">
        <v>94.526951376087595</v>
      </c>
      <c r="W1275">
        <v>3.949349451558744</v>
      </c>
      <c r="X1275" t="s">
        <v>291</v>
      </c>
      <c r="Y1275">
        <v>10</v>
      </c>
      <c r="Z1275">
        <v>0.2813393128634602</v>
      </c>
      <c r="AA1275">
        <v>1</v>
      </c>
    </row>
    <row r="1276" spans="1:27" hidden="1" x14ac:dyDescent="0.25">
      <c r="A1276" t="s">
        <v>98</v>
      </c>
      <c r="B1276" t="s">
        <v>1548</v>
      </c>
      <c r="D1276" t="s">
        <v>100</v>
      </c>
      <c r="E1276" t="s">
        <v>284</v>
      </c>
      <c r="F1276" t="s">
        <v>297</v>
      </c>
      <c r="G1276" t="s">
        <v>112</v>
      </c>
      <c r="H1276" t="s">
        <v>104</v>
      </c>
      <c r="I1276">
        <v>2026</v>
      </c>
      <c r="J1276" t="s">
        <v>333</v>
      </c>
      <c r="K1276" t="s">
        <v>106</v>
      </c>
      <c r="L1276" t="s">
        <v>1623</v>
      </c>
      <c r="M1276" t="s">
        <v>1644</v>
      </c>
      <c r="N1276">
        <v>1</v>
      </c>
      <c r="O1276">
        <v>2026</v>
      </c>
      <c r="P1276">
        <v>69.765067810793198</v>
      </c>
      <c r="Q1276">
        <v>2.516631606553434</v>
      </c>
      <c r="R1276" t="s">
        <v>289</v>
      </c>
      <c r="S1276">
        <v>93</v>
      </c>
      <c r="T1276" t="s">
        <v>290</v>
      </c>
      <c r="U1276">
        <v>93</v>
      </c>
      <c r="V1276">
        <v>69.765067810793198</v>
      </c>
      <c r="W1276">
        <v>2.516631606553434</v>
      </c>
      <c r="X1276" t="s">
        <v>291</v>
      </c>
      <c r="Y1276">
        <v>10</v>
      </c>
      <c r="Z1276">
        <v>0.2813393128634602</v>
      </c>
      <c r="AA1276">
        <v>1</v>
      </c>
    </row>
    <row r="1277" spans="1:27" hidden="1" x14ac:dyDescent="0.25">
      <c r="A1277" t="s">
        <v>98</v>
      </c>
      <c r="B1277" t="s">
        <v>1548</v>
      </c>
      <c r="D1277" t="s">
        <v>100</v>
      </c>
      <c r="E1277" t="s">
        <v>284</v>
      </c>
      <c r="F1277" t="s">
        <v>302</v>
      </c>
      <c r="G1277" t="s">
        <v>103</v>
      </c>
      <c r="H1277" t="s">
        <v>104</v>
      </c>
      <c r="I1277">
        <v>2026</v>
      </c>
      <c r="J1277" t="s">
        <v>335</v>
      </c>
      <c r="K1277" t="s">
        <v>106</v>
      </c>
      <c r="L1277" t="s">
        <v>1623</v>
      </c>
      <c r="M1277" t="s">
        <v>1645</v>
      </c>
      <c r="N1277">
        <v>1</v>
      </c>
      <c r="O1277">
        <v>2026</v>
      </c>
      <c r="P1277">
        <v>105.7930490817716</v>
      </c>
      <c r="Q1277">
        <v>3.355492309527206</v>
      </c>
      <c r="R1277" t="s">
        <v>289</v>
      </c>
      <c r="S1277">
        <v>64.669172932330824</v>
      </c>
      <c r="T1277" t="s">
        <v>290</v>
      </c>
      <c r="U1277">
        <v>64.669172932330824</v>
      </c>
      <c r="V1277">
        <v>105.7930490817716</v>
      </c>
      <c r="W1277">
        <v>3.355492309527206</v>
      </c>
      <c r="X1277" t="s">
        <v>291</v>
      </c>
      <c r="Y1277">
        <v>10</v>
      </c>
      <c r="Z1277">
        <v>0.2813393128634602</v>
      </c>
      <c r="AA1277">
        <v>1</v>
      </c>
    </row>
    <row r="1278" spans="1:27" hidden="1" x14ac:dyDescent="0.25">
      <c r="A1278" t="s">
        <v>98</v>
      </c>
      <c r="B1278" t="s">
        <v>1548</v>
      </c>
      <c r="D1278" t="s">
        <v>100</v>
      </c>
      <c r="E1278" t="s">
        <v>284</v>
      </c>
      <c r="F1278" t="s">
        <v>302</v>
      </c>
      <c r="G1278" t="s">
        <v>112</v>
      </c>
      <c r="H1278" t="s">
        <v>104</v>
      </c>
      <c r="I1278">
        <v>2026</v>
      </c>
      <c r="J1278" t="s">
        <v>337</v>
      </c>
      <c r="K1278" t="s">
        <v>106</v>
      </c>
      <c r="L1278" t="s">
        <v>1623</v>
      </c>
      <c r="M1278" t="s">
        <v>1646</v>
      </c>
      <c r="N1278">
        <v>1</v>
      </c>
      <c r="O1278">
        <v>2026</v>
      </c>
      <c r="P1278">
        <v>99.614212714858894</v>
      </c>
      <c r="Q1278">
        <v>1.4361600838792941</v>
      </c>
      <c r="R1278" t="s">
        <v>289</v>
      </c>
      <c r="S1278">
        <v>75.07692307692308</v>
      </c>
      <c r="T1278" t="s">
        <v>290</v>
      </c>
      <c r="U1278">
        <v>75.07692307692308</v>
      </c>
      <c r="V1278">
        <v>99.614212714858894</v>
      </c>
      <c r="W1278">
        <v>1.4361600838792941</v>
      </c>
      <c r="X1278" t="s">
        <v>291</v>
      </c>
      <c r="Y1278">
        <v>10</v>
      </c>
      <c r="Z1278">
        <v>0.2813393128634602</v>
      </c>
      <c r="AA1278">
        <v>1</v>
      </c>
    </row>
    <row r="1279" spans="1:27" hidden="1" x14ac:dyDescent="0.25">
      <c r="A1279" t="s">
        <v>98</v>
      </c>
      <c r="B1279" t="s">
        <v>1548</v>
      </c>
      <c r="D1279" t="s">
        <v>100</v>
      </c>
      <c r="E1279" t="s">
        <v>284</v>
      </c>
      <c r="F1279" t="s">
        <v>292</v>
      </c>
      <c r="G1279" t="s">
        <v>103</v>
      </c>
      <c r="H1279" t="s">
        <v>104</v>
      </c>
      <c r="I1279">
        <v>2030</v>
      </c>
      <c r="J1279" t="s">
        <v>339</v>
      </c>
      <c r="K1279" t="s">
        <v>106</v>
      </c>
      <c r="L1279" t="s">
        <v>1623</v>
      </c>
      <c r="M1279" t="s">
        <v>1647</v>
      </c>
      <c r="N1279">
        <v>1</v>
      </c>
      <c r="O1279">
        <v>2030</v>
      </c>
      <c r="P1279">
        <v>99.96668875570353</v>
      </c>
      <c r="Q1279">
        <v>4.9152448223495018</v>
      </c>
      <c r="R1279" t="s">
        <v>289</v>
      </c>
      <c r="S1279">
        <v>55.211046644573933</v>
      </c>
      <c r="T1279" t="s">
        <v>290</v>
      </c>
      <c r="U1279">
        <v>55.211046644573933</v>
      </c>
      <c r="V1279">
        <v>99.96668875570353</v>
      </c>
      <c r="W1279">
        <v>4.9152448223495018</v>
      </c>
      <c r="X1279" t="s">
        <v>291</v>
      </c>
      <c r="Y1279">
        <v>10</v>
      </c>
      <c r="Z1279">
        <v>0.2813393128634602</v>
      </c>
      <c r="AA1279">
        <v>1</v>
      </c>
    </row>
    <row r="1280" spans="1:27" hidden="1" x14ac:dyDescent="0.25">
      <c r="A1280" t="s">
        <v>98</v>
      </c>
      <c r="B1280" t="s">
        <v>1548</v>
      </c>
      <c r="D1280" t="s">
        <v>100</v>
      </c>
      <c r="E1280" t="s">
        <v>284</v>
      </c>
      <c r="F1280" t="s">
        <v>292</v>
      </c>
      <c r="G1280" t="s">
        <v>112</v>
      </c>
      <c r="H1280" t="s">
        <v>104</v>
      </c>
      <c r="I1280">
        <v>2030</v>
      </c>
      <c r="J1280" t="s">
        <v>341</v>
      </c>
      <c r="K1280" t="s">
        <v>106</v>
      </c>
      <c r="L1280" t="s">
        <v>1623</v>
      </c>
      <c r="M1280" t="s">
        <v>1648</v>
      </c>
      <c r="N1280">
        <v>1</v>
      </c>
      <c r="O1280">
        <v>2030</v>
      </c>
      <c r="P1280">
        <v>93.570390823718384</v>
      </c>
      <c r="Q1280">
        <v>4.27625645181514</v>
      </c>
      <c r="R1280" t="s">
        <v>289</v>
      </c>
      <c r="S1280">
        <v>60.132155797450622</v>
      </c>
      <c r="T1280" t="s">
        <v>290</v>
      </c>
      <c r="U1280">
        <v>60.132155797450622</v>
      </c>
      <c r="V1280">
        <v>93.570390823718384</v>
      </c>
      <c r="W1280">
        <v>4.27625645181514</v>
      </c>
      <c r="X1280" t="s">
        <v>291</v>
      </c>
      <c r="Y1280">
        <v>10</v>
      </c>
      <c r="Z1280">
        <v>0.2813393128634602</v>
      </c>
      <c r="AA1280">
        <v>1</v>
      </c>
    </row>
    <row r="1281" spans="1:27" hidden="1" x14ac:dyDescent="0.25">
      <c r="A1281" t="s">
        <v>98</v>
      </c>
      <c r="B1281" t="s">
        <v>1548</v>
      </c>
      <c r="D1281" t="s">
        <v>100</v>
      </c>
      <c r="E1281" t="s">
        <v>284</v>
      </c>
      <c r="F1281" t="s">
        <v>297</v>
      </c>
      <c r="G1281" t="s">
        <v>103</v>
      </c>
      <c r="H1281" t="s">
        <v>104</v>
      </c>
      <c r="I1281">
        <v>2030</v>
      </c>
      <c r="J1281" t="s">
        <v>343</v>
      </c>
      <c r="K1281" t="s">
        <v>106</v>
      </c>
      <c r="L1281" t="s">
        <v>1623</v>
      </c>
      <c r="M1281" t="s">
        <v>1649</v>
      </c>
      <c r="N1281">
        <v>1</v>
      </c>
      <c r="O1281">
        <v>2030</v>
      </c>
      <c r="P1281">
        <v>112.2464608710101</v>
      </c>
      <c r="Q1281">
        <v>3.5870084905918258</v>
      </c>
      <c r="R1281" t="s">
        <v>289</v>
      </c>
      <c r="S1281">
        <v>89.042769074884546</v>
      </c>
      <c r="T1281" t="s">
        <v>290</v>
      </c>
      <c r="U1281">
        <v>89.042769074884546</v>
      </c>
      <c r="V1281">
        <v>112.2464608710101</v>
      </c>
      <c r="W1281">
        <v>3.5870084905918258</v>
      </c>
      <c r="X1281" t="s">
        <v>291</v>
      </c>
      <c r="Y1281">
        <v>10</v>
      </c>
      <c r="Z1281">
        <v>0.2813393128634602</v>
      </c>
      <c r="AA1281">
        <v>1</v>
      </c>
    </row>
    <row r="1282" spans="1:27" hidden="1" x14ac:dyDescent="0.25">
      <c r="A1282" t="s">
        <v>98</v>
      </c>
      <c r="B1282" t="s">
        <v>1548</v>
      </c>
      <c r="D1282" t="s">
        <v>100</v>
      </c>
      <c r="E1282" t="s">
        <v>284</v>
      </c>
      <c r="F1282" t="s">
        <v>297</v>
      </c>
      <c r="G1282" t="s">
        <v>112</v>
      </c>
      <c r="H1282" t="s">
        <v>104</v>
      </c>
      <c r="I1282">
        <v>2030</v>
      </c>
      <c r="J1282" t="s">
        <v>345</v>
      </c>
      <c r="K1282" t="s">
        <v>106</v>
      </c>
      <c r="L1282" t="s">
        <v>1623</v>
      </c>
      <c r="M1282" t="s">
        <v>1650</v>
      </c>
      <c r="N1282">
        <v>1</v>
      </c>
      <c r="O1282">
        <v>2030</v>
      </c>
      <c r="P1282">
        <v>84.571073913548247</v>
      </c>
      <c r="Q1282">
        <v>2.3525336937486059</v>
      </c>
      <c r="R1282" t="s">
        <v>289</v>
      </c>
      <c r="S1282">
        <v>108.5525423728814</v>
      </c>
      <c r="T1282" t="s">
        <v>290</v>
      </c>
      <c r="U1282">
        <v>108.5525423728814</v>
      </c>
      <c r="V1282">
        <v>84.571073913548247</v>
      </c>
      <c r="W1282">
        <v>2.3525336937486059</v>
      </c>
      <c r="X1282" t="s">
        <v>291</v>
      </c>
      <c r="Y1282">
        <v>10</v>
      </c>
      <c r="Z1282">
        <v>0.2813393128634602</v>
      </c>
      <c r="AA1282">
        <v>1</v>
      </c>
    </row>
    <row r="1283" spans="1:27" hidden="1" x14ac:dyDescent="0.25">
      <c r="A1283" t="s">
        <v>98</v>
      </c>
      <c r="B1283" t="s">
        <v>1548</v>
      </c>
      <c r="D1283" t="s">
        <v>100</v>
      </c>
      <c r="E1283" t="s">
        <v>284</v>
      </c>
      <c r="F1283" t="s">
        <v>292</v>
      </c>
      <c r="G1283" t="s">
        <v>103</v>
      </c>
      <c r="H1283" t="s">
        <v>104</v>
      </c>
      <c r="I1283">
        <v>2040</v>
      </c>
      <c r="J1283" t="s">
        <v>347</v>
      </c>
      <c r="K1283" t="s">
        <v>106</v>
      </c>
      <c r="L1283" t="s">
        <v>1623</v>
      </c>
      <c r="M1283" t="s">
        <v>1651</v>
      </c>
      <c r="N1283">
        <v>1</v>
      </c>
      <c r="O1283">
        <v>2040</v>
      </c>
      <c r="P1283">
        <v>98.335071194105581</v>
      </c>
      <c r="Q1283">
        <v>4.7080379086524973</v>
      </c>
      <c r="R1283" t="s">
        <v>289</v>
      </c>
      <c r="S1283">
        <v>63.829339223058007</v>
      </c>
      <c r="T1283" t="s">
        <v>290</v>
      </c>
      <c r="U1283">
        <v>63.829339223058007</v>
      </c>
      <c r="V1283">
        <v>98.335071194105581</v>
      </c>
      <c r="W1283">
        <v>4.7080379086524973</v>
      </c>
      <c r="X1283" t="s">
        <v>291</v>
      </c>
      <c r="Y1283">
        <v>10</v>
      </c>
      <c r="Z1283">
        <v>0.2813393128634602</v>
      </c>
      <c r="AA1283">
        <v>1</v>
      </c>
    </row>
    <row r="1284" spans="1:27" hidden="1" x14ac:dyDescent="0.25">
      <c r="A1284" t="s">
        <v>98</v>
      </c>
      <c r="B1284" t="s">
        <v>1548</v>
      </c>
      <c r="D1284" t="s">
        <v>100</v>
      </c>
      <c r="E1284" t="s">
        <v>284</v>
      </c>
      <c r="F1284" t="s">
        <v>292</v>
      </c>
      <c r="G1284" t="s">
        <v>112</v>
      </c>
      <c r="H1284" t="s">
        <v>104</v>
      </c>
      <c r="I1284">
        <v>2040</v>
      </c>
      <c r="J1284" t="s">
        <v>349</v>
      </c>
      <c r="K1284" t="s">
        <v>106</v>
      </c>
      <c r="L1284" t="s">
        <v>1623</v>
      </c>
      <c r="M1284" t="s">
        <v>1652</v>
      </c>
      <c r="N1284">
        <v>1</v>
      </c>
      <c r="O1284">
        <v>2040</v>
      </c>
      <c r="P1284">
        <v>92.137687829328328</v>
      </c>
      <c r="Q1284">
        <v>4.1202723323867074</v>
      </c>
      <c r="R1284" t="s">
        <v>289</v>
      </c>
      <c r="S1284">
        <v>69.934718883357121</v>
      </c>
      <c r="T1284" t="s">
        <v>290</v>
      </c>
      <c r="U1284">
        <v>69.934718883357121</v>
      </c>
      <c r="V1284">
        <v>92.137687829328328</v>
      </c>
      <c r="W1284">
        <v>4.1202723323867074</v>
      </c>
      <c r="X1284" t="s">
        <v>291</v>
      </c>
      <c r="Y1284">
        <v>10</v>
      </c>
      <c r="Z1284">
        <v>0.2813393128634602</v>
      </c>
      <c r="AA1284">
        <v>1</v>
      </c>
    </row>
    <row r="1285" spans="1:27" hidden="1" x14ac:dyDescent="0.25">
      <c r="A1285" t="s">
        <v>98</v>
      </c>
      <c r="B1285" t="s">
        <v>1548</v>
      </c>
      <c r="D1285" t="s">
        <v>100</v>
      </c>
      <c r="E1285" t="s">
        <v>284</v>
      </c>
      <c r="F1285" t="s">
        <v>297</v>
      </c>
      <c r="G1285" t="s">
        <v>103</v>
      </c>
      <c r="H1285" t="s">
        <v>104</v>
      </c>
      <c r="I1285">
        <v>2040</v>
      </c>
      <c r="J1285" t="s">
        <v>351</v>
      </c>
      <c r="K1285" t="s">
        <v>106</v>
      </c>
      <c r="L1285" t="s">
        <v>1623</v>
      </c>
      <c r="M1285" t="s">
        <v>1653</v>
      </c>
      <c r="N1285">
        <v>1</v>
      </c>
      <c r="O1285">
        <v>2040</v>
      </c>
      <c r="P1285">
        <v>109.62871509832991</v>
      </c>
      <c r="Q1285">
        <v>3.28145573783857</v>
      </c>
      <c r="R1285" t="s">
        <v>289</v>
      </c>
      <c r="S1285">
        <v>101.8534675620791</v>
      </c>
      <c r="T1285" t="s">
        <v>290</v>
      </c>
      <c r="U1285">
        <v>101.8534675620791</v>
      </c>
      <c r="V1285">
        <v>109.62871509832991</v>
      </c>
      <c r="W1285">
        <v>3.28145573783857</v>
      </c>
      <c r="X1285" t="s">
        <v>291</v>
      </c>
      <c r="Y1285">
        <v>10</v>
      </c>
      <c r="Z1285">
        <v>0.2813393128634602</v>
      </c>
      <c r="AA1285">
        <v>1</v>
      </c>
    </row>
    <row r="1286" spans="1:27" hidden="1" x14ac:dyDescent="0.25">
      <c r="A1286" t="s">
        <v>98</v>
      </c>
      <c r="B1286" t="s">
        <v>1548</v>
      </c>
      <c r="D1286" t="s">
        <v>100</v>
      </c>
      <c r="E1286" t="s">
        <v>284</v>
      </c>
      <c r="F1286" t="s">
        <v>297</v>
      </c>
      <c r="G1286" t="s">
        <v>112</v>
      </c>
      <c r="H1286" t="s">
        <v>104</v>
      </c>
      <c r="I1286">
        <v>2040</v>
      </c>
      <c r="J1286" t="s">
        <v>353</v>
      </c>
      <c r="K1286" t="s">
        <v>106</v>
      </c>
      <c r="L1286" t="s">
        <v>1623</v>
      </c>
      <c r="M1286" t="s">
        <v>1654</v>
      </c>
      <c r="N1286">
        <v>1</v>
      </c>
      <c r="O1286">
        <v>2040</v>
      </c>
      <c r="P1286">
        <v>82.941268534212341</v>
      </c>
      <c r="Q1286">
        <v>2.168671786742209</v>
      </c>
      <c r="R1286" t="s">
        <v>289</v>
      </c>
      <c r="S1286">
        <v>124.1701372074253</v>
      </c>
      <c r="T1286" t="s">
        <v>290</v>
      </c>
      <c r="U1286">
        <v>124.1701372074253</v>
      </c>
      <c r="V1286">
        <v>82.941268534212341</v>
      </c>
      <c r="W1286">
        <v>2.168671786742209</v>
      </c>
      <c r="X1286" t="s">
        <v>291</v>
      </c>
      <c r="Y1286">
        <v>10</v>
      </c>
      <c r="Z1286">
        <v>0.2813393128634602</v>
      </c>
      <c r="AA1286">
        <v>1</v>
      </c>
    </row>
    <row r="1287" spans="1:27" hidden="1" x14ac:dyDescent="0.25">
      <c r="A1287" t="s">
        <v>98</v>
      </c>
      <c r="B1287" t="s">
        <v>1548</v>
      </c>
      <c r="D1287" t="s">
        <v>100</v>
      </c>
      <c r="E1287" t="s">
        <v>284</v>
      </c>
      <c r="F1287" t="s">
        <v>355</v>
      </c>
      <c r="G1287" t="s">
        <v>103</v>
      </c>
      <c r="H1287" t="s">
        <v>104</v>
      </c>
      <c r="I1287">
        <v>2022</v>
      </c>
      <c r="J1287" t="s">
        <v>356</v>
      </c>
      <c r="K1287" t="s">
        <v>106</v>
      </c>
      <c r="L1287" t="s">
        <v>1623</v>
      </c>
      <c r="M1287" t="s">
        <v>1655</v>
      </c>
      <c r="N1287">
        <v>1</v>
      </c>
      <c r="O1287">
        <v>2020</v>
      </c>
      <c r="P1287">
        <v>26.539302440149839</v>
      </c>
      <c r="Q1287">
        <v>0.71977466386263589</v>
      </c>
      <c r="R1287" t="s">
        <v>289</v>
      </c>
      <c r="S1287">
        <v>85.75677051732572</v>
      </c>
      <c r="T1287" t="s">
        <v>290</v>
      </c>
      <c r="U1287">
        <v>85.75677051732572</v>
      </c>
      <c r="V1287">
        <v>26.539302440149839</v>
      </c>
      <c r="W1287">
        <v>0.71977466386263589</v>
      </c>
      <c r="X1287" t="s">
        <v>291</v>
      </c>
      <c r="Y1287">
        <v>10</v>
      </c>
      <c r="Z1287">
        <v>0.2813393128634602</v>
      </c>
      <c r="AA1287">
        <v>1</v>
      </c>
    </row>
    <row r="1288" spans="1:27" hidden="1" x14ac:dyDescent="0.25">
      <c r="A1288" t="s">
        <v>98</v>
      </c>
      <c r="B1288" t="s">
        <v>1548</v>
      </c>
      <c r="D1288" t="s">
        <v>100</v>
      </c>
      <c r="E1288" t="s">
        <v>284</v>
      </c>
      <c r="F1288" t="s">
        <v>355</v>
      </c>
      <c r="G1288" t="s">
        <v>112</v>
      </c>
      <c r="H1288" t="s">
        <v>104</v>
      </c>
      <c r="I1288">
        <v>2022</v>
      </c>
      <c r="J1288" t="s">
        <v>358</v>
      </c>
      <c r="K1288" t="s">
        <v>106</v>
      </c>
      <c r="L1288" t="s">
        <v>1623</v>
      </c>
      <c r="M1288" t="s">
        <v>1656</v>
      </c>
      <c r="N1288">
        <v>1</v>
      </c>
      <c r="O1288">
        <v>2020</v>
      </c>
      <c r="P1288">
        <v>27.952547937105681</v>
      </c>
      <c r="Q1288">
        <v>0.83346015109483984</v>
      </c>
      <c r="R1288" t="s">
        <v>289</v>
      </c>
      <c r="S1288">
        <v>88.372750377742747</v>
      </c>
      <c r="T1288" t="s">
        <v>290</v>
      </c>
      <c r="U1288">
        <v>88.372750377742747</v>
      </c>
      <c r="V1288">
        <v>27.952547937105681</v>
      </c>
      <c r="W1288">
        <v>0.83346015109483984</v>
      </c>
      <c r="X1288" t="s">
        <v>291</v>
      </c>
      <c r="Y1288">
        <v>10</v>
      </c>
      <c r="Z1288">
        <v>0.2813393128634602</v>
      </c>
      <c r="AA1288">
        <v>1</v>
      </c>
    </row>
    <row r="1289" spans="1:27" hidden="1" x14ac:dyDescent="0.25">
      <c r="A1289" t="s">
        <v>98</v>
      </c>
      <c r="B1289" t="s">
        <v>1548</v>
      </c>
      <c r="D1289" t="s">
        <v>100</v>
      </c>
      <c r="E1289" t="s">
        <v>284</v>
      </c>
      <c r="F1289" t="s">
        <v>360</v>
      </c>
      <c r="G1289" t="s">
        <v>103</v>
      </c>
      <c r="H1289" t="s">
        <v>104</v>
      </c>
      <c r="I1289">
        <v>2022</v>
      </c>
      <c r="J1289" t="s">
        <v>361</v>
      </c>
      <c r="K1289" t="s">
        <v>106</v>
      </c>
      <c r="L1289" t="s">
        <v>1623</v>
      </c>
      <c r="M1289" t="s">
        <v>1657</v>
      </c>
      <c r="N1289">
        <v>1</v>
      </c>
      <c r="O1289">
        <v>2020</v>
      </c>
      <c r="P1289">
        <v>30.743231458982891</v>
      </c>
      <c r="Q1289">
        <v>0.75530083267302539</v>
      </c>
      <c r="R1289" t="s">
        <v>289</v>
      </c>
      <c r="S1289">
        <v>85.752844444444449</v>
      </c>
      <c r="T1289" t="s">
        <v>290</v>
      </c>
      <c r="U1289">
        <v>85.752844444444449</v>
      </c>
      <c r="V1289">
        <v>30.743231458982891</v>
      </c>
      <c r="W1289">
        <v>0.75530083267302539</v>
      </c>
      <c r="X1289" t="s">
        <v>291</v>
      </c>
      <c r="Y1289">
        <v>10</v>
      </c>
      <c r="Z1289">
        <v>0.2813393128634602</v>
      </c>
      <c r="AA1289">
        <v>1</v>
      </c>
    </row>
    <row r="1290" spans="1:27" hidden="1" x14ac:dyDescent="0.25">
      <c r="A1290" t="s">
        <v>98</v>
      </c>
      <c r="B1290" t="s">
        <v>1548</v>
      </c>
      <c r="D1290" t="s">
        <v>100</v>
      </c>
      <c r="E1290" t="s">
        <v>284</v>
      </c>
      <c r="F1290" t="s">
        <v>360</v>
      </c>
      <c r="G1290" t="s">
        <v>112</v>
      </c>
      <c r="H1290" t="s">
        <v>104</v>
      </c>
      <c r="I1290">
        <v>2022</v>
      </c>
      <c r="J1290" t="s">
        <v>363</v>
      </c>
      <c r="K1290" t="s">
        <v>106</v>
      </c>
      <c r="L1290" t="s">
        <v>1623</v>
      </c>
      <c r="M1290" t="s">
        <v>1658</v>
      </c>
      <c r="N1290">
        <v>1</v>
      </c>
      <c r="O1290">
        <v>2020</v>
      </c>
      <c r="P1290">
        <v>30.995290460986698</v>
      </c>
      <c r="Q1290">
        <v>1.07624732944957</v>
      </c>
      <c r="R1290" t="s">
        <v>289</v>
      </c>
      <c r="S1290">
        <v>91.18482905982907</v>
      </c>
      <c r="T1290" t="s">
        <v>290</v>
      </c>
      <c r="U1290">
        <v>91.18482905982907</v>
      </c>
      <c r="V1290">
        <v>30.995290460986698</v>
      </c>
      <c r="W1290">
        <v>1.07624732944957</v>
      </c>
      <c r="X1290" t="s">
        <v>291</v>
      </c>
      <c r="Y1290">
        <v>10</v>
      </c>
      <c r="Z1290">
        <v>0.2813393128634602</v>
      </c>
      <c r="AA1290">
        <v>1</v>
      </c>
    </row>
    <row r="1291" spans="1:27" hidden="1" x14ac:dyDescent="0.25">
      <c r="A1291" t="s">
        <v>98</v>
      </c>
      <c r="B1291" t="s">
        <v>1548</v>
      </c>
      <c r="D1291" t="s">
        <v>100</v>
      </c>
      <c r="E1291" t="s">
        <v>284</v>
      </c>
      <c r="F1291" t="s">
        <v>365</v>
      </c>
      <c r="G1291" t="s">
        <v>103</v>
      </c>
      <c r="H1291" t="s">
        <v>104</v>
      </c>
      <c r="I1291">
        <v>2022</v>
      </c>
      <c r="J1291" t="s">
        <v>366</v>
      </c>
      <c r="K1291" t="s">
        <v>106</v>
      </c>
      <c r="L1291" t="s">
        <v>1623</v>
      </c>
      <c r="M1291" t="s">
        <v>1659</v>
      </c>
      <c r="N1291">
        <v>1</v>
      </c>
      <c r="O1291">
        <v>2020</v>
      </c>
      <c r="P1291">
        <v>34.581332645158973</v>
      </c>
      <c r="Q1291">
        <v>1.926881708285624</v>
      </c>
      <c r="R1291" t="s">
        <v>289</v>
      </c>
      <c r="S1291">
        <v>115.45533602622641</v>
      </c>
      <c r="T1291" t="s">
        <v>290</v>
      </c>
      <c r="U1291">
        <v>115.45533602622641</v>
      </c>
      <c r="V1291">
        <v>34.581332645158973</v>
      </c>
      <c r="W1291">
        <v>1.926881708285624</v>
      </c>
      <c r="X1291" t="s">
        <v>291</v>
      </c>
      <c r="Y1291">
        <v>10</v>
      </c>
      <c r="Z1291">
        <v>0.2813393128634602</v>
      </c>
      <c r="AA1291">
        <v>1</v>
      </c>
    </row>
    <row r="1292" spans="1:27" hidden="1" x14ac:dyDescent="0.25">
      <c r="A1292" t="s">
        <v>98</v>
      </c>
      <c r="B1292" t="s">
        <v>1548</v>
      </c>
      <c r="D1292" t="s">
        <v>100</v>
      </c>
      <c r="E1292" t="s">
        <v>284</v>
      </c>
      <c r="F1292" t="s">
        <v>365</v>
      </c>
      <c r="G1292" t="s">
        <v>112</v>
      </c>
      <c r="H1292" t="s">
        <v>104</v>
      </c>
      <c r="I1292">
        <v>2022</v>
      </c>
      <c r="J1292" t="s">
        <v>368</v>
      </c>
      <c r="K1292" t="s">
        <v>106</v>
      </c>
      <c r="L1292" t="s">
        <v>1623</v>
      </c>
      <c r="M1292" t="s">
        <v>1660</v>
      </c>
      <c r="N1292">
        <v>1</v>
      </c>
      <c r="O1292">
        <v>2020</v>
      </c>
      <c r="P1292">
        <v>44.653862333829821</v>
      </c>
      <c r="Q1292">
        <v>2.4693086643180591</v>
      </c>
      <c r="R1292" t="s">
        <v>289</v>
      </c>
      <c r="S1292">
        <v>130.6177318295739</v>
      </c>
      <c r="T1292" t="s">
        <v>290</v>
      </c>
      <c r="U1292">
        <v>130.6177318295739</v>
      </c>
      <c r="V1292">
        <v>44.653862333829821</v>
      </c>
      <c r="W1292">
        <v>2.4693086643180591</v>
      </c>
      <c r="X1292" t="s">
        <v>291</v>
      </c>
      <c r="Y1292">
        <v>10</v>
      </c>
      <c r="Z1292">
        <v>0.2813393128634602</v>
      </c>
      <c r="AA1292">
        <v>1</v>
      </c>
    </row>
    <row r="1293" spans="1:27" hidden="1" x14ac:dyDescent="0.25">
      <c r="A1293" t="s">
        <v>98</v>
      </c>
      <c r="B1293" t="s">
        <v>1548</v>
      </c>
      <c r="D1293" t="s">
        <v>100</v>
      </c>
      <c r="E1293" t="s">
        <v>284</v>
      </c>
      <c r="F1293" t="s">
        <v>365</v>
      </c>
      <c r="G1293" t="s">
        <v>103</v>
      </c>
      <c r="H1293" t="s">
        <v>104</v>
      </c>
      <c r="I1293">
        <v>2023</v>
      </c>
      <c r="J1293" t="s">
        <v>370</v>
      </c>
      <c r="K1293" t="s">
        <v>106</v>
      </c>
      <c r="L1293" t="s">
        <v>1623</v>
      </c>
      <c r="M1293" t="s">
        <v>1661</v>
      </c>
      <c r="N1293">
        <v>1</v>
      </c>
      <c r="O1293">
        <v>2023</v>
      </c>
      <c r="P1293">
        <v>34.353918735727063</v>
      </c>
      <c r="Q1293">
        <v>1.893397965391721</v>
      </c>
      <c r="R1293" t="s">
        <v>289</v>
      </c>
      <c r="S1293">
        <v>115.45533602622641</v>
      </c>
      <c r="T1293" t="s">
        <v>290</v>
      </c>
      <c r="U1293">
        <v>115.45533602622641</v>
      </c>
      <c r="V1293">
        <v>34.353918735727063</v>
      </c>
      <c r="W1293">
        <v>1.893397965391721</v>
      </c>
      <c r="X1293" t="s">
        <v>291</v>
      </c>
      <c r="Y1293">
        <v>10</v>
      </c>
      <c r="Z1293">
        <v>0.2813393128634602</v>
      </c>
      <c r="AA1293">
        <v>1</v>
      </c>
    </row>
    <row r="1294" spans="1:27" hidden="1" x14ac:dyDescent="0.25">
      <c r="A1294" t="s">
        <v>98</v>
      </c>
      <c r="B1294" t="s">
        <v>1548</v>
      </c>
      <c r="D1294" t="s">
        <v>100</v>
      </c>
      <c r="E1294" t="s">
        <v>284</v>
      </c>
      <c r="F1294" t="s">
        <v>365</v>
      </c>
      <c r="G1294" t="s">
        <v>112</v>
      </c>
      <c r="H1294" t="s">
        <v>104</v>
      </c>
      <c r="I1294">
        <v>2023</v>
      </c>
      <c r="J1294" t="s">
        <v>372</v>
      </c>
      <c r="K1294" t="s">
        <v>106</v>
      </c>
      <c r="L1294" t="s">
        <v>1623</v>
      </c>
      <c r="M1294" t="s">
        <v>1662</v>
      </c>
      <c r="N1294">
        <v>1</v>
      </c>
      <c r="O1294">
        <v>2023</v>
      </c>
      <c r="P1294">
        <v>43.733464606512037</v>
      </c>
      <c r="Q1294">
        <v>2.4042644647868401</v>
      </c>
      <c r="R1294" t="s">
        <v>289</v>
      </c>
      <c r="S1294">
        <v>130.6177318295739</v>
      </c>
      <c r="T1294" t="s">
        <v>290</v>
      </c>
      <c r="U1294">
        <v>130.6177318295739</v>
      </c>
      <c r="V1294">
        <v>43.733464606512037</v>
      </c>
      <c r="W1294">
        <v>2.4042644647868401</v>
      </c>
      <c r="X1294" t="s">
        <v>291</v>
      </c>
      <c r="Y1294">
        <v>10</v>
      </c>
      <c r="Z1294">
        <v>0.2813393128634602</v>
      </c>
      <c r="AA1294">
        <v>1</v>
      </c>
    </row>
    <row r="1295" spans="1:27" hidden="1" x14ac:dyDescent="0.25">
      <c r="A1295" t="s">
        <v>98</v>
      </c>
      <c r="B1295" t="s">
        <v>1548</v>
      </c>
      <c r="D1295" t="s">
        <v>100</v>
      </c>
      <c r="E1295" t="s">
        <v>284</v>
      </c>
      <c r="F1295" t="s">
        <v>365</v>
      </c>
      <c r="G1295" t="s">
        <v>103</v>
      </c>
      <c r="H1295" t="s">
        <v>104</v>
      </c>
      <c r="I1295">
        <v>2024</v>
      </c>
      <c r="J1295" t="s">
        <v>374</v>
      </c>
      <c r="K1295" t="s">
        <v>106</v>
      </c>
      <c r="L1295" t="s">
        <v>1623</v>
      </c>
      <c r="M1295" t="s">
        <v>1663</v>
      </c>
      <c r="N1295">
        <v>1</v>
      </c>
      <c r="O1295">
        <v>2024</v>
      </c>
      <c r="P1295">
        <v>34.353918735727063</v>
      </c>
      <c r="Q1295">
        <v>1.893397965391721</v>
      </c>
      <c r="R1295" t="s">
        <v>289</v>
      </c>
      <c r="S1295">
        <v>115.45533602622641</v>
      </c>
      <c r="T1295" t="s">
        <v>290</v>
      </c>
      <c r="U1295">
        <v>115.45533602622641</v>
      </c>
      <c r="V1295">
        <v>34.353918735727063</v>
      </c>
      <c r="W1295">
        <v>1.893397965391721</v>
      </c>
      <c r="X1295" t="s">
        <v>291</v>
      </c>
      <c r="Y1295">
        <v>10</v>
      </c>
      <c r="Z1295">
        <v>0.2813393128634602</v>
      </c>
      <c r="AA1295">
        <v>1</v>
      </c>
    </row>
    <row r="1296" spans="1:27" hidden="1" x14ac:dyDescent="0.25">
      <c r="A1296" t="s">
        <v>98</v>
      </c>
      <c r="B1296" t="s">
        <v>1548</v>
      </c>
      <c r="D1296" t="s">
        <v>100</v>
      </c>
      <c r="E1296" t="s">
        <v>284</v>
      </c>
      <c r="F1296" t="s">
        <v>365</v>
      </c>
      <c r="G1296" t="s">
        <v>112</v>
      </c>
      <c r="H1296" t="s">
        <v>104</v>
      </c>
      <c r="I1296">
        <v>2024</v>
      </c>
      <c r="J1296" t="s">
        <v>376</v>
      </c>
      <c r="K1296" t="s">
        <v>106</v>
      </c>
      <c r="L1296" t="s">
        <v>1623</v>
      </c>
      <c r="M1296" t="s">
        <v>1664</v>
      </c>
      <c r="N1296">
        <v>1</v>
      </c>
      <c r="O1296">
        <v>2024</v>
      </c>
      <c r="P1296">
        <v>43.733464606512037</v>
      </c>
      <c r="Q1296">
        <v>2.4042644647868401</v>
      </c>
      <c r="R1296" t="s">
        <v>289</v>
      </c>
      <c r="S1296">
        <v>130.6177318295739</v>
      </c>
      <c r="T1296" t="s">
        <v>290</v>
      </c>
      <c r="U1296">
        <v>130.6177318295739</v>
      </c>
      <c r="V1296">
        <v>43.733464606512037</v>
      </c>
      <c r="W1296">
        <v>2.4042644647868401</v>
      </c>
      <c r="X1296" t="s">
        <v>291</v>
      </c>
      <c r="Y1296">
        <v>10</v>
      </c>
      <c r="Z1296">
        <v>0.2813393128634602</v>
      </c>
      <c r="AA1296">
        <v>1</v>
      </c>
    </row>
    <row r="1297" spans="1:27" hidden="1" x14ac:dyDescent="0.25">
      <c r="A1297" t="s">
        <v>98</v>
      </c>
      <c r="B1297" t="s">
        <v>1548</v>
      </c>
      <c r="D1297" t="s">
        <v>100</v>
      </c>
      <c r="E1297" t="s">
        <v>284</v>
      </c>
      <c r="F1297" t="s">
        <v>365</v>
      </c>
      <c r="G1297" t="s">
        <v>103</v>
      </c>
      <c r="H1297" t="s">
        <v>104</v>
      </c>
      <c r="I1297">
        <v>2025</v>
      </c>
      <c r="J1297" t="s">
        <v>378</v>
      </c>
      <c r="K1297" t="s">
        <v>106</v>
      </c>
      <c r="L1297" t="s">
        <v>1623</v>
      </c>
      <c r="M1297" t="s">
        <v>1665</v>
      </c>
      <c r="N1297">
        <v>1</v>
      </c>
      <c r="O1297">
        <v>2025</v>
      </c>
      <c r="P1297">
        <v>34.353918735727063</v>
      </c>
      <c r="Q1297">
        <v>1.893397965391721</v>
      </c>
      <c r="R1297" t="s">
        <v>289</v>
      </c>
      <c r="S1297">
        <v>115.45533602622641</v>
      </c>
      <c r="T1297" t="s">
        <v>290</v>
      </c>
      <c r="U1297">
        <v>115.45533602622641</v>
      </c>
      <c r="V1297">
        <v>34.353918735727063</v>
      </c>
      <c r="W1297">
        <v>1.893397965391721</v>
      </c>
      <c r="X1297" t="s">
        <v>291</v>
      </c>
      <c r="Y1297">
        <v>10</v>
      </c>
      <c r="Z1297">
        <v>0.2813393128634602</v>
      </c>
      <c r="AA1297">
        <v>1</v>
      </c>
    </row>
    <row r="1298" spans="1:27" hidden="1" x14ac:dyDescent="0.25">
      <c r="A1298" t="s">
        <v>98</v>
      </c>
      <c r="B1298" t="s">
        <v>1548</v>
      </c>
      <c r="D1298" t="s">
        <v>100</v>
      </c>
      <c r="E1298" t="s">
        <v>284</v>
      </c>
      <c r="F1298" t="s">
        <v>365</v>
      </c>
      <c r="G1298" t="s">
        <v>112</v>
      </c>
      <c r="H1298" t="s">
        <v>104</v>
      </c>
      <c r="I1298">
        <v>2025</v>
      </c>
      <c r="J1298" t="s">
        <v>380</v>
      </c>
      <c r="K1298" t="s">
        <v>106</v>
      </c>
      <c r="L1298" t="s">
        <v>1623</v>
      </c>
      <c r="M1298" t="s">
        <v>1666</v>
      </c>
      <c r="N1298">
        <v>1</v>
      </c>
      <c r="O1298">
        <v>2025</v>
      </c>
      <c r="P1298">
        <v>43.733464606512037</v>
      </c>
      <c r="Q1298">
        <v>2.4042644647868401</v>
      </c>
      <c r="R1298" t="s">
        <v>289</v>
      </c>
      <c r="S1298">
        <v>130.6177318295739</v>
      </c>
      <c r="T1298" t="s">
        <v>290</v>
      </c>
      <c r="U1298">
        <v>130.6177318295739</v>
      </c>
      <c r="V1298">
        <v>43.733464606512037</v>
      </c>
      <c r="W1298">
        <v>2.4042644647868401</v>
      </c>
      <c r="X1298" t="s">
        <v>291</v>
      </c>
      <c r="Y1298">
        <v>10</v>
      </c>
      <c r="Z1298">
        <v>0.2813393128634602</v>
      </c>
      <c r="AA1298">
        <v>1</v>
      </c>
    </row>
    <row r="1299" spans="1:27" hidden="1" x14ac:dyDescent="0.25">
      <c r="A1299" t="s">
        <v>98</v>
      </c>
      <c r="B1299" t="s">
        <v>1548</v>
      </c>
      <c r="D1299" t="s">
        <v>100</v>
      </c>
      <c r="E1299" t="s">
        <v>284</v>
      </c>
      <c r="F1299" t="s">
        <v>365</v>
      </c>
      <c r="G1299" t="s">
        <v>103</v>
      </c>
      <c r="H1299" t="s">
        <v>104</v>
      </c>
      <c r="I1299">
        <v>2026</v>
      </c>
      <c r="J1299" t="s">
        <v>382</v>
      </c>
      <c r="K1299" t="s">
        <v>106</v>
      </c>
      <c r="L1299" t="s">
        <v>1623</v>
      </c>
      <c r="M1299" t="s">
        <v>1667</v>
      </c>
      <c r="N1299">
        <v>1</v>
      </c>
      <c r="O1299">
        <v>2026</v>
      </c>
      <c r="P1299">
        <v>34.353918735727063</v>
      </c>
      <c r="Q1299">
        <v>1.893397965391721</v>
      </c>
      <c r="R1299" t="s">
        <v>289</v>
      </c>
      <c r="S1299">
        <v>115.45533602622641</v>
      </c>
      <c r="T1299" t="s">
        <v>290</v>
      </c>
      <c r="U1299">
        <v>115.45533602622641</v>
      </c>
      <c r="V1299">
        <v>34.353918735727063</v>
      </c>
      <c r="W1299">
        <v>1.893397965391721</v>
      </c>
      <c r="X1299" t="s">
        <v>291</v>
      </c>
      <c r="Y1299">
        <v>10</v>
      </c>
      <c r="Z1299">
        <v>0.2813393128634602</v>
      </c>
      <c r="AA1299">
        <v>1</v>
      </c>
    </row>
    <row r="1300" spans="1:27" hidden="1" x14ac:dyDescent="0.25">
      <c r="A1300" t="s">
        <v>98</v>
      </c>
      <c r="B1300" t="s">
        <v>1548</v>
      </c>
      <c r="D1300" t="s">
        <v>100</v>
      </c>
      <c r="E1300" t="s">
        <v>284</v>
      </c>
      <c r="F1300" t="s">
        <v>365</v>
      </c>
      <c r="G1300" t="s">
        <v>112</v>
      </c>
      <c r="H1300" t="s">
        <v>104</v>
      </c>
      <c r="I1300">
        <v>2026</v>
      </c>
      <c r="J1300" t="s">
        <v>384</v>
      </c>
      <c r="K1300" t="s">
        <v>106</v>
      </c>
      <c r="L1300" t="s">
        <v>1623</v>
      </c>
      <c r="M1300" t="s">
        <v>1668</v>
      </c>
      <c r="N1300">
        <v>1</v>
      </c>
      <c r="O1300">
        <v>2026</v>
      </c>
      <c r="P1300">
        <v>43.733464606512037</v>
      </c>
      <c r="Q1300">
        <v>2.4042644647868401</v>
      </c>
      <c r="R1300" t="s">
        <v>289</v>
      </c>
      <c r="S1300">
        <v>130.6177318295739</v>
      </c>
      <c r="T1300" t="s">
        <v>290</v>
      </c>
      <c r="U1300">
        <v>130.6177318295739</v>
      </c>
      <c r="V1300">
        <v>43.733464606512037</v>
      </c>
      <c r="W1300">
        <v>2.4042644647868401</v>
      </c>
      <c r="X1300" t="s">
        <v>291</v>
      </c>
      <c r="Y1300">
        <v>10</v>
      </c>
      <c r="Z1300">
        <v>0.2813393128634602</v>
      </c>
      <c r="AA1300">
        <v>1</v>
      </c>
    </row>
    <row r="1301" spans="1:27" hidden="1" x14ac:dyDescent="0.25">
      <c r="A1301" t="s">
        <v>98</v>
      </c>
      <c r="B1301" t="s">
        <v>1548</v>
      </c>
      <c r="D1301" t="s">
        <v>100</v>
      </c>
      <c r="E1301" t="s">
        <v>284</v>
      </c>
      <c r="F1301" t="s">
        <v>365</v>
      </c>
      <c r="G1301" t="s">
        <v>103</v>
      </c>
      <c r="H1301" t="s">
        <v>104</v>
      </c>
      <c r="I1301">
        <v>2027</v>
      </c>
      <c r="J1301" t="s">
        <v>386</v>
      </c>
      <c r="K1301" t="s">
        <v>106</v>
      </c>
      <c r="L1301" t="s">
        <v>1623</v>
      </c>
      <c r="M1301" t="s">
        <v>1669</v>
      </c>
      <c r="N1301">
        <v>1</v>
      </c>
      <c r="O1301">
        <v>2027</v>
      </c>
      <c r="P1301">
        <v>34.353918735727063</v>
      </c>
      <c r="Q1301">
        <v>1.893397965391721</v>
      </c>
      <c r="R1301" t="s">
        <v>289</v>
      </c>
      <c r="S1301">
        <v>115.45533602622641</v>
      </c>
      <c r="T1301" t="s">
        <v>290</v>
      </c>
      <c r="U1301">
        <v>115.45533602622641</v>
      </c>
      <c r="V1301">
        <v>34.353918735727063</v>
      </c>
      <c r="W1301">
        <v>1.893397965391721</v>
      </c>
      <c r="X1301" t="s">
        <v>291</v>
      </c>
      <c r="Y1301">
        <v>10</v>
      </c>
      <c r="Z1301">
        <v>0.2813393128634602</v>
      </c>
      <c r="AA1301">
        <v>1</v>
      </c>
    </row>
    <row r="1302" spans="1:27" hidden="1" x14ac:dyDescent="0.25">
      <c r="A1302" t="s">
        <v>98</v>
      </c>
      <c r="B1302" t="s">
        <v>1548</v>
      </c>
      <c r="D1302" t="s">
        <v>100</v>
      </c>
      <c r="E1302" t="s">
        <v>284</v>
      </c>
      <c r="F1302" t="s">
        <v>365</v>
      </c>
      <c r="G1302" t="s">
        <v>112</v>
      </c>
      <c r="H1302" t="s">
        <v>104</v>
      </c>
      <c r="I1302">
        <v>2027</v>
      </c>
      <c r="J1302" t="s">
        <v>388</v>
      </c>
      <c r="K1302" t="s">
        <v>106</v>
      </c>
      <c r="L1302" t="s">
        <v>1623</v>
      </c>
      <c r="M1302" t="s">
        <v>1670</v>
      </c>
      <c r="N1302">
        <v>1</v>
      </c>
      <c r="O1302">
        <v>2027</v>
      </c>
      <c r="P1302">
        <v>43.733464606512037</v>
      </c>
      <c r="Q1302">
        <v>2.4042644647868401</v>
      </c>
      <c r="R1302" t="s">
        <v>289</v>
      </c>
      <c r="S1302">
        <v>130.6177318295739</v>
      </c>
      <c r="T1302" t="s">
        <v>290</v>
      </c>
      <c r="U1302">
        <v>130.6177318295739</v>
      </c>
      <c r="V1302">
        <v>43.733464606512037</v>
      </c>
      <c r="W1302">
        <v>2.4042644647868401</v>
      </c>
      <c r="X1302" t="s">
        <v>291</v>
      </c>
      <c r="Y1302">
        <v>10</v>
      </c>
      <c r="Z1302">
        <v>0.2813393128634602</v>
      </c>
      <c r="AA1302">
        <v>1</v>
      </c>
    </row>
    <row r="1303" spans="1:27" hidden="1" x14ac:dyDescent="0.25">
      <c r="A1303" t="s">
        <v>98</v>
      </c>
      <c r="B1303" t="s">
        <v>1548</v>
      </c>
      <c r="D1303" t="s">
        <v>100</v>
      </c>
      <c r="E1303" t="s">
        <v>284</v>
      </c>
      <c r="F1303" t="s">
        <v>365</v>
      </c>
      <c r="G1303" t="s">
        <v>103</v>
      </c>
      <c r="H1303" t="s">
        <v>104</v>
      </c>
      <c r="I1303">
        <v>2028</v>
      </c>
      <c r="J1303" t="s">
        <v>390</v>
      </c>
      <c r="K1303" t="s">
        <v>106</v>
      </c>
      <c r="L1303" t="s">
        <v>1623</v>
      </c>
      <c r="M1303" t="s">
        <v>1671</v>
      </c>
      <c r="N1303">
        <v>1</v>
      </c>
      <c r="O1303">
        <v>2028</v>
      </c>
      <c r="P1303">
        <v>34.353918735727063</v>
      </c>
      <c r="Q1303">
        <v>1.893397965391721</v>
      </c>
      <c r="R1303" t="s">
        <v>289</v>
      </c>
      <c r="S1303">
        <v>115.45533602622641</v>
      </c>
      <c r="T1303" t="s">
        <v>290</v>
      </c>
      <c r="U1303">
        <v>115.45533602622641</v>
      </c>
      <c r="V1303">
        <v>34.353918735727063</v>
      </c>
      <c r="W1303">
        <v>1.893397965391721</v>
      </c>
      <c r="X1303" t="s">
        <v>291</v>
      </c>
      <c r="Y1303">
        <v>10</v>
      </c>
      <c r="Z1303">
        <v>0.2813393128634602</v>
      </c>
      <c r="AA1303">
        <v>1</v>
      </c>
    </row>
    <row r="1304" spans="1:27" hidden="1" x14ac:dyDescent="0.25">
      <c r="A1304" t="s">
        <v>98</v>
      </c>
      <c r="B1304" t="s">
        <v>1548</v>
      </c>
      <c r="D1304" t="s">
        <v>100</v>
      </c>
      <c r="E1304" t="s">
        <v>284</v>
      </c>
      <c r="F1304" t="s">
        <v>365</v>
      </c>
      <c r="G1304" t="s">
        <v>112</v>
      </c>
      <c r="H1304" t="s">
        <v>104</v>
      </c>
      <c r="I1304">
        <v>2028</v>
      </c>
      <c r="J1304" t="s">
        <v>392</v>
      </c>
      <c r="K1304" t="s">
        <v>106</v>
      </c>
      <c r="L1304" t="s">
        <v>1623</v>
      </c>
      <c r="M1304" t="s">
        <v>1672</v>
      </c>
      <c r="N1304">
        <v>1</v>
      </c>
      <c r="O1304">
        <v>2028</v>
      </c>
      <c r="P1304">
        <v>43.733464606512037</v>
      </c>
      <c r="Q1304">
        <v>2.4042644647868401</v>
      </c>
      <c r="R1304" t="s">
        <v>289</v>
      </c>
      <c r="S1304">
        <v>130.6177318295739</v>
      </c>
      <c r="T1304" t="s">
        <v>290</v>
      </c>
      <c r="U1304">
        <v>130.6177318295739</v>
      </c>
      <c r="V1304">
        <v>43.733464606512037</v>
      </c>
      <c r="W1304">
        <v>2.4042644647868401</v>
      </c>
      <c r="X1304" t="s">
        <v>291</v>
      </c>
      <c r="Y1304">
        <v>10</v>
      </c>
      <c r="Z1304">
        <v>0.2813393128634602</v>
      </c>
      <c r="AA1304">
        <v>1</v>
      </c>
    </row>
    <row r="1305" spans="1:27" hidden="1" x14ac:dyDescent="0.25">
      <c r="A1305" t="s">
        <v>98</v>
      </c>
      <c r="B1305" t="s">
        <v>1548</v>
      </c>
      <c r="D1305" t="s">
        <v>100</v>
      </c>
      <c r="E1305" t="s">
        <v>284</v>
      </c>
      <c r="F1305" t="s">
        <v>365</v>
      </c>
      <c r="G1305" t="s">
        <v>103</v>
      </c>
      <c r="H1305" t="s">
        <v>104</v>
      </c>
      <c r="I1305">
        <v>2029</v>
      </c>
      <c r="J1305" t="s">
        <v>394</v>
      </c>
      <c r="K1305" t="s">
        <v>106</v>
      </c>
      <c r="L1305" t="s">
        <v>1623</v>
      </c>
      <c r="M1305" t="s">
        <v>1673</v>
      </c>
      <c r="N1305">
        <v>1</v>
      </c>
      <c r="O1305">
        <v>2029</v>
      </c>
      <c r="P1305">
        <v>34.353918735727063</v>
      </c>
      <c r="Q1305">
        <v>1.893397965391721</v>
      </c>
      <c r="R1305" t="s">
        <v>289</v>
      </c>
      <c r="S1305">
        <v>115.45533602622641</v>
      </c>
      <c r="T1305" t="s">
        <v>290</v>
      </c>
      <c r="U1305">
        <v>115.45533602622641</v>
      </c>
      <c r="V1305">
        <v>34.353918735727063</v>
      </c>
      <c r="W1305">
        <v>1.893397965391721</v>
      </c>
      <c r="X1305" t="s">
        <v>291</v>
      </c>
      <c r="Y1305">
        <v>10</v>
      </c>
      <c r="Z1305">
        <v>0.2813393128634602</v>
      </c>
      <c r="AA1305">
        <v>1</v>
      </c>
    </row>
    <row r="1306" spans="1:27" hidden="1" x14ac:dyDescent="0.25">
      <c r="A1306" t="s">
        <v>98</v>
      </c>
      <c r="B1306" t="s">
        <v>1548</v>
      </c>
      <c r="D1306" t="s">
        <v>100</v>
      </c>
      <c r="E1306" t="s">
        <v>284</v>
      </c>
      <c r="F1306" t="s">
        <v>365</v>
      </c>
      <c r="G1306" t="s">
        <v>112</v>
      </c>
      <c r="H1306" t="s">
        <v>104</v>
      </c>
      <c r="I1306">
        <v>2029</v>
      </c>
      <c r="J1306" t="s">
        <v>396</v>
      </c>
      <c r="K1306" t="s">
        <v>106</v>
      </c>
      <c r="L1306" t="s">
        <v>1623</v>
      </c>
      <c r="M1306" t="s">
        <v>1674</v>
      </c>
      <c r="N1306">
        <v>1</v>
      </c>
      <c r="O1306">
        <v>2029</v>
      </c>
      <c r="P1306">
        <v>43.733464606512037</v>
      </c>
      <c r="Q1306">
        <v>2.4042644647868401</v>
      </c>
      <c r="R1306" t="s">
        <v>289</v>
      </c>
      <c r="S1306">
        <v>130.6177318295739</v>
      </c>
      <c r="T1306" t="s">
        <v>290</v>
      </c>
      <c r="U1306">
        <v>130.6177318295739</v>
      </c>
      <c r="V1306">
        <v>43.733464606512037</v>
      </c>
      <c r="W1306">
        <v>2.4042644647868401</v>
      </c>
      <c r="X1306" t="s">
        <v>291</v>
      </c>
      <c r="Y1306">
        <v>10</v>
      </c>
      <c r="Z1306">
        <v>0.2813393128634602</v>
      </c>
      <c r="AA1306">
        <v>1</v>
      </c>
    </row>
    <row r="1307" spans="1:27" hidden="1" x14ac:dyDescent="0.25">
      <c r="A1307" t="s">
        <v>98</v>
      </c>
      <c r="B1307" t="s">
        <v>1548</v>
      </c>
      <c r="D1307" t="s">
        <v>100</v>
      </c>
      <c r="E1307" t="s">
        <v>284</v>
      </c>
      <c r="F1307" t="s">
        <v>355</v>
      </c>
      <c r="G1307" t="s">
        <v>103</v>
      </c>
      <c r="H1307" t="s">
        <v>104</v>
      </c>
      <c r="I1307">
        <v>2030</v>
      </c>
      <c r="J1307" t="s">
        <v>398</v>
      </c>
      <c r="K1307" t="s">
        <v>106</v>
      </c>
      <c r="L1307" t="s">
        <v>1623</v>
      </c>
      <c r="M1307" t="s">
        <v>1675</v>
      </c>
      <c r="N1307">
        <v>1</v>
      </c>
      <c r="O1307">
        <v>2030</v>
      </c>
      <c r="P1307">
        <v>22.026606087295281</v>
      </c>
      <c r="Q1307">
        <v>0.67594869632979349</v>
      </c>
      <c r="R1307" t="s">
        <v>289</v>
      </c>
      <c r="S1307">
        <v>87.209325187237212</v>
      </c>
      <c r="T1307" t="s">
        <v>290</v>
      </c>
      <c r="U1307">
        <v>87.209325187237212</v>
      </c>
      <c r="V1307">
        <v>22.026606087295281</v>
      </c>
      <c r="W1307">
        <v>0.67594869632979349</v>
      </c>
      <c r="X1307" t="s">
        <v>291</v>
      </c>
      <c r="Y1307">
        <v>10</v>
      </c>
      <c r="Z1307">
        <v>0.2813393128634602</v>
      </c>
      <c r="AA1307">
        <v>1</v>
      </c>
    </row>
    <row r="1308" spans="1:27" hidden="1" x14ac:dyDescent="0.25">
      <c r="A1308" t="s">
        <v>98</v>
      </c>
      <c r="B1308" t="s">
        <v>1548</v>
      </c>
      <c r="D1308" t="s">
        <v>100</v>
      </c>
      <c r="E1308" t="s">
        <v>284</v>
      </c>
      <c r="F1308" t="s">
        <v>355</v>
      </c>
      <c r="G1308" t="s">
        <v>112</v>
      </c>
      <c r="H1308" t="s">
        <v>104</v>
      </c>
      <c r="I1308">
        <v>2030</v>
      </c>
      <c r="J1308" t="s">
        <v>400</v>
      </c>
      <c r="K1308" t="s">
        <v>106</v>
      </c>
      <c r="L1308" t="s">
        <v>1623</v>
      </c>
      <c r="M1308" t="s">
        <v>1676</v>
      </c>
      <c r="N1308">
        <v>1</v>
      </c>
      <c r="O1308">
        <v>2030</v>
      </c>
      <c r="P1308">
        <v>23.051216439564651</v>
      </c>
      <c r="Q1308">
        <v>0.88782640486853737</v>
      </c>
      <c r="R1308" t="s">
        <v>289</v>
      </c>
      <c r="S1308">
        <v>87.494679062376832</v>
      </c>
      <c r="T1308" t="s">
        <v>290</v>
      </c>
      <c r="U1308">
        <v>87.494679062376832</v>
      </c>
      <c r="V1308">
        <v>23.051216439564651</v>
      </c>
      <c r="W1308">
        <v>0.88782640486853737</v>
      </c>
      <c r="X1308" t="s">
        <v>291</v>
      </c>
      <c r="Y1308">
        <v>10</v>
      </c>
      <c r="Z1308">
        <v>0.2813393128634602</v>
      </c>
      <c r="AA1308">
        <v>1</v>
      </c>
    </row>
    <row r="1309" spans="1:27" hidden="1" x14ac:dyDescent="0.25">
      <c r="A1309" t="s">
        <v>98</v>
      </c>
      <c r="B1309" t="s">
        <v>1548</v>
      </c>
      <c r="D1309" t="s">
        <v>100</v>
      </c>
      <c r="E1309" t="s">
        <v>284</v>
      </c>
      <c r="F1309" t="s">
        <v>360</v>
      </c>
      <c r="G1309" t="s">
        <v>103</v>
      </c>
      <c r="H1309" t="s">
        <v>104</v>
      </c>
      <c r="I1309">
        <v>2030</v>
      </c>
      <c r="J1309" t="s">
        <v>402</v>
      </c>
      <c r="K1309" t="s">
        <v>106</v>
      </c>
      <c r="L1309" t="s">
        <v>1623</v>
      </c>
      <c r="M1309" t="s">
        <v>1677</v>
      </c>
      <c r="N1309">
        <v>1</v>
      </c>
      <c r="O1309">
        <v>2030</v>
      </c>
      <c r="P1309">
        <v>32.03338343675982</v>
      </c>
      <c r="Q1309">
        <v>0.74367453538487105</v>
      </c>
      <c r="R1309" t="s">
        <v>289</v>
      </c>
      <c r="S1309">
        <v>80.816288888888892</v>
      </c>
      <c r="T1309" t="s">
        <v>290</v>
      </c>
      <c r="U1309">
        <v>80.816288888888892</v>
      </c>
      <c r="V1309">
        <v>32.03338343675982</v>
      </c>
      <c r="W1309">
        <v>0.74367453538487105</v>
      </c>
      <c r="X1309" t="s">
        <v>291</v>
      </c>
      <c r="Y1309">
        <v>10</v>
      </c>
      <c r="Z1309">
        <v>0.2813393128634602</v>
      </c>
      <c r="AA1309">
        <v>1</v>
      </c>
    </row>
    <row r="1310" spans="1:27" hidden="1" x14ac:dyDescent="0.25">
      <c r="A1310" t="s">
        <v>98</v>
      </c>
      <c r="B1310" t="s">
        <v>1548</v>
      </c>
      <c r="D1310" t="s">
        <v>100</v>
      </c>
      <c r="E1310" t="s">
        <v>284</v>
      </c>
      <c r="F1310" t="s">
        <v>360</v>
      </c>
      <c r="G1310" t="s">
        <v>112</v>
      </c>
      <c r="H1310" t="s">
        <v>104</v>
      </c>
      <c r="I1310">
        <v>2030</v>
      </c>
      <c r="J1310" t="s">
        <v>404</v>
      </c>
      <c r="K1310" t="s">
        <v>106</v>
      </c>
      <c r="L1310" t="s">
        <v>1623</v>
      </c>
      <c r="M1310" t="s">
        <v>1678</v>
      </c>
      <c r="N1310">
        <v>1</v>
      </c>
      <c r="O1310">
        <v>2030</v>
      </c>
      <c r="P1310">
        <v>30.04097222030375</v>
      </c>
      <c r="Q1310">
        <v>1.0503155304453009</v>
      </c>
      <c r="R1310" t="s">
        <v>289</v>
      </c>
      <c r="S1310">
        <v>90.329273504273502</v>
      </c>
      <c r="T1310" t="s">
        <v>290</v>
      </c>
      <c r="U1310">
        <v>90.329273504273502</v>
      </c>
      <c r="V1310">
        <v>30.04097222030375</v>
      </c>
      <c r="W1310">
        <v>1.0503155304453009</v>
      </c>
      <c r="X1310" t="s">
        <v>291</v>
      </c>
      <c r="Y1310">
        <v>10</v>
      </c>
      <c r="Z1310">
        <v>0.2813393128634602</v>
      </c>
      <c r="AA1310">
        <v>1</v>
      </c>
    </row>
    <row r="1311" spans="1:27" hidden="1" x14ac:dyDescent="0.25">
      <c r="A1311" t="s">
        <v>98</v>
      </c>
      <c r="B1311" t="s">
        <v>1548</v>
      </c>
      <c r="D1311" t="s">
        <v>100</v>
      </c>
      <c r="E1311" t="s">
        <v>284</v>
      </c>
      <c r="F1311" t="s">
        <v>365</v>
      </c>
      <c r="G1311" t="s">
        <v>103</v>
      </c>
      <c r="H1311" t="s">
        <v>104</v>
      </c>
      <c r="I1311">
        <v>2030</v>
      </c>
      <c r="J1311" t="s">
        <v>406</v>
      </c>
      <c r="K1311" t="s">
        <v>106</v>
      </c>
      <c r="L1311" t="s">
        <v>1623</v>
      </c>
      <c r="M1311" t="s">
        <v>1679</v>
      </c>
      <c r="N1311">
        <v>1</v>
      </c>
      <c r="O1311">
        <v>2030</v>
      </c>
      <c r="P1311">
        <v>23.710775767327672</v>
      </c>
      <c r="Q1311">
        <v>1.668845649337886</v>
      </c>
      <c r="R1311" t="s">
        <v>289</v>
      </c>
      <c r="S1311">
        <v>154.72558108377279</v>
      </c>
      <c r="T1311" t="s">
        <v>290</v>
      </c>
      <c r="U1311">
        <v>154.72558108377279</v>
      </c>
      <c r="V1311">
        <v>23.710775767327672</v>
      </c>
      <c r="W1311">
        <v>1.668845649337886</v>
      </c>
      <c r="X1311" t="s">
        <v>291</v>
      </c>
      <c r="Y1311">
        <v>10</v>
      </c>
      <c r="Z1311">
        <v>0.2813393128634602</v>
      </c>
      <c r="AA1311">
        <v>1</v>
      </c>
    </row>
    <row r="1312" spans="1:27" hidden="1" x14ac:dyDescent="0.25">
      <c r="A1312" t="s">
        <v>98</v>
      </c>
      <c r="B1312" t="s">
        <v>1548</v>
      </c>
      <c r="D1312" t="s">
        <v>100</v>
      </c>
      <c r="E1312" t="s">
        <v>284</v>
      </c>
      <c r="F1312" t="s">
        <v>365</v>
      </c>
      <c r="G1312" t="s">
        <v>112</v>
      </c>
      <c r="H1312" t="s">
        <v>104</v>
      </c>
      <c r="I1312">
        <v>2030</v>
      </c>
      <c r="J1312" t="s">
        <v>408</v>
      </c>
      <c r="K1312" t="s">
        <v>106</v>
      </c>
      <c r="L1312" t="s">
        <v>1623</v>
      </c>
      <c r="M1312" t="s">
        <v>1680</v>
      </c>
      <c r="N1312">
        <v>1</v>
      </c>
      <c r="O1312">
        <v>2030</v>
      </c>
      <c r="P1312">
        <v>28.858905605402359</v>
      </c>
      <c r="Q1312">
        <v>2.128664396371156</v>
      </c>
      <c r="R1312" t="s">
        <v>289</v>
      </c>
      <c r="S1312">
        <v>176.3746647164572</v>
      </c>
      <c r="T1312" t="s">
        <v>290</v>
      </c>
      <c r="U1312">
        <v>176.3746647164572</v>
      </c>
      <c r="V1312">
        <v>28.858905605402359</v>
      </c>
      <c r="W1312">
        <v>2.128664396371156</v>
      </c>
      <c r="X1312" t="s">
        <v>291</v>
      </c>
      <c r="Y1312">
        <v>10</v>
      </c>
      <c r="Z1312">
        <v>0.2813393128634602</v>
      </c>
      <c r="AA1312">
        <v>1</v>
      </c>
    </row>
    <row r="1313" spans="1:27" hidden="1" x14ac:dyDescent="0.25">
      <c r="A1313" t="s">
        <v>98</v>
      </c>
      <c r="B1313" t="s">
        <v>1548</v>
      </c>
      <c r="D1313" t="s">
        <v>100</v>
      </c>
      <c r="E1313" t="s">
        <v>284</v>
      </c>
      <c r="F1313" t="s">
        <v>355</v>
      </c>
      <c r="G1313" t="s">
        <v>103</v>
      </c>
      <c r="H1313" t="s">
        <v>104</v>
      </c>
      <c r="I1313">
        <v>2040</v>
      </c>
      <c r="J1313" t="s">
        <v>410</v>
      </c>
      <c r="K1313" t="s">
        <v>106</v>
      </c>
      <c r="L1313" t="s">
        <v>1623</v>
      </c>
      <c r="M1313" t="s">
        <v>1681</v>
      </c>
      <c r="N1313">
        <v>1</v>
      </c>
      <c r="O1313">
        <v>2040</v>
      </c>
      <c r="P1313">
        <v>22.159986853322259</v>
      </c>
      <c r="Q1313">
        <v>0.64769049265200085</v>
      </c>
      <c r="R1313" t="s">
        <v>289</v>
      </c>
      <c r="S1313">
        <v>85.846844985289152</v>
      </c>
      <c r="T1313" t="s">
        <v>290</v>
      </c>
      <c r="U1313">
        <v>85.846844985289152</v>
      </c>
      <c r="V1313">
        <v>22.159986853322259</v>
      </c>
      <c r="W1313">
        <v>0.64769049265200085</v>
      </c>
      <c r="X1313" t="s">
        <v>291</v>
      </c>
      <c r="Y1313">
        <v>10</v>
      </c>
      <c r="Z1313">
        <v>0.2813393128634602</v>
      </c>
      <c r="AA1313">
        <v>1</v>
      </c>
    </row>
    <row r="1314" spans="1:27" hidden="1" x14ac:dyDescent="0.25">
      <c r="A1314" t="s">
        <v>98</v>
      </c>
      <c r="B1314" t="s">
        <v>1548</v>
      </c>
      <c r="D1314" t="s">
        <v>100</v>
      </c>
      <c r="E1314" t="s">
        <v>284</v>
      </c>
      <c r="F1314" t="s">
        <v>355</v>
      </c>
      <c r="G1314" t="s">
        <v>112</v>
      </c>
      <c r="H1314" t="s">
        <v>104</v>
      </c>
      <c r="I1314">
        <v>2040</v>
      </c>
      <c r="J1314" t="s">
        <v>412</v>
      </c>
      <c r="K1314" t="s">
        <v>106</v>
      </c>
      <c r="L1314" t="s">
        <v>1623</v>
      </c>
      <c r="M1314" t="s">
        <v>1682</v>
      </c>
      <c r="N1314">
        <v>1</v>
      </c>
      <c r="O1314">
        <v>2040</v>
      </c>
      <c r="P1314">
        <v>22.287209700822071</v>
      </c>
      <c r="Q1314">
        <v>0.78348370867951755</v>
      </c>
      <c r="R1314" t="s">
        <v>289</v>
      </c>
      <c r="S1314">
        <v>88.372750377742747</v>
      </c>
      <c r="T1314" t="s">
        <v>290</v>
      </c>
      <c r="U1314">
        <v>88.372750377742747</v>
      </c>
      <c r="V1314">
        <v>22.287209700822071</v>
      </c>
      <c r="W1314">
        <v>0.78348370867951755</v>
      </c>
      <c r="X1314" t="s">
        <v>291</v>
      </c>
      <c r="Y1314">
        <v>10</v>
      </c>
      <c r="Z1314">
        <v>0.2813393128634602</v>
      </c>
      <c r="AA1314">
        <v>1</v>
      </c>
    </row>
    <row r="1315" spans="1:27" hidden="1" x14ac:dyDescent="0.25">
      <c r="A1315" t="s">
        <v>98</v>
      </c>
      <c r="B1315" t="s">
        <v>1548</v>
      </c>
      <c r="D1315" t="s">
        <v>100</v>
      </c>
      <c r="E1315" t="s">
        <v>284</v>
      </c>
      <c r="F1315" t="s">
        <v>360</v>
      </c>
      <c r="G1315" t="s">
        <v>103</v>
      </c>
      <c r="H1315" t="s">
        <v>104</v>
      </c>
      <c r="I1315">
        <v>2040</v>
      </c>
      <c r="J1315" t="s">
        <v>414</v>
      </c>
      <c r="K1315" t="s">
        <v>106</v>
      </c>
      <c r="L1315" t="s">
        <v>1623</v>
      </c>
      <c r="M1315" t="s">
        <v>1683</v>
      </c>
      <c r="N1315">
        <v>1</v>
      </c>
      <c r="O1315">
        <v>2040</v>
      </c>
      <c r="P1315">
        <v>28.721945226708339</v>
      </c>
      <c r="Q1315">
        <v>0.72978219131721256</v>
      </c>
      <c r="R1315" t="s">
        <v>289</v>
      </c>
      <c r="S1315">
        <v>80.816288888888892</v>
      </c>
      <c r="T1315" t="s">
        <v>290</v>
      </c>
      <c r="U1315">
        <v>80.816288888888892</v>
      </c>
      <c r="V1315">
        <v>28.721945226708339</v>
      </c>
      <c r="W1315">
        <v>0.72978219131721256</v>
      </c>
      <c r="X1315" t="s">
        <v>291</v>
      </c>
      <c r="Y1315">
        <v>10</v>
      </c>
      <c r="Z1315">
        <v>0.2813393128634602</v>
      </c>
      <c r="AA1315">
        <v>1</v>
      </c>
    </row>
    <row r="1316" spans="1:27" hidden="1" x14ac:dyDescent="0.25">
      <c r="A1316" t="s">
        <v>98</v>
      </c>
      <c r="B1316" t="s">
        <v>1548</v>
      </c>
      <c r="D1316" t="s">
        <v>100</v>
      </c>
      <c r="E1316" t="s">
        <v>284</v>
      </c>
      <c r="F1316" t="s">
        <v>360</v>
      </c>
      <c r="G1316" t="s">
        <v>112</v>
      </c>
      <c r="H1316" t="s">
        <v>104</v>
      </c>
      <c r="I1316">
        <v>2040</v>
      </c>
      <c r="J1316" t="s">
        <v>416</v>
      </c>
      <c r="K1316" t="s">
        <v>106</v>
      </c>
      <c r="L1316" t="s">
        <v>1623</v>
      </c>
      <c r="M1316" t="s">
        <v>1684</v>
      </c>
      <c r="N1316">
        <v>1</v>
      </c>
      <c r="O1316">
        <v>2040</v>
      </c>
      <c r="P1316">
        <v>33.197275628385512</v>
      </c>
      <c r="Q1316">
        <v>1.1034319170477349</v>
      </c>
      <c r="R1316" t="s">
        <v>289</v>
      </c>
      <c r="S1316">
        <v>93.34643874643875</v>
      </c>
      <c r="T1316" t="s">
        <v>290</v>
      </c>
      <c r="U1316">
        <v>93.34643874643875</v>
      </c>
      <c r="V1316">
        <v>33.197275628385512</v>
      </c>
      <c r="W1316">
        <v>1.1034319170477349</v>
      </c>
      <c r="X1316" t="s">
        <v>291</v>
      </c>
      <c r="Y1316">
        <v>10</v>
      </c>
      <c r="Z1316">
        <v>0.2813393128634602</v>
      </c>
      <c r="AA1316">
        <v>1</v>
      </c>
    </row>
    <row r="1317" spans="1:27" hidden="1" x14ac:dyDescent="0.25">
      <c r="A1317" t="s">
        <v>98</v>
      </c>
      <c r="B1317" t="s">
        <v>1548</v>
      </c>
      <c r="D1317" t="s">
        <v>100</v>
      </c>
      <c r="E1317" t="s">
        <v>284</v>
      </c>
      <c r="F1317" t="s">
        <v>365</v>
      </c>
      <c r="G1317" t="s">
        <v>103</v>
      </c>
      <c r="H1317" t="s">
        <v>104</v>
      </c>
      <c r="I1317">
        <v>2040</v>
      </c>
      <c r="J1317" t="s">
        <v>418</v>
      </c>
      <c r="K1317" t="s">
        <v>106</v>
      </c>
      <c r="L1317" t="s">
        <v>1623</v>
      </c>
      <c r="M1317" t="s">
        <v>1685</v>
      </c>
      <c r="N1317">
        <v>1</v>
      </c>
      <c r="O1317">
        <v>2040</v>
      </c>
      <c r="P1317">
        <v>22.333975775561878</v>
      </c>
      <c r="Q1317">
        <v>1.552983156443519</v>
      </c>
      <c r="R1317" t="s">
        <v>289</v>
      </c>
      <c r="S1317">
        <v>181.1420784222461</v>
      </c>
      <c r="T1317" t="s">
        <v>290</v>
      </c>
      <c r="U1317">
        <v>181.1420784222461</v>
      </c>
      <c r="V1317">
        <v>22.333975775561878</v>
      </c>
      <c r="W1317">
        <v>1.552983156443519</v>
      </c>
      <c r="X1317" t="s">
        <v>291</v>
      </c>
      <c r="Y1317">
        <v>10</v>
      </c>
      <c r="Z1317">
        <v>0.2813393128634602</v>
      </c>
      <c r="AA1317">
        <v>1</v>
      </c>
    </row>
    <row r="1318" spans="1:27" hidden="1" x14ac:dyDescent="0.25">
      <c r="A1318" t="s">
        <v>98</v>
      </c>
      <c r="B1318" t="s">
        <v>1548</v>
      </c>
      <c r="D1318" t="s">
        <v>100</v>
      </c>
      <c r="E1318" t="s">
        <v>284</v>
      </c>
      <c r="F1318" t="s">
        <v>365</v>
      </c>
      <c r="G1318" t="s">
        <v>112</v>
      </c>
      <c r="H1318" t="s">
        <v>104</v>
      </c>
      <c r="I1318">
        <v>2040</v>
      </c>
      <c r="J1318" t="s">
        <v>420</v>
      </c>
      <c r="K1318" t="s">
        <v>106</v>
      </c>
      <c r="L1318" t="s">
        <v>1623</v>
      </c>
      <c r="M1318" t="s">
        <v>1686</v>
      </c>
      <c r="N1318">
        <v>1</v>
      </c>
      <c r="O1318">
        <v>2040</v>
      </c>
      <c r="P1318">
        <v>27.009726996743201</v>
      </c>
      <c r="Q1318">
        <v>1.971842815426603</v>
      </c>
      <c r="R1318" t="s">
        <v>289</v>
      </c>
      <c r="S1318">
        <v>206.50467814395611</v>
      </c>
      <c r="T1318" t="s">
        <v>290</v>
      </c>
      <c r="U1318">
        <v>206.50467814395611</v>
      </c>
      <c r="V1318">
        <v>27.009726996743201</v>
      </c>
      <c r="W1318">
        <v>1.971842815426603</v>
      </c>
      <c r="X1318" t="s">
        <v>291</v>
      </c>
      <c r="Y1318">
        <v>10</v>
      </c>
      <c r="Z1318">
        <v>0.2813393128634602</v>
      </c>
      <c r="AA1318">
        <v>1</v>
      </c>
    </row>
    <row r="1319" spans="1:27" hidden="1" x14ac:dyDescent="0.25">
      <c r="A1319" t="s">
        <v>98</v>
      </c>
      <c r="B1319" t="s">
        <v>1548</v>
      </c>
      <c r="D1319" t="s">
        <v>100</v>
      </c>
      <c r="E1319" t="s">
        <v>284</v>
      </c>
      <c r="F1319" t="s">
        <v>422</v>
      </c>
      <c r="G1319" t="s">
        <v>103</v>
      </c>
      <c r="H1319" t="s">
        <v>104</v>
      </c>
      <c r="I1319">
        <v>2022</v>
      </c>
      <c r="J1319" t="s">
        <v>423</v>
      </c>
      <c r="K1319" t="s">
        <v>106</v>
      </c>
      <c r="L1319" t="s">
        <v>1623</v>
      </c>
      <c r="M1319" t="s">
        <v>1687</v>
      </c>
      <c r="N1319">
        <v>1</v>
      </c>
      <c r="O1319">
        <v>2020</v>
      </c>
      <c r="P1319">
        <v>22.570490905245428</v>
      </c>
      <c r="Q1319">
        <v>0.77947598919167282</v>
      </c>
      <c r="R1319" t="s">
        <v>289</v>
      </c>
      <c r="S1319">
        <v>59.465873015873022</v>
      </c>
      <c r="T1319" t="s">
        <v>290</v>
      </c>
      <c r="U1319">
        <v>59.465873015873022</v>
      </c>
      <c r="V1319">
        <v>22.570490905245428</v>
      </c>
      <c r="W1319">
        <v>0.77947598919167282</v>
      </c>
      <c r="X1319" t="s">
        <v>291</v>
      </c>
      <c r="Y1319">
        <v>10</v>
      </c>
      <c r="Z1319">
        <v>0.2813393128634602</v>
      </c>
      <c r="AA1319">
        <v>1</v>
      </c>
    </row>
    <row r="1320" spans="1:27" hidden="1" x14ac:dyDescent="0.25">
      <c r="A1320" t="s">
        <v>98</v>
      </c>
      <c r="B1320" t="s">
        <v>1548</v>
      </c>
      <c r="D1320" t="s">
        <v>100</v>
      </c>
      <c r="E1320" t="s">
        <v>284</v>
      </c>
      <c r="F1320" t="s">
        <v>425</v>
      </c>
      <c r="G1320" t="s">
        <v>103</v>
      </c>
      <c r="H1320" t="s">
        <v>104</v>
      </c>
      <c r="I1320">
        <v>2022</v>
      </c>
      <c r="J1320" t="s">
        <v>426</v>
      </c>
      <c r="K1320" t="s">
        <v>106</v>
      </c>
      <c r="L1320" t="s">
        <v>1623</v>
      </c>
      <c r="M1320" t="s">
        <v>1688</v>
      </c>
      <c r="N1320">
        <v>1</v>
      </c>
      <c r="O1320">
        <v>2020</v>
      </c>
      <c r="P1320">
        <v>20.699165146358741</v>
      </c>
      <c r="Q1320">
        <v>1.111231451610436</v>
      </c>
      <c r="R1320" t="s">
        <v>289</v>
      </c>
      <c r="S1320">
        <v>74.054444444444442</v>
      </c>
      <c r="T1320" t="s">
        <v>290</v>
      </c>
      <c r="U1320">
        <v>74.054444444444442</v>
      </c>
      <c r="V1320">
        <v>20.699165146358741</v>
      </c>
      <c r="W1320">
        <v>1.111231451610436</v>
      </c>
      <c r="X1320" t="s">
        <v>291</v>
      </c>
      <c r="Y1320">
        <v>10</v>
      </c>
      <c r="Z1320">
        <v>0.2813393128634602</v>
      </c>
      <c r="AA1320">
        <v>1</v>
      </c>
    </row>
    <row r="1321" spans="1:27" hidden="1" x14ac:dyDescent="0.25">
      <c r="A1321" t="s">
        <v>98</v>
      </c>
      <c r="B1321" t="s">
        <v>1548</v>
      </c>
      <c r="D1321" t="s">
        <v>100</v>
      </c>
      <c r="E1321" t="s">
        <v>284</v>
      </c>
      <c r="F1321" t="s">
        <v>428</v>
      </c>
      <c r="G1321" t="s">
        <v>103</v>
      </c>
      <c r="H1321" t="s">
        <v>104</v>
      </c>
      <c r="I1321">
        <v>2022</v>
      </c>
      <c r="J1321" t="s">
        <v>429</v>
      </c>
      <c r="K1321" t="s">
        <v>106</v>
      </c>
      <c r="L1321" t="s">
        <v>1623</v>
      </c>
      <c r="M1321" t="s">
        <v>1689</v>
      </c>
      <c r="N1321">
        <v>1</v>
      </c>
      <c r="O1321">
        <v>2020</v>
      </c>
      <c r="P1321">
        <v>25.347672779313449</v>
      </c>
      <c r="Q1321">
        <v>0.56400508525842741</v>
      </c>
      <c r="R1321" t="s">
        <v>289</v>
      </c>
      <c r="S1321">
        <v>77.810944444444459</v>
      </c>
      <c r="T1321" t="s">
        <v>290</v>
      </c>
      <c r="U1321">
        <v>77.810944444444459</v>
      </c>
      <c r="V1321">
        <v>25.347672779313449</v>
      </c>
      <c r="W1321">
        <v>0.56400508525842741</v>
      </c>
      <c r="X1321" t="s">
        <v>291</v>
      </c>
      <c r="Y1321">
        <v>10</v>
      </c>
      <c r="Z1321">
        <v>0.2813393128634602</v>
      </c>
      <c r="AA1321">
        <v>1</v>
      </c>
    </row>
    <row r="1322" spans="1:27" hidden="1" x14ac:dyDescent="0.25">
      <c r="A1322" t="s">
        <v>98</v>
      </c>
      <c r="B1322" t="s">
        <v>1548</v>
      </c>
      <c r="D1322" t="s">
        <v>100</v>
      </c>
      <c r="E1322" t="s">
        <v>284</v>
      </c>
      <c r="F1322" t="s">
        <v>425</v>
      </c>
      <c r="G1322" t="s">
        <v>103</v>
      </c>
      <c r="H1322" t="s">
        <v>104</v>
      </c>
      <c r="I1322">
        <v>2030</v>
      </c>
      <c r="J1322" t="s">
        <v>431</v>
      </c>
      <c r="K1322" t="s">
        <v>106</v>
      </c>
      <c r="L1322" t="s">
        <v>1623</v>
      </c>
      <c r="M1322" t="s">
        <v>1690</v>
      </c>
      <c r="N1322">
        <v>1</v>
      </c>
      <c r="O1322">
        <v>2030</v>
      </c>
      <c r="P1322">
        <v>20.230705085538521</v>
      </c>
      <c r="Q1322">
        <v>1.0951903363739519</v>
      </c>
      <c r="R1322" t="s">
        <v>289</v>
      </c>
      <c r="S1322">
        <v>79.81</v>
      </c>
      <c r="T1322" t="s">
        <v>290</v>
      </c>
      <c r="U1322">
        <v>79.81</v>
      </c>
      <c r="V1322">
        <v>20.230705085538521</v>
      </c>
      <c r="W1322">
        <v>1.0951903363739519</v>
      </c>
      <c r="X1322" t="s">
        <v>291</v>
      </c>
      <c r="Y1322">
        <v>10</v>
      </c>
      <c r="Z1322">
        <v>0.2813393128634602</v>
      </c>
      <c r="AA1322">
        <v>1</v>
      </c>
    </row>
    <row r="1323" spans="1:27" hidden="1" x14ac:dyDescent="0.25">
      <c r="A1323" t="s">
        <v>98</v>
      </c>
      <c r="B1323" t="s">
        <v>1548</v>
      </c>
      <c r="D1323" t="s">
        <v>100</v>
      </c>
      <c r="E1323" t="s">
        <v>284</v>
      </c>
      <c r="F1323" t="s">
        <v>428</v>
      </c>
      <c r="G1323" t="s">
        <v>103</v>
      </c>
      <c r="H1323" t="s">
        <v>104</v>
      </c>
      <c r="I1323">
        <v>2030</v>
      </c>
      <c r="J1323" t="s">
        <v>433</v>
      </c>
      <c r="K1323" t="s">
        <v>106</v>
      </c>
      <c r="L1323" t="s">
        <v>1623</v>
      </c>
      <c r="M1323" t="s">
        <v>1691</v>
      </c>
      <c r="N1323">
        <v>1</v>
      </c>
      <c r="O1323">
        <v>2030</v>
      </c>
      <c r="P1323">
        <v>24.67049407605251</v>
      </c>
      <c r="Q1323">
        <v>0.55731249361340607</v>
      </c>
      <c r="R1323" t="s">
        <v>289</v>
      </c>
      <c r="S1323">
        <v>84.367500000000007</v>
      </c>
      <c r="T1323" t="s">
        <v>290</v>
      </c>
      <c r="U1323">
        <v>84.367500000000007</v>
      </c>
      <c r="V1323">
        <v>24.67049407605251</v>
      </c>
      <c r="W1323">
        <v>0.55731249361340607</v>
      </c>
      <c r="X1323" t="s">
        <v>291</v>
      </c>
      <c r="Y1323">
        <v>10</v>
      </c>
      <c r="Z1323">
        <v>0.2813393128634602</v>
      </c>
      <c r="AA1323">
        <v>1</v>
      </c>
    </row>
    <row r="1324" spans="1:27" hidden="1" x14ac:dyDescent="0.25">
      <c r="A1324" t="s">
        <v>98</v>
      </c>
      <c r="B1324" t="s">
        <v>1548</v>
      </c>
      <c r="D1324" t="s">
        <v>100</v>
      </c>
      <c r="E1324" t="s">
        <v>284</v>
      </c>
      <c r="F1324" t="s">
        <v>425</v>
      </c>
      <c r="G1324" t="s">
        <v>103</v>
      </c>
      <c r="H1324" t="s">
        <v>104</v>
      </c>
      <c r="I1324">
        <v>2040</v>
      </c>
      <c r="J1324" t="s">
        <v>435</v>
      </c>
      <c r="K1324" t="s">
        <v>106</v>
      </c>
      <c r="L1324" t="s">
        <v>1623</v>
      </c>
      <c r="M1324" t="s">
        <v>1692</v>
      </c>
      <c r="N1324">
        <v>1</v>
      </c>
      <c r="O1324">
        <v>2040</v>
      </c>
      <c r="P1324">
        <v>19.670938877469698</v>
      </c>
      <c r="Q1324">
        <v>1.076022695415618</v>
      </c>
      <c r="R1324" t="s">
        <v>289</v>
      </c>
      <c r="S1324">
        <v>79.81</v>
      </c>
      <c r="T1324" t="s">
        <v>290</v>
      </c>
      <c r="U1324">
        <v>79.81</v>
      </c>
      <c r="V1324">
        <v>19.670938877469698</v>
      </c>
      <c r="W1324">
        <v>1.076022695415618</v>
      </c>
      <c r="X1324" t="s">
        <v>291</v>
      </c>
      <c r="Y1324">
        <v>10</v>
      </c>
      <c r="Z1324">
        <v>0.2813393128634602</v>
      </c>
      <c r="AA1324">
        <v>1</v>
      </c>
    </row>
    <row r="1325" spans="1:27" hidden="1" x14ac:dyDescent="0.25">
      <c r="A1325" t="s">
        <v>98</v>
      </c>
      <c r="B1325" t="s">
        <v>1548</v>
      </c>
      <c r="D1325" t="s">
        <v>100</v>
      </c>
      <c r="E1325" t="s">
        <v>284</v>
      </c>
      <c r="F1325" t="s">
        <v>428</v>
      </c>
      <c r="G1325" t="s">
        <v>103</v>
      </c>
      <c r="H1325" t="s">
        <v>104</v>
      </c>
      <c r="I1325">
        <v>2040</v>
      </c>
      <c r="J1325" t="s">
        <v>437</v>
      </c>
      <c r="K1325" t="s">
        <v>106</v>
      </c>
      <c r="L1325" t="s">
        <v>1623</v>
      </c>
      <c r="M1325" t="s">
        <v>1693</v>
      </c>
      <c r="N1325">
        <v>1</v>
      </c>
      <c r="O1325">
        <v>2040</v>
      </c>
      <c r="P1325">
        <v>23.861328500132039</v>
      </c>
      <c r="Q1325">
        <v>0.54931546897756556</v>
      </c>
      <c r="R1325" t="s">
        <v>289</v>
      </c>
      <c r="S1325">
        <v>84.367500000000007</v>
      </c>
      <c r="T1325" t="s">
        <v>290</v>
      </c>
      <c r="U1325">
        <v>84.367500000000007</v>
      </c>
      <c r="V1325">
        <v>23.861328500132039</v>
      </c>
      <c r="W1325">
        <v>0.54931546897756556</v>
      </c>
      <c r="X1325" t="s">
        <v>291</v>
      </c>
      <c r="Y1325">
        <v>10</v>
      </c>
      <c r="Z1325">
        <v>0.2813393128634602</v>
      </c>
      <c r="AA1325">
        <v>1</v>
      </c>
    </row>
    <row r="1326" spans="1:27" hidden="1" x14ac:dyDescent="0.25">
      <c r="A1326" t="s">
        <v>98</v>
      </c>
      <c r="B1326" t="s">
        <v>1548</v>
      </c>
      <c r="D1326" t="s">
        <v>100</v>
      </c>
      <c r="E1326" t="s">
        <v>439</v>
      </c>
      <c r="F1326" t="s">
        <v>440</v>
      </c>
      <c r="G1326" t="s">
        <v>245</v>
      </c>
      <c r="H1326" t="s">
        <v>104</v>
      </c>
      <c r="I1326">
        <v>2022</v>
      </c>
      <c r="J1326" t="s">
        <v>441</v>
      </c>
      <c r="K1326" t="s">
        <v>106</v>
      </c>
      <c r="L1326" t="s">
        <v>1694</v>
      </c>
      <c r="M1326" t="s">
        <v>1695</v>
      </c>
      <c r="N1326">
        <v>1</v>
      </c>
      <c r="O1326">
        <v>2020</v>
      </c>
      <c r="P1326">
        <v>831.12625331024003</v>
      </c>
      <c r="Q1326">
        <v>84.323656568982784</v>
      </c>
      <c r="R1326" t="s">
        <v>109</v>
      </c>
      <c r="S1326">
        <v>2.8957310176295739</v>
      </c>
      <c r="T1326" t="s">
        <v>110</v>
      </c>
      <c r="U1326">
        <v>2.8957310176295739</v>
      </c>
      <c r="V1326">
        <v>2835.9211703315582</v>
      </c>
      <c r="W1326">
        <v>287.72432812862002</v>
      </c>
      <c r="X1326" t="s">
        <v>111</v>
      </c>
      <c r="Y1326">
        <v>10</v>
      </c>
      <c r="Z1326">
        <v>0.44</v>
      </c>
      <c r="AA1326">
        <v>31.536000000000001</v>
      </c>
    </row>
    <row r="1327" spans="1:27" hidden="1" x14ac:dyDescent="0.25">
      <c r="A1327" t="s">
        <v>98</v>
      </c>
      <c r="B1327" t="s">
        <v>1548</v>
      </c>
      <c r="D1327" t="s">
        <v>100</v>
      </c>
      <c r="E1327" t="s">
        <v>439</v>
      </c>
      <c r="F1327" t="s">
        <v>440</v>
      </c>
      <c r="G1327" t="s">
        <v>103</v>
      </c>
      <c r="H1327" t="s">
        <v>104</v>
      </c>
      <c r="I1327">
        <v>2022</v>
      </c>
      <c r="J1327" t="s">
        <v>444</v>
      </c>
      <c r="K1327" t="s">
        <v>106</v>
      </c>
      <c r="L1327" t="s">
        <v>1694</v>
      </c>
      <c r="M1327" t="s">
        <v>1696</v>
      </c>
      <c r="N1327">
        <v>1</v>
      </c>
      <c r="O1327">
        <v>2020</v>
      </c>
      <c r="P1327">
        <v>1031.6192027056411</v>
      </c>
      <c r="Q1327">
        <v>84.323656568982784</v>
      </c>
      <c r="R1327" t="s">
        <v>109</v>
      </c>
      <c r="S1327">
        <v>3.1136892662683588</v>
      </c>
      <c r="T1327" t="s">
        <v>110</v>
      </c>
      <c r="U1327">
        <v>1</v>
      </c>
      <c r="V1327">
        <v>10960.284839990571</v>
      </c>
      <c r="W1327">
        <v>895.88415213835935</v>
      </c>
      <c r="X1327" t="s">
        <v>111</v>
      </c>
      <c r="Y1327">
        <v>10</v>
      </c>
      <c r="Z1327">
        <v>0.44</v>
      </c>
      <c r="AA1327">
        <v>31.536000000000001</v>
      </c>
    </row>
    <row r="1328" spans="1:27" hidden="1" x14ac:dyDescent="0.25">
      <c r="A1328" t="s">
        <v>98</v>
      </c>
      <c r="B1328" t="s">
        <v>1548</v>
      </c>
      <c r="D1328" t="s">
        <v>100</v>
      </c>
      <c r="E1328" t="s">
        <v>439</v>
      </c>
      <c r="F1328" t="s">
        <v>440</v>
      </c>
      <c r="G1328" t="s">
        <v>112</v>
      </c>
      <c r="H1328" t="s">
        <v>104</v>
      </c>
      <c r="I1328">
        <v>2022</v>
      </c>
      <c r="J1328" t="s">
        <v>446</v>
      </c>
      <c r="K1328" t="s">
        <v>106</v>
      </c>
      <c r="L1328" t="s">
        <v>1694</v>
      </c>
      <c r="M1328" t="s">
        <v>1697</v>
      </c>
      <c r="N1328">
        <v>1</v>
      </c>
      <c r="O1328">
        <v>2020</v>
      </c>
      <c r="P1328">
        <v>1137.4723035050019</v>
      </c>
      <c r="Q1328">
        <v>84.323656568982784</v>
      </c>
      <c r="R1328" t="s">
        <v>109</v>
      </c>
      <c r="S1328">
        <v>3.348052974482107</v>
      </c>
      <c r="T1328" t="s">
        <v>110</v>
      </c>
      <c r="U1328">
        <v>1.156203029251937</v>
      </c>
      <c r="V1328">
        <v>11238.961995400419</v>
      </c>
      <c r="W1328">
        <v>833.17226148867417</v>
      </c>
      <c r="X1328" t="s">
        <v>111</v>
      </c>
      <c r="Y1328">
        <v>10</v>
      </c>
      <c r="Z1328">
        <v>0.44</v>
      </c>
      <c r="AA1328">
        <v>31.536000000000001</v>
      </c>
    </row>
    <row r="1329" spans="1:27" hidden="1" x14ac:dyDescent="0.25">
      <c r="A1329" t="s">
        <v>98</v>
      </c>
      <c r="B1329" t="s">
        <v>1548</v>
      </c>
      <c r="D1329" t="s">
        <v>100</v>
      </c>
      <c r="E1329" t="s">
        <v>439</v>
      </c>
      <c r="F1329" t="s">
        <v>440</v>
      </c>
      <c r="G1329" t="s">
        <v>103</v>
      </c>
      <c r="H1329" t="s">
        <v>104</v>
      </c>
      <c r="I1329">
        <v>2030</v>
      </c>
      <c r="J1329" t="s">
        <v>448</v>
      </c>
      <c r="K1329" t="s">
        <v>106</v>
      </c>
      <c r="L1329" t="s">
        <v>1694</v>
      </c>
      <c r="M1329" t="s">
        <v>1698</v>
      </c>
      <c r="N1329">
        <v>0</v>
      </c>
      <c r="O1329">
        <v>2030</v>
      </c>
      <c r="P1329">
        <v>1031.6192027056411</v>
      </c>
      <c r="Q1329">
        <v>84.323656568982784</v>
      </c>
      <c r="R1329" t="s">
        <v>109</v>
      </c>
      <c r="S1329">
        <v>3.1136892662683588</v>
      </c>
      <c r="T1329" t="s">
        <v>110</v>
      </c>
      <c r="U1329">
        <v>1.075268817204301</v>
      </c>
      <c r="V1329">
        <v>10193.06490119123</v>
      </c>
      <c r="W1329">
        <v>833.17226148867428</v>
      </c>
      <c r="X1329" t="s">
        <v>111</v>
      </c>
      <c r="Y1329">
        <v>10</v>
      </c>
      <c r="Z1329">
        <v>0.44</v>
      </c>
      <c r="AA1329">
        <v>31.536000000000001</v>
      </c>
    </row>
    <row r="1330" spans="1:27" hidden="1" x14ac:dyDescent="0.25">
      <c r="A1330" t="s">
        <v>98</v>
      </c>
      <c r="B1330" t="s">
        <v>1548</v>
      </c>
      <c r="D1330" t="s">
        <v>100</v>
      </c>
      <c r="E1330" t="s">
        <v>439</v>
      </c>
      <c r="F1330" t="s">
        <v>440</v>
      </c>
      <c r="G1330" t="s">
        <v>112</v>
      </c>
      <c r="H1330" t="s">
        <v>104</v>
      </c>
      <c r="I1330">
        <v>2030</v>
      </c>
      <c r="J1330" t="s">
        <v>450</v>
      </c>
      <c r="K1330" t="s">
        <v>106</v>
      </c>
      <c r="L1330" t="s">
        <v>1694</v>
      </c>
      <c r="M1330" t="s">
        <v>1699</v>
      </c>
      <c r="N1330">
        <v>0</v>
      </c>
      <c r="O1330">
        <v>2030</v>
      </c>
      <c r="P1330">
        <v>1137.4723035050019</v>
      </c>
      <c r="Q1330">
        <v>84.323656568982784</v>
      </c>
      <c r="R1330" t="s">
        <v>109</v>
      </c>
      <c r="S1330">
        <v>3.348052974482107</v>
      </c>
      <c r="T1330" t="s">
        <v>110</v>
      </c>
      <c r="U1330">
        <v>1.156203029251937</v>
      </c>
      <c r="V1330">
        <v>11238.961995400419</v>
      </c>
      <c r="W1330">
        <v>833.17226148867417</v>
      </c>
      <c r="X1330" t="s">
        <v>111</v>
      </c>
      <c r="Y1330">
        <v>10</v>
      </c>
      <c r="Z1330">
        <v>0.44</v>
      </c>
      <c r="AA1330">
        <v>31.536000000000001</v>
      </c>
    </row>
    <row r="1331" spans="1:27" hidden="1" x14ac:dyDescent="0.25">
      <c r="A1331" t="s">
        <v>98</v>
      </c>
      <c r="B1331" t="s">
        <v>1548</v>
      </c>
      <c r="D1331" t="s">
        <v>100</v>
      </c>
      <c r="E1331" t="s">
        <v>439</v>
      </c>
      <c r="F1331" t="s">
        <v>440</v>
      </c>
      <c r="G1331" t="s">
        <v>103</v>
      </c>
      <c r="H1331" t="s">
        <v>104</v>
      </c>
      <c r="I1331">
        <v>2040</v>
      </c>
      <c r="J1331" t="s">
        <v>452</v>
      </c>
      <c r="K1331" t="s">
        <v>106</v>
      </c>
      <c r="L1331" t="s">
        <v>1694</v>
      </c>
      <c r="M1331" t="s">
        <v>1700</v>
      </c>
      <c r="N1331">
        <v>0</v>
      </c>
      <c r="O1331">
        <v>2040</v>
      </c>
      <c r="P1331">
        <v>1031.6192027056411</v>
      </c>
      <c r="Q1331">
        <v>84.323656568982784</v>
      </c>
      <c r="R1331" t="s">
        <v>109</v>
      </c>
      <c r="S1331">
        <v>3.1136892662683588</v>
      </c>
      <c r="T1331" t="s">
        <v>110</v>
      </c>
      <c r="U1331">
        <v>1.075268817204301</v>
      </c>
      <c r="V1331">
        <v>10193.06490119123</v>
      </c>
      <c r="W1331">
        <v>833.17226148867428</v>
      </c>
      <c r="X1331" t="s">
        <v>111</v>
      </c>
      <c r="Y1331">
        <v>10</v>
      </c>
      <c r="Z1331">
        <v>0.44</v>
      </c>
      <c r="AA1331">
        <v>31.536000000000001</v>
      </c>
    </row>
    <row r="1332" spans="1:27" hidden="1" x14ac:dyDescent="0.25">
      <c r="A1332" t="s">
        <v>98</v>
      </c>
      <c r="B1332" t="s">
        <v>1548</v>
      </c>
      <c r="D1332" t="s">
        <v>100</v>
      </c>
      <c r="E1332" t="s">
        <v>439</v>
      </c>
      <c r="F1332" t="s">
        <v>440</v>
      </c>
      <c r="G1332" t="s">
        <v>112</v>
      </c>
      <c r="H1332" t="s">
        <v>104</v>
      </c>
      <c r="I1332">
        <v>2040</v>
      </c>
      <c r="J1332" t="s">
        <v>454</v>
      </c>
      <c r="K1332" t="s">
        <v>106</v>
      </c>
      <c r="L1332" t="s">
        <v>1694</v>
      </c>
      <c r="M1332" t="s">
        <v>1701</v>
      </c>
      <c r="N1332">
        <v>0</v>
      </c>
      <c r="O1332">
        <v>2040</v>
      </c>
      <c r="P1332">
        <v>1137.4723035050019</v>
      </c>
      <c r="Q1332">
        <v>84.323656568982784</v>
      </c>
      <c r="R1332" t="s">
        <v>109</v>
      </c>
      <c r="S1332">
        <v>3.348052974482107</v>
      </c>
      <c r="T1332" t="s">
        <v>110</v>
      </c>
      <c r="U1332">
        <v>1.156203029251937</v>
      </c>
      <c r="V1332">
        <v>11238.961995400419</v>
      </c>
      <c r="W1332">
        <v>833.17226148867417</v>
      </c>
      <c r="X1332" t="s">
        <v>111</v>
      </c>
      <c r="Y1332">
        <v>10</v>
      </c>
      <c r="Z1332">
        <v>0.44</v>
      </c>
      <c r="AA1332">
        <v>31.536000000000001</v>
      </c>
    </row>
    <row r="1333" spans="1:27" hidden="1" x14ac:dyDescent="0.25">
      <c r="A1333" t="s">
        <v>98</v>
      </c>
      <c r="B1333" t="s">
        <v>1548</v>
      </c>
      <c r="D1333" t="s">
        <v>100</v>
      </c>
      <c r="E1333" t="s">
        <v>439</v>
      </c>
      <c r="F1333" t="s">
        <v>440</v>
      </c>
      <c r="G1333" t="s">
        <v>103</v>
      </c>
      <c r="H1333" t="s">
        <v>104</v>
      </c>
      <c r="I1333">
        <v>2050</v>
      </c>
      <c r="J1333" t="s">
        <v>456</v>
      </c>
      <c r="K1333" t="s">
        <v>106</v>
      </c>
      <c r="L1333" t="s">
        <v>1694</v>
      </c>
      <c r="M1333" t="s">
        <v>1702</v>
      </c>
      <c r="N1333">
        <v>0</v>
      </c>
      <c r="O1333">
        <v>2050</v>
      </c>
      <c r="P1333">
        <v>1031.6192027056411</v>
      </c>
      <c r="Q1333">
        <v>84.323656568982784</v>
      </c>
      <c r="R1333" t="s">
        <v>109</v>
      </c>
      <c r="S1333">
        <v>3.1136892662683588</v>
      </c>
      <c r="T1333" t="s">
        <v>110</v>
      </c>
      <c r="U1333">
        <v>1.075268817204301</v>
      </c>
      <c r="V1333">
        <v>10193.06490119123</v>
      </c>
      <c r="W1333">
        <v>833.17226148867428</v>
      </c>
      <c r="X1333" t="s">
        <v>111</v>
      </c>
      <c r="Y1333">
        <v>10</v>
      </c>
      <c r="Z1333">
        <v>0.44</v>
      </c>
      <c r="AA1333">
        <v>31.536000000000001</v>
      </c>
    </row>
    <row r="1334" spans="1:27" hidden="1" x14ac:dyDescent="0.25">
      <c r="A1334" t="s">
        <v>98</v>
      </c>
      <c r="B1334" t="s">
        <v>1548</v>
      </c>
      <c r="D1334" t="s">
        <v>100</v>
      </c>
      <c r="E1334" t="s">
        <v>439</v>
      </c>
      <c r="F1334" t="s">
        <v>440</v>
      </c>
      <c r="G1334" t="s">
        <v>112</v>
      </c>
      <c r="H1334" t="s">
        <v>104</v>
      </c>
      <c r="I1334">
        <v>2050</v>
      </c>
      <c r="J1334" t="s">
        <v>458</v>
      </c>
      <c r="K1334" t="s">
        <v>106</v>
      </c>
      <c r="L1334" t="s">
        <v>1694</v>
      </c>
      <c r="M1334" t="s">
        <v>1703</v>
      </c>
      <c r="N1334">
        <v>0</v>
      </c>
      <c r="O1334">
        <v>2050</v>
      </c>
      <c r="P1334">
        <v>1137.4723035050019</v>
      </c>
      <c r="Q1334">
        <v>84.323656568982784</v>
      </c>
      <c r="R1334" t="s">
        <v>109</v>
      </c>
      <c r="S1334">
        <v>3.348052974482107</v>
      </c>
      <c r="T1334" t="s">
        <v>110</v>
      </c>
      <c r="U1334">
        <v>1.156203029251937</v>
      </c>
      <c r="V1334">
        <v>11238.961995400419</v>
      </c>
      <c r="W1334">
        <v>833.17226148867417</v>
      </c>
      <c r="X1334" t="s">
        <v>111</v>
      </c>
      <c r="Y1334">
        <v>10</v>
      </c>
      <c r="Z1334">
        <v>0.44</v>
      </c>
      <c r="AA1334">
        <v>31.536000000000001</v>
      </c>
    </row>
    <row r="1335" spans="1:27" hidden="1" x14ac:dyDescent="0.25">
      <c r="A1335" t="s">
        <v>98</v>
      </c>
      <c r="B1335" t="s">
        <v>1548</v>
      </c>
      <c r="D1335" t="s">
        <v>100</v>
      </c>
      <c r="E1335" t="s">
        <v>439</v>
      </c>
      <c r="F1335" t="s">
        <v>460</v>
      </c>
      <c r="G1335" t="s">
        <v>245</v>
      </c>
      <c r="H1335" t="s">
        <v>104</v>
      </c>
      <c r="I1335">
        <v>2022</v>
      </c>
      <c r="J1335" t="s">
        <v>461</v>
      </c>
      <c r="K1335" t="s">
        <v>106</v>
      </c>
      <c r="L1335" t="s">
        <v>1694</v>
      </c>
      <c r="M1335" t="s">
        <v>1704</v>
      </c>
      <c r="N1335">
        <v>1</v>
      </c>
      <c r="O1335">
        <v>2020</v>
      </c>
      <c r="P1335">
        <v>520.8323861248623</v>
      </c>
      <c r="Q1335">
        <v>19.17492366827851</v>
      </c>
      <c r="R1335" t="s">
        <v>109</v>
      </c>
      <c r="S1335">
        <v>5.9841517746527506</v>
      </c>
      <c r="T1335" t="s">
        <v>110</v>
      </c>
      <c r="U1335">
        <v>2.066542692750287</v>
      </c>
      <c r="V1335">
        <v>5146.1608125259299</v>
      </c>
      <c r="W1335">
        <v>189.46064682931279</v>
      </c>
      <c r="X1335" t="s">
        <v>111</v>
      </c>
      <c r="Y1335">
        <v>10</v>
      </c>
      <c r="Z1335">
        <v>0.44</v>
      </c>
      <c r="AA1335">
        <v>31.536000000000001</v>
      </c>
    </row>
    <row r="1336" spans="1:27" hidden="1" x14ac:dyDescent="0.25">
      <c r="A1336" t="s">
        <v>98</v>
      </c>
      <c r="B1336" t="s">
        <v>1548</v>
      </c>
      <c r="D1336" t="s">
        <v>100</v>
      </c>
      <c r="E1336" t="s">
        <v>439</v>
      </c>
      <c r="F1336" t="s">
        <v>460</v>
      </c>
      <c r="G1336" t="s">
        <v>103</v>
      </c>
      <c r="H1336" t="s">
        <v>104</v>
      </c>
      <c r="I1336">
        <v>2022</v>
      </c>
      <c r="J1336" t="s">
        <v>463</v>
      </c>
      <c r="K1336" t="s">
        <v>106</v>
      </c>
      <c r="L1336" t="s">
        <v>1694</v>
      </c>
      <c r="M1336" t="s">
        <v>1705</v>
      </c>
      <c r="N1336">
        <v>1</v>
      </c>
      <c r="O1336">
        <v>2020</v>
      </c>
      <c r="P1336">
        <v>619.22047419033993</v>
      </c>
      <c r="Q1336">
        <v>19.17492366827851</v>
      </c>
      <c r="R1336" t="s">
        <v>109</v>
      </c>
      <c r="S1336">
        <v>6.5013006934499016</v>
      </c>
      <c r="T1336" t="s">
        <v>110</v>
      </c>
      <c r="U1336">
        <v>2.2451328020003118</v>
      </c>
      <c r="V1336">
        <v>6118.2987530812006</v>
      </c>
      <c r="W1336">
        <v>189.46064682931279</v>
      </c>
      <c r="X1336" t="s">
        <v>111</v>
      </c>
      <c r="Y1336">
        <v>10</v>
      </c>
      <c r="Z1336">
        <v>0.44</v>
      </c>
      <c r="AA1336">
        <v>31.536000000000001</v>
      </c>
    </row>
    <row r="1337" spans="1:27" hidden="1" x14ac:dyDescent="0.25">
      <c r="A1337" t="s">
        <v>98</v>
      </c>
      <c r="B1337" t="s">
        <v>1548</v>
      </c>
      <c r="D1337" t="s">
        <v>100</v>
      </c>
      <c r="E1337" t="s">
        <v>439</v>
      </c>
      <c r="F1337" t="s">
        <v>460</v>
      </c>
      <c r="G1337" t="s">
        <v>112</v>
      </c>
      <c r="H1337" t="s">
        <v>104</v>
      </c>
      <c r="I1337">
        <v>2022</v>
      </c>
      <c r="J1337" t="s">
        <v>465</v>
      </c>
      <c r="K1337" t="s">
        <v>106</v>
      </c>
      <c r="L1337" t="s">
        <v>1694</v>
      </c>
      <c r="M1337" t="s">
        <v>1706</v>
      </c>
      <c r="N1337">
        <v>1</v>
      </c>
      <c r="O1337">
        <v>2020</v>
      </c>
      <c r="P1337">
        <v>717.59767919103297</v>
      </c>
      <c r="Q1337">
        <v>19.17492366827851</v>
      </c>
      <c r="R1337" t="s">
        <v>109</v>
      </c>
      <c r="S1337">
        <v>7.1162885968843517</v>
      </c>
      <c r="T1337" t="s">
        <v>110</v>
      </c>
      <c r="U1337">
        <v>2.4575102292165578</v>
      </c>
      <c r="V1337">
        <v>7090.3291619180018</v>
      </c>
      <c r="W1337">
        <v>189.46064682931279</v>
      </c>
      <c r="X1337" t="s">
        <v>111</v>
      </c>
      <c r="Y1337">
        <v>10</v>
      </c>
      <c r="Z1337">
        <v>0.44</v>
      </c>
      <c r="AA1337">
        <v>31.536000000000001</v>
      </c>
    </row>
    <row r="1338" spans="1:27" hidden="1" x14ac:dyDescent="0.25">
      <c r="A1338" t="s">
        <v>98</v>
      </c>
      <c r="B1338" t="s">
        <v>1548</v>
      </c>
      <c r="D1338" t="s">
        <v>100</v>
      </c>
      <c r="E1338" t="s">
        <v>439</v>
      </c>
      <c r="F1338" t="s">
        <v>460</v>
      </c>
      <c r="G1338" t="s">
        <v>103</v>
      </c>
      <c r="H1338" t="s">
        <v>104</v>
      </c>
      <c r="I1338">
        <v>2030</v>
      </c>
      <c r="J1338" t="s">
        <v>467</v>
      </c>
      <c r="K1338" t="s">
        <v>106</v>
      </c>
      <c r="L1338" t="s">
        <v>1694</v>
      </c>
      <c r="M1338" t="s">
        <v>1707</v>
      </c>
      <c r="N1338">
        <v>1</v>
      </c>
      <c r="O1338">
        <v>2030</v>
      </c>
      <c r="P1338">
        <v>520.8323861248623</v>
      </c>
      <c r="Q1338">
        <v>19.17492366827851</v>
      </c>
      <c r="R1338" t="s">
        <v>109</v>
      </c>
      <c r="S1338">
        <v>6.5013006934499016</v>
      </c>
      <c r="T1338" t="s">
        <v>110</v>
      </c>
      <c r="U1338">
        <v>2.2451328020003118</v>
      </c>
      <c r="V1338">
        <v>5146.1608125259299</v>
      </c>
      <c r="W1338">
        <v>189.46064682931279</v>
      </c>
      <c r="X1338" t="s">
        <v>111</v>
      </c>
      <c r="Y1338">
        <v>10</v>
      </c>
      <c r="Z1338">
        <v>0.44</v>
      </c>
      <c r="AA1338">
        <v>31.536000000000001</v>
      </c>
    </row>
    <row r="1339" spans="1:27" hidden="1" x14ac:dyDescent="0.25">
      <c r="A1339" t="s">
        <v>98</v>
      </c>
      <c r="B1339" t="s">
        <v>1548</v>
      </c>
      <c r="D1339" t="s">
        <v>100</v>
      </c>
      <c r="E1339" t="s">
        <v>439</v>
      </c>
      <c r="F1339" t="s">
        <v>460</v>
      </c>
      <c r="G1339" t="s">
        <v>112</v>
      </c>
      <c r="H1339" t="s">
        <v>104</v>
      </c>
      <c r="I1339">
        <v>2030</v>
      </c>
      <c r="J1339" t="s">
        <v>469</v>
      </c>
      <c r="K1339" t="s">
        <v>106</v>
      </c>
      <c r="L1339" t="s">
        <v>1694</v>
      </c>
      <c r="M1339" t="s">
        <v>1708</v>
      </c>
      <c r="N1339">
        <v>1</v>
      </c>
      <c r="O1339">
        <v>2030</v>
      </c>
      <c r="P1339">
        <v>717.59767919103297</v>
      </c>
      <c r="Q1339">
        <v>19.17492366827851</v>
      </c>
      <c r="R1339" t="s">
        <v>109</v>
      </c>
      <c r="S1339">
        <v>7.1162885968843517</v>
      </c>
      <c r="T1339" t="s">
        <v>110</v>
      </c>
      <c r="U1339">
        <v>2.4575102292165578</v>
      </c>
      <c r="V1339">
        <v>7090.3291619180018</v>
      </c>
      <c r="W1339">
        <v>189.46064682931279</v>
      </c>
      <c r="X1339" t="s">
        <v>111</v>
      </c>
      <c r="Y1339">
        <v>10</v>
      </c>
      <c r="Z1339">
        <v>0.44</v>
      </c>
      <c r="AA1339">
        <v>31.536000000000001</v>
      </c>
    </row>
    <row r="1340" spans="1:27" hidden="1" x14ac:dyDescent="0.25">
      <c r="A1340" t="s">
        <v>98</v>
      </c>
      <c r="B1340" t="s">
        <v>1548</v>
      </c>
      <c r="D1340" t="s">
        <v>100</v>
      </c>
      <c r="E1340" t="s">
        <v>439</v>
      </c>
      <c r="F1340" t="s">
        <v>460</v>
      </c>
      <c r="G1340" t="s">
        <v>103</v>
      </c>
      <c r="H1340" t="s">
        <v>104</v>
      </c>
      <c r="I1340">
        <v>2040</v>
      </c>
      <c r="J1340" t="s">
        <v>471</v>
      </c>
      <c r="K1340" t="s">
        <v>106</v>
      </c>
      <c r="L1340" t="s">
        <v>1694</v>
      </c>
      <c r="M1340" t="s">
        <v>1709</v>
      </c>
      <c r="N1340">
        <v>1</v>
      </c>
      <c r="O1340">
        <v>2040</v>
      </c>
      <c r="P1340">
        <v>520.8323861248623</v>
      </c>
      <c r="Q1340">
        <v>19.17492366827851</v>
      </c>
      <c r="R1340" t="s">
        <v>109</v>
      </c>
      <c r="S1340">
        <v>6.5013006934499016</v>
      </c>
      <c r="T1340" t="s">
        <v>110</v>
      </c>
      <c r="U1340">
        <v>2.2451328020003118</v>
      </c>
      <c r="V1340">
        <v>5146.1608125259299</v>
      </c>
      <c r="W1340">
        <v>189.46064682931279</v>
      </c>
      <c r="X1340" t="s">
        <v>111</v>
      </c>
      <c r="Y1340">
        <v>10</v>
      </c>
      <c r="Z1340">
        <v>0.44</v>
      </c>
      <c r="AA1340">
        <v>31.536000000000001</v>
      </c>
    </row>
    <row r="1341" spans="1:27" hidden="1" x14ac:dyDescent="0.25">
      <c r="A1341" t="s">
        <v>98</v>
      </c>
      <c r="B1341" t="s">
        <v>1548</v>
      </c>
      <c r="D1341" t="s">
        <v>100</v>
      </c>
      <c r="E1341" t="s">
        <v>439</v>
      </c>
      <c r="F1341" t="s">
        <v>460</v>
      </c>
      <c r="G1341" t="s">
        <v>112</v>
      </c>
      <c r="H1341" t="s">
        <v>104</v>
      </c>
      <c r="I1341">
        <v>2040</v>
      </c>
      <c r="J1341" t="s">
        <v>473</v>
      </c>
      <c r="K1341" t="s">
        <v>106</v>
      </c>
      <c r="L1341" t="s">
        <v>1694</v>
      </c>
      <c r="M1341" t="s">
        <v>1710</v>
      </c>
      <c r="N1341">
        <v>1</v>
      </c>
      <c r="O1341">
        <v>2040</v>
      </c>
      <c r="P1341">
        <v>717.59767919103297</v>
      </c>
      <c r="Q1341">
        <v>19.17492366827851</v>
      </c>
      <c r="R1341" t="s">
        <v>109</v>
      </c>
      <c r="S1341">
        <v>7.1162885968843517</v>
      </c>
      <c r="T1341" t="s">
        <v>110</v>
      </c>
      <c r="U1341">
        <v>2.4575102292165578</v>
      </c>
      <c r="V1341">
        <v>7090.3291619180018</v>
      </c>
      <c r="W1341">
        <v>189.46064682931279</v>
      </c>
      <c r="X1341" t="s">
        <v>111</v>
      </c>
      <c r="Y1341">
        <v>10</v>
      </c>
      <c r="Z1341">
        <v>0.44</v>
      </c>
      <c r="AA1341">
        <v>31.536000000000001</v>
      </c>
    </row>
    <row r="1342" spans="1:27" hidden="1" x14ac:dyDescent="0.25">
      <c r="A1342" t="s">
        <v>98</v>
      </c>
      <c r="B1342" t="s">
        <v>1548</v>
      </c>
      <c r="D1342" t="s">
        <v>100</v>
      </c>
      <c r="E1342" t="s">
        <v>439</v>
      </c>
      <c r="F1342" t="s">
        <v>460</v>
      </c>
      <c r="G1342" t="s">
        <v>103</v>
      </c>
      <c r="H1342" t="s">
        <v>104</v>
      </c>
      <c r="I1342">
        <v>2050</v>
      </c>
      <c r="J1342" t="s">
        <v>475</v>
      </c>
      <c r="K1342" t="s">
        <v>106</v>
      </c>
      <c r="L1342" t="s">
        <v>1694</v>
      </c>
      <c r="M1342" t="s">
        <v>1711</v>
      </c>
      <c r="N1342">
        <v>1</v>
      </c>
      <c r="O1342">
        <v>2050</v>
      </c>
      <c r="P1342">
        <v>520.8323861248623</v>
      </c>
      <c r="Q1342">
        <v>19.17492366827851</v>
      </c>
      <c r="R1342" t="s">
        <v>109</v>
      </c>
      <c r="S1342">
        <v>6.5013006934499016</v>
      </c>
      <c r="T1342" t="s">
        <v>110</v>
      </c>
      <c r="U1342">
        <v>2.2451328020003118</v>
      </c>
      <c r="V1342">
        <v>5146.1608125259299</v>
      </c>
      <c r="W1342">
        <v>189.46064682931279</v>
      </c>
      <c r="X1342" t="s">
        <v>111</v>
      </c>
      <c r="Y1342">
        <v>10</v>
      </c>
      <c r="Z1342">
        <v>0.44</v>
      </c>
      <c r="AA1342">
        <v>31.536000000000001</v>
      </c>
    </row>
    <row r="1343" spans="1:27" hidden="1" x14ac:dyDescent="0.25">
      <c r="A1343" t="s">
        <v>98</v>
      </c>
      <c r="B1343" t="s">
        <v>1548</v>
      </c>
      <c r="D1343" t="s">
        <v>100</v>
      </c>
      <c r="E1343" t="s">
        <v>439</v>
      </c>
      <c r="F1343" t="s">
        <v>460</v>
      </c>
      <c r="G1343" t="s">
        <v>112</v>
      </c>
      <c r="H1343" t="s">
        <v>104</v>
      </c>
      <c r="I1343">
        <v>2050</v>
      </c>
      <c r="J1343" t="s">
        <v>477</v>
      </c>
      <c r="K1343" t="s">
        <v>106</v>
      </c>
      <c r="L1343" t="s">
        <v>1694</v>
      </c>
      <c r="M1343" t="s">
        <v>1712</v>
      </c>
      <c r="N1343">
        <v>1</v>
      </c>
      <c r="O1343">
        <v>2050</v>
      </c>
      <c r="P1343">
        <v>717.59767919103297</v>
      </c>
      <c r="Q1343">
        <v>19.17492366827851</v>
      </c>
      <c r="R1343" t="s">
        <v>109</v>
      </c>
      <c r="S1343">
        <v>7.1162885968843517</v>
      </c>
      <c r="T1343" t="s">
        <v>110</v>
      </c>
      <c r="U1343">
        <v>2.4575102292165578</v>
      </c>
      <c r="V1343">
        <v>7090.3291619180018</v>
      </c>
      <c r="W1343">
        <v>189.46064682931279</v>
      </c>
      <c r="X1343" t="s">
        <v>111</v>
      </c>
      <c r="Y1343">
        <v>10</v>
      </c>
      <c r="Z1343">
        <v>0.44</v>
      </c>
      <c r="AA1343">
        <v>31.536000000000001</v>
      </c>
    </row>
    <row r="1344" spans="1:27" hidden="1" x14ac:dyDescent="0.25">
      <c r="A1344" t="s">
        <v>98</v>
      </c>
      <c r="B1344" t="s">
        <v>1548</v>
      </c>
      <c r="D1344" t="s">
        <v>100</v>
      </c>
      <c r="E1344" t="s">
        <v>439</v>
      </c>
      <c r="F1344" t="s">
        <v>479</v>
      </c>
      <c r="G1344" t="s">
        <v>245</v>
      </c>
      <c r="H1344" t="s">
        <v>104</v>
      </c>
      <c r="I1344">
        <v>2022</v>
      </c>
      <c r="J1344" t="s">
        <v>480</v>
      </c>
      <c r="K1344" t="s">
        <v>106</v>
      </c>
      <c r="L1344" t="s">
        <v>1694</v>
      </c>
      <c r="M1344" t="s">
        <v>1713</v>
      </c>
      <c r="N1344">
        <v>1</v>
      </c>
      <c r="O1344">
        <v>2020</v>
      </c>
      <c r="P1344">
        <v>1625.561814955347</v>
      </c>
      <c r="Q1344">
        <v>83.737016934227881</v>
      </c>
      <c r="R1344" t="s">
        <v>109</v>
      </c>
      <c r="S1344">
        <v>3.1167552571169028</v>
      </c>
      <c r="T1344" t="s">
        <v>110</v>
      </c>
      <c r="U1344">
        <v>1.0763276140434681</v>
      </c>
      <c r="V1344">
        <v>16061.60203036269</v>
      </c>
      <c r="W1344">
        <v>827.37588250020144</v>
      </c>
      <c r="X1344" t="s">
        <v>111</v>
      </c>
      <c r="Y1344">
        <v>10</v>
      </c>
      <c r="Z1344">
        <v>0.44</v>
      </c>
      <c r="AA1344">
        <v>31.536000000000001</v>
      </c>
    </row>
    <row r="1345" spans="1:27" hidden="1" x14ac:dyDescent="0.25">
      <c r="A1345" t="s">
        <v>98</v>
      </c>
      <c r="B1345" t="s">
        <v>1548</v>
      </c>
      <c r="D1345" t="s">
        <v>100</v>
      </c>
      <c r="E1345" t="s">
        <v>439</v>
      </c>
      <c r="F1345" t="s">
        <v>479</v>
      </c>
      <c r="G1345" t="s">
        <v>103</v>
      </c>
      <c r="H1345" t="s">
        <v>104</v>
      </c>
      <c r="I1345">
        <v>2022</v>
      </c>
      <c r="J1345" t="s">
        <v>482</v>
      </c>
      <c r="K1345" t="s">
        <v>106</v>
      </c>
      <c r="L1345" t="s">
        <v>1694</v>
      </c>
      <c r="M1345" t="s">
        <v>1714</v>
      </c>
      <c r="N1345">
        <v>1</v>
      </c>
      <c r="O1345">
        <v>2020</v>
      </c>
      <c r="P1345">
        <v>1649.1429636040691</v>
      </c>
      <c r="Q1345">
        <v>83.737016934227881</v>
      </c>
      <c r="R1345" t="s">
        <v>109</v>
      </c>
      <c r="S1345">
        <v>4.464541314248538</v>
      </c>
      <c r="T1345" t="s">
        <v>110</v>
      </c>
      <c r="U1345">
        <v>1.541766582278481</v>
      </c>
      <c r="V1345">
        <v>16294.59902963399</v>
      </c>
      <c r="W1345">
        <v>827.37588250020167</v>
      </c>
      <c r="X1345" t="s">
        <v>111</v>
      </c>
      <c r="Y1345">
        <v>10</v>
      </c>
      <c r="Z1345">
        <v>0.44</v>
      </c>
      <c r="AA1345">
        <v>31.536000000000001</v>
      </c>
    </row>
    <row r="1346" spans="1:27" hidden="1" x14ac:dyDescent="0.25">
      <c r="A1346" t="s">
        <v>98</v>
      </c>
      <c r="B1346" t="s">
        <v>1548</v>
      </c>
      <c r="D1346" t="s">
        <v>100</v>
      </c>
      <c r="E1346" t="s">
        <v>439</v>
      </c>
      <c r="F1346" t="s">
        <v>479</v>
      </c>
      <c r="G1346" t="s">
        <v>112</v>
      </c>
      <c r="H1346" t="s">
        <v>104</v>
      </c>
      <c r="I1346">
        <v>2022</v>
      </c>
      <c r="J1346" t="s">
        <v>484</v>
      </c>
      <c r="K1346" t="s">
        <v>106</v>
      </c>
      <c r="L1346" t="s">
        <v>1694</v>
      </c>
      <c r="M1346" t="s">
        <v>1715</v>
      </c>
      <c r="N1346">
        <v>1</v>
      </c>
      <c r="O1346">
        <v>2020</v>
      </c>
      <c r="P1346">
        <v>1758.024723094816</v>
      </c>
      <c r="Q1346">
        <v>83.737016934227881</v>
      </c>
      <c r="R1346" t="s">
        <v>109</v>
      </c>
      <c r="S1346">
        <v>7.4409021904142287</v>
      </c>
      <c r="T1346" t="s">
        <v>110</v>
      </c>
      <c r="U1346">
        <v>2.5696109704641348</v>
      </c>
      <c r="V1346">
        <v>17370.421230436659</v>
      </c>
      <c r="W1346">
        <v>827.37588250020167</v>
      </c>
      <c r="X1346" t="s">
        <v>111</v>
      </c>
      <c r="Y1346">
        <v>10</v>
      </c>
      <c r="Z1346">
        <v>0.44</v>
      </c>
      <c r="AA1346">
        <v>31.536000000000001</v>
      </c>
    </row>
    <row r="1347" spans="1:27" hidden="1" x14ac:dyDescent="0.25">
      <c r="A1347" t="s">
        <v>98</v>
      </c>
      <c r="B1347" t="s">
        <v>1548</v>
      </c>
      <c r="D1347" t="s">
        <v>100</v>
      </c>
      <c r="E1347" t="s">
        <v>439</v>
      </c>
      <c r="F1347" t="s">
        <v>479</v>
      </c>
      <c r="G1347" t="s">
        <v>219</v>
      </c>
      <c r="H1347" t="s">
        <v>104</v>
      </c>
      <c r="I1347">
        <v>2022</v>
      </c>
      <c r="J1347" t="s">
        <v>486</v>
      </c>
      <c r="K1347" t="s">
        <v>106</v>
      </c>
      <c r="L1347" t="s">
        <v>1694</v>
      </c>
      <c r="M1347" t="s">
        <v>1716</v>
      </c>
      <c r="N1347">
        <v>1</v>
      </c>
      <c r="O1347">
        <v>2020</v>
      </c>
      <c r="P1347">
        <v>1758.024723094816</v>
      </c>
      <c r="Q1347">
        <v>84.189649458196669</v>
      </c>
      <c r="R1347" t="s">
        <v>109</v>
      </c>
      <c r="S1347">
        <v>7.4409021904142287</v>
      </c>
      <c r="T1347" t="s">
        <v>110</v>
      </c>
      <c r="U1347">
        <v>2.5696109704641348</v>
      </c>
      <c r="V1347">
        <v>17370.421230436659</v>
      </c>
      <c r="W1347">
        <v>831.8481845677702</v>
      </c>
      <c r="X1347" t="s">
        <v>111</v>
      </c>
      <c r="Y1347">
        <v>10</v>
      </c>
      <c r="Z1347">
        <v>0.44</v>
      </c>
      <c r="AA1347">
        <v>31.536000000000001</v>
      </c>
    </row>
    <row r="1348" spans="1:27" hidden="1" x14ac:dyDescent="0.25">
      <c r="A1348" t="s">
        <v>98</v>
      </c>
      <c r="B1348" t="s">
        <v>1548</v>
      </c>
      <c r="D1348" t="s">
        <v>100</v>
      </c>
      <c r="E1348" t="s">
        <v>439</v>
      </c>
      <c r="F1348" t="s">
        <v>479</v>
      </c>
      <c r="G1348" t="s">
        <v>103</v>
      </c>
      <c r="H1348" t="s">
        <v>104</v>
      </c>
      <c r="I1348">
        <v>2030</v>
      </c>
      <c r="J1348" t="s">
        <v>488</v>
      </c>
      <c r="K1348" t="s">
        <v>106</v>
      </c>
      <c r="L1348" t="s">
        <v>1694</v>
      </c>
      <c r="M1348" t="s">
        <v>1717</v>
      </c>
      <c r="N1348">
        <v>1</v>
      </c>
      <c r="O1348">
        <v>2030</v>
      </c>
      <c r="P1348">
        <v>1649.1429636040691</v>
      </c>
      <c r="Q1348">
        <v>83.737016934227881</v>
      </c>
      <c r="R1348" t="s">
        <v>109</v>
      </c>
      <c r="S1348">
        <v>4.464541314248538</v>
      </c>
      <c r="T1348" t="s">
        <v>110</v>
      </c>
      <c r="U1348">
        <v>1.541766582278481</v>
      </c>
      <c r="V1348">
        <v>16294.59902963399</v>
      </c>
      <c r="W1348">
        <v>827.37588250020167</v>
      </c>
      <c r="X1348" t="s">
        <v>111</v>
      </c>
      <c r="Y1348">
        <v>10</v>
      </c>
      <c r="Z1348">
        <v>0.44</v>
      </c>
      <c r="AA1348">
        <v>31.536000000000001</v>
      </c>
    </row>
    <row r="1349" spans="1:27" hidden="1" x14ac:dyDescent="0.25">
      <c r="A1349" t="s">
        <v>98</v>
      </c>
      <c r="B1349" t="s">
        <v>1548</v>
      </c>
      <c r="D1349" t="s">
        <v>100</v>
      </c>
      <c r="E1349" t="s">
        <v>439</v>
      </c>
      <c r="F1349" t="s">
        <v>479</v>
      </c>
      <c r="G1349" t="s">
        <v>112</v>
      </c>
      <c r="H1349" t="s">
        <v>104</v>
      </c>
      <c r="I1349">
        <v>2030</v>
      </c>
      <c r="J1349" t="s">
        <v>490</v>
      </c>
      <c r="K1349" t="s">
        <v>106</v>
      </c>
      <c r="L1349" t="s">
        <v>1694</v>
      </c>
      <c r="M1349" t="s">
        <v>1718</v>
      </c>
      <c r="N1349">
        <v>1</v>
      </c>
      <c r="O1349">
        <v>2030</v>
      </c>
      <c r="P1349">
        <v>1758.024723094816</v>
      </c>
      <c r="Q1349">
        <v>83.737016934227881</v>
      </c>
      <c r="R1349" t="s">
        <v>109</v>
      </c>
      <c r="S1349">
        <v>7.4409021904142287</v>
      </c>
      <c r="T1349" t="s">
        <v>110</v>
      </c>
      <c r="U1349">
        <v>2.5696109704641348</v>
      </c>
      <c r="V1349">
        <v>17370.421230436659</v>
      </c>
      <c r="W1349">
        <v>827.37588250020167</v>
      </c>
      <c r="X1349" t="s">
        <v>111</v>
      </c>
      <c r="Y1349">
        <v>10</v>
      </c>
      <c r="Z1349">
        <v>0.44</v>
      </c>
      <c r="AA1349">
        <v>31.536000000000001</v>
      </c>
    </row>
    <row r="1350" spans="1:27" hidden="1" x14ac:dyDescent="0.25">
      <c r="A1350" t="s">
        <v>98</v>
      </c>
      <c r="B1350" t="s">
        <v>1548</v>
      </c>
      <c r="D1350" t="s">
        <v>100</v>
      </c>
      <c r="E1350" t="s">
        <v>439</v>
      </c>
      <c r="F1350" t="s">
        <v>479</v>
      </c>
      <c r="G1350" t="s">
        <v>103</v>
      </c>
      <c r="H1350" t="s">
        <v>104</v>
      </c>
      <c r="I1350">
        <v>2040</v>
      </c>
      <c r="J1350" t="s">
        <v>492</v>
      </c>
      <c r="K1350" t="s">
        <v>106</v>
      </c>
      <c r="L1350" t="s">
        <v>1694</v>
      </c>
      <c r="M1350" t="s">
        <v>1719</v>
      </c>
      <c r="N1350">
        <v>1</v>
      </c>
      <c r="O1350">
        <v>2040</v>
      </c>
      <c r="P1350">
        <v>1649.1429636040691</v>
      </c>
      <c r="Q1350">
        <v>83.737016934227881</v>
      </c>
      <c r="R1350" t="s">
        <v>109</v>
      </c>
      <c r="S1350">
        <v>4.464541314248538</v>
      </c>
      <c r="T1350" t="s">
        <v>110</v>
      </c>
      <c r="U1350">
        <v>1.541766582278481</v>
      </c>
      <c r="V1350">
        <v>16294.59902963399</v>
      </c>
      <c r="W1350">
        <v>827.37588250020167</v>
      </c>
      <c r="X1350" t="s">
        <v>111</v>
      </c>
      <c r="Y1350">
        <v>10</v>
      </c>
      <c r="Z1350">
        <v>0.44</v>
      </c>
      <c r="AA1350">
        <v>31.536000000000001</v>
      </c>
    </row>
    <row r="1351" spans="1:27" hidden="1" x14ac:dyDescent="0.25">
      <c r="A1351" t="s">
        <v>98</v>
      </c>
      <c r="B1351" t="s">
        <v>1548</v>
      </c>
      <c r="D1351" t="s">
        <v>100</v>
      </c>
      <c r="E1351" t="s">
        <v>439</v>
      </c>
      <c r="F1351" t="s">
        <v>479</v>
      </c>
      <c r="G1351" t="s">
        <v>112</v>
      </c>
      <c r="H1351" t="s">
        <v>104</v>
      </c>
      <c r="I1351">
        <v>2040</v>
      </c>
      <c r="J1351" t="s">
        <v>494</v>
      </c>
      <c r="K1351" t="s">
        <v>106</v>
      </c>
      <c r="L1351" t="s">
        <v>1694</v>
      </c>
      <c r="M1351" t="s">
        <v>1720</v>
      </c>
      <c r="N1351">
        <v>1</v>
      </c>
      <c r="O1351">
        <v>2040</v>
      </c>
      <c r="P1351">
        <v>1758.024723094816</v>
      </c>
      <c r="Q1351">
        <v>83.737016934227881</v>
      </c>
      <c r="R1351" t="s">
        <v>109</v>
      </c>
      <c r="S1351">
        <v>7.4409021904142287</v>
      </c>
      <c r="T1351" t="s">
        <v>110</v>
      </c>
      <c r="U1351">
        <v>2.5696109704641348</v>
      </c>
      <c r="V1351">
        <v>17370.421230436659</v>
      </c>
      <c r="W1351">
        <v>827.37588250020167</v>
      </c>
      <c r="X1351" t="s">
        <v>111</v>
      </c>
      <c r="Y1351">
        <v>10</v>
      </c>
      <c r="Z1351">
        <v>0.44</v>
      </c>
      <c r="AA1351">
        <v>31.536000000000001</v>
      </c>
    </row>
    <row r="1352" spans="1:27" hidden="1" x14ac:dyDescent="0.25">
      <c r="A1352" t="s">
        <v>98</v>
      </c>
      <c r="B1352" t="s">
        <v>1548</v>
      </c>
      <c r="D1352" t="s">
        <v>100</v>
      </c>
      <c r="E1352" t="s">
        <v>439</v>
      </c>
      <c r="F1352" t="s">
        <v>479</v>
      </c>
      <c r="G1352" t="s">
        <v>112</v>
      </c>
      <c r="H1352" t="s">
        <v>104</v>
      </c>
      <c r="I1352">
        <v>2025</v>
      </c>
      <c r="J1352" t="s">
        <v>496</v>
      </c>
      <c r="K1352" t="s">
        <v>106</v>
      </c>
      <c r="L1352" t="s">
        <v>1694</v>
      </c>
      <c r="M1352" t="s">
        <v>1721</v>
      </c>
      <c r="N1352">
        <v>1</v>
      </c>
      <c r="O1352">
        <v>2025</v>
      </c>
      <c r="P1352">
        <v>1758.024723094816</v>
      </c>
      <c r="Q1352">
        <v>83.737016934227881</v>
      </c>
      <c r="R1352" t="s">
        <v>109</v>
      </c>
      <c r="S1352">
        <v>7.4409021904142287</v>
      </c>
      <c r="T1352" t="s">
        <v>110</v>
      </c>
      <c r="U1352">
        <v>2.5696109704641348</v>
      </c>
      <c r="V1352">
        <v>17370.421230436659</v>
      </c>
      <c r="W1352">
        <v>827.37588250020167</v>
      </c>
      <c r="X1352" t="s">
        <v>111</v>
      </c>
      <c r="Y1352">
        <v>10</v>
      </c>
      <c r="Z1352">
        <v>0.44</v>
      </c>
      <c r="AA1352">
        <v>31.536000000000001</v>
      </c>
    </row>
    <row r="1353" spans="1:27" hidden="1" x14ac:dyDescent="0.25">
      <c r="A1353" t="s">
        <v>498</v>
      </c>
      <c r="M1353" t="s">
        <v>498</v>
      </c>
      <c r="N1353" t="s">
        <v>498</v>
      </c>
    </row>
    <row r="1354" spans="1:27" hidden="1" x14ac:dyDescent="0.25">
      <c r="A1354" t="s">
        <v>98</v>
      </c>
      <c r="B1354" t="s">
        <v>99</v>
      </c>
      <c r="D1354" t="s">
        <v>1722</v>
      </c>
      <c r="E1354" t="s">
        <v>101</v>
      </c>
      <c r="F1354" t="s">
        <v>102</v>
      </c>
      <c r="G1354" t="s">
        <v>103</v>
      </c>
      <c r="H1354" t="s">
        <v>104</v>
      </c>
      <c r="I1354">
        <v>2061</v>
      </c>
      <c r="J1354" t="s">
        <v>105</v>
      </c>
      <c r="K1354" t="s">
        <v>106</v>
      </c>
      <c r="L1354" t="s">
        <v>1723</v>
      </c>
      <c r="M1354" t="s">
        <v>1724</v>
      </c>
      <c r="N1354">
        <v>0</v>
      </c>
      <c r="O1354">
        <v>2061</v>
      </c>
      <c r="P1354">
        <v>117.0584711706526</v>
      </c>
      <c r="Q1354">
        <v>4.2000145906136934</v>
      </c>
      <c r="R1354" t="s">
        <v>109</v>
      </c>
      <c r="S1354">
        <v>3.3</v>
      </c>
      <c r="T1354" t="s">
        <v>110</v>
      </c>
      <c r="U1354">
        <v>3.3</v>
      </c>
      <c r="V1354">
        <v>399.42017862788401</v>
      </c>
      <c r="W1354">
        <v>14.33104807576899</v>
      </c>
      <c r="X1354" t="s">
        <v>111</v>
      </c>
      <c r="Y1354">
        <v>21</v>
      </c>
      <c r="Z1354">
        <v>0.17628027835517829</v>
      </c>
      <c r="AA1354">
        <v>31.536000000000001</v>
      </c>
    </row>
    <row r="1355" spans="1:27" hidden="1" x14ac:dyDescent="0.25">
      <c r="A1355" t="s">
        <v>98</v>
      </c>
      <c r="B1355" t="s">
        <v>99</v>
      </c>
      <c r="D1355" t="s">
        <v>1722</v>
      </c>
      <c r="E1355" t="s">
        <v>101</v>
      </c>
      <c r="F1355" t="s">
        <v>102</v>
      </c>
      <c r="G1355" t="s">
        <v>112</v>
      </c>
      <c r="H1355" t="s">
        <v>104</v>
      </c>
      <c r="I1355">
        <v>2022</v>
      </c>
      <c r="J1355" t="s">
        <v>113</v>
      </c>
      <c r="K1355" t="s">
        <v>106</v>
      </c>
      <c r="L1355" t="s">
        <v>1723</v>
      </c>
      <c r="M1355" t="s">
        <v>1725</v>
      </c>
      <c r="N1355">
        <v>1</v>
      </c>
      <c r="O1355">
        <v>2020</v>
      </c>
      <c r="P1355">
        <v>200.7885700942916</v>
      </c>
      <c r="Q1355">
        <v>4.2000145906136934</v>
      </c>
      <c r="R1355" t="s">
        <v>109</v>
      </c>
      <c r="S1355">
        <v>3.7</v>
      </c>
      <c r="T1355" t="s">
        <v>110</v>
      </c>
      <c r="U1355">
        <v>3.7</v>
      </c>
      <c r="V1355">
        <v>685.1192035182313</v>
      </c>
      <c r="W1355">
        <v>14.33104807576899</v>
      </c>
      <c r="X1355" t="s">
        <v>111</v>
      </c>
      <c r="Y1355">
        <v>21</v>
      </c>
      <c r="Z1355">
        <v>0.17628027835517829</v>
      </c>
      <c r="AA1355">
        <v>31.536000000000001</v>
      </c>
    </row>
    <row r="1356" spans="1:27" hidden="1" x14ac:dyDescent="0.25">
      <c r="A1356" t="s">
        <v>98</v>
      </c>
      <c r="B1356" t="s">
        <v>99</v>
      </c>
      <c r="D1356" t="s">
        <v>1722</v>
      </c>
      <c r="E1356" t="s">
        <v>101</v>
      </c>
      <c r="F1356" t="s">
        <v>102</v>
      </c>
      <c r="G1356" t="s">
        <v>103</v>
      </c>
      <c r="H1356" t="s">
        <v>104</v>
      </c>
      <c r="I1356">
        <v>2023</v>
      </c>
      <c r="J1356" t="s">
        <v>115</v>
      </c>
      <c r="K1356" t="s">
        <v>106</v>
      </c>
      <c r="L1356" t="s">
        <v>1723</v>
      </c>
      <c r="M1356" t="s">
        <v>1726</v>
      </c>
      <c r="N1356">
        <v>0</v>
      </c>
      <c r="O1356">
        <v>2023</v>
      </c>
      <c r="P1356">
        <v>135.73557542199771</v>
      </c>
      <c r="Q1356">
        <v>4.2000145906136934</v>
      </c>
      <c r="R1356" t="s">
        <v>109</v>
      </c>
      <c r="S1356">
        <v>3.4</v>
      </c>
      <c r="T1356" t="s">
        <v>110</v>
      </c>
      <c r="U1356">
        <v>3.4</v>
      </c>
      <c r="V1356">
        <v>463.14911888927151</v>
      </c>
      <c r="W1356">
        <v>14.33104807576899</v>
      </c>
      <c r="X1356" t="s">
        <v>111</v>
      </c>
      <c r="Y1356">
        <v>21</v>
      </c>
      <c r="Z1356">
        <v>0.17628027835517829</v>
      </c>
      <c r="AA1356">
        <v>31.536000000000001</v>
      </c>
    </row>
    <row r="1357" spans="1:27" hidden="1" x14ac:dyDescent="0.25">
      <c r="A1357" t="s">
        <v>98</v>
      </c>
      <c r="B1357" t="s">
        <v>99</v>
      </c>
      <c r="D1357" t="s">
        <v>1722</v>
      </c>
      <c r="E1357" t="s">
        <v>101</v>
      </c>
      <c r="F1357" t="s">
        <v>117</v>
      </c>
      <c r="G1357" t="s">
        <v>103</v>
      </c>
      <c r="H1357" t="s">
        <v>104</v>
      </c>
      <c r="I1357">
        <v>2033</v>
      </c>
      <c r="J1357" t="s">
        <v>118</v>
      </c>
      <c r="K1357" t="s">
        <v>106</v>
      </c>
      <c r="L1357" t="s">
        <v>1723</v>
      </c>
      <c r="M1357" t="s">
        <v>1727</v>
      </c>
      <c r="N1357">
        <v>1</v>
      </c>
      <c r="O1357">
        <v>2033</v>
      </c>
      <c r="P1357">
        <v>483.9331327692995</v>
      </c>
      <c r="Q1357">
        <v>3.810497108419681</v>
      </c>
      <c r="R1357" t="s">
        <v>109</v>
      </c>
      <c r="S1357">
        <v>3.7</v>
      </c>
      <c r="T1357" t="s">
        <v>110</v>
      </c>
      <c r="U1357">
        <v>3.7</v>
      </c>
      <c r="V1357">
        <v>1651.2487853431401</v>
      </c>
      <c r="W1357">
        <v>13.00195893970977</v>
      </c>
      <c r="X1357" t="s">
        <v>111</v>
      </c>
      <c r="Y1357">
        <v>14.4</v>
      </c>
      <c r="Z1357">
        <v>0.17628027835517829</v>
      </c>
      <c r="AA1357">
        <v>31.536000000000001</v>
      </c>
    </row>
    <row r="1358" spans="1:27" hidden="1" x14ac:dyDescent="0.25">
      <c r="A1358" t="s">
        <v>98</v>
      </c>
      <c r="B1358" t="s">
        <v>99</v>
      </c>
      <c r="D1358" t="s">
        <v>1722</v>
      </c>
      <c r="E1358" t="s">
        <v>101</v>
      </c>
      <c r="F1358" t="s">
        <v>117</v>
      </c>
      <c r="G1358" t="s">
        <v>67</v>
      </c>
      <c r="H1358" t="s">
        <v>104</v>
      </c>
      <c r="I1358">
        <v>2033</v>
      </c>
      <c r="J1358" t="s">
        <v>120</v>
      </c>
      <c r="K1358" t="s">
        <v>106</v>
      </c>
      <c r="L1358" t="s">
        <v>1723</v>
      </c>
      <c r="M1358" t="s">
        <v>1728</v>
      </c>
      <c r="N1358">
        <v>1</v>
      </c>
      <c r="O1358">
        <v>2033</v>
      </c>
      <c r="P1358">
        <v>497.90495550017158</v>
      </c>
      <c r="Q1358">
        <v>3.810497108419681</v>
      </c>
      <c r="R1358" t="s">
        <v>109</v>
      </c>
      <c r="S1358">
        <v>3.8</v>
      </c>
      <c r="T1358" t="s">
        <v>110</v>
      </c>
      <c r="U1358">
        <v>3.8</v>
      </c>
      <c r="V1358">
        <v>1698.9226347887429</v>
      </c>
      <c r="W1358">
        <v>13.00195893970977</v>
      </c>
      <c r="X1358" t="s">
        <v>111</v>
      </c>
      <c r="Y1358">
        <v>14.4</v>
      </c>
      <c r="Z1358">
        <v>0.17628027835517829</v>
      </c>
      <c r="AA1358">
        <v>31.536000000000001</v>
      </c>
    </row>
    <row r="1359" spans="1:27" hidden="1" x14ac:dyDescent="0.25">
      <c r="A1359" t="s">
        <v>98</v>
      </c>
      <c r="B1359" t="s">
        <v>99</v>
      </c>
      <c r="D1359" t="s">
        <v>1722</v>
      </c>
      <c r="E1359" t="s">
        <v>101</v>
      </c>
      <c r="F1359" t="s">
        <v>117</v>
      </c>
      <c r="G1359" t="s">
        <v>112</v>
      </c>
      <c r="H1359" t="s">
        <v>104</v>
      </c>
      <c r="I1359">
        <v>2033</v>
      </c>
      <c r="J1359" t="s">
        <v>122</v>
      </c>
      <c r="K1359" t="s">
        <v>106</v>
      </c>
      <c r="L1359" t="s">
        <v>1723</v>
      </c>
      <c r="M1359" t="s">
        <v>1729</v>
      </c>
      <c r="N1359">
        <v>1</v>
      </c>
      <c r="O1359">
        <v>2033</v>
      </c>
      <c r="P1359">
        <v>513.14694393385037</v>
      </c>
      <c r="Q1359">
        <v>3.810497108419681</v>
      </c>
      <c r="R1359" t="s">
        <v>109</v>
      </c>
      <c r="S1359">
        <v>4</v>
      </c>
      <c r="T1359" t="s">
        <v>110</v>
      </c>
      <c r="U1359">
        <v>4</v>
      </c>
      <c r="V1359">
        <v>1750.930470547582</v>
      </c>
      <c r="W1359">
        <v>13.00195893970977</v>
      </c>
      <c r="X1359" t="s">
        <v>111</v>
      </c>
      <c r="Y1359">
        <v>14.4</v>
      </c>
      <c r="Z1359">
        <v>0.17628027835517829</v>
      </c>
      <c r="AA1359">
        <v>31.536000000000001</v>
      </c>
    </row>
    <row r="1360" spans="1:27" hidden="1" x14ac:dyDescent="0.25">
      <c r="A1360" t="s">
        <v>98</v>
      </c>
      <c r="B1360" t="s">
        <v>99</v>
      </c>
      <c r="D1360" t="s">
        <v>1722</v>
      </c>
      <c r="E1360" t="s">
        <v>101</v>
      </c>
      <c r="F1360" t="s">
        <v>117</v>
      </c>
      <c r="G1360" t="s">
        <v>103</v>
      </c>
      <c r="H1360" t="s">
        <v>104</v>
      </c>
      <c r="I1360">
        <v>2023</v>
      </c>
      <c r="J1360" t="s">
        <v>124</v>
      </c>
      <c r="K1360" t="s">
        <v>106</v>
      </c>
      <c r="L1360" t="s">
        <v>1723</v>
      </c>
      <c r="M1360" t="s">
        <v>1730</v>
      </c>
      <c r="N1360">
        <v>1</v>
      </c>
      <c r="O1360">
        <v>2023</v>
      </c>
      <c r="P1360">
        <v>483.9331327692995</v>
      </c>
      <c r="Q1360">
        <v>3.810497108419681</v>
      </c>
      <c r="R1360" t="s">
        <v>109</v>
      </c>
      <c r="S1360">
        <v>3.7</v>
      </c>
      <c r="T1360" t="s">
        <v>110</v>
      </c>
      <c r="U1360">
        <v>3.7</v>
      </c>
      <c r="V1360">
        <v>1651.2487853431401</v>
      </c>
      <c r="W1360">
        <v>13.00195893970977</v>
      </c>
      <c r="X1360" t="s">
        <v>111</v>
      </c>
      <c r="Y1360">
        <v>14.4</v>
      </c>
      <c r="Z1360">
        <v>0.17628027835517829</v>
      </c>
      <c r="AA1360">
        <v>31.536000000000001</v>
      </c>
    </row>
    <row r="1361" spans="1:27" hidden="1" x14ac:dyDescent="0.25">
      <c r="A1361" t="s">
        <v>98</v>
      </c>
      <c r="B1361" t="s">
        <v>99</v>
      </c>
      <c r="D1361" t="s">
        <v>1722</v>
      </c>
      <c r="E1361" t="s">
        <v>101</v>
      </c>
      <c r="F1361" t="s">
        <v>117</v>
      </c>
      <c r="G1361" t="s">
        <v>67</v>
      </c>
      <c r="H1361" t="s">
        <v>104</v>
      </c>
      <c r="I1361">
        <v>2023</v>
      </c>
      <c r="J1361" t="s">
        <v>126</v>
      </c>
      <c r="K1361" t="s">
        <v>106</v>
      </c>
      <c r="L1361" t="s">
        <v>1723</v>
      </c>
      <c r="M1361" t="s">
        <v>1731</v>
      </c>
      <c r="N1361">
        <v>1</v>
      </c>
      <c r="O1361">
        <v>2023</v>
      </c>
      <c r="P1361">
        <v>497.90495550017158</v>
      </c>
      <c r="Q1361">
        <v>3.810497108419681</v>
      </c>
      <c r="R1361" t="s">
        <v>109</v>
      </c>
      <c r="S1361">
        <v>3.8</v>
      </c>
      <c r="T1361" t="s">
        <v>110</v>
      </c>
      <c r="U1361">
        <v>3.8</v>
      </c>
      <c r="V1361">
        <v>1698.9226347887429</v>
      </c>
      <c r="W1361">
        <v>13.00195893970977</v>
      </c>
      <c r="X1361" t="s">
        <v>111</v>
      </c>
      <c r="Y1361">
        <v>14.4</v>
      </c>
      <c r="Z1361">
        <v>0.17628027835517829</v>
      </c>
      <c r="AA1361">
        <v>31.536000000000001</v>
      </c>
    </row>
    <row r="1362" spans="1:27" hidden="1" x14ac:dyDescent="0.25">
      <c r="A1362" t="s">
        <v>98</v>
      </c>
      <c r="B1362" t="s">
        <v>99</v>
      </c>
      <c r="D1362" t="s">
        <v>1722</v>
      </c>
      <c r="E1362" t="s">
        <v>101</v>
      </c>
      <c r="F1362" t="s">
        <v>117</v>
      </c>
      <c r="G1362" t="s">
        <v>112</v>
      </c>
      <c r="H1362" t="s">
        <v>104</v>
      </c>
      <c r="I1362">
        <v>2023</v>
      </c>
      <c r="J1362" t="s">
        <v>128</v>
      </c>
      <c r="K1362" t="s">
        <v>106</v>
      </c>
      <c r="L1362" t="s">
        <v>1723</v>
      </c>
      <c r="M1362" t="s">
        <v>1732</v>
      </c>
      <c r="N1362">
        <v>1</v>
      </c>
      <c r="O1362">
        <v>2023</v>
      </c>
      <c r="P1362">
        <v>513.14694393385037</v>
      </c>
      <c r="Q1362">
        <v>3.810497108419681</v>
      </c>
      <c r="R1362" t="s">
        <v>109</v>
      </c>
      <c r="S1362">
        <v>4</v>
      </c>
      <c r="T1362" t="s">
        <v>110</v>
      </c>
      <c r="U1362">
        <v>4</v>
      </c>
      <c r="V1362">
        <v>1750.930470547582</v>
      </c>
      <c r="W1362">
        <v>13.00195893970977</v>
      </c>
      <c r="X1362" t="s">
        <v>111</v>
      </c>
      <c r="Y1362">
        <v>14.4</v>
      </c>
      <c r="Z1362">
        <v>0.17628027835517829</v>
      </c>
      <c r="AA1362">
        <v>31.536000000000001</v>
      </c>
    </row>
    <row r="1363" spans="1:27" hidden="1" x14ac:dyDescent="0.25">
      <c r="A1363" t="s">
        <v>98</v>
      </c>
      <c r="B1363" t="s">
        <v>99</v>
      </c>
      <c r="D1363" t="s">
        <v>1722</v>
      </c>
      <c r="E1363" t="s">
        <v>101</v>
      </c>
      <c r="F1363" t="s">
        <v>130</v>
      </c>
      <c r="G1363" t="s">
        <v>103</v>
      </c>
      <c r="H1363" t="s">
        <v>131</v>
      </c>
      <c r="I1363">
        <v>2022</v>
      </c>
      <c r="J1363" t="s">
        <v>132</v>
      </c>
      <c r="K1363" t="s">
        <v>133</v>
      </c>
      <c r="L1363" t="s">
        <v>1723</v>
      </c>
      <c r="M1363" t="s">
        <v>1733</v>
      </c>
      <c r="N1363">
        <v>1</v>
      </c>
      <c r="O1363">
        <v>2020</v>
      </c>
      <c r="P1363">
        <v>335.32374554093201</v>
      </c>
      <c r="Q1363">
        <v>6.3000218859205397</v>
      </c>
      <c r="R1363" t="s">
        <v>109</v>
      </c>
      <c r="S1363">
        <v>1.4</v>
      </c>
      <c r="T1363" t="s">
        <v>110</v>
      </c>
      <c r="U1363">
        <v>1.4</v>
      </c>
      <c r="V1363">
        <v>1144.172386694459</v>
      </c>
      <c r="W1363">
        <v>21.496572113653482</v>
      </c>
      <c r="X1363" t="s">
        <v>111</v>
      </c>
      <c r="Y1363">
        <v>15</v>
      </c>
      <c r="Z1363">
        <v>0.17628027835517829</v>
      </c>
      <c r="AA1363">
        <v>31.536000000000001</v>
      </c>
    </row>
    <row r="1364" spans="1:27" hidden="1" x14ac:dyDescent="0.25">
      <c r="A1364" t="s">
        <v>98</v>
      </c>
      <c r="B1364" t="s">
        <v>99</v>
      </c>
      <c r="D1364" t="s">
        <v>1722</v>
      </c>
      <c r="E1364" t="s">
        <v>101</v>
      </c>
      <c r="F1364" t="s">
        <v>135</v>
      </c>
      <c r="G1364" t="s">
        <v>103</v>
      </c>
      <c r="H1364" t="s">
        <v>136</v>
      </c>
      <c r="I1364">
        <v>2030</v>
      </c>
      <c r="J1364" t="s">
        <v>137</v>
      </c>
      <c r="K1364" t="s">
        <v>138</v>
      </c>
      <c r="L1364" t="s">
        <v>1723</v>
      </c>
      <c r="M1364" t="s">
        <v>1734</v>
      </c>
      <c r="N1364">
        <v>1</v>
      </c>
      <c r="O1364">
        <v>2030</v>
      </c>
      <c r="P1364">
        <v>55.186509846078152</v>
      </c>
      <c r="Q1364">
        <v>4.0294911951104666</v>
      </c>
      <c r="R1364" t="s">
        <v>109</v>
      </c>
      <c r="S1364">
        <v>0.87</v>
      </c>
      <c r="T1364" t="s">
        <v>110</v>
      </c>
      <c r="U1364">
        <v>0.87</v>
      </c>
      <c r="V1364">
        <v>188.30423291993449</v>
      </c>
      <c r="W1364">
        <v>13.749197959233321</v>
      </c>
      <c r="X1364" t="s">
        <v>111</v>
      </c>
      <c r="Y1364">
        <v>25</v>
      </c>
      <c r="Z1364">
        <v>0.17628027835517829</v>
      </c>
      <c r="AA1364">
        <v>31.536000000000001</v>
      </c>
    </row>
    <row r="1365" spans="1:27" hidden="1" x14ac:dyDescent="0.25">
      <c r="A1365" t="s">
        <v>98</v>
      </c>
      <c r="B1365" t="s">
        <v>99</v>
      </c>
      <c r="D1365" t="s">
        <v>1722</v>
      </c>
      <c r="E1365" t="s">
        <v>101</v>
      </c>
      <c r="F1365" t="s">
        <v>135</v>
      </c>
      <c r="G1365" t="s">
        <v>103</v>
      </c>
      <c r="H1365" t="s">
        <v>136</v>
      </c>
      <c r="I1365">
        <v>2040</v>
      </c>
      <c r="J1365" t="s">
        <v>140</v>
      </c>
      <c r="K1365" t="s">
        <v>138</v>
      </c>
      <c r="L1365" t="s">
        <v>1723</v>
      </c>
      <c r="M1365" t="s">
        <v>1735</v>
      </c>
      <c r="N1365">
        <v>1</v>
      </c>
      <c r="O1365">
        <v>2040</v>
      </c>
      <c r="P1365">
        <v>53.946363557402229</v>
      </c>
      <c r="Q1365">
        <v>3.9389408311754002</v>
      </c>
      <c r="R1365" t="s">
        <v>109</v>
      </c>
      <c r="S1365">
        <v>0.89</v>
      </c>
      <c r="T1365" t="s">
        <v>110</v>
      </c>
      <c r="U1365">
        <v>0.89</v>
      </c>
      <c r="V1365">
        <v>184.07267712398101</v>
      </c>
      <c r="W1365">
        <v>13.440227218576389</v>
      </c>
      <c r="X1365" t="s">
        <v>111</v>
      </c>
      <c r="Y1365">
        <v>25</v>
      </c>
      <c r="Z1365">
        <v>0.17628027835517829</v>
      </c>
      <c r="AA1365">
        <v>31.536000000000001</v>
      </c>
    </row>
    <row r="1366" spans="1:27" hidden="1" x14ac:dyDescent="0.25">
      <c r="A1366" t="s">
        <v>98</v>
      </c>
      <c r="B1366" t="s">
        <v>99</v>
      </c>
      <c r="D1366" t="s">
        <v>1722</v>
      </c>
      <c r="E1366" t="s">
        <v>142</v>
      </c>
      <c r="F1366" t="s">
        <v>102</v>
      </c>
      <c r="G1366" t="s">
        <v>103</v>
      </c>
      <c r="H1366" t="s">
        <v>104</v>
      </c>
      <c r="I1366">
        <v>2061</v>
      </c>
      <c r="J1366" t="s">
        <v>143</v>
      </c>
      <c r="K1366" t="s">
        <v>106</v>
      </c>
      <c r="L1366" t="s">
        <v>1736</v>
      </c>
      <c r="M1366" t="s">
        <v>1737</v>
      </c>
      <c r="N1366">
        <v>0</v>
      </c>
      <c r="O1366">
        <v>2061</v>
      </c>
      <c r="P1366">
        <v>117.0584711706526</v>
      </c>
      <c r="Q1366">
        <v>4.2000145906136934</v>
      </c>
      <c r="R1366" t="s">
        <v>109</v>
      </c>
      <c r="S1366">
        <v>3.2239155920281362</v>
      </c>
      <c r="T1366" t="s">
        <v>110</v>
      </c>
      <c r="U1366">
        <v>3.2239155920281362</v>
      </c>
      <c r="V1366">
        <v>399.42017862788401</v>
      </c>
      <c r="W1366">
        <v>14.33104807576899</v>
      </c>
      <c r="X1366" t="s">
        <v>111</v>
      </c>
      <c r="Y1366">
        <v>21</v>
      </c>
      <c r="Z1366">
        <v>0.1643924611578399</v>
      </c>
      <c r="AA1366">
        <v>31.536000000000001</v>
      </c>
    </row>
    <row r="1367" spans="1:27" hidden="1" x14ac:dyDescent="0.25">
      <c r="A1367" t="s">
        <v>98</v>
      </c>
      <c r="B1367" t="s">
        <v>99</v>
      </c>
      <c r="D1367" t="s">
        <v>1722</v>
      </c>
      <c r="E1367" t="s">
        <v>142</v>
      </c>
      <c r="F1367" t="s">
        <v>102</v>
      </c>
      <c r="G1367" t="s">
        <v>112</v>
      </c>
      <c r="H1367" t="s">
        <v>104</v>
      </c>
      <c r="I1367">
        <v>2022</v>
      </c>
      <c r="J1367" t="s">
        <v>146</v>
      </c>
      <c r="K1367" t="s">
        <v>106</v>
      </c>
      <c r="L1367" t="s">
        <v>1736</v>
      </c>
      <c r="M1367" t="s">
        <v>1738</v>
      </c>
      <c r="N1367">
        <v>1</v>
      </c>
      <c r="O1367">
        <v>2020</v>
      </c>
      <c r="P1367">
        <v>200.7885700942916</v>
      </c>
      <c r="Q1367">
        <v>4.2000145906136934</v>
      </c>
      <c r="R1367" t="s">
        <v>109</v>
      </c>
      <c r="S1367">
        <v>3.8393903868698711</v>
      </c>
      <c r="T1367" t="s">
        <v>110</v>
      </c>
      <c r="U1367">
        <v>3.8393903868698711</v>
      </c>
      <c r="V1367">
        <v>685.1192035182313</v>
      </c>
      <c r="W1367">
        <v>14.33104807576899</v>
      </c>
      <c r="X1367" t="s">
        <v>111</v>
      </c>
      <c r="Y1367">
        <v>21</v>
      </c>
      <c r="Z1367">
        <v>0.1643924611578399</v>
      </c>
      <c r="AA1367">
        <v>31.536000000000001</v>
      </c>
    </row>
    <row r="1368" spans="1:27" hidden="1" x14ac:dyDescent="0.25">
      <c r="A1368" t="s">
        <v>98</v>
      </c>
      <c r="B1368" t="s">
        <v>99</v>
      </c>
      <c r="D1368" t="s">
        <v>1722</v>
      </c>
      <c r="E1368" t="s">
        <v>142</v>
      </c>
      <c r="F1368" t="s">
        <v>102</v>
      </c>
      <c r="G1368" t="s">
        <v>103</v>
      </c>
      <c r="H1368" t="s">
        <v>104</v>
      </c>
      <c r="I1368">
        <v>2023</v>
      </c>
      <c r="J1368" t="s">
        <v>148</v>
      </c>
      <c r="K1368" t="s">
        <v>106</v>
      </c>
      <c r="L1368" t="s">
        <v>1736</v>
      </c>
      <c r="M1368" t="s">
        <v>1739</v>
      </c>
      <c r="N1368">
        <v>0</v>
      </c>
      <c r="O1368">
        <v>2023</v>
      </c>
      <c r="P1368">
        <v>135.73557542199771</v>
      </c>
      <c r="Q1368">
        <v>4.2000145906136934</v>
      </c>
      <c r="R1368" t="s">
        <v>109</v>
      </c>
      <c r="S1368">
        <v>3.4290738569753811</v>
      </c>
      <c r="T1368" t="s">
        <v>110</v>
      </c>
      <c r="U1368">
        <v>3.4290738569753811</v>
      </c>
      <c r="V1368">
        <v>463.14911888927151</v>
      </c>
      <c r="W1368">
        <v>14.33104807576899</v>
      </c>
      <c r="X1368" t="s">
        <v>111</v>
      </c>
      <c r="Y1368">
        <v>21</v>
      </c>
      <c r="Z1368">
        <v>0.1643924611578399</v>
      </c>
      <c r="AA1368">
        <v>31.536000000000001</v>
      </c>
    </row>
    <row r="1369" spans="1:27" hidden="1" x14ac:dyDescent="0.25">
      <c r="A1369" t="s">
        <v>98</v>
      </c>
      <c r="B1369" t="s">
        <v>99</v>
      </c>
      <c r="D1369" t="s">
        <v>1722</v>
      </c>
      <c r="E1369" t="s">
        <v>142</v>
      </c>
      <c r="F1369" t="s">
        <v>117</v>
      </c>
      <c r="G1369" t="s">
        <v>103</v>
      </c>
      <c r="H1369" t="s">
        <v>104</v>
      </c>
      <c r="I1369">
        <v>2033</v>
      </c>
      <c r="J1369" t="s">
        <v>150</v>
      </c>
      <c r="K1369" t="s">
        <v>106</v>
      </c>
      <c r="L1369" t="s">
        <v>1736</v>
      </c>
      <c r="M1369" t="s">
        <v>1740</v>
      </c>
      <c r="N1369">
        <v>1</v>
      </c>
      <c r="O1369">
        <v>2033</v>
      </c>
      <c r="P1369">
        <v>483.9331327692995</v>
      </c>
      <c r="Q1369">
        <v>3.810497108419681</v>
      </c>
      <c r="R1369" t="s">
        <v>109</v>
      </c>
      <c r="S1369">
        <v>5.0996483001172326</v>
      </c>
      <c r="T1369" t="s">
        <v>110</v>
      </c>
      <c r="U1369">
        <v>5.0996483001172326</v>
      </c>
      <c r="V1369">
        <v>1651.2487853431401</v>
      </c>
      <c r="W1369">
        <v>13.00195893970977</v>
      </c>
      <c r="X1369" t="s">
        <v>111</v>
      </c>
      <c r="Y1369">
        <v>14.4</v>
      </c>
      <c r="Z1369">
        <v>0.1643924611578399</v>
      </c>
      <c r="AA1369">
        <v>31.536000000000001</v>
      </c>
    </row>
    <row r="1370" spans="1:27" hidden="1" x14ac:dyDescent="0.25">
      <c r="A1370" t="s">
        <v>98</v>
      </c>
      <c r="B1370" t="s">
        <v>99</v>
      </c>
      <c r="D1370" t="s">
        <v>1722</v>
      </c>
      <c r="E1370" t="s">
        <v>142</v>
      </c>
      <c r="F1370" t="s">
        <v>117</v>
      </c>
      <c r="G1370" t="s">
        <v>67</v>
      </c>
      <c r="H1370" t="s">
        <v>104</v>
      </c>
      <c r="I1370">
        <v>2033</v>
      </c>
      <c r="J1370" t="s">
        <v>152</v>
      </c>
      <c r="K1370" t="s">
        <v>106</v>
      </c>
      <c r="L1370" t="s">
        <v>1736</v>
      </c>
      <c r="M1370" t="s">
        <v>1741</v>
      </c>
      <c r="N1370">
        <v>1</v>
      </c>
      <c r="O1370">
        <v>2033</v>
      </c>
      <c r="P1370">
        <v>497.90495550017158</v>
      </c>
      <c r="Q1370">
        <v>3.810497108419681</v>
      </c>
      <c r="R1370" t="s">
        <v>109</v>
      </c>
      <c r="S1370">
        <v>5.7737397420867529</v>
      </c>
      <c r="T1370" t="s">
        <v>110</v>
      </c>
      <c r="U1370">
        <v>5.7737397420867529</v>
      </c>
      <c r="V1370">
        <v>1698.9226347887429</v>
      </c>
      <c r="W1370">
        <v>13.00195893970977</v>
      </c>
      <c r="X1370" t="s">
        <v>111</v>
      </c>
      <c r="Y1370">
        <v>14.4</v>
      </c>
      <c r="Z1370">
        <v>0.1643924611578399</v>
      </c>
      <c r="AA1370">
        <v>31.536000000000001</v>
      </c>
    </row>
    <row r="1371" spans="1:27" hidden="1" x14ac:dyDescent="0.25">
      <c r="A1371" t="s">
        <v>98</v>
      </c>
      <c r="B1371" t="s">
        <v>99</v>
      </c>
      <c r="D1371" t="s">
        <v>1722</v>
      </c>
      <c r="E1371" t="s">
        <v>142</v>
      </c>
      <c r="F1371" t="s">
        <v>117</v>
      </c>
      <c r="G1371" t="s">
        <v>112</v>
      </c>
      <c r="H1371" t="s">
        <v>104</v>
      </c>
      <c r="I1371">
        <v>2033</v>
      </c>
      <c r="J1371" t="s">
        <v>154</v>
      </c>
      <c r="K1371" t="s">
        <v>106</v>
      </c>
      <c r="L1371" t="s">
        <v>1736</v>
      </c>
      <c r="M1371" t="s">
        <v>1742</v>
      </c>
      <c r="N1371">
        <v>1</v>
      </c>
      <c r="O1371">
        <v>2033</v>
      </c>
      <c r="P1371">
        <v>513.14694393385037</v>
      </c>
      <c r="Q1371">
        <v>3.810497108419681</v>
      </c>
      <c r="R1371" t="s">
        <v>109</v>
      </c>
      <c r="S1371">
        <v>6.4771395076201648</v>
      </c>
      <c r="T1371" t="s">
        <v>110</v>
      </c>
      <c r="U1371">
        <v>6.4771395076201648</v>
      </c>
      <c r="V1371">
        <v>1750.930470547582</v>
      </c>
      <c r="W1371">
        <v>13.00195893970977</v>
      </c>
      <c r="X1371" t="s">
        <v>111</v>
      </c>
      <c r="Y1371">
        <v>14.4</v>
      </c>
      <c r="Z1371">
        <v>0.1643924611578399</v>
      </c>
      <c r="AA1371">
        <v>31.536000000000001</v>
      </c>
    </row>
    <row r="1372" spans="1:27" hidden="1" x14ac:dyDescent="0.25">
      <c r="A1372" t="s">
        <v>98</v>
      </c>
      <c r="B1372" t="s">
        <v>99</v>
      </c>
      <c r="D1372" t="s">
        <v>1722</v>
      </c>
      <c r="E1372" t="s">
        <v>142</v>
      </c>
      <c r="F1372" t="s">
        <v>117</v>
      </c>
      <c r="G1372" t="s">
        <v>103</v>
      </c>
      <c r="H1372" t="s">
        <v>104</v>
      </c>
      <c r="I1372">
        <v>2023</v>
      </c>
      <c r="J1372" t="s">
        <v>156</v>
      </c>
      <c r="K1372" t="s">
        <v>106</v>
      </c>
      <c r="L1372" t="s">
        <v>1736</v>
      </c>
      <c r="M1372" t="s">
        <v>1743</v>
      </c>
      <c r="N1372">
        <v>1</v>
      </c>
      <c r="O1372">
        <v>2023</v>
      </c>
      <c r="P1372">
        <v>498.32834406777368</v>
      </c>
      <c r="Q1372">
        <v>3.810497108419681</v>
      </c>
      <c r="R1372" t="s">
        <v>109</v>
      </c>
      <c r="S1372">
        <v>3.833333333333333</v>
      </c>
      <c r="T1372" t="s">
        <v>110</v>
      </c>
      <c r="U1372">
        <v>3.833333333333333</v>
      </c>
      <c r="V1372">
        <v>1700.3672968931551</v>
      </c>
      <c r="W1372">
        <v>13.00195893970977</v>
      </c>
      <c r="X1372" t="s">
        <v>111</v>
      </c>
      <c r="Y1372">
        <v>14.4</v>
      </c>
      <c r="Z1372">
        <v>0.1643924611578399</v>
      </c>
      <c r="AA1372">
        <v>31.536000000000001</v>
      </c>
    </row>
    <row r="1373" spans="1:27" hidden="1" x14ac:dyDescent="0.25">
      <c r="A1373" t="s">
        <v>98</v>
      </c>
      <c r="B1373" t="s">
        <v>99</v>
      </c>
      <c r="D1373" t="s">
        <v>1722</v>
      </c>
      <c r="E1373" t="s">
        <v>142</v>
      </c>
      <c r="F1373" t="s">
        <v>130</v>
      </c>
      <c r="G1373" t="s">
        <v>103</v>
      </c>
      <c r="H1373" t="s">
        <v>131</v>
      </c>
      <c r="I1373">
        <v>2022</v>
      </c>
      <c r="J1373" t="s">
        <v>158</v>
      </c>
      <c r="K1373" t="s">
        <v>133</v>
      </c>
      <c r="L1373" t="s">
        <v>1736</v>
      </c>
      <c r="M1373" t="s">
        <v>1744</v>
      </c>
      <c r="N1373">
        <v>1</v>
      </c>
      <c r="O1373">
        <v>2020</v>
      </c>
      <c r="P1373">
        <v>335.32374554093201</v>
      </c>
      <c r="Q1373">
        <v>6.3000218859205397</v>
      </c>
      <c r="R1373" t="s">
        <v>109</v>
      </c>
      <c r="S1373">
        <v>1.2</v>
      </c>
      <c r="T1373" t="s">
        <v>110</v>
      </c>
      <c r="U1373">
        <v>1.2</v>
      </c>
      <c r="V1373">
        <v>1144.172386694459</v>
      </c>
      <c r="W1373">
        <v>21.496572113653482</v>
      </c>
      <c r="X1373" t="s">
        <v>111</v>
      </c>
      <c r="Y1373">
        <v>15</v>
      </c>
      <c r="Z1373">
        <v>0.1643924611578399</v>
      </c>
      <c r="AA1373">
        <v>31.536000000000001</v>
      </c>
    </row>
    <row r="1374" spans="1:27" hidden="1" x14ac:dyDescent="0.25">
      <c r="A1374" t="s">
        <v>98</v>
      </c>
      <c r="B1374" t="s">
        <v>99</v>
      </c>
      <c r="D1374" t="s">
        <v>1722</v>
      </c>
      <c r="E1374" t="s">
        <v>142</v>
      </c>
      <c r="F1374" t="s">
        <v>160</v>
      </c>
      <c r="G1374" t="s">
        <v>103</v>
      </c>
      <c r="H1374" t="s">
        <v>104</v>
      </c>
      <c r="I1374">
        <v>2030</v>
      </c>
      <c r="J1374" t="s">
        <v>161</v>
      </c>
      <c r="K1374" t="s">
        <v>106</v>
      </c>
      <c r="L1374" t="s">
        <v>1736</v>
      </c>
      <c r="M1374" t="s">
        <v>1745</v>
      </c>
      <c r="N1374">
        <v>1</v>
      </c>
      <c r="O1374">
        <v>2030</v>
      </c>
      <c r="P1374">
        <v>93.992262007685454</v>
      </c>
      <c r="Q1374">
        <v>4.3185633895423052</v>
      </c>
      <c r="R1374" t="s">
        <v>109</v>
      </c>
      <c r="S1374">
        <v>4.8178066132425448</v>
      </c>
      <c r="T1374" t="s">
        <v>110</v>
      </c>
      <c r="U1374">
        <v>4.8178066132425448</v>
      </c>
      <c r="V1374">
        <v>320.71498717950749</v>
      </c>
      <c r="W1374">
        <v>14.735553465004401</v>
      </c>
      <c r="X1374" t="s">
        <v>111</v>
      </c>
      <c r="Y1374">
        <v>20</v>
      </c>
      <c r="Z1374">
        <v>0.1643924611578399</v>
      </c>
      <c r="AA1374">
        <v>31.536000000000001</v>
      </c>
    </row>
    <row r="1375" spans="1:27" hidden="1" x14ac:dyDescent="0.25">
      <c r="A1375" t="s">
        <v>98</v>
      </c>
      <c r="B1375" t="s">
        <v>99</v>
      </c>
      <c r="D1375" t="s">
        <v>1722</v>
      </c>
      <c r="E1375" t="s">
        <v>142</v>
      </c>
      <c r="F1375" t="s">
        <v>160</v>
      </c>
      <c r="G1375" t="s">
        <v>112</v>
      </c>
      <c r="H1375" t="s">
        <v>104</v>
      </c>
      <c r="I1375">
        <v>2030</v>
      </c>
      <c r="J1375" t="s">
        <v>163</v>
      </c>
      <c r="K1375" t="s">
        <v>106</v>
      </c>
      <c r="L1375" t="s">
        <v>1736</v>
      </c>
      <c r="M1375" t="s">
        <v>1746</v>
      </c>
      <c r="N1375">
        <v>1</v>
      </c>
      <c r="O1375">
        <v>2030</v>
      </c>
      <c r="P1375">
        <v>104.15358763013791</v>
      </c>
      <c r="Q1375">
        <v>4.3185633895423052</v>
      </c>
      <c r="R1375" t="s">
        <v>109</v>
      </c>
      <c r="S1375">
        <v>5.1720570995103783</v>
      </c>
      <c r="T1375" t="s">
        <v>110</v>
      </c>
      <c r="U1375">
        <v>5.1720570995103783</v>
      </c>
      <c r="V1375">
        <v>355.38687768540018</v>
      </c>
      <c r="W1375">
        <v>14.735553465004401</v>
      </c>
      <c r="X1375" t="s">
        <v>111</v>
      </c>
      <c r="Y1375">
        <v>20</v>
      </c>
      <c r="Z1375">
        <v>0.1643924611578399</v>
      </c>
      <c r="AA1375">
        <v>31.536000000000001</v>
      </c>
    </row>
    <row r="1376" spans="1:27" hidden="1" x14ac:dyDescent="0.25">
      <c r="A1376" t="s">
        <v>98</v>
      </c>
      <c r="B1376" t="s">
        <v>99</v>
      </c>
      <c r="D1376" t="s">
        <v>1722</v>
      </c>
      <c r="E1376" t="s">
        <v>142</v>
      </c>
      <c r="F1376" t="s">
        <v>160</v>
      </c>
      <c r="G1376" t="s">
        <v>103</v>
      </c>
      <c r="H1376" t="s">
        <v>104</v>
      </c>
      <c r="I1376">
        <v>2040</v>
      </c>
      <c r="J1376" t="s">
        <v>165</v>
      </c>
      <c r="K1376" t="s">
        <v>106</v>
      </c>
      <c r="L1376" t="s">
        <v>1736</v>
      </c>
      <c r="M1376" t="s">
        <v>1747</v>
      </c>
      <c r="N1376">
        <v>1</v>
      </c>
      <c r="O1376">
        <v>2040</v>
      </c>
      <c r="P1376">
        <v>93.992262007685454</v>
      </c>
      <c r="Q1376">
        <v>4.3185633895423052</v>
      </c>
      <c r="R1376" t="s">
        <v>109</v>
      </c>
      <c r="S1376">
        <v>4.9535194755874059</v>
      </c>
      <c r="T1376" t="s">
        <v>110</v>
      </c>
      <c r="U1376">
        <v>4.9535194755874059</v>
      </c>
      <c r="V1376">
        <v>320.71498717950749</v>
      </c>
      <c r="W1376">
        <v>14.735553465004401</v>
      </c>
      <c r="X1376" t="s">
        <v>111</v>
      </c>
      <c r="Y1376">
        <v>20</v>
      </c>
      <c r="Z1376">
        <v>0.1643924611578399</v>
      </c>
      <c r="AA1376">
        <v>31.536000000000001</v>
      </c>
    </row>
    <row r="1377" spans="1:27" hidden="1" x14ac:dyDescent="0.25">
      <c r="A1377" t="s">
        <v>98</v>
      </c>
      <c r="B1377" t="s">
        <v>99</v>
      </c>
      <c r="D1377" t="s">
        <v>1722</v>
      </c>
      <c r="E1377" t="s">
        <v>142</v>
      </c>
      <c r="F1377" t="s">
        <v>160</v>
      </c>
      <c r="G1377" t="s">
        <v>112</v>
      </c>
      <c r="H1377" t="s">
        <v>104</v>
      </c>
      <c r="I1377">
        <v>2040</v>
      </c>
      <c r="J1377" t="s">
        <v>167</v>
      </c>
      <c r="K1377" t="s">
        <v>106</v>
      </c>
      <c r="L1377" t="s">
        <v>1736</v>
      </c>
      <c r="M1377" t="s">
        <v>1748</v>
      </c>
      <c r="N1377">
        <v>1</v>
      </c>
      <c r="O1377">
        <v>2040</v>
      </c>
      <c r="P1377">
        <v>104.15358763013791</v>
      </c>
      <c r="Q1377">
        <v>4.3185633895423052</v>
      </c>
      <c r="R1377" t="s">
        <v>109</v>
      </c>
      <c r="S1377">
        <v>5.4107674271800876</v>
      </c>
      <c r="T1377" t="s">
        <v>110</v>
      </c>
      <c r="U1377">
        <v>5.4107674271800876</v>
      </c>
      <c r="V1377">
        <v>355.38687768540018</v>
      </c>
      <c r="W1377">
        <v>14.735553465004401</v>
      </c>
      <c r="X1377" t="s">
        <v>111</v>
      </c>
      <c r="Y1377">
        <v>20</v>
      </c>
      <c r="Z1377">
        <v>0.1643924611578399</v>
      </c>
      <c r="AA1377">
        <v>31.536000000000001</v>
      </c>
    </row>
    <row r="1378" spans="1:27" hidden="1" x14ac:dyDescent="0.25">
      <c r="A1378" t="s">
        <v>98</v>
      </c>
      <c r="B1378" t="s">
        <v>99</v>
      </c>
      <c r="D1378" t="s">
        <v>1722</v>
      </c>
      <c r="E1378" t="s">
        <v>142</v>
      </c>
      <c r="F1378" t="s">
        <v>160</v>
      </c>
      <c r="G1378" t="s">
        <v>112</v>
      </c>
      <c r="H1378" t="s">
        <v>104</v>
      </c>
      <c r="I1378">
        <v>2022</v>
      </c>
      <c r="J1378" t="s">
        <v>169</v>
      </c>
      <c r="K1378" t="s">
        <v>106</v>
      </c>
      <c r="L1378" t="s">
        <v>1736</v>
      </c>
      <c r="M1378" t="s">
        <v>1749</v>
      </c>
      <c r="N1378">
        <v>1</v>
      </c>
      <c r="O1378">
        <v>2020</v>
      </c>
      <c r="P1378">
        <v>104.15358763013791</v>
      </c>
      <c r="Q1378">
        <v>4.3185633895423052</v>
      </c>
      <c r="R1378" t="s">
        <v>109</v>
      </c>
      <c r="S1378">
        <v>4.9886508193858967</v>
      </c>
      <c r="T1378" t="s">
        <v>110</v>
      </c>
      <c r="U1378">
        <v>4.9886508193858967</v>
      </c>
      <c r="V1378">
        <v>355.38687768540018</v>
      </c>
      <c r="W1378">
        <v>14.735553465004401</v>
      </c>
      <c r="X1378" t="s">
        <v>111</v>
      </c>
      <c r="Y1378">
        <v>20</v>
      </c>
      <c r="Z1378">
        <v>0.1643924611578399</v>
      </c>
      <c r="AA1378">
        <v>31.536000000000001</v>
      </c>
    </row>
    <row r="1379" spans="1:27" hidden="1" x14ac:dyDescent="0.25">
      <c r="A1379" t="s">
        <v>98</v>
      </c>
      <c r="B1379" t="s">
        <v>99</v>
      </c>
      <c r="D1379" t="s">
        <v>1722</v>
      </c>
      <c r="E1379" t="s">
        <v>142</v>
      </c>
      <c r="F1379" t="s">
        <v>171</v>
      </c>
      <c r="G1379" t="s">
        <v>172</v>
      </c>
      <c r="H1379" t="s">
        <v>104</v>
      </c>
      <c r="I1379">
        <v>2061</v>
      </c>
      <c r="J1379" t="s">
        <v>173</v>
      </c>
      <c r="K1379" t="s">
        <v>106</v>
      </c>
      <c r="L1379" t="s">
        <v>1736</v>
      </c>
      <c r="M1379" t="s">
        <v>1750</v>
      </c>
      <c r="N1379">
        <v>1</v>
      </c>
      <c r="O1379">
        <v>2061</v>
      </c>
      <c r="P1379">
        <v>90.181764899265772</v>
      </c>
      <c r="Q1379">
        <v>3.3024308272970568</v>
      </c>
      <c r="R1379" t="s">
        <v>109</v>
      </c>
      <c r="S1379">
        <v>4.1038492738238714</v>
      </c>
      <c r="T1379" t="s">
        <v>110</v>
      </c>
      <c r="U1379">
        <v>4.1038492738238714</v>
      </c>
      <c r="V1379">
        <v>307.71302823979772</v>
      </c>
      <c r="W1379">
        <v>11.26836441441513</v>
      </c>
      <c r="X1379" t="s">
        <v>111</v>
      </c>
      <c r="Y1379">
        <v>20</v>
      </c>
      <c r="Z1379">
        <v>0.1643924611578399</v>
      </c>
      <c r="AA1379">
        <v>31.536000000000001</v>
      </c>
    </row>
    <row r="1380" spans="1:27" hidden="1" x14ac:dyDescent="0.25">
      <c r="A1380" t="s">
        <v>98</v>
      </c>
      <c r="B1380" t="s">
        <v>99</v>
      </c>
      <c r="D1380" t="s">
        <v>1722</v>
      </c>
      <c r="E1380" t="s">
        <v>142</v>
      </c>
      <c r="F1380" t="s">
        <v>171</v>
      </c>
      <c r="G1380" t="s">
        <v>112</v>
      </c>
      <c r="H1380" t="s">
        <v>104</v>
      </c>
      <c r="I1380">
        <v>2022</v>
      </c>
      <c r="J1380" t="s">
        <v>175</v>
      </c>
      <c r="K1380" t="s">
        <v>106</v>
      </c>
      <c r="L1380" t="s">
        <v>1736</v>
      </c>
      <c r="M1380" t="s">
        <v>1751</v>
      </c>
      <c r="N1380">
        <v>1</v>
      </c>
      <c r="O1380">
        <v>2020</v>
      </c>
      <c r="P1380">
        <v>99.072924818911702</v>
      </c>
      <c r="Q1380">
        <v>3.3024308272970568</v>
      </c>
      <c r="R1380" t="s">
        <v>109</v>
      </c>
      <c r="S1380">
        <v>6.6358468446548251</v>
      </c>
      <c r="T1380" t="s">
        <v>110</v>
      </c>
      <c r="U1380">
        <v>6.6358468446548251</v>
      </c>
      <c r="V1380">
        <v>338.05093243245392</v>
      </c>
      <c r="W1380">
        <v>11.26836441441513</v>
      </c>
      <c r="X1380" t="s">
        <v>111</v>
      </c>
      <c r="Y1380">
        <v>20</v>
      </c>
      <c r="Z1380">
        <v>0.1643924611578399</v>
      </c>
      <c r="AA1380">
        <v>31.536000000000001</v>
      </c>
    </row>
    <row r="1381" spans="1:27" hidden="1" x14ac:dyDescent="0.25">
      <c r="A1381" t="s">
        <v>98</v>
      </c>
      <c r="B1381" t="s">
        <v>99</v>
      </c>
      <c r="D1381" t="s">
        <v>1722</v>
      </c>
      <c r="E1381" t="s">
        <v>142</v>
      </c>
      <c r="F1381" t="s">
        <v>171</v>
      </c>
      <c r="G1381" t="s">
        <v>103</v>
      </c>
      <c r="H1381" t="s">
        <v>104</v>
      </c>
      <c r="I1381">
        <v>2030</v>
      </c>
      <c r="J1381" t="s">
        <v>177</v>
      </c>
      <c r="K1381" t="s">
        <v>106</v>
      </c>
      <c r="L1381" t="s">
        <v>1736</v>
      </c>
      <c r="M1381" t="s">
        <v>1752</v>
      </c>
      <c r="N1381">
        <v>1</v>
      </c>
      <c r="O1381">
        <v>2030</v>
      </c>
      <c r="P1381">
        <v>90.181764899265772</v>
      </c>
      <c r="Q1381">
        <v>3.3024308272970568</v>
      </c>
      <c r="R1381" t="s">
        <v>109</v>
      </c>
      <c r="S1381">
        <v>4.8847205939820251</v>
      </c>
      <c r="T1381" t="s">
        <v>110</v>
      </c>
      <c r="U1381">
        <v>4.8847205939820251</v>
      </c>
      <c r="V1381">
        <v>307.71302823979772</v>
      </c>
      <c r="W1381">
        <v>11.26836441441513</v>
      </c>
      <c r="X1381" t="s">
        <v>111</v>
      </c>
      <c r="Y1381">
        <v>20</v>
      </c>
      <c r="Z1381">
        <v>0.1643924611578399</v>
      </c>
      <c r="AA1381">
        <v>31.536000000000001</v>
      </c>
    </row>
    <row r="1382" spans="1:27" hidden="1" x14ac:dyDescent="0.25">
      <c r="A1382" t="s">
        <v>98</v>
      </c>
      <c r="B1382" t="s">
        <v>99</v>
      </c>
      <c r="D1382" t="s">
        <v>1722</v>
      </c>
      <c r="E1382" t="s">
        <v>142</v>
      </c>
      <c r="F1382" t="s">
        <v>171</v>
      </c>
      <c r="G1382" t="s">
        <v>112</v>
      </c>
      <c r="H1382" t="s">
        <v>104</v>
      </c>
      <c r="I1382">
        <v>2030</v>
      </c>
      <c r="J1382" t="s">
        <v>179</v>
      </c>
      <c r="K1382" t="s">
        <v>106</v>
      </c>
      <c r="L1382" t="s">
        <v>1736</v>
      </c>
      <c r="M1382" t="s">
        <v>1753</v>
      </c>
      <c r="N1382">
        <v>1</v>
      </c>
      <c r="O1382">
        <v>2030</v>
      </c>
      <c r="P1382">
        <v>99.072924818911702</v>
      </c>
      <c r="Q1382">
        <v>3.3024308272970568</v>
      </c>
      <c r="R1382" t="s">
        <v>109</v>
      </c>
      <c r="S1382">
        <v>7.1775486278919534</v>
      </c>
      <c r="T1382" t="s">
        <v>110</v>
      </c>
      <c r="U1382">
        <v>7.1775486278919534</v>
      </c>
      <c r="V1382">
        <v>338.05093243245392</v>
      </c>
      <c r="W1382">
        <v>11.26836441441513</v>
      </c>
      <c r="X1382" t="s">
        <v>111</v>
      </c>
      <c r="Y1382">
        <v>20</v>
      </c>
      <c r="Z1382">
        <v>0.1643924611578399</v>
      </c>
      <c r="AA1382">
        <v>31.536000000000001</v>
      </c>
    </row>
    <row r="1383" spans="1:27" hidden="1" x14ac:dyDescent="0.25">
      <c r="A1383" t="s">
        <v>98</v>
      </c>
      <c r="B1383" t="s">
        <v>99</v>
      </c>
      <c r="D1383" t="s">
        <v>1722</v>
      </c>
      <c r="E1383" t="s">
        <v>142</v>
      </c>
      <c r="F1383" t="s">
        <v>171</v>
      </c>
      <c r="G1383" t="s">
        <v>103</v>
      </c>
      <c r="H1383" t="s">
        <v>104</v>
      </c>
      <c r="I1383">
        <v>2040</v>
      </c>
      <c r="J1383" t="s">
        <v>181</v>
      </c>
      <c r="K1383" t="s">
        <v>106</v>
      </c>
      <c r="L1383" t="s">
        <v>1736</v>
      </c>
      <c r="M1383" t="s">
        <v>1754</v>
      </c>
      <c r="N1383">
        <v>1</v>
      </c>
      <c r="O1383">
        <v>2040</v>
      </c>
      <c r="P1383">
        <v>90.181764899265772</v>
      </c>
      <c r="Q1383">
        <v>3.3024308272970568</v>
      </c>
      <c r="R1383" t="s">
        <v>109</v>
      </c>
      <c r="S1383">
        <v>5.1720570995103783</v>
      </c>
      <c r="T1383" t="s">
        <v>110</v>
      </c>
      <c r="U1383">
        <v>5.1720570995103783</v>
      </c>
      <c r="V1383">
        <v>307.71302823979772</v>
      </c>
      <c r="W1383">
        <v>11.26836441441513</v>
      </c>
      <c r="X1383" t="s">
        <v>111</v>
      </c>
      <c r="Y1383">
        <v>20</v>
      </c>
      <c r="Z1383">
        <v>0.1643924611578399</v>
      </c>
      <c r="AA1383">
        <v>31.536000000000001</v>
      </c>
    </row>
    <row r="1384" spans="1:27" hidden="1" x14ac:dyDescent="0.25">
      <c r="A1384" t="s">
        <v>98</v>
      </c>
      <c r="B1384" t="s">
        <v>99</v>
      </c>
      <c r="D1384" t="s">
        <v>1722</v>
      </c>
      <c r="E1384" t="s">
        <v>142</v>
      </c>
      <c r="F1384" t="s">
        <v>171</v>
      </c>
      <c r="G1384" t="s">
        <v>112</v>
      </c>
      <c r="H1384" t="s">
        <v>104</v>
      </c>
      <c r="I1384">
        <v>2040</v>
      </c>
      <c r="J1384" t="s">
        <v>183</v>
      </c>
      <c r="K1384" t="s">
        <v>106</v>
      </c>
      <c r="L1384" t="s">
        <v>1736</v>
      </c>
      <c r="M1384" t="s">
        <v>1755</v>
      </c>
      <c r="N1384">
        <v>1</v>
      </c>
      <c r="O1384">
        <v>2040</v>
      </c>
      <c r="P1384">
        <v>99.072924818911702</v>
      </c>
      <c r="Q1384">
        <v>3.3024308272970568</v>
      </c>
      <c r="R1384" t="s">
        <v>109</v>
      </c>
      <c r="S1384">
        <v>7.815552950371238</v>
      </c>
      <c r="T1384" t="s">
        <v>110</v>
      </c>
      <c r="U1384">
        <v>7.815552950371238</v>
      </c>
      <c r="V1384">
        <v>338.05093243245392</v>
      </c>
      <c r="W1384">
        <v>11.26836441441513</v>
      </c>
      <c r="X1384" t="s">
        <v>111</v>
      </c>
      <c r="Y1384">
        <v>20</v>
      </c>
      <c r="Z1384">
        <v>0.1643924611578399</v>
      </c>
      <c r="AA1384">
        <v>31.536000000000001</v>
      </c>
    </row>
    <row r="1385" spans="1:27" hidden="1" x14ac:dyDescent="0.25">
      <c r="A1385" t="s">
        <v>98</v>
      </c>
      <c r="B1385" t="s">
        <v>99</v>
      </c>
      <c r="D1385" t="s">
        <v>1722</v>
      </c>
      <c r="E1385" t="s">
        <v>142</v>
      </c>
      <c r="F1385" t="s">
        <v>185</v>
      </c>
      <c r="G1385" t="s">
        <v>112</v>
      </c>
      <c r="H1385" t="s">
        <v>104</v>
      </c>
      <c r="I1385">
        <v>2022</v>
      </c>
      <c r="J1385" t="s">
        <v>186</v>
      </c>
      <c r="K1385" t="s">
        <v>106</v>
      </c>
      <c r="L1385" t="s">
        <v>1736</v>
      </c>
      <c r="M1385" t="s">
        <v>1756</v>
      </c>
      <c r="N1385">
        <v>1</v>
      </c>
      <c r="O1385">
        <v>2020</v>
      </c>
      <c r="P1385">
        <v>97.802759116105136</v>
      </c>
      <c r="Q1385">
        <v>3.5564639678583689</v>
      </c>
      <c r="R1385" t="s">
        <v>109</v>
      </c>
      <c r="S1385">
        <v>4.4518972502114647</v>
      </c>
      <c r="T1385" t="s">
        <v>110</v>
      </c>
      <c r="U1385">
        <v>4.4518972502114647</v>
      </c>
      <c r="V1385">
        <v>333.71694611921731</v>
      </c>
      <c r="W1385">
        <v>12.135161677062451</v>
      </c>
      <c r="X1385" t="s">
        <v>111</v>
      </c>
      <c r="Y1385">
        <v>20</v>
      </c>
      <c r="Z1385">
        <v>0.1643924611578399</v>
      </c>
      <c r="AA1385">
        <v>31.536000000000001</v>
      </c>
    </row>
    <row r="1386" spans="1:27" hidden="1" x14ac:dyDescent="0.25">
      <c r="A1386" t="s">
        <v>98</v>
      </c>
      <c r="B1386" t="s">
        <v>99</v>
      </c>
      <c r="D1386" t="s">
        <v>1722</v>
      </c>
      <c r="E1386" t="s">
        <v>142</v>
      </c>
      <c r="F1386" t="s">
        <v>188</v>
      </c>
      <c r="G1386" t="s">
        <v>103</v>
      </c>
      <c r="H1386" t="s">
        <v>104</v>
      </c>
      <c r="I1386">
        <v>2030</v>
      </c>
      <c r="J1386" t="s">
        <v>189</v>
      </c>
      <c r="K1386" t="s">
        <v>106</v>
      </c>
      <c r="L1386" t="s">
        <v>1736</v>
      </c>
      <c r="M1386" t="s">
        <v>1757</v>
      </c>
      <c r="N1386">
        <v>0</v>
      </c>
      <c r="O1386">
        <v>2030</v>
      </c>
      <c r="P1386">
        <v>49.536462409455851</v>
      </c>
      <c r="Q1386">
        <v>3.0483976867357452</v>
      </c>
      <c r="R1386" t="s">
        <v>109</v>
      </c>
      <c r="S1386">
        <v>10.04856807904874</v>
      </c>
      <c r="T1386" t="s">
        <v>110</v>
      </c>
      <c r="U1386">
        <v>10.04856807904874</v>
      </c>
      <c r="V1386">
        <v>169.0254662162269</v>
      </c>
      <c r="W1386">
        <v>10.401567151767811</v>
      </c>
      <c r="X1386" t="s">
        <v>111</v>
      </c>
      <c r="Y1386">
        <v>25</v>
      </c>
      <c r="Z1386">
        <v>0.1643924611578399</v>
      </c>
      <c r="AA1386">
        <v>31.536000000000001</v>
      </c>
    </row>
    <row r="1387" spans="1:27" hidden="1" x14ac:dyDescent="0.25">
      <c r="A1387" t="s">
        <v>98</v>
      </c>
      <c r="B1387" t="s">
        <v>99</v>
      </c>
      <c r="D1387" t="s">
        <v>1722</v>
      </c>
      <c r="E1387" t="s">
        <v>142</v>
      </c>
      <c r="F1387" t="s">
        <v>188</v>
      </c>
      <c r="G1387" t="s">
        <v>112</v>
      </c>
      <c r="H1387" t="s">
        <v>104</v>
      </c>
      <c r="I1387">
        <v>2030</v>
      </c>
      <c r="J1387" t="s">
        <v>191</v>
      </c>
      <c r="K1387" t="s">
        <v>106</v>
      </c>
      <c r="L1387" t="s">
        <v>1736</v>
      </c>
      <c r="M1387" t="s">
        <v>1758</v>
      </c>
      <c r="N1387">
        <v>0</v>
      </c>
      <c r="O1387">
        <v>2030</v>
      </c>
      <c r="P1387">
        <v>64.778450843134578</v>
      </c>
      <c r="Q1387">
        <v>3.0483976867357452</v>
      </c>
      <c r="R1387" t="s">
        <v>109</v>
      </c>
      <c r="S1387">
        <v>13.02592158395206</v>
      </c>
      <c r="T1387" t="s">
        <v>110</v>
      </c>
      <c r="U1387">
        <v>13.02592158395206</v>
      </c>
      <c r="V1387">
        <v>221.033301975066</v>
      </c>
      <c r="W1387">
        <v>10.401567151767811</v>
      </c>
      <c r="X1387" t="s">
        <v>111</v>
      </c>
      <c r="Y1387">
        <v>25</v>
      </c>
      <c r="Z1387">
        <v>0.1643924611578399</v>
      </c>
      <c r="AA1387">
        <v>31.536000000000001</v>
      </c>
    </row>
    <row r="1388" spans="1:27" hidden="1" x14ac:dyDescent="0.25">
      <c r="A1388" t="s">
        <v>98</v>
      </c>
      <c r="B1388" t="s">
        <v>99</v>
      </c>
      <c r="D1388" t="s">
        <v>1722</v>
      </c>
      <c r="E1388" t="s">
        <v>142</v>
      </c>
      <c r="F1388" t="s">
        <v>188</v>
      </c>
      <c r="G1388" t="s">
        <v>103</v>
      </c>
      <c r="H1388" t="s">
        <v>104</v>
      </c>
      <c r="I1388">
        <v>2040</v>
      </c>
      <c r="J1388" t="s">
        <v>193</v>
      </c>
      <c r="K1388" t="s">
        <v>106</v>
      </c>
      <c r="L1388" t="s">
        <v>1736</v>
      </c>
      <c r="M1388" t="s">
        <v>1759</v>
      </c>
      <c r="N1388">
        <v>0</v>
      </c>
      <c r="O1388">
        <v>2040</v>
      </c>
      <c r="P1388">
        <v>49.536462409455851</v>
      </c>
      <c r="Q1388">
        <v>3.0483976867357452</v>
      </c>
      <c r="R1388" t="s">
        <v>109</v>
      </c>
      <c r="S1388">
        <v>10.34411419902076</v>
      </c>
      <c r="T1388" t="s">
        <v>110</v>
      </c>
      <c r="U1388">
        <v>10.34411419902076</v>
      </c>
      <c r="V1388">
        <v>169.0254662162269</v>
      </c>
      <c r="W1388">
        <v>10.401567151767811</v>
      </c>
      <c r="X1388" t="s">
        <v>111</v>
      </c>
      <c r="Y1388">
        <v>25</v>
      </c>
      <c r="Z1388">
        <v>0.1643924611578399</v>
      </c>
      <c r="AA1388">
        <v>31.536000000000001</v>
      </c>
    </row>
    <row r="1389" spans="1:27" hidden="1" x14ac:dyDescent="0.25">
      <c r="A1389" t="s">
        <v>98</v>
      </c>
      <c r="B1389" t="s">
        <v>99</v>
      </c>
      <c r="D1389" t="s">
        <v>1722</v>
      </c>
      <c r="E1389" t="s">
        <v>142</v>
      </c>
      <c r="F1389" t="s">
        <v>188</v>
      </c>
      <c r="G1389" t="s">
        <v>112</v>
      </c>
      <c r="H1389" t="s">
        <v>104</v>
      </c>
      <c r="I1389">
        <v>2040</v>
      </c>
      <c r="J1389" t="s">
        <v>195</v>
      </c>
      <c r="K1389" t="s">
        <v>106</v>
      </c>
      <c r="L1389" t="s">
        <v>1736</v>
      </c>
      <c r="M1389" t="s">
        <v>1760</v>
      </c>
      <c r="N1389">
        <v>0</v>
      </c>
      <c r="O1389">
        <v>2040</v>
      </c>
      <c r="P1389">
        <v>64.778450843134578</v>
      </c>
      <c r="Q1389">
        <v>3.0483976867357452</v>
      </c>
      <c r="R1389" t="s">
        <v>109</v>
      </c>
      <c r="S1389">
        <v>14.067995310668231</v>
      </c>
      <c r="T1389" t="s">
        <v>110</v>
      </c>
      <c r="U1389">
        <v>14.067995310668231</v>
      </c>
      <c r="V1389">
        <v>221.033301975066</v>
      </c>
      <c r="W1389">
        <v>10.401567151767811</v>
      </c>
      <c r="X1389" t="s">
        <v>111</v>
      </c>
      <c r="Y1389">
        <v>25</v>
      </c>
      <c r="Z1389">
        <v>0.1643924611578399</v>
      </c>
      <c r="AA1389">
        <v>31.536000000000001</v>
      </c>
    </row>
    <row r="1390" spans="1:27" hidden="1" x14ac:dyDescent="0.25">
      <c r="A1390" t="s">
        <v>98</v>
      </c>
      <c r="B1390" t="s">
        <v>99</v>
      </c>
      <c r="D1390" t="s">
        <v>1722</v>
      </c>
      <c r="E1390" t="s">
        <v>142</v>
      </c>
      <c r="F1390" t="s">
        <v>188</v>
      </c>
      <c r="G1390" t="s">
        <v>112</v>
      </c>
      <c r="H1390" t="s">
        <v>104</v>
      </c>
      <c r="I1390">
        <v>2022</v>
      </c>
      <c r="J1390" t="s">
        <v>197</v>
      </c>
      <c r="K1390" t="s">
        <v>106</v>
      </c>
      <c r="L1390" t="s">
        <v>1736</v>
      </c>
      <c r="M1390" t="s">
        <v>1761</v>
      </c>
      <c r="N1390">
        <v>1</v>
      </c>
      <c r="O1390">
        <v>2020</v>
      </c>
      <c r="P1390">
        <v>64.778450843134578</v>
      </c>
      <c r="Q1390">
        <v>3.0483976867357452</v>
      </c>
      <c r="R1390" t="s">
        <v>109</v>
      </c>
      <c r="S1390">
        <v>12.12758216436916</v>
      </c>
      <c r="T1390" t="s">
        <v>110</v>
      </c>
      <c r="U1390">
        <v>12.12758216436916</v>
      </c>
      <c r="V1390">
        <v>221.033301975066</v>
      </c>
      <c r="W1390">
        <v>10.401567151767811</v>
      </c>
      <c r="X1390" t="s">
        <v>111</v>
      </c>
      <c r="Y1390">
        <v>25</v>
      </c>
      <c r="Z1390">
        <v>0.1643924611578399</v>
      </c>
      <c r="AA1390">
        <v>31.536000000000001</v>
      </c>
    </row>
    <row r="1391" spans="1:27" hidden="1" x14ac:dyDescent="0.25">
      <c r="A1391" t="s">
        <v>98</v>
      </c>
      <c r="B1391" t="s">
        <v>99</v>
      </c>
      <c r="D1391" t="s">
        <v>1722</v>
      </c>
      <c r="E1391" t="s">
        <v>142</v>
      </c>
      <c r="F1391" t="s">
        <v>199</v>
      </c>
      <c r="G1391" t="s">
        <v>103</v>
      </c>
      <c r="H1391" t="s">
        <v>131</v>
      </c>
      <c r="I1391">
        <v>2030</v>
      </c>
      <c r="J1391" t="s">
        <v>200</v>
      </c>
      <c r="K1391" t="s">
        <v>133</v>
      </c>
      <c r="L1391" t="s">
        <v>1736</v>
      </c>
      <c r="M1391" t="s">
        <v>1762</v>
      </c>
      <c r="N1391">
        <v>0</v>
      </c>
      <c r="O1391">
        <v>2030</v>
      </c>
      <c r="P1391">
        <v>93.992262007685454</v>
      </c>
      <c r="Q1391">
        <v>2.7943645461744331</v>
      </c>
      <c r="R1391" t="s">
        <v>109</v>
      </c>
      <c r="S1391">
        <v>1.4</v>
      </c>
      <c r="T1391" t="s">
        <v>110</v>
      </c>
      <c r="U1391">
        <v>1.4</v>
      </c>
      <c r="V1391">
        <v>320.71498717950749</v>
      </c>
      <c r="W1391">
        <v>9.5347698891204935</v>
      </c>
      <c r="X1391" t="s">
        <v>111</v>
      </c>
      <c r="Y1391">
        <v>23</v>
      </c>
      <c r="Z1391">
        <v>0.1643924611578399</v>
      </c>
      <c r="AA1391">
        <v>31.536000000000001</v>
      </c>
    </row>
    <row r="1392" spans="1:27" hidden="1" x14ac:dyDescent="0.25">
      <c r="A1392" t="s">
        <v>98</v>
      </c>
      <c r="B1392" t="s">
        <v>99</v>
      </c>
      <c r="D1392" t="s">
        <v>1722</v>
      </c>
      <c r="E1392" t="s">
        <v>142</v>
      </c>
      <c r="F1392" t="s">
        <v>202</v>
      </c>
      <c r="G1392" t="s">
        <v>103</v>
      </c>
      <c r="H1392" t="s">
        <v>104</v>
      </c>
      <c r="I1392">
        <v>2023</v>
      </c>
      <c r="J1392" t="s">
        <v>203</v>
      </c>
      <c r="K1392" t="s">
        <v>106</v>
      </c>
      <c r="L1392" t="s">
        <v>1736</v>
      </c>
      <c r="M1392" t="s">
        <v>1763</v>
      </c>
      <c r="N1392">
        <v>1</v>
      </c>
      <c r="O1392">
        <v>2023</v>
      </c>
      <c r="P1392">
        <v>138.8714501735173</v>
      </c>
      <c r="Q1392">
        <v>4.2000145906136934</v>
      </c>
      <c r="R1392" t="s">
        <v>109</v>
      </c>
      <c r="S1392">
        <v>3.5756154747948421</v>
      </c>
      <c r="T1392" t="s">
        <v>110</v>
      </c>
      <c r="U1392">
        <v>3.5756154747948421</v>
      </c>
      <c r="V1392">
        <v>473.84917024720039</v>
      </c>
      <c r="W1392">
        <v>14.33104807576899</v>
      </c>
      <c r="X1392" t="s">
        <v>111</v>
      </c>
      <c r="Y1392">
        <v>21</v>
      </c>
      <c r="Z1392">
        <v>0.1643924611578399</v>
      </c>
      <c r="AA1392">
        <v>31.536000000000001</v>
      </c>
    </row>
    <row r="1393" spans="1:27" hidden="1" x14ac:dyDescent="0.25">
      <c r="A1393" t="s">
        <v>98</v>
      </c>
      <c r="B1393" t="s">
        <v>99</v>
      </c>
      <c r="D1393" t="s">
        <v>1722</v>
      </c>
      <c r="E1393" t="s">
        <v>142</v>
      </c>
      <c r="F1393" t="s">
        <v>202</v>
      </c>
      <c r="G1393" t="s">
        <v>112</v>
      </c>
      <c r="H1393" t="s">
        <v>104</v>
      </c>
      <c r="I1393">
        <v>2022</v>
      </c>
      <c r="J1393" t="s">
        <v>205</v>
      </c>
      <c r="K1393" t="s">
        <v>106</v>
      </c>
      <c r="L1393" t="s">
        <v>1736</v>
      </c>
      <c r="M1393" t="s">
        <v>1764</v>
      </c>
      <c r="N1393">
        <v>1</v>
      </c>
      <c r="O1393">
        <v>2020</v>
      </c>
      <c r="P1393">
        <v>201.87166903272271</v>
      </c>
      <c r="Q1393">
        <v>4.2000145906136934</v>
      </c>
      <c r="R1393" t="s">
        <v>109</v>
      </c>
      <c r="S1393">
        <v>3.7514654161781951</v>
      </c>
      <c r="T1393" t="s">
        <v>110</v>
      </c>
      <c r="U1393">
        <v>3.7514654161781951</v>
      </c>
      <c r="V1393">
        <v>688.81489138373513</v>
      </c>
      <c r="W1393">
        <v>14.33104807576899</v>
      </c>
      <c r="X1393" t="s">
        <v>111</v>
      </c>
      <c r="Y1393">
        <v>21</v>
      </c>
      <c r="Z1393">
        <v>0.1643924611578399</v>
      </c>
      <c r="AA1393">
        <v>31.536000000000001</v>
      </c>
    </row>
    <row r="1394" spans="1:27" hidden="1" x14ac:dyDescent="0.25">
      <c r="A1394" t="s">
        <v>98</v>
      </c>
      <c r="B1394" t="s">
        <v>99</v>
      </c>
      <c r="D1394" t="s">
        <v>1722</v>
      </c>
      <c r="E1394" t="s">
        <v>142</v>
      </c>
      <c r="F1394" t="s">
        <v>207</v>
      </c>
      <c r="G1394" t="s">
        <v>103</v>
      </c>
      <c r="H1394" t="s">
        <v>104</v>
      </c>
      <c r="I1394">
        <v>2030</v>
      </c>
      <c r="J1394" t="s">
        <v>208</v>
      </c>
      <c r="K1394" t="s">
        <v>106</v>
      </c>
      <c r="L1394" t="s">
        <v>1736</v>
      </c>
      <c r="M1394" t="s">
        <v>1765</v>
      </c>
      <c r="N1394">
        <v>0</v>
      </c>
      <c r="O1394">
        <v>2030</v>
      </c>
      <c r="P1394">
        <v>74.322838838509583</v>
      </c>
      <c r="Q1394">
        <v>1.219359074694298E-2</v>
      </c>
      <c r="R1394" t="s">
        <v>109</v>
      </c>
      <c r="S1394">
        <v>3.5902696365767879</v>
      </c>
      <c r="T1394" t="s">
        <v>110</v>
      </c>
      <c r="U1394">
        <v>3.5902696365767879</v>
      </c>
      <c r="V1394">
        <v>253.60011341452949</v>
      </c>
      <c r="W1394">
        <v>4.1606268607071263E-2</v>
      </c>
      <c r="X1394" t="s">
        <v>111</v>
      </c>
      <c r="Y1394">
        <v>9.5</v>
      </c>
      <c r="Z1394">
        <v>0.1643924611578399</v>
      </c>
      <c r="AA1394">
        <v>31.536000000000001</v>
      </c>
    </row>
    <row r="1395" spans="1:27" hidden="1" x14ac:dyDescent="0.25">
      <c r="A1395" t="s">
        <v>98</v>
      </c>
      <c r="B1395" t="s">
        <v>99</v>
      </c>
      <c r="D1395" t="s">
        <v>1722</v>
      </c>
      <c r="E1395" t="s">
        <v>142</v>
      </c>
      <c r="F1395" t="s">
        <v>207</v>
      </c>
      <c r="G1395" t="s">
        <v>112</v>
      </c>
      <c r="H1395" t="s">
        <v>104</v>
      </c>
      <c r="I1395">
        <v>2030</v>
      </c>
      <c r="J1395" t="s">
        <v>210</v>
      </c>
      <c r="K1395" t="s">
        <v>106</v>
      </c>
      <c r="L1395" t="s">
        <v>1736</v>
      </c>
      <c r="M1395" t="s">
        <v>1766</v>
      </c>
      <c r="N1395">
        <v>0</v>
      </c>
      <c r="O1395">
        <v>2030</v>
      </c>
      <c r="P1395">
        <v>81.871252158045721</v>
      </c>
      <c r="Q1395">
        <v>1.219359074694298E-2</v>
      </c>
      <c r="R1395" t="s">
        <v>109</v>
      </c>
      <c r="S1395">
        <v>3.8100820633059791</v>
      </c>
      <c r="T1395" t="s">
        <v>110</v>
      </c>
      <c r="U1395">
        <v>3.8100820633059791</v>
      </c>
      <c r="V1395">
        <v>279.35637493319268</v>
      </c>
      <c r="W1395">
        <v>4.1606268607071263E-2</v>
      </c>
      <c r="X1395" t="s">
        <v>111</v>
      </c>
      <c r="Y1395">
        <v>9.5</v>
      </c>
      <c r="Z1395">
        <v>0.1643924611578399</v>
      </c>
      <c r="AA1395">
        <v>31.536000000000001</v>
      </c>
    </row>
    <row r="1396" spans="1:27" hidden="1" x14ac:dyDescent="0.25">
      <c r="A1396" t="s">
        <v>98</v>
      </c>
      <c r="B1396" t="s">
        <v>99</v>
      </c>
      <c r="D1396" t="s">
        <v>1722</v>
      </c>
      <c r="E1396" t="s">
        <v>142</v>
      </c>
      <c r="F1396" t="s">
        <v>207</v>
      </c>
      <c r="G1396" t="s">
        <v>103</v>
      </c>
      <c r="H1396" t="s">
        <v>104</v>
      </c>
      <c r="I1396">
        <v>2040</v>
      </c>
      <c r="J1396" t="s">
        <v>212</v>
      </c>
      <c r="K1396" t="s">
        <v>106</v>
      </c>
      <c r="L1396" t="s">
        <v>1736</v>
      </c>
      <c r="M1396" t="s">
        <v>1767</v>
      </c>
      <c r="N1396">
        <v>0</v>
      </c>
      <c r="O1396">
        <v>2040</v>
      </c>
      <c r="P1396">
        <v>74.322838838509583</v>
      </c>
      <c r="Q1396">
        <v>1.219359074694298E-2</v>
      </c>
      <c r="R1396" t="s">
        <v>109</v>
      </c>
      <c r="S1396">
        <v>3.6635404454865181</v>
      </c>
      <c r="T1396" t="s">
        <v>110</v>
      </c>
      <c r="U1396">
        <v>3.6635404454865181</v>
      </c>
      <c r="V1396">
        <v>253.60011341452949</v>
      </c>
      <c r="W1396">
        <v>4.1606268607071263E-2</v>
      </c>
      <c r="X1396" t="s">
        <v>111</v>
      </c>
      <c r="Y1396">
        <v>9.5</v>
      </c>
      <c r="Z1396">
        <v>0.1643924611578399</v>
      </c>
      <c r="AA1396">
        <v>31.536000000000001</v>
      </c>
    </row>
    <row r="1397" spans="1:27" hidden="1" x14ac:dyDescent="0.25">
      <c r="A1397" t="s">
        <v>98</v>
      </c>
      <c r="B1397" t="s">
        <v>99</v>
      </c>
      <c r="D1397" t="s">
        <v>1722</v>
      </c>
      <c r="E1397" t="s">
        <v>142</v>
      </c>
      <c r="F1397" t="s">
        <v>207</v>
      </c>
      <c r="G1397" t="s">
        <v>112</v>
      </c>
      <c r="H1397" t="s">
        <v>104</v>
      </c>
      <c r="I1397">
        <v>2040</v>
      </c>
      <c r="J1397" t="s">
        <v>214</v>
      </c>
      <c r="K1397" t="s">
        <v>106</v>
      </c>
      <c r="L1397" t="s">
        <v>1736</v>
      </c>
      <c r="M1397" t="s">
        <v>1768</v>
      </c>
      <c r="N1397">
        <v>0</v>
      </c>
      <c r="O1397">
        <v>2040</v>
      </c>
      <c r="P1397">
        <v>81.871252158045721</v>
      </c>
      <c r="Q1397">
        <v>1.219359074694298E-2</v>
      </c>
      <c r="R1397" t="s">
        <v>109</v>
      </c>
      <c r="S1397">
        <v>3.9566236811254401</v>
      </c>
      <c r="T1397" t="s">
        <v>110</v>
      </c>
      <c r="U1397">
        <v>3.9566236811254401</v>
      </c>
      <c r="V1397">
        <v>279.35637493319268</v>
      </c>
      <c r="W1397">
        <v>4.1606268607071263E-2</v>
      </c>
      <c r="X1397" t="s">
        <v>111</v>
      </c>
      <c r="Y1397">
        <v>9.5</v>
      </c>
      <c r="Z1397">
        <v>0.1643924611578399</v>
      </c>
      <c r="AA1397">
        <v>31.536000000000001</v>
      </c>
    </row>
    <row r="1398" spans="1:27" hidden="1" x14ac:dyDescent="0.25">
      <c r="A1398" t="s">
        <v>98</v>
      </c>
      <c r="B1398" t="s">
        <v>99</v>
      </c>
      <c r="D1398" t="s">
        <v>1722</v>
      </c>
      <c r="E1398" t="s">
        <v>142</v>
      </c>
      <c r="F1398" t="s">
        <v>207</v>
      </c>
      <c r="G1398" t="s">
        <v>112</v>
      </c>
      <c r="H1398" t="s">
        <v>104</v>
      </c>
      <c r="I1398">
        <v>2022</v>
      </c>
      <c r="J1398" t="s">
        <v>216</v>
      </c>
      <c r="K1398" t="s">
        <v>106</v>
      </c>
      <c r="L1398" t="s">
        <v>1736</v>
      </c>
      <c r="M1398" t="s">
        <v>1769</v>
      </c>
      <c r="N1398">
        <v>1</v>
      </c>
      <c r="O1398">
        <v>2020</v>
      </c>
      <c r="P1398">
        <v>81.871252158045721</v>
      </c>
      <c r="Q1398">
        <v>1.219359074694298E-2</v>
      </c>
      <c r="R1398" t="s">
        <v>109</v>
      </c>
      <c r="S1398">
        <v>3.6635404454865181</v>
      </c>
      <c r="T1398" t="s">
        <v>110</v>
      </c>
      <c r="U1398">
        <v>3.6635404454865181</v>
      </c>
      <c r="V1398">
        <v>279.35637493319268</v>
      </c>
      <c r="W1398">
        <v>4.1606268607071263E-2</v>
      </c>
      <c r="X1398" t="s">
        <v>111</v>
      </c>
      <c r="Y1398">
        <v>9.5</v>
      </c>
      <c r="Z1398">
        <v>0.1643924611578399</v>
      </c>
      <c r="AA1398">
        <v>31.536000000000001</v>
      </c>
    </row>
    <row r="1399" spans="1:27" hidden="1" x14ac:dyDescent="0.25">
      <c r="A1399" t="s">
        <v>98</v>
      </c>
      <c r="B1399" t="s">
        <v>99</v>
      </c>
      <c r="D1399" t="s">
        <v>1722</v>
      </c>
      <c r="E1399" t="s">
        <v>142</v>
      </c>
      <c r="F1399" t="s">
        <v>218</v>
      </c>
      <c r="G1399" t="s">
        <v>219</v>
      </c>
      <c r="H1399" t="s">
        <v>104</v>
      </c>
      <c r="I1399">
        <v>2023</v>
      </c>
      <c r="J1399" t="s">
        <v>220</v>
      </c>
      <c r="K1399" t="s">
        <v>106</v>
      </c>
      <c r="L1399" t="s">
        <v>1736</v>
      </c>
      <c r="M1399" t="s">
        <v>1770</v>
      </c>
      <c r="N1399">
        <v>0</v>
      </c>
      <c r="O1399">
        <v>2023</v>
      </c>
      <c r="P1399">
        <v>144.5166310748798</v>
      </c>
      <c r="Q1399">
        <v>2.6193639382321958</v>
      </c>
      <c r="R1399" t="s">
        <v>109</v>
      </c>
      <c r="S1399">
        <v>4.6893317702227444</v>
      </c>
      <c r="T1399" t="s">
        <v>110</v>
      </c>
      <c r="U1399">
        <v>4.6893317702227444</v>
      </c>
      <c r="V1399">
        <v>493.11133163936307</v>
      </c>
      <c r="W1399">
        <v>8.937642885963454</v>
      </c>
      <c r="X1399" t="s">
        <v>111</v>
      </c>
      <c r="Y1399">
        <v>18</v>
      </c>
      <c r="Z1399">
        <v>0.1643924611578399</v>
      </c>
      <c r="AA1399">
        <v>31.536000000000001</v>
      </c>
    </row>
    <row r="1400" spans="1:27" hidden="1" x14ac:dyDescent="0.25">
      <c r="A1400" t="s">
        <v>98</v>
      </c>
      <c r="B1400" t="s">
        <v>99</v>
      </c>
      <c r="D1400" t="s">
        <v>1722</v>
      </c>
      <c r="E1400" t="s">
        <v>142</v>
      </c>
      <c r="F1400" t="s">
        <v>218</v>
      </c>
      <c r="G1400" t="s">
        <v>112</v>
      </c>
      <c r="H1400" t="s">
        <v>104</v>
      </c>
      <c r="I1400">
        <v>2022</v>
      </c>
      <c r="J1400" t="s">
        <v>222</v>
      </c>
      <c r="K1400" t="s">
        <v>106</v>
      </c>
      <c r="L1400" t="s">
        <v>1736</v>
      </c>
      <c r="M1400" t="s">
        <v>1771</v>
      </c>
      <c r="N1400">
        <v>1</v>
      </c>
      <c r="O1400">
        <v>2020</v>
      </c>
      <c r="P1400">
        <v>157.50054714801351</v>
      </c>
      <c r="Q1400">
        <v>2.455653692092683</v>
      </c>
      <c r="R1400" t="s">
        <v>109</v>
      </c>
      <c r="S1400">
        <v>4.835873388042204</v>
      </c>
      <c r="T1400" t="s">
        <v>110</v>
      </c>
      <c r="U1400">
        <v>4.835873388042204</v>
      </c>
      <c r="V1400">
        <v>537.41430284133696</v>
      </c>
      <c r="W1400">
        <v>8.3790402055907389</v>
      </c>
      <c r="X1400" t="s">
        <v>111</v>
      </c>
      <c r="Y1400">
        <v>18</v>
      </c>
      <c r="Z1400">
        <v>0.1643924611578399</v>
      </c>
      <c r="AA1400">
        <v>31.536000000000001</v>
      </c>
    </row>
    <row r="1401" spans="1:27" hidden="1" x14ac:dyDescent="0.25">
      <c r="A1401" t="s">
        <v>98</v>
      </c>
      <c r="B1401" t="s">
        <v>99</v>
      </c>
      <c r="D1401" t="s">
        <v>1722</v>
      </c>
      <c r="E1401" t="s">
        <v>142</v>
      </c>
      <c r="F1401" t="s">
        <v>218</v>
      </c>
      <c r="G1401" t="s">
        <v>103</v>
      </c>
      <c r="H1401" t="s">
        <v>104</v>
      </c>
      <c r="I1401">
        <v>2023</v>
      </c>
      <c r="J1401" t="s">
        <v>224</v>
      </c>
      <c r="K1401" t="s">
        <v>106</v>
      </c>
      <c r="L1401" t="s">
        <v>1736</v>
      </c>
      <c r="M1401" t="s">
        <v>1772</v>
      </c>
      <c r="N1401">
        <v>0</v>
      </c>
      <c r="O1401">
        <v>2023</v>
      </c>
      <c r="P1401">
        <v>125.3230160102473</v>
      </c>
      <c r="Q1401">
        <v>2.455653692092683</v>
      </c>
      <c r="R1401" t="s">
        <v>109</v>
      </c>
      <c r="S1401">
        <v>4.2203985932004704</v>
      </c>
      <c r="T1401" t="s">
        <v>110</v>
      </c>
      <c r="U1401">
        <v>4.2203985932004704</v>
      </c>
      <c r="V1401">
        <v>427.61998290601008</v>
      </c>
      <c r="W1401">
        <v>8.3790402055907389</v>
      </c>
      <c r="X1401" t="s">
        <v>111</v>
      </c>
      <c r="Y1401">
        <v>18</v>
      </c>
      <c r="Z1401">
        <v>0.1643924611578399</v>
      </c>
      <c r="AA1401">
        <v>31.536000000000001</v>
      </c>
    </row>
    <row r="1402" spans="1:27" x14ac:dyDescent="0.25">
      <c r="A1402" t="s">
        <v>98</v>
      </c>
      <c r="B1402" t="s">
        <v>99</v>
      </c>
      <c r="D1402" t="s">
        <v>1722</v>
      </c>
      <c r="E1402" t="s">
        <v>226</v>
      </c>
      <c r="F1402" t="s">
        <v>227</v>
      </c>
      <c r="G1402" t="s">
        <v>228</v>
      </c>
      <c r="H1402" t="s">
        <v>104</v>
      </c>
      <c r="I1402">
        <v>2023</v>
      </c>
      <c r="J1402" t="s">
        <v>229</v>
      </c>
      <c r="K1402" t="s">
        <v>106</v>
      </c>
      <c r="L1402" t="s">
        <v>1773</v>
      </c>
      <c r="M1402" t="s">
        <v>1774</v>
      </c>
      <c r="N1402">
        <v>1</v>
      </c>
      <c r="O1402">
        <v>2023</v>
      </c>
      <c r="P1402">
        <v>351.48905933689161</v>
      </c>
      <c r="Q1402">
        <v>0.67078064758948786</v>
      </c>
      <c r="R1402" t="s">
        <v>109</v>
      </c>
      <c r="S1402">
        <v>2.7</v>
      </c>
      <c r="T1402" t="s">
        <v>110</v>
      </c>
      <c r="U1402">
        <v>2.7</v>
      </c>
      <c r="V1402">
        <v>1199.3307401172131</v>
      </c>
      <c r="W1402">
        <v>2.2887991223610928</v>
      </c>
      <c r="X1402" t="s">
        <v>111</v>
      </c>
      <c r="Y1402">
        <v>20</v>
      </c>
      <c r="Z1402">
        <v>0.44</v>
      </c>
      <c r="AA1402">
        <v>31.536000000000001</v>
      </c>
    </row>
    <row r="1403" spans="1:27" x14ac:dyDescent="0.25">
      <c r="A1403" t="s">
        <v>98</v>
      </c>
      <c r="B1403" t="s">
        <v>99</v>
      </c>
      <c r="D1403" t="s">
        <v>1722</v>
      </c>
      <c r="E1403" t="s">
        <v>226</v>
      </c>
      <c r="F1403" t="s">
        <v>227</v>
      </c>
      <c r="G1403" t="s">
        <v>228</v>
      </c>
      <c r="H1403" t="s">
        <v>104</v>
      </c>
      <c r="I1403">
        <v>2024</v>
      </c>
      <c r="J1403" t="s">
        <v>232</v>
      </c>
      <c r="K1403" t="s">
        <v>106</v>
      </c>
      <c r="L1403" t="s">
        <v>1773</v>
      </c>
      <c r="M1403" t="s">
        <v>1775</v>
      </c>
      <c r="N1403">
        <v>1</v>
      </c>
      <c r="O1403">
        <v>2024</v>
      </c>
      <c r="P1403">
        <v>351.48905933689161</v>
      </c>
      <c r="Q1403">
        <v>0.67078064758948786</v>
      </c>
      <c r="R1403" t="s">
        <v>109</v>
      </c>
      <c r="S1403">
        <v>2.7</v>
      </c>
      <c r="T1403" t="s">
        <v>110</v>
      </c>
      <c r="U1403">
        <v>2.7</v>
      </c>
      <c r="V1403">
        <v>1199.3307401172131</v>
      </c>
      <c r="W1403">
        <v>2.2887991223610928</v>
      </c>
      <c r="X1403" t="s">
        <v>111</v>
      </c>
      <c r="Y1403">
        <v>20</v>
      </c>
      <c r="Z1403">
        <v>0.44</v>
      </c>
      <c r="AA1403">
        <v>31.536000000000001</v>
      </c>
    </row>
    <row r="1404" spans="1:27" x14ac:dyDescent="0.25">
      <c r="A1404" t="s">
        <v>98</v>
      </c>
      <c r="B1404" t="s">
        <v>99</v>
      </c>
      <c r="D1404" t="s">
        <v>1722</v>
      </c>
      <c r="E1404" t="s">
        <v>226</v>
      </c>
      <c r="F1404" t="s">
        <v>227</v>
      </c>
      <c r="G1404" t="s">
        <v>228</v>
      </c>
      <c r="H1404" t="s">
        <v>104</v>
      </c>
      <c r="I1404">
        <v>2025</v>
      </c>
      <c r="J1404" t="s">
        <v>234</v>
      </c>
      <c r="K1404" t="s">
        <v>106</v>
      </c>
      <c r="L1404" t="s">
        <v>1773</v>
      </c>
      <c r="M1404" t="s">
        <v>1776</v>
      </c>
      <c r="N1404">
        <v>1</v>
      </c>
      <c r="O1404">
        <v>2025</v>
      </c>
      <c r="P1404">
        <v>351.48905933689161</v>
      </c>
      <c r="Q1404">
        <v>0.67078064758948786</v>
      </c>
      <c r="R1404" t="s">
        <v>109</v>
      </c>
      <c r="S1404">
        <v>2.7</v>
      </c>
      <c r="T1404" t="s">
        <v>110</v>
      </c>
      <c r="U1404">
        <v>2.7</v>
      </c>
      <c r="V1404">
        <v>1199.3307401172131</v>
      </c>
      <c r="W1404">
        <v>2.2887991223610928</v>
      </c>
      <c r="X1404" t="s">
        <v>111</v>
      </c>
      <c r="Y1404">
        <v>20</v>
      </c>
      <c r="Z1404">
        <v>0.44</v>
      </c>
      <c r="AA1404">
        <v>31.536000000000001</v>
      </c>
    </row>
    <row r="1405" spans="1:27" x14ac:dyDescent="0.25">
      <c r="A1405" t="s">
        <v>98</v>
      </c>
      <c r="B1405" t="s">
        <v>99</v>
      </c>
      <c r="D1405" t="s">
        <v>1722</v>
      </c>
      <c r="E1405" t="s">
        <v>226</v>
      </c>
      <c r="F1405" t="s">
        <v>227</v>
      </c>
      <c r="G1405" t="s">
        <v>228</v>
      </c>
      <c r="H1405" t="s">
        <v>104</v>
      </c>
      <c r="I1405">
        <v>2026</v>
      </c>
      <c r="J1405" t="s">
        <v>236</v>
      </c>
      <c r="K1405" t="s">
        <v>106</v>
      </c>
      <c r="L1405" t="s">
        <v>1773</v>
      </c>
      <c r="M1405" t="s">
        <v>1777</v>
      </c>
      <c r="N1405">
        <v>1</v>
      </c>
      <c r="O1405">
        <v>2026</v>
      </c>
      <c r="P1405">
        <v>351.48905933689161</v>
      </c>
      <c r="Q1405">
        <v>0.67078064758948786</v>
      </c>
      <c r="R1405" t="s">
        <v>109</v>
      </c>
      <c r="S1405">
        <v>2.7</v>
      </c>
      <c r="T1405" t="s">
        <v>110</v>
      </c>
      <c r="U1405">
        <v>2.7</v>
      </c>
      <c r="V1405">
        <v>1199.3307401172131</v>
      </c>
      <c r="W1405">
        <v>2.2887991223610928</v>
      </c>
      <c r="X1405" t="s">
        <v>111</v>
      </c>
      <c r="Y1405">
        <v>20</v>
      </c>
      <c r="Z1405">
        <v>0.44</v>
      </c>
      <c r="AA1405">
        <v>31.536000000000001</v>
      </c>
    </row>
    <row r="1406" spans="1:27" x14ac:dyDescent="0.25">
      <c r="A1406" t="s">
        <v>98</v>
      </c>
      <c r="B1406" t="s">
        <v>99</v>
      </c>
      <c r="D1406" t="s">
        <v>1722</v>
      </c>
      <c r="E1406" t="s">
        <v>226</v>
      </c>
      <c r="F1406" t="s">
        <v>227</v>
      </c>
      <c r="G1406" t="s">
        <v>228</v>
      </c>
      <c r="H1406" t="s">
        <v>104</v>
      </c>
      <c r="I1406">
        <v>2027</v>
      </c>
      <c r="J1406" t="s">
        <v>238</v>
      </c>
      <c r="K1406" t="s">
        <v>106</v>
      </c>
      <c r="L1406" t="s">
        <v>1773</v>
      </c>
      <c r="M1406" t="s">
        <v>1778</v>
      </c>
      <c r="N1406">
        <v>1</v>
      </c>
      <c r="O1406">
        <v>2027</v>
      </c>
      <c r="P1406">
        <v>351.48905933689161</v>
      </c>
      <c r="Q1406">
        <v>0.67078064758948786</v>
      </c>
      <c r="R1406" t="s">
        <v>109</v>
      </c>
      <c r="S1406">
        <v>2.7</v>
      </c>
      <c r="T1406" t="s">
        <v>110</v>
      </c>
      <c r="U1406">
        <v>2.7</v>
      </c>
      <c r="V1406">
        <v>1199.3307401172131</v>
      </c>
      <c r="W1406">
        <v>2.2887991223610928</v>
      </c>
      <c r="X1406" t="s">
        <v>111</v>
      </c>
      <c r="Y1406">
        <v>20</v>
      </c>
      <c r="Z1406">
        <v>0.44</v>
      </c>
      <c r="AA1406">
        <v>31.536000000000001</v>
      </c>
    </row>
    <row r="1407" spans="1:27" x14ac:dyDescent="0.25">
      <c r="A1407" t="s">
        <v>98</v>
      </c>
      <c r="B1407" t="s">
        <v>99</v>
      </c>
      <c r="D1407" t="s">
        <v>1722</v>
      </c>
      <c r="E1407" t="s">
        <v>226</v>
      </c>
      <c r="F1407" t="s">
        <v>240</v>
      </c>
      <c r="G1407" t="s">
        <v>103</v>
      </c>
      <c r="H1407" t="s">
        <v>104</v>
      </c>
      <c r="I1407">
        <v>2022</v>
      </c>
      <c r="J1407" t="s">
        <v>241</v>
      </c>
      <c r="K1407" t="s">
        <v>106</v>
      </c>
      <c r="L1407" t="s">
        <v>1773</v>
      </c>
      <c r="M1407" t="s">
        <v>1779</v>
      </c>
      <c r="N1407">
        <v>1</v>
      </c>
      <c r="O1407">
        <v>2020</v>
      </c>
      <c r="P1407">
        <v>364.1638033744108</v>
      </c>
      <c r="Q1407">
        <v>0.71474740603417231</v>
      </c>
      <c r="R1407" t="s">
        <v>109</v>
      </c>
      <c r="S1407">
        <v>3.9</v>
      </c>
      <c r="T1407" t="s">
        <v>110</v>
      </c>
      <c r="U1407">
        <v>3.9</v>
      </c>
      <c r="V1407">
        <v>1242.578772292075</v>
      </c>
      <c r="W1407">
        <v>2.4388199652445048</v>
      </c>
      <c r="X1407" t="s">
        <v>111</v>
      </c>
      <c r="Y1407">
        <v>15</v>
      </c>
      <c r="Z1407">
        <v>0.44</v>
      </c>
      <c r="AA1407">
        <v>31.536000000000001</v>
      </c>
    </row>
    <row r="1408" spans="1:27" hidden="1" x14ac:dyDescent="0.25">
      <c r="A1408" t="s">
        <v>98</v>
      </c>
      <c r="B1408" t="s">
        <v>99</v>
      </c>
      <c r="D1408" t="s">
        <v>1722</v>
      </c>
      <c r="E1408" t="s">
        <v>243</v>
      </c>
      <c r="F1408" t="s">
        <v>244</v>
      </c>
      <c r="G1408" t="s">
        <v>245</v>
      </c>
      <c r="H1408" t="s">
        <v>104</v>
      </c>
      <c r="I1408">
        <v>2022</v>
      </c>
      <c r="J1408" t="s">
        <v>246</v>
      </c>
      <c r="K1408" t="s">
        <v>106</v>
      </c>
      <c r="L1408" t="s">
        <v>1780</v>
      </c>
      <c r="M1408" t="s">
        <v>1781</v>
      </c>
      <c r="N1408">
        <v>1</v>
      </c>
      <c r="O1408">
        <v>2020</v>
      </c>
      <c r="P1408">
        <v>5418.3180362120765</v>
      </c>
      <c r="Q1408">
        <v>63.780978532496562</v>
      </c>
      <c r="R1408" t="s">
        <v>249</v>
      </c>
      <c r="S1408">
        <v>0.41325750353930962</v>
      </c>
      <c r="T1408" t="s">
        <v>250</v>
      </c>
      <c r="U1408">
        <v>1</v>
      </c>
      <c r="V1408">
        <v>7640.3348848129563</v>
      </c>
      <c r="W1408">
        <v>89.937141380872987</v>
      </c>
      <c r="X1408" t="s">
        <v>111</v>
      </c>
      <c r="Y1408">
        <v>20</v>
      </c>
      <c r="Z1408">
        <v>0.44</v>
      </c>
      <c r="AA1408">
        <v>31.536000000000001</v>
      </c>
    </row>
    <row r="1409" spans="1:27" hidden="1" x14ac:dyDescent="0.25">
      <c r="A1409" t="s">
        <v>98</v>
      </c>
      <c r="B1409" t="s">
        <v>99</v>
      </c>
      <c r="D1409" t="s">
        <v>1722</v>
      </c>
      <c r="E1409" t="s">
        <v>243</v>
      </c>
      <c r="F1409" t="s">
        <v>244</v>
      </c>
      <c r="G1409" t="s">
        <v>103</v>
      </c>
      <c r="H1409" t="s">
        <v>104</v>
      </c>
      <c r="I1409">
        <v>2022</v>
      </c>
      <c r="J1409" t="s">
        <v>251</v>
      </c>
      <c r="K1409" t="s">
        <v>106</v>
      </c>
      <c r="L1409" t="s">
        <v>1780</v>
      </c>
      <c r="M1409" t="s">
        <v>1782</v>
      </c>
      <c r="N1409">
        <v>1</v>
      </c>
      <c r="O1409">
        <v>2020</v>
      </c>
      <c r="P1409">
        <v>5667.3116722418044</v>
      </c>
      <c r="Q1409">
        <v>63.780978532496562</v>
      </c>
      <c r="R1409" t="s">
        <v>249</v>
      </c>
      <c r="S1409">
        <v>0.43508713487380868</v>
      </c>
      <c r="T1409" t="s">
        <v>250</v>
      </c>
      <c r="U1409">
        <v>1.052823315118397</v>
      </c>
      <c r="V1409">
        <v>7991.4391852139524</v>
      </c>
      <c r="W1409">
        <v>89.937141380873001</v>
      </c>
      <c r="X1409" t="s">
        <v>111</v>
      </c>
      <c r="Y1409">
        <v>20</v>
      </c>
      <c r="Z1409">
        <v>0.44</v>
      </c>
      <c r="AA1409">
        <v>31.536000000000001</v>
      </c>
    </row>
    <row r="1410" spans="1:27" hidden="1" x14ac:dyDescent="0.25">
      <c r="A1410" t="s">
        <v>98</v>
      </c>
      <c r="B1410" t="s">
        <v>99</v>
      </c>
      <c r="D1410" t="s">
        <v>1722</v>
      </c>
      <c r="E1410" t="s">
        <v>243</v>
      </c>
      <c r="F1410" t="s">
        <v>244</v>
      </c>
      <c r="G1410" t="s">
        <v>112</v>
      </c>
      <c r="H1410" t="s">
        <v>104</v>
      </c>
      <c r="I1410">
        <v>2022</v>
      </c>
      <c r="J1410" t="s">
        <v>253</v>
      </c>
      <c r="K1410" t="s">
        <v>106</v>
      </c>
      <c r="L1410" t="s">
        <v>1780</v>
      </c>
      <c r="M1410" t="s">
        <v>1783</v>
      </c>
      <c r="N1410">
        <v>1</v>
      </c>
      <c r="O1410">
        <v>2020</v>
      </c>
      <c r="P1410">
        <v>5911.8706390075113</v>
      </c>
      <c r="Q1410">
        <v>63.780978532496562</v>
      </c>
      <c r="R1410" t="s">
        <v>249</v>
      </c>
      <c r="S1410">
        <v>0.44315925240393511</v>
      </c>
      <c r="T1410" t="s">
        <v>250</v>
      </c>
      <c r="U1410">
        <v>1.0723562152133581</v>
      </c>
      <c r="V1410">
        <v>8336.2901874412255</v>
      </c>
      <c r="W1410">
        <v>89.937141380873001</v>
      </c>
      <c r="X1410" t="s">
        <v>111</v>
      </c>
      <c r="Y1410">
        <v>20</v>
      </c>
      <c r="Z1410">
        <v>0.44</v>
      </c>
      <c r="AA1410">
        <v>31.536000000000001</v>
      </c>
    </row>
    <row r="1411" spans="1:27" hidden="1" x14ac:dyDescent="0.25">
      <c r="A1411" t="s">
        <v>98</v>
      </c>
      <c r="B1411" t="s">
        <v>99</v>
      </c>
      <c r="D1411" t="s">
        <v>1722</v>
      </c>
      <c r="E1411" t="s">
        <v>243</v>
      </c>
      <c r="F1411" t="s">
        <v>244</v>
      </c>
      <c r="G1411" t="s">
        <v>103</v>
      </c>
      <c r="H1411" t="s">
        <v>104</v>
      </c>
      <c r="I1411">
        <v>2030</v>
      </c>
      <c r="J1411" t="s">
        <v>255</v>
      </c>
      <c r="K1411" t="s">
        <v>106</v>
      </c>
      <c r="L1411" t="s">
        <v>1780</v>
      </c>
      <c r="M1411" t="s">
        <v>1784</v>
      </c>
      <c r="N1411">
        <v>1</v>
      </c>
      <c r="O1411">
        <v>2030</v>
      </c>
      <c r="P1411">
        <v>5667.3116722418044</v>
      </c>
      <c r="Q1411">
        <v>63.780978532496562</v>
      </c>
      <c r="R1411" t="s">
        <v>249</v>
      </c>
      <c r="S1411">
        <v>0.43508713487380868</v>
      </c>
      <c r="T1411" t="s">
        <v>250</v>
      </c>
      <c r="U1411">
        <v>1.052823315118397</v>
      </c>
      <c r="V1411">
        <v>7991.4391852139524</v>
      </c>
      <c r="W1411">
        <v>89.937141380873001</v>
      </c>
      <c r="X1411" t="s">
        <v>111</v>
      </c>
      <c r="Y1411">
        <v>20</v>
      </c>
      <c r="Z1411">
        <v>0.44</v>
      </c>
      <c r="AA1411">
        <v>31.536000000000001</v>
      </c>
    </row>
    <row r="1412" spans="1:27" hidden="1" x14ac:dyDescent="0.25">
      <c r="A1412" t="s">
        <v>98</v>
      </c>
      <c r="B1412" t="s">
        <v>99</v>
      </c>
      <c r="D1412" t="s">
        <v>1722</v>
      </c>
      <c r="E1412" t="s">
        <v>243</v>
      </c>
      <c r="F1412" t="s">
        <v>244</v>
      </c>
      <c r="G1412" t="s">
        <v>112</v>
      </c>
      <c r="H1412" t="s">
        <v>104</v>
      </c>
      <c r="I1412">
        <v>2030</v>
      </c>
      <c r="J1412" t="s">
        <v>257</v>
      </c>
      <c r="K1412" t="s">
        <v>106</v>
      </c>
      <c r="L1412" t="s">
        <v>1780</v>
      </c>
      <c r="M1412" t="s">
        <v>1785</v>
      </c>
      <c r="N1412">
        <v>1</v>
      </c>
      <c r="O1412">
        <v>2030</v>
      </c>
      <c r="P1412">
        <v>5911.8706390075113</v>
      </c>
      <c r="Q1412">
        <v>63.780978532496562</v>
      </c>
      <c r="R1412" t="s">
        <v>249</v>
      </c>
      <c r="S1412">
        <v>0.44315925240393511</v>
      </c>
      <c r="T1412" t="s">
        <v>250</v>
      </c>
      <c r="U1412">
        <v>1.0723562152133581</v>
      </c>
      <c r="V1412">
        <v>8336.2901874412255</v>
      </c>
      <c r="W1412">
        <v>89.937141380873001</v>
      </c>
      <c r="X1412" t="s">
        <v>111</v>
      </c>
      <c r="Y1412">
        <v>20</v>
      </c>
      <c r="Z1412">
        <v>0.44</v>
      </c>
      <c r="AA1412">
        <v>31.536000000000001</v>
      </c>
    </row>
    <row r="1413" spans="1:27" hidden="1" x14ac:dyDescent="0.25">
      <c r="A1413" t="s">
        <v>98</v>
      </c>
      <c r="B1413" t="s">
        <v>99</v>
      </c>
      <c r="D1413" t="s">
        <v>1722</v>
      </c>
      <c r="E1413" t="s">
        <v>243</v>
      </c>
      <c r="F1413" t="s">
        <v>244</v>
      </c>
      <c r="G1413" t="s">
        <v>103</v>
      </c>
      <c r="H1413" t="s">
        <v>104</v>
      </c>
      <c r="I1413">
        <v>2040</v>
      </c>
      <c r="J1413" t="s">
        <v>259</v>
      </c>
      <c r="K1413" t="s">
        <v>106</v>
      </c>
      <c r="L1413" t="s">
        <v>1780</v>
      </c>
      <c r="M1413" t="s">
        <v>1786</v>
      </c>
      <c r="N1413">
        <v>1</v>
      </c>
      <c r="O1413">
        <v>2040</v>
      </c>
      <c r="P1413">
        <v>5667.3116722418044</v>
      </c>
      <c r="Q1413">
        <v>63.780978532496562</v>
      </c>
      <c r="R1413" t="s">
        <v>249</v>
      </c>
      <c r="S1413">
        <v>0.43508713487380868</v>
      </c>
      <c r="T1413" t="s">
        <v>250</v>
      </c>
      <c r="U1413">
        <v>1.052823315118397</v>
      </c>
      <c r="V1413">
        <v>7991.4391852139524</v>
      </c>
      <c r="W1413">
        <v>89.937141380873001</v>
      </c>
      <c r="X1413" t="s">
        <v>111</v>
      </c>
      <c r="Y1413">
        <v>20</v>
      </c>
      <c r="Z1413">
        <v>0.44</v>
      </c>
      <c r="AA1413">
        <v>31.536000000000001</v>
      </c>
    </row>
    <row r="1414" spans="1:27" hidden="1" x14ac:dyDescent="0.25">
      <c r="A1414" t="s">
        <v>98</v>
      </c>
      <c r="B1414" t="s">
        <v>99</v>
      </c>
      <c r="D1414" t="s">
        <v>1722</v>
      </c>
      <c r="E1414" t="s">
        <v>243</v>
      </c>
      <c r="F1414" t="s">
        <v>244</v>
      </c>
      <c r="G1414" t="s">
        <v>112</v>
      </c>
      <c r="H1414" t="s">
        <v>104</v>
      </c>
      <c r="I1414">
        <v>2040</v>
      </c>
      <c r="J1414" t="s">
        <v>261</v>
      </c>
      <c r="K1414" t="s">
        <v>106</v>
      </c>
      <c r="L1414" t="s">
        <v>1780</v>
      </c>
      <c r="M1414" t="s">
        <v>1787</v>
      </c>
      <c r="N1414">
        <v>1</v>
      </c>
      <c r="O1414">
        <v>2040</v>
      </c>
      <c r="P1414">
        <v>5911.8706390075113</v>
      </c>
      <c r="Q1414">
        <v>63.780978532496562</v>
      </c>
      <c r="R1414" t="s">
        <v>249</v>
      </c>
      <c r="S1414">
        <v>0.44315925240393511</v>
      </c>
      <c r="T1414" t="s">
        <v>250</v>
      </c>
      <c r="U1414">
        <v>1.0723562152133581</v>
      </c>
      <c r="V1414">
        <v>8336.2901874412255</v>
      </c>
      <c r="W1414">
        <v>89.937141380873001</v>
      </c>
      <c r="X1414" t="s">
        <v>111</v>
      </c>
      <c r="Y1414">
        <v>20</v>
      </c>
      <c r="Z1414">
        <v>0.44</v>
      </c>
      <c r="AA1414">
        <v>31.536000000000001</v>
      </c>
    </row>
    <row r="1415" spans="1:27" hidden="1" x14ac:dyDescent="0.25">
      <c r="A1415" t="s">
        <v>98</v>
      </c>
      <c r="B1415" t="s">
        <v>99</v>
      </c>
      <c r="D1415" t="s">
        <v>1722</v>
      </c>
      <c r="E1415" t="s">
        <v>243</v>
      </c>
      <c r="F1415" t="s">
        <v>244</v>
      </c>
      <c r="G1415" t="s">
        <v>103</v>
      </c>
      <c r="H1415" t="s">
        <v>104</v>
      </c>
      <c r="I1415">
        <v>2050</v>
      </c>
      <c r="J1415" t="s">
        <v>263</v>
      </c>
      <c r="K1415" t="s">
        <v>106</v>
      </c>
      <c r="L1415" t="s">
        <v>1780</v>
      </c>
      <c r="M1415" t="s">
        <v>1788</v>
      </c>
      <c r="N1415">
        <v>1</v>
      </c>
      <c r="O1415">
        <v>2050</v>
      </c>
      <c r="P1415">
        <v>5667.3116722418044</v>
      </c>
      <c r="Q1415">
        <v>63.780978532496562</v>
      </c>
      <c r="R1415" t="s">
        <v>249</v>
      </c>
      <c r="S1415">
        <v>0.43508713487380868</v>
      </c>
      <c r="T1415" t="s">
        <v>250</v>
      </c>
      <c r="U1415">
        <v>1.052823315118397</v>
      </c>
      <c r="V1415">
        <v>7991.4391852139524</v>
      </c>
      <c r="W1415">
        <v>89.937141380873001</v>
      </c>
      <c r="X1415" t="s">
        <v>111</v>
      </c>
      <c r="Y1415">
        <v>20</v>
      </c>
      <c r="Z1415">
        <v>0.44</v>
      </c>
      <c r="AA1415">
        <v>31.536000000000001</v>
      </c>
    </row>
    <row r="1416" spans="1:27" hidden="1" x14ac:dyDescent="0.25">
      <c r="A1416" t="s">
        <v>98</v>
      </c>
      <c r="B1416" t="s">
        <v>99</v>
      </c>
      <c r="D1416" t="s">
        <v>1722</v>
      </c>
      <c r="E1416" t="s">
        <v>243</v>
      </c>
      <c r="F1416" t="s">
        <v>244</v>
      </c>
      <c r="G1416" t="s">
        <v>112</v>
      </c>
      <c r="H1416" t="s">
        <v>104</v>
      </c>
      <c r="I1416">
        <v>2050</v>
      </c>
      <c r="J1416" t="s">
        <v>265</v>
      </c>
      <c r="K1416" t="s">
        <v>106</v>
      </c>
      <c r="L1416" t="s">
        <v>1780</v>
      </c>
      <c r="M1416" t="s">
        <v>1789</v>
      </c>
      <c r="N1416">
        <v>1</v>
      </c>
      <c r="O1416">
        <v>2050</v>
      </c>
      <c r="P1416">
        <v>5911.8706390075113</v>
      </c>
      <c r="Q1416">
        <v>63.780978532496562</v>
      </c>
      <c r="R1416" t="s">
        <v>249</v>
      </c>
      <c r="S1416">
        <v>0.44315925240393511</v>
      </c>
      <c r="T1416" t="s">
        <v>250</v>
      </c>
      <c r="U1416">
        <v>1.0723562152133581</v>
      </c>
      <c r="V1416">
        <v>8336.2901874412255</v>
      </c>
      <c r="W1416">
        <v>89.937141380873001</v>
      </c>
      <c r="X1416" t="s">
        <v>111</v>
      </c>
      <c r="Y1416">
        <v>20</v>
      </c>
      <c r="Z1416">
        <v>0.44</v>
      </c>
      <c r="AA1416">
        <v>31.536000000000001</v>
      </c>
    </row>
    <row r="1417" spans="1:27" hidden="1" x14ac:dyDescent="0.25">
      <c r="A1417" t="s">
        <v>98</v>
      </c>
      <c r="B1417" t="s">
        <v>99</v>
      </c>
      <c r="D1417" t="s">
        <v>1722</v>
      </c>
      <c r="E1417" t="s">
        <v>243</v>
      </c>
      <c r="F1417" t="s">
        <v>267</v>
      </c>
      <c r="G1417" t="s">
        <v>245</v>
      </c>
      <c r="H1417" t="s">
        <v>104</v>
      </c>
      <c r="I1417">
        <v>2022</v>
      </c>
      <c r="J1417" t="s">
        <v>268</v>
      </c>
      <c r="K1417" t="s">
        <v>106</v>
      </c>
      <c r="L1417" t="s">
        <v>1780</v>
      </c>
      <c r="M1417" t="s">
        <v>1790</v>
      </c>
      <c r="N1417">
        <v>1</v>
      </c>
      <c r="O1417">
        <v>2020</v>
      </c>
      <c r="P1417">
        <v>7748.5410872802086</v>
      </c>
      <c r="Q1417">
        <v>68.755259026523561</v>
      </c>
      <c r="R1417" t="s">
        <v>249</v>
      </c>
      <c r="S1417">
        <v>0.29876527460377861</v>
      </c>
      <c r="T1417" t="s">
        <v>250</v>
      </c>
      <c r="U1417">
        <v>0.72295184490306452</v>
      </c>
      <c r="V1417">
        <v>10926.167194301681</v>
      </c>
      <c r="W1417">
        <v>96.951341826723592</v>
      </c>
      <c r="X1417" t="s">
        <v>111</v>
      </c>
      <c r="Y1417">
        <v>20</v>
      </c>
      <c r="Z1417">
        <v>0.44</v>
      </c>
      <c r="AA1417">
        <v>31.536000000000001</v>
      </c>
    </row>
    <row r="1418" spans="1:27" hidden="1" x14ac:dyDescent="0.25">
      <c r="A1418" t="s">
        <v>98</v>
      </c>
      <c r="B1418" t="s">
        <v>99</v>
      </c>
      <c r="D1418" t="s">
        <v>1722</v>
      </c>
      <c r="E1418" t="s">
        <v>243</v>
      </c>
      <c r="F1418" t="s">
        <v>267</v>
      </c>
      <c r="G1418" t="s">
        <v>112</v>
      </c>
      <c r="H1418" t="s">
        <v>104</v>
      </c>
      <c r="I1418">
        <v>2022</v>
      </c>
      <c r="J1418" t="s">
        <v>270</v>
      </c>
      <c r="K1418" t="s">
        <v>106</v>
      </c>
      <c r="L1418" t="s">
        <v>1780</v>
      </c>
      <c r="M1418" t="s">
        <v>1791</v>
      </c>
      <c r="N1418">
        <v>1</v>
      </c>
      <c r="O1418">
        <v>2020</v>
      </c>
      <c r="P1418">
        <v>8151.6394802345676</v>
      </c>
      <c r="Q1418">
        <v>68.755259026523561</v>
      </c>
      <c r="R1418" t="s">
        <v>249</v>
      </c>
      <c r="S1418">
        <v>0.29876527460377861</v>
      </c>
      <c r="T1418" t="s">
        <v>250</v>
      </c>
      <c r="U1418">
        <v>0.72295184490306452</v>
      </c>
      <c r="V1418">
        <v>11494.57360623949</v>
      </c>
      <c r="W1418">
        <v>96.951341826723592</v>
      </c>
      <c r="X1418" t="s">
        <v>111</v>
      </c>
      <c r="Y1418">
        <v>20</v>
      </c>
      <c r="Z1418">
        <v>0.44</v>
      </c>
      <c r="AA1418">
        <v>31.536000000000001</v>
      </c>
    </row>
    <row r="1419" spans="1:27" hidden="1" x14ac:dyDescent="0.25">
      <c r="A1419" t="s">
        <v>98</v>
      </c>
      <c r="B1419" t="s">
        <v>99</v>
      </c>
      <c r="D1419" t="s">
        <v>1722</v>
      </c>
      <c r="E1419" t="s">
        <v>243</v>
      </c>
      <c r="F1419" t="s">
        <v>267</v>
      </c>
      <c r="G1419" t="s">
        <v>103</v>
      </c>
      <c r="H1419" t="s">
        <v>104</v>
      </c>
      <c r="I1419">
        <v>2030</v>
      </c>
      <c r="J1419" t="s">
        <v>272</v>
      </c>
      <c r="K1419" t="s">
        <v>106</v>
      </c>
      <c r="L1419" t="s">
        <v>1780</v>
      </c>
      <c r="M1419" t="s">
        <v>1792</v>
      </c>
      <c r="N1419">
        <v>1</v>
      </c>
      <c r="O1419">
        <v>2030</v>
      </c>
      <c r="P1419">
        <v>8119.0316179991396</v>
      </c>
      <c r="Q1419">
        <v>68.755259026523561</v>
      </c>
      <c r="R1419" t="s">
        <v>249</v>
      </c>
      <c r="S1419">
        <v>0.29876527460377861</v>
      </c>
      <c r="T1419" t="s">
        <v>250</v>
      </c>
      <c r="U1419">
        <v>0.72295184490306452</v>
      </c>
      <c r="V1419">
        <v>11448.59347260918</v>
      </c>
      <c r="W1419">
        <v>96.951341826723592</v>
      </c>
      <c r="X1419" t="s">
        <v>111</v>
      </c>
      <c r="Y1419">
        <v>20</v>
      </c>
      <c r="Z1419">
        <v>0.44</v>
      </c>
      <c r="AA1419">
        <v>31.536000000000001</v>
      </c>
    </row>
    <row r="1420" spans="1:27" hidden="1" x14ac:dyDescent="0.25">
      <c r="A1420" t="s">
        <v>98</v>
      </c>
      <c r="B1420" t="s">
        <v>99</v>
      </c>
      <c r="D1420" t="s">
        <v>1722</v>
      </c>
      <c r="E1420" t="s">
        <v>243</v>
      </c>
      <c r="F1420" t="s">
        <v>267</v>
      </c>
      <c r="G1420" t="s">
        <v>112</v>
      </c>
      <c r="H1420" t="s">
        <v>104</v>
      </c>
      <c r="I1420">
        <v>2030</v>
      </c>
      <c r="J1420" t="s">
        <v>274</v>
      </c>
      <c r="K1420" t="s">
        <v>106</v>
      </c>
      <c r="L1420" t="s">
        <v>1780</v>
      </c>
      <c r="M1420" t="s">
        <v>1793</v>
      </c>
      <c r="N1420">
        <v>1</v>
      </c>
      <c r="O1420">
        <v>2030</v>
      </c>
      <c r="P1420">
        <v>8151.6394802345676</v>
      </c>
      <c r="Q1420">
        <v>68.755259026523561</v>
      </c>
      <c r="R1420" t="s">
        <v>249</v>
      </c>
      <c r="S1420">
        <v>0.31450011460924421</v>
      </c>
      <c r="T1420" t="s">
        <v>250</v>
      </c>
      <c r="U1420">
        <v>0.76102699144173802</v>
      </c>
      <c r="V1420">
        <v>11494.57360623949</v>
      </c>
      <c r="W1420">
        <v>96.951341826723578</v>
      </c>
      <c r="X1420" t="s">
        <v>111</v>
      </c>
      <c r="Y1420">
        <v>20</v>
      </c>
      <c r="Z1420">
        <v>0.44</v>
      </c>
      <c r="AA1420">
        <v>31.536000000000001</v>
      </c>
    </row>
    <row r="1421" spans="1:27" hidden="1" x14ac:dyDescent="0.25">
      <c r="A1421" t="s">
        <v>98</v>
      </c>
      <c r="B1421" t="s">
        <v>99</v>
      </c>
      <c r="D1421" t="s">
        <v>1722</v>
      </c>
      <c r="E1421" t="s">
        <v>243</v>
      </c>
      <c r="F1421" t="s">
        <v>267</v>
      </c>
      <c r="G1421" t="s">
        <v>103</v>
      </c>
      <c r="H1421" t="s">
        <v>104</v>
      </c>
      <c r="I1421">
        <v>2040</v>
      </c>
      <c r="J1421" t="s">
        <v>276</v>
      </c>
      <c r="K1421" t="s">
        <v>106</v>
      </c>
      <c r="L1421" t="s">
        <v>1780</v>
      </c>
      <c r="M1421" t="s">
        <v>1794</v>
      </c>
      <c r="N1421">
        <v>1</v>
      </c>
      <c r="O1421">
        <v>2040</v>
      </c>
      <c r="P1421">
        <v>8119.0316179991396</v>
      </c>
      <c r="Q1421">
        <v>68.755259026523561</v>
      </c>
      <c r="R1421" t="s">
        <v>249</v>
      </c>
      <c r="S1421">
        <v>0.29876527460377861</v>
      </c>
      <c r="T1421" t="s">
        <v>250</v>
      </c>
      <c r="U1421">
        <v>0.72295184490306452</v>
      </c>
      <c r="V1421">
        <v>11448.59347260918</v>
      </c>
      <c r="W1421">
        <v>96.951341826723592</v>
      </c>
      <c r="X1421" t="s">
        <v>111</v>
      </c>
      <c r="Y1421">
        <v>20</v>
      </c>
      <c r="Z1421">
        <v>0.44</v>
      </c>
      <c r="AA1421">
        <v>31.536000000000001</v>
      </c>
    </row>
    <row r="1422" spans="1:27" hidden="1" x14ac:dyDescent="0.25">
      <c r="A1422" t="s">
        <v>98</v>
      </c>
      <c r="B1422" t="s">
        <v>99</v>
      </c>
      <c r="D1422" t="s">
        <v>1722</v>
      </c>
      <c r="E1422" t="s">
        <v>243</v>
      </c>
      <c r="F1422" t="s">
        <v>267</v>
      </c>
      <c r="G1422" t="s">
        <v>112</v>
      </c>
      <c r="H1422" t="s">
        <v>104</v>
      </c>
      <c r="I1422">
        <v>2040</v>
      </c>
      <c r="J1422" t="s">
        <v>278</v>
      </c>
      <c r="K1422" t="s">
        <v>106</v>
      </c>
      <c r="L1422" t="s">
        <v>1780</v>
      </c>
      <c r="M1422" t="s">
        <v>1795</v>
      </c>
      <c r="N1422">
        <v>1</v>
      </c>
      <c r="O1422">
        <v>2040</v>
      </c>
      <c r="P1422">
        <v>8151.6394802345676</v>
      </c>
      <c r="Q1422">
        <v>68.755259026523561</v>
      </c>
      <c r="R1422" t="s">
        <v>249</v>
      </c>
      <c r="S1422">
        <v>0.31450011460924421</v>
      </c>
      <c r="T1422" t="s">
        <v>250</v>
      </c>
      <c r="U1422">
        <v>0.76102699144173802</v>
      </c>
      <c r="V1422">
        <v>11494.57360623949</v>
      </c>
      <c r="W1422">
        <v>96.951341826723578</v>
      </c>
      <c r="X1422" t="s">
        <v>111</v>
      </c>
      <c r="Y1422">
        <v>20</v>
      </c>
      <c r="Z1422">
        <v>0.44</v>
      </c>
      <c r="AA1422">
        <v>31.536000000000001</v>
      </c>
    </row>
    <row r="1423" spans="1:27" hidden="1" x14ac:dyDescent="0.25">
      <c r="A1423" t="s">
        <v>98</v>
      </c>
      <c r="B1423" t="s">
        <v>99</v>
      </c>
      <c r="D1423" t="s">
        <v>1722</v>
      </c>
      <c r="E1423" t="s">
        <v>243</v>
      </c>
      <c r="F1423" t="s">
        <v>267</v>
      </c>
      <c r="G1423" t="s">
        <v>103</v>
      </c>
      <c r="H1423" t="s">
        <v>104</v>
      </c>
      <c r="I1423">
        <v>2050</v>
      </c>
      <c r="J1423" t="s">
        <v>280</v>
      </c>
      <c r="K1423" t="s">
        <v>106</v>
      </c>
      <c r="L1423" t="s">
        <v>1780</v>
      </c>
      <c r="M1423" t="s">
        <v>1796</v>
      </c>
      <c r="N1423">
        <v>1</v>
      </c>
      <c r="O1423">
        <v>2050</v>
      </c>
      <c r="P1423">
        <v>8119.0316179991396</v>
      </c>
      <c r="Q1423">
        <v>68.755259026523561</v>
      </c>
      <c r="R1423" t="s">
        <v>249</v>
      </c>
      <c r="S1423">
        <v>0.29876527460377861</v>
      </c>
      <c r="T1423" t="s">
        <v>250</v>
      </c>
      <c r="U1423">
        <v>0.72295184490306452</v>
      </c>
      <c r="V1423">
        <v>11448.59347260918</v>
      </c>
      <c r="W1423">
        <v>96.951341826723592</v>
      </c>
      <c r="X1423" t="s">
        <v>111</v>
      </c>
      <c r="Y1423">
        <v>20</v>
      </c>
      <c r="Z1423">
        <v>0.44</v>
      </c>
      <c r="AA1423">
        <v>31.536000000000001</v>
      </c>
    </row>
    <row r="1424" spans="1:27" hidden="1" x14ac:dyDescent="0.25">
      <c r="A1424" t="s">
        <v>98</v>
      </c>
      <c r="B1424" t="s">
        <v>99</v>
      </c>
      <c r="D1424" t="s">
        <v>1722</v>
      </c>
      <c r="E1424" t="s">
        <v>243</v>
      </c>
      <c r="F1424" t="s">
        <v>267</v>
      </c>
      <c r="G1424" t="s">
        <v>112</v>
      </c>
      <c r="H1424" t="s">
        <v>104</v>
      </c>
      <c r="I1424">
        <v>2050</v>
      </c>
      <c r="J1424" t="s">
        <v>282</v>
      </c>
      <c r="K1424" t="s">
        <v>106</v>
      </c>
      <c r="L1424" t="s">
        <v>1780</v>
      </c>
      <c r="M1424" t="s">
        <v>1797</v>
      </c>
      <c r="N1424">
        <v>1</v>
      </c>
      <c r="O1424">
        <v>2050</v>
      </c>
      <c r="P1424">
        <v>8151.6394802345676</v>
      </c>
      <c r="Q1424">
        <v>68.755259026523561</v>
      </c>
      <c r="R1424" t="s">
        <v>249</v>
      </c>
      <c r="S1424">
        <v>0.31450011460924421</v>
      </c>
      <c r="T1424" t="s">
        <v>250</v>
      </c>
      <c r="U1424">
        <v>0.76102699144173802</v>
      </c>
      <c r="V1424">
        <v>11494.57360623949</v>
      </c>
      <c r="W1424">
        <v>96.951341826723578</v>
      </c>
      <c r="X1424" t="s">
        <v>111</v>
      </c>
      <c r="Y1424">
        <v>20</v>
      </c>
      <c r="Z1424">
        <v>0.44</v>
      </c>
      <c r="AA1424">
        <v>31.536000000000001</v>
      </c>
    </row>
    <row r="1425" spans="1:27" hidden="1" x14ac:dyDescent="0.25">
      <c r="A1425" t="s">
        <v>98</v>
      </c>
      <c r="B1425" t="s">
        <v>99</v>
      </c>
      <c r="D1425" t="s">
        <v>1722</v>
      </c>
      <c r="E1425" t="s">
        <v>284</v>
      </c>
      <c r="F1425" t="s">
        <v>285</v>
      </c>
      <c r="G1425" t="s">
        <v>103</v>
      </c>
      <c r="H1425" t="s">
        <v>104</v>
      </c>
      <c r="I1425">
        <v>2022</v>
      </c>
      <c r="J1425" t="s">
        <v>286</v>
      </c>
      <c r="K1425" t="s">
        <v>106</v>
      </c>
      <c r="L1425" t="s">
        <v>1798</v>
      </c>
      <c r="M1425" t="s">
        <v>1799</v>
      </c>
      <c r="N1425">
        <v>1</v>
      </c>
      <c r="O1425">
        <v>2020</v>
      </c>
      <c r="P1425">
        <v>100.10336678844671</v>
      </c>
      <c r="Q1425">
        <v>36.612504973710713</v>
      </c>
      <c r="R1425" t="s">
        <v>289</v>
      </c>
      <c r="S1425">
        <v>15.58191798941797</v>
      </c>
      <c r="T1425" t="s">
        <v>290</v>
      </c>
      <c r="U1425">
        <v>15.58191798941797</v>
      </c>
      <c r="V1425">
        <v>100.10336678844671</v>
      </c>
      <c r="W1425">
        <v>36.612504973710713</v>
      </c>
      <c r="X1425" t="s">
        <v>291</v>
      </c>
      <c r="Y1425">
        <v>10</v>
      </c>
      <c r="Z1425">
        <v>0.35682680185771348</v>
      </c>
      <c r="AA1425">
        <v>1</v>
      </c>
    </row>
    <row r="1426" spans="1:27" hidden="1" x14ac:dyDescent="0.25">
      <c r="A1426" t="s">
        <v>98</v>
      </c>
      <c r="B1426" t="s">
        <v>99</v>
      </c>
      <c r="D1426" t="s">
        <v>1722</v>
      </c>
      <c r="E1426" t="s">
        <v>284</v>
      </c>
      <c r="F1426" t="s">
        <v>292</v>
      </c>
      <c r="G1426" t="s">
        <v>103</v>
      </c>
      <c r="H1426" t="s">
        <v>104</v>
      </c>
      <c r="I1426">
        <v>2022</v>
      </c>
      <c r="J1426" t="s">
        <v>293</v>
      </c>
      <c r="K1426" t="s">
        <v>106</v>
      </c>
      <c r="L1426" t="s">
        <v>1798</v>
      </c>
      <c r="M1426" t="s">
        <v>1800</v>
      </c>
      <c r="N1426">
        <v>1</v>
      </c>
      <c r="O1426">
        <v>2020</v>
      </c>
      <c r="P1426">
        <v>99.46253669701926</v>
      </c>
      <c r="Q1426">
        <v>6.0605044913603194</v>
      </c>
      <c r="R1426" t="s">
        <v>289</v>
      </c>
      <c r="S1426">
        <v>42.005691056910557</v>
      </c>
      <c r="T1426" t="s">
        <v>290</v>
      </c>
      <c r="U1426">
        <v>42.005691056910557</v>
      </c>
      <c r="V1426">
        <v>99.46253669701926</v>
      </c>
      <c r="W1426">
        <v>6.0605044913603194</v>
      </c>
      <c r="X1426" t="s">
        <v>291</v>
      </c>
      <c r="Y1426">
        <v>10</v>
      </c>
      <c r="Z1426">
        <v>0.35682680185771348</v>
      </c>
      <c r="AA1426">
        <v>1</v>
      </c>
    </row>
    <row r="1427" spans="1:27" hidden="1" x14ac:dyDescent="0.25">
      <c r="A1427" t="s">
        <v>98</v>
      </c>
      <c r="B1427" t="s">
        <v>99</v>
      </c>
      <c r="D1427" t="s">
        <v>1722</v>
      </c>
      <c r="E1427" t="s">
        <v>284</v>
      </c>
      <c r="F1427" t="s">
        <v>292</v>
      </c>
      <c r="G1427" t="s">
        <v>112</v>
      </c>
      <c r="H1427" t="s">
        <v>104</v>
      </c>
      <c r="I1427">
        <v>2022</v>
      </c>
      <c r="J1427" t="s">
        <v>295</v>
      </c>
      <c r="K1427" t="s">
        <v>106</v>
      </c>
      <c r="L1427" t="s">
        <v>1798</v>
      </c>
      <c r="M1427" t="s">
        <v>1801</v>
      </c>
      <c r="N1427">
        <v>1</v>
      </c>
      <c r="O1427">
        <v>2020</v>
      </c>
      <c r="P1427">
        <v>92.517129414925563</v>
      </c>
      <c r="Q1427">
        <v>5.9256499638890956</v>
      </c>
      <c r="R1427" t="s">
        <v>289</v>
      </c>
      <c r="S1427">
        <v>43.051923076923067</v>
      </c>
      <c r="T1427" t="s">
        <v>290</v>
      </c>
      <c r="U1427">
        <v>43.051923076923067</v>
      </c>
      <c r="V1427">
        <v>92.517129414925563</v>
      </c>
      <c r="W1427">
        <v>5.9256499638890956</v>
      </c>
      <c r="X1427" t="s">
        <v>291</v>
      </c>
      <c r="Y1427">
        <v>10</v>
      </c>
      <c r="Z1427">
        <v>0.35682680185771348</v>
      </c>
      <c r="AA1427">
        <v>1</v>
      </c>
    </row>
    <row r="1428" spans="1:27" hidden="1" x14ac:dyDescent="0.25">
      <c r="A1428" t="s">
        <v>98</v>
      </c>
      <c r="B1428" t="s">
        <v>99</v>
      </c>
      <c r="D1428" t="s">
        <v>1722</v>
      </c>
      <c r="E1428" t="s">
        <v>284</v>
      </c>
      <c r="F1428" t="s">
        <v>297</v>
      </c>
      <c r="G1428" t="s">
        <v>103</v>
      </c>
      <c r="H1428" t="s">
        <v>104</v>
      </c>
      <c r="I1428">
        <v>2022</v>
      </c>
      <c r="J1428" t="s">
        <v>298</v>
      </c>
      <c r="K1428" t="s">
        <v>106</v>
      </c>
      <c r="L1428" t="s">
        <v>1798</v>
      </c>
      <c r="M1428" t="s">
        <v>1802</v>
      </c>
      <c r="N1428">
        <v>1</v>
      </c>
      <c r="O1428">
        <v>2020</v>
      </c>
      <c r="P1428">
        <v>94.526951376087595</v>
      </c>
      <c r="Q1428">
        <v>3.949349451558744</v>
      </c>
      <c r="R1428" t="s">
        <v>289</v>
      </c>
      <c r="S1428">
        <v>76.146700507614213</v>
      </c>
      <c r="T1428" t="s">
        <v>290</v>
      </c>
      <c r="U1428">
        <v>76.146700507614213</v>
      </c>
      <c r="V1428">
        <v>94.526951376087595</v>
      </c>
      <c r="W1428">
        <v>3.949349451558744</v>
      </c>
      <c r="X1428" t="s">
        <v>291</v>
      </c>
      <c r="Y1428">
        <v>10</v>
      </c>
      <c r="Z1428">
        <v>0.35682680185771348</v>
      </c>
      <c r="AA1428">
        <v>1</v>
      </c>
    </row>
    <row r="1429" spans="1:27" hidden="1" x14ac:dyDescent="0.25">
      <c r="A1429" t="s">
        <v>98</v>
      </c>
      <c r="B1429" t="s">
        <v>99</v>
      </c>
      <c r="D1429" t="s">
        <v>1722</v>
      </c>
      <c r="E1429" t="s">
        <v>284</v>
      </c>
      <c r="F1429" t="s">
        <v>297</v>
      </c>
      <c r="G1429" t="s">
        <v>112</v>
      </c>
      <c r="H1429" t="s">
        <v>104</v>
      </c>
      <c r="I1429">
        <v>2022</v>
      </c>
      <c r="J1429" t="s">
        <v>300</v>
      </c>
      <c r="K1429" t="s">
        <v>106</v>
      </c>
      <c r="L1429" t="s">
        <v>1798</v>
      </c>
      <c r="M1429" t="s">
        <v>1803</v>
      </c>
      <c r="N1429">
        <v>1</v>
      </c>
      <c r="O1429">
        <v>2020</v>
      </c>
      <c r="P1429">
        <v>69.765067810793198</v>
      </c>
      <c r="Q1429">
        <v>2.516631606553434</v>
      </c>
      <c r="R1429" t="s">
        <v>289</v>
      </c>
      <c r="S1429">
        <v>93</v>
      </c>
      <c r="T1429" t="s">
        <v>290</v>
      </c>
      <c r="U1429">
        <v>93</v>
      </c>
      <c r="V1429">
        <v>69.765067810793198</v>
      </c>
      <c r="W1429">
        <v>2.516631606553434</v>
      </c>
      <c r="X1429" t="s">
        <v>291</v>
      </c>
      <c r="Y1429">
        <v>10</v>
      </c>
      <c r="Z1429">
        <v>0.35682680185771348</v>
      </c>
      <c r="AA1429">
        <v>1</v>
      </c>
    </row>
    <row r="1430" spans="1:27" hidden="1" x14ac:dyDescent="0.25">
      <c r="A1430" t="s">
        <v>98</v>
      </c>
      <c r="B1430" t="s">
        <v>99</v>
      </c>
      <c r="D1430" t="s">
        <v>1722</v>
      </c>
      <c r="E1430" t="s">
        <v>284</v>
      </c>
      <c r="F1430" t="s">
        <v>302</v>
      </c>
      <c r="G1430" t="s">
        <v>103</v>
      </c>
      <c r="H1430" t="s">
        <v>104</v>
      </c>
      <c r="I1430">
        <v>2022</v>
      </c>
      <c r="J1430" t="s">
        <v>303</v>
      </c>
      <c r="K1430" t="s">
        <v>106</v>
      </c>
      <c r="L1430" t="s">
        <v>1798</v>
      </c>
      <c r="M1430" t="s">
        <v>1804</v>
      </c>
      <c r="N1430">
        <v>1</v>
      </c>
      <c r="O1430">
        <v>2020</v>
      </c>
      <c r="P1430">
        <v>105.7930490817716</v>
      </c>
      <c r="Q1430">
        <v>3.355492309527206</v>
      </c>
      <c r="R1430" t="s">
        <v>289</v>
      </c>
      <c r="S1430">
        <v>64.669172932330824</v>
      </c>
      <c r="T1430" t="s">
        <v>290</v>
      </c>
      <c r="U1430">
        <v>64.669172932330824</v>
      </c>
      <c r="V1430">
        <v>105.7930490817716</v>
      </c>
      <c r="W1430">
        <v>3.355492309527206</v>
      </c>
      <c r="X1430" t="s">
        <v>291</v>
      </c>
      <c r="Y1430">
        <v>10</v>
      </c>
      <c r="Z1430">
        <v>0.35682680185771348</v>
      </c>
      <c r="AA1430">
        <v>1</v>
      </c>
    </row>
    <row r="1431" spans="1:27" hidden="1" x14ac:dyDescent="0.25">
      <c r="A1431" t="s">
        <v>98</v>
      </c>
      <c r="B1431" t="s">
        <v>99</v>
      </c>
      <c r="D1431" t="s">
        <v>1722</v>
      </c>
      <c r="E1431" t="s">
        <v>284</v>
      </c>
      <c r="F1431" t="s">
        <v>302</v>
      </c>
      <c r="G1431" t="s">
        <v>112</v>
      </c>
      <c r="H1431" t="s">
        <v>104</v>
      </c>
      <c r="I1431">
        <v>2022</v>
      </c>
      <c r="J1431" t="s">
        <v>305</v>
      </c>
      <c r="K1431" t="s">
        <v>106</v>
      </c>
      <c r="L1431" t="s">
        <v>1798</v>
      </c>
      <c r="M1431" t="s">
        <v>1805</v>
      </c>
      <c r="N1431">
        <v>1</v>
      </c>
      <c r="O1431">
        <v>2020</v>
      </c>
      <c r="P1431">
        <v>99.614212714858894</v>
      </c>
      <c r="Q1431">
        <v>1.4361600838792941</v>
      </c>
      <c r="R1431" t="s">
        <v>289</v>
      </c>
      <c r="S1431">
        <v>75.07692307692308</v>
      </c>
      <c r="T1431" t="s">
        <v>290</v>
      </c>
      <c r="U1431">
        <v>75.07692307692308</v>
      </c>
      <c r="V1431">
        <v>99.614212714858894</v>
      </c>
      <c r="W1431">
        <v>1.4361600838792941</v>
      </c>
      <c r="X1431" t="s">
        <v>291</v>
      </c>
      <c r="Y1431">
        <v>10</v>
      </c>
      <c r="Z1431">
        <v>0.35682680185771348</v>
      </c>
      <c r="AA1431">
        <v>1</v>
      </c>
    </row>
    <row r="1432" spans="1:27" hidden="1" x14ac:dyDescent="0.25">
      <c r="A1432" t="s">
        <v>98</v>
      </c>
      <c r="B1432" t="s">
        <v>99</v>
      </c>
      <c r="D1432" t="s">
        <v>1722</v>
      </c>
      <c r="E1432" t="s">
        <v>284</v>
      </c>
      <c r="F1432" t="s">
        <v>297</v>
      </c>
      <c r="G1432" t="s">
        <v>103</v>
      </c>
      <c r="H1432" t="s">
        <v>104</v>
      </c>
      <c r="I1432">
        <v>2023</v>
      </c>
      <c r="J1432" t="s">
        <v>307</v>
      </c>
      <c r="K1432" t="s">
        <v>106</v>
      </c>
      <c r="L1432" t="s">
        <v>1798</v>
      </c>
      <c r="M1432" t="s">
        <v>1806</v>
      </c>
      <c r="N1432">
        <v>1</v>
      </c>
      <c r="O1432">
        <v>2023</v>
      </c>
      <c r="P1432">
        <v>94.526951376087595</v>
      </c>
      <c r="Q1432">
        <v>3.949349451558744</v>
      </c>
      <c r="R1432" t="s">
        <v>289</v>
      </c>
      <c r="S1432">
        <v>76.146700507614213</v>
      </c>
      <c r="T1432" t="s">
        <v>290</v>
      </c>
      <c r="U1432">
        <v>76.146700507614213</v>
      </c>
      <c r="V1432">
        <v>94.526951376087595</v>
      </c>
      <c r="W1432">
        <v>3.949349451558744</v>
      </c>
      <c r="X1432" t="s">
        <v>291</v>
      </c>
      <c r="Y1432">
        <v>10</v>
      </c>
      <c r="Z1432">
        <v>0.35682680185771348</v>
      </c>
      <c r="AA1432">
        <v>1</v>
      </c>
    </row>
    <row r="1433" spans="1:27" hidden="1" x14ac:dyDescent="0.25">
      <c r="A1433" t="s">
        <v>98</v>
      </c>
      <c r="B1433" t="s">
        <v>99</v>
      </c>
      <c r="D1433" t="s">
        <v>1722</v>
      </c>
      <c r="E1433" t="s">
        <v>284</v>
      </c>
      <c r="F1433" t="s">
        <v>297</v>
      </c>
      <c r="G1433" t="s">
        <v>112</v>
      </c>
      <c r="H1433" t="s">
        <v>104</v>
      </c>
      <c r="I1433">
        <v>2023</v>
      </c>
      <c r="J1433" t="s">
        <v>309</v>
      </c>
      <c r="K1433" t="s">
        <v>106</v>
      </c>
      <c r="L1433" t="s">
        <v>1798</v>
      </c>
      <c r="M1433" t="s">
        <v>1807</v>
      </c>
      <c r="N1433">
        <v>1</v>
      </c>
      <c r="O1433">
        <v>2023</v>
      </c>
      <c r="P1433">
        <v>69.765067810793198</v>
      </c>
      <c r="Q1433">
        <v>2.516631606553434</v>
      </c>
      <c r="R1433" t="s">
        <v>289</v>
      </c>
      <c r="S1433">
        <v>93</v>
      </c>
      <c r="T1433" t="s">
        <v>290</v>
      </c>
      <c r="U1433">
        <v>93</v>
      </c>
      <c r="V1433">
        <v>69.765067810793198</v>
      </c>
      <c r="W1433">
        <v>2.516631606553434</v>
      </c>
      <c r="X1433" t="s">
        <v>291</v>
      </c>
      <c r="Y1433">
        <v>10</v>
      </c>
      <c r="Z1433">
        <v>0.35682680185771348</v>
      </c>
      <c r="AA1433">
        <v>1</v>
      </c>
    </row>
    <row r="1434" spans="1:27" hidden="1" x14ac:dyDescent="0.25">
      <c r="A1434" t="s">
        <v>98</v>
      </c>
      <c r="B1434" t="s">
        <v>99</v>
      </c>
      <c r="D1434" t="s">
        <v>1722</v>
      </c>
      <c r="E1434" t="s">
        <v>284</v>
      </c>
      <c r="F1434" t="s">
        <v>302</v>
      </c>
      <c r="G1434" t="s">
        <v>103</v>
      </c>
      <c r="H1434" t="s">
        <v>104</v>
      </c>
      <c r="I1434">
        <v>2023</v>
      </c>
      <c r="J1434" t="s">
        <v>311</v>
      </c>
      <c r="K1434" t="s">
        <v>106</v>
      </c>
      <c r="L1434" t="s">
        <v>1798</v>
      </c>
      <c r="M1434" t="s">
        <v>1808</v>
      </c>
      <c r="N1434">
        <v>1</v>
      </c>
      <c r="O1434">
        <v>2023</v>
      </c>
      <c r="P1434">
        <v>105.7930490817716</v>
      </c>
      <c r="Q1434">
        <v>3.355492309527206</v>
      </c>
      <c r="R1434" t="s">
        <v>289</v>
      </c>
      <c r="S1434">
        <v>64.669172932330824</v>
      </c>
      <c r="T1434" t="s">
        <v>290</v>
      </c>
      <c r="U1434">
        <v>64.669172932330824</v>
      </c>
      <c r="V1434">
        <v>105.7930490817716</v>
      </c>
      <c r="W1434">
        <v>3.355492309527206</v>
      </c>
      <c r="X1434" t="s">
        <v>291</v>
      </c>
      <c r="Y1434">
        <v>10</v>
      </c>
      <c r="Z1434">
        <v>0.35682680185771348</v>
      </c>
      <c r="AA1434">
        <v>1</v>
      </c>
    </row>
    <row r="1435" spans="1:27" hidden="1" x14ac:dyDescent="0.25">
      <c r="A1435" t="s">
        <v>98</v>
      </c>
      <c r="B1435" t="s">
        <v>99</v>
      </c>
      <c r="D1435" t="s">
        <v>1722</v>
      </c>
      <c r="E1435" t="s">
        <v>284</v>
      </c>
      <c r="F1435" t="s">
        <v>302</v>
      </c>
      <c r="G1435" t="s">
        <v>112</v>
      </c>
      <c r="H1435" t="s">
        <v>104</v>
      </c>
      <c r="I1435">
        <v>2023</v>
      </c>
      <c r="J1435" t="s">
        <v>313</v>
      </c>
      <c r="K1435" t="s">
        <v>106</v>
      </c>
      <c r="L1435" t="s">
        <v>1798</v>
      </c>
      <c r="M1435" t="s">
        <v>1809</v>
      </c>
      <c r="N1435">
        <v>1</v>
      </c>
      <c r="O1435">
        <v>2023</v>
      </c>
      <c r="P1435">
        <v>99.614212714858894</v>
      </c>
      <c r="Q1435">
        <v>1.4361600838792941</v>
      </c>
      <c r="R1435" t="s">
        <v>289</v>
      </c>
      <c r="S1435">
        <v>75.07692307692308</v>
      </c>
      <c r="T1435" t="s">
        <v>290</v>
      </c>
      <c r="U1435">
        <v>75.07692307692308</v>
      </c>
      <c r="V1435">
        <v>99.614212714858894</v>
      </c>
      <c r="W1435">
        <v>1.4361600838792941</v>
      </c>
      <c r="X1435" t="s">
        <v>291</v>
      </c>
      <c r="Y1435">
        <v>10</v>
      </c>
      <c r="Z1435">
        <v>0.35682680185771348</v>
      </c>
      <c r="AA1435">
        <v>1</v>
      </c>
    </row>
    <row r="1436" spans="1:27" hidden="1" x14ac:dyDescent="0.25">
      <c r="A1436" t="s">
        <v>98</v>
      </c>
      <c r="B1436" t="s">
        <v>99</v>
      </c>
      <c r="D1436" t="s">
        <v>1722</v>
      </c>
      <c r="E1436" t="s">
        <v>284</v>
      </c>
      <c r="F1436" t="s">
        <v>297</v>
      </c>
      <c r="G1436" t="s">
        <v>103</v>
      </c>
      <c r="H1436" t="s">
        <v>104</v>
      </c>
      <c r="I1436">
        <v>2024</v>
      </c>
      <c r="J1436" t="s">
        <v>315</v>
      </c>
      <c r="K1436" t="s">
        <v>106</v>
      </c>
      <c r="L1436" t="s">
        <v>1798</v>
      </c>
      <c r="M1436" t="s">
        <v>1810</v>
      </c>
      <c r="N1436">
        <v>1</v>
      </c>
      <c r="O1436">
        <v>2024</v>
      </c>
      <c r="P1436">
        <v>94.526951376087595</v>
      </c>
      <c r="Q1436">
        <v>3.949349451558744</v>
      </c>
      <c r="R1436" t="s">
        <v>289</v>
      </c>
      <c r="S1436">
        <v>76.146700507614213</v>
      </c>
      <c r="T1436" t="s">
        <v>290</v>
      </c>
      <c r="U1436">
        <v>76.146700507614213</v>
      </c>
      <c r="V1436">
        <v>94.526951376087595</v>
      </c>
      <c r="W1436">
        <v>3.949349451558744</v>
      </c>
      <c r="X1436" t="s">
        <v>291</v>
      </c>
      <c r="Y1436">
        <v>10</v>
      </c>
      <c r="Z1436">
        <v>0.35682680185771348</v>
      </c>
      <c r="AA1436">
        <v>1</v>
      </c>
    </row>
    <row r="1437" spans="1:27" hidden="1" x14ac:dyDescent="0.25">
      <c r="A1437" t="s">
        <v>98</v>
      </c>
      <c r="B1437" t="s">
        <v>99</v>
      </c>
      <c r="D1437" t="s">
        <v>1722</v>
      </c>
      <c r="E1437" t="s">
        <v>284</v>
      </c>
      <c r="F1437" t="s">
        <v>297</v>
      </c>
      <c r="G1437" t="s">
        <v>112</v>
      </c>
      <c r="H1437" t="s">
        <v>104</v>
      </c>
      <c r="I1437">
        <v>2024</v>
      </c>
      <c r="J1437" t="s">
        <v>317</v>
      </c>
      <c r="K1437" t="s">
        <v>106</v>
      </c>
      <c r="L1437" t="s">
        <v>1798</v>
      </c>
      <c r="M1437" t="s">
        <v>1811</v>
      </c>
      <c r="N1437">
        <v>1</v>
      </c>
      <c r="O1437">
        <v>2024</v>
      </c>
      <c r="P1437">
        <v>69.765067810793198</v>
      </c>
      <c r="Q1437">
        <v>2.516631606553434</v>
      </c>
      <c r="R1437" t="s">
        <v>289</v>
      </c>
      <c r="S1437">
        <v>93</v>
      </c>
      <c r="T1437" t="s">
        <v>290</v>
      </c>
      <c r="U1437">
        <v>93</v>
      </c>
      <c r="V1437">
        <v>69.765067810793198</v>
      </c>
      <c r="W1437">
        <v>2.516631606553434</v>
      </c>
      <c r="X1437" t="s">
        <v>291</v>
      </c>
      <c r="Y1437">
        <v>10</v>
      </c>
      <c r="Z1437">
        <v>0.35682680185771348</v>
      </c>
      <c r="AA1437">
        <v>1</v>
      </c>
    </row>
    <row r="1438" spans="1:27" hidden="1" x14ac:dyDescent="0.25">
      <c r="A1438" t="s">
        <v>98</v>
      </c>
      <c r="B1438" t="s">
        <v>99</v>
      </c>
      <c r="D1438" t="s">
        <v>1722</v>
      </c>
      <c r="E1438" t="s">
        <v>284</v>
      </c>
      <c r="F1438" t="s">
        <v>302</v>
      </c>
      <c r="G1438" t="s">
        <v>103</v>
      </c>
      <c r="H1438" t="s">
        <v>104</v>
      </c>
      <c r="I1438">
        <v>2024</v>
      </c>
      <c r="J1438" t="s">
        <v>319</v>
      </c>
      <c r="K1438" t="s">
        <v>106</v>
      </c>
      <c r="L1438" t="s">
        <v>1798</v>
      </c>
      <c r="M1438" t="s">
        <v>1812</v>
      </c>
      <c r="N1438">
        <v>1</v>
      </c>
      <c r="O1438">
        <v>2024</v>
      </c>
      <c r="P1438">
        <v>105.7930490817716</v>
      </c>
      <c r="Q1438">
        <v>3.355492309527206</v>
      </c>
      <c r="R1438" t="s">
        <v>289</v>
      </c>
      <c r="S1438">
        <v>64.669172932330824</v>
      </c>
      <c r="T1438" t="s">
        <v>290</v>
      </c>
      <c r="U1438">
        <v>64.669172932330824</v>
      </c>
      <c r="V1438">
        <v>105.7930490817716</v>
      </c>
      <c r="W1438">
        <v>3.355492309527206</v>
      </c>
      <c r="X1438" t="s">
        <v>291</v>
      </c>
      <c r="Y1438">
        <v>10</v>
      </c>
      <c r="Z1438">
        <v>0.35682680185771348</v>
      </c>
      <c r="AA1438">
        <v>1</v>
      </c>
    </row>
    <row r="1439" spans="1:27" hidden="1" x14ac:dyDescent="0.25">
      <c r="A1439" t="s">
        <v>98</v>
      </c>
      <c r="B1439" t="s">
        <v>99</v>
      </c>
      <c r="D1439" t="s">
        <v>1722</v>
      </c>
      <c r="E1439" t="s">
        <v>284</v>
      </c>
      <c r="F1439" t="s">
        <v>302</v>
      </c>
      <c r="G1439" t="s">
        <v>112</v>
      </c>
      <c r="H1439" t="s">
        <v>104</v>
      </c>
      <c r="I1439">
        <v>2024</v>
      </c>
      <c r="J1439" t="s">
        <v>321</v>
      </c>
      <c r="K1439" t="s">
        <v>106</v>
      </c>
      <c r="L1439" t="s">
        <v>1798</v>
      </c>
      <c r="M1439" t="s">
        <v>1813</v>
      </c>
      <c r="N1439">
        <v>1</v>
      </c>
      <c r="O1439">
        <v>2024</v>
      </c>
      <c r="P1439">
        <v>99.614212714858894</v>
      </c>
      <c r="Q1439">
        <v>1.4361600838792941</v>
      </c>
      <c r="R1439" t="s">
        <v>289</v>
      </c>
      <c r="S1439">
        <v>75.07692307692308</v>
      </c>
      <c r="T1439" t="s">
        <v>290</v>
      </c>
      <c r="U1439">
        <v>75.07692307692308</v>
      </c>
      <c r="V1439">
        <v>99.614212714858894</v>
      </c>
      <c r="W1439">
        <v>1.4361600838792941</v>
      </c>
      <c r="X1439" t="s">
        <v>291</v>
      </c>
      <c r="Y1439">
        <v>10</v>
      </c>
      <c r="Z1439">
        <v>0.35682680185771348</v>
      </c>
      <c r="AA1439">
        <v>1</v>
      </c>
    </row>
    <row r="1440" spans="1:27" hidden="1" x14ac:dyDescent="0.25">
      <c r="A1440" t="s">
        <v>98</v>
      </c>
      <c r="B1440" t="s">
        <v>99</v>
      </c>
      <c r="D1440" t="s">
        <v>1722</v>
      </c>
      <c r="E1440" t="s">
        <v>284</v>
      </c>
      <c r="F1440" t="s">
        <v>297</v>
      </c>
      <c r="G1440" t="s">
        <v>103</v>
      </c>
      <c r="H1440" t="s">
        <v>104</v>
      </c>
      <c r="I1440">
        <v>2025</v>
      </c>
      <c r="J1440" t="s">
        <v>323</v>
      </c>
      <c r="K1440" t="s">
        <v>106</v>
      </c>
      <c r="L1440" t="s">
        <v>1798</v>
      </c>
      <c r="M1440" t="s">
        <v>1814</v>
      </c>
      <c r="N1440">
        <v>1</v>
      </c>
      <c r="O1440">
        <v>2025</v>
      </c>
      <c r="P1440">
        <v>94.526951376087595</v>
      </c>
      <c r="Q1440">
        <v>3.949349451558744</v>
      </c>
      <c r="R1440" t="s">
        <v>289</v>
      </c>
      <c r="S1440">
        <v>76.146700507614213</v>
      </c>
      <c r="T1440" t="s">
        <v>290</v>
      </c>
      <c r="U1440">
        <v>76.146700507614213</v>
      </c>
      <c r="V1440">
        <v>94.526951376087595</v>
      </c>
      <c r="W1440">
        <v>3.949349451558744</v>
      </c>
      <c r="X1440" t="s">
        <v>291</v>
      </c>
      <c r="Y1440">
        <v>10</v>
      </c>
      <c r="Z1440">
        <v>0.35682680185771348</v>
      </c>
      <c r="AA1440">
        <v>1</v>
      </c>
    </row>
    <row r="1441" spans="1:27" hidden="1" x14ac:dyDescent="0.25">
      <c r="A1441" t="s">
        <v>98</v>
      </c>
      <c r="B1441" t="s">
        <v>99</v>
      </c>
      <c r="D1441" t="s">
        <v>1722</v>
      </c>
      <c r="E1441" t="s">
        <v>284</v>
      </c>
      <c r="F1441" t="s">
        <v>297</v>
      </c>
      <c r="G1441" t="s">
        <v>112</v>
      </c>
      <c r="H1441" t="s">
        <v>104</v>
      </c>
      <c r="I1441">
        <v>2025</v>
      </c>
      <c r="J1441" t="s">
        <v>325</v>
      </c>
      <c r="K1441" t="s">
        <v>106</v>
      </c>
      <c r="L1441" t="s">
        <v>1798</v>
      </c>
      <c r="M1441" t="s">
        <v>1815</v>
      </c>
      <c r="N1441">
        <v>1</v>
      </c>
      <c r="O1441">
        <v>2025</v>
      </c>
      <c r="P1441">
        <v>69.765067810793198</v>
      </c>
      <c r="Q1441">
        <v>2.516631606553434</v>
      </c>
      <c r="R1441" t="s">
        <v>289</v>
      </c>
      <c r="S1441">
        <v>93</v>
      </c>
      <c r="T1441" t="s">
        <v>290</v>
      </c>
      <c r="U1441">
        <v>93</v>
      </c>
      <c r="V1441">
        <v>69.765067810793198</v>
      </c>
      <c r="W1441">
        <v>2.516631606553434</v>
      </c>
      <c r="X1441" t="s">
        <v>291</v>
      </c>
      <c r="Y1441">
        <v>10</v>
      </c>
      <c r="Z1441">
        <v>0.35682680185771348</v>
      </c>
      <c r="AA1441">
        <v>1</v>
      </c>
    </row>
    <row r="1442" spans="1:27" hidden="1" x14ac:dyDescent="0.25">
      <c r="A1442" t="s">
        <v>98</v>
      </c>
      <c r="B1442" t="s">
        <v>99</v>
      </c>
      <c r="D1442" t="s">
        <v>1722</v>
      </c>
      <c r="E1442" t="s">
        <v>284</v>
      </c>
      <c r="F1442" t="s">
        <v>302</v>
      </c>
      <c r="G1442" t="s">
        <v>103</v>
      </c>
      <c r="H1442" t="s">
        <v>104</v>
      </c>
      <c r="I1442">
        <v>2025</v>
      </c>
      <c r="J1442" t="s">
        <v>327</v>
      </c>
      <c r="K1442" t="s">
        <v>106</v>
      </c>
      <c r="L1442" t="s">
        <v>1798</v>
      </c>
      <c r="M1442" t="s">
        <v>1816</v>
      </c>
      <c r="N1442">
        <v>1</v>
      </c>
      <c r="O1442">
        <v>2025</v>
      </c>
      <c r="P1442">
        <v>105.7930490817716</v>
      </c>
      <c r="Q1442">
        <v>3.355492309527206</v>
      </c>
      <c r="R1442" t="s">
        <v>289</v>
      </c>
      <c r="S1442">
        <v>64.669172932330824</v>
      </c>
      <c r="T1442" t="s">
        <v>290</v>
      </c>
      <c r="U1442">
        <v>64.669172932330824</v>
      </c>
      <c r="V1442">
        <v>105.7930490817716</v>
      </c>
      <c r="W1442">
        <v>3.355492309527206</v>
      </c>
      <c r="X1442" t="s">
        <v>291</v>
      </c>
      <c r="Y1442">
        <v>10</v>
      </c>
      <c r="Z1442">
        <v>0.35682680185771348</v>
      </c>
      <c r="AA1442">
        <v>1</v>
      </c>
    </row>
    <row r="1443" spans="1:27" hidden="1" x14ac:dyDescent="0.25">
      <c r="A1443" t="s">
        <v>98</v>
      </c>
      <c r="B1443" t="s">
        <v>99</v>
      </c>
      <c r="D1443" t="s">
        <v>1722</v>
      </c>
      <c r="E1443" t="s">
        <v>284</v>
      </c>
      <c r="F1443" t="s">
        <v>302</v>
      </c>
      <c r="G1443" t="s">
        <v>112</v>
      </c>
      <c r="H1443" t="s">
        <v>104</v>
      </c>
      <c r="I1443">
        <v>2025</v>
      </c>
      <c r="J1443" t="s">
        <v>329</v>
      </c>
      <c r="K1443" t="s">
        <v>106</v>
      </c>
      <c r="L1443" t="s">
        <v>1798</v>
      </c>
      <c r="M1443" t="s">
        <v>1817</v>
      </c>
      <c r="N1443">
        <v>1</v>
      </c>
      <c r="O1443">
        <v>2025</v>
      </c>
      <c r="P1443">
        <v>99.614212714858894</v>
      </c>
      <c r="Q1443">
        <v>1.4361600838792941</v>
      </c>
      <c r="R1443" t="s">
        <v>289</v>
      </c>
      <c r="S1443">
        <v>75.07692307692308</v>
      </c>
      <c r="T1443" t="s">
        <v>290</v>
      </c>
      <c r="U1443">
        <v>75.07692307692308</v>
      </c>
      <c r="V1443">
        <v>99.614212714858894</v>
      </c>
      <c r="W1443">
        <v>1.4361600838792941</v>
      </c>
      <c r="X1443" t="s">
        <v>291</v>
      </c>
      <c r="Y1443">
        <v>10</v>
      </c>
      <c r="Z1443">
        <v>0.35682680185771348</v>
      </c>
      <c r="AA1443">
        <v>1</v>
      </c>
    </row>
    <row r="1444" spans="1:27" hidden="1" x14ac:dyDescent="0.25">
      <c r="A1444" t="s">
        <v>98</v>
      </c>
      <c r="B1444" t="s">
        <v>99</v>
      </c>
      <c r="D1444" t="s">
        <v>1722</v>
      </c>
      <c r="E1444" t="s">
        <v>284</v>
      </c>
      <c r="F1444" t="s">
        <v>297</v>
      </c>
      <c r="G1444" t="s">
        <v>103</v>
      </c>
      <c r="H1444" t="s">
        <v>104</v>
      </c>
      <c r="I1444">
        <v>2026</v>
      </c>
      <c r="J1444" t="s">
        <v>331</v>
      </c>
      <c r="K1444" t="s">
        <v>106</v>
      </c>
      <c r="L1444" t="s">
        <v>1798</v>
      </c>
      <c r="M1444" t="s">
        <v>1818</v>
      </c>
      <c r="N1444">
        <v>1</v>
      </c>
      <c r="O1444">
        <v>2026</v>
      </c>
      <c r="P1444">
        <v>94.526951376087595</v>
      </c>
      <c r="Q1444">
        <v>3.949349451558744</v>
      </c>
      <c r="R1444" t="s">
        <v>289</v>
      </c>
      <c r="S1444">
        <v>76.146700507614213</v>
      </c>
      <c r="T1444" t="s">
        <v>290</v>
      </c>
      <c r="U1444">
        <v>76.146700507614213</v>
      </c>
      <c r="V1444">
        <v>94.526951376087595</v>
      </c>
      <c r="W1444">
        <v>3.949349451558744</v>
      </c>
      <c r="X1444" t="s">
        <v>291</v>
      </c>
      <c r="Y1444">
        <v>10</v>
      </c>
      <c r="Z1444">
        <v>0.35682680185771348</v>
      </c>
      <c r="AA1444">
        <v>1</v>
      </c>
    </row>
    <row r="1445" spans="1:27" hidden="1" x14ac:dyDescent="0.25">
      <c r="A1445" t="s">
        <v>98</v>
      </c>
      <c r="B1445" t="s">
        <v>99</v>
      </c>
      <c r="D1445" t="s">
        <v>1722</v>
      </c>
      <c r="E1445" t="s">
        <v>284</v>
      </c>
      <c r="F1445" t="s">
        <v>297</v>
      </c>
      <c r="G1445" t="s">
        <v>112</v>
      </c>
      <c r="H1445" t="s">
        <v>104</v>
      </c>
      <c r="I1445">
        <v>2026</v>
      </c>
      <c r="J1445" t="s">
        <v>333</v>
      </c>
      <c r="K1445" t="s">
        <v>106</v>
      </c>
      <c r="L1445" t="s">
        <v>1798</v>
      </c>
      <c r="M1445" t="s">
        <v>1819</v>
      </c>
      <c r="N1445">
        <v>1</v>
      </c>
      <c r="O1445">
        <v>2026</v>
      </c>
      <c r="P1445">
        <v>69.765067810793198</v>
      </c>
      <c r="Q1445">
        <v>2.516631606553434</v>
      </c>
      <c r="R1445" t="s">
        <v>289</v>
      </c>
      <c r="S1445">
        <v>93</v>
      </c>
      <c r="T1445" t="s">
        <v>290</v>
      </c>
      <c r="U1445">
        <v>93</v>
      </c>
      <c r="V1445">
        <v>69.765067810793198</v>
      </c>
      <c r="W1445">
        <v>2.516631606553434</v>
      </c>
      <c r="X1445" t="s">
        <v>291</v>
      </c>
      <c r="Y1445">
        <v>10</v>
      </c>
      <c r="Z1445">
        <v>0.35682680185771348</v>
      </c>
      <c r="AA1445">
        <v>1</v>
      </c>
    </row>
    <row r="1446" spans="1:27" hidden="1" x14ac:dyDescent="0.25">
      <c r="A1446" t="s">
        <v>98</v>
      </c>
      <c r="B1446" t="s">
        <v>99</v>
      </c>
      <c r="D1446" t="s">
        <v>1722</v>
      </c>
      <c r="E1446" t="s">
        <v>284</v>
      </c>
      <c r="F1446" t="s">
        <v>302</v>
      </c>
      <c r="G1446" t="s">
        <v>103</v>
      </c>
      <c r="H1446" t="s">
        <v>104</v>
      </c>
      <c r="I1446">
        <v>2026</v>
      </c>
      <c r="J1446" t="s">
        <v>335</v>
      </c>
      <c r="K1446" t="s">
        <v>106</v>
      </c>
      <c r="L1446" t="s">
        <v>1798</v>
      </c>
      <c r="M1446" t="s">
        <v>1820</v>
      </c>
      <c r="N1446">
        <v>1</v>
      </c>
      <c r="O1446">
        <v>2026</v>
      </c>
      <c r="P1446">
        <v>105.7930490817716</v>
      </c>
      <c r="Q1446">
        <v>3.355492309527206</v>
      </c>
      <c r="R1446" t="s">
        <v>289</v>
      </c>
      <c r="S1446">
        <v>64.669172932330824</v>
      </c>
      <c r="T1446" t="s">
        <v>290</v>
      </c>
      <c r="U1446">
        <v>64.669172932330824</v>
      </c>
      <c r="V1446">
        <v>105.7930490817716</v>
      </c>
      <c r="W1446">
        <v>3.355492309527206</v>
      </c>
      <c r="X1446" t="s">
        <v>291</v>
      </c>
      <c r="Y1446">
        <v>10</v>
      </c>
      <c r="Z1446">
        <v>0.35682680185771348</v>
      </c>
      <c r="AA1446">
        <v>1</v>
      </c>
    </row>
    <row r="1447" spans="1:27" hidden="1" x14ac:dyDescent="0.25">
      <c r="A1447" t="s">
        <v>98</v>
      </c>
      <c r="B1447" t="s">
        <v>99</v>
      </c>
      <c r="D1447" t="s">
        <v>1722</v>
      </c>
      <c r="E1447" t="s">
        <v>284</v>
      </c>
      <c r="F1447" t="s">
        <v>302</v>
      </c>
      <c r="G1447" t="s">
        <v>112</v>
      </c>
      <c r="H1447" t="s">
        <v>104</v>
      </c>
      <c r="I1447">
        <v>2026</v>
      </c>
      <c r="J1447" t="s">
        <v>337</v>
      </c>
      <c r="K1447" t="s">
        <v>106</v>
      </c>
      <c r="L1447" t="s">
        <v>1798</v>
      </c>
      <c r="M1447" t="s">
        <v>1821</v>
      </c>
      <c r="N1447">
        <v>1</v>
      </c>
      <c r="O1447">
        <v>2026</v>
      </c>
      <c r="P1447">
        <v>99.614212714858894</v>
      </c>
      <c r="Q1447">
        <v>1.4361600838792941</v>
      </c>
      <c r="R1447" t="s">
        <v>289</v>
      </c>
      <c r="S1447">
        <v>75.07692307692308</v>
      </c>
      <c r="T1447" t="s">
        <v>290</v>
      </c>
      <c r="U1447">
        <v>75.07692307692308</v>
      </c>
      <c r="V1447">
        <v>99.614212714858894</v>
      </c>
      <c r="W1447">
        <v>1.4361600838792941</v>
      </c>
      <c r="X1447" t="s">
        <v>291</v>
      </c>
      <c r="Y1447">
        <v>10</v>
      </c>
      <c r="Z1447">
        <v>0.35682680185771348</v>
      </c>
      <c r="AA1447">
        <v>1</v>
      </c>
    </row>
    <row r="1448" spans="1:27" hidden="1" x14ac:dyDescent="0.25">
      <c r="A1448" t="s">
        <v>98</v>
      </c>
      <c r="B1448" t="s">
        <v>99</v>
      </c>
      <c r="D1448" t="s">
        <v>1722</v>
      </c>
      <c r="E1448" t="s">
        <v>284</v>
      </c>
      <c r="F1448" t="s">
        <v>292</v>
      </c>
      <c r="G1448" t="s">
        <v>103</v>
      </c>
      <c r="H1448" t="s">
        <v>104</v>
      </c>
      <c r="I1448">
        <v>2030</v>
      </c>
      <c r="J1448" t="s">
        <v>339</v>
      </c>
      <c r="K1448" t="s">
        <v>106</v>
      </c>
      <c r="L1448" t="s">
        <v>1798</v>
      </c>
      <c r="M1448" t="s">
        <v>1822</v>
      </c>
      <c r="N1448">
        <v>1</v>
      </c>
      <c r="O1448">
        <v>2030</v>
      </c>
      <c r="P1448">
        <v>99.96668875570353</v>
      </c>
      <c r="Q1448">
        <v>4.9152448223495018</v>
      </c>
      <c r="R1448" t="s">
        <v>289</v>
      </c>
      <c r="S1448">
        <v>55.211046644573933</v>
      </c>
      <c r="T1448" t="s">
        <v>290</v>
      </c>
      <c r="U1448">
        <v>55.211046644573933</v>
      </c>
      <c r="V1448">
        <v>99.96668875570353</v>
      </c>
      <c r="W1448">
        <v>4.9152448223495018</v>
      </c>
      <c r="X1448" t="s">
        <v>291</v>
      </c>
      <c r="Y1448">
        <v>10</v>
      </c>
      <c r="Z1448">
        <v>0.35682680185771348</v>
      </c>
      <c r="AA1448">
        <v>1</v>
      </c>
    </row>
    <row r="1449" spans="1:27" hidden="1" x14ac:dyDescent="0.25">
      <c r="A1449" t="s">
        <v>98</v>
      </c>
      <c r="B1449" t="s">
        <v>99</v>
      </c>
      <c r="D1449" t="s">
        <v>1722</v>
      </c>
      <c r="E1449" t="s">
        <v>284</v>
      </c>
      <c r="F1449" t="s">
        <v>292</v>
      </c>
      <c r="G1449" t="s">
        <v>112</v>
      </c>
      <c r="H1449" t="s">
        <v>104</v>
      </c>
      <c r="I1449">
        <v>2030</v>
      </c>
      <c r="J1449" t="s">
        <v>341</v>
      </c>
      <c r="K1449" t="s">
        <v>106</v>
      </c>
      <c r="L1449" t="s">
        <v>1798</v>
      </c>
      <c r="M1449" t="s">
        <v>1823</v>
      </c>
      <c r="N1449">
        <v>1</v>
      </c>
      <c r="O1449">
        <v>2030</v>
      </c>
      <c r="P1449">
        <v>93.570390823718384</v>
      </c>
      <c r="Q1449">
        <v>4.27625645181514</v>
      </c>
      <c r="R1449" t="s">
        <v>289</v>
      </c>
      <c r="S1449">
        <v>60.132155797450622</v>
      </c>
      <c r="T1449" t="s">
        <v>290</v>
      </c>
      <c r="U1449">
        <v>60.132155797450622</v>
      </c>
      <c r="V1449">
        <v>93.570390823718384</v>
      </c>
      <c r="W1449">
        <v>4.27625645181514</v>
      </c>
      <c r="X1449" t="s">
        <v>291</v>
      </c>
      <c r="Y1449">
        <v>10</v>
      </c>
      <c r="Z1449">
        <v>0.35682680185771348</v>
      </c>
      <c r="AA1449">
        <v>1</v>
      </c>
    </row>
    <row r="1450" spans="1:27" hidden="1" x14ac:dyDescent="0.25">
      <c r="A1450" t="s">
        <v>98</v>
      </c>
      <c r="B1450" t="s">
        <v>99</v>
      </c>
      <c r="D1450" t="s">
        <v>1722</v>
      </c>
      <c r="E1450" t="s">
        <v>284</v>
      </c>
      <c r="F1450" t="s">
        <v>297</v>
      </c>
      <c r="G1450" t="s">
        <v>103</v>
      </c>
      <c r="H1450" t="s">
        <v>104</v>
      </c>
      <c r="I1450">
        <v>2030</v>
      </c>
      <c r="J1450" t="s">
        <v>343</v>
      </c>
      <c r="K1450" t="s">
        <v>106</v>
      </c>
      <c r="L1450" t="s">
        <v>1798</v>
      </c>
      <c r="M1450" t="s">
        <v>1824</v>
      </c>
      <c r="N1450">
        <v>1</v>
      </c>
      <c r="O1450">
        <v>2030</v>
      </c>
      <c r="P1450">
        <v>112.2464608710101</v>
      </c>
      <c r="Q1450">
        <v>3.5870084905918258</v>
      </c>
      <c r="R1450" t="s">
        <v>289</v>
      </c>
      <c r="S1450">
        <v>89.042769074884546</v>
      </c>
      <c r="T1450" t="s">
        <v>290</v>
      </c>
      <c r="U1450">
        <v>89.042769074884546</v>
      </c>
      <c r="V1450">
        <v>112.2464608710101</v>
      </c>
      <c r="W1450">
        <v>3.5870084905918258</v>
      </c>
      <c r="X1450" t="s">
        <v>291</v>
      </c>
      <c r="Y1450">
        <v>10</v>
      </c>
      <c r="Z1450">
        <v>0.35682680185771348</v>
      </c>
      <c r="AA1450">
        <v>1</v>
      </c>
    </row>
    <row r="1451" spans="1:27" hidden="1" x14ac:dyDescent="0.25">
      <c r="A1451" t="s">
        <v>98</v>
      </c>
      <c r="B1451" t="s">
        <v>99</v>
      </c>
      <c r="D1451" t="s">
        <v>1722</v>
      </c>
      <c r="E1451" t="s">
        <v>284</v>
      </c>
      <c r="F1451" t="s">
        <v>297</v>
      </c>
      <c r="G1451" t="s">
        <v>112</v>
      </c>
      <c r="H1451" t="s">
        <v>104</v>
      </c>
      <c r="I1451">
        <v>2030</v>
      </c>
      <c r="J1451" t="s">
        <v>345</v>
      </c>
      <c r="K1451" t="s">
        <v>106</v>
      </c>
      <c r="L1451" t="s">
        <v>1798</v>
      </c>
      <c r="M1451" t="s">
        <v>1825</v>
      </c>
      <c r="N1451">
        <v>1</v>
      </c>
      <c r="O1451">
        <v>2030</v>
      </c>
      <c r="P1451">
        <v>84.571073913548247</v>
      </c>
      <c r="Q1451">
        <v>2.3525336937486059</v>
      </c>
      <c r="R1451" t="s">
        <v>289</v>
      </c>
      <c r="S1451">
        <v>108.5525423728814</v>
      </c>
      <c r="T1451" t="s">
        <v>290</v>
      </c>
      <c r="U1451">
        <v>108.5525423728814</v>
      </c>
      <c r="V1451">
        <v>84.571073913548247</v>
      </c>
      <c r="W1451">
        <v>2.3525336937486059</v>
      </c>
      <c r="X1451" t="s">
        <v>291</v>
      </c>
      <c r="Y1451">
        <v>10</v>
      </c>
      <c r="Z1451">
        <v>0.35682680185771348</v>
      </c>
      <c r="AA1451">
        <v>1</v>
      </c>
    </row>
    <row r="1452" spans="1:27" hidden="1" x14ac:dyDescent="0.25">
      <c r="A1452" t="s">
        <v>98</v>
      </c>
      <c r="B1452" t="s">
        <v>99</v>
      </c>
      <c r="D1452" t="s">
        <v>1722</v>
      </c>
      <c r="E1452" t="s">
        <v>284</v>
      </c>
      <c r="F1452" t="s">
        <v>292</v>
      </c>
      <c r="G1452" t="s">
        <v>103</v>
      </c>
      <c r="H1452" t="s">
        <v>104</v>
      </c>
      <c r="I1452">
        <v>2040</v>
      </c>
      <c r="J1452" t="s">
        <v>347</v>
      </c>
      <c r="K1452" t="s">
        <v>106</v>
      </c>
      <c r="L1452" t="s">
        <v>1798</v>
      </c>
      <c r="M1452" t="s">
        <v>1826</v>
      </c>
      <c r="N1452">
        <v>1</v>
      </c>
      <c r="O1452">
        <v>2040</v>
      </c>
      <c r="P1452">
        <v>98.335071194105581</v>
      </c>
      <c r="Q1452">
        <v>4.7080379086524973</v>
      </c>
      <c r="R1452" t="s">
        <v>289</v>
      </c>
      <c r="S1452">
        <v>63.829339223058007</v>
      </c>
      <c r="T1452" t="s">
        <v>290</v>
      </c>
      <c r="U1452">
        <v>63.829339223058007</v>
      </c>
      <c r="V1452">
        <v>98.335071194105581</v>
      </c>
      <c r="W1452">
        <v>4.7080379086524973</v>
      </c>
      <c r="X1452" t="s">
        <v>291</v>
      </c>
      <c r="Y1452">
        <v>10</v>
      </c>
      <c r="Z1452">
        <v>0.35682680185771348</v>
      </c>
      <c r="AA1452">
        <v>1</v>
      </c>
    </row>
    <row r="1453" spans="1:27" hidden="1" x14ac:dyDescent="0.25">
      <c r="A1453" t="s">
        <v>98</v>
      </c>
      <c r="B1453" t="s">
        <v>99</v>
      </c>
      <c r="D1453" t="s">
        <v>1722</v>
      </c>
      <c r="E1453" t="s">
        <v>284</v>
      </c>
      <c r="F1453" t="s">
        <v>292</v>
      </c>
      <c r="G1453" t="s">
        <v>112</v>
      </c>
      <c r="H1453" t="s">
        <v>104</v>
      </c>
      <c r="I1453">
        <v>2040</v>
      </c>
      <c r="J1453" t="s">
        <v>349</v>
      </c>
      <c r="K1453" t="s">
        <v>106</v>
      </c>
      <c r="L1453" t="s">
        <v>1798</v>
      </c>
      <c r="M1453" t="s">
        <v>1827</v>
      </c>
      <c r="N1453">
        <v>1</v>
      </c>
      <c r="O1453">
        <v>2040</v>
      </c>
      <c r="P1453">
        <v>92.137687829328328</v>
      </c>
      <c r="Q1453">
        <v>4.1202723323867074</v>
      </c>
      <c r="R1453" t="s">
        <v>289</v>
      </c>
      <c r="S1453">
        <v>69.934718883357121</v>
      </c>
      <c r="T1453" t="s">
        <v>290</v>
      </c>
      <c r="U1453">
        <v>69.934718883357121</v>
      </c>
      <c r="V1453">
        <v>92.137687829328328</v>
      </c>
      <c r="W1453">
        <v>4.1202723323867074</v>
      </c>
      <c r="X1453" t="s">
        <v>291</v>
      </c>
      <c r="Y1453">
        <v>10</v>
      </c>
      <c r="Z1453">
        <v>0.35682680185771348</v>
      </c>
      <c r="AA1453">
        <v>1</v>
      </c>
    </row>
    <row r="1454" spans="1:27" hidden="1" x14ac:dyDescent="0.25">
      <c r="A1454" t="s">
        <v>98</v>
      </c>
      <c r="B1454" t="s">
        <v>99</v>
      </c>
      <c r="D1454" t="s">
        <v>1722</v>
      </c>
      <c r="E1454" t="s">
        <v>284</v>
      </c>
      <c r="F1454" t="s">
        <v>297</v>
      </c>
      <c r="G1454" t="s">
        <v>103</v>
      </c>
      <c r="H1454" t="s">
        <v>104</v>
      </c>
      <c r="I1454">
        <v>2040</v>
      </c>
      <c r="J1454" t="s">
        <v>351</v>
      </c>
      <c r="K1454" t="s">
        <v>106</v>
      </c>
      <c r="L1454" t="s">
        <v>1798</v>
      </c>
      <c r="M1454" t="s">
        <v>1828</v>
      </c>
      <c r="N1454">
        <v>1</v>
      </c>
      <c r="O1454">
        <v>2040</v>
      </c>
      <c r="P1454">
        <v>109.62871509832991</v>
      </c>
      <c r="Q1454">
        <v>3.28145573783857</v>
      </c>
      <c r="R1454" t="s">
        <v>289</v>
      </c>
      <c r="S1454">
        <v>101.8534675620791</v>
      </c>
      <c r="T1454" t="s">
        <v>290</v>
      </c>
      <c r="U1454">
        <v>101.8534675620791</v>
      </c>
      <c r="V1454">
        <v>109.62871509832991</v>
      </c>
      <c r="W1454">
        <v>3.28145573783857</v>
      </c>
      <c r="X1454" t="s">
        <v>291</v>
      </c>
      <c r="Y1454">
        <v>10</v>
      </c>
      <c r="Z1454">
        <v>0.35682680185771348</v>
      </c>
      <c r="AA1454">
        <v>1</v>
      </c>
    </row>
    <row r="1455" spans="1:27" hidden="1" x14ac:dyDescent="0.25">
      <c r="A1455" t="s">
        <v>98</v>
      </c>
      <c r="B1455" t="s">
        <v>99</v>
      </c>
      <c r="D1455" t="s">
        <v>1722</v>
      </c>
      <c r="E1455" t="s">
        <v>284</v>
      </c>
      <c r="F1455" t="s">
        <v>297</v>
      </c>
      <c r="G1455" t="s">
        <v>112</v>
      </c>
      <c r="H1455" t="s">
        <v>104</v>
      </c>
      <c r="I1455">
        <v>2040</v>
      </c>
      <c r="J1455" t="s">
        <v>353</v>
      </c>
      <c r="K1455" t="s">
        <v>106</v>
      </c>
      <c r="L1455" t="s">
        <v>1798</v>
      </c>
      <c r="M1455" t="s">
        <v>1829</v>
      </c>
      <c r="N1455">
        <v>1</v>
      </c>
      <c r="O1455">
        <v>2040</v>
      </c>
      <c r="P1455">
        <v>82.941268534212341</v>
      </c>
      <c r="Q1455">
        <v>2.168671786742209</v>
      </c>
      <c r="R1455" t="s">
        <v>289</v>
      </c>
      <c r="S1455">
        <v>124.1701372074253</v>
      </c>
      <c r="T1455" t="s">
        <v>290</v>
      </c>
      <c r="U1455">
        <v>124.1701372074253</v>
      </c>
      <c r="V1455">
        <v>82.941268534212341</v>
      </c>
      <c r="W1455">
        <v>2.168671786742209</v>
      </c>
      <c r="X1455" t="s">
        <v>291</v>
      </c>
      <c r="Y1455">
        <v>10</v>
      </c>
      <c r="Z1455">
        <v>0.35682680185771348</v>
      </c>
      <c r="AA1455">
        <v>1</v>
      </c>
    </row>
    <row r="1456" spans="1:27" hidden="1" x14ac:dyDescent="0.25">
      <c r="A1456" t="s">
        <v>98</v>
      </c>
      <c r="B1456" t="s">
        <v>99</v>
      </c>
      <c r="D1456" t="s">
        <v>1722</v>
      </c>
      <c r="E1456" t="s">
        <v>284</v>
      </c>
      <c r="F1456" t="s">
        <v>355</v>
      </c>
      <c r="G1456" t="s">
        <v>103</v>
      </c>
      <c r="H1456" t="s">
        <v>104</v>
      </c>
      <c r="I1456">
        <v>2022</v>
      </c>
      <c r="J1456" t="s">
        <v>356</v>
      </c>
      <c r="K1456" t="s">
        <v>106</v>
      </c>
      <c r="L1456" t="s">
        <v>1798</v>
      </c>
      <c r="M1456" t="s">
        <v>1830</v>
      </c>
      <c r="N1456">
        <v>1</v>
      </c>
      <c r="O1456">
        <v>2020</v>
      </c>
      <c r="P1456">
        <v>26.539302440149839</v>
      </c>
      <c r="Q1456">
        <v>0.71977466386263589</v>
      </c>
      <c r="R1456" t="s">
        <v>289</v>
      </c>
      <c r="S1456">
        <v>85.75677051732572</v>
      </c>
      <c r="T1456" t="s">
        <v>290</v>
      </c>
      <c r="U1456">
        <v>85.75677051732572</v>
      </c>
      <c r="V1456">
        <v>26.539302440149839</v>
      </c>
      <c r="W1456">
        <v>0.71977466386263589</v>
      </c>
      <c r="X1456" t="s">
        <v>291</v>
      </c>
      <c r="Y1456">
        <v>10</v>
      </c>
      <c r="Z1456">
        <v>0.35682680185771348</v>
      </c>
      <c r="AA1456">
        <v>1</v>
      </c>
    </row>
    <row r="1457" spans="1:27" hidden="1" x14ac:dyDescent="0.25">
      <c r="A1457" t="s">
        <v>98</v>
      </c>
      <c r="B1457" t="s">
        <v>99</v>
      </c>
      <c r="D1457" t="s">
        <v>1722</v>
      </c>
      <c r="E1457" t="s">
        <v>284</v>
      </c>
      <c r="F1457" t="s">
        <v>355</v>
      </c>
      <c r="G1457" t="s">
        <v>112</v>
      </c>
      <c r="H1457" t="s">
        <v>104</v>
      </c>
      <c r="I1457">
        <v>2022</v>
      </c>
      <c r="J1457" t="s">
        <v>358</v>
      </c>
      <c r="K1457" t="s">
        <v>106</v>
      </c>
      <c r="L1457" t="s">
        <v>1798</v>
      </c>
      <c r="M1457" t="s">
        <v>1831</v>
      </c>
      <c r="N1457">
        <v>1</v>
      </c>
      <c r="O1457">
        <v>2020</v>
      </c>
      <c r="P1457">
        <v>27.952547937105681</v>
      </c>
      <c r="Q1457">
        <v>0.83346015109483984</v>
      </c>
      <c r="R1457" t="s">
        <v>289</v>
      </c>
      <c r="S1457">
        <v>88.372750377742747</v>
      </c>
      <c r="T1457" t="s">
        <v>290</v>
      </c>
      <c r="U1457">
        <v>88.372750377742747</v>
      </c>
      <c r="V1457">
        <v>27.952547937105681</v>
      </c>
      <c r="W1457">
        <v>0.83346015109483984</v>
      </c>
      <c r="X1457" t="s">
        <v>291</v>
      </c>
      <c r="Y1457">
        <v>10</v>
      </c>
      <c r="Z1457">
        <v>0.35682680185771348</v>
      </c>
      <c r="AA1457">
        <v>1</v>
      </c>
    </row>
    <row r="1458" spans="1:27" hidden="1" x14ac:dyDescent="0.25">
      <c r="A1458" t="s">
        <v>98</v>
      </c>
      <c r="B1458" t="s">
        <v>99</v>
      </c>
      <c r="D1458" t="s">
        <v>1722</v>
      </c>
      <c r="E1458" t="s">
        <v>284</v>
      </c>
      <c r="F1458" t="s">
        <v>360</v>
      </c>
      <c r="G1458" t="s">
        <v>103</v>
      </c>
      <c r="H1458" t="s">
        <v>104</v>
      </c>
      <c r="I1458">
        <v>2022</v>
      </c>
      <c r="J1458" t="s">
        <v>361</v>
      </c>
      <c r="K1458" t="s">
        <v>106</v>
      </c>
      <c r="L1458" t="s">
        <v>1798</v>
      </c>
      <c r="M1458" t="s">
        <v>1832</v>
      </c>
      <c r="N1458">
        <v>1</v>
      </c>
      <c r="O1458">
        <v>2020</v>
      </c>
      <c r="P1458">
        <v>30.743231458982891</v>
      </c>
      <c r="Q1458">
        <v>0.75530083267302539</v>
      </c>
      <c r="R1458" t="s">
        <v>289</v>
      </c>
      <c r="S1458">
        <v>85.752844444444449</v>
      </c>
      <c r="T1458" t="s">
        <v>290</v>
      </c>
      <c r="U1458">
        <v>85.752844444444449</v>
      </c>
      <c r="V1458">
        <v>30.743231458982891</v>
      </c>
      <c r="W1458">
        <v>0.75530083267302539</v>
      </c>
      <c r="X1458" t="s">
        <v>291</v>
      </c>
      <c r="Y1458">
        <v>10</v>
      </c>
      <c r="Z1458">
        <v>0.35682680185771348</v>
      </c>
      <c r="AA1458">
        <v>1</v>
      </c>
    </row>
    <row r="1459" spans="1:27" hidden="1" x14ac:dyDescent="0.25">
      <c r="A1459" t="s">
        <v>98</v>
      </c>
      <c r="B1459" t="s">
        <v>99</v>
      </c>
      <c r="D1459" t="s">
        <v>1722</v>
      </c>
      <c r="E1459" t="s">
        <v>284</v>
      </c>
      <c r="F1459" t="s">
        <v>360</v>
      </c>
      <c r="G1459" t="s">
        <v>112</v>
      </c>
      <c r="H1459" t="s">
        <v>104</v>
      </c>
      <c r="I1459">
        <v>2022</v>
      </c>
      <c r="J1459" t="s">
        <v>363</v>
      </c>
      <c r="K1459" t="s">
        <v>106</v>
      </c>
      <c r="L1459" t="s">
        <v>1798</v>
      </c>
      <c r="M1459" t="s">
        <v>1833</v>
      </c>
      <c r="N1459">
        <v>1</v>
      </c>
      <c r="O1459">
        <v>2020</v>
      </c>
      <c r="P1459">
        <v>30.995290460986698</v>
      </c>
      <c r="Q1459">
        <v>1.07624732944957</v>
      </c>
      <c r="R1459" t="s">
        <v>289</v>
      </c>
      <c r="S1459">
        <v>91.18482905982907</v>
      </c>
      <c r="T1459" t="s">
        <v>290</v>
      </c>
      <c r="U1459">
        <v>91.18482905982907</v>
      </c>
      <c r="V1459">
        <v>30.995290460986698</v>
      </c>
      <c r="W1459">
        <v>1.07624732944957</v>
      </c>
      <c r="X1459" t="s">
        <v>291</v>
      </c>
      <c r="Y1459">
        <v>10</v>
      </c>
      <c r="Z1459">
        <v>0.35682680185771348</v>
      </c>
      <c r="AA1459">
        <v>1</v>
      </c>
    </row>
    <row r="1460" spans="1:27" hidden="1" x14ac:dyDescent="0.25">
      <c r="A1460" t="s">
        <v>98</v>
      </c>
      <c r="B1460" t="s">
        <v>99</v>
      </c>
      <c r="D1460" t="s">
        <v>1722</v>
      </c>
      <c r="E1460" t="s">
        <v>284</v>
      </c>
      <c r="F1460" t="s">
        <v>365</v>
      </c>
      <c r="G1460" t="s">
        <v>103</v>
      </c>
      <c r="H1460" t="s">
        <v>104</v>
      </c>
      <c r="I1460">
        <v>2022</v>
      </c>
      <c r="J1460" t="s">
        <v>366</v>
      </c>
      <c r="K1460" t="s">
        <v>106</v>
      </c>
      <c r="L1460" t="s">
        <v>1798</v>
      </c>
      <c r="M1460" t="s">
        <v>1834</v>
      </c>
      <c r="N1460">
        <v>1</v>
      </c>
      <c r="O1460">
        <v>2020</v>
      </c>
      <c r="P1460">
        <v>34.581332645158973</v>
      </c>
      <c r="Q1460">
        <v>1.926881708285624</v>
      </c>
      <c r="R1460" t="s">
        <v>289</v>
      </c>
      <c r="S1460">
        <v>115.45533602622641</v>
      </c>
      <c r="T1460" t="s">
        <v>290</v>
      </c>
      <c r="U1460">
        <v>115.45533602622641</v>
      </c>
      <c r="V1460">
        <v>34.581332645158973</v>
      </c>
      <c r="W1460">
        <v>1.926881708285624</v>
      </c>
      <c r="X1460" t="s">
        <v>291</v>
      </c>
      <c r="Y1460">
        <v>10</v>
      </c>
      <c r="Z1460">
        <v>0.35682680185771348</v>
      </c>
      <c r="AA1460">
        <v>1</v>
      </c>
    </row>
    <row r="1461" spans="1:27" hidden="1" x14ac:dyDescent="0.25">
      <c r="A1461" t="s">
        <v>98</v>
      </c>
      <c r="B1461" t="s">
        <v>99</v>
      </c>
      <c r="D1461" t="s">
        <v>1722</v>
      </c>
      <c r="E1461" t="s">
        <v>284</v>
      </c>
      <c r="F1461" t="s">
        <v>365</v>
      </c>
      <c r="G1461" t="s">
        <v>112</v>
      </c>
      <c r="H1461" t="s">
        <v>104</v>
      </c>
      <c r="I1461">
        <v>2022</v>
      </c>
      <c r="J1461" t="s">
        <v>368</v>
      </c>
      <c r="K1461" t="s">
        <v>106</v>
      </c>
      <c r="L1461" t="s">
        <v>1798</v>
      </c>
      <c r="M1461" t="s">
        <v>1835</v>
      </c>
      <c r="N1461">
        <v>1</v>
      </c>
      <c r="O1461">
        <v>2020</v>
      </c>
      <c r="P1461">
        <v>44.653862333829821</v>
      </c>
      <c r="Q1461">
        <v>2.4693086643180591</v>
      </c>
      <c r="R1461" t="s">
        <v>289</v>
      </c>
      <c r="S1461">
        <v>130.6177318295739</v>
      </c>
      <c r="T1461" t="s">
        <v>290</v>
      </c>
      <c r="U1461">
        <v>130.6177318295739</v>
      </c>
      <c r="V1461">
        <v>44.653862333829821</v>
      </c>
      <c r="W1461">
        <v>2.4693086643180591</v>
      </c>
      <c r="X1461" t="s">
        <v>291</v>
      </c>
      <c r="Y1461">
        <v>10</v>
      </c>
      <c r="Z1461">
        <v>0.35682680185771348</v>
      </c>
      <c r="AA1461">
        <v>1</v>
      </c>
    </row>
    <row r="1462" spans="1:27" hidden="1" x14ac:dyDescent="0.25">
      <c r="A1462" t="s">
        <v>98</v>
      </c>
      <c r="B1462" t="s">
        <v>99</v>
      </c>
      <c r="D1462" t="s">
        <v>1722</v>
      </c>
      <c r="E1462" t="s">
        <v>284</v>
      </c>
      <c r="F1462" t="s">
        <v>365</v>
      </c>
      <c r="G1462" t="s">
        <v>103</v>
      </c>
      <c r="H1462" t="s">
        <v>104</v>
      </c>
      <c r="I1462">
        <v>2023</v>
      </c>
      <c r="J1462" t="s">
        <v>370</v>
      </c>
      <c r="K1462" t="s">
        <v>106</v>
      </c>
      <c r="L1462" t="s">
        <v>1798</v>
      </c>
      <c r="M1462" t="s">
        <v>1836</v>
      </c>
      <c r="N1462">
        <v>1</v>
      </c>
      <c r="O1462">
        <v>2023</v>
      </c>
      <c r="P1462">
        <v>34.353918735727063</v>
      </c>
      <c r="Q1462">
        <v>1.893397965391721</v>
      </c>
      <c r="R1462" t="s">
        <v>289</v>
      </c>
      <c r="S1462">
        <v>115.45533602622641</v>
      </c>
      <c r="T1462" t="s">
        <v>290</v>
      </c>
      <c r="U1462">
        <v>115.45533602622641</v>
      </c>
      <c r="V1462">
        <v>34.353918735727063</v>
      </c>
      <c r="W1462">
        <v>1.893397965391721</v>
      </c>
      <c r="X1462" t="s">
        <v>291</v>
      </c>
      <c r="Y1462">
        <v>10</v>
      </c>
      <c r="Z1462">
        <v>0.35682680185771348</v>
      </c>
      <c r="AA1462">
        <v>1</v>
      </c>
    </row>
    <row r="1463" spans="1:27" hidden="1" x14ac:dyDescent="0.25">
      <c r="A1463" t="s">
        <v>98</v>
      </c>
      <c r="B1463" t="s">
        <v>99</v>
      </c>
      <c r="D1463" t="s">
        <v>1722</v>
      </c>
      <c r="E1463" t="s">
        <v>284</v>
      </c>
      <c r="F1463" t="s">
        <v>365</v>
      </c>
      <c r="G1463" t="s">
        <v>112</v>
      </c>
      <c r="H1463" t="s">
        <v>104</v>
      </c>
      <c r="I1463">
        <v>2023</v>
      </c>
      <c r="J1463" t="s">
        <v>372</v>
      </c>
      <c r="K1463" t="s">
        <v>106</v>
      </c>
      <c r="L1463" t="s">
        <v>1798</v>
      </c>
      <c r="M1463" t="s">
        <v>1837</v>
      </c>
      <c r="N1463">
        <v>1</v>
      </c>
      <c r="O1463">
        <v>2023</v>
      </c>
      <c r="P1463">
        <v>43.733464606512037</v>
      </c>
      <c r="Q1463">
        <v>2.4042644647868401</v>
      </c>
      <c r="R1463" t="s">
        <v>289</v>
      </c>
      <c r="S1463">
        <v>130.6177318295739</v>
      </c>
      <c r="T1463" t="s">
        <v>290</v>
      </c>
      <c r="U1463">
        <v>130.6177318295739</v>
      </c>
      <c r="V1463">
        <v>43.733464606512037</v>
      </c>
      <c r="W1463">
        <v>2.4042644647868401</v>
      </c>
      <c r="X1463" t="s">
        <v>291</v>
      </c>
      <c r="Y1463">
        <v>10</v>
      </c>
      <c r="Z1463">
        <v>0.35682680185771348</v>
      </c>
      <c r="AA1463">
        <v>1</v>
      </c>
    </row>
    <row r="1464" spans="1:27" hidden="1" x14ac:dyDescent="0.25">
      <c r="A1464" t="s">
        <v>98</v>
      </c>
      <c r="B1464" t="s">
        <v>99</v>
      </c>
      <c r="D1464" t="s">
        <v>1722</v>
      </c>
      <c r="E1464" t="s">
        <v>284</v>
      </c>
      <c r="F1464" t="s">
        <v>365</v>
      </c>
      <c r="G1464" t="s">
        <v>103</v>
      </c>
      <c r="H1464" t="s">
        <v>104</v>
      </c>
      <c r="I1464">
        <v>2024</v>
      </c>
      <c r="J1464" t="s">
        <v>374</v>
      </c>
      <c r="K1464" t="s">
        <v>106</v>
      </c>
      <c r="L1464" t="s">
        <v>1798</v>
      </c>
      <c r="M1464" t="s">
        <v>1838</v>
      </c>
      <c r="N1464">
        <v>1</v>
      </c>
      <c r="O1464">
        <v>2024</v>
      </c>
      <c r="P1464">
        <v>34.353918735727063</v>
      </c>
      <c r="Q1464">
        <v>1.893397965391721</v>
      </c>
      <c r="R1464" t="s">
        <v>289</v>
      </c>
      <c r="S1464">
        <v>115.45533602622641</v>
      </c>
      <c r="T1464" t="s">
        <v>290</v>
      </c>
      <c r="U1464">
        <v>115.45533602622641</v>
      </c>
      <c r="V1464">
        <v>34.353918735727063</v>
      </c>
      <c r="W1464">
        <v>1.893397965391721</v>
      </c>
      <c r="X1464" t="s">
        <v>291</v>
      </c>
      <c r="Y1464">
        <v>10</v>
      </c>
      <c r="Z1464">
        <v>0.35682680185771348</v>
      </c>
      <c r="AA1464">
        <v>1</v>
      </c>
    </row>
    <row r="1465" spans="1:27" hidden="1" x14ac:dyDescent="0.25">
      <c r="A1465" t="s">
        <v>98</v>
      </c>
      <c r="B1465" t="s">
        <v>99</v>
      </c>
      <c r="D1465" t="s">
        <v>1722</v>
      </c>
      <c r="E1465" t="s">
        <v>284</v>
      </c>
      <c r="F1465" t="s">
        <v>365</v>
      </c>
      <c r="G1465" t="s">
        <v>112</v>
      </c>
      <c r="H1465" t="s">
        <v>104</v>
      </c>
      <c r="I1465">
        <v>2024</v>
      </c>
      <c r="J1465" t="s">
        <v>376</v>
      </c>
      <c r="K1465" t="s">
        <v>106</v>
      </c>
      <c r="L1465" t="s">
        <v>1798</v>
      </c>
      <c r="M1465" t="s">
        <v>1839</v>
      </c>
      <c r="N1465">
        <v>1</v>
      </c>
      <c r="O1465">
        <v>2024</v>
      </c>
      <c r="P1465">
        <v>43.733464606512037</v>
      </c>
      <c r="Q1465">
        <v>2.4042644647868401</v>
      </c>
      <c r="R1465" t="s">
        <v>289</v>
      </c>
      <c r="S1465">
        <v>130.6177318295739</v>
      </c>
      <c r="T1465" t="s">
        <v>290</v>
      </c>
      <c r="U1465">
        <v>130.6177318295739</v>
      </c>
      <c r="V1465">
        <v>43.733464606512037</v>
      </c>
      <c r="W1465">
        <v>2.4042644647868401</v>
      </c>
      <c r="X1465" t="s">
        <v>291</v>
      </c>
      <c r="Y1465">
        <v>10</v>
      </c>
      <c r="Z1465">
        <v>0.35682680185771348</v>
      </c>
      <c r="AA1465">
        <v>1</v>
      </c>
    </row>
    <row r="1466" spans="1:27" hidden="1" x14ac:dyDescent="0.25">
      <c r="A1466" t="s">
        <v>98</v>
      </c>
      <c r="B1466" t="s">
        <v>99</v>
      </c>
      <c r="D1466" t="s">
        <v>1722</v>
      </c>
      <c r="E1466" t="s">
        <v>284</v>
      </c>
      <c r="F1466" t="s">
        <v>365</v>
      </c>
      <c r="G1466" t="s">
        <v>103</v>
      </c>
      <c r="H1466" t="s">
        <v>104</v>
      </c>
      <c r="I1466">
        <v>2025</v>
      </c>
      <c r="J1466" t="s">
        <v>378</v>
      </c>
      <c r="K1466" t="s">
        <v>106</v>
      </c>
      <c r="L1466" t="s">
        <v>1798</v>
      </c>
      <c r="M1466" t="s">
        <v>1840</v>
      </c>
      <c r="N1466">
        <v>1</v>
      </c>
      <c r="O1466">
        <v>2025</v>
      </c>
      <c r="P1466">
        <v>34.353918735727063</v>
      </c>
      <c r="Q1466">
        <v>1.893397965391721</v>
      </c>
      <c r="R1466" t="s">
        <v>289</v>
      </c>
      <c r="S1466">
        <v>115.45533602622641</v>
      </c>
      <c r="T1466" t="s">
        <v>290</v>
      </c>
      <c r="U1466">
        <v>115.45533602622641</v>
      </c>
      <c r="V1466">
        <v>34.353918735727063</v>
      </c>
      <c r="W1466">
        <v>1.893397965391721</v>
      </c>
      <c r="X1466" t="s">
        <v>291</v>
      </c>
      <c r="Y1466">
        <v>10</v>
      </c>
      <c r="Z1466">
        <v>0.35682680185771348</v>
      </c>
      <c r="AA1466">
        <v>1</v>
      </c>
    </row>
    <row r="1467" spans="1:27" hidden="1" x14ac:dyDescent="0.25">
      <c r="A1467" t="s">
        <v>98</v>
      </c>
      <c r="B1467" t="s">
        <v>99</v>
      </c>
      <c r="D1467" t="s">
        <v>1722</v>
      </c>
      <c r="E1467" t="s">
        <v>284</v>
      </c>
      <c r="F1467" t="s">
        <v>365</v>
      </c>
      <c r="G1467" t="s">
        <v>112</v>
      </c>
      <c r="H1467" t="s">
        <v>104</v>
      </c>
      <c r="I1467">
        <v>2025</v>
      </c>
      <c r="J1467" t="s">
        <v>380</v>
      </c>
      <c r="K1467" t="s">
        <v>106</v>
      </c>
      <c r="L1467" t="s">
        <v>1798</v>
      </c>
      <c r="M1467" t="s">
        <v>1841</v>
      </c>
      <c r="N1467">
        <v>1</v>
      </c>
      <c r="O1467">
        <v>2025</v>
      </c>
      <c r="P1467">
        <v>43.733464606512037</v>
      </c>
      <c r="Q1467">
        <v>2.4042644647868401</v>
      </c>
      <c r="R1467" t="s">
        <v>289</v>
      </c>
      <c r="S1467">
        <v>130.6177318295739</v>
      </c>
      <c r="T1467" t="s">
        <v>290</v>
      </c>
      <c r="U1467">
        <v>130.6177318295739</v>
      </c>
      <c r="V1467">
        <v>43.733464606512037</v>
      </c>
      <c r="W1467">
        <v>2.4042644647868401</v>
      </c>
      <c r="X1467" t="s">
        <v>291</v>
      </c>
      <c r="Y1467">
        <v>10</v>
      </c>
      <c r="Z1467">
        <v>0.35682680185771348</v>
      </c>
      <c r="AA1467">
        <v>1</v>
      </c>
    </row>
    <row r="1468" spans="1:27" hidden="1" x14ac:dyDescent="0.25">
      <c r="A1468" t="s">
        <v>98</v>
      </c>
      <c r="B1468" t="s">
        <v>99</v>
      </c>
      <c r="D1468" t="s">
        <v>1722</v>
      </c>
      <c r="E1468" t="s">
        <v>284</v>
      </c>
      <c r="F1468" t="s">
        <v>365</v>
      </c>
      <c r="G1468" t="s">
        <v>103</v>
      </c>
      <c r="H1468" t="s">
        <v>104</v>
      </c>
      <c r="I1468">
        <v>2026</v>
      </c>
      <c r="J1468" t="s">
        <v>382</v>
      </c>
      <c r="K1468" t="s">
        <v>106</v>
      </c>
      <c r="L1468" t="s">
        <v>1798</v>
      </c>
      <c r="M1468" t="s">
        <v>1842</v>
      </c>
      <c r="N1468">
        <v>1</v>
      </c>
      <c r="O1468">
        <v>2026</v>
      </c>
      <c r="P1468">
        <v>34.353918735727063</v>
      </c>
      <c r="Q1468">
        <v>1.893397965391721</v>
      </c>
      <c r="R1468" t="s">
        <v>289</v>
      </c>
      <c r="S1468">
        <v>115.45533602622641</v>
      </c>
      <c r="T1468" t="s">
        <v>290</v>
      </c>
      <c r="U1468">
        <v>115.45533602622641</v>
      </c>
      <c r="V1468">
        <v>34.353918735727063</v>
      </c>
      <c r="W1468">
        <v>1.893397965391721</v>
      </c>
      <c r="X1468" t="s">
        <v>291</v>
      </c>
      <c r="Y1468">
        <v>10</v>
      </c>
      <c r="Z1468">
        <v>0.35682680185771348</v>
      </c>
      <c r="AA1468">
        <v>1</v>
      </c>
    </row>
    <row r="1469" spans="1:27" hidden="1" x14ac:dyDescent="0.25">
      <c r="A1469" t="s">
        <v>98</v>
      </c>
      <c r="B1469" t="s">
        <v>99</v>
      </c>
      <c r="D1469" t="s">
        <v>1722</v>
      </c>
      <c r="E1469" t="s">
        <v>284</v>
      </c>
      <c r="F1469" t="s">
        <v>365</v>
      </c>
      <c r="G1469" t="s">
        <v>112</v>
      </c>
      <c r="H1469" t="s">
        <v>104</v>
      </c>
      <c r="I1469">
        <v>2026</v>
      </c>
      <c r="J1469" t="s">
        <v>384</v>
      </c>
      <c r="K1469" t="s">
        <v>106</v>
      </c>
      <c r="L1469" t="s">
        <v>1798</v>
      </c>
      <c r="M1469" t="s">
        <v>1843</v>
      </c>
      <c r="N1469">
        <v>1</v>
      </c>
      <c r="O1469">
        <v>2026</v>
      </c>
      <c r="P1469">
        <v>43.733464606512037</v>
      </c>
      <c r="Q1469">
        <v>2.4042644647868401</v>
      </c>
      <c r="R1469" t="s">
        <v>289</v>
      </c>
      <c r="S1469">
        <v>130.6177318295739</v>
      </c>
      <c r="T1469" t="s">
        <v>290</v>
      </c>
      <c r="U1469">
        <v>130.6177318295739</v>
      </c>
      <c r="V1469">
        <v>43.733464606512037</v>
      </c>
      <c r="W1469">
        <v>2.4042644647868401</v>
      </c>
      <c r="X1469" t="s">
        <v>291</v>
      </c>
      <c r="Y1469">
        <v>10</v>
      </c>
      <c r="Z1469">
        <v>0.35682680185771348</v>
      </c>
      <c r="AA1469">
        <v>1</v>
      </c>
    </row>
    <row r="1470" spans="1:27" hidden="1" x14ac:dyDescent="0.25">
      <c r="A1470" t="s">
        <v>98</v>
      </c>
      <c r="B1470" t="s">
        <v>99</v>
      </c>
      <c r="D1470" t="s">
        <v>1722</v>
      </c>
      <c r="E1470" t="s">
        <v>284</v>
      </c>
      <c r="F1470" t="s">
        <v>365</v>
      </c>
      <c r="G1470" t="s">
        <v>103</v>
      </c>
      <c r="H1470" t="s">
        <v>104</v>
      </c>
      <c r="I1470">
        <v>2027</v>
      </c>
      <c r="J1470" t="s">
        <v>386</v>
      </c>
      <c r="K1470" t="s">
        <v>106</v>
      </c>
      <c r="L1470" t="s">
        <v>1798</v>
      </c>
      <c r="M1470" t="s">
        <v>1844</v>
      </c>
      <c r="N1470">
        <v>1</v>
      </c>
      <c r="O1470">
        <v>2027</v>
      </c>
      <c r="P1470">
        <v>34.353918735727063</v>
      </c>
      <c r="Q1470">
        <v>1.893397965391721</v>
      </c>
      <c r="R1470" t="s">
        <v>289</v>
      </c>
      <c r="S1470">
        <v>115.45533602622641</v>
      </c>
      <c r="T1470" t="s">
        <v>290</v>
      </c>
      <c r="U1470">
        <v>115.45533602622641</v>
      </c>
      <c r="V1470">
        <v>34.353918735727063</v>
      </c>
      <c r="W1470">
        <v>1.893397965391721</v>
      </c>
      <c r="X1470" t="s">
        <v>291</v>
      </c>
      <c r="Y1470">
        <v>10</v>
      </c>
      <c r="Z1470">
        <v>0.35682680185771348</v>
      </c>
      <c r="AA1470">
        <v>1</v>
      </c>
    </row>
    <row r="1471" spans="1:27" hidden="1" x14ac:dyDescent="0.25">
      <c r="A1471" t="s">
        <v>98</v>
      </c>
      <c r="B1471" t="s">
        <v>99</v>
      </c>
      <c r="D1471" t="s">
        <v>1722</v>
      </c>
      <c r="E1471" t="s">
        <v>284</v>
      </c>
      <c r="F1471" t="s">
        <v>365</v>
      </c>
      <c r="G1471" t="s">
        <v>112</v>
      </c>
      <c r="H1471" t="s">
        <v>104</v>
      </c>
      <c r="I1471">
        <v>2027</v>
      </c>
      <c r="J1471" t="s">
        <v>388</v>
      </c>
      <c r="K1471" t="s">
        <v>106</v>
      </c>
      <c r="L1471" t="s">
        <v>1798</v>
      </c>
      <c r="M1471" t="s">
        <v>1845</v>
      </c>
      <c r="N1471">
        <v>1</v>
      </c>
      <c r="O1471">
        <v>2027</v>
      </c>
      <c r="P1471">
        <v>43.733464606512037</v>
      </c>
      <c r="Q1471">
        <v>2.4042644647868401</v>
      </c>
      <c r="R1471" t="s">
        <v>289</v>
      </c>
      <c r="S1471">
        <v>130.6177318295739</v>
      </c>
      <c r="T1471" t="s">
        <v>290</v>
      </c>
      <c r="U1471">
        <v>130.6177318295739</v>
      </c>
      <c r="V1471">
        <v>43.733464606512037</v>
      </c>
      <c r="W1471">
        <v>2.4042644647868401</v>
      </c>
      <c r="X1471" t="s">
        <v>291</v>
      </c>
      <c r="Y1471">
        <v>10</v>
      </c>
      <c r="Z1471">
        <v>0.35682680185771348</v>
      </c>
      <c r="AA1471">
        <v>1</v>
      </c>
    </row>
    <row r="1472" spans="1:27" hidden="1" x14ac:dyDescent="0.25">
      <c r="A1472" t="s">
        <v>98</v>
      </c>
      <c r="B1472" t="s">
        <v>99</v>
      </c>
      <c r="D1472" t="s">
        <v>1722</v>
      </c>
      <c r="E1472" t="s">
        <v>284</v>
      </c>
      <c r="F1472" t="s">
        <v>365</v>
      </c>
      <c r="G1472" t="s">
        <v>103</v>
      </c>
      <c r="H1472" t="s">
        <v>104</v>
      </c>
      <c r="I1472">
        <v>2028</v>
      </c>
      <c r="J1472" t="s">
        <v>390</v>
      </c>
      <c r="K1472" t="s">
        <v>106</v>
      </c>
      <c r="L1472" t="s">
        <v>1798</v>
      </c>
      <c r="M1472" t="s">
        <v>1846</v>
      </c>
      <c r="N1472">
        <v>1</v>
      </c>
      <c r="O1472">
        <v>2028</v>
      </c>
      <c r="P1472">
        <v>34.353918735727063</v>
      </c>
      <c r="Q1472">
        <v>1.893397965391721</v>
      </c>
      <c r="R1472" t="s">
        <v>289</v>
      </c>
      <c r="S1472">
        <v>115.45533602622641</v>
      </c>
      <c r="T1472" t="s">
        <v>290</v>
      </c>
      <c r="U1472">
        <v>115.45533602622641</v>
      </c>
      <c r="V1472">
        <v>34.353918735727063</v>
      </c>
      <c r="W1472">
        <v>1.893397965391721</v>
      </c>
      <c r="X1472" t="s">
        <v>291</v>
      </c>
      <c r="Y1472">
        <v>10</v>
      </c>
      <c r="Z1472">
        <v>0.35682680185771348</v>
      </c>
      <c r="AA1472">
        <v>1</v>
      </c>
    </row>
    <row r="1473" spans="1:27" hidden="1" x14ac:dyDescent="0.25">
      <c r="A1473" t="s">
        <v>98</v>
      </c>
      <c r="B1473" t="s">
        <v>99</v>
      </c>
      <c r="D1473" t="s">
        <v>1722</v>
      </c>
      <c r="E1473" t="s">
        <v>284</v>
      </c>
      <c r="F1473" t="s">
        <v>365</v>
      </c>
      <c r="G1473" t="s">
        <v>112</v>
      </c>
      <c r="H1473" t="s">
        <v>104</v>
      </c>
      <c r="I1473">
        <v>2028</v>
      </c>
      <c r="J1473" t="s">
        <v>392</v>
      </c>
      <c r="K1473" t="s">
        <v>106</v>
      </c>
      <c r="L1473" t="s">
        <v>1798</v>
      </c>
      <c r="M1473" t="s">
        <v>1847</v>
      </c>
      <c r="N1473">
        <v>1</v>
      </c>
      <c r="O1473">
        <v>2028</v>
      </c>
      <c r="P1473">
        <v>43.733464606512037</v>
      </c>
      <c r="Q1473">
        <v>2.4042644647868401</v>
      </c>
      <c r="R1473" t="s">
        <v>289</v>
      </c>
      <c r="S1473">
        <v>130.6177318295739</v>
      </c>
      <c r="T1473" t="s">
        <v>290</v>
      </c>
      <c r="U1473">
        <v>130.6177318295739</v>
      </c>
      <c r="V1473">
        <v>43.733464606512037</v>
      </c>
      <c r="W1473">
        <v>2.4042644647868401</v>
      </c>
      <c r="X1473" t="s">
        <v>291</v>
      </c>
      <c r="Y1473">
        <v>10</v>
      </c>
      <c r="Z1473">
        <v>0.35682680185771348</v>
      </c>
      <c r="AA1473">
        <v>1</v>
      </c>
    </row>
    <row r="1474" spans="1:27" hidden="1" x14ac:dyDescent="0.25">
      <c r="A1474" t="s">
        <v>98</v>
      </c>
      <c r="B1474" t="s">
        <v>99</v>
      </c>
      <c r="D1474" t="s">
        <v>1722</v>
      </c>
      <c r="E1474" t="s">
        <v>284</v>
      </c>
      <c r="F1474" t="s">
        <v>365</v>
      </c>
      <c r="G1474" t="s">
        <v>103</v>
      </c>
      <c r="H1474" t="s">
        <v>104</v>
      </c>
      <c r="I1474">
        <v>2029</v>
      </c>
      <c r="J1474" t="s">
        <v>394</v>
      </c>
      <c r="K1474" t="s">
        <v>106</v>
      </c>
      <c r="L1474" t="s">
        <v>1798</v>
      </c>
      <c r="M1474" t="s">
        <v>1848</v>
      </c>
      <c r="N1474">
        <v>1</v>
      </c>
      <c r="O1474">
        <v>2029</v>
      </c>
      <c r="P1474">
        <v>34.353918735727063</v>
      </c>
      <c r="Q1474">
        <v>1.893397965391721</v>
      </c>
      <c r="R1474" t="s">
        <v>289</v>
      </c>
      <c r="S1474">
        <v>115.45533602622641</v>
      </c>
      <c r="T1474" t="s">
        <v>290</v>
      </c>
      <c r="U1474">
        <v>115.45533602622641</v>
      </c>
      <c r="V1474">
        <v>34.353918735727063</v>
      </c>
      <c r="W1474">
        <v>1.893397965391721</v>
      </c>
      <c r="X1474" t="s">
        <v>291</v>
      </c>
      <c r="Y1474">
        <v>10</v>
      </c>
      <c r="Z1474">
        <v>0.35682680185771348</v>
      </c>
      <c r="AA1474">
        <v>1</v>
      </c>
    </row>
    <row r="1475" spans="1:27" hidden="1" x14ac:dyDescent="0.25">
      <c r="A1475" t="s">
        <v>98</v>
      </c>
      <c r="B1475" t="s">
        <v>99</v>
      </c>
      <c r="D1475" t="s">
        <v>1722</v>
      </c>
      <c r="E1475" t="s">
        <v>284</v>
      </c>
      <c r="F1475" t="s">
        <v>365</v>
      </c>
      <c r="G1475" t="s">
        <v>112</v>
      </c>
      <c r="H1475" t="s">
        <v>104</v>
      </c>
      <c r="I1475">
        <v>2029</v>
      </c>
      <c r="J1475" t="s">
        <v>396</v>
      </c>
      <c r="K1475" t="s">
        <v>106</v>
      </c>
      <c r="L1475" t="s">
        <v>1798</v>
      </c>
      <c r="M1475" t="s">
        <v>1849</v>
      </c>
      <c r="N1475">
        <v>1</v>
      </c>
      <c r="O1475">
        <v>2029</v>
      </c>
      <c r="P1475">
        <v>43.733464606512037</v>
      </c>
      <c r="Q1475">
        <v>2.4042644647868401</v>
      </c>
      <c r="R1475" t="s">
        <v>289</v>
      </c>
      <c r="S1475">
        <v>130.6177318295739</v>
      </c>
      <c r="T1475" t="s">
        <v>290</v>
      </c>
      <c r="U1475">
        <v>130.6177318295739</v>
      </c>
      <c r="V1475">
        <v>43.733464606512037</v>
      </c>
      <c r="W1475">
        <v>2.4042644647868401</v>
      </c>
      <c r="X1475" t="s">
        <v>291</v>
      </c>
      <c r="Y1475">
        <v>10</v>
      </c>
      <c r="Z1475">
        <v>0.35682680185771348</v>
      </c>
      <c r="AA1475">
        <v>1</v>
      </c>
    </row>
    <row r="1476" spans="1:27" hidden="1" x14ac:dyDescent="0.25">
      <c r="A1476" t="s">
        <v>98</v>
      </c>
      <c r="B1476" t="s">
        <v>99</v>
      </c>
      <c r="D1476" t="s">
        <v>1722</v>
      </c>
      <c r="E1476" t="s">
        <v>284</v>
      </c>
      <c r="F1476" t="s">
        <v>355</v>
      </c>
      <c r="G1476" t="s">
        <v>103</v>
      </c>
      <c r="H1476" t="s">
        <v>104</v>
      </c>
      <c r="I1476">
        <v>2030</v>
      </c>
      <c r="J1476" t="s">
        <v>398</v>
      </c>
      <c r="K1476" t="s">
        <v>106</v>
      </c>
      <c r="L1476" t="s">
        <v>1798</v>
      </c>
      <c r="M1476" t="s">
        <v>1850</v>
      </c>
      <c r="N1476">
        <v>1</v>
      </c>
      <c r="O1476">
        <v>2030</v>
      </c>
      <c r="P1476">
        <v>22.026606087295281</v>
      </c>
      <c r="Q1476">
        <v>0.67594869632979349</v>
      </c>
      <c r="R1476" t="s">
        <v>289</v>
      </c>
      <c r="S1476">
        <v>87.209325187237212</v>
      </c>
      <c r="T1476" t="s">
        <v>290</v>
      </c>
      <c r="U1476">
        <v>87.209325187237212</v>
      </c>
      <c r="V1476">
        <v>22.026606087295281</v>
      </c>
      <c r="W1476">
        <v>0.67594869632979349</v>
      </c>
      <c r="X1476" t="s">
        <v>291</v>
      </c>
      <c r="Y1476">
        <v>10</v>
      </c>
      <c r="Z1476">
        <v>0.35682680185771348</v>
      </c>
      <c r="AA1476">
        <v>1</v>
      </c>
    </row>
    <row r="1477" spans="1:27" hidden="1" x14ac:dyDescent="0.25">
      <c r="A1477" t="s">
        <v>98</v>
      </c>
      <c r="B1477" t="s">
        <v>99</v>
      </c>
      <c r="D1477" t="s">
        <v>1722</v>
      </c>
      <c r="E1477" t="s">
        <v>284</v>
      </c>
      <c r="F1477" t="s">
        <v>355</v>
      </c>
      <c r="G1477" t="s">
        <v>112</v>
      </c>
      <c r="H1477" t="s">
        <v>104</v>
      </c>
      <c r="I1477">
        <v>2030</v>
      </c>
      <c r="J1477" t="s">
        <v>400</v>
      </c>
      <c r="K1477" t="s">
        <v>106</v>
      </c>
      <c r="L1477" t="s">
        <v>1798</v>
      </c>
      <c r="M1477" t="s">
        <v>1851</v>
      </c>
      <c r="N1477">
        <v>1</v>
      </c>
      <c r="O1477">
        <v>2030</v>
      </c>
      <c r="P1477">
        <v>23.051216439564651</v>
      </c>
      <c r="Q1477">
        <v>0.88782640486853737</v>
      </c>
      <c r="R1477" t="s">
        <v>289</v>
      </c>
      <c r="S1477">
        <v>87.494679062376832</v>
      </c>
      <c r="T1477" t="s">
        <v>290</v>
      </c>
      <c r="U1477">
        <v>87.494679062376832</v>
      </c>
      <c r="V1477">
        <v>23.051216439564651</v>
      </c>
      <c r="W1477">
        <v>0.88782640486853737</v>
      </c>
      <c r="X1477" t="s">
        <v>291</v>
      </c>
      <c r="Y1477">
        <v>10</v>
      </c>
      <c r="Z1477">
        <v>0.35682680185771348</v>
      </c>
      <c r="AA1477">
        <v>1</v>
      </c>
    </row>
    <row r="1478" spans="1:27" hidden="1" x14ac:dyDescent="0.25">
      <c r="A1478" t="s">
        <v>98</v>
      </c>
      <c r="B1478" t="s">
        <v>99</v>
      </c>
      <c r="D1478" t="s">
        <v>1722</v>
      </c>
      <c r="E1478" t="s">
        <v>284</v>
      </c>
      <c r="F1478" t="s">
        <v>360</v>
      </c>
      <c r="G1478" t="s">
        <v>103</v>
      </c>
      <c r="H1478" t="s">
        <v>104</v>
      </c>
      <c r="I1478">
        <v>2030</v>
      </c>
      <c r="J1478" t="s">
        <v>402</v>
      </c>
      <c r="K1478" t="s">
        <v>106</v>
      </c>
      <c r="L1478" t="s">
        <v>1798</v>
      </c>
      <c r="M1478" t="s">
        <v>1852</v>
      </c>
      <c r="N1478">
        <v>1</v>
      </c>
      <c r="O1478">
        <v>2030</v>
      </c>
      <c r="P1478">
        <v>32.03338343675982</v>
      </c>
      <c r="Q1478">
        <v>0.74367453538487105</v>
      </c>
      <c r="R1478" t="s">
        <v>289</v>
      </c>
      <c r="S1478">
        <v>80.816288888888892</v>
      </c>
      <c r="T1478" t="s">
        <v>290</v>
      </c>
      <c r="U1478">
        <v>80.816288888888892</v>
      </c>
      <c r="V1478">
        <v>32.03338343675982</v>
      </c>
      <c r="W1478">
        <v>0.74367453538487105</v>
      </c>
      <c r="X1478" t="s">
        <v>291</v>
      </c>
      <c r="Y1478">
        <v>10</v>
      </c>
      <c r="Z1478">
        <v>0.35682680185771348</v>
      </c>
      <c r="AA1478">
        <v>1</v>
      </c>
    </row>
    <row r="1479" spans="1:27" hidden="1" x14ac:dyDescent="0.25">
      <c r="A1479" t="s">
        <v>98</v>
      </c>
      <c r="B1479" t="s">
        <v>99</v>
      </c>
      <c r="D1479" t="s">
        <v>1722</v>
      </c>
      <c r="E1479" t="s">
        <v>284</v>
      </c>
      <c r="F1479" t="s">
        <v>360</v>
      </c>
      <c r="G1479" t="s">
        <v>112</v>
      </c>
      <c r="H1479" t="s">
        <v>104</v>
      </c>
      <c r="I1479">
        <v>2030</v>
      </c>
      <c r="J1479" t="s">
        <v>404</v>
      </c>
      <c r="K1479" t="s">
        <v>106</v>
      </c>
      <c r="L1479" t="s">
        <v>1798</v>
      </c>
      <c r="M1479" t="s">
        <v>1853</v>
      </c>
      <c r="N1479">
        <v>1</v>
      </c>
      <c r="O1479">
        <v>2030</v>
      </c>
      <c r="P1479">
        <v>30.04097222030375</v>
      </c>
      <c r="Q1479">
        <v>1.0503155304453009</v>
      </c>
      <c r="R1479" t="s">
        <v>289</v>
      </c>
      <c r="S1479">
        <v>90.329273504273502</v>
      </c>
      <c r="T1479" t="s">
        <v>290</v>
      </c>
      <c r="U1479">
        <v>90.329273504273502</v>
      </c>
      <c r="V1479">
        <v>30.04097222030375</v>
      </c>
      <c r="W1479">
        <v>1.0503155304453009</v>
      </c>
      <c r="X1479" t="s">
        <v>291</v>
      </c>
      <c r="Y1479">
        <v>10</v>
      </c>
      <c r="Z1479">
        <v>0.35682680185771348</v>
      </c>
      <c r="AA1479">
        <v>1</v>
      </c>
    </row>
    <row r="1480" spans="1:27" hidden="1" x14ac:dyDescent="0.25">
      <c r="A1480" t="s">
        <v>98</v>
      </c>
      <c r="B1480" t="s">
        <v>99</v>
      </c>
      <c r="D1480" t="s">
        <v>1722</v>
      </c>
      <c r="E1480" t="s">
        <v>284</v>
      </c>
      <c r="F1480" t="s">
        <v>365</v>
      </c>
      <c r="G1480" t="s">
        <v>103</v>
      </c>
      <c r="H1480" t="s">
        <v>104</v>
      </c>
      <c r="I1480">
        <v>2030</v>
      </c>
      <c r="J1480" t="s">
        <v>406</v>
      </c>
      <c r="K1480" t="s">
        <v>106</v>
      </c>
      <c r="L1480" t="s">
        <v>1798</v>
      </c>
      <c r="M1480" t="s">
        <v>1854</v>
      </c>
      <c r="N1480">
        <v>1</v>
      </c>
      <c r="O1480">
        <v>2030</v>
      </c>
      <c r="P1480">
        <v>23.710775767327672</v>
      </c>
      <c r="Q1480">
        <v>1.668845649337886</v>
      </c>
      <c r="R1480" t="s">
        <v>289</v>
      </c>
      <c r="S1480">
        <v>154.72558108377279</v>
      </c>
      <c r="T1480" t="s">
        <v>290</v>
      </c>
      <c r="U1480">
        <v>154.72558108377279</v>
      </c>
      <c r="V1480">
        <v>23.710775767327672</v>
      </c>
      <c r="W1480">
        <v>1.668845649337886</v>
      </c>
      <c r="X1480" t="s">
        <v>291</v>
      </c>
      <c r="Y1480">
        <v>10</v>
      </c>
      <c r="Z1480">
        <v>0.35682680185771348</v>
      </c>
      <c r="AA1480">
        <v>1</v>
      </c>
    </row>
    <row r="1481" spans="1:27" hidden="1" x14ac:dyDescent="0.25">
      <c r="A1481" t="s">
        <v>98</v>
      </c>
      <c r="B1481" t="s">
        <v>99</v>
      </c>
      <c r="D1481" t="s">
        <v>1722</v>
      </c>
      <c r="E1481" t="s">
        <v>284</v>
      </c>
      <c r="F1481" t="s">
        <v>365</v>
      </c>
      <c r="G1481" t="s">
        <v>112</v>
      </c>
      <c r="H1481" t="s">
        <v>104</v>
      </c>
      <c r="I1481">
        <v>2030</v>
      </c>
      <c r="J1481" t="s">
        <v>408</v>
      </c>
      <c r="K1481" t="s">
        <v>106</v>
      </c>
      <c r="L1481" t="s">
        <v>1798</v>
      </c>
      <c r="M1481" t="s">
        <v>1855</v>
      </c>
      <c r="N1481">
        <v>1</v>
      </c>
      <c r="O1481">
        <v>2030</v>
      </c>
      <c r="P1481">
        <v>28.858905605402359</v>
      </c>
      <c r="Q1481">
        <v>2.128664396371156</v>
      </c>
      <c r="R1481" t="s">
        <v>289</v>
      </c>
      <c r="S1481">
        <v>176.3746647164572</v>
      </c>
      <c r="T1481" t="s">
        <v>290</v>
      </c>
      <c r="U1481">
        <v>176.3746647164572</v>
      </c>
      <c r="V1481">
        <v>28.858905605402359</v>
      </c>
      <c r="W1481">
        <v>2.128664396371156</v>
      </c>
      <c r="X1481" t="s">
        <v>291</v>
      </c>
      <c r="Y1481">
        <v>10</v>
      </c>
      <c r="Z1481">
        <v>0.35682680185771348</v>
      </c>
      <c r="AA1481">
        <v>1</v>
      </c>
    </row>
    <row r="1482" spans="1:27" hidden="1" x14ac:dyDescent="0.25">
      <c r="A1482" t="s">
        <v>98</v>
      </c>
      <c r="B1482" t="s">
        <v>99</v>
      </c>
      <c r="D1482" t="s">
        <v>1722</v>
      </c>
      <c r="E1482" t="s">
        <v>284</v>
      </c>
      <c r="F1482" t="s">
        <v>355</v>
      </c>
      <c r="G1482" t="s">
        <v>103</v>
      </c>
      <c r="H1482" t="s">
        <v>104</v>
      </c>
      <c r="I1482">
        <v>2040</v>
      </c>
      <c r="J1482" t="s">
        <v>410</v>
      </c>
      <c r="K1482" t="s">
        <v>106</v>
      </c>
      <c r="L1482" t="s">
        <v>1798</v>
      </c>
      <c r="M1482" t="s">
        <v>1856</v>
      </c>
      <c r="N1482">
        <v>1</v>
      </c>
      <c r="O1482">
        <v>2040</v>
      </c>
      <c r="P1482">
        <v>22.159986853322259</v>
      </c>
      <c r="Q1482">
        <v>0.64769049265200085</v>
      </c>
      <c r="R1482" t="s">
        <v>289</v>
      </c>
      <c r="S1482">
        <v>85.846844985289152</v>
      </c>
      <c r="T1482" t="s">
        <v>290</v>
      </c>
      <c r="U1482">
        <v>85.846844985289152</v>
      </c>
      <c r="V1482">
        <v>22.159986853322259</v>
      </c>
      <c r="W1482">
        <v>0.64769049265200085</v>
      </c>
      <c r="X1482" t="s">
        <v>291</v>
      </c>
      <c r="Y1482">
        <v>10</v>
      </c>
      <c r="Z1482">
        <v>0.35682680185771348</v>
      </c>
      <c r="AA1482">
        <v>1</v>
      </c>
    </row>
    <row r="1483" spans="1:27" hidden="1" x14ac:dyDescent="0.25">
      <c r="A1483" t="s">
        <v>98</v>
      </c>
      <c r="B1483" t="s">
        <v>99</v>
      </c>
      <c r="D1483" t="s">
        <v>1722</v>
      </c>
      <c r="E1483" t="s">
        <v>284</v>
      </c>
      <c r="F1483" t="s">
        <v>355</v>
      </c>
      <c r="G1483" t="s">
        <v>112</v>
      </c>
      <c r="H1483" t="s">
        <v>104</v>
      </c>
      <c r="I1483">
        <v>2040</v>
      </c>
      <c r="J1483" t="s">
        <v>412</v>
      </c>
      <c r="K1483" t="s">
        <v>106</v>
      </c>
      <c r="L1483" t="s">
        <v>1798</v>
      </c>
      <c r="M1483" t="s">
        <v>1857</v>
      </c>
      <c r="N1483">
        <v>1</v>
      </c>
      <c r="O1483">
        <v>2040</v>
      </c>
      <c r="P1483">
        <v>22.287209700822071</v>
      </c>
      <c r="Q1483">
        <v>0.78348370867951755</v>
      </c>
      <c r="R1483" t="s">
        <v>289</v>
      </c>
      <c r="S1483">
        <v>88.372750377742747</v>
      </c>
      <c r="T1483" t="s">
        <v>290</v>
      </c>
      <c r="U1483">
        <v>88.372750377742747</v>
      </c>
      <c r="V1483">
        <v>22.287209700822071</v>
      </c>
      <c r="W1483">
        <v>0.78348370867951755</v>
      </c>
      <c r="X1483" t="s">
        <v>291</v>
      </c>
      <c r="Y1483">
        <v>10</v>
      </c>
      <c r="Z1483">
        <v>0.35682680185771348</v>
      </c>
      <c r="AA1483">
        <v>1</v>
      </c>
    </row>
    <row r="1484" spans="1:27" hidden="1" x14ac:dyDescent="0.25">
      <c r="A1484" t="s">
        <v>98</v>
      </c>
      <c r="B1484" t="s">
        <v>99</v>
      </c>
      <c r="D1484" t="s">
        <v>1722</v>
      </c>
      <c r="E1484" t="s">
        <v>284</v>
      </c>
      <c r="F1484" t="s">
        <v>360</v>
      </c>
      <c r="G1484" t="s">
        <v>103</v>
      </c>
      <c r="H1484" t="s">
        <v>104</v>
      </c>
      <c r="I1484">
        <v>2040</v>
      </c>
      <c r="J1484" t="s">
        <v>414</v>
      </c>
      <c r="K1484" t="s">
        <v>106</v>
      </c>
      <c r="L1484" t="s">
        <v>1798</v>
      </c>
      <c r="M1484" t="s">
        <v>1858</v>
      </c>
      <c r="N1484">
        <v>1</v>
      </c>
      <c r="O1484">
        <v>2040</v>
      </c>
      <c r="P1484">
        <v>28.721945226708339</v>
      </c>
      <c r="Q1484">
        <v>0.72978219131721256</v>
      </c>
      <c r="R1484" t="s">
        <v>289</v>
      </c>
      <c r="S1484">
        <v>80.816288888888892</v>
      </c>
      <c r="T1484" t="s">
        <v>290</v>
      </c>
      <c r="U1484">
        <v>80.816288888888892</v>
      </c>
      <c r="V1484">
        <v>28.721945226708339</v>
      </c>
      <c r="W1484">
        <v>0.72978219131721256</v>
      </c>
      <c r="X1484" t="s">
        <v>291</v>
      </c>
      <c r="Y1484">
        <v>10</v>
      </c>
      <c r="Z1484">
        <v>0.35682680185771348</v>
      </c>
      <c r="AA1484">
        <v>1</v>
      </c>
    </row>
    <row r="1485" spans="1:27" hidden="1" x14ac:dyDescent="0.25">
      <c r="A1485" t="s">
        <v>98</v>
      </c>
      <c r="B1485" t="s">
        <v>99</v>
      </c>
      <c r="D1485" t="s">
        <v>1722</v>
      </c>
      <c r="E1485" t="s">
        <v>284</v>
      </c>
      <c r="F1485" t="s">
        <v>360</v>
      </c>
      <c r="G1485" t="s">
        <v>112</v>
      </c>
      <c r="H1485" t="s">
        <v>104</v>
      </c>
      <c r="I1485">
        <v>2040</v>
      </c>
      <c r="J1485" t="s">
        <v>416</v>
      </c>
      <c r="K1485" t="s">
        <v>106</v>
      </c>
      <c r="L1485" t="s">
        <v>1798</v>
      </c>
      <c r="M1485" t="s">
        <v>1859</v>
      </c>
      <c r="N1485">
        <v>1</v>
      </c>
      <c r="O1485">
        <v>2040</v>
      </c>
      <c r="P1485">
        <v>33.197275628385512</v>
      </c>
      <c r="Q1485">
        <v>1.1034319170477349</v>
      </c>
      <c r="R1485" t="s">
        <v>289</v>
      </c>
      <c r="S1485">
        <v>93.34643874643875</v>
      </c>
      <c r="T1485" t="s">
        <v>290</v>
      </c>
      <c r="U1485">
        <v>93.34643874643875</v>
      </c>
      <c r="V1485">
        <v>33.197275628385512</v>
      </c>
      <c r="W1485">
        <v>1.1034319170477349</v>
      </c>
      <c r="X1485" t="s">
        <v>291</v>
      </c>
      <c r="Y1485">
        <v>10</v>
      </c>
      <c r="Z1485">
        <v>0.35682680185771348</v>
      </c>
      <c r="AA1485">
        <v>1</v>
      </c>
    </row>
    <row r="1486" spans="1:27" hidden="1" x14ac:dyDescent="0.25">
      <c r="A1486" t="s">
        <v>98</v>
      </c>
      <c r="B1486" t="s">
        <v>99</v>
      </c>
      <c r="D1486" t="s">
        <v>1722</v>
      </c>
      <c r="E1486" t="s">
        <v>284</v>
      </c>
      <c r="F1486" t="s">
        <v>365</v>
      </c>
      <c r="G1486" t="s">
        <v>103</v>
      </c>
      <c r="H1486" t="s">
        <v>104</v>
      </c>
      <c r="I1486">
        <v>2040</v>
      </c>
      <c r="J1486" t="s">
        <v>418</v>
      </c>
      <c r="K1486" t="s">
        <v>106</v>
      </c>
      <c r="L1486" t="s">
        <v>1798</v>
      </c>
      <c r="M1486" t="s">
        <v>1860</v>
      </c>
      <c r="N1486">
        <v>1</v>
      </c>
      <c r="O1486">
        <v>2040</v>
      </c>
      <c r="P1486">
        <v>22.333975775561878</v>
      </c>
      <c r="Q1486">
        <v>1.552983156443519</v>
      </c>
      <c r="R1486" t="s">
        <v>289</v>
      </c>
      <c r="S1486">
        <v>181.1420784222461</v>
      </c>
      <c r="T1486" t="s">
        <v>290</v>
      </c>
      <c r="U1486">
        <v>181.1420784222461</v>
      </c>
      <c r="V1486">
        <v>22.333975775561878</v>
      </c>
      <c r="W1486">
        <v>1.552983156443519</v>
      </c>
      <c r="X1486" t="s">
        <v>291</v>
      </c>
      <c r="Y1486">
        <v>10</v>
      </c>
      <c r="Z1486">
        <v>0.35682680185771348</v>
      </c>
      <c r="AA1486">
        <v>1</v>
      </c>
    </row>
    <row r="1487" spans="1:27" hidden="1" x14ac:dyDescent="0.25">
      <c r="A1487" t="s">
        <v>98</v>
      </c>
      <c r="B1487" t="s">
        <v>99</v>
      </c>
      <c r="D1487" t="s">
        <v>1722</v>
      </c>
      <c r="E1487" t="s">
        <v>284</v>
      </c>
      <c r="F1487" t="s">
        <v>365</v>
      </c>
      <c r="G1487" t="s">
        <v>112</v>
      </c>
      <c r="H1487" t="s">
        <v>104</v>
      </c>
      <c r="I1487">
        <v>2040</v>
      </c>
      <c r="J1487" t="s">
        <v>420</v>
      </c>
      <c r="K1487" t="s">
        <v>106</v>
      </c>
      <c r="L1487" t="s">
        <v>1798</v>
      </c>
      <c r="M1487" t="s">
        <v>1861</v>
      </c>
      <c r="N1487">
        <v>1</v>
      </c>
      <c r="O1487">
        <v>2040</v>
      </c>
      <c r="P1487">
        <v>27.009726996743201</v>
      </c>
      <c r="Q1487">
        <v>1.971842815426603</v>
      </c>
      <c r="R1487" t="s">
        <v>289</v>
      </c>
      <c r="S1487">
        <v>206.50467814395611</v>
      </c>
      <c r="T1487" t="s">
        <v>290</v>
      </c>
      <c r="U1487">
        <v>206.50467814395611</v>
      </c>
      <c r="V1487">
        <v>27.009726996743201</v>
      </c>
      <c r="W1487">
        <v>1.971842815426603</v>
      </c>
      <c r="X1487" t="s">
        <v>291</v>
      </c>
      <c r="Y1487">
        <v>10</v>
      </c>
      <c r="Z1487">
        <v>0.35682680185771348</v>
      </c>
      <c r="AA1487">
        <v>1</v>
      </c>
    </row>
    <row r="1488" spans="1:27" hidden="1" x14ac:dyDescent="0.25">
      <c r="A1488" t="s">
        <v>98</v>
      </c>
      <c r="B1488" t="s">
        <v>99</v>
      </c>
      <c r="D1488" t="s">
        <v>1722</v>
      </c>
      <c r="E1488" t="s">
        <v>284</v>
      </c>
      <c r="F1488" t="s">
        <v>422</v>
      </c>
      <c r="G1488" t="s">
        <v>103</v>
      </c>
      <c r="H1488" t="s">
        <v>104</v>
      </c>
      <c r="I1488">
        <v>2022</v>
      </c>
      <c r="J1488" t="s">
        <v>423</v>
      </c>
      <c r="K1488" t="s">
        <v>106</v>
      </c>
      <c r="L1488" t="s">
        <v>1798</v>
      </c>
      <c r="M1488" t="s">
        <v>1862</v>
      </c>
      <c r="N1488">
        <v>1</v>
      </c>
      <c r="O1488">
        <v>2020</v>
      </c>
      <c r="P1488">
        <v>22.570490905245428</v>
      </c>
      <c r="Q1488">
        <v>0.77947598919167282</v>
      </c>
      <c r="R1488" t="s">
        <v>289</v>
      </c>
      <c r="S1488">
        <v>59.465873015873022</v>
      </c>
      <c r="T1488" t="s">
        <v>290</v>
      </c>
      <c r="U1488">
        <v>59.465873015873022</v>
      </c>
      <c r="V1488">
        <v>22.570490905245428</v>
      </c>
      <c r="W1488">
        <v>0.77947598919167282</v>
      </c>
      <c r="X1488" t="s">
        <v>291</v>
      </c>
      <c r="Y1488">
        <v>10</v>
      </c>
      <c r="Z1488">
        <v>0.35682680185771348</v>
      </c>
      <c r="AA1488">
        <v>1</v>
      </c>
    </row>
    <row r="1489" spans="1:27" hidden="1" x14ac:dyDescent="0.25">
      <c r="A1489" t="s">
        <v>98</v>
      </c>
      <c r="B1489" t="s">
        <v>99</v>
      </c>
      <c r="D1489" t="s">
        <v>1722</v>
      </c>
      <c r="E1489" t="s">
        <v>284</v>
      </c>
      <c r="F1489" t="s">
        <v>425</v>
      </c>
      <c r="G1489" t="s">
        <v>103</v>
      </c>
      <c r="H1489" t="s">
        <v>104</v>
      </c>
      <c r="I1489">
        <v>2022</v>
      </c>
      <c r="J1489" t="s">
        <v>426</v>
      </c>
      <c r="K1489" t="s">
        <v>106</v>
      </c>
      <c r="L1489" t="s">
        <v>1798</v>
      </c>
      <c r="M1489" t="s">
        <v>1863</v>
      </c>
      <c r="N1489">
        <v>1</v>
      </c>
      <c r="O1489">
        <v>2020</v>
      </c>
      <c r="P1489">
        <v>20.699165146358741</v>
      </c>
      <c r="Q1489">
        <v>1.111231451610436</v>
      </c>
      <c r="R1489" t="s">
        <v>289</v>
      </c>
      <c r="S1489">
        <v>74.054444444444442</v>
      </c>
      <c r="T1489" t="s">
        <v>290</v>
      </c>
      <c r="U1489">
        <v>74.054444444444442</v>
      </c>
      <c r="V1489">
        <v>20.699165146358741</v>
      </c>
      <c r="W1489">
        <v>1.111231451610436</v>
      </c>
      <c r="X1489" t="s">
        <v>291</v>
      </c>
      <c r="Y1489">
        <v>10</v>
      </c>
      <c r="Z1489">
        <v>0.35682680185771348</v>
      </c>
      <c r="AA1489">
        <v>1</v>
      </c>
    </row>
    <row r="1490" spans="1:27" hidden="1" x14ac:dyDescent="0.25">
      <c r="A1490" t="s">
        <v>98</v>
      </c>
      <c r="B1490" t="s">
        <v>99</v>
      </c>
      <c r="D1490" t="s">
        <v>1722</v>
      </c>
      <c r="E1490" t="s">
        <v>284</v>
      </c>
      <c r="F1490" t="s">
        <v>428</v>
      </c>
      <c r="G1490" t="s">
        <v>103</v>
      </c>
      <c r="H1490" t="s">
        <v>104</v>
      </c>
      <c r="I1490">
        <v>2022</v>
      </c>
      <c r="J1490" t="s">
        <v>429</v>
      </c>
      <c r="K1490" t="s">
        <v>106</v>
      </c>
      <c r="L1490" t="s">
        <v>1798</v>
      </c>
      <c r="M1490" t="s">
        <v>1864</v>
      </c>
      <c r="N1490">
        <v>1</v>
      </c>
      <c r="O1490">
        <v>2020</v>
      </c>
      <c r="P1490">
        <v>25.347672779313449</v>
      </c>
      <c r="Q1490">
        <v>0.56400508525842741</v>
      </c>
      <c r="R1490" t="s">
        <v>289</v>
      </c>
      <c r="S1490">
        <v>77.810944444444459</v>
      </c>
      <c r="T1490" t="s">
        <v>290</v>
      </c>
      <c r="U1490">
        <v>77.810944444444459</v>
      </c>
      <c r="V1490">
        <v>25.347672779313449</v>
      </c>
      <c r="W1490">
        <v>0.56400508525842741</v>
      </c>
      <c r="X1490" t="s">
        <v>291</v>
      </c>
      <c r="Y1490">
        <v>10</v>
      </c>
      <c r="Z1490">
        <v>0.35682680185771348</v>
      </c>
      <c r="AA1490">
        <v>1</v>
      </c>
    </row>
    <row r="1491" spans="1:27" hidden="1" x14ac:dyDescent="0.25">
      <c r="A1491" t="s">
        <v>98</v>
      </c>
      <c r="B1491" t="s">
        <v>99</v>
      </c>
      <c r="D1491" t="s">
        <v>1722</v>
      </c>
      <c r="E1491" t="s">
        <v>284</v>
      </c>
      <c r="F1491" t="s">
        <v>425</v>
      </c>
      <c r="G1491" t="s">
        <v>103</v>
      </c>
      <c r="H1491" t="s">
        <v>104</v>
      </c>
      <c r="I1491">
        <v>2030</v>
      </c>
      <c r="J1491" t="s">
        <v>431</v>
      </c>
      <c r="K1491" t="s">
        <v>106</v>
      </c>
      <c r="L1491" t="s">
        <v>1798</v>
      </c>
      <c r="M1491" t="s">
        <v>1865</v>
      </c>
      <c r="N1491">
        <v>1</v>
      </c>
      <c r="O1491">
        <v>2030</v>
      </c>
      <c r="P1491">
        <v>20.230705085538521</v>
      </c>
      <c r="Q1491">
        <v>1.0951903363739519</v>
      </c>
      <c r="R1491" t="s">
        <v>289</v>
      </c>
      <c r="S1491">
        <v>79.81</v>
      </c>
      <c r="T1491" t="s">
        <v>290</v>
      </c>
      <c r="U1491">
        <v>79.81</v>
      </c>
      <c r="V1491">
        <v>20.230705085538521</v>
      </c>
      <c r="W1491">
        <v>1.0951903363739519</v>
      </c>
      <c r="X1491" t="s">
        <v>291</v>
      </c>
      <c r="Y1491">
        <v>10</v>
      </c>
      <c r="Z1491">
        <v>0.35682680185771348</v>
      </c>
      <c r="AA1491">
        <v>1</v>
      </c>
    </row>
    <row r="1492" spans="1:27" hidden="1" x14ac:dyDescent="0.25">
      <c r="A1492" t="s">
        <v>98</v>
      </c>
      <c r="B1492" t="s">
        <v>99</v>
      </c>
      <c r="D1492" t="s">
        <v>1722</v>
      </c>
      <c r="E1492" t="s">
        <v>284</v>
      </c>
      <c r="F1492" t="s">
        <v>428</v>
      </c>
      <c r="G1492" t="s">
        <v>103</v>
      </c>
      <c r="H1492" t="s">
        <v>104</v>
      </c>
      <c r="I1492">
        <v>2030</v>
      </c>
      <c r="J1492" t="s">
        <v>433</v>
      </c>
      <c r="K1492" t="s">
        <v>106</v>
      </c>
      <c r="L1492" t="s">
        <v>1798</v>
      </c>
      <c r="M1492" t="s">
        <v>1866</v>
      </c>
      <c r="N1492">
        <v>1</v>
      </c>
      <c r="O1492">
        <v>2030</v>
      </c>
      <c r="P1492">
        <v>24.67049407605251</v>
      </c>
      <c r="Q1492">
        <v>0.55731249361340607</v>
      </c>
      <c r="R1492" t="s">
        <v>289</v>
      </c>
      <c r="S1492">
        <v>84.367500000000007</v>
      </c>
      <c r="T1492" t="s">
        <v>290</v>
      </c>
      <c r="U1492">
        <v>84.367500000000007</v>
      </c>
      <c r="V1492">
        <v>24.67049407605251</v>
      </c>
      <c r="W1492">
        <v>0.55731249361340607</v>
      </c>
      <c r="X1492" t="s">
        <v>291</v>
      </c>
      <c r="Y1492">
        <v>10</v>
      </c>
      <c r="Z1492">
        <v>0.35682680185771348</v>
      </c>
      <c r="AA1492">
        <v>1</v>
      </c>
    </row>
    <row r="1493" spans="1:27" hidden="1" x14ac:dyDescent="0.25">
      <c r="A1493" t="s">
        <v>98</v>
      </c>
      <c r="B1493" t="s">
        <v>99</v>
      </c>
      <c r="D1493" t="s">
        <v>1722</v>
      </c>
      <c r="E1493" t="s">
        <v>284</v>
      </c>
      <c r="F1493" t="s">
        <v>425</v>
      </c>
      <c r="G1493" t="s">
        <v>103</v>
      </c>
      <c r="H1493" t="s">
        <v>104</v>
      </c>
      <c r="I1493">
        <v>2040</v>
      </c>
      <c r="J1493" t="s">
        <v>435</v>
      </c>
      <c r="K1493" t="s">
        <v>106</v>
      </c>
      <c r="L1493" t="s">
        <v>1798</v>
      </c>
      <c r="M1493" t="s">
        <v>1867</v>
      </c>
      <c r="N1493">
        <v>1</v>
      </c>
      <c r="O1493">
        <v>2040</v>
      </c>
      <c r="P1493">
        <v>19.670938877469698</v>
      </c>
      <c r="Q1493">
        <v>1.076022695415618</v>
      </c>
      <c r="R1493" t="s">
        <v>289</v>
      </c>
      <c r="S1493">
        <v>79.81</v>
      </c>
      <c r="T1493" t="s">
        <v>290</v>
      </c>
      <c r="U1493">
        <v>79.81</v>
      </c>
      <c r="V1493">
        <v>19.670938877469698</v>
      </c>
      <c r="W1493">
        <v>1.076022695415618</v>
      </c>
      <c r="X1493" t="s">
        <v>291</v>
      </c>
      <c r="Y1493">
        <v>10</v>
      </c>
      <c r="Z1493">
        <v>0.35682680185771348</v>
      </c>
      <c r="AA1493">
        <v>1</v>
      </c>
    </row>
    <row r="1494" spans="1:27" hidden="1" x14ac:dyDescent="0.25">
      <c r="A1494" t="s">
        <v>98</v>
      </c>
      <c r="B1494" t="s">
        <v>99</v>
      </c>
      <c r="D1494" t="s">
        <v>1722</v>
      </c>
      <c r="E1494" t="s">
        <v>284</v>
      </c>
      <c r="F1494" t="s">
        <v>428</v>
      </c>
      <c r="G1494" t="s">
        <v>103</v>
      </c>
      <c r="H1494" t="s">
        <v>104</v>
      </c>
      <c r="I1494">
        <v>2040</v>
      </c>
      <c r="J1494" t="s">
        <v>437</v>
      </c>
      <c r="K1494" t="s">
        <v>106</v>
      </c>
      <c r="L1494" t="s">
        <v>1798</v>
      </c>
      <c r="M1494" t="s">
        <v>1868</v>
      </c>
      <c r="N1494">
        <v>1</v>
      </c>
      <c r="O1494">
        <v>2040</v>
      </c>
      <c r="P1494">
        <v>23.861328500132039</v>
      </c>
      <c r="Q1494">
        <v>0.54931546897756556</v>
      </c>
      <c r="R1494" t="s">
        <v>289</v>
      </c>
      <c r="S1494">
        <v>84.367500000000007</v>
      </c>
      <c r="T1494" t="s">
        <v>290</v>
      </c>
      <c r="U1494">
        <v>84.367500000000007</v>
      </c>
      <c r="V1494">
        <v>23.861328500132039</v>
      </c>
      <c r="W1494">
        <v>0.54931546897756556</v>
      </c>
      <c r="X1494" t="s">
        <v>291</v>
      </c>
      <c r="Y1494">
        <v>10</v>
      </c>
      <c r="Z1494">
        <v>0.35682680185771348</v>
      </c>
      <c r="AA1494">
        <v>1</v>
      </c>
    </row>
    <row r="1495" spans="1:27" hidden="1" x14ac:dyDescent="0.25">
      <c r="A1495" t="s">
        <v>98</v>
      </c>
      <c r="B1495" t="s">
        <v>99</v>
      </c>
      <c r="D1495" t="s">
        <v>1722</v>
      </c>
      <c r="E1495" t="s">
        <v>439</v>
      </c>
      <c r="F1495" t="s">
        <v>440</v>
      </c>
      <c r="G1495" t="s">
        <v>245</v>
      </c>
      <c r="H1495" t="s">
        <v>104</v>
      </c>
      <c r="I1495">
        <v>2022</v>
      </c>
      <c r="J1495" t="s">
        <v>441</v>
      </c>
      <c r="K1495" t="s">
        <v>106</v>
      </c>
      <c r="L1495" t="s">
        <v>1869</v>
      </c>
      <c r="M1495" t="s">
        <v>1870</v>
      </c>
      <c r="N1495">
        <v>1</v>
      </c>
      <c r="O1495">
        <v>2020</v>
      </c>
      <c r="P1495">
        <v>831.12625331024003</v>
      </c>
      <c r="Q1495">
        <v>84.323656568982784</v>
      </c>
      <c r="R1495" t="s">
        <v>109</v>
      </c>
      <c r="S1495">
        <v>2.8957310176295739</v>
      </c>
      <c r="T1495" t="s">
        <v>110</v>
      </c>
      <c r="U1495">
        <v>1</v>
      </c>
      <c r="V1495">
        <v>8212.0648964814554</v>
      </c>
      <c r="W1495">
        <v>833.17226148867417</v>
      </c>
      <c r="X1495" t="s">
        <v>111</v>
      </c>
      <c r="Y1495">
        <v>10</v>
      </c>
      <c r="Z1495">
        <v>0.44</v>
      </c>
      <c r="AA1495">
        <v>31.536000000000001</v>
      </c>
    </row>
    <row r="1496" spans="1:27" hidden="1" x14ac:dyDescent="0.25">
      <c r="A1496" t="s">
        <v>98</v>
      </c>
      <c r="B1496" t="s">
        <v>99</v>
      </c>
      <c r="D1496" t="s">
        <v>1722</v>
      </c>
      <c r="E1496" t="s">
        <v>439</v>
      </c>
      <c r="F1496" t="s">
        <v>440</v>
      </c>
      <c r="G1496" t="s">
        <v>103</v>
      </c>
      <c r="H1496" t="s">
        <v>104</v>
      </c>
      <c r="I1496">
        <v>2022</v>
      </c>
      <c r="J1496" t="s">
        <v>444</v>
      </c>
      <c r="K1496" t="s">
        <v>106</v>
      </c>
      <c r="L1496" t="s">
        <v>1869</v>
      </c>
      <c r="M1496" t="s">
        <v>1871</v>
      </c>
      <c r="N1496">
        <v>1</v>
      </c>
      <c r="O1496">
        <v>2020</v>
      </c>
      <c r="P1496">
        <v>1031.6192027056411</v>
      </c>
      <c r="Q1496">
        <v>84.323656568982784</v>
      </c>
      <c r="R1496" t="s">
        <v>109</v>
      </c>
      <c r="S1496">
        <v>3.1136892662683588</v>
      </c>
      <c r="T1496" t="s">
        <v>110</v>
      </c>
      <c r="U1496">
        <v>1.075268817204301</v>
      </c>
      <c r="V1496">
        <v>10193.06490119123</v>
      </c>
      <c r="W1496">
        <v>833.17226148867428</v>
      </c>
      <c r="X1496" t="s">
        <v>111</v>
      </c>
      <c r="Y1496">
        <v>10</v>
      </c>
      <c r="Z1496">
        <v>0.44</v>
      </c>
      <c r="AA1496">
        <v>31.536000000000001</v>
      </c>
    </row>
    <row r="1497" spans="1:27" hidden="1" x14ac:dyDescent="0.25">
      <c r="A1497" t="s">
        <v>98</v>
      </c>
      <c r="B1497" t="s">
        <v>99</v>
      </c>
      <c r="D1497" t="s">
        <v>1722</v>
      </c>
      <c r="E1497" t="s">
        <v>439</v>
      </c>
      <c r="F1497" t="s">
        <v>440</v>
      </c>
      <c r="G1497" t="s">
        <v>112</v>
      </c>
      <c r="H1497" t="s">
        <v>104</v>
      </c>
      <c r="I1497">
        <v>2022</v>
      </c>
      <c r="J1497" t="s">
        <v>446</v>
      </c>
      <c r="K1497" t="s">
        <v>106</v>
      </c>
      <c r="L1497" t="s">
        <v>1869</v>
      </c>
      <c r="M1497" t="s">
        <v>1872</v>
      </c>
      <c r="N1497">
        <v>1</v>
      </c>
      <c r="O1497">
        <v>2020</v>
      </c>
      <c r="P1497">
        <v>1137.4723035050019</v>
      </c>
      <c r="Q1497">
        <v>84.323656568982784</v>
      </c>
      <c r="R1497" t="s">
        <v>109</v>
      </c>
      <c r="S1497">
        <v>3.348052974482107</v>
      </c>
      <c r="T1497" t="s">
        <v>110</v>
      </c>
      <c r="U1497">
        <v>1.156203029251937</v>
      </c>
      <c r="V1497">
        <v>11238.961995400419</v>
      </c>
      <c r="W1497">
        <v>833.17226148867417</v>
      </c>
      <c r="X1497" t="s">
        <v>111</v>
      </c>
      <c r="Y1497">
        <v>10</v>
      </c>
      <c r="Z1497">
        <v>0.44</v>
      </c>
      <c r="AA1497">
        <v>31.536000000000001</v>
      </c>
    </row>
    <row r="1498" spans="1:27" hidden="1" x14ac:dyDescent="0.25">
      <c r="A1498" t="s">
        <v>98</v>
      </c>
      <c r="B1498" t="s">
        <v>99</v>
      </c>
      <c r="D1498" t="s">
        <v>1722</v>
      </c>
      <c r="E1498" t="s">
        <v>439</v>
      </c>
      <c r="F1498" t="s">
        <v>440</v>
      </c>
      <c r="G1498" t="s">
        <v>103</v>
      </c>
      <c r="H1498" t="s">
        <v>104</v>
      </c>
      <c r="I1498">
        <v>2030</v>
      </c>
      <c r="J1498" t="s">
        <v>448</v>
      </c>
      <c r="K1498" t="s">
        <v>106</v>
      </c>
      <c r="L1498" t="s">
        <v>1869</v>
      </c>
      <c r="M1498" t="s">
        <v>1873</v>
      </c>
      <c r="N1498">
        <v>0</v>
      </c>
      <c r="O1498">
        <v>2030</v>
      </c>
      <c r="P1498">
        <v>1031.6192027056411</v>
      </c>
      <c r="Q1498">
        <v>84.323656568982784</v>
      </c>
      <c r="R1498" t="s">
        <v>109</v>
      </c>
      <c r="S1498">
        <v>3.1136892662683588</v>
      </c>
      <c r="T1498" t="s">
        <v>110</v>
      </c>
      <c r="U1498">
        <v>1.075268817204301</v>
      </c>
      <c r="V1498">
        <v>10193.06490119123</v>
      </c>
      <c r="W1498">
        <v>833.17226148867428</v>
      </c>
      <c r="X1498" t="s">
        <v>111</v>
      </c>
      <c r="Y1498">
        <v>10</v>
      </c>
      <c r="Z1498">
        <v>0.44</v>
      </c>
      <c r="AA1498">
        <v>31.536000000000001</v>
      </c>
    </row>
    <row r="1499" spans="1:27" hidden="1" x14ac:dyDescent="0.25">
      <c r="A1499" t="s">
        <v>98</v>
      </c>
      <c r="B1499" t="s">
        <v>99</v>
      </c>
      <c r="D1499" t="s">
        <v>1722</v>
      </c>
      <c r="E1499" t="s">
        <v>439</v>
      </c>
      <c r="F1499" t="s">
        <v>440</v>
      </c>
      <c r="G1499" t="s">
        <v>112</v>
      </c>
      <c r="H1499" t="s">
        <v>104</v>
      </c>
      <c r="I1499">
        <v>2030</v>
      </c>
      <c r="J1499" t="s">
        <v>450</v>
      </c>
      <c r="K1499" t="s">
        <v>106</v>
      </c>
      <c r="L1499" t="s">
        <v>1869</v>
      </c>
      <c r="M1499" t="s">
        <v>1874</v>
      </c>
      <c r="N1499">
        <v>0</v>
      </c>
      <c r="O1499">
        <v>2030</v>
      </c>
      <c r="P1499">
        <v>1137.4723035050019</v>
      </c>
      <c r="Q1499">
        <v>84.323656568982784</v>
      </c>
      <c r="R1499" t="s">
        <v>109</v>
      </c>
      <c r="S1499">
        <v>3.348052974482107</v>
      </c>
      <c r="T1499" t="s">
        <v>110</v>
      </c>
      <c r="U1499">
        <v>1.156203029251937</v>
      </c>
      <c r="V1499">
        <v>11238.961995400419</v>
      </c>
      <c r="W1499">
        <v>833.17226148867417</v>
      </c>
      <c r="X1499" t="s">
        <v>111</v>
      </c>
      <c r="Y1499">
        <v>10</v>
      </c>
      <c r="Z1499">
        <v>0.44</v>
      </c>
      <c r="AA1499">
        <v>31.536000000000001</v>
      </c>
    </row>
    <row r="1500" spans="1:27" hidden="1" x14ac:dyDescent="0.25">
      <c r="A1500" t="s">
        <v>98</v>
      </c>
      <c r="B1500" t="s">
        <v>99</v>
      </c>
      <c r="D1500" t="s">
        <v>1722</v>
      </c>
      <c r="E1500" t="s">
        <v>439</v>
      </c>
      <c r="F1500" t="s">
        <v>440</v>
      </c>
      <c r="G1500" t="s">
        <v>103</v>
      </c>
      <c r="H1500" t="s">
        <v>104</v>
      </c>
      <c r="I1500">
        <v>2040</v>
      </c>
      <c r="J1500" t="s">
        <v>452</v>
      </c>
      <c r="K1500" t="s">
        <v>106</v>
      </c>
      <c r="L1500" t="s">
        <v>1869</v>
      </c>
      <c r="M1500" t="s">
        <v>1875</v>
      </c>
      <c r="N1500">
        <v>0</v>
      </c>
      <c r="O1500">
        <v>2040</v>
      </c>
      <c r="P1500">
        <v>1031.6192027056411</v>
      </c>
      <c r="Q1500">
        <v>84.323656568982784</v>
      </c>
      <c r="R1500" t="s">
        <v>109</v>
      </c>
      <c r="S1500">
        <v>3.1136892662683588</v>
      </c>
      <c r="T1500" t="s">
        <v>110</v>
      </c>
      <c r="U1500">
        <v>1.075268817204301</v>
      </c>
      <c r="V1500">
        <v>10193.06490119123</v>
      </c>
      <c r="W1500">
        <v>833.17226148867428</v>
      </c>
      <c r="X1500" t="s">
        <v>111</v>
      </c>
      <c r="Y1500">
        <v>10</v>
      </c>
      <c r="Z1500">
        <v>0.44</v>
      </c>
      <c r="AA1500">
        <v>31.536000000000001</v>
      </c>
    </row>
    <row r="1501" spans="1:27" hidden="1" x14ac:dyDescent="0.25">
      <c r="A1501" t="s">
        <v>98</v>
      </c>
      <c r="B1501" t="s">
        <v>99</v>
      </c>
      <c r="D1501" t="s">
        <v>1722</v>
      </c>
      <c r="E1501" t="s">
        <v>439</v>
      </c>
      <c r="F1501" t="s">
        <v>440</v>
      </c>
      <c r="G1501" t="s">
        <v>112</v>
      </c>
      <c r="H1501" t="s">
        <v>104</v>
      </c>
      <c r="I1501">
        <v>2040</v>
      </c>
      <c r="J1501" t="s">
        <v>454</v>
      </c>
      <c r="K1501" t="s">
        <v>106</v>
      </c>
      <c r="L1501" t="s">
        <v>1869</v>
      </c>
      <c r="M1501" t="s">
        <v>1876</v>
      </c>
      <c r="N1501">
        <v>0</v>
      </c>
      <c r="O1501">
        <v>2040</v>
      </c>
      <c r="P1501">
        <v>1137.4723035050019</v>
      </c>
      <c r="Q1501">
        <v>84.323656568982784</v>
      </c>
      <c r="R1501" t="s">
        <v>109</v>
      </c>
      <c r="S1501">
        <v>3.348052974482107</v>
      </c>
      <c r="T1501" t="s">
        <v>110</v>
      </c>
      <c r="U1501">
        <v>1.156203029251937</v>
      </c>
      <c r="V1501">
        <v>11238.961995400419</v>
      </c>
      <c r="W1501">
        <v>833.17226148867417</v>
      </c>
      <c r="X1501" t="s">
        <v>111</v>
      </c>
      <c r="Y1501">
        <v>10</v>
      </c>
      <c r="Z1501">
        <v>0.44</v>
      </c>
      <c r="AA1501">
        <v>31.536000000000001</v>
      </c>
    </row>
    <row r="1502" spans="1:27" hidden="1" x14ac:dyDescent="0.25">
      <c r="A1502" t="s">
        <v>98</v>
      </c>
      <c r="B1502" t="s">
        <v>99</v>
      </c>
      <c r="D1502" t="s">
        <v>1722</v>
      </c>
      <c r="E1502" t="s">
        <v>439</v>
      </c>
      <c r="F1502" t="s">
        <v>440</v>
      </c>
      <c r="G1502" t="s">
        <v>103</v>
      </c>
      <c r="H1502" t="s">
        <v>104</v>
      </c>
      <c r="I1502">
        <v>2050</v>
      </c>
      <c r="J1502" t="s">
        <v>456</v>
      </c>
      <c r="K1502" t="s">
        <v>106</v>
      </c>
      <c r="L1502" t="s">
        <v>1869</v>
      </c>
      <c r="M1502" t="s">
        <v>1877</v>
      </c>
      <c r="N1502">
        <v>0</v>
      </c>
      <c r="O1502">
        <v>2050</v>
      </c>
      <c r="P1502">
        <v>1031.6192027056411</v>
      </c>
      <c r="Q1502">
        <v>84.323656568982784</v>
      </c>
      <c r="R1502" t="s">
        <v>109</v>
      </c>
      <c r="S1502">
        <v>3.1136892662683588</v>
      </c>
      <c r="T1502" t="s">
        <v>110</v>
      </c>
      <c r="U1502">
        <v>1.075268817204301</v>
      </c>
      <c r="V1502">
        <v>10193.06490119123</v>
      </c>
      <c r="W1502">
        <v>833.17226148867428</v>
      </c>
      <c r="X1502" t="s">
        <v>111</v>
      </c>
      <c r="Y1502">
        <v>10</v>
      </c>
      <c r="Z1502">
        <v>0.44</v>
      </c>
      <c r="AA1502">
        <v>31.536000000000001</v>
      </c>
    </row>
    <row r="1503" spans="1:27" hidden="1" x14ac:dyDescent="0.25">
      <c r="A1503" t="s">
        <v>98</v>
      </c>
      <c r="B1503" t="s">
        <v>99</v>
      </c>
      <c r="D1503" t="s">
        <v>1722</v>
      </c>
      <c r="E1503" t="s">
        <v>439</v>
      </c>
      <c r="F1503" t="s">
        <v>440</v>
      </c>
      <c r="G1503" t="s">
        <v>112</v>
      </c>
      <c r="H1503" t="s">
        <v>104</v>
      </c>
      <c r="I1503">
        <v>2050</v>
      </c>
      <c r="J1503" t="s">
        <v>458</v>
      </c>
      <c r="K1503" t="s">
        <v>106</v>
      </c>
      <c r="L1503" t="s">
        <v>1869</v>
      </c>
      <c r="M1503" t="s">
        <v>1878</v>
      </c>
      <c r="N1503">
        <v>0</v>
      </c>
      <c r="O1503">
        <v>2050</v>
      </c>
      <c r="P1503">
        <v>1137.4723035050019</v>
      </c>
      <c r="Q1503">
        <v>84.323656568982784</v>
      </c>
      <c r="R1503" t="s">
        <v>109</v>
      </c>
      <c r="S1503">
        <v>3.348052974482107</v>
      </c>
      <c r="T1503" t="s">
        <v>110</v>
      </c>
      <c r="U1503">
        <v>1.156203029251937</v>
      </c>
      <c r="V1503">
        <v>11238.961995400419</v>
      </c>
      <c r="W1503">
        <v>833.17226148867417</v>
      </c>
      <c r="X1503" t="s">
        <v>111</v>
      </c>
      <c r="Y1503">
        <v>10</v>
      </c>
      <c r="Z1503">
        <v>0.44</v>
      </c>
      <c r="AA1503">
        <v>31.536000000000001</v>
      </c>
    </row>
    <row r="1504" spans="1:27" hidden="1" x14ac:dyDescent="0.25">
      <c r="A1504" t="s">
        <v>98</v>
      </c>
      <c r="B1504" t="s">
        <v>99</v>
      </c>
      <c r="D1504" t="s">
        <v>1722</v>
      </c>
      <c r="E1504" t="s">
        <v>439</v>
      </c>
      <c r="F1504" t="s">
        <v>460</v>
      </c>
      <c r="G1504" t="s">
        <v>245</v>
      </c>
      <c r="H1504" t="s">
        <v>104</v>
      </c>
      <c r="I1504">
        <v>2022</v>
      </c>
      <c r="J1504" t="s">
        <v>461</v>
      </c>
      <c r="K1504" t="s">
        <v>106</v>
      </c>
      <c r="L1504" t="s">
        <v>1869</v>
      </c>
      <c r="M1504" t="s">
        <v>1879</v>
      </c>
      <c r="N1504">
        <v>1</v>
      </c>
      <c r="O1504">
        <v>2020</v>
      </c>
      <c r="P1504">
        <v>520.8323861248623</v>
      </c>
      <c r="Q1504">
        <v>19.17492366827851</v>
      </c>
      <c r="R1504" t="s">
        <v>109</v>
      </c>
      <c r="S1504">
        <v>5.9841517746527506</v>
      </c>
      <c r="T1504" t="s">
        <v>110</v>
      </c>
      <c r="U1504">
        <v>2.066542692750287</v>
      </c>
      <c r="V1504">
        <v>5146.1608125259299</v>
      </c>
      <c r="W1504">
        <v>189.46064682931279</v>
      </c>
      <c r="X1504" t="s">
        <v>111</v>
      </c>
      <c r="Y1504">
        <v>10</v>
      </c>
      <c r="Z1504">
        <v>0.44</v>
      </c>
      <c r="AA1504">
        <v>31.536000000000001</v>
      </c>
    </row>
    <row r="1505" spans="1:27" hidden="1" x14ac:dyDescent="0.25">
      <c r="A1505" t="s">
        <v>98</v>
      </c>
      <c r="B1505" t="s">
        <v>99</v>
      </c>
      <c r="D1505" t="s">
        <v>1722</v>
      </c>
      <c r="E1505" t="s">
        <v>439</v>
      </c>
      <c r="F1505" t="s">
        <v>460</v>
      </c>
      <c r="G1505" t="s">
        <v>103</v>
      </c>
      <c r="H1505" t="s">
        <v>104</v>
      </c>
      <c r="I1505">
        <v>2022</v>
      </c>
      <c r="J1505" t="s">
        <v>463</v>
      </c>
      <c r="K1505" t="s">
        <v>106</v>
      </c>
      <c r="L1505" t="s">
        <v>1869</v>
      </c>
      <c r="M1505" t="s">
        <v>1880</v>
      </c>
      <c r="N1505">
        <v>1</v>
      </c>
      <c r="O1505">
        <v>2020</v>
      </c>
      <c r="P1505">
        <v>619.22047419033993</v>
      </c>
      <c r="Q1505">
        <v>19.17492366827851</v>
      </c>
      <c r="R1505" t="s">
        <v>109</v>
      </c>
      <c r="S1505">
        <v>6.5013006934499016</v>
      </c>
      <c r="T1505" t="s">
        <v>110</v>
      </c>
      <c r="U1505">
        <v>2.2451328020003118</v>
      </c>
      <c r="V1505">
        <v>6118.2987530812006</v>
      </c>
      <c r="W1505">
        <v>189.46064682931279</v>
      </c>
      <c r="X1505" t="s">
        <v>111</v>
      </c>
      <c r="Y1505">
        <v>10</v>
      </c>
      <c r="Z1505">
        <v>0.44</v>
      </c>
      <c r="AA1505">
        <v>31.536000000000001</v>
      </c>
    </row>
    <row r="1506" spans="1:27" hidden="1" x14ac:dyDescent="0.25">
      <c r="A1506" t="s">
        <v>98</v>
      </c>
      <c r="B1506" t="s">
        <v>99</v>
      </c>
      <c r="D1506" t="s">
        <v>1722</v>
      </c>
      <c r="E1506" t="s">
        <v>439</v>
      </c>
      <c r="F1506" t="s">
        <v>460</v>
      </c>
      <c r="G1506" t="s">
        <v>112</v>
      </c>
      <c r="H1506" t="s">
        <v>104</v>
      </c>
      <c r="I1506">
        <v>2022</v>
      </c>
      <c r="J1506" t="s">
        <v>465</v>
      </c>
      <c r="K1506" t="s">
        <v>106</v>
      </c>
      <c r="L1506" t="s">
        <v>1869</v>
      </c>
      <c r="M1506" t="s">
        <v>1881</v>
      </c>
      <c r="N1506">
        <v>1</v>
      </c>
      <c r="O1506">
        <v>2020</v>
      </c>
      <c r="P1506">
        <v>717.59767919103297</v>
      </c>
      <c r="Q1506">
        <v>19.17492366827851</v>
      </c>
      <c r="R1506" t="s">
        <v>109</v>
      </c>
      <c r="S1506">
        <v>7.1162885968843517</v>
      </c>
      <c r="T1506" t="s">
        <v>110</v>
      </c>
      <c r="U1506">
        <v>2.4575102292165578</v>
      </c>
      <c r="V1506">
        <v>7090.3291619180018</v>
      </c>
      <c r="W1506">
        <v>189.46064682931279</v>
      </c>
      <c r="X1506" t="s">
        <v>111</v>
      </c>
      <c r="Y1506">
        <v>10</v>
      </c>
      <c r="Z1506">
        <v>0.44</v>
      </c>
      <c r="AA1506">
        <v>31.536000000000001</v>
      </c>
    </row>
    <row r="1507" spans="1:27" hidden="1" x14ac:dyDescent="0.25">
      <c r="A1507" t="s">
        <v>98</v>
      </c>
      <c r="B1507" t="s">
        <v>99</v>
      </c>
      <c r="D1507" t="s">
        <v>1722</v>
      </c>
      <c r="E1507" t="s">
        <v>439</v>
      </c>
      <c r="F1507" t="s">
        <v>460</v>
      </c>
      <c r="G1507" t="s">
        <v>103</v>
      </c>
      <c r="H1507" t="s">
        <v>104</v>
      </c>
      <c r="I1507">
        <v>2030</v>
      </c>
      <c r="J1507" t="s">
        <v>467</v>
      </c>
      <c r="K1507" t="s">
        <v>106</v>
      </c>
      <c r="L1507" t="s">
        <v>1869</v>
      </c>
      <c r="M1507" t="s">
        <v>1882</v>
      </c>
      <c r="N1507">
        <v>1</v>
      </c>
      <c r="O1507">
        <v>2030</v>
      </c>
      <c r="P1507">
        <v>520.8323861248623</v>
      </c>
      <c r="Q1507">
        <v>19.17492366827851</v>
      </c>
      <c r="R1507" t="s">
        <v>109</v>
      </c>
      <c r="S1507">
        <v>6.5013006934499016</v>
      </c>
      <c r="T1507" t="s">
        <v>110</v>
      </c>
      <c r="U1507">
        <v>2.2451328020003118</v>
      </c>
      <c r="V1507">
        <v>5146.1608125259299</v>
      </c>
      <c r="W1507">
        <v>189.46064682931279</v>
      </c>
      <c r="X1507" t="s">
        <v>111</v>
      </c>
      <c r="Y1507">
        <v>10</v>
      </c>
      <c r="Z1507">
        <v>0.44</v>
      </c>
      <c r="AA1507">
        <v>31.536000000000001</v>
      </c>
    </row>
    <row r="1508" spans="1:27" hidden="1" x14ac:dyDescent="0.25">
      <c r="A1508" t="s">
        <v>98</v>
      </c>
      <c r="B1508" t="s">
        <v>99</v>
      </c>
      <c r="D1508" t="s">
        <v>1722</v>
      </c>
      <c r="E1508" t="s">
        <v>439</v>
      </c>
      <c r="F1508" t="s">
        <v>460</v>
      </c>
      <c r="G1508" t="s">
        <v>112</v>
      </c>
      <c r="H1508" t="s">
        <v>104</v>
      </c>
      <c r="I1508">
        <v>2030</v>
      </c>
      <c r="J1508" t="s">
        <v>469</v>
      </c>
      <c r="K1508" t="s">
        <v>106</v>
      </c>
      <c r="L1508" t="s">
        <v>1869</v>
      </c>
      <c r="M1508" t="s">
        <v>1883</v>
      </c>
      <c r="N1508">
        <v>1</v>
      </c>
      <c r="O1508">
        <v>2030</v>
      </c>
      <c r="P1508">
        <v>717.59767919103297</v>
      </c>
      <c r="Q1508">
        <v>19.17492366827851</v>
      </c>
      <c r="R1508" t="s">
        <v>109</v>
      </c>
      <c r="S1508">
        <v>7.1162885968843517</v>
      </c>
      <c r="T1508" t="s">
        <v>110</v>
      </c>
      <c r="U1508">
        <v>2.4575102292165578</v>
      </c>
      <c r="V1508">
        <v>7090.3291619180018</v>
      </c>
      <c r="W1508">
        <v>189.46064682931279</v>
      </c>
      <c r="X1508" t="s">
        <v>111</v>
      </c>
      <c r="Y1508">
        <v>10</v>
      </c>
      <c r="Z1508">
        <v>0.44</v>
      </c>
      <c r="AA1508">
        <v>31.536000000000001</v>
      </c>
    </row>
    <row r="1509" spans="1:27" hidden="1" x14ac:dyDescent="0.25">
      <c r="A1509" t="s">
        <v>98</v>
      </c>
      <c r="B1509" t="s">
        <v>99</v>
      </c>
      <c r="D1509" t="s">
        <v>1722</v>
      </c>
      <c r="E1509" t="s">
        <v>439</v>
      </c>
      <c r="F1509" t="s">
        <v>460</v>
      </c>
      <c r="G1509" t="s">
        <v>103</v>
      </c>
      <c r="H1509" t="s">
        <v>104</v>
      </c>
      <c r="I1509">
        <v>2040</v>
      </c>
      <c r="J1509" t="s">
        <v>471</v>
      </c>
      <c r="K1509" t="s">
        <v>106</v>
      </c>
      <c r="L1509" t="s">
        <v>1869</v>
      </c>
      <c r="M1509" t="s">
        <v>1884</v>
      </c>
      <c r="N1509">
        <v>1</v>
      </c>
      <c r="O1509">
        <v>2040</v>
      </c>
      <c r="P1509">
        <v>520.8323861248623</v>
      </c>
      <c r="Q1509">
        <v>19.17492366827851</v>
      </c>
      <c r="R1509" t="s">
        <v>109</v>
      </c>
      <c r="S1509">
        <v>6.5013006934499016</v>
      </c>
      <c r="T1509" t="s">
        <v>110</v>
      </c>
      <c r="U1509">
        <v>2.2451328020003118</v>
      </c>
      <c r="V1509">
        <v>5146.1608125259299</v>
      </c>
      <c r="W1509">
        <v>189.46064682931279</v>
      </c>
      <c r="X1509" t="s">
        <v>111</v>
      </c>
      <c r="Y1509">
        <v>10</v>
      </c>
      <c r="Z1509">
        <v>0.44</v>
      </c>
      <c r="AA1509">
        <v>31.536000000000001</v>
      </c>
    </row>
    <row r="1510" spans="1:27" hidden="1" x14ac:dyDescent="0.25">
      <c r="A1510" t="s">
        <v>98</v>
      </c>
      <c r="B1510" t="s">
        <v>99</v>
      </c>
      <c r="D1510" t="s">
        <v>1722</v>
      </c>
      <c r="E1510" t="s">
        <v>439</v>
      </c>
      <c r="F1510" t="s">
        <v>460</v>
      </c>
      <c r="G1510" t="s">
        <v>112</v>
      </c>
      <c r="H1510" t="s">
        <v>104</v>
      </c>
      <c r="I1510">
        <v>2040</v>
      </c>
      <c r="J1510" t="s">
        <v>473</v>
      </c>
      <c r="K1510" t="s">
        <v>106</v>
      </c>
      <c r="L1510" t="s">
        <v>1869</v>
      </c>
      <c r="M1510" t="s">
        <v>1885</v>
      </c>
      <c r="N1510">
        <v>1</v>
      </c>
      <c r="O1510">
        <v>2040</v>
      </c>
      <c r="P1510">
        <v>717.59767919103297</v>
      </c>
      <c r="Q1510">
        <v>19.17492366827851</v>
      </c>
      <c r="R1510" t="s">
        <v>109</v>
      </c>
      <c r="S1510">
        <v>7.1162885968843517</v>
      </c>
      <c r="T1510" t="s">
        <v>110</v>
      </c>
      <c r="U1510">
        <v>2.4575102292165578</v>
      </c>
      <c r="V1510">
        <v>7090.3291619180018</v>
      </c>
      <c r="W1510">
        <v>189.46064682931279</v>
      </c>
      <c r="X1510" t="s">
        <v>111</v>
      </c>
      <c r="Y1510">
        <v>10</v>
      </c>
      <c r="Z1510">
        <v>0.44</v>
      </c>
      <c r="AA1510">
        <v>31.536000000000001</v>
      </c>
    </row>
    <row r="1511" spans="1:27" hidden="1" x14ac:dyDescent="0.25">
      <c r="A1511" t="s">
        <v>98</v>
      </c>
      <c r="B1511" t="s">
        <v>99</v>
      </c>
      <c r="D1511" t="s">
        <v>1722</v>
      </c>
      <c r="E1511" t="s">
        <v>439</v>
      </c>
      <c r="F1511" t="s">
        <v>460</v>
      </c>
      <c r="G1511" t="s">
        <v>103</v>
      </c>
      <c r="H1511" t="s">
        <v>104</v>
      </c>
      <c r="I1511">
        <v>2050</v>
      </c>
      <c r="J1511" t="s">
        <v>475</v>
      </c>
      <c r="K1511" t="s">
        <v>106</v>
      </c>
      <c r="L1511" t="s">
        <v>1869</v>
      </c>
      <c r="M1511" t="s">
        <v>1886</v>
      </c>
      <c r="N1511">
        <v>1</v>
      </c>
      <c r="O1511">
        <v>2050</v>
      </c>
      <c r="P1511">
        <v>520.8323861248623</v>
      </c>
      <c r="Q1511">
        <v>19.17492366827851</v>
      </c>
      <c r="R1511" t="s">
        <v>109</v>
      </c>
      <c r="S1511">
        <v>6.5013006934499016</v>
      </c>
      <c r="T1511" t="s">
        <v>110</v>
      </c>
      <c r="U1511">
        <v>2.2451328020003118</v>
      </c>
      <c r="V1511">
        <v>5146.1608125259299</v>
      </c>
      <c r="W1511">
        <v>189.46064682931279</v>
      </c>
      <c r="X1511" t="s">
        <v>111</v>
      </c>
      <c r="Y1511">
        <v>10</v>
      </c>
      <c r="Z1511">
        <v>0.44</v>
      </c>
      <c r="AA1511">
        <v>31.536000000000001</v>
      </c>
    </row>
    <row r="1512" spans="1:27" hidden="1" x14ac:dyDescent="0.25">
      <c r="A1512" t="s">
        <v>98</v>
      </c>
      <c r="B1512" t="s">
        <v>99</v>
      </c>
      <c r="D1512" t="s">
        <v>1722</v>
      </c>
      <c r="E1512" t="s">
        <v>439</v>
      </c>
      <c r="F1512" t="s">
        <v>460</v>
      </c>
      <c r="G1512" t="s">
        <v>112</v>
      </c>
      <c r="H1512" t="s">
        <v>104</v>
      </c>
      <c r="I1512">
        <v>2050</v>
      </c>
      <c r="J1512" t="s">
        <v>477</v>
      </c>
      <c r="K1512" t="s">
        <v>106</v>
      </c>
      <c r="L1512" t="s">
        <v>1869</v>
      </c>
      <c r="M1512" t="s">
        <v>1887</v>
      </c>
      <c r="N1512">
        <v>1</v>
      </c>
      <c r="O1512">
        <v>2050</v>
      </c>
      <c r="P1512">
        <v>717.59767919103297</v>
      </c>
      <c r="Q1512">
        <v>19.17492366827851</v>
      </c>
      <c r="R1512" t="s">
        <v>109</v>
      </c>
      <c r="S1512">
        <v>7.1162885968843517</v>
      </c>
      <c r="T1512" t="s">
        <v>110</v>
      </c>
      <c r="U1512">
        <v>2.4575102292165578</v>
      </c>
      <c r="V1512">
        <v>7090.3291619180018</v>
      </c>
      <c r="W1512">
        <v>189.46064682931279</v>
      </c>
      <c r="X1512" t="s">
        <v>111</v>
      </c>
      <c r="Y1512">
        <v>10</v>
      </c>
      <c r="Z1512">
        <v>0.44</v>
      </c>
      <c r="AA1512">
        <v>31.536000000000001</v>
      </c>
    </row>
    <row r="1513" spans="1:27" hidden="1" x14ac:dyDescent="0.25">
      <c r="A1513" t="s">
        <v>98</v>
      </c>
      <c r="B1513" t="s">
        <v>99</v>
      </c>
      <c r="D1513" t="s">
        <v>1722</v>
      </c>
      <c r="E1513" t="s">
        <v>439</v>
      </c>
      <c r="F1513" t="s">
        <v>479</v>
      </c>
      <c r="G1513" t="s">
        <v>245</v>
      </c>
      <c r="H1513" t="s">
        <v>104</v>
      </c>
      <c r="I1513">
        <v>2022</v>
      </c>
      <c r="J1513" t="s">
        <v>480</v>
      </c>
      <c r="K1513" t="s">
        <v>106</v>
      </c>
      <c r="L1513" t="s">
        <v>1869</v>
      </c>
      <c r="M1513" t="s">
        <v>1888</v>
      </c>
      <c r="N1513">
        <v>1</v>
      </c>
      <c r="O1513">
        <v>2020</v>
      </c>
      <c r="P1513">
        <v>1625.561814955347</v>
      </c>
      <c r="Q1513">
        <v>83.737016934227881</v>
      </c>
      <c r="R1513" t="s">
        <v>109</v>
      </c>
      <c r="S1513">
        <v>3.1167552571169028</v>
      </c>
      <c r="T1513" t="s">
        <v>110</v>
      </c>
      <c r="U1513">
        <v>1.0763276140434681</v>
      </c>
      <c r="V1513">
        <v>16061.60203036269</v>
      </c>
      <c r="W1513">
        <v>827.37588250020144</v>
      </c>
      <c r="X1513" t="s">
        <v>111</v>
      </c>
      <c r="Y1513">
        <v>10</v>
      </c>
      <c r="Z1513">
        <v>0.44</v>
      </c>
      <c r="AA1513">
        <v>31.536000000000001</v>
      </c>
    </row>
    <row r="1514" spans="1:27" hidden="1" x14ac:dyDescent="0.25">
      <c r="A1514" t="s">
        <v>98</v>
      </c>
      <c r="B1514" t="s">
        <v>99</v>
      </c>
      <c r="D1514" t="s">
        <v>1722</v>
      </c>
      <c r="E1514" t="s">
        <v>439</v>
      </c>
      <c r="F1514" t="s">
        <v>479</v>
      </c>
      <c r="G1514" t="s">
        <v>103</v>
      </c>
      <c r="H1514" t="s">
        <v>104</v>
      </c>
      <c r="I1514">
        <v>2022</v>
      </c>
      <c r="J1514" t="s">
        <v>482</v>
      </c>
      <c r="K1514" t="s">
        <v>106</v>
      </c>
      <c r="L1514" t="s">
        <v>1869</v>
      </c>
      <c r="M1514" t="s">
        <v>1889</v>
      </c>
      <c r="N1514">
        <v>1</v>
      </c>
      <c r="O1514">
        <v>2020</v>
      </c>
      <c r="P1514">
        <v>1649.1429636040691</v>
      </c>
      <c r="Q1514">
        <v>83.737016934227881</v>
      </c>
      <c r="R1514" t="s">
        <v>109</v>
      </c>
      <c r="S1514">
        <v>4.464541314248538</v>
      </c>
      <c r="T1514" t="s">
        <v>110</v>
      </c>
      <c r="U1514">
        <v>1.541766582278481</v>
      </c>
      <c r="V1514">
        <v>16294.59902963399</v>
      </c>
      <c r="W1514">
        <v>827.37588250020167</v>
      </c>
      <c r="X1514" t="s">
        <v>111</v>
      </c>
      <c r="Y1514">
        <v>10</v>
      </c>
      <c r="Z1514">
        <v>0.44</v>
      </c>
      <c r="AA1514">
        <v>31.536000000000001</v>
      </c>
    </row>
    <row r="1515" spans="1:27" hidden="1" x14ac:dyDescent="0.25">
      <c r="A1515" t="s">
        <v>98</v>
      </c>
      <c r="B1515" t="s">
        <v>99</v>
      </c>
      <c r="D1515" t="s">
        <v>1722</v>
      </c>
      <c r="E1515" t="s">
        <v>439</v>
      </c>
      <c r="F1515" t="s">
        <v>479</v>
      </c>
      <c r="G1515" t="s">
        <v>112</v>
      </c>
      <c r="H1515" t="s">
        <v>104</v>
      </c>
      <c r="I1515">
        <v>2022</v>
      </c>
      <c r="J1515" t="s">
        <v>484</v>
      </c>
      <c r="K1515" t="s">
        <v>106</v>
      </c>
      <c r="L1515" t="s">
        <v>1869</v>
      </c>
      <c r="M1515" t="s">
        <v>1890</v>
      </c>
      <c r="N1515">
        <v>1</v>
      </c>
      <c r="O1515">
        <v>2020</v>
      </c>
      <c r="P1515">
        <v>1758.024723094816</v>
      </c>
      <c r="Q1515">
        <v>83.737016934227881</v>
      </c>
      <c r="R1515" t="s">
        <v>109</v>
      </c>
      <c r="S1515">
        <v>7.4409021904142287</v>
      </c>
      <c r="T1515" t="s">
        <v>110</v>
      </c>
      <c r="U1515">
        <v>2.5696109704641348</v>
      </c>
      <c r="V1515">
        <v>17370.421230436659</v>
      </c>
      <c r="W1515">
        <v>827.37588250020167</v>
      </c>
      <c r="X1515" t="s">
        <v>111</v>
      </c>
      <c r="Y1515">
        <v>10</v>
      </c>
      <c r="Z1515">
        <v>0.44</v>
      </c>
      <c r="AA1515">
        <v>31.536000000000001</v>
      </c>
    </row>
    <row r="1516" spans="1:27" hidden="1" x14ac:dyDescent="0.25">
      <c r="A1516" t="s">
        <v>98</v>
      </c>
      <c r="B1516" t="s">
        <v>99</v>
      </c>
      <c r="D1516" t="s">
        <v>1722</v>
      </c>
      <c r="E1516" t="s">
        <v>439</v>
      </c>
      <c r="F1516" t="s">
        <v>479</v>
      </c>
      <c r="G1516" t="s">
        <v>219</v>
      </c>
      <c r="H1516" t="s">
        <v>104</v>
      </c>
      <c r="I1516">
        <v>2022</v>
      </c>
      <c r="J1516" t="s">
        <v>486</v>
      </c>
      <c r="K1516" t="s">
        <v>106</v>
      </c>
      <c r="L1516" t="s">
        <v>1869</v>
      </c>
      <c r="M1516" t="s">
        <v>1891</v>
      </c>
      <c r="N1516">
        <v>1</v>
      </c>
      <c r="O1516">
        <v>2020</v>
      </c>
      <c r="P1516">
        <v>1758.024723094816</v>
      </c>
      <c r="Q1516">
        <v>84.189649458196669</v>
      </c>
      <c r="R1516" t="s">
        <v>109</v>
      </c>
      <c r="S1516">
        <v>7.4409021904142287</v>
      </c>
      <c r="T1516" t="s">
        <v>110</v>
      </c>
      <c r="U1516">
        <v>2.5696109704641348</v>
      </c>
      <c r="V1516">
        <v>17370.421230436659</v>
      </c>
      <c r="W1516">
        <v>831.8481845677702</v>
      </c>
      <c r="X1516" t="s">
        <v>111</v>
      </c>
      <c r="Y1516">
        <v>10</v>
      </c>
      <c r="Z1516">
        <v>0.44</v>
      </c>
      <c r="AA1516">
        <v>31.536000000000001</v>
      </c>
    </row>
    <row r="1517" spans="1:27" hidden="1" x14ac:dyDescent="0.25">
      <c r="A1517" t="s">
        <v>98</v>
      </c>
      <c r="B1517" t="s">
        <v>99</v>
      </c>
      <c r="D1517" t="s">
        <v>1722</v>
      </c>
      <c r="E1517" t="s">
        <v>439</v>
      </c>
      <c r="F1517" t="s">
        <v>479</v>
      </c>
      <c r="G1517" t="s">
        <v>103</v>
      </c>
      <c r="H1517" t="s">
        <v>104</v>
      </c>
      <c r="I1517">
        <v>2030</v>
      </c>
      <c r="J1517" t="s">
        <v>488</v>
      </c>
      <c r="K1517" t="s">
        <v>106</v>
      </c>
      <c r="L1517" t="s">
        <v>1869</v>
      </c>
      <c r="M1517" t="s">
        <v>1892</v>
      </c>
      <c r="N1517">
        <v>1</v>
      </c>
      <c r="O1517">
        <v>2030</v>
      </c>
      <c r="P1517">
        <v>1649.1429636040691</v>
      </c>
      <c r="Q1517">
        <v>83.737016934227881</v>
      </c>
      <c r="R1517" t="s">
        <v>109</v>
      </c>
      <c r="S1517">
        <v>4.464541314248538</v>
      </c>
      <c r="T1517" t="s">
        <v>110</v>
      </c>
      <c r="U1517">
        <v>1.541766582278481</v>
      </c>
      <c r="V1517">
        <v>16294.59902963399</v>
      </c>
      <c r="W1517">
        <v>827.37588250020167</v>
      </c>
      <c r="X1517" t="s">
        <v>111</v>
      </c>
      <c r="Y1517">
        <v>10</v>
      </c>
      <c r="Z1517">
        <v>0.44</v>
      </c>
      <c r="AA1517">
        <v>31.536000000000001</v>
      </c>
    </row>
    <row r="1518" spans="1:27" hidden="1" x14ac:dyDescent="0.25">
      <c r="A1518" t="s">
        <v>98</v>
      </c>
      <c r="B1518" t="s">
        <v>99</v>
      </c>
      <c r="D1518" t="s">
        <v>1722</v>
      </c>
      <c r="E1518" t="s">
        <v>439</v>
      </c>
      <c r="F1518" t="s">
        <v>479</v>
      </c>
      <c r="G1518" t="s">
        <v>112</v>
      </c>
      <c r="H1518" t="s">
        <v>104</v>
      </c>
      <c r="I1518">
        <v>2030</v>
      </c>
      <c r="J1518" t="s">
        <v>490</v>
      </c>
      <c r="K1518" t="s">
        <v>106</v>
      </c>
      <c r="L1518" t="s">
        <v>1869</v>
      </c>
      <c r="M1518" t="s">
        <v>1893</v>
      </c>
      <c r="N1518">
        <v>1</v>
      </c>
      <c r="O1518">
        <v>2030</v>
      </c>
      <c r="P1518">
        <v>1758.024723094816</v>
      </c>
      <c r="Q1518">
        <v>83.737016934227881</v>
      </c>
      <c r="R1518" t="s">
        <v>109</v>
      </c>
      <c r="S1518">
        <v>7.4409021904142287</v>
      </c>
      <c r="T1518" t="s">
        <v>110</v>
      </c>
      <c r="U1518">
        <v>2.5696109704641348</v>
      </c>
      <c r="V1518">
        <v>17370.421230436659</v>
      </c>
      <c r="W1518">
        <v>827.37588250020167</v>
      </c>
      <c r="X1518" t="s">
        <v>111</v>
      </c>
      <c r="Y1518">
        <v>10</v>
      </c>
      <c r="Z1518">
        <v>0.44</v>
      </c>
      <c r="AA1518">
        <v>31.536000000000001</v>
      </c>
    </row>
    <row r="1519" spans="1:27" hidden="1" x14ac:dyDescent="0.25">
      <c r="A1519" t="s">
        <v>98</v>
      </c>
      <c r="B1519" t="s">
        <v>99</v>
      </c>
      <c r="D1519" t="s">
        <v>1722</v>
      </c>
      <c r="E1519" t="s">
        <v>439</v>
      </c>
      <c r="F1519" t="s">
        <v>479</v>
      </c>
      <c r="G1519" t="s">
        <v>103</v>
      </c>
      <c r="H1519" t="s">
        <v>104</v>
      </c>
      <c r="I1519">
        <v>2040</v>
      </c>
      <c r="J1519" t="s">
        <v>492</v>
      </c>
      <c r="K1519" t="s">
        <v>106</v>
      </c>
      <c r="L1519" t="s">
        <v>1869</v>
      </c>
      <c r="M1519" t="s">
        <v>1894</v>
      </c>
      <c r="N1519">
        <v>1</v>
      </c>
      <c r="O1519">
        <v>2040</v>
      </c>
      <c r="P1519">
        <v>1649.1429636040691</v>
      </c>
      <c r="Q1519">
        <v>83.737016934227881</v>
      </c>
      <c r="R1519" t="s">
        <v>109</v>
      </c>
      <c r="S1519">
        <v>4.464541314248538</v>
      </c>
      <c r="T1519" t="s">
        <v>110</v>
      </c>
      <c r="U1519">
        <v>1.541766582278481</v>
      </c>
      <c r="V1519">
        <v>16294.59902963399</v>
      </c>
      <c r="W1519">
        <v>827.37588250020167</v>
      </c>
      <c r="X1519" t="s">
        <v>111</v>
      </c>
      <c r="Y1519">
        <v>10</v>
      </c>
      <c r="Z1519">
        <v>0.44</v>
      </c>
      <c r="AA1519">
        <v>31.536000000000001</v>
      </c>
    </row>
    <row r="1520" spans="1:27" hidden="1" x14ac:dyDescent="0.25">
      <c r="A1520" t="s">
        <v>98</v>
      </c>
      <c r="B1520" t="s">
        <v>99</v>
      </c>
      <c r="D1520" t="s">
        <v>1722</v>
      </c>
      <c r="E1520" t="s">
        <v>439</v>
      </c>
      <c r="F1520" t="s">
        <v>479</v>
      </c>
      <c r="G1520" t="s">
        <v>112</v>
      </c>
      <c r="H1520" t="s">
        <v>104</v>
      </c>
      <c r="I1520">
        <v>2040</v>
      </c>
      <c r="J1520" t="s">
        <v>494</v>
      </c>
      <c r="K1520" t="s">
        <v>106</v>
      </c>
      <c r="L1520" t="s">
        <v>1869</v>
      </c>
      <c r="M1520" t="s">
        <v>1895</v>
      </c>
      <c r="N1520">
        <v>1</v>
      </c>
      <c r="O1520">
        <v>2040</v>
      </c>
      <c r="P1520">
        <v>1758.024723094816</v>
      </c>
      <c r="Q1520">
        <v>83.737016934227881</v>
      </c>
      <c r="R1520" t="s">
        <v>109</v>
      </c>
      <c r="S1520">
        <v>7.4409021904142287</v>
      </c>
      <c r="T1520" t="s">
        <v>110</v>
      </c>
      <c r="U1520">
        <v>2.5696109704641348</v>
      </c>
      <c r="V1520">
        <v>17370.421230436659</v>
      </c>
      <c r="W1520">
        <v>827.37588250020167</v>
      </c>
      <c r="X1520" t="s">
        <v>111</v>
      </c>
      <c r="Y1520">
        <v>10</v>
      </c>
      <c r="Z1520">
        <v>0.44</v>
      </c>
      <c r="AA1520">
        <v>31.536000000000001</v>
      </c>
    </row>
    <row r="1521" spans="1:27" hidden="1" x14ac:dyDescent="0.25">
      <c r="A1521" t="s">
        <v>98</v>
      </c>
      <c r="B1521" t="s">
        <v>99</v>
      </c>
      <c r="D1521" t="s">
        <v>1722</v>
      </c>
      <c r="E1521" t="s">
        <v>439</v>
      </c>
      <c r="F1521" t="s">
        <v>479</v>
      </c>
      <c r="G1521" t="s">
        <v>112</v>
      </c>
      <c r="H1521" t="s">
        <v>104</v>
      </c>
      <c r="I1521">
        <v>2025</v>
      </c>
      <c r="J1521" t="s">
        <v>496</v>
      </c>
      <c r="K1521" t="s">
        <v>106</v>
      </c>
      <c r="L1521" t="s">
        <v>1869</v>
      </c>
      <c r="M1521" t="s">
        <v>1896</v>
      </c>
      <c r="N1521">
        <v>1</v>
      </c>
      <c r="O1521">
        <v>2025</v>
      </c>
      <c r="P1521">
        <v>1758.024723094816</v>
      </c>
      <c r="Q1521">
        <v>83.737016934227881</v>
      </c>
      <c r="R1521" t="s">
        <v>109</v>
      </c>
      <c r="S1521">
        <v>7.4409021904142287</v>
      </c>
      <c r="T1521" t="s">
        <v>110</v>
      </c>
      <c r="U1521">
        <v>2.5696109704641348</v>
      </c>
      <c r="V1521">
        <v>17370.421230436659</v>
      </c>
      <c r="W1521">
        <v>827.37588250020167</v>
      </c>
      <c r="X1521" t="s">
        <v>111</v>
      </c>
      <c r="Y1521">
        <v>10</v>
      </c>
      <c r="Z1521">
        <v>0.44</v>
      </c>
      <c r="AA1521">
        <v>31.536000000000001</v>
      </c>
    </row>
    <row r="1522" spans="1:27" hidden="1" x14ac:dyDescent="0.25">
      <c r="A1522" t="s">
        <v>498</v>
      </c>
      <c r="J1522" t="s">
        <v>1897</v>
      </c>
      <c r="M1522" t="s">
        <v>498</v>
      </c>
      <c r="N1522" t="s">
        <v>498</v>
      </c>
    </row>
    <row r="1523" spans="1:27" hidden="1" x14ac:dyDescent="0.25">
      <c r="A1523" t="s">
        <v>98</v>
      </c>
      <c r="B1523" t="s">
        <v>499</v>
      </c>
      <c r="D1523" t="s">
        <v>1722</v>
      </c>
      <c r="E1523" t="s">
        <v>101</v>
      </c>
      <c r="F1523" t="s">
        <v>102</v>
      </c>
      <c r="G1523" t="s">
        <v>103</v>
      </c>
      <c r="H1523" t="s">
        <v>104</v>
      </c>
      <c r="I1523">
        <v>2061</v>
      </c>
      <c r="J1523" t="s">
        <v>105</v>
      </c>
      <c r="K1523" t="s">
        <v>106</v>
      </c>
      <c r="L1523" t="s">
        <v>1898</v>
      </c>
      <c r="M1523" t="s">
        <v>1899</v>
      </c>
      <c r="N1523">
        <v>1</v>
      </c>
      <c r="O1523">
        <v>2061</v>
      </c>
      <c r="P1523">
        <v>117.0584711706526</v>
      </c>
      <c r="Q1523">
        <v>4.2000145906136934</v>
      </c>
      <c r="R1523" t="s">
        <v>109</v>
      </c>
      <c r="S1523">
        <v>3.3</v>
      </c>
      <c r="T1523" t="s">
        <v>110</v>
      </c>
      <c r="U1523">
        <v>3.3</v>
      </c>
      <c r="V1523">
        <v>399.42017862788401</v>
      </c>
      <c r="W1523">
        <v>14.33104807576899</v>
      </c>
      <c r="X1523" t="s">
        <v>111</v>
      </c>
      <c r="Y1523">
        <v>21</v>
      </c>
      <c r="Z1523">
        <v>0.23552730994099891</v>
      </c>
      <c r="AA1523">
        <v>31.536000000000001</v>
      </c>
    </row>
    <row r="1524" spans="1:27" hidden="1" x14ac:dyDescent="0.25">
      <c r="A1524" t="s">
        <v>98</v>
      </c>
      <c r="B1524" t="s">
        <v>499</v>
      </c>
      <c r="D1524" t="s">
        <v>1722</v>
      </c>
      <c r="E1524" t="s">
        <v>101</v>
      </c>
      <c r="F1524" t="s">
        <v>102</v>
      </c>
      <c r="G1524" t="s">
        <v>112</v>
      </c>
      <c r="H1524" t="s">
        <v>104</v>
      </c>
      <c r="I1524">
        <v>2022</v>
      </c>
      <c r="J1524" t="s">
        <v>113</v>
      </c>
      <c r="K1524" t="s">
        <v>106</v>
      </c>
      <c r="L1524" t="s">
        <v>1898</v>
      </c>
      <c r="M1524" t="s">
        <v>1900</v>
      </c>
      <c r="N1524">
        <v>1</v>
      </c>
      <c r="O1524">
        <v>2020</v>
      </c>
      <c r="P1524">
        <v>200.7885700942916</v>
      </c>
      <c r="Q1524">
        <v>4.2000145906136934</v>
      </c>
      <c r="R1524" t="s">
        <v>109</v>
      </c>
      <c r="S1524">
        <v>3.7</v>
      </c>
      <c r="T1524" t="s">
        <v>110</v>
      </c>
      <c r="U1524">
        <v>3.7</v>
      </c>
      <c r="V1524">
        <v>685.1192035182313</v>
      </c>
      <c r="W1524">
        <v>14.33104807576899</v>
      </c>
      <c r="X1524" t="s">
        <v>111</v>
      </c>
      <c r="Y1524">
        <v>21</v>
      </c>
      <c r="Z1524">
        <v>0.23552730994099891</v>
      </c>
      <c r="AA1524">
        <v>31.536000000000001</v>
      </c>
    </row>
    <row r="1525" spans="1:27" hidden="1" x14ac:dyDescent="0.25">
      <c r="A1525" t="s">
        <v>98</v>
      </c>
      <c r="B1525" t="s">
        <v>499</v>
      </c>
      <c r="D1525" t="s">
        <v>1722</v>
      </c>
      <c r="E1525" t="s">
        <v>101</v>
      </c>
      <c r="F1525" t="s">
        <v>102</v>
      </c>
      <c r="G1525" t="s">
        <v>103</v>
      </c>
      <c r="H1525" t="s">
        <v>104</v>
      </c>
      <c r="I1525">
        <v>2023</v>
      </c>
      <c r="J1525" t="s">
        <v>115</v>
      </c>
      <c r="K1525" t="s">
        <v>106</v>
      </c>
      <c r="L1525" t="s">
        <v>1898</v>
      </c>
      <c r="M1525" t="s">
        <v>1901</v>
      </c>
      <c r="N1525">
        <v>1</v>
      </c>
      <c r="O1525">
        <v>2023</v>
      </c>
      <c r="P1525">
        <v>135.73557542199771</v>
      </c>
      <c r="Q1525">
        <v>4.2000145906136934</v>
      </c>
      <c r="R1525" t="s">
        <v>109</v>
      </c>
      <c r="S1525">
        <v>3.4</v>
      </c>
      <c r="T1525" t="s">
        <v>110</v>
      </c>
      <c r="U1525">
        <v>3.4</v>
      </c>
      <c r="V1525">
        <v>463.14911888927151</v>
      </c>
      <c r="W1525">
        <v>14.33104807576899</v>
      </c>
      <c r="X1525" t="s">
        <v>111</v>
      </c>
      <c r="Y1525">
        <v>21</v>
      </c>
      <c r="Z1525">
        <v>0.23552730994099891</v>
      </c>
      <c r="AA1525">
        <v>31.536000000000001</v>
      </c>
    </row>
    <row r="1526" spans="1:27" hidden="1" x14ac:dyDescent="0.25">
      <c r="A1526" t="s">
        <v>98</v>
      </c>
      <c r="B1526" t="s">
        <v>499</v>
      </c>
      <c r="D1526" t="s">
        <v>1722</v>
      </c>
      <c r="E1526" t="s">
        <v>101</v>
      </c>
      <c r="F1526" t="s">
        <v>117</v>
      </c>
      <c r="G1526" t="s">
        <v>103</v>
      </c>
      <c r="H1526" t="s">
        <v>104</v>
      </c>
      <c r="I1526">
        <v>2033</v>
      </c>
      <c r="J1526" t="s">
        <v>118</v>
      </c>
      <c r="K1526" t="s">
        <v>106</v>
      </c>
      <c r="L1526" t="s">
        <v>1898</v>
      </c>
      <c r="M1526" t="s">
        <v>1902</v>
      </c>
      <c r="N1526">
        <v>1</v>
      </c>
      <c r="O1526">
        <v>2033</v>
      </c>
      <c r="P1526">
        <v>483.9331327692995</v>
      </c>
      <c r="Q1526">
        <v>3.810497108419681</v>
      </c>
      <c r="R1526" t="s">
        <v>109</v>
      </c>
      <c r="S1526">
        <v>3.7</v>
      </c>
      <c r="T1526" t="s">
        <v>110</v>
      </c>
      <c r="U1526">
        <v>3.7</v>
      </c>
      <c r="V1526">
        <v>1651.2487853431401</v>
      </c>
      <c r="W1526">
        <v>13.00195893970977</v>
      </c>
      <c r="X1526" t="s">
        <v>111</v>
      </c>
      <c r="Y1526">
        <v>14.4</v>
      </c>
      <c r="Z1526">
        <v>0.23552730994099891</v>
      </c>
      <c r="AA1526">
        <v>31.536000000000001</v>
      </c>
    </row>
    <row r="1527" spans="1:27" hidden="1" x14ac:dyDescent="0.25">
      <c r="A1527" t="s">
        <v>98</v>
      </c>
      <c r="B1527" t="s">
        <v>499</v>
      </c>
      <c r="D1527" t="s">
        <v>1722</v>
      </c>
      <c r="E1527" t="s">
        <v>101</v>
      </c>
      <c r="F1527" t="s">
        <v>117</v>
      </c>
      <c r="G1527" t="s">
        <v>67</v>
      </c>
      <c r="H1527" t="s">
        <v>104</v>
      </c>
      <c r="I1527">
        <v>2033</v>
      </c>
      <c r="J1527" t="s">
        <v>120</v>
      </c>
      <c r="K1527" t="s">
        <v>106</v>
      </c>
      <c r="L1527" t="s">
        <v>1898</v>
      </c>
      <c r="M1527" t="s">
        <v>1903</v>
      </c>
      <c r="N1527">
        <v>1</v>
      </c>
      <c r="O1527">
        <v>2033</v>
      </c>
      <c r="P1527">
        <v>497.90495550017158</v>
      </c>
      <c r="Q1527">
        <v>3.810497108419681</v>
      </c>
      <c r="R1527" t="s">
        <v>109</v>
      </c>
      <c r="S1527">
        <v>3.8</v>
      </c>
      <c r="T1527" t="s">
        <v>110</v>
      </c>
      <c r="U1527">
        <v>3.8</v>
      </c>
      <c r="V1527">
        <v>1698.9226347887429</v>
      </c>
      <c r="W1527">
        <v>13.00195893970977</v>
      </c>
      <c r="X1527" t="s">
        <v>111</v>
      </c>
      <c r="Y1527">
        <v>14.4</v>
      </c>
      <c r="Z1527">
        <v>0.23552730994099891</v>
      </c>
      <c r="AA1527">
        <v>31.536000000000001</v>
      </c>
    </row>
    <row r="1528" spans="1:27" hidden="1" x14ac:dyDescent="0.25">
      <c r="A1528" t="s">
        <v>98</v>
      </c>
      <c r="B1528" t="s">
        <v>499</v>
      </c>
      <c r="D1528" t="s">
        <v>1722</v>
      </c>
      <c r="E1528" t="s">
        <v>101</v>
      </c>
      <c r="F1528" t="s">
        <v>117</v>
      </c>
      <c r="G1528" t="s">
        <v>112</v>
      </c>
      <c r="H1528" t="s">
        <v>104</v>
      </c>
      <c r="I1528">
        <v>2033</v>
      </c>
      <c r="J1528" t="s">
        <v>122</v>
      </c>
      <c r="K1528" t="s">
        <v>106</v>
      </c>
      <c r="L1528" t="s">
        <v>1898</v>
      </c>
      <c r="M1528" t="s">
        <v>1904</v>
      </c>
      <c r="N1528">
        <v>1</v>
      </c>
      <c r="O1528">
        <v>2033</v>
      </c>
      <c r="P1528">
        <v>513.14694393385037</v>
      </c>
      <c r="Q1528">
        <v>3.810497108419681</v>
      </c>
      <c r="R1528" t="s">
        <v>109</v>
      </c>
      <c r="S1528">
        <v>4</v>
      </c>
      <c r="T1528" t="s">
        <v>110</v>
      </c>
      <c r="U1528">
        <v>4</v>
      </c>
      <c r="V1528">
        <v>1750.930470547582</v>
      </c>
      <c r="W1528">
        <v>13.00195893970977</v>
      </c>
      <c r="X1528" t="s">
        <v>111</v>
      </c>
      <c r="Y1528">
        <v>14.4</v>
      </c>
      <c r="Z1528">
        <v>0.23552730994099891</v>
      </c>
      <c r="AA1528">
        <v>31.536000000000001</v>
      </c>
    </row>
    <row r="1529" spans="1:27" hidden="1" x14ac:dyDescent="0.25">
      <c r="A1529" t="s">
        <v>98</v>
      </c>
      <c r="B1529" t="s">
        <v>499</v>
      </c>
      <c r="D1529" t="s">
        <v>1722</v>
      </c>
      <c r="E1529" t="s">
        <v>101</v>
      </c>
      <c r="F1529" t="s">
        <v>117</v>
      </c>
      <c r="G1529" t="s">
        <v>103</v>
      </c>
      <c r="H1529" t="s">
        <v>104</v>
      </c>
      <c r="I1529">
        <v>2023</v>
      </c>
      <c r="J1529" t="s">
        <v>124</v>
      </c>
      <c r="K1529" t="s">
        <v>106</v>
      </c>
      <c r="L1529" t="s">
        <v>1898</v>
      </c>
      <c r="M1529" t="s">
        <v>1905</v>
      </c>
      <c r="N1529">
        <v>1</v>
      </c>
      <c r="O1529">
        <v>2023</v>
      </c>
      <c r="P1529">
        <v>483.9331327692995</v>
      </c>
      <c r="Q1529">
        <v>3.810497108419681</v>
      </c>
      <c r="R1529" t="s">
        <v>109</v>
      </c>
      <c r="S1529">
        <v>3.7</v>
      </c>
      <c r="T1529" t="s">
        <v>110</v>
      </c>
      <c r="U1529">
        <v>3.7</v>
      </c>
      <c r="V1529">
        <v>1651.2487853431401</v>
      </c>
      <c r="W1529">
        <v>13.00195893970977</v>
      </c>
      <c r="X1529" t="s">
        <v>111</v>
      </c>
      <c r="Y1529">
        <v>14.4</v>
      </c>
      <c r="Z1529">
        <v>0.23552730994099891</v>
      </c>
      <c r="AA1529">
        <v>31.536000000000001</v>
      </c>
    </row>
    <row r="1530" spans="1:27" hidden="1" x14ac:dyDescent="0.25">
      <c r="A1530" t="s">
        <v>98</v>
      </c>
      <c r="B1530" t="s">
        <v>499</v>
      </c>
      <c r="D1530" t="s">
        <v>1722</v>
      </c>
      <c r="E1530" t="s">
        <v>101</v>
      </c>
      <c r="F1530" t="s">
        <v>117</v>
      </c>
      <c r="G1530" t="s">
        <v>67</v>
      </c>
      <c r="H1530" t="s">
        <v>104</v>
      </c>
      <c r="I1530">
        <v>2023</v>
      </c>
      <c r="J1530" t="s">
        <v>126</v>
      </c>
      <c r="K1530" t="s">
        <v>106</v>
      </c>
      <c r="L1530" t="s">
        <v>1898</v>
      </c>
      <c r="M1530" t="s">
        <v>1906</v>
      </c>
      <c r="N1530">
        <v>1</v>
      </c>
      <c r="O1530">
        <v>2023</v>
      </c>
      <c r="P1530">
        <v>497.90495550017158</v>
      </c>
      <c r="Q1530">
        <v>3.810497108419681</v>
      </c>
      <c r="R1530" t="s">
        <v>109</v>
      </c>
      <c r="S1530">
        <v>3.8</v>
      </c>
      <c r="T1530" t="s">
        <v>110</v>
      </c>
      <c r="U1530">
        <v>3.8</v>
      </c>
      <c r="V1530">
        <v>1698.9226347887429</v>
      </c>
      <c r="W1530">
        <v>13.00195893970977</v>
      </c>
      <c r="X1530" t="s">
        <v>111</v>
      </c>
      <c r="Y1530">
        <v>14.4</v>
      </c>
      <c r="Z1530">
        <v>0.23552730994099891</v>
      </c>
      <c r="AA1530">
        <v>31.536000000000001</v>
      </c>
    </row>
    <row r="1531" spans="1:27" hidden="1" x14ac:dyDescent="0.25">
      <c r="A1531" t="s">
        <v>98</v>
      </c>
      <c r="B1531" t="s">
        <v>499</v>
      </c>
      <c r="D1531" t="s">
        <v>1722</v>
      </c>
      <c r="E1531" t="s">
        <v>101</v>
      </c>
      <c r="F1531" t="s">
        <v>117</v>
      </c>
      <c r="G1531" t="s">
        <v>112</v>
      </c>
      <c r="H1531" t="s">
        <v>104</v>
      </c>
      <c r="I1531">
        <v>2023</v>
      </c>
      <c r="J1531" t="s">
        <v>128</v>
      </c>
      <c r="K1531" t="s">
        <v>106</v>
      </c>
      <c r="L1531" t="s">
        <v>1898</v>
      </c>
      <c r="M1531" t="s">
        <v>1907</v>
      </c>
      <c r="N1531">
        <v>1</v>
      </c>
      <c r="O1531">
        <v>2023</v>
      </c>
      <c r="P1531">
        <v>513.14694393385037</v>
      </c>
      <c r="Q1531">
        <v>3.810497108419681</v>
      </c>
      <c r="R1531" t="s">
        <v>109</v>
      </c>
      <c r="S1531">
        <v>4</v>
      </c>
      <c r="T1531" t="s">
        <v>110</v>
      </c>
      <c r="U1531">
        <v>4</v>
      </c>
      <c r="V1531">
        <v>1750.930470547582</v>
      </c>
      <c r="W1531">
        <v>13.00195893970977</v>
      </c>
      <c r="X1531" t="s">
        <v>111</v>
      </c>
      <c r="Y1531">
        <v>14.4</v>
      </c>
      <c r="Z1531">
        <v>0.23552730994099891</v>
      </c>
      <c r="AA1531">
        <v>31.536000000000001</v>
      </c>
    </row>
    <row r="1532" spans="1:27" hidden="1" x14ac:dyDescent="0.25">
      <c r="A1532" t="s">
        <v>98</v>
      </c>
      <c r="B1532" t="s">
        <v>499</v>
      </c>
      <c r="D1532" t="s">
        <v>1722</v>
      </c>
      <c r="E1532" t="s">
        <v>101</v>
      </c>
      <c r="F1532" t="s">
        <v>130</v>
      </c>
      <c r="G1532" t="s">
        <v>103</v>
      </c>
      <c r="H1532" t="s">
        <v>131</v>
      </c>
      <c r="I1532">
        <v>2022</v>
      </c>
      <c r="J1532" t="s">
        <v>132</v>
      </c>
      <c r="K1532" t="s">
        <v>133</v>
      </c>
      <c r="L1532" t="s">
        <v>1898</v>
      </c>
      <c r="M1532" t="s">
        <v>1908</v>
      </c>
      <c r="N1532">
        <v>1</v>
      </c>
      <c r="O1532">
        <v>2020</v>
      </c>
      <c r="P1532">
        <v>335.32374554093201</v>
      </c>
      <c r="Q1532">
        <v>6.3000218859205397</v>
      </c>
      <c r="R1532" t="s">
        <v>109</v>
      </c>
      <c r="S1532">
        <v>1.4</v>
      </c>
      <c r="T1532" t="s">
        <v>110</v>
      </c>
      <c r="U1532">
        <v>1.4</v>
      </c>
      <c r="V1532">
        <v>1144.172386694459</v>
      </c>
      <c r="W1532">
        <v>21.496572113653482</v>
      </c>
      <c r="X1532" t="s">
        <v>111</v>
      </c>
      <c r="Y1532">
        <v>15</v>
      </c>
      <c r="Z1532">
        <v>0.23552730994099891</v>
      </c>
      <c r="AA1532">
        <v>31.536000000000001</v>
      </c>
    </row>
    <row r="1533" spans="1:27" hidden="1" x14ac:dyDescent="0.25">
      <c r="A1533" t="s">
        <v>98</v>
      </c>
      <c r="B1533" t="s">
        <v>499</v>
      </c>
      <c r="D1533" t="s">
        <v>1722</v>
      </c>
      <c r="E1533" t="s">
        <v>101</v>
      </c>
      <c r="F1533" t="s">
        <v>135</v>
      </c>
      <c r="G1533" t="s">
        <v>103</v>
      </c>
      <c r="H1533" t="s">
        <v>136</v>
      </c>
      <c r="I1533">
        <v>2030</v>
      </c>
      <c r="J1533" t="s">
        <v>137</v>
      </c>
      <c r="K1533" t="s">
        <v>138</v>
      </c>
      <c r="L1533" t="s">
        <v>1898</v>
      </c>
      <c r="M1533" t="s">
        <v>1909</v>
      </c>
      <c r="N1533">
        <v>1</v>
      </c>
      <c r="O1533">
        <v>2030</v>
      </c>
      <c r="P1533">
        <v>55.186509846078152</v>
      </c>
      <c r="Q1533">
        <v>4.0294911951104666</v>
      </c>
      <c r="R1533" t="s">
        <v>109</v>
      </c>
      <c r="S1533">
        <v>0.87</v>
      </c>
      <c r="T1533" t="s">
        <v>110</v>
      </c>
      <c r="U1533">
        <v>0.87</v>
      </c>
      <c r="V1533">
        <v>188.30423291993449</v>
      </c>
      <c r="W1533">
        <v>13.749197959233321</v>
      </c>
      <c r="X1533" t="s">
        <v>111</v>
      </c>
      <c r="Y1533">
        <v>25</v>
      </c>
      <c r="Z1533">
        <v>0.23552730994099891</v>
      </c>
      <c r="AA1533">
        <v>31.536000000000001</v>
      </c>
    </row>
    <row r="1534" spans="1:27" hidden="1" x14ac:dyDescent="0.25">
      <c r="A1534" t="s">
        <v>98</v>
      </c>
      <c r="B1534" t="s">
        <v>499</v>
      </c>
      <c r="D1534" t="s">
        <v>1722</v>
      </c>
      <c r="E1534" t="s">
        <v>101</v>
      </c>
      <c r="F1534" t="s">
        <v>135</v>
      </c>
      <c r="G1534" t="s">
        <v>103</v>
      </c>
      <c r="H1534" t="s">
        <v>136</v>
      </c>
      <c r="I1534">
        <v>2040</v>
      </c>
      <c r="J1534" t="s">
        <v>140</v>
      </c>
      <c r="K1534" t="s">
        <v>138</v>
      </c>
      <c r="L1534" t="s">
        <v>1898</v>
      </c>
      <c r="M1534" t="s">
        <v>1910</v>
      </c>
      <c r="N1534">
        <v>1</v>
      </c>
      <c r="O1534">
        <v>2040</v>
      </c>
      <c r="P1534">
        <v>53.946363557402229</v>
      </c>
      <c r="Q1534">
        <v>3.9389408311754002</v>
      </c>
      <c r="R1534" t="s">
        <v>109</v>
      </c>
      <c r="S1534">
        <v>0.89</v>
      </c>
      <c r="T1534" t="s">
        <v>110</v>
      </c>
      <c r="U1534">
        <v>0.89</v>
      </c>
      <c r="V1534">
        <v>184.07267712398101</v>
      </c>
      <c r="W1534">
        <v>13.440227218576389</v>
      </c>
      <c r="X1534" t="s">
        <v>111</v>
      </c>
      <c r="Y1534">
        <v>25</v>
      </c>
      <c r="Z1534">
        <v>0.23552730994099891</v>
      </c>
      <c r="AA1534">
        <v>31.536000000000001</v>
      </c>
    </row>
    <row r="1535" spans="1:27" hidden="1" x14ac:dyDescent="0.25">
      <c r="A1535" t="s">
        <v>98</v>
      </c>
      <c r="B1535" t="s">
        <v>499</v>
      </c>
      <c r="D1535" t="s">
        <v>1722</v>
      </c>
      <c r="E1535" t="s">
        <v>142</v>
      </c>
      <c r="F1535" t="s">
        <v>102</v>
      </c>
      <c r="G1535" t="s">
        <v>103</v>
      </c>
      <c r="H1535" t="s">
        <v>104</v>
      </c>
      <c r="I1535">
        <v>2061</v>
      </c>
      <c r="J1535" t="s">
        <v>143</v>
      </c>
      <c r="K1535" t="s">
        <v>106</v>
      </c>
      <c r="L1535" t="s">
        <v>1911</v>
      </c>
      <c r="M1535" t="s">
        <v>1912</v>
      </c>
      <c r="N1535">
        <v>1</v>
      </c>
      <c r="O1535">
        <v>2061</v>
      </c>
      <c r="P1535">
        <v>117.0584711706526</v>
      </c>
      <c r="Q1535">
        <v>4.2000145906136934</v>
      </c>
      <c r="R1535" t="s">
        <v>109</v>
      </c>
      <c r="S1535">
        <v>3.2239155920281362</v>
      </c>
      <c r="T1535" t="s">
        <v>110</v>
      </c>
      <c r="U1535">
        <v>3.2239155920281362</v>
      </c>
      <c r="V1535">
        <v>399.42017862788401</v>
      </c>
      <c r="W1535">
        <v>14.33104807576899</v>
      </c>
      <c r="X1535" t="s">
        <v>111</v>
      </c>
      <c r="Y1535">
        <v>21</v>
      </c>
      <c r="Z1535">
        <v>0.1218781971003525</v>
      </c>
      <c r="AA1535">
        <v>31.536000000000001</v>
      </c>
    </row>
    <row r="1536" spans="1:27" hidden="1" x14ac:dyDescent="0.25">
      <c r="A1536" t="s">
        <v>98</v>
      </c>
      <c r="B1536" t="s">
        <v>499</v>
      </c>
      <c r="D1536" t="s">
        <v>1722</v>
      </c>
      <c r="E1536" t="s">
        <v>142</v>
      </c>
      <c r="F1536" t="s">
        <v>102</v>
      </c>
      <c r="G1536" t="s">
        <v>112</v>
      </c>
      <c r="H1536" t="s">
        <v>104</v>
      </c>
      <c r="I1536">
        <v>2022</v>
      </c>
      <c r="J1536" t="s">
        <v>146</v>
      </c>
      <c r="K1536" t="s">
        <v>106</v>
      </c>
      <c r="L1536" t="s">
        <v>1911</v>
      </c>
      <c r="M1536" t="s">
        <v>1913</v>
      </c>
      <c r="N1536">
        <v>1</v>
      </c>
      <c r="O1536">
        <v>2020</v>
      </c>
      <c r="P1536">
        <v>200.7885700942916</v>
      </c>
      <c r="Q1536">
        <v>4.2000145906136934</v>
      </c>
      <c r="R1536" t="s">
        <v>109</v>
      </c>
      <c r="S1536">
        <v>3.8393903868698711</v>
      </c>
      <c r="T1536" t="s">
        <v>110</v>
      </c>
      <c r="U1536">
        <v>3.8393903868698711</v>
      </c>
      <c r="V1536">
        <v>685.1192035182313</v>
      </c>
      <c r="W1536">
        <v>14.33104807576899</v>
      </c>
      <c r="X1536" t="s">
        <v>111</v>
      </c>
      <c r="Y1536">
        <v>21</v>
      </c>
      <c r="Z1536">
        <v>0.1218781971003525</v>
      </c>
      <c r="AA1536">
        <v>31.536000000000001</v>
      </c>
    </row>
    <row r="1537" spans="1:27" hidden="1" x14ac:dyDescent="0.25">
      <c r="A1537" t="s">
        <v>98</v>
      </c>
      <c r="B1537" t="s">
        <v>499</v>
      </c>
      <c r="D1537" t="s">
        <v>1722</v>
      </c>
      <c r="E1537" t="s">
        <v>142</v>
      </c>
      <c r="F1537" t="s">
        <v>102</v>
      </c>
      <c r="G1537" t="s">
        <v>103</v>
      </c>
      <c r="H1537" t="s">
        <v>104</v>
      </c>
      <c r="I1537">
        <v>2023</v>
      </c>
      <c r="J1537" t="s">
        <v>148</v>
      </c>
      <c r="K1537" t="s">
        <v>106</v>
      </c>
      <c r="L1537" t="s">
        <v>1911</v>
      </c>
      <c r="M1537" t="s">
        <v>1914</v>
      </c>
      <c r="N1537">
        <v>1</v>
      </c>
      <c r="O1537">
        <v>2023</v>
      </c>
      <c r="P1537">
        <v>135.73557542199771</v>
      </c>
      <c r="Q1537">
        <v>4.2000145906136934</v>
      </c>
      <c r="R1537" t="s">
        <v>109</v>
      </c>
      <c r="S1537">
        <v>3.4290738569753811</v>
      </c>
      <c r="T1537" t="s">
        <v>110</v>
      </c>
      <c r="U1537">
        <v>3.4290738569753811</v>
      </c>
      <c r="V1537">
        <v>463.14911888927151</v>
      </c>
      <c r="W1537">
        <v>14.33104807576899</v>
      </c>
      <c r="X1537" t="s">
        <v>111</v>
      </c>
      <c r="Y1537">
        <v>21</v>
      </c>
      <c r="Z1537">
        <v>0.1218781971003525</v>
      </c>
      <c r="AA1537">
        <v>31.536000000000001</v>
      </c>
    </row>
    <row r="1538" spans="1:27" hidden="1" x14ac:dyDescent="0.25">
      <c r="A1538" t="s">
        <v>98</v>
      </c>
      <c r="B1538" t="s">
        <v>499</v>
      </c>
      <c r="D1538" t="s">
        <v>1722</v>
      </c>
      <c r="E1538" t="s">
        <v>142</v>
      </c>
      <c r="F1538" t="s">
        <v>117</v>
      </c>
      <c r="G1538" t="s">
        <v>103</v>
      </c>
      <c r="H1538" t="s">
        <v>104</v>
      </c>
      <c r="I1538">
        <v>2033</v>
      </c>
      <c r="J1538" t="s">
        <v>150</v>
      </c>
      <c r="K1538" t="s">
        <v>106</v>
      </c>
      <c r="L1538" t="s">
        <v>1911</v>
      </c>
      <c r="M1538" t="s">
        <v>1915</v>
      </c>
      <c r="N1538">
        <v>1</v>
      </c>
      <c r="O1538">
        <v>2033</v>
      </c>
      <c r="P1538">
        <v>483.9331327692995</v>
      </c>
      <c r="Q1538">
        <v>3.810497108419681</v>
      </c>
      <c r="R1538" t="s">
        <v>109</v>
      </c>
      <c r="S1538">
        <v>5.0996483001172326</v>
      </c>
      <c r="T1538" t="s">
        <v>110</v>
      </c>
      <c r="U1538">
        <v>5.0996483001172326</v>
      </c>
      <c r="V1538">
        <v>1651.2487853431401</v>
      </c>
      <c r="W1538">
        <v>13.00195893970977</v>
      </c>
      <c r="X1538" t="s">
        <v>111</v>
      </c>
      <c r="Y1538">
        <v>14.4</v>
      </c>
      <c r="Z1538">
        <v>0.1218781971003525</v>
      </c>
      <c r="AA1538">
        <v>31.536000000000001</v>
      </c>
    </row>
    <row r="1539" spans="1:27" hidden="1" x14ac:dyDescent="0.25">
      <c r="A1539" t="s">
        <v>98</v>
      </c>
      <c r="B1539" t="s">
        <v>499</v>
      </c>
      <c r="D1539" t="s">
        <v>1722</v>
      </c>
      <c r="E1539" t="s">
        <v>142</v>
      </c>
      <c r="F1539" t="s">
        <v>117</v>
      </c>
      <c r="G1539" t="s">
        <v>67</v>
      </c>
      <c r="H1539" t="s">
        <v>104</v>
      </c>
      <c r="I1539">
        <v>2033</v>
      </c>
      <c r="J1539" t="s">
        <v>152</v>
      </c>
      <c r="K1539" t="s">
        <v>106</v>
      </c>
      <c r="L1539" t="s">
        <v>1911</v>
      </c>
      <c r="M1539" t="s">
        <v>1916</v>
      </c>
      <c r="N1539">
        <v>1</v>
      </c>
      <c r="O1539">
        <v>2033</v>
      </c>
      <c r="P1539">
        <v>497.90495550017158</v>
      </c>
      <c r="Q1539">
        <v>3.810497108419681</v>
      </c>
      <c r="R1539" t="s">
        <v>109</v>
      </c>
      <c r="S1539">
        <v>5.7737397420867529</v>
      </c>
      <c r="T1539" t="s">
        <v>110</v>
      </c>
      <c r="U1539">
        <v>5.7737397420867529</v>
      </c>
      <c r="V1539">
        <v>1698.9226347887429</v>
      </c>
      <c r="W1539">
        <v>13.00195893970977</v>
      </c>
      <c r="X1539" t="s">
        <v>111</v>
      </c>
      <c r="Y1539">
        <v>14.4</v>
      </c>
      <c r="Z1539">
        <v>0.1218781971003525</v>
      </c>
      <c r="AA1539">
        <v>31.536000000000001</v>
      </c>
    </row>
    <row r="1540" spans="1:27" hidden="1" x14ac:dyDescent="0.25">
      <c r="A1540" t="s">
        <v>98</v>
      </c>
      <c r="B1540" t="s">
        <v>499</v>
      </c>
      <c r="D1540" t="s">
        <v>1722</v>
      </c>
      <c r="E1540" t="s">
        <v>142</v>
      </c>
      <c r="F1540" t="s">
        <v>117</v>
      </c>
      <c r="G1540" t="s">
        <v>112</v>
      </c>
      <c r="H1540" t="s">
        <v>104</v>
      </c>
      <c r="I1540">
        <v>2033</v>
      </c>
      <c r="J1540" t="s">
        <v>154</v>
      </c>
      <c r="K1540" t="s">
        <v>106</v>
      </c>
      <c r="L1540" t="s">
        <v>1911</v>
      </c>
      <c r="M1540" t="s">
        <v>1917</v>
      </c>
      <c r="N1540">
        <v>1</v>
      </c>
      <c r="O1540">
        <v>2033</v>
      </c>
      <c r="P1540">
        <v>513.14694393385037</v>
      </c>
      <c r="Q1540">
        <v>3.810497108419681</v>
      </c>
      <c r="R1540" t="s">
        <v>109</v>
      </c>
      <c r="S1540">
        <v>6.4771395076201648</v>
      </c>
      <c r="T1540" t="s">
        <v>110</v>
      </c>
      <c r="U1540">
        <v>6.4771395076201648</v>
      </c>
      <c r="V1540">
        <v>1750.930470547582</v>
      </c>
      <c r="W1540">
        <v>13.00195893970977</v>
      </c>
      <c r="X1540" t="s">
        <v>111</v>
      </c>
      <c r="Y1540">
        <v>14.4</v>
      </c>
      <c r="Z1540">
        <v>0.1218781971003525</v>
      </c>
      <c r="AA1540">
        <v>31.536000000000001</v>
      </c>
    </row>
    <row r="1541" spans="1:27" hidden="1" x14ac:dyDescent="0.25">
      <c r="A1541" t="s">
        <v>98</v>
      </c>
      <c r="B1541" t="s">
        <v>499</v>
      </c>
      <c r="D1541" t="s">
        <v>1722</v>
      </c>
      <c r="E1541" t="s">
        <v>142</v>
      </c>
      <c r="F1541" t="s">
        <v>117</v>
      </c>
      <c r="G1541" t="s">
        <v>103</v>
      </c>
      <c r="H1541" t="s">
        <v>104</v>
      </c>
      <c r="I1541">
        <v>2023</v>
      </c>
      <c r="J1541" t="s">
        <v>156</v>
      </c>
      <c r="K1541" t="s">
        <v>106</v>
      </c>
      <c r="L1541" t="s">
        <v>1911</v>
      </c>
      <c r="M1541" t="s">
        <v>1918</v>
      </c>
      <c r="N1541">
        <v>1</v>
      </c>
      <c r="O1541">
        <v>2023</v>
      </c>
      <c r="P1541">
        <v>498.32834406777368</v>
      </c>
      <c r="Q1541">
        <v>3.810497108419681</v>
      </c>
      <c r="R1541" t="s">
        <v>109</v>
      </c>
      <c r="S1541">
        <v>3.833333333333333</v>
      </c>
      <c r="T1541" t="s">
        <v>110</v>
      </c>
      <c r="U1541">
        <v>3.833333333333333</v>
      </c>
      <c r="V1541">
        <v>1700.3672968931551</v>
      </c>
      <c r="W1541">
        <v>13.00195893970977</v>
      </c>
      <c r="X1541" t="s">
        <v>111</v>
      </c>
      <c r="Y1541">
        <v>14.4</v>
      </c>
      <c r="Z1541">
        <v>0.1218781971003525</v>
      </c>
      <c r="AA1541">
        <v>31.536000000000001</v>
      </c>
    </row>
    <row r="1542" spans="1:27" hidden="1" x14ac:dyDescent="0.25">
      <c r="A1542" t="s">
        <v>98</v>
      </c>
      <c r="B1542" t="s">
        <v>499</v>
      </c>
      <c r="D1542" t="s">
        <v>1722</v>
      </c>
      <c r="E1542" t="s">
        <v>142</v>
      </c>
      <c r="F1542" t="s">
        <v>130</v>
      </c>
      <c r="G1542" t="s">
        <v>103</v>
      </c>
      <c r="H1542" t="s">
        <v>131</v>
      </c>
      <c r="I1542">
        <v>2022</v>
      </c>
      <c r="J1542" t="s">
        <v>158</v>
      </c>
      <c r="K1542" t="s">
        <v>133</v>
      </c>
      <c r="L1542" t="s">
        <v>1911</v>
      </c>
      <c r="M1542" t="s">
        <v>1919</v>
      </c>
      <c r="N1542">
        <v>1</v>
      </c>
      <c r="O1542">
        <v>2020</v>
      </c>
      <c r="P1542">
        <v>335.32374554093201</v>
      </c>
      <c r="Q1542">
        <v>6.3000218859205397</v>
      </c>
      <c r="R1542" t="s">
        <v>109</v>
      </c>
      <c r="S1542">
        <v>1.2</v>
      </c>
      <c r="T1542" t="s">
        <v>110</v>
      </c>
      <c r="U1542">
        <v>1.2</v>
      </c>
      <c r="V1542">
        <v>1144.172386694459</v>
      </c>
      <c r="W1542">
        <v>21.496572113653482</v>
      </c>
      <c r="X1542" t="s">
        <v>111</v>
      </c>
      <c r="Y1542">
        <v>15</v>
      </c>
      <c r="Z1542">
        <v>0.1218781971003525</v>
      </c>
      <c r="AA1542">
        <v>31.536000000000001</v>
      </c>
    </row>
    <row r="1543" spans="1:27" hidden="1" x14ac:dyDescent="0.25">
      <c r="A1543" t="s">
        <v>98</v>
      </c>
      <c r="B1543" t="s">
        <v>499</v>
      </c>
      <c r="D1543" t="s">
        <v>1722</v>
      </c>
      <c r="E1543" t="s">
        <v>142</v>
      </c>
      <c r="F1543" t="s">
        <v>160</v>
      </c>
      <c r="G1543" t="s">
        <v>103</v>
      </c>
      <c r="H1543" t="s">
        <v>104</v>
      </c>
      <c r="I1543">
        <v>2030</v>
      </c>
      <c r="J1543" t="s">
        <v>161</v>
      </c>
      <c r="K1543" t="s">
        <v>106</v>
      </c>
      <c r="L1543" t="s">
        <v>1911</v>
      </c>
      <c r="M1543" t="s">
        <v>1920</v>
      </c>
      <c r="N1543">
        <v>1</v>
      </c>
      <c r="O1543">
        <v>2030</v>
      </c>
      <c r="P1543">
        <v>93.992262007685454</v>
      </c>
      <c r="Q1543">
        <v>4.3185633895423052</v>
      </c>
      <c r="R1543" t="s">
        <v>109</v>
      </c>
      <c r="S1543">
        <v>4.8178066132425448</v>
      </c>
      <c r="T1543" t="s">
        <v>110</v>
      </c>
      <c r="U1543">
        <v>4.8178066132425448</v>
      </c>
      <c r="V1543">
        <v>320.71498717950749</v>
      </c>
      <c r="W1543">
        <v>14.735553465004401</v>
      </c>
      <c r="X1543" t="s">
        <v>111</v>
      </c>
      <c r="Y1543">
        <v>20</v>
      </c>
      <c r="Z1543">
        <v>0.1218781971003525</v>
      </c>
      <c r="AA1543">
        <v>31.536000000000001</v>
      </c>
    </row>
    <row r="1544" spans="1:27" hidden="1" x14ac:dyDescent="0.25">
      <c r="A1544" t="s">
        <v>98</v>
      </c>
      <c r="B1544" t="s">
        <v>499</v>
      </c>
      <c r="D1544" t="s">
        <v>1722</v>
      </c>
      <c r="E1544" t="s">
        <v>142</v>
      </c>
      <c r="F1544" t="s">
        <v>160</v>
      </c>
      <c r="G1544" t="s">
        <v>112</v>
      </c>
      <c r="H1544" t="s">
        <v>104</v>
      </c>
      <c r="I1544">
        <v>2030</v>
      </c>
      <c r="J1544" t="s">
        <v>163</v>
      </c>
      <c r="K1544" t="s">
        <v>106</v>
      </c>
      <c r="L1544" t="s">
        <v>1911</v>
      </c>
      <c r="M1544" t="s">
        <v>1921</v>
      </c>
      <c r="N1544">
        <v>1</v>
      </c>
      <c r="O1544">
        <v>2030</v>
      </c>
      <c r="P1544">
        <v>104.15358763013791</v>
      </c>
      <c r="Q1544">
        <v>4.3185633895423052</v>
      </c>
      <c r="R1544" t="s">
        <v>109</v>
      </c>
      <c r="S1544">
        <v>5.1720570995103783</v>
      </c>
      <c r="T1544" t="s">
        <v>110</v>
      </c>
      <c r="U1544">
        <v>5.1720570995103783</v>
      </c>
      <c r="V1544">
        <v>355.38687768540018</v>
      </c>
      <c r="W1544">
        <v>14.735553465004401</v>
      </c>
      <c r="X1544" t="s">
        <v>111</v>
      </c>
      <c r="Y1544">
        <v>20</v>
      </c>
      <c r="Z1544">
        <v>0.1218781971003525</v>
      </c>
      <c r="AA1544">
        <v>31.536000000000001</v>
      </c>
    </row>
    <row r="1545" spans="1:27" hidden="1" x14ac:dyDescent="0.25">
      <c r="A1545" t="s">
        <v>98</v>
      </c>
      <c r="B1545" t="s">
        <v>499</v>
      </c>
      <c r="D1545" t="s">
        <v>1722</v>
      </c>
      <c r="E1545" t="s">
        <v>142</v>
      </c>
      <c r="F1545" t="s">
        <v>160</v>
      </c>
      <c r="G1545" t="s">
        <v>103</v>
      </c>
      <c r="H1545" t="s">
        <v>104</v>
      </c>
      <c r="I1545">
        <v>2040</v>
      </c>
      <c r="J1545" t="s">
        <v>165</v>
      </c>
      <c r="K1545" t="s">
        <v>106</v>
      </c>
      <c r="L1545" t="s">
        <v>1911</v>
      </c>
      <c r="M1545" t="s">
        <v>1922</v>
      </c>
      <c r="N1545">
        <v>1</v>
      </c>
      <c r="O1545">
        <v>2040</v>
      </c>
      <c r="P1545">
        <v>93.992262007685454</v>
      </c>
      <c r="Q1545">
        <v>4.3185633895423052</v>
      </c>
      <c r="R1545" t="s">
        <v>109</v>
      </c>
      <c r="S1545">
        <v>4.9535194755874059</v>
      </c>
      <c r="T1545" t="s">
        <v>110</v>
      </c>
      <c r="U1545">
        <v>4.9535194755874059</v>
      </c>
      <c r="V1545">
        <v>320.71498717950749</v>
      </c>
      <c r="W1545">
        <v>14.735553465004401</v>
      </c>
      <c r="X1545" t="s">
        <v>111</v>
      </c>
      <c r="Y1545">
        <v>20</v>
      </c>
      <c r="Z1545">
        <v>0.1218781971003525</v>
      </c>
      <c r="AA1545">
        <v>31.536000000000001</v>
      </c>
    </row>
    <row r="1546" spans="1:27" hidden="1" x14ac:dyDescent="0.25">
      <c r="A1546" t="s">
        <v>98</v>
      </c>
      <c r="B1546" t="s">
        <v>499</v>
      </c>
      <c r="D1546" t="s">
        <v>1722</v>
      </c>
      <c r="E1546" t="s">
        <v>142</v>
      </c>
      <c r="F1546" t="s">
        <v>160</v>
      </c>
      <c r="G1546" t="s">
        <v>112</v>
      </c>
      <c r="H1546" t="s">
        <v>104</v>
      </c>
      <c r="I1546">
        <v>2040</v>
      </c>
      <c r="J1546" t="s">
        <v>167</v>
      </c>
      <c r="K1546" t="s">
        <v>106</v>
      </c>
      <c r="L1546" t="s">
        <v>1911</v>
      </c>
      <c r="M1546" t="s">
        <v>1923</v>
      </c>
      <c r="N1546">
        <v>1</v>
      </c>
      <c r="O1546">
        <v>2040</v>
      </c>
      <c r="P1546">
        <v>104.15358763013791</v>
      </c>
      <c r="Q1546">
        <v>4.3185633895423052</v>
      </c>
      <c r="R1546" t="s">
        <v>109</v>
      </c>
      <c r="S1546">
        <v>5.4107674271800876</v>
      </c>
      <c r="T1546" t="s">
        <v>110</v>
      </c>
      <c r="U1546">
        <v>5.4107674271800876</v>
      </c>
      <c r="V1546">
        <v>355.38687768540018</v>
      </c>
      <c r="W1546">
        <v>14.735553465004401</v>
      </c>
      <c r="X1546" t="s">
        <v>111</v>
      </c>
      <c r="Y1546">
        <v>20</v>
      </c>
      <c r="Z1546">
        <v>0.1218781971003525</v>
      </c>
      <c r="AA1546">
        <v>31.536000000000001</v>
      </c>
    </row>
    <row r="1547" spans="1:27" hidden="1" x14ac:dyDescent="0.25">
      <c r="A1547" t="s">
        <v>98</v>
      </c>
      <c r="B1547" t="s">
        <v>499</v>
      </c>
      <c r="D1547" t="s">
        <v>1722</v>
      </c>
      <c r="E1547" t="s">
        <v>142</v>
      </c>
      <c r="F1547" t="s">
        <v>160</v>
      </c>
      <c r="G1547" t="s">
        <v>112</v>
      </c>
      <c r="H1547" t="s">
        <v>104</v>
      </c>
      <c r="I1547">
        <v>2022</v>
      </c>
      <c r="J1547" t="s">
        <v>169</v>
      </c>
      <c r="K1547" t="s">
        <v>106</v>
      </c>
      <c r="L1547" t="s">
        <v>1911</v>
      </c>
      <c r="M1547" t="s">
        <v>1924</v>
      </c>
      <c r="N1547">
        <v>1</v>
      </c>
      <c r="O1547">
        <v>2020</v>
      </c>
      <c r="P1547">
        <v>104.15358763013791</v>
      </c>
      <c r="Q1547">
        <v>4.3185633895423052</v>
      </c>
      <c r="R1547" t="s">
        <v>109</v>
      </c>
      <c r="S1547">
        <v>4.9886508193858967</v>
      </c>
      <c r="T1547" t="s">
        <v>110</v>
      </c>
      <c r="U1547">
        <v>4.9886508193858967</v>
      </c>
      <c r="V1547">
        <v>355.38687768540018</v>
      </c>
      <c r="W1547">
        <v>14.735553465004401</v>
      </c>
      <c r="X1547" t="s">
        <v>111</v>
      </c>
      <c r="Y1547">
        <v>20</v>
      </c>
      <c r="Z1547">
        <v>0.1218781971003525</v>
      </c>
      <c r="AA1547">
        <v>31.536000000000001</v>
      </c>
    </row>
    <row r="1548" spans="1:27" hidden="1" x14ac:dyDescent="0.25">
      <c r="A1548" t="s">
        <v>98</v>
      </c>
      <c r="B1548" t="s">
        <v>499</v>
      </c>
      <c r="D1548" t="s">
        <v>1722</v>
      </c>
      <c r="E1548" t="s">
        <v>142</v>
      </c>
      <c r="F1548" t="s">
        <v>171</v>
      </c>
      <c r="G1548" t="s">
        <v>172</v>
      </c>
      <c r="H1548" t="s">
        <v>104</v>
      </c>
      <c r="I1548">
        <v>2061</v>
      </c>
      <c r="J1548" t="s">
        <v>173</v>
      </c>
      <c r="K1548" t="s">
        <v>106</v>
      </c>
      <c r="L1548" t="s">
        <v>1911</v>
      </c>
      <c r="M1548" t="s">
        <v>1925</v>
      </c>
      <c r="N1548">
        <v>1</v>
      </c>
      <c r="O1548">
        <v>2061</v>
      </c>
      <c r="P1548">
        <v>90.181764899265772</v>
      </c>
      <c r="Q1548">
        <v>3.3024308272970568</v>
      </c>
      <c r="R1548" t="s">
        <v>109</v>
      </c>
      <c r="S1548">
        <v>4.1038492738238714</v>
      </c>
      <c r="T1548" t="s">
        <v>110</v>
      </c>
      <c r="U1548">
        <v>4.1038492738238714</v>
      </c>
      <c r="V1548">
        <v>307.71302823979772</v>
      </c>
      <c r="W1548">
        <v>11.26836441441513</v>
      </c>
      <c r="X1548" t="s">
        <v>111</v>
      </c>
      <c r="Y1548">
        <v>20</v>
      </c>
      <c r="Z1548">
        <v>0.1218781971003525</v>
      </c>
      <c r="AA1548">
        <v>31.536000000000001</v>
      </c>
    </row>
    <row r="1549" spans="1:27" hidden="1" x14ac:dyDescent="0.25">
      <c r="A1549" t="s">
        <v>98</v>
      </c>
      <c r="B1549" t="s">
        <v>499</v>
      </c>
      <c r="D1549" t="s">
        <v>1722</v>
      </c>
      <c r="E1549" t="s">
        <v>142</v>
      </c>
      <c r="F1549" t="s">
        <v>171</v>
      </c>
      <c r="G1549" t="s">
        <v>112</v>
      </c>
      <c r="H1549" t="s">
        <v>104</v>
      </c>
      <c r="I1549">
        <v>2022</v>
      </c>
      <c r="J1549" t="s">
        <v>175</v>
      </c>
      <c r="K1549" t="s">
        <v>106</v>
      </c>
      <c r="L1549" t="s">
        <v>1911</v>
      </c>
      <c r="M1549" t="s">
        <v>1926</v>
      </c>
      <c r="N1549">
        <v>1</v>
      </c>
      <c r="O1549">
        <v>2020</v>
      </c>
      <c r="P1549">
        <v>99.072924818911702</v>
      </c>
      <c r="Q1549">
        <v>3.3024308272970568</v>
      </c>
      <c r="R1549" t="s">
        <v>109</v>
      </c>
      <c r="S1549">
        <v>6.6358468446548251</v>
      </c>
      <c r="T1549" t="s">
        <v>110</v>
      </c>
      <c r="U1549">
        <v>6.6358468446548251</v>
      </c>
      <c r="V1549">
        <v>338.05093243245392</v>
      </c>
      <c r="W1549">
        <v>11.26836441441513</v>
      </c>
      <c r="X1549" t="s">
        <v>111</v>
      </c>
      <c r="Y1549">
        <v>20</v>
      </c>
      <c r="Z1549">
        <v>0.1218781971003525</v>
      </c>
      <c r="AA1549">
        <v>31.536000000000001</v>
      </c>
    </row>
    <row r="1550" spans="1:27" hidden="1" x14ac:dyDescent="0.25">
      <c r="A1550" t="s">
        <v>98</v>
      </c>
      <c r="B1550" t="s">
        <v>499</v>
      </c>
      <c r="D1550" t="s">
        <v>1722</v>
      </c>
      <c r="E1550" t="s">
        <v>142</v>
      </c>
      <c r="F1550" t="s">
        <v>171</v>
      </c>
      <c r="G1550" t="s">
        <v>103</v>
      </c>
      <c r="H1550" t="s">
        <v>104</v>
      </c>
      <c r="I1550">
        <v>2030</v>
      </c>
      <c r="J1550" t="s">
        <v>177</v>
      </c>
      <c r="K1550" t="s">
        <v>106</v>
      </c>
      <c r="L1550" t="s">
        <v>1911</v>
      </c>
      <c r="M1550" t="s">
        <v>1927</v>
      </c>
      <c r="N1550">
        <v>1</v>
      </c>
      <c r="O1550">
        <v>2030</v>
      </c>
      <c r="P1550">
        <v>90.181764899265772</v>
      </c>
      <c r="Q1550">
        <v>3.3024308272970568</v>
      </c>
      <c r="R1550" t="s">
        <v>109</v>
      </c>
      <c r="S1550">
        <v>4.8847205939820251</v>
      </c>
      <c r="T1550" t="s">
        <v>110</v>
      </c>
      <c r="U1550">
        <v>4.8847205939820251</v>
      </c>
      <c r="V1550">
        <v>307.71302823979772</v>
      </c>
      <c r="W1550">
        <v>11.26836441441513</v>
      </c>
      <c r="X1550" t="s">
        <v>111</v>
      </c>
      <c r="Y1550">
        <v>20</v>
      </c>
      <c r="Z1550">
        <v>0.1218781971003525</v>
      </c>
      <c r="AA1550">
        <v>31.536000000000001</v>
      </c>
    </row>
    <row r="1551" spans="1:27" hidden="1" x14ac:dyDescent="0.25">
      <c r="A1551" t="s">
        <v>98</v>
      </c>
      <c r="B1551" t="s">
        <v>499</v>
      </c>
      <c r="D1551" t="s">
        <v>1722</v>
      </c>
      <c r="E1551" t="s">
        <v>142</v>
      </c>
      <c r="F1551" t="s">
        <v>171</v>
      </c>
      <c r="G1551" t="s">
        <v>112</v>
      </c>
      <c r="H1551" t="s">
        <v>104</v>
      </c>
      <c r="I1551">
        <v>2030</v>
      </c>
      <c r="J1551" t="s">
        <v>179</v>
      </c>
      <c r="K1551" t="s">
        <v>106</v>
      </c>
      <c r="L1551" t="s">
        <v>1911</v>
      </c>
      <c r="M1551" t="s">
        <v>1928</v>
      </c>
      <c r="N1551">
        <v>1</v>
      </c>
      <c r="O1551">
        <v>2030</v>
      </c>
      <c r="P1551">
        <v>99.072924818911702</v>
      </c>
      <c r="Q1551">
        <v>3.3024308272970568</v>
      </c>
      <c r="R1551" t="s">
        <v>109</v>
      </c>
      <c r="S1551">
        <v>7.1775486278919534</v>
      </c>
      <c r="T1551" t="s">
        <v>110</v>
      </c>
      <c r="U1551">
        <v>7.1775486278919534</v>
      </c>
      <c r="V1551">
        <v>338.05093243245392</v>
      </c>
      <c r="W1551">
        <v>11.26836441441513</v>
      </c>
      <c r="X1551" t="s">
        <v>111</v>
      </c>
      <c r="Y1551">
        <v>20</v>
      </c>
      <c r="Z1551">
        <v>0.1218781971003525</v>
      </c>
      <c r="AA1551">
        <v>31.536000000000001</v>
      </c>
    </row>
    <row r="1552" spans="1:27" hidden="1" x14ac:dyDescent="0.25">
      <c r="A1552" t="s">
        <v>98</v>
      </c>
      <c r="B1552" t="s">
        <v>499</v>
      </c>
      <c r="D1552" t="s">
        <v>1722</v>
      </c>
      <c r="E1552" t="s">
        <v>142</v>
      </c>
      <c r="F1552" t="s">
        <v>171</v>
      </c>
      <c r="G1552" t="s">
        <v>103</v>
      </c>
      <c r="H1552" t="s">
        <v>104</v>
      </c>
      <c r="I1552">
        <v>2040</v>
      </c>
      <c r="J1552" t="s">
        <v>181</v>
      </c>
      <c r="K1552" t="s">
        <v>106</v>
      </c>
      <c r="L1552" t="s">
        <v>1911</v>
      </c>
      <c r="M1552" t="s">
        <v>1929</v>
      </c>
      <c r="N1552">
        <v>1</v>
      </c>
      <c r="O1552">
        <v>2040</v>
      </c>
      <c r="P1552">
        <v>90.181764899265772</v>
      </c>
      <c r="Q1552">
        <v>3.3024308272970568</v>
      </c>
      <c r="R1552" t="s">
        <v>109</v>
      </c>
      <c r="S1552">
        <v>5.1720570995103783</v>
      </c>
      <c r="T1552" t="s">
        <v>110</v>
      </c>
      <c r="U1552">
        <v>5.1720570995103783</v>
      </c>
      <c r="V1552">
        <v>307.71302823979772</v>
      </c>
      <c r="W1552">
        <v>11.26836441441513</v>
      </c>
      <c r="X1552" t="s">
        <v>111</v>
      </c>
      <c r="Y1552">
        <v>20</v>
      </c>
      <c r="Z1552">
        <v>0.1218781971003525</v>
      </c>
      <c r="AA1552">
        <v>31.536000000000001</v>
      </c>
    </row>
    <row r="1553" spans="1:27" hidden="1" x14ac:dyDescent="0.25">
      <c r="A1553" t="s">
        <v>98</v>
      </c>
      <c r="B1553" t="s">
        <v>499</v>
      </c>
      <c r="D1553" t="s">
        <v>1722</v>
      </c>
      <c r="E1553" t="s">
        <v>142</v>
      </c>
      <c r="F1553" t="s">
        <v>171</v>
      </c>
      <c r="G1553" t="s">
        <v>112</v>
      </c>
      <c r="H1553" t="s">
        <v>104</v>
      </c>
      <c r="I1553">
        <v>2040</v>
      </c>
      <c r="J1553" t="s">
        <v>183</v>
      </c>
      <c r="K1553" t="s">
        <v>106</v>
      </c>
      <c r="L1553" t="s">
        <v>1911</v>
      </c>
      <c r="M1553" t="s">
        <v>1930</v>
      </c>
      <c r="N1553">
        <v>1</v>
      </c>
      <c r="O1553">
        <v>2040</v>
      </c>
      <c r="P1553">
        <v>99.072924818911702</v>
      </c>
      <c r="Q1553">
        <v>3.3024308272970568</v>
      </c>
      <c r="R1553" t="s">
        <v>109</v>
      </c>
      <c r="S1553">
        <v>7.815552950371238</v>
      </c>
      <c r="T1553" t="s">
        <v>110</v>
      </c>
      <c r="U1553">
        <v>7.815552950371238</v>
      </c>
      <c r="V1553">
        <v>338.05093243245392</v>
      </c>
      <c r="W1553">
        <v>11.26836441441513</v>
      </c>
      <c r="X1553" t="s">
        <v>111</v>
      </c>
      <c r="Y1553">
        <v>20</v>
      </c>
      <c r="Z1553">
        <v>0.1218781971003525</v>
      </c>
      <c r="AA1553">
        <v>31.536000000000001</v>
      </c>
    </row>
    <row r="1554" spans="1:27" hidden="1" x14ac:dyDescent="0.25">
      <c r="A1554" t="s">
        <v>98</v>
      </c>
      <c r="B1554" t="s">
        <v>499</v>
      </c>
      <c r="D1554" t="s">
        <v>1722</v>
      </c>
      <c r="E1554" t="s">
        <v>142</v>
      </c>
      <c r="F1554" t="s">
        <v>185</v>
      </c>
      <c r="G1554" t="s">
        <v>112</v>
      </c>
      <c r="H1554" t="s">
        <v>104</v>
      </c>
      <c r="I1554">
        <v>2022</v>
      </c>
      <c r="J1554" t="s">
        <v>186</v>
      </c>
      <c r="K1554" t="s">
        <v>106</v>
      </c>
      <c r="L1554" t="s">
        <v>1911</v>
      </c>
      <c r="M1554" t="s">
        <v>1931</v>
      </c>
      <c r="N1554">
        <v>1</v>
      </c>
      <c r="O1554">
        <v>2020</v>
      </c>
      <c r="P1554">
        <v>97.802759116105136</v>
      </c>
      <c r="Q1554">
        <v>3.5564639678583689</v>
      </c>
      <c r="R1554" t="s">
        <v>109</v>
      </c>
      <c r="S1554">
        <v>4.4518972502114647</v>
      </c>
      <c r="T1554" t="s">
        <v>110</v>
      </c>
      <c r="U1554">
        <v>4.4518972502114647</v>
      </c>
      <c r="V1554">
        <v>333.71694611921731</v>
      </c>
      <c r="W1554">
        <v>12.135161677062451</v>
      </c>
      <c r="X1554" t="s">
        <v>111</v>
      </c>
      <c r="Y1554">
        <v>20</v>
      </c>
      <c r="Z1554">
        <v>0.1218781971003525</v>
      </c>
      <c r="AA1554">
        <v>31.536000000000001</v>
      </c>
    </row>
    <row r="1555" spans="1:27" hidden="1" x14ac:dyDescent="0.25">
      <c r="A1555" t="s">
        <v>98</v>
      </c>
      <c r="B1555" t="s">
        <v>499</v>
      </c>
      <c r="D1555" t="s">
        <v>1722</v>
      </c>
      <c r="E1555" t="s">
        <v>142</v>
      </c>
      <c r="F1555" t="s">
        <v>188</v>
      </c>
      <c r="G1555" t="s">
        <v>103</v>
      </c>
      <c r="H1555" t="s">
        <v>104</v>
      </c>
      <c r="I1555">
        <v>2030</v>
      </c>
      <c r="J1555" t="s">
        <v>189</v>
      </c>
      <c r="K1555" t="s">
        <v>106</v>
      </c>
      <c r="L1555" t="s">
        <v>1911</v>
      </c>
      <c r="M1555" t="s">
        <v>1932</v>
      </c>
      <c r="N1555">
        <v>1</v>
      </c>
      <c r="O1555">
        <v>2030</v>
      </c>
      <c r="P1555">
        <v>49.536462409455851</v>
      </c>
      <c r="Q1555">
        <v>3.0483976867357452</v>
      </c>
      <c r="R1555" t="s">
        <v>109</v>
      </c>
      <c r="S1555">
        <v>10.04856807904874</v>
      </c>
      <c r="T1555" t="s">
        <v>110</v>
      </c>
      <c r="U1555">
        <v>10.04856807904874</v>
      </c>
      <c r="V1555">
        <v>169.0254662162269</v>
      </c>
      <c r="W1555">
        <v>10.401567151767811</v>
      </c>
      <c r="X1555" t="s">
        <v>111</v>
      </c>
      <c r="Y1555">
        <v>25</v>
      </c>
      <c r="Z1555">
        <v>0.1218781971003525</v>
      </c>
      <c r="AA1555">
        <v>31.536000000000001</v>
      </c>
    </row>
    <row r="1556" spans="1:27" hidden="1" x14ac:dyDescent="0.25">
      <c r="A1556" t="s">
        <v>98</v>
      </c>
      <c r="B1556" t="s">
        <v>499</v>
      </c>
      <c r="D1556" t="s">
        <v>1722</v>
      </c>
      <c r="E1556" t="s">
        <v>142</v>
      </c>
      <c r="F1556" t="s">
        <v>188</v>
      </c>
      <c r="G1556" t="s">
        <v>112</v>
      </c>
      <c r="H1556" t="s">
        <v>104</v>
      </c>
      <c r="I1556">
        <v>2030</v>
      </c>
      <c r="J1556" t="s">
        <v>191</v>
      </c>
      <c r="K1556" t="s">
        <v>106</v>
      </c>
      <c r="L1556" t="s">
        <v>1911</v>
      </c>
      <c r="M1556" t="s">
        <v>1933</v>
      </c>
      <c r="N1556">
        <v>1</v>
      </c>
      <c r="O1556">
        <v>2030</v>
      </c>
      <c r="P1556">
        <v>64.778450843134578</v>
      </c>
      <c r="Q1556">
        <v>3.0483976867357452</v>
      </c>
      <c r="R1556" t="s">
        <v>109</v>
      </c>
      <c r="S1556">
        <v>13.02592158395206</v>
      </c>
      <c r="T1556" t="s">
        <v>110</v>
      </c>
      <c r="U1556">
        <v>13.02592158395206</v>
      </c>
      <c r="V1556">
        <v>221.033301975066</v>
      </c>
      <c r="W1556">
        <v>10.401567151767811</v>
      </c>
      <c r="X1556" t="s">
        <v>111</v>
      </c>
      <c r="Y1556">
        <v>25</v>
      </c>
      <c r="Z1556">
        <v>0.1218781971003525</v>
      </c>
      <c r="AA1556">
        <v>31.536000000000001</v>
      </c>
    </row>
    <row r="1557" spans="1:27" hidden="1" x14ac:dyDescent="0.25">
      <c r="A1557" t="s">
        <v>98</v>
      </c>
      <c r="B1557" t="s">
        <v>499</v>
      </c>
      <c r="D1557" t="s">
        <v>1722</v>
      </c>
      <c r="E1557" t="s">
        <v>142</v>
      </c>
      <c r="F1557" t="s">
        <v>188</v>
      </c>
      <c r="G1557" t="s">
        <v>103</v>
      </c>
      <c r="H1557" t="s">
        <v>104</v>
      </c>
      <c r="I1557">
        <v>2040</v>
      </c>
      <c r="J1557" t="s">
        <v>193</v>
      </c>
      <c r="K1557" t="s">
        <v>106</v>
      </c>
      <c r="L1557" t="s">
        <v>1911</v>
      </c>
      <c r="M1557" t="s">
        <v>1934</v>
      </c>
      <c r="N1557">
        <v>1</v>
      </c>
      <c r="O1557">
        <v>2040</v>
      </c>
      <c r="P1557">
        <v>49.536462409455851</v>
      </c>
      <c r="Q1557">
        <v>3.0483976867357452</v>
      </c>
      <c r="R1557" t="s">
        <v>109</v>
      </c>
      <c r="S1557">
        <v>10.34411419902076</v>
      </c>
      <c r="T1557" t="s">
        <v>110</v>
      </c>
      <c r="U1557">
        <v>10.34411419902076</v>
      </c>
      <c r="V1557">
        <v>169.0254662162269</v>
      </c>
      <c r="W1557">
        <v>10.401567151767811</v>
      </c>
      <c r="X1557" t="s">
        <v>111</v>
      </c>
      <c r="Y1557">
        <v>25</v>
      </c>
      <c r="Z1557">
        <v>0.1218781971003525</v>
      </c>
      <c r="AA1557">
        <v>31.536000000000001</v>
      </c>
    </row>
    <row r="1558" spans="1:27" hidden="1" x14ac:dyDescent="0.25">
      <c r="A1558" t="s">
        <v>98</v>
      </c>
      <c r="B1558" t="s">
        <v>499</v>
      </c>
      <c r="D1558" t="s">
        <v>1722</v>
      </c>
      <c r="E1558" t="s">
        <v>142</v>
      </c>
      <c r="F1558" t="s">
        <v>188</v>
      </c>
      <c r="G1558" t="s">
        <v>112</v>
      </c>
      <c r="H1558" t="s">
        <v>104</v>
      </c>
      <c r="I1558">
        <v>2040</v>
      </c>
      <c r="J1558" t="s">
        <v>195</v>
      </c>
      <c r="K1558" t="s">
        <v>106</v>
      </c>
      <c r="L1558" t="s">
        <v>1911</v>
      </c>
      <c r="M1558" t="s">
        <v>1935</v>
      </c>
      <c r="N1558">
        <v>1</v>
      </c>
      <c r="O1558">
        <v>2040</v>
      </c>
      <c r="P1558">
        <v>64.778450843134578</v>
      </c>
      <c r="Q1558">
        <v>3.0483976867357452</v>
      </c>
      <c r="R1558" t="s">
        <v>109</v>
      </c>
      <c r="S1558">
        <v>14.067995310668231</v>
      </c>
      <c r="T1558" t="s">
        <v>110</v>
      </c>
      <c r="U1558">
        <v>14.067995310668231</v>
      </c>
      <c r="V1558">
        <v>221.033301975066</v>
      </c>
      <c r="W1558">
        <v>10.401567151767811</v>
      </c>
      <c r="X1558" t="s">
        <v>111</v>
      </c>
      <c r="Y1558">
        <v>25</v>
      </c>
      <c r="Z1558">
        <v>0.1218781971003525</v>
      </c>
      <c r="AA1558">
        <v>31.536000000000001</v>
      </c>
    </row>
    <row r="1559" spans="1:27" hidden="1" x14ac:dyDescent="0.25">
      <c r="A1559" t="s">
        <v>98</v>
      </c>
      <c r="B1559" t="s">
        <v>499</v>
      </c>
      <c r="D1559" t="s">
        <v>1722</v>
      </c>
      <c r="E1559" t="s">
        <v>142</v>
      </c>
      <c r="F1559" t="s">
        <v>188</v>
      </c>
      <c r="G1559" t="s">
        <v>112</v>
      </c>
      <c r="H1559" t="s">
        <v>104</v>
      </c>
      <c r="I1559">
        <v>2022</v>
      </c>
      <c r="J1559" t="s">
        <v>197</v>
      </c>
      <c r="K1559" t="s">
        <v>106</v>
      </c>
      <c r="L1559" t="s">
        <v>1911</v>
      </c>
      <c r="M1559" t="s">
        <v>1936</v>
      </c>
      <c r="N1559">
        <v>1</v>
      </c>
      <c r="O1559">
        <v>2020</v>
      </c>
      <c r="P1559">
        <v>64.778450843134578</v>
      </c>
      <c r="Q1559">
        <v>3.0483976867357452</v>
      </c>
      <c r="R1559" t="s">
        <v>109</v>
      </c>
      <c r="S1559">
        <v>12.12758216436916</v>
      </c>
      <c r="T1559" t="s">
        <v>110</v>
      </c>
      <c r="U1559">
        <v>12.12758216436916</v>
      </c>
      <c r="V1559">
        <v>221.033301975066</v>
      </c>
      <c r="W1559">
        <v>10.401567151767811</v>
      </c>
      <c r="X1559" t="s">
        <v>111</v>
      </c>
      <c r="Y1559">
        <v>25</v>
      </c>
      <c r="Z1559">
        <v>0.1218781971003525</v>
      </c>
      <c r="AA1559">
        <v>31.536000000000001</v>
      </c>
    </row>
    <row r="1560" spans="1:27" hidden="1" x14ac:dyDescent="0.25">
      <c r="A1560" t="s">
        <v>98</v>
      </c>
      <c r="B1560" t="s">
        <v>499</v>
      </c>
      <c r="D1560" t="s">
        <v>1722</v>
      </c>
      <c r="E1560" t="s">
        <v>142</v>
      </c>
      <c r="F1560" t="s">
        <v>199</v>
      </c>
      <c r="G1560" t="s">
        <v>103</v>
      </c>
      <c r="H1560" t="s">
        <v>131</v>
      </c>
      <c r="I1560">
        <v>2030</v>
      </c>
      <c r="J1560" t="s">
        <v>200</v>
      </c>
      <c r="K1560" t="s">
        <v>133</v>
      </c>
      <c r="L1560" t="s">
        <v>1911</v>
      </c>
      <c r="M1560" t="s">
        <v>1937</v>
      </c>
      <c r="N1560">
        <v>1</v>
      </c>
      <c r="O1560">
        <v>2030</v>
      </c>
      <c r="P1560">
        <v>93.992262007685454</v>
      </c>
      <c r="Q1560">
        <v>2.7943645461744331</v>
      </c>
      <c r="R1560" t="s">
        <v>109</v>
      </c>
      <c r="S1560">
        <v>1.4</v>
      </c>
      <c r="T1560" t="s">
        <v>110</v>
      </c>
      <c r="U1560">
        <v>1.4</v>
      </c>
      <c r="V1560">
        <v>320.71498717950749</v>
      </c>
      <c r="W1560">
        <v>9.5347698891204935</v>
      </c>
      <c r="X1560" t="s">
        <v>111</v>
      </c>
      <c r="Y1560">
        <v>23</v>
      </c>
      <c r="Z1560">
        <v>0.1218781971003525</v>
      </c>
      <c r="AA1560">
        <v>31.536000000000001</v>
      </c>
    </row>
    <row r="1561" spans="1:27" hidden="1" x14ac:dyDescent="0.25">
      <c r="A1561" t="s">
        <v>98</v>
      </c>
      <c r="B1561" t="s">
        <v>499</v>
      </c>
      <c r="D1561" t="s">
        <v>1722</v>
      </c>
      <c r="E1561" t="s">
        <v>142</v>
      </c>
      <c r="F1561" t="s">
        <v>202</v>
      </c>
      <c r="G1561" t="s">
        <v>103</v>
      </c>
      <c r="H1561" t="s">
        <v>104</v>
      </c>
      <c r="I1561">
        <v>2023</v>
      </c>
      <c r="J1561" t="s">
        <v>203</v>
      </c>
      <c r="K1561" t="s">
        <v>106</v>
      </c>
      <c r="L1561" t="s">
        <v>1911</v>
      </c>
      <c r="M1561" t="s">
        <v>1938</v>
      </c>
      <c r="N1561">
        <v>1</v>
      </c>
      <c r="O1561">
        <v>2023</v>
      </c>
      <c r="P1561">
        <v>138.8714501735173</v>
      </c>
      <c r="Q1561">
        <v>4.2000145906136934</v>
      </c>
      <c r="R1561" t="s">
        <v>109</v>
      </c>
      <c r="S1561">
        <v>3.5756154747948421</v>
      </c>
      <c r="T1561" t="s">
        <v>110</v>
      </c>
      <c r="U1561">
        <v>3.5756154747948421</v>
      </c>
      <c r="V1561">
        <v>473.84917024720039</v>
      </c>
      <c r="W1561">
        <v>14.33104807576899</v>
      </c>
      <c r="X1561" t="s">
        <v>111</v>
      </c>
      <c r="Y1561">
        <v>21</v>
      </c>
      <c r="Z1561">
        <v>0.1218781971003525</v>
      </c>
      <c r="AA1561">
        <v>31.536000000000001</v>
      </c>
    </row>
    <row r="1562" spans="1:27" hidden="1" x14ac:dyDescent="0.25">
      <c r="A1562" t="s">
        <v>98</v>
      </c>
      <c r="B1562" t="s">
        <v>499</v>
      </c>
      <c r="D1562" t="s">
        <v>1722</v>
      </c>
      <c r="E1562" t="s">
        <v>142</v>
      </c>
      <c r="F1562" t="s">
        <v>202</v>
      </c>
      <c r="G1562" t="s">
        <v>112</v>
      </c>
      <c r="H1562" t="s">
        <v>104</v>
      </c>
      <c r="I1562">
        <v>2022</v>
      </c>
      <c r="J1562" t="s">
        <v>205</v>
      </c>
      <c r="K1562" t="s">
        <v>106</v>
      </c>
      <c r="L1562" t="s">
        <v>1911</v>
      </c>
      <c r="M1562" t="s">
        <v>1939</v>
      </c>
      <c r="N1562">
        <v>1</v>
      </c>
      <c r="O1562">
        <v>2020</v>
      </c>
      <c r="P1562">
        <v>201.87166903272271</v>
      </c>
      <c r="Q1562">
        <v>4.2000145906136934</v>
      </c>
      <c r="R1562" t="s">
        <v>109</v>
      </c>
      <c r="S1562">
        <v>3.7514654161781951</v>
      </c>
      <c r="T1562" t="s">
        <v>110</v>
      </c>
      <c r="U1562">
        <v>3.7514654161781951</v>
      </c>
      <c r="V1562">
        <v>688.81489138373513</v>
      </c>
      <c r="W1562">
        <v>14.33104807576899</v>
      </c>
      <c r="X1562" t="s">
        <v>111</v>
      </c>
      <c r="Y1562">
        <v>21</v>
      </c>
      <c r="Z1562">
        <v>0.1218781971003525</v>
      </c>
      <c r="AA1562">
        <v>31.536000000000001</v>
      </c>
    </row>
    <row r="1563" spans="1:27" hidden="1" x14ac:dyDescent="0.25">
      <c r="A1563" t="s">
        <v>98</v>
      </c>
      <c r="B1563" t="s">
        <v>499</v>
      </c>
      <c r="D1563" t="s">
        <v>1722</v>
      </c>
      <c r="E1563" t="s">
        <v>142</v>
      </c>
      <c r="F1563" t="s">
        <v>207</v>
      </c>
      <c r="G1563" t="s">
        <v>103</v>
      </c>
      <c r="H1563" t="s">
        <v>104</v>
      </c>
      <c r="I1563">
        <v>2030</v>
      </c>
      <c r="J1563" t="s">
        <v>208</v>
      </c>
      <c r="K1563" t="s">
        <v>106</v>
      </c>
      <c r="L1563" t="s">
        <v>1911</v>
      </c>
      <c r="M1563" t="s">
        <v>1940</v>
      </c>
      <c r="N1563">
        <v>1</v>
      </c>
      <c r="O1563">
        <v>2030</v>
      </c>
      <c r="P1563">
        <v>74.322838838509583</v>
      </c>
      <c r="Q1563">
        <v>1.219359074694298E-2</v>
      </c>
      <c r="R1563" t="s">
        <v>109</v>
      </c>
      <c r="S1563">
        <v>3.5902696365767879</v>
      </c>
      <c r="T1563" t="s">
        <v>110</v>
      </c>
      <c r="U1563">
        <v>3.5902696365767879</v>
      </c>
      <c r="V1563">
        <v>253.60011341452949</v>
      </c>
      <c r="W1563">
        <v>4.1606268607071263E-2</v>
      </c>
      <c r="X1563" t="s">
        <v>111</v>
      </c>
      <c r="Y1563">
        <v>9.5</v>
      </c>
      <c r="Z1563">
        <v>0.1218781971003525</v>
      </c>
      <c r="AA1563">
        <v>31.536000000000001</v>
      </c>
    </row>
    <row r="1564" spans="1:27" hidden="1" x14ac:dyDescent="0.25">
      <c r="A1564" t="s">
        <v>98</v>
      </c>
      <c r="B1564" t="s">
        <v>499</v>
      </c>
      <c r="D1564" t="s">
        <v>1722</v>
      </c>
      <c r="E1564" t="s">
        <v>142</v>
      </c>
      <c r="F1564" t="s">
        <v>207</v>
      </c>
      <c r="G1564" t="s">
        <v>112</v>
      </c>
      <c r="H1564" t="s">
        <v>104</v>
      </c>
      <c r="I1564">
        <v>2030</v>
      </c>
      <c r="J1564" t="s">
        <v>210</v>
      </c>
      <c r="K1564" t="s">
        <v>106</v>
      </c>
      <c r="L1564" t="s">
        <v>1911</v>
      </c>
      <c r="M1564" t="s">
        <v>1941</v>
      </c>
      <c r="N1564">
        <v>1</v>
      </c>
      <c r="O1564">
        <v>2030</v>
      </c>
      <c r="P1564">
        <v>81.871252158045721</v>
      </c>
      <c r="Q1564">
        <v>1.219359074694298E-2</v>
      </c>
      <c r="R1564" t="s">
        <v>109</v>
      </c>
      <c r="S1564">
        <v>3.8100820633059791</v>
      </c>
      <c r="T1564" t="s">
        <v>110</v>
      </c>
      <c r="U1564">
        <v>3.8100820633059791</v>
      </c>
      <c r="V1564">
        <v>279.35637493319268</v>
      </c>
      <c r="W1564">
        <v>4.1606268607071263E-2</v>
      </c>
      <c r="X1564" t="s">
        <v>111</v>
      </c>
      <c r="Y1564">
        <v>9.5</v>
      </c>
      <c r="Z1564">
        <v>0.1218781971003525</v>
      </c>
      <c r="AA1564">
        <v>31.536000000000001</v>
      </c>
    </row>
    <row r="1565" spans="1:27" hidden="1" x14ac:dyDescent="0.25">
      <c r="A1565" t="s">
        <v>98</v>
      </c>
      <c r="B1565" t="s">
        <v>499</v>
      </c>
      <c r="D1565" t="s">
        <v>1722</v>
      </c>
      <c r="E1565" t="s">
        <v>142</v>
      </c>
      <c r="F1565" t="s">
        <v>207</v>
      </c>
      <c r="G1565" t="s">
        <v>103</v>
      </c>
      <c r="H1565" t="s">
        <v>104</v>
      </c>
      <c r="I1565">
        <v>2040</v>
      </c>
      <c r="J1565" t="s">
        <v>212</v>
      </c>
      <c r="K1565" t="s">
        <v>106</v>
      </c>
      <c r="L1565" t="s">
        <v>1911</v>
      </c>
      <c r="M1565" t="s">
        <v>1942</v>
      </c>
      <c r="N1565">
        <v>1</v>
      </c>
      <c r="O1565">
        <v>2040</v>
      </c>
      <c r="P1565">
        <v>74.322838838509583</v>
      </c>
      <c r="Q1565">
        <v>1.219359074694298E-2</v>
      </c>
      <c r="R1565" t="s">
        <v>109</v>
      </c>
      <c r="S1565">
        <v>3.6635404454865181</v>
      </c>
      <c r="T1565" t="s">
        <v>110</v>
      </c>
      <c r="U1565">
        <v>3.6635404454865181</v>
      </c>
      <c r="V1565">
        <v>253.60011341452949</v>
      </c>
      <c r="W1565">
        <v>4.1606268607071263E-2</v>
      </c>
      <c r="X1565" t="s">
        <v>111</v>
      </c>
      <c r="Y1565">
        <v>9.5</v>
      </c>
      <c r="Z1565">
        <v>0.1218781971003525</v>
      </c>
      <c r="AA1565">
        <v>31.536000000000001</v>
      </c>
    </row>
    <row r="1566" spans="1:27" hidden="1" x14ac:dyDescent="0.25">
      <c r="A1566" t="s">
        <v>98</v>
      </c>
      <c r="B1566" t="s">
        <v>499</v>
      </c>
      <c r="D1566" t="s">
        <v>1722</v>
      </c>
      <c r="E1566" t="s">
        <v>142</v>
      </c>
      <c r="F1566" t="s">
        <v>207</v>
      </c>
      <c r="G1566" t="s">
        <v>112</v>
      </c>
      <c r="H1566" t="s">
        <v>104</v>
      </c>
      <c r="I1566">
        <v>2040</v>
      </c>
      <c r="J1566" t="s">
        <v>214</v>
      </c>
      <c r="K1566" t="s">
        <v>106</v>
      </c>
      <c r="L1566" t="s">
        <v>1911</v>
      </c>
      <c r="M1566" t="s">
        <v>1943</v>
      </c>
      <c r="N1566">
        <v>1</v>
      </c>
      <c r="O1566">
        <v>2040</v>
      </c>
      <c r="P1566">
        <v>81.871252158045721</v>
      </c>
      <c r="Q1566">
        <v>1.219359074694298E-2</v>
      </c>
      <c r="R1566" t="s">
        <v>109</v>
      </c>
      <c r="S1566">
        <v>3.9566236811254401</v>
      </c>
      <c r="T1566" t="s">
        <v>110</v>
      </c>
      <c r="U1566">
        <v>3.9566236811254401</v>
      </c>
      <c r="V1566">
        <v>279.35637493319268</v>
      </c>
      <c r="W1566">
        <v>4.1606268607071263E-2</v>
      </c>
      <c r="X1566" t="s">
        <v>111</v>
      </c>
      <c r="Y1566">
        <v>9.5</v>
      </c>
      <c r="Z1566">
        <v>0.1218781971003525</v>
      </c>
      <c r="AA1566">
        <v>31.536000000000001</v>
      </c>
    </row>
    <row r="1567" spans="1:27" hidden="1" x14ac:dyDescent="0.25">
      <c r="A1567" t="s">
        <v>98</v>
      </c>
      <c r="B1567" t="s">
        <v>499</v>
      </c>
      <c r="D1567" t="s">
        <v>1722</v>
      </c>
      <c r="E1567" t="s">
        <v>142</v>
      </c>
      <c r="F1567" t="s">
        <v>207</v>
      </c>
      <c r="G1567" t="s">
        <v>112</v>
      </c>
      <c r="H1567" t="s">
        <v>104</v>
      </c>
      <c r="I1567">
        <v>2022</v>
      </c>
      <c r="J1567" t="s">
        <v>216</v>
      </c>
      <c r="K1567" t="s">
        <v>106</v>
      </c>
      <c r="L1567" t="s">
        <v>1911</v>
      </c>
      <c r="M1567" t="s">
        <v>1944</v>
      </c>
      <c r="N1567">
        <v>1</v>
      </c>
      <c r="O1567">
        <v>2020</v>
      </c>
      <c r="P1567">
        <v>81.871252158045721</v>
      </c>
      <c r="Q1567">
        <v>1.219359074694298E-2</v>
      </c>
      <c r="R1567" t="s">
        <v>109</v>
      </c>
      <c r="S1567">
        <v>3.6635404454865181</v>
      </c>
      <c r="T1567" t="s">
        <v>110</v>
      </c>
      <c r="U1567">
        <v>3.6635404454865181</v>
      </c>
      <c r="V1567">
        <v>279.35637493319268</v>
      </c>
      <c r="W1567">
        <v>4.1606268607071263E-2</v>
      </c>
      <c r="X1567" t="s">
        <v>111</v>
      </c>
      <c r="Y1567">
        <v>9.5</v>
      </c>
      <c r="Z1567">
        <v>0.1218781971003525</v>
      </c>
      <c r="AA1567">
        <v>31.536000000000001</v>
      </c>
    </row>
    <row r="1568" spans="1:27" hidden="1" x14ac:dyDescent="0.25">
      <c r="A1568" t="s">
        <v>98</v>
      </c>
      <c r="B1568" t="s">
        <v>499</v>
      </c>
      <c r="D1568" t="s">
        <v>1722</v>
      </c>
      <c r="E1568" t="s">
        <v>142</v>
      </c>
      <c r="F1568" t="s">
        <v>218</v>
      </c>
      <c r="G1568" t="s">
        <v>219</v>
      </c>
      <c r="H1568" t="s">
        <v>104</v>
      </c>
      <c r="I1568">
        <v>2023</v>
      </c>
      <c r="J1568" t="s">
        <v>220</v>
      </c>
      <c r="K1568" t="s">
        <v>106</v>
      </c>
      <c r="L1568" t="s">
        <v>1911</v>
      </c>
      <c r="M1568" t="s">
        <v>1945</v>
      </c>
      <c r="N1568">
        <v>1</v>
      </c>
      <c r="O1568">
        <v>2023</v>
      </c>
      <c r="P1568">
        <v>144.5166310748798</v>
      </c>
      <c r="Q1568">
        <v>2.6193639382321958</v>
      </c>
      <c r="R1568" t="s">
        <v>109</v>
      </c>
      <c r="S1568">
        <v>4.6893317702227444</v>
      </c>
      <c r="T1568" t="s">
        <v>110</v>
      </c>
      <c r="U1568">
        <v>4.6893317702227444</v>
      </c>
      <c r="V1568">
        <v>493.11133163936307</v>
      </c>
      <c r="W1568">
        <v>8.937642885963454</v>
      </c>
      <c r="X1568" t="s">
        <v>111</v>
      </c>
      <c r="Y1568">
        <v>18</v>
      </c>
      <c r="Z1568">
        <v>0.1218781971003525</v>
      </c>
      <c r="AA1568">
        <v>31.536000000000001</v>
      </c>
    </row>
    <row r="1569" spans="1:27" hidden="1" x14ac:dyDescent="0.25">
      <c r="A1569" t="s">
        <v>98</v>
      </c>
      <c r="B1569" t="s">
        <v>499</v>
      </c>
      <c r="D1569" t="s">
        <v>1722</v>
      </c>
      <c r="E1569" t="s">
        <v>142</v>
      </c>
      <c r="F1569" t="s">
        <v>218</v>
      </c>
      <c r="G1569" t="s">
        <v>112</v>
      </c>
      <c r="H1569" t="s">
        <v>104</v>
      </c>
      <c r="I1569">
        <v>2022</v>
      </c>
      <c r="J1569" t="s">
        <v>222</v>
      </c>
      <c r="K1569" t="s">
        <v>106</v>
      </c>
      <c r="L1569" t="s">
        <v>1911</v>
      </c>
      <c r="M1569" t="s">
        <v>1946</v>
      </c>
      <c r="N1569">
        <v>1</v>
      </c>
      <c r="O1569">
        <v>2020</v>
      </c>
      <c r="P1569">
        <v>157.50054714801351</v>
      </c>
      <c r="Q1569">
        <v>2.455653692092683</v>
      </c>
      <c r="R1569" t="s">
        <v>109</v>
      </c>
      <c r="S1569">
        <v>4.835873388042204</v>
      </c>
      <c r="T1569" t="s">
        <v>110</v>
      </c>
      <c r="U1569">
        <v>4.835873388042204</v>
      </c>
      <c r="V1569">
        <v>537.41430284133696</v>
      </c>
      <c r="W1569">
        <v>8.3790402055907389</v>
      </c>
      <c r="X1569" t="s">
        <v>111</v>
      </c>
      <c r="Y1569">
        <v>18</v>
      </c>
      <c r="Z1569">
        <v>0.1218781971003525</v>
      </c>
      <c r="AA1569">
        <v>31.536000000000001</v>
      </c>
    </row>
    <row r="1570" spans="1:27" hidden="1" x14ac:dyDescent="0.25">
      <c r="A1570" t="s">
        <v>98</v>
      </c>
      <c r="B1570" t="s">
        <v>499</v>
      </c>
      <c r="D1570" t="s">
        <v>1722</v>
      </c>
      <c r="E1570" t="s">
        <v>142</v>
      </c>
      <c r="F1570" t="s">
        <v>218</v>
      </c>
      <c r="G1570" t="s">
        <v>103</v>
      </c>
      <c r="H1570" t="s">
        <v>104</v>
      </c>
      <c r="I1570">
        <v>2023</v>
      </c>
      <c r="J1570" t="s">
        <v>224</v>
      </c>
      <c r="K1570" t="s">
        <v>106</v>
      </c>
      <c r="L1570" t="s">
        <v>1911</v>
      </c>
      <c r="M1570" t="s">
        <v>1947</v>
      </c>
      <c r="N1570">
        <v>1</v>
      </c>
      <c r="O1570">
        <v>2023</v>
      </c>
      <c r="P1570">
        <v>125.3230160102473</v>
      </c>
      <c r="Q1570">
        <v>2.455653692092683</v>
      </c>
      <c r="R1570" t="s">
        <v>109</v>
      </c>
      <c r="S1570">
        <v>4.2203985932004704</v>
      </c>
      <c r="T1570" t="s">
        <v>110</v>
      </c>
      <c r="U1570">
        <v>4.2203985932004704</v>
      </c>
      <c r="V1570">
        <v>427.61998290601008</v>
      </c>
      <c r="W1570">
        <v>8.3790402055907389</v>
      </c>
      <c r="X1570" t="s">
        <v>111</v>
      </c>
      <c r="Y1570">
        <v>18</v>
      </c>
      <c r="Z1570">
        <v>0.1218781971003525</v>
      </c>
      <c r="AA1570">
        <v>31.536000000000001</v>
      </c>
    </row>
    <row r="1571" spans="1:27" x14ac:dyDescent="0.25">
      <c r="A1571" t="s">
        <v>98</v>
      </c>
      <c r="B1571" t="s">
        <v>499</v>
      </c>
      <c r="D1571" t="s">
        <v>1722</v>
      </c>
      <c r="E1571" t="s">
        <v>226</v>
      </c>
      <c r="F1571" t="s">
        <v>227</v>
      </c>
      <c r="G1571" t="s">
        <v>228</v>
      </c>
      <c r="H1571" t="s">
        <v>104</v>
      </c>
      <c r="I1571">
        <v>2023</v>
      </c>
      <c r="J1571" t="s">
        <v>229</v>
      </c>
      <c r="K1571" t="s">
        <v>106</v>
      </c>
      <c r="L1571" t="s">
        <v>1948</v>
      </c>
      <c r="M1571" t="s">
        <v>1949</v>
      </c>
      <c r="N1571">
        <v>1</v>
      </c>
      <c r="O1571">
        <v>2023</v>
      </c>
      <c r="P1571">
        <v>351.48905933689161</v>
      </c>
      <c r="Q1571">
        <v>0.67078064758948786</v>
      </c>
      <c r="R1571" t="s">
        <v>109</v>
      </c>
      <c r="S1571">
        <v>2.7</v>
      </c>
      <c r="T1571" t="s">
        <v>110</v>
      </c>
      <c r="U1571">
        <v>2.7</v>
      </c>
      <c r="V1571">
        <v>1199.3307401172131</v>
      </c>
      <c r="W1571">
        <v>2.2887991223610928</v>
      </c>
      <c r="X1571" t="s">
        <v>111</v>
      </c>
      <c r="Y1571">
        <v>20</v>
      </c>
      <c r="Z1571">
        <v>0.44</v>
      </c>
      <c r="AA1571">
        <v>31.536000000000001</v>
      </c>
    </row>
    <row r="1572" spans="1:27" x14ac:dyDescent="0.25">
      <c r="A1572" t="s">
        <v>98</v>
      </c>
      <c r="B1572" t="s">
        <v>499</v>
      </c>
      <c r="D1572" t="s">
        <v>1722</v>
      </c>
      <c r="E1572" t="s">
        <v>226</v>
      </c>
      <c r="F1572" t="s">
        <v>227</v>
      </c>
      <c r="G1572" t="s">
        <v>228</v>
      </c>
      <c r="H1572" t="s">
        <v>104</v>
      </c>
      <c r="I1572">
        <v>2024</v>
      </c>
      <c r="J1572" t="s">
        <v>232</v>
      </c>
      <c r="K1572" t="s">
        <v>106</v>
      </c>
      <c r="L1572" t="s">
        <v>1948</v>
      </c>
      <c r="M1572" t="s">
        <v>1950</v>
      </c>
      <c r="N1572">
        <v>1</v>
      </c>
      <c r="O1572">
        <v>2024</v>
      </c>
      <c r="P1572">
        <v>351.48905933689161</v>
      </c>
      <c r="Q1572">
        <v>0.67078064758948786</v>
      </c>
      <c r="R1572" t="s">
        <v>109</v>
      </c>
      <c r="S1572">
        <v>2.7</v>
      </c>
      <c r="T1572" t="s">
        <v>110</v>
      </c>
      <c r="U1572">
        <v>2.7</v>
      </c>
      <c r="V1572">
        <v>1199.3307401172131</v>
      </c>
      <c r="W1572">
        <v>2.2887991223610928</v>
      </c>
      <c r="X1572" t="s">
        <v>111</v>
      </c>
      <c r="Y1572">
        <v>20</v>
      </c>
      <c r="Z1572">
        <v>0.44</v>
      </c>
      <c r="AA1572">
        <v>31.536000000000001</v>
      </c>
    </row>
    <row r="1573" spans="1:27" x14ac:dyDescent="0.25">
      <c r="A1573" t="s">
        <v>98</v>
      </c>
      <c r="B1573" t="s">
        <v>499</v>
      </c>
      <c r="D1573" t="s">
        <v>1722</v>
      </c>
      <c r="E1573" t="s">
        <v>226</v>
      </c>
      <c r="F1573" t="s">
        <v>227</v>
      </c>
      <c r="G1573" t="s">
        <v>228</v>
      </c>
      <c r="H1573" t="s">
        <v>104</v>
      </c>
      <c r="I1573">
        <v>2025</v>
      </c>
      <c r="J1573" t="s">
        <v>234</v>
      </c>
      <c r="K1573" t="s">
        <v>106</v>
      </c>
      <c r="L1573" t="s">
        <v>1948</v>
      </c>
      <c r="M1573" t="s">
        <v>1951</v>
      </c>
      <c r="N1573">
        <v>1</v>
      </c>
      <c r="O1573">
        <v>2025</v>
      </c>
      <c r="P1573">
        <v>351.48905933689161</v>
      </c>
      <c r="Q1573">
        <v>0.67078064758948786</v>
      </c>
      <c r="R1573" t="s">
        <v>109</v>
      </c>
      <c r="S1573">
        <v>2.7</v>
      </c>
      <c r="T1573" t="s">
        <v>110</v>
      </c>
      <c r="U1573">
        <v>2.7</v>
      </c>
      <c r="V1573">
        <v>1199.3307401172131</v>
      </c>
      <c r="W1573">
        <v>2.2887991223610928</v>
      </c>
      <c r="X1573" t="s">
        <v>111</v>
      </c>
      <c r="Y1573">
        <v>20</v>
      </c>
      <c r="Z1573">
        <v>0.44</v>
      </c>
      <c r="AA1573">
        <v>31.536000000000001</v>
      </c>
    </row>
    <row r="1574" spans="1:27" x14ac:dyDescent="0.25">
      <c r="A1574" t="s">
        <v>98</v>
      </c>
      <c r="B1574" t="s">
        <v>499</v>
      </c>
      <c r="D1574" t="s">
        <v>1722</v>
      </c>
      <c r="E1574" t="s">
        <v>226</v>
      </c>
      <c r="F1574" t="s">
        <v>227</v>
      </c>
      <c r="G1574" t="s">
        <v>228</v>
      </c>
      <c r="H1574" t="s">
        <v>104</v>
      </c>
      <c r="I1574">
        <v>2026</v>
      </c>
      <c r="J1574" t="s">
        <v>236</v>
      </c>
      <c r="K1574" t="s">
        <v>106</v>
      </c>
      <c r="L1574" t="s">
        <v>1948</v>
      </c>
      <c r="M1574" t="s">
        <v>1952</v>
      </c>
      <c r="N1574">
        <v>1</v>
      </c>
      <c r="O1574">
        <v>2026</v>
      </c>
      <c r="P1574">
        <v>351.48905933689161</v>
      </c>
      <c r="Q1574">
        <v>0.67078064758948786</v>
      </c>
      <c r="R1574" t="s">
        <v>109</v>
      </c>
      <c r="S1574">
        <v>2.7</v>
      </c>
      <c r="T1574" t="s">
        <v>110</v>
      </c>
      <c r="U1574">
        <v>2.7</v>
      </c>
      <c r="V1574">
        <v>1199.3307401172131</v>
      </c>
      <c r="W1574">
        <v>2.2887991223610928</v>
      </c>
      <c r="X1574" t="s">
        <v>111</v>
      </c>
      <c r="Y1574">
        <v>20</v>
      </c>
      <c r="Z1574">
        <v>0.44</v>
      </c>
      <c r="AA1574">
        <v>31.536000000000001</v>
      </c>
    </row>
    <row r="1575" spans="1:27" x14ac:dyDescent="0.25">
      <c r="A1575" t="s">
        <v>98</v>
      </c>
      <c r="B1575" t="s">
        <v>499</v>
      </c>
      <c r="D1575" t="s">
        <v>1722</v>
      </c>
      <c r="E1575" t="s">
        <v>226</v>
      </c>
      <c r="F1575" t="s">
        <v>227</v>
      </c>
      <c r="G1575" t="s">
        <v>228</v>
      </c>
      <c r="H1575" t="s">
        <v>104</v>
      </c>
      <c r="I1575">
        <v>2027</v>
      </c>
      <c r="J1575" t="s">
        <v>238</v>
      </c>
      <c r="K1575" t="s">
        <v>106</v>
      </c>
      <c r="L1575" t="s">
        <v>1948</v>
      </c>
      <c r="M1575" t="s">
        <v>1953</v>
      </c>
      <c r="N1575">
        <v>1</v>
      </c>
      <c r="O1575">
        <v>2027</v>
      </c>
      <c r="P1575">
        <v>351.48905933689161</v>
      </c>
      <c r="Q1575">
        <v>0.67078064758948786</v>
      </c>
      <c r="R1575" t="s">
        <v>109</v>
      </c>
      <c r="S1575">
        <v>2.7</v>
      </c>
      <c r="T1575" t="s">
        <v>110</v>
      </c>
      <c r="U1575">
        <v>2.7</v>
      </c>
      <c r="V1575">
        <v>1199.3307401172131</v>
      </c>
      <c r="W1575">
        <v>2.2887991223610928</v>
      </c>
      <c r="X1575" t="s">
        <v>111</v>
      </c>
      <c r="Y1575">
        <v>20</v>
      </c>
      <c r="Z1575">
        <v>0.44</v>
      </c>
      <c r="AA1575">
        <v>31.536000000000001</v>
      </c>
    </row>
    <row r="1576" spans="1:27" x14ac:dyDescent="0.25">
      <c r="A1576" t="s">
        <v>98</v>
      </c>
      <c r="B1576" t="s">
        <v>499</v>
      </c>
      <c r="D1576" t="s">
        <v>1722</v>
      </c>
      <c r="E1576" t="s">
        <v>226</v>
      </c>
      <c r="F1576" t="s">
        <v>240</v>
      </c>
      <c r="G1576" t="s">
        <v>103</v>
      </c>
      <c r="H1576" t="s">
        <v>104</v>
      </c>
      <c r="I1576">
        <v>2022</v>
      </c>
      <c r="J1576" t="s">
        <v>241</v>
      </c>
      <c r="K1576" t="s">
        <v>106</v>
      </c>
      <c r="L1576" t="s">
        <v>1948</v>
      </c>
      <c r="M1576" t="s">
        <v>1954</v>
      </c>
      <c r="N1576">
        <v>1</v>
      </c>
      <c r="O1576">
        <v>2020</v>
      </c>
      <c r="P1576">
        <v>364.1638033744108</v>
      </c>
      <c r="Q1576">
        <v>0.71474740603417231</v>
      </c>
      <c r="R1576" t="s">
        <v>109</v>
      </c>
      <c r="S1576">
        <v>3.9</v>
      </c>
      <c r="T1576" t="s">
        <v>110</v>
      </c>
      <c r="U1576">
        <v>3.9</v>
      </c>
      <c r="V1576">
        <v>1242.578772292075</v>
      </c>
      <c r="W1576">
        <v>2.4388199652445048</v>
      </c>
      <c r="X1576" t="s">
        <v>111</v>
      </c>
      <c r="Y1576">
        <v>15</v>
      </c>
      <c r="Z1576">
        <v>0.44</v>
      </c>
      <c r="AA1576">
        <v>31.536000000000001</v>
      </c>
    </row>
    <row r="1577" spans="1:27" hidden="1" x14ac:dyDescent="0.25">
      <c r="A1577" t="s">
        <v>98</v>
      </c>
      <c r="B1577" t="s">
        <v>499</v>
      </c>
      <c r="D1577" t="s">
        <v>1722</v>
      </c>
      <c r="E1577" t="s">
        <v>243</v>
      </c>
      <c r="F1577" t="s">
        <v>244</v>
      </c>
      <c r="G1577" t="s">
        <v>245</v>
      </c>
      <c r="H1577" t="s">
        <v>104</v>
      </c>
      <c r="I1577">
        <v>2022</v>
      </c>
      <c r="J1577" t="s">
        <v>246</v>
      </c>
      <c r="K1577" t="s">
        <v>106</v>
      </c>
      <c r="L1577" t="s">
        <v>1955</v>
      </c>
      <c r="M1577" t="s">
        <v>1956</v>
      </c>
      <c r="N1577">
        <v>1</v>
      </c>
      <c r="O1577">
        <v>2020</v>
      </c>
      <c r="P1577">
        <v>5418.3180362120765</v>
      </c>
      <c r="Q1577">
        <v>63.780978532496562</v>
      </c>
      <c r="R1577" t="s">
        <v>249</v>
      </c>
      <c r="S1577">
        <v>0.41325750353930962</v>
      </c>
      <c r="T1577" t="s">
        <v>250</v>
      </c>
      <c r="U1577">
        <v>1</v>
      </c>
      <c r="V1577">
        <v>7640.3348848129563</v>
      </c>
      <c r="W1577">
        <v>89.937141380872987</v>
      </c>
      <c r="X1577" t="s">
        <v>111</v>
      </c>
      <c r="Y1577">
        <v>20</v>
      </c>
      <c r="Z1577">
        <v>0.44</v>
      </c>
      <c r="AA1577">
        <v>31.536000000000001</v>
      </c>
    </row>
    <row r="1578" spans="1:27" hidden="1" x14ac:dyDescent="0.25">
      <c r="A1578" t="s">
        <v>98</v>
      </c>
      <c r="B1578" t="s">
        <v>499</v>
      </c>
      <c r="D1578" t="s">
        <v>1722</v>
      </c>
      <c r="E1578" t="s">
        <v>243</v>
      </c>
      <c r="F1578" t="s">
        <v>244</v>
      </c>
      <c r="G1578" t="s">
        <v>103</v>
      </c>
      <c r="H1578" t="s">
        <v>104</v>
      </c>
      <c r="I1578">
        <v>2022</v>
      </c>
      <c r="J1578" t="s">
        <v>251</v>
      </c>
      <c r="K1578" t="s">
        <v>106</v>
      </c>
      <c r="L1578" t="s">
        <v>1955</v>
      </c>
      <c r="M1578" t="s">
        <v>1957</v>
      </c>
      <c r="N1578">
        <v>1</v>
      </c>
      <c r="O1578">
        <v>2020</v>
      </c>
      <c r="P1578">
        <v>5667.3116722418044</v>
      </c>
      <c r="Q1578">
        <v>63.780978532496562</v>
      </c>
      <c r="R1578" t="s">
        <v>249</v>
      </c>
      <c r="S1578">
        <v>0.43508713487380868</v>
      </c>
      <c r="T1578" t="s">
        <v>250</v>
      </c>
      <c r="U1578">
        <v>1.052823315118397</v>
      </c>
      <c r="V1578">
        <v>7991.4391852139524</v>
      </c>
      <c r="W1578">
        <v>89.937141380873001</v>
      </c>
      <c r="X1578" t="s">
        <v>111</v>
      </c>
      <c r="Y1578">
        <v>20</v>
      </c>
      <c r="Z1578">
        <v>0.44</v>
      </c>
      <c r="AA1578">
        <v>31.536000000000001</v>
      </c>
    </row>
    <row r="1579" spans="1:27" hidden="1" x14ac:dyDescent="0.25">
      <c r="A1579" t="s">
        <v>98</v>
      </c>
      <c r="B1579" t="s">
        <v>499</v>
      </c>
      <c r="D1579" t="s">
        <v>1722</v>
      </c>
      <c r="E1579" t="s">
        <v>243</v>
      </c>
      <c r="F1579" t="s">
        <v>244</v>
      </c>
      <c r="G1579" t="s">
        <v>112</v>
      </c>
      <c r="H1579" t="s">
        <v>104</v>
      </c>
      <c r="I1579">
        <v>2022</v>
      </c>
      <c r="J1579" t="s">
        <v>253</v>
      </c>
      <c r="K1579" t="s">
        <v>106</v>
      </c>
      <c r="L1579" t="s">
        <v>1955</v>
      </c>
      <c r="M1579" t="s">
        <v>1958</v>
      </c>
      <c r="N1579">
        <v>1</v>
      </c>
      <c r="O1579">
        <v>2020</v>
      </c>
      <c r="P1579">
        <v>5911.8706390075113</v>
      </c>
      <c r="Q1579">
        <v>63.780978532496562</v>
      </c>
      <c r="R1579" t="s">
        <v>249</v>
      </c>
      <c r="S1579">
        <v>0.44315925240393511</v>
      </c>
      <c r="T1579" t="s">
        <v>250</v>
      </c>
      <c r="U1579">
        <v>1.0723562152133581</v>
      </c>
      <c r="V1579">
        <v>8336.2901874412255</v>
      </c>
      <c r="W1579">
        <v>89.937141380873001</v>
      </c>
      <c r="X1579" t="s">
        <v>111</v>
      </c>
      <c r="Y1579">
        <v>20</v>
      </c>
      <c r="Z1579">
        <v>0.44</v>
      </c>
      <c r="AA1579">
        <v>31.536000000000001</v>
      </c>
    </row>
    <row r="1580" spans="1:27" hidden="1" x14ac:dyDescent="0.25">
      <c r="A1580" t="s">
        <v>98</v>
      </c>
      <c r="B1580" t="s">
        <v>499</v>
      </c>
      <c r="D1580" t="s">
        <v>1722</v>
      </c>
      <c r="E1580" t="s">
        <v>243</v>
      </c>
      <c r="F1580" t="s">
        <v>244</v>
      </c>
      <c r="G1580" t="s">
        <v>103</v>
      </c>
      <c r="H1580" t="s">
        <v>104</v>
      </c>
      <c r="I1580">
        <v>2030</v>
      </c>
      <c r="J1580" t="s">
        <v>255</v>
      </c>
      <c r="K1580" t="s">
        <v>106</v>
      </c>
      <c r="L1580" t="s">
        <v>1955</v>
      </c>
      <c r="M1580" t="s">
        <v>1959</v>
      </c>
      <c r="N1580">
        <v>1</v>
      </c>
      <c r="O1580">
        <v>2030</v>
      </c>
      <c r="P1580">
        <v>5667.3116722418044</v>
      </c>
      <c r="Q1580">
        <v>63.780978532496562</v>
      </c>
      <c r="R1580" t="s">
        <v>249</v>
      </c>
      <c r="S1580">
        <v>0.43508713487380868</v>
      </c>
      <c r="T1580" t="s">
        <v>250</v>
      </c>
      <c r="U1580">
        <v>1.052823315118397</v>
      </c>
      <c r="V1580">
        <v>7991.4391852139524</v>
      </c>
      <c r="W1580">
        <v>89.937141380873001</v>
      </c>
      <c r="X1580" t="s">
        <v>111</v>
      </c>
      <c r="Y1580">
        <v>20</v>
      </c>
      <c r="Z1580">
        <v>0.44</v>
      </c>
      <c r="AA1580">
        <v>31.536000000000001</v>
      </c>
    </row>
    <row r="1581" spans="1:27" hidden="1" x14ac:dyDescent="0.25">
      <c r="A1581" t="s">
        <v>98</v>
      </c>
      <c r="B1581" t="s">
        <v>499</v>
      </c>
      <c r="D1581" t="s">
        <v>1722</v>
      </c>
      <c r="E1581" t="s">
        <v>243</v>
      </c>
      <c r="F1581" t="s">
        <v>244</v>
      </c>
      <c r="G1581" t="s">
        <v>112</v>
      </c>
      <c r="H1581" t="s">
        <v>104</v>
      </c>
      <c r="I1581">
        <v>2030</v>
      </c>
      <c r="J1581" t="s">
        <v>257</v>
      </c>
      <c r="K1581" t="s">
        <v>106</v>
      </c>
      <c r="L1581" t="s">
        <v>1955</v>
      </c>
      <c r="M1581" t="s">
        <v>1960</v>
      </c>
      <c r="N1581">
        <v>1</v>
      </c>
      <c r="O1581">
        <v>2030</v>
      </c>
      <c r="P1581">
        <v>5911.8706390075113</v>
      </c>
      <c r="Q1581">
        <v>63.780978532496562</v>
      </c>
      <c r="R1581" t="s">
        <v>249</v>
      </c>
      <c r="S1581">
        <v>0.44315925240393511</v>
      </c>
      <c r="T1581" t="s">
        <v>250</v>
      </c>
      <c r="U1581">
        <v>1.0723562152133581</v>
      </c>
      <c r="V1581">
        <v>8336.2901874412255</v>
      </c>
      <c r="W1581">
        <v>89.937141380873001</v>
      </c>
      <c r="X1581" t="s">
        <v>111</v>
      </c>
      <c r="Y1581">
        <v>20</v>
      </c>
      <c r="Z1581">
        <v>0.44</v>
      </c>
      <c r="AA1581">
        <v>31.536000000000001</v>
      </c>
    </row>
    <row r="1582" spans="1:27" hidden="1" x14ac:dyDescent="0.25">
      <c r="A1582" t="s">
        <v>98</v>
      </c>
      <c r="B1582" t="s">
        <v>499</v>
      </c>
      <c r="D1582" t="s">
        <v>1722</v>
      </c>
      <c r="E1582" t="s">
        <v>243</v>
      </c>
      <c r="F1582" t="s">
        <v>244</v>
      </c>
      <c r="G1582" t="s">
        <v>103</v>
      </c>
      <c r="H1582" t="s">
        <v>104</v>
      </c>
      <c r="I1582">
        <v>2040</v>
      </c>
      <c r="J1582" t="s">
        <v>259</v>
      </c>
      <c r="K1582" t="s">
        <v>106</v>
      </c>
      <c r="L1582" t="s">
        <v>1955</v>
      </c>
      <c r="M1582" t="s">
        <v>1961</v>
      </c>
      <c r="N1582">
        <v>1</v>
      </c>
      <c r="O1582">
        <v>2040</v>
      </c>
      <c r="P1582">
        <v>5667.3116722418044</v>
      </c>
      <c r="Q1582">
        <v>63.780978532496562</v>
      </c>
      <c r="R1582" t="s">
        <v>249</v>
      </c>
      <c r="S1582">
        <v>0.43508713487380868</v>
      </c>
      <c r="T1582" t="s">
        <v>250</v>
      </c>
      <c r="U1582">
        <v>1.052823315118397</v>
      </c>
      <c r="V1582">
        <v>7991.4391852139524</v>
      </c>
      <c r="W1582">
        <v>89.937141380873001</v>
      </c>
      <c r="X1582" t="s">
        <v>111</v>
      </c>
      <c r="Y1582">
        <v>20</v>
      </c>
      <c r="Z1582">
        <v>0.44</v>
      </c>
      <c r="AA1582">
        <v>31.536000000000001</v>
      </c>
    </row>
    <row r="1583" spans="1:27" hidden="1" x14ac:dyDescent="0.25">
      <c r="A1583" t="s">
        <v>98</v>
      </c>
      <c r="B1583" t="s">
        <v>499</v>
      </c>
      <c r="D1583" t="s">
        <v>1722</v>
      </c>
      <c r="E1583" t="s">
        <v>243</v>
      </c>
      <c r="F1583" t="s">
        <v>244</v>
      </c>
      <c r="G1583" t="s">
        <v>112</v>
      </c>
      <c r="H1583" t="s">
        <v>104</v>
      </c>
      <c r="I1583">
        <v>2040</v>
      </c>
      <c r="J1583" t="s">
        <v>261</v>
      </c>
      <c r="K1583" t="s">
        <v>106</v>
      </c>
      <c r="L1583" t="s">
        <v>1955</v>
      </c>
      <c r="M1583" t="s">
        <v>1962</v>
      </c>
      <c r="N1583">
        <v>1</v>
      </c>
      <c r="O1583">
        <v>2040</v>
      </c>
      <c r="P1583">
        <v>5911.8706390075113</v>
      </c>
      <c r="Q1583">
        <v>63.780978532496562</v>
      </c>
      <c r="R1583" t="s">
        <v>249</v>
      </c>
      <c r="S1583">
        <v>0.44315925240393511</v>
      </c>
      <c r="T1583" t="s">
        <v>250</v>
      </c>
      <c r="U1583">
        <v>1.0723562152133581</v>
      </c>
      <c r="V1583">
        <v>8336.2901874412255</v>
      </c>
      <c r="W1583">
        <v>89.937141380873001</v>
      </c>
      <c r="X1583" t="s">
        <v>111</v>
      </c>
      <c r="Y1583">
        <v>20</v>
      </c>
      <c r="Z1583">
        <v>0.44</v>
      </c>
      <c r="AA1583">
        <v>31.536000000000001</v>
      </c>
    </row>
    <row r="1584" spans="1:27" hidden="1" x14ac:dyDescent="0.25">
      <c r="A1584" t="s">
        <v>98</v>
      </c>
      <c r="B1584" t="s">
        <v>499</v>
      </c>
      <c r="D1584" t="s">
        <v>1722</v>
      </c>
      <c r="E1584" t="s">
        <v>243</v>
      </c>
      <c r="F1584" t="s">
        <v>244</v>
      </c>
      <c r="G1584" t="s">
        <v>103</v>
      </c>
      <c r="H1584" t="s">
        <v>104</v>
      </c>
      <c r="I1584">
        <v>2050</v>
      </c>
      <c r="J1584" t="s">
        <v>263</v>
      </c>
      <c r="K1584" t="s">
        <v>106</v>
      </c>
      <c r="L1584" t="s">
        <v>1955</v>
      </c>
      <c r="M1584" t="s">
        <v>1963</v>
      </c>
      <c r="N1584">
        <v>1</v>
      </c>
      <c r="O1584">
        <v>2050</v>
      </c>
      <c r="P1584">
        <v>5667.3116722418044</v>
      </c>
      <c r="Q1584">
        <v>63.780978532496562</v>
      </c>
      <c r="R1584" t="s">
        <v>249</v>
      </c>
      <c r="S1584">
        <v>0.43508713487380868</v>
      </c>
      <c r="T1584" t="s">
        <v>250</v>
      </c>
      <c r="U1584">
        <v>1.052823315118397</v>
      </c>
      <c r="V1584">
        <v>7991.4391852139524</v>
      </c>
      <c r="W1584">
        <v>89.937141380873001</v>
      </c>
      <c r="X1584" t="s">
        <v>111</v>
      </c>
      <c r="Y1584">
        <v>20</v>
      </c>
      <c r="Z1584">
        <v>0.44</v>
      </c>
      <c r="AA1584">
        <v>31.536000000000001</v>
      </c>
    </row>
    <row r="1585" spans="1:27" hidden="1" x14ac:dyDescent="0.25">
      <c r="A1585" t="s">
        <v>98</v>
      </c>
      <c r="B1585" t="s">
        <v>499</v>
      </c>
      <c r="D1585" t="s">
        <v>1722</v>
      </c>
      <c r="E1585" t="s">
        <v>243</v>
      </c>
      <c r="F1585" t="s">
        <v>244</v>
      </c>
      <c r="G1585" t="s">
        <v>112</v>
      </c>
      <c r="H1585" t="s">
        <v>104</v>
      </c>
      <c r="I1585">
        <v>2050</v>
      </c>
      <c r="J1585" t="s">
        <v>265</v>
      </c>
      <c r="K1585" t="s">
        <v>106</v>
      </c>
      <c r="L1585" t="s">
        <v>1955</v>
      </c>
      <c r="M1585" t="s">
        <v>1964</v>
      </c>
      <c r="N1585">
        <v>1</v>
      </c>
      <c r="O1585">
        <v>2050</v>
      </c>
      <c r="P1585">
        <v>5911.8706390075113</v>
      </c>
      <c r="Q1585">
        <v>63.780978532496562</v>
      </c>
      <c r="R1585" t="s">
        <v>249</v>
      </c>
      <c r="S1585">
        <v>0.44315925240393511</v>
      </c>
      <c r="T1585" t="s">
        <v>250</v>
      </c>
      <c r="U1585">
        <v>1.0723562152133581</v>
      </c>
      <c r="V1585">
        <v>8336.2901874412255</v>
      </c>
      <c r="W1585">
        <v>89.937141380873001</v>
      </c>
      <c r="X1585" t="s">
        <v>111</v>
      </c>
      <c r="Y1585">
        <v>20</v>
      </c>
      <c r="Z1585">
        <v>0.44</v>
      </c>
      <c r="AA1585">
        <v>31.536000000000001</v>
      </c>
    </row>
    <row r="1586" spans="1:27" hidden="1" x14ac:dyDescent="0.25">
      <c r="A1586" t="s">
        <v>98</v>
      </c>
      <c r="B1586" t="s">
        <v>499</v>
      </c>
      <c r="D1586" t="s">
        <v>1722</v>
      </c>
      <c r="E1586" t="s">
        <v>243</v>
      </c>
      <c r="F1586" t="s">
        <v>267</v>
      </c>
      <c r="G1586" t="s">
        <v>245</v>
      </c>
      <c r="H1586" t="s">
        <v>104</v>
      </c>
      <c r="I1586">
        <v>2022</v>
      </c>
      <c r="J1586" t="s">
        <v>268</v>
      </c>
      <c r="K1586" t="s">
        <v>106</v>
      </c>
      <c r="L1586" t="s">
        <v>1955</v>
      </c>
      <c r="M1586" t="s">
        <v>1965</v>
      </c>
      <c r="N1586">
        <v>1</v>
      </c>
      <c r="O1586">
        <v>2020</v>
      </c>
      <c r="P1586">
        <v>7748.5410872802086</v>
      </c>
      <c r="Q1586">
        <v>68.755259026523561</v>
      </c>
      <c r="R1586" t="s">
        <v>249</v>
      </c>
      <c r="S1586">
        <v>0.29876527460377861</v>
      </c>
      <c r="T1586" t="s">
        <v>250</v>
      </c>
      <c r="U1586">
        <v>0.72295184490306452</v>
      </c>
      <c r="V1586">
        <v>10926.167194301681</v>
      </c>
      <c r="W1586">
        <v>96.951341826723592</v>
      </c>
      <c r="X1586" t="s">
        <v>111</v>
      </c>
      <c r="Y1586">
        <v>20</v>
      </c>
      <c r="Z1586">
        <v>0.44</v>
      </c>
      <c r="AA1586">
        <v>31.536000000000001</v>
      </c>
    </row>
    <row r="1587" spans="1:27" hidden="1" x14ac:dyDescent="0.25">
      <c r="A1587" t="s">
        <v>98</v>
      </c>
      <c r="B1587" t="s">
        <v>499</v>
      </c>
      <c r="D1587" t="s">
        <v>1722</v>
      </c>
      <c r="E1587" t="s">
        <v>243</v>
      </c>
      <c r="F1587" t="s">
        <v>267</v>
      </c>
      <c r="G1587" t="s">
        <v>112</v>
      </c>
      <c r="H1587" t="s">
        <v>104</v>
      </c>
      <c r="I1587">
        <v>2022</v>
      </c>
      <c r="J1587" t="s">
        <v>270</v>
      </c>
      <c r="K1587" t="s">
        <v>106</v>
      </c>
      <c r="L1587" t="s">
        <v>1955</v>
      </c>
      <c r="M1587" t="s">
        <v>1966</v>
      </c>
      <c r="N1587">
        <v>1</v>
      </c>
      <c r="O1587">
        <v>2020</v>
      </c>
      <c r="P1587">
        <v>8151.6394802345676</v>
      </c>
      <c r="Q1587">
        <v>68.755259026523561</v>
      </c>
      <c r="R1587" t="s">
        <v>249</v>
      </c>
      <c r="S1587">
        <v>0.29876527460377861</v>
      </c>
      <c r="T1587" t="s">
        <v>250</v>
      </c>
      <c r="U1587">
        <v>0.72295184490306452</v>
      </c>
      <c r="V1587">
        <v>11494.57360623949</v>
      </c>
      <c r="W1587">
        <v>96.951341826723592</v>
      </c>
      <c r="X1587" t="s">
        <v>111</v>
      </c>
      <c r="Y1587">
        <v>20</v>
      </c>
      <c r="Z1587">
        <v>0.44</v>
      </c>
      <c r="AA1587">
        <v>31.536000000000001</v>
      </c>
    </row>
    <row r="1588" spans="1:27" hidden="1" x14ac:dyDescent="0.25">
      <c r="A1588" t="s">
        <v>98</v>
      </c>
      <c r="B1588" t="s">
        <v>499</v>
      </c>
      <c r="D1588" t="s">
        <v>1722</v>
      </c>
      <c r="E1588" t="s">
        <v>243</v>
      </c>
      <c r="F1588" t="s">
        <v>267</v>
      </c>
      <c r="G1588" t="s">
        <v>103</v>
      </c>
      <c r="H1588" t="s">
        <v>104</v>
      </c>
      <c r="I1588">
        <v>2030</v>
      </c>
      <c r="J1588" t="s">
        <v>272</v>
      </c>
      <c r="K1588" t="s">
        <v>106</v>
      </c>
      <c r="L1588" t="s">
        <v>1955</v>
      </c>
      <c r="M1588" t="s">
        <v>1967</v>
      </c>
      <c r="N1588">
        <v>1</v>
      </c>
      <c r="O1588">
        <v>2030</v>
      </c>
      <c r="P1588">
        <v>8119.0316179991396</v>
      </c>
      <c r="Q1588">
        <v>68.755259026523561</v>
      </c>
      <c r="R1588" t="s">
        <v>249</v>
      </c>
      <c r="S1588">
        <v>0.29876527460377861</v>
      </c>
      <c r="T1588" t="s">
        <v>250</v>
      </c>
      <c r="U1588">
        <v>0.72295184490306452</v>
      </c>
      <c r="V1588">
        <v>11448.59347260918</v>
      </c>
      <c r="W1588">
        <v>96.951341826723592</v>
      </c>
      <c r="X1588" t="s">
        <v>111</v>
      </c>
      <c r="Y1588">
        <v>20</v>
      </c>
      <c r="Z1588">
        <v>0.44</v>
      </c>
      <c r="AA1588">
        <v>31.536000000000001</v>
      </c>
    </row>
    <row r="1589" spans="1:27" hidden="1" x14ac:dyDescent="0.25">
      <c r="A1589" t="s">
        <v>98</v>
      </c>
      <c r="B1589" t="s">
        <v>499</v>
      </c>
      <c r="D1589" t="s">
        <v>1722</v>
      </c>
      <c r="E1589" t="s">
        <v>243</v>
      </c>
      <c r="F1589" t="s">
        <v>267</v>
      </c>
      <c r="G1589" t="s">
        <v>112</v>
      </c>
      <c r="H1589" t="s">
        <v>104</v>
      </c>
      <c r="I1589">
        <v>2030</v>
      </c>
      <c r="J1589" t="s">
        <v>274</v>
      </c>
      <c r="K1589" t="s">
        <v>106</v>
      </c>
      <c r="L1589" t="s">
        <v>1955</v>
      </c>
      <c r="M1589" t="s">
        <v>1968</v>
      </c>
      <c r="N1589">
        <v>1</v>
      </c>
      <c r="O1589">
        <v>2030</v>
      </c>
      <c r="P1589">
        <v>8151.6394802345676</v>
      </c>
      <c r="Q1589">
        <v>68.755259026523561</v>
      </c>
      <c r="R1589" t="s">
        <v>249</v>
      </c>
      <c r="S1589">
        <v>0.31450011460924421</v>
      </c>
      <c r="T1589" t="s">
        <v>250</v>
      </c>
      <c r="U1589">
        <v>0.76102699144173802</v>
      </c>
      <c r="V1589">
        <v>11494.57360623949</v>
      </c>
      <c r="W1589">
        <v>96.951341826723578</v>
      </c>
      <c r="X1589" t="s">
        <v>111</v>
      </c>
      <c r="Y1589">
        <v>20</v>
      </c>
      <c r="Z1589">
        <v>0.44</v>
      </c>
      <c r="AA1589">
        <v>31.536000000000001</v>
      </c>
    </row>
    <row r="1590" spans="1:27" hidden="1" x14ac:dyDescent="0.25">
      <c r="A1590" t="s">
        <v>98</v>
      </c>
      <c r="B1590" t="s">
        <v>499</v>
      </c>
      <c r="D1590" t="s">
        <v>1722</v>
      </c>
      <c r="E1590" t="s">
        <v>243</v>
      </c>
      <c r="F1590" t="s">
        <v>267</v>
      </c>
      <c r="G1590" t="s">
        <v>103</v>
      </c>
      <c r="H1590" t="s">
        <v>104</v>
      </c>
      <c r="I1590">
        <v>2040</v>
      </c>
      <c r="J1590" t="s">
        <v>276</v>
      </c>
      <c r="K1590" t="s">
        <v>106</v>
      </c>
      <c r="L1590" t="s">
        <v>1955</v>
      </c>
      <c r="M1590" t="s">
        <v>1969</v>
      </c>
      <c r="N1590">
        <v>1</v>
      </c>
      <c r="O1590">
        <v>2040</v>
      </c>
      <c r="P1590">
        <v>8119.0316179991396</v>
      </c>
      <c r="Q1590">
        <v>68.755259026523561</v>
      </c>
      <c r="R1590" t="s">
        <v>249</v>
      </c>
      <c r="S1590">
        <v>0.29876527460377861</v>
      </c>
      <c r="T1590" t="s">
        <v>250</v>
      </c>
      <c r="U1590">
        <v>0.72295184490306452</v>
      </c>
      <c r="V1590">
        <v>11448.59347260918</v>
      </c>
      <c r="W1590">
        <v>96.951341826723592</v>
      </c>
      <c r="X1590" t="s">
        <v>111</v>
      </c>
      <c r="Y1590">
        <v>20</v>
      </c>
      <c r="Z1590">
        <v>0.44</v>
      </c>
      <c r="AA1590">
        <v>31.536000000000001</v>
      </c>
    </row>
    <row r="1591" spans="1:27" hidden="1" x14ac:dyDescent="0.25">
      <c r="A1591" t="s">
        <v>98</v>
      </c>
      <c r="B1591" t="s">
        <v>499</v>
      </c>
      <c r="D1591" t="s">
        <v>1722</v>
      </c>
      <c r="E1591" t="s">
        <v>243</v>
      </c>
      <c r="F1591" t="s">
        <v>267</v>
      </c>
      <c r="G1591" t="s">
        <v>112</v>
      </c>
      <c r="H1591" t="s">
        <v>104</v>
      </c>
      <c r="I1591">
        <v>2040</v>
      </c>
      <c r="J1591" t="s">
        <v>278</v>
      </c>
      <c r="K1591" t="s">
        <v>106</v>
      </c>
      <c r="L1591" t="s">
        <v>1955</v>
      </c>
      <c r="M1591" t="s">
        <v>1970</v>
      </c>
      <c r="N1591">
        <v>1</v>
      </c>
      <c r="O1591">
        <v>2040</v>
      </c>
      <c r="P1591">
        <v>8151.6394802345676</v>
      </c>
      <c r="Q1591">
        <v>68.755259026523561</v>
      </c>
      <c r="R1591" t="s">
        <v>249</v>
      </c>
      <c r="S1591">
        <v>0.31450011460924421</v>
      </c>
      <c r="T1591" t="s">
        <v>250</v>
      </c>
      <c r="U1591">
        <v>0.76102699144173802</v>
      </c>
      <c r="V1591">
        <v>11494.57360623949</v>
      </c>
      <c r="W1591">
        <v>96.951341826723578</v>
      </c>
      <c r="X1591" t="s">
        <v>111</v>
      </c>
      <c r="Y1591">
        <v>20</v>
      </c>
      <c r="Z1591">
        <v>0.44</v>
      </c>
      <c r="AA1591">
        <v>31.536000000000001</v>
      </c>
    </row>
    <row r="1592" spans="1:27" hidden="1" x14ac:dyDescent="0.25">
      <c r="A1592" t="s">
        <v>98</v>
      </c>
      <c r="B1592" t="s">
        <v>499</v>
      </c>
      <c r="D1592" t="s">
        <v>1722</v>
      </c>
      <c r="E1592" t="s">
        <v>243</v>
      </c>
      <c r="F1592" t="s">
        <v>267</v>
      </c>
      <c r="G1592" t="s">
        <v>103</v>
      </c>
      <c r="H1592" t="s">
        <v>104</v>
      </c>
      <c r="I1592">
        <v>2050</v>
      </c>
      <c r="J1592" t="s">
        <v>280</v>
      </c>
      <c r="K1592" t="s">
        <v>106</v>
      </c>
      <c r="L1592" t="s">
        <v>1955</v>
      </c>
      <c r="M1592" t="s">
        <v>1971</v>
      </c>
      <c r="N1592">
        <v>1</v>
      </c>
      <c r="O1592">
        <v>2050</v>
      </c>
      <c r="P1592">
        <v>8119.0316179991396</v>
      </c>
      <c r="Q1592">
        <v>68.755259026523561</v>
      </c>
      <c r="R1592" t="s">
        <v>249</v>
      </c>
      <c r="S1592">
        <v>0.29876527460377861</v>
      </c>
      <c r="T1592" t="s">
        <v>250</v>
      </c>
      <c r="U1592">
        <v>0.72295184490306452</v>
      </c>
      <c r="V1592">
        <v>11448.59347260918</v>
      </c>
      <c r="W1592">
        <v>96.951341826723592</v>
      </c>
      <c r="X1592" t="s">
        <v>111</v>
      </c>
      <c r="Y1592">
        <v>20</v>
      </c>
      <c r="Z1592">
        <v>0.44</v>
      </c>
      <c r="AA1592">
        <v>31.536000000000001</v>
      </c>
    </row>
    <row r="1593" spans="1:27" hidden="1" x14ac:dyDescent="0.25">
      <c r="A1593" t="s">
        <v>98</v>
      </c>
      <c r="B1593" t="s">
        <v>499</v>
      </c>
      <c r="D1593" t="s">
        <v>1722</v>
      </c>
      <c r="E1593" t="s">
        <v>243</v>
      </c>
      <c r="F1593" t="s">
        <v>267</v>
      </c>
      <c r="G1593" t="s">
        <v>112</v>
      </c>
      <c r="H1593" t="s">
        <v>104</v>
      </c>
      <c r="I1593">
        <v>2050</v>
      </c>
      <c r="J1593" t="s">
        <v>282</v>
      </c>
      <c r="K1593" t="s">
        <v>106</v>
      </c>
      <c r="L1593" t="s">
        <v>1955</v>
      </c>
      <c r="M1593" t="s">
        <v>1972</v>
      </c>
      <c r="N1593">
        <v>1</v>
      </c>
      <c r="O1593">
        <v>2050</v>
      </c>
      <c r="P1593">
        <v>8151.6394802345676</v>
      </c>
      <c r="Q1593">
        <v>68.755259026523561</v>
      </c>
      <c r="R1593" t="s">
        <v>249</v>
      </c>
      <c r="S1593">
        <v>0.31450011460924421</v>
      </c>
      <c r="T1593" t="s">
        <v>250</v>
      </c>
      <c r="U1593">
        <v>0.76102699144173802</v>
      </c>
      <c r="V1593">
        <v>11494.57360623949</v>
      </c>
      <c r="W1593">
        <v>96.951341826723578</v>
      </c>
      <c r="X1593" t="s">
        <v>111</v>
      </c>
      <c r="Y1593">
        <v>20</v>
      </c>
      <c r="Z1593">
        <v>0.44</v>
      </c>
      <c r="AA1593">
        <v>31.536000000000001</v>
      </c>
    </row>
    <row r="1594" spans="1:27" hidden="1" x14ac:dyDescent="0.25">
      <c r="A1594" t="s">
        <v>98</v>
      </c>
      <c r="B1594" t="s">
        <v>499</v>
      </c>
      <c r="D1594" t="s">
        <v>1722</v>
      </c>
      <c r="E1594" t="s">
        <v>284</v>
      </c>
      <c r="F1594" t="s">
        <v>285</v>
      </c>
      <c r="G1594" t="s">
        <v>103</v>
      </c>
      <c r="H1594" t="s">
        <v>104</v>
      </c>
      <c r="I1594">
        <v>2022</v>
      </c>
      <c r="J1594" t="s">
        <v>286</v>
      </c>
      <c r="K1594" t="s">
        <v>106</v>
      </c>
      <c r="L1594" t="s">
        <v>1973</v>
      </c>
      <c r="M1594" t="s">
        <v>1974</v>
      </c>
      <c r="N1594">
        <v>1</v>
      </c>
      <c r="O1594">
        <v>2020</v>
      </c>
      <c r="P1594">
        <v>100.10336678844671</v>
      </c>
      <c r="Q1594">
        <v>36.612504973710713</v>
      </c>
      <c r="R1594" t="s">
        <v>289</v>
      </c>
      <c r="S1594">
        <v>15.58191798941797</v>
      </c>
      <c r="T1594" t="s">
        <v>290</v>
      </c>
      <c r="U1594">
        <v>37.705106031875843</v>
      </c>
      <c r="V1594">
        <v>100.10336678844671</v>
      </c>
      <c r="W1594">
        <v>36.612504973710713</v>
      </c>
      <c r="X1594" t="s">
        <v>291</v>
      </c>
      <c r="Y1594">
        <v>10</v>
      </c>
      <c r="Z1594">
        <v>0.31616344381119887</v>
      </c>
      <c r="AA1594">
        <v>1</v>
      </c>
    </row>
    <row r="1595" spans="1:27" hidden="1" x14ac:dyDescent="0.25">
      <c r="A1595" t="s">
        <v>98</v>
      </c>
      <c r="B1595" t="s">
        <v>499</v>
      </c>
      <c r="D1595" t="s">
        <v>1722</v>
      </c>
      <c r="E1595" t="s">
        <v>284</v>
      </c>
      <c r="F1595" t="s">
        <v>292</v>
      </c>
      <c r="G1595" t="s">
        <v>103</v>
      </c>
      <c r="H1595" t="s">
        <v>104</v>
      </c>
      <c r="I1595">
        <v>2022</v>
      </c>
      <c r="J1595" t="s">
        <v>293</v>
      </c>
      <c r="K1595" t="s">
        <v>106</v>
      </c>
      <c r="L1595" t="s">
        <v>1973</v>
      </c>
      <c r="M1595" t="s">
        <v>1975</v>
      </c>
      <c r="N1595">
        <v>1</v>
      </c>
      <c r="O1595">
        <v>2020</v>
      </c>
      <c r="P1595">
        <v>99.46253669701926</v>
      </c>
      <c r="Q1595">
        <v>6.0605044913603194</v>
      </c>
      <c r="R1595" t="s">
        <v>289</v>
      </c>
      <c r="S1595">
        <v>42.005691056910557</v>
      </c>
      <c r="T1595" t="s">
        <v>290</v>
      </c>
      <c r="U1595">
        <v>42.005691056910557</v>
      </c>
      <c r="V1595">
        <v>99.46253669701926</v>
      </c>
      <c r="W1595">
        <v>6.0605044913603194</v>
      </c>
      <c r="X1595" t="s">
        <v>291</v>
      </c>
      <c r="Y1595">
        <v>10</v>
      </c>
      <c r="Z1595">
        <v>0.31616344381119887</v>
      </c>
      <c r="AA1595">
        <v>1</v>
      </c>
    </row>
    <row r="1596" spans="1:27" hidden="1" x14ac:dyDescent="0.25">
      <c r="A1596" t="s">
        <v>98</v>
      </c>
      <c r="B1596" t="s">
        <v>499</v>
      </c>
      <c r="D1596" t="s">
        <v>1722</v>
      </c>
      <c r="E1596" t="s">
        <v>284</v>
      </c>
      <c r="F1596" t="s">
        <v>292</v>
      </c>
      <c r="G1596" t="s">
        <v>112</v>
      </c>
      <c r="H1596" t="s">
        <v>104</v>
      </c>
      <c r="I1596">
        <v>2022</v>
      </c>
      <c r="J1596" t="s">
        <v>295</v>
      </c>
      <c r="K1596" t="s">
        <v>106</v>
      </c>
      <c r="L1596" t="s">
        <v>1973</v>
      </c>
      <c r="M1596" t="s">
        <v>1976</v>
      </c>
      <c r="N1596">
        <v>1</v>
      </c>
      <c r="O1596">
        <v>2020</v>
      </c>
      <c r="P1596">
        <v>92.517129414925563</v>
      </c>
      <c r="Q1596">
        <v>5.9256499638890956</v>
      </c>
      <c r="R1596" t="s">
        <v>289</v>
      </c>
      <c r="S1596">
        <v>43.051923076923067</v>
      </c>
      <c r="T1596" t="s">
        <v>290</v>
      </c>
      <c r="U1596">
        <v>43.051923076923067</v>
      </c>
      <c r="V1596">
        <v>92.517129414925563</v>
      </c>
      <c r="W1596">
        <v>5.9256499638890956</v>
      </c>
      <c r="X1596" t="s">
        <v>291</v>
      </c>
      <c r="Y1596">
        <v>10</v>
      </c>
      <c r="Z1596">
        <v>0.31616344381119887</v>
      </c>
      <c r="AA1596">
        <v>1</v>
      </c>
    </row>
    <row r="1597" spans="1:27" hidden="1" x14ac:dyDescent="0.25">
      <c r="A1597" t="s">
        <v>98</v>
      </c>
      <c r="B1597" t="s">
        <v>499</v>
      </c>
      <c r="D1597" t="s">
        <v>1722</v>
      </c>
      <c r="E1597" t="s">
        <v>284</v>
      </c>
      <c r="F1597" t="s">
        <v>297</v>
      </c>
      <c r="G1597" t="s">
        <v>103</v>
      </c>
      <c r="H1597" t="s">
        <v>104</v>
      </c>
      <c r="I1597">
        <v>2022</v>
      </c>
      <c r="J1597" t="s">
        <v>298</v>
      </c>
      <c r="K1597" t="s">
        <v>106</v>
      </c>
      <c r="L1597" t="s">
        <v>1973</v>
      </c>
      <c r="M1597" t="s">
        <v>1977</v>
      </c>
      <c r="N1597">
        <v>1</v>
      </c>
      <c r="O1597">
        <v>2020</v>
      </c>
      <c r="P1597">
        <v>94.526951376087595</v>
      </c>
      <c r="Q1597">
        <v>3.949349451558744</v>
      </c>
      <c r="R1597" t="s">
        <v>289</v>
      </c>
      <c r="S1597">
        <v>76.146700507614213</v>
      </c>
      <c r="T1597" t="s">
        <v>290</v>
      </c>
      <c r="U1597">
        <v>76.146700507614213</v>
      </c>
      <c r="V1597">
        <v>94.526951376087595</v>
      </c>
      <c r="W1597">
        <v>3.949349451558744</v>
      </c>
      <c r="X1597" t="s">
        <v>291</v>
      </c>
      <c r="Y1597">
        <v>10</v>
      </c>
      <c r="Z1597">
        <v>0.31616344381119887</v>
      </c>
      <c r="AA1597">
        <v>1</v>
      </c>
    </row>
    <row r="1598" spans="1:27" hidden="1" x14ac:dyDescent="0.25">
      <c r="A1598" t="s">
        <v>98</v>
      </c>
      <c r="B1598" t="s">
        <v>499</v>
      </c>
      <c r="D1598" t="s">
        <v>1722</v>
      </c>
      <c r="E1598" t="s">
        <v>284</v>
      </c>
      <c r="F1598" t="s">
        <v>297</v>
      </c>
      <c r="G1598" t="s">
        <v>112</v>
      </c>
      <c r="H1598" t="s">
        <v>104</v>
      </c>
      <c r="I1598">
        <v>2022</v>
      </c>
      <c r="J1598" t="s">
        <v>300</v>
      </c>
      <c r="K1598" t="s">
        <v>106</v>
      </c>
      <c r="L1598" t="s">
        <v>1973</v>
      </c>
      <c r="M1598" t="s">
        <v>1978</v>
      </c>
      <c r="N1598">
        <v>1</v>
      </c>
      <c r="O1598">
        <v>2020</v>
      </c>
      <c r="P1598">
        <v>69.765067810793198</v>
      </c>
      <c r="Q1598">
        <v>2.516631606553434</v>
      </c>
      <c r="R1598" t="s">
        <v>289</v>
      </c>
      <c r="S1598">
        <v>93</v>
      </c>
      <c r="T1598" t="s">
        <v>290</v>
      </c>
      <c r="U1598">
        <v>93</v>
      </c>
      <c r="V1598">
        <v>69.765067810793198</v>
      </c>
      <c r="W1598">
        <v>2.516631606553434</v>
      </c>
      <c r="X1598" t="s">
        <v>291</v>
      </c>
      <c r="Y1598">
        <v>10</v>
      </c>
      <c r="Z1598">
        <v>0.31616344381119887</v>
      </c>
      <c r="AA1598">
        <v>1</v>
      </c>
    </row>
    <row r="1599" spans="1:27" hidden="1" x14ac:dyDescent="0.25">
      <c r="A1599" t="s">
        <v>98</v>
      </c>
      <c r="B1599" t="s">
        <v>499</v>
      </c>
      <c r="D1599" t="s">
        <v>1722</v>
      </c>
      <c r="E1599" t="s">
        <v>284</v>
      </c>
      <c r="F1599" t="s">
        <v>302</v>
      </c>
      <c r="G1599" t="s">
        <v>103</v>
      </c>
      <c r="H1599" t="s">
        <v>104</v>
      </c>
      <c r="I1599">
        <v>2022</v>
      </c>
      <c r="J1599" t="s">
        <v>303</v>
      </c>
      <c r="K1599" t="s">
        <v>106</v>
      </c>
      <c r="L1599" t="s">
        <v>1973</v>
      </c>
      <c r="M1599" t="s">
        <v>1979</v>
      </c>
      <c r="N1599">
        <v>1</v>
      </c>
      <c r="O1599">
        <v>2020</v>
      </c>
      <c r="P1599">
        <v>105.7930490817716</v>
      </c>
      <c r="Q1599">
        <v>3.355492309527206</v>
      </c>
      <c r="R1599" t="s">
        <v>289</v>
      </c>
      <c r="S1599">
        <v>64.669172932330824</v>
      </c>
      <c r="T1599" t="s">
        <v>290</v>
      </c>
      <c r="U1599">
        <v>64.669172932330824</v>
      </c>
      <c r="V1599">
        <v>105.7930490817716</v>
      </c>
      <c r="W1599">
        <v>3.355492309527206</v>
      </c>
      <c r="X1599" t="s">
        <v>291</v>
      </c>
      <c r="Y1599">
        <v>10</v>
      </c>
      <c r="Z1599">
        <v>0.31616344381119887</v>
      </c>
      <c r="AA1599">
        <v>1</v>
      </c>
    </row>
    <row r="1600" spans="1:27" hidden="1" x14ac:dyDescent="0.25">
      <c r="A1600" t="s">
        <v>98</v>
      </c>
      <c r="B1600" t="s">
        <v>499</v>
      </c>
      <c r="D1600" t="s">
        <v>1722</v>
      </c>
      <c r="E1600" t="s">
        <v>284</v>
      </c>
      <c r="F1600" t="s">
        <v>302</v>
      </c>
      <c r="G1600" t="s">
        <v>112</v>
      </c>
      <c r="H1600" t="s">
        <v>104</v>
      </c>
      <c r="I1600">
        <v>2022</v>
      </c>
      <c r="J1600" t="s">
        <v>305</v>
      </c>
      <c r="K1600" t="s">
        <v>106</v>
      </c>
      <c r="L1600" t="s">
        <v>1973</v>
      </c>
      <c r="M1600" t="s">
        <v>1980</v>
      </c>
      <c r="N1600">
        <v>1</v>
      </c>
      <c r="O1600">
        <v>2020</v>
      </c>
      <c r="P1600">
        <v>99.614212714858894</v>
      </c>
      <c r="Q1600">
        <v>1.4361600838792941</v>
      </c>
      <c r="R1600" t="s">
        <v>289</v>
      </c>
      <c r="S1600">
        <v>75.07692307692308</v>
      </c>
      <c r="T1600" t="s">
        <v>290</v>
      </c>
      <c r="U1600">
        <v>75.07692307692308</v>
      </c>
      <c r="V1600">
        <v>99.614212714858894</v>
      </c>
      <c r="W1600">
        <v>1.4361600838792941</v>
      </c>
      <c r="X1600" t="s">
        <v>291</v>
      </c>
      <c r="Y1600">
        <v>10</v>
      </c>
      <c r="Z1600">
        <v>0.31616344381119887</v>
      </c>
      <c r="AA1600">
        <v>1</v>
      </c>
    </row>
    <row r="1601" spans="1:27" hidden="1" x14ac:dyDescent="0.25">
      <c r="A1601" t="s">
        <v>98</v>
      </c>
      <c r="B1601" t="s">
        <v>499</v>
      </c>
      <c r="D1601" t="s">
        <v>1722</v>
      </c>
      <c r="E1601" t="s">
        <v>284</v>
      </c>
      <c r="F1601" t="s">
        <v>297</v>
      </c>
      <c r="G1601" t="s">
        <v>103</v>
      </c>
      <c r="H1601" t="s">
        <v>104</v>
      </c>
      <c r="I1601">
        <v>2023</v>
      </c>
      <c r="J1601" t="s">
        <v>307</v>
      </c>
      <c r="K1601" t="s">
        <v>106</v>
      </c>
      <c r="L1601" t="s">
        <v>1973</v>
      </c>
      <c r="M1601" t="s">
        <v>1981</v>
      </c>
      <c r="N1601">
        <v>1</v>
      </c>
      <c r="O1601">
        <v>2023</v>
      </c>
      <c r="P1601">
        <v>94.526951376087595</v>
      </c>
      <c r="Q1601">
        <v>3.949349451558744</v>
      </c>
      <c r="R1601" t="s">
        <v>289</v>
      </c>
      <c r="S1601">
        <v>76.146700507614213</v>
      </c>
      <c r="T1601" t="s">
        <v>290</v>
      </c>
      <c r="U1601">
        <v>76.146700507614213</v>
      </c>
      <c r="V1601">
        <v>94.526951376087595</v>
      </c>
      <c r="W1601">
        <v>3.949349451558744</v>
      </c>
      <c r="X1601" t="s">
        <v>291</v>
      </c>
      <c r="Y1601">
        <v>10</v>
      </c>
      <c r="Z1601">
        <v>0.31616344381119887</v>
      </c>
      <c r="AA1601">
        <v>1</v>
      </c>
    </row>
    <row r="1602" spans="1:27" hidden="1" x14ac:dyDescent="0.25">
      <c r="A1602" t="s">
        <v>98</v>
      </c>
      <c r="B1602" t="s">
        <v>499</v>
      </c>
      <c r="D1602" t="s">
        <v>1722</v>
      </c>
      <c r="E1602" t="s">
        <v>284</v>
      </c>
      <c r="F1602" t="s">
        <v>297</v>
      </c>
      <c r="G1602" t="s">
        <v>112</v>
      </c>
      <c r="H1602" t="s">
        <v>104</v>
      </c>
      <c r="I1602">
        <v>2023</v>
      </c>
      <c r="J1602" t="s">
        <v>309</v>
      </c>
      <c r="K1602" t="s">
        <v>106</v>
      </c>
      <c r="L1602" t="s">
        <v>1973</v>
      </c>
      <c r="M1602" t="s">
        <v>1982</v>
      </c>
      <c r="N1602">
        <v>1</v>
      </c>
      <c r="O1602">
        <v>2023</v>
      </c>
      <c r="P1602">
        <v>69.765067810793198</v>
      </c>
      <c r="Q1602">
        <v>2.516631606553434</v>
      </c>
      <c r="R1602" t="s">
        <v>289</v>
      </c>
      <c r="S1602">
        <v>93</v>
      </c>
      <c r="T1602" t="s">
        <v>290</v>
      </c>
      <c r="U1602">
        <v>93</v>
      </c>
      <c r="V1602">
        <v>69.765067810793198</v>
      </c>
      <c r="W1602">
        <v>2.516631606553434</v>
      </c>
      <c r="X1602" t="s">
        <v>291</v>
      </c>
      <c r="Y1602">
        <v>10</v>
      </c>
      <c r="Z1602">
        <v>0.31616344381119887</v>
      </c>
      <c r="AA1602">
        <v>1</v>
      </c>
    </row>
    <row r="1603" spans="1:27" hidden="1" x14ac:dyDescent="0.25">
      <c r="A1603" t="s">
        <v>98</v>
      </c>
      <c r="B1603" t="s">
        <v>499</v>
      </c>
      <c r="D1603" t="s">
        <v>1722</v>
      </c>
      <c r="E1603" t="s">
        <v>284</v>
      </c>
      <c r="F1603" t="s">
        <v>302</v>
      </c>
      <c r="G1603" t="s">
        <v>103</v>
      </c>
      <c r="H1603" t="s">
        <v>104</v>
      </c>
      <c r="I1603">
        <v>2023</v>
      </c>
      <c r="J1603" t="s">
        <v>311</v>
      </c>
      <c r="K1603" t="s">
        <v>106</v>
      </c>
      <c r="L1603" t="s">
        <v>1973</v>
      </c>
      <c r="M1603" t="s">
        <v>1983</v>
      </c>
      <c r="N1603">
        <v>1</v>
      </c>
      <c r="O1603">
        <v>2023</v>
      </c>
      <c r="P1603">
        <v>105.7930490817716</v>
      </c>
      <c r="Q1603">
        <v>3.355492309527206</v>
      </c>
      <c r="R1603" t="s">
        <v>289</v>
      </c>
      <c r="S1603">
        <v>64.669172932330824</v>
      </c>
      <c r="T1603" t="s">
        <v>290</v>
      </c>
      <c r="U1603">
        <v>64.669172932330824</v>
      </c>
      <c r="V1603">
        <v>105.7930490817716</v>
      </c>
      <c r="W1603">
        <v>3.355492309527206</v>
      </c>
      <c r="X1603" t="s">
        <v>291</v>
      </c>
      <c r="Y1603">
        <v>10</v>
      </c>
      <c r="Z1603">
        <v>0.31616344381119887</v>
      </c>
      <c r="AA1603">
        <v>1</v>
      </c>
    </row>
    <row r="1604" spans="1:27" hidden="1" x14ac:dyDescent="0.25">
      <c r="A1604" t="s">
        <v>98</v>
      </c>
      <c r="B1604" t="s">
        <v>499</v>
      </c>
      <c r="D1604" t="s">
        <v>1722</v>
      </c>
      <c r="E1604" t="s">
        <v>284</v>
      </c>
      <c r="F1604" t="s">
        <v>302</v>
      </c>
      <c r="G1604" t="s">
        <v>112</v>
      </c>
      <c r="H1604" t="s">
        <v>104</v>
      </c>
      <c r="I1604">
        <v>2023</v>
      </c>
      <c r="J1604" t="s">
        <v>313</v>
      </c>
      <c r="K1604" t="s">
        <v>106</v>
      </c>
      <c r="L1604" t="s">
        <v>1973</v>
      </c>
      <c r="M1604" t="s">
        <v>1984</v>
      </c>
      <c r="N1604">
        <v>1</v>
      </c>
      <c r="O1604">
        <v>2023</v>
      </c>
      <c r="P1604">
        <v>99.614212714858894</v>
      </c>
      <c r="Q1604">
        <v>1.4361600838792941</v>
      </c>
      <c r="R1604" t="s">
        <v>289</v>
      </c>
      <c r="S1604">
        <v>75.07692307692308</v>
      </c>
      <c r="T1604" t="s">
        <v>290</v>
      </c>
      <c r="U1604">
        <v>75.07692307692308</v>
      </c>
      <c r="V1604">
        <v>99.614212714858894</v>
      </c>
      <c r="W1604">
        <v>1.4361600838792941</v>
      </c>
      <c r="X1604" t="s">
        <v>291</v>
      </c>
      <c r="Y1604">
        <v>10</v>
      </c>
      <c r="Z1604">
        <v>0.31616344381119887</v>
      </c>
      <c r="AA1604">
        <v>1</v>
      </c>
    </row>
    <row r="1605" spans="1:27" hidden="1" x14ac:dyDescent="0.25">
      <c r="A1605" t="s">
        <v>98</v>
      </c>
      <c r="B1605" t="s">
        <v>499</v>
      </c>
      <c r="D1605" t="s">
        <v>1722</v>
      </c>
      <c r="E1605" t="s">
        <v>284</v>
      </c>
      <c r="F1605" t="s">
        <v>297</v>
      </c>
      <c r="G1605" t="s">
        <v>103</v>
      </c>
      <c r="H1605" t="s">
        <v>104</v>
      </c>
      <c r="I1605">
        <v>2024</v>
      </c>
      <c r="J1605" t="s">
        <v>315</v>
      </c>
      <c r="K1605" t="s">
        <v>106</v>
      </c>
      <c r="L1605" t="s">
        <v>1973</v>
      </c>
      <c r="M1605" t="s">
        <v>1985</v>
      </c>
      <c r="N1605">
        <v>1</v>
      </c>
      <c r="O1605">
        <v>2024</v>
      </c>
      <c r="P1605">
        <v>94.526951376087595</v>
      </c>
      <c r="Q1605">
        <v>3.949349451558744</v>
      </c>
      <c r="R1605" t="s">
        <v>289</v>
      </c>
      <c r="S1605">
        <v>76.146700507614213</v>
      </c>
      <c r="T1605" t="s">
        <v>290</v>
      </c>
      <c r="U1605">
        <v>76.146700507614213</v>
      </c>
      <c r="V1605">
        <v>94.526951376087595</v>
      </c>
      <c r="W1605">
        <v>3.949349451558744</v>
      </c>
      <c r="X1605" t="s">
        <v>291</v>
      </c>
      <c r="Y1605">
        <v>10</v>
      </c>
      <c r="Z1605">
        <v>0.31616344381119887</v>
      </c>
      <c r="AA1605">
        <v>1</v>
      </c>
    </row>
    <row r="1606" spans="1:27" hidden="1" x14ac:dyDescent="0.25">
      <c r="A1606" t="s">
        <v>98</v>
      </c>
      <c r="B1606" t="s">
        <v>499</v>
      </c>
      <c r="D1606" t="s">
        <v>1722</v>
      </c>
      <c r="E1606" t="s">
        <v>284</v>
      </c>
      <c r="F1606" t="s">
        <v>297</v>
      </c>
      <c r="G1606" t="s">
        <v>112</v>
      </c>
      <c r="H1606" t="s">
        <v>104</v>
      </c>
      <c r="I1606">
        <v>2024</v>
      </c>
      <c r="J1606" t="s">
        <v>317</v>
      </c>
      <c r="K1606" t="s">
        <v>106</v>
      </c>
      <c r="L1606" t="s">
        <v>1973</v>
      </c>
      <c r="M1606" t="s">
        <v>1986</v>
      </c>
      <c r="N1606">
        <v>1</v>
      </c>
      <c r="O1606">
        <v>2024</v>
      </c>
      <c r="P1606">
        <v>69.765067810793198</v>
      </c>
      <c r="Q1606">
        <v>2.516631606553434</v>
      </c>
      <c r="R1606" t="s">
        <v>289</v>
      </c>
      <c r="S1606">
        <v>93</v>
      </c>
      <c r="T1606" t="s">
        <v>290</v>
      </c>
      <c r="U1606">
        <v>93</v>
      </c>
      <c r="V1606">
        <v>69.765067810793198</v>
      </c>
      <c r="W1606">
        <v>2.516631606553434</v>
      </c>
      <c r="X1606" t="s">
        <v>291</v>
      </c>
      <c r="Y1606">
        <v>10</v>
      </c>
      <c r="Z1606">
        <v>0.31616344381119887</v>
      </c>
      <c r="AA1606">
        <v>1</v>
      </c>
    </row>
    <row r="1607" spans="1:27" hidden="1" x14ac:dyDescent="0.25">
      <c r="A1607" t="s">
        <v>98</v>
      </c>
      <c r="B1607" t="s">
        <v>499</v>
      </c>
      <c r="D1607" t="s">
        <v>1722</v>
      </c>
      <c r="E1607" t="s">
        <v>284</v>
      </c>
      <c r="F1607" t="s">
        <v>302</v>
      </c>
      <c r="G1607" t="s">
        <v>103</v>
      </c>
      <c r="H1607" t="s">
        <v>104</v>
      </c>
      <c r="I1607">
        <v>2024</v>
      </c>
      <c r="J1607" t="s">
        <v>319</v>
      </c>
      <c r="K1607" t="s">
        <v>106</v>
      </c>
      <c r="L1607" t="s">
        <v>1973</v>
      </c>
      <c r="M1607" t="s">
        <v>1987</v>
      </c>
      <c r="N1607">
        <v>1</v>
      </c>
      <c r="O1607">
        <v>2024</v>
      </c>
      <c r="P1607">
        <v>105.7930490817716</v>
      </c>
      <c r="Q1607">
        <v>3.355492309527206</v>
      </c>
      <c r="R1607" t="s">
        <v>289</v>
      </c>
      <c r="S1607">
        <v>64.669172932330824</v>
      </c>
      <c r="T1607" t="s">
        <v>290</v>
      </c>
      <c r="U1607">
        <v>64.669172932330824</v>
      </c>
      <c r="V1607">
        <v>105.7930490817716</v>
      </c>
      <c r="W1607">
        <v>3.355492309527206</v>
      </c>
      <c r="X1607" t="s">
        <v>291</v>
      </c>
      <c r="Y1607">
        <v>10</v>
      </c>
      <c r="Z1607">
        <v>0.31616344381119887</v>
      </c>
      <c r="AA1607">
        <v>1</v>
      </c>
    </row>
    <row r="1608" spans="1:27" hidden="1" x14ac:dyDescent="0.25">
      <c r="A1608" t="s">
        <v>98</v>
      </c>
      <c r="B1608" t="s">
        <v>499</v>
      </c>
      <c r="D1608" t="s">
        <v>1722</v>
      </c>
      <c r="E1608" t="s">
        <v>284</v>
      </c>
      <c r="F1608" t="s">
        <v>302</v>
      </c>
      <c r="G1608" t="s">
        <v>112</v>
      </c>
      <c r="H1608" t="s">
        <v>104</v>
      </c>
      <c r="I1608">
        <v>2024</v>
      </c>
      <c r="J1608" t="s">
        <v>321</v>
      </c>
      <c r="K1608" t="s">
        <v>106</v>
      </c>
      <c r="L1608" t="s">
        <v>1973</v>
      </c>
      <c r="M1608" t="s">
        <v>1988</v>
      </c>
      <c r="N1608">
        <v>1</v>
      </c>
      <c r="O1608">
        <v>2024</v>
      </c>
      <c r="P1608">
        <v>99.614212714858894</v>
      </c>
      <c r="Q1608">
        <v>1.4361600838792941</v>
      </c>
      <c r="R1608" t="s">
        <v>289</v>
      </c>
      <c r="S1608">
        <v>75.07692307692308</v>
      </c>
      <c r="T1608" t="s">
        <v>290</v>
      </c>
      <c r="U1608">
        <v>75.07692307692308</v>
      </c>
      <c r="V1608">
        <v>99.614212714858894</v>
      </c>
      <c r="W1608">
        <v>1.4361600838792941</v>
      </c>
      <c r="X1608" t="s">
        <v>291</v>
      </c>
      <c r="Y1608">
        <v>10</v>
      </c>
      <c r="Z1608">
        <v>0.31616344381119887</v>
      </c>
      <c r="AA1608">
        <v>1</v>
      </c>
    </row>
    <row r="1609" spans="1:27" hidden="1" x14ac:dyDescent="0.25">
      <c r="A1609" t="s">
        <v>98</v>
      </c>
      <c r="B1609" t="s">
        <v>499</v>
      </c>
      <c r="D1609" t="s">
        <v>1722</v>
      </c>
      <c r="E1609" t="s">
        <v>284</v>
      </c>
      <c r="F1609" t="s">
        <v>297</v>
      </c>
      <c r="G1609" t="s">
        <v>103</v>
      </c>
      <c r="H1609" t="s">
        <v>104</v>
      </c>
      <c r="I1609">
        <v>2025</v>
      </c>
      <c r="J1609" t="s">
        <v>323</v>
      </c>
      <c r="K1609" t="s">
        <v>106</v>
      </c>
      <c r="L1609" t="s">
        <v>1973</v>
      </c>
      <c r="M1609" t="s">
        <v>1989</v>
      </c>
      <c r="N1609">
        <v>1</v>
      </c>
      <c r="O1609">
        <v>2025</v>
      </c>
      <c r="P1609">
        <v>94.526951376087595</v>
      </c>
      <c r="Q1609">
        <v>3.949349451558744</v>
      </c>
      <c r="R1609" t="s">
        <v>289</v>
      </c>
      <c r="S1609">
        <v>76.146700507614213</v>
      </c>
      <c r="T1609" t="s">
        <v>290</v>
      </c>
      <c r="U1609">
        <v>76.146700507614213</v>
      </c>
      <c r="V1609">
        <v>94.526951376087595</v>
      </c>
      <c r="W1609">
        <v>3.949349451558744</v>
      </c>
      <c r="X1609" t="s">
        <v>291</v>
      </c>
      <c r="Y1609">
        <v>10</v>
      </c>
      <c r="Z1609">
        <v>0.31616344381119887</v>
      </c>
      <c r="AA1609">
        <v>1</v>
      </c>
    </row>
    <row r="1610" spans="1:27" hidden="1" x14ac:dyDescent="0.25">
      <c r="A1610" t="s">
        <v>98</v>
      </c>
      <c r="B1610" t="s">
        <v>499</v>
      </c>
      <c r="D1610" t="s">
        <v>1722</v>
      </c>
      <c r="E1610" t="s">
        <v>284</v>
      </c>
      <c r="F1610" t="s">
        <v>297</v>
      </c>
      <c r="G1610" t="s">
        <v>112</v>
      </c>
      <c r="H1610" t="s">
        <v>104</v>
      </c>
      <c r="I1610">
        <v>2025</v>
      </c>
      <c r="J1610" t="s">
        <v>325</v>
      </c>
      <c r="K1610" t="s">
        <v>106</v>
      </c>
      <c r="L1610" t="s">
        <v>1973</v>
      </c>
      <c r="M1610" t="s">
        <v>1990</v>
      </c>
      <c r="N1610">
        <v>1</v>
      </c>
      <c r="O1610">
        <v>2025</v>
      </c>
      <c r="P1610">
        <v>69.765067810793198</v>
      </c>
      <c r="Q1610">
        <v>2.516631606553434</v>
      </c>
      <c r="R1610" t="s">
        <v>289</v>
      </c>
      <c r="S1610">
        <v>93</v>
      </c>
      <c r="T1610" t="s">
        <v>290</v>
      </c>
      <c r="U1610">
        <v>93</v>
      </c>
      <c r="V1610">
        <v>69.765067810793198</v>
      </c>
      <c r="W1610">
        <v>2.516631606553434</v>
      </c>
      <c r="X1610" t="s">
        <v>291</v>
      </c>
      <c r="Y1610">
        <v>10</v>
      </c>
      <c r="Z1610">
        <v>0.31616344381119887</v>
      </c>
      <c r="AA1610">
        <v>1</v>
      </c>
    </row>
    <row r="1611" spans="1:27" hidden="1" x14ac:dyDescent="0.25">
      <c r="A1611" t="s">
        <v>98</v>
      </c>
      <c r="B1611" t="s">
        <v>499</v>
      </c>
      <c r="D1611" t="s">
        <v>1722</v>
      </c>
      <c r="E1611" t="s">
        <v>284</v>
      </c>
      <c r="F1611" t="s">
        <v>302</v>
      </c>
      <c r="G1611" t="s">
        <v>103</v>
      </c>
      <c r="H1611" t="s">
        <v>104</v>
      </c>
      <c r="I1611">
        <v>2025</v>
      </c>
      <c r="J1611" t="s">
        <v>327</v>
      </c>
      <c r="K1611" t="s">
        <v>106</v>
      </c>
      <c r="L1611" t="s">
        <v>1973</v>
      </c>
      <c r="M1611" t="s">
        <v>1991</v>
      </c>
      <c r="N1611">
        <v>1</v>
      </c>
      <c r="O1611">
        <v>2025</v>
      </c>
      <c r="P1611">
        <v>105.7930490817716</v>
      </c>
      <c r="Q1611">
        <v>3.355492309527206</v>
      </c>
      <c r="R1611" t="s">
        <v>289</v>
      </c>
      <c r="S1611">
        <v>64.669172932330824</v>
      </c>
      <c r="T1611" t="s">
        <v>290</v>
      </c>
      <c r="U1611">
        <v>64.669172932330824</v>
      </c>
      <c r="V1611">
        <v>105.7930490817716</v>
      </c>
      <c r="W1611">
        <v>3.355492309527206</v>
      </c>
      <c r="X1611" t="s">
        <v>291</v>
      </c>
      <c r="Y1611">
        <v>10</v>
      </c>
      <c r="Z1611">
        <v>0.31616344381119887</v>
      </c>
      <c r="AA1611">
        <v>1</v>
      </c>
    </row>
    <row r="1612" spans="1:27" hidden="1" x14ac:dyDescent="0.25">
      <c r="A1612" t="s">
        <v>98</v>
      </c>
      <c r="B1612" t="s">
        <v>499</v>
      </c>
      <c r="D1612" t="s">
        <v>1722</v>
      </c>
      <c r="E1612" t="s">
        <v>284</v>
      </c>
      <c r="F1612" t="s">
        <v>302</v>
      </c>
      <c r="G1612" t="s">
        <v>112</v>
      </c>
      <c r="H1612" t="s">
        <v>104</v>
      </c>
      <c r="I1612">
        <v>2025</v>
      </c>
      <c r="J1612" t="s">
        <v>329</v>
      </c>
      <c r="K1612" t="s">
        <v>106</v>
      </c>
      <c r="L1612" t="s">
        <v>1973</v>
      </c>
      <c r="M1612" t="s">
        <v>1992</v>
      </c>
      <c r="N1612">
        <v>1</v>
      </c>
      <c r="O1612">
        <v>2025</v>
      </c>
      <c r="P1612">
        <v>99.614212714858894</v>
      </c>
      <c r="Q1612">
        <v>1.4361600838792941</v>
      </c>
      <c r="R1612" t="s">
        <v>289</v>
      </c>
      <c r="S1612">
        <v>75.07692307692308</v>
      </c>
      <c r="T1612" t="s">
        <v>290</v>
      </c>
      <c r="U1612">
        <v>75.07692307692308</v>
      </c>
      <c r="V1612">
        <v>99.614212714858894</v>
      </c>
      <c r="W1612">
        <v>1.4361600838792941</v>
      </c>
      <c r="X1612" t="s">
        <v>291</v>
      </c>
      <c r="Y1612">
        <v>10</v>
      </c>
      <c r="Z1612">
        <v>0.31616344381119887</v>
      </c>
      <c r="AA1612">
        <v>1</v>
      </c>
    </row>
    <row r="1613" spans="1:27" hidden="1" x14ac:dyDescent="0.25">
      <c r="A1613" t="s">
        <v>98</v>
      </c>
      <c r="B1613" t="s">
        <v>499</v>
      </c>
      <c r="D1613" t="s">
        <v>1722</v>
      </c>
      <c r="E1613" t="s">
        <v>284</v>
      </c>
      <c r="F1613" t="s">
        <v>297</v>
      </c>
      <c r="G1613" t="s">
        <v>103</v>
      </c>
      <c r="H1613" t="s">
        <v>104</v>
      </c>
      <c r="I1613">
        <v>2026</v>
      </c>
      <c r="J1613" t="s">
        <v>331</v>
      </c>
      <c r="K1613" t="s">
        <v>106</v>
      </c>
      <c r="L1613" t="s">
        <v>1973</v>
      </c>
      <c r="M1613" t="s">
        <v>1993</v>
      </c>
      <c r="N1613">
        <v>1</v>
      </c>
      <c r="O1613">
        <v>2026</v>
      </c>
      <c r="P1613">
        <v>94.526951376087595</v>
      </c>
      <c r="Q1613">
        <v>3.949349451558744</v>
      </c>
      <c r="R1613" t="s">
        <v>289</v>
      </c>
      <c r="S1613">
        <v>76.146700507614213</v>
      </c>
      <c r="T1613" t="s">
        <v>290</v>
      </c>
      <c r="U1613">
        <v>76.146700507614213</v>
      </c>
      <c r="V1613">
        <v>94.526951376087595</v>
      </c>
      <c r="W1613">
        <v>3.949349451558744</v>
      </c>
      <c r="X1613" t="s">
        <v>291</v>
      </c>
      <c r="Y1613">
        <v>10</v>
      </c>
      <c r="Z1613">
        <v>0.31616344381119887</v>
      </c>
      <c r="AA1613">
        <v>1</v>
      </c>
    </row>
    <row r="1614" spans="1:27" hidden="1" x14ac:dyDescent="0.25">
      <c r="A1614" t="s">
        <v>98</v>
      </c>
      <c r="B1614" t="s">
        <v>499</v>
      </c>
      <c r="D1614" t="s">
        <v>1722</v>
      </c>
      <c r="E1614" t="s">
        <v>284</v>
      </c>
      <c r="F1614" t="s">
        <v>297</v>
      </c>
      <c r="G1614" t="s">
        <v>112</v>
      </c>
      <c r="H1614" t="s">
        <v>104</v>
      </c>
      <c r="I1614">
        <v>2026</v>
      </c>
      <c r="J1614" t="s">
        <v>333</v>
      </c>
      <c r="K1614" t="s">
        <v>106</v>
      </c>
      <c r="L1614" t="s">
        <v>1973</v>
      </c>
      <c r="M1614" t="s">
        <v>1994</v>
      </c>
      <c r="N1614">
        <v>1</v>
      </c>
      <c r="O1614">
        <v>2026</v>
      </c>
      <c r="P1614">
        <v>69.765067810793198</v>
      </c>
      <c r="Q1614">
        <v>2.516631606553434</v>
      </c>
      <c r="R1614" t="s">
        <v>289</v>
      </c>
      <c r="S1614">
        <v>93</v>
      </c>
      <c r="T1614" t="s">
        <v>290</v>
      </c>
      <c r="U1614">
        <v>93</v>
      </c>
      <c r="V1614">
        <v>69.765067810793198</v>
      </c>
      <c r="W1614">
        <v>2.516631606553434</v>
      </c>
      <c r="X1614" t="s">
        <v>291</v>
      </c>
      <c r="Y1614">
        <v>10</v>
      </c>
      <c r="Z1614">
        <v>0.31616344381119887</v>
      </c>
      <c r="AA1614">
        <v>1</v>
      </c>
    </row>
    <row r="1615" spans="1:27" hidden="1" x14ac:dyDescent="0.25">
      <c r="A1615" t="s">
        <v>98</v>
      </c>
      <c r="B1615" t="s">
        <v>499</v>
      </c>
      <c r="D1615" t="s">
        <v>1722</v>
      </c>
      <c r="E1615" t="s">
        <v>284</v>
      </c>
      <c r="F1615" t="s">
        <v>302</v>
      </c>
      <c r="G1615" t="s">
        <v>103</v>
      </c>
      <c r="H1615" t="s">
        <v>104</v>
      </c>
      <c r="I1615">
        <v>2026</v>
      </c>
      <c r="J1615" t="s">
        <v>335</v>
      </c>
      <c r="K1615" t="s">
        <v>106</v>
      </c>
      <c r="L1615" t="s">
        <v>1973</v>
      </c>
      <c r="M1615" t="s">
        <v>1995</v>
      </c>
      <c r="N1615">
        <v>1</v>
      </c>
      <c r="O1615">
        <v>2026</v>
      </c>
      <c r="P1615">
        <v>105.7930490817716</v>
      </c>
      <c r="Q1615">
        <v>3.355492309527206</v>
      </c>
      <c r="R1615" t="s">
        <v>289</v>
      </c>
      <c r="S1615">
        <v>64.669172932330824</v>
      </c>
      <c r="T1615" t="s">
        <v>290</v>
      </c>
      <c r="U1615">
        <v>64.669172932330824</v>
      </c>
      <c r="V1615">
        <v>105.7930490817716</v>
      </c>
      <c r="W1615">
        <v>3.355492309527206</v>
      </c>
      <c r="X1615" t="s">
        <v>291</v>
      </c>
      <c r="Y1615">
        <v>10</v>
      </c>
      <c r="Z1615">
        <v>0.31616344381119887</v>
      </c>
      <c r="AA1615">
        <v>1</v>
      </c>
    </row>
    <row r="1616" spans="1:27" hidden="1" x14ac:dyDescent="0.25">
      <c r="A1616" t="s">
        <v>98</v>
      </c>
      <c r="B1616" t="s">
        <v>499</v>
      </c>
      <c r="D1616" t="s">
        <v>1722</v>
      </c>
      <c r="E1616" t="s">
        <v>284</v>
      </c>
      <c r="F1616" t="s">
        <v>302</v>
      </c>
      <c r="G1616" t="s">
        <v>112</v>
      </c>
      <c r="H1616" t="s">
        <v>104</v>
      </c>
      <c r="I1616">
        <v>2026</v>
      </c>
      <c r="J1616" t="s">
        <v>337</v>
      </c>
      <c r="K1616" t="s">
        <v>106</v>
      </c>
      <c r="L1616" t="s">
        <v>1973</v>
      </c>
      <c r="M1616" t="s">
        <v>1996</v>
      </c>
      <c r="N1616">
        <v>1</v>
      </c>
      <c r="O1616">
        <v>2026</v>
      </c>
      <c r="P1616">
        <v>99.614212714858894</v>
      </c>
      <c r="Q1616">
        <v>1.4361600838792941</v>
      </c>
      <c r="R1616" t="s">
        <v>289</v>
      </c>
      <c r="S1616">
        <v>75.07692307692308</v>
      </c>
      <c r="T1616" t="s">
        <v>290</v>
      </c>
      <c r="U1616">
        <v>75.07692307692308</v>
      </c>
      <c r="V1616">
        <v>99.614212714858894</v>
      </c>
      <c r="W1616">
        <v>1.4361600838792941</v>
      </c>
      <c r="X1616" t="s">
        <v>291</v>
      </c>
      <c r="Y1616">
        <v>10</v>
      </c>
      <c r="Z1616">
        <v>0.31616344381119887</v>
      </c>
      <c r="AA1616">
        <v>1</v>
      </c>
    </row>
    <row r="1617" spans="1:27" hidden="1" x14ac:dyDescent="0.25">
      <c r="A1617" t="s">
        <v>98</v>
      </c>
      <c r="B1617" t="s">
        <v>499</v>
      </c>
      <c r="D1617" t="s">
        <v>1722</v>
      </c>
      <c r="E1617" t="s">
        <v>284</v>
      </c>
      <c r="F1617" t="s">
        <v>292</v>
      </c>
      <c r="G1617" t="s">
        <v>103</v>
      </c>
      <c r="H1617" t="s">
        <v>104</v>
      </c>
      <c r="I1617">
        <v>2030</v>
      </c>
      <c r="J1617" t="s">
        <v>339</v>
      </c>
      <c r="K1617" t="s">
        <v>106</v>
      </c>
      <c r="L1617" t="s">
        <v>1973</v>
      </c>
      <c r="M1617" t="s">
        <v>1997</v>
      </c>
      <c r="N1617">
        <v>1</v>
      </c>
      <c r="O1617">
        <v>2030</v>
      </c>
      <c r="P1617">
        <v>99.96668875570353</v>
      </c>
      <c r="Q1617">
        <v>4.9152448223495018</v>
      </c>
      <c r="R1617" t="s">
        <v>289</v>
      </c>
      <c r="S1617">
        <v>55.211046644573933</v>
      </c>
      <c r="T1617" t="s">
        <v>290</v>
      </c>
      <c r="U1617">
        <v>55.211046644573933</v>
      </c>
      <c r="V1617">
        <v>99.96668875570353</v>
      </c>
      <c r="W1617">
        <v>4.9152448223495018</v>
      </c>
      <c r="X1617" t="s">
        <v>291</v>
      </c>
      <c r="Y1617">
        <v>10</v>
      </c>
      <c r="Z1617">
        <v>0.31616344381119887</v>
      </c>
      <c r="AA1617">
        <v>1</v>
      </c>
    </row>
    <row r="1618" spans="1:27" hidden="1" x14ac:dyDescent="0.25">
      <c r="A1618" t="s">
        <v>98</v>
      </c>
      <c r="B1618" t="s">
        <v>499</v>
      </c>
      <c r="D1618" t="s">
        <v>1722</v>
      </c>
      <c r="E1618" t="s">
        <v>284</v>
      </c>
      <c r="F1618" t="s">
        <v>292</v>
      </c>
      <c r="G1618" t="s">
        <v>112</v>
      </c>
      <c r="H1618" t="s">
        <v>104</v>
      </c>
      <c r="I1618">
        <v>2030</v>
      </c>
      <c r="J1618" t="s">
        <v>341</v>
      </c>
      <c r="K1618" t="s">
        <v>106</v>
      </c>
      <c r="L1618" t="s">
        <v>1973</v>
      </c>
      <c r="M1618" t="s">
        <v>1998</v>
      </c>
      <c r="N1618">
        <v>1</v>
      </c>
      <c r="O1618">
        <v>2030</v>
      </c>
      <c r="P1618">
        <v>93.570390823718384</v>
      </c>
      <c r="Q1618">
        <v>4.27625645181514</v>
      </c>
      <c r="R1618" t="s">
        <v>289</v>
      </c>
      <c r="S1618">
        <v>60.132155797450622</v>
      </c>
      <c r="T1618" t="s">
        <v>290</v>
      </c>
      <c r="U1618">
        <v>60.132155797450622</v>
      </c>
      <c r="V1618">
        <v>93.570390823718384</v>
      </c>
      <c r="W1618">
        <v>4.27625645181514</v>
      </c>
      <c r="X1618" t="s">
        <v>291</v>
      </c>
      <c r="Y1618">
        <v>10</v>
      </c>
      <c r="Z1618">
        <v>0.31616344381119887</v>
      </c>
      <c r="AA1618">
        <v>1</v>
      </c>
    </row>
    <row r="1619" spans="1:27" hidden="1" x14ac:dyDescent="0.25">
      <c r="A1619" t="s">
        <v>98</v>
      </c>
      <c r="B1619" t="s">
        <v>499</v>
      </c>
      <c r="D1619" t="s">
        <v>1722</v>
      </c>
      <c r="E1619" t="s">
        <v>284</v>
      </c>
      <c r="F1619" t="s">
        <v>297</v>
      </c>
      <c r="G1619" t="s">
        <v>103</v>
      </c>
      <c r="H1619" t="s">
        <v>104</v>
      </c>
      <c r="I1619">
        <v>2030</v>
      </c>
      <c r="J1619" t="s">
        <v>343</v>
      </c>
      <c r="K1619" t="s">
        <v>106</v>
      </c>
      <c r="L1619" t="s">
        <v>1973</v>
      </c>
      <c r="M1619" t="s">
        <v>1999</v>
      </c>
      <c r="N1619">
        <v>1</v>
      </c>
      <c r="O1619">
        <v>2030</v>
      </c>
      <c r="P1619">
        <v>112.2464608710101</v>
      </c>
      <c r="Q1619">
        <v>3.5870084905918258</v>
      </c>
      <c r="R1619" t="s">
        <v>289</v>
      </c>
      <c r="S1619">
        <v>89.042769074884546</v>
      </c>
      <c r="T1619" t="s">
        <v>290</v>
      </c>
      <c r="U1619">
        <v>89.042769074884546</v>
      </c>
      <c r="V1619">
        <v>112.2464608710101</v>
      </c>
      <c r="W1619">
        <v>3.5870084905918258</v>
      </c>
      <c r="X1619" t="s">
        <v>291</v>
      </c>
      <c r="Y1619">
        <v>10</v>
      </c>
      <c r="Z1619">
        <v>0.31616344381119887</v>
      </c>
      <c r="AA1619">
        <v>1</v>
      </c>
    </row>
    <row r="1620" spans="1:27" hidden="1" x14ac:dyDescent="0.25">
      <c r="A1620" t="s">
        <v>98</v>
      </c>
      <c r="B1620" t="s">
        <v>499</v>
      </c>
      <c r="D1620" t="s">
        <v>1722</v>
      </c>
      <c r="E1620" t="s">
        <v>284</v>
      </c>
      <c r="F1620" t="s">
        <v>297</v>
      </c>
      <c r="G1620" t="s">
        <v>112</v>
      </c>
      <c r="H1620" t="s">
        <v>104</v>
      </c>
      <c r="I1620">
        <v>2030</v>
      </c>
      <c r="J1620" t="s">
        <v>345</v>
      </c>
      <c r="K1620" t="s">
        <v>106</v>
      </c>
      <c r="L1620" t="s">
        <v>1973</v>
      </c>
      <c r="M1620" t="s">
        <v>2000</v>
      </c>
      <c r="N1620">
        <v>1</v>
      </c>
      <c r="O1620">
        <v>2030</v>
      </c>
      <c r="P1620">
        <v>84.571073913548247</v>
      </c>
      <c r="Q1620">
        <v>2.3525336937486059</v>
      </c>
      <c r="R1620" t="s">
        <v>289</v>
      </c>
      <c r="S1620">
        <v>108.5525423728814</v>
      </c>
      <c r="T1620" t="s">
        <v>290</v>
      </c>
      <c r="U1620">
        <v>108.5525423728814</v>
      </c>
      <c r="V1620">
        <v>84.571073913548247</v>
      </c>
      <c r="W1620">
        <v>2.3525336937486059</v>
      </c>
      <c r="X1620" t="s">
        <v>291</v>
      </c>
      <c r="Y1620">
        <v>10</v>
      </c>
      <c r="Z1620">
        <v>0.31616344381119887</v>
      </c>
      <c r="AA1620">
        <v>1</v>
      </c>
    </row>
    <row r="1621" spans="1:27" hidden="1" x14ac:dyDescent="0.25">
      <c r="A1621" t="s">
        <v>98</v>
      </c>
      <c r="B1621" t="s">
        <v>499</v>
      </c>
      <c r="D1621" t="s">
        <v>1722</v>
      </c>
      <c r="E1621" t="s">
        <v>284</v>
      </c>
      <c r="F1621" t="s">
        <v>292</v>
      </c>
      <c r="G1621" t="s">
        <v>103</v>
      </c>
      <c r="H1621" t="s">
        <v>104</v>
      </c>
      <c r="I1621">
        <v>2040</v>
      </c>
      <c r="J1621" t="s">
        <v>347</v>
      </c>
      <c r="K1621" t="s">
        <v>106</v>
      </c>
      <c r="L1621" t="s">
        <v>1973</v>
      </c>
      <c r="M1621" t="s">
        <v>2001</v>
      </c>
      <c r="N1621">
        <v>1</v>
      </c>
      <c r="O1621">
        <v>2040</v>
      </c>
      <c r="P1621">
        <v>98.335071194105581</v>
      </c>
      <c r="Q1621">
        <v>4.7080379086524973</v>
      </c>
      <c r="R1621" t="s">
        <v>289</v>
      </c>
      <c r="S1621">
        <v>63.829339223058007</v>
      </c>
      <c r="T1621" t="s">
        <v>290</v>
      </c>
      <c r="U1621">
        <v>63.829339223058007</v>
      </c>
      <c r="V1621">
        <v>98.335071194105581</v>
      </c>
      <c r="W1621">
        <v>4.7080379086524973</v>
      </c>
      <c r="X1621" t="s">
        <v>291</v>
      </c>
      <c r="Y1621">
        <v>10</v>
      </c>
      <c r="Z1621">
        <v>0.31616344381119887</v>
      </c>
      <c r="AA1621">
        <v>1</v>
      </c>
    </row>
    <row r="1622" spans="1:27" hidden="1" x14ac:dyDescent="0.25">
      <c r="A1622" t="s">
        <v>98</v>
      </c>
      <c r="B1622" t="s">
        <v>499</v>
      </c>
      <c r="D1622" t="s">
        <v>1722</v>
      </c>
      <c r="E1622" t="s">
        <v>284</v>
      </c>
      <c r="F1622" t="s">
        <v>292</v>
      </c>
      <c r="G1622" t="s">
        <v>112</v>
      </c>
      <c r="H1622" t="s">
        <v>104</v>
      </c>
      <c r="I1622">
        <v>2040</v>
      </c>
      <c r="J1622" t="s">
        <v>349</v>
      </c>
      <c r="K1622" t="s">
        <v>106</v>
      </c>
      <c r="L1622" t="s">
        <v>1973</v>
      </c>
      <c r="M1622" t="s">
        <v>2002</v>
      </c>
      <c r="N1622">
        <v>1</v>
      </c>
      <c r="O1622">
        <v>2040</v>
      </c>
      <c r="P1622">
        <v>92.137687829328328</v>
      </c>
      <c r="Q1622">
        <v>4.1202723323867074</v>
      </c>
      <c r="R1622" t="s">
        <v>289</v>
      </c>
      <c r="S1622">
        <v>69.934718883357121</v>
      </c>
      <c r="T1622" t="s">
        <v>290</v>
      </c>
      <c r="U1622">
        <v>69.934718883357121</v>
      </c>
      <c r="V1622">
        <v>92.137687829328328</v>
      </c>
      <c r="W1622">
        <v>4.1202723323867074</v>
      </c>
      <c r="X1622" t="s">
        <v>291</v>
      </c>
      <c r="Y1622">
        <v>10</v>
      </c>
      <c r="Z1622">
        <v>0.31616344381119887</v>
      </c>
      <c r="AA1622">
        <v>1</v>
      </c>
    </row>
    <row r="1623" spans="1:27" hidden="1" x14ac:dyDescent="0.25">
      <c r="A1623" t="s">
        <v>98</v>
      </c>
      <c r="B1623" t="s">
        <v>499</v>
      </c>
      <c r="D1623" t="s">
        <v>1722</v>
      </c>
      <c r="E1623" t="s">
        <v>284</v>
      </c>
      <c r="F1623" t="s">
        <v>297</v>
      </c>
      <c r="G1623" t="s">
        <v>103</v>
      </c>
      <c r="H1623" t="s">
        <v>104</v>
      </c>
      <c r="I1623">
        <v>2040</v>
      </c>
      <c r="J1623" t="s">
        <v>351</v>
      </c>
      <c r="K1623" t="s">
        <v>106</v>
      </c>
      <c r="L1623" t="s">
        <v>1973</v>
      </c>
      <c r="M1623" t="s">
        <v>2003</v>
      </c>
      <c r="N1623">
        <v>1</v>
      </c>
      <c r="O1623">
        <v>2040</v>
      </c>
      <c r="P1623">
        <v>109.62871509832991</v>
      </c>
      <c r="Q1623">
        <v>3.28145573783857</v>
      </c>
      <c r="R1623" t="s">
        <v>289</v>
      </c>
      <c r="S1623">
        <v>101.8534675620791</v>
      </c>
      <c r="T1623" t="s">
        <v>290</v>
      </c>
      <c r="U1623">
        <v>101.8534675620791</v>
      </c>
      <c r="V1623">
        <v>109.62871509832991</v>
      </c>
      <c r="W1623">
        <v>3.28145573783857</v>
      </c>
      <c r="X1623" t="s">
        <v>291</v>
      </c>
      <c r="Y1623">
        <v>10</v>
      </c>
      <c r="Z1623">
        <v>0.31616344381119887</v>
      </c>
      <c r="AA1623">
        <v>1</v>
      </c>
    </row>
    <row r="1624" spans="1:27" hidden="1" x14ac:dyDescent="0.25">
      <c r="A1624" t="s">
        <v>98</v>
      </c>
      <c r="B1624" t="s">
        <v>499</v>
      </c>
      <c r="D1624" t="s">
        <v>1722</v>
      </c>
      <c r="E1624" t="s">
        <v>284</v>
      </c>
      <c r="F1624" t="s">
        <v>297</v>
      </c>
      <c r="G1624" t="s">
        <v>112</v>
      </c>
      <c r="H1624" t="s">
        <v>104</v>
      </c>
      <c r="I1624">
        <v>2040</v>
      </c>
      <c r="J1624" t="s">
        <v>353</v>
      </c>
      <c r="K1624" t="s">
        <v>106</v>
      </c>
      <c r="L1624" t="s">
        <v>1973</v>
      </c>
      <c r="M1624" t="s">
        <v>2004</v>
      </c>
      <c r="N1624">
        <v>1</v>
      </c>
      <c r="O1624">
        <v>2040</v>
      </c>
      <c r="P1624">
        <v>82.941268534212341</v>
      </c>
      <c r="Q1624">
        <v>2.168671786742209</v>
      </c>
      <c r="R1624" t="s">
        <v>289</v>
      </c>
      <c r="S1624">
        <v>124.1701372074253</v>
      </c>
      <c r="T1624" t="s">
        <v>290</v>
      </c>
      <c r="U1624">
        <v>124.1701372074253</v>
      </c>
      <c r="V1624">
        <v>82.941268534212341</v>
      </c>
      <c r="W1624">
        <v>2.168671786742209</v>
      </c>
      <c r="X1624" t="s">
        <v>291</v>
      </c>
      <c r="Y1624">
        <v>10</v>
      </c>
      <c r="Z1624">
        <v>0.31616344381119887</v>
      </c>
      <c r="AA1624">
        <v>1</v>
      </c>
    </row>
    <row r="1625" spans="1:27" hidden="1" x14ac:dyDescent="0.25">
      <c r="A1625" t="s">
        <v>98</v>
      </c>
      <c r="B1625" t="s">
        <v>499</v>
      </c>
      <c r="D1625" t="s">
        <v>1722</v>
      </c>
      <c r="E1625" t="s">
        <v>284</v>
      </c>
      <c r="F1625" t="s">
        <v>355</v>
      </c>
      <c r="G1625" t="s">
        <v>103</v>
      </c>
      <c r="H1625" t="s">
        <v>104</v>
      </c>
      <c r="I1625">
        <v>2022</v>
      </c>
      <c r="J1625" t="s">
        <v>356</v>
      </c>
      <c r="K1625" t="s">
        <v>106</v>
      </c>
      <c r="L1625" t="s">
        <v>1973</v>
      </c>
      <c r="M1625" t="s">
        <v>2005</v>
      </c>
      <c r="N1625">
        <v>1</v>
      </c>
      <c r="O1625">
        <v>2020</v>
      </c>
      <c r="P1625">
        <v>26.539302440149839</v>
      </c>
      <c r="Q1625">
        <v>0.71977466386263589</v>
      </c>
      <c r="R1625" t="s">
        <v>289</v>
      </c>
      <c r="S1625">
        <v>85.75677051732572</v>
      </c>
      <c r="T1625" t="s">
        <v>290</v>
      </c>
      <c r="U1625">
        <v>85.75677051732572</v>
      </c>
      <c r="V1625">
        <v>26.539302440149839</v>
      </c>
      <c r="W1625">
        <v>0.71977466386263589</v>
      </c>
      <c r="X1625" t="s">
        <v>291</v>
      </c>
      <c r="Y1625">
        <v>10</v>
      </c>
      <c r="Z1625">
        <v>0.31616344381119887</v>
      </c>
      <c r="AA1625">
        <v>1</v>
      </c>
    </row>
    <row r="1626" spans="1:27" hidden="1" x14ac:dyDescent="0.25">
      <c r="A1626" t="s">
        <v>98</v>
      </c>
      <c r="B1626" t="s">
        <v>499</v>
      </c>
      <c r="D1626" t="s">
        <v>1722</v>
      </c>
      <c r="E1626" t="s">
        <v>284</v>
      </c>
      <c r="F1626" t="s">
        <v>355</v>
      </c>
      <c r="G1626" t="s">
        <v>112</v>
      </c>
      <c r="H1626" t="s">
        <v>104</v>
      </c>
      <c r="I1626">
        <v>2022</v>
      </c>
      <c r="J1626" t="s">
        <v>358</v>
      </c>
      <c r="K1626" t="s">
        <v>106</v>
      </c>
      <c r="L1626" t="s">
        <v>1973</v>
      </c>
      <c r="M1626" t="s">
        <v>2006</v>
      </c>
      <c r="N1626">
        <v>1</v>
      </c>
      <c r="O1626">
        <v>2020</v>
      </c>
      <c r="P1626">
        <v>27.952547937105681</v>
      </c>
      <c r="Q1626">
        <v>0.83346015109483984</v>
      </c>
      <c r="R1626" t="s">
        <v>289</v>
      </c>
      <c r="S1626">
        <v>88.372750377742747</v>
      </c>
      <c r="T1626" t="s">
        <v>290</v>
      </c>
      <c r="U1626">
        <v>88.372750377742747</v>
      </c>
      <c r="V1626">
        <v>27.952547937105681</v>
      </c>
      <c r="W1626">
        <v>0.83346015109483984</v>
      </c>
      <c r="X1626" t="s">
        <v>291</v>
      </c>
      <c r="Y1626">
        <v>10</v>
      </c>
      <c r="Z1626">
        <v>0.31616344381119887</v>
      </c>
      <c r="AA1626">
        <v>1</v>
      </c>
    </row>
    <row r="1627" spans="1:27" hidden="1" x14ac:dyDescent="0.25">
      <c r="A1627" t="s">
        <v>98</v>
      </c>
      <c r="B1627" t="s">
        <v>499</v>
      </c>
      <c r="D1627" t="s">
        <v>1722</v>
      </c>
      <c r="E1627" t="s">
        <v>284</v>
      </c>
      <c r="F1627" t="s">
        <v>360</v>
      </c>
      <c r="G1627" t="s">
        <v>103</v>
      </c>
      <c r="H1627" t="s">
        <v>104</v>
      </c>
      <c r="I1627">
        <v>2022</v>
      </c>
      <c r="J1627" t="s">
        <v>361</v>
      </c>
      <c r="K1627" t="s">
        <v>106</v>
      </c>
      <c r="L1627" t="s">
        <v>1973</v>
      </c>
      <c r="M1627" t="s">
        <v>2007</v>
      </c>
      <c r="N1627">
        <v>1</v>
      </c>
      <c r="O1627">
        <v>2020</v>
      </c>
      <c r="P1627">
        <v>30.743231458982891</v>
      </c>
      <c r="Q1627">
        <v>0.75530083267302539</v>
      </c>
      <c r="R1627" t="s">
        <v>289</v>
      </c>
      <c r="S1627">
        <v>85.752844444444449</v>
      </c>
      <c r="T1627" t="s">
        <v>290</v>
      </c>
      <c r="U1627">
        <v>85.752844444444449</v>
      </c>
      <c r="V1627">
        <v>30.743231458982891</v>
      </c>
      <c r="W1627">
        <v>0.75530083267302539</v>
      </c>
      <c r="X1627" t="s">
        <v>291</v>
      </c>
      <c r="Y1627">
        <v>10</v>
      </c>
      <c r="Z1627">
        <v>0.31616344381119887</v>
      </c>
      <c r="AA1627">
        <v>1</v>
      </c>
    </row>
    <row r="1628" spans="1:27" hidden="1" x14ac:dyDescent="0.25">
      <c r="A1628" t="s">
        <v>98</v>
      </c>
      <c r="B1628" t="s">
        <v>499</v>
      </c>
      <c r="D1628" t="s">
        <v>1722</v>
      </c>
      <c r="E1628" t="s">
        <v>284</v>
      </c>
      <c r="F1628" t="s">
        <v>360</v>
      </c>
      <c r="G1628" t="s">
        <v>112</v>
      </c>
      <c r="H1628" t="s">
        <v>104</v>
      </c>
      <c r="I1628">
        <v>2022</v>
      </c>
      <c r="J1628" t="s">
        <v>363</v>
      </c>
      <c r="K1628" t="s">
        <v>106</v>
      </c>
      <c r="L1628" t="s">
        <v>1973</v>
      </c>
      <c r="M1628" t="s">
        <v>2008</v>
      </c>
      <c r="N1628">
        <v>1</v>
      </c>
      <c r="O1628">
        <v>2020</v>
      </c>
      <c r="P1628">
        <v>30.995290460986698</v>
      </c>
      <c r="Q1628">
        <v>1.07624732944957</v>
      </c>
      <c r="R1628" t="s">
        <v>289</v>
      </c>
      <c r="S1628">
        <v>91.18482905982907</v>
      </c>
      <c r="T1628" t="s">
        <v>290</v>
      </c>
      <c r="U1628">
        <v>91.18482905982907</v>
      </c>
      <c r="V1628">
        <v>30.995290460986698</v>
      </c>
      <c r="W1628">
        <v>1.07624732944957</v>
      </c>
      <c r="X1628" t="s">
        <v>291</v>
      </c>
      <c r="Y1628">
        <v>10</v>
      </c>
      <c r="Z1628">
        <v>0.31616344381119887</v>
      </c>
      <c r="AA1628">
        <v>1</v>
      </c>
    </row>
    <row r="1629" spans="1:27" hidden="1" x14ac:dyDescent="0.25">
      <c r="A1629" t="s">
        <v>98</v>
      </c>
      <c r="B1629" t="s">
        <v>499</v>
      </c>
      <c r="D1629" t="s">
        <v>1722</v>
      </c>
      <c r="E1629" t="s">
        <v>284</v>
      </c>
      <c r="F1629" t="s">
        <v>365</v>
      </c>
      <c r="G1629" t="s">
        <v>103</v>
      </c>
      <c r="H1629" t="s">
        <v>104</v>
      </c>
      <c r="I1629">
        <v>2022</v>
      </c>
      <c r="J1629" t="s">
        <v>366</v>
      </c>
      <c r="K1629" t="s">
        <v>106</v>
      </c>
      <c r="L1629" t="s">
        <v>1973</v>
      </c>
      <c r="M1629" t="s">
        <v>2009</v>
      </c>
      <c r="N1629">
        <v>1</v>
      </c>
      <c r="O1629">
        <v>2020</v>
      </c>
      <c r="P1629">
        <v>34.581332645158973</v>
      </c>
      <c r="Q1629">
        <v>1.926881708285624</v>
      </c>
      <c r="R1629" t="s">
        <v>289</v>
      </c>
      <c r="S1629">
        <v>115.45533602622641</v>
      </c>
      <c r="T1629" t="s">
        <v>290</v>
      </c>
      <c r="U1629">
        <v>115.45533602622641</v>
      </c>
      <c r="V1629">
        <v>34.581332645158973</v>
      </c>
      <c r="W1629">
        <v>1.926881708285624</v>
      </c>
      <c r="X1629" t="s">
        <v>291</v>
      </c>
      <c r="Y1629">
        <v>10</v>
      </c>
      <c r="Z1629">
        <v>0.31616344381119887</v>
      </c>
      <c r="AA1629">
        <v>1</v>
      </c>
    </row>
    <row r="1630" spans="1:27" hidden="1" x14ac:dyDescent="0.25">
      <c r="A1630" t="s">
        <v>98</v>
      </c>
      <c r="B1630" t="s">
        <v>499</v>
      </c>
      <c r="D1630" t="s">
        <v>1722</v>
      </c>
      <c r="E1630" t="s">
        <v>284</v>
      </c>
      <c r="F1630" t="s">
        <v>365</v>
      </c>
      <c r="G1630" t="s">
        <v>112</v>
      </c>
      <c r="H1630" t="s">
        <v>104</v>
      </c>
      <c r="I1630">
        <v>2022</v>
      </c>
      <c r="J1630" t="s">
        <v>368</v>
      </c>
      <c r="K1630" t="s">
        <v>106</v>
      </c>
      <c r="L1630" t="s">
        <v>1973</v>
      </c>
      <c r="M1630" t="s">
        <v>2010</v>
      </c>
      <c r="N1630">
        <v>1</v>
      </c>
      <c r="O1630">
        <v>2020</v>
      </c>
      <c r="P1630">
        <v>44.653862333829821</v>
      </c>
      <c r="Q1630">
        <v>2.4693086643180591</v>
      </c>
      <c r="R1630" t="s">
        <v>289</v>
      </c>
      <c r="S1630">
        <v>130.6177318295739</v>
      </c>
      <c r="T1630" t="s">
        <v>290</v>
      </c>
      <c r="U1630">
        <v>130.6177318295739</v>
      </c>
      <c r="V1630">
        <v>44.653862333829821</v>
      </c>
      <c r="W1630">
        <v>2.4693086643180591</v>
      </c>
      <c r="X1630" t="s">
        <v>291</v>
      </c>
      <c r="Y1630">
        <v>10</v>
      </c>
      <c r="Z1630">
        <v>0.31616344381119887</v>
      </c>
      <c r="AA1630">
        <v>1</v>
      </c>
    </row>
    <row r="1631" spans="1:27" hidden="1" x14ac:dyDescent="0.25">
      <c r="A1631" t="s">
        <v>98</v>
      </c>
      <c r="B1631" t="s">
        <v>499</v>
      </c>
      <c r="D1631" t="s">
        <v>1722</v>
      </c>
      <c r="E1631" t="s">
        <v>284</v>
      </c>
      <c r="F1631" t="s">
        <v>365</v>
      </c>
      <c r="G1631" t="s">
        <v>103</v>
      </c>
      <c r="H1631" t="s">
        <v>104</v>
      </c>
      <c r="I1631">
        <v>2023</v>
      </c>
      <c r="J1631" t="s">
        <v>370</v>
      </c>
      <c r="K1631" t="s">
        <v>106</v>
      </c>
      <c r="L1631" t="s">
        <v>1973</v>
      </c>
      <c r="M1631" t="s">
        <v>2011</v>
      </c>
      <c r="N1631">
        <v>1</v>
      </c>
      <c r="O1631">
        <v>2023</v>
      </c>
      <c r="P1631">
        <v>34.353918735727063</v>
      </c>
      <c r="Q1631">
        <v>1.893397965391721</v>
      </c>
      <c r="R1631" t="s">
        <v>289</v>
      </c>
      <c r="S1631">
        <v>115.45533602622641</v>
      </c>
      <c r="T1631" t="s">
        <v>290</v>
      </c>
      <c r="U1631">
        <v>115.45533602622641</v>
      </c>
      <c r="V1631">
        <v>34.353918735727063</v>
      </c>
      <c r="W1631">
        <v>1.893397965391721</v>
      </c>
      <c r="X1631" t="s">
        <v>291</v>
      </c>
      <c r="Y1631">
        <v>10</v>
      </c>
      <c r="Z1631">
        <v>0.31616344381119887</v>
      </c>
      <c r="AA1631">
        <v>1</v>
      </c>
    </row>
    <row r="1632" spans="1:27" hidden="1" x14ac:dyDescent="0.25">
      <c r="A1632" t="s">
        <v>98</v>
      </c>
      <c r="B1632" t="s">
        <v>499</v>
      </c>
      <c r="D1632" t="s">
        <v>1722</v>
      </c>
      <c r="E1632" t="s">
        <v>284</v>
      </c>
      <c r="F1632" t="s">
        <v>365</v>
      </c>
      <c r="G1632" t="s">
        <v>112</v>
      </c>
      <c r="H1632" t="s">
        <v>104</v>
      </c>
      <c r="I1632">
        <v>2023</v>
      </c>
      <c r="J1632" t="s">
        <v>372</v>
      </c>
      <c r="K1632" t="s">
        <v>106</v>
      </c>
      <c r="L1632" t="s">
        <v>1973</v>
      </c>
      <c r="M1632" t="s">
        <v>2012</v>
      </c>
      <c r="N1632">
        <v>1</v>
      </c>
      <c r="O1632">
        <v>2023</v>
      </c>
      <c r="P1632">
        <v>43.733464606512037</v>
      </c>
      <c r="Q1632">
        <v>2.4042644647868401</v>
      </c>
      <c r="R1632" t="s">
        <v>289</v>
      </c>
      <c r="S1632">
        <v>130.6177318295739</v>
      </c>
      <c r="T1632" t="s">
        <v>290</v>
      </c>
      <c r="U1632">
        <v>130.6177318295739</v>
      </c>
      <c r="V1632">
        <v>43.733464606512037</v>
      </c>
      <c r="W1632">
        <v>2.4042644647868401</v>
      </c>
      <c r="X1632" t="s">
        <v>291</v>
      </c>
      <c r="Y1632">
        <v>10</v>
      </c>
      <c r="Z1632">
        <v>0.31616344381119887</v>
      </c>
      <c r="AA1632">
        <v>1</v>
      </c>
    </row>
    <row r="1633" spans="1:27" hidden="1" x14ac:dyDescent="0.25">
      <c r="A1633" t="s">
        <v>98</v>
      </c>
      <c r="B1633" t="s">
        <v>499</v>
      </c>
      <c r="D1633" t="s">
        <v>1722</v>
      </c>
      <c r="E1633" t="s">
        <v>284</v>
      </c>
      <c r="F1633" t="s">
        <v>365</v>
      </c>
      <c r="G1633" t="s">
        <v>103</v>
      </c>
      <c r="H1633" t="s">
        <v>104</v>
      </c>
      <c r="I1633">
        <v>2024</v>
      </c>
      <c r="J1633" t="s">
        <v>374</v>
      </c>
      <c r="K1633" t="s">
        <v>106</v>
      </c>
      <c r="L1633" t="s">
        <v>1973</v>
      </c>
      <c r="M1633" t="s">
        <v>2013</v>
      </c>
      <c r="N1633">
        <v>1</v>
      </c>
      <c r="O1633">
        <v>2024</v>
      </c>
      <c r="P1633">
        <v>34.353918735727063</v>
      </c>
      <c r="Q1633">
        <v>1.893397965391721</v>
      </c>
      <c r="R1633" t="s">
        <v>289</v>
      </c>
      <c r="S1633">
        <v>115.45533602622641</v>
      </c>
      <c r="T1633" t="s">
        <v>290</v>
      </c>
      <c r="U1633">
        <v>115.45533602622641</v>
      </c>
      <c r="V1633">
        <v>34.353918735727063</v>
      </c>
      <c r="W1633">
        <v>1.893397965391721</v>
      </c>
      <c r="X1633" t="s">
        <v>291</v>
      </c>
      <c r="Y1633">
        <v>10</v>
      </c>
      <c r="Z1633">
        <v>0.31616344381119887</v>
      </c>
      <c r="AA1633">
        <v>1</v>
      </c>
    </row>
    <row r="1634" spans="1:27" hidden="1" x14ac:dyDescent="0.25">
      <c r="A1634" t="s">
        <v>98</v>
      </c>
      <c r="B1634" t="s">
        <v>499</v>
      </c>
      <c r="D1634" t="s">
        <v>1722</v>
      </c>
      <c r="E1634" t="s">
        <v>284</v>
      </c>
      <c r="F1634" t="s">
        <v>365</v>
      </c>
      <c r="G1634" t="s">
        <v>112</v>
      </c>
      <c r="H1634" t="s">
        <v>104</v>
      </c>
      <c r="I1634">
        <v>2024</v>
      </c>
      <c r="J1634" t="s">
        <v>376</v>
      </c>
      <c r="K1634" t="s">
        <v>106</v>
      </c>
      <c r="L1634" t="s">
        <v>1973</v>
      </c>
      <c r="M1634" t="s">
        <v>2014</v>
      </c>
      <c r="N1634">
        <v>1</v>
      </c>
      <c r="O1634">
        <v>2024</v>
      </c>
      <c r="P1634">
        <v>43.733464606512037</v>
      </c>
      <c r="Q1634">
        <v>2.4042644647868401</v>
      </c>
      <c r="R1634" t="s">
        <v>289</v>
      </c>
      <c r="S1634">
        <v>130.6177318295739</v>
      </c>
      <c r="T1634" t="s">
        <v>290</v>
      </c>
      <c r="U1634">
        <v>130.6177318295739</v>
      </c>
      <c r="V1634">
        <v>43.733464606512037</v>
      </c>
      <c r="W1634">
        <v>2.4042644647868401</v>
      </c>
      <c r="X1634" t="s">
        <v>291</v>
      </c>
      <c r="Y1634">
        <v>10</v>
      </c>
      <c r="Z1634">
        <v>0.31616344381119887</v>
      </c>
      <c r="AA1634">
        <v>1</v>
      </c>
    </row>
    <row r="1635" spans="1:27" hidden="1" x14ac:dyDescent="0.25">
      <c r="A1635" t="s">
        <v>98</v>
      </c>
      <c r="B1635" t="s">
        <v>499</v>
      </c>
      <c r="D1635" t="s">
        <v>1722</v>
      </c>
      <c r="E1635" t="s">
        <v>284</v>
      </c>
      <c r="F1635" t="s">
        <v>365</v>
      </c>
      <c r="G1635" t="s">
        <v>103</v>
      </c>
      <c r="H1635" t="s">
        <v>104</v>
      </c>
      <c r="I1635">
        <v>2025</v>
      </c>
      <c r="J1635" t="s">
        <v>378</v>
      </c>
      <c r="K1635" t="s">
        <v>106</v>
      </c>
      <c r="L1635" t="s">
        <v>1973</v>
      </c>
      <c r="M1635" t="s">
        <v>2015</v>
      </c>
      <c r="N1635">
        <v>1</v>
      </c>
      <c r="O1635">
        <v>2025</v>
      </c>
      <c r="P1635">
        <v>34.353918735727063</v>
      </c>
      <c r="Q1635">
        <v>1.893397965391721</v>
      </c>
      <c r="R1635" t="s">
        <v>289</v>
      </c>
      <c r="S1635">
        <v>115.45533602622641</v>
      </c>
      <c r="T1635" t="s">
        <v>290</v>
      </c>
      <c r="U1635">
        <v>115.45533602622641</v>
      </c>
      <c r="V1635">
        <v>34.353918735727063</v>
      </c>
      <c r="W1635">
        <v>1.893397965391721</v>
      </c>
      <c r="X1635" t="s">
        <v>291</v>
      </c>
      <c r="Y1635">
        <v>10</v>
      </c>
      <c r="Z1635">
        <v>0.31616344381119887</v>
      </c>
      <c r="AA1635">
        <v>1</v>
      </c>
    </row>
    <row r="1636" spans="1:27" hidden="1" x14ac:dyDescent="0.25">
      <c r="A1636" t="s">
        <v>98</v>
      </c>
      <c r="B1636" t="s">
        <v>499</v>
      </c>
      <c r="D1636" t="s">
        <v>1722</v>
      </c>
      <c r="E1636" t="s">
        <v>284</v>
      </c>
      <c r="F1636" t="s">
        <v>365</v>
      </c>
      <c r="G1636" t="s">
        <v>112</v>
      </c>
      <c r="H1636" t="s">
        <v>104</v>
      </c>
      <c r="I1636">
        <v>2025</v>
      </c>
      <c r="J1636" t="s">
        <v>380</v>
      </c>
      <c r="K1636" t="s">
        <v>106</v>
      </c>
      <c r="L1636" t="s">
        <v>1973</v>
      </c>
      <c r="M1636" t="s">
        <v>2016</v>
      </c>
      <c r="N1636">
        <v>1</v>
      </c>
      <c r="O1636">
        <v>2025</v>
      </c>
      <c r="P1636">
        <v>43.733464606512037</v>
      </c>
      <c r="Q1636">
        <v>2.4042644647868401</v>
      </c>
      <c r="R1636" t="s">
        <v>289</v>
      </c>
      <c r="S1636">
        <v>130.6177318295739</v>
      </c>
      <c r="T1636" t="s">
        <v>290</v>
      </c>
      <c r="U1636">
        <v>130.6177318295739</v>
      </c>
      <c r="V1636">
        <v>43.733464606512037</v>
      </c>
      <c r="W1636">
        <v>2.4042644647868401</v>
      </c>
      <c r="X1636" t="s">
        <v>291</v>
      </c>
      <c r="Y1636">
        <v>10</v>
      </c>
      <c r="Z1636">
        <v>0.31616344381119887</v>
      </c>
      <c r="AA1636">
        <v>1</v>
      </c>
    </row>
    <row r="1637" spans="1:27" hidden="1" x14ac:dyDescent="0.25">
      <c r="A1637" t="s">
        <v>98</v>
      </c>
      <c r="B1637" t="s">
        <v>499</v>
      </c>
      <c r="D1637" t="s">
        <v>1722</v>
      </c>
      <c r="E1637" t="s">
        <v>284</v>
      </c>
      <c r="F1637" t="s">
        <v>365</v>
      </c>
      <c r="G1637" t="s">
        <v>103</v>
      </c>
      <c r="H1637" t="s">
        <v>104</v>
      </c>
      <c r="I1637">
        <v>2026</v>
      </c>
      <c r="J1637" t="s">
        <v>382</v>
      </c>
      <c r="K1637" t="s">
        <v>106</v>
      </c>
      <c r="L1637" t="s">
        <v>1973</v>
      </c>
      <c r="M1637" t="s">
        <v>2017</v>
      </c>
      <c r="N1637">
        <v>1</v>
      </c>
      <c r="O1637">
        <v>2026</v>
      </c>
      <c r="P1637">
        <v>34.353918735727063</v>
      </c>
      <c r="Q1637">
        <v>1.893397965391721</v>
      </c>
      <c r="R1637" t="s">
        <v>289</v>
      </c>
      <c r="S1637">
        <v>115.45533602622641</v>
      </c>
      <c r="T1637" t="s">
        <v>290</v>
      </c>
      <c r="U1637">
        <v>115.45533602622641</v>
      </c>
      <c r="V1637">
        <v>34.353918735727063</v>
      </c>
      <c r="W1637">
        <v>1.893397965391721</v>
      </c>
      <c r="X1637" t="s">
        <v>291</v>
      </c>
      <c r="Y1637">
        <v>10</v>
      </c>
      <c r="Z1637">
        <v>0.31616344381119887</v>
      </c>
      <c r="AA1637">
        <v>1</v>
      </c>
    </row>
    <row r="1638" spans="1:27" hidden="1" x14ac:dyDescent="0.25">
      <c r="A1638" t="s">
        <v>98</v>
      </c>
      <c r="B1638" t="s">
        <v>499</v>
      </c>
      <c r="D1638" t="s">
        <v>1722</v>
      </c>
      <c r="E1638" t="s">
        <v>284</v>
      </c>
      <c r="F1638" t="s">
        <v>365</v>
      </c>
      <c r="G1638" t="s">
        <v>112</v>
      </c>
      <c r="H1638" t="s">
        <v>104</v>
      </c>
      <c r="I1638">
        <v>2026</v>
      </c>
      <c r="J1638" t="s">
        <v>384</v>
      </c>
      <c r="K1638" t="s">
        <v>106</v>
      </c>
      <c r="L1638" t="s">
        <v>1973</v>
      </c>
      <c r="M1638" t="s">
        <v>2018</v>
      </c>
      <c r="N1638">
        <v>1</v>
      </c>
      <c r="O1638">
        <v>2026</v>
      </c>
      <c r="P1638">
        <v>43.733464606512037</v>
      </c>
      <c r="Q1638">
        <v>2.4042644647868401</v>
      </c>
      <c r="R1638" t="s">
        <v>289</v>
      </c>
      <c r="S1638">
        <v>130.6177318295739</v>
      </c>
      <c r="T1638" t="s">
        <v>290</v>
      </c>
      <c r="U1638">
        <v>130.6177318295739</v>
      </c>
      <c r="V1638">
        <v>43.733464606512037</v>
      </c>
      <c r="W1638">
        <v>2.4042644647868401</v>
      </c>
      <c r="X1638" t="s">
        <v>291</v>
      </c>
      <c r="Y1638">
        <v>10</v>
      </c>
      <c r="Z1638">
        <v>0.31616344381119887</v>
      </c>
      <c r="AA1638">
        <v>1</v>
      </c>
    </row>
    <row r="1639" spans="1:27" hidden="1" x14ac:dyDescent="0.25">
      <c r="A1639" t="s">
        <v>98</v>
      </c>
      <c r="B1639" t="s">
        <v>499</v>
      </c>
      <c r="D1639" t="s">
        <v>1722</v>
      </c>
      <c r="E1639" t="s">
        <v>284</v>
      </c>
      <c r="F1639" t="s">
        <v>365</v>
      </c>
      <c r="G1639" t="s">
        <v>103</v>
      </c>
      <c r="H1639" t="s">
        <v>104</v>
      </c>
      <c r="I1639">
        <v>2027</v>
      </c>
      <c r="J1639" t="s">
        <v>386</v>
      </c>
      <c r="K1639" t="s">
        <v>106</v>
      </c>
      <c r="L1639" t="s">
        <v>1973</v>
      </c>
      <c r="M1639" t="s">
        <v>2019</v>
      </c>
      <c r="N1639">
        <v>1</v>
      </c>
      <c r="O1639">
        <v>2027</v>
      </c>
      <c r="P1639">
        <v>34.353918735727063</v>
      </c>
      <c r="Q1639">
        <v>1.893397965391721</v>
      </c>
      <c r="R1639" t="s">
        <v>289</v>
      </c>
      <c r="S1639">
        <v>115.45533602622641</v>
      </c>
      <c r="T1639" t="s">
        <v>290</v>
      </c>
      <c r="U1639">
        <v>115.45533602622641</v>
      </c>
      <c r="V1639">
        <v>34.353918735727063</v>
      </c>
      <c r="W1639">
        <v>1.893397965391721</v>
      </c>
      <c r="X1639" t="s">
        <v>291</v>
      </c>
      <c r="Y1639">
        <v>10</v>
      </c>
      <c r="Z1639">
        <v>0.31616344381119887</v>
      </c>
      <c r="AA1639">
        <v>1</v>
      </c>
    </row>
    <row r="1640" spans="1:27" hidden="1" x14ac:dyDescent="0.25">
      <c r="A1640" t="s">
        <v>98</v>
      </c>
      <c r="B1640" t="s">
        <v>499</v>
      </c>
      <c r="D1640" t="s">
        <v>1722</v>
      </c>
      <c r="E1640" t="s">
        <v>284</v>
      </c>
      <c r="F1640" t="s">
        <v>365</v>
      </c>
      <c r="G1640" t="s">
        <v>112</v>
      </c>
      <c r="H1640" t="s">
        <v>104</v>
      </c>
      <c r="I1640">
        <v>2027</v>
      </c>
      <c r="J1640" t="s">
        <v>388</v>
      </c>
      <c r="K1640" t="s">
        <v>106</v>
      </c>
      <c r="L1640" t="s">
        <v>1973</v>
      </c>
      <c r="M1640" t="s">
        <v>2020</v>
      </c>
      <c r="N1640">
        <v>1</v>
      </c>
      <c r="O1640">
        <v>2027</v>
      </c>
      <c r="P1640">
        <v>43.733464606512037</v>
      </c>
      <c r="Q1640">
        <v>2.4042644647868401</v>
      </c>
      <c r="R1640" t="s">
        <v>289</v>
      </c>
      <c r="S1640">
        <v>130.6177318295739</v>
      </c>
      <c r="T1640" t="s">
        <v>290</v>
      </c>
      <c r="U1640">
        <v>130.6177318295739</v>
      </c>
      <c r="V1640">
        <v>43.733464606512037</v>
      </c>
      <c r="W1640">
        <v>2.4042644647868401</v>
      </c>
      <c r="X1640" t="s">
        <v>291</v>
      </c>
      <c r="Y1640">
        <v>10</v>
      </c>
      <c r="Z1640">
        <v>0.31616344381119887</v>
      </c>
      <c r="AA1640">
        <v>1</v>
      </c>
    </row>
    <row r="1641" spans="1:27" hidden="1" x14ac:dyDescent="0.25">
      <c r="A1641" t="s">
        <v>98</v>
      </c>
      <c r="B1641" t="s">
        <v>499</v>
      </c>
      <c r="D1641" t="s">
        <v>1722</v>
      </c>
      <c r="E1641" t="s">
        <v>284</v>
      </c>
      <c r="F1641" t="s">
        <v>365</v>
      </c>
      <c r="G1641" t="s">
        <v>103</v>
      </c>
      <c r="H1641" t="s">
        <v>104</v>
      </c>
      <c r="I1641">
        <v>2028</v>
      </c>
      <c r="J1641" t="s">
        <v>390</v>
      </c>
      <c r="K1641" t="s">
        <v>106</v>
      </c>
      <c r="L1641" t="s">
        <v>1973</v>
      </c>
      <c r="M1641" t="s">
        <v>2021</v>
      </c>
      <c r="N1641">
        <v>1</v>
      </c>
      <c r="O1641">
        <v>2028</v>
      </c>
      <c r="P1641">
        <v>34.353918735727063</v>
      </c>
      <c r="Q1641">
        <v>1.893397965391721</v>
      </c>
      <c r="R1641" t="s">
        <v>289</v>
      </c>
      <c r="S1641">
        <v>115.45533602622641</v>
      </c>
      <c r="T1641" t="s">
        <v>290</v>
      </c>
      <c r="U1641">
        <v>115.45533602622641</v>
      </c>
      <c r="V1641">
        <v>34.353918735727063</v>
      </c>
      <c r="W1641">
        <v>1.893397965391721</v>
      </c>
      <c r="X1641" t="s">
        <v>291</v>
      </c>
      <c r="Y1641">
        <v>10</v>
      </c>
      <c r="Z1641">
        <v>0.31616344381119887</v>
      </c>
      <c r="AA1641">
        <v>1</v>
      </c>
    </row>
    <row r="1642" spans="1:27" hidden="1" x14ac:dyDescent="0.25">
      <c r="A1642" t="s">
        <v>98</v>
      </c>
      <c r="B1642" t="s">
        <v>499</v>
      </c>
      <c r="D1642" t="s">
        <v>1722</v>
      </c>
      <c r="E1642" t="s">
        <v>284</v>
      </c>
      <c r="F1642" t="s">
        <v>365</v>
      </c>
      <c r="G1642" t="s">
        <v>112</v>
      </c>
      <c r="H1642" t="s">
        <v>104</v>
      </c>
      <c r="I1642">
        <v>2028</v>
      </c>
      <c r="J1642" t="s">
        <v>392</v>
      </c>
      <c r="K1642" t="s">
        <v>106</v>
      </c>
      <c r="L1642" t="s">
        <v>1973</v>
      </c>
      <c r="M1642" t="s">
        <v>2022</v>
      </c>
      <c r="N1642">
        <v>1</v>
      </c>
      <c r="O1642">
        <v>2028</v>
      </c>
      <c r="P1642">
        <v>43.733464606512037</v>
      </c>
      <c r="Q1642">
        <v>2.4042644647868401</v>
      </c>
      <c r="R1642" t="s">
        <v>289</v>
      </c>
      <c r="S1642">
        <v>130.6177318295739</v>
      </c>
      <c r="T1642" t="s">
        <v>290</v>
      </c>
      <c r="U1642">
        <v>130.6177318295739</v>
      </c>
      <c r="V1642">
        <v>43.733464606512037</v>
      </c>
      <c r="W1642">
        <v>2.4042644647868401</v>
      </c>
      <c r="X1642" t="s">
        <v>291</v>
      </c>
      <c r="Y1642">
        <v>10</v>
      </c>
      <c r="Z1642">
        <v>0.31616344381119887</v>
      </c>
      <c r="AA1642">
        <v>1</v>
      </c>
    </row>
    <row r="1643" spans="1:27" hidden="1" x14ac:dyDescent="0.25">
      <c r="A1643" t="s">
        <v>98</v>
      </c>
      <c r="B1643" t="s">
        <v>499</v>
      </c>
      <c r="D1643" t="s">
        <v>1722</v>
      </c>
      <c r="E1643" t="s">
        <v>284</v>
      </c>
      <c r="F1643" t="s">
        <v>365</v>
      </c>
      <c r="G1643" t="s">
        <v>103</v>
      </c>
      <c r="H1643" t="s">
        <v>104</v>
      </c>
      <c r="I1643">
        <v>2029</v>
      </c>
      <c r="J1643" t="s">
        <v>394</v>
      </c>
      <c r="K1643" t="s">
        <v>106</v>
      </c>
      <c r="L1643" t="s">
        <v>1973</v>
      </c>
      <c r="M1643" t="s">
        <v>2023</v>
      </c>
      <c r="N1643">
        <v>1</v>
      </c>
      <c r="O1643">
        <v>2029</v>
      </c>
      <c r="P1643">
        <v>34.353918735727063</v>
      </c>
      <c r="Q1643">
        <v>1.893397965391721</v>
      </c>
      <c r="R1643" t="s">
        <v>289</v>
      </c>
      <c r="S1643">
        <v>115.45533602622641</v>
      </c>
      <c r="T1643" t="s">
        <v>290</v>
      </c>
      <c r="U1643">
        <v>115.45533602622641</v>
      </c>
      <c r="V1643">
        <v>34.353918735727063</v>
      </c>
      <c r="W1643">
        <v>1.893397965391721</v>
      </c>
      <c r="X1643" t="s">
        <v>291</v>
      </c>
      <c r="Y1643">
        <v>10</v>
      </c>
      <c r="Z1643">
        <v>0.31616344381119887</v>
      </c>
      <c r="AA1643">
        <v>1</v>
      </c>
    </row>
    <row r="1644" spans="1:27" hidden="1" x14ac:dyDescent="0.25">
      <c r="A1644" t="s">
        <v>98</v>
      </c>
      <c r="B1644" t="s">
        <v>499</v>
      </c>
      <c r="D1644" t="s">
        <v>1722</v>
      </c>
      <c r="E1644" t="s">
        <v>284</v>
      </c>
      <c r="F1644" t="s">
        <v>365</v>
      </c>
      <c r="G1644" t="s">
        <v>112</v>
      </c>
      <c r="H1644" t="s">
        <v>104</v>
      </c>
      <c r="I1644">
        <v>2029</v>
      </c>
      <c r="J1644" t="s">
        <v>396</v>
      </c>
      <c r="K1644" t="s">
        <v>106</v>
      </c>
      <c r="L1644" t="s">
        <v>1973</v>
      </c>
      <c r="M1644" t="s">
        <v>2024</v>
      </c>
      <c r="N1644">
        <v>1</v>
      </c>
      <c r="O1644">
        <v>2029</v>
      </c>
      <c r="P1644">
        <v>43.733464606512037</v>
      </c>
      <c r="Q1644">
        <v>2.4042644647868401</v>
      </c>
      <c r="R1644" t="s">
        <v>289</v>
      </c>
      <c r="S1644">
        <v>130.6177318295739</v>
      </c>
      <c r="T1644" t="s">
        <v>290</v>
      </c>
      <c r="U1644">
        <v>130.6177318295739</v>
      </c>
      <c r="V1644">
        <v>43.733464606512037</v>
      </c>
      <c r="W1644">
        <v>2.4042644647868401</v>
      </c>
      <c r="X1644" t="s">
        <v>291</v>
      </c>
      <c r="Y1644">
        <v>10</v>
      </c>
      <c r="Z1644">
        <v>0.31616344381119887</v>
      </c>
      <c r="AA1644">
        <v>1</v>
      </c>
    </row>
    <row r="1645" spans="1:27" hidden="1" x14ac:dyDescent="0.25">
      <c r="A1645" t="s">
        <v>98</v>
      </c>
      <c r="B1645" t="s">
        <v>499</v>
      </c>
      <c r="D1645" t="s">
        <v>1722</v>
      </c>
      <c r="E1645" t="s">
        <v>284</v>
      </c>
      <c r="F1645" t="s">
        <v>355</v>
      </c>
      <c r="G1645" t="s">
        <v>103</v>
      </c>
      <c r="H1645" t="s">
        <v>104</v>
      </c>
      <c r="I1645">
        <v>2030</v>
      </c>
      <c r="J1645" t="s">
        <v>398</v>
      </c>
      <c r="K1645" t="s">
        <v>106</v>
      </c>
      <c r="L1645" t="s">
        <v>1973</v>
      </c>
      <c r="M1645" t="s">
        <v>2025</v>
      </c>
      <c r="N1645">
        <v>1</v>
      </c>
      <c r="O1645">
        <v>2030</v>
      </c>
      <c r="P1645">
        <v>22.026606087295281</v>
      </c>
      <c r="Q1645">
        <v>0.67594869632979349</v>
      </c>
      <c r="R1645" t="s">
        <v>289</v>
      </c>
      <c r="S1645">
        <v>87.209325187237212</v>
      </c>
      <c r="T1645" t="s">
        <v>290</v>
      </c>
      <c r="U1645">
        <v>87.209325187237212</v>
      </c>
      <c r="V1645">
        <v>22.026606087295281</v>
      </c>
      <c r="W1645">
        <v>0.67594869632979349</v>
      </c>
      <c r="X1645" t="s">
        <v>291</v>
      </c>
      <c r="Y1645">
        <v>10</v>
      </c>
      <c r="Z1645">
        <v>0.31616344381119887</v>
      </c>
      <c r="AA1645">
        <v>1</v>
      </c>
    </row>
    <row r="1646" spans="1:27" hidden="1" x14ac:dyDescent="0.25">
      <c r="A1646" t="s">
        <v>98</v>
      </c>
      <c r="B1646" t="s">
        <v>499</v>
      </c>
      <c r="D1646" t="s">
        <v>1722</v>
      </c>
      <c r="E1646" t="s">
        <v>284</v>
      </c>
      <c r="F1646" t="s">
        <v>355</v>
      </c>
      <c r="G1646" t="s">
        <v>112</v>
      </c>
      <c r="H1646" t="s">
        <v>104</v>
      </c>
      <c r="I1646">
        <v>2030</v>
      </c>
      <c r="J1646" t="s">
        <v>400</v>
      </c>
      <c r="K1646" t="s">
        <v>106</v>
      </c>
      <c r="L1646" t="s">
        <v>1973</v>
      </c>
      <c r="M1646" t="s">
        <v>2026</v>
      </c>
      <c r="N1646">
        <v>1</v>
      </c>
      <c r="O1646">
        <v>2030</v>
      </c>
      <c r="P1646">
        <v>23.051216439564651</v>
      </c>
      <c r="Q1646">
        <v>0.88782640486853737</v>
      </c>
      <c r="R1646" t="s">
        <v>289</v>
      </c>
      <c r="S1646">
        <v>87.494679062376832</v>
      </c>
      <c r="T1646" t="s">
        <v>290</v>
      </c>
      <c r="U1646">
        <v>87.494679062376832</v>
      </c>
      <c r="V1646">
        <v>23.051216439564651</v>
      </c>
      <c r="W1646">
        <v>0.88782640486853737</v>
      </c>
      <c r="X1646" t="s">
        <v>291</v>
      </c>
      <c r="Y1646">
        <v>10</v>
      </c>
      <c r="Z1646">
        <v>0.31616344381119887</v>
      </c>
      <c r="AA1646">
        <v>1</v>
      </c>
    </row>
    <row r="1647" spans="1:27" hidden="1" x14ac:dyDescent="0.25">
      <c r="A1647" t="s">
        <v>98</v>
      </c>
      <c r="B1647" t="s">
        <v>499</v>
      </c>
      <c r="D1647" t="s">
        <v>1722</v>
      </c>
      <c r="E1647" t="s">
        <v>284</v>
      </c>
      <c r="F1647" t="s">
        <v>360</v>
      </c>
      <c r="G1647" t="s">
        <v>103</v>
      </c>
      <c r="H1647" t="s">
        <v>104</v>
      </c>
      <c r="I1647">
        <v>2030</v>
      </c>
      <c r="J1647" t="s">
        <v>402</v>
      </c>
      <c r="K1647" t="s">
        <v>106</v>
      </c>
      <c r="L1647" t="s">
        <v>1973</v>
      </c>
      <c r="M1647" t="s">
        <v>2027</v>
      </c>
      <c r="N1647">
        <v>1</v>
      </c>
      <c r="O1647">
        <v>2030</v>
      </c>
      <c r="P1647">
        <v>32.03338343675982</v>
      </c>
      <c r="Q1647">
        <v>0.74367453538487105</v>
      </c>
      <c r="R1647" t="s">
        <v>289</v>
      </c>
      <c r="S1647">
        <v>80.816288888888892</v>
      </c>
      <c r="T1647" t="s">
        <v>290</v>
      </c>
      <c r="U1647">
        <v>80.816288888888892</v>
      </c>
      <c r="V1647">
        <v>32.03338343675982</v>
      </c>
      <c r="W1647">
        <v>0.74367453538487105</v>
      </c>
      <c r="X1647" t="s">
        <v>291</v>
      </c>
      <c r="Y1647">
        <v>10</v>
      </c>
      <c r="Z1647">
        <v>0.31616344381119887</v>
      </c>
      <c r="AA1647">
        <v>1</v>
      </c>
    </row>
    <row r="1648" spans="1:27" hidden="1" x14ac:dyDescent="0.25">
      <c r="A1648" t="s">
        <v>98</v>
      </c>
      <c r="B1648" t="s">
        <v>499</v>
      </c>
      <c r="D1648" t="s">
        <v>1722</v>
      </c>
      <c r="E1648" t="s">
        <v>284</v>
      </c>
      <c r="F1648" t="s">
        <v>360</v>
      </c>
      <c r="G1648" t="s">
        <v>112</v>
      </c>
      <c r="H1648" t="s">
        <v>104</v>
      </c>
      <c r="I1648">
        <v>2030</v>
      </c>
      <c r="J1648" t="s">
        <v>404</v>
      </c>
      <c r="K1648" t="s">
        <v>106</v>
      </c>
      <c r="L1648" t="s">
        <v>1973</v>
      </c>
      <c r="M1648" t="s">
        <v>2028</v>
      </c>
      <c r="N1648">
        <v>1</v>
      </c>
      <c r="O1648">
        <v>2030</v>
      </c>
      <c r="P1648">
        <v>30.04097222030375</v>
      </c>
      <c r="Q1648">
        <v>1.0503155304453009</v>
      </c>
      <c r="R1648" t="s">
        <v>289</v>
      </c>
      <c r="S1648">
        <v>90.329273504273502</v>
      </c>
      <c r="T1648" t="s">
        <v>290</v>
      </c>
      <c r="U1648">
        <v>90.329273504273502</v>
      </c>
      <c r="V1648">
        <v>30.04097222030375</v>
      </c>
      <c r="W1648">
        <v>1.0503155304453009</v>
      </c>
      <c r="X1648" t="s">
        <v>291</v>
      </c>
      <c r="Y1648">
        <v>10</v>
      </c>
      <c r="Z1648">
        <v>0.31616344381119887</v>
      </c>
      <c r="AA1648">
        <v>1</v>
      </c>
    </row>
    <row r="1649" spans="1:27" hidden="1" x14ac:dyDescent="0.25">
      <c r="A1649" t="s">
        <v>98</v>
      </c>
      <c r="B1649" t="s">
        <v>499</v>
      </c>
      <c r="D1649" t="s">
        <v>1722</v>
      </c>
      <c r="E1649" t="s">
        <v>284</v>
      </c>
      <c r="F1649" t="s">
        <v>365</v>
      </c>
      <c r="G1649" t="s">
        <v>103</v>
      </c>
      <c r="H1649" t="s">
        <v>104</v>
      </c>
      <c r="I1649">
        <v>2030</v>
      </c>
      <c r="J1649" t="s">
        <v>406</v>
      </c>
      <c r="K1649" t="s">
        <v>106</v>
      </c>
      <c r="L1649" t="s">
        <v>1973</v>
      </c>
      <c r="M1649" t="s">
        <v>2029</v>
      </c>
      <c r="N1649">
        <v>1</v>
      </c>
      <c r="O1649">
        <v>2030</v>
      </c>
      <c r="P1649">
        <v>23.710775767327672</v>
      </c>
      <c r="Q1649">
        <v>1.668845649337886</v>
      </c>
      <c r="R1649" t="s">
        <v>289</v>
      </c>
      <c r="S1649">
        <v>154.72558108377279</v>
      </c>
      <c r="T1649" t="s">
        <v>290</v>
      </c>
      <c r="U1649">
        <v>154.72558108377279</v>
      </c>
      <c r="V1649">
        <v>23.710775767327672</v>
      </c>
      <c r="W1649">
        <v>1.668845649337886</v>
      </c>
      <c r="X1649" t="s">
        <v>291</v>
      </c>
      <c r="Y1649">
        <v>10</v>
      </c>
      <c r="Z1649">
        <v>0.31616344381119887</v>
      </c>
      <c r="AA1649">
        <v>1</v>
      </c>
    </row>
    <row r="1650" spans="1:27" hidden="1" x14ac:dyDescent="0.25">
      <c r="A1650" t="s">
        <v>98</v>
      </c>
      <c r="B1650" t="s">
        <v>499</v>
      </c>
      <c r="D1650" t="s">
        <v>1722</v>
      </c>
      <c r="E1650" t="s">
        <v>284</v>
      </c>
      <c r="F1650" t="s">
        <v>365</v>
      </c>
      <c r="G1650" t="s">
        <v>112</v>
      </c>
      <c r="H1650" t="s">
        <v>104</v>
      </c>
      <c r="I1650">
        <v>2030</v>
      </c>
      <c r="J1650" t="s">
        <v>408</v>
      </c>
      <c r="K1650" t="s">
        <v>106</v>
      </c>
      <c r="L1650" t="s">
        <v>1973</v>
      </c>
      <c r="M1650" t="s">
        <v>2030</v>
      </c>
      <c r="N1650">
        <v>1</v>
      </c>
      <c r="O1650">
        <v>2030</v>
      </c>
      <c r="P1650">
        <v>28.858905605402359</v>
      </c>
      <c r="Q1650">
        <v>2.128664396371156</v>
      </c>
      <c r="R1650" t="s">
        <v>289</v>
      </c>
      <c r="S1650">
        <v>176.3746647164572</v>
      </c>
      <c r="T1650" t="s">
        <v>290</v>
      </c>
      <c r="U1650">
        <v>176.3746647164572</v>
      </c>
      <c r="V1650">
        <v>28.858905605402359</v>
      </c>
      <c r="W1650">
        <v>2.128664396371156</v>
      </c>
      <c r="X1650" t="s">
        <v>291</v>
      </c>
      <c r="Y1650">
        <v>10</v>
      </c>
      <c r="Z1650">
        <v>0.31616344381119887</v>
      </c>
      <c r="AA1650">
        <v>1</v>
      </c>
    </row>
    <row r="1651" spans="1:27" hidden="1" x14ac:dyDescent="0.25">
      <c r="A1651" t="s">
        <v>98</v>
      </c>
      <c r="B1651" t="s">
        <v>499</v>
      </c>
      <c r="D1651" t="s">
        <v>1722</v>
      </c>
      <c r="E1651" t="s">
        <v>284</v>
      </c>
      <c r="F1651" t="s">
        <v>355</v>
      </c>
      <c r="G1651" t="s">
        <v>103</v>
      </c>
      <c r="H1651" t="s">
        <v>104</v>
      </c>
      <c r="I1651">
        <v>2040</v>
      </c>
      <c r="J1651" t="s">
        <v>410</v>
      </c>
      <c r="K1651" t="s">
        <v>106</v>
      </c>
      <c r="L1651" t="s">
        <v>1973</v>
      </c>
      <c r="M1651" t="s">
        <v>2031</v>
      </c>
      <c r="N1651">
        <v>1</v>
      </c>
      <c r="O1651">
        <v>2040</v>
      </c>
      <c r="P1651">
        <v>22.159986853322259</v>
      </c>
      <c r="Q1651">
        <v>0.64769049265200085</v>
      </c>
      <c r="R1651" t="s">
        <v>289</v>
      </c>
      <c r="S1651">
        <v>85.846844985289152</v>
      </c>
      <c r="T1651" t="s">
        <v>290</v>
      </c>
      <c r="U1651">
        <v>85.846844985289152</v>
      </c>
      <c r="V1651">
        <v>22.159986853322259</v>
      </c>
      <c r="W1651">
        <v>0.64769049265200085</v>
      </c>
      <c r="X1651" t="s">
        <v>291</v>
      </c>
      <c r="Y1651">
        <v>10</v>
      </c>
      <c r="Z1651">
        <v>0.31616344381119887</v>
      </c>
      <c r="AA1651">
        <v>1</v>
      </c>
    </row>
    <row r="1652" spans="1:27" hidden="1" x14ac:dyDescent="0.25">
      <c r="A1652" t="s">
        <v>98</v>
      </c>
      <c r="B1652" t="s">
        <v>499</v>
      </c>
      <c r="D1652" t="s">
        <v>1722</v>
      </c>
      <c r="E1652" t="s">
        <v>284</v>
      </c>
      <c r="F1652" t="s">
        <v>355</v>
      </c>
      <c r="G1652" t="s">
        <v>112</v>
      </c>
      <c r="H1652" t="s">
        <v>104</v>
      </c>
      <c r="I1652">
        <v>2040</v>
      </c>
      <c r="J1652" t="s">
        <v>412</v>
      </c>
      <c r="K1652" t="s">
        <v>106</v>
      </c>
      <c r="L1652" t="s">
        <v>1973</v>
      </c>
      <c r="M1652" t="s">
        <v>2032</v>
      </c>
      <c r="N1652">
        <v>1</v>
      </c>
      <c r="O1652">
        <v>2040</v>
      </c>
      <c r="P1652">
        <v>22.287209700822071</v>
      </c>
      <c r="Q1652">
        <v>0.78348370867951755</v>
      </c>
      <c r="R1652" t="s">
        <v>289</v>
      </c>
      <c r="S1652">
        <v>88.372750377742747</v>
      </c>
      <c r="T1652" t="s">
        <v>290</v>
      </c>
      <c r="U1652">
        <v>88.372750377742747</v>
      </c>
      <c r="V1652">
        <v>22.287209700822071</v>
      </c>
      <c r="W1652">
        <v>0.78348370867951755</v>
      </c>
      <c r="X1652" t="s">
        <v>291</v>
      </c>
      <c r="Y1652">
        <v>10</v>
      </c>
      <c r="Z1652">
        <v>0.31616344381119887</v>
      </c>
      <c r="AA1652">
        <v>1</v>
      </c>
    </row>
    <row r="1653" spans="1:27" hidden="1" x14ac:dyDescent="0.25">
      <c r="A1653" t="s">
        <v>98</v>
      </c>
      <c r="B1653" t="s">
        <v>499</v>
      </c>
      <c r="D1653" t="s">
        <v>1722</v>
      </c>
      <c r="E1653" t="s">
        <v>284</v>
      </c>
      <c r="F1653" t="s">
        <v>360</v>
      </c>
      <c r="G1653" t="s">
        <v>103</v>
      </c>
      <c r="H1653" t="s">
        <v>104</v>
      </c>
      <c r="I1653">
        <v>2040</v>
      </c>
      <c r="J1653" t="s">
        <v>414</v>
      </c>
      <c r="K1653" t="s">
        <v>106</v>
      </c>
      <c r="L1653" t="s">
        <v>1973</v>
      </c>
      <c r="M1653" t="s">
        <v>2033</v>
      </c>
      <c r="N1653">
        <v>1</v>
      </c>
      <c r="O1653">
        <v>2040</v>
      </c>
      <c r="P1653">
        <v>28.721945226708339</v>
      </c>
      <c r="Q1653">
        <v>0.72978219131721256</v>
      </c>
      <c r="R1653" t="s">
        <v>289</v>
      </c>
      <c r="S1653">
        <v>80.816288888888892</v>
      </c>
      <c r="T1653" t="s">
        <v>290</v>
      </c>
      <c r="U1653">
        <v>80.816288888888892</v>
      </c>
      <c r="V1653">
        <v>28.721945226708339</v>
      </c>
      <c r="W1653">
        <v>0.72978219131721256</v>
      </c>
      <c r="X1653" t="s">
        <v>291</v>
      </c>
      <c r="Y1653">
        <v>10</v>
      </c>
      <c r="Z1653">
        <v>0.31616344381119887</v>
      </c>
      <c r="AA1653">
        <v>1</v>
      </c>
    </row>
    <row r="1654" spans="1:27" hidden="1" x14ac:dyDescent="0.25">
      <c r="A1654" t="s">
        <v>98</v>
      </c>
      <c r="B1654" t="s">
        <v>499</v>
      </c>
      <c r="D1654" t="s">
        <v>1722</v>
      </c>
      <c r="E1654" t="s">
        <v>284</v>
      </c>
      <c r="F1654" t="s">
        <v>360</v>
      </c>
      <c r="G1654" t="s">
        <v>112</v>
      </c>
      <c r="H1654" t="s">
        <v>104</v>
      </c>
      <c r="I1654">
        <v>2040</v>
      </c>
      <c r="J1654" t="s">
        <v>416</v>
      </c>
      <c r="K1654" t="s">
        <v>106</v>
      </c>
      <c r="L1654" t="s">
        <v>1973</v>
      </c>
      <c r="M1654" t="s">
        <v>2034</v>
      </c>
      <c r="N1654">
        <v>1</v>
      </c>
      <c r="O1654">
        <v>2040</v>
      </c>
      <c r="P1654">
        <v>33.197275628385512</v>
      </c>
      <c r="Q1654">
        <v>1.1034319170477349</v>
      </c>
      <c r="R1654" t="s">
        <v>289</v>
      </c>
      <c r="S1654">
        <v>93.34643874643875</v>
      </c>
      <c r="T1654" t="s">
        <v>290</v>
      </c>
      <c r="U1654">
        <v>93.34643874643875</v>
      </c>
      <c r="V1654">
        <v>33.197275628385512</v>
      </c>
      <c r="W1654">
        <v>1.1034319170477349</v>
      </c>
      <c r="X1654" t="s">
        <v>291</v>
      </c>
      <c r="Y1654">
        <v>10</v>
      </c>
      <c r="Z1654">
        <v>0.31616344381119887</v>
      </c>
      <c r="AA1654">
        <v>1</v>
      </c>
    </row>
    <row r="1655" spans="1:27" hidden="1" x14ac:dyDescent="0.25">
      <c r="A1655" t="s">
        <v>98</v>
      </c>
      <c r="B1655" t="s">
        <v>499</v>
      </c>
      <c r="D1655" t="s">
        <v>1722</v>
      </c>
      <c r="E1655" t="s">
        <v>284</v>
      </c>
      <c r="F1655" t="s">
        <v>365</v>
      </c>
      <c r="G1655" t="s">
        <v>103</v>
      </c>
      <c r="H1655" t="s">
        <v>104</v>
      </c>
      <c r="I1655">
        <v>2040</v>
      </c>
      <c r="J1655" t="s">
        <v>418</v>
      </c>
      <c r="K1655" t="s">
        <v>106</v>
      </c>
      <c r="L1655" t="s">
        <v>1973</v>
      </c>
      <c r="M1655" t="s">
        <v>2035</v>
      </c>
      <c r="N1655">
        <v>1</v>
      </c>
      <c r="O1655">
        <v>2040</v>
      </c>
      <c r="P1655">
        <v>22.333975775561878</v>
      </c>
      <c r="Q1655">
        <v>1.552983156443519</v>
      </c>
      <c r="R1655" t="s">
        <v>289</v>
      </c>
      <c r="S1655">
        <v>181.1420784222461</v>
      </c>
      <c r="T1655" t="s">
        <v>290</v>
      </c>
      <c r="U1655">
        <v>181.1420784222461</v>
      </c>
      <c r="V1655">
        <v>22.333975775561878</v>
      </c>
      <c r="W1655">
        <v>1.552983156443519</v>
      </c>
      <c r="X1655" t="s">
        <v>291</v>
      </c>
      <c r="Y1655">
        <v>10</v>
      </c>
      <c r="Z1655">
        <v>0.31616344381119887</v>
      </c>
      <c r="AA1655">
        <v>1</v>
      </c>
    </row>
    <row r="1656" spans="1:27" hidden="1" x14ac:dyDescent="0.25">
      <c r="A1656" t="s">
        <v>98</v>
      </c>
      <c r="B1656" t="s">
        <v>499</v>
      </c>
      <c r="D1656" t="s">
        <v>1722</v>
      </c>
      <c r="E1656" t="s">
        <v>284</v>
      </c>
      <c r="F1656" t="s">
        <v>365</v>
      </c>
      <c r="G1656" t="s">
        <v>112</v>
      </c>
      <c r="H1656" t="s">
        <v>104</v>
      </c>
      <c r="I1656">
        <v>2040</v>
      </c>
      <c r="J1656" t="s">
        <v>420</v>
      </c>
      <c r="K1656" t="s">
        <v>106</v>
      </c>
      <c r="L1656" t="s">
        <v>1973</v>
      </c>
      <c r="M1656" t="s">
        <v>2036</v>
      </c>
      <c r="N1656">
        <v>1</v>
      </c>
      <c r="O1656">
        <v>2040</v>
      </c>
      <c r="P1656">
        <v>27.009726996743201</v>
      </c>
      <c r="Q1656">
        <v>1.971842815426603</v>
      </c>
      <c r="R1656" t="s">
        <v>289</v>
      </c>
      <c r="S1656">
        <v>206.50467814395611</v>
      </c>
      <c r="T1656" t="s">
        <v>290</v>
      </c>
      <c r="U1656">
        <v>206.50467814395611</v>
      </c>
      <c r="V1656">
        <v>27.009726996743201</v>
      </c>
      <c r="W1656">
        <v>1.971842815426603</v>
      </c>
      <c r="X1656" t="s">
        <v>291</v>
      </c>
      <c r="Y1656">
        <v>10</v>
      </c>
      <c r="Z1656">
        <v>0.31616344381119887</v>
      </c>
      <c r="AA1656">
        <v>1</v>
      </c>
    </row>
    <row r="1657" spans="1:27" hidden="1" x14ac:dyDescent="0.25">
      <c r="A1657" t="s">
        <v>98</v>
      </c>
      <c r="B1657" t="s">
        <v>499</v>
      </c>
      <c r="D1657" t="s">
        <v>1722</v>
      </c>
      <c r="E1657" t="s">
        <v>284</v>
      </c>
      <c r="F1657" t="s">
        <v>422</v>
      </c>
      <c r="G1657" t="s">
        <v>103</v>
      </c>
      <c r="H1657" t="s">
        <v>104</v>
      </c>
      <c r="I1657">
        <v>2022</v>
      </c>
      <c r="J1657" t="s">
        <v>423</v>
      </c>
      <c r="K1657" t="s">
        <v>106</v>
      </c>
      <c r="L1657" t="s">
        <v>1973</v>
      </c>
      <c r="M1657" t="s">
        <v>2037</v>
      </c>
      <c r="N1657">
        <v>1</v>
      </c>
      <c r="O1657">
        <v>2020</v>
      </c>
      <c r="P1657">
        <v>22.570490905245428</v>
      </c>
      <c r="Q1657">
        <v>0.77947598919167282</v>
      </c>
      <c r="R1657" t="s">
        <v>289</v>
      </c>
      <c r="S1657">
        <v>59.465873015873022</v>
      </c>
      <c r="T1657" t="s">
        <v>290</v>
      </c>
      <c r="U1657">
        <v>59.465873015873022</v>
      </c>
      <c r="V1657">
        <v>22.570490905245428</v>
      </c>
      <c r="W1657">
        <v>0.77947598919167282</v>
      </c>
      <c r="X1657" t="s">
        <v>291</v>
      </c>
      <c r="Y1657">
        <v>10</v>
      </c>
      <c r="Z1657">
        <v>0.31616344381119887</v>
      </c>
      <c r="AA1657">
        <v>1</v>
      </c>
    </row>
    <row r="1658" spans="1:27" hidden="1" x14ac:dyDescent="0.25">
      <c r="A1658" t="s">
        <v>98</v>
      </c>
      <c r="B1658" t="s">
        <v>499</v>
      </c>
      <c r="D1658" t="s">
        <v>1722</v>
      </c>
      <c r="E1658" t="s">
        <v>284</v>
      </c>
      <c r="F1658" t="s">
        <v>425</v>
      </c>
      <c r="G1658" t="s">
        <v>103</v>
      </c>
      <c r="H1658" t="s">
        <v>104</v>
      </c>
      <c r="I1658">
        <v>2022</v>
      </c>
      <c r="J1658" t="s">
        <v>426</v>
      </c>
      <c r="K1658" t="s">
        <v>106</v>
      </c>
      <c r="L1658" t="s">
        <v>1973</v>
      </c>
      <c r="M1658" t="s">
        <v>2038</v>
      </c>
      <c r="N1658">
        <v>1</v>
      </c>
      <c r="O1658">
        <v>2020</v>
      </c>
      <c r="P1658">
        <v>20.699165146358741</v>
      </c>
      <c r="Q1658">
        <v>1.111231451610436</v>
      </c>
      <c r="R1658" t="s">
        <v>289</v>
      </c>
      <c r="S1658">
        <v>74.054444444444442</v>
      </c>
      <c r="T1658" t="s">
        <v>290</v>
      </c>
      <c r="U1658">
        <v>74.054444444444442</v>
      </c>
      <c r="V1658">
        <v>20.699165146358741</v>
      </c>
      <c r="W1658">
        <v>1.111231451610436</v>
      </c>
      <c r="X1658" t="s">
        <v>291</v>
      </c>
      <c r="Y1658">
        <v>10</v>
      </c>
      <c r="Z1658">
        <v>0.31616344381119887</v>
      </c>
      <c r="AA1658">
        <v>1</v>
      </c>
    </row>
    <row r="1659" spans="1:27" hidden="1" x14ac:dyDescent="0.25">
      <c r="A1659" t="s">
        <v>98</v>
      </c>
      <c r="B1659" t="s">
        <v>499</v>
      </c>
      <c r="D1659" t="s">
        <v>1722</v>
      </c>
      <c r="E1659" t="s">
        <v>284</v>
      </c>
      <c r="F1659" t="s">
        <v>428</v>
      </c>
      <c r="G1659" t="s">
        <v>103</v>
      </c>
      <c r="H1659" t="s">
        <v>104</v>
      </c>
      <c r="I1659">
        <v>2022</v>
      </c>
      <c r="J1659" t="s">
        <v>429</v>
      </c>
      <c r="K1659" t="s">
        <v>106</v>
      </c>
      <c r="L1659" t="s">
        <v>1973</v>
      </c>
      <c r="M1659" t="s">
        <v>2039</v>
      </c>
      <c r="N1659">
        <v>1</v>
      </c>
      <c r="O1659">
        <v>2020</v>
      </c>
      <c r="P1659">
        <v>25.347672779313449</v>
      </c>
      <c r="Q1659">
        <v>0.56400508525842741</v>
      </c>
      <c r="R1659" t="s">
        <v>289</v>
      </c>
      <c r="S1659">
        <v>77.810944444444459</v>
      </c>
      <c r="T1659" t="s">
        <v>290</v>
      </c>
      <c r="U1659">
        <v>77.810944444444459</v>
      </c>
      <c r="V1659">
        <v>25.347672779313449</v>
      </c>
      <c r="W1659">
        <v>0.56400508525842741</v>
      </c>
      <c r="X1659" t="s">
        <v>291</v>
      </c>
      <c r="Y1659">
        <v>10</v>
      </c>
      <c r="Z1659">
        <v>0.31616344381119887</v>
      </c>
      <c r="AA1659">
        <v>1</v>
      </c>
    </row>
    <row r="1660" spans="1:27" hidden="1" x14ac:dyDescent="0.25">
      <c r="A1660" t="s">
        <v>98</v>
      </c>
      <c r="B1660" t="s">
        <v>499</v>
      </c>
      <c r="D1660" t="s">
        <v>1722</v>
      </c>
      <c r="E1660" t="s">
        <v>284</v>
      </c>
      <c r="F1660" t="s">
        <v>425</v>
      </c>
      <c r="G1660" t="s">
        <v>103</v>
      </c>
      <c r="H1660" t="s">
        <v>104</v>
      </c>
      <c r="I1660">
        <v>2030</v>
      </c>
      <c r="J1660" t="s">
        <v>431</v>
      </c>
      <c r="K1660" t="s">
        <v>106</v>
      </c>
      <c r="L1660" t="s">
        <v>1973</v>
      </c>
      <c r="M1660" t="s">
        <v>2040</v>
      </c>
      <c r="N1660">
        <v>1</v>
      </c>
      <c r="O1660">
        <v>2030</v>
      </c>
      <c r="P1660">
        <v>20.230705085538521</v>
      </c>
      <c r="Q1660">
        <v>1.0951903363739519</v>
      </c>
      <c r="R1660" t="s">
        <v>289</v>
      </c>
      <c r="S1660">
        <v>79.81</v>
      </c>
      <c r="T1660" t="s">
        <v>290</v>
      </c>
      <c r="U1660">
        <v>79.81</v>
      </c>
      <c r="V1660">
        <v>20.230705085538521</v>
      </c>
      <c r="W1660">
        <v>1.0951903363739519</v>
      </c>
      <c r="X1660" t="s">
        <v>291</v>
      </c>
      <c r="Y1660">
        <v>10</v>
      </c>
      <c r="Z1660">
        <v>0.31616344381119887</v>
      </c>
      <c r="AA1660">
        <v>1</v>
      </c>
    </row>
    <row r="1661" spans="1:27" hidden="1" x14ac:dyDescent="0.25">
      <c r="A1661" t="s">
        <v>98</v>
      </c>
      <c r="B1661" t="s">
        <v>499</v>
      </c>
      <c r="D1661" t="s">
        <v>1722</v>
      </c>
      <c r="E1661" t="s">
        <v>284</v>
      </c>
      <c r="F1661" t="s">
        <v>428</v>
      </c>
      <c r="G1661" t="s">
        <v>103</v>
      </c>
      <c r="H1661" t="s">
        <v>104</v>
      </c>
      <c r="I1661">
        <v>2030</v>
      </c>
      <c r="J1661" t="s">
        <v>433</v>
      </c>
      <c r="K1661" t="s">
        <v>106</v>
      </c>
      <c r="L1661" t="s">
        <v>1973</v>
      </c>
      <c r="M1661" t="s">
        <v>2041</v>
      </c>
      <c r="N1661">
        <v>1</v>
      </c>
      <c r="O1661">
        <v>2030</v>
      </c>
      <c r="P1661">
        <v>24.67049407605251</v>
      </c>
      <c r="Q1661">
        <v>0.55731249361340607</v>
      </c>
      <c r="R1661" t="s">
        <v>289</v>
      </c>
      <c r="S1661">
        <v>84.367500000000007</v>
      </c>
      <c r="T1661" t="s">
        <v>290</v>
      </c>
      <c r="U1661">
        <v>84.367500000000007</v>
      </c>
      <c r="V1661">
        <v>24.67049407605251</v>
      </c>
      <c r="W1661">
        <v>0.55731249361340607</v>
      </c>
      <c r="X1661" t="s">
        <v>291</v>
      </c>
      <c r="Y1661">
        <v>10</v>
      </c>
      <c r="Z1661">
        <v>0.31616344381119887</v>
      </c>
      <c r="AA1661">
        <v>1</v>
      </c>
    </row>
    <row r="1662" spans="1:27" hidden="1" x14ac:dyDescent="0.25">
      <c r="A1662" t="s">
        <v>98</v>
      </c>
      <c r="B1662" t="s">
        <v>499</v>
      </c>
      <c r="D1662" t="s">
        <v>1722</v>
      </c>
      <c r="E1662" t="s">
        <v>284</v>
      </c>
      <c r="F1662" t="s">
        <v>425</v>
      </c>
      <c r="G1662" t="s">
        <v>103</v>
      </c>
      <c r="H1662" t="s">
        <v>104</v>
      </c>
      <c r="I1662">
        <v>2040</v>
      </c>
      <c r="J1662" t="s">
        <v>435</v>
      </c>
      <c r="K1662" t="s">
        <v>106</v>
      </c>
      <c r="L1662" t="s">
        <v>1973</v>
      </c>
      <c r="M1662" t="s">
        <v>2042</v>
      </c>
      <c r="N1662">
        <v>1</v>
      </c>
      <c r="O1662">
        <v>2040</v>
      </c>
      <c r="P1662">
        <v>19.670938877469698</v>
      </c>
      <c r="Q1662">
        <v>1.076022695415618</v>
      </c>
      <c r="R1662" t="s">
        <v>289</v>
      </c>
      <c r="S1662">
        <v>79.81</v>
      </c>
      <c r="T1662" t="s">
        <v>290</v>
      </c>
      <c r="U1662">
        <v>79.81</v>
      </c>
      <c r="V1662">
        <v>19.670938877469698</v>
      </c>
      <c r="W1662">
        <v>1.076022695415618</v>
      </c>
      <c r="X1662" t="s">
        <v>291</v>
      </c>
      <c r="Y1662">
        <v>10</v>
      </c>
      <c r="Z1662">
        <v>0.31616344381119887</v>
      </c>
      <c r="AA1662">
        <v>1</v>
      </c>
    </row>
    <row r="1663" spans="1:27" hidden="1" x14ac:dyDescent="0.25">
      <c r="A1663" t="s">
        <v>98</v>
      </c>
      <c r="B1663" t="s">
        <v>499</v>
      </c>
      <c r="D1663" t="s">
        <v>1722</v>
      </c>
      <c r="E1663" t="s">
        <v>284</v>
      </c>
      <c r="F1663" t="s">
        <v>428</v>
      </c>
      <c r="G1663" t="s">
        <v>103</v>
      </c>
      <c r="H1663" t="s">
        <v>104</v>
      </c>
      <c r="I1663">
        <v>2040</v>
      </c>
      <c r="J1663" t="s">
        <v>437</v>
      </c>
      <c r="K1663" t="s">
        <v>106</v>
      </c>
      <c r="L1663" t="s">
        <v>1973</v>
      </c>
      <c r="M1663" t="s">
        <v>2043</v>
      </c>
      <c r="N1663">
        <v>1</v>
      </c>
      <c r="O1663">
        <v>2040</v>
      </c>
      <c r="P1663">
        <v>23.861328500132039</v>
      </c>
      <c r="Q1663">
        <v>0.54931546897756556</v>
      </c>
      <c r="R1663" t="s">
        <v>289</v>
      </c>
      <c r="S1663">
        <v>84.367500000000007</v>
      </c>
      <c r="T1663" t="s">
        <v>290</v>
      </c>
      <c r="U1663">
        <v>84.367500000000007</v>
      </c>
      <c r="V1663">
        <v>23.861328500132039</v>
      </c>
      <c r="W1663">
        <v>0.54931546897756556</v>
      </c>
      <c r="X1663" t="s">
        <v>291</v>
      </c>
      <c r="Y1663">
        <v>10</v>
      </c>
      <c r="Z1663">
        <v>0.31616344381119887</v>
      </c>
      <c r="AA1663">
        <v>1</v>
      </c>
    </row>
    <row r="1664" spans="1:27" hidden="1" x14ac:dyDescent="0.25">
      <c r="A1664" t="s">
        <v>98</v>
      </c>
      <c r="B1664" t="s">
        <v>499</v>
      </c>
      <c r="D1664" t="s">
        <v>1722</v>
      </c>
      <c r="E1664" t="s">
        <v>439</v>
      </c>
      <c r="F1664" t="s">
        <v>440</v>
      </c>
      <c r="G1664" t="s">
        <v>245</v>
      </c>
      <c r="H1664" t="s">
        <v>104</v>
      </c>
      <c r="I1664">
        <v>2022</v>
      </c>
      <c r="J1664" t="s">
        <v>441</v>
      </c>
      <c r="K1664" t="s">
        <v>106</v>
      </c>
      <c r="L1664" t="s">
        <v>2044</v>
      </c>
      <c r="M1664" t="s">
        <v>2045</v>
      </c>
      <c r="N1664">
        <v>1</v>
      </c>
      <c r="O1664">
        <v>2020</v>
      </c>
      <c r="P1664">
        <v>831.12625331024003</v>
      </c>
      <c r="Q1664">
        <v>84.323656568982784</v>
      </c>
      <c r="R1664" t="s">
        <v>109</v>
      </c>
      <c r="S1664">
        <v>2.8957310176295739</v>
      </c>
      <c r="T1664" t="s">
        <v>110</v>
      </c>
      <c r="U1664">
        <v>2.8957310176295739</v>
      </c>
      <c r="V1664">
        <v>2835.9211703315582</v>
      </c>
      <c r="W1664">
        <v>287.72432812862002</v>
      </c>
      <c r="X1664" t="s">
        <v>111</v>
      </c>
      <c r="Y1664">
        <v>10</v>
      </c>
      <c r="Z1664">
        <v>0.44</v>
      </c>
      <c r="AA1664">
        <v>31.536000000000001</v>
      </c>
    </row>
    <row r="1665" spans="1:27" hidden="1" x14ac:dyDescent="0.25">
      <c r="A1665" t="s">
        <v>98</v>
      </c>
      <c r="B1665" t="s">
        <v>499</v>
      </c>
      <c r="D1665" t="s">
        <v>1722</v>
      </c>
      <c r="E1665" t="s">
        <v>439</v>
      </c>
      <c r="F1665" t="s">
        <v>440</v>
      </c>
      <c r="G1665" t="s">
        <v>103</v>
      </c>
      <c r="H1665" t="s">
        <v>104</v>
      </c>
      <c r="I1665">
        <v>2022</v>
      </c>
      <c r="J1665" t="s">
        <v>444</v>
      </c>
      <c r="K1665" t="s">
        <v>106</v>
      </c>
      <c r="L1665" t="s">
        <v>2044</v>
      </c>
      <c r="M1665" t="s">
        <v>2046</v>
      </c>
      <c r="N1665">
        <v>1</v>
      </c>
      <c r="O1665">
        <v>2020</v>
      </c>
      <c r="P1665">
        <v>1031.6192027056411</v>
      </c>
      <c r="Q1665">
        <v>84.323656568982784</v>
      </c>
      <c r="R1665" t="s">
        <v>109</v>
      </c>
      <c r="S1665">
        <v>3.1136892662683588</v>
      </c>
      <c r="T1665" t="s">
        <v>110</v>
      </c>
      <c r="U1665">
        <v>1</v>
      </c>
      <c r="V1665">
        <v>10960.284839990571</v>
      </c>
      <c r="W1665">
        <v>895.88415213835935</v>
      </c>
      <c r="X1665" t="s">
        <v>111</v>
      </c>
      <c r="Y1665">
        <v>10</v>
      </c>
      <c r="Z1665">
        <v>0.44</v>
      </c>
      <c r="AA1665">
        <v>31.536000000000001</v>
      </c>
    </row>
    <row r="1666" spans="1:27" hidden="1" x14ac:dyDescent="0.25">
      <c r="A1666" t="s">
        <v>98</v>
      </c>
      <c r="B1666" t="s">
        <v>499</v>
      </c>
      <c r="D1666" t="s">
        <v>1722</v>
      </c>
      <c r="E1666" t="s">
        <v>439</v>
      </c>
      <c r="F1666" t="s">
        <v>440</v>
      </c>
      <c r="G1666" t="s">
        <v>112</v>
      </c>
      <c r="H1666" t="s">
        <v>104</v>
      </c>
      <c r="I1666">
        <v>2022</v>
      </c>
      <c r="J1666" t="s">
        <v>446</v>
      </c>
      <c r="K1666" t="s">
        <v>106</v>
      </c>
      <c r="L1666" t="s">
        <v>2044</v>
      </c>
      <c r="M1666" t="s">
        <v>2047</v>
      </c>
      <c r="N1666">
        <v>1</v>
      </c>
      <c r="O1666">
        <v>2020</v>
      </c>
      <c r="P1666">
        <v>1137.4723035050019</v>
      </c>
      <c r="Q1666">
        <v>84.323656568982784</v>
      </c>
      <c r="R1666" t="s">
        <v>109</v>
      </c>
      <c r="S1666">
        <v>3.348052974482107</v>
      </c>
      <c r="T1666" t="s">
        <v>110</v>
      </c>
      <c r="U1666">
        <v>1.156203029251937</v>
      </c>
      <c r="V1666">
        <v>11238.961995400419</v>
      </c>
      <c r="W1666">
        <v>833.17226148867417</v>
      </c>
      <c r="X1666" t="s">
        <v>111</v>
      </c>
      <c r="Y1666">
        <v>10</v>
      </c>
      <c r="Z1666">
        <v>0.44</v>
      </c>
      <c r="AA1666">
        <v>31.536000000000001</v>
      </c>
    </row>
    <row r="1667" spans="1:27" hidden="1" x14ac:dyDescent="0.25">
      <c r="A1667" t="s">
        <v>98</v>
      </c>
      <c r="B1667" t="s">
        <v>499</v>
      </c>
      <c r="D1667" t="s">
        <v>1722</v>
      </c>
      <c r="E1667" t="s">
        <v>439</v>
      </c>
      <c r="F1667" t="s">
        <v>440</v>
      </c>
      <c r="G1667" t="s">
        <v>103</v>
      </c>
      <c r="H1667" t="s">
        <v>104</v>
      </c>
      <c r="I1667">
        <v>2030</v>
      </c>
      <c r="J1667" t="s">
        <v>448</v>
      </c>
      <c r="K1667" t="s">
        <v>106</v>
      </c>
      <c r="L1667" t="s">
        <v>2044</v>
      </c>
      <c r="M1667" t="s">
        <v>2048</v>
      </c>
      <c r="N1667">
        <v>0</v>
      </c>
      <c r="O1667">
        <v>2030</v>
      </c>
      <c r="P1667">
        <v>1031.6192027056411</v>
      </c>
      <c r="Q1667">
        <v>84.323656568982784</v>
      </c>
      <c r="R1667" t="s">
        <v>109</v>
      </c>
      <c r="S1667">
        <v>3.1136892662683588</v>
      </c>
      <c r="T1667" t="s">
        <v>110</v>
      </c>
      <c r="U1667">
        <v>1.075268817204301</v>
      </c>
      <c r="V1667">
        <v>10193.06490119123</v>
      </c>
      <c r="W1667">
        <v>833.17226148867428</v>
      </c>
      <c r="X1667" t="s">
        <v>111</v>
      </c>
      <c r="Y1667">
        <v>10</v>
      </c>
      <c r="Z1667">
        <v>0.44</v>
      </c>
      <c r="AA1667">
        <v>31.536000000000001</v>
      </c>
    </row>
    <row r="1668" spans="1:27" hidden="1" x14ac:dyDescent="0.25">
      <c r="A1668" t="s">
        <v>98</v>
      </c>
      <c r="B1668" t="s">
        <v>499</v>
      </c>
      <c r="D1668" t="s">
        <v>1722</v>
      </c>
      <c r="E1668" t="s">
        <v>439</v>
      </c>
      <c r="F1668" t="s">
        <v>440</v>
      </c>
      <c r="G1668" t="s">
        <v>112</v>
      </c>
      <c r="H1668" t="s">
        <v>104</v>
      </c>
      <c r="I1668">
        <v>2030</v>
      </c>
      <c r="J1668" t="s">
        <v>450</v>
      </c>
      <c r="K1668" t="s">
        <v>106</v>
      </c>
      <c r="L1668" t="s">
        <v>2044</v>
      </c>
      <c r="M1668" t="s">
        <v>2049</v>
      </c>
      <c r="N1668">
        <v>0</v>
      </c>
      <c r="O1668">
        <v>2030</v>
      </c>
      <c r="P1668">
        <v>1137.4723035050019</v>
      </c>
      <c r="Q1668">
        <v>84.323656568982784</v>
      </c>
      <c r="R1668" t="s">
        <v>109</v>
      </c>
      <c r="S1668">
        <v>3.348052974482107</v>
      </c>
      <c r="T1668" t="s">
        <v>110</v>
      </c>
      <c r="U1668">
        <v>1.156203029251937</v>
      </c>
      <c r="V1668">
        <v>11238.961995400419</v>
      </c>
      <c r="W1668">
        <v>833.17226148867417</v>
      </c>
      <c r="X1668" t="s">
        <v>111</v>
      </c>
      <c r="Y1668">
        <v>10</v>
      </c>
      <c r="Z1668">
        <v>0.44</v>
      </c>
      <c r="AA1668">
        <v>31.536000000000001</v>
      </c>
    </row>
    <row r="1669" spans="1:27" hidden="1" x14ac:dyDescent="0.25">
      <c r="A1669" t="s">
        <v>98</v>
      </c>
      <c r="B1669" t="s">
        <v>499</v>
      </c>
      <c r="D1669" t="s">
        <v>1722</v>
      </c>
      <c r="E1669" t="s">
        <v>439</v>
      </c>
      <c r="F1669" t="s">
        <v>440</v>
      </c>
      <c r="G1669" t="s">
        <v>103</v>
      </c>
      <c r="H1669" t="s">
        <v>104</v>
      </c>
      <c r="I1669">
        <v>2040</v>
      </c>
      <c r="J1669" t="s">
        <v>452</v>
      </c>
      <c r="K1669" t="s">
        <v>106</v>
      </c>
      <c r="L1669" t="s">
        <v>2044</v>
      </c>
      <c r="M1669" t="s">
        <v>2050</v>
      </c>
      <c r="N1669">
        <v>0</v>
      </c>
      <c r="O1669">
        <v>2040</v>
      </c>
      <c r="P1669">
        <v>1031.6192027056411</v>
      </c>
      <c r="Q1669">
        <v>84.323656568982784</v>
      </c>
      <c r="R1669" t="s">
        <v>109</v>
      </c>
      <c r="S1669">
        <v>3.1136892662683588</v>
      </c>
      <c r="T1669" t="s">
        <v>110</v>
      </c>
      <c r="U1669">
        <v>1.075268817204301</v>
      </c>
      <c r="V1669">
        <v>10193.06490119123</v>
      </c>
      <c r="W1669">
        <v>833.17226148867428</v>
      </c>
      <c r="X1669" t="s">
        <v>111</v>
      </c>
      <c r="Y1669">
        <v>10</v>
      </c>
      <c r="Z1669">
        <v>0.44</v>
      </c>
      <c r="AA1669">
        <v>31.536000000000001</v>
      </c>
    </row>
    <row r="1670" spans="1:27" hidden="1" x14ac:dyDescent="0.25">
      <c r="A1670" t="s">
        <v>98</v>
      </c>
      <c r="B1670" t="s">
        <v>499</v>
      </c>
      <c r="D1670" t="s">
        <v>1722</v>
      </c>
      <c r="E1670" t="s">
        <v>439</v>
      </c>
      <c r="F1670" t="s">
        <v>440</v>
      </c>
      <c r="G1670" t="s">
        <v>112</v>
      </c>
      <c r="H1670" t="s">
        <v>104</v>
      </c>
      <c r="I1670">
        <v>2040</v>
      </c>
      <c r="J1670" t="s">
        <v>454</v>
      </c>
      <c r="K1670" t="s">
        <v>106</v>
      </c>
      <c r="L1670" t="s">
        <v>2044</v>
      </c>
      <c r="M1670" t="s">
        <v>2051</v>
      </c>
      <c r="N1670">
        <v>0</v>
      </c>
      <c r="O1670">
        <v>2040</v>
      </c>
      <c r="P1670">
        <v>1137.4723035050019</v>
      </c>
      <c r="Q1670">
        <v>84.323656568982784</v>
      </c>
      <c r="R1670" t="s">
        <v>109</v>
      </c>
      <c r="S1670">
        <v>3.348052974482107</v>
      </c>
      <c r="T1670" t="s">
        <v>110</v>
      </c>
      <c r="U1670">
        <v>1.156203029251937</v>
      </c>
      <c r="V1670">
        <v>11238.961995400419</v>
      </c>
      <c r="W1670">
        <v>833.17226148867417</v>
      </c>
      <c r="X1670" t="s">
        <v>111</v>
      </c>
      <c r="Y1670">
        <v>10</v>
      </c>
      <c r="Z1670">
        <v>0.44</v>
      </c>
      <c r="AA1670">
        <v>31.536000000000001</v>
      </c>
    </row>
    <row r="1671" spans="1:27" hidden="1" x14ac:dyDescent="0.25">
      <c r="A1671" t="s">
        <v>98</v>
      </c>
      <c r="B1671" t="s">
        <v>499</v>
      </c>
      <c r="D1671" t="s">
        <v>1722</v>
      </c>
      <c r="E1671" t="s">
        <v>439</v>
      </c>
      <c r="F1671" t="s">
        <v>440</v>
      </c>
      <c r="G1671" t="s">
        <v>103</v>
      </c>
      <c r="H1671" t="s">
        <v>104</v>
      </c>
      <c r="I1671">
        <v>2050</v>
      </c>
      <c r="J1671" t="s">
        <v>456</v>
      </c>
      <c r="K1671" t="s">
        <v>106</v>
      </c>
      <c r="L1671" t="s">
        <v>2044</v>
      </c>
      <c r="M1671" t="s">
        <v>2052</v>
      </c>
      <c r="N1671">
        <v>0</v>
      </c>
      <c r="O1671">
        <v>2050</v>
      </c>
      <c r="P1671">
        <v>1031.6192027056411</v>
      </c>
      <c r="Q1671">
        <v>84.323656568982784</v>
      </c>
      <c r="R1671" t="s">
        <v>109</v>
      </c>
      <c r="S1671">
        <v>3.1136892662683588</v>
      </c>
      <c r="T1671" t="s">
        <v>110</v>
      </c>
      <c r="U1671">
        <v>1.075268817204301</v>
      </c>
      <c r="V1671">
        <v>10193.06490119123</v>
      </c>
      <c r="W1671">
        <v>833.17226148867428</v>
      </c>
      <c r="X1671" t="s">
        <v>111</v>
      </c>
      <c r="Y1671">
        <v>10</v>
      </c>
      <c r="Z1671">
        <v>0.44</v>
      </c>
      <c r="AA1671">
        <v>31.536000000000001</v>
      </c>
    </row>
    <row r="1672" spans="1:27" hidden="1" x14ac:dyDescent="0.25">
      <c r="A1672" t="s">
        <v>98</v>
      </c>
      <c r="B1672" t="s">
        <v>499</v>
      </c>
      <c r="D1672" t="s">
        <v>1722</v>
      </c>
      <c r="E1672" t="s">
        <v>439</v>
      </c>
      <c r="F1672" t="s">
        <v>440</v>
      </c>
      <c r="G1672" t="s">
        <v>112</v>
      </c>
      <c r="H1672" t="s">
        <v>104</v>
      </c>
      <c r="I1672">
        <v>2050</v>
      </c>
      <c r="J1672" t="s">
        <v>458</v>
      </c>
      <c r="K1672" t="s">
        <v>106</v>
      </c>
      <c r="L1672" t="s">
        <v>2044</v>
      </c>
      <c r="M1672" t="s">
        <v>2053</v>
      </c>
      <c r="N1672">
        <v>0</v>
      </c>
      <c r="O1672">
        <v>2050</v>
      </c>
      <c r="P1672">
        <v>1137.4723035050019</v>
      </c>
      <c r="Q1672">
        <v>84.323656568982784</v>
      </c>
      <c r="R1672" t="s">
        <v>109</v>
      </c>
      <c r="S1672">
        <v>3.348052974482107</v>
      </c>
      <c r="T1672" t="s">
        <v>110</v>
      </c>
      <c r="U1672">
        <v>1.156203029251937</v>
      </c>
      <c r="V1672">
        <v>11238.961995400419</v>
      </c>
      <c r="W1672">
        <v>833.17226148867417</v>
      </c>
      <c r="X1672" t="s">
        <v>111</v>
      </c>
      <c r="Y1672">
        <v>10</v>
      </c>
      <c r="Z1672">
        <v>0.44</v>
      </c>
      <c r="AA1672">
        <v>31.536000000000001</v>
      </c>
    </row>
    <row r="1673" spans="1:27" hidden="1" x14ac:dyDescent="0.25">
      <c r="A1673" t="s">
        <v>98</v>
      </c>
      <c r="B1673" t="s">
        <v>499</v>
      </c>
      <c r="D1673" t="s">
        <v>1722</v>
      </c>
      <c r="E1673" t="s">
        <v>439</v>
      </c>
      <c r="F1673" t="s">
        <v>460</v>
      </c>
      <c r="G1673" t="s">
        <v>245</v>
      </c>
      <c r="H1673" t="s">
        <v>104</v>
      </c>
      <c r="I1673">
        <v>2022</v>
      </c>
      <c r="J1673" t="s">
        <v>461</v>
      </c>
      <c r="K1673" t="s">
        <v>106</v>
      </c>
      <c r="L1673" t="s">
        <v>2044</v>
      </c>
      <c r="M1673" t="s">
        <v>2054</v>
      </c>
      <c r="N1673">
        <v>1</v>
      </c>
      <c r="O1673">
        <v>2020</v>
      </c>
      <c r="P1673">
        <v>520.8323861248623</v>
      </c>
      <c r="Q1673">
        <v>19.17492366827851</v>
      </c>
      <c r="R1673" t="s">
        <v>109</v>
      </c>
      <c r="S1673">
        <v>5.9841517746527506</v>
      </c>
      <c r="T1673" t="s">
        <v>110</v>
      </c>
      <c r="U1673">
        <v>2.066542692750287</v>
      </c>
      <c r="V1673">
        <v>5146.1608125259299</v>
      </c>
      <c r="W1673">
        <v>189.46064682931279</v>
      </c>
      <c r="X1673" t="s">
        <v>111</v>
      </c>
      <c r="Y1673">
        <v>10</v>
      </c>
      <c r="Z1673">
        <v>0.44</v>
      </c>
      <c r="AA1673">
        <v>31.536000000000001</v>
      </c>
    </row>
    <row r="1674" spans="1:27" hidden="1" x14ac:dyDescent="0.25">
      <c r="A1674" t="s">
        <v>98</v>
      </c>
      <c r="B1674" t="s">
        <v>499</v>
      </c>
      <c r="D1674" t="s">
        <v>1722</v>
      </c>
      <c r="E1674" t="s">
        <v>439</v>
      </c>
      <c r="F1674" t="s">
        <v>460</v>
      </c>
      <c r="G1674" t="s">
        <v>103</v>
      </c>
      <c r="H1674" t="s">
        <v>104</v>
      </c>
      <c r="I1674">
        <v>2022</v>
      </c>
      <c r="J1674" t="s">
        <v>463</v>
      </c>
      <c r="K1674" t="s">
        <v>106</v>
      </c>
      <c r="L1674" t="s">
        <v>2044</v>
      </c>
      <c r="M1674" t="s">
        <v>2055</v>
      </c>
      <c r="N1674">
        <v>1</v>
      </c>
      <c r="O1674">
        <v>2020</v>
      </c>
      <c r="P1674">
        <v>619.22047419033993</v>
      </c>
      <c r="Q1674">
        <v>19.17492366827851</v>
      </c>
      <c r="R1674" t="s">
        <v>109</v>
      </c>
      <c r="S1674">
        <v>6.5013006934499016</v>
      </c>
      <c r="T1674" t="s">
        <v>110</v>
      </c>
      <c r="U1674">
        <v>2.2451328020003118</v>
      </c>
      <c r="V1674">
        <v>6118.2987530812006</v>
      </c>
      <c r="W1674">
        <v>189.46064682931279</v>
      </c>
      <c r="X1674" t="s">
        <v>111</v>
      </c>
      <c r="Y1674">
        <v>10</v>
      </c>
      <c r="Z1674">
        <v>0.44</v>
      </c>
      <c r="AA1674">
        <v>31.536000000000001</v>
      </c>
    </row>
    <row r="1675" spans="1:27" hidden="1" x14ac:dyDescent="0.25">
      <c r="A1675" t="s">
        <v>98</v>
      </c>
      <c r="B1675" t="s">
        <v>499</v>
      </c>
      <c r="D1675" t="s">
        <v>1722</v>
      </c>
      <c r="E1675" t="s">
        <v>439</v>
      </c>
      <c r="F1675" t="s">
        <v>460</v>
      </c>
      <c r="G1675" t="s">
        <v>112</v>
      </c>
      <c r="H1675" t="s">
        <v>104</v>
      </c>
      <c r="I1675">
        <v>2022</v>
      </c>
      <c r="J1675" t="s">
        <v>465</v>
      </c>
      <c r="K1675" t="s">
        <v>106</v>
      </c>
      <c r="L1675" t="s">
        <v>2044</v>
      </c>
      <c r="M1675" t="s">
        <v>2056</v>
      </c>
      <c r="N1675">
        <v>1</v>
      </c>
      <c r="O1675">
        <v>2020</v>
      </c>
      <c r="P1675">
        <v>717.59767919103297</v>
      </c>
      <c r="Q1675">
        <v>19.17492366827851</v>
      </c>
      <c r="R1675" t="s">
        <v>109</v>
      </c>
      <c r="S1675">
        <v>7.1162885968843517</v>
      </c>
      <c r="T1675" t="s">
        <v>110</v>
      </c>
      <c r="U1675">
        <v>2.4575102292165578</v>
      </c>
      <c r="V1675">
        <v>7090.3291619180018</v>
      </c>
      <c r="W1675">
        <v>189.46064682931279</v>
      </c>
      <c r="X1675" t="s">
        <v>111</v>
      </c>
      <c r="Y1675">
        <v>10</v>
      </c>
      <c r="Z1675">
        <v>0.44</v>
      </c>
      <c r="AA1675">
        <v>31.536000000000001</v>
      </c>
    </row>
    <row r="1676" spans="1:27" hidden="1" x14ac:dyDescent="0.25">
      <c r="A1676" t="s">
        <v>98</v>
      </c>
      <c r="B1676" t="s">
        <v>499</v>
      </c>
      <c r="D1676" t="s">
        <v>1722</v>
      </c>
      <c r="E1676" t="s">
        <v>439</v>
      </c>
      <c r="F1676" t="s">
        <v>460</v>
      </c>
      <c r="G1676" t="s">
        <v>103</v>
      </c>
      <c r="H1676" t="s">
        <v>104</v>
      </c>
      <c r="I1676">
        <v>2030</v>
      </c>
      <c r="J1676" t="s">
        <v>467</v>
      </c>
      <c r="K1676" t="s">
        <v>106</v>
      </c>
      <c r="L1676" t="s">
        <v>2044</v>
      </c>
      <c r="M1676" t="s">
        <v>2057</v>
      </c>
      <c r="N1676">
        <v>1</v>
      </c>
      <c r="O1676">
        <v>2030</v>
      </c>
      <c r="P1676">
        <v>520.8323861248623</v>
      </c>
      <c r="Q1676">
        <v>19.17492366827851</v>
      </c>
      <c r="R1676" t="s">
        <v>109</v>
      </c>
      <c r="S1676">
        <v>6.5013006934499016</v>
      </c>
      <c r="T1676" t="s">
        <v>110</v>
      </c>
      <c r="U1676">
        <v>2.2451328020003118</v>
      </c>
      <c r="V1676">
        <v>5146.1608125259299</v>
      </c>
      <c r="W1676">
        <v>189.46064682931279</v>
      </c>
      <c r="X1676" t="s">
        <v>111</v>
      </c>
      <c r="Y1676">
        <v>10</v>
      </c>
      <c r="Z1676">
        <v>0.44</v>
      </c>
      <c r="AA1676">
        <v>31.536000000000001</v>
      </c>
    </row>
    <row r="1677" spans="1:27" hidden="1" x14ac:dyDescent="0.25">
      <c r="A1677" t="s">
        <v>98</v>
      </c>
      <c r="B1677" t="s">
        <v>499</v>
      </c>
      <c r="D1677" t="s">
        <v>1722</v>
      </c>
      <c r="E1677" t="s">
        <v>439</v>
      </c>
      <c r="F1677" t="s">
        <v>460</v>
      </c>
      <c r="G1677" t="s">
        <v>112</v>
      </c>
      <c r="H1677" t="s">
        <v>104</v>
      </c>
      <c r="I1677">
        <v>2030</v>
      </c>
      <c r="J1677" t="s">
        <v>469</v>
      </c>
      <c r="K1677" t="s">
        <v>106</v>
      </c>
      <c r="L1677" t="s">
        <v>2044</v>
      </c>
      <c r="M1677" t="s">
        <v>2058</v>
      </c>
      <c r="N1677">
        <v>1</v>
      </c>
      <c r="O1677">
        <v>2030</v>
      </c>
      <c r="P1677">
        <v>717.59767919103297</v>
      </c>
      <c r="Q1677">
        <v>19.17492366827851</v>
      </c>
      <c r="R1677" t="s">
        <v>109</v>
      </c>
      <c r="S1677">
        <v>7.1162885968843517</v>
      </c>
      <c r="T1677" t="s">
        <v>110</v>
      </c>
      <c r="U1677">
        <v>2.4575102292165578</v>
      </c>
      <c r="V1677">
        <v>7090.3291619180018</v>
      </c>
      <c r="W1677">
        <v>189.46064682931279</v>
      </c>
      <c r="X1677" t="s">
        <v>111</v>
      </c>
      <c r="Y1677">
        <v>10</v>
      </c>
      <c r="Z1677">
        <v>0.44</v>
      </c>
      <c r="AA1677">
        <v>31.536000000000001</v>
      </c>
    </row>
    <row r="1678" spans="1:27" hidden="1" x14ac:dyDescent="0.25">
      <c r="A1678" t="s">
        <v>98</v>
      </c>
      <c r="B1678" t="s">
        <v>499</v>
      </c>
      <c r="D1678" t="s">
        <v>1722</v>
      </c>
      <c r="E1678" t="s">
        <v>439</v>
      </c>
      <c r="F1678" t="s">
        <v>460</v>
      </c>
      <c r="G1678" t="s">
        <v>103</v>
      </c>
      <c r="H1678" t="s">
        <v>104</v>
      </c>
      <c r="I1678">
        <v>2040</v>
      </c>
      <c r="J1678" t="s">
        <v>471</v>
      </c>
      <c r="K1678" t="s">
        <v>106</v>
      </c>
      <c r="L1678" t="s">
        <v>2044</v>
      </c>
      <c r="M1678" t="s">
        <v>2059</v>
      </c>
      <c r="N1678">
        <v>1</v>
      </c>
      <c r="O1678">
        <v>2040</v>
      </c>
      <c r="P1678">
        <v>520.8323861248623</v>
      </c>
      <c r="Q1678">
        <v>19.17492366827851</v>
      </c>
      <c r="R1678" t="s">
        <v>109</v>
      </c>
      <c r="S1678">
        <v>6.5013006934499016</v>
      </c>
      <c r="T1678" t="s">
        <v>110</v>
      </c>
      <c r="U1678">
        <v>2.2451328020003118</v>
      </c>
      <c r="V1678">
        <v>5146.1608125259299</v>
      </c>
      <c r="W1678">
        <v>189.46064682931279</v>
      </c>
      <c r="X1678" t="s">
        <v>111</v>
      </c>
      <c r="Y1678">
        <v>10</v>
      </c>
      <c r="Z1678">
        <v>0.44</v>
      </c>
      <c r="AA1678">
        <v>31.536000000000001</v>
      </c>
    </row>
    <row r="1679" spans="1:27" hidden="1" x14ac:dyDescent="0.25">
      <c r="A1679" t="s">
        <v>98</v>
      </c>
      <c r="B1679" t="s">
        <v>499</v>
      </c>
      <c r="D1679" t="s">
        <v>1722</v>
      </c>
      <c r="E1679" t="s">
        <v>439</v>
      </c>
      <c r="F1679" t="s">
        <v>460</v>
      </c>
      <c r="G1679" t="s">
        <v>112</v>
      </c>
      <c r="H1679" t="s">
        <v>104</v>
      </c>
      <c r="I1679">
        <v>2040</v>
      </c>
      <c r="J1679" t="s">
        <v>473</v>
      </c>
      <c r="K1679" t="s">
        <v>106</v>
      </c>
      <c r="L1679" t="s">
        <v>2044</v>
      </c>
      <c r="M1679" t="s">
        <v>2060</v>
      </c>
      <c r="N1679">
        <v>1</v>
      </c>
      <c r="O1679">
        <v>2040</v>
      </c>
      <c r="P1679">
        <v>717.59767919103297</v>
      </c>
      <c r="Q1679">
        <v>19.17492366827851</v>
      </c>
      <c r="R1679" t="s">
        <v>109</v>
      </c>
      <c r="S1679">
        <v>7.1162885968843517</v>
      </c>
      <c r="T1679" t="s">
        <v>110</v>
      </c>
      <c r="U1679">
        <v>2.4575102292165578</v>
      </c>
      <c r="V1679">
        <v>7090.3291619180018</v>
      </c>
      <c r="W1679">
        <v>189.46064682931279</v>
      </c>
      <c r="X1679" t="s">
        <v>111</v>
      </c>
      <c r="Y1679">
        <v>10</v>
      </c>
      <c r="Z1679">
        <v>0.44</v>
      </c>
      <c r="AA1679">
        <v>31.536000000000001</v>
      </c>
    </row>
    <row r="1680" spans="1:27" hidden="1" x14ac:dyDescent="0.25">
      <c r="A1680" t="s">
        <v>98</v>
      </c>
      <c r="B1680" t="s">
        <v>499</v>
      </c>
      <c r="D1680" t="s">
        <v>1722</v>
      </c>
      <c r="E1680" t="s">
        <v>439</v>
      </c>
      <c r="F1680" t="s">
        <v>460</v>
      </c>
      <c r="G1680" t="s">
        <v>103</v>
      </c>
      <c r="H1680" t="s">
        <v>104</v>
      </c>
      <c r="I1680">
        <v>2050</v>
      </c>
      <c r="J1680" t="s">
        <v>475</v>
      </c>
      <c r="K1680" t="s">
        <v>106</v>
      </c>
      <c r="L1680" t="s">
        <v>2044</v>
      </c>
      <c r="M1680" t="s">
        <v>2061</v>
      </c>
      <c r="N1680">
        <v>1</v>
      </c>
      <c r="O1680">
        <v>2050</v>
      </c>
      <c r="P1680">
        <v>520.8323861248623</v>
      </c>
      <c r="Q1680">
        <v>19.17492366827851</v>
      </c>
      <c r="R1680" t="s">
        <v>109</v>
      </c>
      <c r="S1680">
        <v>6.5013006934499016</v>
      </c>
      <c r="T1680" t="s">
        <v>110</v>
      </c>
      <c r="U1680">
        <v>2.2451328020003118</v>
      </c>
      <c r="V1680">
        <v>5146.1608125259299</v>
      </c>
      <c r="W1680">
        <v>189.46064682931279</v>
      </c>
      <c r="X1680" t="s">
        <v>111</v>
      </c>
      <c r="Y1680">
        <v>10</v>
      </c>
      <c r="Z1680">
        <v>0.44</v>
      </c>
      <c r="AA1680">
        <v>31.536000000000001</v>
      </c>
    </row>
    <row r="1681" spans="1:27" hidden="1" x14ac:dyDescent="0.25">
      <c r="A1681" t="s">
        <v>98</v>
      </c>
      <c r="B1681" t="s">
        <v>499</v>
      </c>
      <c r="D1681" t="s">
        <v>1722</v>
      </c>
      <c r="E1681" t="s">
        <v>439</v>
      </c>
      <c r="F1681" t="s">
        <v>460</v>
      </c>
      <c r="G1681" t="s">
        <v>112</v>
      </c>
      <c r="H1681" t="s">
        <v>104</v>
      </c>
      <c r="I1681">
        <v>2050</v>
      </c>
      <c r="J1681" t="s">
        <v>477</v>
      </c>
      <c r="K1681" t="s">
        <v>106</v>
      </c>
      <c r="L1681" t="s">
        <v>2044</v>
      </c>
      <c r="M1681" t="s">
        <v>2062</v>
      </c>
      <c r="N1681">
        <v>1</v>
      </c>
      <c r="O1681">
        <v>2050</v>
      </c>
      <c r="P1681">
        <v>717.59767919103297</v>
      </c>
      <c r="Q1681">
        <v>19.17492366827851</v>
      </c>
      <c r="R1681" t="s">
        <v>109</v>
      </c>
      <c r="S1681">
        <v>7.1162885968843517</v>
      </c>
      <c r="T1681" t="s">
        <v>110</v>
      </c>
      <c r="U1681">
        <v>2.4575102292165578</v>
      </c>
      <c r="V1681">
        <v>7090.3291619180018</v>
      </c>
      <c r="W1681">
        <v>189.46064682931279</v>
      </c>
      <c r="X1681" t="s">
        <v>111</v>
      </c>
      <c r="Y1681">
        <v>10</v>
      </c>
      <c r="Z1681">
        <v>0.44</v>
      </c>
      <c r="AA1681">
        <v>31.536000000000001</v>
      </c>
    </row>
    <row r="1682" spans="1:27" hidden="1" x14ac:dyDescent="0.25">
      <c r="A1682" t="s">
        <v>98</v>
      </c>
      <c r="B1682" t="s">
        <v>499</v>
      </c>
      <c r="D1682" t="s">
        <v>1722</v>
      </c>
      <c r="E1682" t="s">
        <v>439</v>
      </c>
      <c r="F1682" t="s">
        <v>479</v>
      </c>
      <c r="G1682" t="s">
        <v>245</v>
      </c>
      <c r="H1682" t="s">
        <v>104</v>
      </c>
      <c r="I1682">
        <v>2022</v>
      </c>
      <c r="J1682" t="s">
        <v>480</v>
      </c>
      <c r="K1682" t="s">
        <v>106</v>
      </c>
      <c r="L1682" t="s">
        <v>2044</v>
      </c>
      <c r="M1682" t="s">
        <v>2063</v>
      </c>
      <c r="N1682">
        <v>1</v>
      </c>
      <c r="O1682">
        <v>2020</v>
      </c>
      <c r="P1682">
        <v>1625.561814955347</v>
      </c>
      <c r="Q1682">
        <v>83.737016934227881</v>
      </c>
      <c r="R1682" t="s">
        <v>109</v>
      </c>
      <c r="S1682">
        <v>3.1167552571169028</v>
      </c>
      <c r="T1682" t="s">
        <v>110</v>
      </c>
      <c r="U1682">
        <v>1.0763276140434681</v>
      </c>
      <c r="V1682">
        <v>16061.60203036269</v>
      </c>
      <c r="W1682">
        <v>827.37588250020144</v>
      </c>
      <c r="X1682" t="s">
        <v>111</v>
      </c>
      <c r="Y1682">
        <v>10</v>
      </c>
      <c r="Z1682">
        <v>0.44</v>
      </c>
      <c r="AA1682">
        <v>31.536000000000001</v>
      </c>
    </row>
    <row r="1683" spans="1:27" hidden="1" x14ac:dyDescent="0.25">
      <c r="A1683" t="s">
        <v>98</v>
      </c>
      <c r="B1683" t="s">
        <v>499</v>
      </c>
      <c r="D1683" t="s">
        <v>1722</v>
      </c>
      <c r="E1683" t="s">
        <v>439</v>
      </c>
      <c r="F1683" t="s">
        <v>479</v>
      </c>
      <c r="G1683" t="s">
        <v>103</v>
      </c>
      <c r="H1683" t="s">
        <v>104</v>
      </c>
      <c r="I1683">
        <v>2022</v>
      </c>
      <c r="J1683" t="s">
        <v>482</v>
      </c>
      <c r="K1683" t="s">
        <v>106</v>
      </c>
      <c r="L1683" t="s">
        <v>2044</v>
      </c>
      <c r="M1683" t="s">
        <v>2064</v>
      </c>
      <c r="N1683">
        <v>1</v>
      </c>
      <c r="O1683">
        <v>2020</v>
      </c>
      <c r="P1683">
        <v>1649.1429636040691</v>
      </c>
      <c r="Q1683">
        <v>83.737016934227881</v>
      </c>
      <c r="R1683" t="s">
        <v>109</v>
      </c>
      <c r="S1683">
        <v>4.464541314248538</v>
      </c>
      <c r="T1683" t="s">
        <v>110</v>
      </c>
      <c r="U1683">
        <v>1.541766582278481</v>
      </c>
      <c r="V1683">
        <v>16294.59902963399</v>
      </c>
      <c r="W1683">
        <v>827.37588250020167</v>
      </c>
      <c r="X1683" t="s">
        <v>111</v>
      </c>
      <c r="Y1683">
        <v>10</v>
      </c>
      <c r="Z1683">
        <v>0.44</v>
      </c>
      <c r="AA1683">
        <v>31.536000000000001</v>
      </c>
    </row>
    <row r="1684" spans="1:27" hidden="1" x14ac:dyDescent="0.25">
      <c r="A1684" t="s">
        <v>98</v>
      </c>
      <c r="B1684" t="s">
        <v>499</v>
      </c>
      <c r="D1684" t="s">
        <v>1722</v>
      </c>
      <c r="E1684" t="s">
        <v>439</v>
      </c>
      <c r="F1684" t="s">
        <v>479</v>
      </c>
      <c r="G1684" t="s">
        <v>112</v>
      </c>
      <c r="H1684" t="s">
        <v>104</v>
      </c>
      <c r="I1684">
        <v>2022</v>
      </c>
      <c r="J1684" t="s">
        <v>484</v>
      </c>
      <c r="K1684" t="s">
        <v>106</v>
      </c>
      <c r="L1684" t="s">
        <v>2044</v>
      </c>
      <c r="M1684" t="s">
        <v>2065</v>
      </c>
      <c r="N1684">
        <v>1</v>
      </c>
      <c r="O1684">
        <v>2020</v>
      </c>
      <c r="P1684">
        <v>1758.024723094816</v>
      </c>
      <c r="Q1684">
        <v>83.737016934227881</v>
      </c>
      <c r="R1684" t="s">
        <v>109</v>
      </c>
      <c r="S1684">
        <v>7.4409021904142287</v>
      </c>
      <c r="T1684" t="s">
        <v>110</v>
      </c>
      <c r="U1684">
        <v>2.5696109704641348</v>
      </c>
      <c r="V1684">
        <v>17370.421230436659</v>
      </c>
      <c r="W1684">
        <v>827.37588250020167</v>
      </c>
      <c r="X1684" t="s">
        <v>111</v>
      </c>
      <c r="Y1684">
        <v>10</v>
      </c>
      <c r="Z1684">
        <v>0.44</v>
      </c>
      <c r="AA1684">
        <v>31.536000000000001</v>
      </c>
    </row>
    <row r="1685" spans="1:27" hidden="1" x14ac:dyDescent="0.25">
      <c r="A1685" t="s">
        <v>98</v>
      </c>
      <c r="B1685" t="s">
        <v>499</v>
      </c>
      <c r="D1685" t="s">
        <v>1722</v>
      </c>
      <c r="E1685" t="s">
        <v>439</v>
      </c>
      <c r="F1685" t="s">
        <v>479</v>
      </c>
      <c r="G1685" t="s">
        <v>219</v>
      </c>
      <c r="H1685" t="s">
        <v>104</v>
      </c>
      <c r="I1685">
        <v>2022</v>
      </c>
      <c r="J1685" t="s">
        <v>486</v>
      </c>
      <c r="K1685" t="s">
        <v>106</v>
      </c>
      <c r="L1685" t="s">
        <v>2044</v>
      </c>
      <c r="M1685" t="s">
        <v>2066</v>
      </c>
      <c r="N1685">
        <v>1</v>
      </c>
      <c r="O1685">
        <v>2020</v>
      </c>
      <c r="P1685">
        <v>1758.024723094816</v>
      </c>
      <c r="Q1685">
        <v>84.189649458196669</v>
      </c>
      <c r="R1685" t="s">
        <v>109</v>
      </c>
      <c r="S1685">
        <v>7.4409021904142287</v>
      </c>
      <c r="T1685" t="s">
        <v>110</v>
      </c>
      <c r="U1685">
        <v>2.5696109704641348</v>
      </c>
      <c r="V1685">
        <v>17370.421230436659</v>
      </c>
      <c r="W1685">
        <v>831.8481845677702</v>
      </c>
      <c r="X1685" t="s">
        <v>111</v>
      </c>
      <c r="Y1685">
        <v>10</v>
      </c>
      <c r="Z1685">
        <v>0.44</v>
      </c>
      <c r="AA1685">
        <v>31.536000000000001</v>
      </c>
    </row>
    <row r="1686" spans="1:27" hidden="1" x14ac:dyDescent="0.25">
      <c r="A1686" t="s">
        <v>98</v>
      </c>
      <c r="B1686" t="s">
        <v>499</v>
      </c>
      <c r="D1686" t="s">
        <v>1722</v>
      </c>
      <c r="E1686" t="s">
        <v>439</v>
      </c>
      <c r="F1686" t="s">
        <v>479</v>
      </c>
      <c r="G1686" t="s">
        <v>103</v>
      </c>
      <c r="H1686" t="s">
        <v>104</v>
      </c>
      <c r="I1686">
        <v>2030</v>
      </c>
      <c r="J1686" t="s">
        <v>488</v>
      </c>
      <c r="K1686" t="s">
        <v>106</v>
      </c>
      <c r="L1686" t="s">
        <v>2044</v>
      </c>
      <c r="M1686" t="s">
        <v>2067</v>
      </c>
      <c r="N1686">
        <v>1</v>
      </c>
      <c r="O1686">
        <v>2030</v>
      </c>
      <c r="P1686">
        <v>1649.1429636040691</v>
      </c>
      <c r="Q1686">
        <v>83.737016934227881</v>
      </c>
      <c r="R1686" t="s">
        <v>109</v>
      </c>
      <c r="S1686">
        <v>4.464541314248538</v>
      </c>
      <c r="T1686" t="s">
        <v>110</v>
      </c>
      <c r="U1686">
        <v>1.541766582278481</v>
      </c>
      <c r="V1686">
        <v>16294.59902963399</v>
      </c>
      <c r="W1686">
        <v>827.37588250020167</v>
      </c>
      <c r="X1686" t="s">
        <v>111</v>
      </c>
      <c r="Y1686">
        <v>10</v>
      </c>
      <c r="Z1686">
        <v>0.44</v>
      </c>
      <c r="AA1686">
        <v>31.536000000000001</v>
      </c>
    </row>
    <row r="1687" spans="1:27" hidden="1" x14ac:dyDescent="0.25">
      <c r="A1687" t="s">
        <v>98</v>
      </c>
      <c r="B1687" t="s">
        <v>499</v>
      </c>
      <c r="D1687" t="s">
        <v>1722</v>
      </c>
      <c r="E1687" t="s">
        <v>439</v>
      </c>
      <c r="F1687" t="s">
        <v>479</v>
      </c>
      <c r="G1687" t="s">
        <v>112</v>
      </c>
      <c r="H1687" t="s">
        <v>104</v>
      </c>
      <c r="I1687">
        <v>2030</v>
      </c>
      <c r="J1687" t="s">
        <v>490</v>
      </c>
      <c r="K1687" t="s">
        <v>106</v>
      </c>
      <c r="L1687" t="s">
        <v>2044</v>
      </c>
      <c r="M1687" t="s">
        <v>2068</v>
      </c>
      <c r="N1687">
        <v>1</v>
      </c>
      <c r="O1687">
        <v>2030</v>
      </c>
      <c r="P1687">
        <v>1758.024723094816</v>
      </c>
      <c r="Q1687">
        <v>83.737016934227881</v>
      </c>
      <c r="R1687" t="s">
        <v>109</v>
      </c>
      <c r="S1687">
        <v>7.4409021904142287</v>
      </c>
      <c r="T1687" t="s">
        <v>110</v>
      </c>
      <c r="U1687">
        <v>2.5696109704641348</v>
      </c>
      <c r="V1687">
        <v>17370.421230436659</v>
      </c>
      <c r="W1687">
        <v>827.37588250020167</v>
      </c>
      <c r="X1687" t="s">
        <v>111</v>
      </c>
      <c r="Y1687">
        <v>10</v>
      </c>
      <c r="Z1687">
        <v>0.44</v>
      </c>
      <c r="AA1687">
        <v>31.536000000000001</v>
      </c>
    </row>
    <row r="1688" spans="1:27" hidden="1" x14ac:dyDescent="0.25">
      <c r="A1688" t="s">
        <v>98</v>
      </c>
      <c r="B1688" t="s">
        <v>499</v>
      </c>
      <c r="D1688" t="s">
        <v>1722</v>
      </c>
      <c r="E1688" t="s">
        <v>439</v>
      </c>
      <c r="F1688" t="s">
        <v>479</v>
      </c>
      <c r="G1688" t="s">
        <v>103</v>
      </c>
      <c r="H1688" t="s">
        <v>104</v>
      </c>
      <c r="I1688">
        <v>2040</v>
      </c>
      <c r="J1688" t="s">
        <v>492</v>
      </c>
      <c r="K1688" t="s">
        <v>106</v>
      </c>
      <c r="L1688" t="s">
        <v>2044</v>
      </c>
      <c r="M1688" t="s">
        <v>2069</v>
      </c>
      <c r="N1688">
        <v>1</v>
      </c>
      <c r="O1688">
        <v>2040</v>
      </c>
      <c r="P1688">
        <v>1649.1429636040691</v>
      </c>
      <c r="Q1688">
        <v>83.737016934227881</v>
      </c>
      <c r="R1688" t="s">
        <v>109</v>
      </c>
      <c r="S1688">
        <v>4.464541314248538</v>
      </c>
      <c r="T1688" t="s">
        <v>110</v>
      </c>
      <c r="U1688">
        <v>1.541766582278481</v>
      </c>
      <c r="V1688">
        <v>16294.59902963399</v>
      </c>
      <c r="W1688">
        <v>827.37588250020167</v>
      </c>
      <c r="X1688" t="s">
        <v>111</v>
      </c>
      <c r="Y1688">
        <v>10</v>
      </c>
      <c r="Z1688">
        <v>0.44</v>
      </c>
      <c r="AA1688">
        <v>31.536000000000001</v>
      </c>
    </row>
    <row r="1689" spans="1:27" hidden="1" x14ac:dyDescent="0.25">
      <c r="A1689" t="s">
        <v>98</v>
      </c>
      <c r="B1689" t="s">
        <v>499</v>
      </c>
      <c r="D1689" t="s">
        <v>1722</v>
      </c>
      <c r="E1689" t="s">
        <v>439</v>
      </c>
      <c r="F1689" t="s">
        <v>479</v>
      </c>
      <c r="G1689" t="s">
        <v>112</v>
      </c>
      <c r="H1689" t="s">
        <v>104</v>
      </c>
      <c r="I1689">
        <v>2040</v>
      </c>
      <c r="J1689" t="s">
        <v>494</v>
      </c>
      <c r="K1689" t="s">
        <v>106</v>
      </c>
      <c r="L1689" t="s">
        <v>2044</v>
      </c>
      <c r="M1689" t="s">
        <v>2070</v>
      </c>
      <c r="N1689">
        <v>1</v>
      </c>
      <c r="O1689">
        <v>2040</v>
      </c>
      <c r="P1689">
        <v>1758.024723094816</v>
      </c>
      <c r="Q1689">
        <v>83.737016934227881</v>
      </c>
      <c r="R1689" t="s">
        <v>109</v>
      </c>
      <c r="S1689">
        <v>7.4409021904142287</v>
      </c>
      <c r="T1689" t="s">
        <v>110</v>
      </c>
      <c r="U1689">
        <v>2.5696109704641348</v>
      </c>
      <c r="V1689">
        <v>17370.421230436659</v>
      </c>
      <c r="W1689">
        <v>827.37588250020167</v>
      </c>
      <c r="X1689" t="s">
        <v>111</v>
      </c>
      <c r="Y1689">
        <v>10</v>
      </c>
      <c r="Z1689">
        <v>0.44</v>
      </c>
      <c r="AA1689">
        <v>31.536000000000001</v>
      </c>
    </row>
    <row r="1690" spans="1:27" hidden="1" x14ac:dyDescent="0.25">
      <c r="A1690" t="s">
        <v>98</v>
      </c>
      <c r="B1690" t="s">
        <v>499</v>
      </c>
      <c r="D1690" t="s">
        <v>1722</v>
      </c>
      <c r="E1690" t="s">
        <v>439</v>
      </c>
      <c r="F1690" t="s">
        <v>479</v>
      </c>
      <c r="G1690" t="s">
        <v>112</v>
      </c>
      <c r="H1690" t="s">
        <v>104</v>
      </c>
      <c r="I1690">
        <v>2025</v>
      </c>
      <c r="J1690" t="s">
        <v>496</v>
      </c>
      <c r="K1690" t="s">
        <v>106</v>
      </c>
      <c r="L1690" t="s">
        <v>2044</v>
      </c>
      <c r="M1690" t="s">
        <v>2071</v>
      </c>
      <c r="N1690">
        <v>1</v>
      </c>
      <c r="O1690">
        <v>2025</v>
      </c>
      <c r="P1690">
        <v>1758.024723094816</v>
      </c>
      <c r="Q1690">
        <v>83.737016934227881</v>
      </c>
      <c r="R1690" t="s">
        <v>109</v>
      </c>
      <c r="S1690">
        <v>7.4409021904142287</v>
      </c>
      <c r="T1690" t="s">
        <v>110</v>
      </c>
      <c r="U1690">
        <v>2.5696109704641348</v>
      </c>
      <c r="V1690">
        <v>17370.421230436659</v>
      </c>
      <c r="W1690">
        <v>827.37588250020167</v>
      </c>
      <c r="X1690" t="s">
        <v>111</v>
      </c>
      <c r="Y1690">
        <v>10</v>
      </c>
      <c r="Z1690">
        <v>0.44</v>
      </c>
      <c r="AA1690">
        <v>31.536000000000001</v>
      </c>
    </row>
    <row r="1691" spans="1:27" hidden="1" x14ac:dyDescent="0.25">
      <c r="A1691" t="s">
        <v>498</v>
      </c>
      <c r="M1691" t="s">
        <v>498</v>
      </c>
      <c r="N1691" t="s">
        <v>498</v>
      </c>
    </row>
    <row r="1692" spans="1:27" hidden="1" x14ac:dyDescent="0.25">
      <c r="A1692" t="s">
        <v>98</v>
      </c>
      <c r="B1692" t="s">
        <v>674</v>
      </c>
      <c r="D1692" t="s">
        <v>1722</v>
      </c>
      <c r="E1692" t="s">
        <v>101</v>
      </c>
      <c r="F1692" t="s">
        <v>102</v>
      </c>
      <c r="G1692" t="s">
        <v>103</v>
      </c>
      <c r="H1692" t="s">
        <v>104</v>
      </c>
      <c r="I1692">
        <v>2061</v>
      </c>
      <c r="J1692" t="s">
        <v>105</v>
      </c>
      <c r="K1692" t="s">
        <v>106</v>
      </c>
      <c r="L1692" t="s">
        <v>2072</v>
      </c>
      <c r="M1692" t="s">
        <v>2073</v>
      </c>
      <c r="N1692">
        <v>0</v>
      </c>
      <c r="O1692">
        <v>2061</v>
      </c>
      <c r="P1692">
        <v>117.0584711706526</v>
      </c>
      <c r="Q1692">
        <v>4.2000145906136934</v>
      </c>
      <c r="R1692" t="s">
        <v>109</v>
      </c>
      <c r="S1692">
        <v>3.3</v>
      </c>
      <c r="T1692" t="s">
        <v>110</v>
      </c>
      <c r="U1692">
        <v>3.3</v>
      </c>
      <c r="V1692">
        <v>399.42017862788401</v>
      </c>
      <c r="W1692">
        <v>14.33104807576899</v>
      </c>
      <c r="X1692" t="s">
        <v>111</v>
      </c>
      <c r="Y1692">
        <v>21</v>
      </c>
      <c r="Z1692">
        <v>0.28022105690055271</v>
      </c>
      <c r="AA1692">
        <v>31.536000000000001</v>
      </c>
    </row>
    <row r="1693" spans="1:27" hidden="1" x14ac:dyDescent="0.25">
      <c r="A1693" t="s">
        <v>98</v>
      </c>
      <c r="B1693" t="s">
        <v>674</v>
      </c>
      <c r="D1693" t="s">
        <v>1722</v>
      </c>
      <c r="E1693" t="s">
        <v>101</v>
      </c>
      <c r="F1693" t="s">
        <v>102</v>
      </c>
      <c r="G1693" t="s">
        <v>112</v>
      </c>
      <c r="H1693" t="s">
        <v>104</v>
      </c>
      <c r="I1693">
        <v>2022</v>
      </c>
      <c r="J1693" t="s">
        <v>113</v>
      </c>
      <c r="K1693" t="s">
        <v>106</v>
      </c>
      <c r="L1693" t="s">
        <v>2072</v>
      </c>
      <c r="M1693" t="s">
        <v>2074</v>
      </c>
      <c r="N1693">
        <v>1</v>
      </c>
      <c r="O1693">
        <v>2020</v>
      </c>
      <c r="P1693">
        <v>200.7885700942916</v>
      </c>
      <c r="Q1693">
        <v>4.2000145906136934</v>
      </c>
      <c r="R1693" t="s">
        <v>109</v>
      </c>
      <c r="S1693">
        <v>3.7</v>
      </c>
      <c r="T1693" t="s">
        <v>110</v>
      </c>
      <c r="U1693">
        <v>3.7</v>
      </c>
      <c r="V1693">
        <v>685.1192035182313</v>
      </c>
      <c r="W1693">
        <v>14.33104807576899</v>
      </c>
      <c r="X1693" t="s">
        <v>111</v>
      </c>
      <c r="Y1693">
        <v>21</v>
      </c>
      <c r="Z1693">
        <v>0.28022105690055271</v>
      </c>
      <c r="AA1693">
        <v>31.536000000000001</v>
      </c>
    </row>
    <row r="1694" spans="1:27" hidden="1" x14ac:dyDescent="0.25">
      <c r="A1694" t="s">
        <v>98</v>
      </c>
      <c r="B1694" t="s">
        <v>674</v>
      </c>
      <c r="D1694" t="s">
        <v>1722</v>
      </c>
      <c r="E1694" t="s">
        <v>101</v>
      </c>
      <c r="F1694" t="s">
        <v>102</v>
      </c>
      <c r="G1694" t="s">
        <v>103</v>
      </c>
      <c r="H1694" t="s">
        <v>104</v>
      </c>
      <c r="I1694">
        <v>2023</v>
      </c>
      <c r="J1694" t="s">
        <v>115</v>
      </c>
      <c r="K1694" t="s">
        <v>106</v>
      </c>
      <c r="L1694" t="s">
        <v>2072</v>
      </c>
      <c r="M1694" t="s">
        <v>2075</v>
      </c>
      <c r="N1694">
        <v>0</v>
      </c>
      <c r="O1694">
        <v>2023</v>
      </c>
      <c r="P1694">
        <v>135.73557542199771</v>
      </c>
      <c r="Q1694">
        <v>4.2000145906136934</v>
      </c>
      <c r="R1694" t="s">
        <v>109</v>
      </c>
      <c r="S1694">
        <v>3.4</v>
      </c>
      <c r="T1694" t="s">
        <v>110</v>
      </c>
      <c r="U1694">
        <v>3.4</v>
      </c>
      <c r="V1694">
        <v>463.14911888927151</v>
      </c>
      <c r="W1694">
        <v>14.33104807576899</v>
      </c>
      <c r="X1694" t="s">
        <v>111</v>
      </c>
      <c r="Y1694">
        <v>21</v>
      </c>
      <c r="Z1694">
        <v>0.28022105690055271</v>
      </c>
      <c r="AA1694">
        <v>31.536000000000001</v>
      </c>
    </row>
    <row r="1695" spans="1:27" hidden="1" x14ac:dyDescent="0.25">
      <c r="A1695" t="s">
        <v>98</v>
      </c>
      <c r="B1695" t="s">
        <v>674</v>
      </c>
      <c r="D1695" t="s">
        <v>1722</v>
      </c>
      <c r="E1695" t="s">
        <v>101</v>
      </c>
      <c r="F1695" t="s">
        <v>117</v>
      </c>
      <c r="G1695" t="s">
        <v>103</v>
      </c>
      <c r="H1695" t="s">
        <v>104</v>
      </c>
      <c r="I1695">
        <v>2033</v>
      </c>
      <c r="J1695" t="s">
        <v>118</v>
      </c>
      <c r="K1695" t="s">
        <v>106</v>
      </c>
      <c r="L1695" t="s">
        <v>2072</v>
      </c>
      <c r="M1695" t="s">
        <v>2076</v>
      </c>
      <c r="N1695">
        <v>0</v>
      </c>
      <c r="O1695">
        <v>2033</v>
      </c>
      <c r="P1695">
        <v>483.9331327692995</v>
      </c>
      <c r="Q1695">
        <v>3.810497108419681</v>
      </c>
      <c r="R1695" t="s">
        <v>109</v>
      </c>
      <c r="S1695">
        <v>3.7</v>
      </c>
      <c r="T1695" t="s">
        <v>110</v>
      </c>
      <c r="U1695">
        <v>3.7</v>
      </c>
      <c r="V1695">
        <v>1651.2487853431401</v>
      </c>
      <c r="W1695">
        <v>13.00195893970977</v>
      </c>
      <c r="X1695" t="s">
        <v>111</v>
      </c>
      <c r="Y1695">
        <v>14.4</v>
      </c>
      <c r="Z1695">
        <v>0.28022105690055271</v>
      </c>
      <c r="AA1695">
        <v>31.536000000000001</v>
      </c>
    </row>
    <row r="1696" spans="1:27" hidden="1" x14ac:dyDescent="0.25">
      <c r="A1696" t="s">
        <v>98</v>
      </c>
      <c r="B1696" t="s">
        <v>674</v>
      </c>
      <c r="D1696" t="s">
        <v>1722</v>
      </c>
      <c r="E1696" t="s">
        <v>101</v>
      </c>
      <c r="F1696" t="s">
        <v>117</v>
      </c>
      <c r="G1696" t="s">
        <v>67</v>
      </c>
      <c r="H1696" t="s">
        <v>104</v>
      </c>
      <c r="I1696">
        <v>2033</v>
      </c>
      <c r="J1696" t="s">
        <v>120</v>
      </c>
      <c r="K1696" t="s">
        <v>106</v>
      </c>
      <c r="L1696" t="s">
        <v>2072</v>
      </c>
      <c r="M1696" t="s">
        <v>2077</v>
      </c>
      <c r="N1696">
        <v>0</v>
      </c>
      <c r="O1696">
        <v>2033</v>
      </c>
      <c r="P1696">
        <v>497.90495550017158</v>
      </c>
      <c r="Q1696">
        <v>3.810497108419681</v>
      </c>
      <c r="R1696" t="s">
        <v>109</v>
      </c>
      <c r="S1696">
        <v>3.8</v>
      </c>
      <c r="T1696" t="s">
        <v>110</v>
      </c>
      <c r="U1696">
        <v>3.8</v>
      </c>
      <c r="V1696">
        <v>1698.9226347887429</v>
      </c>
      <c r="W1696">
        <v>13.00195893970977</v>
      </c>
      <c r="X1696" t="s">
        <v>111</v>
      </c>
      <c r="Y1696">
        <v>14.4</v>
      </c>
      <c r="Z1696">
        <v>0.28022105690055271</v>
      </c>
      <c r="AA1696">
        <v>31.536000000000001</v>
      </c>
    </row>
    <row r="1697" spans="1:27" hidden="1" x14ac:dyDescent="0.25">
      <c r="A1697" t="s">
        <v>98</v>
      </c>
      <c r="B1697" t="s">
        <v>674</v>
      </c>
      <c r="D1697" t="s">
        <v>1722</v>
      </c>
      <c r="E1697" t="s">
        <v>101</v>
      </c>
      <c r="F1697" t="s">
        <v>117</v>
      </c>
      <c r="G1697" t="s">
        <v>112</v>
      </c>
      <c r="H1697" t="s">
        <v>104</v>
      </c>
      <c r="I1697">
        <v>2033</v>
      </c>
      <c r="J1697" t="s">
        <v>122</v>
      </c>
      <c r="K1697" t="s">
        <v>106</v>
      </c>
      <c r="L1697" t="s">
        <v>2072</v>
      </c>
      <c r="M1697" t="s">
        <v>2078</v>
      </c>
      <c r="N1697">
        <v>0</v>
      </c>
      <c r="O1697">
        <v>2033</v>
      </c>
      <c r="P1697">
        <v>513.14694393385037</v>
      </c>
      <c r="Q1697">
        <v>3.810497108419681</v>
      </c>
      <c r="R1697" t="s">
        <v>109</v>
      </c>
      <c r="S1697">
        <v>4</v>
      </c>
      <c r="T1697" t="s">
        <v>110</v>
      </c>
      <c r="U1697">
        <v>4</v>
      </c>
      <c r="V1697">
        <v>1750.930470547582</v>
      </c>
      <c r="W1697">
        <v>13.00195893970977</v>
      </c>
      <c r="X1697" t="s">
        <v>111</v>
      </c>
      <c r="Y1697">
        <v>14.4</v>
      </c>
      <c r="Z1697">
        <v>0.28022105690055271</v>
      </c>
      <c r="AA1697">
        <v>31.536000000000001</v>
      </c>
    </row>
    <row r="1698" spans="1:27" hidden="1" x14ac:dyDescent="0.25">
      <c r="A1698" t="s">
        <v>98</v>
      </c>
      <c r="B1698" t="s">
        <v>674</v>
      </c>
      <c r="D1698" t="s">
        <v>1722</v>
      </c>
      <c r="E1698" t="s">
        <v>101</v>
      </c>
      <c r="F1698" t="s">
        <v>117</v>
      </c>
      <c r="G1698" t="s">
        <v>103</v>
      </c>
      <c r="H1698" t="s">
        <v>104</v>
      </c>
      <c r="I1698">
        <v>2023</v>
      </c>
      <c r="J1698" t="s">
        <v>124</v>
      </c>
      <c r="K1698" t="s">
        <v>106</v>
      </c>
      <c r="L1698" t="s">
        <v>2072</v>
      </c>
      <c r="M1698" t="s">
        <v>2079</v>
      </c>
      <c r="N1698">
        <v>0</v>
      </c>
      <c r="O1698">
        <v>2023</v>
      </c>
      <c r="P1698">
        <v>483.9331327692995</v>
      </c>
      <c r="Q1698">
        <v>3.810497108419681</v>
      </c>
      <c r="R1698" t="s">
        <v>109</v>
      </c>
      <c r="S1698">
        <v>3.7</v>
      </c>
      <c r="T1698" t="s">
        <v>110</v>
      </c>
      <c r="U1698">
        <v>3.7</v>
      </c>
      <c r="V1698">
        <v>1651.2487853431401</v>
      </c>
      <c r="W1698">
        <v>13.00195893970977</v>
      </c>
      <c r="X1698" t="s">
        <v>111</v>
      </c>
      <c r="Y1698">
        <v>14.4</v>
      </c>
      <c r="Z1698">
        <v>0.28022105690055271</v>
      </c>
      <c r="AA1698">
        <v>31.536000000000001</v>
      </c>
    </row>
    <row r="1699" spans="1:27" hidden="1" x14ac:dyDescent="0.25">
      <c r="A1699" t="s">
        <v>98</v>
      </c>
      <c r="B1699" t="s">
        <v>674</v>
      </c>
      <c r="D1699" t="s">
        <v>1722</v>
      </c>
      <c r="E1699" t="s">
        <v>101</v>
      </c>
      <c r="F1699" t="s">
        <v>117</v>
      </c>
      <c r="G1699" t="s">
        <v>67</v>
      </c>
      <c r="H1699" t="s">
        <v>104</v>
      </c>
      <c r="I1699">
        <v>2023</v>
      </c>
      <c r="J1699" t="s">
        <v>126</v>
      </c>
      <c r="K1699" t="s">
        <v>106</v>
      </c>
      <c r="L1699" t="s">
        <v>2072</v>
      </c>
      <c r="M1699" t="s">
        <v>2080</v>
      </c>
      <c r="N1699">
        <v>0</v>
      </c>
      <c r="O1699">
        <v>2023</v>
      </c>
      <c r="P1699">
        <v>497.90495550017158</v>
      </c>
      <c r="Q1699">
        <v>3.810497108419681</v>
      </c>
      <c r="R1699" t="s">
        <v>109</v>
      </c>
      <c r="S1699">
        <v>3.8</v>
      </c>
      <c r="T1699" t="s">
        <v>110</v>
      </c>
      <c r="U1699">
        <v>3.8</v>
      </c>
      <c r="V1699">
        <v>1698.9226347887429</v>
      </c>
      <c r="W1699">
        <v>13.00195893970977</v>
      </c>
      <c r="X1699" t="s">
        <v>111</v>
      </c>
      <c r="Y1699">
        <v>14.4</v>
      </c>
      <c r="Z1699">
        <v>0.28022105690055271</v>
      </c>
      <c r="AA1699">
        <v>31.536000000000001</v>
      </c>
    </row>
    <row r="1700" spans="1:27" hidden="1" x14ac:dyDescent="0.25">
      <c r="A1700" t="s">
        <v>98</v>
      </c>
      <c r="B1700" t="s">
        <v>674</v>
      </c>
      <c r="D1700" t="s">
        <v>1722</v>
      </c>
      <c r="E1700" t="s">
        <v>101</v>
      </c>
      <c r="F1700" t="s">
        <v>117</v>
      </c>
      <c r="G1700" t="s">
        <v>112</v>
      </c>
      <c r="H1700" t="s">
        <v>104</v>
      </c>
      <c r="I1700">
        <v>2023</v>
      </c>
      <c r="J1700" t="s">
        <v>128</v>
      </c>
      <c r="K1700" t="s">
        <v>106</v>
      </c>
      <c r="L1700" t="s">
        <v>2072</v>
      </c>
      <c r="M1700" t="s">
        <v>2081</v>
      </c>
      <c r="N1700">
        <v>0</v>
      </c>
      <c r="O1700">
        <v>2023</v>
      </c>
      <c r="P1700">
        <v>513.14694393385037</v>
      </c>
      <c r="Q1700">
        <v>3.810497108419681</v>
      </c>
      <c r="R1700" t="s">
        <v>109</v>
      </c>
      <c r="S1700">
        <v>4</v>
      </c>
      <c r="T1700" t="s">
        <v>110</v>
      </c>
      <c r="U1700">
        <v>4</v>
      </c>
      <c r="V1700">
        <v>1750.930470547582</v>
      </c>
      <c r="W1700">
        <v>13.00195893970977</v>
      </c>
      <c r="X1700" t="s">
        <v>111</v>
      </c>
      <c r="Y1700">
        <v>14.4</v>
      </c>
      <c r="Z1700">
        <v>0.28022105690055271</v>
      </c>
      <c r="AA1700">
        <v>31.536000000000001</v>
      </c>
    </row>
    <row r="1701" spans="1:27" hidden="1" x14ac:dyDescent="0.25">
      <c r="A1701" t="s">
        <v>98</v>
      </c>
      <c r="B1701" t="s">
        <v>674</v>
      </c>
      <c r="D1701" t="s">
        <v>1722</v>
      </c>
      <c r="E1701" t="s">
        <v>101</v>
      </c>
      <c r="F1701" t="s">
        <v>130</v>
      </c>
      <c r="G1701" t="s">
        <v>103</v>
      </c>
      <c r="H1701" t="s">
        <v>131</v>
      </c>
      <c r="I1701">
        <v>2022</v>
      </c>
      <c r="J1701" t="s">
        <v>132</v>
      </c>
      <c r="K1701" t="s">
        <v>133</v>
      </c>
      <c r="L1701" t="s">
        <v>2072</v>
      </c>
      <c r="M1701" t="s">
        <v>2082</v>
      </c>
      <c r="N1701">
        <v>1</v>
      </c>
      <c r="O1701">
        <v>2020</v>
      </c>
      <c r="P1701">
        <v>335.32374554093201</v>
      </c>
      <c r="Q1701">
        <v>6.3000218859205397</v>
      </c>
      <c r="R1701" t="s">
        <v>109</v>
      </c>
      <c r="S1701">
        <v>1.4</v>
      </c>
      <c r="T1701" t="s">
        <v>110</v>
      </c>
      <c r="U1701">
        <v>1.4</v>
      </c>
      <c r="V1701">
        <v>1144.172386694459</v>
      </c>
      <c r="W1701">
        <v>21.496572113653482</v>
      </c>
      <c r="X1701" t="s">
        <v>111</v>
      </c>
      <c r="Y1701">
        <v>15</v>
      </c>
      <c r="Z1701">
        <v>0.28022105690055271</v>
      </c>
      <c r="AA1701">
        <v>31.536000000000001</v>
      </c>
    </row>
    <row r="1702" spans="1:27" hidden="1" x14ac:dyDescent="0.25">
      <c r="A1702" t="s">
        <v>98</v>
      </c>
      <c r="B1702" t="s">
        <v>674</v>
      </c>
      <c r="D1702" t="s">
        <v>1722</v>
      </c>
      <c r="E1702" t="s">
        <v>101</v>
      </c>
      <c r="F1702" t="s">
        <v>135</v>
      </c>
      <c r="G1702" t="s">
        <v>103</v>
      </c>
      <c r="H1702" t="s">
        <v>136</v>
      </c>
      <c r="I1702">
        <v>2030</v>
      </c>
      <c r="J1702" t="s">
        <v>137</v>
      </c>
      <c r="K1702" t="s">
        <v>138</v>
      </c>
      <c r="L1702" t="s">
        <v>2072</v>
      </c>
      <c r="M1702" t="s">
        <v>2083</v>
      </c>
      <c r="N1702">
        <v>1</v>
      </c>
      <c r="O1702">
        <v>2030</v>
      </c>
      <c r="P1702">
        <v>55.186509846078152</v>
      </c>
      <c r="Q1702">
        <v>4.0294911951104666</v>
      </c>
      <c r="R1702" t="s">
        <v>109</v>
      </c>
      <c r="S1702">
        <v>0.87</v>
      </c>
      <c r="T1702" t="s">
        <v>110</v>
      </c>
      <c r="U1702">
        <v>0.87</v>
      </c>
      <c r="V1702">
        <v>188.30423291993449</v>
      </c>
      <c r="W1702">
        <v>13.749197959233321</v>
      </c>
      <c r="X1702" t="s">
        <v>111</v>
      </c>
      <c r="Y1702">
        <v>25</v>
      </c>
      <c r="Z1702">
        <v>0.28022105690055271</v>
      </c>
      <c r="AA1702">
        <v>31.536000000000001</v>
      </c>
    </row>
    <row r="1703" spans="1:27" hidden="1" x14ac:dyDescent="0.25">
      <c r="A1703" t="s">
        <v>98</v>
      </c>
      <c r="B1703" t="s">
        <v>674</v>
      </c>
      <c r="D1703" t="s">
        <v>1722</v>
      </c>
      <c r="E1703" t="s">
        <v>101</v>
      </c>
      <c r="F1703" t="s">
        <v>135</v>
      </c>
      <c r="G1703" t="s">
        <v>103</v>
      </c>
      <c r="H1703" t="s">
        <v>136</v>
      </c>
      <c r="I1703">
        <v>2040</v>
      </c>
      <c r="J1703" t="s">
        <v>140</v>
      </c>
      <c r="K1703" t="s">
        <v>138</v>
      </c>
      <c r="L1703" t="s">
        <v>2072</v>
      </c>
      <c r="M1703" t="s">
        <v>2084</v>
      </c>
      <c r="N1703">
        <v>1</v>
      </c>
      <c r="O1703">
        <v>2040</v>
      </c>
      <c r="P1703">
        <v>53.946363557402229</v>
      </c>
      <c r="Q1703">
        <v>3.9389408311754002</v>
      </c>
      <c r="R1703" t="s">
        <v>109</v>
      </c>
      <c r="S1703">
        <v>0.89</v>
      </c>
      <c r="T1703" t="s">
        <v>110</v>
      </c>
      <c r="U1703">
        <v>0.89</v>
      </c>
      <c r="V1703">
        <v>184.07267712398101</v>
      </c>
      <c r="W1703">
        <v>13.440227218576389</v>
      </c>
      <c r="X1703" t="s">
        <v>111</v>
      </c>
      <c r="Y1703">
        <v>25</v>
      </c>
      <c r="Z1703">
        <v>0.28022105690055271</v>
      </c>
      <c r="AA1703">
        <v>31.536000000000001</v>
      </c>
    </row>
    <row r="1704" spans="1:27" hidden="1" x14ac:dyDescent="0.25">
      <c r="A1704" t="s">
        <v>98</v>
      </c>
      <c r="B1704" t="s">
        <v>674</v>
      </c>
      <c r="D1704" t="s">
        <v>1722</v>
      </c>
      <c r="E1704" t="s">
        <v>142</v>
      </c>
      <c r="F1704" t="s">
        <v>102</v>
      </c>
      <c r="G1704" t="s">
        <v>103</v>
      </c>
      <c r="H1704" t="s">
        <v>104</v>
      </c>
      <c r="I1704">
        <v>2061</v>
      </c>
      <c r="J1704" t="s">
        <v>143</v>
      </c>
      <c r="K1704" t="s">
        <v>106</v>
      </c>
      <c r="L1704" t="s">
        <v>2085</v>
      </c>
      <c r="M1704" t="s">
        <v>2086</v>
      </c>
      <c r="N1704">
        <v>0</v>
      </c>
      <c r="O1704">
        <v>2061</v>
      </c>
      <c r="P1704">
        <v>117.0584711706526</v>
      </c>
      <c r="Q1704">
        <v>4.2000145906136934</v>
      </c>
      <c r="R1704" t="s">
        <v>109</v>
      </c>
      <c r="S1704">
        <v>3.2239155920281362</v>
      </c>
      <c r="T1704" t="s">
        <v>110</v>
      </c>
      <c r="U1704">
        <v>3.2239155920281362</v>
      </c>
      <c r="V1704">
        <v>399.42017862788401</v>
      </c>
      <c r="W1704">
        <v>14.33104807576899</v>
      </c>
      <c r="X1704" t="s">
        <v>111</v>
      </c>
      <c r="Y1704">
        <v>21</v>
      </c>
      <c r="Z1704">
        <v>0.14254576818118939</v>
      </c>
      <c r="AA1704">
        <v>31.536000000000001</v>
      </c>
    </row>
    <row r="1705" spans="1:27" hidden="1" x14ac:dyDescent="0.25">
      <c r="A1705" t="s">
        <v>98</v>
      </c>
      <c r="B1705" t="s">
        <v>674</v>
      </c>
      <c r="D1705" t="s">
        <v>1722</v>
      </c>
      <c r="E1705" t="s">
        <v>142</v>
      </c>
      <c r="F1705" t="s">
        <v>102</v>
      </c>
      <c r="G1705" t="s">
        <v>112</v>
      </c>
      <c r="H1705" t="s">
        <v>104</v>
      </c>
      <c r="I1705">
        <v>2022</v>
      </c>
      <c r="J1705" t="s">
        <v>146</v>
      </c>
      <c r="K1705" t="s">
        <v>106</v>
      </c>
      <c r="L1705" t="s">
        <v>2085</v>
      </c>
      <c r="M1705" t="s">
        <v>2087</v>
      </c>
      <c r="N1705">
        <v>1</v>
      </c>
      <c r="O1705">
        <v>2020</v>
      </c>
      <c r="P1705">
        <v>200.7885700942916</v>
      </c>
      <c r="Q1705">
        <v>4.2000145906136934</v>
      </c>
      <c r="R1705" t="s">
        <v>109</v>
      </c>
      <c r="S1705">
        <v>3.8393903868698711</v>
      </c>
      <c r="T1705" t="s">
        <v>110</v>
      </c>
      <c r="U1705">
        <v>3.8393903868698711</v>
      </c>
      <c r="V1705">
        <v>685.1192035182313</v>
      </c>
      <c r="W1705">
        <v>14.33104807576899</v>
      </c>
      <c r="X1705" t="s">
        <v>111</v>
      </c>
      <c r="Y1705">
        <v>21</v>
      </c>
      <c r="Z1705">
        <v>0.14254576818118939</v>
      </c>
      <c r="AA1705">
        <v>31.536000000000001</v>
      </c>
    </row>
    <row r="1706" spans="1:27" hidden="1" x14ac:dyDescent="0.25">
      <c r="A1706" t="s">
        <v>98</v>
      </c>
      <c r="B1706" t="s">
        <v>674</v>
      </c>
      <c r="D1706" t="s">
        <v>1722</v>
      </c>
      <c r="E1706" t="s">
        <v>142</v>
      </c>
      <c r="F1706" t="s">
        <v>102</v>
      </c>
      <c r="G1706" t="s">
        <v>103</v>
      </c>
      <c r="H1706" t="s">
        <v>104</v>
      </c>
      <c r="I1706">
        <v>2023</v>
      </c>
      <c r="J1706" t="s">
        <v>148</v>
      </c>
      <c r="K1706" t="s">
        <v>106</v>
      </c>
      <c r="L1706" t="s">
        <v>2085</v>
      </c>
      <c r="M1706" t="s">
        <v>2088</v>
      </c>
      <c r="N1706">
        <v>0</v>
      </c>
      <c r="O1706">
        <v>2023</v>
      </c>
      <c r="P1706">
        <v>135.73557542199771</v>
      </c>
      <c r="Q1706">
        <v>4.2000145906136934</v>
      </c>
      <c r="R1706" t="s">
        <v>109</v>
      </c>
      <c r="S1706">
        <v>3.4290738569753811</v>
      </c>
      <c r="T1706" t="s">
        <v>110</v>
      </c>
      <c r="U1706">
        <v>3.4290738569753811</v>
      </c>
      <c r="V1706">
        <v>463.14911888927151</v>
      </c>
      <c r="W1706">
        <v>14.33104807576899</v>
      </c>
      <c r="X1706" t="s">
        <v>111</v>
      </c>
      <c r="Y1706">
        <v>21</v>
      </c>
      <c r="Z1706">
        <v>0.14254576818118939</v>
      </c>
      <c r="AA1706">
        <v>31.536000000000001</v>
      </c>
    </row>
    <row r="1707" spans="1:27" hidden="1" x14ac:dyDescent="0.25">
      <c r="A1707" t="s">
        <v>98</v>
      </c>
      <c r="B1707" t="s">
        <v>674</v>
      </c>
      <c r="D1707" t="s">
        <v>1722</v>
      </c>
      <c r="E1707" t="s">
        <v>142</v>
      </c>
      <c r="F1707" t="s">
        <v>117</v>
      </c>
      <c r="G1707" t="s">
        <v>103</v>
      </c>
      <c r="H1707" t="s">
        <v>104</v>
      </c>
      <c r="I1707">
        <v>2033</v>
      </c>
      <c r="J1707" t="s">
        <v>150</v>
      </c>
      <c r="K1707" t="s">
        <v>106</v>
      </c>
      <c r="L1707" t="s">
        <v>2085</v>
      </c>
      <c r="M1707" t="s">
        <v>2089</v>
      </c>
      <c r="N1707">
        <v>0</v>
      </c>
      <c r="O1707">
        <v>2033</v>
      </c>
      <c r="P1707">
        <v>483.9331327692995</v>
      </c>
      <c r="Q1707">
        <v>3.810497108419681</v>
      </c>
      <c r="R1707" t="s">
        <v>109</v>
      </c>
      <c r="S1707">
        <v>5.0996483001172326</v>
      </c>
      <c r="T1707" t="s">
        <v>110</v>
      </c>
      <c r="U1707">
        <v>5.0996483001172326</v>
      </c>
      <c r="V1707">
        <v>1651.2487853431401</v>
      </c>
      <c r="W1707">
        <v>13.00195893970977</v>
      </c>
      <c r="X1707" t="s">
        <v>111</v>
      </c>
      <c r="Y1707">
        <v>14.4</v>
      </c>
      <c r="Z1707">
        <v>0.14254576818118939</v>
      </c>
      <c r="AA1707">
        <v>31.536000000000001</v>
      </c>
    </row>
    <row r="1708" spans="1:27" hidden="1" x14ac:dyDescent="0.25">
      <c r="A1708" t="s">
        <v>98</v>
      </c>
      <c r="B1708" t="s">
        <v>674</v>
      </c>
      <c r="D1708" t="s">
        <v>1722</v>
      </c>
      <c r="E1708" t="s">
        <v>142</v>
      </c>
      <c r="F1708" t="s">
        <v>117</v>
      </c>
      <c r="G1708" t="s">
        <v>67</v>
      </c>
      <c r="H1708" t="s">
        <v>104</v>
      </c>
      <c r="I1708">
        <v>2033</v>
      </c>
      <c r="J1708" t="s">
        <v>152</v>
      </c>
      <c r="K1708" t="s">
        <v>106</v>
      </c>
      <c r="L1708" t="s">
        <v>2085</v>
      </c>
      <c r="M1708" t="s">
        <v>2090</v>
      </c>
      <c r="N1708">
        <v>0</v>
      </c>
      <c r="O1708">
        <v>2033</v>
      </c>
      <c r="P1708">
        <v>497.90495550017158</v>
      </c>
      <c r="Q1708">
        <v>3.810497108419681</v>
      </c>
      <c r="R1708" t="s">
        <v>109</v>
      </c>
      <c r="S1708">
        <v>5.7737397420867529</v>
      </c>
      <c r="T1708" t="s">
        <v>110</v>
      </c>
      <c r="U1708">
        <v>5.7737397420867529</v>
      </c>
      <c r="V1708">
        <v>1698.9226347887429</v>
      </c>
      <c r="W1708">
        <v>13.00195893970977</v>
      </c>
      <c r="X1708" t="s">
        <v>111</v>
      </c>
      <c r="Y1708">
        <v>14.4</v>
      </c>
      <c r="Z1708">
        <v>0.14254576818118939</v>
      </c>
      <c r="AA1708">
        <v>31.536000000000001</v>
      </c>
    </row>
    <row r="1709" spans="1:27" hidden="1" x14ac:dyDescent="0.25">
      <c r="A1709" t="s">
        <v>98</v>
      </c>
      <c r="B1709" t="s">
        <v>674</v>
      </c>
      <c r="D1709" t="s">
        <v>1722</v>
      </c>
      <c r="E1709" t="s">
        <v>142</v>
      </c>
      <c r="F1709" t="s">
        <v>117</v>
      </c>
      <c r="G1709" t="s">
        <v>112</v>
      </c>
      <c r="H1709" t="s">
        <v>104</v>
      </c>
      <c r="I1709">
        <v>2033</v>
      </c>
      <c r="J1709" t="s">
        <v>154</v>
      </c>
      <c r="K1709" t="s">
        <v>106</v>
      </c>
      <c r="L1709" t="s">
        <v>2085</v>
      </c>
      <c r="M1709" t="s">
        <v>2091</v>
      </c>
      <c r="N1709">
        <v>0</v>
      </c>
      <c r="O1709">
        <v>2033</v>
      </c>
      <c r="P1709">
        <v>513.14694393385037</v>
      </c>
      <c r="Q1709">
        <v>3.810497108419681</v>
      </c>
      <c r="R1709" t="s">
        <v>109</v>
      </c>
      <c r="S1709">
        <v>6.4771395076201648</v>
      </c>
      <c r="T1709" t="s">
        <v>110</v>
      </c>
      <c r="U1709">
        <v>6.4771395076201648</v>
      </c>
      <c r="V1709">
        <v>1750.930470547582</v>
      </c>
      <c r="W1709">
        <v>13.00195893970977</v>
      </c>
      <c r="X1709" t="s">
        <v>111</v>
      </c>
      <c r="Y1709">
        <v>14.4</v>
      </c>
      <c r="Z1709">
        <v>0.14254576818118939</v>
      </c>
      <c r="AA1709">
        <v>31.536000000000001</v>
      </c>
    </row>
    <row r="1710" spans="1:27" hidden="1" x14ac:dyDescent="0.25">
      <c r="A1710" t="s">
        <v>98</v>
      </c>
      <c r="B1710" t="s">
        <v>674</v>
      </c>
      <c r="D1710" t="s">
        <v>1722</v>
      </c>
      <c r="E1710" t="s">
        <v>142</v>
      </c>
      <c r="F1710" t="s">
        <v>117</v>
      </c>
      <c r="G1710" t="s">
        <v>103</v>
      </c>
      <c r="H1710" t="s">
        <v>104</v>
      </c>
      <c r="I1710">
        <v>2023</v>
      </c>
      <c r="J1710" t="s">
        <v>156</v>
      </c>
      <c r="K1710" t="s">
        <v>106</v>
      </c>
      <c r="L1710" t="s">
        <v>2085</v>
      </c>
      <c r="M1710" t="s">
        <v>2092</v>
      </c>
      <c r="N1710">
        <v>0</v>
      </c>
      <c r="O1710">
        <v>2023</v>
      </c>
      <c r="P1710">
        <v>498.32834406777368</v>
      </c>
      <c r="Q1710">
        <v>3.810497108419681</v>
      </c>
      <c r="R1710" t="s">
        <v>109</v>
      </c>
      <c r="S1710">
        <v>3.833333333333333</v>
      </c>
      <c r="T1710" t="s">
        <v>110</v>
      </c>
      <c r="U1710">
        <v>3.833333333333333</v>
      </c>
      <c r="V1710">
        <v>1700.3672968931551</v>
      </c>
      <c r="W1710">
        <v>13.00195893970977</v>
      </c>
      <c r="X1710" t="s">
        <v>111</v>
      </c>
      <c r="Y1710">
        <v>14.4</v>
      </c>
      <c r="Z1710">
        <v>0.14254576818118939</v>
      </c>
      <c r="AA1710">
        <v>31.536000000000001</v>
      </c>
    </row>
    <row r="1711" spans="1:27" hidden="1" x14ac:dyDescent="0.25">
      <c r="A1711" t="s">
        <v>98</v>
      </c>
      <c r="B1711" t="s">
        <v>674</v>
      </c>
      <c r="D1711" t="s">
        <v>1722</v>
      </c>
      <c r="E1711" t="s">
        <v>142</v>
      </c>
      <c r="F1711" t="s">
        <v>130</v>
      </c>
      <c r="G1711" t="s">
        <v>103</v>
      </c>
      <c r="H1711" t="s">
        <v>131</v>
      </c>
      <c r="I1711">
        <v>2022</v>
      </c>
      <c r="J1711" t="s">
        <v>158</v>
      </c>
      <c r="K1711" t="s">
        <v>133</v>
      </c>
      <c r="L1711" t="s">
        <v>2085</v>
      </c>
      <c r="M1711" t="s">
        <v>2093</v>
      </c>
      <c r="N1711">
        <v>1</v>
      </c>
      <c r="O1711">
        <v>2020</v>
      </c>
      <c r="P1711">
        <v>335.32374554093201</v>
      </c>
      <c r="Q1711">
        <v>6.3000218859205397</v>
      </c>
      <c r="R1711" t="s">
        <v>109</v>
      </c>
      <c r="S1711">
        <v>1.2</v>
      </c>
      <c r="T1711" t="s">
        <v>110</v>
      </c>
      <c r="U1711">
        <v>1.2</v>
      </c>
      <c r="V1711">
        <v>1144.172386694459</v>
      </c>
      <c r="W1711">
        <v>21.496572113653482</v>
      </c>
      <c r="X1711" t="s">
        <v>111</v>
      </c>
      <c r="Y1711">
        <v>15</v>
      </c>
      <c r="Z1711">
        <v>0.14254576818118939</v>
      </c>
      <c r="AA1711">
        <v>31.536000000000001</v>
      </c>
    </row>
    <row r="1712" spans="1:27" hidden="1" x14ac:dyDescent="0.25">
      <c r="A1712" t="s">
        <v>98</v>
      </c>
      <c r="B1712" t="s">
        <v>674</v>
      </c>
      <c r="D1712" t="s">
        <v>1722</v>
      </c>
      <c r="E1712" t="s">
        <v>142</v>
      </c>
      <c r="F1712" t="s">
        <v>160</v>
      </c>
      <c r="G1712" t="s">
        <v>103</v>
      </c>
      <c r="H1712" t="s">
        <v>104</v>
      </c>
      <c r="I1712">
        <v>2030</v>
      </c>
      <c r="J1712" t="s">
        <v>161</v>
      </c>
      <c r="K1712" t="s">
        <v>106</v>
      </c>
      <c r="L1712" t="s">
        <v>2085</v>
      </c>
      <c r="M1712" t="s">
        <v>2094</v>
      </c>
      <c r="N1712">
        <v>1</v>
      </c>
      <c r="O1712">
        <v>2030</v>
      </c>
      <c r="P1712">
        <v>93.992262007685454</v>
      </c>
      <c r="Q1712">
        <v>4.3185633895423052</v>
      </c>
      <c r="R1712" t="s">
        <v>109</v>
      </c>
      <c r="S1712">
        <v>4.8178066132425448</v>
      </c>
      <c r="T1712" t="s">
        <v>110</v>
      </c>
      <c r="U1712">
        <v>4.8178066132425448</v>
      </c>
      <c r="V1712">
        <v>320.71498717950749</v>
      </c>
      <c r="W1712">
        <v>14.735553465004401</v>
      </c>
      <c r="X1712" t="s">
        <v>111</v>
      </c>
      <c r="Y1712">
        <v>20</v>
      </c>
      <c r="Z1712">
        <v>0.14254576818118939</v>
      </c>
      <c r="AA1712">
        <v>31.536000000000001</v>
      </c>
    </row>
    <row r="1713" spans="1:27" hidden="1" x14ac:dyDescent="0.25">
      <c r="A1713" t="s">
        <v>98</v>
      </c>
      <c r="B1713" t="s">
        <v>674</v>
      </c>
      <c r="D1713" t="s">
        <v>1722</v>
      </c>
      <c r="E1713" t="s">
        <v>142</v>
      </c>
      <c r="F1713" t="s">
        <v>160</v>
      </c>
      <c r="G1713" t="s">
        <v>112</v>
      </c>
      <c r="H1713" t="s">
        <v>104</v>
      </c>
      <c r="I1713">
        <v>2030</v>
      </c>
      <c r="J1713" t="s">
        <v>163</v>
      </c>
      <c r="K1713" t="s">
        <v>106</v>
      </c>
      <c r="L1713" t="s">
        <v>2085</v>
      </c>
      <c r="M1713" t="s">
        <v>2095</v>
      </c>
      <c r="N1713">
        <v>1</v>
      </c>
      <c r="O1713">
        <v>2030</v>
      </c>
      <c r="P1713">
        <v>104.15358763013791</v>
      </c>
      <c r="Q1713">
        <v>4.3185633895423052</v>
      </c>
      <c r="R1713" t="s">
        <v>109</v>
      </c>
      <c r="S1713">
        <v>5.1720570995103783</v>
      </c>
      <c r="T1713" t="s">
        <v>110</v>
      </c>
      <c r="U1713">
        <v>5.1720570995103783</v>
      </c>
      <c r="V1713">
        <v>355.38687768540018</v>
      </c>
      <c r="W1713">
        <v>14.735553465004401</v>
      </c>
      <c r="X1713" t="s">
        <v>111</v>
      </c>
      <c r="Y1713">
        <v>20</v>
      </c>
      <c r="Z1713">
        <v>0.14254576818118939</v>
      </c>
      <c r="AA1713">
        <v>31.536000000000001</v>
      </c>
    </row>
    <row r="1714" spans="1:27" hidden="1" x14ac:dyDescent="0.25">
      <c r="A1714" t="s">
        <v>98</v>
      </c>
      <c r="B1714" t="s">
        <v>674</v>
      </c>
      <c r="D1714" t="s">
        <v>1722</v>
      </c>
      <c r="E1714" t="s">
        <v>142</v>
      </c>
      <c r="F1714" t="s">
        <v>160</v>
      </c>
      <c r="G1714" t="s">
        <v>103</v>
      </c>
      <c r="H1714" t="s">
        <v>104</v>
      </c>
      <c r="I1714">
        <v>2040</v>
      </c>
      <c r="J1714" t="s">
        <v>165</v>
      </c>
      <c r="K1714" t="s">
        <v>106</v>
      </c>
      <c r="L1714" t="s">
        <v>2085</v>
      </c>
      <c r="M1714" t="s">
        <v>2096</v>
      </c>
      <c r="N1714">
        <v>1</v>
      </c>
      <c r="O1714">
        <v>2040</v>
      </c>
      <c r="P1714">
        <v>93.992262007685454</v>
      </c>
      <c r="Q1714">
        <v>4.3185633895423052</v>
      </c>
      <c r="R1714" t="s">
        <v>109</v>
      </c>
      <c r="S1714">
        <v>4.9535194755874059</v>
      </c>
      <c r="T1714" t="s">
        <v>110</v>
      </c>
      <c r="U1714">
        <v>4.9535194755874059</v>
      </c>
      <c r="V1714">
        <v>320.71498717950749</v>
      </c>
      <c r="W1714">
        <v>14.735553465004401</v>
      </c>
      <c r="X1714" t="s">
        <v>111</v>
      </c>
      <c r="Y1714">
        <v>20</v>
      </c>
      <c r="Z1714">
        <v>0.14254576818118939</v>
      </c>
      <c r="AA1714">
        <v>31.536000000000001</v>
      </c>
    </row>
    <row r="1715" spans="1:27" hidden="1" x14ac:dyDescent="0.25">
      <c r="A1715" t="s">
        <v>98</v>
      </c>
      <c r="B1715" t="s">
        <v>674</v>
      </c>
      <c r="D1715" t="s">
        <v>1722</v>
      </c>
      <c r="E1715" t="s">
        <v>142</v>
      </c>
      <c r="F1715" t="s">
        <v>160</v>
      </c>
      <c r="G1715" t="s">
        <v>112</v>
      </c>
      <c r="H1715" t="s">
        <v>104</v>
      </c>
      <c r="I1715">
        <v>2040</v>
      </c>
      <c r="J1715" t="s">
        <v>167</v>
      </c>
      <c r="K1715" t="s">
        <v>106</v>
      </c>
      <c r="L1715" t="s">
        <v>2085</v>
      </c>
      <c r="M1715" t="s">
        <v>2097</v>
      </c>
      <c r="N1715">
        <v>1</v>
      </c>
      <c r="O1715">
        <v>2040</v>
      </c>
      <c r="P1715">
        <v>104.15358763013791</v>
      </c>
      <c r="Q1715">
        <v>4.3185633895423052</v>
      </c>
      <c r="R1715" t="s">
        <v>109</v>
      </c>
      <c r="S1715">
        <v>5.4107674271800876</v>
      </c>
      <c r="T1715" t="s">
        <v>110</v>
      </c>
      <c r="U1715">
        <v>5.4107674271800876</v>
      </c>
      <c r="V1715">
        <v>355.38687768540018</v>
      </c>
      <c r="W1715">
        <v>14.735553465004401</v>
      </c>
      <c r="X1715" t="s">
        <v>111</v>
      </c>
      <c r="Y1715">
        <v>20</v>
      </c>
      <c r="Z1715">
        <v>0.14254576818118939</v>
      </c>
      <c r="AA1715">
        <v>31.536000000000001</v>
      </c>
    </row>
    <row r="1716" spans="1:27" hidden="1" x14ac:dyDescent="0.25">
      <c r="A1716" t="s">
        <v>98</v>
      </c>
      <c r="B1716" t="s">
        <v>674</v>
      </c>
      <c r="D1716" t="s">
        <v>1722</v>
      </c>
      <c r="E1716" t="s">
        <v>142</v>
      </c>
      <c r="F1716" t="s">
        <v>160</v>
      </c>
      <c r="G1716" t="s">
        <v>112</v>
      </c>
      <c r="H1716" t="s">
        <v>104</v>
      </c>
      <c r="I1716">
        <v>2022</v>
      </c>
      <c r="J1716" t="s">
        <v>169</v>
      </c>
      <c r="K1716" t="s">
        <v>106</v>
      </c>
      <c r="L1716" t="s">
        <v>2085</v>
      </c>
      <c r="M1716" t="s">
        <v>2098</v>
      </c>
      <c r="N1716">
        <v>1</v>
      </c>
      <c r="O1716">
        <v>2020</v>
      </c>
      <c r="P1716">
        <v>104.15358763013791</v>
      </c>
      <c r="Q1716">
        <v>4.3185633895423052</v>
      </c>
      <c r="R1716" t="s">
        <v>109</v>
      </c>
      <c r="S1716">
        <v>4.9886508193858967</v>
      </c>
      <c r="T1716" t="s">
        <v>110</v>
      </c>
      <c r="U1716">
        <v>4.9886508193858967</v>
      </c>
      <c r="V1716">
        <v>355.38687768540018</v>
      </c>
      <c r="W1716">
        <v>14.735553465004401</v>
      </c>
      <c r="X1716" t="s">
        <v>111</v>
      </c>
      <c r="Y1716">
        <v>20</v>
      </c>
      <c r="Z1716">
        <v>0.14254576818118939</v>
      </c>
      <c r="AA1716">
        <v>31.536000000000001</v>
      </c>
    </row>
    <row r="1717" spans="1:27" hidden="1" x14ac:dyDescent="0.25">
      <c r="A1717" t="s">
        <v>98</v>
      </c>
      <c r="B1717" t="s">
        <v>674</v>
      </c>
      <c r="D1717" t="s">
        <v>1722</v>
      </c>
      <c r="E1717" t="s">
        <v>142</v>
      </c>
      <c r="F1717" t="s">
        <v>171</v>
      </c>
      <c r="G1717" t="s">
        <v>172</v>
      </c>
      <c r="H1717" t="s">
        <v>104</v>
      </c>
      <c r="I1717">
        <v>2061</v>
      </c>
      <c r="J1717" t="s">
        <v>173</v>
      </c>
      <c r="K1717" t="s">
        <v>106</v>
      </c>
      <c r="L1717" t="s">
        <v>2085</v>
      </c>
      <c r="M1717" t="s">
        <v>2099</v>
      </c>
      <c r="N1717">
        <v>1</v>
      </c>
      <c r="O1717">
        <v>2061</v>
      </c>
      <c r="P1717">
        <v>90.181764899265772</v>
      </c>
      <c r="Q1717">
        <v>3.3024308272970568</v>
      </c>
      <c r="R1717" t="s">
        <v>109</v>
      </c>
      <c r="S1717">
        <v>4.1038492738238714</v>
      </c>
      <c r="T1717" t="s">
        <v>110</v>
      </c>
      <c r="U1717">
        <v>4.1038492738238714</v>
      </c>
      <c r="V1717">
        <v>307.71302823979772</v>
      </c>
      <c r="W1717">
        <v>11.26836441441513</v>
      </c>
      <c r="X1717" t="s">
        <v>111</v>
      </c>
      <c r="Y1717">
        <v>20</v>
      </c>
      <c r="Z1717">
        <v>0.14254576818118939</v>
      </c>
      <c r="AA1717">
        <v>31.536000000000001</v>
      </c>
    </row>
    <row r="1718" spans="1:27" hidden="1" x14ac:dyDescent="0.25">
      <c r="A1718" t="s">
        <v>98</v>
      </c>
      <c r="B1718" t="s">
        <v>674</v>
      </c>
      <c r="D1718" t="s">
        <v>1722</v>
      </c>
      <c r="E1718" t="s">
        <v>142</v>
      </c>
      <c r="F1718" t="s">
        <v>171</v>
      </c>
      <c r="G1718" t="s">
        <v>112</v>
      </c>
      <c r="H1718" t="s">
        <v>104</v>
      </c>
      <c r="I1718">
        <v>2022</v>
      </c>
      <c r="J1718" t="s">
        <v>175</v>
      </c>
      <c r="K1718" t="s">
        <v>106</v>
      </c>
      <c r="L1718" t="s">
        <v>2085</v>
      </c>
      <c r="M1718" t="s">
        <v>2100</v>
      </c>
      <c r="N1718">
        <v>1</v>
      </c>
      <c r="O1718">
        <v>2020</v>
      </c>
      <c r="P1718">
        <v>99.072924818911702</v>
      </c>
      <c r="Q1718">
        <v>3.3024308272970568</v>
      </c>
      <c r="R1718" t="s">
        <v>109</v>
      </c>
      <c r="S1718">
        <v>6.6358468446548251</v>
      </c>
      <c r="T1718" t="s">
        <v>110</v>
      </c>
      <c r="U1718">
        <v>6.6358468446548251</v>
      </c>
      <c r="V1718">
        <v>338.05093243245392</v>
      </c>
      <c r="W1718">
        <v>11.26836441441513</v>
      </c>
      <c r="X1718" t="s">
        <v>111</v>
      </c>
      <c r="Y1718">
        <v>20</v>
      </c>
      <c r="Z1718">
        <v>0.14254576818118939</v>
      </c>
      <c r="AA1718">
        <v>31.536000000000001</v>
      </c>
    </row>
    <row r="1719" spans="1:27" hidden="1" x14ac:dyDescent="0.25">
      <c r="A1719" t="s">
        <v>98</v>
      </c>
      <c r="B1719" t="s">
        <v>674</v>
      </c>
      <c r="D1719" t="s">
        <v>1722</v>
      </c>
      <c r="E1719" t="s">
        <v>142</v>
      </c>
      <c r="F1719" t="s">
        <v>171</v>
      </c>
      <c r="G1719" t="s">
        <v>103</v>
      </c>
      <c r="H1719" t="s">
        <v>104</v>
      </c>
      <c r="I1719">
        <v>2030</v>
      </c>
      <c r="J1719" t="s">
        <v>177</v>
      </c>
      <c r="K1719" t="s">
        <v>106</v>
      </c>
      <c r="L1719" t="s">
        <v>2085</v>
      </c>
      <c r="M1719" t="s">
        <v>2101</v>
      </c>
      <c r="N1719">
        <v>1</v>
      </c>
      <c r="O1719">
        <v>2030</v>
      </c>
      <c r="P1719">
        <v>90.181764899265772</v>
      </c>
      <c r="Q1719">
        <v>3.3024308272970568</v>
      </c>
      <c r="R1719" t="s">
        <v>109</v>
      </c>
      <c r="S1719">
        <v>4.8847205939820251</v>
      </c>
      <c r="T1719" t="s">
        <v>110</v>
      </c>
      <c r="U1719">
        <v>4.8847205939820251</v>
      </c>
      <c r="V1719">
        <v>307.71302823979772</v>
      </c>
      <c r="W1719">
        <v>11.26836441441513</v>
      </c>
      <c r="X1719" t="s">
        <v>111</v>
      </c>
      <c r="Y1719">
        <v>20</v>
      </c>
      <c r="Z1719">
        <v>0.14254576818118939</v>
      </c>
      <c r="AA1719">
        <v>31.536000000000001</v>
      </c>
    </row>
    <row r="1720" spans="1:27" hidden="1" x14ac:dyDescent="0.25">
      <c r="A1720" t="s">
        <v>98</v>
      </c>
      <c r="B1720" t="s">
        <v>674</v>
      </c>
      <c r="D1720" t="s">
        <v>1722</v>
      </c>
      <c r="E1720" t="s">
        <v>142</v>
      </c>
      <c r="F1720" t="s">
        <v>171</v>
      </c>
      <c r="G1720" t="s">
        <v>112</v>
      </c>
      <c r="H1720" t="s">
        <v>104</v>
      </c>
      <c r="I1720">
        <v>2030</v>
      </c>
      <c r="J1720" t="s">
        <v>179</v>
      </c>
      <c r="K1720" t="s">
        <v>106</v>
      </c>
      <c r="L1720" t="s">
        <v>2085</v>
      </c>
      <c r="M1720" t="s">
        <v>2102</v>
      </c>
      <c r="N1720">
        <v>1</v>
      </c>
      <c r="O1720">
        <v>2030</v>
      </c>
      <c r="P1720">
        <v>99.072924818911702</v>
      </c>
      <c r="Q1720">
        <v>3.3024308272970568</v>
      </c>
      <c r="R1720" t="s">
        <v>109</v>
      </c>
      <c r="S1720">
        <v>7.1775486278919534</v>
      </c>
      <c r="T1720" t="s">
        <v>110</v>
      </c>
      <c r="U1720">
        <v>7.1775486278919534</v>
      </c>
      <c r="V1720">
        <v>338.05093243245392</v>
      </c>
      <c r="W1720">
        <v>11.26836441441513</v>
      </c>
      <c r="X1720" t="s">
        <v>111</v>
      </c>
      <c r="Y1720">
        <v>20</v>
      </c>
      <c r="Z1720">
        <v>0.14254576818118939</v>
      </c>
      <c r="AA1720">
        <v>31.536000000000001</v>
      </c>
    </row>
    <row r="1721" spans="1:27" hidden="1" x14ac:dyDescent="0.25">
      <c r="A1721" t="s">
        <v>98</v>
      </c>
      <c r="B1721" t="s">
        <v>674</v>
      </c>
      <c r="D1721" t="s">
        <v>1722</v>
      </c>
      <c r="E1721" t="s">
        <v>142</v>
      </c>
      <c r="F1721" t="s">
        <v>171</v>
      </c>
      <c r="G1721" t="s">
        <v>103</v>
      </c>
      <c r="H1721" t="s">
        <v>104</v>
      </c>
      <c r="I1721">
        <v>2040</v>
      </c>
      <c r="J1721" t="s">
        <v>181</v>
      </c>
      <c r="K1721" t="s">
        <v>106</v>
      </c>
      <c r="L1721" t="s">
        <v>2085</v>
      </c>
      <c r="M1721" t="s">
        <v>2103</v>
      </c>
      <c r="N1721">
        <v>1</v>
      </c>
      <c r="O1721">
        <v>2040</v>
      </c>
      <c r="P1721">
        <v>90.181764899265772</v>
      </c>
      <c r="Q1721">
        <v>3.3024308272970568</v>
      </c>
      <c r="R1721" t="s">
        <v>109</v>
      </c>
      <c r="S1721">
        <v>5.1720570995103783</v>
      </c>
      <c r="T1721" t="s">
        <v>110</v>
      </c>
      <c r="U1721">
        <v>5.1720570995103783</v>
      </c>
      <c r="V1721">
        <v>307.71302823979772</v>
      </c>
      <c r="W1721">
        <v>11.26836441441513</v>
      </c>
      <c r="X1721" t="s">
        <v>111</v>
      </c>
      <c r="Y1721">
        <v>20</v>
      </c>
      <c r="Z1721">
        <v>0.14254576818118939</v>
      </c>
      <c r="AA1721">
        <v>31.536000000000001</v>
      </c>
    </row>
    <row r="1722" spans="1:27" hidden="1" x14ac:dyDescent="0.25">
      <c r="A1722" t="s">
        <v>98</v>
      </c>
      <c r="B1722" t="s">
        <v>674</v>
      </c>
      <c r="D1722" t="s">
        <v>1722</v>
      </c>
      <c r="E1722" t="s">
        <v>142</v>
      </c>
      <c r="F1722" t="s">
        <v>171</v>
      </c>
      <c r="G1722" t="s">
        <v>112</v>
      </c>
      <c r="H1722" t="s">
        <v>104</v>
      </c>
      <c r="I1722">
        <v>2040</v>
      </c>
      <c r="J1722" t="s">
        <v>183</v>
      </c>
      <c r="K1722" t="s">
        <v>106</v>
      </c>
      <c r="L1722" t="s">
        <v>2085</v>
      </c>
      <c r="M1722" t="s">
        <v>2104</v>
      </c>
      <c r="N1722">
        <v>1</v>
      </c>
      <c r="O1722">
        <v>2040</v>
      </c>
      <c r="P1722">
        <v>99.072924818911702</v>
      </c>
      <c r="Q1722">
        <v>3.3024308272970568</v>
      </c>
      <c r="R1722" t="s">
        <v>109</v>
      </c>
      <c r="S1722">
        <v>7.815552950371238</v>
      </c>
      <c r="T1722" t="s">
        <v>110</v>
      </c>
      <c r="U1722">
        <v>7.815552950371238</v>
      </c>
      <c r="V1722">
        <v>338.05093243245392</v>
      </c>
      <c r="W1722">
        <v>11.26836441441513</v>
      </c>
      <c r="X1722" t="s">
        <v>111</v>
      </c>
      <c r="Y1722">
        <v>20</v>
      </c>
      <c r="Z1722">
        <v>0.14254576818118939</v>
      </c>
      <c r="AA1722">
        <v>31.536000000000001</v>
      </c>
    </row>
    <row r="1723" spans="1:27" hidden="1" x14ac:dyDescent="0.25">
      <c r="A1723" t="s">
        <v>98</v>
      </c>
      <c r="B1723" t="s">
        <v>674</v>
      </c>
      <c r="D1723" t="s">
        <v>1722</v>
      </c>
      <c r="E1723" t="s">
        <v>142</v>
      </c>
      <c r="F1723" t="s">
        <v>185</v>
      </c>
      <c r="G1723" t="s">
        <v>112</v>
      </c>
      <c r="H1723" t="s">
        <v>104</v>
      </c>
      <c r="I1723">
        <v>2022</v>
      </c>
      <c r="J1723" t="s">
        <v>186</v>
      </c>
      <c r="K1723" t="s">
        <v>106</v>
      </c>
      <c r="L1723" t="s">
        <v>2085</v>
      </c>
      <c r="M1723" t="s">
        <v>2105</v>
      </c>
      <c r="N1723">
        <v>1</v>
      </c>
      <c r="O1723">
        <v>2020</v>
      </c>
      <c r="P1723">
        <v>97.802759116105136</v>
      </c>
      <c r="Q1723">
        <v>3.5564639678583689</v>
      </c>
      <c r="R1723" t="s">
        <v>109</v>
      </c>
      <c r="S1723">
        <v>4.4518972502114647</v>
      </c>
      <c r="T1723" t="s">
        <v>110</v>
      </c>
      <c r="U1723">
        <v>4.4518972502114647</v>
      </c>
      <c r="V1723">
        <v>333.71694611921731</v>
      </c>
      <c r="W1723">
        <v>12.135161677062451</v>
      </c>
      <c r="X1723" t="s">
        <v>111</v>
      </c>
      <c r="Y1723">
        <v>20</v>
      </c>
      <c r="Z1723">
        <v>0.14254576818118939</v>
      </c>
      <c r="AA1723">
        <v>31.536000000000001</v>
      </c>
    </row>
    <row r="1724" spans="1:27" hidden="1" x14ac:dyDescent="0.25">
      <c r="A1724" t="s">
        <v>98</v>
      </c>
      <c r="B1724" t="s">
        <v>674</v>
      </c>
      <c r="D1724" t="s">
        <v>1722</v>
      </c>
      <c r="E1724" t="s">
        <v>142</v>
      </c>
      <c r="F1724" t="s">
        <v>188</v>
      </c>
      <c r="G1724" t="s">
        <v>103</v>
      </c>
      <c r="H1724" t="s">
        <v>104</v>
      </c>
      <c r="I1724">
        <v>2030</v>
      </c>
      <c r="J1724" t="s">
        <v>189</v>
      </c>
      <c r="K1724" t="s">
        <v>106</v>
      </c>
      <c r="L1724" t="s">
        <v>2085</v>
      </c>
      <c r="M1724" t="s">
        <v>2106</v>
      </c>
      <c r="N1724">
        <v>1</v>
      </c>
      <c r="O1724">
        <v>2030</v>
      </c>
      <c r="P1724">
        <v>49.536462409455851</v>
      </c>
      <c r="Q1724">
        <v>3.0483976867357452</v>
      </c>
      <c r="R1724" t="s">
        <v>109</v>
      </c>
      <c r="S1724">
        <v>10.04856807904874</v>
      </c>
      <c r="T1724" t="s">
        <v>110</v>
      </c>
      <c r="U1724">
        <v>10.04856807904874</v>
      </c>
      <c r="V1724">
        <v>169.0254662162269</v>
      </c>
      <c r="W1724">
        <v>10.401567151767811</v>
      </c>
      <c r="X1724" t="s">
        <v>111</v>
      </c>
      <c r="Y1724">
        <v>25</v>
      </c>
      <c r="Z1724">
        <v>0.14254576818118939</v>
      </c>
      <c r="AA1724">
        <v>31.536000000000001</v>
      </c>
    </row>
    <row r="1725" spans="1:27" hidden="1" x14ac:dyDescent="0.25">
      <c r="A1725" t="s">
        <v>98</v>
      </c>
      <c r="B1725" t="s">
        <v>674</v>
      </c>
      <c r="D1725" t="s">
        <v>1722</v>
      </c>
      <c r="E1725" t="s">
        <v>142</v>
      </c>
      <c r="F1725" t="s">
        <v>188</v>
      </c>
      <c r="G1725" t="s">
        <v>112</v>
      </c>
      <c r="H1725" t="s">
        <v>104</v>
      </c>
      <c r="I1725">
        <v>2030</v>
      </c>
      <c r="J1725" t="s">
        <v>191</v>
      </c>
      <c r="K1725" t="s">
        <v>106</v>
      </c>
      <c r="L1725" t="s">
        <v>2085</v>
      </c>
      <c r="M1725" t="s">
        <v>2107</v>
      </c>
      <c r="N1725">
        <v>1</v>
      </c>
      <c r="O1725">
        <v>2030</v>
      </c>
      <c r="P1725">
        <v>64.778450843134578</v>
      </c>
      <c r="Q1725">
        <v>3.0483976867357452</v>
      </c>
      <c r="R1725" t="s">
        <v>109</v>
      </c>
      <c r="S1725">
        <v>13.02592158395206</v>
      </c>
      <c r="T1725" t="s">
        <v>110</v>
      </c>
      <c r="U1725">
        <v>13.02592158395206</v>
      </c>
      <c r="V1725">
        <v>221.033301975066</v>
      </c>
      <c r="W1725">
        <v>10.401567151767811</v>
      </c>
      <c r="X1725" t="s">
        <v>111</v>
      </c>
      <c r="Y1725">
        <v>25</v>
      </c>
      <c r="Z1725">
        <v>0.14254576818118939</v>
      </c>
      <c r="AA1725">
        <v>31.536000000000001</v>
      </c>
    </row>
    <row r="1726" spans="1:27" hidden="1" x14ac:dyDescent="0.25">
      <c r="A1726" t="s">
        <v>98</v>
      </c>
      <c r="B1726" t="s">
        <v>674</v>
      </c>
      <c r="D1726" t="s">
        <v>1722</v>
      </c>
      <c r="E1726" t="s">
        <v>142</v>
      </c>
      <c r="F1726" t="s">
        <v>188</v>
      </c>
      <c r="G1726" t="s">
        <v>103</v>
      </c>
      <c r="H1726" t="s">
        <v>104</v>
      </c>
      <c r="I1726">
        <v>2040</v>
      </c>
      <c r="J1726" t="s">
        <v>193</v>
      </c>
      <c r="K1726" t="s">
        <v>106</v>
      </c>
      <c r="L1726" t="s">
        <v>2085</v>
      </c>
      <c r="M1726" t="s">
        <v>2108</v>
      </c>
      <c r="N1726">
        <v>1</v>
      </c>
      <c r="O1726">
        <v>2040</v>
      </c>
      <c r="P1726">
        <v>49.536462409455851</v>
      </c>
      <c r="Q1726">
        <v>3.0483976867357452</v>
      </c>
      <c r="R1726" t="s">
        <v>109</v>
      </c>
      <c r="S1726">
        <v>10.34411419902076</v>
      </c>
      <c r="T1726" t="s">
        <v>110</v>
      </c>
      <c r="U1726">
        <v>10.34411419902076</v>
      </c>
      <c r="V1726">
        <v>169.0254662162269</v>
      </c>
      <c r="W1726">
        <v>10.401567151767811</v>
      </c>
      <c r="X1726" t="s">
        <v>111</v>
      </c>
      <c r="Y1726">
        <v>25</v>
      </c>
      <c r="Z1726">
        <v>0.14254576818118939</v>
      </c>
      <c r="AA1726">
        <v>31.536000000000001</v>
      </c>
    </row>
    <row r="1727" spans="1:27" hidden="1" x14ac:dyDescent="0.25">
      <c r="A1727" t="s">
        <v>98</v>
      </c>
      <c r="B1727" t="s">
        <v>674</v>
      </c>
      <c r="D1727" t="s">
        <v>1722</v>
      </c>
      <c r="E1727" t="s">
        <v>142</v>
      </c>
      <c r="F1727" t="s">
        <v>188</v>
      </c>
      <c r="G1727" t="s">
        <v>112</v>
      </c>
      <c r="H1727" t="s">
        <v>104</v>
      </c>
      <c r="I1727">
        <v>2040</v>
      </c>
      <c r="J1727" t="s">
        <v>195</v>
      </c>
      <c r="K1727" t="s">
        <v>106</v>
      </c>
      <c r="L1727" t="s">
        <v>2085</v>
      </c>
      <c r="M1727" t="s">
        <v>2109</v>
      </c>
      <c r="N1727">
        <v>1</v>
      </c>
      <c r="O1727">
        <v>2040</v>
      </c>
      <c r="P1727">
        <v>64.778450843134578</v>
      </c>
      <c r="Q1727">
        <v>3.0483976867357452</v>
      </c>
      <c r="R1727" t="s">
        <v>109</v>
      </c>
      <c r="S1727">
        <v>14.067995310668231</v>
      </c>
      <c r="T1727" t="s">
        <v>110</v>
      </c>
      <c r="U1727">
        <v>14.067995310668231</v>
      </c>
      <c r="V1727">
        <v>221.033301975066</v>
      </c>
      <c r="W1727">
        <v>10.401567151767811</v>
      </c>
      <c r="X1727" t="s">
        <v>111</v>
      </c>
      <c r="Y1727">
        <v>25</v>
      </c>
      <c r="Z1727">
        <v>0.14254576818118939</v>
      </c>
      <c r="AA1727">
        <v>31.536000000000001</v>
      </c>
    </row>
    <row r="1728" spans="1:27" hidden="1" x14ac:dyDescent="0.25">
      <c r="A1728" t="s">
        <v>98</v>
      </c>
      <c r="B1728" t="s">
        <v>674</v>
      </c>
      <c r="D1728" t="s">
        <v>1722</v>
      </c>
      <c r="E1728" t="s">
        <v>142</v>
      </c>
      <c r="F1728" t="s">
        <v>188</v>
      </c>
      <c r="G1728" t="s">
        <v>112</v>
      </c>
      <c r="H1728" t="s">
        <v>104</v>
      </c>
      <c r="I1728">
        <v>2022</v>
      </c>
      <c r="J1728" t="s">
        <v>197</v>
      </c>
      <c r="K1728" t="s">
        <v>106</v>
      </c>
      <c r="L1728" t="s">
        <v>2085</v>
      </c>
      <c r="M1728" t="s">
        <v>2110</v>
      </c>
      <c r="N1728">
        <v>1</v>
      </c>
      <c r="O1728">
        <v>2020</v>
      </c>
      <c r="P1728">
        <v>64.778450843134578</v>
      </c>
      <c r="Q1728">
        <v>3.0483976867357452</v>
      </c>
      <c r="R1728" t="s">
        <v>109</v>
      </c>
      <c r="S1728">
        <v>12.12758216436916</v>
      </c>
      <c r="T1728" t="s">
        <v>110</v>
      </c>
      <c r="U1728">
        <v>12.12758216436916</v>
      </c>
      <c r="V1728">
        <v>221.033301975066</v>
      </c>
      <c r="W1728">
        <v>10.401567151767811</v>
      </c>
      <c r="X1728" t="s">
        <v>111</v>
      </c>
      <c r="Y1728">
        <v>25</v>
      </c>
      <c r="Z1728">
        <v>0.14254576818118939</v>
      </c>
      <c r="AA1728">
        <v>31.536000000000001</v>
      </c>
    </row>
    <row r="1729" spans="1:27" hidden="1" x14ac:dyDescent="0.25">
      <c r="A1729" t="s">
        <v>98</v>
      </c>
      <c r="B1729" t="s">
        <v>674</v>
      </c>
      <c r="D1729" t="s">
        <v>1722</v>
      </c>
      <c r="E1729" t="s">
        <v>142</v>
      </c>
      <c r="F1729" t="s">
        <v>199</v>
      </c>
      <c r="G1729" t="s">
        <v>103</v>
      </c>
      <c r="H1729" t="s">
        <v>131</v>
      </c>
      <c r="I1729">
        <v>2030</v>
      </c>
      <c r="J1729" t="s">
        <v>200</v>
      </c>
      <c r="K1729" t="s">
        <v>133</v>
      </c>
      <c r="L1729" t="s">
        <v>2085</v>
      </c>
      <c r="M1729" t="s">
        <v>2111</v>
      </c>
      <c r="N1729">
        <v>1</v>
      </c>
      <c r="O1729">
        <v>2030</v>
      </c>
      <c r="P1729">
        <v>93.992262007685454</v>
      </c>
      <c r="Q1729">
        <v>2.7943645461744331</v>
      </c>
      <c r="R1729" t="s">
        <v>109</v>
      </c>
      <c r="S1729">
        <v>1.4</v>
      </c>
      <c r="T1729" t="s">
        <v>110</v>
      </c>
      <c r="U1729">
        <v>1.4</v>
      </c>
      <c r="V1729">
        <v>320.71498717950749</v>
      </c>
      <c r="W1729">
        <v>9.5347698891204935</v>
      </c>
      <c r="X1729" t="s">
        <v>111</v>
      </c>
      <c r="Y1729">
        <v>23</v>
      </c>
      <c r="Z1729">
        <v>0.14254576818118939</v>
      </c>
      <c r="AA1729">
        <v>31.536000000000001</v>
      </c>
    </row>
    <row r="1730" spans="1:27" hidden="1" x14ac:dyDescent="0.25">
      <c r="A1730" t="s">
        <v>98</v>
      </c>
      <c r="B1730" t="s">
        <v>674</v>
      </c>
      <c r="D1730" t="s">
        <v>1722</v>
      </c>
      <c r="E1730" t="s">
        <v>142</v>
      </c>
      <c r="F1730" t="s">
        <v>202</v>
      </c>
      <c r="G1730" t="s">
        <v>103</v>
      </c>
      <c r="H1730" t="s">
        <v>104</v>
      </c>
      <c r="I1730">
        <v>2023</v>
      </c>
      <c r="J1730" t="s">
        <v>203</v>
      </c>
      <c r="K1730" t="s">
        <v>106</v>
      </c>
      <c r="L1730" t="s">
        <v>2085</v>
      </c>
      <c r="M1730" t="s">
        <v>2112</v>
      </c>
      <c r="N1730">
        <v>1</v>
      </c>
      <c r="O1730">
        <v>2023</v>
      </c>
      <c r="P1730">
        <v>138.8714501735173</v>
      </c>
      <c r="Q1730">
        <v>4.2000145906136934</v>
      </c>
      <c r="R1730" t="s">
        <v>109</v>
      </c>
      <c r="S1730">
        <v>3.5756154747948421</v>
      </c>
      <c r="T1730" t="s">
        <v>110</v>
      </c>
      <c r="U1730">
        <v>3.5756154747948421</v>
      </c>
      <c r="V1730">
        <v>473.84917024720039</v>
      </c>
      <c r="W1730">
        <v>14.33104807576899</v>
      </c>
      <c r="X1730" t="s">
        <v>111</v>
      </c>
      <c r="Y1730">
        <v>21</v>
      </c>
      <c r="Z1730">
        <v>0.14254576818118939</v>
      </c>
      <c r="AA1730">
        <v>31.536000000000001</v>
      </c>
    </row>
    <row r="1731" spans="1:27" hidden="1" x14ac:dyDescent="0.25">
      <c r="A1731" t="s">
        <v>98</v>
      </c>
      <c r="B1731" t="s">
        <v>674</v>
      </c>
      <c r="D1731" t="s">
        <v>1722</v>
      </c>
      <c r="E1731" t="s">
        <v>142</v>
      </c>
      <c r="F1731" t="s">
        <v>202</v>
      </c>
      <c r="G1731" t="s">
        <v>112</v>
      </c>
      <c r="H1731" t="s">
        <v>104</v>
      </c>
      <c r="I1731">
        <v>2022</v>
      </c>
      <c r="J1731" t="s">
        <v>205</v>
      </c>
      <c r="K1731" t="s">
        <v>106</v>
      </c>
      <c r="L1731" t="s">
        <v>2085</v>
      </c>
      <c r="M1731" t="s">
        <v>2113</v>
      </c>
      <c r="N1731">
        <v>1</v>
      </c>
      <c r="O1731">
        <v>2020</v>
      </c>
      <c r="P1731">
        <v>201.87166903272271</v>
      </c>
      <c r="Q1731">
        <v>4.2000145906136934</v>
      </c>
      <c r="R1731" t="s">
        <v>109</v>
      </c>
      <c r="S1731">
        <v>3.7514654161781951</v>
      </c>
      <c r="T1731" t="s">
        <v>110</v>
      </c>
      <c r="U1731">
        <v>3.7514654161781951</v>
      </c>
      <c r="V1731">
        <v>688.81489138373513</v>
      </c>
      <c r="W1731">
        <v>14.33104807576899</v>
      </c>
      <c r="X1731" t="s">
        <v>111</v>
      </c>
      <c r="Y1731">
        <v>21</v>
      </c>
      <c r="Z1731">
        <v>0.14254576818118939</v>
      </c>
      <c r="AA1731">
        <v>31.536000000000001</v>
      </c>
    </row>
    <row r="1732" spans="1:27" hidden="1" x14ac:dyDescent="0.25">
      <c r="A1732" t="s">
        <v>98</v>
      </c>
      <c r="B1732" t="s">
        <v>674</v>
      </c>
      <c r="D1732" t="s">
        <v>1722</v>
      </c>
      <c r="E1732" t="s">
        <v>142</v>
      </c>
      <c r="F1732" t="s">
        <v>207</v>
      </c>
      <c r="G1732" t="s">
        <v>103</v>
      </c>
      <c r="H1732" t="s">
        <v>104</v>
      </c>
      <c r="I1732">
        <v>2030</v>
      </c>
      <c r="J1732" t="s">
        <v>208</v>
      </c>
      <c r="K1732" t="s">
        <v>106</v>
      </c>
      <c r="L1732" t="s">
        <v>2085</v>
      </c>
      <c r="M1732" t="s">
        <v>2114</v>
      </c>
      <c r="N1732">
        <v>0</v>
      </c>
      <c r="O1732">
        <v>2030</v>
      </c>
      <c r="P1732">
        <v>74.322838838509583</v>
      </c>
      <c r="Q1732">
        <v>1.219359074694298E-2</v>
      </c>
      <c r="R1732" t="s">
        <v>109</v>
      </c>
      <c r="S1732">
        <v>3.5902696365767879</v>
      </c>
      <c r="T1732" t="s">
        <v>110</v>
      </c>
      <c r="U1732">
        <v>3.5902696365767879</v>
      </c>
      <c r="V1732">
        <v>253.60011341452949</v>
      </c>
      <c r="W1732">
        <v>4.1606268607071263E-2</v>
      </c>
      <c r="X1732" t="s">
        <v>111</v>
      </c>
      <c r="Y1732">
        <v>9.5</v>
      </c>
      <c r="Z1732">
        <v>0.14254576818118939</v>
      </c>
      <c r="AA1732">
        <v>31.536000000000001</v>
      </c>
    </row>
    <row r="1733" spans="1:27" hidden="1" x14ac:dyDescent="0.25">
      <c r="A1733" t="s">
        <v>98</v>
      </c>
      <c r="B1733" t="s">
        <v>674</v>
      </c>
      <c r="D1733" t="s">
        <v>1722</v>
      </c>
      <c r="E1733" t="s">
        <v>142</v>
      </c>
      <c r="F1733" t="s">
        <v>207</v>
      </c>
      <c r="G1733" t="s">
        <v>112</v>
      </c>
      <c r="H1733" t="s">
        <v>104</v>
      </c>
      <c r="I1733">
        <v>2030</v>
      </c>
      <c r="J1733" t="s">
        <v>210</v>
      </c>
      <c r="K1733" t="s">
        <v>106</v>
      </c>
      <c r="L1733" t="s">
        <v>2085</v>
      </c>
      <c r="M1733" t="s">
        <v>2115</v>
      </c>
      <c r="N1733">
        <v>0</v>
      </c>
      <c r="O1733">
        <v>2030</v>
      </c>
      <c r="P1733">
        <v>81.871252158045721</v>
      </c>
      <c r="Q1733">
        <v>1.219359074694298E-2</v>
      </c>
      <c r="R1733" t="s">
        <v>109</v>
      </c>
      <c r="S1733">
        <v>3.8100820633059791</v>
      </c>
      <c r="T1733" t="s">
        <v>110</v>
      </c>
      <c r="U1733">
        <v>3.8100820633059791</v>
      </c>
      <c r="V1733">
        <v>279.35637493319268</v>
      </c>
      <c r="W1733">
        <v>4.1606268607071263E-2</v>
      </c>
      <c r="X1733" t="s">
        <v>111</v>
      </c>
      <c r="Y1733">
        <v>9.5</v>
      </c>
      <c r="Z1733">
        <v>0.14254576818118939</v>
      </c>
      <c r="AA1733">
        <v>31.536000000000001</v>
      </c>
    </row>
    <row r="1734" spans="1:27" hidden="1" x14ac:dyDescent="0.25">
      <c r="A1734" t="s">
        <v>98</v>
      </c>
      <c r="B1734" t="s">
        <v>674</v>
      </c>
      <c r="D1734" t="s">
        <v>1722</v>
      </c>
      <c r="E1734" t="s">
        <v>142</v>
      </c>
      <c r="F1734" t="s">
        <v>207</v>
      </c>
      <c r="G1734" t="s">
        <v>103</v>
      </c>
      <c r="H1734" t="s">
        <v>104</v>
      </c>
      <c r="I1734">
        <v>2040</v>
      </c>
      <c r="J1734" t="s">
        <v>212</v>
      </c>
      <c r="K1734" t="s">
        <v>106</v>
      </c>
      <c r="L1734" t="s">
        <v>2085</v>
      </c>
      <c r="M1734" t="s">
        <v>2116</v>
      </c>
      <c r="N1734">
        <v>0</v>
      </c>
      <c r="O1734">
        <v>2040</v>
      </c>
      <c r="P1734">
        <v>74.322838838509583</v>
      </c>
      <c r="Q1734">
        <v>1.219359074694298E-2</v>
      </c>
      <c r="R1734" t="s">
        <v>109</v>
      </c>
      <c r="S1734">
        <v>3.6635404454865181</v>
      </c>
      <c r="T1734" t="s">
        <v>110</v>
      </c>
      <c r="U1734">
        <v>3.6635404454865181</v>
      </c>
      <c r="V1734">
        <v>253.60011341452949</v>
      </c>
      <c r="W1734">
        <v>4.1606268607071263E-2</v>
      </c>
      <c r="X1734" t="s">
        <v>111</v>
      </c>
      <c r="Y1734">
        <v>9.5</v>
      </c>
      <c r="Z1734">
        <v>0.14254576818118939</v>
      </c>
      <c r="AA1734">
        <v>31.536000000000001</v>
      </c>
    </row>
    <row r="1735" spans="1:27" hidden="1" x14ac:dyDescent="0.25">
      <c r="A1735" t="s">
        <v>98</v>
      </c>
      <c r="B1735" t="s">
        <v>674</v>
      </c>
      <c r="D1735" t="s">
        <v>1722</v>
      </c>
      <c r="E1735" t="s">
        <v>142</v>
      </c>
      <c r="F1735" t="s">
        <v>207</v>
      </c>
      <c r="G1735" t="s">
        <v>112</v>
      </c>
      <c r="H1735" t="s">
        <v>104</v>
      </c>
      <c r="I1735">
        <v>2040</v>
      </c>
      <c r="J1735" t="s">
        <v>214</v>
      </c>
      <c r="K1735" t="s">
        <v>106</v>
      </c>
      <c r="L1735" t="s">
        <v>2085</v>
      </c>
      <c r="M1735" t="s">
        <v>2117</v>
      </c>
      <c r="N1735">
        <v>0</v>
      </c>
      <c r="O1735">
        <v>2040</v>
      </c>
      <c r="P1735">
        <v>81.871252158045721</v>
      </c>
      <c r="Q1735">
        <v>1.219359074694298E-2</v>
      </c>
      <c r="R1735" t="s">
        <v>109</v>
      </c>
      <c r="S1735">
        <v>3.9566236811254401</v>
      </c>
      <c r="T1735" t="s">
        <v>110</v>
      </c>
      <c r="U1735">
        <v>3.9566236811254401</v>
      </c>
      <c r="V1735">
        <v>279.35637493319268</v>
      </c>
      <c r="W1735">
        <v>4.1606268607071263E-2</v>
      </c>
      <c r="X1735" t="s">
        <v>111</v>
      </c>
      <c r="Y1735">
        <v>9.5</v>
      </c>
      <c r="Z1735">
        <v>0.14254576818118939</v>
      </c>
      <c r="AA1735">
        <v>31.536000000000001</v>
      </c>
    </row>
    <row r="1736" spans="1:27" hidden="1" x14ac:dyDescent="0.25">
      <c r="A1736" t="s">
        <v>98</v>
      </c>
      <c r="B1736" t="s">
        <v>674</v>
      </c>
      <c r="D1736" t="s">
        <v>1722</v>
      </c>
      <c r="E1736" t="s">
        <v>142</v>
      </c>
      <c r="F1736" t="s">
        <v>207</v>
      </c>
      <c r="G1736" t="s">
        <v>112</v>
      </c>
      <c r="H1736" t="s">
        <v>104</v>
      </c>
      <c r="I1736">
        <v>2022</v>
      </c>
      <c r="J1736" t="s">
        <v>216</v>
      </c>
      <c r="K1736" t="s">
        <v>106</v>
      </c>
      <c r="L1736" t="s">
        <v>2085</v>
      </c>
      <c r="M1736" t="s">
        <v>2118</v>
      </c>
      <c r="N1736">
        <v>1</v>
      </c>
      <c r="O1736">
        <v>2020</v>
      </c>
      <c r="P1736">
        <v>81.871252158045721</v>
      </c>
      <c r="Q1736">
        <v>1.219359074694298E-2</v>
      </c>
      <c r="R1736" t="s">
        <v>109</v>
      </c>
      <c r="S1736">
        <v>3.6635404454865181</v>
      </c>
      <c r="T1736" t="s">
        <v>110</v>
      </c>
      <c r="U1736">
        <v>3.6635404454865181</v>
      </c>
      <c r="V1736">
        <v>279.35637493319268</v>
      </c>
      <c r="W1736">
        <v>4.1606268607071263E-2</v>
      </c>
      <c r="X1736" t="s">
        <v>111</v>
      </c>
      <c r="Y1736">
        <v>9.5</v>
      </c>
      <c r="Z1736">
        <v>0.14254576818118939</v>
      </c>
      <c r="AA1736">
        <v>31.536000000000001</v>
      </c>
    </row>
    <row r="1737" spans="1:27" hidden="1" x14ac:dyDescent="0.25">
      <c r="A1737" t="s">
        <v>98</v>
      </c>
      <c r="B1737" t="s">
        <v>674</v>
      </c>
      <c r="D1737" t="s">
        <v>1722</v>
      </c>
      <c r="E1737" t="s">
        <v>142</v>
      </c>
      <c r="F1737" t="s">
        <v>218</v>
      </c>
      <c r="G1737" t="s">
        <v>219</v>
      </c>
      <c r="H1737" t="s">
        <v>104</v>
      </c>
      <c r="I1737">
        <v>2023</v>
      </c>
      <c r="J1737" t="s">
        <v>220</v>
      </c>
      <c r="K1737" t="s">
        <v>106</v>
      </c>
      <c r="L1737" t="s">
        <v>2085</v>
      </c>
      <c r="M1737" t="s">
        <v>2119</v>
      </c>
      <c r="N1737">
        <v>0</v>
      </c>
      <c r="O1737">
        <v>2023</v>
      </c>
      <c r="P1737">
        <v>144.5166310748798</v>
      </c>
      <c r="Q1737">
        <v>2.6193639382321958</v>
      </c>
      <c r="R1737" t="s">
        <v>109</v>
      </c>
      <c r="S1737">
        <v>4.6893317702227444</v>
      </c>
      <c r="T1737" t="s">
        <v>110</v>
      </c>
      <c r="U1737">
        <v>4.6893317702227444</v>
      </c>
      <c r="V1737">
        <v>493.11133163936307</v>
      </c>
      <c r="W1737">
        <v>8.937642885963454</v>
      </c>
      <c r="X1737" t="s">
        <v>111</v>
      </c>
      <c r="Y1737">
        <v>18</v>
      </c>
      <c r="Z1737">
        <v>0.14254576818118939</v>
      </c>
      <c r="AA1737">
        <v>31.536000000000001</v>
      </c>
    </row>
    <row r="1738" spans="1:27" hidden="1" x14ac:dyDescent="0.25">
      <c r="A1738" t="s">
        <v>98</v>
      </c>
      <c r="B1738" t="s">
        <v>674</v>
      </c>
      <c r="D1738" t="s">
        <v>1722</v>
      </c>
      <c r="E1738" t="s">
        <v>142</v>
      </c>
      <c r="F1738" t="s">
        <v>218</v>
      </c>
      <c r="G1738" t="s">
        <v>112</v>
      </c>
      <c r="H1738" t="s">
        <v>104</v>
      </c>
      <c r="I1738">
        <v>2022</v>
      </c>
      <c r="J1738" t="s">
        <v>222</v>
      </c>
      <c r="K1738" t="s">
        <v>106</v>
      </c>
      <c r="L1738" t="s">
        <v>2085</v>
      </c>
      <c r="M1738" t="s">
        <v>2120</v>
      </c>
      <c r="N1738">
        <v>1</v>
      </c>
      <c r="O1738">
        <v>2020</v>
      </c>
      <c r="P1738">
        <v>157.50054714801351</v>
      </c>
      <c r="Q1738">
        <v>2.455653692092683</v>
      </c>
      <c r="R1738" t="s">
        <v>109</v>
      </c>
      <c r="S1738">
        <v>4.835873388042204</v>
      </c>
      <c r="T1738" t="s">
        <v>110</v>
      </c>
      <c r="U1738">
        <v>4.835873388042204</v>
      </c>
      <c r="V1738">
        <v>537.41430284133696</v>
      </c>
      <c r="W1738">
        <v>8.3790402055907389</v>
      </c>
      <c r="X1738" t="s">
        <v>111</v>
      </c>
      <c r="Y1738">
        <v>18</v>
      </c>
      <c r="Z1738">
        <v>0.14254576818118939</v>
      </c>
      <c r="AA1738">
        <v>31.536000000000001</v>
      </c>
    </row>
    <row r="1739" spans="1:27" hidden="1" x14ac:dyDescent="0.25">
      <c r="A1739" t="s">
        <v>98</v>
      </c>
      <c r="B1739" t="s">
        <v>674</v>
      </c>
      <c r="D1739" t="s">
        <v>1722</v>
      </c>
      <c r="E1739" t="s">
        <v>142</v>
      </c>
      <c r="F1739" t="s">
        <v>218</v>
      </c>
      <c r="G1739" t="s">
        <v>103</v>
      </c>
      <c r="H1739" t="s">
        <v>104</v>
      </c>
      <c r="I1739">
        <v>2023</v>
      </c>
      <c r="J1739" t="s">
        <v>224</v>
      </c>
      <c r="K1739" t="s">
        <v>106</v>
      </c>
      <c r="L1739" t="s">
        <v>2085</v>
      </c>
      <c r="M1739" t="s">
        <v>2121</v>
      </c>
      <c r="N1739">
        <v>0</v>
      </c>
      <c r="O1739">
        <v>2023</v>
      </c>
      <c r="P1739">
        <v>125.3230160102473</v>
      </c>
      <c r="Q1739">
        <v>2.455653692092683</v>
      </c>
      <c r="R1739" t="s">
        <v>109</v>
      </c>
      <c r="S1739">
        <v>4.2203985932004704</v>
      </c>
      <c r="T1739" t="s">
        <v>110</v>
      </c>
      <c r="U1739">
        <v>4.2203985932004704</v>
      </c>
      <c r="V1739">
        <v>427.61998290601008</v>
      </c>
      <c r="W1739">
        <v>8.3790402055907389</v>
      </c>
      <c r="X1739" t="s">
        <v>111</v>
      </c>
      <c r="Y1739">
        <v>18</v>
      </c>
      <c r="Z1739">
        <v>0.14254576818118939</v>
      </c>
      <c r="AA1739">
        <v>31.536000000000001</v>
      </c>
    </row>
    <row r="1740" spans="1:27" x14ac:dyDescent="0.25">
      <c r="A1740" t="s">
        <v>98</v>
      </c>
      <c r="B1740" t="s">
        <v>674</v>
      </c>
      <c r="D1740" t="s">
        <v>1722</v>
      </c>
      <c r="E1740" t="s">
        <v>226</v>
      </c>
      <c r="F1740" t="s">
        <v>227</v>
      </c>
      <c r="G1740" t="s">
        <v>228</v>
      </c>
      <c r="H1740" t="s">
        <v>104</v>
      </c>
      <c r="I1740">
        <v>2023</v>
      </c>
      <c r="J1740" t="s">
        <v>229</v>
      </c>
      <c r="K1740" t="s">
        <v>106</v>
      </c>
      <c r="L1740" t="s">
        <v>2122</v>
      </c>
      <c r="M1740" t="s">
        <v>2123</v>
      </c>
      <c r="N1740">
        <v>1</v>
      </c>
      <c r="O1740">
        <v>2023</v>
      </c>
      <c r="P1740">
        <v>351.48905933689161</v>
      </c>
      <c r="Q1740">
        <v>0.67078064758948786</v>
      </c>
      <c r="R1740" t="s">
        <v>109</v>
      </c>
      <c r="S1740">
        <v>2.7</v>
      </c>
      <c r="T1740" t="s">
        <v>110</v>
      </c>
      <c r="U1740">
        <v>2.7</v>
      </c>
      <c r="V1740">
        <v>1199.3307401172131</v>
      </c>
      <c r="W1740">
        <v>2.2887991223610928</v>
      </c>
      <c r="X1740" t="s">
        <v>111</v>
      </c>
      <c r="Y1740">
        <v>20</v>
      </c>
      <c r="Z1740">
        <v>0.44</v>
      </c>
      <c r="AA1740">
        <v>31.536000000000001</v>
      </c>
    </row>
    <row r="1741" spans="1:27" x14ac:dyDescent="0.25">
      <c r="A1741" t="s">
        <v>98</v>
      </c>
      <c r="B1741" t="s">
        <v>674</v>
      </c>
      <c r="D1741" t="s">
        <v>1722</v>
      </c>
      <c r="E1741" t="s">
        <v>226</v>
      </c>
      <c r="F1741" t="s">
        <v>227</v>
      </c>
      <c r="G1741" t="s">
        <v>228</v>
      </c>
      <c r="H1741" t="s">
        <v>104</v>
      </c>
      <c r="I1741">
        <v>2024</v>
      </c>
      <c r="J1741" t="s">
        <v>232</v>
      </c>
      <c r="K1741" t="s">
        <v>106</v>
      </c>
      <c r="L1741" t="s">
        <v>2122</v>
      </c>
      <c r="M1741" t="s">
        <v>2124</v>
      </c>
      <c r="N1741">
        <v>1</v>
      </c>
      <c r="O1741">
        <v>2024</v>
      </c>
      <c r="P1741">
        <v>351.48905933689161</v>
      </c>
      <c r="Q1741">
        <v>0.67078064758948786</v>
      </c>
      <c r="R1741" t="s">
        <v>109</v>
      </c>
      <c r="S1741">
        <v>2.7</v>
      </c>
      <c r="T1741" t="s">
        <v>110</v>
      </c>
      <c r="U1741">
        <v>2.7</v>
      </c>
      <c r="V1741">
        <v>1199.3307401172131</v>
      </c>
      <c r="W1741">
        <v>2.2887991223610928</v>
      </c>
      <c r="X1741" t="s">
        <v>111</v>
      </c>
      <c r="Y1741">
        <v>20</v>
      </c>
      <c r="Z1741">
        <v>0.44</v>
      </c>
      <c r="AA1741">
        <v>31.536000000000001</v>
      </c>
    </row>
    <row r="1742" spans="1:27" x14ac:dyDescent="0.25">
      <c r="A1742" t="s">
        <v>98</v>
      </c>
      <c r="B1742" t="s">
        <v>674</v>
      </c>
      <c r="D1742" t="s">
        <v>1722</v>
      </c>
      <c r="E1742" t="s">
        <v>226</v>
      </c>
      <c r="F1742" t="s">
        <v>227</v>
      </c>
      <c r="G1742" t="s">
        <v>228</v>
      </c>
      <c r="H1742" t="s">
        <v>104</v>
      </c>
      <c r="I1742">
        <v>2025</v>
      </c>
      <c r="J1742" t="s">
        <v>234</v>
      </c>
      <c r="K1742" t="s">
        <v>106</v>
      </c>
      <c r="L1742" t="s">
        <v>2122</v>
      </c>
      <c r="M1742" t="s">
        <v>2125</v>
      </c>
      <c r="N1742">
        <v>1</v>
      </c>
      <c r="O1742">
        <v>2025</v>
      </c>
      <c r="P1742">
        <v>351.48905933689161</v>
      </c>
      <c r="Q1742">
        <v>0.67078064758948786</v>
      </c>
      <c r="R1742" t="s">
        <v>109</v>
      </c>
      <c r="S1742">
        <v>2.7</v>
      </c>
      <c r="T1742" t="s">
        <v>110</v>
      </c>
      <c r="U1742">
        <v>2.7</v>
      </c>
      <c r="V1742">
        <v>1199.3307401172131</v>
      </c>
      <c r="W1742">
        <v>2.2887991223610928</v>
      </c>
      <c r="X1742" t="s">
        <v>111</v>
      </c>
      <c r="Y1742">
        <v>20</v>
      </c>
      <c r="Z1742">
        <v>0.44</v>
      </c>
      <c r="AA1742">
        <v>31.536000000000001</v>
      </c>
    </row>
    <row r="1743" spans="1:27" x14ac:dyDescent="0.25">
      <c r="A1743" t="s">
        <v>98</v>
      </c>
      <c r="B1743" t="s">
        <v>674</v>
      </c>
      <c r="D1743" t="s">
        <v>1722</v>
      </c>
      <c r="E1743" t="s">
        <v>226</v>
      </c>
      <c r="F1743" t="s">
        <v>227</v>
      </c>
      <c r="G1743" t="s">
        <v>228</v>
      </c>
      <c r="H1743" t="s">
        <v>104</v>
      </c>
      <c r="I1743">
        <v>2026</v>
      </c>
      <c r="J1743" t="s">
        <v>236</v>
      </c>
      <c r="K1743" t="s">
        <v>106</v>
      </c>
      <c r="L1743" t="s">
        <v>2122</v>
      </c>
      <c r="M1743" t="s">
        <v>2126</v>
      </c>
      <c r="N1743">
        <v>1</v>
      </c>
      <c r="O1743">
        <v>2026</v>
      </c>
      <c r="P1743">
        <v>351.48905933689161</v>
      </c>
      <c r="Q1743">
        <v>0.67078064758948786</v>
      </c>
      <c r="R1743" t="s">
        <v>109</v>
      </c>
      <c r="S1743">
        <v>2.7</v>
      </c>
      <c r="T1743" t="s">
        <v>110</v>
      </c>
      <c r="U1743">
        <v>2.7</v>
      </c>
      <c r="V1743">
        <v>1199.3307401172131</v>
      </c>
      <c r="W1743">
        <v>2.2887991223610928</v>
      </c>
      <c r="X1743" t="s">
        <v>111</v>
      </c>
      <c r="Y1743">
        <v>20</v>
      </c>
      <c r="Z1743">
        <v>0.44</v>
      </c>
      <c r="AA1743">
        <v>31.536000000000001</v>
      </c>
    </row>
    <row r="1744" spans="1:27" x14ac:dyDescent="0.25">
      <c r="A1744" t="s">
        <v>98</v>
      </c>
      <c r="B1744" t="s">
        <v>674</v>
      </c>
      <c r="D1744" t="s">
        <v>1722</v>
      </c>
      <c r="E1744" t="s">
        <v>226</v>
      </c>
      <c r="F1744" t="s">
        <v>227</v>
      </c>
      <c r="G1744" t="s">
        <v>228</v>
      </c>
      <c r="H1744" t="s">
        <v>104</v>
      </c>
      <c r="I1744">
        <v>2027</v>
      </c>
      <c r="J1744" t="s">
        <v>238</v>
      </c>
      <c r="K1744" t="s">
        <v>106</v>
      </c>
      <c r="L1744" t="s">
        <v>2122</v>
      </c>
      <c r="M1744" t="s">
        <v>2127</v>
      </c>
      <c r="N1744">
        <v>1</v>
      </c>
      <c r="O1744">
        <v>2027</v>
      </c>
      <c r="P1744">
        <v>351.48905933689161</v>
      </c>
      <c r="Q1744">
        <v>0.67078064758948786</v>
      </c>
      <c r="R1744" t="s">
        <v>109</v>
      </c>
      <c r="S1744">
        <v>2.7</v>
      </c>
      <c r="T1744" t="s">
        <v>110</v>
      </c>
      <c r="U1744">
        <v>2.7</v>
      </c>
      <c r="V1744">
        <v>1199.3307401172131</v>
      </c>
      <c r="W1744">
        <v>2.2887991223610928</v>
      </c>
      <c r="X1744" t="s">
        <v>111</v>
      </c>
      <c r="Y1744">
        <v>20</v>
      </c>
      <c r="Z1744">
        <v>0.44</v>
      </c>
      <c r="AA1744">
        <v>31.536000000000001</v>
      </c>
    </row>
    <row r="1745" spans="1:27" x14ac:dyDescent="0.25">
      <c r="A1745" t="s">
        <v>98</v>
      </c>
      <c r="B1745" t="s">
        <v>674</v>
      </c>
      <c r="D1745" t="s">
        <v>1722</v>
      </c>
      <c r="E1745" t="s">
        <v>226</v>
      </c>
      <c r="F1745" t="s">
        <v>240</v>
      </c>
      <c r="G1745" t="s">
        <v>103</v>
      </c>
      <c r="H1745" t="s">
        <v>104</v>
      </c>
      <c r="I1745">
        <v>2022</v>
      </c>
      <c r="J1745" t="s">
        <v>241</v>
      </c>
      <c r="K1745" t="s">
        <v>106</v>
      </c>
      <c r="L1745" t="s">
        <v>2122</v>
      </c>
      <c r="M1745" t="s">
        <v>2128</v>
      </c>
      <c r="N1745">
        <v>1</v>
      </c>
      <c r="O1745">
        <v>2020</v>
      </c>
      <c r="P1745">
        <v>364.1638033744108</v>
      </c>
      <c r="Q1745">
        <v>0.71474740603417231</v>
      </c>
      <c r="R1745" t="s">
        <v>109</v>
      </c>
      <c r="S1745">
        <v>3.9</v>
      </c>
      <c r="T1745" t="s">
        <v>110</v>
      </c>
      <c r="U1745">
        <v>3.9</v>
      </c>
      <c r="V1745">
        <v>1242.578772292075</v>
      </c>
      <c r="W1745">
        <v>2.4388199652445048</v>
      </c>
      <c r="X1745" t="s">
        <v>111</v>
      </c>
      <c r="Y1745">
        <v>15</v>
      </c>
      <c r="Z1745">
        <v>0.44</v>
      </c>
      <c r="AA1745">
        <v>31.536000000000001</v>
      </c>
    </row>
    <row r="1746" spans="1:27" hidden="1" x14ac:dyDescent="0.25">
      <c r="A1746" t="s">
        <v>98</v>
      </c>
      <c r="B1746" t="s">
        <v>674</v>
      </c>
      <c r="D1746" t="s">
        <v>1722</v>
      </c>
      <c r="E1746" t="s">
        <v>243</v>
      </c>
      <c r="F1746" t="s">
        <v>244</v>
      </c>
      <c r="G1746" t="s">
        <v>245</v>
      </c>
      <c r="H1746" t="s">
        <v>104</v>
      </c>
      <c r="I1746">
        <v>2022</v>
      </c>
      <c r="J1746" t="s">
        <v>246</v>
      </c>
      <c r="K1746" t="s">
        <v>106</v>
      </c>
      <c r="L1746" t="s">
        <v>2129</v>
      </c>
      <c r="M1746" t="s">
        <v>2130</v>
      </c>
      <c r="N1746">
        <v>1</v>
      </c>
      <c r="O1746">
        <v>2020</v>
      </c>
      <c r="P1746">
        <v>5418.3180362120765</v>
      </c>
      <c r="Q1746">
        <v>63.780978532496562</v>
      </c>
      <c r="R1746" t="s">
        <v>249</v>
      </c>
      <c r="S1746">
        <v>0.41325750353930962</v>
      </c>
      <c r="T1746" t="s">
        <v>250</v>
      </c>
      <c r="U1746">
        <v>1</v>
      </c>
      <c r="V1746">
        <v>7640.3348848129563</v>
      </c>
      <c r="W1746">
        <v>89.937141380872987</v>
      </c>
      <c r="X1746" t="s">
        <v>111</v>
      </c>
      <c r="Y1746">
        <v>20</v>
      </c>
      <c r="Z1746">
        <v>0.44</v>
      </c>
      <c r="AA1746">
        <v>31.536000000000001</v>
      </c>
    </row>
    <row r="1747" spans="1:27" hidden="1" x14ac:dyDescent="0.25">
      <c r="A1747" t="s">
        <v>98</v>
      </c>
      <c r="B1747" t="s">
        <v>674</v>
      </c>
      <c r="D1747" t="s">
        <v>1722</v>
      </c>
      <c r="E1747" t="s">
        <v>243</v>
      </c>
      <c r="F1747" t="s">
        <v>244</v>
      </c>
      <c r="G1747" t="s">
        <v>103</v>
      </c>
      <c r="H1747" t="s">
        <v>104</v>
      </c>
      <c r="I1747">
        <v>2022</v>
      </c>
      <c r="J1747" t="s">
        <v>251</v>
      </c>
      <c r="K1747" t="s">
        <v>106</v>
      </c>
      <c r="L1747" t="s">
        <v>2129</v>
      </c>
      <c r="M1747" t="s">
        <v>2131</v>
      </c>
      <c r="N1747">
        <v>1</v>
      </c>
      <c r="O1747">
        <v>2020</v>
      </c>
      <c r="P1747">
        <v>5667.3116722418044</v>
      </c>
      <c r="Q1747">
        <v>63.780978532496562</v>
      </c>
      <c r="R1747" t="s">
        <v>249</v>
      </c>
      <c r="S1747">
        <v>0.43508713487380868</v>
      </c>
      <c r="T1747" t="s">
        <v>250</v>
      </c>
      <c r="U1747">
        <v>1.052823315118397</v>
      </c>
      <c r="V1747">
        <v>7991.4391852139524</v>
      </c>
      <c r="W1747">
        <v>89.937141380873001</v>
      </c>
      <c r="X1747" t="s">
        <v>111</v>
      </c>
      <c r="Y1747">
        <v>20</v>
      </c>
      <c r="Z1747">
        <v>0.44</v>
      </c>
      <c r="AA1747">
        <v>31.536000000000001</v>
      </c>
    </row>
    <row r="1748" spans="1:27" hidden="1" x14ac:dyDescent="0.25">
      <c r="A1748" t="s">
        <v>98</v>
      </c>
      <c r="B1748" t="s">
        <v>674</v>
      </c>
      <c r="D1748" t="s">
        <v>1722</v>
      </c>
      <c r="E1748" t="s">
        <v>243</v>
      </c>
      <c r="F1748" t="s">
        <v>244</v>
      </c>
      <c r="G1748" t="s">
        <v>112</v>
      </c>
      <c r="H1748" t="s">
        <v>104</v>
      </c>
      <c r="I1748">
        <v>2022</v>
      </c>
      <c r="J1748" t="s">
        <v>253</v>
      </c>
      <c r="K1748" t="s">
        <v>106</v>
      </c>
      <c r="L1748" t="s">
        <v>2129</v>
      </c>
      <c r="M1748" t="s">
        <v>2132</v>
      </c>
      <c r="N1748">
        <v>1</v>
      </c>
      <c r="O1748">
        <v>2020</v>
      </c>
      <c r="P1748">
        <v>5911.8706390075113</v>
      </c>
      <c r="Q1748">
        <v>63.780978532496562</v>
      </c>
      <c r="R1748" t="s">
        <v>249</v>
      </c>
      <c r="S1748">
        <v>0.44315925240393511</v>
      </c>
      <c r="T1748" t="s">
        <v>250</v>
      </c>
      <c r="U1748">
        <v>1.0723562152133581</v>
      </c>
      <c r="V1748">
        <v>8336.2901874412255</v>
      </c>
      <c r="W1748">
        <v>89.937141380873001</v>
      </c>
      <c r="X1748" t="s">
        <v>111</v>
      </c>
      <c r="Y1748">
        <v>20</v>
      </c>
      <c r="Z1748">
        <v>0.44</v>
      </c>
      <c r="AA1748">
        <v>31.536000000000001</v>
      </c>
    </row>
    <row r="1749" spans="1:27" hidden="1" x14ac:dyDescent="0.25">
      <c r="A1749" t="s">
        <v>98</v>
      </c>
      <c r="B1749" t="s">
        <v>674</v>
      </c>
      <c r="D1749" t="s">
        <v>1722</v>
      </c>
      <c r="E1749" t="s">
        <v>243</v>
      </c>
      <c r="F1749" t="s">
        <v>244</v>
      </c>
      <c r="G1749" t="s">
        <v>103</v>
      </c>
      <c r="H1749" t="s">
        <v>104</v>
      </c>
      <c r="I1749">
        <v>2030</v>
      </c>
      <c r="J1749" t="s">
        <v>255</v>
      </c>
      <c r="K1749" t="s">
        <v>106</v>
      </c>
      <c r="L1749" t="s">
        <v>2129</v>
      </c>
      <c r="M1749" t="s">
        <v>2133</v>
      </c>
      <c r="N1749">
        <v>1</v>
      </c>
      <c r="O1749">
        <v>2030</v>
      </c>
      <c r="P1749">
        <v>5667.3116722418044</v>
      </c>
      <c r="Q1749">
        <v>63.780978532496562</v>
      </c>
      <c r="R1749" t="s">
        <v>249</v>
      </c>
      <c r="S1749">
        <v>0.43508713487380868</v>
      </c>
      <c r="T1749" t="s">
        <v>250</v>
      </c>
      <c r="U1749">
        <v>1.052823315118397</v>
      </c>
      <c r="V1749">
        <v>7991.4391852139524</v>
      </c>
      <c r="W1749">
        <v>89.937141380873001</v>
      </c>
      <c r="X1749" t="s">
        <v>111</v>
      </c>
      <c r="Y1749">
        <v>20</v>
      </c>
      <c r="Z1749">
        <v>0.44</v>
      </c>
      <c r="AA1749">
        <v>31.536000000000001</v>
      </c>
    </row>
    <row r="1750" spans="1:27" hidden="1" x14ac:dyDescent="0.25">
      <c r="A1750" t="s">
        <v>98</v>
      </c>
      <c r="B1750" t="s">
        <v>674</v>
      </c>
      <c r="D1750" t="s">
        <v>1722</v>
      </c>
      <c r="E1750" t="s">
        <v>243</v>
      </c>
      <c r="F1750" t="s">
        <v>244</v>
      </c>
      <c r="G1750" t="s">
        <v>112</v>
      </c>
      <c r="H1750" t="s">
        <v>104</v>
      </c>
      <c r="I1750">
        <v>2030</v>
      </c>
      <c r="J1750" t="s">
        <v>257</v>
      </c>
      <c r="K1750" t="s">
        <v>106</v>
      </c>
      <c r="L1750" t="s">
        <v>2129</v>
      </c>
      <c r="M1750" t="s">
        <v>2134</v>
      </c>
      <c r="N1750">
        <v>1</v>
      </c>
      <c r="O1750">
        <v>2030</v>
      </c>
      <c r="P1750">
        <v>5911.8706390075113</v>
      </c>
      <c r="Q1750">
        <v>63.780978532496562</v>
      </c>
      <c r="R1750" t="s">
        <v>249</v>
      </c>
      <c r="S1750">
        <v>0.44315925240393511</v>
      </c>
      <c r="T1750" t="s">
        <v>250</v>
      </c>
      <c r="U1750">
        <v>1.0723562152133581</v>
      </c>
      <c r="V1750">
        <v>8336.2901874412255</v>
      </c>
      <c r="W1750">
        <v>89.937141380873001</v>
      </c>
      <c r="X1750" t="s">
        <v>111</v>
      </c>
      <c r="Y1750">
        <v>20</v>
      </c>
      <c r="Z1750">
        <v>0.44</v>
      </c>
      <c r="AA1750">
        <v>31.536000000000001</v>
      </c>
    </row>
    <row r="1751" spans="1:27" hidden="1" x14ac:dyDescent="0.25">
      <c r="A1751" t="s">
        <v>98</v>
      </c>
      <c r="B1751" t="s">
        <v>674</v>
      </c>
      <c r="D1751" t="s">
        <v>1722</v>
      </c>
      <c r="E1751" t="s">
        <v>243</v>
      </c>
      <c r="F1751" t="s">
        <v>244</v>
      </c>
      <c r="G1751" t="s">
        <v>103</v>
      </c>
      <c r="H1751" t="s">
        <v>104</v>
      </c>
      <c r="I1751">
        <v>2040</v>
      </c>
      <c r="J1751" t="s">
        <v>259</v>
      </c>
      <c r="K1751" t="s">
        <v>106</v>
      </c>
      <c r="L1751" t="s">
        <v>2129</v>
      </c>
      <c r="M1751" t="s">
        <v>2135</v>
      </c>
      <c r="N1751">
        <v>1</v>
      </c>
      <c r="O1751">
        <v>2040</v>
      </c>
      <c r="P1751">
        <v>5667.3116722418044</v>
      </c>
      <c r="Q1751">
        <v>63.780978532496562</v>
      </c>
      <c r="R1751" t="s">
        <v>249</v>
      </c>
      <c r="S1751">
        <v>0.43508713487380868</v>
      </c>
      <c r="T1751" t="s">
        <v>250</v>
      </c>
      <c r="U1751">
        <v>1.052823315118397</v>
      </c>
      <c r="V1751">
        <v>7991.4391852139524</v>
      </c>
      <c r="W1751">
        <v>89.937141380873001</v>
      </c>
      <c r="X1751" t="s">
        <v>111</v>
      </c>
      <c r="Y1751">
        <v>20</v>
      </c>
      <c r="Z1751">
        <v>0.44</v>
      </c>
      <c r="AA1751">
        <v>31.536000000000001</v>
      </c>
    </row>
    <row r="1752" spans="1:27" hidden="1" x14ac:dyDescent="0.25">
      <c r="A1752" t="s">
        <v>98</v>
      </c>
      <c r="B1752" t="s">
        <v>674</v>
      </c>
      <c r="D1752" t="s">
        <v>1722</v>
      </c>
      <c r="E1752" t="s">
        <v>243</v>
      </c>
      <c r="F1752" t="s">
        <v>244</v>
      </c>
      <c r="G1752" t="s">
        <v>112</v>
      </c>
      <c r="H1752" t="s">
        <v>104</v>
      </c>
      <c r="I1752">
        <v>2040</v>
      </c>
      <c r="J1752" t="s">
        <v>261</v>
      </c>
      <c r="K1752" t="s">
        <v>106</v>
      </c>
      <c r="L1752" t="s">
        <v>2129</v>
      </c>
      <c r="M1752" t="s">
        <v>2136</v>
      </c>
      <c r="N1752">
        <v>1</v>
      </c>
      <c r="O1752">
        <v>2040</v>
      </c>
      <c r="P1752">
        <v>5911.8706390075113</v>
      </c>
      <c r="Q1752">
        <v>63.780978532496562</v>
      </c>
      <c r="R1752" t="s">
        <v>249</v>
      </c>
      <c r="S1752">
        <v>0.44315925240393511</v>
      </c>
      <c r="T1752" t="s">
        <v>250</v>
      </c>
      <c r="U1752">
        <v>1.0723562152133581</v>
      </c>
      <c r="V1752">
        <v>8336.2901874412255</v>
      </c>
      <c r="W1752">
        <v>89.937141380873001</v>
      </c>
      <c r="X1752" t="s">
        <v>111</v>
      </c>
      <c r="Y1752">
        <v>20</v>
      </c>
      <c r="Z1752">
        <v>0.44</v>
      </c>
      <c r="AA1752">
        <v>31.536000000000001</v>
      </c>
    </row>
    <row r="1753" spans="1:27" hidden="1" x14ac:dyDescent="0.25">
      <c r="A1753" t="s">
        <v>98</v>
      </c>
      <c r="B1753" t="s">
        <v>674</v>
      </c>
      <c r="D1753" t="s">
        <v>1722</v>
      </c>
      <c r="E1753" t="s">
        <v>243</v>
      </c>
      <c r="F1753" t="s">
        <v>244</v>
      </c>
      <c r="G1753" t="s">
        <v>103</v>
      </c>
      <c r="H1753" t="s">
        <v>104</v>
      </c>
      <c r="I1753">
        <v>2050</v>
      </c>
      <c r="J1753" t="s">
        <v>263</v>
      </c>
      <c r="K1753" t="s">
        <v>106</v>
      </c>
      <c r="L1753" t="s">
        <v>2129</v>
      </c>
      <c r="M1753" t="s">
        <v>2137</v>
      </c>
      <c r="N1753">
        <v>1</v>
      </c>
      <c r="O1753">
        <v>2050</v>
      </c>
      <c r="P1753">
        <v>5667.3116722418044</v>
      </c>
      <c r="Q1753">
        <v>63.780978532496562</v>
      </c>
      <c r="R1753" t="s">
        <v>249</v>
      </c>
      <c r="S1753">
        <v>0.43508713487380868</v>
      </c>
      <c r="T1753" t="s">
        <v>250</v>
      </c>
      <c r="U1753">
        <v>1.052823315118397</v>
      </c>
      <c r="V1753">
        <v>7991.4391852139524</v>
      </c>
      <c r="W1753">
        <v>89.937141380873001</v>
      </c>
      <c r="X1753" t="s">
        <v>111</v>
      </c>
      <c r="Y1753">
        <v>20</v>
      </c>
      <c r="Z1753">
        <v>0.44</v>
      </c>
      <c r="AA1753">
        <v>31.536000000000001</v>
      </c>
    </row>
    <row r="1754" spans="1:27" hidden="1" x14ac:dyDescent="0.25">
      <c r="A1754" t="s">
        <v>98</v>
      </c>
      <c r="B1754" t="s">
        <v>674</v>
      </c>
      <c r="D1754" t="s">
        <v>1722</v>
      </c>
      <c r="E1754" t="s">
        <v>243</v>
      </c>
      <c r="F1754" t="s">
        <v>244</v>
      </c>
      <c r="G1754" t="s">
        <v>112</v>
      </c>
      <c r="H1754" t="s">
        <v>104</v>
      </c>
      <c r="I1754">
        <v>2050</v>
      </c>
      <c r="J1754" t="s">
        <v>265</v>
      </c>
      <c r="K1754" t="s">
        <v>106</v>
      </c>
      <c r="L1754" t="s">
        <v>2129</v>
      </c>
      <c r="M1754" t="s">
        <v>2138</v>
      </c>
      <c r="N1754">
        <v>1</v>
      </c>
      <c r="O1754">
        <v>2050</v>
      </c>
      <c r="P1754">
        <v>5911.8706390075113</v>
      </c>
      <c r="Q1754">
        <v>63.780978532496562</v>
      </c>
      <c r="R1754" t="s">
        <v>249</v>
      </c>
      <c r="S1754">
        <v>0.44315925240393511</v>
      </c>
      <c r="T1754" t="s">
        <v>250</v>
      </c>
      <c r="U1754">
        <v>1.0723562152133581</v>
      </c>
      <c r="V1754">
        <v>8336.2901874412255</v>
      </c>
      <c r="W1754">
        <v>89.937141380873001</v>
      </c>
      <c r="X1754" t="s">
        <v>111</v>
      </c>
      <c r="Y1754">
        <v>20</v>
      </c>
      <c r="Z1754">
        <v>0.44</v>
      </c>
      <c r="AA1754">
        <v>31.536000000000001</v>
      </c>
    </row>
    <row r="1755" spans="1:27" hidden="1" x14ac:dyDescent="0.25">
      <c r="A1755" t="s">
        <v>98</v>
      </c>
      <c r="B1755" t="s">
        <v>674</v>
      </c>
      <c r="D1755" t="s">
        <v>1722</v>
      </c>
      <c r="E1755" t="s">
        <v>243</v>
      </c>
      <c r="F1755" t="s">
        <v>267</v>
      </c>
      <c r="G1755" t="s">
        <v>245</v>
      </c>
      <c r="H1755" t="s">
        <v>104</v>
      </c>
      <c r="I1755">
        <v>2022</v>
      </c>
      <c r="J1755" t="s">
        <v>268</v>
      </c>
      <c r="K1755" t="s">
        <v>106</v>
      </c>
      <c r="L1755" t="s">
        <v>2129</v>
      </c>
      <c r="M1755" t="s">
        <v>2139</v>
      </c>
      <c r="N1755">
        <v>1</v>
      </c>
      <c r="O1755">
        <v>2020</v>
      </c>
      <c r="P1755">
        <v>7748.5410872802086</v>
      </c>
      <c r="Q1755">
        <v>68.755259026523561</v>
      </c>
      <c r="R1755" t="s">
        <v>249</v>
      </c>
      <c r="S1755">
        <v>0.29876527460377861</v>
      </c>
      <c r="T1755" t="s">
        <v>250</v>
      </c>
      <c r="U1755">
        <v>0.72295184490306452</v>
      </c>
      <c r="V1755">
        <v>10926.167194301681</v>
      </c>
      <c r="W1755">
        <v>96.951341826723592</v>
      </c>
      <c r="X1755" t="s">
        <v>111</v>
      </c>
      <c r="Y1755">
        <v>20</v>
      </c>
      <c r="Z1755">
        <v>0.44</v>
      </c>
      <c r="AA1755">
        <v>31.536000000000001</v>
      </c>
    </row>
    <row r="1756" spans="1:27" hidden="1" x14ac:dyDescent="0.25">
      <c r="A1756" t="s">
        <v>98</v>
      </c>
      <c r="B1756" t="s">
        <v>674</v>
      </c>
      <c r="D1756" t="s">
        <v>1722</v>
      </c>
      <c r="E1756" t="s">
        <v>243</v>
      </c>
      <c r="F1756" t="s">
        <v>267</v>
      </c>
      <c r="G1756" t="s">
        <v>112</v>
      </c>
      <c r="H1756" t="s">
        <v>104</v>
      </c>
      <c r="I1756">
        <v>2022</v>
      </c>
      <c r="J1756" t="s">
        <v>270</v>
      </c>
      <c r="K1756" t="s">
        <v>106</v>
      </c>
      <c r="L1756" t="s">
        <v>2129</v>
      </c>
      <c r="M1756" t="s">
        <v>2140</v>
      </c>
      <c r="N1756">
        <v>1</v>
      </c>
      <c r="O1756">
        <v>2020</v>
      </c>
      <c r="P1756">
        <v>8151.6394802345676</v>
      </c>
      <c r="Q1756">
        <v>68.755259026523561</v>
      </c>
      <c r="R1756" t="s">
        <v>249</v>
      </c>
      <c r="S1756">
        <v>0.29876527460377861</v>
      </c>
      <c r="T1756" t="s">
        <v>250</v>
      </c>
      <c r="U1756">
        <v>0.72295184490306452</v>
      </c>
      <c r="V1756">
        <v>11494.57360623949</v>
      </c>
      <c r="W1756">
        <v>96.951341826723592</v>
      </c>
      <c r="X1756" t="s">
        <v>111</v>
      </c>
      <c r="Y1756">
        <v>20</v>
      </c>
      <c r="Z1756">
        <v>0.44</v>
      </c>
      <c r="AA1756">
        <v>31.536000000000001</v>
      </c>
    </row>
    <row r="1757" spans="1:27" hidden="1" x14ac:dyDescent="0.25">
      <c r="A1757" t="s">
        <v>98</v>
      </c>
      <c r="B1757" t="s">
        <v>674</v>
      </c>
      <c r="D1757" t="s">
        <v>1722</v>
      </c>
      <c r="E1757" t="s">
        <v>243</v>
      </c>
      <c r="F1757" t="s">
        <v>267</v>
      </c>
      <c r="G1757" t="s">
        <v>103</v>
      </c>
      <c r="H1757" t="s">
        <v>104</v>
      </c>
      <c r="I1757">
        <v>2030</v>
      </c>
      <c r="J1757" t="s">
        <v>272</v>
      </c>
      <c r="K1757" t="s">
        <v>106</v>
      </c>
      <c r="L1757" t="s">
        <v>2129</v>
      </c>
      <c r="M1757" t="s">
        <v>2141</v>
      </c>
      <c r="N1757">
        <v>1</v>
      </c>
      <c r="O1757">
        <v>2030</v>
      </c>
      <c r="P1757">
        <v>8119.0316179991396</v>
      </c>
      <c r="Q1757">
        <v>68.755259026523561</v>
      </c>
      <c r="R1757" t="s">
        <v>249</v>
      </c>
      <c r="S1757">
        <v>0.29876527460377861</v>
      </c>
      <c r="T1757" t="s">
        <v>250</v>
      </c>
      <c r="U1757">
        <v>0.72295184490306452</v>
      </c>
      <c r="V1757">
        <v>11448.59347260918</v>
      </c>
      <c r="W1757">
        <v>96.951341826723592</v>
      </c>
      <c r="X1757" t="s">
        <v>111</v>
      </c>
      <c r="Y1757">
        <v>20</v>
      </c>
      <c r="Z1757">
        <v>0.44</v>
      </c>
      <c r="AA1757">
        <v>31.536000000000001</v>
      </c>
    </row>
    <row r="1758" spans="1:27" hidden="1" x14ac:dyDescent="0.25">
      <c r="A1758" t="s">
        <v>98</v>
      </c>
      <c r="B1758" t="s">
        <v>674</v>
      </c>
      <c r="D1758" t="s">
        <v>1722</v>
      </c>
      <c r="E1758" t="s">
        <v>243</v>
      </c>
      <c r="F1758" t="s">
        <v>267</v>
      </c>
      <c r="G1758" t="s">
        <v>112</v>
      </c>
      <c r="H1758" t="s">
        <v>104</v>
      </c>
      <c r="I1758">
        <v>2030</v>
      </c>
      <c r="J1758" t="s">
        <v>274</v>
      </c>
      <c r="K1758" t="s">
        <v>106</v>
      </c>
      <c r="L1758" t="s">
        <v>2129</v>
      </c>
      <c r="M1758" t="s">
        <v>2142</v>
      </c>
      <c r="N1758">
        <v>1</v>
      </c>
      <c r="O1758">
        <v>2030</v>
      </c>
      <c r="P1758">
        <v>8151.6394802345676</v>
      </c>
      <c r="Q1758">
        <v>68.755259026523561</v>
      </c>
      <c r="R1758" t="s">
        <v>249</v>
      </c>
      <c r="S1758">
        <v>0.31450011460924421</v>
      </c>
      <c r="T1758" t="s">
        <v>250</v>
      </c>
      <c r="U1758">
        <v>0.76102699144173802</v>
      </c>
      <c r="V1758">
        <v>11494.57360623949</v>
      </c>
      <c r="W1758">
        <v>96.951341826723578</v>
      </c>
      <c r="X1758" t="s">
        <v>111</v>
      </c>
      <c r="Y1758">
        <v>20</v>
      </c>
      <c r="Z1758">
        <v>0.44</v>
      </c>
      <c r="AA1758">
        <v>31.536000000000001</v>
      </c>
    </row>
    <row r="1759" spans="1:27" hidden="1" x14ac:dyDescent="0.25">
      <c r="A1759" t="s">
        <v>98</v>
      </c>
      <c r="B1759" t="s">
        <v>674</v>
      </c>
      <c r="D1759" t="s">
        <v>1722</v>
      </c>
      <c r="E1759" t="s">
        <v>243</v>
      </c>
      <c r="F1759" t="s">
        <v>267</v>
      </c>
      <c r="G1759" t="s">
        <v>103</v>
      </c>
      <c r="H1759" t="s">
        <v>104</v>
      </c>
      <c r="I1759">
        <v>2040</v>
      </c>
      <c r="J1759" t="s">
        <v>276</v>
      </c>
      <c r="K1759" t="s">
        <v>106</v>
      </c>
      <c r="L1759" t="s">
        <v>2129</v>
      </c>
      <c r="M1759" t="s">
        <v>2143</v>
      </c>
      <c r="N1759">
        <v>1</v>
      </c>
      <c r="O1759">
        <v>2040</v>
      </c>
      <c r="P1759">
        <v>8119.0316179991396</v>
      </c>
      <c r="Q1759">
        <v>68.755259026523561</v>
      </c>
      <c r="R1759" t="s">
        <v>249</v>
      </c>
      <c r="S1759">
        <v>0.29876527460377861</v>
      </c>
      <c r="T1759" t="s">
        <v>250</v>
      </c>
      <c r="U1759">
        <v>0.72295184490306452</v>
      </c>
      <c r="V1759">
        <v>11448.59347260918</v>
      </c>
      <c r="W1759">
        <v>96.951341826723592</v>
      </c>
      <c r="X1759" t="s">
        <v>111</v>
      </c>
      <c r="Y1759">
        <v>20</v>
      </c>
      <c r="Z1759">
        <v>0.44</v>
      </c>
      <c r="AA1759">
        <v>31.536000000000001</v>
      </c>
    </row>
    <row r="1760" spans="1:27" hidden="1" x14ac:dyDescent="0.25">
      <c r="A1760" t="s">
        <v>98</v>
      </c>
      <c r="B1760" t="s">
        <v>674</v>
      </c>
      <c r="D1760" t="s">
        <v>1722</v>
      </c>
      <c r="E1760" t="s">
        <v>243</v>
      </c>
      <c r="F1760" t="s">
        <v>267</v>
      </c>
      <c r="G1760" t="s">
        <v>112</v>
      </c>
      <c r="H1760" t="s">
        <v>104</v>
      </c>
      <c r="I1760">
        <v>2040</v>
      </c>
      <c r="J1760" t="s">
        <v>278</v>
      </c>
      <c r="K1760" t="s">
        <v>106</v>
      </c>
      <c r="L1760" t="s">
        <v>2129</v>
      </c>
      <c r="M1760" t="s">
        <v>2144</v>
      </c>
      <c r="N1760">
        <v>1</v>
      </c>
      <c r="O1760">
        <v>2040</v>
      </c>
      <c r="P1760">
        <v>8151.6394802345676</v>
      </c>
      <c r="Q1760">
        <v>68.755259026523561</v>
      </c>
      <c r="R1760" t="s">
        <v>249</v>
      </c>
      <c r="S1760">
        <v>0.31450011460924421</v>
      </c>
      <c r="T1760" t="s">
        <v>250</v>
      </c>
      <c r="U1760">
        <v>0.76102699144173802</v>
      </c>
      <c r="V1760">
        <v>11494.57360623949</v>
      </c>
      <c r="W1760">
        <v>96.951341826723578</v>
      </c>
      <c r="X1760" t="s">
        <v>111</v>
      </c>
      <c r="Y1760">
        <v>20</v>
      </c>
      <c r="Z1760">
        <v>0.44</v>
      </c>
      <c r="AA1760">
        <v>31.536000000000001</v>
      </c>
    </row>
    <row r="1761" spans="1:27" hidden="1" x14ac:dyDescent="0.25">
      <c r="A1761" t="s">
        <v>98</v>
      </c>
      <c r="B1761" t="s">
        <v>674</v>
      </c>
      <c r="D1761" t="s">
        <v>1722</v>
      </c>
      <c r="E1761" t="s">
        <v>243</v>
      </c>
      <c r="F1761" t="s">
        <v>267</v>
      </c>
      <c r="G1761" t="s">
        <v>103</v>
      </c>
      <c r="H1761" t="s">
        <v>104</v>
      </c>
      <c r="I1761">
        <v>2050</v>
      </c>
      <c r="J1761" t="s">
        <v>280</v>
      </c>
      <c r="K1761" t="s">
        <v>106</v>
      </c>
      <c r="L1761" t="s">
        <v>2129</v>
      </c>
      <c r="M1761" t="s">
        <v>2145</v>
      </c>
      <c r="N1761">
        <v>1</v>
      </c>
      <c r="O1761">
        <v>2050</v>
      </c>
      <c r="P1761">
        <v>8119.0316179991396</v>
      </c>
      <c r="Q1761">
        <v>68.755259026523561</v>
      </c>
      <c r="R1761" t="s">
        <v>249</v>
      </c>
      <c r="S1761">
        <v>0.29876527460377861</v>
      </c>
      <c r="T1761" t="s">
        <v>250</v>
      </c>
      <c r="U1761">
        <v>0.72295184490306452</v>
      </c>
      <c r="V1761">
        <v>11448.59347260918</v>
      </c>
      <c r="W1761">
        <v>96.951341826723592</v>
      </c>
      <c r="X1761" t="s">
        <v>111</v>
      </c>
      <c r="Y1761">
        <v>20</v>
      </c>
      <c r="Z1761">
        <v>0.44</v>
      </c>
      <c r="AA1761">
        <v>31.536000000000001</v>
      </c>
    </row>
    <row r="1762" spans="1:27" hidden="1" x14ac:dyDescent="0.25">
      <c r="A1762" t="s">
        <v>98</v>
      </c>
      <c r="B1762" t="s">
        <v>674</v>
      </c>
      <c r="D1762" t="s">
        <v>1722</v>
      </c>
      <c r="E1762" t="s">
        <v>243</v>
      </c>
      <c r="F1762" t="s">
        <v>267</v>
      </c>
      <c r="G1762" t="s">
        <v>112</v>
      </c>
      <c r="H1762" t="s">
        <v>104</v>
      </c>
      <c r="I1762">
        <v>2050</v>
      </c>
      <c r="J1762" t="s">
        <v>282</v>
      </c>
      <c r="K1762" t="s">
        <v>106</v>
      </c>
      <c r="L1762" t="s">
        <v>2129</v>
      </c>
      <c r="M1762" t="s">
        <v>2146</v>
      </c>
      <c r="N1762">
        <v>1</v>
      </c>
      <c r="O1762">
        <v>2050</v>
      </c>
      <c r="P1762">
        <v>8151.6394802345676</v>
      </c>
      <c r="Q1762">
        <v>68.755259026523561</v>
      </c>
      <c r="R1762" t="s">
        <v>249</v>
      </c>
      <c r="S1762">
        <v>0.31450011460924421</v>
      </c>
      <c r="T1762" t="s">
        <v>250</v>
      </c>
      <c r="U1762">
        <v>0.76102699144173802</v>
      </c>
      <c r="V1762">
        <v>11494.57360623949</v>
      </c>
      <c r="W1762">
        <v>96.951341826723578</v>
      </c>
      <c r="X1762" t="s">
        <v>111</v>
      </c>
      <c r="Y1762">
        <v>20</v>
      </c>
      <c r="Z1762">
        <v>0.44</v>
      </c>
      <c r="AA1762">
        <v>31.536000000000001</v>
      </c>
    </row>
    <row r="1763" spans="1:27" hidden="1" x14ac:dyDescent="0.25">
      <c r="A1763" t="s">
        <v>98</v>
      </c>
      <c r="B1763" t="s">
        <v>674</v>
      </c>
      <c r="D1763" t="s">
        <v>1722</v>
      </c>
      <c r="E1763" t="s">
        <v>284</v>
      </c>
      <c r="F1763" t="s">
        <v>285</v>
      </c>
      <c r="G1763" t="s">
        <v>103</v>
      </c>
      <c r="H1763" t="s">
        <v>104</v>
      </c>
      <c r="I1763">
        <v>2022</v>
      </c>
      <c r="J1763" t="s">
        <v>286</v>
      </c>
      <c r="K1763" t="s">
        <v>106</v>
      </c>
      <c r="L1763" t="s">
        <v>2147</v>
      </c>
      <c r="M1763" t="s">
        <v>2148</v>
      </c>
      <c r="N1763">
        <v>1</v>
      </c>
      <c r="O1763">
        <v>2020</v>
      </c>
      <c r="P1763">
        <v>100.10336678844671</v>
      </c>
      <c r="Q1763">
        <v>36.612504973710713</v>
      </c>
      <c r="R1763" t="s">
        <v>289</v>
      </c>
      <c r="S1763">
        <v>15.58191798941797</v>
      </c>
      <c r="T1763" t="s">
        <v>290</v>
      </c>
      <c r="U1763">
        <v>15.58191798941797</v>
      </c>
      <c r="V1763">
        <v>100.10336678844671</v>
      </c>
      <c r="W1763">
        <v>36.612504973710713</v>
      </c>
      <c r="X1763" t="s">
        <v>291</v>
      </c>
      <c r="Y1763">
        <v>10</v>
      </c>
      <c r="Z1763">
        <v>0.28693283304369371</v>
      </c>
      <c r="AA1763">
        <v>1</v>
      </c>
    </row>
    <row r="1764" spans="1:27" hidden="1" x14ac:dyDescent="0.25">
      <c r="A1764" t="s">
        <v>98</v>
      </c>
      <c r="B1764" t="s">
        <v>674</v>
      </c>
      <c r="D1764" t="s">
        <v>1722</v>
      </c>
      <c r="E1764" t="s">
        <v>284</v>
      </c>
      <c r="F1764" t="s">
        <v>292</v>
      </c>
      <c r="G1764" t="s">
        <v>103</v>
      </c>
      <c r="H1764" t="s">
        <v>104</v>
      </c>
      <c r="I1764">
        <v>2022</v>
      </c>
      <c r="J1764" t="s">
        <v>293</v>
      </c>
      <c r="K1764" t="s">
        <v>106</v>
      </c>
      <c r="L1764" t="s">
        <v>2147</v>
      </c>
      <c r="M1764" t="s">
        <v>2149</v>
      </c>
      <c r="N1764">
        <v>1</v>
      </c>
      <c r="O1764">
        <v>2020</v>
      </c>
      <c r="P1764">
        <v>99.46253669701926</v>
      </c>
      <c r="Q1764">
        <v>6.0605044913603194</v>
      </c>
      <c r="R1764" t="s">
        <v>289</v>
      </c>
      <c r="S1764">
        <v>42.005691056910557</v>
      </c>
      <c r="T1764" t="s">
        <v>290</v>
      </c>
      <c r="U1764">
        <v>42.005691056910557</v>
      </c>
      <c r="V1764">
        <v>99.46253669701926</v>
      </c>
      <c r="W1764">
        <v>6.0605044913603194</v>
      </c>
      <c r="X1764" t="s">
        <v>291</v>
      </c>
      <c r="Y1764">
        <v>10</v>
      </c>
      <c r="Z1764">
        <v>0.28693283304369371</v>
      </c>
      <c r="AA1764">
        <v>1</v>
      </c>
    </row>
    <row r="1765" spans="1:27" hidden="1" x14ac:dyDescent="0.25">
      <c r="A1765" t="s">
        <v>98</v>
      </c>
      <c r="B1765" t="s">
        <v>674</v>
      </c>
      <c r="D1765" t="s">
        <v>1722</v>
      </c>
      <c r="E1765" t="s">
        <v>284</v>
      </c>
      <c r="F1765" t="s">
        <v>292</v>
      </c>
      <c r="G1765" t="s">
        <v>112</v>
      </c>
      <c r="H1765" t="s">
        <v>104</v>
      </c>
      <c r="I1765">
        <v>2022</v>
      </c>
      <c r="J1765" t="s">
        <v>295</v>
      </c>
      <c r="K1765" t="s">
        <v>106</v>
      </c>
      <c r="L1765" t="s">
        <v>2147</v>
      </c>
      <c r="M1765" t="s">
        <v>2150</v>
      </c>
      <c r="N1765">
        <v>1</v>
      </c>
      <c r="O1765">
        <v>2020</v>
      </c>
      <c r="P1765">
        <v>92.517129414925563</v>
      </c>
      <c r="Q1765">
        <v>5.9256499638890956</v>
      </c>
      <c r="R1765" t="s">
        <v>289</v>
      </c>
      <c r="S1765">
        <v>43.051923076923067</v>
      </c>
      <c r="T1765" t="s">
        <v>290</v>
      </c>
      <c r="U1765">
        <v>43.051923076923067</v>
      </c>
      <c r="V1765">
        <v>92.517129414925563</v>
      </c>
      <c r="W1765">
        <v>5.9256499638890956</v>
      </c>
      <c r="X1765" t="s">
        <v>291</v>
      </c>
      <c r="Y1765">
        <v>10</v>
      </c>
      <c r="Z1765">
        <v>0.28693283304369371</v>
      </c>
      <c r="AA1765">
        <v>1</v>
      </c>
    </row>
    <row r="1766" spans="1:27" hidden="1" x14ac:dyDescent="0.25">
      <c r="A1766" t="s">
        <v>98</v>
      </c>
      <c r="B1766" t="s">
        <v>674</v>
      </c>
      <c r="D1766" t="s">
        <v>1722</v>
      </c>
      <c r="E1766" t="s">
        <v>284</v>
      </c>
      <c r="F1766" t="s">
        <v>297</v>
      </c>
      <c r="G1766" t="s">
        <v>103</v>
      </c>
      <c r="H1766" t="s">
        <v>104</v>
      </c>
      <c r="I1766">
        <v>2022</v>
      </c>
      <c r="J1766" t="s">
        <v>298</v>
      </c>
      <c r="K1766" t="s">
        <v>106</v>
      </c>
      <c r="L1766" t="s">
        <v>2147</v>
      </c>
      <c r="M1766" t="s">
        <v>2151</v>
      </c>
      <c r="N1766">
        <v>1</v>
      </c>
      <c r="O1766">
        <v>2020</v>
      </c>
      <c r="P1766">
        <v>94.526951376087595</v>
      </c>
      <c r="Q1766">
        <v>3.949349451558744</v>
      </c>
      <c r="R1766" t="s">
        <v>289</v>
      </c>
      <c r="S1766">
        <v>76.146700507614213</v>
      </c>
      <c r="T1766" t="s">
        <v>290</v>
      </c>
      <c r="U1766">
        <v>76.146700507614213</v>
      </c>
      <c r="V1766">
        <v>94.526951376087595</v>
      </c>
      <c r="W1766">
        <v>3.949349451558744</v>
      </c>
      <c r="X1766" t="s">
        <v>291</v>
      </c>
      <c r="Y1766">
        <v>10</v>
      </c>
      <c r="Z1766">
        <v>0.28693283304369371</v>
      </c>
      <c r="AA1766">
        <v>1</v>
      </c>
    </row>
    <row r="1767" spans="1:27" hidden="1" x14ac:dyDescent="0.25">
      <c r="A1767" t="s">
        <v>98</v>
      </c>
      <c r="B1767" t="s">
        <v>674</v>
      </c>
      <c r="D1767" t="s">
        <v>1722</v>
      </c>
      <c r="E1767" t="s">
        <v>284</v>
      </c>
      <c r="F1767" t="s">
        <v>297</v>
      </c>
      <c r="G1767" t="s">
        <v>112</v>
      </c>
      <c r="H1767" t="s">
        <v>104</v>
      </c>
      <c r="I1767">
        <v>2022</v>
      </c>
      <c r="J1767" t="s">
        <v>300</v>
      </c>
      <c r="K1767" t="s">
        <v>106</v>
      </c>
      <c r="L1767" t="s">
        <v>2147</v>
      </c>
      <c r="M1767" t="s">
        <v>2152</v>
      </c>
      <c r="N1767">
        <v>1</v>
      </c>
      <c r="O1767">
        <v>2020</v>
      </c>
      <c r="P1767">
        <v>69.765067810793198</v>
      </c>
      <c r="Q1767">
        <v>2.516631606553434</v>
      </c>
      <c r="R1767" t="s">
        <v>289</v>
      </c>
      <c r="S1767">
        <v>93</v>
      </c>
      <c r="T1767" t="s">
        <v>290</v>
      </c>
      <c r="U1767">
        <v>93</v>
      </c>
      <c r="V1767">
        <v>69.765067810793198</v>
      </c>
      <c r="W1767">
        <v>2.516631606553434</v>
      </c>
      <c r="X1767" t="s">
        <v>291</v>
      </c>
      <c r="Y1767">
        <v>10</v>
      </c>
      <c r="Z1767">
        <v>0.28693283304369371</v>
      </c>
      <c r="AA1767">
        <v>1</v>
      </c>
    </row>
    <row r="1768" spans="1:27" hidden="1" x14ac:dyDescent="0.25">
      <c r="A1768" t="s">
        <v>98</v>
      </c>
      <c r="B1768" t="s">
        <v>674</v>
      </c>
      <c r="D1768" t="s">
        <v>1722</v>
      </c>
      <c r="E1768" t="s">
        <v>284</v>
      </c>
      <c r="F1768" t="s">
        <v>302</v>
      </c>
      <c r="G1768" t="s">
        <v>103</v>
      </c>
      <c r="H1768" t="s">
        <v>104</v>
      </c>
      <c r="I1768">
        <v>2022</v>
      </c>
      <c r="J1768" t="s">
        <v>303</v>
      </c>
      <c r="K1768" t="s">
        <v>106</v>
      </c>
      <c r="L1768" t="s">
        <v>2147</v>
      </c>
      <c r="M1768" t="s">
        <v>2153</v>
      </c>
      <c r="N1768">
        <v>1</v>
      </c>
      <c r="O1768">
        <v>2020</v>
      </c>
      <c r="P1768">
        <v>105.7930490817716</v>
      </c>
      <c r="Q1768">
        <v>3.355492309527206</v>
      </c>
      <c r="R1768" t="s">
        <v>289</v>
      </c>
      <c r="S1768">
        <v>64.669172932330824</v>
      </c>
      <c r="T1768" t="s">
        <v>290</v>
      </c>
      <c r="U1768">
        <v>64.669172932330824</v>
      </c>
      <c r="V1768">
        <v>105.7930490817716</v>
      </c>
      <c r="W1768">
        <v>3.355492309527206</v>
      </c>
      <c r="X1768" t="s">
        <v>291</v>
      </c>
      <c r="Y1768">
        <v>10</v>
      </c>
      <c r="Z1768">
        <v>0.28693283304369371</v>
      </c>
      <c r="AA1768">
        <v>1</v>
      </c>
    </row>
    <row r="1769" spans="1:27" hidden="1" x14ac:dyDescent="0.25">
      <c r="A1769" t="s">
        <v>98</v>
      </c>
      <c r="B1769" t="s">
        <v>674</v>
      </c>
      <c r="D1769" t="s">
        <v>1722</v>
      </c>
      <c r="E1769" t="s">
        <v>284</v>
      </c>
      <c r="F1769" t="s">
        <v>302</v>
      </c>
      <c r="G1769" t="s">
        <v>112</v>
      </c>
      <c r="H1769" t="s">
        <v>104</v>
      </c>
      <c r="I1769">
        <v>2022</v>
      </c>
      <c r="J1769" t="s">
        <v>305</v>
      </c>
      <c r="K1769" t="s">
        <v>106</v>
      </c>
      <c r="L1769" t="s">
        <v>2147</v>
      </c>
      <c r="M1769" t="s">
        <v>2154</v>
      </c>
      <c r="N1769">
        <v>1</v>
      </c>
      <c r="O1769">
        <v>2020</v>
      </c>
      <c r="P1769">
        <v>99.614212714858894</v>
      </c>
      <c r="Q1769">
        <v>1.4361600838792941</v>
      </c>
      <c r="R1769" t="s">
        <v>289</v>
      </c>
      <c r="S1769">
        <v>75.07692307692308</v>
      </c>
      <c r="T1769" t="s">
        <v>290</v>
      </c>
      <c r="U1769">
        <v>75.07692307692308</v>
      </c>
      <c r="V1769">
        <v>99.614212714858894</v>
      </c>
      <c r="W1769">
        <v>1.4361600838792941</v>
      </c>
      <c r="X1769" t="s">
        <v>291</v>
      </c>
      <c r="Y1769">
        <v>10</v>
      </c>
      <c r="Z1769">
        <v>0.28693283304369371</v>
      </c>
      <c r="AA1769">
        <v>1</v>
      </c>
    </row>
    <row r="1770" spans="1:27" hidden="1" x14ac:dyDescent="0.25">
      <c r="A1770" t="s">
        <v>98</v>
      </c>
      <c r="B1770" t="s">
        <v>674</v>
      </c>
      <c r="D1770" t="s">
        <v>1722</v>
      </c>
      <c r="E1770" t="s">
        <v>284</v>
      </c>
      <c r="F1770" t="s">
        <v>297</v>
      </c>
      <c r="G1770" t="s">
        <v>103</v>
      </c>
      <c r="H1770" t="s">
        <v>104</v>
      </c>
      <c r="I1770">
        <v>2023</v>
      </c>
      <c r="J1770" t="s">
        <v>307</v>
      </c>
      <c r="K1770" t="s">
        <v>106</v>
      </c>
      <c r="L1770" t="s">
        <v>2147</v>
      </c>
      <c r="M1770" t="s">
        <v>2155</v>
      </c>
      <c r="N1770">
        <v>1</v>
      </c>
      <c r="O1770">
        <v>2023</v>
      </c>
      <c r="P1770">
        <v>94.526951376087595</v>
      </c>
      <c r="Q1770">
        <v>3.949349451558744</v>
      </c>
      <c r="R1770" t="s">
        <v>289</v>
      </c>
      <c r="S1770">
        <v>76.146700507614213</v>
      </c>
      <c r="T1770" t="s">
        <v>290</v>
      </c>
      <c r="U1770">
        <v>76.146700507614213</v>
      </c>
      <c r="V1770">
        <v>94.526951376087595</v>
      </c>
      <c r="W1770">
        <v>3.949349451558744</v>
      </c>
      <c r="X1770" t="s">
        <v>291</v>
      </c>
      <c r="Y1770">
        <v>10</v>
      </c>
      <c r="Z1770">
        <v>0.28693283304369371</v>
      </c>
      <c r="AA1770">
        <v>1</v>
      </c>
    </row>
    <row r="1771" spans="1:27" hidden="1" x14ac:dyDescent="0.25">
      <c r="A1771" t="s">
        <v>98</v>
      </c>
      <c r="B1771" t="s">
        <v>674</v>
      </c>
      <c r="D1771" t="s">
        <v>1722</v>
      </c>
      <c r="E1771" t="s">
        <v>284</v>
      </c>
      <c r="F1771" t="s">
        <v>297</v>
      </c>
      <c r="G1771" t="s">
        <v>112</v>
      </c>
      <c r="H1771" t="s">
        <v>104</v>
      </c>
      <c r="I1771">
        <v>2023</v>
      </c>
      <c r="J1771" t="s">
        <v>309</v>
      </c>
      <c r="K1771" t="s">
        <v>106</v>
      </c>
      <c r="L1771" t="s">
        <v>2147</v>
      </c>
      <c r="M1771" t="s">
        <v>2156</v>
      </c>
      <c r="N1771">
        <v>1</v>
      </c>
      <c r="O1771">
        <v>2023</v>
      </c>
      <c r="P1771">
        <v>69.765067810793198</v>
      </c>
      <c r="Q1771">
        <v>2.516631606553434</v>
      </c>
      <c r="R1771" t="s">
        <v>289</v>
      </c>
      <c r="S1771">
        <v>93</v>
      </c>
      <c r="T1771" t="s">
        <v>290</v>
      </c>
      <c r="U1771">
        <v>93</v>
      </c>
      <c r="V1771">
        <v>69.765067810793198</v>
      </c>
      <c r="W1771">
        <v>2.516631606553434</v>
      </c>
      <c r="X1771" t="s">
        <v>291</v>
      </c>
      <c r="Y1771">
        <v>10</v>
      </c>
      <c r="Z1771">
        <v>0.28693283304369371</v>
      </c>
      <c r="AA1771">
        <v>1</v>
      </c>
    </row>
    <row r="1772" spans="1:27" hidden="1" x14ac:dyDescent="0.25">
      <c r="A1772" t="s">
        <v>98</v>
      </c>
      <c r="B1772" t="s">
        <v>674</v>
      </c>
      <c r="D1772" t="s">
        <v>1722</v>
      </c>
      <c r="E1772" t="s">
        <v>284</v>
      </c>
      <c r="F1772" t="s">
        <v>302</v>
      </c>
      <c r="G1772" t="s">
        <v>103</v>
      </c>
      <c r="H1772" t="s">
        <v>104</v>
      </c>
      <c r="I1772">
        <v>2023</v>
      </c>
      <c r="J1772" t="s">
        <v>311</v>
      </c>
      <c r="K1772" t="s">
        <v>106</v>
      </c>
      <c r="L1772" t="s">
        <v>2147</v>
      </c>
      <c r="M1772" t="s">
        <v>2157</v>
      </c>
      <c r="N1772">
        <v>1</v>
      </c>
      <c r="O1772">
        <v>2023</v>
      </c>
      <c r="P1772">
        <v>105.7930490817716</v>
      </c>
      <c r="Q1772">
        <v>3.355492309527206</v>
      </c>
      <c r="R1772" t="s">
        <v>289</v>
      </c>
      <c r="S1772">
        <v>64.669172932330824</v>
      </c>
      <c r="T1772" t="s">
        <v>290</v>
      </c>
      <c r="U1772">
        <v>64.669172932330824</v>
      </c>
      <c r="V1772">
        <v>105.7930490817716</v>
      </c>
      <c r="W1772">
        <v>3.355492309527206</v>
      </c>
      <c r="X1772" t="s">
        <v>291</v>
      </c>
      <c r="Y1772">
        <v>10</v>
      </c>
      <c r="Z1772">
        <v>0.28693283304369371</v>
      </c>
      <c r="AA1772">
        <v>1</v>
      </c>
    </row>
    <row r="1773" spans="1:27" hidden="1" x14ac:dyDescent="0.25">
      <c r="A1773" t="s">
        <v>98</v>
      </c>
      <c r="B1773" t="s">
        <v>674</v>
      </c>
      <c r="D1773" t="s">
        <v>1722</v>
      </c>
      <c r="E1773" t="s">
        <v>284</v>
      </c>
      <c r="F1773" t="s">
        <v>302</v>
      </c>
      <c r="G1773" t="s">
        <v>112</v>
      </c>
      <c r="H1773" t="s">
        <v>104</v>
      </c>
      <c r="I1773">
        <v>2023</v>
      </c>
      <c r="J1773" t="s">
        <v>313</v>
      </c>
      <c r="K1773" t="s">
        <v>106</v>
      </c>
      <c r="L1773" t="s">
        <v>2147</v>
      </c>
      <c r="M1773" t="s">
        <v>2158</v>
      </c>
      <c r="N1773">
        <v>1</v>
      </c>
      <c r="O1773">
        <v>2023</v>
      </c>
      <c r="P1773">
        <v>99.614212714858894</v>
      </c>
      <c r="Q1773">
        <v>1.4361600838792941</v>
      </c>
      <c r="R1773" t="s">
        <v>289</v>
      </c>
      <c r="S1773">
        <v>75.07692307692308</v>
      </c>
      <c r="T1773" t="s">
        <v>290</v>
      </c>
      <c r="U1773">
        <v>75.07692307692308</v>
      </c>
      <c r="V1773">
        <v>99.614212714858894</v>
      </c>
      <c r="W1773">
        <v>1.4361600838792941</v>
      </c>
      <c r="X1773" t="s">
        <v>291</v>
      </c>
      <c r="Y1773">
        <v>10</v>
      </c>
      <c r="Z1773">
        <v>0.28693283304369371</v>
      </c>
      <c r="AA1773">
        <v>1</v>
      </c>
    </row>
    <row r="1774" spans="1:27" hidden="1" x14ac:dyDescent="0.25">
      <c r="A1774" t="s">
        <v>98</v>
      </c>
      <c r="B1774" t="s">
        <v>674</v>
      </c>
      <c r="D1774" t="s">
        <v>1722</v>
      </c>
      <c r="E1774" t="s">
        <v>284</v>
      </c>
      <c r="F1774" t="s">
        <v>297</v>
      </c>
      <c r="G1774" t="s">
        <v>103</v>
      </c>
      <c r="H1774" t="s">
        <v>104</v>
      </c>
      <c r="I1774">
        <v>2024</v>
      </c>
      <c r="J1774" t="s">
        <v>315</v>
      </c>
      <c r="K1774" t="s">
        <v>106</v>
      </c>
      <c r="L1774" t="s">
        <v>2147</v>
      </c>
      <c r="M1774" t="s">
        <v>2159</v>
      </c>
      <c r="N1774">
        <v>1</v>
      </c>
      <c r="O1774">
        <v>2024</v>
      </c>
      <c r="P1774">
        <v>94.526951376087595</v>
      </c>
      <c r="Q1774">
        <v>3.949349451558744</v>
      </c>
      <c r="R1774" t="s">
        <v>289</v>
      </c>
      <c r="S1774">
        <v>76.146700507614213</v>
      </c>
      <c r="T1774" t="s">
        <v>290</v>
      </c>
      <c r="U1774">
        <v>76.146700507614213</v>
      </c>
      <c r="V1774">
        <v>94.526951376087595</v>
      </c>
      <c r="W1774">
        <v>3.949349451558744</v>
      </c>
      <c r="X1774" t="s">
        <v>291</v>
      </c>
      <c r="Y1774">
        <v>10</v>
      </c>
      <c r="Z1774">
        <v>0.28693283304369371</v>
      </c>
      <c r="AA1774">
        <v>1</v>
      </c>
    </row>
    <row r="1775" spans="1:27" hidden="1" x14ac:dyDescent="0.25">
      <c r="A1775" t="s">
        <v>98</v>
      </c>
      <c r="B1775" t="s">
        <v>674</v>
      </c>
      <c r="D1775" t="s">
        <v>1722</v>
      </c>
      <c r="E1775" t="s">
        <v>284</v>
      </c>
      <c r="F1775" t="s">
        <v>297</v>
      </c>
      <c r="G1775" t="s">
        <v>112</v>
      </c>
      <c r="H1775" t="s">
        <v>104</v>
      </c>
      <c r="I1775">
        <v>2024</v>
      </c>
      <c r="J1775" t="s">
        <v>317</v>
      </c>
      <c r="K1775" t="s">
        <v>106</v>
      </c>
      <c r="L1775" t="s">
        <v>2147</v>
      </c>
      <c r="M1775" t="s">
        <v>2160</v>
      </c>
      <c r="N1775">
        <v>1</v>
      </c>
      <c r="O1775">
        <v>2024</v>
      </c>
      <c r="P1775">
        <v>69.765067810793198</v>
      </c>
      <c r="Q1775">
        <v>2.516631606553434</v>
      </c>
      <c r="R1775" t="s">
        <v>289</v>
      </c>
      <c r="S1775">
        <v>93</v>
      </c>
      <c r="T1775" t="s">
        <v>290</v>
      </c>
      <c r="U1775">
        <v>93</v>
      </c>
      <c r="V1775">
        <v>69.765067810793198</v>
      </c>
      <c r="W1775">
        <v>2.516631606553434</v>
      </c>
      <c r="X1775" t="s">
        <v>291</v>
      </c>
      <c r="Y1775">
        <v>10</v>
      </c>
      <c r="Z1775">
        <v>0.28693283304369371</v>
      </c>
      <c r="AA1775">
        <v>1</v>
      </c>
    </row>
    <row r="1776" spans="1:27" hidden="1" x14ac:dyDescent="0.25">
      <c r="A1776" t="s">
        <v>98</v>
      </c>
      <c r="B1776" t="s">
        <v>674</v>
      </c>
      <c r="D1776" t="s">
        <v>1722</v>
      </c>
      <c r="E1776" t="s">
        <v>284</v>
      </c>
      <c r="F1776" t="s">
        <v>302</v>
      </c>
      <c r="G1776" t="s">
        <v>103</v>
      </c>
      <c r="H1776" t="s">
        <v>104</v>
      </c>
      <c r="I1776">
        <v>2024</v>
      </c>
      <c r="J1776" t="s">
        <v>319</v>
      </c>
      <c r="K1776" t="s">
        <v>106</v>
      </c>
      <c r="L1776" t="s">
        <v>2147</v>
      </c>
      <c r="M1776" t="s">
        <v>2161</v>
      </c>
      <c r="N1776">
        <v>1</v>
      </c>
      <c r="O1776">
        <v>2024</v>
      </c>
      <c r="P1776">
        <v>105.7930490817716</v>
      </c>
      <c r="Q1776">
        <v>3.355492309527206</v>
      </c>
      <c r="R1776" t="s">
        <v>289</v>
      </c>
      <c r="S1776">
        <v>64.669172932330824</v>
      </c>
      <c r="T1776" t="s">
        <v>290</v>
      </c>
      <c r="U1776">
        <v>64.669172932330824</v>
      </c>
      <c r="V1776">
        <v>105.7930490817716</v>
      </c>
      <c r="W1776">
        <v>3.355492309527206</v>
      </c>
      <c r="X1776" t="s">
        <v>291</v>
      </c>
      <c r="Y1776">
        <v>10</v>
      </c>
      <c r="Z1776">
        <v>0.28693283304369371</v>
      </c>
      <c r="AA1776">
        <v>1</v>
      </c>
    </row>
    <row r="1777" spans="1:27" hidden="1" x14ac:dyDescent="0.25">
      <c r="A1777" t="s">
        <v>98</v>
      </c>
      <c r="B1777" t="s">
        <v>674</v>
      </c>
      <c r="D1777" t="s">
        <v>1722</v>
      </c>
      <c r="E1777" t="s">
        <v>284</v>
      </c>
      <c r="F1777" t="s">
        <v>302</v>
      </c>
      <c r="G1777" t="s">
        <v>112</v>
      </c>
      <c r="H1777" t="s">
        <v>104</v>
      </c>
      <c r="I1777">
        <v>2024</v>
      </c>
      <c r="J1777" t="s">
        <v>321</v>
      </c>
      <c r="K1777" t="s">
        <v>106</v>
      </c>
      <c r="L1777" t="s">
        <v>2147</v>
      </c>
      <c r="M1777" t="s">
        <v>2162</v>
      </c>
      <c r="N1777">
        <v>1</v>
      </c>
      <c r="O1777">
        <v>2024</v>
      </c>
      <c r="P1777">
        <v>99.614212714858894</v>
      </c>
      <c r="Q1777">
        <v>1.4361600838792941</v>
      </c>
      <c r="R1777" t="s">
        <v>289</v>
      </c>
      <c r="S1777">
        <v>75.07692307692308</v>
      </c>
      <c r="T1777" t="s">
        <v>290</v>
      </c>
      <c r="U1777">
        <v>75.07692307692308</v>
      </c>
      <c r="V1777">
        <v>99.614212714858894</v>
      </c>
      <c r="W1777">
        <v>1.4361600838792941</v>
      </c>
      <c r="X1777" t="s">
        <v>291</v>
      </c>
      <c r="Y1777">
        <v>10</v>
      </c>
      <c r="Z1777">
        <v>0.28693283304369371</v>
      </c>
      <c r="AA1777">
        <v>1</v>
      </c>
    </row>
    <row r="1778" spans="1:27" hidden="1" x14ac:dyDescent="0.25">
      <c r="A1778" t="s">
        <v>98</v>
      </c>
      <c r="B1778" t="s">
        <v>674</v>
      </c>
      <c r="D1778" t="s">
        <v>1722</v>
      </c>
      <c r="E1778" t="s">
        <v>284</v>
      </c>
      <c r="F1778" t="s">
        <v>297</v>
      </c>
      <c r="G1778" t="s">
        <v>103</v>
      </c>
      <c r="H1778" t="s">
        <v>104</v>
      </c>
      <c r="I1778">
        <v>2025</v>
      </c>
      <c r="J1778" t="s">
        <v>323</v>
      </c>
      <c r="K1778" t="s">
        <v>106</v>
      </c>
      <c r="L1778" t="s">
        <v>2147</v>
      </c>
      <c r="M1778" t="s">
        <v>2163</v>
      </c>
      <c r="N1778">
        <v>1</v>
      </c>
      <c r="O1778">
        <v>2025</v>
      </c>
      <c r="P1778">
        <v>94.526951376087595</v>
      </c>
      <c r="Q1778">
        <v>3.949349451558744</v>
      </c>
      <c r="R1778" t="s">
        <v>289</v>
      </c>
      <c r="S1778">
        <v>76.146700507614213</v>
      </c>
      <c r="T1778" t="s">
        <v>290</v>
      </c>
      <c r="U1778">
        <v>76.146700507614213</v>
      </c>
      <c r="V1778">
        <v>94.526951376087595</v>
      </c>
      <c r="W1778">
        <v>3.949349451558744</v>
      </c>
      <c r="X1778" t="s">
        <v>291</v>
      </c>
      <c r="Y1778">
        <v>10</v>
      </c>
      <c r="Z1778">
        <v>0.28693283304369371</v>
      </c>
      <c r="AA1778">
        <v>1</v>
      </c>
    </row>
    <row r="1779" spans="1:27" hidden="1" x14ac:dyDescent="0.25">
      <c r="A1779" t="s">
        <v>98</v>
      </c>
      <c r="B1779" t="s">
        <v>674</v>
      </c>
      <c r="D1779" t="s">
        <v>1722</v>
      </c>
      <c r="E1779" t="s">
        <v>284</v>
      </c>
      <c r="F1779" t="s">
        <v>297</v>
      </c>
      <c r="G1779" t="s">
        <v>112</v>
      </c>
      <c r="H1779" t="s">
        <v>104</v>
      </c>
      <c r="I1779">
        <v>2025</v>
      </c>
      <c r="J1779" t="s">
        <v>325</v>
      </c>
      <c r="K1779" t="s">
        <v>106</v>
      </c>
      <c r="L1779" t="s">
        <v>2147</v>
      </c>
      <c r="M1779" t="s">
        <v>2164</v>
      </c>
      <c r="N1779">
        <v>1</v>
      </c>
      <c r="O1779">
        <v>2025</v>
      </c>
      <c r="P1779">
        <v>69.765067810793198</v>
      </c>
      <c r="Q1779">
        <v>2.516631606553434</v>
      </c>
      <c r="R1779" t="s">
        <v>289</v>
      </c>
      <c r="S1779">
        <v>93</v>
      </c>
      <c r="T1779" t="s">
        <v>290</v>
      </c>
      <c r="U1779">
        <v>93</v>
      </c>
      <c r="V1779">
        <v>69.765067810793198</v>
      </c>
      <c r="W1779">
        <v>2.516631606553434</v>
      </c>
      <c r="X1779" t="s">
        <v>291</v>
      </c>
      <c r="Y1779">
        <v>10</v>
      </c>
      <c r="Z1779">
        <v>0.28693283304369371</v>
      </c>
      <c r="AA1779">
        <v>1</v>
      </c>
    </row>
    <row r="1780" spans="1:27" hidden="1" x14ac:dyDescent="0.25">
      <c r="A1780" t="s">
        <v>98</v>
      </c>
      <c r="B1780" t="s">
        <v>674</v>
      </c>
      <c r="D1780" t="s">
        <v>1722</v>
      </c>
      <c r="E1780" t="s">
        <v>284</v>
      </c>
      <c r="F1780" t="s">
        <v>302</v>
      </c>
      <c r="G1780" t="s">
        <v>103</v>
      </c>
      <c r="H1780" t="s">
        <v>104</v>
      </c>
      <c r="I1780">
        <v>2025</v>
      </c>
      <c r="J1780" t="s">
        <v>327</v>
      </c>
      <c r="K1780" t="s">
        <v>106</v>
      </c>
      <c r="L1780" t="s">
        <v>2147</v>
      </c>
      <c r="M1780" t="s">
        <v>2165</v>
      </c>
      <c r="N1780">
        <v>1</v>
      </c>
      <c r="O1780">
        <v>2025</v>
      </c>
      <c r="P1780">
        <v>105.7930490817716</v>
      </c>
      <c r="Q1780">
        <v>3.355492309527206</v>
      </c>
      <c r="R1780" t="s">
        <v>289</v>
      </c>
      <c r="S1780">
        <v>64.669172932330824</v>
      </c>
      <c r="T1780" t="s">
        <v>290</v>
      </c>
      <c r="U1780">
        <v>64.669172932330824</v>
      </c>
      <c r="V1780">
        <v>105.7930490817716</v>
      </c>
      <c r="W1780">
        <v>3.355492309527206</v>
      </c>
      <c r="X1780" t="s">
        <v>291</v>
      </c>
      <c r="Y1780">
        <v>10</v>
      </c>
      <c r="Z1780">
        <v>0.28693283304369371</v>
      </c>
      <c r="AA1780">
        <v>1</v>
      </c>
    </row>
    <row r="1781" spans="1:27" hidden="1" x14ac:dyDescent="0.25">
      <c r="A1781" t="s">
        <v>98</v>
      </c>
      <c r="B1781" t="s">
        <v>674</v>
      </c>
      <c r="D1781" t="s">
        <v>1722</v>
      </c>
      <c r="E1781" t="s">
        <v>284</v>
      </c>
      <c r="F1781" t="s">
        <v>302</v>
      </c>
      <c r="G1781" t="s">
        <v>112</v>
      </c>
      <c r="H1781" t="s">
        <v>104</v>
      </c>
      <c r="I1781">
        <v>2025</v>
      </c>
      <c r="J1781" t="s">
        <v>329</v>
      </c>
      <c r="K1781" t="s">
        <v>106</v>
      </c>
      <c r="L1781" t="s">
        <v>2147</v>
      </c>
      <c r="M1781" t="s">
        <v>2166</v>
      </c>
      <c r="N1781">
        <v>1</v>
      </c>
      <c r="O1781">
        <v>2025</v>
      </c>
      <c r="P1781">
        <v>99.614212714858894</v>
      </c>
      <c r="Q1781">
        <v>1.4361600838792941</v>
      </c>
      <c r="R1781" t="s">
        <v>289</v>
      </c>
      <c r="S1781">
        <v>75.07692307692308</v>
      </c>
      <c r="T1781" t="s">
        <v>290</v>
      </c>
      <c r="U1781">
        <v>75.07692307692308</v>
      </c>
      <c r="V1781">
        <v>99.614212714858894</v>
      </c>
      <c r="W1781">
        <v>1.4361600838792941</v>
      </c>
      <c r="X1781" t="s">
        <v>291</v>
      </c>
      <c r="Y1781">
        <v>10</v>
      </c>
      <c r="Z1781">
        <v>0.28693283304369371</v>
      </c>
      <c r="AA1781">
        <v>1</v>
      </c>
    </row>
    <row r="1782" spans="1:27" hidden="1" x14ac:dyDescent="0.25">
      <c r="A1782" t="s">
        <v>98</v>
      </c>
      <c r="B1782" t="s">
        <v>674</v>
      </c>
      <c r="D1782" t="s">
        <v>1722</v>
      </c>
      <c r="E1782" t="s">
        <v>284</v>
      </c>
      <c r="F1782" t="s">
        <v>297</v>
      </c>
      <c r="G1782" t="s">
        <v>103</v>
      </c>
      <c r="H1782" t="s">
        <v>104</v>
      </c>
      <c r="I1782">
        <v>2026</v>
      </c>
      <c r="J1782" t="s">
        <v>331</v>
      </c>
      <c r="K1782" t="s">
        <v>106</v>
      </c>
      <c r="L1782" t="s">
        <v>2147</v>
      </c>
      <c r="M1782" t="s">
        <v>2167</v>
      </c>
      <c r="N1782">
        <v>1</v>
      </c>
      <c r="O1782">
        <v>2026</v>
      </c>
      <c r="P1782">
        <v>94.526951376087595</v>
      </c>
      <c r="Q1782">
        <v>3.949349451558744</v>
      </c>
      <c r="R1782" t="s">
        <v>289</v>
      </c>
      <c r="S1782">
        <v>76.146700507614213</v>
      </c>
      <c r="T1782" t="s">
        <v>290</v>
      </c>
      <c r="U1782">
        <v>76.146700507614213</v>
      </c>
      <c r="V1782">
        <v>94.526951376087595</v>
      </c>
      <c r="W1782">
        <v>3.949349451558744</v>
      </c>
      <c r="X1782" t="s">
        <v>291</v>
      </c>
      <c r="Y1782">
        <v>10</v>
      </c>
      <c r="Z1782">
        <v>0.28693283304369371</v>
      </c>
      <c r="AA1782">
        <v>1</v>
      </c>
    </row>
    <row r="1783" spans="1:27" hidden="1" x14ac:dyDescent="0.25">
      <c r="A1783" t="s">
        <v>98</v>
      </c>
      <c r="B1783" t="s">
        <v>674</v>
      </c>
      <c r="D1783" t="s">
        <v>1722</v>
      </c>
      <c r="E1783" t="s">
        <v>284</v>
      </c>
      <c r="F1783" t="s">
        <v>297</v>
      </c>
      <c r="G1783" t="s">
        <v>112</v>
      </c>
      <c r="H1783" t="s">
        <v>104</v>
      </c>
      <c r="I1783">
        <v>2026</v>
      </c>
      <c r="J1783" t="s">
        <v>333</v>
      </c>
      <c r="K1783" t="s">
        <v>106</v>
      </c>
      <c r="L1783" t="s">
        <v>2147</v>
      </c>
      <c r="M1783" t="s">
        <v>2168</v>
      </c>
      <c r="N1783">
        <v>1</v>
      </c>
      <c r="O1783">
        <v>2026</v>
      </c>
      <c r="P1783">
        <v>69.765067810793198</v>
      </c>
      <c r="Q1783">
        <v>2.516631606553434</v>
      </c>
      <c r="R1783" t="s">
        <v>289</v>
      </c>
      <c r="S1783">
        <v>93</v>
      </c>
      <c r="T1783" t="s">
        <v>290</v>
      </c>
      <c r="U1783">
        <v>93</v>
      </c>
      <c r="V1783">
        <v>69.765067810793198</v>
      </c>
      <c r="W1783">
        <v>2.516631606553434</v>
      </c>
      <c r="X1783" t="s">
        <v>291</v>
      </c>
      <c r="Y1783">
        <v>10</v>
      </c>
      <c r="Z1783">
        <v>0.28693283304369371</v>
      </c>
      <c r="AA1783">
        <v>1</v>
      </c>
    </row>
    <row r="1784" spans="1:27" hidden="1" x14ac:dyDescent="0.25">
      <c r="A1784" t="s">
        <v>98</v>
      </c>
      <c r="B1784" t="s">
        <v>674</v>
      </c>
      <c r="D1784" t="s">
        <v>1722</v>
      </c>
      <c r="E1784" t="s">
        <v>284</v>
      </c>
      <c r="F1784" t="s">
        <v>302</v>
      </c>
      <c r="G1784" t="s">
        <v>103</v>
      </c>
      <c r="H1784" t="s">
        <v>104</v>
      </c>
      <c r="I1784">
        <v>2026</v>
      </c>
      <c r="J1784" t="s">
        <v>335</v>
      </c>
      <c r="K1784" t="s">
        <v>106</v>
      </c>
      <c r="L1784" t="s">
        <v>2147</v>
      </c>
      <c r="M1784" t="s">
        <v>2169</v>
      </c>
      <c r="N1784">
        <v>1</v>
      </c>
      <c r="O1784">
        <v>2026</v>
      </c>
      <c r="P1784">
        <v>105.7930490817716</v>
      </c>
      <c r="Q1784">
        <v>3.355492309527206</v>
      </c>
      <c r="R1784" t="s">
        <v>289</v>
      </c>
      <c r="S1784">
        <v>64.669172932330824</v>
      </c>
      <c r="T1784" t="s">
        <v>290</v>
      </c>
      <c r="U1784">
        <v>64.669172932330824</v>
      </c>
      <c r="V1784">
        <v>105.7930490817716</v>
      </c>
      <c r="W1784">
        <v>3.355492309527206</v>
      </c>
      <c r="X1784" t="s">
        <v>291</v>
      </c>
      <c r="Y1784">
        <v>10</v>
      </c>
      <c r="Z1784">
        <v>0.28693283304369371</v>
      </c>
      <c r="AA1784">
        <v>1</v>
      </c>
    </row>
    <row r="1785" spans="1:27" hidden="1" x14ac:dyDescent="0.25">
      <c r="A1785" t="s">
        <v>98</v>
      </c>
      <c r="B1785" t="s">
        <v>674</v>
      </c>
      <c r="D1785" t="s">
        <v>1722</v>
      </c>
      <c r="E1785" t="s">
        <v>284</v>
      </c>
      <c r="F1785" t="s">
        <v>302</v>
      </c>
      <c r="G1785" t="s">
        <v>112</v>
      </c>
      <c r="H1785" t="s">
        <v>104</v>
      </c>
      <c r="I1785">
        <v>2026</v>
      </c>
      <c r="J1785" t="s">
        <v>337</v>
      </c>
      <c r="K1785" t="s">
        <v>106</v>
      </c>
      <c r="L1785" t="s">
        <v>2147</v>
      </c>
      <c r="M1785" t="s">
        <v>2170</v>
      </c>
      <c r="N1785">
        <v>1</v>
      </c>
      <c r="O1785">
        <v>2026</v>
      </c>
      <c r="P1785">
        <v>99.614212714858894</v>
      </c>
      <c r="Q1785">
        <v>1.4361600838792941</v>
      </c>
      <c r="R1785" t="s">
        <v>289</v>
      </c>
      <c r="S1785">
        <v>75.07692307692308</v>
      </c>
      <c r="T1785" t="s">
        <v>290</v>
      </c>
      <c r="U1785">
        <v>75.07692307692308</v>
      </c>
      <c r="V1785">
        <v>99.614212714858894</v>
      </c>
      <c r="W1785">
        <v>1.4361600838792941</v>
      </c>
      <c r="X1785" t="s">
        <v>291</v>
      </c>
      <c r="Y1785">
        <v>10</v>
      </c>
      <c r="Z1785">
        <v>0.28693283304369371</v>
      </c>
      <c r="AA1785">
        <v>1</v>
      </c>
    </row>
    <row r="1786" spans="1:27" hidden="1" x14ac:dyDescent="0.25">
      <c r="A1786" t="s">
        <v>98</v>
      </c>
      <c r="B1786" t="s">
        <v>674</v>
      </c>
      <c r="D1786" t="s">
        <v>1722</v>
      </c>
      <c r="E1786" t="s">
        <v>284</v>
      </c>
      <c r="F1786" t="s">
        <v>292</v>
      </c>
      <c r="G1786" t="s">
        <v>103</v>
      </c>
      <c r="H1786" t="s">
        <v>104</v>
      </c>
      <c r="I1786">
        <v>2030</v>
      </c>
      <c r="J1786" t="s">
        <v>339</v>
      </c>
      <c r="K1786" t="s">
        <v>106</v>
      </c>
      <c r="L1786" t="s">
        <v>2147</v>
      </c>
      <c r="M1786" t="s">
        <v>2171</v>
      </c>
      <c r="N1786">
        <v>1</v>
      </c>
      <c r="O1786">
        <v>2030</v>
      </c>
      <c r="P1786">
        <v>99.96668875570353</v>
      </c>
      <c r="Q1786">
        <v>4.9152448223495018</v>
      </c>
      <c r="R1786" t="s">
        <v>289</v>
      </c>
      <c r="S1786">
        <v>55.211046644573933</v>
      </c>
      <c r="T1786" t="s">
        <v>290</v>
      </c>
      <c r="U1786">
        <v>55.211046644573933</v>
      </c>
      <c r="V1786">
        <v>99.96668875570353</v>
      </c>
      <c r="W1786">
        <v>4.9152448223495018</v>
      </c>
      <c r="X1786" t="s">
        <v>291</v>
      </c>
      <c r="Y1786">
        <v>10</v>
      </c>
      <c r="Z1786">
        <v>0.28693283304369371</v>
      </c>
      <c r="AA1786">
        <v>1</v>
      </c>
    </row>
    <row r="1787" spans="1:27" hidden="1" x14ac:dyDescent="0.25">
      <c r="A1787" t="s">
        <v>98</v>
      </c>
      <c r="B1787" t="s">
        <v>674</v>
      </c>
      <c r="D1787" t="s">
        <v>1722</v>
      </c>
      <c r="E1787" t="s">
        <v>284</v>
      </c>
      <c r="F1787" t="s">
        <v>292</v>
      </c>
      <c r="G1787" t="s">
        <v>112</v>
      </c>
      <c r="H1787" t="s">
        <v>104</v>
      </c>
      <c r="I1787">
        <v>2030</v>
      </c>
      <c r="J1787" t="s">
        <v>341</v>
      </c>
      <c r="K1787" t="s">
        <v>106</v>
      </c>
      <c r="L1787" t="s">
        <v>2147</v>
      </c>
      <c r="M1787" t="s">
        <v>2172</v>
      </c>
      <c r="N1787">
        <v>1</v>
      </c>
      <c r="O1787">
        <v>2030</v>
      </c>
      <c r="P1787">
        <v>93.570390823718384</v>
      </c>
      <c r="Q1787">
        <v>4.27625645181514</v>
      </c>
      <c r="R1787" t="s">
        <v>289</v>
      </c>
      <c r="S1787">
        <v>60.132155797450622</v>
      </c>
      <c r="T1787" t="s">
        <v>290</v>
      </c>
      <c r="U1787">
        <v>60.132155797450622</v>
      </c>
      <c r="V1787">
        <v>93.570390823718384</v>
      </c>
      <c r="W1787">
        <v>4.27625645181514</v>
      </c>
      <c r="X1787" t="s">
        <v>291</v>
      </c>
      <c r="Y1787">
        <v>10</v>
      </c>
      <c r="Z1787">
        <v>0.28693283304369371</v>
      </c>
      <c r="AA1787">
        <v>1</v>
      </c>
    </row>
    <row r="1788" spans="1:27" hidden="1" x14ac:dyDescent="0.25">
      <c r="A1788" t="s">
        <v>98</v>
      </c>
      <c r="B1788" t="s">
        <v>674</v>
      </c>
      <c r="D1788" t="s">
        <v>1722</v>
      </c>
      <c r="E1788" t="s">
        <v>284</v>
      </c>
      <c r="F1788" t="s">
        <v>297</v>
      </c>
      <c r="G1788" t="s">
        <v>103</v>
      </c>
      <c r="H1788" t="s">
        <v>104</v>
      </c>
      <c r="I1788">
        <v>2030</v>
      </c>
      <c r="J1788" t="s">
        <v>343</v>
      </c>
      <c r="K1788" t="s">
        <v>106</v>
      </c>
      <c r="L1788" t="s">
        <v>2147</v>
      </c>
      <c r="M1788" t="s">
        <v>2173</v>
      </c>
      <c r="N1788">
        <v>1</v>
      </c>
      <c r="O1788">
        <v>2030</v>
      </c>
      <c r="P1788">
        <v>112.2464608710101</v>
      </c>
      <c r="Q1788">
        <v>3.5870084905918258</v>
      </c>
      <c r="R1788" t="s">
        <v>289</v>
      </c>
      <c r="S1788">
        <v>89.042769074884546</v>
      </c>
      <c r="T1788" t="s">
        <v>290</v>
      </c>
      <c r="U1788">
        <v>89.042769074884546</v>
      </c>
      <c r="V1788">
        <v>112.2464608710101</v>
      </c>
      <c r="W1788">
        <v>3.5870084905918258</v>
      </c>
      <c r="X1788" t="s">
        <v>291</v>
      </c>
      <c r="Y1788">
        <v>10</v>
      </c>
      <c r="Z1788">
        <v>0.28693283304369371</v>
      </c>
      <c r="AA1788">
        <v>1</v>
      </c>
    </row>
    <row r="1789" spans="1:27" hidden="1" x14ac:dyDescent="0.25">
      <c r="A1789" t="s">
        <v>98</v>
      </c>
      <c r="B1789" t="s">
        <v>674</v>
      </c>
      <c r="D1789" t="s">
        <v>1722</v>
      </c>
      <c r="E1789" t="s">
        <v>284</v>
      </c>
      <c r="F1789" t="s">
        <v>297</v>
      </c>
      <c r="G1789" t="s">
        <v>112</v>
      </c>
      <c r="H1789" t="s">
        <v>104</v>
      </c>
      <c r="I1789">
        <v>2030</v>
      </c>
      <c r="J1789" t="s">
        <v>345</v>
      </c>
      <c r="K1789" t="s">
        <v>106</v>
      </c>
      <c r="L1789" t="s">
        <v>2147</v>
      </c>
      <c r="M1789" t="s">
        <v>2174</v>
      </c>
      <c r="N1789">
        <v>1</v>
      </c>
      <c r="O1789">
        <v>2030</v>
      </c>
      <c r="P1789">
        <v>84.571073913548247</v>
      </c>
      <c r="Q1789">
        <v>2.3525336937486059</v>
      </c>
      <c r="R1789" t="s">
        <v>289</v>
      </c>
      <c r="S1789">
        <v>108.5525423728814</v>
      </c>
      <c r="T1789" t="s">
        <v>290</v>
      </c>
      <c r="U1789">
        <v>108.5525423728814</v>
      </c>
      <c r="V1789">
        <v>84.571073913548247</v>
      </c>
      <c r="W1789">
        <v>2.3525336937486059</v>
      </c>
      <c r="X1789" t="s">
        <v>291</v>
      </c>
      <c r="Y1789">
        <v>10</v>
      </c>
      <c r="Z1789">
        <v>0.28693283304369371</v>
      </c>
      <c r="AA1789">
        <v>1</v>
      </c>
    </row>
    <row r="1790" spans="1:27" hidden="1" x14ac:dyDescent="0.25">
      <c r="A1790" t="s">
        <v>98</v>
      </c>
      <c r="B1790" t="s">
        <v>674</v>
      </c>
      <c r="D1790" t="s">
        <v>1722</v>
      </c>
      <c r="E1790" t="s">
        <v>284</v>
      </c>
      <c r="F1790" t="s">
        <v>292</v>
      </c>
      <c r="G1790" t="s">
        <v>103</v>
      </c>
      <c r="H1790" t="s">
        <v>104</v>
      </c>
      <c r="I1790">
        <v>2040</v>
      </c>
      <c r="J1790" t="s">
        <v>347</v>
      </c>
      <c r="K1790" t="s">
        <v>106</v>
      </c>
      <c r="L1790" t="s">
        <v>2147</v>
      </c>
      <c r="M1790" t="s">
        <v>2175</v>
      </c>
      <c r="N1790">
        <v>1</v>
      </c>
      <c r="O1790">
        <v>2040</v>
      </c>
      <c r="P1790">
        <v>98.335071194105581</v>
      </c>
      <c r="Q1790">
        <v>4.7080379086524973</v>
      </c>
      <c r="R1790" t="s">
        <v>289</v>
      </c>
      <c r="S1790">
        <v>63.829339223058007</v>
      </c>
      <c r="T1790" t="s">
        <v>290</v>
      </c>
      <c r="U1790">
        <v>63.829339223058007</v>
      </c>
      <c r="V1790">
        <v>98.335071194105581</v>
      </c>
      <c r="W1790">
        <v>4.7080379086524973</v>
      </c>
      <c r="X1790" t="s">
        <v>291</v>
      </c>
      <c r="Y1790">
        <v>10</v>
      </c>
      <c r="Z1790">
        <v>0.28693283304369371</v>
      </c>
      <c r="AA1790">
        <v>1</v>
      </c>
    </row>
    <row r="1791" spans="1:27" hidden="1" x14ac:dyDescent="0.25">
      <c r="A1791" t="s">
        <v>98</v>
      </c>
      <c r="B1791" t="s">
        <v>674</v>
      </c>
      <c r="D1791" t="s">
        <v>1722</v>
      </c>
      <c r="E1791" t="s">
        <v>284</v>
      </c>
      <c r="F1791" t="s">
        <v>292</v>
      </c>
      <c r="G1791" t="s">
        <v>112</v>
      </c>
      <c r="H1791" t="s">
        <v>104</v>
      </c>
      <c r="I1791">
        <v>2040</v>
      </c>
      <c r="J1791" t="s">
        <v>349</v>
      </c>
      <c r="K1791" t="s">
        <v>106</v>
      </c>
      <c r="L1791" t="s">
        <v>2147</v>
      </c>
      <c r="M1791" t="s">
        <v>2176</v>
      </c>
      <c r="N1791">
        <v>1</v>
      </c>
      <c r="O1791">
        <v>2040</v>
      </c>
      <c r="P1791">
        <v>92.137687829328328</v>
      </c>
      <c r="Q1791">
        <v>4.1202723323867074</v>
      </c>
      <c r="R1791" t="s">
        <v>289</v>
      </c>
      <c r="S1791">
        <v>69.934718883357121</v>
      </c>
      <c r="T1791" t="s">
        <v>290</v>
      </c>
      <c r="U1791">
        <v>69.934718883357121</v>
      </c>
      <c r="V1791">
        <v>92.137687829328328</v>
      </c>
      <c r="W1791">
        <v>4.1202723323867074</v>
      </c>
      <c r="X1791" t="s">
        <v>291</v>
      </c>
      <c r="Y1791">
        <v>10</v>
      </c>
      <c r="Z1791">
        <v>0.28693283304369371</v>
      </c>
      <c r="AA1791">
        <v>1</v>
      </c>
    </row>
    <row r="1792" spans="1:27" hidden="1" x14ac:dyDescent="0.25">
      <c r="A1792" t="s">
        <v>98</v>
      </c>
      <c r="B1792" t="s">
        <v>674</v>
      </c>
      <c r="D1792" t="s">
        <v>1722</v>
      </c>
      <c r="E1792" t="s">
        <v>284</v>
      </c>
      <c r="F1792" t="s">
        <v>297</v>
      </c>
      <c r="G1792" t="s">
        <v>103</v>
      </c>
      <c r="H1792" t="s">
        <v>104</v>
      </c>
      <c r="I1792">
        <v>2040</v>
      </c>
      <c r="J1792" t="s">
        <v>351</v>
      </c>
      <c r="K1792" t="s">
        <v>106</v>
      </c>
      <c r="L1792" t="s">
        <v>2147</v>
      </c>
      <c r="M1792" t="s">
        <v>2177</v>
      </c>
      <c r="N1792">
        <v>1</v>
      </c>
      <c r="O1792">
        <v>2040</v>
      </c>
      <c r="P1792">
        <v>109.62871509832991</v>
      </c>
      <c r="Q1792">
        <v>3.28145573783857</v>
      </c>
      <c r="R1792" t="s">
        <v>289</v>
      </c>
      <c r="S1792">
        <v>101.8534675620791</v>
      </c>
      <c r="T1792" t="s">
        <v>290</v>
      </c>
      <c r="U1792">
        <v>101.8534675620791</v>
      </c>
      <c r="V1792">
        <v>109.62871509832991</v>
      </c>
      <c r="W1792">
        <v>3.28145573783857</v>
      </c>
      <c r="X1792" t="s">
        <v>291</v>
      </c>
      <c r="Y1792">
        <v>10</v>
      </c>
      <c r="Z1792">
        <v>0.28693283304369371</v>
      </c>
      <c r="AA1792">
        <v>1</v>
      </c>
    </row>
    <row r="1793" spans="1:27" hidden="1" x14ac:dyDescent="0.25">
      <c r="A1793" t="s">
        <v>98</v>
      </c>
      <c r="B1793" t="s">
        <v>674</v>
      </c>
      <c r="D1793" t="s">
        <v>1722</v>
      </c>
      <c r="E1793" t="s">
        <v>284</v>
      </c>
      <c r="F1793" t="s">
        <v>297</v>
      </c>
      <c r="G1793" t="s">
        <v>112</v>
      </c>
      <c r="H1793" t="s">
        <v>104</v>
      </c>
      <c r="I1793">
        <v>2040</v>
      </c>
      <c r="J1793" t="s">
        <v>353</v>
      </c>
      <c r="K1793" t="s">
        <v>106</v>
      </c>
      <c r="L1793" t="s">
        <v>2147</v>
      </c>
      <c r="M1793" t="s">
        <v>2178</v>
      </c>
      <c r="N1793">
        <v>1</v>
      </c>
      <c r="O1793">
        <v>2040</v>
      </c>
      <c r="P1793">
        <v>82.941268534212341</v>
      </c>
      <c r="Q1793">
        <v>2.168671786742209</v>
      </c>
      <c r="R1793" t="s">
        <v>289</v>
      </c>
      <c r="S1793">
        <v>124.1701372074253</v>
      </c>
      <c r="T1793" t="s">
        <v>290</v>
      </c>
      <c r="U1793">
        <v>124.1701372074253</v>
      </c>
      <c r="V1793">
        <v>82.941268534212341</v>
      </c>
      <c r="W1793">
        <v>2.168671786742209</v>
      </c>
      <c r="X1793" t="s">
        <v>291</v>
      </c>
      <c r="Y1793">
        <v>10</v>
      </c>
      <c r="Z1793">
        <v>0.28693283304369371</v>
      </c>
      <c r="AA1793">
        <v>1</v>
      </c>
    </row>
    <row r="1794" spans="1:27" hidden="1" x14ac:dyDescent="0.25">
      <c r="A1794" t="s">
        <v>98</v>
      </c>
      <c r="B1794" t="s">
        <v>674</v>
      </c>
      <c r="D1794" t="s">
        <v>1722</v>
      </c>
      <c r="E1794" t="s">
        <v>284</v>
      </c>
      <c r="F1794" t="s">
        <v>355</v>
      </c>
      <c r="G1794" t="s">
        <v>103</v>
      </c>
      <c r="H1794" t="s">
        <v>104</v>
      </c>
      <c r="I1794">
        <v>2022</v>
      </c>
      <c r="J1794" t="s">
        <v>356</v>
      </c>
      <c r="K1794" t="s">
        <v>106</v>
      </c>
      <c r="L1794" t="s">
        <v>2147</v>
      </c>
      <c r="M1794" t="s">
        <v>2179</v>
      </c>
      <c r="N1794">
        <v>1</v>
      </c>
      <c r="O1794">
        <v>2020</v>
      </c>
      <c r="P1794">
        <v>26.539302440149839</v>
      </c>
      <c r="Q1794">
        <v>0.71977466386263589</v>
      </c>
      <c r="R1794" t="s">
        <v>289</v>
      </c>
      <c r="S1794">
        <v>85.75677051732572</v>
      </c>
      <c r="T1794" t="s">
        <v>290</v>
      </c>
      <c r="U1794">
        <v>85.75677051732572</v>
      </c>
      <c r="V1794">
        <v>26.539302440149839</v>
      </c>
      <c r="W1794">
        <v>0.71977466386263589</v>
      </c>
      <c r="X1794" t="s">
        <v>291</v>
      </c>
      <c r="Y1794">
        <v>10</v>
      </c>
      <c r="Z1794">
        <v>0.28693283304369371</v>
      </c>
      <c r="AA1794">
        <v>1</v>
      </c>
    </row>
    <row r="1795" spans="1:27" hidden="1" x14ac:dyDescent="0.25">
      <c r="A1795" t="s">
        <v>98</v>
      </c>
      <c r="B1795" t="s">
        <v>674</v>
      </c>
      <c r="D1795" t="s">
        <v>1722</v>
      </c>
      <c r="E1795" t="s">
        <v>284</v>
      </c>
      <c r="F1795" t="s">
        <v>355</v>
      </c>
      <c r="G1795" t="s">
        <v>112</v>
      </c>
      <c r="H1795" t="s">
        <v>104</v>
      </c>
      <c r="I1795">
        <v>2022</v>
      </c>
      <c r="J1795" t="s">
        <v>358</v>
      </c>
      <c r="K1795" t="s">
        <v>106</v>
      </c>
      <c r="L1795" t="s">
        <v>2147</v>
      </c>
      <c r="M1795" t="s">
        <v>2180</v>
      </c>
      <c r="N1795">
        <v>1</v>
      </c>
      <c r="O1795">
        <v>2020</v>
      </c>
      <c r="P1795">
        <v>27.952547937105681</v>
      </c>
      <c r="Q1795">
        <v>0.83346015109483984</v>
      </c>
      <c r="R1795" t="s">
        <v>289</v>
      </c>
      <c r="S1795">
        <v>88.372750377742747</v>
      </c>
      <c r="T1795" t="s">
        <v>290</v>
      </c>
      <c r="U1795">
        <v>88.372750377742747</v>
      </c>
      <c r="V1795">
        <v>27.952547937105681</v>
      </c>
      <c r="W1795">
        <v>0.83346015109483984</v>
      </c>
      <c r="X1795" t="s">
        <v>291</v>
      </c>
      <c r="Y1795">
        <v>10</v>
      </c>
      <c r="Z1795">
        <v>0.28693283304369371</v>
      </c>
      <c r="AA1795">
        <v>1</v>
      </c>
    </row>
    <row r="1796" spans="1:27" hidden="1" x14ac:dyDescent="0.25">
      <c r="A1796" t="s">
        <v>98</v>
      </c>
      <c r="B1796" t="s">
        <v>674</v>
      </c>
      <c r="D1796" t="s">
        <v>1722</v>
      </c>
      <c r="E1796" t="s">
        <v>284</v>
      </c>
      <c r="F1796" t="s">
        <v>360</v>
      </c>
      <c r="G1796" t="s">
        <v>103</v>
      </c>
      <c r="H1796" t="s">
        <v>104</v>
      </c>
      <c r="I1796">
        <v>2022</v>
      </c>
      <c r="J1796" t="s">
        <v>361</v>
      </c>
      <c r="K1796" t="s">
        <v>106</v>
      </c>
      <c r="L1796" t="s">
        <v>2147</v>
      </c>
      <c r="M1796" t="s">
        <v>2181</v>
      </c>
      <c r="N1796">
        <v>1</v>
      </c>
      <c r="O1796">
        <v>2020</v>
      </c>
      <c r="P1796">
        <v>30.743231458982891</v>
      </c>
      <c r="Q1796">
        <v>0.75530083267302539</v>
      </c>
      <c r="R1796" t="s">
        <v>289</v>
      </c>
      <c r="S1796">
        <v>85.752844444444449</v>
      </c>
      <c r="T1796" t="s">
        <v>290</v>
      </c>
      <c r="U1796">
        <v>85.752844444444449</v>
      </c>
      <c r="V1796">
        <v>30.743231458982891</v>
      </c>
      <c r="W1796">
        <v>0.75530083267302539</v>
      </c>
      <c r="X1796" t="s">
        <v>291</v>
      </c>
      <c r="Y1796">
        <v>10</v>
      </c>
      <c r="Z1796">
        <v>0.28693283304369371</v>
      </c>
      <c r="AA1796">
        <v>1</v>
      </c>
    </row>
    <row r="1797" spans="1:27" hidden="1" x14ac:dyDescent="0.25">
      <c r="A1797" t="s">
        <v>98</v>
      </c>
      <c r="B1797" t="s">
        <v>674</v>
      </c>
      <c r="D1797" t="s">
        <v>1722</v>
      </c>
      <c r="E1797" t="s">
        <v>284</v>
      </c>
      <c r="F1797" t="s">
        <v>360</v>
      </c>
      <c r="G1797" t="s">
        <v>112</v>
      </c>
      <c r="H1797" t="s">
        <v>104</v>
      </c>
      <c r="I1797">
        <v>2022</v>
      </c>
      <c r="J1797" t="s">
        <v>363</v>
      </c>
      <c r="K1797" t="s">
        <v>106</v>
      </c>
      <c r="L1797" t="s">
        <v>2147</v>
      </c>
      <c r="M1797" t="s">
        <v>2182</v>
      </c>
      <c r="N1797">
        <v>1</v>
      </c>
      <c r="O1797">
        <v>2020</v>
      </c>
      <c r="P1797">
        <v>30.995290460986698</v>
      </c>
      <c r="Q1797">
        <v>1.07624732944957</v>
      </c>
      <c r="R1797" t="s">
        <v>289</v>
      </c>
      <c r="S1797">
        <v>91.18482905982907</v>
      </c>
      <c r="T1797" t="s">
        <v>290</v>
      </c>
      <c r="U1797">
        <v>91.18482905982907</v>
      </c>
      <c r="V1797">
        <v>30.995290460986698</v>
      </c>
      <c r="W1797">
        <v>1.07624732944957</v>
      </c>
      <c r="X1797" t="s">
        <v>291</v>
      </c>
      <c r="Y1797">
        <v>10</v>
      </c>
      <c r="Z1797">
        <v>0.28693283304369371</v>
      </c>
      <c r="AA1797">
        <v>1</v>
      </c>
    </row>
    <row r="1798" spans="1:27" hidden="1" x14ac:dyDescent="0.25">
      <c r="A1798" t="s">
        <v>98</v>
      </c>
      <c r="B1798" t="s">
        <v>674</v>
      </c>
      <c r="D1798" t="s">
        <v>1722</v>
      </c>
      <c r="E1798" t="s">
        <v>284</v>
      </c>
      <c r="F1798" t="s">
        <v>365</v>
      </c>
      <c r="G1798" t="s">
        <v>103</v>
      </c>
      <c r="H1798" t="s">
        <v>104</v>
      </c>
      <c r="I1798">
        <v>2022</v>
      </c>
      <c r="J1798" t="s">
        <v>366</v>
      </c>
      <c r="K1798" t="s">
        <v>106</v>
      </c>
      <c r="L1798" t="s">
        <v>2147</v>
      </c>
      <c r="M1798" t="s">
        <v>2183</v>
      </c>
      <c r="N1798">
        <v>1</v>
      </c>
      <c r="O1798">
        <v>2020</v>
      </c>
      <c r="P1798">
        <v>34.581332645158973</v>
      </c>
      <c r="Q1798">
        <v>1.926881708285624</v>
      </c>
      <c r="R1798" t="s">
        <v>289</v>
      </c>
      <c r="S1798">
        <v>115.45533602622641</v>
      </c>
      <c r="T1798" t="s">
        <v>290</v>
      </c>
      <c r="U1798">
        <v>115.45533602622641</v>
      </c>
      <c r="V1798">
        <v>34.581332645158973</v>
      </c>
      <c r="W1798">
        <v>1.926881708285624</v>
      </c>
      <c r="X1798" t="s">
        <v>291</v>
      </c>
      <c r="Y1798">
        <v>10</v>
      </c>
      <c r="Z1798">
        <v>0.28693283304369371</v>
      </c>
      <c r="AA1798">
        <v>1</v>
      </c>
    </row>
    <row r="1799" spans="1:27" hidden="1" x14ac:dyDescent="0.25">
      <c r="A1799" t="s">
        <v>98</v>
      </c>
      <c r="B1799" t="s">
        <v>674</v>
      </c>
      <c r="D1799" t="s">
        <v>1722</v>
      </c>
      <c r="E1799" t="s">
        <v>284</v>
      </c>
      <c r="F1799" t="s">
        <v>365</v>
      </c>
      <c r="G1799" t="s">
        <v>112</v>
      </c>
      <c r="H1799" t="s">
        <v>104</v>
      </c>
      <c r="I1799">
        <v>2022</v>
      </c>
      <c r="J1799" t="s">
        <v>368</v>
      </c>
      <c r="K1799" t="s">
        <v>106</v>
      </c>
      <c r="L1799" t="s">
        <v>2147</v>
      </c>
      <c r="M1799" t="s">
        <v>2184</v>
      </c>
      <c r="N1799">
        <v>1</v>
      </c>
      <c r="O1799">
        <v>2020</v>
      </c>
      <c r="P1799">
        <v>44.653862333829821</v>
      </c>
      <c r="Q1799">
        <v>2.4693086643180591</v>
      </c>
      <c r="R1799" t="s">
        <v>289</v>
      </c>
      <c r="S1799">
        <v>130.6177318295739</v>
      </c>
      <c r="T1799" t="s">
        <v>290</v>
      </c>
      <c r="U1799">
        <v>130.6177318295739</v>
      </c>
      <c r="V1799">
        <v>44.653862333829821</v>
      </c>
      <c r="W1799">
        <v>2.4693086643180591</v>
      </c>
      <c r="X1799" t="s">
        <v>291</v>
      </c>
      <c r="Y1799">
        <v>10</v>
      </c>
      <c r="Z1799">
        <v>0.28693283304369371</v>
      </c>
      <c r="AA1799">
        <v>1</v>
      </c>
    </row>
    <row r="1800" spans="1:27" hidden="1" x14ac:dyDescent="0.25">
      <c r="A1800" t="s">
        <v>98</v>
      </c>
      <c r="B1800" t="s">
        <v>674</v>
      </c>
      <c r="D1800" t="s">
        <v>1722</v>
      </c>
      <c r="E1800" t="s">
        <v>284</v>
      </c>
      <c r="F1800" t="s">
        <v>365</v>
      </c>
      <c r="G1800" t="s">
        <v>103</v>
      </c>
      <c r="H1800" t="s">
        <v>104</v>
      </c>
      <c r="I1800">
        <v>2023</v>
      </c>
      <c r="J1800" t="s">
        <v>370</v>
      </c>
      <c r="K1800" t="s">
        <v>106</v>
      </c>
      <c r="L1800" t="s">
        <v>2147</v>
      </c>
      <c r="M1800" t="s">
        <v>2185</v>
      </c>
      <c r="N1800">
        <v>1</v>
      </c>
      <c r="O1800">
        <v>2023</v>
      </c>
      <c r="P1800">
        <v>34.353918735727063</v>
      </c>
      <c r="Q1800">
        <v>1.893397965391721</v>
      </c>
      <c r="R1800" t="s">
        <v>289</v>
      </c>
      <c r="S1800">
        <v>115.45533602622641</v>
      </c>
      <c r="T1800" t="s">
        <v>290</v>
      </c>
      <c r="U1800">
        <v>115.45533602622641</v>
      </c>
      <c r="V1800">
        <v>34.353918735727063</v>
      </c>
      <c r="W1800">
        <v>1.893397965391721</v>
      </c>
      <c r="X1800" t="s">
        <v>291</v>
      </c>
      <c r="Y1800">
        <v>10</v>
      </c>
      <c r="Z1800">
        <v>0.28693283304369371</v>
      </c>
      <c r="AA1800">
        <v>1</v>
      </c>
    </row>
    <row r="1801" spans="1:27" hidden="1" x14ac:dyDescent="0.25">
      <c r="A1801" t="s">
        <v>98</v>
      </c>
      <c r="B1801" t="s">
        <v>674</v>
      </c>
      <c r="D1801" t="s">
        <v>1722</v>
      </c>
      <c r="E1801" t="s">
        <v>284</v>
      </c>
      <c r="F1801" t="s">
        <v>365</v>
      </c>
      <c r="G1801" t="s">
        <v>112</v>
      </c>
      <c r="H1801" t="s">
        <v>104</v>
      </c>
      <c r="I1801">
        <v>2023</v>
      </c>
      <c r="J1801" t="s">
        <v>372</v>
      </c>
      <c r="K1801" t="s">
        <v>106</v>
      </c>
      <c r="L1801" t="s">
        <v>2147</v>
      </c>
      <c r="M1801" t="s">
        <v>2186</v>
      </c>
      <c r="N1801">
        <v>1</v>
      </c>
      <c r="O1801">
        <v>2023</v>
      </c>
      <c r="P1801">
        <v>43.733464606512037</v>
      </c>
      <c r="Q1801">
        <v>2.4042644647868401</v>
      </c>
      <c r="R1801" t="s">
        <v>289</v>
      </c>
      <c r="S1801">
        <v>130.6177318295739</v>
      </c>
      <c r="T1801" t="s">
        <v>290</v>
      </c>
      <c r="U1801">
        <v>130.6177318295739</v>
      </c>
      <c r="V1801">
        <v>43.733464606512037</v>
      </c>
      <c r="W1801">
        <v>2.4042644647868401</v>
      </c>
      <c r="X1801" t="s">
        <v>291</v>
      </c>
      <c r="Y1801">
        <v>10</v>
      </c>
      <c r="Z1801">
        <v>0.28693283304369371</v>
      </c>
      <c r="AA1801">
        <v>1</v>
      </c>
    </row>
    <row r="1802" spans="1:27" hidden="1" x14ac:dyDescent="0.25">
      <c r="A1802" t="s">
        <v>98</v>
      </c>
      <c r="B1802" t="s">
        <v>674</v>
      </c>
      <c r="D1802" t="s">
        <v>1722</v>
      </c>
      <c r="E1802" t="s">
        <v>284</v>
      </c>
      <c r="F1802" t="s">
        <v>365</v>
      </c>
      <c r="G1802" t="s">
        <v>103</v>
      </c>
      <c r="H1802" t="s">
        <v>104</v>
      </c>
      <c r="I1802">
        <v>2024</v>
      </c>
      <c r="J1802" t="s">
        <v>374</v>
      </c>
      <c r="K1802" t="s">
        <v>106</v>
      </c>
      <c r="L1802" t="s">
        <v>2147</v>
      </c>
      <c r="M1802" t="s">
        <v>2187</v>
      </c>
      <c r="N1802">
        <v>1</v>
      </c>
      <c r="O1802">
        <v>2024</v>
      </c>
      <c r="P1802">
        <v>34.353918735727063</v>
      </c>
      <c r="Q1802">
        <v>1.893397965391721</v>
      </c>
      <c r="R1802" t="s">
        <v>289</v>
      </c>
      <c r="S1802">
        <v>115.45533602622641</v>
      </c>
      <c r="T1802" t="s">
        <v>290</v>
      </c>
      <c r="U1802">
        <v>115.45533602622641</v>
      </c>
      <c r="V1802">
        <v>34.353918735727063</v>
      </c>
      <c r="W1802">
        <v>1.893397965391721</v>
      </c>
      <c r="X1802" t="s">
        <v>291</v>
      </c>
      <c r="Y1802">
        <v>10</v>
      </c>
      <c r="Z1802">
        <v>0.28693283304369371</v>
      </c>
      <c r="AA1802">
        <v>1</v>
      </c>
    </row>
    <row r="1803" spans="1:27" hidden="1" x14ac:dyDescent="0.25">
      <c r="A1803" t="s">
        <v>98</v>
      </c>
      <c r="B1803" t="s">
        <v>674</v>
      </c>
      <c r="D1803" t="s">
        <v>1722</v>
      </c>
      <c r="E1803" t="s">
        <v>284</v>
      </c>
      <c r="F1803" t="s">
        <v>365</v>
      </c>
      <c r="G1803" t="s">
        <v>112</v>
      </c>
      <c r="H1803" t="s">
        <v>104</v>
      </c>
      <c r="I1803">
        <v>2024</v>
      </c>
      <c r="J1803" t="s">
        <v>376</v>
      </c>
      <c r="K1803" t="s">
        <v>106</v>
      </c>
      <c r="L1803" t="s">
        <v>2147</v>
      </c>
      <c r="M1803" t="s">
        <v>2188</v>
      </c>
      <c r="N1803">
        <v>1</v>
      </c>
      <c r="O1803">
        <v>2024</v>
      </c>
      <c r="P1803">
        <v>43.733464606512037</v>
      </c>
      <c r="Q1803">
        <v>2.4042644647868401</v>
      </c>
      <c r="R1803" t="s">
        <v>289</v>
      </c>
      <c r="S1803">
        <v>130.6177318295739</v>
      </c>
      <c r="T1803" t="s">
        <v>290</v>
      </c>
      <c r="U1803">
        <v>130.6177318295739</v>
      </c>
      <c r="V1803">
        <v>43.733464606512037</v>
      </c>
      <c r="W1803">
        <v>2.4042644647868401</v>
      </c>
      <c r="X1803" t="s">
        <v>291</v>
      </c>
      <c r="Y1803">
        <v>10</v>
      </c>
      <c r="Z1803">
        <v>0.28693283304369371</v>
      </c>
      <c r="AA1803">
        <v>1</v>
      </c>
    </row>
    <row r="1804" spans="1:27" hidden="1" x14ac:dyDescent="0.25">
      <c r="A1804" t="s">
        <v>98</v>
      </c>
      <c r="B1804" t="s">
        <v>674</v>
      </c>
      <c r="D1804" t="s">
        <v>1722</v>
      </c>
      <c r="E1804" t="s">
        <v>284</v>
      </c>
      <c r="F1804" t="s">
        <v>365</v>
      </c>
      <c r="G1804" t="s">
        <v>103</v>
      </c>
      <c r="H1804" t="s">
        <v>104</v>
      </c>
      <c r="I1804">
        <v>2025</v>
      </c>
      <c r="J1804" t="s">
        <v>378</v>
      </c>
      <c r="K1804" t="s">
        <v>106</v>
      </c>
      <c r="L1804" t="s">
        <v>2147</v>
      </c>
      <c r="M1804" t="s">
        <v>2189</v>
      </c>
      <c r="N1804">
        <v>1</v>
      </c>
      <c r="O1804">
        <v>2025</v>
      </c>
      <c r="P1804">
        <v>34.353918735727063</v>
      </c>
      <c r="Q1804">
        <v>1.893397965391721</v>
      </c>
      <c r="R1804" t="s">
        <v>289</v>
      </c>
      <c r="S1804">
        <v>115.45533602622641</v>
      </c>
      <c r="T1804" t="s">
        <v>290</v>
      </c>
      <c r="U1804">
        <v>115.45533602622641</v>
      </c>
      <c r="V1804">
        <v>34.353918735727063</v>
      </c>
      <c r="W1804">
        <v>1.893397965391721</v>
      </c>
      <c r="X1804" t="s">
        <v>291</v>
      </c>
      <c r="Y1804">
        <v>10</v>
      </c>
      <c r="Z1804">
        <v>0.28693283304369371</v>
      </c>
      <c r="AA1804">
        <v>1</v>
      </c>
    </row>
    <row r="1805" spans="1:27" hidden="1" x14ac:dyDescent="0.25">
      <c r="A1805" t="s">
        <v>98</v>
      </c>
      <c r="B1805" t="s">
        <v>674</v>
      </c>
      <c r="D1805" t="s">
        <v>1722</v>
      </c>
      <c r="E1805" t="s">
        <v>284</v>
      </c>
      <c r="F1805" t="s">
        <v>365</v>
      </c>
      <c r="G1805" t="s">
        <v>112</v>
      </c>
      <c r="H1805" t="s">
        <v>104</v>
      </c>
      <c r="I1805">
        <v>2025</v>
      </c>
      <c r="J1805" t="s">
        <v>380</v>
      </c>
      <c r="K1805" t="s">
        <v>106</v>
      </c>
      <c r="L1805" t="s">
        <v>2147</v>
      </c>
      <c r="M1805" t="s">
        <v>2190</v>
      </c>
      <c r="N1805">
        <v>1</v>
      </c>
      <c r="O1805">
        <v>2025</v>
      </c>
      <c r="P1805">
        <v>43.733464606512037</v>
      </c>
      <c r="Q1805">
        <v>2.4042644647868401</v>
      </c>
      <c r="R1805" t="s">
        <v>289</v>
      </c>
      <c r="S1805">
        <v>130.6177318295739</v>
      </c>
      <c r="T1805" t="s">
        <v>290</v>
      </c>
      <c r="U1805">
        <v>130.6177318295739</v>
      </c>
      <c r="V1805">
        <v>43.733464606512037</v>
      </c>
      <c r="W1805">
        <v>2.4042644647868401</v>
      </c>
      <c r="X1805" t="s">
        <v>291</v>
      </c>
      <c r="Y1805">
        <v>10</v>
      </c>
      <c r="Z1805">
        <v>0.28693283304369371</v>
      </c>
      <c r="AA1805">
        <v>1</v>
      </c>
    </row>
    <row r="1806" spans="1:27" hidden="1" x14ac:dyDescent="0.25">
      <c r="A1806" t="s">
        <v>98</v>
      </c>
      <c r="B1806" t="s">
        <v>674</v>
      </c>
      <c r="D1806" t="s">
        <v>1722</v>
      </c>
      <c r="E1806" t="s">
        <v>284</v>
      </c>
      <c r="F1806" t="s">
        <v>365</v>
      </c>
      <c r="G1806" t="s">
        <v>103</v>
      </c>
      <c r="H1806" t="s">
        <v>104</v>
      </c>
      <c r="I1806">
        <v>2026</v>
      </c>
      <c r="J1806" t="s">
        <v>382</v>
      </c>
      <c r="K1806" t="s">
        <v>106</v>
      </c>
      <c r="L1806" t="s">
        <v>2147</v>
      </c>
      <c r="M1806" t="s">
        <v>2191</v>
      </c>
      <c r="N1806">
        <v>1</v>
      </c>
      <c r="O1806">
        <v>2026</v>
      </c>
      <c r="P1806">
        <v>34.353918735727063</v>
      </c>
      <c r="Q1806">
        <v>1.893397965391721</v>
      </c>
      <c r="R1806" t="s">
        <v>289</v>
      </c>
      <c r="S1806">
        <v>115.45533602622641</v>
      </c>
      <c r="T1806" t="s">
        <v>290</v>
      </c>
      <c r="U1806">
        <v>115.45533602622641</v>
      </c>
      <c r="V1806">
        <v>34.353918735727063</v>
      </c>
      <c r="W1806">
        <v>1.893397965391721</v>
      </c>
      <c r="X1806" t="s">
        <v>291</v>
      </c>
      <c r="Y1806">
        <v>10</v>
      </c>
      <c r="Z1806">
        <v>0.28693283304369371</v>
      </c>
      <c r="AA1806">
        <v>1</v>
      </c>
    </row>
    <row r="1807" spans="1:27" hidden="1" x14ac:dyDescent="0.25">
      <c r="A1807" t="s">
        <v>98</v>
      </c>
      <c r="B1807" t="s">
        <v>674</v>
      </c>
      <c r="D1807" t="s">
        <v>1722</v>
      </c>
      <c r="E1807" t="s">
        <v>284</v>
      </c>
      <c r="F1807" t="s">
        <v>365</v>
      </c>
      <c r="G1807" t="s">
        <v>112</v>
      </c>
      <c r="H1807" t="s">
        <v>104</v>
      </c>
      <c r="I1807">
        <v>2026</v>
      </c>
      <c r="J1807" t="s">
        <v>384</v>
      </c>
      <c r="K1807" t="s">
        <v>106</v>
      </c>
      <c r="L1807" t="s">
        <v>2147</v>
      </c>
      <c r="M1807" t="s">
        <v>2192</v>
      </c>
      <c r="N1807">
        <v>1</v>
      </c>
      <c r="O1807">
        <v>2026</v>
      </c>
      <c r="P1807">
        <v>43.733464606512037</v>
      </c>
      <c r="Q1807">
        <v>2.4042644647868401</v>
      </c>
      <c r="R1807" t="s">
        <v>289</v>
      </c>
      <c r="S1807">
        <v>130.6177318295739</v>
      </c>
      <c r="T1807" t="s">
        <v>290</v>
      </c>
      <c r="U1807">
        <v>130.6177318295739</v>
      </c>
      <c r="V1807">
        <v>43.733464606512037</v>
      </c>
      <c r="W1807">
        <v>2.4042644647868401</v>
      </c>
      <c r="X1807" t="s">
        <v>291</v>
      </c>
      <c r="Y1807">
        <v>10</v>
      </c>
      <c r="Z1807">
        <v>0.28693283304369371</v>
      </c>
      <c r="AA1807">
        <v>1</v>
      </c>
    </row>
    <row r="1808" spans="1:27" hidden="1" x14ac:dyDescent="0.25">
      <c r="A1808" t="s">
        <v>98</v>
      </c>
      <c r="B1808" t="s">
        <v>674</v>
      </c>
      <c r="D1808" t="s">
        <v>1722</v>
      </c>
      <c r="E1808" t="s">
        <v>284</v>
      </c>
      <c r="F1808" t="s">
        <v>365</v>
      </c>
      <c r="G1808" t="s">
        <v>103</v>
      </c>
      <c r="H1808" t="s">
        <v>104</v>
      </c>
      <c r="I1808">
        <v>2027</v>
      </c>
      <c r="J1808" t="s">
        <v>386</v>
      </c>
      <c r="K1808" t="s">
        <v>106</v>
      </c>
      <c r="L1808" t="s">
        <v>2147</v>
      </c>
      <c r="M1808" t="s">
        <v>2193</v>
      </c>
      <c r="N1808">
        <v>1</v>
      </c>
      <c r="O1808">
        <v>2027</v>
      </c>
      <c r="P1808">
        <v>34.353918735727063</v>
      </c>
      <c r="Q1808">
        <v>1.893397965391721</v>
      </c>
      <c r="R1808" t="s">
        <v>289</v>
      </c>
      <c r="S1808">
        <v>115.45533602622641</v>
      </c>
      <c r="T1808" t="s">
        <v>290</v>
      </c>
      <c r="U1808">
        <v>115.45533602622641</v>
      </c>
      <c r="V1808">
        <v>34.353918735727063</v>
      </c>
      <c r="W1808">
        <v>1.893397965391721</v>
      </c>
      <c r="X1808" t="s">
        <v>291</v>
      </c>
      <c r="Y1808">
        <v>10</v>
      </c>
      <c r="Z1808">
        <v>0.28693283304369371</v>
      </c>
      <c r="AA1808">
        <v>1</v>
      </c>
    </row>
    <row r="1809" spans="1:27" hidden="1" x14ac:dyDescent="0.25">
      <c r="A1809" t="s">
        <v>98</v>
      </c>
      <c r="B1809" t="s">
        <v>674</v>
      </c>
      <c r="D1809" t="s">
        <v>1722</v>
      </c>
      <c r="E1809" t="s">
        <v>284</v>
      </c>
      <c r="F1809" t="s">
        <v>365</v>
      </c>
      <c r="G1809" t="s">
        <v>112</v>
      </c>
      <c r="H1809" t="s">
        <v>104</v>
      </c>
      <c r="I1809">
        <v>2027</v>
      </c>
      <c r="J1809" t="s">
        <v>388</v>
      </c>
      <c r="K1809" t="s">
        <v>106</v>
      </c>
      <c r="L1809" t="s">
        <v>2147</v>
      </c>
      <c r="M1809" t="s">
        <v>2194</v>
      </c>
      <c r="N1809">
        <v>1</v>
      </c>
      <c r="O1809">
        <v>2027</v>
      </c>
      <c r="P1809">
        <v>43.733464606512037</v>
      </c>
      <c r="Q1809">
        <v>2.4042644647868401</v>
      </c>
      <c r="R1809" t="s">
        <v>289</v>
      </c>
      <c r="S1809">
        <v>130.6177318295739</v>
      </c>
      <c r="T1809" t="s">
        <v>290</v>
      </c>
      <c r="U1809">
        <v>130.6177318295739</v>
      </c>
      <c r="V1809">
        <v>43.733464606512037</v>
      </c>
      <c r="W1809">
        <v>2.4042644647868401</v>
      </c>
      <c r="X1809" t="s">
        <v>291</v>
      </c>
      <c r="Y1809">
        <v>10</v>
      </c>
      <c r="Z1809">
        <v>0.28693283304369371</v>
      </c>
      <c r="AA1809">
        <v>1</v>
      </c>
    </row>
    <row r="1810" spans="1:27" hidden="1" x14ac:dyDescent="0.25">
      <c r="A1810" t="s">
        <v>98</v>
      </c>
      <c r="B1810" t="s">
        <v>674</v>
      </c>
      <c r="D1810" t="s">
        <v>1722</v>
      </c>
      <c r="E1810" t="s">
        <v>284</v>
      </c>
      <c r="F1810" t="s">
        <v>365</v>
      </c>
      <c r="G1810" t="s">
        <v>103</v>
      </c>
      <c r="H1810" t="s">
        <v>104</v>
      </c>
      <c r="I1810">
        <v>2028</v>
      </c>
      <c r="J1810" t="s">
        <v>390</v>
      </c>
      <c r="K1810" t="s">
        <v>106</v>
      </c>
      <c r="L1810" t="s">
        <v>2147</v>
      </c>
      <c r="M1810" t="s">
        <v>2195</v>
      </c>
      <c r="N1810">
        <v>1</v>
      </c>
      <c r="O1810">
        <v>2028</v>
      </c>
      <c r="P1810">
        <v>34.353918735727063</v>
      </c>
      <c r="Q1810">
        <v>1.893397965391721</v>
      </c>
      <c r="R1810" t="s">
        <v>289</v>
      </c>
      <c r="S1810">
        <v>115.45533602622641</v>
      </c>
      <c r="T1810" t="s">
        <v>290</v>
      </c>
      <c r="U1810">
        <v>115.45533602622641</v>
      </c>
      <c r="V1810">
        <v>34.353918735727063</v>
      </c>
      <c r="W1810">
        <v>1.893397965391721</v>
      </c>
      <c r="X1810" t="s">
        <v>291</v>
      </c>
      <c r="Y1810">
        <v>10</v>
      </c>
      <c r="Z1810">
        <v>0.28693283304369371</v>
      </c>
      <c r="AA1810">
        <v>1</v>
      </c>
    </row>
    <row r="1811" spans="1:27" hidden="1" x14ac:dyDescent="0.25">
      <c r="A1811" t="s">
        <v>98</v>
      </c>
      <c r="B1811" t="s">
        <v>674</v>
      </c>
      <c r="D1811" t="s">
        <v>1722</v>
      </c>
      <c r="E1811" t="s">
        <v>284</v>
      </c>
      <c r="F1811" t="s">
        <v>365</v>
      </c>
      <c r="G1811" t="s">
        <v>112</v>
      </c>
      <c r="H1811" t="s">
        <v>104</v>
      </c>
      <c r="I1811">
        <v>2028</v>
      </c>
      <c r="J1811" t="s">
        <v>392</v>
      </c>
      <c r="K1811" t="s">
        <v>106</v>
      </c>
      <c r="L1811" t="s">
        <v>2147</v>
      </c>
      <c r="M1811" t="s">
        <v>2196</v>
      </c>
      <c r="N1811">
        <v>1</v>
      </c>
      <c r="O1811">
        <v>2028</v>
      </c>
      <c r="P1811">
        <v>43.733464606512037</v>
      </c>
      <c r="Q1811">
        <v>2.4042644647868401</v>
      </c>
      <c r="R1811" t="s">
        <v>289</v>
      </c>
      <c r="S1811">
        <v>130.6177318295739</v>
      </c>
      <c r="T1811" t="s">
        <v>290</v>
      </c>
      <c r="U1811">
        <v>130.6177318295739</v>
      </c>
      <c r="V1811">
        <v>43.733464606512037</v>
      </c>
      <c r="W1811">
        <v>2.4042644647868401</v>
      </c>
      <c r="X1811" t="s">
        <v>291</v>
      </c>
      <c r="Y1811">
        <v>10</v>
      </c>
      <c r="Z1811">
        <v>0.28693283304369371</v>
      </c>
      <c r="AA1811">
        <v>1</v>
      </c>
    </row>
    <row r="1812" spans="1:27" hidden="1" x14ac:dyDescent="0.25">
      <c r="A1812" t="s">
        <v>98</v>
      </c>
      <c r="B1812" t="s">
        <v>674</v>
      </c>
      <c r="D1812" t="s">
        <v>1722</v>
      </c>
      <c r="E1812" t="s">
        <v>284</v>
      </c>
      <c r="F1812" t="s">
        <v>365</v>
      </c>
      <c r="G1812" t="s">
        <v>103</v>
      </c>
      <c r="H1812" t="s">
        <v>104</v>
      </c>
      <c r="I1812">
        <v>2029</v>
      </c>
      <c r="J1812" t="s">
        <v>394</v>
      </c>
      <c r="K1812" t="s">
        <v>106</v>
      </c>
      <c r="L1812" t="s">
        <v>2147</v>
      </c>
      <c r="M1812" t="s">
        <v>2197</v>
      </c>
      <c r="N1812">
        <v>1</v>
      </c>
      <c r="O1812">
        <v>2029</v>
      </c>
      <c r="P1812">
        <v>34.353918735727063</v>
      </c>
      <c r="Q1812">
        <v>1.893397965391721</v>
      </c>
      <c r="R1812" t="s">
        <v>289</v>
      </c>
      <c r="S1812">
        <v>115.45533602622641</v>
      </c>
      <c r="T1812" t="s">
        <v>290</v>
      </c>
      <c r="U1812">
        <v>115.45533602622641</v>
      </c>
      <c r="V1812">
        <v>34.353918735727063</v>
      </c>
      <c r="W1812">
        <v>1.893397965391721</v>
      </c>
      <c r="X1812" t="s">
        <v>291</v>
      </c>
      <c r="Y1812">
        <v>10</v>
      </c>
      <c r="Z1812">
        <v>0.28693283304369371</v>
      </c>
      <c r="AA1812">
        <v>1</v>
      </c>
    </row>
    <row r="1813" spans="1:27" hidden="1" x14ac:dyDescent="0.25">
      <c r="A1813" t="s">
        <v>98</v>
      </c>
      <c r="B1813" t="s">
        <v>674</v>
      </c>
      <c r="D1813" t="s">
        <v>1722</v>
      </c>
      <c r="E1813" t="s">
        <v>284</v>
      </c>
      <c r="F1813" t="s">
        <v>365</v>
      </c>
      <c r="G1813" t="s">
        <v>112</v>
      </c>
      <c r="H1813" t="s">
        <v>104</v>
      </c>
      <c r="I1813">
        <v>2029</v>
      </c>
      <c r="J1813" t="s">
        <v>396</v>
      </c>
      <c r="K1813" t="s">
        <v>106</v>
      </c>
      <c r="L1813" t="s">
        <v>2147</v>
      </c>
      <c r="M1813" t="s">
        <v>2198</v>
      </c>
      <c r="N1813">
        <v>1</v>
      </c>
      <c r="O1813">
        <v>2029</v>
      </c>
      <c r="P1813">
        <v>43.733464606512037</v>
      </c>
      <c r="Q1813">
        <v>2.4042644647868401</v>
      </c>
      <c r="R1813" t="s">
        <v>289</v>
      </c>
      <c r="S1813">
        <v>130.6177318295739</v>
      </c>
      <c r="T1813" t="s">
        <v>290</v>
      </c>
      <c r="U1813">
        <v>130.6177318295739</v>
      </c>
      <c r="V1813">
        <v>43.733464606512037</v>
      </c>
      <c r="W1813">
        <v>2.4042644647868401</v>
      </c>
      <c r="X1813" t="s">
        <v>291</v>
      </c>
      <c r="Y1813">
        <v>10</v>
      </c>
      <c r="Z1813">
        <v>0.28693283304369371</v>
      </c>
      <c r="AA1813">
        <v>1</v>
      </c>
    </row>
    <row r="1814" spans="1:27" hidden="1" x14ac:dyDescent="0.25">
      <c r="A1814" t="s">
        <v>98</v>
      </c>
      <c r="B1814" t="s">
        <v>674</v>
      </c>
      <c r="D1814" t="s">
        <v>1722</v>
      </c>
      <c r="E1814" t="s">
        <v>284</v>
      </c>
      <c r="F1814" t="s">
        <v>355</v>
      </c>
      <c r="G1814" t="s">
        <v>103</v>
      </c>
      <c r="H1814" t="s">
        <v>104</v>
      </c>
      <c r="I1814">
        <v>2030</v>
      </c>
      <c r="J1814" t="s">
        <v>398</v>
      </c>
      <c r="K1814" t="s">
        <v>106</v>
      </c>
      <c r="L1814" t="s">
        <v>2147</v>
      </c>
      <c r="M1814" t="s">
        <v>2199</v>
      </c>
      <c r="N1814">
        <v>1</v>
      </c>
      <c r="O1814">
        <v>2030</v>
      </c>
      <c r="P1814">
        <v>22.026606087295281</v>
      </c>
      <c r="Q1814">
        <v>0.67594869632979349</v>
      </c>
      <c r="R1814" t="s">
        <v>289</v>
      </c>
      <c r="S1814">
        <v>87.209325187237212</v>
      </c>
      <c r="T1814" t="s">
        <v>290</v>
      </c>
      <c r="U1814">
        <v>87.209325187237212</v>
      </c>
      <c r="V1814">
        <v>22.026606087295281</v>
      </c>
      <c r="W1814">
        <v>0.67594869632979349</v>
      </c>
      <c r="X1814" t="s">
        <v>291</v>
      </c>
      <c r="Y1814">
        <v>10</v>
      </c>
      <c r="Z1814">
        <v>0.28693283304369371</v>
      </c>
      <c r="AA1814">
        <v>1</v>
      </c>
    </row>
    <row r="1815" spans="1:27" hidden="1" x14ac:dyDescent="0.25">
      <c r="A1815" t="s">
        <v>98</v>
      </c>
      <c r="B1815" t="s">
        <v>674</v>
      </c>
      <c r="D1815" t="s">
        <v>1722</v>
      </c>
      <c r="E1815" t="s">
        <v>284</v>
      </c>
      <c r="F1815" t="s">
        <v>355</v>
      </c>
      <c r="G1815" t="s">
        <v>112</v>
      </c>
      <c r="H1815" t="s">
        <v>104</v>
      </c>
      <c r="I1815">
        <v>2030</v>
      </c>
      <c r="J1815" t="s">
        <v>400</v>
      </c>
      <c r="K1815" t="s">
        <v>106</v>
      </c>
      <c r="L1815" t="s">
        <v>2147</v>
      </c>
      <c r="M1815" t="s">
        <v>2200</v>
      </c>
      <c r="N1815">
        <v>1</v>
      </c>
      <c r="O1815">
        <v>2030</v>
      </c>
      <c r="P1815">
        <v>23.051216439564651</v>
      </c>
      <c r="Q1815">
        <v>0.88782640486853737</v>
      </c>
      <c r="R1815" t="s">
        <v>289</v>
      </c>
      <c r="S1815">
        <v>87.494679062376832</v>
      </c>
      <c r="T1815" t="s">
        <v>290</v>
      </c>
      <c r="U1815">
        <v>87.494679062376832</v>
      </c>
      <c r="V1815">
        <v>23.051216439564651</v>
      </c>
      <c r="W1815">
        <v>0.88782640486853737</v>
      </c>
      <c r="X1815" t="s">
        <v>291</v>
      </c>
      <c r="Y1815">
        <v>10</v>
      </c>
      <c r="Z1815">
        <v>0.28693283304369371</v>
      </c>
      <c r="AA1815">
        <v>1</v>
      </c>
    </row>
    <row r="1816" spans="1:27" hidden="1" x14ac:dyDescent="0.25">
      <c r="A1816" t="s">
        <v>98</v>
      </c>
      <c r="B1816" t="s">
        <v>674</v>
      </c>
      <c r="D1816" t="s">
        <v>1722</v>
      </c>
      <c r="E1816" t="s">
        <v>284</v>
      </c>
      <c r="F1816" t="s">
        <v>360</v>
      </c>
      <c r="G1816" t="s">
        <v>103</v>
      </c>
      <c r="H1816" t="s">
        <v>104</v>
      </c>
      <c r="I1816">
        <v>2030</v>
      </c>
      <c r="J1816" t="s">
        <v>402</v>
      </c>
      <c r="K1816" t="s">
        <v>106</v>
      </c>
      <c r="L1816" t="s">
        <v>2147</v>
      </c>
      <c r="M1816" t="s">
        <v>2201</v>
      </c>
      <c r="N1816">
        <v>1</v>
      </c>
      <c r="O1816">
        <v>2030</v>
      </c>
      <c r="P1816">
        <v>32.03338343675982</v>
      </c>
      <c r="Q1816">
        <v>0.74367453538487105</v>
      </c>
      <c r="R1816" t="s">
        <v>289</v>
      </c>
      <c r="S1816">
        <v>80.816288888888892</v>
      </c>
      <c r="T1816" t="s">
        <v>290</v>
      </c>
      <c r="U1816">
        <v>80.816288888888892</v>
      </c>
      <c r="V1816">
        <v>32.03338343675982</v>
      </c>
      <c r="W1816">
        <v>0.74367453538487105</v>
      </c>
      <c r="X1816" t="s">
        <v>291</v>
      </c>
      <c r="Y1816">
        <v>10</v>
      </c>
      <c r="Z1816">
        <v>0.28693283304369371</v>
      </c>
      <c r="AA1816">
        <v>1</v>
      </c>
    </row>
    <row r="1817" spans="1:27" hidden="1" x14ac:dyDescent="0.25">
      <c r="A1817" t="s">
        <v>98</v>
      </c>
      <c r="B1817" t="s">
        <v>674</v>
      </c>
      <c r="D1817" t="s">
        <v>1722</v>
      </c>
      <c r="E1817" t="s">
        <v>284</v>
      </c>
      <c r="F1817" t="s">
        <v>360</v>
      </c>
      <c r="G1817" t="s">
        <v>112</v>
      </c>
      <c r="H1817" t="s">
        <v>104</v>
      </c>
      <c r="I1817">
        <v>2030</v>
      </c>
      <c r="J1817" t="s">
        <v>404</v>
      </c>
      <c r="K1817" t="s">
        <v>106</v>
      </c>
      <c r="L1817" t="s">
        <v>2147</v>
      </c>
      <c r="M1817" t="s">
        <v>2202</v>
      </c>
      <c r="N1817">
        <v>1</v>
      </c>
      <c r="O1817">
        <v>2030</v>
      </c>
      <c r="P1817">
        <v>30.04097222030375</v>
      </c>
      <c r="Q1817">
        <v>1.0503155304453009</v>
      </c>
      <c r="R1817" t="s">
        <v>289</v>
      </c>
      <c r="S1817">
        <v>90.329273504273502</v>
      </c>
      <c r="T1817" t="s">
        <v>290</v>
      </c>
      <c r="U1817">
        <v>90.329273504273502</v>
      </c>
      <c r="V1817">
        <v>30.04097222030375</v>
      </c>
      <c r="W1817">
        <v>1.0503155304453009</v>
      </c>
      <c r="X1817" t="s">
        <v>291</v>
      </c>
      <c r="Y1817">
        <v>10</v>
      </c>
      <c r="Z1817">
        <v>0.28693283304369371</v>
      </c>
      <c r="AA1817">
        <v>1</v>
      </c>
    </row>
    <row r="1818" spans="1:27" hidden="1" x14ac:dyDescent="0.25">
      <c r="A1818" t="s">
        <v>98</v>
      </c>
      <c r="B1818" t="s">
        <v>674</v>
      </c>
      <c r="D1818" t="s">
        <v>1722</v>
      </c>
      <c r="E1818" t="s">
        <v>284</v>
      </c>
      <c r="F1818" t="s">
        <v>365</v>
      </c>
      <c r="G1818" t="s">
        <v>103</v>
      </c>
      <c r="H1818" t="s">
        <v>104</v>
      </c>
      <c r="I1818">
        <v>2030</v>
      </c>
      <c r="J1818" t="s">
        <v>406</v>
      </c>
      <c r="K1818" t="s">
        <v>106</v>
      </c>
      <c r="L1818" t="s">
        <v>2147</v>
      </c>
      <c r="M1818" t="s">
        <v>2203</v>
      </c>
      <c r="N1818">
        <v>1</v>
      </c>
      <c r="O1818">
        <v>2030</v>
      </c>
      <c r="P1818">
        <v>23.710775767327672</v>
      </c>
      <c r="Q1818">
        <v>1.668845649337886</v>
      </c>
      <c r="R1818" t="s">
        <v>289</v>
      </c>
      <c r="S1818">
        <v>154.72558108377279</v>
      </c>
      <c r="T1818" t="s">
        <v>290</v>
      </c>
      <c r="U1818">
        <v>154.72558108377279</v>
      </c>
      <c r="V1818">
        <v>23.710775767327672</v>
      </c>
      <c r="W1818">
        <v>1.668845649337886</v>
      </c>
      <c r="X1818" t="s">
        <v>291</v>
      </c>
      <c r="Y1818">
        <v>10</v>
      </c>
      <c r="Z1818">
        <v>0.28693283304369371</v>
      </c>
      <c r="AA1818">
        <v>1</v>
      </c>
    </row>
    <row r="1819" spans="1:27" hidden="1" x14ac:dyDescent="0.25">
      <c r="A1819" t="s">
        <v>98</v>
      </c>
      <c r="B1819" t="s">
        <v>674</v>
      </c>
      <c r="D1819" t="s">
        <v>1722</v>
      </c>
      <c r="E1819" t="s">
        <v>284</v>
      </c>
      <c r="F1819" t="s">
        <v>365</v>
      </c>
      <c r="G1819" t="s">
        <v>112</v>
      </c>
      <c r="H1819" t="s">
        <v>104</v>
      </c>
      <c r="I1819">
        <v>2030</v>
      </c>
      <c r="J1819" t="s">
        <v>408</v>
      </c>
      <c r="K1819" t="s">
        <v>106</v>
      </c>
      <c r="L1819" t="s">
        <v>2147</v>
      </c>
      <c r="M1819" t="s">
        <v>2204</v>
      </c>
      <c r="N1819">
        <v>1</v>
      </c>
      <c r="O1819">
        <v>2030</v>
      </c>
      <c r="P1819">
        <v>28.858905605402359</v>
      </c>
      <c r="Q1819">
        <v>2.128664396371156</v>
      </c>
      <c r="R1819" t="s">
        <v>289</v>
      </c>
      <c r="S1819">
        <v>176.3746647164572</v>
      </c>
      <c r="T1819" t="s">
        <v>290</v>
      </c>
      <c r="U1819">
        <v>176.3746647164572</v>
      </c>
      <c r="V1819">
        <v>28.858905605402359</v>
      </c>
      <c r="W1819">
        <v>2.128664396371156</v>
      </c>
      <c r="X1819" t="s">
        <v>291</v>
      </c>
      <c r="Y1819">
        <v>10</v>
      </c>
      <c r="Z1819">
        <v>0.28693283304369371</v>
      </c>
      <c r="AA1819">
        <v>1</v>
      </c>
    </row>
    <row r="1820" spans="1:27" hidden="1" x14ac:dyDescent="0.25">
      <c r="A1820" t="s">
        <v>98</v>
      </c>
      <c r="B1820" t="s">
        <v>674</v>
      </c>
      <c r="D1820" t="s">
        <v>1722</v>
      </c>
      <c r="E1820" t="s">
        <v>284</v>
      </c>
      <c r="F1820" t="s">
        <v>355</v>
      </c>
      <c r="G1820" t="s">
        <v>103</v>
      </c>
      <c r="H1820" t="s">
        <v>104</v>
      </c>
      <c r="I1820">
        <v>2040</v>
      </c>
      <c r="J1820" t="s">
        <v>410</v>
      </c>
      <c r="K1820" t="s">
        <v>106</v>
      </c>
      <c r="L1820" t="s">
        <v>2147</v>
      </c>
      <c r="M1820" t="s">
        <v>2205</v>
      </c>
      <c r="N1820">
        <v>1</v>
      </c>
      <c r="O1820">
        <v>2040</v>
      </c>
      <c r="P1820">
        <v>22.159986853322259</v>
      </c>
      <c r="Q1820">
        <v>0.64769049265200085</v>
      </c>
      <c r="R1820" t="s">
        <v>289</v>
      </c>
      <c r="S1820">
        <v>85.846844985289152</v>
      </c>
      <c r="T1820" t="s">
        <v>290</v>
      </c>
      <c r="U1820">
        <v>85.846844985289152</v>
      </c>
      <c r="V1820">
        <v>22.159986853322259</v>
      </c>
      <c r="W1820">
        <v>0.64769049265200085</v>
      </c>
      <c r="X1820" t="s">
        <v>291</v>
      </c>
      <c r="Y1820">
        <v>10</v>
      </c>
      <c r="Z1820">
        <v>0.28693283304369371</v>
      </c>
      <c r="AA1820">
        <v>1</v>
      </c>
    </row>
    <row r="1821" spans="1:27" hidden="1" x14ac:dyDescent="0.25">
      <c r="A1821" t="s">
        <v>98</v>
      </c>
      <c r="B1821" t="s">
        <v>674</v>
      </c>
      <c r="D1821" t="s">
        <v>1722</v>
      </c>
      <c r="E1821" t="s">
        <v>284</v>
      </c>
      <c r="F1821" t="s">
        <v>355</v>
      </c>
      <c r="G1821" t="s">
        <v>112</v>
      </c>
      <c r="H1821" t="s">
        <v>104</v>
      </c>
      <c r="I1821">
        <v>2040</v>
      </c>
      <c r="J1821" t="s">
        <v>412</v>
      </c>
      <c r="K1821" t="s">
        <v>106</v>
      </c>
      <c r="L1821" t="s">
        <v>2147</v>
      </c>
      <c r="M1821" t="s">
        <v>2206</v>
      </c>
      <c r="N1821">
        <v>1</v>
      </c>
      <c r="O1821">
        <v>2040</v>
      </c>
      <c r="P1821">
        <v>22.287209700822071</v>
      </c>
      <c r="Q1821">
        <v>0.78348370867951755</v>
      </c>
      <c r="R1821" t="s">
        <v>289</v>
      </c>
      <c r="S1821">
        <v>88.372750377742747</v>
      </c>
      <c r="T1821" t="s">
        <v>290</v>
      </c>
      <c r="U1821">
        <v>88.372750377742747</v>
      </c>
      <c r="V1821">
        <v>22.287209700822071</v>
      </c>
      <c r="W1821">
        <v>0.78348370867951755</v>
      </c>
      <c r="X1821" t="s">
        <v>291</v>
      </c>
      <c r="Y1821">
        <v>10</v>
      </c>
      <c r="Z1821">
        <v>0.28693283304369371</v>
      </c>
      <c r="AA1821">
        <v>1</v>
      </c>
    </row>
    <row r="1822" spans="1:27" hidden="1" x14ac:dyDescent="0.25">
      <c r="A1822" t="s">
        <v>98</v>
      </c>
      <c r="B1822" t="s">
        <v>674</v>
      </c>
      <c r="D1822" t="s">
        <v>1722</v>
      </c>
      <c r="E1822" t="s">
        <v>284</v>
      </c>
      <c r="F1822" t="s">
        <v>360</v>
      </c>
      <c r="G1822" t="s">
        <v>103</v>
      </c>
      <c r="H1822" t="s">
        <v>104</v>
      </c>
      <c r="I1822">
        <v>2040</v>
      </c>
      <c r="J1822" t="s">
        <v>414</v>
      </c>
      <c r="K1822" t="s">
        <v>106</v>
      </c>
      <c r="L1822" t="s">
        <v>2147</v>
      </c>
      <c r="M1822" t="s">
        <v>2207</v>
      </c>
      <c r="N1822">
        <v>1</v>
      </c>
      <c r="O1822">
        <v>2040</v>
      </c>
      <c r="P1822">
        <v>28.721945226708339</v>
      </c>
      <c r="Q1822">
        <v>0.72978219131721256</v>
      </c>
      <c r="R1822" t="s">
        <v>289</v>
      </c>
      <c r="S1822">
        <v>80.816288888888892</v>
      </c>
      <c r="T1822" t="s">
        <v>290</v>
      </c>
      <c r="U1822">
        <v>80.816288888888892</v>
      </c>
      <c r="V1822">
        <v>28.721945226708339</v>
      </c>
      <c r="W1822">
        <v>0.72978219131721256</v>
      </c>
      <c r="X1822" t="s">
        <v>291</v>
      </c>
      <c r="Y1822">
        <v>10</v>
      </c>
      <c r="Z1822">
        <v>0.28693283304369371</v>
      </c>
      <c r="AA1822">
        <v>1</v>
      </c>
    </row>
    <row r="1823" spans="1:27" hidden="1" x14ac:dyDescent="0.25">
      <c r="A1823" t="s">
        <v>98</v>
      </c>
      <c r="B1823" t="s">
        <v>674</v>
      </c>
      <c r="D1823" t="s">
        <v>1722</v>
      </c>
      <c r="E1823" t="s">
        <v>284</v>
      </c>
      <c r="F1823" t="s">
        <v>360</v>
      </c>
      <c r="G1823" t="s">
        <v>112</v>
      </c>
      <c r="H1823" t="s">
        <v>104</v>
      </c>
      <c r="I1823">
        <v>2040</v>
      </c>
      <c r="J1823" t="s">
        <v>416</v>
      </c>
      <c r="K1823" t="s">
        <v>106</v>
      </c>
      <c r="L1823" t="s">
        <v>2147</v>
      </c>
      <c r="M1823" t="s">
        <v>2208</v>
      </c>
      <c r="N1823">
        <v>1</v>
      </c>
      <c r="O1823">
        <v>2040</v>
      </c>
      <c r="P1823">
        <v>33.197275628385512</v>
      </c>
      <c r="Q1823">
        <v>1.1034319170477349</v>
      </c>
      <c r="R1823" t="s">
        <v>289</v>
      </c>
      <c r="S1823">
        <v>93.34643874643875</v>
      </c>
      <c r="T1823" t="s">
        <v>290</v>
      </c>
      <c r="U1823">
        <v>93.34643874643875</v>
      </c>
      <c r="V1823">
        <v>33.197275628385512</v>
      </c>
      <c r="W1823">
        <v>1.1034319170477349</v>
      </c>
      <c r="X1823" t="s">
        <v>291</v>
      </c>
      <c r="Y1823">
        <v>10</v>
      </c>
      <c r="Z1823">
        <v>0.28693283304369371</v>
      </c>
      <c r="AA1823">
        <v>1</v>
      </c>
    </row>
    <row r="1824" spans="1:27" hidden="1" x14ac:dyDescent="0.25">
      <c r="A1824" t="s">
        <v>98</v>
      </c>
      <c r="B1824" t="s">
        <v>674</v>
      </c>
      <c r="D1824" t="s">
        <v>1722</v>
      </c>
      <c r="E1824" t="s">
        <v>284</v>
      </c>
      <c r="F1824" t="s">
        <v>365</v>
      </c>
      <c r="G1824" t="s">
        <v>103</v>
      </c>
      <c r="H1824" t="s">
        <v>104</v>
      </c>
      <c r="I1824">
        <v>2040</v>
      </c>
      <c r="J1824" t="s">
        <v>418</v>
      </c>
      <c r="K1824" t="s">
        <v>106</v>
      </c>
      <c r="L1824" t="s">
        <v>2147</v>
      </c>
      <c r="M1824" t="s">
        <v>2209</v>
      </c>
      <c r="N1824">
        <v>1</v>
      </c>
      <c r="O1824">
        <v>2040</v>
      </c>
      <c r="P1824">
        <v>22.333975775561878</v>
      </c>
      <c r="Q1824">
        <v>1.552983156443519</v>
      </c>
      <c r="R1824" t="s">
        <v>289</v>
      </c>
      <c r="S1824">
        <v>181.1420784222461</v>
      </c>
      <c r="T1824" t="s">
        <v>290</v>
      </c>
      <c r="U1824">
        <v>181.1420784222461</v>
      </c>
      <c r="V1824">
        <v>22.333975775561878</v>
      </c>
      <c r="W1824">
        <v>1.552983156443519</v>
      </c>
      <c r="X1824" t="s">
        <v>291</v>
      </c>
      <c r="Y1824">
        <v>10</v>
      </c>
      <c r="Z1824">
        <v>0.28693283304369371</v>
      </c>
      <c r="AA1824">
        <v>1</v>
      </c>
    </row>
    <row r="1825" spans="1:27" hidden="1" x14ac:dyDescent="0.25">
      <c r="A1825" t="s">
        <v>98</v>
      </c>
      <c r="B1825" t="s">
        <v>674</v>
      </c>
      <c r="D1825" t="s">
        <v>1722</v>
      </c>
      <c r="E1825" t="s">
        <v>284</v>
      </c>
      <c r="F1825" t="s">
        <v>365</v>
      </c>
      <c r="G1825" t="s">
        <v>112</v>
      </c>
      <c r="H1825" t="s">
        <v>104</v>
      </c>
      <c r="I1825">
        <v>2040</v>
      </c>
      <c r="J1825" t="s">
        <v>420</v>
      </c>
      <c r="K1825" t="s">
        <v>106</v>
      </c>
      <c r="L1825" t="s">
        <v>2147</v>
      </c>
      <c r="M1825" t="s">
        <v>2210</v>
      </c>
      <c r="N1825">
        <v>1</v>
      </c>
      <c r="O1825">
        <v>2040</v>
      </c>
      <c r="P1825">
        <v>27.009726996743201</v>
      </c>
      <c r="Q1825">
        <v>1.971842815426603</v>
      </c>
      <c r="R1825" t="s">
        <v>289</v>
      </c>
      <c r="S1825">
        <v>206.50467814395611</v>
      </c>
      <c r="T1825" t="s">
        <v>290</v>
      </c>
      <c r="U1825">
        <v>206.50467814395611</v>
      </c>
      <c r="V1825">
        <v>27.009726996743201</v>
      </c>
      <c r="W1825">
        <v>1.971842815426603</v>
      </c>
      <c r="X1825" t="s">
        <v>291</v>
      </c>
      <c r="Y1825">
        <v>10</v>
      </c>
      <c r="Z1825">
        <v>0.28693283304369371</v>
      </c>
      <c r="AA1825">
        <v>1</v>
      </c>
    </row>
    <row r="1826" spans="1:27" hidden="1" x14ac:dyDescent="0.25">
      <c r="A1826" t="s">
        <v>98</v>
      </c>
      <c r="B1826" t="s">
        <v>674</v>
      </c>
      <c r="D1826" t="s">
        <v>1722</v>
      </c>
      <c r="E1826" t="s">
        <v>284</v>
      </c>
      <c r="F1826" t="s">
        <v>422</v>
      </c>
      <c r="G1826" t="s">
        <v>103</v>
      </c>
      <c r="H1826" t="s">
        <v>104</v>
      </c>
      <c r="I1826">
        <v>2022</v>
      </c>
      <c r="J1826" t="s">
        <v>423</v>
      </c>
      <c r="K1826" t="s">
        <v>106</v>
      </c>
      <c r="L1826" t="s">
        <v>2147</v>
      </c>
      <c r="M1826" t="s">
        <v>2211</v>
      </c>
      <c r="N1826">
        <v>1</v>
      </c>
      <c r="O1826">
        <v>2020</v>
      </c>
      <c r="P1826">
        <v>22.570490905245428</v>
      </c>
      <c r="Q1826">
        <v>0.77947598919167282</v>
      </c>
      <c r="R1826" t="s">
        <v>289</v>
      </c>
      <c r="S1826">
        <v>59.465873015873022</v>
      </c>
      <c r="T1826" t="s">
        <v>290</v>
      </c>
      <c r="U1826">
        <v>59.465873015873022</v>
      </c>
      <c r="V1826">
        <v>22.570490905245428</v>
      </c>
      <c r="W1826">
        <v>0.77947598919167282</v>
      </c>
      <c r="X1826" t="s">
        <v>291</v>
      </c>
      <c r="Y1826">
        <v>10</v>
      </c>
      <c r="Z1826">
        <v>0.28693283304369371</v>
      </c>
      <c r="AA1826">
        <v>1</v>
      </c>
    </row>
    <row r="1827" spans="1:27" hidden="1" x14ac:dyDescent="0.25">
      <c r="A1827" t="s">
        <v>98</v>
      </c>
      <c r="B1827" t="s">
        <v>674</v>
      </c>
      <c r="D1827" t="s">
        <v>1722</v>
      </c>
      <c r="E1827" t="s">
        <v>284</v>
      </c>
      <c r="F1827" t="s">
        <v>425</v>
      </c>
      <c r="G1827" t="s">
        <v>103</v>
      </c>
      <c r="H1827" t="s">
        <v>104</v>
      </c>
      <c r="I1827">
        <v>2022</v>
      </c>
      <c r="J1827" t="s">
        <v>426</v>
      </c>
      <c r="K1827" t="s">
        <v>106</v>
      </c>
      <c r="L1827" t="s">
        <v>2147</v>
      </c>
      <c r="M1827" t="s">
        <v>2212</v>
      </c>
      <c r="N1827">
        <v>1</v>
      </c>
      <c r="O1827">
        <v>2020</v>
      </c>
      <c r="P1827">
        <v>20.699165146358741</v>
      </c>
      <c r="Q1827">
        <v>1.111231451610436</v>
      </c>
      <c r="R1827" t="s">
        <v>289</v>
      </c>
      <c r="S1827">
        <v>74.054444444444442</v>
      </c>
      <c r="T1827" t="s">
        <v>290</v>
      </c>
      <c r="U1827">
        <v>74.054444444444442</v>
      </c>
      <c r="V1827">
        <v>20.699165146358741</v>
      </c>
      <c r="W1827">
        <v>1.111231451610436</v>
      </c>
      <c r="X1827" t="s">
        <v>291</v>
      </c>
      <c r="Y1827">
        <v>10</v>
      </c>
      <c r="Z1827">
        <v>0.28693283304369371</v>
      </c>
      <c r="AA1827">
        <v>1</v>
      </c>
    </row>
    <row r="1828" spans="1:27" hidden="1" x14ac:dyDescent="0.25">
      <c r="A1828" t="s">
        <v>98</v>
      </c>
      <c r="B1828" t="s">
        <v>674</v>
      </c>
      <c r="D1828" t="s">
        <v>1722</v>
      </c>
      <c r="E1828" t="s">
        <v>284</v>
      </c>
      <c r="F1828" t="s">
        <v>428</v>
      </c>
      <c r="G1828" t="s">
        <v>103</v>
      </c>
      <c r="H1828" t="s">
        <v>104</v>
      </c>
      <c r="I1828">
        <v>2022</v>
      </c>
      <c r="J1828" t="s">
        <v>429</v>
      </c>
      <c r="K1828" t="s">
        <v>106</v>
      </c>
      <c r="L1828" t="s">
        <v>2147</v>
      </c>
      <c r="M1828" t="s">
        <v>2213</v>
      </c>
      <c r="N1828">
        <v>1</v>
      </c>
      <c r="O1828">
        <v>2020</v>
      </c>
      <c r="P1828">
        <v>25.347672779313449</v>
      </c>
      <c r="Q1828">
        <v>0.56400508525842741</v>
      </c>
      <c r="R1828" t="s">
        <v>289</v>
      </c>
      <c r="S1828">
        <v>77.810944444444459</v>
      </c>
      <c r="T1828" t="s">
        <v>290</v>
      </c>
      <c r="U1828">
        <v>77.810944444444459</v>
      </c>
      <c r="V1828">
        <v>25.347672779313449</v>
      </c>
      <c r="W1828">
        <v>0.56400508525842741</v>
      </c>
      <c r="X1828" t="s">
        <v>291</v>
      </c>
      <c r="Y1828">
        <v>10</v>
      </c>
      <c r="Z1828">
        <v>0.28693283304369371</v>
      </c>
      <c r="AA1828">
        <v>1</v>
      </c>
    </row>
    <row r="1829" spans="1:27" hidden="1" x14ac:dyDescent="0.25">
      <c r="A1829" t="s">
        <v>98</v>
      </c>
      <c r="B1829" t="s">
        <v>674</v>
      </c>
      <c r="D1829" t="s">
        <v>1722</v>
      </c>
      <c r="E1829" t="s">
        <v>284</v>
      </c>
      <c r="F1829" t="s">
        <v>425</v>
      </c>
      <c r="G1829" t="s">
        <v>103</v>
      </c>
      <c r="H1829" t="s">
        <v>104</v>
      </c>
      <c r="I1829">
        <v>2030</v>
      </c>
      <c r="J1829" t="s">
        <v>431</v>
      </c>
      <c r="K1829" t="s">
        <v>106</v>
      </c>
      <c r="L1829" t="s">
        <v>2147</v>
      </c>
      <c r="M1829" t="s">
        <v>2214</v>
      </c>
      <c r="N1829">
        <v>1</v>
      </c>
      <c r="O1829">
        <v>2030</v>
      </c>
      <c r="P1829">
        <v>20.230705085538521</v>
      </c>
      <c r="Q1829">
        <v>1.0951903363739519</v>
      </c>
      <c r="R1829" t="s">
        <v>289</v>
      </c>
      <c r="S1829">
        <v>79.81</v>
      </c>
      <c r="T1829" t="s">
        <v>290</v>
      </c>
      <c r="U1829">
        <v>79.81</v>
      </c>
      <c r="V1829">
        <v>20.230705085538521</v>
      </c>
      <c r="W1829">
        <v>1.0951903363739519</v>
      </c>
      <c r="X1829" t="s">
        <v>291</v>
      </c>
      <c r="Y1829">
        <v>10</v>
      </c>
      <c r="Z1829">
        <v>0.28693283304369371</v>
      </c>
      <c r="AA1829">
        <v>1</v>
      </c>
    </row>
    <row r="1830" spans="1:27" hidden="1" x14ac:dyDescent="0.25">
      <c r="A1830" t="s">
        <v>98</v>
      </c>
      <c r="B1830" t="s">
        <v>674</v>
      </c>
      <c r="D1830" t="s">
        <v>1722</v>
      </c>
      <c r="E1830" t="s">
        <v>284</v>
      </c>
      <c r="F1830" t="s">
        <v>428</v>
      </c>
      <c r="G1830" t="s">
        <v>103</v>
      </c>
      <c r="H1830" t="s">
        <v>104</v>
      </c>
      <c r="I1830">
        <v>2030</v>
      </c>
      <c r="J1830" t="s">
        <v>433</v>
      </c>
      <c r="K1830" t="s">
        <v>106</v>
      </c>
      <c r="L1830" t="s">
        <v>2147</v>
      </c>
      <c r="M1830" t="s">
        <v>2215</v>
      </c>
      <c r="N1830">
        <v>1</v>
      </c>
      <c r="O1830">
        <v>2030</v>
      </c>
      <c r="P1830">
        <v>24.67049407605251</v>
      </c>
      <c r="Q1830">
        <v>0.55731249361340607</v>
      </c>
      <c r="R1830" t="s">
        <v>289</v>
      </c>
      <c r="S1830">
        <v>84.367500000000007</v>
      </c>
      <c r="T1830" t="s">
        <v>290</v>
      </c>
      <c r="U1830">
        <v>84.367500000000007</v>
      </c>
      <c r="V1830">
        <v>24.67049407605251</v>
      </c>
      <c r="W1830">
        <v>0.55731249361340607</v>
      </c>
      <c r="X1830" t="s">
        <v>291</v>
      </c>
      <c r="Y1830">
        <v>10</v>
      </c>
      <c r="Z1830">
        <v>0.28693283304369371</v>
      </c>
      <c r="AA1830">
        <v>1</v>
      </c>
    </row>
    <row r="1831" spans="1:27" hidden="1" x14ac:dyDescent="0.25">
      <c r="A1831" t="s">
        <v>98</v>
      </c>
      <c r="B1831" t="s">
        <v>674</v>
      </c>
      <c r="D1831" t="s">
        <v>1722</v>
      </c>
      <c r="E1831" t="s">
        <v>284</v>
      </c>
      <c r="F1831" t="s">
        <v>425</v>
      </c>
      <c r="G1831" t="s">
        <v>103</v>
      </c>
      <c r="H1831" t="s">
        <v>104</v>
      </c>
      <c r="I1831">
        <v>2040</v>
      </c>
      <c r="J1831" t="s">
        <v>435</v>
      </c>
      <c r="K1831" t="s">
        <v>106</v>
      </c>
      <c r="L1831" t="s">
        <v>2147</v>
      </c>
      <c r="M1831" t="s">
        <v>2216</v>
      </c>
      <c r="N1831">
        <v>1</v>
      </c>
      <c r="O1831">
        <v>2040</v>
      </c>
      <c r="P1831">
        <v>19.670938877469698</v>
      </c>
      <c r="Q1831">
        <v>1.076022695415618</v>
      </c>
      <c r="R1831" t="s">
        <v>289</v>
      </c>
      <c r="S1831">
        <v>79.81</v>
      </c>
      <c r="T1831" t="s">
        <v>290</v>
      </c>
      <c r="U1831">
        <v>79.81</v>
      </c>
      <c r="V1831">
        <v>19.670938877469698</v>
      </c>
      <c r="W1831">
        <v>1.076022695415618</v>
      </c>
      <c r="X1831" t="s">
        <v>291</v>
      </c>
      <c r="Y1831">
        <v>10</v>
      </c>
      <c r="Z1831">
        <v>0.28693283304369371</v>
      </c>
      <c r="AA1831">
        <v>1</v>
      </c>
    </row>
    <row r="1832" spans="1:27" hidden="1" x14ac:dyDescent="0.25">
      <c r="A1832" t="s">
        <v>98</v>
      </c>
      <c r="B1832" t="s">
        <v>674</v>
      </c>
      <c r="D1832" t="s">
        <v>1722</v>
      </c>
      <c r="E1832" t="s">
        <v>284</v>
      </c>
      <c r="F1832" t="s">
        <v>428</v>
      </c>
      <c r="G1832" t="s">
        <v>103</v>
      </c>
      <c r="H1832" t="s">
        <v>104</v>
      </c>
      <c r="I1832">
        <v>2040</v>
      </c>
      <c r="J1832" t="s">
        <v>437</v>
      </c>
      <c r="K1832" t="s">
        <v>106</v>
      </c>
      <c r="L1832" t="s">
        <v>2147</v>
      </c>
      <c r="M1832" t="s">
        <v>2217</v>
      </c>
      <c r="N1832">
        <v>1</v>
      </c>
      <c r="O1832">
        <v>2040</v>
      </c>
      <c r="P1832">
        <v>23.861328500132039</v>
      </c>
      <c r="Q1832">
        <v>0.54931546897756556</v>
      </c>
      <c r="R1832" t="s">
        <v>289</v>
      </c>
      <c r="S1832">
        <v>84.367500000000007</v>
      </c>
      <c r="T1832" t="s">
        <v>290</v>
      </c>
      <c r="U1832">
        <v>84.367500000000007</v>
      </c>
      <c r="V1832">
        <v>23.861328500132039</v>
      </c>
      <c r="W1832">
        <v>0.54931546897756556</v>
      </c>
      <c r="X1832" t="s">
        <v>291</v>
      </c>
      <c r="Y1832">
        <v>10</v>
      </c>
      <c r="Z1832">
        <v>0.28693283304369371</v>
      </c>
      <c r="AA1832">
        <v>1</v>
      </c>
    </row>
    <row r="1833" spans="1:27" hidden="1" x14ac:dyDescent="0.25">
      <c r="A1833" t="s">
        <v>98</v>
      </c>
      <c r="B1833" t="s">
        <v>674</v>
      </c>
      <c r="D1833" t="s">
        <v>1722</v>
      </c>
      <c r="E1833" t="s">
        <v>439</v>
      </c>
      <c r="F1833" t="s">
        <v>440</v>
      </c>
      <c r="G1833" t="s">
        <v>245</v>
      </c>
      <c r="H1833" t="s">
        <v>104</v>
      </c>
      <c r="I1833">
        <v>2022</v>
      </c>
      <c r="J1833" t="s">
        <v>441</v>
      </c>
      <c r="K1833" t="s">
        <v>106</v>
      </c>
      <c r="L1833" t="s">
        <v>2218</v>
      </c>
      <c r="M1833" t="s">
        <v>2219</v>
      </c>
      <c r="N1833">
        <v>1</v>
      </c>
      <c r="O1833">
        <v>2020</v>
      </c>
      <c r="P1833">
        <v>831.12625331024003</v>
      </c>
      <c r="Q1833">
        <v>84.323656568982784</v>
      </c>
      <c r="R1833" t="s">
        <v>109</v>
      </c>
      <c r="S1833">
        <v>2.8957310176295739</v>
      </c>
      <c r="T1833" t="s">
        <v>110</v>
      </c>
      <c r="U1833">
        <v>1</v>
      </c>
      <c r="V1833">
        <v>8212.0648964814554</v>
      </c>
      <c r="W1833">
        <v>833.17226148867417</v>
      </c>
      <c r="X1833" t="s">
        <v>111</v>
      </c>
      <c r="Y1833">
        <v>10</v>
      </c>
      <c r="Z1833">
        <v>0.44</v>
      </c>
      <c r="AA1833">
        <v>31.536000000000001</v>
      </c>
    </row>
    <row r="1834" spans="1:27" hidden="1" x14ac:dyDescent="0.25">
      <c r="A1834" t="s">
        <v>98</v>
      </c>
      <c r="B1834" t="s">
        <v>674</v>
      </c>
      <c r="D1834" t="s">
        <v>1722</v>
      </c>
      <c r="E1834" t="s">
        <v>439</v>
      </c>
      <c r="F1834" t="s">
        <v>440</v>
      </c>
      <c r="G1834" t="s">
        <v>103</v>
      </c>
      <c r="H1834" t="s">
        <v>104</v>
      </c>
      <c r="I1834">
        <v>2022</v>
      </c>
      <c r="J1834" t="s">
        <v>444</v>
      </c>
      <c r="K1834" t="s">
        <v>106</v>
      </c>
      <c r="L1834" t="s">
        <v>2218</v>
      </c>
      <c r="M1834" t="s">
        <v>2220</v>
      </c>
      <c r="N1834">
        <v>1</v>
      </c>
      <c r="O1834">
        <v>2020</v>
      </c>
      <c r="P1834">
        <v>1031.6192027056411</v>
      </c>
      <c r="Q1834">
        <v>84.323656568982784</v>
      </c>
      <c r="R1834" t="s">
        <v>109</v>
      </c>
      <c r="S1834">
        <v>3.1136892662683588</v>
      </c>
      <c r="T1834" t="s">
        <v>110</v>
      </c>
      <c r="U1834">
        <v>1.075268817204301</v>
      </c>
      <c r="V1834">
        <v>10193.06490119123</v>
      </c>
      <c r="W1834">
        <v>833.17226148867428</v>
      </c>
      <c r="X1834" t="s">
        <v>111</v>
      </c>
      <c r="Y1834">
        <v>10</v>
      </c>
      <c r="Z1834">
        <v>0.44</v>
      </c>
      <c r="AA1834">
        <v>31.536000000000001</v>
      </c>
    </row>
    <row r="1835" spans="1:27" hidden="1" x14ac:dyDescent="0.25">
      <c r="A1835" t="s">
        <v>98</v>
      </c>
      <c r="B1835" t="s">
        <v>674</v>
      </c>
      <c r="D1835" t="s">
        <v>1722</v>
      </c>
      <c r="E1835" t="s">
        <v>439</v>
      </c>
      <c r="F1835" t="s">
        <v>440</v>
      </c>
      <c r="G1835" t="s">
        <v>112</v>
      </c>
      <c r="H1835" t="s">
        <v>104</v>
      </c>
      <c r="I1835">
        <v>2022</v>
      </c>
      <c r="J1835" t="s">
        <v>446</v>
      </c>
      <c r="K1835" t="s">
        <v>106</v>
      </c>
      <c r="L1835" t="s">
        <v>2218</v>
      </c>
      <c r="M1835" t="s">
        <v>2221</v>
      </c>
      <c r="N1835">
        <v>1</v>
      </c>
      <c r="O1835">
        <v>2020</v>
      </c>
      <c r="P1835">
        <v>1137.4723035050019</v>
      </c>
      <c r="Q1835">
        <v>84.323656568982784</v>
      </c>
      <c r="R1835" t="s">
        <v>109</v>
      </c>
      <c r="S1835">
        <v>3.348052974482107</v>
      </c>
      <c r="T1835" t="s">
        <v>110</v>
      </c>
      <c r="U1835">
        <v>1.156203029251937</v>
      </c>
      <c r="V1835">
        <v>11238.961995400419</v>
      </c>
      <c r="W1835">
        <v>833.17226148867417</v>
      </c>
      <c r="X1835" t="s">
        <v>111</v>
      </c>
      <c r="Y1835">
        <v>10</v>
      </c>
      <c r="Z1835">
        <v>0.44</v>
      </c>
      <c r="AA1835">
        <v>31.536000000000001</v>
      </c>
    </row>
    <row r="1836" spans="1:27" hidden="1" x14ac:dyDescent="0.25">
      <c r="A1836" t="s">
        <v>98</v>
      </c>
      <c r="B1836" t="s">
        <v>674</v>
      </c>
      <c r="D1836" t="s">
        <v>1722</v>
      </c>
      <c r="E1836" t="s">
        <v>439</v>
      </c>
      <c r="F1836" t="s">
        <v>440</v>
      </c>
      <c r="G1836" t="s">
        <v>103</v>
      </c>
      <c r="H1836" t="s">
        <v>104</v>
      </c>
      <c r="I1836">
        <v>2030</v>
      </c>
      <c r="J1836" t="s">
        <v>448</v>
      </c>
      <c r="K1836" t="s">
        <v>106</v>
      </c>
      <c r="L1836" t="s">
        <v>2218</v>
      </c>
      <c r="M1836" t="s">
        <v>2222</v>
      </c>
      <c r="N1836">
        <v>0</v>
      </c>
      <c r="O1836">
        <v>2030</v>
      </c>
      <c r="P1836">
        <v>1031.6192027056411</v>
      </c>
      <c r="Q1836">
        <v>84.323656568982784</v>
      </c>
      <c r="R1836" t="s">
        <v>109</v>
      </c>
      <c r="S1836">
        <v>3.1136892662683588</v>
      </c>
      <c r="T1836" t="s">
        <v>110</v>
      </c>
      <c r="U1836">
        <v>1.075268817204301</v>
      </c>
      <c r="V1836">
        <v>10193.06490119123</v>
      </c>
      <c r="W1836">
        <v>833.17226148867428</v>
      </c>
      <c r="X1836" t="s">
        <v>111</v>
      </c>
      <c r="Y1836">
        <v>10</v>
      </c>
      <c r="Z1836">
        <v>0.44</v>
      </c>
      <c r="AA1836">
        <v>31.536000000000001</v>
      </c>
    </row>
    <row r="1837" spans="1:27" hidden="1" x14ac:dyDescent="0.25">
      <c r="A1837" t="s">
        <v>98</v>
      </c>
      <c r="B1837" t="s">
        <v>674</v>
      </c>
      <c r="D1837" t="s">
        <v>1722</v>
      </c>
      <c r="E1837" t="s">
        <v>439</v>
      </c>
      <c r="F1837" t="s">
        <v>440</v>
      </c>
      <c r="G1837" t="s">
        <v>112</v>
      </c>
      <c r="H1837" t="s">
        <v>104</v>
      </c>
      <c r="I1837">
        <v>2030</v>
      </c>
      <c r="J1837" t="s">
        <v>450</v>
      </c>
      <c r="K1837" t="s">
        <v>106</v>
      </c>
      <c r="L1837" t="s">
        <v>2218</v>
      </c>
      <c r="M1837" t="s">
        <v>2223</v>
      </c>
      <c r="N1837">
        <v>0</v>
      </c>
      <c r="O1837">
        <v>2030</v>
      </c>
      <c r="P1837">
        <v>1137.4723035050019</v>
      </c>
      <c r="Q1837">
        <v>84.323656568982784</v>
      </c>
      <c r="R1837" t="s">
        <v>109</v>
      </c>
      <c r="S1837">
        <v>3.348052974482107</v>
      </c>
      <c r="T1837" t="s">
        <v>110</v>
      </c>
      <c r="U1837">
        <v>1.156203029251937</v>
      </c>
      <c r="V1837">
        <v>11238.961995400419</v>
      </c>
      <c r="W1837">
        <v>833.17226148867417</v>
      </c>
      <c r="X1837" t="s">
        <v>111</v>
      </c>
      <c r="Y1837">
        <v>10</v>
      </c>
      <c r="Z1837">
        <v>0.44</v>
      </c>
      <c r="AA1837">
        <v>31.536000000000001</v>
      </c>
    </row>
    <row r="1838" spans="1:27" hidden="1" x14ac:dyDescent="0.25">
      <c r="A1838" t="s">
        <v>98</v>
      </c>
      <c r="B1838" t="s">
        <v>674</v>
      </c>
      <c r="D1838" t="s">
        <v>1722</v>
      </c>
      <c r="E1838" t="s">
        <v>439</v>
      </c>
      <c r="F1838" t="s">
        <v>440</v>
      </c>
      <c r="G1838" t="s">
        <v>103</v>
      </c>
      <c r="H1838" t="s">
        <v>104</v>
      </c>
      <c r="I1838">
        <v>2040</v>
      </c>
      <c r="J1838" t="s">
        <v>452</v>
      </c>
      <c r="K1838" t="s">
        <v>106</v>
      </c>
      <c r="L1838" t="s">
        <v>2218</v>
      </c>
      <c r="M1838" t="s">
        <v>2224</v>
      </c>
      <c r="N1838">
        <v>0</v>
      </c>
      <c r="O1838">
        <v>2040</v>
      </c>
      <c r="P1838">
        <v>1031.6192027056411</v>
      </c>
      <c r="Q1838">
        <v>84.323656568982784</v>
      </c>
      <c r="R1838" t="s">
        <v>109</v>
      </c>
      <c r="S1838">
        <v>3.1136892662683588</v>
      </c>
      <c r="T1838" t="s">
        <v>110</v>
      </c>
      <c r="U1838">
        <v>1.075268817204301</v>
      </c>
      <c r="V1838">
        <v>10193.06490119123</v>
      </c>
      <c r="W1838">
        <v>833.17226148867428</v>
      </c>
      <c r="X1838" t="s">
        <v>111</v>
      </c>
      <c r="Y1838">
        <v>10</v>
      </c>
      <c r="Z1838">
        <v>0.44</v>
      </c>
      <c r="AA1838">
        <v>31.536000000000001</v>
      </c>
    </row>
    <row r="1839" spans="1:27" hidden="1" x14ac:dyDescent="0.25">
      <c r="A1839" t="s">
        <v>98</v>
      </c>
      <c r="B1839" t="s">
        <v>674</v>
      </c>
      <c r="D1839" t="s">
        <v>1722</v>
      </c>
      <c r="E1839" t="s">
        <v>439</v>
      </c>
      <c r="F1839" t="s">
        <v>440</v>
      </c>
      <c r="G1839" t="s">
        <v>112</v>
      </c>
      <c r="H1839" t="s">
        <v>104</v>
      </c>
      <c r="I1839">
        <v>2040</v>
      </c>
      <c r="J1839" t="s">
        <v>454</v>
      </c>
      <c r="K1839" t="s">
        <v>106</v>
      </c>
      <c r="L1839" t="s">
        <v>2218</v>
      </c>
      <c r="M1839" t="s">
        <v>2225</v>
      </c>
      <c r="N1839">
        <v>0</v>
      </c>
      <c r="O1839">
        <v>2040</v>
      </c>
      <c r="P1839">
        <v>1137.4723035050019</v>
      </c>
      <c r="Q1839">
        <v>84.323656568982784</v>
      </c>
      <c r="R1839" t="s">
        <v>109</v>
      </c>
      <c r="S1839">
        <v>3.348052974482107</v>
      </c>
      <c r="T1839" t="s">
        <v>110</v>
      </c>
      <c r="U1839">
        <v>1.156203029251937</v>
      </c>
      <c r="V1839">
        <v>11238.961995400419</v>
      </c>
      <c r="W1839">
        <v>833.17226148867417</v>
      </c>
      <c r="X1839" t="s">
        <v>111</v>
      </c>
      <c r="Y1839">
        <v>10</v>
      </c>
      <c r="Z1839">
        <v>0.44</v>
      </c>
      <c r="AA1839">
        <v>31.536000000000001</v>
      </c>
    </row>
    <row r="1840" spans="1:27" hidden="1" x14ac:dyDescent="0.25">
      <c r="A1840" t="s">
        <v>98</v>
      </c>
      <c r="B1840" t="s">
        <v>674</v>
      </c>
      <c r="D1840" t="s">
        <v>1722</v>
      </c>
      <c r="E1840" t="s">
        <v>439</v>
      </c>
      <c r="F1840" t="s">
        <v>440</v>
      </c>
      <c r="G1840" t="s">
        <v>103</v>
      </c>
      <c r="H1840" t="s">
        <v>104</v>
      </c>
      <c r="I1840">
        <v>2050</v>
      </c>
      <c r="J1840" t="s">
        <v>456</v>
      </c>
      <c r="K1840" t="s">
        <v>106</v>
      </c>
      <c r="L1840" t="s">
        <v>2218</v>
      </c>
      <c r="M1840" t="s">
        <v>2226</v>
      </c>
      <c r="N1840">
        <v>0</v>
      </c>
      <c r="O1840">
        <v>2050</v>
      </c>
      <c r="P1840">
        <v>1031.6192027056411</v>
      </c>
      <c r="Q1840">
        <v>84.323656568982784</v>
      </c>
      <c r="R1840" t="s">
        <v>109</v>
      </c>
      <c r="S1840">
        <v>3.1136892662683588</v>
      </c>
      <c r="T1840" t="s">
        <v>110</v>
      </c>
      <c r="U1840">
        <v>1.075268817204301</v>
      </c>
      <c r="V1840">
        <v>10193.06490119123</v>
      </c>
      <c r="W1840">
        <v>833.17226148867428</v>
      </c>
      <c r="X1840" t="s">
        <v>111</v>
      </c>
      <c r="Y1840">
        <v>10</v>
      </c>
      <c r="Z1840">
        <v>0.44</v>
      </c>
      <c r="AA1840">
        <v>31.536000000000001</v>
      </c>
    </row>
    <row r="1841" spans="1:27" hidden="1" x14ac:dyDescent="0.25">
      <c r="A1841" t="s">
        <v>98</v>
      </c>
      <c r="B1841" t="s">
        <v>674</v>
      </c>
      <c r="D1841" t="s">
        <v>1722</v>
      </c>
      <c r="E1841" t="s">
        <v>439</v>
      </c>
      <c r="F1841" t="s">
        <v>440</v>
      </c>
      <c r="G1841" t="s">
        <v>112</v>
      </c>
      <c r="H1841" t="s">
        <v>104</v>
      </c>
      <c r="I1841">
        <v>2050</v>
      </c>
      <c r="J1841" t="s">
        <v>458</v>
      </c>
      <c r="K1841" t="s">
        <v>106</v>
      </c>
      <c r="L1841" t="s">
        <v>2218</v>
      </c>
      <c r="M1841" t="s">
        <v>2227</v>
      </c>
      <c r="N1841">
        <v>0</v>
      </c>
      <c r="O1841">
        <v>2050</v>
      </c>
      <c r="P1841">
        <v>1137.4723035050019</v>
      </c>
      <c r="Q1841">
        <v>84.323656568982784</v>
      </c>
      <c r="R1841" t="s">
        <v>109</v>
      </c>
      <c r="S1841">
        <v>3.348052974482107</v>
      </c>
      <c r="T1841" t="s">
        <v>110</v>
      </c>
      <c r="U1841">
        <v>1.156203029251937</v>
      </c>
      <c r="V1841">
        <v>11238.961995400419</v>
      </c>
      <c r="W1841">
        <v>833.17226148867417</v>
      </c>
      <c r="X1841" t="s">
        <v>111</v>
      </c>
      <c r="Y1841">
        <v>10</v>
      </c>
      <c r="Z1841">
        <v>0.44</v>
      </c>
      <c r="AA1841">
        <v>31.536000000000001</v>
      </c>
    </row>
    <row r="1842" spans="1:27" hidden="1" x14ac:dyDescent="0.25">
      <c r="A1842" t="s">
        <v>98</v>
      </c>
      <c r="B1842" t="s">
        <v>674</v>
      </c>
      <c r="D1842" t="s">
        <v>1722</v>
      </c>
      <c r="E1842" t="s">
        <v>439</v>
      </c>
      <c r="F1842" t="s">
        <v>460</v>
      </c>
      <c r="G1842" t="s">
        <v>245</v>
      </c>
      <c r="H1842" t="s">
        <v>104</v>
      </c>
      <c r="I1842">
        <v>2022</v>
      </c>
      <c r="J1842" t="s">
        <v>461</v>
      </c>
      <c r="K1842" t="s">
        <v>106</v>
      </c>
      <c r="L1842" t="s">
        <v>2218</v>
      </c>
      <c r="M1842" t="s">
        <v>2228</v>
      </c>
      <c r="N1842">
        <v>1</v>
      </c>
      <c r="O1842">
        <v>2020</v>
      </c>
      <c r="P1842">
        <v>520.8323861248623</v>
      </c>
      <c r="Q1842">
        <v>19.17492366827851</v>
      </c>
      <c r="R1842" t="s">
        <v>109</v>
      </c>
      <c r="S1842">
        <v>5.9841517746527506</v>
      </c>
      <c r="T1842" t="s">
        <v>110</v>
      </c>
      <c r="U1842">
        <v>2.066542692750287</v>
      </c>
      <c r="V1842">
        <v>5146.1608125259299</v>
      </c>
      <c r="W1842">
        <v>189.46064682931279</v>
      </c>
      <c r="X1842" t="s">
        <v>111</v>
      </c>
      <c r="Y1842">
        <v>10</v>
      </c>
      <c r="Z1842">
        <v>0.44</v>
      </c>
      <c r="AA1842">
        <v>31.536000000000001</v>
      </c>
    </row>
    <row r="1843" spans="1:27" hidden="1" x14ac:dyDescent="0.25">
      <c r="A1843" t="s">
        <v>98</v>
      </c>
      <c r="B1843" t="s">
        <v>674</v>
      </c>
      <c r="D1843" t="s">
        <v>1722</v>
      </c>
      <c r="E1843" t="s">
        <v>439</v>
      </c>
      <c r="F1843" t="s">
        <v>460</v>
      </c>
      <c r="G1843" t="s">
        <v>103</v>
      </c>
      <c r="H1843" t="s">
        <v>104</v>
      </c>
      <c r="I1843">
        <v>2022</v>
      </c>
      <c r="J1843" t="s">
        <v>463</v>
      </c>
      <c r="K1843" t="s">
        <v>106</v>
      </c>
      <c r="L1843" t="s">
        <v>2218</v>
      </c>
      <c r="M1843" t="s">
        <v>2229</v>
      </c>
      <c r="N1843">
        <v>1</v>
      </c>
      <c r="O1843">
        <v>2020</v>
      </c>
      <c r="P1843">
        <v>619.22047419033993</v>
      </c>
      <c r="Q1843">
        <v>19.17492366827851</v>
      </c>
      <c r="R1843" t="s">
        <v>109</v>
      </c>
      <c r="S1843">
        <v>6.5013006934499016</v>
      </c>
      <c r="T1843" t="s">
        <v>110</v>
      </c>
      <c r="U1843">
        <v>2.2451328020003118</v>
      </c>
      <c r="V1843">
        <v>6118.2987530812006</v>
      </c>
      <c r="W1843">
        <v>189.46064682931279</v>
      </c>
      <c r="X1843" t="s">
        <v>111</v>
      </c>
      <c r="Y1843">
        <v>10</v>
      </c>
      <c r="Z1843">
        <v>0.44</v>
      </c>
      <c r="AA1843">
        <v>31.536000000000001</v>
      </c>
    </row>
    <row r="1844" spans="1:27" hidden="1" x14ac:dyDescent="0.25">
      <c r="A1844" t="s">
        <v>98</v>
      </c>
      <c r="B1844" t="s">
        <v>674</v>
      </c>
      <c r="D1844" t="s">
        <v>1722</v>
      </c>
      <c r="E1844" t="s">
        <v>439</v>
      </c>
      <c r="F1844" t="s">
        <v>460</v>
      </c>
      <c r="G1844" t="s">
        <v>112</v>
      </c>
      <c r="H1844" t="s">
        <v>104</v>
      </c>
      <c r="I1844">
        <v>2022</v>
      </c>
      <c r="J1844" t="s">
        <v>465</v>
      </c>
      <c r="K1844" t="s">
        <v>106</v>
      </c>
      <c r="L1844" t="s">
        <v>2218</v>
      </c>
      <c r="M1844" t="s">
        <v>2230</v>
      </c>
      <c r="N1844">
        <v>1</v>
      </c>
      <c r="O1844">
        <v>2020</v>
      </c>
      <c r="P1844">
        <v>717.59767919103297</v>
      </c>
      <c r="Q1844">
        <v>19.17492366827851</v>
      </c>
      <c r="R1844" t="s">
        <v>109</v>
      </c>
      <c r="S1844">
        <v>7.1162885968843517</v>
      </c>
      <c r="T1844" t="s">
        <v>110</v>
      </c>
      <c r="U1844">
        <v>2.4575102292165578</v>
      </c>
      <c r="V1844">
        <v>7090.3291619180018</v>
      </c>
      <c r="W1844">
        <v>189.46064682931279</v>
      </c>
      <c r="X1844" t="s">
        <v>111</v>
      </c>
      <c r="Y1844">
        <v>10</v>
      </c>
      <c r="Z1844">
        <v>0.44</v>
      </c>
      <c r="AA1844">
        <v>31.536000000000001</v>
      </c>
    </row>
    <row r="1845" spans="1:27" hidden="1" x14ac:dyDescent="0.25">
      <c r="A1845" t="s">
        <v>98</v>
      </c>
      <c r="B1845" t="s">
        <v>674</v>
      </c>
      <c r="D1845" t="s">
        <v>1722</v>
      </c>
      <c r="E1845" t="s">
        <v>439</v>
      </c>
      <c r="F1845" t="s">
        <v>460</v>
      </c>
      <c r="G1845" t="s">
        <v>103</v>
      </c>
      <c r="H1845" t="s">
        <v>104</v>
      </c>
      <c r="I1845">
        <v>2030</v>
      </c>
      <c r="J1845" t="s">
        <v>467</v>
      </c>
      <c r="K1845" t="s">
        <v>106</v>
      </c>
      <c r="L1845" t="s">
        <v>2218</v>
      </c>
      <c r="M1845" t="s">
        <v>2231</v>
      </c>
      <c r="N1845">
        <v>1</v>
      </c>
      <c r="O1845">
        <v>2030</v>
      </c>
      <c r="P1845">
        <v>520.8323861248623</v>
      </c>
      <c r="Q1845">
        <v>19.17492366827851</v>
      </c>
      <c r="R1845" t="s">
        <v>109</v>
      </c>
      <c r="S1845">
        <v>6.5013006934499016</v>
      </c>
      <c r="T1845" t="s">
        <v>110</v>
      </c>
      <c r="U1845">
        <v>2.2451328020003118</v>
      </c>
      <c r="V1845">
        <v>5146.1608125259299</v>
      </c>
      <c r="W1845">
        <v>189.46064682931279</v>
      </c>
      <c r="X1845" t="s">
        <v>111</v>
      </c>
      <c r="Y1845">
        <v>10</v>
      </c>
      <c r="Z1845">
        <v>0.44</v>
      </c>
      <c r="AA1845">
        <v>31.536000000000001</v>
      </c>
    </row>
    <row r="1846" spans="1:27" hidden="1" x14ac:dyDescent="0.25">
      <c r="A1846" t="s">
        <v>98</v>
      </c>
      <c r="B1846" t="s">
        <v>674</v>
      </c>
      <c r="D1846" t="s">
        <v>1722</v>
      </c>
      <c r="E1846" t="s">
        <v>439</v>
      </c>
      <c r="F1846" t="s">
        <v>460</v>
      </c>
      <c r="G1846" t="s">
        <v>112</v>
      </c>
      <c r="H1846" t="s">
        <v>104</v>
      </c>
      <c r="I1846">
        <v>2030</v>
      </c>
      <c r="J1846" t="s">
        <v>469</v>
      </c>
      <c r="K1846" t="s">
        <v>106</v>
      </c>
      <c r="L1846" t="s">
        <v>2218</v>
      </c>
      <c r="M1846" t="s">
        <v>2232</v>
      </c>
      <c r="N1846">
        <v>1</v>
      </c>
      <c r="O1846">
        <v>2030</v>
      </c>
      <c r="P1846">
        <v>717.59767919103297</v>
      </c>
      <c r="Q1846">
        <v>19.17492366827851</v>
      </c>
      <c r="R1846" t="s">
        <v>109</v>
      </c>
      <c r="S1846">
        <v>7.1162885968843517</v>
      </c>
      <c r="T1846" t="s">
        <v>110</v>
      </c>
      <c r="U1846">
        <v>2.4575102292165578</v>
      </c>
      <c r="V1846">
        <v>7090.3291619180018</v>
      </c>
      <c r="W1846">
        <v>189.46064682931279</v>
      </c>
      <c r="X1846" t="s">
        <v>111</v>
      </c>
      <c r="Y1846">
        <v>10</v>
      </c>
      <c r="Z1846">
        <v>0.44</v>
      </c>
      <c r="AA1846">
        <v>31.536000000000001</v>
      </c>
    </row>
    <row r="1847" spans="1:27" hidden="1" x14ac:dyDescent="0.25">
      <c r="A1847" t="s">
        <v>98</v>
      </c>
      <c r="B1847" t="s">
        <v>674</v>
      </c>
      <c r="D1847" t="s">
        <v>1722</v>
      </c>
      <c r="E1847" t="s">
        <v>439</v>
      </c>
      <c r="F1847" t="s">
        <v>460</v>
      </c>
      <c r="G1847" t="s">
        <v>103</v>
      </c>
      <c r="H1847" t="s">
        <v>104</v>
      </c>
      <c r="I1847">
        <v>2040</v>
      </c>
      <c r="J1847" t="s">
        <v>471</v>
      </c>
      <c r="K1847" t="s">
        <v>106</v>
      </c>
      <c r="L1847" t="s">
        <v>2218</v>
      </c>
      <c r="M1847" t="s">
        <v>2233</v>
      </c>
      <c r="N1847">
        <v>1</v>
      </c>
      <c r="O1847">
        <v>2040</v>
      </c>
      <c r="P1847">
        <v>520.8323861248623</v>
      </c>
      <c r="Q1847">
        <v>19.17492366827851</v>
      </c>
      <c r="R1847" t="s">
        <v>109</v>
      </c>
      <c r="S1847">
        <v>6.5013006934499016</v>
      </c>
      <c r="T1847" t="s">
        <v>110</v>
      </c>
      <c r="U1847">
        <v>2.2451328020003118</v>
      </c>
      <c r="V1847">
        <v>5146.1608125259299</v>
      </c>
      <c r="W1847">
        <v>189.46064682931279</v>
      </c>
      <c r="X1847" t="s">
        <v>111</v>
      </c>
      <c r="Y1847">
        <v>10</v>
      </c>
      <c r="Z1847">
        <v>0.44</v>
      </c>
      <c r="AA1847">
        <v>31.536000000000001</v>
      </c>
    </row>
    <row r="1848" spans="1:27" hidden="1" x14ac:dyDescent="0.25">
      <c r="A1848" t="s">
        <v>98</v>
      </c>
      <c r="B1848" t="s">
        <v>674</v>
      </c>
      <c r="D1848" t="s">
        <v>1722</v>
      </c>
      <c r="E1848" t="s">
        <v>439</v>
      </c>
      <c r="F1848" t="s">
        <v>460</v>
      </c>
      <c r="G1848" t="s">
        <v>112</v>
      </c>
      <c r="H1848" t="s">
        <v>104</v>
      </c>
      <c r="I1848">
        <v>2040</v>
      </c>
      <c r="J1848" t="s">
        <v>473</v>
      </c>
      <c r="K1848" t="s">
        <v>106</v>
      </c>
      <c r="L1848" t="s">
        <v>2218</v>
      </c>
      <c r="M1848" t="s">
        <v>2234</v>
      </c>
      <c r="N1848">
        <v>1</v>
      </c>
      <c r="O1848">
        <v>2040</v>
      </c>
      <c r="P1848">
        <v>717.59767919103297</v>
      </c>
      <c r="Q1848">
        <v>19.17492366827851</v>
      </c>
      <c r="R1848" t="s">
        <v>109</v>
      </c>
      <c r="S1848">
        <v>7.1162885968843517</v>
      </c>
      <c r="T1848" t="s">
        <v>110</v>
      </c>
      <c r="U1848">
        <v>2.4575102292165578</v>
      </c>
      <c r="V1848">
        <v>7090.3291619180018</v>
      </c>
      <c r="W1848">
        <v>189.46064682931279</v>
      </c>
      <c r="X1848" t="s">
        <v>111</v>
      </c>
      <c r="Y1848">
        <v>10</v>
      </c>
      <c r="Z1848">
        <v>0.44</v>
      </c>
      <c r="AA1848">
        <v>31.536000000000001</v>
      </c>
    </row>
    <row r="1849" spans="1:27" hidden="1" x14ac:dyDescent="0.25">
      <c r="A1849" t="s">
        <v>98</v>
      </c>
      <c r="B1849" t="s">
        <v>674</v>
      </c>
      <c r="D1849" t="s">
        <v>1722</v>
      </c>
      <c r="E1849" t="s">
        <v>439</v>
      </c>
      <c r="F1849" t="s">
        <v>460</v>
      </c>
      <c r="G1849" t="s">
        <v>103</v>
      </c>
      <c r="H1849" t="s">
        <v>104</v>
      </c>
      <c r="I1849">
        <v>2050</v>
      </c>
      <c r="J1849" t="s">
        <v>475</v>
      </c>
      <c r="K1849" t="s">
        <v>106</v>
      </c>
      <c r="L1849" t="s">
        <v>2218</v>
      </c>
      <c r="M1849" t="s">
        <v>2235</v>
      </c>
      <c r="N1849">
        <v>1</v>
      </c>
      <c r="O1849">
        <v>2050</v>
      </c>
      <c r="P1849">
        <v>520.8323861248623</v>
      </c>
      <c r="Q1849">
        <v>19.17492366827851</v>
      </c>
      <c r="R1849" t="s">
        <v>109</v>
      </c>
      <c r="S1849">
        <v>6.5013006934499016</v>
      </c>
      <c r="T1849" t="s">
        <v>110</v>
      </c>
      <c r="U1849">
        <v>2.2451328020003118</v>
      </c>
      <c r="V1849">
        <v>5146.1608125259299</v>
      </c>
      <c r="W1849">
        <v>189.46064682931279</v>
      </c>
      <c r="X1849" t="s">
        <v>111</v>
      </c>
      <c r="Y1849">
        <v>10</v>
      </c>
      <c r="Z1849">
        <v>0.44</v>
      </c>
      <c r="AA1849">
        <v>31.536000000000001</v>
      </c>
    </row>
    <row r="1850" spans="1:27" hidden="1" x14ac:dyDescent="0.25">
      <c r="A1850" t="s">
        <v>98</v>
      </c>
      <c r="B1850" t="s">
        <v>674</v>
      </c>
      <c r="D1850" t="s">
        <v>1722</v>
      </c>
      <c r="E1850" t="s">
        <v>439</v>
      </c>
      <c r="F1850" t="s">
        <v>460</v>
      </c>
      <c r="G1850" t="s">
        <v>112</v>
      </c>
      <c r="H1850" t="s">
        <v>104</v>
      </c>
      <c r="I1850">
        <v>2050</v>
      </c>
      <c r="J1850" t="s">
        <v>477</v>
      </c>
      <c r="K1850" t="s">
        <v>106</v>
      </c>
      <c r="L1850" t="s">
        <v>2218</v>
      </c>
      <c r="M1850" t="s">
        <v>2236</v>
      </c>
      <c r="N1850">
        <v>1</v>
      </c>
      <c r="O1850">
        <v>2050</v>
      </c>
      <c r="P1850">
        <v>717.59767919103297</v>
      </c>
      <c r="Q1850">
        <v>19.17492366827851</v>
      </c>
      <c r="R1850" t="s">
        <v>109</v>
      </c>
      <c r="S1850">
        <v>7.1162885968843517</v>
      </c>
      <c r="T1850" t="s">
        <v>110</v>
      </c>
      <c r="U1850">
        <v>2.4575102292165578</v>
      </c>
      <c r="V1850">
        <v>7090.3291619180018</v>
      </c>
      <c r="W1850">
        <v>189.46064682931279</v>
      </c>
      <c r="X1850" t="s">
        <v>111</v>
      </c>
      <c r="Y1850">
        <v>10</v>
      </c>
      <c r="Z1850">
        <v>0.44</v>
      </c>
      <c r="AA1850">
        <v>31.536000000000001</v>
      </c>
    </row>
    <row r="1851" spans="1:27" hidden="1" x14ac:dyDescent="0.25">
      <c r="A1851" t="s">
        <v>98</v>
      </c>
      <c r="B1851" t="s">
        <v>674</v>
      </c>
      <c r="D1851" t="s">
        <v>1722</v>
      </c>
      <c r="E1851" t="s">
        <v>439</v>
      </c>
      <c r="F1851" t="s">
        <v>479</v>
      </c>
      <c r="G1851" t="s">
        <v>245</v>
      </c>
      <c r="H1851" t="s">
        <v>104</v>
      </c>
      <c r="I1851">
        <v>2022</v>
      </c>
      <c r="J1851" t="s">
        <v>480</v>
      </c>
      <c r="K1851" t="s">
        <v>106</v>
      </c>
      <c r="L1851" t="s">
        <v>2218</v>
      </c>
      <c r="M1851" t="s">
        <v>2237</v>
      </c>
      <c r="N1851">
        <v>1</v>
      </c>
      <c r="O1851">
        <v>2020</v>
      </c>
      <c r="P1851">
        <v>1625.561814955347</v>
      </c>
      <c r="Q1851">
        <v>83.737016934227881</v>
      </c>
      <c r="R1851" t="s">
        <v>109</v>
      </c>
      <c r="S1851">
        <v>3.1167552571169028</v>
      </c>
      <c r="T1851" t="s">
        <v>110</v>
      </c>
      <c r="U1851">
        <v>1.0763276140434681</v>
      </c>
      <c r="V1851">
        <v>16061.60203036269</v>
      </c>
      <c r="W1851">
        <v>827.37588250020144</v>
      </c>
      <c r="X1851" t="s">
        <v>111</v>
      </c>
      <c r="Y1851">
        <v>10</v>
      </c>
      <c r="Z1851">
        <v>0.44</v>
      </c>
      <c r="AA1851">
        <v>31.536000000000001</v>
      </c>
    </row>
    <row r="1852" spans="1:27" hidden="1" x14ac:dyDescent="0.25">
      <c r="A1852" t="s">
        <v>98</v>
      </c>
      <c r="B1852" t="s">
        <v>674</v>
      </c>
      <c r="D1852" t="s">
        <v>1722</v>
      </c>
      <c r="E1852" t="s">
        <v>439</v>
      </c>
      <c r="F1852" t="s">
        <v>479</v>
      </c>
      <c r="G1852" t="s">
        <v>103</v>
      </c>
      <c r="H1852" t="s">
        <v>104</v>
      </c>
      <c r="I1852">
        <v>2022</v>
      </c>
      <c r="J1852" t="s">
        <v>482</v>
      </c>
      <c r="K1852" t="s">
        <v>106</v>
      </c>
      <c r="L1852" t="s">
        <v>2218</v>
      </c>
      <c r="M1852" t="s">
        <v>2238</v>
      </c>
      <c r="N1852">
        <v>1</v>
      </c>
      <c r="O1852">
        <v>2020</v>
      </c>
      <c r="P1852">
        <v>1649.1429636040691</v>
      </c>
      <c r="Q1852">
        <v>83.737016934227881</v>
      </c>
      <c r="R1852" t="s">
        <v>109</v>
      </c>
      <c r="S1852">
        <v>4.464541314248538</v>
      </c>
      <c r="T1852" t="s">
        <v>110</v>
      </c>
      <c r="U1852">
        <v>1.541766582278481</v>
      </c>
      <c r="V1852">
        <v>16294.59902963399</v>
      </c>
      <c r="W1852">
        <v>827.37588250020167</v>
      </c>
      <c r="X1852" t="s">
        <v>111</v>
      </c>
      <c r="Y1852">
        <v>10</v>
      </c>
      <c r="Z1852">
        <v>0.44</v>
      </c>
      <c r="AA1852">
        <v>31.536000000000001</v>
      </c>
    </row>
    <row r="1853" spans="1:27" hidden="1" x14ac:dyDescent="0.25">
      <c r="A1853" t="s">
        <v>98</v>
      </c>
      <c r="B1853" t="s">
        <v>674</v>
      </c>
      <c r="D1853" t="s">
        <v>1722</v>
      </c>
      <c r="E1853" t="s">
        <v>439</v>
      </c>
      <c r="F1853" t="s">
        <v>479</v>
      </c>
      <c r="G1853" t="s">
        <v>112</v>
      </c>
      <c r="H1853" t="s">
        <v>104</v>
      </c>
      <c r="I1853">
        <v>2022</v>
      </c>
      <c r="J1853" t="s">
        <v>484</v>
      </c>
      <c r="K1853" t="s">
        <v>106</v>
      </c>
      <c r="L1853" t="s">
        <v>2218</v>
      </c>
      <c r="M1853" t="s">
        <v>2239</v>
      </c>
      <c r="N1853">
        <v>1</v>
      </c>
      <c r="O1853">
        <v>2020</v>
      </c>
      <c r="P1853">
        <v>1758.024723094816</v>
      </c>
      <c r="Q1853">
        <v>83.737016934227881</v>
      </c>
      <c r="R1853" t="s">
        <v>109</v>
      </c>
      <c r="S1853">
        <v>7.4409021904142287</v>
      </c>
      <c r="T1853" t="s">
        <v>110</v>
      </c>
      <c r="U1853">
        <v>2.5696109704641348</v>
      </c>
      <c r="V1853">
        <v>17370.421230436659</v>
      </c>
      <c r="W1853">
        <v>827.37588250020167</v>
      </c>
      <c r="X1853" t="s">
        <v>111</v>
      </c>
      <c r="Y1853">
        <v>10</v>
      </c>
      <c r="Z1853">
        <v>0.44</v>
      </c>
      <c r="AA1853">
        <v>31.536000000000001</v>
      </c>
    </row>
    <row r="1854" spans="1:27" hidden="1" x14ac:dyDescent="0.25">
      <c r="A1854" t="s">
        <v>98</v>
      </c>
      <c r="B1854" t="s">
        <v>674</v>
      </c>
      <c r="D1854" t="s">
        <v>1722</v>
      </c>
      <c r="E1854" t="s">
        <v>439</v>
      </c>
      <c r="F1854" t="s">
        <v>479</v>
      </c>
      <c r="G1854" t="s">
        <v>219</v>
      </c>
      <c r="H1854" t="s">
        <v>104</v>
      </c>
      <c r="I1854">
        <v>2022</v>
      </c>
      <c r="J1854" t="s">
        <v>486</v>
      </c>
      <c r="K1854" t="s">
        <v>106</v>
      </c>
      <c r="L1854" t="s">
        <v>2218</v>
      </c>
      <c r="M1854" t="s">
        <v>2240</v>
      </c>
      <c r="N1854">
        <v>1</v>
      </c>
      <c r="O1854">
        <v>2020</v>
      </c>
      <c r="P1854">
        <v>1758.024723094816</v>
      </c>
      <c r="Q1854">
        <v>84.189649458196669</v>
      </c>
      <c r="R1854" t="s">
        <v>109</v>
      </c>
      <c r="S1854">
        <v>7.4409021904142287</v>
      </c>
      <c r="T1854" t="s">
        <v>110</v>
      </c>
      <c r="U1854">
        <v>2.5696109704641348</v>
      </c>
      <c r="V1854">
        <v>17370.421230436659</v>
      </c>
      <c r="W1854">
        <v>831.8481845677702</v>
      </c>
      <c r="X1854" t="s">
        <v>111</v>
      </c>
      <c r="Y1854">
        <v>10</v>
      </c>
      <c r="Z1854">
        <v>0.44</v>
      </c>
      <c r="AA1854">
        <v>31.536000000000001</v>
      </c>
    </row>
    <row r="1855" spans="1:27" hidden="1" x14ac:dyDescent="0.25">
      <c r="A1855" t="s">
        <v>98</v>
      </c>
      <c r="B1855" t="s">
        <v>674</v>
      </c>
      <c r="D1855" t="s">
        <v>1722</v>
      </c>
      <c r="E1855" t="s">
        <v>439</v>
      </c>
      <c r="F1855" t="s">
        <v>479</v>
      </c>
      <c r="G1855" t="s">
        <v>103</v>
      </c>
      <c r="H1855" t="s">
        <v>104</v>
      </c>
      <c r="I1855">
        <v>2030</v>
      </c>
      <c r="J1855" t="s">
        <v>488</v>
      </c>
      <c r="K1855" t="s">
        <v>106</v>
      </c>
      <c r="L1855" t="s">
        <v>2218</v>
      </c>
      <c r="M1855" t="s">
        <v>2241</v>
      </c>
      <c r="N1855">
        <v>1</v>
      </c>
      <c r="O1855">
        <v>2030</v>
      </c>
      <c r="P1855">
        <v>1649.1429636040691</v>
      </c>
      <c r="Q1855">
        <v>83.737016934227881</v>
      </c>
      <c r="R1855" t="s">
        <v>109</v>
      </c>
      <c r="S1855">
        <v>4.464541314248538</v>
      </c>
      <c r="T1855" t="s">
        <v>110</v>
      </c>
      <c r="U1855">
        <v>1.541766582278481</v>
      </c>
      <c r="V1855">
        <v>16294.59902963399</v>
      </c>
      <c r="W1855">
        <v>827.37588250020167</v>
      </c>
      <c r="X1855" t="s">
        <v>111</v>
      </c>
      <c r="Y1855">
        <v>10</v>
      </c>
      <c r="Z1855">
        <v>0.44</v>
      </c>
      <c r="AA1855">
        <v>31.536000000000001</v>
      </c>
    </row>
    <row r="1856" spans="1:27" hidden="1" x14ac:dyDescent="0.25">
      <c r="A1856" t="s">
        <v>98</v>
      </c>
      <c r="B1856" t="s">
        <v>674</v>
      </c>
      <c r="D1856" t="s">
        <v>1722</v>
      </c>
      <c r="E1856" t="s">
        <v>439</v>
      </c>
      <c r="F1856" t="s">
        <v>479</v>
      </c>
      <c r="G1856" t="s">
        <v>112</v>
      </c>
      <c r="H1856" t="s">
        <v>104</v>
      </c>
      <c r="I1856">
        <v>2030</v>
      </c>
      <c r="J1856" t="s">
        <v>490</v>
      </c>
      <c r="K1856" t="s">
        <v>106</v>
      </c>
      <c r="L1856" t="s">
        <v>2218</v>
      </c>
      <c r="M1856" t="s">
        <v>2242</v>
      </c>
      <c r="N1856">
        <v>1</v>
      </c>
      <c r="O1856">
        <v>2030</v>
      </c>
      <c r="P1856">
        <v>1758.024723094816</v>
      </c>
      <c r="Q1856">
        <v>83.737016934227881</v>
      </c>
      <c r="R1856" t="s">
        <v>109</v>
      </c>
      <c r="S1856">
        <v>7.4409021904142287</v>
      </c>
      <c r="T1856" t="s">
        <v>110</v>
      </c>
      <c r="U1856">
        <v>2.5696109704641348</v>
      </c>
      <c r="V1856">
        <v>17370.421230436659</v>
      </c>
      <c r="W1856">
        <v>827.37588250020167</v>
      </c>
      <c r="X1856" t="s">
        <v>111</v>
      </c>
      <c r="Y1856">
        <v>10</v>
      </c>
      <c r="Z1856">
        <v>0.44</v>
      </c>
      <c r="AA1856">
        <v>31.536000000000001</v>
      </c>
    </row>
    <row r="1857" spans="1:27" hidden="1" x14ac:dyDescent="0.25">
      <c r="A1857" t="s">
        <v>98</v>
      </c>
      <c r="B1857" t="s">
        <v>674</v>
      </c>
      <c r="D1857" t="s">
        <v>1722</v>
      </c>
      <c r="E1857" t="s">
        <v>439</v>
      </c>
      <c r="F1857" t="s">
        <v>479</v>
      </c>
      <c r="G1857" t="s">
        <v>103</v>
      </c>
      <c r="H1857" t="s">
        <v>104</v>
      </c>
      <c r="I1857">
        <v>2040</v>
      </c>
      <c r="J1857" t="s">
        <v>492</v>
      </c>
      <c r="K1857" t="s">
        <v>106</v>
      </c>
      <c r="L1857" t="s">
        <v>2218</v>
      </c>
      <c r="M1857" t="s">
        <v>2243</v>
      </c>
      <c r="N1857">
        <v>1</v>
      </c>
      <c r="O1857">
        <v>2040</v>
      </c>
      <c r="P1857">
        <v>1649.1429636040691</v>
      </c>
      <c r="Q1857">
        <v>83.737016934227881</v>
      </c>
      <c r="R1857" t="s">
        <v>109</v>
      </c>
      <c r="S1857">
        <v>4.464541314248538</v>
      </c>
      <c r="T1857" t="s">
        <v>110</v>
      </c>
      <c r="U1857">
        <v>1.541766582278481</v>
      </c>
      <c r="V1857">
        <v>16294.59902963399</v>
      </c>
      <c r="W1857">
        <v>827.37588250020167</v>
      </c>
      <c r="X1857" t="s">
        <v>111</v>
      </c>
      <c r="Y1857">
        <v>10</v>
      </c>
      <c r="Z1857">
        <v>0.44</v>
      </c>
      <c r="AA1857">
        <v>31.536000000000001</v>
      </c>
    </row>
    <row r="1858" spans="1:27" hidden="1" x14ac:dyDescent="0.25">
      <c r="A1858" t="s">
        <v>98</v>
      </c>
      <c r="B1858" t="s">
        <v>674</v>
      </c>
      <c r="D1858" t="s">
        <v>1722</v>
      </c>
      <c r="E1858" t="s">
        <v>439</v>
      </c>
      <c r="F1858" t="s">
        <v>479</v>
      </c>
      <c r="G1858" t="s">
        <v>112</v>
      </c>
      <c r="H1858" t="s">
        <v>104</v>
      </c>
      <c r="I1858">
        <v>2040</v>
      </c>
      <c r="J1858" t="s">
        <v>494</v>
      </c>
      <c r="K1858" t="s">
        <v>106</v>
      </c>
      <c r="L1858" t="s">
        <v>2218</v>
      </c>
      <c r="M1858" t="s">
        <v>2244</v>
      </c>
      <c r="N1858">
        <v>1</v>
      </c>
      <c r="O1858">
        <v>2040</v>
      </c>
      <c r="P1858">
        <v>1758.024723094816</v>
      </c>
      <c r="Q1858">
        <v>83.737016934227881</v>
      </c>
      <c r="R1858" t="s">
        <v>109</v>
      </c>
      <c r="S1858">
        <v>7.4409021904142287</v>
      </c>
      <c r="T1858" t="s">
        <v>110</v>
      </c>
      <c r="U1858">
        <v>2.5696109704641348</v>
      </c>
      <c r="V1858">
        <v>17370.421230436659</v>
      </c>
      <c r="W1858">
        <v>827.37588250020167</v>
      </c>
      <c r="X1858" t="s">
        <v>111</v>
      </c>
      <c r="Y1858">
        <v>10</v>
      </c>
      <c r="Z1858">
        <v>0.44</v>
      </c>
      <c r="AA1858">
        <v>31.536000000000001</v>
      </c>
    </row>
    <row r="1859" spans="1:27" hidden="1" x14ac:dyDescent="0.25">
      <c r="A1859" t="s">
        <v>98</v>
      </c>
      <c r="B1859" t="s">
        <v>674</v>
      </c>
      <c r="D1859" t="s">
        <v>1722</v>
      </c>
      <c r="E1859" t="s">
        <v>439</v>
      </c>
      <c r="F1859" t="s">
        <v>479</v>
      </c>
      <c r="G1859" t="s">
        <v>112</v>
      </c>
      <c r="H1859" t="s">
        <v>104</v>
      </c>
      <c r="I1859">
        <v>2025</v>
      </c>
      <c r="J1859" t="s">
        <v>496</v>
      </c>
      <c r="K1859" t="s">
        <v>106</v>
      </c>
      <c r="L1859" t="s">
        <v>2218</v>
      </c>
      <c r="M1859" t="s">
        <v>2245</v>
      </c>
      <c r="N1859">
        <v>1</v>
      </c>
      <c r="O1859">
        <v>2025</v>
      </c>
      <c r="P1859">
        <v>1758.024723094816</v>
      </c>
      <c r="Q1859">
        <v>83.737016934227881</v>
      </c>
      <c r="R1859" t="s">
        <v>109</v>
      </c>
      <c r="S1859">
        <v>7.4409021904142287</v>
      </c>
      <c r="T1859" t="s">
        <v>110</v>
      </c>
      <c r="U1859">
        <v>2.5696109704641348</v>
      </c>
      <c r="V1859">
        <v>17370.421230436659</v>
      </c>
      <c r="W1859">
        <v>827.37588250020167</v>
      </c>
      <c r="X1859" t="s">
        <v>111</v>
      </c>
      <c r="Y1859">
        <v>10</v>
      </c>
      <c r="Z1859">
        <v>0.44</v>
      </c>
      <c r="AA1859">
        <v>31.536000000000001</v>
      </c>
    </row>
    <row r="1860" spans="1:27" hidden="1" x14ac:dyDescent="0.25">
      <c r="A1860" t="s">
        <v>498</v>
      </c>
      <c r="M1860" t="s">
        <v>498</v>
      </c>
      <c r="N1860" t="s">
        <v>498</v>
      </c>
    </row>
    <row r="1861" spans="1:27" hidden="1" x14ac:dyDescent="0.25">
      <c r="A1861" t="s">
        <v>98</v>
      </c>
      <c r="B1861" t="s">
        <v>849</v>
      </c>
      <c r="D1861" t="s">
        <v>1722</v>
      </c>
      <c r="E1861" t="s">
        <v>101</v>
      </c>
      <c r="F1861" t="s">
        <v>102</v>
      </c>
      <c r="G1861" t="s">
        <v>103</v>
      </c>
      <c r="H1861" t="s">
        <v>104</v>
      </c>
      <c r="I1861">
        <v>2061</v>
      </c>
      <c r="J1861" t="s">
        <v>105</v>
      </c>
      <c r="K1861" t="s">
        <v>106</v>
      </c>
      <c r="L1861" t="s">
        <v>2246</v>
      </c>
      <c r="M1861" t="s">
        <v>2247</v>
      </c>
      <c r="N1861">
        <v>0</v>
      </c>
      <c r="O1861">
        <v>2061</v>
      </c>
      <c r="P1861">
        <v>117.0584711706526</v>
      </c>
      <c r="Q1861">
        <v>4.2000145906136934</v>
      </c>
      <c r="R1861" t="s">
        <v>109</v>
      </c>
      <c r="S1861">
        <v>3.3</v>
      </c>
      <c r="T1861" t="s">
        <v>110</v>
      </c>
      <c r="U1861">
        <v>3.3</v>
      </c>
      <c r="V1861">
        <v>399.42017862788401</v>
      </c>
      <c r="W1861">
        <v>14.33104807576899</v>
      </c>
      <c r="X1861" t="s">
        <v>111</v>
      </c>
      <c r="Y1861">
        <v>21</v>
      </c>
      <c r="Z1861">
        <v>0.23526879880086071</v>
      </c>
      <c r="AA1861">
        <v>31.536000000000001</v>
      </c>
    </row>
    <row r="1862" spans="1:27" hidden="1" x14ac:dyDescent="0.25">
      <c r="A1862" t="s">
        <v>98</v>
      </c>
      <c r="B1862" t="s">
        <v>849</v>
      </c>
      <c r="D1862" t="s">
        <v>1722</v>
      </c>
      <c r="E1862" t="s">
        <v>101</v>
      </c>
      <c r="F1862" t="s">
        <v>102</v>
      </c>
      <c r="G1862" t="s">
        <v>112</v>
      </c>
      <c r="H1862" t="s">
        <v>104</v>
      </c>
      <c r="I1862">
        <v>2022</v>
      </c>
      <c r="J1862" t="s">
        <v>113</v>
      </c>
      <c r="K1862" t="s">
        <v>106</v>
      </c>
      <c r="L1862" t="s">
        <v>2246</v>
      </c>
      <c r="M1862" t="s">
        <v>2248</v>
      </c>
      <c r="N1862">
        <v>1</v>
      </c>
      <c r="O1862">
        <v>2020</v>
      </c>
      <c r="P1862">
        <v>200.7885700942916</v>
      </c>
      <c r="Q1862">
        <v>4.2000145906136934</v>
      </c>
      <c r="R1862" t="s">
        <v>109</v>
      </c>
      <c r="S1862">
        <v>3.7</v>
      </c>
      <c r="T1862" t="s">
        <v>110</v>
      </c>
      <c r="U1862">
        <v>3.7</v>
      </c>
      <c r="V1862">
        <v>685.1192035182313</v>
      </c>
      <c r="W1862">
        <v>14.33104807576899</v>
      </c>
      <c r="X1862" t="s">
        <v>111</v>
      </c>
      <c r="Y1862">
        <v>21</v>
      </c>
      <c r="Z1862">
        <v>0.23526879880086071</v>
      </c>
      <c r="AA1862">
        <v>31.536000000000001</v>
      </c>
    </row>
    <row r="1863" spans="1:27" hidden="1" x14ac:dyDescent="0.25">
      <c r="A1863" t="s">
        <v>98</v>
      </c>
      <c r="B1863" t="s">
        <v>849</v>
      </c>
      <c r="D1863" t="s">
        <v>1722</v>
      </c>
      <c r="E1863" t="s">
        <v>101</v>
      </c>
      <c r="F1863" t="s">
        <v>102</v>
      </c>
      <c r="G1863" t="s">
        <v>103</v>
      </c>
      <c r="H1863" t="s">
        <v>104</v>
      </c>
      <c r="I1863">
        <v>2023</v>
      </c>
      <c r="J1863" t="s">
        <v>115</v>
      </c>
      <c r="K1863" t="s">
        <v>106</v>
      </c>
      <c r="L1863" t="s">
        <v>2246</v>
      </c>
      <c r="M1863" t="s">
        <v>2249</v>
      </c>
      <c r="N1863">
        <v>0</v>
      </c>
      <c r="O1863">
        <v>2023</v>
      </c>
      <c r="P1863">
        <v>135.73557542199771</v>
      </c>
      <c r="Q1863">
        <v>4.2000145906136934</v>
      </c>
      <c r="R1863" t="s">
        <v>109</v>
      </c>
      <c r="S1863">
        <v>3.4</v>
      </c>
      <c r="T1863" t="s">
        <v>110</v>
      </c>
      <c r="U1863">
        <v>3.4</v>
      </c>
      <c r="V1863">
        <v>463.14911888927151</v>
      </c>
      <c r="W1863">
        <v>14.33104807576899</v>
      </c>
      <c r="X1863" t="s">
        <v>111</v>
      </c>
      <c r="Y1863">
        <v>21</v>
      </c>
      <c r="Z1863">
        <v>0.23526879880086071</v>
      </c>
      <c r="AA1863">
        <v>31.536000000000001</v>
      </c>
    </row>
    <row r="1864" spans="1:27" hidden="1" x14ac:dyDescent="0.25">
      <c r="A1864" t="s">
        <v>98</v>
      </c>
      <c r="B1864" t="s">
        <v>849</v>
      </c>
      <c r="D1864" t="s">
        <v>1722</v>
      </c>
      <c r="E1864" t="s">
        <v>101</v>
      </c>
      <c r="F1864" t="s">
        <v>117</v>
      </c>
      <c r="G1864" t="s">
        <v>103</v>
      </c>
      <c r="H1864" t="s">
        <v>104</v>
      </c>
      <c r="I1864">
        <v>2033</v>
      </c>
      <c r="J1864" t="s">
        <v>118</v>
      </c>
      <c r="K1864" t="s">
        <v>106</v>
      </c>
      <c r="L1864" t="s">
        <v>2246</v>
      </c>
      <c r="M1864" t="s">
        <v>2250</v>
      </c>
      <c r="N1864">
        <v>0</v>
      </c>
      <c r="O1864">
        <v>2033</v>
      </c>
      <c r="P1864">
        <v>483.9331327692995</v>
      </c>
      <c r="Q1864">
        <v>3.810497108419681</v>
      </c>
      <c r="R1864" t="s">
        <v>109</v>
      </c>
      <c r="S1864">
        <v>3.7</v>
      </c>
      <c r="T1864" t="s">
        <v>110</v>
      </c>
      <c r="U1864">
        <v>3.7</v>
      </c>
      <c r="V1864">
        <v>1651.2487853431401</v>
      </c>
      <c r="W1864">
        <v>13.00195893970977</v>
      </c>
      <c r="X1864" t="s">
        <v>111</v>
      </c>
      <c r="Y1864">
        <v>14.4</v>
      </c>
      <c r="Z1864">
        <v>0.23526879880086071</v>
      </c>
      <c r="AA1864">
        <v>31.536000000000001</v>
      </c>
    </row>
    <row r="1865" spans="1:27" hidden="1" x14ac:dyDescent="0.25">
      <c r="A1865" t="s">
        <v>98</v>
      </c>
      <c r="B1865" t="s">
        <v>849</v>
      </c>
      <c r="D1865" t="s">
        <v>1722</v>
      </c>
      <c r="E1865" t="s">
        <v>101</v>
      </c>
      <c r="F1865" t="s">
        <v>117</v>
      </c>
      <c r="G1865" t="s">
        <v>67</v>
      </c>
      <c r="H1865" t="s">
        <v>104</v>
      </c>
      <c r="I1865">
        <v>2033</v>
      </c>
      <c r="J1865" t="s">
        <v>120</v>
      </c>
      <c r="K1865" t="s">
        <v>106</v>
      </c>
      <c r="L1865" t="s">
        <v>2246</v>
      </c>
      <c r="M1865" t="s">
        <v>2251</v>
      </c>
      <c r="N1865">
        <v>0</v>
      </c>
      <c r="O1865">
        <v>2033</v>
      </c>
      <c r="P1865">
        <v>497.90495550017158</v>
      </c>
      <c r="Q1865">
        <v>3.810497108419681</v>
      </c>
      <c r="R1865" t="s">
        <v>109</v>
      </c>
      <c r="S1865">
        <v>3.8</v>
      </c>
      <c r="T1865" t="s">
        <v>110</v>
      </c>
      <c r="U1865">
        <v>3.8</v>
      </c>
      <c r="V1865">
        <v>1698.9226347887429</v>
      </c>
      <c r="W1865">
        <v>13.00195893970977</v>
      </c>
      <c r="X1865" t="s">
        <v>111</v>
      </c>
      <c r="Y1865">
        <v>14.4</v>
      </c>
      <c r="Z1865">
        <v>0.23526879880086071</v>
      </c>
      <c r="AA1865">
        <v>31.536000000000001</v>
      </c>
    </row>
    <row r="1866" spans="1:27" hidden="1" x14ac:dyDescent="0.25">
      <c r="A1866" t="s">
        <v>98</v>
      </c>
      <c r="B1866" t="s">
        <v>849</v>
      </c>
      <c r="D1866" t="s">
        <v>1722</v>
      </c>
      <c r="E1866" t="s">
        <v>101</v>
      </c>
      <c r="F1866" t="s">
        <v>117</v>
      </c>
      <c r="G1866" t="s">
        <v>112</v>
      </c>
      <c r="H1866" t="s">
        <v>104</v>
      </c>
      <c r="I1866">
        <v>2033</v>
      </c>
      <c r="J1866" t="s">
        <v>122</v>
      </c>
      <c r="K1866" t="s">
        <v>106</v>
      </c>
      <c r="L1866" t="s">
        <v>2246</v>
      </c>
      <c r="M1866" t="s">
        <v>2252</v>
      </c>
      <c r="N1866">
        <v>0</v>
      </c>
      <c r="O1866">
        <v>2033</v>
      </c>
      <c r="P1866">
        <v>513.14694393385037</v>
      </c>
      <c r="Q1866">
        <v>3.810497108419681</v>
      </c>
      <c r="R1866" t="s">
        <v>109</v>
      </c>
      <c r="S1866">
        <v>4</v>
      </c>
      <c r="T1866" t="s">
        <v>110</v>
      </c>
      <c r="U1866">
        <v>4</v>
      </c>
      <c r="V1866">
        <v>1750.930470547582</v>
      </c>
      <c r="W1866">
        <v>13.00195893970977</v>
      </c>
      <c r="X1866" t="s">
        <v>111</v>
      </c>
      <c r="Y1866">
        <v>14.4</v>
      </c>
      <c r="Z1866">
        <v>0.23526879880086071</v>
      </c>
      <c r="AA1866">
        <v>31.536000000000001</v>
      </c>
    </row>
    <row r="1867" spans="1:27" hidden="1" x14ac:dyDescent="0.25">
      <c r="A1867" t="s">
        <v>98</v>
      </c>
      <c r="B1867" t="s">
        <v>849</v>
      </c>
      <c r="D1867" t="s">
        <v>1722</v>
      </c>
      <c r="E1867" t="s">
        <v>101</v>
      </c>
      <c r="F1867" t="s">
        <v>117</v>
      </c>
      <c r="G1867" t="s">
        <v>103</v>
      </c>
      <c r="H1867" t="s">
        <v>104</v>
      </c>
      <c r="I1867">
        <v>2023</v>
      </c>
      <c r="J1867" t="s">
        <v>124</v>
      </c>
      <c r="K1867" t="s">
        <v>106</v>
      </c>
      <c r="L1867" t="s">
        <v>2246</v>
      </c>
      <c r="M1867" t="s">
        <v>2253</v>
      </c>
      <c r="N1867">
        <v>0</v>
      </c>
      <c r="O1867">
        <v>2023</v>
      </c>
      <c r="P1867">
        <v>483.9331327692995</v>
      </c>
      <c r="Q1867">
        <v>3.810497108419681</v>
      </c>
      <c r="R1867" t="s">
        <v>109</v>
      </c>
      <c r="S1867">
        <v>3.7</v>
      </c>
      <c r="T1867" t="s">
        <v>110</v>
      </c>
      <c r="U1867">
        <v>3.7</v>
      </c>
      <c r="V1867">
        <v>1651.2487853431401</v>
      </c>
      <c r="W1867">
        <v>13.00195893970977</v>
      </c>
      <c r="X1867" t="s">
        <v>111</v>
      </c>
      <c r="Y1867">
        <v>14.4</v>
      </c>
      <c r="Z1867">
        <v>0.23526879880086071</v>
      </c>
      <c r="AA1867">
        <v>31.536000000000001</v>
      </c>
    </row>
    <row r="1868" spans="1:27" hidden="1" x14ac:dyDescent="0.25">
      <c r="A1868" t="s">
        <v>98</v>
      </c>
      <c r="B1868" t="s">
        <v>849</v>
      </c>
      <c r="D1868" t="s">
        <v>1722</v>
      </c>
      <c r="E1868" t="s">
        <v>101</v>
      </c>
      <c r="F1868" t="s">
        <v>117</v>
      </c>
      <c r="G1868" t="s">
        <v>67</v>
      </c>
      <c r="H1868" t="s">
        <v>104</v>
      </c>
      <c r="I1868">
        <v>2023</v>
      </c>
      <c r="J1868" t="s">
        <v>126</v>
      </c>
      <c r="K1868" t="s">
        <v>106</v>
      </c>
      <c r="L1868" t="s">
        <v>2246</v>
      </c>
      <c r="M1868" t="s">
        <v>2254</v>
      </c>
      <c r="N1868">
        <v>0</v>
      </c>
      <c r="O1868">
        <v>2023</v>
      </c>
      <c r="P1868">
        <v>497.90495550017158</v>
      </c>
      <c r="Q1868">
        <v>3.810497108419681</v>
      </c>
      <c r="R1868" t="s">
        <v>109</v>
      </c>
      <c r="S1868">
        <v>3.8</v>
      </c>
      <c r="T1868" t="s">
        <v>110</v>
      </c>
      <c r="U1868">
        <v>3.8</v>
      </c>
      <c r="V1868">
        <v>1698.9226347887429</v>
      </c>
      <c r="W1868">
        <v>13.00195893970977</v>
      </c>
      <c r="X1868" t="s">
        <v>111</v>
      </c>
      <c r="Y1868">
        <v>14.4</v>
      </c>
      <c r="Z1868">
        <v>0.23526879880086071</v>
      </c>
      <c r="AA1868">
        <v>31.536000000000001</v>
      </c>
    </row>
    <row r="1869" spans="1:27" hidden="1" x14ac:dyDescent="0.25">
      <c r="A1869" t="s">
        <v>98</v>
      </c>
      <c r="B1869" t="s">
        <v>849</v>
      </c>
      <c r="D1869" t="s">
        <v>1722</v>
      </c>
      <c r="E1869" t="s">
        <v>101</v>
      </c>
      <c r="F1869" t="s">
        <v>117</v>
      </c>
      <c r="G1869" t="s">
        <v>112</v>
      </c>
      <c r="H1869" t="s">
        <v>104</v>
      </c>
      <c r="I1869">
        <v>2023</v>
      </c>
      <c r="J1869" t="s">
        <v>128</v>
      </c>
      <c r="K1869" t="s">
        <v>106</v>
      </c>
      <c r="L1869" t="s">
        <v>2246</v>
      </c>
      <c r="M1869" t="s">
        <v>2255</v>
      </c>
      <c r="N1869">
        <v>0</v>
      </c>
      <c r="O1869">
        <v>2023</v>
      </c>
      <c r="P1869">
        <v>513.14694393385037</v>
      </c>
      <c r="Q1869">
        <v>3.810497108419681</v>
      </c>
      <c r="R1869" t="s">
        <v>109</v>
      </c>
      <c r="S1869">
        <v>4</v>
      </c>
      <c r="T1869" t="s">
        <v>110</v>
      </c>
      <c r="U1869">
        <v>4</v>
      </c>
      <c r="V1869">
        <v>1750.930470547582</v>
      </c>
      <c r="W1869">
        <v>13.00195893970977</v>
      </c>
      <c r="X1869" t="s">
        <v>111</v>
      </c>
      <c r="Y1869">
        <v>14.4</v>
      </c>
      <c r="Z1869">
        <v>0.23526879880086071</v>
      </c>
      <c r="AA1869">
        <v>31.536000000000001</v>
      </c>
    </row>
    <row r="1870" spans="1:27" hidden="1" x14ac:dyDescent="0.25">
      <c r="A1870" t="s">
        <v>98</v>
      </c>
      <c r="B1870" t="s">
        <v>849</v>
      </c>
      <c r="D1870" t="s">
        <v>1722</v>
      </c>
      <c r="E1870" t="s">
        <v>101</v>
      </c>
      <c r="F1870" t="s">
        <v>130</v>
      </c>
      <c r="G1870" t="s">
        <v>103</v>
      </c>
      <c r="H1870" t="s">
        <v>131</v>
      </c>
      <c r="I1870">
        <v>2022</v>
      </c>
      <c r="J1870" t="s">
        <v>132</v>
      </c>
      <c r="K1870" t="s">
        <v>133</v>
      </c>
      <c r="L1870" t="s">
        <v>2246</v>
      </c>
      <c r="M1870" t="s">
        <v>2256</v>
      </c>
      <c r="N1870">
        <v>1</v>
      </c>
      <c r="O1870">
        <v>2020</v>
      </c>
      <c r="P1870">
        <v>335.32374554093201</v>
      </c>
      <c r="Q1870">
        <v>6.3000218859205397</v>
      </c>
      <c r="R1870" t="s">
        <v>109</v>
      </c>
      <c r="S1870">
        <v>1.4</v>
      </c>
      <c r="T1870" t="s">
        <v>110</v>
      </c>
      <c r="U1870">
        <v>1.4</v>
      </c>
      <c r="V1870">
        <v>1144.172386694459</v>
      </c>
      <c r="W1870">
        <v>21.496572113653482</v>
      </c>
      <c r="X1870" t="s">
        <v>111</v>
      </c>
      <c r="Y1870">
        <v>15</v>
      </c>
      <c r="Z1870">
        <v>0.23526879880086071</v>
      </c>
      <c r="AA1870">
        <v>31.536000000000001</v>
      </c>
    </row>
    <row r="1871" spans="1:27" hidden="1" x14ac:dyDescent="0.25">
      <c r="A1871" t="s">
        <v>98</v>
      </c>
      <c r="B1871" t="s">
        <v>849</v>
      </c>
      <c r="D1871" t="s">
        <v>1722</v>
      </c>
      <c r="E1871" t="s">
        <v>101</v>
      </c>
      <c r="F1871" t="s">
        <v>135</v>
      </c>
      <c r="G1871" t="s">
        <v>103</v>
      </c>
      <c r="H1871" t="s">
        <v>136</v>
      </c>
      <c r="I1871">
        <v>2030</v>
      </c>
      <c r="J1871" t="s">
        <v>137</v>
      </c>
      <c r="K1871" t="s">
        <v>138</v>
      </c>
      <c r="L1871" t="s">
        <v>2246</v>
      </c>
      <c r="M1871" t="s">
        <v>2257</v>
      </c>
      <c r="N1871">
        <v>1</v>
      </c>
      <c r="O1871">
        <v>2030</v>
      </c>
      <c r="P1871">
        <v>55.186509846078152</v>
      </c>
      <c r="Q1871">
        <v>4.0294911951104666</v>
      </c>
      <c r="R1871" t="s">
        <v>109</v>
      </c>
      <c r="S1871">
        <v>0.87</v>
      </c>
      <c r="T1871" t="s">
        <v>110</v>
      </c>
      <c r="U1871">
        <v>0.87</v>
      </c>
      <c r="V1871">
        <v>188.30423291993449</v>
      </c>
      <c r="W1871">
        <v>13.749197959233321</v>
      </c>
      <c r="X1871" t="s">
        <v>111</v>
      </c>
      <c r="Y1871">
        <v>25</v>
      </c>
      <c r="Z1871">
        <v>0.23526879880086071</v>
      </c>
      <c r="AA1871">
        <v>31.536000000000001</v>
      </c>
    </row>
    <row r="1872" spans="1:27" hidden="1" x14ac:dyDescent="0.25">
      <c r="A1872" t="s">
        <v>98</v>
      </c>
      <c r="B1872" t="s">
        <v>849</v>
      </c>
      <c r="D1872" t="s">
        <v>1722</v>
      </c>
      <c r="E1872" t="s">
        <v>101</v>
      </c>
      <c r="F1872" t="s">
        <v>135</v>
      </c>
      <c r="G1872" t="s">
        <v>103</v>
      </c>
      <c r="H1872" t="s">
        <v>136</v>
      </c>
      <c r="I1872">
        <v>2040</v>
      </c>
      <c r="J1872" t="s">
        <v>140</v>
      </c>
      <c r="K1872" t="s">
        <v>138</v>
      </c>
      <c r="L1872" t="s">
        <v>2246</v>
      </c>
      <c r="M1872" t="s">
        <v>2258</v>
      </c>
      <c r="N1872">
        <v>1</v>
      </c>
      <c r="O1872">
        <v>2040</v>
      </c>
      <c r="P1872">
        <v>53.946363557402229</v>
      </c>
      <c r="Q1872">
        <v>3.9389408311754002</v>
      </c>
      <c r="R1872" t="s">
        <v>109</v>
      </c>
      <c r="S1872">
        <v>0.89</v>
      </c>
      <c r="T1872" t="s">
        <v>110</v>
      </c>
      <c r="U1872">
        <v>0.89</v>
      </c>
      <c r="V1872">
        <v>184.07267712398101</v>
      </c>
      <c r="W1872">
        <v>13.440227218576389</v>
      </c>
      <c r="X1872" t="s">
        <v>111</v>
      </c>
      <c r="Y1872">
        <v>25</v>
      </c>
      <c r="Z1872">
        <v>0.23526879880086071</v>
      </c>
      <c r="AA1872">
        <v>31.536000000000001</v>
      </c>
    </row>
    <row r="1873" spans="1:27" hidden="1" x14ac:dyDescent="0.25">
      <c r="A1873" t="s">
        <v>98</v>
      </c>
      <c r="B1873" t="s">
        <v>849</v>
      </c>
      <c r="D1873" t="s">
        <v>1722</v>
      </c>
      <c r="E1873" t="s">
        <v>142</v>
      </c>
      <c r="F1873" t="s">
        <v>102</v>
      </c>
      <c r="G1873" t="s">
        <v>103</v>
      </c>
      <c r="H1873" t="s">
        <v>104</v>
      </c>
      <c r="I1873">
        <v>2061</v>
      </c>
      <c r="J1873" t="s">
        <v>143</v>
      </c>
      <c r="K1873" t="s">
        <v>106</v>
      </c>
      <c r="L1873" t="s">
        <v>2259</v>
      </c>
      <c r="M1873" t="s">
        <v>2260</v>
      </c>
      <c r="N1873">
        <v>0</v>
      </c>
      <c r="O1873">
        <v>2061</v>
      </c>
      <c r="P1873">
        <v>117.0584711706526</v>
      </c>
      <c r="Q1873">
        <v>4.2000145906136934</v>
      </c>
      <c r="R1873" t="s">
        <v>109</v>
      </c>
      <c r="S1873">
        <v>3.2239155920281362</v>
      </c>
      <c r="T1873" t="s">
        <v>110</v>
      </c>
      <c r="U1873">
        <v>3.2239155920281362</v>
      </c>
      <c r="V1873">
        <v>399.42017862788401</v>
      </c>
      <c r="W1873">
        <v>14.33104807576899</v>
      </c>
      <c r="X1873" t="s">
        <v>111</v>
      </c>
      <c r="Y1873">
        <v>21</v>
      </c>
      <c r="Z1873">
        <v>0.17702743665447629</v>
      </c>
      <c r="AA1873">
        <v>31.536000000000001</v>
      </c>
    </row>
    <row r="1874" spans="1:27" hidden="1" x14ac:dyDescent="0.25">
      <c r="A1874" t="s">
        <v>98</v>
      </c>
      <c r="B1874" t="s">
        <v>849</v>
      </c>
      <c r="D1874" t="s">
        <v>1722</v>
      </c>
      <c r="E1874" t="s">
        <v>142</v>
      </c>
      <c r="F1874" t="s">
        <v>102</v>
      </c>
      <c r="G1874" t="s">
        <v>112</v>
      </c>
      <c r="H1874" t="s">
        <v>104</v>
      </c>
      <c r="I1874">
        <v>2022</v>
      </c>
      <c r="J1874" t="s">
        <v>146</v>
      </c>
      <c r="K1874" t="s">
        <v>106</v>
      </c>
      <c r="L1874" t="s">
        <v>2259</v>
      </c>
      <c r="M1874" t="s">
        <v>2261</v>
      </c>
      <c r="N1874">
        <v>1</v>
      </c>
      <c r="O1874">
        <v>2020</v>
      </c>
      <c r="P1874">
        <v>200.7885700942916</v>
      </c>
      <c r="Q1874">
        <v>4.2000145906136934</v>
      </c>
      <c r="R1874" t="s">
        <v>109</v>
      </c>
      <c r="S1874">
        <v>3.8393903868698711</v>
      </c>
      <c r="T1874" t="s">
        <v>110</v>
      </c>
      <c r="U1874">
        <v>3.8393903868698711</v>
      </c>
      <c r="V1874">
        <v>685.1192035182313</v>
      </c>
      <c r="W1874">
        <v>14.33104807576899</v>
      </c>
      <c r="X1874" t="s">
        <v>111</v>
      </c>
      <c r="Y1874">
        <v>21</v>
      </c>
      <c r="Z1874">
        <v>0.17702743665447629</v>
      </c>
      <c r="AA1874">
        <v>31.536000000000001</v>
      </c>
    </row>
    <row r="1875" spans="1:27" hidden="1" x14ac:dyDescent="0.25">
      <c r="A1875" t="s">
        <v>98</v>
      </c>
      <c r="B1875" t="s">
        <v>849</v>
      </c>
      <c r="D1875" t="s">
        <v>1722</v>
      </c>
      <c r="E1875" t="s">
        <v>142</v>
      </c>
      <c r="F1875" t="s">
        <v>102</v>
      </c>
      <c r="G1875" t="s">
        <v>103</v>
      </c>
      <c r="H1875" t="s">
        <v>104</v>
      </c>
      <c r="I1875">
        <v>2023</v>
      </c>
      <c r="J1875" t="s">
        <v>148</v>
      </c>
      <c r="K1875" t="s">
        <v>106</v>
      </c>
      <c r="L1875" t="s">
        <v>2259</v>
      </c>
      <c r="M1875" t="s">
        <v>2262</v>
      </c>
      <c r="N1875">
        <v>0</v>
      </c>
      <c r="O1875">
        <v>2023</v>
      </c>
      <c r="P1875">
        <v>135.73557542199771</v>
      </c>
      <c r="Q1875">
        <v>4.2000145906136934</v>
      </c>
      <c r="R1875" t="s">
        <v>109</v>
      </c>
      <c r="S1875">
        <v>3.4290738569753811</v>
      </c>
      <c r="T1875" t="s">
        <v>110</v>
      </c>
      <c r="U1875">
        <v>3.4290738569753811</v>
      </c>
      <c r="V1875">
        <v>463.14911888927151</v>
      </c>
      <c r="W1875">
        <v>14.33104807576899</v>
      </c>
      <c r="X1875" t="s">
        <v>111</v>
      </c>
      <c r="Y1875">
        <v>21</v>
      </c>
      <c r="Z1875">
        <v>0.17702743665447629</v>
      </c>
      <c r="AA1875">
        <v>31.536000000000001</v>
      </c>
    </row>
    <row r="1876" spans="1:27" hidden="1" x14ac:dyDescent="0.25">
      <c r="A1876" t="s">
        <v>98</v>
      </c>
      <c r="B1876" t="s">
        <v>849</v>
      </c>
      <c r="D1876" t="s">
        <v>1722</v>
      </c>
      <c r="E1876" t="s">
        <v>142</v>
      </c>
      <c r="F1876" t="s">
        <v>117</v>
      </c>
      <c r="G1876" t="s">
        <v>103</v>
      </c>
      <c r="H1876" t="s">
        <v>104</v>
      </c>
      <c r="I1876">
        <v>2033</v>
      </c>
      <c r="J1876" t="s">
        <v>150</v>
      </c>
      <c r="K1876" t="s">
        <v>106</v>
      </c>
      <c r="L1876" t="s">
        <v>2259</v>
      </c>
      <c r="M1876" t="s">
        <v>2263</v>
      </c>
      <c r="N1876">
        <v>0</v>
      </c>
      <c r="O1876">
        <v>2033</v>
      </c>
      <c r="P1876">
        <v>483.9331327692995</v>
      </c>
      <c r="Q1876">
        <v>3.810497108419681</v>
      </c>
      <c r="R1876" t="s">
        <v>109</v>
      </c>
      <c r="S1876">
        <v>5.0996483001172326</v>
      </c>
      <c r="T1876" t="s">
        <v>110</v>
      </c>
      <c r="U1876">
        <v>5.0996483001172326</v>
      </c>
      <c r="V1876">
        <v>1651.2487853431401</v>
      </c>
      <c r="W1876">
        <v>13.00195893970977</v>
      </c>
      <c r="X1876" t="s">
        <v>111</v>
      </c>
      <c r="Y1876">
        <v>14.4</v>
      </c>
      <c r="Z1876">
        <v>0.17702743665447629</v>
      </c>
      <c r="AA1876">
        <v>31.536000000000001</v>
      </c>
    </row>
    <row r="1877" spans="1:27" hidden="1" x14ac:dyDescent="0.25">
      <c r="A1877" t="s">
        <v>98</v>
      </c>
      <c r="B1877" t="s">
        <v>849</v>
      </c>
      <c r="D1877" t="s">
        <v>1722</v>
      </c>
      <c r="E1877" t="s">
        <v>142</v>
      </c>
      <c r="F1877" t="s">
        <v>117</v>
      </c>
      <c r="G1877" t="s">
        <v>67</v>
      </c>
      <c r="H1877" t="s">
        <v>104</v>
      </c>
      <c r="I1877">
        <v>2033</v>
      </c>
      <c r="J1877" t="s">
        <v>152</v>
      </c>
      <c r="K1877" t="s">
        <v>106</v>
      </c>
      <c r="L1877" t="s">
        <v>2259</v>
      </c>
      <c r="M1877" t="s">
        <v>2264</v>
      </c>
      <c r="N1877">
        <v>0</v>
      </c>
      <c r="O1877">
        <v>2033</v>
      </c>
      <c r="P1877">
        <v>497.90495550017158</v>
      </c>
      <c r="Q1877">
        <v>3.810497108419681</v>
      </c>
      <c r="R1877" t="s">
        <v>109</v>
      </c>
      <c r="S1877">
        <v>5.7737397420867529</v>
      </c>
      <c r="T1877" t="s">
        <v>110</v>
      </c>
      <c r="U1877">
        <v>5.7737397420867529</v>
      </c>
      <c r="V1877">
        <v>1698.9226347887429</v>
      </c>
      <c r="W1877">
        <v>13.00195893970977</v>
      </c>
      <c r="X1877" t="s">
        <v>111</v>
      </c>
      <c r="Y1877">
        <v>14.4</v>
      </c>
      <c r="Z1877">
        <v>0.17702743665447629</v>
      </c>
      <c r="AA1877">
        <v>31.536000000000001</v>
      </c>
    </row>
    <row r="1878" spans="1:27" hidden="1" x14ac:dyDescent="0.25">
      <c r="A1878" t="s">
        <v>98</v>
      </c>
      <c r="B1878" t="s">
        <v>849</v>
      </c>
      <c r="D1878" t="s">
        <v>1722</v>
      </c>
      <c r="E1878" t="s">
        <v>142</v>
      </c>
      <c r="F1878" t="s">
        <v>117</v>
      </c>
      <c r="G1878" t="s">
        <v>112</v>
      </c>
      <c r="H1878" t="s">
        <v>104</v>
      </c>
      <c r="I1878">
        <v>2033</v>
      </c>
      <c r="J1878" t="s">
        <v>154</v>
      </c>
      <c r="K1878" t="s">
        <v>106</v>
      </c>
      <c r="L1878" t="s">
        <v>2259</v>
      </c>
      <c r="M1878" t="s">
        <v>2265</v>
      </c>
      <c r="N1878">
        <v>0</v>
      </c>
      <c r="O1878">
        <v>2033</v>
      </c>
      <c r="P1878">
        <v>513.14694393385037</v>
      </c>
      <c r="Q1878">
        <v>3.810497108419681</v>
      </c>
      <c r="R1878" t="s">
        <v>109</v>
      </c>
      <c r="S1878">
        <v>6.4771395076201648</v>
      </c>
      <c r="T1878" t="s">
        <v>110</v>
      </c>
      <c r="U1878">
        <v>6.4771395076201648</v>
      </c>
      <c r="V1878">
        <v>1750.930470547582</v>
      </c>
      <c r="W1878">
        <v>13.00195893970977</v>
      </c>
      <c r="X1878" t="s">
        <v>111</v>
      </c>
      <c r="Y1878">
        <v>14.4</v>
      </c>
      <c r="Z1878">
        <v>0.17702743665447629</v>
      </c>
      <c r="AA1878">
        <v>31.536000000000001</v>
      </c>
    </row>
    <row r="1879" spans="1:27" hidden="1" x14ac:dyDescent="0.25">
      <c r="A1879" t="s">
        <v>98</v>
      </c>
      <c r="B1879" t="s">
        <v>849</v>
      </c>
      <c r="D1879" t="s">
        <v>1722</v>
      </c>
      <c r="E1879" t="s">
        <v>142</v>
      </c>
      <c r="F1879" t="s">
        <v>117</v>
      </c>
      <c r="G1879" t="s">
        <v>103</v>
      </c>
      <c r="H1879" t="s">
        <v>104</v>
      </c>
      <c r="I1879">
        <v>2023</v>
      </c>
      <c r="J1879" t="s">
        <v>156</v>
      </c>
      <c r="K1879" t="s">
        <v>106</v>
      </c>
      <c r="L1879" t="s">
        <v>2259</v>
      </c>
      <c r="M1879" t="s">
        <v>2266</v>
      </c>
      <c r="N1879">
        <v>0</v>
      </c>
      <c r="O1879">
        <v>2023</v>
      </c>
      <c r="P1879">
        <v>498.32834406777368</v>
      </c>
      <c r="Q1879">
        <v>3.810497108419681</v>
      </c>
      <c r="R1879" t="s">
        <v>109</v>
      </c>
      <c r="S1879">
        <v>3.833333333333333</v>
      </c>
      <c r="T1879" t="s">
        <v>110</v>
      </c>
      <c r="U1879">
        <v>3.833333333333333</v>
      </c>
      <c r="V1879">
        <v>1700.3672968931551</v>
      </c>
      <c r="W1879">
        <v>13.00195893970977</v>
      </c>
      <c r="X1879" t="s">
        <v>111</v>
      </c>
      <c r="Y1879">
        <v>14.4</v>
      </c>
      <c r="Z1879">
        <v>0.17702743665447629</v>
      </c>
      <c r="AA1879">
        <v>31.536000000000001</v>
      </c>
    </row>
    <row r="1880" spans="1:27" hidden="1" x14ac:dyDescent="0.25">
      <c r="A1880" t="s">
        <v>98</v>
      </c>
      <c r="B1880" t="s">
        <v>849</v>
      </c>
      <c r="D1880" t="s">
        <v>1722</v>
      </c>
      <c r="E1880" t="s">
        <v>142</v>
      </c>
      <c r="F1880" t="s">
        <v>130</v>
      </c>
      <c r="G1880" t="s">
        <v>103</v>
      </c>
      <c r="H1880" t="s">
        <v>131</v>
      </c>
      <c r="I1880">
        <v>2022</v>
      </c>
      <c r="J1880" t="s">
        <v>158</v>
      </c>
      <c r="K1880" t="s">
        <v>133</v>
      </c>
      <c r="L1880" t="s">
        <v>2259</v>
      </c>
      <c r="M1880" t="s">
        <v>2267</v>
      </c>
      <c r="N1880">
        <v>1</v>
      </c>
      <c r="O1880">
        <v>2020</v>
      </c>
      <c r="P1880">
        <v>335.32374554093201</v>
      </c>
      <c r="Q1880">
        <v>6.3000218859205397</v>
      </c>
      <c r="R1880" t="s">
        <v>109</v>
      </c>
      <c r="S1880">
        <v>1.2</v>
      </c>
      <c r="T1880" t="s">
        <v>110</v>
      </c>
      <c r="U1880">
        <v>1.2</v>
      </c>
      <c r="V1880">
        <v>1144.172386694459</v>
      </c>
      <c r="W1880">
        <v>21.496572113653482</v>
      </c>
      <c r="X1880" t="s">
        <v>111</v>
      </c>
      <c r="Y1880">
        <v>15</v>
      </c>
      <c r="Z1880">
        <v>0.17702743665447629</v>
      </c>
      <c r="AA1880">
        <v>31.536000000000001</v>
      </c>
    </row>
    <row r="1881" spans="1:27" hidden="1" x14ac:dyDescent="0.25">
      <c r="A1881" t="s">
        <v>98</v>
      </c>
      <c r="B1881" t="s">
        <v>849</v>
      </c>
      <c r="D1881" t="s">
        <v>1722</v>
      </c>
      <c r="E1881" t="s">
        <v>142</v>
      </c>
      <c r="F1881" t="s">
        <v>160</v>
      </c>
      <c r="G1881" t="s">
        <v>103</v>
      </c>
      <c r="H1881" t="s">
        <v>104</v>
      </c>
      <c r="I1881">
        <v>2030</v>
      </c>
      <c r="J1881" t="s">
        <v>161</v>
      </c>
      <c r="K1881" t="s">
        <v>106</v>
      </c>
      <c r="L1881" t="s">
        <v>2259</v>
      </c>
      <c r="M1881" t="s">
        <v>2268</v>
      </c>
      <c r="N1881">
        <v>1</v>
      </c>
      <c r="O1881">
        <v>2030</v>
      </c>
      <c r="P1881">
        <v>93.992262007685454</v>
      </c>
      <c r="Q1881">
        <v>4.3185633895423052</v>
      </c>
      <c r="R1881" t="s">
        <v>109</v>
      </c>
      <c r="S1881">
        <v>4.8178066132425448</v>
      </c>
      <c r="T1881" t="s">
        <v>110</v>
      </c>
      <c r="U1881">
        <v>4.8178066132425448</v>
      </c>
      <c r="V1881">
        <v>320.71498717950749</v>
      </c>
      <c r="W1881">
        <v>14.735553465004401</v>
      </c>
      <c r="X1881" t="s">
        <v>111</v>
      </c>
      <c r="Y1881">
        <v>20</v>
      </c>
      <c r="Z1881">
        <v>0.17702743665447629</v>
      </c>
      <c r="AA1881">
        <v>31.536000000000001</v>
      </c>
    </row>
    <row r="1882" spans="1:27" hidden="1" x14ac:dyDescent="0.25">
      <c r="A1882" t="s">
        <v>98</v>
      </c>
      <c r="B1882" t="s">
        <v>849</v>
      </c>
      <c r="D1882" t="s">
        <v>1722</v>
      </c>
      <c r="E1882" t="s">
        <v>142</v>
      </c>
      <c r="F1882" t="s">
        <v>160</v>
      </c>
      <c r="G1882" t="s">
        <v>112</v>
      </c>
      <c r="H1882" t="s">
        <v>104</v>
      </c>
      <c r="I1882">
        <v>2030</v>
      </c>
      <c r="J1882" t="s">
        <v>163</v>
      </c>
      <c r="K1882" t="s">
        <v>106</v>
      </c>
      <c r="L1882" t="s">
        <v>2259</v>
      </c>
      <c r="M1882" t="s">
        <v>2269</v>
      </c>
      <c r="N1882">
        <v>1</v>
      </c>
      <c r="O1882">
        <v>2030</v>
      </c>
      <c r="P1882">
        <v>104.15358763013791</v>
      </c>
      <c r="Q1882">
        <v>4.3185633895423052</v>
      </c>
      <c r="R1882" t="s">
        <v>109</v>
      </c>
      <c r="S1882">
        <v>5.1720570995103783</v>
      </c>
      <c r="T1882" t="s">
        <v>110</v>
      </c>
      <c r="U1882">
        <v>5.1720570995103783</v>
      </c>
      <c r="V1882">
        <v>355.38687768540018</v>
      </c>
      <c r="W1882">
        <v>14.735553465004401</v>
      </c>
      <c r="X1882" t="s">
        <v>111</v>
      </c>
      <c r="Y1882">
        <v>20</v>
      </c>
      <c r="Z1882">
        <v>0.17702743665447629</v>
      </c>
      <c r="AA1882">
        <v>31.536000000000001</v>
      </c>
    </row>
    <row r="1883" spans="1:27" hidden="1" x14ac:dyDescent="0.25">
      <c r="A1883" t="s">
        <v>98</v>
      </c>
      <c r="B1883" t="s">
        <v>849</v>
      </c>
      <c r="D1883" t="s">
        <v>1722</v>
      </c>
      <c r="E1883" t="s">
        <v>142</v>
      </c>
      <c r="F1883" t="s">
        <v>160</v>
      </c>
      <c r="G1883" t="s">
        <v>103</v>
      </c>
      <c r="H1883" t="s">
        <v>104</v>
      </c>
      <c r="I1883">
        <v>2040</v>
      </c>
      <c r="J1883" t="s">
        <v>165</v>
      </c>
      <c r="K1883" t="s">
        <v>106</v>
      </c>
      <c r="L1883" t="s">
        <v>2259</v>
      </c>
      <c r="M1883" t="s">
        <v>2270</v>
      </c>
      <c r="N1883">
        <v>1</v>
      </c>
      <c r="O1883">
        <v>2040</v>
      </c>
      <c r="P1883">
        <v>93.992262007685454</v>
      </c>
      <c r="Q1883">
        <v>4.3185633895423052</v>
      </c>
      <c r="R1883" t="s">
        <v>109</v>
      </c>
      <c r="S1883">
        <v>4.9535194755874059</v>
      </c>
      <c r="T1883" t="s">
        <v>110</v>
      </c>
      <c r="U1883">
        <v>4.9535194755874059</v>
      </c>
      <c r="V1883">
        <v>320.71498717950749</v>
      </c>
      <c r="W1883">
        <v>14.735553465004401</v>
      </c>
      <c r="X1883" t="s">
        <v>111</v>
      </c>
      <c r="Y1883">
        <v>20</v>
      </c>
      <c r="Z1883">
        <v>0.17702743665447629</v>
      </c>
      <c r="AA1883">
        <v>31.536000000000001</v>
      </c>
    </row>
    <row r="1884" spans="1:27" hidden="1" x14ac:dyDescent="0.25">
      <c r="A1884" t="s">
        <v>98</v>
      </c>
      <c r="B1884" t="s">
        <v>849</v>
      </c>
      <c r="D1884" t="s">
        <v>1722</v>
      </c>
      <c r="E1884" t="s">
        <v>142</v>
      </c>
      <c r="F1884" t="s">
        <v>160</v>
      </c>
      <c r="G1884" t="s">
        <v>112</v>
      </c>
      <c r="H1884" t="s">
        <v>104</v>
      </c>
      <c r="I1884">
        <v>2040</v>
      </c>
      <c r="J1884" t="s">
        <v>167</v>
      </c>
      <c r="K1884" t="s">
        <v>106</v>
      </c>
      <c r="L1884" t="s">
        <v>2259</v>
      </c>
      <c r="M1884" t="s">
        <v>2271</v>
      </c>
      <c r="N1884">
        <v>1</v>
      </c>
      <c r="O1884">
        <v>2040</v>
      </c>
      <c r="P1884">
        <v>104.15358763013791</v>
      </c>
      <c r="Q1884">
        <v>4.3185633895423052</v>
      </c>
      <c r="R1884" t="s">
        <v>109</v>
      </c>
      <c r="S1884">
        <v>5.4107674271800876</v>
      </c>
      <c r="T1884" t="s">
        <v>110</v>
      </c>
      <c r="U1884">
        <v>5.4107674271800876</v>
      </c>
      <c r="V1884">
        <v>355.38687768540018</v>
      </c>
      <c r="W1884">
        <v>14.735553465004401</v>
      </c>
      <c r="X1884" t="s">
        <v>111</v>
      </c>
      <c r="Y1884">
        <v>20</v>
      </c>
      <c r="Z1884">
        <v>0.17702743665447629</v>
      </c>
      <c r="AA1884">
        <v>31.536000000000001</v>
      </c>
    </row>
    <row r="1885" spans="1:27" hidden="1" x14ac:dyDescent="0.25">
      <c r="A1885" t="s">
        <v>98</v>
      </c>
      <c r="B1885" t="s">
        <v>849</v>
      </c>
      <c r="D1885" t="s">
        <v>1722</v>
      </c>
      <c r="E1885" t="s">
        <v>142</v>
      </c>
      <c r="F1885" t="s">
        <v>160</v>
      </c>
      <c r="G1885" t="s">
        <v>112</v>
      </c>
      <c r="H1885" t="s">
        <v>104</v>
      </c>
      <c r="I1885">
        <v>2022</v>
      </c>
      <c r="J1885" t="s">
        <v>169</v>
      </c>
      <c r="K1885" t="s">
        <v>106</v>
      </c>
      <c r="L1885" t="s">
        <v>2259</v>
      </c>
      <c r="M1885" t="s">
        <v>2272</v>
      </c>
      <c r="N1885">
        <v>1</v>
      </c>
      <c r="O1885">
        <v>2020</v>
      </c>
      <c r="P1885">
        <v>104.15358763013791</v>
      </c>
      <c r="Q1885">
        <v>4.3185633895423052</v>
      </c>
      <c r="R1885" t="s">
        <v>109</v>
      </c>
      <c r="S1885">
        <v>4.9886508193858967</v>
      </c>
      <c r="T1885" t="s">
        <v>110</v>
      </c>
      <c r="U1885">
        <v>4.9886508193858967</v>
      </c>
      <c r="V1885">
        <v>355.38687768540018</v>
      </c>
      <c r="W1885">
        <v>14.735553465004401</v>
      </c>
      <c r="X1885" t="s">
        <v>111</v>
      </c>
      <c r="Y1885">
        <v>20</v>
      </c>
      <c r="Z1885">
        <v>0.17702743665447629</v>
      </c>
      <c r="AA1885">
        <v>31.536000000000001</v>
      </c>
    </row>
    <row r="1886" spans="1:27" hidden="1" x14ac:dyDescent="0.25">
      <c r="A1886" t="s">
        <v>98</v>
      </c>
      <c r="B1886" t="s">
        <v>849</v>
      </c>
      <c r="D1886" t="s">
        <v>1722</v>
      </c>
      <c r="E1886" t="s">
        <v>142</v>
      </c>
      <c r="F1886" t="s">
        <v>171</v>
      </c>
      <c r="G1886" t="s">
        <v>172</v>
      </c>
      <c r="H1886" t="s">
        <v>104</v>
      </c>
      <c r="I1886">
        <v>2061</v>
      </c>
      <c r="J1886" t="s">
        <v>173</v>
      </c>
      <c r="K1886" t="s">
        <v>106</v>
      </c>
      <c r="L1886" t="s">
        <v>2259</v>
      </c>
      <c r="M1886" t="s">
        <v>2273</v>
      </c>
      <c r="N1886">
        <v>1</v>
      </c>
      <c r="O1886">
        <v>2061</v>
      </c>
      <c r="P1886">
        <v>90.181764899265772</v>
      </c>
      <c r="Q1886">
        <v>3.3024308272970568</v>
      </c>
      <c r="R1886" t="s">
        <v>109</v>
      </c>
      <c r="S1886">
        <v>4.1038492738238714</v>
      </c>
      <c r="T1886" t="s">
        <v>110</v>
      </c>
      <c r="U1886">
        <v>4.1038492738238714</v>
      </c>
      <c r="V1886">
        <v>307.71302823979772</v>
      </c>
      <c r="W1886">
        <v>11.26836441441513</v>
      </c>
      <c r="X1886" t="s">
        <v>111</v>
      </c>
      <c r="Y1886">
        <v>20</v>
      </c>
      <c r="Z1886">
        <v>0.17702743665447629</v>
      </c>
      <c r="AA1886">
        <v>31.536000000000001</v>
      </c>
    </row>
    <row r="1887" spans="1:27" hidden="1" x14ac:dyDescent="0.25">
      <c r="A1887" t="s">
        <v>98</v>
      </c>
      <c r="B1887" t="s">
        <v>849</v>
      </c>
      <c r="D1887" t="s">
        <v>1722</v>
      </c>
      <c r="E1887" t="s">
        <v>142</v>
      </c>
      <c r="F1887" t="s">
        <v>171</v>
      </c>
      <c r="G1887" t="s">
        <v>112</v>
      </c>
      <c r="H1887" t="s">
        <v>104</v>
      </c>
      <c r="I1887">
        <v>2022</v>
      </c>
      <c r="J1887" t="s">
        <v>175</v>
      </c>
      <c r="K1887" t="s">
        <v>106</v>
      </c>
      <c r="L1887" t="s">
        <v>2259</v>
      </c>
      <c r="M1887" t="s">
        <v>2274</v>
      </c>
      <c r="N1887">
        <v>1</v>
      </c>
      <c r="O1887">
        <v>2020</v>
      </c>
      <c r="P1887">
        <v>99.072924818911702</v>
      </c>
      <c r="Q1887">
        <v>3.3024308272970568</v>
      </c>
      <c r="R1887" t="s">
        <v>109</v>
      </c>
      <c r="S1887">
        <v>6.6358468446548251</v>
      </c>
      <c r="T1887" t="s">
        <v>110</v>
      </c>
      <c r="U1887">
        <v>6.6358468446548251</v>
      </c>
      <c r="V1887">
        <v>338.05093243245392</v>
      </c>
      <c r="W1887">
        <v>11.26836441441513</v>
      </c>
      <c r="X1887" t="s">
        <v>111</v>
      </c>
      <c r="Y1887">
        <v>20</v>
      </c>
      <c r="Z1887">
        <v>0.17702743665447629</v>
      </c>
      <c r="AA1887">
        <v>31.536000000000001</v>
      </c>
    </row>
    <row r="1888" spans="1:27" hidden="1" x14ac:dyDescent="0.25">
      <c r="A1888" t="s">
        <v>98</v>
      </c>
      <c r="B1888" t="s">
        <v>849</v>
      </c>
      <c r="D1888" t="s">
        <v>1722</v>
      </c>
      <c r="E1888" t="s">
        <v>142</v>
      </c>
      <c r="F1888" t="s">
        <v>171</v>
      </c>
      <c r="G1888" t="s">
        <v>103</v>
      </c>
      <c r="H1888" t="s">
        <v>104</v>
      </c>
      <c r="I1888">
        <v>2030</v>
      </c>
      <c r="J1888" t="s">
        <v>177</v>
      </c>
      <c r="K1888" t="s">
        <v>106</v>
      </c>
      <c r="L1888" t="s">
        <v>2259</v>
      </c>
      <c r="M1888" t="s">
        <v>2275</v>
      </c>
      <c r="N1888">
        <v>1</v>
      </c>
      <c r="O1888">
        <v>2030</v>
      </c>
      <c r="P1888">
        <v>90.181764899265772</v>
      </c>
      <c r="Q1888">
        <v>3.3024308272970568</v>
      </c>
      <c r="R1888" t="s">
        <v>109</v>
      </c>
      <c r="S1888">
        <v>4.8847205939820251</v>
      </c>
      <c r="T1888" t="s">
        <v>110</v>
      </c>
      <c r="U1888">
        <v>4.8847205939820251</v>
      </c>
      <c r="V1888">
        <v>307.71302823979772</v>
      </c>
      <c r="W1888">
        <v>11.26836441441513</v>
      </c>
      <c r="X1888" t="s">
        <v>111</v>
      </c>
      <c r="Y1888">
        <v>20</v>
      </c>
      <c r="Z1888">
        <v>0.17702743665447629</v>
      </c>
      <c r="AA1888">
        <v>31.536000000000001</v>
      </c>
    </row>
    <row r="1889" spans="1:27" hidden="1" x14ac:dyDescent="0.25">
      <c r="A1889" t="s">
        <v>98</v>
      </c>
      <c r="B1889" t="s">
        <v>849</v>
      </c>
      <c r="D1889" t="s">
        <v>1722</v>
      </c>
      <c r="E1889" t="s">
        <v>142</v>
      </c>
      <c r="F1889" t="s">
        <v>171</v>
      </c>
      <c r="G1889" t="s">
        <v>112</v>
      </c>
      <c r="H1889" t="s">
        <v>104</v>
      </c>
      <c r="I1889">
        <v>2030</v>
      </c>
      <c r="J1889" t="s">
        <v>179</v>
      </c>
      <c r="K1889" t="s">
        <v>106</v>
      </c>
      <c r="L1889" t="s">
        <v>2259</v>
      </c>
      <c r="M1889" t="s">
        <v>2276</v>
      </c>
      <c r="N1889">
        <v>1</v>
      </c>
      <c r="O1889">
        <v>2030</v>
      </c>
      <c r="P1889">
        <v>99.072924818911702</v>
      </c>
      <c r="Q1889">
        <v>3.3024308272970568</v>
      </c>
      <c r="R1889" t="s">
        <v>109</v>
      </c>
      <c r="S1889">
        <v>7.1775486278919534</v>
      </c>
      <c r="T1889" t="s">
        <v>110</v>
      </c>
      <c r="U1889">
        <v>7.1775486278919534</v>
      </c>
      <c r="V1889">
        <v>338.05093243245392</v>
      </c>
      <c r="W1889">
        <v>11.26836441441513</v>
      </c>
      <c r="X1889" t="s">
        <v>111</v>
      </c>
      <c r="Y1889">
        <v>20</v>
      </c>
      <c r="Z1889">
        <v>0.17702743665447629</v>
      </c>
      <c r="AA1889">
        <v>31.536000000000001</v>
      </c>
    </row>
    <row r="1890" spans="1:27" hidden="1" x14ac:dyDescent="0.25">
      <c r="A1890" t="s">
        <v>98</v>
      </c>
      <c r="B1890" t="s">
        <v>849</v>
      </c>
      <c r="D1890" t="s">
        <v>1722</v>
      </c>
      <c r="E1890" t="s">
        <v>142</v>
      </c>
      <c r="F1890" t="s">
        <v>171</v>
      </c>
      <c r="G1890" t="s">
        <v>103</v>
      </c>
      <c r="H1890" t="s">
        <v>104</v>
      </c>
      <c r="I1890">
        <v>2040</v>
      </c>
      <c r="J1890" t="s">
        <v>181</v>
      </c>
      <c r="K1890" t="s">
        <v>106</v>
      </c>
      <c r="L1890" t="s">
        <v>2259</v>
      </c>
      <c r="M1890" t="s">
        <v>2277</v>
      </c>
      <c r="N1890">
        <v>1</v>
      </c>
      <c r="O1890">
        <v>2040</v>
      </c>
      <c r="P1890">
        <v>90.181764899265772</v>
      </c>
      <c r="Q1890">
        <v>3.3024308272970568</v>
      </c>
      <c r="R1890" t="s">
        <v>109</v>
      </c>
      <c r="S1890">
        <v>5.1720570995103783</v>
      </c>
      <c r="T1890" t="s">
        <v>110</v>
      </c>
      <c r="U1890">
        <v>5.1720570995103783</v>
      </c>
      <c r="V1890">
        <v>307.71302823979772</v>
      </c>
      <c r="W1890">
        <v>11.26836441441513</v>
      </c>
      <c r="X1890" t="s">
        <v>111</v>
      </c>
      <c r="Y1890">
        <v>20</v>
      </c>
      <c r="Z1890">
        <v>0.17702743665447629</v>
      </c>
      <c r="AA1890">
        <v>31.536000000000001</v>
      </c>
    </row>
    <row r="1891" spans="1:27" hidden="1" x14ac:dyDescent="0.25">
      <c r="A1891" t="s">
        <v>98</v>
      </c>
      <c r="B1891" t="s">
        <v>849</v>
      </c>
      <c r="D1891" t="s">
        <v>1722</v>
      </c>
      <c r="E1891" t="s">
        <v>142</v>
      </c>
      <c r="F1891" t="s">
        <v>171</v>
      </c>
      <c r="G1891" t="s">
        <v>112</v>
      </c>
      <c r="H1891" t="s">
        <v>104</v>
      </c>
      <c r="I1891">
        <v>2040</v>
      </c>
      <c r="J1891" t="s">
        <v>183</v>
      </c>
      <c r="K1891" t="s">
        <v>106</v>
      </c>
      <c r="L1891" t="s">
        <v>2259</v>
      </c>
      <c r="M1891" t="s">
        <v>2278</v>
      </c>
      <c r="N1891">
        <v>1</v>
      </c>
      <c r="O1891">
        <v>2040</v>
      </c>
      <c r="P1891">
        <v>99.072924818911702</v>
      </c>
      <c r="Q1891">
        <v>3.3024308272970568</v>
      </c>
      <c r="R1891" t="s">
        <v>109</v>
      </c>
      <c r="S1891">
        <v>7.815552950371238</v>
      </c>
      <c r="T1891" t="s">
        <v>110</v>
      </c>
      <c r="U1891">
        <v>7.815552950371238</v>
      </c>
      <c r="V1891">
        <v>338.05093243245392</v>
      </c>
      <c r="W1891">
        <v>11.26836441441513</v>
      </c>
      <c r="X1891" t="s">
        <v>111</v>
      </c>
      <c r="Y1891">
        <v>20</v>
      </c>
      <c r="Z1891">
        <v>0.17702743665447629</v>
      </c>
      <c r="AA1891">
        <v>31.536000000000001</v>
      </c>
    </row>
    <row r="1892" spans="1:27" hidden="1" x14ac:dyDescent="0.25">
      <c r="A1892" t="s">
        <v>98</v>
      </c>
      <c r="B1892" t="s">
        <v>849</v>
      </c>
      <c r="D1892" t="s">
        <v>1722</v>
      </c>
      <c r="E1892" t="s">
        <v>142</v>
      </c>
      <c r="F1892" t="s">
        <v>185</v>
      </c>
      <c r="G1892" t="s">
        <v>112</v>
      </c>
      <c r="H1892" t="s">
        <v>104</v>
      </c>
      <c r="I1892">
        <v>2022</v>
      </c>
      <c r="J1892" t="s">
        <v>186</v>
      </c>
      <c r="K1892" t="s">
        <v>106</v>
      </c>
      <c r="L1892" t="s">
        <v>2259</v>
      </c>
      <c r="M1892" t="s">
        <v>2279</v>
      </c>
      <c r="N1892">
        <v>1</v>
      </c>
      <c r="O1892">
        <v>2020</v>
      </c>
      <c r="P1892">
        <v>97.802759116105136</v>
      </c>
      <c r="Q1892">
        <v>3.5564639678583689</v>
      </c>
      <c r="R1892" t="s">
        <v>109</v>
      </c>
      <c r="S1892">
        <v>4.4518972502114647</v>
      </c>
      <c r="T1892" t="s">
        <v>110</v>
      </c>
      <c r="U1892">
        <v>4.4518972502114647</v>
      </c>
      <c r="V1892">
        <v>333.71694611921731</v>
      </c>
      <c r="W1892">
        <v>12.135161677062451</v>
      </c>
      <c r="X1892" t="s">
        <v>111</v>
      </c>
      <c r="Y1892">
        <v>20</v>
      </c>
      <c r="Z1892">
        <v>0.17702743665447629</v>
      </c>
      <c r="AA1892">
        <v>31.536000000000001</v>
      </c>
    </row>
    <row r="1893" spans="1:27" hidden="1" x14ac:dyDescent="0.25">
      <c r="A1893" t="s">
        <v>98</v>
      </c>
      <c r="B1893" t="s">
        <v>849</v>
      </c>
      <c r="D1893" t="s">
        <v>1722</v>
      </c>
      <c r="E1893" t="s">
        <v>142</v>
      </c>
      <c r="F1893" t="s">
        <v>188</v>
      </c>
      <c r="G1893" t="s">
        <v>103</v>
      </c>
      <c r="H1893" t="s">
        <v>104</v>
      </c>
      <c r="I1893">
        <v>2030</v>
      </c>
      <c r="J1893" t="s">
        <v>189</v>
      </c>
      <c r="K1893" t="s">
        <v>106</v>
      </c>
      <c r="L1893" t="s">
        <v>2259</v>
      </c>
      <c r="M1893" t="s">
        <v>2280</v>
      </c>
      <c r="N1893">
        <v>1</v>
      </c>
      <c r="O1893">
        <v>2030</v>
      </c>
      <c r="P1893">
        <v>49.536462409455851</v>
      </c>
      <c r="Q1893">
        <v>3.0483976867357452</v>
      </c>
      <c r="R1893" t="s">
        <v>109</v>
      </c>
      <c r="S1893">
        <v>10.04856807904874</v>
      </c>
      <c r="T1893" t="s">
        <v>110</v>
      </c>
      <c r="U1893">
        <v>10.04856807904874</v>
      </c>
      <c r="V1893">
        <v>169.0254662162269</v>
      </c>
      <c r="W1893">
        <v>10.401567151767811</v>
      </c>
      <c r="X1893" t="s">
        <v>111</v>
      </c>
      <c r="Y1893">
        <v>25</v>
      </c>
      <c r="Z1893">
        <v>0.17702743665447629</v>
      </c>
      <c r="AA1893">
        <v>31.536000000000001</v>
      </c>
    </row>
    <row r="1894" spans="1:27" hidden="1" x14ac:dyDescent="0.25">
      <c r="A1894" t="s">
        <v>98</v>
      </c>
      <c r="B1894" t="s">
        <v>849</v>
      </c>
      <c r="D1894" t="s">
        <v>1722</v>
      </c>
      <c r="E1894" t="s">
        <v>142</v>
      </c>
      <c r="F1894" t="s">
        <v>188</v>
      </c>
      <c r="G1894" t="s">
        <v>112</v>
      </c>
      <c r="H1894" t="s">
        <v>104</v>
      </c>
      <c r="I1894">
        <v>2030</v>
      </c>
      <c r="J1894" t="s">
        <v>191</v>
      </c>
      <c r="K1894" t="s">
        <v>106</v>
      </c>
      <c r="L1894" t="s">
        <v>2259</v>
      </c>
      <c r="M1894" t="s">
        <v>2281</v>
      </c>
      <c r="N1894">
        <v>1</v>
      </c>
      <c r="O1894">
        <v>2030</v>
      </c>
      <c r="P1894">
        <v>64.778450843134578</v>
      </c>
      <c r="Q1894">
        <v>3.0483976867357452</v>
      </c>
      <c r="R1894" t="s">
        <v>109</v>
      </c>
      <c r="S1894">
        <v>13.02592158395206</v>
      </c>
      <c r="T1894" t="s">
        <v>110</v>
      </c>
      <c r="U1894">
        <v>13.02592158395206</v>
      </c>
      <c r="V1894">
        <v>221.033301975066</v>
      </c>
      <c r="W1894">
        <v>10.401567151767811</v>
      </c>
      <c r="X1894" t="s">
        <v>111</v>
      </c>
      <c r="Y1894">
        <v>25</v>
      </c>
      <c r="Z1894">
        <v>0.17702743665447629</v>
      </c>
      <c r="AA1894">
        <v>31.536000000000001</v>
      </c>
    </row>
    <row r="1895" spans="1:27" hidden="1" x14ac:dyDescent="0.25">
      <c r="A1895" t="s">
        <v>98</v>
      </c>
      <c r="B1895" t="s">
        <v>849</v>
      </c>
      <c r="D1895" t="s">
        <v>1722</v>
      </c>
      <c r="E1895" t="s">
        <v>142</v>
      </c>
      <c r="F1895" t="s">
        <v>188</v>
      </c>
      <c r="G1895" t="s">
        <v>103</v>
      </c>
      <c r="H1895" t="s">
        <v>104</v>
      </c>
      <c r="I1895">
        <v>2040</v>
      </c>
      <c r="J1895" t="s">
        <v>193</v>
      </c>
      <c r="K1895" t="s">
        <v>106</v>
      </c>
      <c r="L1895" t="s">
        <v>2259</v>
      </c>
      <c r="M1895" t="s">
        <v>2282</v>
      </c>
      <c r="N1895">
        <v>1</v>
      </c>
      <c r="O1895">
        <v>2040</v>
      </c>
      <c r="P1895">
        <v>49.536462409455851</v>
      </c>
      <c r="Q1895">
        <v>3.0483976867357452</v>
      </c>
      <c r="R1895" t="s">
        <v>109</v>
      </c>
      <c r="S1895">
        <v>10.34411419902076</v>
      </c>
      <c r="T1895" t="s">
        <v>110</v>
      </c>
      <c r="U1895">
        <v>10.34411419902076</v>
      </c>
      <c r="V1895">
        <v>169.0254662162269</v>
      </c>
      <c r="W1895">
        <v>10.401567151767811</v>
      </c>
      <c r="X1895" t="s">
        <v>111</v>
      </c>
      <c r="Y1895">
        <v>25</v>
      </c>
      <c r="Z1895">
        <v>0.17702743665447629</v>
      </c>
      <c r="AA1895">
        <v>31.536000000000001</v>
      </c>
    </row>
    <row r="1896" spans="1:27" hidden="1" x14ac:dyDescent="0.25">
      <c r="A1896" t="s">
        <v>98</v>
      </c>
      <c r="B1896" t="s">
        <v>849</v>
      </c>
      <c r="D1896" t="s">
        <v>1722</v>
      </c>
      <c r="E1896" t="s">
        <v>142</v>
      </c>
      <c r="F1896" t="s">
        <v>188</v>
      </c>
      <c r="G1896" t="s">
        <v>112</v>
      </c>
      <c r="H1896" t="s">
        <v>104</v>
      </c>
      <c r="I1896">
        <v>2040</v>
      </c>
      <c r="J1896" t="s">
        <v>195</v>
      </c>
      <c r="K1896" t="s">
        <v>106</v>
      </c>
      <c r="L1896" t="s">
        <v>2259</v>
      </c>
      <c r="M1896" t="s">
        <v>2283</v>
      </c>
      <c r="N1896">
        <v>1</v>
      </c>
      <c r="O1896">
        <v>2040</v>
      </c>
      <c r="P1896">
        <v>64.778450843134578</v>
      </c>
      <c r="Q1896">
        <v>3.0483976867357452</v>
      </c>
      <c r="R1896" t="s">
        <v>109</v>
      </c>
      <c r="S1896">
        <v>14.067995310668231</v>
      </c>
      <c r="T1896" t="s">
        <v>110</v>
      </c>
      <c r="U1896">
        <v>14.067995310668231</v>
      </c>
      <c r="V1896">
        <v>221.033301975066</v>
      </c>
      <c r="W1896">
        <v>10.401567151767811</v>
      </c>
      <c r="X1896" t="s">
        <v>111</v>
      </c>
      <c r="Y1896">
        <v>25</v>
      </c>
      <c r="Z1896">
        <v>0.17702743665447629</v>
      </c>
      <c r="AA1896">
        <v>31.536000000000001</v>
      </c>
    </row>
    <row r="1897" spans="1:27" hidden="1" x14ac:dyDescent="0.25">
      <c r="A1897" t="s">
        <v>98</v>
      </c>
      <c r="B1897" t="s">
        <v>849</v>
      </c>
      <c r="D1897" t="s">
        <v>1722</v>
      </c>
      <c r="E1897" t="s">
        <v>142</v>
      </c>
      <c r="F1897" t="s">
        <v>188</v>
      </c>
      <c r="G1897" t="s">
        <v>112</v>
      </c>
      <c r="H1897" t="s">
        <v>104</v>
      </c>
      <c r="I1897">
        <v>2022</v>
      </c>
      <c r="J1897" t="s">
        <v>197</v>
      </c>
      <c r="K1897" t="s">
        <v>106</v>
      </c>
      <c r="L1897" t="s">
        <v>2259</v>
      </c>
      <c r="M1897" t="s">
        <v>2284</v>
      </c>
      <c r="N1897">
        <v>1</v>
      </c>
      <c r="O1897">
        <v>2020</v>
      </c>
      <c r="P1897">
        <v>64.778450843134578</v>
      </c>
      <c r="Q1897">
        <v>3.0483976867357452</v>
      </c>
      <c r="R1897" t="s">
        <v>109</v>
      </c>
      <c r="S1897">
        <v>12.12758216436916</v>
      </c>
      <c r="T1897" t="s">
        <v>110</v>
      </c>
      <c r="U1897">
        <v>12.12758216436916</v>
      </c>
      <c r="V1897">
        <v>221.033301975066</v>
      </c>
      <c r="W1897">
        <v>10.401567151767811</v>
      </c>
      <c r="X1897" t="s">
        <v>111</v>
      </c>
      <c r="Y1897">
        <v>25</v>
      </c>
      <c r="Z1897">
        <v>0.17702743665447629</v>
      </c>
      <c r="AA1897">
        <v>31.536000000000001</v>
      </c>
    </row>
    <row r="1898" spans="1:27" hidden="1" x14ac:dyDescent="0.25">
      <c r="A1898" t="s">
        <v>98</v>
      </c>
      <c r="B1898" t="s">
        <v>849</v>
      </c>
      <c r="D1898" t="s">
        <v>1722</v>
      </c>
      <c r="E1898" t="s">
        <v>142</v>
      </c>
      <c r="F1898" t="s">
        <v>199</v>
      </c>
      <c r="G1898" t="s">
        <v>103</v>
      </c>
      <c r="H1898" t="s">
        <v>131</v>
      </c>
      <c r="I1898">
        <v>2030</v>
      </c>
      <c r="J1898" t="s">
        <v>200</v>
      </c>
      <c r="K1898" t="s">
        <v>133</v>
      </c>
      <c r="L1898" t="s">
        <v>2259</v>
      </c>
      <c r="M1898" t="s">
        <v>2285</v>
      </c>
      <c r="N1898">
        <v>1</v>
      </c>
      <c r="O1898">
        <v>2030</v>
      </c>
      <c r="P1898">
        <v>93.992262007685454</v>
      </c>
      <c r="Q1898">
        <v>2.7943645461744331</v>
      </c>
      <c r="R1898" t="s">
        <v>109</v>
      </c>
      <c r="S1898">
        <v>1.4</v>
      </c>
      <c r="T1898" t="s">
        <v>110</v>
      </c>
      <c r="U1898">
        <v>1.4</v>
      </c>
      <c r="V1898">
        <v>320.71498717950749</v>
      </c>
      <c r="W1898">
        <v>9.5347698891204935</v>
      </c>
      <c r="X1898" t="s">
        <v>111</v>
      </c>
      <c r="Y1898">
        <v>23</v>
      </c>
      <c r="Z1898">
        <v>0.17702743665447629</v>
      </c>
      <c r="AA1898">
        <v>31.536000000000001</v>
      </c>
    </row>
    <row r="1899" spans="1:27" hidden="1" x14ac:dyDescent="0.25">
      <c r="A1899" t="s">
        <v>98</v>
      </c>
      <c r="B1899" t="s">
        <v>849</v>
      </c>
      <c r="D1899" t="s">
        <v>1722</v>
      </c>
      <c r="E1899" t="s">
        <v>142</v>
      </c>
      <c r="F1899" t="s">
        <v>202</v>
      </c>
      <c r="G1899" t="s">
        <v>103</v>
      </c>
      <c r="H1899" t="s">
        <v>104</v>
      </c>
      <c r="I1899">
        <v>2023</v>
      </c>
      <c r="J1899" t="s">
        <v>203</v>
      </c>
      <c r="K1899" t="s">
        <v>106</v>
      </c>
      <c r="L1899" t="s">
        <v>2259</v>
      </c>
      <c r="M1899" t="s">
        <v>2286</v>
      </c>
      <c r="N1899">
        <v>1</v>
      </c>
      <c r="O1899">
        <v>2023</v>
      </c>
      <c r="P1899">
        <v>138.8714501735173</v>
      </c>
      <c r="Q1899">
        <v>4.2000145906136934</v>
      </c>
      <c r="R1899" t="s">
        <v>109</v>
      </c>
      <c r="S1899">
        <v>3.5756154747948421</v>
      </c>
      <c r="T1899" t="s">
        <v>110</v>
      </c>
      <c r="U1899">
        <v>3.5756154747948421</v>
      </c>
      <c r="V1899">
        <v>473.84917024720039</v>
      </c>
      <c r="W1899">
        <v>14.33104807576899</v>
      </c>
      <c r="X1899" t="s">
        <v>111</v>
      </c>
      <c r="Y1899">
        <v>21</v>
      </c>
      <c r="Z1899">
        <v>0.17702743665447629</v>
      </c>
      <c r="AA1899">
        <v>31.536000000000001</v>
      </c>
    </row>
    <row r="1900" spans="1:27" hidden="1" x14ac:dyDescent="0.25">
      <c r="A1900" t="s">
        <v>98</v>
      </c>
      <c r="B1900" t="s">
        <v>849</v>
      </c>
      <c r="D1900" t="s">
        <v>1722</v>
      </c>
      <c r="E1900" t="s">
        <v>142</v>
      </c>
      <c r="F1900" t="s">
        <v>202</v>
      </c>
      <c r="G1900" t="s">
        <v>112</v>
      </c>
      <c r="H1900" t="s">
        <v>104</v>
      </c>
      <c r="I1900">
        <v>2022</v>
      </c>
      <c r="J1900" t="s">
        <v>205</v>
      </c>
      <c r="K1900" t="s">
        <v>106</v>
      </c>
      <c r="L1900" t="s">
        <v>2259</v>
      </c>
      <c r="M1900" t="s">
        <v>2287</v>
      </c>
      <c r="N1900">
        <v>1</v>
      </c>
      <c r="O1900">
        <v>2020</v>
      </c>
      <c r="P1900">
        <v>201.87166903272271</v>
      </c>
      <c r="Q1900">
        <v>4.2000145906136934</v>
      </c>
      <c r="R1900" t="s">
        <v>109</v>
      </c>
      <c r="S1900">
        <v>3.7514654161781951</v>
      </c>
      <c r="T1900" t="s">
        <v>110</v>
      </c>
      <c r="U1900">
        <v>3.7514654161781951</v>
      </c>
      <c r="V1900">
        <v>688.81489138373513</v>
      </c>
      <c r="W1900">
        <v>14.33104807576899</v>
      </c>
      <c r="X1900" t="s">
        <v>111</v>
      </c>
      <c r="Y1900">
        <v>21</v>
      </c>
      <c r="Z1900">
        <v>0.17702743665447629</v>
      </c>
      <c r="AA1900">
        <v>31.536000000000001</v>
      </c>
    </row>
    <row r="1901" spans="1:27" hidden="1" x14ac:dyDescent="0.25">
      <c r="A1901" t="s">
        <v>98</v>
      </c>
      <c r="B1901" t="s">
        <v>849</v>
      </c>
      <c r="D1901" t="s">
        <v>1722</v>
      </c>
      <c r="E1901" t="s">
        <v>142</v>
      </c>
      <c r="F1901" t="s">
        <v>207</v>
      </c>
      <c r="G1901" t="s">
        <v>103</v>
      </c>
      <c r="H1901" t="s">
        <v>104</v>
      </c>
      <c r="I1901">
        <v>2030</v>
      </c>
      <c r="J1901" t="s">
        <v>208</v>
      </c>
      <c r="K1901" t="s">
        <v>106</v>
      </c>
      <c r="L1901" t="s">
        <v>2259</v>
      </c>
      <c r="M1901" t="s">
        <v>2288</v>
      </c>
      <c r="N1901">
        <v>0</v>
      </c>
      <c r="O1901">
        <v>2030</v>
      </c>
      <c r="P1901">
        <v>74.322838838509583</v>
      </c>
      <c r="Q1901">
        <v>1.219359074694298E-2</v>
      </c>
      <c r="R1901" t="s">
        <v>109</v>
      </c>
      <c r="S1901">
        <v>3.5902696365767879</v>
      </c>
      <c r="T1901" t="s">
        <v>110</v>
      </c>
      <c r="U1901">
        <v>3.5902696365767879</v>
      </c>
      <c r="V1901">
        <v>253.60011341452949</v>
      </c>
      <c r="W1901">
        <v>4.1606268607071263E-2</v>
      </c>
      <c r="X1901" t="s">
        <v>111</v>
      </c>
      <c r="Y1901">
        <v>9.5</v>
      </c>
      <c r="Z1901">
        <v>0.17702743665447629</v>
      </c>
      <c r="AA1901">
        <v>31.536000000000001</v>
      </c>
    </row>
    <row r="1902" spans="1:27" hidden="1" x14ac:dyDescent="0.25">
      <c r="A1902" t="s">
        <v>98</v>
      </c>
      <c r="B1902" t="s">
        <v>849</v>
      </c>
      <c r="D1902" t="s">
        <v>1722</v>
      </c>
      <c r="E1902" t="s">
        <v>142</v>
      </c>
      <c r="F1902" t="s">
        <v>207</v>
      </c>
      <c r="G1902" t="s">
        <v>112</v>
      </c>
      <c r="H1902" t="s">
        <v>104</v>
      </c>
      <c r="I1902">
        <v>2030</v>
      </c>
      <c r="J1902" t="s">
        <v>210</v>
      </c>
      <c r="K1902" t="s">
        <v>106</v>
      </c>
      <c r="L1902" t="s">
        <v>2259</v>
      </c>
      <c r="M1902" t="s">
        <v>2289</v>
      </c>
      <c r="N1902">
        <v>0</v>
      </c>
      <c r="O1902">
        <v>2030</v>
      </c>
      <c r="P1902">
        <v>81.871252158045721</v>
      </c>
      <c r="Q1902">
        <v>1.219359074694298E-2</v>
      </c>
      <c r="R1902" t="s">
        <v>109</v>
      </c>
      <c r="S1902">
        <v>3.8100820633059791</v>
      </c>
      <c r="T1902" t="s">
        <v>110</v>
      </c>
      <c r="U1902">
        <v>3.8100820633059791</v>
      </c>
      <c r="V1902">
        <v>279.35637493319268</v>
      </c>
      <c r="W1902">
        <v>4.1606268607071263E-2</v>
      </c>
      <c r="X1902" t="s">
        <v>111</v>
      </c>
      <c r="Y1902">
        <v>9.5</v>
      </c>
      <c r="Z1902">
        <v>0.17702743665447629</v>
      </c>
      <c r="AA1902">
        <v>31.536000000000001</v>
      </c>
    </row>
    <row r="1903" spans="1:27" hidden="1" x14ac:dyDescent="0.25">
      <c r="A1903" t="s">
        <v>98</v>
      </c>
      <c r="B1903" t="s">
        <v>849</v>
      </c>
      <c r="D1903" t="s">
        <v>1722</v>
      </c>
      <c r="E1903" t="s">
        <v>142</v>
      </c>
      <c r="F1903" t="s">
        <v>207</v>
      </c>
      <c r="G1903" t="s">
        <v>103</v>
      </c>
      <c r="H1903" t="s">
        <v>104</v>
      </c>
      <c r="I1903">
        <v>2040</v>
      </c>
      <c r="J1903" t="s">
        <v>212</v>
      </c>
      <c r="K1903" t="s">
        <v>106</v>
      </c>
      <c r="L1903" t="s">
        <v>2259</v>
      </c>
      <c r="M1903" t="s">
        <v>2290</v>
      </c>
      <c r="N1903">
        <v>0</v>
      </c>
      <c r="O1903">
        <v>2040</v>
      </c>
      <c r="P1903">
        <v>74.322838838509583</v>
      </c>
      <c r="Q1903">
        <v>1.219359074694298E-2</v>
      </c>
      <c r="R1903" t="s">
        <v>109</v>
      </c>
      <c r="S1903">
        <v>3.6635404454865181</v>
      </c>
      <c r="T1903" t="s">
        <v>110</v>
      </c>
      <c r="U1903">
        <v>3.6635404454865181</v>
      </c>
      <c r="V1903">
        <v>253.60011341452949</v>
      </c>
      <c r="W1903">
        <v>4.1606268607071263E-2</v>
      </c>
      <c r="X1903" t="s">
        <v>111</v>
      </c>
      <c r="Y1903">
        <v>9.5</v>
      </c>
      <c r="Z1903">
        <v>0.17702743665447629</v>
      </c>
      <c r="AA1903">
        <v>31.536000000000001</v>
      </c>
    </row>
    <row r="1904" spans="1:27" hidden="1" x14ac:dyDescent="0.25">
      <c r="A1904" t="s">
        <v>98</v>
      </c>
      <c r="B1904" t="s">
        <v>849</v>
      </c>
      <c r="D1904" t="s">
        <v>1722</v>
      </c>
      <c r="E1904" t="s">
        <v>142</v>
      </c>
      <c r="F1904" t="s">
        <v>207</v>
      </c>
      <c r="G1904" t="s">
        <v>112</v>
      </c>
      <c r="H1904" t="s">
        <v>104</v>
      </c>
      <c r="I1904">
        <v>2040</v>
      </c>
      <c r="J1904" t="s">
        <v>214</v>
      </c>
      <c r="K1904" t="s">
        <v>106</v>
      </c>
      <c r="L1904" t="s">
        <v>2259</v>
      </c>
      <c r="M1904" t="s">
        <v>2291</v>
      </c>
      <c r="N1904">
        <v>0</v>
      </c>
      <c r="O1904">
        <v>2040</v>
      </c>
      <c r="P1904">
        <v>81.871252158045721</v>
      </c>
      <c r="Q1904">
        <v>1.219359074694298E-2</v>
      </c>
      <c r="R1904" t="s">
        <v>109</v>
      </c>
      <c r="S1904">
        <v>3.9566236811254401</v>
      </c>
      <c r="T1904" t="s">
        <v>110</v>
      </c>
      <c r="U1904">
        <v>3.9566236811254401</v>
      </c>
      <c r="V1904">
        <v>279.35637493319268</v>
      </c>
      <c r="W1904">
        <v>4.1606268607071263E-2</v>
      </c>
      <c r="X1904" t="s">
        <v>111</v>
      </c>
      <c r="Y1904">
        <v>9.5</v>
      </c>
      <c r="Z1904">
        <v>0.17702743665447629</v>
      </c>
      <c r="AA1904">
        <v>31.536000000000001</v>
      </c>
    </row>
    <row r="1905" spans="1:27" hidden="1" x14ac:dyDescent="0.25">
      <c r="A1905" t="s">
        <v>98</v>
      </c>
      <c r="B1905" t="s">
        <v>849</v>
      </c>
      <c r="D1905" t="s">
        <v>1722</v>
      </c>
      <c r="E1905" t="s">
        <v>142</v>
      </c>
      <c r="F1905" t="s">
        <v>207</v>
      </c>
      <c r="G1905" t="s">
        <v>112</v>
      </c>
      <c r="H1905" t="s">
        <v>104</v>
      </c>
      <c r="I1905">
        <v>2022</v>
      </c>
      <c r="J1905" t="s">
        <v>216</v>
      </c>
      <c r="K1905" t="s">
        <v>106</v>
      </c>
      <c r="L1905" t="s">
        <v>2259</v>
      </c>
      <c r="M1905" t="s">
        <v>2292</v>
      </c>
      <c r="N1905">
        <v>1</v>
      </c>
      <c r="O1905">
        <v>2020</v>
      </c>
      <c r="P1905">
        <v>81.871252158045721</v>
      </c>
      <c r="Q1905">
        <v>1.219359074694298E-2</v>
      </c>
      <c r="R1905" t="s">
        <v>109</v>
      </c>
      <c r="S1905">
        <v>3.6635404454865181</v>
      </c>
      <c r="T1905" t="s">
        <v>110</v>
      </c>
      <c r="U1905">
        <v>3.6635404454865181</v>
      </c>
      <c r="V1905">
        <v>279.35637493319268</v>
      </c>
      <c r="W1905">
        <v>4.1606268607071263E-2</v>
      </c>
      <c r="X1905" t="s">
        <v>111</v>
      </c>
      <c r="Y1905">
        <v>9.5</v>
      </c>
      <c r="Z1905">
        <v>0.17702743665447629</v>
      </c>
      <c r="AA1905">
        <v>31.536000000000001</v>
      </c>
    </row>
    <row r="1906" spans="1:27" hidden="1" x14ac:dyDescent="0.25">
      <c r="A1906" t="s">
        <v>98</v>
      </c>
      <c r="B1906" t="s">
        <v>849</v>
      </c>
      <c r="D1906" t="s">
        <v>1722</v>
      </c>
      <c r="E1906" t="s">
        <v>142</v>
      </c>
      <c r="F1906" t="s">
        <v>218</v>
      </c>
      <c r="G1906" t="s">
        <v>219</v>
      </c>
      <c r="H1906" t="s">
        <v>104</v>
      </c>
      <c r="I1906">
        <v>2023</v>
      </c>
      <c r="J1906" t="s">
        <v>220</v>
      </c>
      <c r="K1906" t="s">
        <v>106</v>
      </c>
      <c r="L1906" t="s">
        <v>2259</v>
      </c>
      <c r="M1906" t="s">
        <v>2293</v>
      </c>
      <c r="N1906">
        <v>0</v>
      </c>
      <c r="O1906">
        <v>2023</v>
      </c>
      <c r="P1906">
        <v>144.5166310748798</v>
      </c>
      <c r="Q1906">
        <v>2.6193639382321958</v>
      </c>
      <c r="R1906" t="s">
        <v>109</v>
      </c>
      <c r="S1906">
        <v>4.6893317702227444</v>
      </c>
      <c r="T1906" t="s">
        <v>110</v>
      </c>
      <c r="U1906">
        <v>4.6893317702227444</v>
      </c>
      <c r="V1906">
        <v>493.11133163936307</v>
      </c>
      <c r="W1906">
        <v>8.937642885963454</v>
      </c>
      <c r="X1906" t="s">
        <v>111</v>
      </c>
      <c r="Y1906">
        <v>18</v>
      </c>
      <c r="Z1906">
        <v>0.17702743665447629</v>
      </c>
      <c r="AA1906">
        <v>31.536000000000001</v>
      </c>
    </row>
    <row r="1907" spans="1:27" hidden="1" x14ac:dyDescent="0.25">
      <c r="A1907" t="s">
        <v>98</v>
      </c>
      <c r="B1907" t="s">
        <v>849</v>
      </c>
      <c r="D1907" t="s">
        <v>1722</v>
      </c>
      <c r="E1907" t="s">
        <v>142</v>
      </c>
      <c r="F1907" t="s">
        <v>218</v>
      </c>
      <c r="G1907" t="s">
        <v>112</v>
      </c>
      <c r="H1907" t="s">
        <v>104</v>
      </c>
      <c r="I1907">
        <v>2022</v>
      </c>
      <c r="J1907" t="s">
        <v>222</v>
      </c>
      <c r="K1907" t="s">
        <v>106</v>
      </c>
      <c r="L1907" t="s">
        <v>2259</v>
      </c>
      <c r="M1907" t="s">
        <v>2294</v>
      </c>
      <c r="N1907">
        <v>1</v>
      </c>
      <c r="O1907">
        <v>2020</v>
      </c>
      <c r="P1907">
        <v>157.50054714801351</v>
      </c>
      <c r="Q1907">
        <v>2.455653692092683</v>
      </c>
      <c r="R1907" t="s">
        <v>109</v>
      </c>
      <c r="S1907">
        <v>4.835873388042204</v>
      </c>
      <c r="T1907" t="s">
        <v>110</v>
      </c>
      <c r="U1907">
        <v>4.835873388042204</v>
      </c>
      <c r="V1907">
        <v>537.41430284133696</v>
      </c>
      <c r="W1907">
        <v>8.3790402055907389</v>
      </c>
      <c r="X1907" t="s">
        <v>111</v>
      </c>
      <c r="Y1907">
        <v>18</v>
      </c>
      <c r="Z1907">
        <v>0.17702743665447629</v>
      </c>
      <c r="AA1907">
        <v>31.536000000000001</v>
      </c>
    </row>
    <row r="1908" spans="1:27" hidden="1" x14ac:dyDescent="0.25">
      <c r="A1908" t="s">
        <v>98</v>
      </c>
      <c r="B1908" t="s">
        <v>849</v>
      </c>
      <c r="D1908" t="s">
        <v>1722</v>
      </c>
      <c r="E1908" t="s">
        <v>142</v>
      </c>
      <c r="F1908" t="s">
        <v>218</v>
      </c>
      <c r="G1908" t="s">
        <v>103</v>
      </c>
      <c r="H1908" t="s">
        <v>104</v>
      </c>
      <c r="I1908">
        <v>2023</v>
      </c>
      <c r="J1908" t="s">
        <v>224</v>
      </c>
      <c r="K1908" t="s">
        <v>106</v>
      </c>
      <c r="L1908" t="s">
        <v>2259</v>
      </c>
      <c r="M1908" t="s">
        <v>2295</v>
      </c>
      <c r="N1908">
        <v>0</v>
      </c>
      <c r="O1908">
        <v>2023</v>
      </c>
      <c r="P1908">
        <v>125.3230160102473</v>
      </c>
      <c r="Q1908">
        <v>2.455653692092683</v>
      </c>
      <c r="R1908" t="s">
        <v>109</v>
      </c>
      <c r="S1908">
        <v>4.2203985932004704</v>
      </c>
      <c r="T1908" t="s">
        <v>110</v>
      </c>
      <c r="U1908">
        <v>4.2203985932004704</v>
      </c>
      <c r="V1908">
        <v>427.61998290601008</v>
      </c>
      <c r="W1908">
        <v>8.3790402055907389</v>
      </c>
      <c r="X1908" t="s">
        <v>111</v>
      </c>
      <c r="Y1908">
        <v>18</v>
      </c>
      <c r="Z1908">
        <v>0.17702743665447629</v>
      </c>
      <c r="AA1908">
        <v>31.536000000000001</v>
      </c>
    </row>
    <row r="1909" spans="1:27" x14ac:dyDescent="0.25">
      <c r="A1909" t="s">
        <v>98</v>
      </c>
      <c r="B1909" t="s">
        <v>849</v>
      </c>
      <c r="D1909" t="s">
        <v>1722</v>
      </c>
      <c r="E1909" t="s">
        <v>226</v>
      </c>
      <c r="F1909" t="s">
        <v>227</v>
      </c>
      <c r="G1909" t="s">
        <v>228</v>
      </c>
      <c r="H1909" t="s">
        <v>104</v>
      </c>
      <c r="I1909">
        <v>2023</v>
      </c>
      <c r="J1909" t="s">
        <v>229</v>
      </c>
      <c r="K1909" t="s">
        <v>106</v>
      </c>
      <c r="L1909" t="s">
        <v>2296</v>
      </c>
      <c r="M1909" t="s">
        <v>2297</v>
      </c>
      <c r="N1909">
        <v>1</v>
      </c>
      <c r="O1909">
        <v>2023</v>
      </c>
      <c r="P1909">
        <v>351.48905933689161</v>
      </c>
      <c r="Q1909">
        <v>0.67078064758948786</v>
      </c>
      <c r="R1909" t="s">
        <v>109</v>
      </c>
      <c r="S1909">
        <v>2.7</v>
      </c>
      <c r="T1909" t="s">
        <v>110</v>
      </c>
      <c r="U1909">
        <v>2.7</v>
      </c>
      <c r="V1909">
        <v>1199.3307401172131</v>
      </c>
      <c r="W1909">
        <v>2.2887991223610928</v>
      </c>
      <c r="X1909" t="s">
        <v>111</v>
      </c>
      <c r="Y1909">
        <v>20</v>
      </c>
      <c r="Z1909">
        <v>0.44</v>
      </c>
      <c r="AA1909">
        <v>31.536000000000001</v>
      </c>
    </row>
    <row r="1910" spans="1:27" x14ac:dyDescent="0.25">
      <c r="A1910" t="s">
        <v>98</v>
      </c>
      <c r="B1910" t="s">
        <v>849</v>
      </c>
      <c r="D1910" t="s">
        <v>1722</v>
      </c>
      <c r="E1910" t="s">
        <v>226</v>
      </c>
      <c r="F1910" t="s">
        <v>227</v>
      </c>
      <c r="G1910" t="s">
        <v>228</v>
      </c>
      <c r="H1910" t="s">
        <v>104</v>
      </c>
      <c r="I1910">
        <v>2024</v>
      </c>
      <c r="J1910" t="s">
        <v>232</v>
      </c>
      <c r="K1910" t="s">
        <v>106</v>
      </c>
      <c r="L1910" t="s">
        <v>2296</v>
      </c>
      <c r="M1910" t="s">
        <v>2298</v>
      </c>
      <c r="N1910">
        <v>1</v>
      </c>
      <c r="O1910">
        <v>2024</v>
      </c>
      <c r="P1910">
        <v>351.48905933689161</v>
      </c>
      <c r="Q1910">
        <v>0.67078064758948786</v>
      </c>
      <c r="R1910" t="s">
        <v>109</v>
      </c>
      <c r="S1910">
        <v>2.7</v>
      </c>
      <c r="T1910" t="s">
        <v>110</v>
      </c>
      <c r="U1910">
        <v>2.7</v>
      </c>
      <c r="V1910">
        <v>1199.3307401172131</v>
      </c>
      <c r="W1910">
        <v>2.2887991223610928</v>
      </c>
      <c r="X1910" t="s">
        <v>111</v>
      </c>
      <c r="Y1910">
        <v>20</v>
      </c>
      <c r="Z1910">
        <v>0.44</v>
      </c>
      <c r="AA1910">
        <v>31.536000000000001</v>
      </c>
    </row>
    <row r="1911" spans="1:27" x14ac:dyDescent="0.25">
      <c r="A1911" t="s">
        <v>98</v>
      </c>
      <c r="B1911" t="s">
        <v>849</v>
      </c>
      <c r="D1911" t="s">
        <v>1722</v>
      </c>
      <c r="E1911" t="s">
        <v>226</v>
      </c>
      <c r="F1911" t="s">
        <v>227</v>
      </c>
      <c r="G1911" t="s">
        <v>228</v>
      </c>
      <c r="H1911" t="s">
        <v>104</v>
      </c>
      <c r="I1911">
        <v>2025</v>
      </c>
      <c r="J1911" t="s">
        <v>234</v>
      </c>
      <c r="K1911" t="s">
        <v>106</v>
      </c>
      <c r="L1911" t="s">
        <v>2296</v>
      </c>
      <c r="M1911" t="s">
        <v>2299</v>
      </c>
      <c r="N1911">
        <v>1</v>
      </c>
      <c r="O1911">
        <v>2025</v>
      </c>
      <c r="P1911">
        <v>351.48905933689161</v>
      </c>
      <c r="Q1911">
        <v>0.67078064758948786</v>
      </c>
      <c r="R1911" t="s">
        <v>109</v>
      </c>
      <c r="S1911">
        <v>2.7</v>
      </c>
      <c r="T1911" t="s">
        <v>110</v>
      </c>
      <c r="U1911">
        <v>2.7</v>
      </c>
      <c r="V1911">
        <v>1199.3307401172131</v>
      </c>
      <c r="W1911">
        <v>2.2887991223610928</v>
      </c>
      <c r="X1911" t="s">
        <v>111</v>
      </c>
      <c r="Y1911">
        <v>20</v>
      </c>
      <c r="Z1911">
        <v>0.44</v>
      </c>
      <c r="AA1911">
        <v>31.536000000000001</v>
      </c>
    </row>
    <row r="1912" spans="1:27" x14ac:dyDescent="0.25">
      <c r="A1912" t="s">
        <v>98</v>
      </c>
      <c r="B1912" t="s">
        <v>849</v>
      </c>
      <c r="D1912" t="s">
        <v>1722</v>
      </c>
      <c r="E1912" t="s">
        <v>226</v>
      </c>
      <c r="F1912" t="s">
        <v>227</v>
      </c>
      <c r="G1912" t="s">
        <v>228</v>
      </c>
      <c r="H1912" t="s">
        <v>104</v>
      </c>
      <c r="I1912">
        <v>2026</v>
      </c>
      <c r="J1912" t="s">
        <v>236</v>
      </c>
      <c r="K1912" t="s">
        <v>106</v>
      </c>
      <c r="L1912" t="s">
        <v>2296</v>
      </c>
      <c r="M1912" t="s">
        <v>2300</v>
      </c>
      <c r="N1912">
        <v>1</v>
      </c>
      <c r="O1912">
        <v>2026</v>
      </c>
      <c r="P1912">
        <v>351.48905933689161</v>
      </c>
      <c r="Q1912">
        <v>0.67078064758948786</v>
      </c>
      <c r="R1912" t="s">
        <v>109</v>
      </c>
      <c r="S1912">
        <v>2.7</v>
      </c>
      <c r="T1912" t="s">
        <v>110</v>
      </c>
      <c r="U1912">
        <v>2.7</v>
      </c>
      <c r="V1912">
        <v>1199.3307401172131</v>
      </c>
      <c r="W1912">
        <v>2.2887991223610928</v>
      </c>
      <c r="X1912" t="s">
        <v>111</v>
      </c>
      <c r="Y1912">
        <v>20</v>
      </c>
      <c r="Z1912">
        <v>0.44</v>
      </c>
      <c r="AA1912">
        <v>31.536000000000001</v>
      </c>
    </row>
    <row r="1913" spans="1:27" x14ac:dyDescent="0.25">
      <c r="A1913" t="s">
        <v>98</v>
      </c>
      <c r="B1913" t="s">
        <v>849</v>
      </c>
      <c r="D1913" t="s">
        <v>1722</v>
      </c>
      <c r="E1913" t="s">
        <v>226</v>
      </c>
      <c r="F1913" t="s">
        <v>227</v>
      </c>
      <c r="G1913" t="s">
        <v>228</v>
      </c>
      <c r="H1913" t="s">
        <v>104</v>
      </c>
      <c r="I1913">
        <v>2027</v>
      </c>
      <c r="J1913" t="s">
        <v>238</v>
      </c>
      <c r="K1913" t="s">
        <v>106</v>
      </c>
      <c r="L1913" t="s">
        <v>2296</v>
      </c>
      <c r="M1913" t="s">
        <v>2301</v>
      </c>
      <c r="N1913">
        <v>1</v>
      </c>
      <c r="O1913">
        <v>2027</v>
      </c>
      <c r="P1913">
        <v>351.48905933689161</v>
      </c>
      <c r="Q1913">
        <v>0.67078064758948786</v>
      </c>
      <c r="R1913" t="s">
        <v>109</v>
      </c>
      <c r="S1913">
        <v>2.7</v>
      </c>
      <c r="T1913" t="s">
        <v>110</v>
      </c>
      <c r="U1913">
        <v>2.7</v>
      </c>
      <c r="V1913">
        <v>1199.3307401172131</v>
      </c>
      <c r="W1913">
        <v>2.2887991223610928</v>
      </c>
      <c r="X1913" t="s">
        <v>111</v>
      </c>
      <c r="Y1913">
        <v>20</v>
      </c>
      <c r="Z1913">
        <v>0.44</v>
      </c>
      <c r="AA1913">
        <v>31.536000000000001</v>
      </c>
    </row>
    <row r="1914" spans="1:27" x14ac:dyDescent="0.25">
      <c r="A1914" t="s">
        <v>98</v>
      </c>
      <c r="B1914" t="s">
        <v>849</v>
      </c>
      <c r="D1914" t="s">
        <v>1722</v>
      </c>
      <c r="E1914" t="s">
        <v>226</v>
      </c>
      <c r="F1914" t="s">
        <v>240</v>
      </c>
      <c r="G1914" t="s">
        <v>103</v>
      </c>
      <c r="H1914" t="s">
        <v>104</v>
      </c>
      <c r="I1914">
        <v>2022</v>
      </c>
      <c r="J1914" t="s">
        <v>241</v>
      </c>
      <c r="K1914" t="s">
        <v>106</v>
      </c>
      <c r="L1914" t="s">
        <v>2296</v>
      </c>
      <c r="M1914" t="s">
        <v>2302</v>
      </c>
      <c r="N1914">
        <v>1</v>
      </c>
      <c r="O1914">
        <v>2020</v>
      </c>
      <c r="P1914">
        <v>364.1638033744108</v>
      </c>
      <c r="Q1914">
        <v>0.71474740603417231</v>
      </c>
      <c r="R1914" t="s">
        <v>109</v>
      </c>
      <c r="S1914">
        <v>3.9</v>
      </c>
      <c r="T1914" t="s">
        <v>110</v>
      </c>
      <c r="U1914">
        <v>3.9</v>
      </c>
      <c r="V1914">
        <v>1242.578772292075</v>
      </c>
      <c r="W1914">
        <v>2.4388199652445048</v>
      </c>
      <c r="X1914" t="s">
        <v>111</v>
      </c>
      <c r="Y1914">
        <v>15</v>
      </c>
      <c r="Z1914">
        <v>0.44</v>
      </c>
      <c r="AA1914">
        <v>31.536000000000001</v>
      </c>
    </row>
    <row r="1915" spans="1:27" hidden="1" x14ac:dyDescent="0.25">
      <c r="A1915" t="s">
        <v>98</v>
      </c>
      <c r="B1915" t="s">
        <v>849</v>
      </c>
      <c r="D1915" t="s">
        <v>1722</v>
      </c>
      <c r="E1915" t="s">
        <v>243</v>
      </c>
      <c r="F1915" t="s">
        <v>244</v>
      </c>
      <c r="G1915" t="s">
        <v>245</v>
      </c>
      <c r="H1915" t="s">
        <v>104</v>
      </c>
      <c r="I1915">
        <v>2022</v>
      </c>
      <c r="J1915" t="s">
        <v>246</v>
      </c>
      <c r="K1915" t="s">
        <v>106</v>
      </c>
      <c r="L1915" t="s">
        <v>2303</v>
      </c>
      <c r="M1915" t="s">
        <v>2304</v>
      </c>
      <c r="N1915">
        <v>1</v>
      </c>
      <c r="O1915">
        <v>2020</v>
      </c>
      <c r="P1915">
        <v>5418.3180362120765</v>
      </c>
      <c r="Q1915">
        <v>63.780978532496562</v>
      </c>
      <c r="R1915" t="s">
        <v>249</v>
      </c>
      <c r="S1915">
        <v>0.41325750353930962</v>
      </c>
      <c r="T1915" t="s">
        <v>250</v>
      </c>
      <c r="U1915">
        <v>1</v>
      </c>
      <c r="V1915">
        <v>7640.3348848129563</v>
      </c>
      <c r="W1915">
        <v>89.937141380872987</v>
      </c>
      <c r="X1915" t="s">
        <v>111</v>
      </c>
      <c r="Y1915">
        <v>20</v>
      </c>
      <c r="Z1915">
        <v>0.44</v>
      </c>
      <c r="AA1915">
        <v>31.536000000000001</v>
      </c>
    </row>
    <row r="1916" spans="1:27" hidden="1" x14ac:dyDescent="0.25">
      <c r="A1916" t="s">
        <v>98</v>
      </c>
      <c r="B1916" t="s">
        <v>849</v>
      </c>
      <c r="D1916" t="s">
        <v>1722</v>
      </c>
      <c r="E1916" t="s">
        <v>243</v>
      </c>
      <c r="F1916" t="s">
        <v>244</v>
      </c>
      <c r="G1916" t="s">
        <v>103</v>
      </c>
      <c r="H1916" t="s">
        <v>104</v>
      </c>
      <c r="I1916">
        <v>2022</v>
      </c>
      <c r="J1916" t="s">
        <v>251</v>
      </c>
      <c r="K1916" t="s">
        <v>106</v>
      </c>
      <c r="L1916" t="s">
        <v>2303</v>
      </c>
      <c r="M1916" t="s">
        <v>2305</v>
      </c>
      <c r="N1916">
        <v>1</v>
      </c>
      <c r="O1916">
        <v>2020</v>
      </c>
      <c r="P1916">
        <v>5667.3116722418044</v>
      </c>
      <c r="Q1916">
        <v>63.780978532496562</v>
      </c>
      <c r="R1916" t="s">
        <v>249</v>
      </c>
      <c r="S1916">
        <v>0.43508713487380868</v>
      </c>
      <c r="T1916" t="s">
        <v>250</v>
      </c>
      <c r="U1916">
        <v>1.052823315118397</v>
      </c>
      <c r="V1916">
        <v>7991.4391852139524</v>
      </c>
      <c r="W1916">
        <v>89.937141380873001</v>
      </c>
      <c r="X1916" t="s">
        <v>111</v>
      </c>
      <c r="Y1916">
        <v>20</v>
      </c>
      <c r="Z1916">
        <v>0.44</v>
      </c>
      <c r="AA1916">
        <v>31.536000000000001</v>
      </c>
    </row>
    <row r="1917" spans="1:27" hidden="1" x14ac:dyDescent="0.25">
      <c r="A1917" t="s">
        <v>98</v>
      </c>
      <c r="B1917" t="s">
        <v>849</v>
      </c>
      <c r="D1917" t="s">
        <v>1722</v>
      </c>
      <c r="E1917" t="s">
        <v>243</v>
      </c>
      <c r="F1917" t="s">
        <v>244</v>
      </c>
      <c r="G1917" t="s">
        <v>112</v>
      </c>
      <c r="H1917" t="s">
        <v>104</v>
      </c>
      <c r="I1917">
        <v>2022</v>
      </c>
      <c r="J1917" t="s">
        <v>253</v>
      </c>
      <c r="K1917" t="s">
        <v>106</v>
      </c>
      <c r="L1917" t="s">
        <v>2303</v>
      </c>
      <c r="M1917" t="s">
        <v>2306</v>
      </c>
      <c r="N1917">
        <v>1</v>
      </c>
      <c r="O1917">
        <v>2020</v>
      </c>
      <c r="P1917">
        <v>5911.8706390075113</v>
      </c>
      <c r="Q1917">
        <v>63.780978532496562</v>
      </c>
      <c r="R1917" t="s">
        <v>249</v>
      </c>
      <c r="S1917">
        <v>0.44315925240393511</v>
      </c>
      <c r="T1917" t="s">
        <v>250</v>
      </c>
      <c r="U1917">
        <v>1.0723562152133581</v>
      </c>
      <c r="V1917">
        <v>8336.2901874412255</v>
      </c>
      <c r="W1917">
        <v>89.937141380873001</v>
      </c>
      <c r="X1917" t="s">
        <v>111</v>
      </c>
      <c r="Y1917">
        <v>20</v>
      </c>
      <c r="Z1917">
        <v>0.44</v>
      </c>
      <c r="AA1917">
        <v>31.536000000000001</v>
      </c>
    </row>
    <row r="1918" spans="1:27" hidden="1" x14ac:dyDescent="0.25">
      <c r="A1918" t="s">
        <v>98</v>
      </c>
      <c r="B1918" t="s">
        <v>849</v>
      </c>
      <c r="D1918" t="s">
        <v>1722</v>
      </c>
      <c r="E1918" t="s">
        <v>243</v>
      </c>
      <c r="F1918" t="s">
        <v>244</v>
      </c>
      <c r="G1918" t="s">
        <v>103</v>
      </c>
      <c r="H1918" t="s">
        <v>104</v>
      </c>
      <c r="I1918">
        <v>2030</v>
      </c>
      <c r="J1918" t="s">
        <v>255</v>
      </c>
      <c r="K1918" t="s">
        <v>106</v>
      </c>
      <c r="L1918" t="s">
        <v>2303</v>
      </c>
      <c r="M1918" t="s">
        <v>2307</v>
      </c>
      <c r="N1918">
        <v>1</v>
      </c>
      <c r="O1918">
        <v>2030</v>
      </c>
      <c r="P1918">
        <v>5667.3116722418044</v>
      </c>
      <c r="Q1918">
        <v>63.780978532496562</v>
      </c>
      <c r="R1918" t="s">
        <v>249</v>
      </c>
      <c r="S1918">
        <v>0.43508713487380868</v>
      </c>
      <c r="T1918" t="s">
        <v>250</v>
      </c>
      <c r="U1918">
        <v>1.052823315118397</v>
      </c>
      <c r="V1918">
        <v>7991.4391852139524</v>
      </c>
      <c r="W1918">
        <v>89.937141380873001</v>
      </c>
      <c r="X1918" t="s">
        <v>111</v>
      </c>
      <c r="Y1918">
        <v>20</v>
      </c>
      <c r="Z1918">
        <v>0.44</v>
      </c>
      <c r="AA1918">
        <v>31.536000000000001</v>
      </c>
    </row>
    <row r="1919" spans="1:27" hidden="1" x14ac:dyDescent="0.25">
      <c r="A1919" t="s">
        <v>98</v>
      </c>
      <c r="B1919" t="s">
        <v>849</v>
      </c>
      <c r="D1919" t="s">
        <v>1722</v>
      </c>
      <c r="E1919" t="s">
        <v>243</v>
      </c>
      <c r="F1919" t="s">
        <v>244</v>
      </c>
      <c r="G1919" t="s">
        <v>112</v>
      </c>
      <c r="H1919" t="s">
        <v>104</v>
      </c>
      <c r="I1919">
        <v>2030</v>
      </c>
      <c r="J1919" t="s">
        <v>257</v>
      </c>
      <c r="K1919" t="s">
        <v>106</v>
      </c>
      <c r="L1919" t="s">
        <v>2303</v>
      </c>
      <c r="M1919" t="s">
        <v>2308</v>
      </c>
      <c r="N1919">
        <v>1</v>
      </c>
      <c r="O1919">
        <v>2030</v>
      </c>
      <c r="P1919">
        <v>5911.8706390075113</v>
      </c>
      <c r="Q1919">
        <v>63.780978532496562</v>
      </c>
      <c r="R1919" t="s">
        <v>249</v>
      </c>
      <c r="S1919">
        <v>0.44315925240393511</v>
      </c>
      <c r="T1919" t="s">
        <v>250</v>
      </c>
      <c r="U1919">
        <v>1.0723562152133581</v>
      </c>
      <c r="V1919">
        <v>8336.2901874412255</v>
      </c>
      <c r="W1919">
        <v>89.937141380873001</v>
      </c>
      <c r="X1919" t="s">
        <v>111</v>
      </c>
      <c r="Y1919">
        <v>20</v>
      </c>
      <c r="Z1919">
        <v>0.44</v>
      </c>
      <c r="AA1919">
        <v>31.536000000000001</v>
      </c>
    </row>
    <row r="1920" spans="1:27" hidden="1" x14ac:dyDescent="0.25">
      <c r="A1920" t="s">
        <v>98</v>
      </c>
      <c r="B1920" t="s">
        <v>849</v>
      </c>
      <c r="D1920" t="s">
        <v>1722</v>
      </c>
      <c r="E1920" t="s">
        <v>243</v>
      </c>
      <c r="F1920" t="s">
        <v>244</v>
      </c>
      <c r="G1920" t="s">
        <v>103</v>
      </c>
      <c r="H1920" t="s">
        <v>104</v>
      </c>
      <c r="I1920">
        <v>2040</v>
      </c>
      <c r="J1920" t="s">
        <v>259</v>
      </c>
      <c r="K1920" t="s">
        <v>106</v>
      </c>
      <c r="L1920" t="s">
        <v>2303</v>
      </c>
      <c r="M1920" t="s">
        <v>2309</v>
      </c>
      <c r="N1920">
        <v>1</v>
      </c>
      <c r="O1920">
        <v>2040</v>
      </c>
      <c r="P1920">
        <v>5667.3116722418044</v>
      </c>
      <c r="Q1920">
        <v>63.780978532496562</v>
      </c>
      <c r="R1920" t="s">
        <v>249</v>
      </c>
      <c r="S1920">
        <v>0.43508713487380868</v>
      </c>
      <c r="T1920" t="s">
        <v>250</v>
      </c>
      <c r="U1920">
        <v>1.052823315118397</v>
      </c>
      <c r="V1920">
        <v>7991.4391852139524</v>
      </c>
      <c r="W1920">
        <v>89.937141380873001</v>
      </c>
      <c r="X1920" t="s">
        <v>111</v>
      </c>
      <c r="Y1920">
        <v>20</v>
      </c>
      <c r="Z1920">
        <v>0.44</v>
      </c>
      <c r="AA1920">
        <v>31.536000000000001</v>
      </c>
    </row>
    <row r="1921" spans="1:27" hidden="1" x14ac:dyDescent="0.25">
      <c r="A1921" t="s">
        <v>98</v>
      </c>
      <c r="B1921" t="s">
        <v>849</v>
      </c>
      <c r="D1921" t="s">
        <v>1722</v>
      </c>
      <c r="E1921" t="s">
        <v>243</v>
      </c>
      <c r="F1921" t="s">
        <v>244</v>
      </c>
      <c r="G1921" t="s">
        <v>112</v>
      </c>
      <c r="H1921" t="s">
        <v>104</v>
      </c>
      <c r="I1921">
        <v>2040</v>
      </c>
      <c r="J1921" t="s">
        <v>261</v>
      </c>
      <c r="K1921" t="s">
        <v>106</v>
      </c>
      <c r="L1921" t="s">
        <v>2303</v>
      </c>
      <c r="M1921" t="s">
        <v>2310</v>
      </c>
      <c r="N1921">
        <v>1</v>
      </c>
      <c r="O1921">
        <v>2040</v>
      </c>
      <c r="P1921">
        <v>5911.8706390075113</v>
      </c>
      <c r="Q1921">
        <v>63.780978532496562</v>
      </c>
      <c r="R1921" t="s">
        <v>249</v>
      </c>
      <c r="S1921">
        <v>0.44315925240393511</v>
      </c>
      <c r="T1921" t="s">
        <v>250</v>
      </c>
      <c r="U1921">
        <v>1.0723562152133581</v>
      </c>
      <c r="V1921">
        <v>8336.2901874412255</v>
      </c>
      <c r="W1921">
        <v>89.937141380873001</v>
      </c>
      <c r="X1921" t="s">
        <v>111</v>
      </c>
      <c r="Y1921">
        <v>20</v>
      </c>
      <c r="Z1921">
        <v>0.44</v>
      </c>
      <c r="AA1921">
        <v>31.536000000000001</v>
      </c>
    </row>
    <row r="1922" spans="1:27" hidden="1" x14ac:dyDescent="0.25">
      <c r="A1922" t="s">
        <v>98</v>
      </c>
      <c r="B1922" t="s">
        <v>849</v>
      </c>
      <c r="D1922" t="s">
        <v>1722</v>
      </c>
      <c r="E1922" t="s">
        <v>243</v>
      </c>
      <c r="F1922" t="s">
        <v>244</v>
      </c>
      <c r="G1922" t="s">
        <v>103</v>
      </c>
      <c r="H1922" t="s">
        <v>104</v>
      </c>
      <c r="I1922">
        <v>2050</v>
      </c>
      <c r="J1922" t="s">
        <v>263</v>
      </c>
      <c r="K1922" t="s">
        <v>106</v>
      </c>
      <c r="L1922" t="s">
        <v>2303</v>
      </c>
      <c r="M1922" t="s">
        <v>2311</v>
      </c>
      <c r="N1922">
        <v>1</v>
      </c>
      <c r="O1922">
        <v>2050</v>
      </c>
      <c r="P1922">
        <v>5667.3116722418044</v>
      </c>
      <c r="Q1922">
        <v>63.780978532496562</v>
      </c>
      <c r="R1922" t="s">
        <v>249</v>
      </c>
      <c r="S1922">
        <v>0.43508713487380868</v>
      </c>
      <c r="T1922" t="s">
        <v>250</v>
      </c>
      <c r="U1922">
        <v>1.052823315118397</v>
      </c>
      <c r="V1922">
        <v>7991.4391852139524</v>
      </c>
      <c r="W1922">
        <v>89.937141380873001</v>
      </c>
      <c r="X1922" t="s">
        <v>111</v>
      </c>
      <c r="Y1922">
        <v>20</v>
      </c>
      <c r="Z1922">
        <v>0.44</v>
      </c>
      <c r="AA1922">
        <v>31.536000000000001</v>
      </c>
    </row>
    <row r="1923" spans="1:27" hidden="1" x14ac:dyDescent="0.25">
      <c r="A1923" t="s">
        <v>98</v>
      </c>
      <c r="B1923" t="s">
        <v>849</v>
      </c>
      <c r="D1923" t="s">
        <v>1722</v>
      </c>
      <c r="E1923" t="s">
        <v>243</v>
      </c>
      <c r="F1923" t="s">
        <v>244</v>
      </c>
      <c r="G1923" t="s">
        <v>112</v>
      </c>
      <c r="H1923" t="s">
        <v>104</v>
      </c>
      <c r="I1923">
        <v>2050</v>
      </c>
      <c r="J1923" t="s">
        <v>265</v>
      </c>
      <c r="K1923" t="s">
        <v>106</v>
      </c>
      <c r="L1923" t="s">
        <v>2303</v>
      </c>
      <c r="M1923" t="s">
        <v>2312</v>
      </c>
      <c r="N1923">
        <v>1</v>
      </c>
      <c r="O1923">
        <v>2050</v>
      </c>
      <c r="P1923">
        <v>5911.8706390075113</v>
      </c>
      <c r="Q1923">
        <v>63.780978532496562</v>
      </c>
      <c r="R1923" t="s">
        <v>249</v>
      </c>
      <c r="S1923">
        <v>0.44315925240393511</v>
      </c>
      <c r="T1923" t="s">
        <v>250</v>
      </c>
      <c r="U1923">
        <v>1.0723562152133581</v>
      </c>
      <c r="V1923">
        <v>8336.2901874412255</v>
      </c>
      <c r="W1923">
        <v>89.937141380873001</v>
      </c>
      <c r="X1923" t="s">
        <v>111</v>
      </c>
      <c r="Y1923">
        <v>20</v>
      </c>
      <c r="Z1923">
        <v>0.44</v>
      </c>
      <c r="AA1923">
        <v>31.536000000000001</v>
      </c>
    </row>
    <row r="1924" spans="1:27" hidden="1" x14ac:dyDescent="0.25">
      <c r="A1924" t="s">
        <v>98</v>
      </c>
      <c r="B1924" t="s">
        <v>849</v>
      </c>
      <c r="D1924" t="s">
        <v>1722</v>
      </c>
      <c r="E1924" t="s">
        <v>243</v>
      </c>
      <c r="F1924" t="s">
        <v>267</v>
      </c>
      <c r="G1924" t="s">
        <v>245</v>
      </c>
      <c r="H1924" t="s">
        <v>104</v>
      </c>
      <c r="I1924">
        <v>2022</v>
      </c>
      <c r="J1924" t="s">
        <v>268</v>
      </c>
      <c r="K1924" t="s">
        <v>106</v>
      </c>
      <c r="L1924" t="s">
        <v>2303</v>
      </c>
      <c r="M1924" t="s">
        <v>2313</v>
      </c>
      <c r="N1924">
        <v>1</v>
      </c>
      <c r="O1924">
        <v>2020</v>
      </c>
      <c r="P1924">
        <v>7748.5410872802086</v>
      </c>
      <c r="Q1924">
        <v>68.755259026523561</v>
      </c>
      <c r="R1924" t="s">
        <v>249</v>
      </c>
      <c r="S1924">
        <v>0.29876527460377861</v>
      </c>
      <c r="T1924" t="s">
        <v>250</v>
      </c>
      <c r="U1924">
        <v>0.72295184490306452</v>
      </c>
      <c r="V1924">
        <v>10926.167194301681</v>
      </c>
      <c r="W1924">
        <v>96.951341826723592</v>
      </c>
      <c r="X1924" t="s">
        <v>111</v>
      </c>
      <c r="Y1924">
        <v>20</v>
      </c>
      <c r="Z1924">
        <v>0.44</v>
      </c>
      <c r="AA1924">
        <v>31.536000000000001</v>
      </c>
    </row>
    <row r="1925" spans="1:27" hidden="1" x14ac:dyDescent="0.25">
      <c r="A1925" t="s">
        <v>98</v>
      </c>
      <c r="B1925" t="s">
        <v>849</v>
      </c>
      <c r="D1925" t="s">
        <v>1722</v>
      </c>
      <c r="E1925" t="s">
        <v>243</v>
      </c>
      <c r="F1925" t="s">
        <v>267</v>
      </c>
      <c r="G1925" t="s">
        <v>112</v>
      </c>
      <c r="H1925" t="s">
        <v>104</v>
      </c>
      <c r="I1925">
        <v>2022</v>
      </c>
      <c r="J1925" t="s">
        <v>270</v>
      </c>
      <c r="K1925" t="s">
        <v>106</v>
      </c>
      <c r="L1925" t="s">
        <v>2303</v>
      </c>
      <c r="M1925" t="s">
        <v>2314</v>
      </c>
      <c r="N1925">
        <v>1</v>
      </c>
      <c r="O1925">
        <v>2020</v>
      </c>
      <c r="P1925">
        <v>8151.6394802345676</v>
      </c>
      <c r="Q1925">
        <v>68.755259026523561</v>
      </c>
      <c r="R1925" t="s">
        <v>249</v>
      </c>
      <c r="S1925">
        <v>0.29876527460377861</v>
      </c>
      <c r="T1925" t="s">
        <v>250</v>
      </c>
      <c r="U1925">
        <v>0.72295184490306452</v>
      </c>
      <c r="V1925">
        <v>11494.57360623949</v>
      </c>
      <c r="W1925">
        <v>96.951341826723592</v>
      </c>
      <c r="X1925" t="s">
        <v>111</v>
      </c>
      <c r="Y1925">
        <v>20</v>
      </c>
      <c r="Z1925">
        <v>0.44</v>
      </c>
      <c r="AA1925">
        <v>31.536000000000001</v>
      </c>
    </row>
    <row r="1926" spans="1:27" hidden="1" x14ac:dyDescent="0.25">
      <c r="A1926" t="s">
        <v>98</v>
      </c>
      <c r="B1926" t="s">
        <v>849</v>
      </c>
      <c r="D1926" t="s">
        <v>1722</v>
      </c>
      <c r="E1926" t="s">
        <v>243</v>
      </c>
      <c r="F1926" t="s">
        <v>267</v>
      </c>
      <c r="G1926" t="s">
        <v>103</v>
      </c>
      <c r="H1926" t="s">
        <v>104</v>
      </c>
      <c r="I1926">
        <v>2030</v>
      </c>
      <c r="J1926" t="s">
        <v>272</v>
      </c>
      <c r="K1926" t="s">
        <v>106</v>
      </c>
      <c r="L1926" t="s">
        <v>2303</v>
      </c>
      <c r="M1926" t="s">
        <v>2315</v>
      </c>
      <c r="N1926">
        <v>1</v>
      </c>
      <c r="O1926">
        <v>2030</v>
      </c>
      <c r="P1926">
        <v>8119.0316179991396</v>
      </c>
      <c r="Q1926">
        <v>68.755259026523561</v>
      </c>
      <c r="R1926" t="s">
        <v>249</v>
      </c>
      <c r="S1926">
        <v>0.29876527460377861</v>
      </c>
      <c r="T1926" t="s">
        <v>250</v>
      </c>
      <c r="U1926">
        <v>0.72295184490306452</v>
      </c>
      <c r="V1926">
        <v>11448.59347260918</v>
      </c>
      <c r="W1926">
        <v>96.951341826723592</v>
      </c>
      <c r="X1926" t="s">
        <v>111</v>
      </c>
      <c r="Y1926">
        <v>20</v>
      </c>
      <c r="Z1926">
        <v>0.44</v>
      </c>
      <c r="AA1926">
        <v>31.536000000000001</v>
      </c>
    </row>
    <row r="1927" spans="1:27" hidden="1" x14ac:dyDescent="0.25">
      <c r="A1927" t="s">
        <v>98</v>
      </c>
      <c r="B1927" t="s">
        <v>849</v>
      </c>
      <c r="D1927" t="s">
        <v>1722</v>
      </c>
      <c r="E1927" t="s">
        <v>243</v>
      </c>
      <c r="F1927" t="s">
        <v>267</v>
      </c>
      <c r="G1927" t="s">
        <v>112</v>
      </c>
      <c r="H1927" t="s">
        <v>104</v>
      </c>
      <c r="I1927">
        <v>2030</v>
      </c>
      <c r="J1927" t="s">
        <v>274</v>
      </c>
      <c r="K1927" t="s">
        <v>106</v>
      </c>
      <c r="L1927" t="s">
        <v>2303</v>
      </c>
      <c r="M1927" t="s">
        <v>2316</v>
      </c>
      <c r="N1927">
        <v>1</v>
      </c>
      <c r="O1927">
        <v>2030</v>
      </c>
      <c r="P1927">
        <v>8151.6394802345676</v>
      </c>
      <c r="Q1927">
        <v>68.755259026523561</v>
      </c>
      <c r="R1927" t="s">
        <v>249</v>
      </c>
      <c r="S1927">
        <v>0.31450011460924421</v>
      </c>
      <c r="T1927" t="s">
        <v>250</v>
      </c>
      <c r="U1927">
        <v>0.76102699144173802</v>
      </c>
      <c r="V1927">
        <v>11494.57360623949</v>
      </c>
      <c r="W1927">
        <v>96.951341826723578</v>
      </c>
      <c r="X1927" t="s">
        <v>111</v>
      </c>
      <c r="Y1927">
        <v>20</v>
      </c>
      <c r="Z1927">
        <v>0.44</v>
      </c>
      <c r="AA1927">
        <v>31.536000000000001</v>
      </c>
    </row>
    <row r="1928" spans="1:27" hidden="1" x14ac:dyDescent="0.25">
      <c r="A1928" t="s">
        <v>98</v>
      </c>
      <c r="B1928" t="s">
        <v>849</v>
      </c>
      <c r="D1928" t="s">
        <v>1722</v>
      </c>
      <c r="E1928" t="s">
        <v>243</v>
      </c>
      <c r="F1928" t="s">
        <v>267</v>
      </c>
      <c r="G1928" t="s">
        <v>103</v>
      </c>
      <c r="H1928" t="s">
        <v>104</v>
      </c>
      <c r="I1928">
        <v>2040</v>
      </c>
      <c r="J1928" t="s">
        <v>276</v>
      </c>
      <c r="K1928" t="s">
        <v>106</v>
      </c>
      <c r="L1928" t="s">
        <v>2303</v>
      </c>
      <c r="M1928" t="s">
        <v>2317</v>
      </c>
      <c r="N1928">
        <v>1</v>
      </c>
      <c r="O1928">
        <v>2040</v>
      </c>
      <c r="P1928">
        <v>8119.0316179991396</v>
      </c>
      <c r="Q1928">
        <v>68.755259026523561</v>
      </c>
      <c r="R1928" t="s">
        <v>249</v>
      </c>
      <c r="S1928">
        <v>0.29876527460377861</v>
      </c>
      <c r="T1928" t="s">
        <v>250</v>
      </c>
      <c r="U1928">
        <v>0.72295184490306452</v>
      </c>
      <c r="V1928">
        <v>11448.59347260918</v>
      </c>
      <c r="W1928">
        <v>96.951341826723592</v>
      </c>
      <c r="X1928" t="s">
        <v>111</v>
      </c>
      <c r="Y1928">
        <v>20</v>
      </c>
      <c r="Z1928">
        <v>0.44</v>
      </c>
      <c r="AA1928">
        <v>31.536000000000001</v>
      </c>
    </row>
    <row r="1929" spans="1:27" hidden="1" x14ac:dyDescent="0.25">
      <c r="A1929" t="s">
        <v>98</v>
      </c>
      <c r="B1929" t="s">
        <v>849</v>
      </c>
      <c r="D1929" t="s">
        <v>1722</v>
      </c>
      <c r="E1929" t="s">
        <v>243</v>
      </c>
      <c r="F1929" t="s">
        <v>267</v>
      </c>
      <c r="G1929" t="s">
        <v>112</v>
      </c>
      <c r="H1929" t="s">
        <v>104</v>
      </c>
      <c r="I1929">
        <v>2040</v>
      </c>
      <c r="J1929" t="s">
        <v>278</v>
      </c>
      <c r="K1929" t="s">
        <v>106</v>
      </c>
      <c r="L1929" t="s">
        <v>2303</v>
      </c>
      <c r="M1929" t="s">
        <v>2318</v>
      </c>
      <c r="N1929">
        <v>1</v>
      </c>
      <c r="O1929">
        <v>2040</v>
      </c>
      <c r="P1929">
        <v>8151.6394802345676</v>
      </c>
      <c r="Q1929">
        <v>68.755259026523561</v>
      </c>
      <c r="R1929" t="s">
        <v>249</v>
      </c>
      <c r="S1929">
        <v>0.31450011460924421</v>
      </c>
      <c r="T1929" t="s">
        <v>250</v>
      </c>
      <c r="U1929">
        <v>0.76102699144173802</v>
      </c>
      <c r="V1929">
        <v>11494.57360623949</v>
      </c>
      <c r="W1929">
        <v>96.951341826723578</v>
      </c>
      <c r="X1929" t="s">
        <v>111</v>
      </c>
      <c r="Y1929">
        <v>20</v>
      </c>
      <c r="Z1929">
        <v>0.44</v>
      </c>
      <c r="AA1929">
        <v>31.536000000000001</v>
      </c>
    </row>
    <row r="1930" spans="1:27" hidden="1" x14ac:dyDescent="0.25">
      <c r="A1930" t="s">
        <v>98</v>
      </c>
      <c r="B1930" t="s">
        <v>849</v>
      </c>
      <c r="D1930" t="s">
        <v>1722</v>
      </c>
      <c r="E1930" t="s">
        <v>243</v>
      </c>
      <c r="F1930" t="s">
        <v>267</v>
      </c>
      <c r="G1930" t="s">
        <v>103</v>
      </c>
      <c r="H1930" t="s">
        <v>104</v>
      </c>
      <c r="I1930">
        <v>2050</v>
      </c>
      <c r="J1930" t="s">
        <v>280</v>
      </c>
      <c r="K1930" t="s">
        <v>106</v>
      </c>
      <c r="L1930" t="s">
        <v>2303</v>
      </c>
      <c r="M1930" t="s">
        <v>2319</v>
      </c>
      <c r="N1930">
        <v>1</v>
      </c>
      <c r="O1930">
        <v>2050</v>
      </c>
      <c r="P1930">
        <v>8119.0316179991396</v>
      </c>
      <c r="Q1930">
        <v>68.755259026523561</v>
      </c>
      <c r="R1930" t="s">
        <v>249</v>
      </c>
      <c r="S1930">
        <v>0.29876527460377861</v>
      </c>
      <c r="T1930" t="s">
        <v>250</v>
      </c>
      <c r="U1930">
        <v>0.72295184490306452</v>
      </c>
      <c r="V1930">
        <v>11448.59347260918</v>
      </c>
      <c r="W1930">
        <v>96.951341826723592</v>
      </c>
      <c r="X1930" t="s">
        <v>111</v>
      </c>
      <c r="Y1930">
        <v>20</v>
      </c>
      <c r="Z1930">
        <v>0.44</v>
      </c>
      <c r="AA1930">
        <v>31.536000000000001</v>
      </c>
    </row>
    <row r="1931" spans="1:27" hidden="1" x14ac:dyDescent="0.25">
      <c r="A1931" t="s">
        <v>98</v>
      </c>
      <c r="B1931" t="s">
        <v>849</v>
      </c>
      <c r="D1931" t="s">
        <v>1722</v>
      </c>
      <c r="E1931" t="s">
        <v>243</v>
      </c>
      <c r="F1931" t="s">
        <v>267</v>
      </c>
      <c r="G1931" t="s">
        <v>112</v>
      </c>
      <c r="H1931" t="s">
        <v>104</v>
      </c>
      <c r="I1931">
        <v>2050</v>
      </c>
      <c r="J1931" t="s">
        <v>282</v>
      </c>
      <c r="K1931" t="s">
        <v>106</v>
      </c>
      <c r="L1931" t="s">
        <v>2303</v>
      </c>
      <c r="M1931" t="s">
        <v>2320</v>
      </c>
      <c r="N1931">
        <v>1</v>
      </c>
      <c r="O1931">
        <v>2050</v>
      </c>
      <c r="P1931">
        <v>8151.6394802345676</v>
      </c>
      <c r="Q1931">
        <v>68.755259026523561</v>
      </c>
      <c r="R1931" t="s">
        <v>249</v>
      </c>
      <c r="S1931">
        <v>0.31450011460924421</v>
      </c>
      <c r="T1931" t="s">
        <v>250</v>
      </c>
      <c r="U1931">
        <v>0.76102699144173802</v>
      </c>
      <c r="V1931">
        <v>11494.57360623949</v>
      </c>
      <c r="W1931">
        <v>96.951341826723578</v>
      </c>
      <c r="X1931" t="s">
        <v>111</v>
      </c>
      <c r="Y1931">
        <v>20</v>
      </c>
      <c r="Z1931">
        <v>0.44</v>
      </c>
      <c r="AA1931">
        <v>31.536000000000001</v>
      </c>
    </row>
    <row r="1932" spans="1:27" hidden="1" x14ac:dyDescent="0.25">
      <c r="A1932" t="s">
        <v>98</v>
      </c>
      <c r="B1932" t="s">
        <v>849</v>
      </c>
      <c r="D1932" t="s">
        <v>1722</v>
      </c>
      <c r="E1932" t="s">
        <v>284</v>
      </c>
      <c r="F1932" t="s">
        <v>285</v>
      </c>
      <c r="G1932" t="s">
        <v>103</v>
      </c>
      <c r="H1932" t="s">
        <v>104</v>
      </c>
      <c r="I1932">
        <v>2022</v>
      </c>
      <c r="J1932" t="s">
        <v>286</v>
      </c>
      <c r="K1932" t="s">
        <v>106</v>
      </c>
      <c r="L1932" t="s">
        <v>2321</v>
      </c>
      <c r="M1932" t="s">
        <v>2322</v>
      </c>
      <c r="N1932">
        <v>1</v>
      </c>
      <c r="O1932">
        <v>2020</v>
      </c>
      <c r="P1932">
        <v>100.10336678844671</v>
      </c>
      <c r="Q1932">
        <v>36.612504973710713</v>
      </c>
      <c r="R1932" t="s">
        <v>289</v>
      </c>
      <c r="S1932">
        <v>15.58191798941797</v>
      </c>
      <c r="T1932" t="s">
        <v>290</v>
      </c>
      <c r="U1932">
        <v>15.58191798941797</v>
      </c>
      <c r="V1932">
        <v>100.10336678844671</v>
      </c>
      <c r="W1932">
        <v>36.612504973710713</v>
      </c>
      <c r="X1932" t="s">
        <v>291</v>
      </c>
      <c r="Y1932">
        <v>10</v>
      </c>
      <c r="Z1932">
        <v>0.24729609702719399</v>
      </c>
      <c r="AA1932">
        <v>1</v>
      </c>
    </row>
    <row r="1933" spans="1:27" hidden="1" x14ac:dyDescent="0.25">
      <c r="A1933" t="s">
        <v>98</v>
      </c>
      <c r="B1933" t="s">
        <v>849</v>
      </c>
      <c r="D1933" t="s">
        <v>1722</v>
      </c>
      <c r="E1933" t="s">
        <v>284</v>
      </c>
      <c r="F1933" t="s">
        <v>292</v>
      </c>
      <c r="G1933" t="s">
        <v>103</v>
      </c>
      <c r="H1933" t="s">
        <v>104</v>
      </c>
      <c r="I1933">
        <v>2022</v>
      </c>
      <c r="J1933" t="s">
        <v>293</v>
      </c>
      <c r="K1933" t="s">
        <v>106</v>
      </c>
      <c r="L1933" t="s">
        <v>2321</v>
      </c>
      <c r="M1933" t="s">
        <v>2323</v>
      </c>
      <c r="N1933">
        <v>1</v>
      </c>
      <c r="O1933">
        <v>2020</v>
      </c>
      <c r="P1933">
        <v>99.46253669701926</v>
      </c>
      <c r="Q1933">
        <v>6.0605044913603194</v>
      </c>
      <c r="R1933" t="s">
        <v>289</v>
      </c>
      <c r="S1933">
        <v>42.005691056910557</v>
      </c>
      <c r="T1933" t="s">
        <v>290</v>
      </c>
      <c r="U1933">
        <v>42.005691056910557</v>
      </c>
      <c r="V1933">
        <v>99.46253669701926</v>
      </c>
      <c r="W1933">
        <v>6.0605044913603194</v>
      </c>
      <c r="X1933" t="s">
        <v>291</v>
      </c>
      <c r="Y1933">
        <v>10</v>
      </c>
      <c r="Z1933">
        <v>0.24729609702719399</v>
      </c>
      <c r="AA1933">
        <v>1</v>
      </c>
    </row>
    <row r="1934" spans="1:27" hidden="1" x14ac:dyDescent="0.25">
      <c r="A1934" t="s">
        <v>98</v>
      </c>
      <c r="B1934" t="s">
        <v>849</v>
      </c>
      <c r="D1934" t="s">
        <v>1722</v>
      </c>
      <c r="E1934" t="s">
        <v>284</v>
      </c>
      <c r="F1934" t="s">
        <v>292</v>
      </c>
      <c r="G1934" t="s">
        <v>112</v>
      </c>
      <c r="H1934" t="s">
        <v>104</v>
      </c>
      <c r="I1934">
        <v>2022</v>
      </c>
      <c r="J1934" t="s">
        <v>295</v>
      </c>
      <c r="K1934" t="s">
        <v>106</v>
      </c>
      <c r="L1934" t="s">
        <v>2321</v>
      </c>
      <c r="M1934" t="s">
        <v>2324</v>
      </c>
      <c r="N1934">
        <v>1</v>
      </c>
      <c r="O1934">
        <v>2020</v>
      </c>
      <c r="P1934">
        <v>92.517129414925563</v>
      </c>
      <c r="Q1934">
        <v>5.9256499638890956</v>
      </c>
      <c r="R1934" t="s">
        <v>289</v>
      </c>
      <c r="S1934">
        <v>43.051923076923067</v>
      </c>
      <c r="T1934" t="s">
        <v>290</v>
      </c>
      <c r="U1934">
        <v>43.051923076923067</v>
      </c>
      <c r="V1934">
        <v>92.517129414925563</v>
      </c>
      <c r="W1934">
        <v>5.9256499638890956</v>
      </c>
      <c r="X1934" t="s">
        <v>291</v>
      </c>
      <c r="Y1934">
        <v>10</v>
      </c>
      <c r="Z1934">
        <v>0.24729609702719399</v>
      </c>
      <c r="AA1934">
        <v>1</v>
      </c>
    </row>
    <row r="1935" spans="1:27" hidden="1" x14ac:dyDescent="0.25">
      <c r="A1935" t="s">
        <v>98</v>
      </c>
      <c r="B1935" t="s">
        <v>849</v>
      </c>
      <c r="D1935" t="s">
        <v>1722</v>
      </c>
      <c r="E1935" t="s">
        <v>284</v>
      </c>
      <c r="F1935" t="s">
        <v>297</v>
      </c>
      <c r="G1935" t="s">
        <v>103</v>
      </c>
      <c r="H1935" t="s">
        <v>104</v>
      </c>
      <c r="I1935">
        <v>2022</v>
      </c>
      <c r="J1935" t="s">
        <v>298</v>
      </c>
      <c r="K1935" t="s">
        <v>106</v>
      </c>
      <c r="L1935" t="s">
        <v>2321</v>
      </c>
      <c r="M1935" t="s">
        <v>2325</v>
      </c>
      <c r="N1935">
        <v>1</v>
      </c>
      <c r="O1935">
        <v>2020</v>
      </c>
      <c r="P1935">
        <v>94.526951376087595</v>
      </c>
      <c r="Q1935">
        <v>3.949349451558744</v>
      </c>
      <c r="R1935" t="s">
        <v>289</v>
      </c>
      <c r="S1935">
        <v>76.146700507614213</v>
      </c>
      <c r="T1935" t="s">
        <v>290</v>
      </c>
      <c r="U1935">
        <v>76.146700507614213</v>
      </c>
      <c r="V1935">
        <v>94.526951376087595</v>
      </c>
      <c r="W1935">
        <v>3.949349451558744</v>
      </c>
      <c r="X1935" t="s">
        <v>291</v>
      </c>
      <c r="Y1935">
        <v>10</v>
      </c>
      <c r="Z1935">
        <v>0.24729609702719399</v>
      </c>
      <c r="AA1935">
        <v>1</v>
      </c>
    </row>
    <row r="1936" spans="1:27" hidden="1" x14ac:dyDescent="0.25">
      <c r="A1936" t="s">
        <v>98</v>
      </c>
      <c r="B1936" t="s">
        <v>849</v>
      </c>
      <c r="D1936" t="s">
        <v>1722</v>
      </c>
      <c r="E1936" t="s">
        <v>284</v>
      </c>
      <c r="F1936" t="s">
        <v>297</v>
      </c>
      <c r="G1936" t="s">
        <v>112</v>
      </c>
      <c r="H1936" t="s">
        <v>104</v>
      </c>
      <c r="I1936">
        <v>2022</v>
      </c>
      <c r="J1936" t="s">
        <v>300</v>
      </c>
      <c r="K1936" t="s">
        <v>106</v>
      </c>
      <c r="L1936" t="s">
        <v>2321</v>
      </c>
      <c r="M1936" t="s">
        <v>2326</v>
      </c>
      <c r="N1936">
        <v>1</v>
      </c>
      <c r="O1936">
        <v>2020</v>
      </c>
      <c r="P1936">
        <v>69.765067810793198</v>
      </c>
      <c r="Q1936">
        <v>2.516631606553434</v>
      </c>
      <c r="R1936" t="s">
        <v>289</v>
      </c>
      <c r="S1936">
        <v>93</v>
      </c>
      <c r="T1936" t="s">
        <v>290</v>
      </c>
      <c r="U1936">
        <v>93</v>
      </c>
      <c r="V1936">
        <v>69.765067810793198</v>
      </c>
      <c r="W1936">
        <v>2.516631606553434</v>
      </c>
      <c r="X1936" t="s">
        <v>291</v>
      </c>
      <c r="Y1936">
        <v>10</v>
      </c>
      <c r="Z1936">
        <v>0.24729609702719399</v>
      </c>
      <c r="AA1936">
        <v>1</v>
      </c>
    </row>
    <row r="1937" spans="1:27" hidden="1" x14ac:dyDescent="0.25">
      <c r="A1937" t="s">
        <v>98</v>
      </c>
      <c r="B1937" t="s">
        <v>849</v>
      </c>
      <c r="D1937" t="s">
        <v>1722</v>
      </c>
      <c r="E1937" t="s">
        <v>284</v>
      </c>
      <c r="F1937" t="s">
        <v>302</v>
      </c>
      <c r="G1937" t="s">
        <v>103</v>
      </c>
      <c r="H1937" t="s">
        <v>104</v>
      </c>
      <c r="I1937">
        <v>2022</v>
      </c>
      <c r="J1937" t="s">
        <v>303</v>
      </c>
      <c r="K1937" t="s">
        <v>106</v>
      </c>
      <c r="L1937" t="s">
        <v>2321</v>
      </c>
      <c r="M1937" t="s">
        <v>2327</v>
      </c>
      <c r="N1937">
        <v>1</v>
      </c>
      <c r="O1937">
        <v>2020</v>
      </c>
      <c r="P1937">
        <v>105.7930490817716</v>
      </c>
      <c r="Q1937">
        <v>3.355492309527206</v>
      </c>
      <c r="R1937" t="s">
        <v>289</v>
      </c>
      <c r="S1937">
        <v>64.669172932330824</v>
      </c>
      <c r="T1937" t="s">
        <v>290</v>
      </c>
      <c r="U1937">
        <v>64.669172932330824</v>
      </c>
      <c r="V1937">
        <v>105.7930490817716</v>
      </c>
      <c r="W1937">
        <v>3.355492309527206</v>
      </c>
      <c r="X1937" t="s">
        <v>291</v>
      </c>
      <c r="Y1937">
        <v>10</v>
      </c>
      <c r="Z1937">
        <v>0.24729609702719399</v>
      </c>
      <c r="AA1937">
        <v>1</v>
      </c>
    </row>
    <row r="1938" spans="1:27" hidden="1" x14ac:dyDescent="0.25">
      <c r="A1938" t="s">
        <v>98</v>
      </c>
      <c r="B1938" t="s">
        <v>849</v>
      </c>
      <c r="D1938" t="s">
        <v>1722</v>
      </c>
      <c r="E1938" t="s">
        <v>284</v>
      </c>
      <c r="F1938" t="s">
        <v>302</v>
      </c>
      <c r="G1938" t="s">
        <v>112</v>
      </c>
      <c r="H1938" t="s">
        <v>104</v>
      </c>
      <c r="I1938">
        <v>2022</v>
      </c>
      <c r="J1938" t="s">
        <v>305</v>
      </c>
      <c r="K1938" t="s">
        <v>106</v>
      </c>
      <c r="L1938" t="s">
        <v>2321</v>
      </c>
      <c r="M1938" t="s">
        <v>2328</v>
      </c>
      <c r="N1938">
        <v>1</v>
      </c>
      <c r="O1938">
        <v>2020</v>
      </c>
      <c r="P1938">
        <v>99.614212714858894</v>
      </c>
      <c r="Q1938">
        <v>1.4361600838792941</v>
      </c>
      <c r="R1938" t="s">
        <v>289</v>
      </c>
      <c r="S1938">
        <v>75.07692307692308</v>
      </c>
      <c r="T1938" t="s">
        <v>290</v>
      </c>
      <c r="U1938">
        <v>75.07692307692308</v>
      </c>
      <c r="V1938">
        <v>99.614212714858894</v>
      </c>
      <c r="W1938">
        <v>1.4361600838792941</v>
      </c>
      <c r="X1938" t="s">
        <v>291</v>
      </c>
      <c r="Y1938">
        <v>10</v>
      </c>
      <c r="Z1938">
        <v>0.24729609702719399</v>
      </c>
      <c r="AA1938">
        <v>1</v>
      </c>
    </row>
    <row r="1939" spans="1:27" hidden="1" x14ac:dyDescent="0.25">
      <c r="A1939" t="s">
        <v>98</v>
      </c>
      <c r="B1939" t="s">
        <v>849</v>
      </c>
      <c r="D1939" t="s">
        <v>1722</v>
      </c>
      <c r="E1939" t="s">
        <v>284</v>
      </c>
      <c r="F1939" t="s">
        <v>297</v>
      </c>
      <c r="G1939" t="s">
        <v>103</v>
      </c>
      <c r="H1939" t="s">
        <v>104</v>
      </c>
      <c r="I1939">
        <v>2023</v>
      </c>
      <c r="J1939" t="s">
        <v>307</v>
      </c>
      <c r="K1939" t="s">
        <v>106</v>
      </c>
      <c r="L1939" t="s">
        <v>2321</v>
      </c>
      <c r="M1939" t="s">
        <v>2329</v>
      </c>
      <c r="N1939">
        <v>1</v>
      </c>
      <c r="O1939">
        <v>2023</v>
      </c>
      <c r="P1939">
        <v>94.526951376087595</v>
      </c>
      <c r="Q1939">
        <v>3.949349451558744</v>
      </c>
      <c r="R1939" t="s">
        <v>289</v>
      </c>
      <c r="S1939">
        <v>76.146700507614213</v>
      </c>
      <c r="T1939" t="s">
        <v>290</v>
      </c>
      <c r="U1939">
        <v>76.146700507614213</v>
      </c>
      <c r="V1939">
        <v>94.526951376087595</v>
      </c>
      <c r="W1939">
        <v>3.949349451558744</v>
      </c>
      <c r="X1939" t="s">
        <v>291</v>
      </c>
      <c r="Y1939">
        <v>10</v>
      </c>
      <c r="Z1939">
        <v>0.24729609702719399</v>
      </c>
      <c r="AA1939">
        <v>1</v>
      </c>
    </row>
    <row r="1940" spans="1:27" hidden="1" x14ac:dyDescent="0.25">
      <c r="A1940" t="s">
        <v>98</v>
      </c>
      <c r="B1940" t="s">
        <v>849</v>
      </c>
      <c r="D1940" t="s">
        <v>1722</v>
      </c>
      <c r="E1940" t="s">
        <v>284</v>
      </c>
      <c r="F1940" t="s">
        <v>297</v>
      </c>
      <c r="G1940" t="s">
        <v>112</v>
      </c>
      <c r="H1940" t="s">
        <v>104</v>
      </c>
      <c r="I1940">
        <v>2023</v>
      </c>
      <c r="J1940" t="s">
        <v>309</v>
      </c>
      <c r="K1940" t="s">
        <v>106</v>
      </c>
      <c r="L1940" t="s">
        <v>2321</v>
      </c>
      <c r="M1940" t="s">
        <v>2330</v>
      </c>
      <c r="N1940">
        <v>1</v>
      </c>
      <c r="O1940">
        <v>2023</v>
      </c>
      <c r="P1940">
        <v>69.765067810793198</v>
      </c>
      <c r="Q1940">
        <v>2.516631606553434</v>
      </c>
      <c r="R1940" t="s">
        <v>289</v>
      </c>
      <c r="S1940">
        <v>93</v>
      </c>
      <c r="T1940" t="s">
        <v>290</v>
      </c>
      <c r="U1940">
        <v>93</v>
      </c>
      <c r="V1940">
        <v>69.765067810793198</v>
      </c>
      <c r="W1940">
        <v>2.516631606553434</v>
      </c>
      <c r="X1940" t="s">
        <v>291</v>
      </c>
      <c r="Y1940">
        <v>10</v>
      </c>
      <c r="Z1940">
        <v>0.24729609702719399</v>
      </c>
      <c r="AA1940">
        <v>1</v>
      </c>
    </row>
    <row r="1941" spans="1:27" hidden="1" x14ac:dyDescent="0.25">
      <c r="A1941" t="s">
        <v>98</v>
      </c>
      <c r="B1941" t="s">
        <v>849</v>
      </c>
      <c r="D1941" t="s">
        <v>1722</v>
      </c>
      <c r="E1941" t="s">
        <v>284</v>
      </c>
      <c r="F1941" t="s">
        <v>302</v>
      </c>
      <c r="G1941" t="s">
        <v>103</v>
      </c>
      <c r="H1941" t="s">
        <v>104</v>
      </c>
      <c r="I1941">
        <v>2023</v>
      </c>
      <c r="J1941" t="s">
        <v>311</v>
      </c>
      <c r="K1941" t="s">
        <v>106</v>
      </c>
      <c r="L1941" t="s">
        <v>2321</v>
      </c>
      <c r="M1941" t="s">
        <v>2331</v>
      </c>
      <c r="N1941">
        <v>1</v>
      </c>
      <c r="O1941">
        <v>2023</v>
      </c>
      <c r="P1941">
        <v>105.7930490817716</v>
      </c>
      <c r="Q1941">
        <v>3.355492309527206</v>
      </c>
      <c r="R1941" t="s">
        <v>289</v>
      </c>
      <c r="S1941">
        <v>64.669172932330824</v>
      </c>
      <c r="T1941" t="s">
        <v>290</v>
      </c>
      <c r="U1941">
        <v>64.669172932330824</v>
      </c>
      <c r="V1941">
        <v>105.7930490817716</v>
      </c>
      <c r="W1941">
        <v>3.355492309527206</v>
      </c>
      <c r="X1941" t="s">
        <v>291</v>
      </c>
      <c r="Y1941">
        <v>10</v>
      </c>
      <c r="Z1941">
        <v>0.24729609702719399</v>
      </c>
      <c r="AA1941">
        <v>1</v>
      </c>
    </row>
    <row r="1942" spans="1:27" hidden="1" x14ac:dyDescent="0.25">
      <c r="A1942" t="s">
        <v>98</v>
      </c>
      <c r="B1942" t="s">
        <v>849</v>
      </c>
      <c r="D1942" t="s">
        <v>1722</v>
      </c>
      <c r="E1942" t="s">
        <v>284</v>
      </c>
      <c r="F1942" t="s">
        <v>302</v>
      </c>
      <c r="G1942" t="s">
        <v>112</v>
      </c>
      <c r="H1942" t="s">
        <v>104</v>
      </c>
      <c r="I1942">
        <v>2023</v>
      </c>
      <c r="J1942" t="s">
        <v>313</v>
      </c>
      <c r="K1942" t="s">
        <v>106</v>
      </c>
      <c r="L1942" t="s">
        <v>2321</v>
      </c>
      <c r="M1942" t="s">
        <v>2332</v>
      </c>
      <c r="N1942">
        <v>1</v>
      </c>
      <c r="O1942">
        <v>2023</v>
      </c>
      <c r="P1942">
        <v>99.614212714858894</v>
      </c>
      <c r="Q1942">
        <v>1.4361600838792941</v>
      </c>
      <c r="R1942" t="s">
        <v>289</v>
      </c>
      <c r="S1942">
        <v>75.07692307692308</v>
      </c>
      <c r="T1942" t="s">
        <v>290</v>
      </c>
      <c r="U1942">
        <v>75.07692307692308</v>
      </c>
      <c r="V1942">
        <v>99.614212714858894</v>
      </c>
      <c r="W1942">
        <v>1.4361600838792941</v>
      </c>
      <c r="X1942" t="s">
        <v>291</v>
      </c>
      <c r="Y1942">
        <v>10</v>
      </c>
      <c r="Z1942">
        <v>0.24729609702719399</v>
      </c>
      <c r="AA1942">
        <v>1</v>
      </c>
    </row>
    <row r="1943" spans="1:27" hidden="1" x14ac:dyDescent="0.25">
      <c r="A1943" t="s">
        <v>98</v>
      </c>
      <c r="B1943" t="s">
        <v>849</v>
      </c>
      <c r="D1943" t="s">
        <v>1722</v>
      </c>
      <c r="E1943" t="s">
        <v>284</v>
      </c>
      <c r="F1943" t="s">
        <v>297</v>
      </c>
      <c r="G1943" t="s">
        <v>103</v>
      </c>
      <c r="H1943" t="s">
        <v>104</v>
      </c>
      <c r="I1943">
        <v>2024</v>
      </c>
      <c r="J1943" t="s">
        <v>315</v>
      </c>
      <c r="K1943" t="s">
        <v>106</v>
      </c>
      <c r="L1943" t="s">
        <v>2321</v>
      </c>
      <c r="M1943" t="s">
        <v>2333</v>
      </c>
      <c r="N1943">
        <v>1</v>
      </c>
      <c r="O1943">
        <v>2024</v>
      </c>
      <c r="P1943">
        <v>94.526951376087595</v>
      </c>
      <c r="Q1943">
        <v>3.949349451558744</v>
      </c>
      <c r="R1943" t="s">
        <v>289</v>
      </c>
      <c r="S1943">
        <v>76.146700507614213</v>
      </c>
      <c r="T1943" t="s">
        <v>290</v>
      </c>
      <c r="U1943">
        <v>76.146700507614213</v>
      </c>
      <c r="V1943">
        <v>94.526951376087595</v>
      </c>
      <c r="W1943">
        <v>3.949349451558744</v>
      </c>
      <c r="X1943" t="s">
        <v>291</v>
      </c>
      <c r="Y1943">
        <v>10</v>
      </c>
      <c r="Z1943">
        <v>0.24729609702719399</v>
      </c>
      <c r="AA1943">
        <v>1</v>
      </c>
    </row>
    <row r="1944" spans="1:27" hidden="1" x14ac:dyDescent="0.25">
      <c r="A1944" t="s">
        <v>98</v>
      </c>
      <c r="B1944" t="s">
        <v>849</v>
      </c>
      <c r="D1944" t="s">
        <v>1722</v>
      </c>
      <c r="E1944" t="s">
        <v>284</v>
      </c>
      <c r="F1944" t="s">
        <v>297</v>
      </c>
      <c r="G1944" t="s">
        <v>112</v>
      </c>
      <c r="H1944" t="s">
        <v>104</v>
      </c>
      <c r="I1944">
        <v>2024</v>
      </c>
      <c r="J1944" t="s">
        <v>317</v>
      </c>
      <c r="K1944" t="s">
        <v>106</v>
      </c>
      <c r="L1944" t="s">
        <v>2321</v>
      </c>
      <c r="M1944" t="s">
        <v>2334</v>
      </c>
      <c r="N1944">
        <v>1</v>
      </c>
      <c r="O1944">
        <v>2024</v>
      </c>
      <c r="P1944">
        <v>69.765067810793198</v>
      </c>
      <c r="Q1944">
        <v>2.516631606553434</v>
      </c>
      <c r="R1944" t="s">
        <v>289</v>
      </c>
      <c r="S1944">
        <v>93</v>
      </c>
      <c r="T1944" t="s">
        <v>290</v>
      </c>
      <c r="U1944">
        <v>93</v>
      </c>
      <c r="V1944">
        <v>69.765067810793198</v>
      </c>
      <c r="W1944">
        <v>2.516631606553434</v>
      </c>
      <c r="X1944" t="s">
        <v>291</v>
      </c>
      <c r="Y1944">
        <v>10</v>
      </c>
      <c r="Z1944">
        <v>0.24729609702719399</v>
      </c>
      <c r="AA1944">
        <v>1</v>
      </c>
    </row>
    <row r="1945" spans="1:27" hidden="1" x14ac:dyDescent="0.25">
      <c r="A1945" t="s">
        <v>98</v>
      </c>
      <c r="B1945" t="s">
        <v>849</v>
      </c>
      <c r="D1945" t="s">
        <v>1722</v>
      </c>
      <c r="E1945" t="s">
        <v>284</v>
      </c>
      <c r="F1945" t="s">
        <v>302</v>
      </c>
      <c r="G1945" t="s">
        <v>103</v>
      </c>
      <c r="H1945" t="s">
        <v>104</v>
      </c>
      <c r="I1945">
        <v>2024</v>
      </c>
      <c r="J1945" t="s">
        <v>319</v>
      </c>
      <c r="K1945" t="s">
        <v>106</v>
      </c>
      <c r="L1945" t="s">
        <v>2321</v>
      </c>
      <c r="M1945" t="s">
        <v>2335</v>
      </c>
      <c r="N1945">
        <v>1</v>
      </c>
      <c r="O1945">
        <v>2024</v>
      </c>
      <c r="P1945">
        <v>105.7930490817716</v>
      </c>
      <c r="Q1945">
        <v>3.355492309527206</v>
      </c>
      <c r="R1945" t="s">
        <v>289</v>
      </c>
      <c r="S1945">
        <v>64.669172932330824</v>
      </c>
      <c r="T1945" t="s">
        <v>290</v>
      </c>
      <c r="U1945">
        <v>64.669172932330824</v>
      </c>
      <c r="V1945">
        <v>105.7930490817716</v>
      </c>
      <c r="W1945">
        <v>3.355492309527206</v>
      </c>
      <c r="X1945" t="s">
        <v>291</v>
      </c>
      <c r="Y1945">
        <v>10</v>
      </c>
      <c r="Z1945">
        <v>0.24729609702719399</v>
      </c>
      <c r="AA1945">
        <v>1</v>
      </c>
    </row>
    <row r="1946" spans="1:27" hidden="1" x14ac:dyDescent="0.25">
      <c r="A1946" t="s">
        <v>98</v>
      </c>
      <c r="B1946" t="s">
        <v>849</v>
      </c>
      <c r="D1946" t="s">
        <v>1722</v>
      </c>
      <c r="E1946" t="s">
        <v>284</v>
      </c>
      <c r="F1946" t="s">
        <v>302</v>
      </c>
      <c r="G1946" t="s">
        <v>112</v>
      </c>
      <c r="H1946" t="s">
        <v>104</v>
      </c>
      <c r="I1946">
        <v>2024</v>
      </c>
      <c r="J1946" t="s">
        <v>321</v>
      </c>
      <c r="K1946" t="s">
        <v>106</v>
      </c>
      <c r="L1946" t="s">
        <v>2321</v>
      </c>
      <c r="M1946" t="s">
        <v>2336</v>
      </c>
      <c r="N1946">
        <v>1</v>
      </c>
      <c r="O1946">
        <v>2024</v>
      </c>
      <c r="P1946">
        <v>99.614212714858894</v>
      </c>
      <c r="Q1946">
        <v>1.4361600838792941</v>
      </c>
      <c r="R1946" t="s">
        <v>289</v>
      </c>
      <c r="S1946">
        <v>75.07692307692308</v>
      </c>
      <c r="T1946" t="s">
        <v>290</v>
      </c>
      <c r="U1946">
        <v>75.07692307692308</v>
      </c>
      <c r="V1946">
        <v>99.614212714858894</v>
      </c>
      <c r="W1946">
        <v>1.4361600838792941</v>
      </c>
      <c r="X1946" t="s">
        <v>291</v>
      </c>
      <c r="Y1946">
        <v>10</v>
      </c>
      <c r="Z1946">
        <v>0.24729609702719399</v>
      </c>
      <c r="AA1946">
        <v>1</v>
      </c>
    </row>
    <row r="1947" spans="1:27" hidden="1" x14ac:dyDescent="0.25">
      <c r="A1947" t="s">
        <v>98</v>
      </c>
      <c r="B1947" t="s">
        <v>849</v>
      </c>
      <c r="D1947" t="s">
        <v>1722</v>
      </c>
      <c r="E1947" t="s">
        <v>284</v>
      </c>
      <c r="F1947" t="s">
        <v>297</v>
      </c>
      <c r="G1947" t="s">
        <v>103</v>
      </c>
      <c r="H1947" t="s">
        <v>104</v>
      </c>
      <c r="I1947">
        <v>2025</v>
      </c>
      <c r="J1947" t="s">
        <v>323</v>
      </c>
      <c r="K1947" t="s">
        <v>106</v>
      </c>
      <c r="L1947" t="s">
        <v>2321</v>
      </c>
      <c r="M1947" t="s">
        <v>2337</v>
      </c>
      <c r="N1947">
        <v>1</v>
      </c>
      <c r="O1947">
        <v>2025</v>
      </c>
      <c r="P1947">
        <v>94.526951376087595</v>
      </c>
      <c r="Q1947">
        <v>3.949349451558744</v>
      </c>
      <c r="R1947" t="s">
        <v>289</v>
      </c>
      <c r="S1947">
        <v>76.146700507614213</v>
      </c>
      <c r="T1947" t="s">
        <v>290</v>
      </c>
      <c r="U1947">
        <v>76.146700507614213</v>
      </c>
      <c r="V1947">
        <v>94.526951376087595</v>
      </c>
      <c r="W1947">
        <v>3.949349451558744</v>
      </c>
      <c r="X1947" t="s">
        <v>291</v>
      </c>
      <c r="Y1947">
        <v>10</v>
      </c>
      <c r="Z1947">
        <v>0.24729609702719399</v>
      </c>
      <c r="AA1947">
        <v>1</v>
      </c>
    </row>
    <row r="1948" spans="1:27" hidden="1" x14ac:dyDescent="0.25">
      <c r="A1948" t="s">
        <v>98</v>
      </c>
      <c r="B1948" t="s">
        <v>849</v>
      </c>
      <c r="D1948" t="s">
        <v>1722</v>
      </c>
      <c r="E1948" t="s">
        <v>284</v>
      </c>
      <c r="F1948" t="s">
        <v>297</v>
      </c>
      <c r="G1948" t="s">
        <v>112</v>
      </c>
      <c r="H1948" t="s">
        <v>104</v>
      </c>
      <c r="I1948">
        <v>2025</v>
      </c>
      <c r="J1948" t="s">
        <v>325</v>
      </c>
      <c r="K1948" t="s">
        <v>106</v>
      </c>
      <c r="L1948" t="s">
        <v>2321</v>
      </c>
      <c r="M1948" t="s">
        <v>2338</v>
      </c>
      <c r="N1948">
        <v>1</v>
      </c>
      <c r="O1948">
        <v>2025</v>
      </c>
      <c r="P1948">
        <v>69.765067810793198</v>
      </c>
      <c r="Q1948">
        <v>2.516631606553434</v>
      </c>
      <c r="R1948" t="s">
        <v>289</v>
      </c>
      <c r="S1948">
        <v>93</v>
      </c>
      <c r="T1948" t="s">
        <v>290</v>
      </c>
      <c r="U1948">
        <v>93</v>
      </c>
      <c r="V1948">
        <v>69.765067810793198</v>
      </c>
      <c r="W1948">
        <v>2.516631606553434</v>
      </c>
      <c r="X1948" t="s">
        <v>291</v>
      </c>
      <c r="Y1948">
        <v>10</v>
      </c>
      <c r="Z1948">
        <v>0.24729609702719399</v>
      </c>
      <c r="AA1948">
        <v>1</v>
      </c>
    </row>
    <row r="1949" spans="1:27" hidden="1" x14ac:dyDescent="0.25">
      <c r="A1949" t="s">
        <v>98</v>
      </c>
      <c r="B1949" t="s">
        <v>849</v>
      </c>
      <c r="D1949" t="s">
        <v>1722</v>
      </c>
      <c r="E1949" t="s">
        <v>284</v>
      </c>
      <c r="F1949" t="s">
        <v>302</v>
      </c>
      <c r="G1949" t="s">
        <v>103</v>
      </c>
      <c r="H1949" t="s">
        <v>104</v>
      </c>
      <c r="I1949">
        <v>2025</v>
      </c>
      <c r="J1949" t="s">
        <v>327</v>
      </c>
      <c r="K1949" t="s">
        <v>106</v>
      </c>
      <c r="L1949" t="s">
        <v>2321</v>
      </c>
      <c r="M1949" t="s">
        <v>2339</v>
      </c>
      <c r="N1949">
        <v>1</v>
      </c>
      <c r="O1949">
        <v>2025</v>
      </c>
      <c r="P1949">
        <v>105.7930490817716</v>
      </c>
      <c r="Q1949">
        <v>3.355492309527206</v>
      </c>
      <c r="R1949" t="s">
        <v>289</v>
      </c>
      <c r="S1949">
        <v>64.669172932330824</v>
      </c>
      <c r="T1949" t="s">
        <v>290</v>
      </c>
      <c r="U1949">
        <v>64.669172932330824</v>
      </c>
      <c r="V1949">
        <v>105.7930490817716</v>
      </c>
      <c r="W1949">
        <v>3.355492309527206</v>
      </c>
      <c r="X1949" t="s">
        <v>291</v>
      </c>
      <c r="Y1949">
        <v>10</v>
      </c>
      <c r="Z1949">
        <v>0.24729609702719399</v>
      </c>
      <c r="AA1949">
        <v>1</v>
      </c>
    </row>
    <row r="1950" spans="1:27" hidden="1" x14ac:dyDescent="0.25">
      <c r="A1950" t="s">
        <v>98</v>
      </c>
      <c r="B1950" t="s">
        <v>849</v>
      </c>
      <c r="D1950" t="s">
        <v>1722</v>
      </c>
      <c r="E1950" t="s">
        <v>284</v>
      </c>
      <c r="F1950" t="s">
        <v>302</v>
      </c>
      <c r="G1950" t="s">
        <v>112</v>
      </c>
      <c r="H1950" t="s">
        <v>104</v>
      </c>
      <c r="I1950">
        <v>2025</v>
      </c>
      <c r="J1950" t="s">
        <v>329</v>
      </c>
      <c r="K1950" t="s">
        <v>106</v>
      </c>
      <c r="L1950" t="s">
        <v>2321</v>
      </c>
      <c r="M1950" t="s">
        <v>2340</v>
      </c>
      <c r="N1950">
        <v>1</v>
      </c>
      <c r="O1950">
        <v>2025</v>
      </c>
      <c r="P1950">
        <v>99.614212714858894</v>
      </c>
      <c r="Q1950">
        <v>1.4361600838792941</v>
      </c>
      <c r="R1950" t="s">
        <v>289</v>
      </c>
      <c r="S1950">
        <v>75.07692307692308</v>
      </c>
      <c r="T1950" t="s">
        <v>290</v>
      </c>
      <c r="U1950">
        <v>75.07692307692308</v>
      </c>
      <c r="V1950">
        <v>99.614212714858894</v>
      </c>
      <c r="W1950">
        <v>1.4361600838792941</v>
      </c>
      <c r="X1950" t="s">
        <v>291</v>
      </c>
      <c r="Y1950">
        <v>10</v>
      </c>
      <c r="Z1950">
        <v>0.24729609702719399</v>
      </c>
      <c r="AA1950">
        <v>1</v>
      </c>
    </row>
    <row r="1951" spans="1:27" hidden="1" x14ac:dyDescent="0.25">
      <c r="A1951" t="s">
        <v>98</v>
      </c>
      <c r="B1951" t="s">
        <v>849</v>
      </c>
      <c r="D1951" t="s">
        <v>1722</v>
      </c>
      <c r="E1951" t="s">
        <v>284</v>
      </c>
      <c r="F1951" t="s">
        <v>297</v>
      </c>
      <c r="G1951" t="s">
        <v>103</v>
      </c>
      <c r="H1951" t="s">
        <v>104</v>
      </c>
      <c r="I1951">
        <v>2026</v>
      </c>
      <c r="J1951" t="s">
        <v>331</v>
      </c>
      <c r="K1951" t="s">
        <v>106</v>
      </c>
      <c r="L1951" t="s">
        <v>2321</v>
      </c>
      <c r="M1951" t="s">
        <v>2341</v>
      </c>
      <c r="N1951">
        <v>1</v>
      </c>
      <c r="O1951">
        <v>2026</v>
      </c>
      <c r="P1951">
        <v>94.526951376087595</v>
      </c>
      <c r="Q1951">
        <v>3.949349451558744</v>
      </c>
      <c r="R1951" t="s">
        <v>289</v>
      </c>
      <c r="S1951">
        <v>76.146700507614213</v>
      </c>
      <c r="T1951" t="s">
        <v>290</v>
      </c>
      <c r="U1951">
        <v>76.146700507614213</v>
      </c>
      <c r="V1951">
        <v>94.526951376087595</v>
      </c>
      <c r="W1951">
        <v>3.949349451558744</v>
      </c>
      <c r="X1951" t="s">
        <v>291</v>
      </c>
      <c r="Y1951">
        <v>10</v>
      </c>
      <c r="Z1951">
        <v>0.24729609702719399</v>
      </c>
      <c r="AA1951">
        <v>1</v>
      </c>
    </row>
    <row r="1952" spans="1:27" hidden="1" x14ac:dyDescent="0.25">
      <c r="A1952" t="s">
        <v>98</v>
      </c>
      <c r="B1952" t="s">
        <v>849</v>
      </c>
      <c r="D1952" t="s">
        <v>1722</v>
      </c>
      <c r="E1952" t="s">
        <v>284</v>
      </c>
      <c r="F1952" t="s">
        <v>297</v>
      </c>
      <c r="G1952" t="s">
        <v>112</v>
      </c>
      <c r="H1952" t="s">
        <v>104</v>
      </c>
      <c r="I1952">
        <v>2026</v>
      </c>
      <c r="J1952" t="s">
        <v>333</v>
      </c>
      <c r="K1952" t="s">
        <v>106</v>
      </c>
      <c r="L1952" t="s">
        <v>2321</v>
      </c>
      <c r="M1952" t="s">
        <v>2342</v>
      </c>
      <c r="N1952">
        <v>1</v>
      </c>
      <c r="O1952">
        <v>2026</v>
      </c>
      <c r="P1952">
        <v>69.765067810793198</v>
      </c>
      <c r="Q1952">
        <v>2.516631606553434</v>
      </c>
      <c r="R1952" t="s">
        <v>289</v>
      </c>
      <c r="S1952">
        <v>93</v>
      </c>
      <c r="T1952" t="s">
        <v>290</v>
      </c>
      <c r="U1952">
        <v>93</v>
      </c>
      <c r="V1952">
        <v>69.765067810793198</v>
      </c>
      <c r="W1952">
        <v>2.516631606553434</v>
      </c>
      <c r="X1952" t="s">
        <v>291</v>
      </c>
      <c r="Y1952">
        <v>10</v>
      </c>
      <c r="Z1952">
        <v>0.24729609702719399</v>
      </c>
      <c r="AA1952">
        <v>1</v>
      </c>
    </row>
    <row r="1953" spans="1:27" hidden="1" x14ac:dyDescent="0.25">
      <c r="A1953" t="s">
        <v>98</v>
      </c>
      <c r="B1953" t="s">
        <v>849</v>
      </c>
      <c r="D1953" t="s">
        <v>1722</v>
      </c>
      <c r="E1953" t="s">
        <v>284</v>
      </c>
      <c r="F1953" t="s">
        <v>302</v>
      </c>
      <c r="G1953" t="s">
        <v>103</v>
      </c>
      <c r="H1953" t="s">
        <v>104</v>
      </c>
      <c r="I1953">
        <v>2026</v>
      </c>
      <c r="J1953" t="s">
        <v>335</v>
      </c>
      <c r="K1953" t="s">
        <v>106</v>
      </c>
      <c r="L1953" t="s">
        <v>2321</v>
      </c>
      <c r="M1953" t="s">
        <v>2343</v>
      </c>
      <c r="N1953">
        <v>1</v>
      </c>
      <c r="O1953">
        <v>2026</v>
      </c>
      <c r="P1953">
        <v>105.7930490817716</v>
      </c>
      <c r="Q1953">
        <v>3.355492309527206</v>
      </c>
      <c r="R1953" t="s">
        <v>289</v>
      </c>
      <c r="S1953">
        <v>64.669172932330824</v>
      </c>
      <c r="T1953" t="s">
        <v>290</v>
      </c>
      <c r="U1953">
        <v>64.669172932330824</v>
      </c>
      <c r="V1953">
        <v>105.7930490817716</v>
      </c>
      <c r="W1953">
        <v>3.355492309527206</v>
      </c>
      <c r="X1953" t="s">
        <v>291</v>
      </c>
      <c r="Y1953">
        <v>10</v>
      </c>
      <c r="Z1953">
        <v>0.24729609702719399</v>
      </c>
      <c r="AA1953">
        <v>1</v>
      </c>
    </row>
    <row r="1954" spans="1:27" hidden="1" x14ac:dyDescent="0.25">
      <c r="A1954" t="s">
        <v>98</v>
      </c>
      <c r="B1954" t="s">
        <v>849</v>
      </c>
      <c r="D1954" t="s">
        <v>1722</v>
      </c>
      <c r="E1954" t="s">
        <v>284</v>
      </c>
      <c r="F1954" t="s">
        <v>302</v>
      </c>
      <c r="G1954" t="s">
        <v>112</v>
      </c>
      <c r="H1954" t="s">
        <v>104</v>
      </c>
      <c r="I1954">
        <v>2026</v>
      </c>
      <c r="J1954" t="s">
        <v>337</v>
      </c>
      <c r="K1954" t="s">
        <v>106</v>
      </c>
      <c r="L1954" t="s">
        <v>2321</v>
      </c>
      <c r="M1954" t="s">
        <v>2344</v>
      </c>
      <c r="N1954">
        <v>1</v>
      </c>
      <c r="O1954">
        <v>2026</v>
      </c>
      <c r="P1954">
        <v>99.614212714858894</v>
      </c>
      <c r="Q1954">
        <v>1.4361600838792941</v>
      </c>
      <c r="R1954" t="s">
        <v>289</v>
      </c>
      <c r="S1954">
        <v>75.07692307692308</v>
      </c>
      <c r="T1954" t="s">
        <v>290</v>
      </c>
      <c r="U1954">
        <v>75.07692307692308</v>
      </c>
      <c r="V1954">
        <v>99.614212714858894</v>
      </c>
      <c r="W1954">
        <v>1.4361600838792941</v>
      </c>
      <c r="X1954" t="s">
        <v>291</v>
      </c>
      <c r="Y1954">
        <v>10</v>
      </c>
      <c r="Z1954">
        <v>0.24729609702719399</v>
      </c>
      <c r="AA1954">
        <v>1</v>
      </c>
    </row>
    <row r="1955" spans="1:27" hidden="1" x14ac:dyDescent="0.25">
      <c r="A1955" t="s">
        <v>98</v>
      </c>
      <c r="B1955" t="s">
        <v>849</v>
      </c>
      <c r="D1955" t="s">
        <v>1722</v>
      </c>
      <c r="E1955" t="s">
        <v>284</v>
      </c>
      <c r="F1955" t="s">
        <v>292</v>
      </c>
      <c r="G1955" t="s">
        <v>103</v>
      </c>
      <c r="H1955" t="s">
        <v>104</v>
      </c>
      <c r="I1955">
        <v>2030</v>
      </c>
      <c r="J1955" t="s">
        <v>339</v>
      </c>
      <c r="K1955" t="s">
        <v>106</v>
      </c>
      <c r="L1955" t="s">
        <v>2321</v>
      </c>
      <c r="M1955" t="s">
        <v>2345</v>
      </c>
      <c r="N1955">
        <v>1</v>
      </c>
      <c r="O1955">
        <v>2030</v>
      </c>
      <c r="P1955">
        <v>99.96668875570353</v>
      </c>
      <c r="Q1955">
        <v>4.9152448223495018</v>
      </c>
      <c r="R1955" t="s">
        <v>289</v>
      </c>
      <c r="S1955">
        <v>55.211046644573933</v>
      </c>
      <c r="T1955" t="s">
        <v>290</v>
      </c>
      <c r="U1955">
        <v>55.211046644573933</v>
      </c>
      <c r="V1955">
        <v>99.96668875570353</v>
      </c>
      <c r="W1955">
        <v>4.9152448223495018</v>
      </c>
      <c r="X1955" t="s">
        <v>291</v>
      </c>
      <c r="Y1955">
        <v>10</v>
      </c>
      <c r="Z1955">
        <v>0.24729609702719399</v>
      </c>
      <c r="AA1955">
        <v>1</v>
      </c>
    </row>
    <row r="1956" spans="1:27" hidden="1" x14ac:dyDescent="0.25">
      <c r="A1956" t="s">
        <v>98</v>
      </c>
      <c r="B1956" t="s">
        <v>849</v>
      </c>
      <c r="D1956" t="s">
        <v>1722</v>
      </c>
      <c r="E1956" t="s">
        <v>284</v>
      </c>
      <c r="F1956" t="s">
        <v>292</v>
      </c>
      <c r="G1956" t="s">
        <v>112</v>
      </c>
      <c r="H1956" t="s">
        <v>104</v>
      </c>
      <c r="I1956">
        <v>2030</v>
      </c>
      <c r="J1956" t="s">
        <v>341</v>
      </c>
      <c r="K1956" t="s">
        <v>106</v>
      </c>
      <c r="L1956" t="s">
        <v>2321</v>
      </c>
      <c r="M1956" t="s">
        <v>2346</v>
      </c>
      <c r="N1956">
        <v>1</v>
      </c>
      <c r="O1956">
        <v>2030</v>
      </c>
      <c r="P1956">
        <v>93.570390823718384</v>
      </c>
      <c r="Q1956">
        <v>4.27625645181514</v>
      </c>
      <c r="R1956" t="s">
        <v>289</v>
      </c>
      <c r="S1956">
        <v>60.132155797450622</v>
      </c>
      <c r="T1956" t="s">
        <v>290</v>
      </c>
      <c r="U1956">
        <v>60.132155797450622</v>
      </c>
      <c r="V1956">
        <v>93.570390823718384</v>
      </c>
      <c r="W1956">
        <v>4.27625645181514</v>
      </c>
      <c r="X1956" t="s">
        <v>291</v>
      </c>
      <c r="Y1956">
        <v>10</v>
      </c>
      <c r="Z1956">
        <v>0.24729609702719399</v>
      </c>
      <c r="AA1956">
        <v>1</v>
      </c>
    </row>
    <row r="1957" spans="1:27" hidden="1" x14ac:dyDescent="0.25">
      <c r="A1957" t="s">
        <v>98</v>
      </c>
      <c r="B1957" t="s">
        <v>849</v>
      </c>
      <c r="D1957" t="s">
        <v>1722</v>
      </c>
      <c r="E1957" t="s">
        <v>284</v>
      </c>
      <c r="F1957" t="s">
        <v>297</v>
      </c>
      <c r="G1957" t="s">
        <v>103</v>
      </c>
      <c r="H1957" t="s">
        <v>104</v>
      </c>
      <c r="I1957">
        <v>2030</v>
      </c>
      <c r="J1957" t="s">
        <v>343</v>
      </c>
      <c r="K1957" t="s">
        <v>106</v>
      </c>
      <c r="L1957" t="s">
        <v>2321</v>
      </c>
      <c r="M1957" t="s">
        <v>2347</v>
      </c>
      <c r="N1957">
        <v>1</v>
      </c>
      <c r="O1957">
        <v>2030</v>
      </c>
      <c r="P1957">
        <v>112.2464608710101</v>
      </c>
      <c r="Q1957">
        <v>3.5870084905918258</v>
      </c>
      <c r="R1957" t="s">
        <v>289</v>
      </c>
      <c r="S1957">
        <v>89.042769074884546</v>
      </c>
      <c r="T1957" t="s">
        <v>290</v>
      </c>
      <c r="U1957">
        <v>89.042769074884546</v>
      </c>
      <c r="V1957">
        <v>112.2464608710101</v>
      </c>
      <c r="W1957">
        <v>3.5870084905918258</v>
      </c>
      <c r="X1957" t="s">
        <v>291</v>
      </c>
      <c r="Y1957">
        <v>10</v>
      </c>
      <c r="Z1957">
        <v>0.24729609702719399</v>
      </c>
      <c r="AA1957">
        <v>1</v>
      </c>
    </row>
    <row r="1958" spans="1:27" hidden="1" x14ac:dyDescent="0.25">
      <c r="A1958" t="s">
        <v>98</v>
      </c>
      <c r="B1958" t="s">
        <v>849</v>
      </c>
      <c r="D1958" t="s">
        <v>1722</v>
      </c>
      <c r="E1958" t="s">
        <v>284</v>
      </c>
      <c r="F1958" t="s">
        <v>297</v>
      </c>
      <c r="G1958" t="s">
        <v>112</v>
      </c>
      <c r="H1958" t="s">
        <v>104</v>
      </c>
      <c r="I1958">
        <v>2030</v>
      </c>
      <c r="J1958" t="s">
        <v>345</v>
      </c>
      <c r="K1958" t="s">
        <v>106</v>
      </c>
      <c r="L1958" t="s">
        <v>2321</v>
      </c>
      <c r="M1958" t="s">
        <v>2348</v>
      </c>
      <c r="N1958">
        <v>1</v>
      </c>
      <c r="O1958">
        <v>2030</v>
      </c>
      <c r="P1958">
        <v>84.571073913548247</v>
      </c>
      <c r="Q1958">
        <v>2.3525336937486059</v>
      </c>
      <c r="R1958" t="s">
        <v>289</v>
      </c>
      <c r="S1958">
        <v>108.5525423728814</v>
      </c>
      <c r="T1958" t="s">
        <v>290</v>
      </c>
      <c r="U1958">
        <v>108.5525423728814</v>
      </c>
      <c r="V1958">
        <v>84.571073913548247</v>
      </c>
      <c r="W1958">
        <v>2.3525336937486059</v>
      </c>
      <c r="X1958" t="s">
        <v>291</v>
      </c>
      <c r="Y1958">
        <v>10</v>
      </c>
      <c r="Z1958">
        <v>0.24729609702719399</v>
      </c>
      <c r="AA1958">
        <v>1</v>
      </c>
    </row>
    <row r="1959" spans="1:27" hidden="1" x14ac:dyDescent="0.25">
      <c r="A1959" t="s">
        <v>98</v>
      </c>
      <c r="B1959" t="s">
        <v>849</v>
      </c>
      <c r="D1959" t="s">
        <v>1722</v>
      </c>
      <c r="E1959" t="s">
        <v>284</v>
      </c>
      <c r="F1959" t="s">
        <v>292</v>
      </c>
      <c r="G1959" t="s">
        <v>103</v>
      </c>
      <c r="H1959" t="s">
        <v>104</v>
      </c>
      <c r="I1959">
        <v>2040</v>
      </c>
      <c r="J1959" t="s">
        <v>347</v>
      </c>
      <c r="K1959" t="s">
        <v>106</v>
      </c>
      <c r="L1959" t="s">
        <v>2321</v>
      </c>
      <c r="M1959" t="s">
        <v>2349</v>
      </c>
      <c r="N1959">
        <v>1</v>
      </c>
      <c r="O1959">
        <v>2040</v>
      </c>
      <c r="P1959">
        <v>98.335071194105581</v>
      </c>
      <c r="Q1959">
        <v>4.7080379086524973</v>
      </c>
      <c r="R1959" t="s">
        <v>289</v>
      </c>
      <c r="S1959">
        <v>63.829339223058007</v>
      </c>
      <c r="T1959" t="s">
        <v>290</v>
      </c>
      <c r="U1959">
        <v>63.829339223058007</v>
      </c>
      <c r="V1959">
        <v>98.335071194105581</v>
      </c>
      <c r="W1959">
        <v>4.7080379086524973</v>
      </c>
      <c r="X1959" t="s">
        <v>291</v>
      </c>
      <c r="Y1959">
        <v>10</v>
      </c>
      <c r="Z1959">
        <v>0.24729609702719399</v>
      </c>
      <c r="AA1959">
        <v>1</v>
      </c>
    </row>
    <row r="1960" spans="1:27" hidden="1" x14ac:dyDescent="0.25">
      <c r="A1960" t="s">
        <v>98</v>
      </c>
      <c r="B1960" t="s">
        <v>849</v>
      </c>
      <c r="D1960" t="s">
        <v>1722</v>
      </c>
      <c r="E1960" t="s">
        <v>284</v>
      </c>
      <c r="F1960" t="s">
        <v>292</v>
      </c>
      <c r="G1960" t="s">
        <v>112</v>
      </c>
      <c r="H1960" t="s">
        <v>104</v>
      </c>
      <c r="I1960">
        <v>2040</v>
      </c>
      <c r="J1960" t="s">
        <v>349</v>
      </c>
      <c r="K1960" t="s">
        <v>106</v>
      </c>
      <c r="L1960" t="s">
        <v>2321</v>
      </c>
      <c r="M1960" t="s">
        <v>2350</v>
      </c>
      <c r="N1960">
        <v>1</v>
      </c>
      <c r="O1960">
        <v>2040</v>
      </c>
      <c r="P1960">
        <v>92.137687829328328</v>
      </c>
      <c r="Q1960">
        <v>4.1202723323867074</v>
      </c>
      <c r="R1960" t="s">
        <v>289</v>
      </c>
      <c r="S1960">
        <v>69.934718883357121</v>
      </c>
      <c r="T1960" t="s">
        <v>290</v>
      </c>
      <c r="U1960">
        <v>69.934718883357121</v>
      </c>
      <c r="V1960">
        <v>92.137687829328328</v>
      </c>
      <c r="W1960">
        <v>4.1202723323867074</v>
      </c>
      <c r="X1960" t="s">
        <v>291</v>
      </c>
      <c r="Y1960">
        <v>10</v>
      </c>
      <c r="Z1960">
        <v>0.24729609702719399</v>
      </c>
      <c r="AA1960">
        <v>1</v>
      </c>
    </row>
    <row r="1961" spans="1:27" hidden="1" x14ac:dyDescent="0.25">
      <c r="A1961" t="s">
        <v>98</v>
      </c>
      <c r="B1961" t="s">
        <v>849</v>
      </c>
      <c r="D1961" t="s">
        <v>1722</v>
      </c>
      <c r="E1961" t="s">
        <v>284</v>
      </c>
      <c r="F1961" t="s">
        <v>297</v>
      </c>
      <c r="G1961" t="s">
        <v>103</v>
      </c>
      <c r="H1961" t="s">
        <v>104</v>
      </c>
      <c r="I1961">
        <v>2040</v>
      </c>
      <c r="J1961" t="s">
        <v>351</v>
      </c>
      <c r="K1961" t="s">
        <v>106</v>
      </c>
      <c r="L1961" t="s">
        <v>2321</v>
      </c>
      <c r="M1961" t="s">
        <v>2351</v>
      </c>
      <c r="N1961">
        <v>1</v>
      </c>
      <c r="O1961">
        <v>2040</v>
      </c>
      <c r="P1961">
        <v>109.62871509832991</v>
      </c>
      <c r="Q1961">
        <v>3.28145573783857</v>
      </c>
      <c r="R1961" t="s">
        <v>289</v>
      </c>
      <c r="S1961">
        <v>101.8534675620791</v>
      </c>
      <c r="T1961" t="s">
        <v>290</v>
      </c>
      <c r="U1961">
        <v>101.8534675620791</v>
      </c>
      <c r="V1961">
        <v>109.62871509832991</v>
      </c>
      <c r="W1961">
        <v>3.28145573783857</v>
      </c>
      <c r="X1961" t="s">
        <v>291</v>
      </c>
      <c r="Y1961">
        <v>10</v>
      </c>
      <c r="Z1961">
        <v>0.24729609702719399</v>
      </c>
      <c r="AA1961">
        <v>1</v>
      </c>
    </row>
    <row r="1962" spans="1:27" hidden="1" x14ac:dyDescent="0.25">
      <c r="A1962" t="s">
        <v>98</v>
      </c>
      <c r="B1962" t="s">
        <v>849</v>
      </c>
      <c r="D1962" t="s">
        <v>1722</v>
      </c>
      <c r="E1962" t="s">
        <v>284</v>
      </c>
      <c r="F1962" t="s">
        <v>297</v>
      </c>
      <c r="G1962" t="s">
        <v>112</v>
      </c>
      <c r="H1962" t="s">
        <v>104</v>
      </c>
      <c r="I1962">
        <v>2040</v>
      </c>
      <c r="J1962" t="s">
        <v>353</v>
      </c>
      <c r="K1962" t="s">
        <v>106</v>
      </c>
      <c r="L1962" t="s">
        <v>2321</v>
      </c>
      <c r="M1962" t="s">
        <v>2352</v>
      </c>
      <c r="N1962">
        <v>1</v>
      </c>
      <c r="O1962">
        <v>2040</v>
      </c>
      <c r="P1962">
        <v>82.941268534212341</v>
      </c>
      <c r="Q1962">
        <v>2.168671786742209</v>
      </c>
      <c r="R1962" t="s">
        <v>289</v>
      </c>
      <c r="S1962">
        <v>124.1701372074253</v>
      </c>
      <c r="T1962" t="s">
        <v>290</v>
      </c>
      <c r="U1962">
        <v>124.1701372074253</v>
      </c>
      <c r="V1962">
        <v>82.941268534212341</v>
      </c>
      <c r="W1962">
        <v>2.168671786742209</v>
      </c>
      <c r="X1962" t="s">
        <v>291</v>
      </c>
      <c r="Y1962">
        <v>10</v>
      </c>
      <c r="Z1962">
        <v>0.24729609702719399</v>
      </c>
      <c r="AA1962">
        <v>1</v>
      </c>
    </row>
    <row r="1963" spans="1:27" hidden="1" x14ac:dyDescent="0.25">
      <c r="A1963" t="s">
        <v>98</v>
      </c>
      <c r="B1963" t="s">
        <v>849</v>
      </c>
      <c r="D1963" t="s">
        <v>1722</v>
      </c>
      <c r="E1963" t="s">
        <v>284</v>
      </c>
      <c r="F1963" t="s">
        <v>355</v>
      </c>
      <c r="G1963" t="s">
        <v>103</v>
      </c>
      <c r="H1963" t="s">
        <v>104</v>
      </c>
      <c r="I1963">
        <v>2022</v>
      </c>
      <c r="J1963" t="s">
        <v>356</v>
      </c>
      <c r="K1963" t="s">
        <v>106</v>
      </c>
      <c r="L1963" t="s">
        <v>2321</v>
      </c>
      <c r="M1963" t="s">
        <v>2353</v>
      </c>
      <c r="N1963">
        <v>1</v>
      </c>
      <c r="O1963">
        <v>2020</v>
      </c>
      <c r="P1963">
        <v>26.539302440149839</v>
      </c>
      <c r="Q1963">
        <v>0.71977466386263589</v>
      </c>
      <c r="R1963" t="s">
        <v>289</v>
      </c>
      <c r="S1963">
        <v>85.75677051732572</v>
      </c>
      <c r="T1963" t="s">
        <v>290</v>
      </c>
      <c r="U1963">
        <v>85.75677051732572</v>
      </c>
      <c r="V1963">
        <v>26.539302440149839</v>
      </c>
      <c r="W1963">
        <v>0.71977466386263589</v>
      </c>
      <c r="X1963" t="s">
        <v>291</v>
      </c>
      <c r="Y1963">
        <v>10</v>
      </c>
      <c r="Z1963">
        <v>0.24729609702719399</v>
      </c>
      <c r="AA1963">
        <v>1</v>
      </c>
    </row>
    <row r="1964" spans="1:27" hidden="1" x14ac:dyDescent="0.25">
      <c r="A1964" t="s">
        <v>98</v>
      </c>
      <c r="B1964" t="s">
        <v>849</v>
      </c>
      <c r="D1964" t="s">
        <v>1722</v>
      </c>
      <c r="E1964" t="s">
        <v>284</v>
      </c>
      <c r="F1964" t="s">
        <v>355</v>
      </c>
      <c r="G1964" t="s">
        <v>112</v>
      </c>
      <c r="H1964" t="s">
        <v>104</v>
      </c>
      <c r="I1964">
        <v>2022</v>
      </c>
      <c r="J1964" t="s">
        <v>358</v>
      </c>
      <c r="K1964" t="s">
        <v>106</v>
      </c>
      <c r="L1964" t="s">
        <v>2321</v>
      </c>
      <c r="M1964" t="s">
        <v>2354</v>
      </c>
      <c r="N1964">
        <v>1</v>
      </c>
      <c r="O1964">
        <v>2020</v>
      </c>
      <c r="P1964">
        <v>27.952547937105681</v>
      </c>
      <c r="Q1964">
        <v>0.83346015109483984</v>
      </c>
      <c r="R1964" t="s">
        <v>289</v>
      </c>
      <c r="S1964">
        <v>88.372750377742747</v>
      </c>
      <c r="T1964" t="s">
        <v>290</v>
      </c>
      <c r="U1964">
        <v>88.372750377742747</v>
      </c>
      <c r="V1964">
        <v>27.952547937105681</v>
      </c>
      <c r="W1964">
        <v>0.83346015109483984</v>
      </c>
      <c r="X1964" t="s">
        <v>291</v>
      </c>
      <c r="Y1964">
        <v>10</v>
      </c>
      <c r="Z1964">
        <v>0.24729609702719399</v>
      </c>
      <c r="AA1964">
        <v>1</v>
      </c>
    </row>
    <row r="1965" spans="1:27" hidden="1" x14ac:dyDescent="0.25">
      <c r="A1965" t="s">
        <v>98</v>
      </c>
      <c r="B1965" t="s">
        <v>849</v>
      </c>
      <c r="D1965" t="s">
        <v>1722</v>
      </c>
      <c r="E1965" t="s">
        <v>284</v>
      </c>
      <c r="F1965" t="s">
        <v>360</v>
      </c>
      <c r="G1965" t="s">
        <v>103</v>
      </c>
      <c r="H1965" t="s">
        <v>104</v>
      </c>
      <c r="I1965">
        <v>2022</v>
      </c>
      <c r="J1965" t="s">
        <v>361</v>
      </c>
      <c r="K1965" t="s">
        <v>106</v>
      </c>
      <c r="L1965" t="s">
        <v>2321</v>
      </c>
      <c r="M1965" t="s">
        <v>2355</v>
      </c>
      <c r="N1965">
        <v>1</v>
      </c>
      <c r="O1965">
        <v>2020</v>
      </c>
      <c r="P1965">
        <v>30.743231458982891</v>
      </c>
      <c r="Q1965">
        <v>0.75530083267302539</v>
      </c>
      <c r="R1965" t="s">
        <v>289</v>
      </c>
      <c r="S1965">
        <v>85.752844444444449</v>
      </c>
      <c r="T1965" t="s">
        <v>290</v>
      </c>
      <c r="U1965">
        <v>85.752844444444449</v>
      </c>
      <c r="V1965">
        <v>30.743231458982891</v>
      </c>
      <c r="W1965">
        <v>0.75530083267302539</v>
      </c>
      <c r="X1965" t="s">
        <v>291</v>
      </c>
      <c r="Y1965">
        <v>10</v>
      </c>
      <c r="Z1965">
        <v>0.24729609702719399</v>
      </c>
      <c r="AA1965">
        <v>1</v>
      </c>
    </row>
    <row r="1966" spans="1:27" hidden="1" x14ac:dyDescent="0.25">
      <c r="A1966" t="s">
        <v>98</v>
      </c>
      <c r="B1966" t="s">
        <v>849</v>
      </c>
      <c r="D1966" t="s">
        <v>1722</v>
      </c>
      <c r="E1966" t="s">
        <v>284</v>
      </c>
      <c r="F1966" t="s">
        <v>360</v>
      </c>
      <c r="G1966" t="s">
        <v>112</v>
      </c>
      <c r="H1966" t="s">
        <v>104</v>
      </c>
      <c r="I1966">
        <v>2022</v>
      </c>
      <c r="J1966" t="s">
        <v>363</v>
      </c>
      <c r="K1966" t="s">
        <v>106</v>
      </c>
      <c r="L1966" t="s">
        <v>2321</v>
      </c>
      <c r="M1966" t="s">
        <v>2356</v>
      </c>
      <c r="N1966">
        <v>1</v>
      </c>
      <c r="O1966">
        <v>2020</v>
      </c>
      <c r="P1966">
        <v>30.995290460986698</v>
      </c>
      <c r="Q1966">
        <v>1.07624732944957</v>
      </c>
      <c r="R1966" t="s">
        <v>289</v>
      </c>
      <c r="S1966">
        <v>91.18482905982907</v>
      </c>
      <c r="T1966" t="s">
        <v>290</v>
      </c>
      <c r="U1966">
        <v>91.18482905982907</v>
      </c>
      <c r="V1966">
        <v>30.995290460986698</v>
      </c>
      <c r="W1966">
        <v>1.07624732944957</v>
      </c>
      <c r="X1966" t="s">
        <v>291</v>
      </c>
      <c r="Y1966">
        <v>10</v>
      </c>
      <c r="Z1966">
        <v>0.24729609702719399</v>
      </c>
      <c r="AA1966">
        <v>1</v>
      </c>
    </row>
    <row r="1967" spans="1:27" hidden="1" x14ac:dyDescent="0.25">
      <c r="A1967" t="s">
        <v>98</v>
      </c>
      <c r="B1967" t="s">
        <v>849</v>
      </c>
      <c r="D1967" t="s">
        <v>1722</v>
      </c>
      <c r="E1967" t="s">
        <v>284</v>
      </c>
      <c r="F1967" t="s">
        <v>365</v>
      </c>
      <c r="G1967" t="s">
        <v>103</v>
      </c>
      <c r="H1967" t="s">
        <v>104</v>
      </c>
      <c r="I1967">
        <v>2022</v>
      </c>
      <c r="J1967" t="s">
        <v>366</v>
      </c>
      <c r="K1967" t="s">
        <v>106</v>
      </c>
      <c r="L1967" t="s">
        <v>2321</v>
      </c>
      <c r="M1967" t="s">
        <v>2357</v>
      </c>
      <c r="N1967">
        <v>1</v>
      </c>
      <c r="O1967">
        <v>2020</v>
      </c>
      <c r="P1967">
        <v>34.581332645158973</v>
      </c>
      <c r="Q1967">
        <v>1.926881708285624</v>
      </c>
      <c r="R1967" t="s">
        <v>289</v>
      </c>
      <c r="S1967">
        <v>115.45533602622641</v>
      </c>
      <c r="T1967" t="s">
        <v>290</v>
      </c>
      <c r="U1967">
        <v>115.45533602622641</v>
      </c>
      <c r="V1967">
        <v>34.581332645158973</v>
      </c>
      <c r="W1967">
        <v>1.926881708285624</v>
      </c>
      <c r="X1967" t="s">
        <v>291</v>
      </c>
      <c r="Y1967">
        <v>10</v>
      </c>
      <c r="Z1967">
        <v>0.24729609702719399</v>
      </c>
      <c r="AA1967">
        <v>1</v>
      </c>
    </row>
    <row r="1968" spans="1:27" hidden="1" x14ac:dyDescent="0.25">
      <c r="A1968" t="s">
        <v>98</v>
      </c>
      <c r="B1968" t="s">
        <v>849</v>
      </c>
      <c r="D1968" t="s">
        <v>1722</v>
      </c>
      <c r="E1968" t="s">
        <v>284</v>
      </c>
      <c r="F1968" t="s">
        <v>365</v>
      </c>
      <c r="G1968" t="s">
        <v>112</v>
      </c>
      <c r="H1968" t="s">
        <v>104</v>
      </c>
      <c r="I1968">
        <v>2022</v>
      </c>
      <c r="J1968" t="s">
        <v>368</v>
      </c>
      <c r="K1968" t="s">
        <v>106</v>
      </c>
      <c r="L1968" t="s">
        <v>2321</v>
      </c>
      <c r="M1968" t="s">
        <v>2358</v>
      </c>
      <c r="N1968">
        <v>1</v>
      </c>
      <c r="O1968">
        <v>2020</v>
      </c>
      <c r="P1968">
        <v>44.653862333829821</v>
      </c>
      <c r="Q1968">
        <v>2.4693086643180591</v>
      </c>
      <c r="R1968" t="s">
        <v>289</v>
      </c>
      <c r="S1968">
        <v>130.6177318295739</v>
      </c>
      <c r="T1968" t="s">
        <v>290</v>
      </c>
      <c r="U1968">
        <v>130.6177318295739</v>
      </c>
      <c r="V1968">
        <v>44.653862333829821</v>
      </c>
      <c r="W1968">
        <v>2.4693086643180591</v>
      </c>
      <c r="X1968" t="s">
        <v>291</v>
      </c>
      <c r="Y1968">
        <v>10</v>
      </c>
      <c r="Z1968">
        <v>0.24729609702719399</v>
      </c>
      <c r="AA1968">
        <v>1</v>
      </c>
    </row>
    <row r="1969" spans="1:27" hidden="1" x14ac:dyDescent="0.25">
      <c r="A1969" t="s">
        <v>98</v>
      </c>
      <c r="B1969" t="s">
        <v>849</v>
      </c>
      <c r="D1969" t="s">
        <v>1722</v>
      </c>
      <c r="E1969" t="s">
        <v>284</v>
      </c>
      <c r="F1969" t="s">
        <v>365</v>
      </c>
      <c r="G1969" t="s">
        <v>103</v>
      </c>
      <c r="H1969" t="s">
        <v>104</v>
      </c>
      <c r="I1969">
        <v>2023</v>
      </c>
      <c r="J1969" t="s">
        <v>370</v>
      </c>
      <c r="K1969" t="s">
        <v>106</v>
      </c>
      <c r="L1969" t="s">
        <v>2321</v>
      </c>
      <c r="M1969" t="s">
        <v>2359</v>
      </c>
      <c r="N1969">
        <v>1</v>
      </c>
      <c r="O1969">
        <v>2023</v>
      </c>
      <c r="P1969">
        <v>34.353918735727063</v>
      </c>
      <c r="Q1969">
        <v>1.893397965391721</v>
      </c>
      <c r="R1969" t="s">
        <v>289</v>
      </c>
      <c r="S1969">
        <v>115.45533602622641</v>
      </c>
      <c r="T1969" t="s">
        <v>290</v>
      </c>
      <c r="U1969">
        <v>115.45533602622641</v>
      </c>
      <c r="V1969">
        <v>34.353918735727063</v>
      </c>
      <c r="W1969">
        <v>1.893397965391721</v>
      </c>
      <c r="X1969" t="s">
        <v>291</v>
      </c>
      <c r="Y1969">
        <v>10</v>
      </c>
      <c r="Z1969">
        <v>0.24729609702719399</v>
      </c>
      <c r="AA1969">
        <v>1</v>
      </c>
    </row>
    <row r="1970" spans="1:27" hidden="1" x14ac:dyDescent="0.25">
      <c r="A1970" t="s">
        <v>98</v>
      </c>
      <c r="B1970" t="s">
        <v>849</v>
      </c>
      <c r="D1970" t="s">
        <v>1722</v>
      </c>
      <c r="E1970" t="s">
        <v>284</v>
      </c>
      <c r="F1970" t="s">
        <v>365</v>
      </c>
      <c r="G1970" t="s">
        <v>112</v>
      </c>
      <c r="H1970" t="s">
        <v>104</v>
      </c>
      <c r="I1970">
        <v>2023</v>
      </c>
      <c r="J1970" t="s">
        <v>372</v>
      </c>
      <c r="K1970" t="s">
        <v>106</v>
      </c>
      <c r="L1970" t="s">
        <v>2321</v>
      </c>
      <c r="M1970" t="s">
        <v>2360</v>
      </c>
      <c r="N1970">
        <v>1</v>
      </c>
      <c r="O1970">
        <v>2023</v>
      </c>
      <c r="P1970">
        <v>43.733464606512037</v>
      </c>
      <c r="Q1970">
        <v>2.4042644647868401</v>
      </c>
      <c r="R1970" t="s">
        <v>289</v>
      </c>
      <c r="S1970">
        <v>130.6177318295739</v>
      </c>
      <c r="T1970" t="s">
        <v>290</v>
      </c>
      <c r="U1970">
        <v>130.6177318295739</v>
      </c>
      <c r="V1970">
        <v>43.733464606512037</v>
      </c>
      <c r="W1970">
        <v>2.4042644647868401</v>
      </c>
      <c r="X1970" t="s">
        <v>291</v>
      </c>
      <c r="Y1970">
        <v>10</v>
      </c>
      <c r="Z1970">
        <v>0.24729609702719399</v>
      </c>
      <c r="AA1970">
        <v>1</v>
      </c>
    </row>
    <row r="1971" spans="1:27" hidden="1" x14ac:dyDescent="0.25">
      <c r="A1971" t="s">
        <v>98</v>
      </c>
      <c r="B1971" t="s">
        <v>849</v>
      </c>
      <c r="D1971" t="s">
        <v>1722</v>
      </c>
      <c r="E1971" t="s">
        <v>284</v>
      </c>
      <c r="F1971" t="s">
        <v>365</v>
      </c>
      <c r="G1971" t="s">
        <v>103</v>
      </c>
      <c r="H1971" t="s">
        <v>104</v>
      </c>
      <c r="I1971">
        <v>2024</v>
      </c>
      <c r="J1971" t="s">
        <v>374</v>
      </c>
      <c r="K1971" t="s">
        <v>106</v>
      </c>
      <c r="L1971" t="s">
        <v>2321</v>
      </c>
      <c r="M1971" t="s">
        <v>2361</v>
      </c>
      <c r="N1971">
        <v>1</v>
      </c>
      <c r="O1971">
        <v>2024</v>
      </c>
      <c r="P1971">
        <v>34.353918735727063</v>
      </c>
      <c r="Q1971">
        <v>1.893397965391721</v>
      </c>
      <c r="R1971" t="s">
        <v>289</v>
      </c>
      <c r="S1971">
        <v>115.45533602622641</v>
      </c>
      <c r="T1971" t="s">
        <v>290</v>
      </c>
      <c r="U1971">
        <v>115.45533602622641</v>
      </c>
      <c r="V1971">
        <v>34.353918735727063</v>
      </c>
      <c r="W1971">
        <v>1.893397965391721</v>
      </c>
      <c r="X1971" t="s">
        <v>291</v>
      </c>
      <c r="Y1971">
        <v>10</v>
      </c>
      <c r="Z1971">
        <v>0.24729609702719399</v>
      </c>
      <c r="AA1971">
        <v>1</v>
      </c>
    </row>
    <row r="1972" spans="1:27" hidden="1" x14ac:dyDescent="0.25">
      <c r="A1972" t="s">
        <v>98</v>
      </c>
      <c r="B1972" t="s">
        <v>849</v>
      </c>
      <c r="D1972" t="s">
        <v>1722</v>
      </c>
      <c r="E1972" t="s">
        <v>284</v>
      </c>
      <c r="F1972" t="s">
        <v>365</v>
      </c>
      <c r="G1972" t="s">
        <v>112</v>
      </c>
      <c r="H1972" t="s">
        <v>104</v>
      </c>
      <c r="I1972">
        <v>2024</v>
      </c>
      <c r="J1972" t="s">
        <v>376</v>
      </c>
      <c r="K1972" t="s">
        <v>106</v>
      </c>
      <c r="L1972" t="s">
        <v>2321</v>
      </c>
      <c r="M1972" t="s">
        <v>2362</v>
      </c>
      <c r="N1972">
        <v>1</v>
      </c>
      <c r="O1972">
        <v>2024</v>
      </c>
      <c r="P1972">
        <v>43.733464606512037</v>
      </c>
      <c r="Q1972">
        <v>2.4042644647868401</v>
      </c>
      <c r="R1972" t="s">
        <v>289</v>
      </c>
      <c r="S1972">
        <v>130.6177318295739</v>
      </c>
      <c r="T1972" t="s">
        <v>290</v>
      </c>
      <c r="U1972">
        <v>130.6177318295739</v>
      </c>
      <c r="V1972">
        <v>43.733464606512037</v>
      </c>
      <c r="W1972">
        <v>2.4042644647868401</v>
      </c>
      <c r="X1972" t="s">
        <v>291</v>
      </c>
      <c r="Y1972">
        <v>10</v>
      </c>
      <c r="Z1972">
        <v>0.24729609702719399</v>
      </c>
      <c r="AA1972">
        <v>1</v>
      </c>
    </row>
    <row r="1973" spans="1:27" hidden="1" x14ac:dyDescent="0.25">
      <c r="A1973" t="s">
        <v>98</v>
      </c>
      <c r="B1973" t="s">
        <v>849</v>
      </c>
      <c r="D1973" t="s">
        <v>1722</v>
      </c>
      <c r="E1973" t="s">
        <v>284</v>
      </c>
      <c r="F1973" t="s">
        <v>365</v>
      </c>
      <c r="G1973" t="s">
        <v>103</v>
      </c>
      <c r="H1973" t="s">
        <v>104</v>
      </c>
      <c r="I1973">
        <v>2025</v>
      </c>
      <c r="J1973" t="s">
        <v>378</v>
      </c>
      <c r="K1973" t="s">
        <v>106</v>
      </c>
      <c r="L1973" t="s">
        <v>2321</v>
      </c>
      <c r="M1973" t="s">
        <v>2363</v>
      </c>
      <c r="N1973">
        <v>1</v>
      </c>
      <c r="O1973">
        <v>2025</v>
      </c>
      <c r="P1973">
        <v>34.353918735727063</v>
      </c>
      <c r="Q1973">
        <v>1.893397965391721</v>
      </c>
      <c r="R1973" t="s">
        <v>289</v>
      </c>
      <c r="S1973">
        <v>115.45533602622641</v>
      </c>
      <c r="T1973" t="s">
        <v>290</v>
      </c>
      <c r="U1973">
        <v>115.45533602622641</v>
      </c>
      <c r="V1973">
        <v>34.353918735727063</v>
      </c>
      <c r="W1973">
        <v>1.893397965391721</v>
      </c>
      <c r="X1973" t="s">
        <v>291</v>
      </c>
      <c r="Y1973">
        <v>10</v>
      </c>
      <c r="Z1973">
        <v>0.24729609702719399</v>
      </c>
      <c r="AA1973">
        <v>1</v>
      </c>
    </row>
    <row r="1974" spans="1:27" hidden="1" x14ac:dyDescent="0.25">
      <c r="A1974" t="s">
        <v>98</v>
      </c>
      <c r="B1974" t="s">
        <v>849</v>
      </c>
      <c r="D1974" t="s">
        <v>1722</v>
      </c>
      <c r="E1974" t="s">
        <v>284</v>
      </c>
      <c r="F1974" t="s">
        <v>365</v>
      </c>
      <c r="G1974" t="s">
        <v>112</v>
      </c>
      <c r="H1974" t="s">
        <v>104</v>
      </c>
      <c r="I1974">
        <v>2025</v>
      </c>
      <c r="J1974" t="s">
        <v>380</v>
      </c>
      <c r="K1974" t="s">
        <v>106</v>
      </c>
      <c r="L1974" t="s">
        <v>2321</v>
      </c>
      <c r="M1974" t="s">
        <v>2364</v>
      </c>
      <c r="N1974">
        <v>1</v>
      </c>
      <c r="O1974">
        <v>2025</v>
      </c>
      <c r="P1974">
        <v>43.733464606512037</v>
      </c>
      <c r="Q1974">
        <v>2.4042644647868401</v>
      </c>
      <c r="R1974" t="s">
        <v>289</v>
      </c>
      <c r="S1974">
        <v>130.6177318295739</v>
      </c>
      <c r="T1974" t="s">
        <v>290</v>
      </c>
      <c r="U1974">
        <v>130.6177318295739</v>
      </c>
      <c r="V1974">
        <v>43.733464606512037</v>
      </c>
      <c r="W1974">
        <v>2.4042644647868401</v>
      </c>
      <c r="X1974" t="s">
        <v>291</v>
      </c>
      <c r="Y1974">
        <v>10</v>
      </c>
      <c r="Z1974">
        <v>0.24729609702719399</v>
      </c>
      <c r="AA1974">
        <v>1</v>
      </c>
    </row>
    <row r="1975" spans="1:27" hidden="1" x14ac:dyDescent="0.25">
      <c r="A1975" t="s">
        <v>98</v>
      </c>
      <c r="B1975" t="s">
        <v>849</v>
      </c>
      <c r="D1975" t="s">
        <v>1722</v>
      </c>
      <c r="E1975" t="s">
        <v>284</v>
      </c>
      <c r="F1975" t="s">
        <v>365</v>
      </c>
      <c r="G1975" t="s">
        <v>103</v>
      </c>
      <c r="H1975" t="s">
        <v>104</v>
      </c>
      <c r="I1975">
        <v>2026</v>
      </c>
      <c r="J1975" t="s">
        <v>382</v>
      </c>
      <c r="K1975" t="s">
        <v>106</v>
      </c>
      <c r="L1975" t="s">
        <v>2321</v>
      </c>
      <c r="M1975" t="s">
        <v>2365</v>
      </c>
      <c r="N1975">
        <v>1</v>
      </c>
      <c r="O1975">
        <v>2026</v>
      </c>
      <c r="P1975">
        <v>34.353918735727063</v>
      </c>
      <c r="Q1975">
        <v>1.893397965391721</v>
      </c>
      <c r="R1975" t="s">
        <v>289</v>
      </c>
      <c r="S1975">
        <v>115.45533602622641</v>
      </c>
      <c r="T1975" t="s">
        <v>290</v>
      </c>
      <c r="U1975">
        <v>115.45533602622641</v>
      </c>
      <c r="V1975">
        <v>34.353918735727063</v>
      </c>
      <c r="W1975">
        <v>1.893397965391721</v>
      </c>
      <c r="X1975" t="s">
        <v>291</v>
      </c>
      <c r="Y1975">
        <v>10</v>
      </c>
      <c r="Z1975">
        <v>0.24729609702719399</v>
      </c>
      <c r="AA1975">
        <v>1</v>
      </c>
    </row>
    <row r="1976" spans="1:27" hidden="1" x14ac:dyDescent="0.25">
      <c r="A1976" t="s">
        <v>98</v>
      </c>
      <c r="B1976" t="s">
        <v>849</v>
      </c>
      <c r="D1976" t="s">
        <v>1722</v>
      </c>
      <c r="E1976" t="s">
        <v>284</v>
      </c>
      <c r="F1976" t="s">
        <v>365</v>
      </c>
      <c r="G1976" t="s">
        <v>112</v>
      </c>
      <c r="H1976" t="s">
        <v>104</v>
      </c>
      <c r="I1976">
        <v>2026</v>
      </c>
      <c r="J1976" t="s">
        <v>384</v>
      </c>
      <c r="K1976" t="s">
        <v>106</v>
      </c>
      <c r="L1976" t="s">
        <v>2321</v>
      </c>
      <c r="M1976" t="s">
        <v>2366</v>
      </c>
      <c r="N1976">
        <v>1</v>
      </c>
      <c r="O1976">
        <v>2026</v>
      </c>
      <c r="P1976">
        <v>43.733464606512037</v>
      </c>
      <c r="Q1976">
        <v>2.4042644647868401</v>
      </c>
      <c r="R1976" t="s">
        <v>289</v>
      </c>
      <c r="S1976">
        <v>130.6177318295739</v>
      </c>
      <c r="T1976" t="s">
        <v>290</v>
      </c>
      <c r="U1976">
        <v>130.6177318295739</v>
      </c>
      <c r="V1976">
        <v>43.733464606512037</v>
      </c>
      <c r="W1976">
        <v>2.4042644647868401</v>
      </c>
      <c r="X1976" t="s">
        <v>291</v>
      </c>
      <c r="Y1976">
        <v>10</v>
      </c>
      <c r="Z1976">
        <v>0.24729609702719399</v>
      </c>
      <c r="AA1976">
        <v>1</v>
      </c>
    </row>
    <row r="1977" spans="1:27" hidden="1" x14ac:dyDescent="0.25">
      <c r="A1977" t="s">
        <v>98</v>
      </c>
      <c r="B1977" t="s">
        <v>849</v>
      </c>
      <c r="D1977" t="s">
        <v>1722</v>
      </c>
      <c r="E1977" t="s">
        <v>284</v>
      </c>
      <c r="F1977" t="s">
        <v>365</v>
      </c>
      <c r="G1977" t="s">
        <v>103</v>
      </c>
      <c r="H1977" t="s">
        <v>104</v>
      </c>
      <c r="I1977">
        <v>2027</v>
      </c>
      <c r="J1977" t="s">
        <v>386</v>
      </c>
      <c r="K1977" t="s">
        <v>106</v>
      </c>
      <c r="L1977" t="s">
        <v>2321</v>
      </c>
      <c r="M1977" t="s">
        <v>2367</v>
      </c>
      <c r="N1977">
        <v>1</v>
      </c>
      <c r="O1977">
        <v>2027</v>
      </c>
      <c r="P1977">
        <v>34.353918735727063</v>
      </c>
      <c r="Q1977">
        <v>1.893397965391721</v>
      </c>
      <c r="R1977" t="s">
        <v>289</v>
      </c>
      <c r="S1977">
        <v>115.45533602622641</v>
      </c>
      <c r="T1977" t="s">
        <v>290</v>
      </c>
      <c r="U1977">
        <v>115.45533602622641</v>
      </c>
      <c r="V1977">
        <v>34.353918735727063</v>
      </c>
      <c r="W1977">
        <v>1.893397965391721</v>
      </c>
      <c r="X1977" t="s">
        <v>291</v>
      </c>
      <c r="Y1977">
        <v>10</v>
      </c>
      <c r="Z1977">
        <v>0.24729609702719399</v>
      </c>
      <c r="AA1977">
        <v>1</v>
      </c>
    </row>
    <row r="1978" spans="1:27" hidden="1" x14ac:dyDescent="0.25">
      <c r="A1978" t="s">
        <v>98</v>
      </c>
      <c r="B1978" t="s">
        <v>849</v>
      </c>
      <c r="D1978" t="s">
        <v>1722</v>
      </c>
      <c r="E1978" t="s">
        <v>284</v>
      </c>
      <c r="F1978" t="s">
        <v>365</v>
      </c>
      <c r="G1978" t="s">
        <v>112</v>
      </c>
      <c r="H1978" t="s">
        <v>104</v>
      </c>
      <c r="I1978">
        <v>2027</v>
      </c>
      <c r="J1978" t="s">
        <v>388</v>
      </c>
      <c r="K1978" t="s">
        <v>106</v>
      </c>
      <c r="L1978" t="s">
        <v>2321</v>
      </c>
      <c r="M1978" t="s">
        <v>2368</v>
      </c>
      <c r="N1978">
        <v>1</v>
      </c>
      <c r="O1978">
        <v>2027</v>
      </c>
      <c r="P1978">
        <v>43.733464606512037</v>
      </c>
      <c r="Q1978">
        <v>2.4042644647868401</v>
      </c>
      <c r="R1978" t="s">
        <v>289</v>
      </c>
      <c r="S1978">
        <v>130.6177318295739</v>
      </c>
      <c r="T1978" t="s">
        <v>290</v>
      </c>
      <c r="U1978">
        <v>130.6177318295739</v>
      </c>
      <c r="V1978">
        <v>43.733464606512037</v>
      </c>
      <c r="W1978">
        <v>2.4042644647868401</v>
      </c>
      <c r="X1978" t="s">
        <v>291</v>
      </c>
      <c r="Y1978">
        <v>10</v>
      </c>
      <c r="Z1978">
        <v>0.24729609702719399</v>
      </c>
      <c r="AA1978">
        <v>1</v>
      </c>
    </row>
    <row r="1979" spans="1:27" hidden="1" x14ac:dyDescent="0.25">
      <c r="A1979" t="s">
        <v>98</v>
      </c>
      <c r="B1979" t="s">
        <v>849</v>
      </c>
      <c r="D1979" t="s">
        <v>1722</v>
      </c>
      <c r="E1979" t="s">
        <v>284</v>
      </c>
      <c r="F1979" t="s">
        <v>365</v>
      </c>
      <c r="G1979" t="s">
        <v>103</v>
      </c>
      <c r="H1979" t="s">
        <v>104</v>
      </c>
      <c r="I1979">
        <v>2028</v>
      </c>
      <c r="J1979" t="s">
        <v>390</v>
      </c>
      <c r="K1979" t="s">
        <v>106</v>
      </c>
      <c r="L1979" t="s">
        <v>2321</v>
      </c>
      <c r="M1979" t="s">
        <v>2369</v>
      </c>
      <c r="N1979">
        <v>1</v>
      </c>
      <c r="O1979">
        <v>2028</v>
      </c>
      <c r="P1979">
        <v>34.353918735727063</v>
      </c>
      <c r="Q1979">
        <v>1.893397965391721</v>
      </c>
      <c r="R1979" t="s">
        <v>289</v>
      </c>
      <c r="S1979">
        <v>115.45533602622641</v>
      </c>
      <c r="T1979" t="s">
        <v>290</v>
      </c>
      <c r="U1979">
        <v>115.45533602622641</v>
      </c>
      <c r="V1979">
        <v>34.353918735727063</v>
      </c>
      <c r="W1979">
        <v>1.893397965391721</v>
      </c>
      <c r="X1979" t="s">
        <v>291</v>
      </c>
      <c r="Y1979">
        <v>10</v>
      </c>
      <c r="Z1979">
        <v>0.24729609702719399</v>
      </c>
      <c r="AA1979">
        <v>1</v>
      </c>
    </row>
    <row r="1980" spans="1:27" hidden="1" x14ac:dyDescent="0.25">
      <c r="A1980" t="s">
        <v>98</v>
      </c>
      <c r="B1980" t="s">
        <v>849</v>
      </c>
      <c r="D1980" t="s">
        <v>1722</v>
      </c>
      <c r="E1980" t="s">
        <v>284</v>
      </c>
      <c r="F1980" t="s">
        <v>365</v>
      </c>
      <c r="G1980" t="s">
        <v>112</v>
      </c>
      <c r="H1980" t="s">
        <v>104</v>
      </c>
      <c r="I1980">
        <v>2028</v>
      </c>
      <c r="J1980" t="s">
        <v>392</v>
      </c>
      <c r="K1980" t="s">
        <v>106</v>
      </c>
      <c r="L1980" t="s">
        <v>2321</v>
      </c>
      <c r="M1980" t="s">
        <v>2370</v>
      </c>
      <c r="N1980">
        <v>1</v>
      </c>
      <c r="O1980">
        <v>2028</v>
      </c>
      <c r="P1980">
        <v>43.733464606512037</v>
      </c>
      <c r="Q1980">
        <v>2.4042644647868401</v>
      </c>
      <c r="R1980" t="s">
        <v>289</v>
      </c>
      <c r="S1980">
        <v>130.6177318295739</v>
      </c>
      <c r="T1980" t="s">
        <v>290</v>
      </c>
      <c r="U1980">
        <v>130.6177318295739</v>
      </c>
      <c r="V1980">
        <v>43.733464606512037</v>
      </c>
      <c r="W1980">
        <v>2.4042644647868401</v>
      </c>
      <c r="X1980" t="s">
        <v>291</v>
      </c>
      <c r="Y1980">
        <v>10</v>
      </c>
      <c r="Z1980">
        <v>0.24729609702719399</v>
      </c>
      <c r="AA1980">
        <v>1</v>
      </c>
    </row>
    <row r="1981" spans="1:27" hidden="1" x14ac:dyDescent="0.25">
      <c r="A1981" t="s">
        <v>98</v>
      </c>
      <c r="B1981" t="s">
        <v>849</v>
      </c>
      <c r="D1981" t="s">
        <v>1722</v>
      </c>
      <c r="E1981" t="s">
        <v>284</v>
      </c>
      <c r="F1981" t="s">
        <v>365</v>
      </c>
      <c r="G1981" t="s">
        <v>103</v>
      </c>
      <c r="H1981" t="s">
        <v>104</v>
      </c>
      <c r="I1981">
        <v>2029</v>
      </c>
      <c r="J1981" t="s">
        <v>394</v>
      </c>
      <c r="K1981" t="s">
        <v>106</v>
      </c>
      <c r="L1981" t="s">
        <v>2321</v>
      </c>
      <c r="M1981" t="s">
        <v>2371</v>
      </c>
      <c r="N1981">
        <v>1</v>
      </c>
      <c r="O1981">
        <v>2029</v>
      </c>
      <c r="P1981">
        <v>34.353918735727063</v>
      </c>
      <c r="Q1981">
        <v>1.893397965391721</v>
      </c>
      <c r="R1981" t="s">
        <v>289</v>
      </c>
      <c r="S1981">
        <v>115.45533602622641</v>
      </c>
      <c r="T1981" t="s">
        <v>290</v>
      </c>
      <c r="U1981">
        <v>115.45533602622641</v>
      </c>
      <c r="V1981">
        <v>34.353918735727063</v>
      </c>
      <c r="W1981">
        <v>1.893397965391721</v>
      </c>
      <c r="X1981" t="s">
        <v>291</v>
      </c>
      <c r="Y1981">
        <v>10</v>
      </c>
      <c r="Z1981">
        <v>0.24729609702719399</v>
      </c>
      <c r="AA1981">
        <v>1</v>
      </c>
    </row>
    <row r="1982" spans="1:27" hidden="1" x14ac:dyDescent="0.25">
      <c r="A1982" t="s">
        <v>98</v>
      </c>
      <c r="B1982" t="s">
        <v>849</v>
      </c>
      <c r="D1982" t="s">
        <v>1722</v>
      </c>
      <c r="E1982" t="s">
        <v>284</v>
      </c>
      <c r="F1982" t="s">
        <v>365</v>
      </c>
      <c r="G1982" t="s">
        <v>112</v>
      </c>
      <c r="H1982" t="s">
        <v>104</v>
      </c>
      <c r="I1982">
        <v>2029</v>
      </c>
      <c r="J1982" t="s">
        <v>396</v>
      </c>
      <c r="K1982" t="s">
        <v>106</v>
      </c>
      <c r="L1982" t="s">
        <v>2321</v>
      </c>
      <c r="M1982" t="s">
        <v>2372</v>
      </c>
      <c r="N1982">
        <v>1</v>
      </c>
      <c r="O1982">
        <v>2029</v>
      </c>
      <c r="P1982">
        <v>43.733464606512037</v>
      </c>
      <c r="Q1982">
        <v>2.4042644647868401</v>
      </c>
      <c r="R1982" t="s">
        <v>289</v>
      </c>
      <c r="S1982">
        <v>130.6177318295739</v>
      </c>
      <c r="T1982" t="s">
        <v>290</v>
      </c>
      <c r="U1982">
        <v>130.6177318295739</v>
      </c>
      <c r="V1982">
        <v>43.733464606512037</v>
      </c>
      <c r="W1982">
        <v>2.4042644647868401</v>
      </c>
      <c r="X1982" t="s">
        <v>291</v>
      </c>
      <c r="Y1982">
        <v>10</v>
      </c>
      <c r="Z1982">
        <v>0.24729609702719399</v>
      </c>
      <c r="AA1982">
        <v>1</v>
      </c>
    </row>
    <row r="1983" spans="1:27" hidden="1" x14ac:dyDescent="0.25">
      <c r="A1983" t="s">
        <v>98</v>
      </c>
      <c r="B1983" t="s">
        <v>849</v>
      </c>
      <c r="D1983" t="s">
        <v>1722</v>
      </c>
      <c r="E1983" t="s">
        <v>284</v>
      </c>
      <c r="F1983" t="s">
        <v>355</v>
      </c>
      <c r="G1983" t="s">
        <v>103</v>
      </c>
      <c r="H1983" t="s">
        <v>104</v>
      </c>
      <c r="I1983">
        <v>2030</v>
      </c>
      <c r="J1983" t="s">
        <v>398</v>
      </c>
      <c r="K1983" t="s">
        <v>106</v>
      </c>
      <c r="L1983" t="s">
        <v>2321</v>
      </c>
      <c r="M1983" t="s">
        <v>2373</v>
      </c>
      <c r="N1983">
        <v>1</v>
      </c>
      <c r="O1983">
        <v>2030</v>
      </c>
      <c r="P1983">
        <v>22.026606087295281</v>
      </c>
      <c r="Q1983">
        <v>0.67594869632979349</v>
      </c>
      <c r="R1983" t="s">
        <v>289</v>
      </c>
      <c r="S1983">
        <v>87.209325187237212</v>
      </c>
      <c r="T1983" t="s">
        <v>290</v>
      </c>
      <c r="U1983">
        <v>87.209325187237212</v>
      </c>
      <c r="V1983">
        <v>22.026606087295281</v>
      </c>
      <c r="W1983">
        <v>0.67594869632979349</v>
      </c>
      <c r="X1983" t="s">
        <v>291</v>
      </c>
      <c r="Y1983">
        <v>10</v>
      </c>
      <c r="Z1983">
        <v>0.24729609702719399</v>
      </c>
      <c r="AA1983">
        <v>1</v>
      </c>
    </row>
    <row r="1984" spans="1:27" hidden="1" x14ac:dyDescent="0.25">
      <c r="A1984" t="s">
        <v>98</v>
      </c>
      <c r="B1984" t="s">
        <v>849</v>
      </c>
      <c r="D1984" t="s">
        <v>1722</v>
      </c>
      <c r="E1984" t="s">
        <v>284</v>
      </c>
      <c r="F1984" t="s">
        <v>355</v>
      </c>
      <c r="G1984" t="s">
        <v>112</v>
      </c>
      <c r="H1984" t="s">
        <v>104</v>
      </c>
      <c r="I1984">
        <v>2030</v>
      </c>
      <c r="J1984" t="s">
        <v>400</v>
      </c>
      <c r="K1984" t="s">
        <v>106</v>
      </c>
      <c r="L1984" t="s">
        <v>2321</v>
      </c>
      <c r="M1984" t="s">
        <v>2374</v>
      </c>
      <c r="N1984">
        <v>1</v>
      </c>
      <c r="O1984">
        <v>2030</v>
      </c>
      <c r="P1984">
        <v>23.051216439564651</v>
      </c>
      <c r="Q1984">
        <v>0.88782640486853737</v>
      </c>
      <c r="R1984" t="s">
        <v>289</v>
      </c>
      <c r="S1984">
        <v>87.494679062376832</v>
      </c>
      <c r="T1984" t="s">
        <v>290</v>
      </c>
      <c r="U1984">
        <v>87.494679062376832</v>
      </c>
      <c r="V1984">
        <v>23.051216439564651</v>
      </c>
      <c r="W1984">
        <v>0.88782640486853737</v>
      </c>
      <c r="X1984" t="s">
        <v>291</v>
      </c>
      <c r="Y1984">
        <v>10</v>
      </c>
      <c r="Z1984">
        <v>0.24729609702719399</v>
      </c>
      <c r="AA1984">
        <v>1</v>
      </c>
    </row>
    <row r="1985" spans="1:27" hidden="1" x14ac:dyDescent="0.25">
      <c r="A1985" t="s">
        <v>98</v>
      </c>
      <c r="B1985" t="s">
        <v>849</v>
      </c>
      <c r="D1985" t="s">
        <v>1722</v>
      </c>
      <c r="E1985" t="s">
        <v>284</v>
      </c>
      <c r="F1985" t="s">
        <v>360</v>
      </c>
      <c r="G1985" t="s">
        <v>103</v>
      </c>
      <c r="H1985" t="s">
        <v>104</v>
      </c>
      <c r="I1985">
        <v>2030</v>
      </c>
      <c r="J1985" t="s">
        <v>402</v>
      </c>
      <c r="K1985" t="s">
        <v>106</v>
      </c>
      <c r="L1985" t="s">
        <v>2321</v>
      </c>
      <c r="M1985" t="s">
        <v>2375</v>
      </c>
      <c r="N1985">
        <v>1</v>
      </c>
      <c r="O1985">
        <v>2030</v>
      </c>
      <c r="P1985">
        <v>32.03338343675982</v>
      </c>
      <c r="Q1985">
        <v>0.74367453538487105</v>
      </c>
      <c r="R1985" t="s">
        <v>289</v>
      </c>
      <c r="S1985">
        <v>80.816288888888892</v>
      </c>
      <c r="T1985" t="s">
        <v>290</v>
      </c>
      <c r="U1985">
        <v>80.816288888888892</v>
      </c>
      <c r="V1985">
        <v>32.03338343675982</v>
      </c>
      <c r="W1985">
        <v>0.74367453538487105</v>
      </c>
      <c r="X1985" t="s">
        <v>291</v>
      </c>
      <c r="Y1985">
        <v>10</v>
      </c>
      <c r="Z1985">
        <v>0.24729609702719399</v>
      </c>
      <c r="AA1985">
        <v>1</v>
      </c>
    </row>
    <row r="1986" spans="1:27" hidden="1" x14ac:dyDescent="0.25">
      <c r="A1986" t="s">
        <v>98</v>
      </c>
      <c r="B1986" t="s">
        <v>849</v>
      </c>
      <c r="D1986" t="s">
        <v>1722</v>
      </c>
      <c r="E1986" t="s">
        <v>284</v>
      </c>
      <c r="F1986" t="s">
        <v>360</v>
      </c>
      <c r="G1986" t="s">
        <v>112</v>
      </c>
      <c r="H1986" t="s">
        <v>104</v>
      </c>
      <c r="I1986">
        <v>2030</v>
      </c>
      <c r="J1986" t="s">
        <v>404</v>
      </c>
      <c r="K1986" t="s">
        <v>106</v>
      </c>
      <c r="L1986" t="s">
        <v>2321</v>
      </c>
      <c r="M1986" t="s">
        <v>2376</v>
      </c>
      <c r="N1986">
        <v>1</v>
      </c>
      <c r="O1986">
        <v>2030</v>
      </c>
      <c r="P1986">
        <v>30.04097222030375</v>
      </c>
      <c r="Q1986">
        <v>1.0503155304453009</v>
      </c>
      <c r="R1986" t="s">
        <v>289</v>
      </c>
      <c r="S1986">
        <v>90.329273504273502</v>
      </c>
      <c r="T1986" t="s">
        <v>290</v>
      </c>
      <c r="U1986">
        <v>90.329273504273502</v>
      </c>
      <c r="V1986">
        <v>30.04097222030375</v>
      </c>
      <c r="W1986">
        <v>1.0503155304453009</v>
      </c>
      <c r="X1986" t="s">
        <v>291</v>
      </c>
      <c r="Y1986">
        <v>10</v>
      </c>
      <c r="Z1986">
        <v>0.24729609702719399</v>
      </c>
      <c r="AA1986">
        <v>1</v>
      </c>
    </row>
    <row r="1987" spans="1:27" hidden="1" x14ac:dyDescent="0.25">
      <c r="A1987" t="s">
        <v>98</v>
      </c>
      <c r="B1987" t="s">
        <v>849</v>
      </c>
      <c r="D1987" t="s">
        <v>1722</v>
      </c>
      <c r="E1987" t="s">
        <v>284</v>
      </c>
      <c r="F1987" t="s">
        <v>365</v>
      </c>
      <c r="G1987" t="s">
        <v>103</v>
      </c>
      <c r="H1987" t="s">
        <v>104</v>
      </c>
      <c r="I1987">
        <v>2030</v>
      </c>
      <c r="J1987" t="s">
        <v>406</v>
      </c>
      <c r="K1987" t="s">
        <v>106</v>
      </c>
      <c r="L1987" t="s">
        <v>2321</v>
      </c>
      <c r="M1987" t="s">
        <v>2377</v>
      </c>
      <c r="N1987">
        <v>1</v>
      </c>
      <c r="O1987">
        <v>2030</v>
      </c>
      <c r="P1987">
        <v>23.710775767327672</v>
      </c>
      <c r="Q1987">
        <v>1.668845649337886</v>
      </c>
      <c r="R1987" t="s">
        <v>289</v>
      </c>
      <c r="S1987">
        <v>154.72558108377279</v>
      </c>
      <c r="T1987" t="s">
        <v>290</v>
      </c>
      <c r="U1987">
        <v>154.72558108377279</v>
      </c>
      <c r="V1987">
        <v>23.710775767327672</v>
      </c>
      <c r="W1987">
        <v>1.668845649337886</v>
      </c>
      <c r="X1987" t="s">
        <v>291</v>
      </c>
      <c r="Y1987">
        <v>10</v>
      </c>
      <c r="Z1987">
        <v>0.24729609702719399</v>
      </c>
      <c r="AA1987">
        <v>1</v>
      </c>
    </row>
    <row r="1988" spans="1:27" hidden="1" x14ac:dyDescent="0.25">
      <c r="A1988" t="s">
        <v>98</v>
      </c>
      <c r="B1988" t="s">
        <v>849</v>
      </c>
      <c r="D1988" t="s">
        <v>1722</v>
      </c>
      <c r="E1988" t="s">
        <v>284</v>
      </c>
      <c r="F1988" t="s">
        <v>365</v>
      </c>
      <c r="G1988" t="s">
        <v>112</v>
      </c>
      <c r="H1988" t="s">
        <v>104</v>
      </c>
      <c r="I1988">
        <v>2030</v>
      </c>
      <c r="J1988" t="s">
        <v>408</v>
      </c>
      <c r="K1988" t="s">
        <v>106</v>
      </c>
      <c r="L1988" t="s">
        <v>2321</v>
      </c>
      <c r="M1988" t="s">
        <v>2378</v>
      </c>
      <c r="N1988">
        <v>1</v>
      </c>
      <c r="O1988">
        <v>2030</v>
      </c>
      <c r="P1988">
        <v>28.858905605402359</v>
      </c>
      <c r="Q1988">
        <v>2.128664396371156</v>
      </c>
      <c r="R1988" t="s">
        <v>289</v>
      </c>
      <c r="S1988">
        <v>176.3746647164572</v>
      </c>
      <c r="T1988" t="s">
        <v>290</v>
      </c>
      <c r="U1988">
        <v>176.3746647164572</v>
      </c>
      <c r="V1988">
        <v>28.858905605402359</v>
      </c>
      <c r="W1988">
        <v>2.128664396371156</v>
      </c>
      <c r="X1988" t="s">
        <v>291</v>
      </c>
      <c r="Y1988">
        <v>10</v>
      </c>
      <c r="Z1988">
        <v>0.24729609702719399</v>
      </c>
      <c r="AA1988">
        <v>1</v>
      </c>
    </row>
    <row r="1989" spans="1:27" hidden="1" x14ac:dyDescent="0.25">
      <c r="A1989" t="s">
        <v>98</v>
      </c>
      <c r="B1989" t="s">
        <v>849</v>
      </c>
      <c r="D1989" t="s">
        <v>1722</v>
      </c>
      <c r="E1989" t="s">
        <v>284</v>
      </c>
      <c r="F1989" t="s">
        <v>355</v>
      </c>
      <c r="G1989" t="s">
        <v>103</v>
      </c>
      <c r="H1989" t="s">
        <v>104</v>
      </c>
      <c r="I1989">
        <v>2040</v>
      </c>
      <c r="J1989" t="s">
        <v>410</v>
      </c>
      <c r="K1989" t="s">
        <v>106</v>
      </c>
      <c r="L1989" t="s">
        <v>2321</v>
      </c>
      <c r="M1989" t="s">
        <v>2379</v>
      </c>
      <c r="N1989">
        <v>1</v>
      </c>
      <c r="O1989">
        <v>2040</v>
      </c>
      <c r="P1989">
        <v>22.159986853322259</v>
      </c>
      <c r="Q1989">
        <v>0.64769049265200085</v>
      </c>
      <c r="R1989" t="s">
        <v>289</v>
      </c>
      <c r="S1989">
        <v>85.846844985289152</v>
      </c>
      <c r="T1989" t="s">
        <v>290</v>
      </c>
      <c r="U1989">
        <v>85.846844985289152</v>
      </c>
      <c r="V1989">
        <v>22.159986853322259</v>
      </c>
      <c r="W1989">
        <v>0.64769049265200085</v>
      </c>
      <c r="X1989" t="s">
        <v>291</v>
      </c>
      <c r="Y1989">
        <v>10</v>
      </c>
      <c r="Z1989">
        <v>0.24729609702719399</v>
      </c>
      <c r="AA1989">
        <v>1</v>
      </c>
    </row>
    <row r="1990" spans="1:27" hidden="1" x14ac:dyDescent="0.25">
      <c r="A1990" t="s">
        <v>98</v>
      </c>
      <c r="B1990" t="s">
        <v>849</v>
      </c>
      <c r="D1990" t="s">
        <v>1722</v>
      </c>
      <c r="E1990" t="s">
        <v>284</v>
      </c>
      <c r="F1990" t="s">
        <v>355</v>
      </c>
      <c r="G1990" t="s">
        <v>112</v>
      </c>
      <c r="H1990" t="s">
        <v>104</v>
      </c>
      <c r="I1990">
        <v>2040</v>
      </c>
      <c r="J1990" t="s">
        <v>412</v>
      </c>
      <c r="K1990" t="s">
        <v>106</v>
      </c>
      <c r="L1990" t="s">
        <v>2321</v>
      </c>
      <c r="M1990" t="s">
        <v>2380</v>
      </c>
      <c r="N1990">
        <v>1</v>
      </c>
      <c r="O1990">
        <v>2040</v>
      </c>
      <c r="P1990">
        <v>22.287209700822071</v>
      </c>
      <c r="Q1990">
        <v>0.78348370867951755</v>
      </c>
      <c r="R1990" t="s">
        <v>289</v>
      </c>
      <c r="S1990">
        <v>88.372750377742747</v>
      </c>
      <c r="T1990" t="s">
        <v>290</v>
      </c>
      <c r="U1990">
        <v>88.372750377742747</v>
      </c>
      <c r="V1990">
        <v>22.287209700822071</v>
      </c>
      <c r="W1990">
        <v>0.78348370867951755</v>
      </c>
      <c r="X1990" t="s">
        <v>291</v>
      </c>
      <c r="Y1990">
        <v>10</v>
      </c>
      <c r="Z1990">
        <v>0.24729609702719399</v>
      </c>
      <c r="AA1990">
        <v>1</v>
      </c>
    </row>
    <row r="1991" spans="1:27" hidden="1" x14ac:dyDescent="0.25">
      <c r="A1991" t="s">
        <v>98</v>
      </c>
      <c r="B1991" t="s">
        <v>849</v>
      </c>
      <c r="D1991" t="s">
        <v>1722</v>
      </c>
      <c r="E1991" t="s">
        <v>284</v>
      </c>
      <c r="F1991" t="s">
        <v>360</v>
      </c>
      <c r="G1991" t="s">
        <v>103</v>
      </c>
      <c r="H1991" t="s">
        <v>104</v>
      </c>
      <c r="I1991">
        <v>2040</v>
      </c>
      <c r="J1991" t="s">
        <v>414</v>
      </c>
      <c r="K1991" t="s">
        <v>106</v>
      </c>
      <c r="L1991" t="s">
        <v>2321</v>
      </c>
      <c r="M1991" t="s">
        <v>2381</v>
      </c>
      <c r="N1991">
        <v>1</v>
      </c>
      <c r="O1991">
        <v>2040</v>
      </c>
      <c r="P1991">
        <v>28.721945226708339</v>
      </c>
      <c r="Q1991">
        <v>0.72978219131721256</v>
      </c>
      <c r="R1991" t="s">
        <v>289</v>
      </c>
      <c r="S1991">
        <v>80.816288888888892</v>
      </c>
      <c r="T1991" t="s">
        <v>290</v>
      </c>
      <c r="U1991">
        <v>80.816288888888892</v>
      </c>
      <c r="V1991">
        <v>28.721945226708339</v>
      </c>
      <c r="W1991">
        <v>0.72978219131721256</v>
      </c>
      <c r="X1991" t="s">
        <v>291</v>
      </c>
      <c r="Y1991">
        <v>10</v>
      </c>
      <c r="Z1991">
        <v>0.24729609702719399</v>
      </c>
      <c r="AA1991">
        <v>1</v>
      </c>
    </row>
    <row r="1992" spans="1:27" hidden="1" x14ac:dyDescent="0.25">
      <c r="A1992" t="s">
        <v>98</v>
      </c>
      <c r="B1992" t="s">
        <v>849</v>
      </c>
      <c r="D1992" t="s">
        <v>1722</v>
      </c>
      <c r="E1992" t="s">
        <v>284</v>
      </c>
      <c r="F1992" t="s">
        <v>360</v>
      </c>
      <c r="G1992" t="s">
        <v>112</v>
      </c>
      <c r="H1992" t="s">
        <v>104</v>
      </c>
      <c r="I1992">
        <v>2040</v>
      </c>
      <c r="J1992" t="s">
        <v>416</v>
      </c>
      <c r="K1992" t="s">
        <v>106</v>
      </c>
      <c r="L1992" t="s">
        <v>2321</v>
      </c>
      <c r="M1992" t="s">
        <v>2382</v>
      </c>
      <c r="N1992">
        <v>1</v>
      </c>
      <c r="O1992">
        <v>2040</v>
      </c>
      <c r="P1992">
        <v>33.197275628385512</v>
      </c>
      <c r="Q1992">
        <v>1.1034319170477349</v>
      </c>
      <c r="R1992" t="s">
        <v>289</v>
      </c>
      <c r="S1992">
        <v>93.34643874643875</v>
      </c>
      <c r="T1992" t="s">
        <v>290</v>
      </c>
      <c r="U1992">
        <v>93.34643874643875</v>
      </c>
      <c r="V1992">
        <v>33.197275628385512</v>
      </c>
      <c r="W1992">
        <v>1.1034319170477349</v>
      </c>
      <c r="X1992" t="s">
        <v>291</v>
      </c>
      <c r="Y1992">
        <v>10</v>
      </c>
      <c r="Z1992">
        <v>0.24729609702719399</v>
      </c>
      <c r="AA1992">
        <v>1</v>
      </c>
    </row>
    <row r="1993" spans="1:27" hidden="1" x14ac:dyDescent="0.25">
      <c r="A1993" t="s">
        <v>98</v>
      </c>
      <c r="B1993" t="s">
        <v>849</v>
      </c>
      <c r="D1993" t="s">
        <v>1722</v>
      </c>
      <c r="E1993" t="s">
        <v>284</v>
      </c>
      <c r="F1993" t="s">
        <v>365</v>
      </c>
      <c r="G1993" t="s">
        <v>103</v>
      </c>
      <c r="H1993" t="s">
        <v>104</v>
      </c>
      <c r="I1993">
        <v>2040</v>
      </c>
      <c r="J1993" t="s">
        <v>418</v>
      </c>
      <c r="K1993" t="s">
        <v>106</v>
      </c>
      <c r="L1993" t="s">
        <v>2321</v>
      </c>
      <c r="M1993" t="s">
        <v>2383</v>
      </c>
      <c r="N1993">
        <v>1</v>
      </c>
      <c r="O1993">
        <v>2040</v>
      </c>
      <c r="P1993">
        <v>22.333975775561878</v>
      </c>
      <c r="Q1993">
        <v>1.552983156443519</v>
      </c>
      <c r="R1993" t="s">
        <v>289</v>
      </c>
      <c r="S1993">
        <v>181.1420784222461</v>
      </c>
      <c r="T1993" t="s">
        <v>290</v>
      </c>
      <c r="U1993">
        <v>181.1420784222461</v>
      </c>
      <c r="V1993">
        <v>22.333975775561878</v>
      </c>
      <c r="W1993">
        <v>1.552983156443519</v>
      </c>
      <c r="X1993" t="s">
        <v>291</v>
      </c>
      <c r="Y1993">
        <v>10</v>
      </c>
      <c r="Z1993">
        <v>0.24729609702719399</v>
      </c>
      <c r="AA1993">
        <v>1</v>
      </c>
    </row>
    <row r="1994" spans="1:27" hidden="1" x14ac:dyDescent="0.25">
      <c r="A1994" t="s">
        <v>98</v>
      </c>
      <c r="B1994" t="s">
        <v>849</v>
      </c>
      <c r="D1994" t="s">
        <v>1722</v>
      </c>
      <c r="E1994" t="s">
        <v>284</v>
      </c>
      <c r="F1994" t="s">
        <v>365</v>
      </c>
      <c r="G1994" t="s">
        <v>112</v>
      </c>
      <c r="H1994" t="s">
        <v>104</v>
      </c>
      <c r="I1994">
        <v>2040</v>
      </c>
      <c r="J1994" t="s">
        <v>420</v>
      </c>
      <c r="K1994" t="s">
        <v>106</v>
      </c>
      <c r="L1994" t="s">
        <v>2321</v>
      </c>
      <c r="M1994" t="s">
        <v>2384</v>
      </c>
      <c r="N1994">
        <v>1</v>
      </c>
      <c r="O1994">
        <v>2040</v>
      </c>
      <c r="P1994">
        <v>27.009726996743201</v>
      </c>
      <c r="Q1994">
        <v>1.971842815426603</v>
      </c>
      <c r="R1994" t="s">
        <v>289</v>
      </c>
      <c r="S1994">
        <v>206.50467814395611</v>
      </c>
      <c r="T1994" t="s">
        <v>290</v>
      </c>
      <c r="U1994">
        <v>206.50467814395611</v>
      </c>
      <c r="V1994">
        <v>27.009726996743201</v>
      </c>
      <c r="W1994">
        <v>1.971842815426603</v>
      </c>
      <c r="X1994" t="s">
        <v>291</v>
      </c>
      <c r="Y1994">
        <v>10</v>
      </c>
      <c r="Z1994">
        <v>0.24729609702719399</v>
      </c>
      <c r="AA1994">
        <v>1</v>
      </c>
    </row>
    <row r="1995" spans="1:27" hidden="1" x14ac:dyDescent="0.25">
      <c r="A1995" t="s">
        <v>98</v>
      </c>
      <c r="B1995" t="s">
        <v>849</v>
      </c>
      <c r="D1995" t="s">
        <v>1722</v>
      </c>
      <c r="E1995" t="s">
        <v>284</v>
      </c>
      <c r="F1995" t="s">
        <v>422</v>
      </c>
      <c r="G1995" t="s">
        <v>103</v>
      </c>
      <c r="H1995" t="s">
        <v>104</v>
      </c>
      <c r="I1995">
        <v>2022</v>
      </c>
      <c r="J1995" t="s">
        <v>423</v>
      </c>
      <c r="K1995" t="s">
        <v>106</v>
      </c>
      <c r="L1995" t="s">
        <v>2321</v>
      </c>
      <c r="M1995" t="s">
        <v>2385</v>
      </c>
      <c r="N1995">
        <v>1</v>
      </c>
      <c r="O1995">
        <v>2020</v>
      </c>
      <c r="P1995">
        <v>22.570490905245428</v>
      </c>
      <c r="Q1995">
        <v>0.77947598919167282</v>
      </c>
      <c r="R1995" t="s">
        <v>289</v>
      </c>
      <c r="S1995">
        <v>59.465873015873022</v>
      </c>
      <c r="T1995" t="s">
        <v>290</v>
      </c>
      <c r="U1995">
        <v>59.465873015873022</v>
      </c>
      <c r="V1995">
        <v>22.570490905245428</v>
      </c>
      <c r="W1995">
        <v>0.77947598919167282</v>
      </c>
      <c r="X1995" t="s">
        <v>291</v>
      </c>
      <c r="Y1995">
        <v>10</v>
      </c>
      <c r="Z1995">
        <v>0.24729609702719399</v>
      </c>
      <c r="AA1995">
        <v>1</v>
      </c>
    </row>
    <row r="1996" spans="1:27" hidden="1" x14ac:dyDescent="0.25">
      <c r="A1996" t="s">
        <v>98</v>
      </c>
      <c r="B1996" t="s">
        <v>849</v>
      </c>
      <c r="D1996" t="s">
        <v>1722</v>
      </c>
      <c r="E1996" t="s">
        <v>284</v>
      </c>
      <c r="F1996" t="s">
        <v>425</v>
      </c>
      <c r="G1996" t="s">
        <v>103</v>
      </c>
      <c r="H1996" t="s">
        <v>104</v>
      </c>
      <c r="I1996">
        <v>2022</v>
      </c>
      <c r="J1996" t="s">
        <v>426</v>
      </c>
      <c r="K1996" t="s">
        <v>106</v>
      </c>
      <c r="L1996" t="s">
        <v>2321</v>
      </c>
      <c r="M1996" t="s">
        <v>2386</v>
      </c>
      <c r="N1996">
        <v>1</v>
      </c>
      <c r="O1996">
        <v>2020</v>
      </c>
      <c r="P1996">
        <v>20.699165146358741</v>
      </c>
      <c r="Q1996">
        <v>1.111231451610436</v>
      </c>
      <c r="R1996" t="s">
        <v>289</v>
      </c>
      <c r="S1996">
        <v>74.054444444444442</v>
      </c>
      <c r="T1996" t="s">
        <v>290</v>
      </c>
      <c r="U1996">
        <v>74.054444444444442</v>
      </c>
      <c r="V1996">
        <v>20.699165146358741</v>
      </c>
      <c r="W1996">
        <v>1.111231451610436</v>
      </c>
      <c r="X1996" t="s">
        <v>291</v>
      </c>
      <c r="Y1996">
        <v>10</v>
      </c>
      <c r="Z1996">
        <v>0.24729609702719399</v>
      </c>
      <c r="AA1996">
        <v>1</v>
      </c>
    </row>
    <row r="1997" spans="1:27" hidden="1" x14ac:dyDescent="0.25">
      <c r="A1997" t="s">
        <v>98</v>
      </c>
      <c r="B1997" t="s">
        <v>849</v>
      </c>
      <c r="D1997" t="s">
        <v>1722</v>
      </c>
      <c r="E1997" t="s">
        <v>284</v>
      </c>
      <c r="F1997" t="s">
        <v>428</v>
      </c>
      <c r="G1997" t="s">
        <v>103</v>
      </c>
      <c r="H1997" t="s">
        <v>104</v>
      </c>
      <c r="I1997">
        <v>2022</v>
      </c>
      <c r="J1997" t="s">
        <v>429</v>
      </c>
      <c r="K1997" t="s">
        <v>106</v>
      </c>
      <c r="L1997" t="s">
        <v>2321</v>
      </c>
      <c r="M1997" t="s">
        <v>2387</v>
      </c>
      <c r="N1997">
        <v>1</v>
      </c>
      <c r="O1997">
        <v>2020</v>
      </c>
      <c r="P1997">
        <v>25.347672779313449</v>
      </c>
      <c r="Q1997">
        <v>0.56400508525842741</v>
      </c>
      <c r="R1997" t="s">
        <v>289</v>
      </c>
      <c r="S1997">
        <v>77.810944444444459</v>
      </c>
      <c r="T1997" t="s">
        <v>290</v>
      </c>
      <c r="U1997">
        <v>77.810944444444459</v>
      </c>
      <c r="V1997">
        <v>25.347672779313449</v>
      </c>
      <c r="W1997">
        <v>0.56400508525842741</v>
      </c>
      <c r="X1997" t="s">
        <v>291</v>
      </c>
      <c r="Y1997">
        <v>10</v>
      </c>
      <c r="Z1997">
        <v>0.24729609702719399</v>
      </c>
      <c r="AA1997">
        <v>1</v>
      </c>
    </row>
    <row r="1998" spans="1:27" hidden="1" x14ac:dyDescent="0.25">
      <c r="A1998" t="s">
        <v>98</v>
      </c>
      <c r="B1998" t="s">
        <v>849</v>
      </c>
      <c r="D1998" t="s">
        <v>1722</v>
      </c>
      <c r="E1998" t="s">
        <v>284</v>
      </c>
      <c r="F1998" t="s">
        <v>425</v>
      </c>
      <c r="G1998" t="s">
        <v>103</v>
      </c>
      <c r="H1998" t="s">
        <v>104</v>
      </c>
      <c r="I1998">
        <v>2030</v>
      </c>
      <c r="J1998" t="s">
        <v>431</v>
      </c>
      <c r="K1998" t="s">
        <v>106</v>
      </c>
      <c r="L1998" t="s">
        <v>2321</v>
      </c>
      <c r="M1998" t="s">
        <v>2388</v>
      </c>
      <c r="N1998">
        <v>1</v>
      </c>
      <c r="O1998">
        <v>2030</v>
      </c>
      <c r="P1998">
        <v>20.230705085538521</v>
      </c>
      <c r="Q1998">
        <v>1.0951903363739519</v>
      </c>
      <c r="R1998" t="s">
        <v>289</v>
      </c>
      <c r="S1998">
        <v>79.81</v>
      </c>
      <c r="T1998" t="s">
        <v>290</v>
      </c>
      <c r="U1998">
        <v>79.81</v>
      </c>
      <c r="V1998">
        <v>20.230705085538521</v>
      </c>
      <c r="W1998">
        <v>1.0951903363739519</v>
      </c>
      <c r="X1998" t="s">
        <v>291</v>
      </c>
      <c r="Y1998">
        <v>10</v>
      </c>
      <c r="Z1998">
        <v>0.24729609702719399</v>
      </c>
      <c r="AA1998">
        <v>1</v>
      </c>
    </row>
    <row r="1999" spans="1:27" hidden="1" x14ac:dyDescent="0.25">
      <c r="A1999" t="s">
        <v>98</v>
      </c>
      <c r="B1999" t="s">
        <v>849</v>
      </c>
      <c r="D1999" t="s">
        <v>1722</v>
      </c>
      <c r="E1999" t="s">
        <v>284</v>
      </c>
      <c r="F1999" t="s">
        <v>428</v>
      </c>
      <c r="G1999" t="s">
        <v>103</v>
      </c>
      <c r="H1999" t="s">
        <v>104</v>
      </c>
      <c r="I1999">
        <v>2030</v>
      </c>
      <c r="J1999" t="s">
        <v>433</v>
      </c>
      <c r="K1999" t="s">
        <v>106</v>
      </c>
      <c r="L1999" t="s">
        <v>2321</v>
      </c>
      <c r="M1999" t="s">
        <v>2389</v>
      </c>
      <c r="N1999">
        <v>1</v>
      </c>
      <c r="O1999">
        <v>2030</v>
      </c>
      <c r="P1999">
        <v>24.67049407605251</v>
      </c>
      <c r="Q1999">
        <v>0.55731249361340607</v>
      </c>
      <c r="R1999" t="s">
        <v>289</v>
      </c>
      <c r="S1999">
        <v>84.367500000000007</v>
      </c>
      <c r="T1999" t="s">
        <v>290</v>
      </c>
      <c r="U1999">
        <v>84.367500000000007</v>
      </c>
      <c r="V1999">
        <v>24.67049407605251</v>
      </c>
      <c r="W1999">
        <v>0.55731249361340607</v>
      </c>
      <c r="X1999" t="s">
        <v>291</v>
      </c>
      <c r="Y1999">
        <v>10</v>
      </c>
      <c r="Z1999">
        <v>0.24729609702719399</v>
      </c>
      <c r="AA1999">
        <v>1</v>
      </c>
    </row>
    <row r="2000" spans="1:27" hidden="1" x14ac:dyDescent="0.25">
      <c r="A2000" t="s">
        <v>98</v>
      </c>
      <c r="B2000" t="s">
        <v>849</v>
      </c>
      <c r="D2000" t="s">
        <v>1722</v>
      </c>
      <c r="E2000" t="s">
        <v>284</v>
      </c>
      <c r="F2000" t="s">
        <v>425</v>
      </c>
      <c r="G2000" t="s">
        <v>103</v>
      </c>
      <c r="H2000" t="s">
        <v>104</v>
      </c>
      <c r="I2000">
        <v>2040</v>
      </c>
      <c r="J2000" t="s">
        <v>435</v>
      </c>
      <c r="K2000" t="s">
        <v>106</v>
      </c>
      <c r="L2000" t="s">
        <v>2321</v>
      </c>
      <c r="M2000" t="s">
        <v>2390</v>
      </c>
      <c r="N2000">
        <v>1</v>
      </c>
      <c r="O2000">
        <v>2040</v>
      </c>
      <c r="P2000">
        <v>19.670938877469698</v>
      </c>
      <c r="Q2000">
        <v>1.076022695415618</v>
      </c>
      <c r="R2000" t="s">
        <v>289</v>
      </c>
      <c r="S2000">
        <v>79.81</v>
      </c>
      <c r="T2000" t="s">
        <v>290</v>
      </c>
      <c r="U2000">
        <v>79.81</v>
      </c>
      <c r="V2000">
        <v>19.670938877469698</v>
      </c>
      <c r="W2000">
        <v>1.076022695415618</v>
      </c>
      <c r="X2000" t="s">
        <v>291</v>
      </c>
      <c r="Y2000">
        <v>10</v>
      </c>
      <c r="Z2000">
        <v>0.24729609702719399</v>
      </c>
      <c r="AA2000">
        <v>1</v>
      </c>
    </row>
    <row r="2001" spans="1:27" hidden="1" x14ac:dyDescent="0.25">
      <c r="A2001" t="s">
        <v>98</v>
      </c>
      <c r="B2001" t="s">
        <v>849</v>
      </c>
      <c r="D2001" t="s">
        <v>1722</v>
      </c>
      <c r="E2001" t="s">
        <v>284</v>
      </c>
      <c r="F2001" t="s">
        <v>428</v>
      </c>
      <c r="G2001" t="s">
        <v>103</v>
      </c>
      <c r="H2001" t="s">
        <v>104</v>
      </c>
      <c r="I2001">
        <v>2040</v>
      </c>
      <c r="J2001" t="s">
        <v>437</v>
      </c>
      <c r="K2001" t="s">
        <v>106</v>
      </c>
      <c r="L2001" t="s">
        <v>2321</v>
      </c>
      <c r="M2001" t="s">
        <v>2391</v>
      </c>
      <c r="N2001">
        <v>1</v>
      </c>
      <c r="O2001">
        <v>2040</v>
      </c>
      <c r="P2001">
        <v>23.861328500132039</v>
      </c>
      <c r="Q2001">
        <v>0.54931546897756556</v>
      </c>
      <c r="R2001" t="s">
        <v>289</v>
      </c>
      <c r="S2001">
        <v>84.367500000000007</v>
      </c>
      <c r="T2001" t="s">
        <v>290</v>
      </c>
      <c r="U2001">
        <v>84.367500000000007</v>
      </c>
      <c r="V2001">
        <v>23.861328500132039</v>
      </c>
      <c r="W2001">
        <v>0.54931546897756556</v>
      </c>
      <c r="X2001" t="s">
        <v>291</v>
      </c>
      <c r="Y2001">
        <v>10</v>
      </c>
      <c r="Z2001">
        <v>0.24729609702719399</v>
      </c>
      <c r="AA2001">
        <v>1</v>
      </c>
    </row>
    <row r="2002" spans="1:27" hidden="1" x14ac:dyDescent="0.25">
      <c r="A2002" t="s">
        <v>98</v>
      </c>
      <c r="B2002" t="s">
        <v>849</v>
      </c>
      <c r="D2002" t="s">
        <v>1722</v>
      </c>
      <c r="E2002" t="s">
        <v>439</v>
      </c>
      <c r="F2002" t="s">
        <v>440</v>
      </c>
      <c r="G2002" t="s">
        <v>245</v>
      </c>
      <c r="H2002" t="s">
        <v>104</v>
      </c>
      <c r="I2002">
        <v>2022</v>
      </c>
      <c r="J2002" t="s">
        <v>441</v>
      </c>
      <c r="K2002" t="s">
        <v>106</v>
      </c>
      <c r="L2002" t="s">
        <v>2392</v>
      </c>
      <c r="M2002" t="s">
        <v>2393</v>
      </c>
      <c r="N2002">
        <v>1</v>
      </c>
      <c r="O2002">
        <v>2020</v>
      </c>
      <c r="P2002">
        <v>831.12625331024003</v>
      </c>
      <c r="Q2002">
        <v>84.323656568982784</v>
      </c>
      <c r="R2002" t="s">
        <v>109</v>
      </c>
      <c r="S2002">
        <v>2.8957310176295739</v>
      </c>
      <c r="T2002" t="s">
        <v>110</v>
      </c>
      <c r="U2002">
        <v>1</v>
      </c>
      <c r="V2002">
        <v>8212.0648964814554</v>
      </c>
      <c r="W2002">
        <v>833.17226148867417</v>
      </c>
      <c r="X2002" t="s">
        <v>111</v>
      </c>
      <c r="Y2002">
        <v>10</v>
      </c>
      <c r="Z2002">
        <v>0.44</v>
      </c>
      <c r="AA2002">
        <v>31.536000000000001</v>
      </c>
    </row>
    <row r="2003" spans="1:27" hidden="1" x14ac:dyDescent="0.25">
      <c r="A2003" t="s">
        <v>98</v>
      </c>
      <c r="B2003" t="s">
        <v>849</v>
      </c>
      <c r="D2003" t="s">
        <v>1722</v>
      </c>
      <c r="E2003" t="s">
        <v>439</v>
      </c>
      <c r="F2003" t="s">
        <v>440</v>
      </c>
      <c r="G2003" t="s">
        <v>103</v>
      </c>
      <c r="H2003" t="s">
        <v>104</v>
      </c>
      <c r="I2003">
        <v>2022</v>
      </c>
      <c r="J2003" t="s">
        <v>444</v>
      </c>
      <c r="K2003" t="s">
        <v>106</v>
      </c>
      <c r="L2003" t="s">
        <v>2392</v>
      </c>
      <c r="M2003" t="s">
        <v>2394</v>
      </c>
      <c r="N2003">
        <v>1</v>
      </c>
      <c r="O2003">
        <v>2020</v>
      </c>
      <c r="P2003">
        <v>1031.6192027056411</v>
      </c>
      <c r="Q2003">
        <v>84.323656568982784</v>
      </c>
      <c r="R2003" t="s">
        <v>109</v>
      </c>
      <c r="S2003">
        <v>3.1136892662683588</v>
      </c>
      <c r="T2003" t="s">
        <v>110</v>
      </c>
      <c r="U2003">
        <v>1.075268817204301</v>
      </c>
      <c r="V2003">
        <v>10193.06490119123</v>
      </c>
      <c r="W2003">
        <v>833.17226148867428</v>
      </c>
      <c r="X2003" t="s">
        <v>111</v>
      </c>
      <c r="Y2003">
        <v>10</v>
      </c>
      <c r="Z2003">
        <v>0.44</v>
      </c>
      <c r="AA2003">
        <v>31.536000000000001</v>
      </c>
    </row>
    <row r="2004" spans="1:27" hidden="1" x14ac:dyDescent="0.25">
      <c r="A2004" t="s">
        <v>98</v>
      </c>
      <c r="B2004" t="s">
        <v>849</v>
      </c>
      <c r="D2004" t="s">
        <v>1722</v>
      </c>
      <c r="E2004" t="s">
        <v>439</v>
      </c>
      <c r="F2004" t="s">
        <v>440</v>
      </c>
      <c r="G2004" t="s">
        <v>112</v>
      </c>
      <c r="H2004" t="s">
        <v>104</v>
      </c>
      <c r="I2004">
        <v>2022</v>
      </c>
      <c r="J2004" t="s">
        <v>446</v>
      </c>
      <c r="K2004" t="s">
        <v>106</v>
      </c>
      <c r="L2004" t="s">
        <v>2392</v>
      </c>
      <c r="M2004" t="s">
        <v>2395</v>
      </c>
      <c r="N2004">
        <v>1</v>
      </c>
      <c r="O2004">
        <v>2020</v>
      </c>
      <c r="P2004">
        <v>1137.4723035050019</v>
      </c>
      <c r="Q2004">
        <v>84.323656568982784</v>
      </c>
      <c r="R2004" t="s">
        <v>109</v>
      </c>
      <c r="S2004">
        <v>3.348052974482107</v>
      </c>
      <c r="T2004" t="s">
        <v>110</v>
      </c>
      <c r="U2004">
        <v>1.156203029251937</v>
      </c>
      <c r="V2004">
        <v>11238.961995400419</v>
      </c>
      <c r="W2004">
        <v>833.17226148867417</v>
      </c>
      <c r="X2004" t="s">
        <v>111</v>
      </c>
      <c r="Y2004">
        <v>10</v>
      </c>
      <c r="Z2004">
        <v>0.44</v>
      </c>
      <c r="AA2004">
        <v>31.536000000000001</v>
      </c>
    </row>
    <row r="2005" spans="1:27" hidden="1" x14ac:dyDescent="0.25">
      <c r="A2005" t="s">
        <v>98</v>
      </c>
      <c r="B2005" t="s">
        <v>849</v>
      </c>
      <c r="D2005" t="s">
        <v>1722</v>
      </c>
      <c r="E2005" t="s">
        <v>439</v>
      </c>
      <c r="F2005" t="s">
        <v>440</v>
      </c>
      <c r="G2005" t="s">
        <v>103</v>
      </c>
      <c r="H2005" t="s">
        <v>104</v>
      </c>
      <c r="I2005">
        <v>2030</v>
      </c>
      <c r="J2005" t="s">
        <v>448</v>
      </c>
      <c r="K2005" t="s">
        <v>106</v>
      </c>
      <c r="L2005" t="s">
        <v>2392</v>
      </c>
      <c r="M2005" t="s">
        <v>2396</v>
      </c>
      <c r="N2005">
        <v>0</v>
      </c>
      <c r="O2005">
        <v>2030</v>
      </c>
      <c r="P2005">
        <v>1031.6192027056411</v>
      </c>
      <c r="Q2005">
        <v>84.323656568982784</v>
      </c>
      <c r="R2005" t="s">
        <v>109</v>
      </c>
      <c r="S2005">
        <v>3.1136892662683588</v>
      </c>
      <c r="T2005" t="s">
        <v>110</v>
      </c>
      <c r="U2005">
        <v>1.075268817204301</v>
      </c>
      <c r="V2005">
        <v>10193.06490119123</v>
      </c>
      <c r="W2005">
        <v>833.17226148867428</v>
      </c>
      <c r="X2005" t="s">
        <v>111</v>
      </c>
      <c r="Y2005">
        <v>10</v>
      </c>
      <c r="Z2005">
        <v>0.44</v>
      </c>
      <c r="AA2005">
        <v>31.536000000000001</v>
      </c>
    </row>
    <row r="2006" spans="1:27" hidden="1" x14ac:dyDescent="0.25">
      <c r="A2006" t="s">
        <v>98</v>
      </c>
      <c r="B2006" t="s">
        <v>849</v>
      </c>
      <c r="D2006" t="s">
        <v>1722</v>
      </c>
      <c r="E2006" t="s">
        <v>439</v>
      </c>
      <c r="F2006" t="s">
        <v>440</v>
      </c>
      <c r="G2006" t="s">
        <v>112</v>
      </c>
      <c r="H2006" t="s">
        <v>104</v>
      </c>
      <c r="I2006">
        <v>2030</v>
      </c>
      <c r="J2006" t="s">
        <v>450</v>
      </c>
      <c r="K2006" t="s">
        <v>106</v>
      </c>
      <c r="L2006" t="s">
        <v>2392</v>
      </c>
      <c r="M2006" t="s">
        <v>2397</v>
      </c>
      <c r="N2006">
        <v>0</v>
      </c>
      <c r="O2006">
        <v>2030</v>
      </c>
      <c r="P2006">
        <v>1137.4723035050019</v>
      </c>
      <c r="Q2006">
        <v>84.323656568982784</v>
      </c>
      <c r="R2006" t="s">
        <v>109</v>
      </c>
      <c r="S2006">
        <v>3.348052974482107</v>
      </c>
      <c r="T2006" t="s">
        <v>110</v>
      </c>
      <c r="U2006">
        <v>1.156203029251937</v>
      </c>
      <c r="V2006">
        <v>11238.961995400419</v>
      </c>
      <c r="W2006">
        <v>833.17226148867417</v>
      </c>
      <c r="X2006" t="s">
        <v>111</v>
      </c>
      <c r="Y2006">
        <v>10</v>
      </c>
      <c r="Z2006">
        <v>0.44</v>
      </c>
      <c r="AA2006">
        <v>31.536000000000001</v>
      </c>
    </row>
    <row r="2007" spans="1:27" hidden="1" x14ac:dyDescent="0.25">
      <c r="A2007" t="s">
        <v>98</v>
      </c>
      <c r="B2007" t="s">
        <v>849</v>
      </c>
      <c r="D2007" t="s">
        <v>1722</v>
      </c>
      <c r="E2007" t="s">
        <v>439</v>
      </c>
      <c r="F2007" t="s">
        <v>440</v>
      </c>
      <c r="G2007" t="s">
        <v>103</v>
      </c>
      <c r="H2007" t="s">
        <v>104</v>
      </c>
      <c r="I2007">
        <v>2040</v>
      </c>
      <c r="J2007" t="s">
        <v>452</v>
      </c>
      <c r="K2007" t="s">
        <v>106</v>
      </c>
      <c r="L2007" t="s">
        <v>2392</v>
      </c>
      <c r="M2007" t="s">
        <v>2398</v>
      </c>
      <c r="N2007">
        <v>0</v>
      </c>
      <c r="O2007">
        <v>2040</v>
      </c>
      <c r="P2007">
        <v>1031.6192027056411</v>
      </c>
      <c r="Q2007">
        <v>84.323656568982784</v>
      </c>
      <c r="R2007" t="s">
        <v>109</v>
      </c>
      <c r="S2007">
        <v>3.1136892662683588</v>
      </c>
      <c r="T2007" t="s">
        <v>110</v>
      </c>
      <c r="U2007">
        <v>1.075268817204301</v>
      </c>
      <c r="V2007">
        <v>10193.06490119123</v>
      </c>
      <c r="W2007">
        <v>833.17226148867428</v>
      </c>
      <c r="X2007" t="s">
        <v>111</v>
      </c>
      <c r="Y2007">
        <v>10</v>
      </c>
      <c r="Z2007">
        <v>0.44</v>
      </c>
      <c r="AA2007">
        <v>31.536000000000001</v>
      </c>
    </row>
    <row r="2008" spans="1:27" hidden="1" x14ac:dyDescent="0.25">
      <c r="A2008" t="s">
        <v>98</v>
      </c>
      <c r="B2008" t="s">
        <v>849</v>
      </c>
      <c r="D2008" t="s">
        <v>1722</v>
      </c>
      <c r="E2008" t="s">
        <v>439</v>
      </c>
      <c r="F2008" t="s">
        <v>440</v>
      </c>
      <c r="G2008" t="s">
        <v>112</v>
      </c>
      <c r="H2008" t="s">
        <v>104</v>
      </c>
      <c r="I2008">
        <v>2040</v>
      </c>
      <c r="J2008" t="s">
        <v>454</v>
      </c>
      <c r="K2008" t="s">
        <v>106</v>
      </c>
      <c r="L2008" t="s">
        <v>2392</v>
      </c>
      <c r="M2008" t="s">
        <v>2399</v>
      </c>
      <c r="N2008">
        <v>0</v>
      </c>
      <c r="O2008">
        <v>2040</v>
      </c>
      <c r="P2008">
        <v>1137.4723035050019</v>
      </c>
      <c r="Q2008">
        <v>84.323656568982784</v>
      </c>
      <c r="R2008" t="s">
        <v>109</v>
      </c>
      <c r="S2008">
        <v>3.348052974482107</v>
      </c>
      <c r="T2008" t="s">
        <v>110</v>
      </c>
      <c r="U2008">
        <v>1.156203029251937</v>
      </c>
      <c r="V2008">
        <v>11238.961995400419</v>
      </c>
      <c r="W2008">
        <v>833.17226148867417</v>
      </c>
      <c r="X2008" t="s">
        <v>111</v>
      </c>
      <c r="Y2008">
        <v>10</v>
      </c>
      <c r="Z2008">
        <v>0.44</v>
      </c>
      <c r="AA2008">
        <v>31.536000000000001</v>
      </c>
    </row>
    <row r="2009" spans="1:27" hidden="1" x14ac:dyDescent="0.25">
      <c r="A2009" t="s">
        <v>98</v>
      </c>
      <c r="B2009" t="s">
        <v>849</v>
      </c>
      <c r="D2009" t="s">
        <v>1722</v>
      </c>
      <c r="E2009" t="s">
        <v>439</v>
      </c>
      <c r="F2009" t="s">
        <v>440</v>
      </c>
      <c r="G2009" t="s">
        <v>103</v>
      </c>
      <c r="H2009" t="s">
        <v>104</v>
      </c>
      <c r="I2009">
        <v>2050</v>
      </c>
      <c r="J2009" t="s">
        <v>456</v>
      </c>
      <c r="K2009" t="s">
        <v>106</v>
      </c>
      <c r="L2009" t="s">
        <v>2392</v>
      </c>
      <c r="M2009" t="s">
        <v>2400</v>
      </c>
      <c r="N2009">
        <v>0</v>
      </c>
      <c r="O2009">
        <v>2050</v>
      </c>
      <c r="P2009">
        <v>1031.6192027056411</v>
      </c>
      <c r="Q2009">
        <v>84.323656568982784</v>
      </c>
      <c r="R2009" t="s">
        <v>109</v>
      </c>
      <c r="S2009">
        <v>3.1136892662683588</v>
      </c>
      <c r="T2009" t="s">
        <v>110</v>
      </c>
      <c r="U2009">
        <v>1.075268817204301</v>
      </c>
      <c r="V2009">
        <v>10193.06490119123</v>
      </c>
      <c r="W2009">
        <v>833.17226148867428</v>
      </c>
      <c r="X2009" t="s">
        <v>111</v>
      </c>
      <c r="Y2009">
        <v>10</v>
      </c>
      <c r="Z2009">
        <v>0.44</v>
      </c>
      <c r="AA2009">
        <v>31.536000000000001</v>
      </c>
    </row>
    <row r="2010" spans="1:27" hidden="1" x14ac:dyDescent="0.25">
      <c r="A2010" t="s">
        <v>98</v>
      </c>
      <c r="B2010" t="s">
        <v>849</v>
      </c>
      <c r="D2010" t="s">
        <v>1722</v>
      </c>
      <c r="E2010" t="s">
        <v>439</v>
      </c>
      <c r="F2010" t="s">
        <v>440</v>
      </c>
      <c r="G2010" t="s">
        <v>112</v>
      </c>
      <c r="H2010" t="s">
        <v>104</v>
      </c>
      <c r="I2010">
        <v>2050</v>
      </c>
      <c r="J2010" t="s">
        <v>458</v>
      </c>
      <c r="K2010" t="s">
        <v>106</v>
      </c>
      <c r="L2010" t="s">
        <v>2392</v>
      </c>
      <c r="M2010" t="s">
        <v>2401</v>
      </c>
      <c r="N2010">
        <v>0</v>
      </c>
      <c r="O2010">
        <v>2050</v>
      </c>
      <c r="P2010">
        <v>1137.4723035050019</v>
      </c>
      <c r="Q2010">
        <v>84.323656568982784</v>
      </c>
      <c r="R2010" t="s">
        <v>109</v>
      </c>
      <c r="S2010">
        <v>3.348052974482107</v>
      </c>
      <c r="T2010" t="s">
        <v>110</v>
      </c>
      <c r="U2010">
        <v>1.156203029251937</v>
      </c>
      <c r="V2010">
        <v>11238.961995400419</v>
      </c>
      <c r="W2010">
        <v>833.17226148867417</v>
      </c>
      <c r="X2010" t="s">
        <v>111</v>
      </c>
      <c r="Y2010">
        <v>10</v>
      </c>
      <c r="Z2010">
        <v>0.44</v>
      </c>
      <c r="AA2010">
        <v>31.536000000000001</v>
      </c>
    </row>
    <row r="2011" spans="1:27" hidden="1" x14ac:dyDescent="0.25">
      <c r="A2011" t="s">
        <v>98</v>
      </c>
      <c r="B2011" t="s">
        <v>849</v>
      </c>
      <c r="D2011" t="s">
        <v>1722</v>
      </c>
      <c r="E2011" t="s">
        <v>439</v>
      </c>
      <c r="F2011" t="s">
        <v>460</v>
      </c>
      <c r="G2011" t="s">
        <v>245</v>
      </c>
      <c r="H2011" t="s">
        <v>104</v>
      </c>
      <c r="I2011">
        <v>2022</v>
      </c>
      <c r="J2011" t="s">
        <v>461</v>
      </c>
      <c r="K2011" t="s">
        <v>106</v>
      </c>
      <c r="L2011" t="s">
        <v>2392</v>
      </c>
      <c r="M2011" t="s">
        <v>2402</v>
      </c>
      <c r="N2011">
        <v>1</v>
      </c>
      <c r="O2011">
        <v>2020</v>
      </c>
      <c r="P2011">
        <v>520.8323861248623</v>
      </c>
      <c r="Q2011">
        <v>19.17492366827851</v>
      </c>
      <c r="R2011" t="s">
        <v>109</v>
      </c>
      <c r="S2011">
        <v>5.9841517746527506</v>
      </c>
      <c r="T2011" t="s">
        <v>110</v>
      </c>
      <c r="U2011">
        <v>2.066542692750287</v>
      </c>
      <c r="V2011">
        <v>5146.1608125259299</v>
      </c>
      <c r="W2011">
        <v>189.46064682931279</v>
      </c>
      <c r="X2011" t="s">
        <v>111</v>
      </c>
      <c r="Y2011">
        <v>10</v>
      </c>
      <c r="Z2011">
        <v>0.44</v>
      </c>
      <c r="AA2011">
        <v>31.536000000000001</v>
      </c>
    </row>
    <row r="2012" spans="1:27" hidden="1" x14ac:dyDescent="0.25">
      <c r="A2012" t="s">
        <v>98</v>
      </c>
      <c r="B2012" t="s">
        <v>849</v>
      </c>
      <c r="D2012" t="s">
        <v>1722</v>
      </c>
      <c r="E2012" t="s">
        <v>439</v>
      </c>
      <c r="F2012" t="s">
        <v>460</v>
      </c>
      <c r="G2012" t="s">
        <v>103</v>
      </c>
      <c r="H2012" t="s">
        <v>104</v>
      </c>
      <c r="I2012">
        <v>2022</v>
      </c>
      <c r="J2012" t="s">
        <v>463</v>
      </c>
      <c r="K2012" t="s">
        <v>106</v>
      </c>
      <c r="L2012" t="s">
        <v>2392</v>
      </c>
      <c r="M2012" t="s">
        <v>2403</v>
      </c>
      <c r="N2012">
        <v>1</v>
      </c>
      <c r="O2012">
        <v>2020</v>
      </c>
      <c r="P2012">
        <v>619.22047419033993</v>
      </c>
      <c r="Q2012">
        <v>19.17492366827851</v>
      </c>
      <c r="R2012" t="s">
        <v>109</v>
      </c>
      <c r="S2012">
        <v>6.5013006934499016</v>
      </c>
      <c r="T2012" t="s">
        <v>110</v>
      </c>
      <c r="U2012">
        <v>2.2451328020003118</v>
      </c>
      <c r="V2012">
        <v>6118.2987530812006</v>
      </c>
      <c r="W2012">
        <v>189.46064682931279</v>
      </c>
      <c r="X2012" t="s">
        <v>111</v>
      </c>
      <c r="Y2012">
        <v>10</v>
      </c>
      <c r="Z2012">
        <v>0.44</v>
      </c>
      <c r="AA2012">
        <v>31.536000000000001</v>
      </c>
    </row>
    <row r="2013" spans="1:27" hidden="1" x14ac:dyDescent="0.25">
      <c r="A2013" t="s">
        <v>98</v>
      </c>
      <c r="B2013" t="s">
        <v>849</v>
      </c>
      <c r="D2013" t="s">
        <v>1722</v>
      </c>
      <c r="E2013" t="s">
        <v>439</v>
      </c>
      <c r="F2013" t="s">
        <v>460</v>
      </c>
      <c r="G2013" t="s">
        <v>112</v>
      </c>
      <c r="H2013" t="s">
        <v>104</v>
      </c>
      <c r="I2013">
        <v>2022</v>
      </c>
      <c r="J2013" t="s">
        <v>465</v>
      </c>
      <c r="K2013" t="s">
        <v>106</v>
      </c>
      <c r="L2013" t="s">
        <v>2392</v>
      </c>
      <c r="M2013" t="s">
        <v>2404</v>
      </c>
      <c r="N2013">
        <v>1</v>
      </c>
      <c r="O2013">
        <v>2020</v>
      </c>
      <c r="P2013">
        <v>717.59767919103297</v>
      </c>
      <c r="Q2013">
        <v>19.17492366827851</v>
      </c>
      <c r="R2013" t="s">
        <v>109</v>
      </c>
      <c r="S2013">
        <v>7.1162885968843517</v>
      </c>
      <c r="T2013" t="s">
        <v>110</v>
      </c>
      <c r="U2013">
        <v>2.4575102292165578</v>
      </c>
      <c r="V2013">
        <v>7090.3291619180018</v>
      </c>
      <c r="W2013">
        <v>189.46064682931279</v>
      </c>
      <c r="X2013" t="s">
        <v>111</v>
      </c>
      <c r="Y2013">
        <v>10</v>
      </c>
      <c r="Z2013">
        <v>0.44</v>
      </c>
      <c r="AA2013">
        <v>31.536000000000001</v>
      </c>
    </row>
    <row r="2014" spans="1:27" hidden="1" x14ac:dyDescent="0.25">
      <c r="A2014" t="s">
        <v>98</v>
      </c>
      <c r="B2014" t="s">
        <v>849</v>
      </c>
      <c r="D2014" t="s">
        <v>1722</v>
      </c>
      <c r="E2014" t="s">
        <v>439</v>
      </c>
      <c r="F2014" t="s">
        <v>460</v>
      </c>
      <c r="G2014" t="s">
        <v>103</v>
      </c>
      <c r="H2014" t="s">
        <v>104</v>
      </c>
      <c r="I2014">
        <v>2030</v>
      </c>
      <c r="J2014" t="s">
        <v>467</v>
      </c>
      <c r="K2014" t="s">
        <v>106</v>
      </c>
      <c r="L2014" t="s">
        <v>2392</v>
      </c>
      <c r="M2014" t="s">
        <v>2405</v>
      </c>
      <c r="N2014">
        <v>1</v>
      </c>
      <c r="O2014">
        <v>2030</v>
      </c>
      <c r="P2014">
        <v>520.8323861248623</v>
      </c>
      <c r="Q2014">
        <v>19.17492366827851</v>
      </c>
      <c r="R2014" t="s">
        <v>109</v>
      </c>
      <c r="S2014">
        <v>6.5013006934499016</v>
      </c>
      <c r="T2014" t="s">
        <v>110</v>
      </c>
      <c r="U2014">
        <v>2.2451328020003118</v>
      </c>
      <c r="V2014">
        <v>5146.1608125259299</v>
      </c>
      <c r="W2014">
        <v>189.46064682931279</v>
      </c>
      <c r="X2014" t="s">
        <v>111</v>
      </c>
      <c r="Y2014">
        <v>10</v>
      </c>
      <c r="Z2014">
        <v>0.44</v>
      </c>
      <c r="AA2014">
        <v>31.536000000000001</v>
      </c>
    </row>
    <row r="2015" spans="1:27" hidden="1" x14ac:dyDescent="0.25">
      <c r="A2015" t="s">
        <v>98</v>
      </c>
      <c r="B2015" t="s">
        <v>849</v>
      </c>
      <c r="D2015" t="s">
        <v>1722</v>
      </c>
      <c r="E2015" t="s">
        <v>439</v>
      </c>
      <c r="F2015" t="s">
        <v>460</v>
      </c>
      <c r="G2015" t="s">
        <v>112</v>
      </c>
      <c r="H2015" t="s">
        <v>104</v>
      </c>
      <c r="I2015">
        <v>2030</v>
      </c>
      <c r="J2015" t="s">
        <v>469</v>
      </c>
      <c r="K2015" t="s">
        <v>106</v>
      </c>
      <c r="L2015" t="s">
        <v>2392</v>
      </c>
      <c r="M2015" t="s">
        <v>2406</v>
      </c>
      <c r="N2015">
        <v>1</v>
      </c>
      <c r="O2015">
        <v>2030</v>
      </c>
      <c r="P2015">
        <v>717.59767919103297</v>
      </c>
      <c r="Q2015">
        <v>19.17492366827851</v>
      </c>
      <c r="R2015" t="s">
        <v>109</v>
      </c>
      <c r="S2015">
        <v>7.1162885968843517</v>
      </c>
      <c r="T2015" t="s">
        <v>110</v>
      </c>
      <c r="U2015">
        <v>2.4575102292165578</v>
      </c>
      <c r="V2015">
        <v>7090.3291619180018</v>
      </c>
      <c r="W2015">
        <v>189.46064682931279</v>
      </c>
      <c r="X2015" t="s">
        <v>111</v>
      </c>
      <c r="Y2015">
        <v>10</v>
      </c>
      <c r="Z2015">
        <v>0.44</v>
      </c>
      <c r="AA2015">
        <v>31.536000000000001</v>
      </c>
    </row>
    <row r="2016" spans="1:27" hidden="1" x14ac:dyDescent="0.25">
      <c r="A2016" t="s">
        <v>98</v>
      </c>
      <c r="B2016" t="s">
        <v>849</v>
      </c>
      <c r="D2016" t="s">
        <v>1722</v>
      </c>
      <c r="E2016" t="s">
        <v>439</v>
      </c>
      <c r="F2016" t="s">
        <v>460</v>
      </c>
      <c r="G2016" t="s">
        <v>103</v>
      </c>
      <c r="H2016" t="s">
        <v>104</v>
      </c>
      <c r="I2016">
        <v>2040</v>
      </c>
      <c r="J2016" t="s">
        <v>471</v>
      </c>
      <c r="K2016" t="s">
        <v>106</v>
      </c>
      <c r="L2016" t="s">
        <v>2392</v>
      </c>
      <c r="M2016" t="s">
        <v>2407</v>
      </c>
      <c r="N2016">
        <v>1</v>
      </c>
      <c r="O2016">
        <v>2040</v>
      </c>
      <c r="P2016">
        <v>520.8323861248623</v>
      </c>
      <c r="Q2016">
        <v>19.17492366827851</v>
      </c>
      <c r="R2016" t="s">
        <v>109</v>
      </c>
      <c r="S2016">
        <v>6.5013006934499016</v>
      </c>
      <c r="T2016" t="s">
        <v>110</v>
      </c>
      <c r="U2016">
        <v>2.2451328020003118</v>
      </c>
      <c r="V2016">
        <v>5146.1608125259299</v>
      </c>
      <c r="W2016">
        <v>189.46064682931279</v>
      </c>
      <c r="X2016" t="s">
        <v>111</v>
      </c>
      <c r="Y2016">
        <v>10</v>
      </c>
      <c r="Z2016">
        <v>0.44</v>
      </c>
      <c r="AA2016">
        <v>31.536000000000001</v>
      </c>
    </row>
    <row r="2017" spans="1:27" hidden="1" x14ac:dyDescent="0.25">
      <c r="A2017" t="s">
        <v>98</v>
      </c>
      <c r="B2017" t="s">
        <v>849</v>
      </c>
      <c r="D2017" t="s">
        <v>1722</v>
      </c>
      <c r="E2017" t="s">
        <v>439</v>
      </c>
      <c r="F2017" t="s">
        <v>460</v>
      </c>
      <c r="G2017" t="s">
        <v>112</v>
      </c>
      <c r="H2017" t="s">
        <v>104</v>
      </c>
      <c r="I2017">
        <v>2040</v>
      </c>
      <c r="J2017" t="s">
        <v>473</v>
      </c>
      <c r="K2017" t="s">
        <v>106</v>
      </c>
      <c r="L2017" t="s">
        <v>2392</v>
      </c>
      <c r="M2017" t="s">
        <v>2408</v>
      </c>
      <c r="N2017">
        <v>1</v>
      </c>
      <c r="O2017">
        <v>2040</v>
      </c>
      <c r="P2017">
        <v>717.59767919103297</v>
      </c>
      <c r="Q2017">
        <v>19.17492366827851</v>
      </c>
      <c r="R2017" t="s">
        <v>109</v>
      </c>
      <c r="S2017">
        <v>7.1162885968843517</v>
      </c>
      <c r="T2017" t="s">
        <v>110</v>
      </c>
      <c r="U2017">
        <v>2.4575102292165578</v>
      </c>
      <c r="V2017">
        <v>7090.3291619180018</v>
      </c>
      <c r="W2017">
        <v>189.46064682931279</v>
      </c>
      <c r="X2017" t="s">
        <v>111</v>
      </c>
      <c r="Y2017">
        <v>10</v>
      </c>
      <c r="Z2017">
        <v>0.44</v>
      </c>
      <c r="AA2017">
        <v>31.536000000000001</v>
      </c>
    </row>
    <row r="2018" spans="1:27" hidden="1" x14ac:dyDescent="0.25">
      <c r="A2018" t="s">
        <v>98</v>
      </c>
      <c r="B2018" t="s">
        <v>849</v>
      </c>
      <c r="D2018" t="s">
        <v>1722</v>
      </c>
      <c r="E2018" t="s">
        <v>439</v>
      </c>
      <c r="F2018" t="s">
        <v>460</v>
      </c>
      <c r="G2018" t="s">
        <v>103</v>
      </c>
      <c r="H2018" t="s">
        <v>104</v>
      </c>
      <c r="I2018">
        <v>2050</v>
      </c>
      <c r="J2018" t="s">
        <v>475</v>
      </c>
      <c r="K2018" t="s">
        <v>106</v>
      </c>
      <c r="L2018" t="s">
        <v>2392</v>
      </c>
      <c r="M2018" t="s">
        <v>2409</v>
      </c>
      <c r="N2018">
        <v>1</v>
      </c>
      <c r="O2018">
        <v>2050</v>
      </c>
      <c r="P2018">
        <v>520.8323861248623</v>
      </c>
      <c r="Q2018">
        <v>19.17492366827851</v>
      </c>
      <c r="R2018" t="s">
        <v>109</v>
      </c>
      <c r="S2018">
        <v>6.5013006934499016</v>
      </c>
      <c r="T2018" t="s">
        <v>110</v>
      </c>
      <c r="U2018">
        <v>2.2451328020003118</v>
      </c>
      <c r="V2018">
        <v>5146.1608125259299</v>
      </c>
      <c r="W2018">
        <v>189.46064682931279</v>
      </c>
      <c r="X2018" t="s">
        <v>111</v>
      </c>
      <c r="Y2018">
        <v>10</v>
      </c>
      <c r="Z2018">
        <v>0.44</v>
      </c>
      <c r="AA2018">
        <v>31.536000000000001</v>
      </c>
    </row>
    <row r="2019" spans="1:27" hidden="1" x14ac:dyDescent="0.25">
      <c r="A2019" t="s">
        <v>98</v>
      </c>
      <c r="B2019" t="s">
        <v>849</v>
      </c>
      <c r="D2019" t="s">
        <v>1722</v>
      </c>
      <c r="E2019" t="s">
        <v>439</v>
      </c>
      <c r="F2019" t="s">
        <v>460</v>
      </c>
      <c r="G2019" t="s">
        <v>112</v>
      </c>
      <c r="H2019" t="s">
        <v>104</v>
      </c>
      <c r="I2019">
        <v>2050</v>
      </c>
      <c r="J2019" t="s">
        <v>477</v>
      </c>
      <c r="K2019" t="s">
        <v>106</v>
      </c>
      <c r="L2019" t="s">
        <v>2392</v>
      </c>
      <c r="M2019" t="s">
        <v>2410</v>
      </c>
      <c r="N2019">
        <v>1</v>
      </c>
      <c r="O2019">
        <v>2050</v>
      </c>
      <c r="P2019">
        <v>717.59767919103297</v>
      </c>
      <c r="Q2019">
        <v>19.17492366827851</v>
      </c>
      <c r="R2019" t="s">
        <v>109</v>
      </c>
      <c r="S2019">
        <v>7.1162885968843517</v>
      </c>
      <c r="T2019" t="s">
        <v>110</v>
      </c>
      <c r="U2019">
        <v>2.4575102292165578</v>
      </c>
      <c r="V2019">
        <v>7090.3291619180018</v>
      </c>
      <c r="W2019">
        <v>189.46064682931279</v>
      </c>
      <c r="X2019" t="s">
        <v>111</v>
      </c>
      <c r="Y2019">
        <v>10</v>
      </c>
      <c r="Z2019">
        <v>0.44</v>
      </c>
      <c r="AA2019">
        <v>31.536000000000001</v>
      </c>
    </row>
    <row r="2020" spans="1:27" hidden="1" x14ac:dyDescent="0.25">
      <c r="A2020" t="s">
        <v>98</v>
      </c>
      <c r="B2020" t="s">
        <v>849</v>
      </c>
      <c r="D2020" t="s">
        <v>1722</v>
      </c>
      <c r="E2020" t="s">
        <v>439</v>
      </c>
      <c r="F2020" t="s">
        <v>479</v>
      </c>
      <c r="G2020" t="s">
        <v>245</v>
      </c>
      <c r="H2020" t="s">
        <v>104</v>
      </c>
      <c r="I2020">
        <v>2022</v>
      </c>
      <c r="J2020" t="s">
        <v>480</v>
      </c>
      <c r="K2020" t="s">
        <v>106</v>
      </c>
      <c r="L2020" t="s">
        <v>2392</v>
      </c>
      <c r="M2020" t="s">
        <v>2411</v>
      </c>
      <c r="N2020">
        <v>1</v>
      </c>
      <c r="O2020">
        <v>2020</v>
      </c>
      <c r="P2020">
        <v>1625.561814955347</v>
      </c>
      <c r="Q2020">
        <v>83.737016934227881</v>
      </c>
      <c r="R2020" t="s">
        <v>109</v>
      </c>
      <c r="S2020">
        <v>3.1167552571169028</v>
      </c>
      <c r="T2020" t="s">
        <v>110</v>
      </c>
      <c r="U2020">
        <v>1.0763276140434681</v>
      </c>
      <c r="V2020">
        <v>16061.60203036269</v>
      </c>
      <c r="W2020">
        <v>827.37588250020144</v>
      </c>
      <c r="X2020" t="s">
        <v>111</v>
      </c>
      <c r="Y2020">
        <v>10</v>
      </c>
      <c r="Z2020">
        <v>0.44</v>
      </c>
      <c r="AA2020">
        <v>31.536000000000001</v>
      </c>
    </row>
    <row r="2021" spans="1:27" hidden="1" x14ac:dyDescent="0.25">
      <c r="A2021" t="s">
        <v>98</v>
      </c>
      <c r="B2021" t="s">
        <v>849</v>
      </c>
      <c r="D2021" t="s">
        <v>1722</v>
      </c>
      <c r="E2021" t="s">
        <v>439</v>
      </c>
      <c r="F2021" t="s">
        <v>479</v>
      </c>
      <c r="G2021" t="s">
        <v>103</v>
      </c>
      <c r="H2021" t="s">
        <v>104</v>
      </c>
      <c r="I2021">
        <v>2022</v>
      </c>
      <c r="J2021" t="s">
        <v>482</v>
      </c>
      <c r="K2021" t="s">
        <v>106</v>
      </c>
      <c r="L2021" t="s">
        <v>2392</v>
      </c>
      <c r="M2021" t="s">
        <v>2412</v>
      </c>
      <c r="N2021">
        <v>1</v>
      </c>
      <c r="O2021">
        <v>2020</v>
      </c>
      <c r="P2021">
        <v>1649.1429636040691</v>
      </c>
      <c r="Q2021">
        <v>83.737016934227881</v>
      </c>
      <c r="R2021" t="s">
        <v>109</v>
      </c>
      <c r="S2021">
        <v>4.464541314248538</v>
      </c>
      <c r="T2021" t="s">
        <v>110</v>
      </c>
      <c r="U2021">
        <v>1.541766582278481</v>
      </c>
      <c r="V2021">
        <v>16294.59902963399</v>
      </c>
      <c r="W2021">
        <v>827.37588250020167</v>
      </c>
      <c r="X2021" t="s">
        <v>111</v>
      </c>
      <c r="Y2021">
        <v>10</v>
      </c>
      <c r="Z2021">
        <v>0.44</v>
      </c>
      <c r="AA2021">
        <v>31.536000000000001</v>
      </c>
    </row>
    <row r="2022" spans="1:27" hidden="1" x14ac:dyDescent="0.25">
      <c r="A2022" t="s">
        <v>98</v>
      </c>
      <c r="B2022" t="s">
        <v>849</v>
      </c>
      <c r="D2022" t="s">
        <v>1722</v>
      </c>
      <c r="E2022" t="s">
        <v>439</v>
      </c>
      <c r="F2022" t="s">
        <v>479</v>
      </c>
      <c r="G2022" t="s">
        <v>112</v>
      </c>
      <c r="H2022" t="s">
        <v>104</v>
      </c>
      <c r="I2022">
        <v>2022</v>
      </c>
      <c r="J2022" t="s">
        <v>484</v>
      </c>
      <c r="K2022" t="s">
        <v>106</v>
      </c>
      <c r="L2022" t="s">
        <v>2392</v>
      </c>
      <c r="M2022" t="s">
        <v>2413</v>
      </c>
      <c r="N2022">
        <v>1</v>
      </c>
      <c r="O2022">
        <v>2020</v>
      </c>
      <c r="P2022">
        <v>1758.024723094816</v>
      </c>
      <c r="Q2022">
        <v>83.737016934227881</v>
      </c>
      <c r="R2022" t="s">
        <v>109</v>
      </c>
      <c r="S2022">
        <v>7.4409021904142287</v>
      </c>
      <c r="T2022" t="s">
        <v>110</v>
      </c>
      <c r="U2022">
        <v>2.5696109704641348</v>
      </c>
      <c r="V2022">
        <v>17370.421230436659</v>
      </c>
      <c r="W2022">
        <v>827.37588250020167</v>
      </c>
      <c r="X2022" t="s">
        <v>111</v>
      </c>
      <c r="Y2022">
        <v>10</v>
      </c>
      <c r="Z2022">
        <v>0.44</v>
      </c>
      <c r="AA2022">
        <v>31.536000000000001</v>
      </c>
    </row>
    <row r="2023" spans="1:27" hidden="1" x14ac:dyDescent="0.25">
      <c r="A2023" t="s">
        <v>98</v>
      </c>
      <c r="B2023" t="s">
        <v>849</v>
      </c>
      <c r="D2023" t="s">
        <v>1722</v>
      </c>
      <c r="E2023" t="s">
        <v>439</v>
      </c>
      <c r="F2023" t="s">
        <v>479</v>
      </c>
      <c r="G2023" t="s">
        <v>219</v>
      </c>
      <c r="H2023" t="s">
        <v>104</v>
      </c>
      <c r="I2023">
        <v>2022</v>
      </c>
      <c r="J2023" t="s">
        <v>486</v>
      </c>
      <c r="K2023" t="s">
        <v>106</v>
      </c>
      <c r="L2023" t="s">
        <v>2392</v>
      </c>
      <c r="M2023" t="s">
        <v>2414</v>
      </c>
      <c r="N2023">
        <v>1</v>
      </c>
      <c r="O2023">
        <v>2020</v>
      </c>
      <c r="P2023">
        <v>1758.024723094816</v>
      </c>
      <c r="Q2023">
        <v>84.189649458196669</v>
      </c>
      <c r="R2023" t="s">
        <v>109</v>
      </c>
      <c r="S2023">
        <v>7.4409021904142287</v>
      </c>
      <c r="T2023" t="s">
        <v>110</v>
      </c>
      <c r="U2023">
        <v>2.5696109704641348</v>
      </c>
      <c r="V2023">
        <v>17370.421230436659</v>
      </c>
      <c r="W2023">
        <v>831.8481845677702</v>
      </c>
      <c r="X2023" t="s">
        <v>111</v>
      </c>
      <c r="Y2023">
        <v>10</v>
      </c>
      <c r="Z2023">
        <v>0.44</v>
      </c>
      <c r="AA2023">
        <v>31.536000000000001</v>
      </c>
    </row>
    <row r="2024" spans="1:27" hidden="1" x14ac:dyDescent="0.25">
      <c r="A2024" t="s">
        <v>98</v>
      </c>
      <c r="B2024" t="s">
        <v>849</v>
      </c>
      <c r="D2024" t="s">
        <v>1722</v>
      </c>
      <c r="E2024" t="s">
        <v>439</v>
      </c>
      <c r="F2024" t="s">
        <v>479</v>
      </c>
      <c r="G2024" t="s">
        <v>103</v>
      </c>
      <c r="H2024" t="s">
        <v>104</v>
      </c>
      <c r="I2024">
        <v>2030</v>
      </c>
      <c r="J2024" t="s">
        <v>488</v>
      </c>
      <c r="K2024" t="s">
        <v>106</v>
      </c>
      <c r="L2024" t="s">
        <v>2392</v>
      </c>
      <c r="M2024" t="s">
        <v>2415</v>
      </c>
      <c r="N2024">
        <v>1</v>
      </c>
      <c r="O2024">
        <v>2030</v>
      </c>
      <c r="P2024">
        <v>1649.1429636040691</v>
      </c>
      <c r="Q2024">
        <v>83.737016934227881</v>
      </c>
      <c r="R2024" t="s">
        <v>109</v>
      </c>
      <c r="S2024">
        <v>4.464541314248538</v>
      </c>
      <c r="T2024" t="s">
        <v>110</v>
      </c>
      <c r="U2024">
        <v>1.541766582278481</v>
      </c>
      <c r="V2024">
        <v>16294.59902963399</v>
      </c>
      <c r="W2024">
        <v>827.37588250020167</v>
      </c>
      <c r="X2024" t="s">
        <v>111</v>
      </c>
      <c r="Y2024">
        <v>10</v>
      </c>
      <c r="Z2024">
        <v>0.44</v>
      </c>
      <c r="AA2024">
        <v>31.536000000000001</v>
      </c>
    </row>
    <row r="2025" spans="1:27" hidden="1" x14ac:dyDescent="0.25">
      <c r="A2025" t="s">
        <v>98</v>
      </c>
      <c r="B2025" t="s">
        <v>849</v>
      </c>
      <c r="D2025" t="s">
        <v>1722</v>
      </c>
      <c r="E2025" t="s">
        <v>439</v>
      </c>
      <c r="F2025" t="s">
        <v>479</v>
      </c>
      <c r="G2025" t="s">
        <v>112</v>
      </c>
      <c r="H2025" t="s">
        <v>104</v>
      </c>
      <c r="I2025">
        <v>2030</v>
      </c>
      <c r="J2025" t="s">
        <v>490</v>
      </c>
      <c r="K2025" t="s">
        <v>106</v>
      </c>
      <c r="L2025" t="s">
        <v>2392</v>
      </c>
      <c r="M2025" t="s">
        <v>2416</v>
      </c>
      <c r="N2025">
        <v>1</v>
      </c>
      <c r="O2025">
        <v>2030</v>
      </c>
      <c r="P2025">
        <v>1758.024723094816</v>
      </c>
      <c r="Q2025">
        <v>83.737016934227881</v>
      </c>
      <c r="R2025" t="s">
        <v>109</v>
      </c>
      <c r="S2025">
        <v>7.4409021904142287</v>
      </c>
      <c r="T2025" t="s">
        <v>110</v>
      </c>
      <c r="U2025">
        <v>2.5696109704641348</v>
      </c>
      <c r="V2025">
        <v>17370.421230436659</v>
      </c>
      <c r="W2025">
        <v>827.37588250020167</v>
      </c>
      <c r="X2025" t="s">
        <v>111</v>
      </c>
      <c r="Y2025">
        <v>10</v>
      </c>
      <c r="Z2025">
        <v>0.44</v>
      </c>
      <c r="AA2025">
        <v>31.536000000000001</v>
      </c>
    </row>
    <row r="2026" spans="1:27" hidden="1" x14ac:dyDescent="0.25">
      <c r="A2026" t="s">
        <v>98</v>
      </c>
      <c r="B2026" t="s">
        <v>849</v>
      </c>
      <c r="D2026" t="s">
        <v>1722</v>
      </c>
      <c r="E2026" t="s">
        <v>439</v>
      </c>
      <c r="F2026" t="s">
        <v>479</v>
      </c>
      <c r="G2026" t="s">
        <v>103</v>
      </c>
      <c r="H2026" t="s">
        <v>104</v>
      </c>
      <c r="I2026">
        <v>2040</v>
      </c>
      <c r="J2026" t="s">
        <v>492</v>
      </c>
      <c r="K2026" t="s">
        <v>106</v>
      </c>
      <c r="L2026" t="s">
        <v>2392</v>
      </c>
      <c r="M2026" t="s">
        <v>2417</v>
      </c>
      <c r="N2026">
        <v>1</v>
      </c>
      <c r="O2026">
        <v>2040</v>
      </c>
      <c r="P2026">
        <v>1649.1429636040691</v>
      </c>
      <c r="Q2026">
        <v>83.737016934227881</v>
      </c>
      <c r="R2026" t="s">
        <v>109</v>
      </c>
      <c r="S2026">
        <v>4.464541314248538</v>
      </c>
      <c r="T2026" t="s">
        <v>110</v>
      </c>
      <c r="U2026">
        <v>1.541766582278481</v>
      </c>
      <c r="V2026">
        <v>16294.59902963399</v>
      </c>
      <c r="W2026">
        <v>827.37588250020167</v>
      </c>
      <c r="X2026" t="s">
        <v>111</v>
      </c>
      <c r="Y2026">
        <v>10</v>
      </c>
      <c r="Z2026">
        <v>0.44</v>
      </c>
      <c r="AA2026">
        <v>31.536000000000001</v>
      </c>
    </row>
    <row r="2027" spans="1:27" hidden="1" x14ac:dyDescent="0.25">
      <c r="A2027" t="s">
        <v>98</v>
      </c>
      <c r="B2027" t="s">
        <v>849</v>
      </c>
      <c r="D2027" t="s">
        <v>1722</v>
      </c>
      <c r="E2027" t="s">
        <v>439</v>
      </c>
      <c r="F2027" t="s">
        <v>479</v>
      </c>
      <c r="G2027" t="s">
        <v>112</v>
      </c>
      <c r="H2027" t="s">
        <v>104</v>
      </c>
      <c r="I2027">
        <v>2040</v>
      </c>
      <c r="J2027" t="s">
        <v>494</v>
      </c>
      <c r="K2027" t="s">
        <v>106</v>
      </c>
      <c r="L2027" t="s">
        <v>2392</v>
      </c>
      <c r="M2027" t="s">
        <v>2418</v>
      </c>
      <c r="N2027">
        <v>1</v>
      </c>
      <c r="O2027">
        <v>2040</v>
      </c>
      <c r="P2027">
        <v>1758.024723094816</v>
      </c>
      <c r="Q2027">
        <v>83.737016934227881</v>
      </c>
      <c r="R2027" t="s">
        <v>109</v>
      </c>
      <c r="S2027">
        <v>7.4409021904142287</v>
      </c>
      <c r="T2027" t="s">
        <v>110</v>
      </c>
      <c r="U2027">
        <v>2.5696109704641348</v>
      </c>
      <c r="V2027">
        <v>17370.421230436659</v>
      </c>
      <c r="W2027">
        <v>827.37588250020167</v>
      </c>
      <c r="X2027" t="s">
        <v>111</v>
      </c>
      <c r="Y2027">
        <v>10</v>
      </c>
      <c r="Z2027">
        <v>0.44</v>
      </c>
      <c r="AA2027">
        <v>31.536000000000001</v>
      </c>
    </row>
    <row r="2028" spans="1:27" hidden="1" x14ac:dyDescent="0.25">
      <c r="A2028" t="s">
        <v>98</v>
      </c>
      <c r="B2028" t="s">
        <v>849</v>
      </c>
      <c r="D2028" t="s">
        <v>1722</v>
      </c>
      <c r="E2028" t="s">
        <v>439</v>
      </c>
      <c r="F2028" t="s">
        <v>479</v>
      </c>
      <c r="G2028" t="s">
        <v>112</v>
      </c>
      <c r="H2028" t="s">
        <v>104</v>
      </c>
      <c r="I2028">
        <v>2025</v>
      </c>
      <c r="J2028" t="s">
        <v>496</v>
      </c>
      <c r="K2028" t="s">
        <v>106</v>
      </c>
      <c r="L2028" t="s">
        <v>2392</v>
      </c>
      <c r="M2028" t="s">
        <v>2419</v>
      </c>
      <c r="N2028">
        <v>1</v>
      </c>
      <c r="O2028">
        <v>2025</v>
      </c>
      <c r="P2028">
        <v>1758.024723094816</v>
      </c>
      <c r="Q2028">
        <v>83.737016934227881</v>
      </c>
      <c r="R2028" t="s">
        <v>109</v>
      </c>
      <c r="S2028">
        <v>7.4409021904142287</v>
      </c>
      <c r="T2028" t="s">
        <v>110</v>
      </c>
      <c r="U2028">
        <v>2.5696109704641348</v>
      </c>
      <c r="V2028">
        <v>17370.421230436659</v>
      </c>
      <c r="W2028">
        <v>827.37588250020167</v>
      </c>
      <c r="X2028" t="s">
        <v>111</v>
      </c>
      <c r="Y2028">
        <v>10</v>
      </c>
      <c r="Z2028">
        <v>0.44</v>
      </c>
      <c r="AA2028">
        <v>31.536000000000001</v>
      </c>
    </row>
    <row r="2029" spans="1:27" hidden="1" x14ac:dyDescent="0.25">
      <c r="A2029" t="s">
        <v>498</v>
      </c>
      <c r="M2029" t="s">
        <v>498</v>
      </c>
      <c r="N2029" t="s">
        <v>498</v>
      </c>
    </row>
    <row r="2030" spans="1:27" hidden="1" x14ac:dyDescent="0.25">
      <c r="A2030" t="s">
        <v>98</v>
      </c>
      <c r="B2030" t="s">
        <v>1024</v>
      </c>
      <c r="D2030" t="s">
        <v>1722</v>
      </c>
      <c r="E2030" t="s">
        <v>101</v>
      </c>
      <c r="F2030" t="s">
        <v>102</v>
      </c>
      <c r="G2030" t="s">
        <v>103</v>
      </c>
      <c r="H2030" t="s">
        <v>104</v>
      </c>
      <c r="I2030">
        <v>2061</v>
      </c>
      <c r="J2030" t="s">
        <v>105</v>
      </c>
      <c r="K2030" t="s">
        <v>106</v>
      </c>
      <c r="L2030" t="s">
        <v>2420</v>
      </c>
      <c r="M2030" t="s">
        <v>2421</v>
      </c>
      <c r="N2030">
        <v>1</v>
      </c>
      <c r="O2030">
        <v>2061</v>
      </c>
      <c r="P2030">
        <v>117.0584711706526</v>
      </c>
      <c r="Q2030">
        <v>4.2000145906136934</v>
      </c>
      <c r="R2030" t="s">
        <v>109</v>
      </c>
      <c r="S2030">
        <v>3.3</v>
      </c>
      <c r="T2030" t="s">
        <v>110</v>
      </c>
      <c r="U2030">
        <v>3.3</v>
      </c>
      <c r="V2030">
        <v>399.42017862788401</v>
      </c>
      <c r="W2030">
        <v>14.33104807576899</v>
      </c>
      <c r="X2030" t="s">
        <v>111</v>
      </c>
      <c r="Y2030">
        <v>21</v>
      </c>
      <c r="Z2030">
        <v>0.24297719080451799</v>
      </c>
      <c r="AA2030">
        <v>31.536000000000001</v>
      </c>
    </row>
    <row r="2031" spans="1:27" hidden="1" x14ac:dyDescent="0.25">
      <c r="A2031" t="s">
        <v>98</v>
      </c>
      <c r="B2031" t="s">
        <v>1024</v>
      </c>
      <c r="D2031" t="s">
        <v>1722</v>
      </c>
      <c r="E2031" t="s">
        <v>101</v>
      </c>
      <c r="F2031" t="s">
        <v>102</v>
      </c>
      <c r="G2031" t="s">
        <v>112</v>
      </c>
      <c r="H2031" t="s">
        <v>104</v>
      </c>
      <c r="I2031">
        <v>2022</v>
      </c>
      <c r="J2031" t="s">
        <v>113</v>
      </c>
      <c r="K2031" t="s">
        <v>106</v>
      </c>
      <c r="L2031" t="s">
        <v>2420</v>
      </c>
      <c r="M2031" t="s">
        <v>2422</v>
      </c>
      <c r="N2031">
        <v>1</v>
      </c>
      <c r="O2031">
        <v>2020</v>
      </c>
      <c r="P2031">
        <v>200.7885700942916</v>
      </c>
      <c r="Q2031">
        <v>4.2000145906136934</v>
      </c>
      <c r="R2031" t="s">
        <v>109</v>
      </c>
      <c r="S2031">
        <v>3.7</v>
      </c>
      <c r="T2031" t="s">
        <v>110</v>
      </c>
      <c r="U2031">
        <v>3.7</v>
      </c>
      <c r="V2031">
        <v>685.1192035182313</v>
      </c>
      <c r="W2031">
        <v>14.33104807576899</v>
      </c>
      <c r="X2031" t="s">
        <v>111</v>
      </c>
      <c r="Y2031">
        <v>21</v>
      </c>
      <c r="Z2031">
        <v>0.24297719080451799</v>
      </c>
      <c r="AA2031">
        <v>31.536000000000001</v>
      </c>
    </row>
    <row r="2032" spans="1:27" hidden="1" x14ac:dyDescent="0.25">
      <c r="A2032" t="s">
        <v>98</v>
      </c>
      <c r="B2032" t="s">
        <v>1024</v>
      </c>
      <c r="D2032" t="s">
        <v>1722</v>
      </c>
      <c r="E2032" t="s">
        <v>101</v>
      </c>
      <c r="F2032" t="s">
        <v>102</v>
      </c>
      <c r="G2032" t="s">
        <v>103</v>
      </c>
      <c r="H2032" t="s">
        <v>104</v>
      </c>
      <c r="I2032">
        <v>2023</v>
      </c>
      <c r="J2032" t="s">
        <v>115</v>
      </c>
      <c r="K2032" t="s">
        <v>106</v>
      </c>
      <c r="L2032" t="s">
        <v>2420</v>
      </c>
      <c r="M2032" t="s">
        <v>2423</v>
      </c>
      <c r="N2032">
        <v>1</v>
      </c>
      <c r="O2032">
        <v>2023</v>
      </c>
      <c r="P2032">
        <v>135.73557542199771</v>
      </c>
      <c r="Q2032">
        <v>4.2000145906136934</v>
      </c>
      <c r="R2032" t="s">
        <v>109</v>
      </c>
      <c r="S2032">
        <v>3.4</v>
      </c>
      <c r="T2032" t="s">
        <v>110</v>
      </c>
      <c r="U2032">
        <v>3.4</v>
      </c>
      <c r="V2032">
        <v>463.14911888927151</v>
      </c>
      <c r="W2032">
        <v>14.33104807576899</v>
      </c>
      <c r="X2032" t="s">
        <v>111</v>
      </c>
      <c r="Y2032">
        <v>21</v>
      </c>
      <c r="Z2032">
        <v>0.24297719080451799</v>
      </c>
      <c r="AA2032">
        <v>31.536000000000001</v>
      </c>
    </row>
    <row r="2033" spans="1:27" hidden="1" x14ac:dyDescent="0.25">
      <c r="A2033" t="s">
        <v>98</v>
      </c>
      <c r="B2033" t="s">
        <v>1024</v>
      </c>
      <c r="D2033" t="s">
        <v>1722</v>
      </c>
      <c r="E2033" t="s">
        <v>101</v>
      </c>
      <c r="F2033" t="s">
        <v>117</v>
      </c>
      <c r="G2033" t="s">
        <v>103</v>
      </c>
      <c r="H2033" t="s">
        <v>104</v>
      </c>
      <c r="I2033">
        <v>2033</v>
      </c>
      <c r="J2033" t="s">
        <v>118</v>
      </c>
      <c r="K2033" t="s">
        <v>106</v>
      </c>
      <c r="L2033" t="s">
        <v>2420</v>
      </c>
      <c r="M2033" t="s">
        <v>2424</v>
      </c>
      <c r="N2033">
        <v>1</v>
      </c>
      <c r="O2033">
        <v>2033</v>
      </c>
      <c r="P2033">
        <v>483.9331327692995</v>
      </c>
      <c r="Q2033">
        <v>3.810497108419681</v>
      </c>
      <c r="R2033" t="s">
        <v>109</v>
      </c>
      <c r="S2033">
        <v>3.7</v>
      </c>
      <c r="T2033" t="s">
        <v>110</v>
      </c>
      <c r="U2033">
        <v>3.7</v>
      </c>
      <c r="V2033">
        <v>1651.2487853431401</v>
      </c>
      <c r="W2033">
        <v>13.00195893970977</v>
      </c>
      <c r="X2033" t="s">
        <v>111</v>
      </c>
      <c r="Y2033">
        <v>14.4</v>
      </c>
      <c r="Z2033">
        <v>0.24297719080451799</v>
      </c>
      <c r="AA2033">
        <v>31.536000000000001</v>
      </c>
    </row>
    <row r="2034" spans="1:27" hidden="1" x14ac:dyDescent="0.25">
      <c r="A2034" t="s">
        <v>98</v>
      </c>
      <c r="B2034" t="s">
        <v>1024</v>
      </c>
      <c r="D2034" t="s">
        <v>1722</v>
      </c>
      <c r="E2034" t="s">
        <v>101</v>
      </c>
      <c r="F2034" t="s">
        <v>117</v>
      </c>
      <c r="G2034" t="s">
        <v>67</v>
      </c>
      <c r="H2034" t="s">
        <v>104</v>
      </c>
      <c r="I2034">
        <v>2033</v>
      </c>
      <c r="J2034" t="s">
        <v>120</v>
      </c>
      <c r="K2034" t="s">
        <v>106</v>
      </c>
      <c r="L2034" t="s">
        <v>2420</v>
      </c>
      <c r="M2034" t="s">
        <v>2425</v>
      </c>
      <c r="N2034">
        <v>1</v>
      </c>
      <c r="O2034">
        <v>2033</v>
      </c>
      <c r="P2034">
        <v>497.90495550017158</v>
      </c>
      <c r="Q2034">
        <v>3.810497108419681</v>
      </c>
      <c r="R2034" t="s">
        <v>109</v>
      </c>
      <c r="S2034">
        <v>3.8</v>
      </c>
      <c r="T2034" t="s">
        <v>110</v>
      </c>
      <c r="U2034">
        <v>3.8</v>
      </c>
      <c r="V2034">
        <v>1698.9226347887429</v>
      </c>
      <c r="W2034">
        <v>13.00195893970977</v>
      </c>
      <c r="X2034" t="s">
        <v>111</v>
      </c>
      <c r="Y2034">
        <v>14.4</v>
      </c>
      <c r="Z2034">
        <v>0.24297719080451799</v>
      </c>
      <c r="AA2034">
        <v>31.536000000000001</v>
      </c>
    </row>
    <row r="2035" spans="1:27" hidden="1" x14ac:dyDescent="0.25">
      <c r="A2035" t="s">
        <v>98</v>
      </c>
      <c r="B2035" t="s">
        <v>1024</v>
      </c>
      <c r="D2035" t="s">
        <v>1722</v>
      </c>
      <c r="E2035" t="s">
        <v>101</v>
      </c>
      <c r="F2035" t="s">
        <v>117</v>
      </c>
      <c r="G2035" t="s">
        <v>112</v>
      </c>
      <c r="H2035" t="s">
        <v>104</v>
      </c>
      <c r="I2035">
        <v>2033</v>
      </c>
      <c r="J2035" t="s">
        <v>122</v>
      </c>
      <c r="K2035" t="s">
        <v>106</v>
      </c>
      <c r="L2035" t="s">
        <v>2420</v>
      </c>
      <c r="M2035" t="s">
        <v>2426</v>
      </c>
      <c r="N2035">
        <v>1</v>
      </c>
      <c r="O2035">
        <v>2033</v>
      </c>
      <c r="P2035">
        <v>513.14694393385037</v>
      </c>
      <c r="Q2035">
        <v>3.810497108419681</v>
      </c>
      <c r="R2035" t="s">
        <v>109</v>
      </c>
      <c r="S2035">
        <v>4</v>
      </c>
      <c r="T2035" t="s">
        <v>110</v>
      </c>
      <c r="U2035">
        <v>4</v>
      </c>
      <c r="V2035">
        <v>1750.930470547582</v>
      </c>
      <c r="W2035">
        <v>13.00195893970977</v>
      </c>
      <c r="X2035" t="s">
        <v>111</v>
      </c>
      <c r="Y2035">
        <v>14.4</v>
      </c>
      <c r="Z2035">
        <v>0.24297719080451799</v>
      </c>
      <c r="AA2035">
        <v>31.536000000000001</v>
      </c>
    </row>
    <row r="2036" spans="1:27" hidden="1" x14ac:dyDescent="0.25">
      <c r="A2036" t="s">
        <v>98</v>
      </c>
      <c r="B2036" t="s">
        <v>1024</v>
      </c>
      <c r="D2036" t="s">
        <v>1722</v>
      </c>
      <c r="E2036" t="s">
        <v>101</v>
      </c>
      <c r="F2036" t="s">
        <v>117</v>
      </c>
      <c r="G2036" t="s">
        <v>103</v>
      </c>
      <c r="H2036" t="s">
        <v>104</v>
      </c>
      <c r="I2036">
        <v>2023</v>
      </c>
      <c r="J2036" t="s">
        <v>124</v>
      </c>
      <c r="K2036" t="s">
        <v>106</v>
      </c>
      <c r="L2036" t="s">
        <v>2420</v>
      </c>
      <c r="M2036" t="s">
        <v>2427</v>
      </c>
      <c r="N2036">
        <v>1</v>
      </c>
      <c r="O2036">
        <v>2023</v>
      </c>
      <c r="P2036">
        <v>483.9331327692995</v>
      </c>
      <c r="Q2036">
        <v>3.810497108419681</v>
      </c>
      <c r="R2036" t="s">
        <v>109</v>
      </c>
      <c r="S2036">
        <v>3.7</v>
      </c>
      <c r="T2036" t="s">
        <v>110</v>
      </c>
      <c r="U2036">
        <v>3.7</v>
      </c>
      <c r="V2036">
        <v>1651.2487853431401</v>
      </c>
      <c r="W2036">
        <v>13.00195893970977</v>
      </c>
      <c r="X2036" t="s">
        <v>111</v>
      </c>
      <c r="Y2036">
        <v>14.4</v>
      </c>
      <c r="Z2036">
        <v>0.24297719080451799</v>
      </c>
      <c r="AA2036">
        <v>31.536000000000001</v>
      </c>
    </row>
    <row r="2037" spans="1:27" hidden="1" x14ac:dyDescent="0.25">
      <c r="A2037" t="s">
        <v>98</v>
      </c>
      <c r="B2037" t="s">
        <v>1024</v>
      </c>
      <c r="D2037" t="s">
        <v>1722</v>
      </c>
      <c r="E2037" t="s">
        <v>101</v>
      </c>
      <c r="F2037" t="s">
        <v>117</v>
      </c>
      <c r="G2037" t="s">
        <v>67</v>
      </c>
      <c r="H2037" t="s">
        <v>104</v>
      </c>
      <c r="I2037">
        <v>2023</v>
      </c>
      <c r="J2037" t="s">
        <v>126</v>
      </c>
      <c r="K2037" t="s">
        <v>106</v>
      </c>
      <c r="L2037" t="s">
        <v>2420</v>
      </c>
      <c r="M2037" t="s">
        <v>2428</v>
      </c>
      <c r="N2037">
        <v>1</v>
      </c>
      <c r="O2037">
        <v>2023</v>
      </c>
      <c r="P2037">
        <v>497.90495550017158</v>
      </c>
      <c r="Q2037">
        <v>3.810497108419681</v>
      </c>
      <c r="R2037" t="s">
        <v>109</v>
      </c>
      <c r="S2037">
        <v>3.8</v>
      </c>
      <c r="T2037" t="s">
        <v>110</v>
      </c>
      <c r="U2037">
        <v>3.8</v>
      </c>
      <c r="V2037">
        <v>1698.9226347887429</v>
      </c>
      <c r="W2037">
        <v>13.00195893970977</v>
      </c>
      <c r="X2037" t="s">
        <v>111</v>
      </c>
      <c r="Y2037">
        <v>14.4</v>
      </c>
      <c r="Z2037">
        <v>0.24297719080451799</v>
      </c>
      <c r="AA2037">
        <v>31.536000000000001</v>
      </c>
    </row>
    <row r="2038" spans="1:27" hidden="1" x14ac:dyDescent="0.25">
      <c r="A2038" t="s">
        <v>98</v>
      </c>
      <c r="B2038" t="s">
        <v>1024</v>
      </c>
      <c r="D2038" t="s">
        <v>1722</v>
      </c>
      <c r="E2038" t="s">
        <v>101</v>
      </c>
      <c r="F2038" t="s">
        <v>117</v>
      </c>
      <c r="G2038" t="s">
        <v>112</v>
      </c>
      <c r="H2038" t="s">
        <v>104</v>
      </c>
      <c r="I2038">
        <v>2023</v>
      </c>
      <c r="J2038" t="s">
        <v>128</v>
      </c>
      <c r="K2038" t="s">
        <v>106</v>
      </c>
      <c r="L2038" t="s">
        <v>2420</v>
      </c>
      <c r="M2038" t="s">
        <v>2429</v>
      </c>
      <c r="N2038">
        <v>1</v>
      </c>
      <c r="O2038">
        <v>2023</v>
      </c>
      <c r="P2038">
        <v>513.14694393385037</v>
      </c>
      <c r="Q2038">
        <v>3.810497108419681</v>
      </c>
      <c r="R2038" t="s">
        <v>109</v>
      </c>
      <c r="S2038">
        <v>4</v>
      </c>
      <c r="T2038" t="s">
        <v>110</v>
      </c>
      <c r="U2038">
        <v>4</v>
      </c>
      <c r="V2038">
        <v>1750.930470547582</v>
      </c>
      <c r="W2038">
        <v>13.00195893970977</v>
      </c>
      <c r="X2038" t="s">
        <v>111</v>
      </c>
      <c r="Y2038">
        <v>14.4</v>
      </c>
      <c r="Z2038">
        <v>0.24297719080451799</v>
      </c>
      <c r="AA2038">
        <v>31.536000000000001</v>
      </c>
    </row>
    <row r="2039" spans="1:27" hidden="1" x14ac:dyDescent="0.25">
      <c r="A2039" t="s">
        <v>98</v>
      </c>
      <c r="B2039" t="s">
        <v>1024</v>
      </c>
      <c r="D2039" t="s">
        <v>1722</v>
      </c>
      <c r="E2039" t="s">
        <v>101</v>
      </c>
      <c r="F2039" t="s">
        <v>130</v>
      </c>
      <c r="G2039" t="s">
        <v>103</v>
      </c>
      <c r="H2039" t="s">
        <v>131</v>
      </c>
      <c r="I2039">
        <v>2022</v>
      </c>
      <c r="J2039" t="s">
        <v>132</v>
      </c>
      <c r="K2039" t="s">
        <v>133</v>
      </c>
      <c r="L2039" t="s">
        <v>2420</v>
      </c>
      <c r="M2039" t="s">
        <v>2430</v>
      </c>
      <c r="N2039">
        <v>1</v>
      </c>
      <c r="O2039">
        <v>2020</v>
      </c>
      <c r="P2039">
        <v>335.32374554093201</v>
      </c>
      <c r="Q2039">
        <v>6.3000218859205397</v>
      </c>
      <c r="R2039" t="s">
        <v>109</v>
      </c>
      <c r="S2039">
        <v>1.4</v>
      </c>
      <c r="T2039" t="s">
        <v>110</v>
      </c>
      <c r="U2039">
        <v>1.4</v>
      </c>
      <c r="V2039">
        <v>1144.172386694459</v>
      </c>
      <c r="W2039">
        <v>21.496572113653482</v>
      </c>
      <c r="X2039" t="s">
        <v>111</v>
      </c>
      <c r="Y2039">
        <v>15</v>
      </c>
      <c r="Z2039">
        <v>0.24297719080451799</v>
      </c>
      <c r="AA2039">
        <v>31.536000000000001</v>
      </c>
    </row>
    <row r="2040" spans="1:27" hidden="1" x14ac:dyDescent="0.25">
      <c r="A2040" t="s">
        <v>98</v>
      </c>
      <c r="B2040" t="s">
        <v>1024</v>
      </c>
      <c r="D2040" t="s">
        <v>1722</v>
      </c>
      <c r="E2040" t="s">
        <v>101</v>
      </c>
      <c r="F2040" t="s">
        <v>135</v>
      </c>
      <c r="G2040" t="s">
        <v>103</v>
      </c>
      <c r="H2040" t="s">
        <v>136</v>
      </c>
      <c r="I2040">
        <v>2030</v>
      </c>
      <c r="J2040" t="s">
        <v>137</v>
      </c>
      <c r="K2040" t="s">
        <v>138</v>
      </c>
      <c r="L2040" t="s">
        <v>2420</v>
      </c>
      <c r="M2040" t="s">
        <v>2431</v>
      </c>
      <c r="N2040">
        <v>1</v>
      </c>
      <c r="O2040">
        <v>2030</v>
      </c>
      <c r="P2040">
        <v>55.186509846078152</v>
      </c>
      <c r="Q2040">
        <v>4.0294911951104666</v>
      </c>
      <c r="R2040" t="s">
        <v>109</v>
      </c>
      <c r="S2040">
        <v>0.87</v>
      </c>
      <c r="T2040" t="s">
        <v>110</v>
      </c>
      <c r="U2040">
        <v>0.87</v>
      </c>
      <c r="V2040">
        <v>188.30423291993449</v>
      </c>
      <c r="W2040">
        <v>13.749197959233321</v>
      </c>
      <c r="X2040" t="s">
        <v>111</v>
      </c>
      <c r="Y2040">
        <v>25</v>
      </c>
      <c r="Z2040">
        <v>0.24297719080451799</v>
      </c>
      <c r="AA2040">
        <v>31.536000000000001</v>
      </c>
    </row>
    <row r="2041" spans="1:27" hidden="1" x14ac:dyDescent="0.25">
      <c r="A2041" t="s">
        <v>98</v>
      </c>
      <c r="B2041" t="s">
        <v>1024</v>
      </c>
      <c r="D2041" t="s">
        <v>1722</v>
      </c>
      <c r="E2041" t="s">
        <v>101</v>
      </c>
      <c r="F2041" t="s">
        <v>135</v>
      </c>
      <c r="G2041" t="s">
        <v>103</v>
      </c>
      <c r="H2041" t="s">
        <v>136</v>
      </c>
      <c r="I2041">
        <v>2040</v>
      </c>
      <c r="J2041" t="s">
        <v>140</v>
      </c>
      <c r="K2041" t="s">
        <v>138</v>
      </c>
      <c r="L2041" t="s">
        <v>2420</v>
      </c>
      <c r="M2041" t="s">
        <v>2432</v>
      </c>
      <c r="N2041">
        <v>1</v>
      </c>
      <c r="O2041">
        <v>2040</v>
      </c>
      <c r="P2041">
        <v>53.946363557402229</v>
      </c>
      <c r="Q2041">
        <v>3.9389408311754002</v>
      </c>
      <c r="R2041" t="s">
        <v>109</v>
      </c>
      <c r="S2041">
        <v>0.89</v>
      </c>
      <c r="T2041" t="s">
        <v>110</v>
      </c>
      <c r="U2041">
        <v>0.89</v>
      </c>
      <c r="V2041">
        <v>184.07267712398101</v>
      </c>
      <c r="W2041">
        <v>13.440227218576389</v>
      </c>
      <c r="X2041" t="s">
        <v>111</v>
      </c>
      <c r="Y2041">
        <v>25</v>
      </c>
      <c r="Z2041">
        <v>0.24297719080451799</v>
      </c>
      <c r="AA2041">
        <v>31.536000000000001</v>
      </c>
    </row>
    <row r="2042" spans="1:27" hidden="1" x14ac:dyDescent="0.25">
      <c r="A2042" t="s">
        <v>98</v>
      </c>
      <c r="B2042" t="s">
        <v>1024</v>
      </c>
      <c r="D2042" t="s">
        <v>1722</v>
      </c>
      <c r="E2042" t="s">
        <v>142</v>
      </c>
      <c r="F2042" t="s">
        <v>102</v>
      </c>
      <c r="G2042" t="s">
        <v>103</v>
      </c>
      <c r="H2042" t="s">
        <v>104</v>
      </c>
      <c r="I2042">
        <v>2061</v>
      </c>
      <c r="J2042" t="s">
        <v>143</v>
      </c>
      <c r="K2042" t="s">
        <v>106</v>
      </c>
      <c r="L2042" t="s">
        <v>2433</v>
      </c>
      <c r="M2042" t="s">
        <v>2434</v>
      </c>
      <c r="N2042">
        <v>1</v>
      </c>
      <c r="O2042">
        <v>2061</v>
      </c>
      <c r="P2042">
        <v>117.0584711706526</v>
      </c>
      <c r="Q2042">
        <v>4.2000145906136934</v>
      </c>
      <c r="R2042" t="s">
        <v>109</v>
      </c>
      <c r="S2042">
        <v>3.2239155920281362</v>
      </c>
      <c r="T2042" t="s">
        <v>110</v>
      </c>
      <c r="U2042">
        <v>3.2239155920281362</v>
      </c>
      <c r="V2042">
        <v>399.42017862788401</v>
      </c>
      <c r="W2042">
        <v>14.33104807576899</v>
      </c>
      <c r="X2042" t="s">
        <v>111</v>
      </c>
      <c r="Y2042">
        <v>21</v>
      </c>
      <c r="Z2042">
        <v>0.13552551554294709</v>
      </c>
      <c r="AA2042">
        <v>31.536000000000001</v>
      </c>
    </row>
    <row r="2043" spans="1:27" hidden="1" x14ac:dyDescent="0.25">
      <c r="A2043" t="s">
        <v>98</v>
      </c>
      <c r="B2043" t="s">
        <v>1024</v>
      </c>
      <c r="D2043" t="s">
        <v>1722</v>
      </c>
      <c r="E2043" t="s">
        <v>142</v>
      </c>
      <c r="F2043" t="s">
        <v>102</v>
      </c>
      <c r="G2043" t="s">
        <v>112</v>
      </c>
      <c r="H2043" t="s">
        <v>104</v>
      </c>
      <c r="I2043">
        <v>2022</v>
      </c>
      <c r="J2043" t="s">
        <v>146</v>
      </c>
      <c r="K2043" t="s">
        <v>106</v>
      </c>
      <c r="L2043" t="s">
        <v>2433</v>
      </c>
      <c r="M2043" t="s">
        <v>2435</v>
      </c>
      <c r="N2043">
        <v>1</v>
      </c>
      <c r="O2043">
        <v>2020</v>
      </c>
      <c r="P2043">
        <v>200.7885700942916</v>
      </c>
      <c r="Q2043">
        <v>4.2000145906136934</v>
      </c>
      <c r="R2043" t="s">
        <v>109</v>
      </c>
      <c r="S2043">
        <v>3.8393903868698711</v>
      </c>
      <c r="T2043" t="s">
        <v>110</v>
      </c>
      <c r="U2043">
        <v>3.8393903868698711</v>
      </c>
      <c r="V2043">
        <v>685.1192035182313</v>
      </c>
      <c r="W2043">
        <v>14.33104807576899</v>
      </c>
      <c r="X2043" t="s">
        <v>111</v>
      </c>
      <c r="Y2043">
        <v>21</v>
      </c>
      <c r="Z2043">
        <v>0.13552551554294709</v>
      </c>
      <c r="AA2043">
        <v>31.536000000000001</v>
      </c>
    </row>
    <row r="2044" spans="1:27" hidden="1" x14ac:dyDescent="0.25">
      <c r="A2044" t="s">
        <v>98</v>
      </c>
      <c r="B2044" t="s">
        <v>1024</v>
      </c>
      <c r="D2044" t="s">
        <v>1722</v>
      </c>
      <c r="E2044" t="s">
        <v>142</v>
      </c>
      <c r="F2044" t="s">
        <v>102</v>
      </c>
      <c r="G2044" t="s">
        <v>103</v>
      </c>
      <c r="H2044" t="s">
        <v>104</v>
      </c>
      <c r="I2044">
        <v>2023</v>
      </c>
      <c r="J2044" t="s">
        <v>148</v>
      </c>
      <c r="K2044" t="s">
        <v>106</v>
      </c>
      <c r="L2044" t="s">
        <v>2433</v>
      </c>
      <c r="M2044" t="s">
        <v>2436</v>
      </c>
      <c r="N2044">
        <v>1</v>
      </c>
      <c r="O2044">
        <v>2023</v>
      </c>
      <c r="P2044">
        <v>135.73557542199771</v>
      </c>
      <c r="Q2044">
        <v>4.2000145906136934</v>
      </c>
      <c r="R2044" t="s">
        <v>109</v>
      </c>
      <c r="S2044">
        <v>3.4290738569753811</v>
      </c>
      <c r="T2044" t="s">
        <v>110</v>
      </c>
      <c r="U2044">
        <v>3.4290738569753811</v>
      </c>
      <c r="V2044">
        <v>463.14911888927151</v>
      </c>
      <c r="W2044">
        <v>14.33104807576899</v>
      </c>
      <c r="X2044" t="s">
        <v>111</v>
      </c>
      <c r="Y2044">
        <v>21</v>
      </c>
      <c r="Z2044">
        <v>0.13552551554294709</v>
      </c>
      <c r="AA2044">
        <v>31.536000000000001</v>
      </c>
    </row>
    <row r="2045" spans="1:27" hidden="1" x14ac:dyDescent="0.25">
      <c r="A2045" t="s">
        <v>98</v>
      </c>
      <c r="B2045" t="s">
        <v>1024</v>
      </c>
      <c r="D2045" t="s">
        <v>1722</v>
      </c>
      <c r="E2045" t="s">
        <v>142</v>
      </c>
      <c r="F2045" t="s">
        <v>117</v>
      </c>
      <c r="G2045" t="s">
        <v>103</v>
      </c>
      <c r="H2045" t="s">
        <v>104</v>
      </c>
      <c r="I2045">
        <v>2033</v>
      </c>
      <c r="J2045" t="s">
        <v>150</v>
      </c>
      <c r="K2045" t="s">
        <v>106</v>
      </c>
      <c r="L2045" t="s">
        <v>2433</v>
      </c>
      <c r="M2045" t="s">
        <v>2437</v>
      </c>
      <c r="N2045">
        <v>1</v>
      </c>
      <c r="O2045">
        <v>2033</v>
      </c>
      <c r="P2045">
        <v>483.9331327692995</v>
      </c>
      <c r="Q2045">
        <v>3.810497108419681</v>
      </c>
      <c r="R2045" t="s">
        <v>109</v>
      </c>
      <c r="S2045">
        <v>5.0996483001172326</v>
      </c>
      <c r="T2045" t="s">
        <v>110</v>
      </c>
      <c r="U2045">
        <v>5.0996483001172326</v>
      </c>
      <c r="V2045">
        <v>1651.2487853431401</v>
      </c>
      <c r="W2045">
        <v>13.00195893970977</v>
      </c>
      <c r="X2045" t="s">
        <v>111</v>
      </c>
      <c r="Y2045">
        <v>14.4</v>
      </c>
      <c r="Z2045">
        <v>0.13552551554294709</v>
      </c>
      <c r="AA2045">
        <v>31.536000000000001</v>
      </c>
    </row>
    <row r="2046" spans="1:27" hidden="1" x14ac:dyDescent="0.25">
      <c r="A2046" t="s">
        <v>98</v>
      </c>
      <c r="B2046" t="s">
        <v>1024</v>
      </c>
      <c r="D2046" t="s">
        <v>1722</v>
      </c>
      <c r="E2046" t="s">
        <v>142</v>
      </c>
      <c r="F2046" t="s">
        <v>117</v>
      </c>
      <c r="G2046" t="s">
        <v>67</v>
      </c>
      <c r="H2046" t="s">
        <v>104</v>
      </c>
      <c r="I2046">
        <v>2033</v>
      </c>
      <c r="J2046" t="s">
        <v>152</v>
      </c>
      <c r="K2046" t="s">
        <v>106</v>
      </c>
      <c r="L2046" t="s">
        <v>2433</v>
      </c>
      <c r="M2046" t="s">
        <v>2438</v>
      </c>
      <c r="N2046">
        <v>1</v>
      </c>
      <c r="O2046">
        <v>2033</v>
      </c>
      <c r="P2046">
        <v>497.90495550017158</v>
      </c>
      <c r="Q2046">
        <v>3.810497108419681</v>
      </c>
      <c r="R2046" t="s">
        <v>109</v>
      </c>
      <c r="S2046">
        <v>5.7737397420867529</v>
      </c>
      <c r="T2046" t="s">
        <v>110</v>
      </c>
      <c r="U2046">
        <v>5.7737397420867529</v>
      </c>
      <c r="V2046">
        <v>1698.9226347887429</v>
      </c>
      <c r="W2046">
        <v>13.00195893970977</v>
      </c>
      <c r="X2046" t="s">
        <v>111</v>
      </c>
      <c r="Y2046">
        <v>14.4</v>
      </c>
      <c r="Z2046">
        <v>0.13552551554294709</v>
      </c>
      <c r="AA2046">
        <v>31.536000000000001</v>
      </c>
    </row>
    <row r="2047" spans="1:27" hidden="1" x14ac:dyDescent="0.25">
      <c r="A2047" t="s">
        <v>98</v>
      </c>
      <c r="B2047" t="s">
        <v>1024</v>
      </c>
      <c r="D2047" t="s">
        <v>1722</v>
      </c>
      <c r="E2047" t="s">
        <v>142</v>
      </c>
      <c r="F2047" t="s">
        <v>117</v>
      </c>
      <c r="G2047" t="s">
        <v>112</v>
      </c>
      <c r="H2047" t="s">
        <v>104</v>
      </c>
      <c r="I2047">
        <v>2033</v>
      </c>
      <c r="J2047" t="s">
        <v>154</v>
      </c>
      <c r="K2047" t="s">
        <v>106</v>
      </c>
      <c r="L2047" t="s">
        <v>2433</v>
      </c>
      <c r="M2047" t="s">
        <v>2439</v>
      </c>
      <c r="N2047">
        <v>1</v>
      </c>
      <c r="O2047">
        <v>2033</v>
      </c>
      <c r="P2047">
        <v>513.14694393385037</v>
      </c>
      <c r="Q2047">
        <v>3.810497108419681</v>
      </c>
      <c r="R2047" t="s">
        <v>109</v>
      </c>
      <c r="S2047">
        <v>6.4771395076201648</v>
      </c>
      <c r="T2047" t="s">
        <v>110</v>
      </c>
      <c r="U2047">
        <v>6.4771395076201648</v>
      </c>
      <c r="V2047">
        <v>1750.930470547582</v>
      </c>
      <c r="W2047">
        <v>13.00195893970977</v>
      </c>
      <c r="X2047" t="s">
        <v>111</v>
      </c>
      <c r="Y2047">
        <v>14.4</v>
      </c>
      <c r="Z2047">
        <v>0.13552551554294709</v>
      </c>
      <c r="AA2047">
        <v>31.536000000000001</v>
      </c>
    </row>
    <row r="2048" spans="1:27" hidden="1" x14ac:dyDescent="0.25">
      <c r="A2048" t="s">
        <v>98</v>
      </c>
      <c r="B2048" t="s">
        <v>1024</v>
      </c>
      <c r="D2048" t="s">
        <v>1722</v>
      </c>
      <c r="E2048" t="s">
        <v>142</v>
      </c>
      <c r="F2048" t="s">
        <v>117</v>
      </c>
      <c r="G2048" t="s">
        <v>103</v>
      </c>
      <c r="H2048" t="s">
        <v>104</v>
      </c>
      <c r="I2048">
        <v>2023</v>
      </c>
      <c r="J2048" t="s">
        <v>156</v>
      </c>
      <c r="K2048" t="s">
        <v>106</v>
      </c>
      <c r="L2048" t="s">
        <v>2433</v>
      </c>
      <c r="M2048" t="s">
        <v>2440</v>
      </c>
      <c r="N2048">
        <v>1</v>
      </c>
      <c r="O2048">
        <v>2023</v>
      </c>
      <c r="P2048">
        <v>498.32834406777368</v>
      </c>
      <c r="Q2048">
        <v>3.810497108419681</v>
      </c>
      <c r="R2048" t="s">
        <v>109</v>
      </c>
      <c r="S2048">
        <v>3.833333333333333</v>
      </c>
      <c r="T2048" t="s">
        <v>110</v>
      </c>
      <c r="U2048">
        <v>3.833333333333333</v>
      </c>
      <c r="V2048">
        <v>1700.3672968931551</v>
      </c>
      <c r="W2048">
        <v>13.00195893970977</v>
      </c>
      <c r="X2048" t="s">
        <v>111</v>
      </c>
      <c r="Y2048">
        <v>14.4</v>
      </c>
      <c r="Z2048">
        <v>0.13552551554294709</v>
      </c>
      <c r="AA2048">
        <v>31.536000000000001</v>
      </c>
    </row>
    <row r="2049" spans="1:27" hidden="1" x14ac:dyDescent="0.25">
      <c r="A2049" t="s">
        <v>98</v>
      </c>
      <c r="B2049" t="s">
        <v>1024</v>
      </c>
      <c r="D2049" t="s">
        <v>1722</v>
      </c>
      <c r="E2049" t="s">
        <v>142</v>
      </c>
      <c r="F2049" t="s">
        <v>130</v>
      </c>
      <c r="G2049" t="s">
        <v>103</v>
      </c>
      <c r="H2049" t="s">
        <v>131</v>
      </c>
      <c r="I2049">
        <v>2022</v>
      </c>
      <c r="J2049" t="s">
        <v>158</v>
      </c>
      <c r="K2049" t="s">
        <v>133</v>
      </c>
      <c r="L2049" t="s">
        <v>2433</v>
      </c>
      <c r="M2049" t="s">
        <v>2441</v>
      </c>
      <c r="N2049">
        <v>1</v>
      </c>
      <c r="O2049">
        <v>2020</v>
      </c>
      <c r="P2049">
        <v>335.32374554093201</v>
      </c>
      <c r="Q2049">
        <v>6.3000218859205397</v>
      </c>
      <c r="R2049" t="s">
        <v>109</v>
      </c>
      <c r="S2049">
        <v>1.2</v>
      </c>
      <c r="T2049" t="s">
        <v>110</v>
      </c>
      <c r="U2049">
        <v>1.2</v>
      </c>
      <c r="V2049">
        <v>1144.172386694459</v>
      </c>
      <c r="W2049">
        <v>21.496572113653482</v>
      </c>
      <c r="X2049" t="s">
        <v>111</v>
      </c>
      <c r="Y2049">
        <v>15</v>
      </c>
      <c r="Z2049">
        <v>0.13552551554294709</v>
      </c>
      <c r="AA2049">
        <v>31.536000000000001</v>
      </c>
    </row>
    <row r="2050" spans="1:27" hidden="1" x14ac:dyDescent="0.25">
      <c r="A2050" t="s">
        <v>98</v>
      </c>
      <c r="B2050" t="s">
        <v>1024</v>
      </c>
      <c r="D2050" t="s">
        <v>1722</v>
      </c>
      <c r="E2050" t="s">
        <v>142</v>
      </c>
      <c r="F2050" t="s">
        <v>160</v>
      </c>
      <c r="G2050" t="s">
        <v>103</v>
      </c>
      <c r="H2050" t="s">
        <v>104</v>
      </c>
      <c r="I2050">
        <v>2030</v>
      </c>
      <c r="J2050" t="s">
        <v>161</v>
      </c>
      <c r="K2050" t="s">
        <v>106</v>
      </c>
      <c r="L2050" t="s">
        <v>2433</v>
      </c>
      <c r="M2050" t="s">
        <v>2442</v>
      </c>
      <c r="N2050">
        <v>1</v>
      </c>
      <c r="O2050">
        <v>2030</v>
      </c>
      <c r="P2050">
        <v>93.992262007685454</v>
      </c>
      <c r="Q2050">
        <v>4.3185633895423052</v>
      </c>
      <c r="R2050" t="s">
        <v>109</v>
      </c>
      <c r="S2050">
        <v>4.8178066132425448</v>
      </c>
      <c r="T2050" t="s">
        <v>110</v>
      </c>
      <c r="U2050">
        <v>4.8178066132425448</v>
      </c>
      <c r="V2050">
        <v>320.71498717950749</v>
      </c>
      <c r="W2050">
        <v>14.735553465004401</v>
      </c>
      <c r="X2050" t="s">
        <v>111</v>
      </c>
      <c r="Y2050">
        <v>20</v>
      </c>
      <c r="Z2050">
        <v>0.13552551554294709</v>
      </c>
      <c r="AA2050">
        <v>31.536000000000001</v>
      </c>
    </row>
    <row r="2051" spans="1:27" hidden="1" x14ac:dyDescent="0.25">
      <c r="A2051" t="s">
        <v>98</v>
      </c>
      <c r="B2051" t="s">
        <v>1024</v>
      </c>
      <c r="D2051" t="s">
        <v>1722</v>
      </c>
      <c r="E2051" t="s">
        <v>142</v>
      </c>
      <c r="F2051" t="s">
        <v>160</v>
      </c>
      <c r="G2051" t="s">
        <v>112</v>
      </c>
      <c r="H2051" t="s">
        <v>104</v>
      </c>
      <c r="I2051">
        <v>2030</v>
      </c>
      <c r="J2051" t="s">
        <v>163</v>
      </c>
      <c r="K2051" t="s">
        <v>106</v>
      </c>
      <c r="L2051" t="s">
        <v>2433</v>
      </c>
      <c r="M2051" t="s">
        <v>2443</v>
      </c>
      <c r="N2051">
        <v>1</v>
      </c>
      <c r="O2051">
        <v>2030</v>
      </c>
      <c r="P2051">
        <v>104.15358763013791</v>
      </c>
      <c r="Q2051">
        <v>4.3185633895423052</v>
      </c>
      <c r="R2051" t="s">
        <v>109</v>
      </c>
      <c r="S2051">
        <v>5.1720570995103783</v>
      </c>
      <c r="T2051" t="s">
        <v>110</v>
      </c>
      <c r="U2051">
        <v>5.1720570995103783</v>
      </c>
      <c r="V2051">
        <v>355.38687768540018</v>
      </c>
      <c r="W2051">
        <v>14.735553465004401</v>
      </c>
      <c r="X2051" t="s">
        <v>111</v>
      </c>
      <c r="Y2051">
        <v>20</v>
      </c>
      <c r="Z2051">
        <v>0.13552551554294709</v>
      </c>
      <c r="AA2051">
        <v>31.536000000000001</v>
      </c>
    </row>
    <row r="2052" spans="1:27" hidden="1" x14ac:dyDescent="0.25">
      <c r="A2052" t="s">
        <v>98</v>
      </c>
      <c r="B2052" t="s">
        <v>1024</v>
      </c>
      <c r="D2052" t="s">
        <v>1722</v>
      </c>
      <c r="E2052" t="s">
        <v>142</v>
      </c>
      <c r="F2052" t="s">
        <v>160</v>
      </c>
      <c r="G2052" t="s">
        <v>103</v>
      </c>
      <c r="H2052" t="s">
        <v>104</v>
      </c>
      <c r="I2052">
        <v>2040</v>
      </c>
      <c r="J2052" t="s">
        <v>165</v>
      </c>
      <c r="K2052" t="s">
        <v>106</v>
      </c>
      <c r="L2052" t="s">
        <v>2433</v>
      </c>
      <c r="M2052" t="s">
        <v>2444</v>
      </c>
      <c r="N2052">
        <v>1</v>
      </c>
      <c r="O2052">
        <v>2040</v>
      </c>
      <c r="P2052">
        <v>93.992262007685454</v>
      </c>
      <c r="Q2052">
        <v>4.3185633895423052</v>
      </c>
      <c r="R2052" t="s">
        <v>109</v>
      </c>
      <c r="S2052">
        <v>4.9535194755874059</v>
      </c>
      <c r="T2052" t="s">
        <v>110</v>
      </c>
      <c r="U2052">
        <v>4.9535194755874059</v>
      </c>
      <c r="V2052">
        <v>320.71498717950749</v>
      </c>
      <c r="W2052">
        <v>14.735553465004401</v>
      </c>
      <c r="X2052" t="s">
        <v>111</v>
      </c>
      <c r="Y2052">
        <v>20</v>
      </c>
      <c r="Z2052">
        <v>0.13552551554294709</v>
      </c>
      <c r="AA2052">
        <v>31.536000000000001</v>
      </c>
    </row>
    <row r="2053" spans="1:27" hidden="1" x14ac:dyDescent="0.25">
      <c r="A2053" t="s">
        <v>98</v>
      </c>
      <c r="B2053" t="s">
        <v>1024</v>
      </c>
      <c r="D2053" t="s">
        <v>1722</v>
      </c>
      <c r="E2053" t="s">
        <v>142</v>
      </c>
      <c r="F2053" t="s">
        <v>160</v>
      </c>
      <c r="G2053" t="s">
        <v>112</v>
      </c>
      <c r="H2053" t="s">
        <v>104</v>
      </c>
      <c r="I2053">
        <v>2040</v>
      </c>
      <c r="J2053" t="s">
        <v>167</v>
      </c>
      <c r="K2053" t="s">
        <v>106</v>
      </c>
      <c r="L2053" t="s">
        <v>2433</v>
      </c>
      <c r="M2053" t="s">
        <v>2445</v>
      </c>
      <c r="N2053">
        <v>1</v>
      </c>
      <c r="O2053">
        <v>2040</v>
      </c>
      <c r="P2053">
        <v>104.15358763013791</v>
      </c>
      <c r="Q2053">
        <v>4.3185633895423052</v>
      </c>
      <c r="R2053" t="s">
        <v>109</v>
      </c>
      <c r="S2053">
        <v>5.4107674271800876</v>
      </c>
      <c r="T2053" t="s">
        <v>110</v>
      </c>
      <c r="U2053">
        <v>5.4107674271800876</v>
      </c>
      <c r="V2053">
        <v>355.38687768540018</v>
      </c>
      <c r="W2053">
        <v>14.735553465004401</v>
      </c>
      <c r="X2053" t="s">
        <v>111</v>
      </c>
      <c r="Y2053">
        <v>20</v>
      </c>
      <c r="Z2053">
        <v>0.13552551554294709</v>
      </c>
      <c r="AA2053">
        <v>31.536000000000001</v>
      </c>
    </row>
    <row r="2054" spans="1:27" hidden="1" x14ac:dyDescent="0.25">
      <c r="A2054" t="s">
        <v>98</v>
      </c>
      <c r="B2054" t="s">
        <v>1024</v>
      </c>
      <c r="D2054" t="s">
        <v>1722</v>
      </c>
      <c r="E2054" t="s">
        <v>142</v>
      </c>
      <c r="F2054" t="s">
        <v>160</v>
      </c>
      <c r="G2054" t="s">
        <v>112</v>
      </c>
      <c r="H2054" t="s">
        <v>104</v>
      </c>
      <c r="I2054">
        <v>2022</v>
      </c>
      <c r="J2054" t="s">
        <v>169</v>
      </c>
      <c r="K2054" t="s">
        <v>106</v>
      </c>
      <c r="L2054" t="s">
        <v>2433</v>
      </c>
      <c r="M2054" t="s">
        <v>2446</v>
      </c>
      <c r="N2054">
        <v>1</v>
      </c>
      <c r="O2054">
        <v>2020</v>
      </c>
      <c r="P2054">
        <v>104.15358763013791</v>
      </c>
      <c r="Q2054">
        <v>4.3185633895423052</v>
      </c>
      <c r="R2054" t="s">
        <v>109</v>
      </c>
      <c r="S2054">
        <v>4.9886508193858967</v>
      </c>
      <c r="T2054" t="s">
        <v>110</v>
      </c>
      <c r="U2054">
        <v>4.9886508193858967</v>
      </c>
      <c r="V2054">
        <v>355.38687768540018</v>
      </c>
      <c r="W2054">
        <v>14.735553465004401</v>
      </c>
      <c r="X2054" t="s">
        <v>111</v>
      </c>
      <c r="Y2054">
        <v>20</v>
      </c>
      <c r="Z2054">
        <v>0.13552551554294709</v>
      </c>
      <c r="AA2054">
        <v>31.536000000000001</v>
      </c>
    </row>
    <row r="2055" spans="1:27" hidden="1" x14ac:dyDescent="0.25">
      <c r="A2055" t="s">
        <v>98</v>
      </c>
      <c r="B2055" t="s">
        <v>1024</v>
      </c>
      <c r="D2055" t="s">
        <v>1722</v>
      </c>
      <c r="E2055" t="s">
        <v>142</v>
      </c>
      <c r="F2055" t="s">
        <v>171</v>
      </c>
      <c r="G2055" t="s">
        <v>172</v>
      </c>
      <c r="H2055" t="s">
        <v>104</v>
      </c>
      <c r="I2055">
        <v>2061</v>
      </c>
      <c r="J2055" t="s">
        <v>173</v>
      </c>
      <c r="K2055" t="s">
        <v>106</v>
      </c>
      <c r="L2055" t="s">
        <v>2433</v>
      </c>
      <c r="M2055" t="s">
        <v>2447</v>
      </c>
      <c r="N2055">
        <v>1</v>
      </c>
      <c r="O2055">
        <v>2061</v>
      </c>
      <c r="P2055">
        <v>90.181764899265772</v>
      </c>
      <c r="Q2055">
        <v>3.3024308272970568</v>
      </c>
      <c r="R2055" t="s">
        <v>109</v>
      </c>
      <c r="S2055">
        <v>4.1038492738238714</v>
      </c>
      <c r="T2055" t="s">
        <v>110</v>
      </c>
      <c r="U2055">
        <v>4.1038492738238714</v>
      </c>
      <c r="V2055">
        <v>307.71302823979772</v>
      </c>
      <c r="W2055">
        <v>11.26836441441513</v>
      </c>
      <c r="X2055" t="s">
        <v>111</v>
      </c>
      <c r="Y2055">
        <v>20</v>
      </c>
      <c r="Z2055">
        <v>0.13552551554294709</v>
      </c>
      <c r="AA2055">
        <v>31.536000000000001</v>
      </c>
    </row>
    <row r="2056" spans="1:27" hidden="1" x14ac:dyDescent="0.25">
      <c r="A2056" t="s">
        <v>98</v>
      </c>
      <c r="B2056" t="s">
        <v>1024</v>
      </c>
      <c r="D2056" t="s">
        <v>1722</v>
      </c>
      <c r="E2056" t="s">
        <v>142</v>
      </c>
      <c r="F2056" t="s">
        <v>171</v>
      </c>
      <c r="G2056" t="s">
        <v>112</v>
      </c>
      <c r="H2056" t="s">
        <v>104</v>
      </c>
      <c r="I2056">
        <v>2022</v>
      </c>
      <c r="J2056" t="s">
        <v>175</v>
      </c>
      <c r="K2056" t="s">
        <v>106</v>
      </c>
      <c r="L2056" t="s">
        <v>2433</v>
      </c>
      <c r="M2056" t="s">
        <v>2448</v>
      </c>
      <c r="N2056">
        <v>1</v>
      </c>
      <c r="O2056">
        <v>2020</v>
      </c>
      <c r="P2056">
        <v>99.072924818911702</v>
      </c>
      <c r="Q2056">
        <v>3.3024308272970568</v>
      </c>
      <c r="R2056" t="s">
        <v>109</v>
      </c>
      <c r="S2056">
        <v>6.6358468446548251</v>
      </c>
      <c r="T2056" t="s">
        <v>110</v>
      </c>
      <c r="U2056">
        <v>6.6358468446548251</v>
      </c>
      <c r="V2056">
        <v>338.05093243245392</v>
      </c>
      <c r="W2056">
        <v>11.26836441441513</v>
      </c>
      <c r="X2056" t="s">
        <v>111</v>
      </c>
      <c r="Y2056">
        <v>20</v>
      </c>
      <c r="Z2056">
        <v>0.13552551554294709</v>
      </c>
      <c r="AA2056">
        <v>31.536000000000001</v>
      </c>
    </row>
    <row r="2057" spans="1:27" hidden="1" x14ac:dyDescent="0.25">
      <c r="A2057" t="s">
        <v>98</v>
      </c>
      <c r="B2057" t="s">
        <v>1024</v>
      </c>
      <c r="D2057" t="s">
        <v>1722</v>
      </c>
      <c r="E2057" t="s">
        <v>142</v>
      </c>
      <c r="F2057" t="s">
        <v>171</v>
      </c>
      <c r="G2057" t="s">
        <v>103</v>
      </c>
      <c r="H2057" t="s">
        <v>104</v>
      </c>
      <c r="I2057">
        <v>2030</v>
      </c>
      <c r="J2057" t="s">
        <v>177</v>
      </c>
      <c r="K2057" t="s">
        <v>106</v>
      </c>
      <c r="L2057" t="s">
        <v>2433</v>
      </c>
      <c r="M2057" t="s">
        <v>2449</v>
      </c>
      <c r="N2057">
        <v>1</v>
      </c>
      <c r="O2057">
        <v>2030</v>
      </c>
      <c r="P2057">
        <v>90.181764899265772</v>
      </c>
      <c r="Q2057">
        <v>3.3024308272970568</v>
      </c>
      <c r="R2057" t="s">
        <v>109</v>
      </c>
      <c r="S2057">
        <v>4.8847205939820251</v>
      </c>
      <c r="T2057" t="s">
        <v>110</v>
      </c>
      <c r="U2057">
        <v>4.8847205939820251</v>
      </c>
      <c r="V2057">
        <v>307.71302823979772</v>
      </c>
      <c r="W2057">
        <v>11.26836441441513</v>
      </c>
      <c r="X2057" t="s">
        <v>111</v>
      </c>
      <c r="Y2057">
        <v>20</v>
      </c>
      <c r="Z2057">
        <v>0.13552551554294709</v>
      </c>
      <c r="AA2057">
        <v>31.536000000000001</v>
      </c>
    </row>
    <row r="2058" spans="1:27" hidden="1" x14ac:dyDescent="0.25">
      <c r="A2058" t="s">
        <v>98</v>
      </c>
      <c r="B2058" t="s">
        <v>1024</v>
      </c>
      <c r="D2058" t="s">
        <v>1722</v>
      </c>
      <c r="E2058" t="s">
        <v>142</v>
      </c>
      <c r="F2058" t="s">
        <v>171</v>
      </c>
      <c r="G2058" t="s">
        <v>112</v>
      </c>
      <c r="H2058" t="s">
        <v>104</v>
      </c>
      <c r="I2058">
        <v>2030</v>
      </c>
      <c r="J2058" t="s">
        <v>179</v>
      </c>
      <c r="K2058" t="s">
        <v>106</v>
      </c>
      <c r="L2058" t="s">
        <v>2433</v>
      </c>
      <c r="M2058" t="s">
        <v>2450</v>
      </c>
      <c r="N2058">
        <v>1</v>
      </c>
      <c r="O2058">
        <v>2030</v>
      </c>
      <c r="P2058">
        <v>99.072924818911702</v>
      </c>
      <c r="Q2058">
        <v>3.3024308272970568</v>
      </c>
      <c r="R2058" t="s">
        <v>109</v>
      </c>
      <c r="S2058">
        <v>7.1775486278919534</v>
      </c>
      <c r="T2058" t="s">
        <v>110</v>
      </c>
      <c r="U2058">
        <v>7.1775486278919534</v>
      </c>
      <c r="V2058">
        <v>338.05093243245392</v>
      </c>
      <c r="W2058">
        <v>11.26836441441513</v>
      </c>
      <c r="X2058" t="s">
        <v>111</v>
      </c>
      <c r="Y2058">
        <v>20</v>
      </c>
      <c r="Z2058">
        <v>0.13552551554294709</v>
      </c>
      <c r="AA2058">
        <v>31.536000000000001</v>
      </c>
    </row>
    <row r="2059" spans="1:27" hidden="1" x14ac:dyDescent="0.25">
      <c r="A2059" t="s">
        <v>98</v>
      </c>
      <c r="B2059" t="s">
        <v>1024</v>
      </c>
      <c r="D2059" t="s">
        <v>1722</v>
      </c>
      <c r="E2059" t="s">
        <v>142</v>
      </c>
      <c r="F2059" t="s">
        <v>171</v>
      </c>
      <c r="G2059" t="s">
        <v>103</v>
      </c>
      <c r="H2059" t="s">
        <v>104</v>
      </c>
      <c r="I2059">
        <v>2040</v>
      </c>
      <c r="J2059" t="s">
        <v>181</v>
      </c>
      <c r="K2059" t="s">
        <v>106</v>
      </c>
      <c r="L2059" t="s">
        <v>2433</v>
      </c>
      <c r="M2059" t="s">
        <v>2451</v>
      </c>
      <c r="N2059">
        <v>1</v>
      </c>
      <c r="O2059">
        <v>2040</v>
      </c>
      <c r="P2059">
        <v>90.181764899265772</v>
      </c>
      <c r="Q2059">
        <v>3.3024308272970568</v>
      </c>
      <c r="R2059" t="s">
        <v>109</v>
      </c>
      <c r="S2059">
        <v>5.1720570995103783</v>
      </c>
      <c r="T2059" t="s">
        <v>110</v>
      </c>
      <c r="U2059">
        <v>5.1720570995103783</v>
      </c>
      <c r="V2059">
        <v>307.71302823979772</v>
      </c>
      <c r="W2059">
        <v>11.26836441441513</v>
      </c>
      <c r="X2059" t="s">
        <v>111</v>
      </c>
      <c r="Y2059">
        <v>20</v>
      </c>
      <c r="Z2059">
        <v>0.13552551554294709</v>
      </c>
      <c r="AA2059">
        <v>31.536000000000001</v>
      </c>
    </row>
    <row r="2060" spans="1:27" hidden="1" x14ac:dyDescent="0.25">
      <c r="A2060" t="s">
        <v>98</v>
      </c>
      <c r="B2060" t="s">
        <v>1024</v>
      </c>
      <c r="D2060" t="s">
        <v>1722</v>
      </c>
      <c r="E2060" t="s">
        <v>142</v>
      </c>
      <c r="F2060" t="s">
        <v>171</v>
      </c>
      <c r="G2060" t="s">
        <v>112</v>
      </c>
      <c r="H2060" t="s">
        <v>104</v>
      </c>
      <c r="I2060">
        <v>2040</v>
      </c>
      <c r="J2060" t="s">
        <v>183</v>
      </c>
      <c r="K2060" t="s">
        <v>106</v>
      </c>
      <c r="L2060" t="s">
        <v>2433</v>
      </c>
      <c r="M2060" t="s">
        <v>2452</v>
      </c>
      <c r="N2060">
        <v>1</v>
      </c>
      <c r="O2060">
        <v>2040</v>
      </c>
      <c r="P2060">
        <v>99.072924818911702</v>
      </c>
      <c r="Q2060">
        <v>3.3024308272970568</v>
      </c>
      <c r="R2060" t="s">
        <v>109</v>
      </c>
      <c r="S2060">
        <v>7.815552950371238</v>
      </c>
      <c r="T2060" t="s">
        <v>110</v>
      </c>
      <c r="U2060">
        <v>7.815552950371238</v>
      </c>
      <c r="V2060">
        <v>338.05093243245392</v>
      </c>
      <c r="W2060">
        <v>11.26836441441513</v>
      </c>
      <c r="X2060" t="s">
        <v>111</v>
      </c>
      <c r="Y2060">
        <v>20</v>
      </c>
      <c r="Z2060">
        <v>0.13552551554294709</v>
      </c>
      <c r="AA2060">
        <v>31.536000000000001</v>
      </c>
    </row>
    <row r="2061" spans="1:27" hidden="1" x14ac:dyDescent="0.25">
      <c r="A2061" t="s">
        <v>98</v>
      </c>
      <c r="B2061" t="s">
        <v>1024</v>
      </c>
      <c r="D2061" t="s">
        <v>1722</v>
      </c>
      <c r="E2061" t="s">
        <v>142</v>
      </c>
      <c r="F2061" t="s">
        <v>185</v>
      </c>
      <c r="G2061" t="s">
        <v>112</v>
      </c>
      <c r="H2061" t="s">
        <v>104</v>
      </c>
      <c r="I2061">
        <v>2022</v>
      </c>
      <c r="J2061" t="s">
        <v>186</v>
      </c>
      <c r="K2061" t="s">
        <v>106</v>
      </c>
      <c r="L2061" t="s">
        <v>2433</v>
      </c>
      <c r="M2061" t="s">
        <v>2453</v>
      </c>
      <c r="N2061">
        <v>1</v>
      </c>
      <c r="O2061">
        <v>2020</v>
      </c>
      <c r="P2061">
        <v>97.802759116105136</v>
      </c>
      <c r="Q2061">
        <v>3.5564639678583689</v>
      </c>
      <c r="R2061" t="s">
        <v>109</v>
      </c>
      <c r="S2061">
        <v>4.4518972502114647</v>
      </c>
      <c r="T2061" t="s">
        <v>110</v>
      </c>
      <c r="U2061">
        <v>4.4518972502114647</v>
      </c>
      <c r="V2061">
        <v>333.71694611921731</v>
      </c>
      <c r="W2061">
        <v>12.135161677062451</v>
      </c>
      <c r="X2061" t="s">
        <v>111</v>
      </c>
      <c r="Y2061">
        <v>20</v>
      </c>
      <c r="Z2061">
        <v>0.13552551554294709</v>
      </c>
      <c r="AA2061">
        <v>31.536000000000001</v>
      </c>
    </row>
    <row r="2062" spans="1:27" hidden="1" x14ac:dyDescent="0.25">
      <c r="A2062" t="s">
        <v>98</v>
      </c>
      <c r="B2062" t="s">
        <v>1024</v>
      </c>
      <c r="D2062" t="s">
        <v>1722</v>
      </c>
      <c r="E2062" t="s">
        <v>142</v>
      </c>
      <c r="F2062" t="s">
        <v>188</v>
      </c>
      <c r="G2062" t="s">
        <v>103</v>
      </c>
      <c r="H2062" t="s">
        <v>104</v>
      </c>
      <c r="I2062">
        <v>2030</v>
      </c>
      <c r="J2062" t="s">
        <v>189</v>
      </c>
      <c r="K2062" t="s">
        <v>106</v>
      </c>
      <c r="L2062" t="s">
        <v>2433</v>
      </c>
      <c r="M2062" t="s">
        <v>2454</v>
      </c>
      <c r="N2062">
        <v>1</v>
      </c>
      <c r="O2062">
        <v>2030</v>
      </c>
      <c r="P2062">
        <v>49.536462409455851</v>
      </c>
      <c r="Q2062">
        <v>3.0483976867357452</v>
      </c>
      <c r="R2062" t="s">
        <v>109</v>
      </c>
      <c r="S2062">
        <v>10.04856807904874</v>
      </c>
      <c r="T2062" t="s">
        <v>110</v>
      </c>
      <c r="U2062">
        <v>10.04856807904874</v>
      </c>
      <c r="V2062">
        <v>169.0254662162269</v>
      </c>
      <c r="W2062">
        <v>10.401567151767811</v>
      </c>
      <c r="X2062" t="s">
        <v>111</v>
      </c>
      <c r="Y2062">
        <v>25</v>
      </c>
      <c r="Z2062">
        <v>0.13552551554294709</v>
      </c>
      <c r="AA2062">
        <v>31.536000000000001</v>
      </c>
    </row>
    <row r="2063" spans="1:27" hidden="1" x14ac:dyDescent="0.25">
      <c r="A2063" t="s">
        <v>98</v>
      </c>
      <c r="B2063" t="s">
        <v>1024</v>
      </c>
      <c r="D2063" t="s">
        <v>1722</v>
      </c>
      <c r="E2063" t="s">
        <v>142</v>
      </c>
      <c r="F2063" t="s">
        <v>188</v>
      </c>
      <c r="G2063" t="s">
        <v>112</v>
      </c>
      <c r="H2063" t="s">
        <v>104</v>
      </c>
      <c r="I2063">
        <v>2030</v>
      </c>
      <c r="J2063" t="s">
        <v>191</v>
      </c>
      <c r="K2063" t="s">
        <v>106</v>
      </c>
      <c r="L2063" t="s">
        <v>2433</v>
      </c>
      <c r="M2063" t="s">
        <v>2455</v>
      </c>
      <c r="N2063">
        <v>1</v>
      </c>
      <c r="O2063">
        <v>2030</v>
      </c>
      <c r="P2063">
        <v>64.778450843134578</v>
      </c>
      <c r="Q2063">
        <v>3.0483976867357452</v>
      </c>
      <c r="R2063" t="s">
        <v>109</v>
      </c>
      <c r="S2063">
        <v>13.02592158395206</v>
      </c>
      <c r="T2063" t="s">
        <v>110</v>
      </c>
      <c r="U2063">
        <v>13.02592158395206</v>
      </c>
      <c r="V2063">
        <v>221.033301975066</v>
      </c>
      <c r="W2063">
        <v>10.401567151767811</v>
      </c>
      <c r="X2063" t="s">
        <v>111</v>
      </c>
      <c r="Y2063">
        <v>25</v>
      </c>
      <c r="Z2063">
        <v>0.13552551554294709</v>
      </c>
      <c r="AA2063">
        <v>31.536000000000001</v>
      </c>
    </row>
    <row r="2064" spans="1:27" hidden="1" x14ac:dyDescent="0.25">
      <c r="A2064" t="s">
        <v>98</v>
      </c>
      <c r="B2064" t="s">
        <v>1024</v>
      </c>
      <c r="D2064" t="s">
        <v>1722</v>
      </c>
      <c r="E2064" t="s">
        <v>142</v>
      </c>
      <c r="F2064" t="s">
        <v>188</v>
      </c>
      <c r="G2064" t="s">
        <v>103</v>
      </c>
      <c r="H2064" t="s">
        <v>104</v>
      </c>
      <c r="I2064">
        <v>2040</v>
      </c>
      <c r="J2064" t="s">
        <v>193</v>
      </c>
      <c r="K2064" t="s">
        <v>106</v>
      </c>
      <c r="L2064" t="s">
        <v>2433</v>
      </c>
      <c r="M2064" t="s">
        <v>2456</v>
      </c>
      <c r="N2064">
        <v>1</v>
      </c>
      <c r="O2064">
        <v>2040</v>
      </c>
      <c r="P2064">
        <v>49.536462409455851</v>
      </c>
      <c r="Q2064">
        <v>3.0483976867357452</v>
      </c>
      <c r="R2064" t="s">
        <v>109</v>
      </c>
      <c r="S2064">
        <v>10.34411419902076</v>
      </c>
      <c r="T2064" t="s">
        <v>110</v>
      </c>
      <c r="U2064">
        <v>10.34411419902076</v>
      </c>
      <c r="V2064">
        <v>169.0254662162269</v>
      </c>
      <c r="W2064">
        <v>10.401567151767811</v>
      </c>
      <c r="X2064" t="s">
        <v>111</v>
      </c>
      <c r="Y2064">
        <v>25</v>
      </c>
      <c r="Z2064">
        <v>0.13552551554294709</v>
      </c>
      <c r="AA2064">
        <v>31.536000000000001</v>
      </c>
    </row>
    <row r="2065" spans="1:27" hidden="1" x14ac:dyDescent="0.25">
      <c r="A2065" t="s">
        <v>98</v>
      </c>
      <c r="B2065" t="s">
        <v>1024</v>
      </c>
      <c r="D2065" t="s">
        <v>1722</v>
      </c>
      <c r="E2065" t="s">
        <v>142</v>
      </c>
      <c r="F2065" t="s">
        <v>188</v>
      </c>
      <c r="G2065" t="s">
        <v>112</v>
      </c>
      <c r="H2065" t="s">
        <v>104</v>
      </c>
      <c r="I2065">
        <v>2040</v>
      </c>
      <c r="J2065" t="s">
        <v>195</v>
      </c>
      <c r="K2065" t="s">
        <v>106</v>
      </c>
      <c r="L2065" t="s">
        <v>2433</v>
      </c>
      <c r="M2065" t="s">
        <v>2457</v>
      </c>
      <c r="N2065">
        <v>1</v>
      </c>
      <c r="O2065">
        <v>2040</v>
      </c>
      <c r="P2065">
        <v>64.778450843134578</v>
      </c>
      <c r="Q2065">
        <v>3.0483976867357452</v>
      </c>
      <c r="R2065" t="s">
        <v>109</v>
      </c>
      <c r="S2065">
        <v>14.067995310668231</v>
      </c>
      <c r="T2065" t="s">
        <v>110</v>
      </c>
      <c r="U2065">
        <v>14.067995310668231</v>
      </c>
      <c r="V2065">
        <v>221.033301975066</v>
      </c>
      <c r="W2065">
        <v>10.401567151767811</v>
      </c>
      <c r="X2065" t="s">
        <v>111</v>
      </c>
      <c r="Y2065">
        <v>25</v>
      </c>
      <c r="Z2065">
        <v>0.13552551554294709</v>
      </c>
      <c r="AA2065">
        <v>31.536000000000001</v>
      </c>
    </row>
    <row r="2066" spans="1:27" hidden="1" x14ac:dyDescent="0.25">
      <c r="A2066" t="s">
        <v>98</v>
      </c>
      <c r="B2066" t="s">
        <v>1024</v>
      </c>
      <c r="D2066" t="s">
        <v>1722</v>
      </c>
      <c r="E2066" t="s">
        <v>142</v>
      </c>
      <c r="F2066" t="s">
        <v>188</v>
      </c>
      <c r="G2066" t="s">
        <v>112</v>
      </c>
      <c r="H2066" t="s">
        <v>104</v>
      </c>
      <c r="I2066">
        <v>2022</v>
      </c>
      <c r="J2066" t="s">
        <v>197</v>
      </c>
      <c r="K2066" t="s">
        <v>106</v>
      </c>
      <c r="L2066" t="s">
        <v>2433</v>
      </c>
      <c r="M2066" t="s">
        <v>2458</v>
      </c>
      <c r="N2066">
        <v>1</v>
      </c>
      <c r="O2066">
        <v>2020</v>
      </c>
      <c r="P2066">
        <v>64.778450843134578</v>
      </c>
      <c r="Q2066">
        <v>3.0483976867357452</v>
      </c>
      <c r="R2066" t="s">
        <v>109</v>
      </c>
      <c r="S2066">
        <v>12.12758216436916</v>
      </c>
      <c r="T2066" t="s">
        <v>110</v>
      </c>
      <c r="U2066">
        <v>12.12758216436916</v>
      </c>
      <c r="V2066">
        <v>221.033301975066</v>
      </c>
      <c r="W2066">
        <v>10.401567151767811</v>
      </c>
      <c r="X2066" t="s">
        <v>111</v>
      </c>
      <c r="Y2066">
        <v>25</v>
      </c>
      <c r="Z2066">
        <v>0.13552551554294709</v>
      </c>
      <c r="AA2066">
        <v>31.536000000000001</v>
      </c>
    </row>
    <row r="2067" spans="1:27" hidden="1" x14ac:dyDescent="0.25">
      <c r="A2067" t="s">
        <v>98</v>
      </c>
      <c r="B2067" t="s">
        <v>1024</v>
      </c>
      <c r="D2067" t="s">
        <v>1722</v>
      </c>
      <c r="E2067" t="s">
        <v>142</v>
      </c>
      <c r="F2067" t="s">
        <v>199</v>
      </c>
      <c r="G2067" t="s">
        <v>103</v>
      </c>
      <c r="H2067" t="s">
        <v>131</v>
      </c>
      <c r="I2067">
        <v>2030</v>
      </c>
      <c r="J2067" t="s">
        <v>200</v>
      </c>
      <c r="K2067" t="s">
        <v>133</v>
      </c>
      <c r="L2067" t="s">
        <v>2433</v>
      </c>
      <c r="M2067" t="s">
        <v>2459</v>
      </c>
      <c r="N2067">
        <v>1</v>
      </c>
      <c r="O2067">
        <v>2030</v>
      </c>
      <c r="P2067">
        <v>93.992262007685454</v>
      </c>
      <c r="Q2067">
        <v>2.7943645461744331</v>
      </c>
      <c r="R2067" t="s">
        <v>109</v>
      </c>
      <c r="S2067">
        <v>1.4</v>
      </c>
      <c r="T2067" t="s">
        <v>110</v>
      </c>
      <c r="U2067">
        <v>1.4</v>
      </c>
      <c r="V2067">
        <v>320.71498717950749</v>
      </c>
      <c r="W2067">
        <v>9.5347698891204935</v>
      </c>
      <c r="X2067" t="s">
        <v>111</v>
      </c>
      <c r="Y2067">
        <v>23</v>
      </c>
      <c r="Z2067">
        <v>0.13552551554294709</v>
      </c>
      <c r="AA2067">
        <v>31.536000000000001</v>
      </c>
    </row>
    <row r="2068" spans="1:27" hidden="1" x14ac:dyDescent="0.25">
      <c r="A2068" t="s">
        <v>98</v>
      </c>
      <c r="B2068" t="s">
        <v>1024</v>
      </c>
      <c r="D2068" t="s">
        <v>1722</v>
      </c>
      <c r="E2068" t="s">
        <v>142</v>
      </c>
      <c r="F2068" t="s">
        <v>202</v>
      </c>
      <c r="G2068" t="s">
        <v>103</v>
      </c>
      <c r="H2068" t="s">
        <v>104</v>
      </c>
      <c r="I2068">
        <v>2023</v>
      </c>
      <c r="J2068" t="s">
        <v>203</v>
      </c>
      <c r="K2068" t="s">
        <v>106</v>
      </c>
      <c r="L2068" t="s">
        <v>2433</v>
      </c>
      <c r="M2068" t="s">
        <v>2460</v>
      </c>
      <c r="N2068">
        <v>1</v>
      </c>
      <c r="O2068">
        <v>2023</v>
      </c>
      <c r="P2068">
        <v>138.8714501735173</v>
      </c>
      <c r="Q2068">
        <v>4.2000145906136934</v>
      </c>
      <c r="R2068" t="s">
        <v>109</v>
      </c>
      <c r="S2068">
        <v>3.5756154747948421</v>
      </c>
      <c r="T2068" t="s">
        <v>110</v>
      </c>
      <c r="U2068">
        <v>3.5756154747948421</v>
      </c>
      <c r="V2068">
        <v>473.84917024720039</v>
      </c>
      <c r="W2068">
        <v>14.33104807576899</v>
      </c>
      <c r="X2068" t="s">
        <v>111</v>
      </c>
      <c r="Y2068">
        <v>21</v>
      </c>
      <c r="Z2068">
        <v>0.13552551554294709</v>
      </c>
      <c r="AA2068">
        <v>31.536000000000001</v>
      </c>
    </row>
    <row r="2069" spans="1:27" hidden="1" x14ac:dyDescent="0.25">
      <c r="A2069" t="s">
        <v>98</v>
      </c>
      <c r="B2069" t="s">
        <v>1024</v>
      </c>
      <c r="D2069" t="s">
        <v>1722</v>
      </c>
      <c r="E2069" t="s">
        <v>142</v>
      </c>
      <c r="F2069" t="s">
        <v>202</v>
      </c>
      <c r="G2069" t="s">
        <v>112</v>
      </c>
      <c r="H2069" t="s">
        <v>104</v>
      </c>
      <c r="I2069">
        <v>2022</v>
      </c>
      <c r="J2069" t="s">
        <v>205</v>
      </c>
      <c r="K2069" t="s">
        <v>106</v>
      </c>
      <c r="L2069" t="s">
        <v>2433</v>
      </c>
      <c r="M2069" t="s">
        <v>2461</v>
      </c>
      <c r="N2069">
        <v>1</v>
      </c>
      <c r="O2069">
        <v>2020</v>
      </c>
      <c r="P2069">
        <v>201.87166903272271</v>
      </c>
      <c r="Q2069">
        <v>4.2000145906136934</v>
      </c>
      <c r="R2069" t="s">
        <v>109</v>
      </c>
      <c r="S2069">
        <v>3.7514654161781951</v>
      </c>
      <c r="T2069" t="s">
        <v>110</v>
      </c>
      <c r="U2069">
        <v>3.7514654161781951</v>
      </c>
      <c r="V2069">
        <v>688.81489138373513</v>
      </c>
      <c r="W2069">
        <v>14.33104807576899</v>
      </c>
      <c r="X2069" t="s">
        <v>111</v>
      </c>
      <c r="Y2069">
        <v>21</v>
      </c>
      <c r="Z2069">
        <v>0.13552551554294709</v>
      </c>
      <c r="AA2069">
        <v>31.536000000000001</v>
      </c>
    </row>
    <row r="2070" spans="1:27" hidden="1" x14ac:dyDescent="0.25">
      <c r="A2070" t="s">
        <v>98</v>
      </c>
      <c r="B2070" t="s">
        <v>1024</v>
      </c>
      <c r="D2070" t="s">
        <v>1722</v>
      </c>
      <c r="E2070" t="s">
        <v>142</v>
      </c>
      <c r="F2070" t="s">
        <v>207</v>
      </c>
      <c r="G2070" t="s">
        <v>103</v>
      </c>
      <c r="H2070" t="s">
        <v>104</v>
      </c>
      <c r="I2070">
        <v>2030</v>
      </c>
      <c r="J2070" t="s">
        <v>208</v>
      </c>
      <c r="K2070" t="s">
        <v>106</v>
      </c>
      <c r="L2070" t="s">
        <v>2433</v>
      </c>
      <c r="M2070" t="s">
        <v>2462</v>
      </c>
      <c r="N2070">
        <v>0</v>
      </c>
      <c r="O2070">
        <v>2030</v>
      </c>
      <c r="P2070">
        <v>74.322838838509583</v>
      </c>
      <c r="Q2070">
        <v>1.219359074694298E-2</v>
      </c>
      <c r="R2070" t="s">
        <v>109</v>
      </c>
      <c r="S2070">
        <v>3.5902696365767879</v>
      </c>
      <c r="T2070" t="s">
        <v>110</v>
      </c>
      <c r="U2070">
        <v>3.5902696365767879</v>
      </c>
      <c r="V2070">
        <v>253.60011341452949</v>
      </c>
      <c r="W2070">
        <v>4.1606268607071263E-2</v>
      </c>
      <c r="X2070" t="s">
        <v>111</v>
      </c>
      <c r="Y2070">
        <v>9.5</v>
      </c>
      <c r="Z2070">
        <v>0.13552551554294709</v>
      </c>
      <c r="AA2070">
        <v>31.536000000000001</v>
      </c>
    </row>
    <row r="2071" spans="1:27" hidden="1" x14ac:dyDescent="0.25">
      <c r="A2071" t="s">
        <v>98</v>
      </c>
      <c r="B2071" t="s">
        <v>1024</v>
      </c>
      <c r="D2071" t="s">
        <v>1722</v>
      </c>
      <c r="E2071" t="s">
        <v>142</v>
      </c>
      <c r="F2071" t="s">
        <v>207</v>
      </c>
      <c r="G2071" t="s">
        <v>112</v>
      </c>
      <c r="H2071" t="s">
        <v>104</v>
      </c>
      <c r="I2071">
        <v>2030</v>
      </c>
      <c r="J2071" t="s">
        <v>210</v>
      </c>
      <c r="K2071" t="s">
        <v>106</v>
      </c>
      <c r="L2071" t="s">
        <v>2433</v>
      </c>
      <c r="M2071" t="s">
        <v>2463</v>
      </c>
      <c r="N2071">
        <v>0</v>
      </c>
      <c r="O2071">
        <v>2030</v>
      </c>
      <c r="P2071">
        <v>81.871252158045721</v>
      </c>
      <c r="Q2071">
        <v>1.219359074694298E-2</v>
      </c>
      <c r="R2071" t="s">
        <v>109</v>
      </c>
      <c r="S2071">
        <v>3.8100820633059791</v>
      </c>
      <c r="T2071" t="s">
        <v>110</v>
      </c>
      <c r="U2071">
        <v>3.8100820633059791</v>
      </c>
      <c r="V2071">
        <v>279.35637493319268</v>
      </c>
      <c r="W2071">
        <v>4.1606268607071263E-2</v>
      </c>
      <c r="X2071" t="s">
        <v>111</v>
      </c>
      <c r="Y2071">
        <v>9.5</v>
      </c>
      <c r="Z2071">
        <v>0.13552551554294709</v>
      </c>
      <c r="AA2071">
        <v>31.536000000000001</v>
      </c>
    </row>
    <row r="2072" spans="1:27" hidden="1" x14ac:dyDescent="0.25">
      <c r="A2072" t="s">
        <v>98</v>
      </c>
      <c r="B2072" t="s">
        <v>1024</v>
      </c>
      <c r="D2072" t="s">
        <v>1722</v>
      </c>
      <c r="E2072" t="s">
        <v>142</v>
      </c>
      <c r="F2072" t="s">
        <v>207</v>
      </c>
      <c r="G2072" t="s">
        <v>103</v>
      </c>
      <c r="H2072" t="s">
        <v>104</v>
      </c>
      <c r="I2072">
        <v>2040</v>
      </c>
      <c r="J2072" t="s">
        <v>212</v>
      </c>
      <c r="K2072" t="s">
        <v>106</v>
      </c>
      <c r="L2072" t="s">
        <v>2433</v>
      </c>
      <c r="M2072" t="s">
        <v>2464</v>
      </c>
      <c r="N2072">
        <v>0</v>
      </c>
      <c r="O2072">
        <v>2040</v>
      </c>
      <c r="P2072">
        <v>74.322838838509583</v>
      </c>
      <c r="Q2072">
        <v>1.219359074694298E-2</v>
      </c>
      <c r="R2072" t="s">
        <v>109</v>
      </c>
      <c r="S2072">
        <v>3.6635404454865181</v>
      </c>
      <c r="T2072" t="s">
        <v>110</v>
      </c>
      <c r="U2072">
        <v>3.6635404454865181</v>
      </c>
      <c r="V2072">
        <v>253.60011341452949</v>
      </c>
      <c r="W2072">
        <v>4.1606268607071263E-2</v>
      </c>
      <c r="X2072" t="s">
        <v>111</v>
      </c>
      <c r="Y2072">
        <v>9.5</v>
      </c>
      <c r="Z2072">
        <v>0.13552551554294709</v>
      </c>
      <c r="AA2072">
        <v>31.536000000000001</v>
      </c>
    </row>
    <row r="2073" spans="1:27" hidden="1" x14ac:dyDescent="0.25">
      <c r="A2073" t="s">
        <v>98</v>
      </c>
      <c r="B2073" t="s">
        <v>1024</v>
      </c>
      <c r="D2073" t="s">
        <v>1722</v>
      </c>
      <c r="E2073" t="s">
        <v>142</v>
      </c>
      <c r="F2073" t="s">
        <v>207</v>
      </c>
      <c r="G2073" t="s">
        <v>112</v>
      </c>
      <c r="H2073" t="s">
        <v>104</v>
      </c>
      <c r="I2073">
        <v>2040</v>
      </c>
      <c r="J2073" t="s">
        <v>214</v>
      </c>
      <c r="K2073" t="s">
        <v>106</v>
      </c>
      <c r="L2073" t="s">
        <v>2433</v>
      </c>
      <c r="M2073" t="s">
        <v>2465</v>
      </c>
      <c r="N2073">
        <v>0</v>
      </c>
      <c r="O2073">
        <v>2040</v>
      </c>
      <c r="P2073">
        <v>81.871252158045721</v>
      </c>
      <c r="Q2073">
        <v>1.219359074694298E-2</v>
      </c>
      <c r="R2073" t="s">
        <v>109</v>
      </c>
      <c r="S2073">
        <v>3.9566236811254401</v>
      </c>
      <c r="T2073" t="s">
        <v>110</v>
      </c>
      <c r="U2073">
        <v>3.9566236811254401</v>
      </c>
      <c r="V2073">
        <v>279.35637493319268</v>
      </c>
      <c r="W2073">
        <v>4.1606268607071263E-2</v>
      </c>
      <c r="X2073" t="s">
        <v>111</v>
      </c>
      <c r="Y2073">
        <v>9.5</v>
      </c>
      <c r="Z2073">
        <v>0.13552551554294709</v>
      </c>
      <c r="AA2073">
        <v>31.536000000000001</v>
      </c>
    </row>
    <row r="2074" spans="1:27" hidden="1" x14ac:dyDescent="0.25">
      <c r="A2074" t="s">
        <v>98</v>
      </c>
      <c r="B2074" t="s">
        <v>1024</v>
      </c>
      <c r="D2074" t="s">
        <v>1722</v>
      </c>
      <c r="E2074" t="s">
        <v>142</v>
      </c>
      <c r="F2074" t="s">
        <v>207</v>
      </c>
      <c r="G2074" t="s">
        <v>112</v>
      </c>
      <c r="H2074" t="s">
        <v>104</v>
      </c>
      <c r="I2074">
        <v>2022</v>
      </c>
      <c r="J2074" t="s">
        <v>216</v>
      </c>
      <c r="K2074" t="s">
        <v>106</v>
      </c>
      <c r="L2074" t="s">
        <v>2433</v>
      </c>
      <c r="M2074" t="s">
        <v>2466</v>
      </c>
      <c r="N2074">
        <v>1</v>
      </c>
      <c r="O2074">
        <v>2020</v>
      </c>
      <c r="P2074">
        <v>81.871252158045721</v>
      </c>
      <c r="Q2074">
        <v>1.219359074694298E-2</v>
      </c>
      <c r="R2074" t="s">
        <v>109</v>
      </c>
      <c r="S2074">
        <v>3.6635404454865181</v>
      </c>
      <c r="T2074" t="s">
        <v>110</v>
      </c>
      <c r="U2074">
        <v>3.6635404454865181</v>
      </c>
      <c r="V2074">
        <v>279.35637493319268</v>
      </c>
      <c r="W2074">
        <v>4.1606268607071263E-2</v>
      </c>
      <c r="X2074" t="s">
        <v>111</v>
      </c>
      <c r="Y2074">
        <v>9.5</v>
      </c>
      <c r="Z2074">
        <v>0.13552551554294709</v>
      </c>
      <c r="AA2074">
        <v>31.536000000000001</v>
      </c>
    </row>
    <row r="2075" spans="1:27" hidden="1" x14ac:dyDescent="0.25">
      <c r="A2075" t="s">
        <v>98</v>
      </c>
      <c r="B2075" t="s">
        <v>1024</v>
      </c>
      <c r="D2075" t="s">
        <v>1722</v>
      </c>
      <c r="E2075" t="s">
        <v>142</v>
      </c>
      <c r="F2075" t="s">
        <v>218</v>
      </c>
      <c r="G2075" t="s">
        <v>219</v>
      </c>
      <c r="H2075" t="s">
        <v>104</v>
      </c>
      <c r="I2075">
        <v>2023</v>
      </c>
      <c r="J2075" t="s">
        <v>220</v>
      </c>
      <c r="K2075" t="s">
        <v>106</v>
      </c>
      <c r="L2075" t="s">
        <v>2433</v>
      </c>
      <c r="M2075" t="s">
        <v>2467</v>
      </c>
      <c r="N2075">
        <v>0</v>
      </c>
      <c r="O2075">
        <v>2023</v>
      </c>
      <c r="P2075">
        <v>144.5166310748798</v>
      </c>
      <c r="Q2075">
        <v>2.6193639382321958</v>
      </c>
      <c r="R2075" t="s">
        <v>109</v>
      </c>
      <c r="S2075">
        <v>4.6893317702227444</v>
      </c>
      <c r="T2075" t="s">
        <v>110</v>
      </c>
      <c r="U2075">
        <v>4.6893317702227444</v>
      </c>
      <c r="V2075">
        <v>493.11133163936307</v>
      </c>
      <c r="W2075">
        <v>8.937642885963454</v>
      </c>
      <c r="X2075" t="s">
        <v>111</v>
      </c>
      <c r="Y2075">
        <v>18</v>
      </c>
      <c r="Z2075">
        <v>0.13552551554294709</v>
      </c>
      <c r="AA2075">
        <v>31.536000000000001</v>
      </c>
    </row>
    <row r="2076" spans="1:27" hidden="1" x14ac:dyDescent="0.25">
      <c r="A2076" t="s">
        <v>98</v>
      </c>
      <c r="B2076" t="s">
        <v>1024</v>
      </c>
      <c r="D2076" t="s">
        <v>1722</v>
      </c>
      <c r="E2076" t="s">
        <v>142</v>
      </c>
      <c r="F2076" t="s">
        <v>218</v>
      </c>
      <c r="G2076" t="s">
        <v>112</v>
      </c>
      <c r="H2076" t="s">
        <v>104</v>
      </c>
      <c r="I2076">
        <v>2022</v>
      </c>
      <c r="J2076" t="s">
        <v>222</v>
      </c>
      <c r="K2076" t="s">
        <v>106</v>
      </c>
      <c r="L2076" t="s">
        <v>2433</v>
      </c>
      <c r="M2076" t="s">
        <v>2468</v>
      </c>
      <c r="N2076">
        <v>1</v>
      </c>
      <c r="O2076">
        <v>2020</v>
      </c>
      <c r="P2076">
        <v>157.50054714801351</v>
      </c>
      <c r="Q2076">
        <v>2.455653692092683</v>
      </c>
      <c r="R2076" t="s">
        <v>109</v>
      </c>
      <c r="S2076">
        <v>4.835873388042204</v>
      </c>
      <c r="T2076" t="s">
        <v>110</v>
      </c>
      <c r="U2076">
        <v>4.835873388042204</v>
      </c>
      <c r="V2076">
        <v>537.41430284133696</v>
      </c>
      <c r="W2076">
        <v>8.3790402055907389</v>
      </c>
      <c r="X2076" t="s">
        <v>111</v>
      </c>
      <c r="Y2076">
        <v>18</v>
      </c>
      <c r="Z2076">
        <v>0.13552551554294709</v>
      </c>
      <c r="AA2076">
        <v>31.536000000000001</v>
      </c>
    </row>
    <row r="2077" spans="1:27" hidden="1" x14ac:dyDescent="0.25">
      <c r="A2077" t="s">
        <v>98</v>
      </c>
      <c r="B2077" t="s">
        <v>1024</v>
      </c>
      <c r="D2077" t="s">
        <v>1722</v>
      </c>
      <c r="E2077" t="s">
        <v>142</v>
      </c>
      <c r="F2077" t="s">
        <v>218</v>
      </c>
      <c r="G2077" t="s">
        <v>103</v>
      </c>
      <c r="H2077" t="s">
        <v>104</v>
      </c>
      <c r="I2077">
        <v>2023</v>
      </c>
      <c r="J2077" t="s">
        <v>224</v>
      </c>
      <c r="K2077" t="s">
        <v>106</v>
      </c>
      <c r="L2077" t="s">
        <v>2433</v>
      </c>
      <c r="M2077" t="s">
        <v>2469</v>
      </c>
      <c r="N2077">
        <v>0</v>
      </c>
      <c r="O2077">
        <v>2023</v>
      </c>
      <c r="P2077">
        <v>125.3230160102473</v>
      </c>
      <c r="Q2077">
        <v>2.455653692092683</v>
      </c>
      <c r="R2077" t="s">
        <v>109</v>
      </c>
      <c r="S2077">
        <v>4.2203985932004704</v>
      </c>
      <c r="T2077" t="s">
        <v>110</v>
      </c>
      <c r="U2077">
        <v>4.2203985932004704</v>
      </c>
      <c r="V2077">
        <v>427.61998290601008</v>
      </c>
      <c r="W2077">
        <v>8.3790402055907389</v>
      </c>
      <c r="X2077" t="s">
        <v>111</v>
      </c>
      <c r="Y2077">
        <v>18</v>
      </c>
      <c r="Z2077">
        <v>0.13552551554294709</v>
      </c>
      <c r="AA2077">
        <v>31.536000000000001</v>
      </c>
    </row>
    <row r="2078" spans="1:27" x14ac:dyDescent="0.25">
      <c r="A2078" t="s">
        <v>98</v>
      </c>
      <c r="B2078" t="s">
        <v>1024</v>
      </c>
      <c r="D2078" t="s">
        <v>1722</v>
      </c>
      <c r="E2078" t="s">
        <v>226</v>
      </c>
      <c r="F2078" t="s">
        <v>227</v>
      </c>
      <c r="G2078" t="s">
        <v>228</v>
      </c>
      <c r="H2078" t="s">
        <v>104</v>
      </c>
      <c r="I2078">
        <v>2023</v>
      </c>
      <c r="J2078" t="s">
        <v>229</v>
      </c>
      <c r="K2078" t="s">
        <v>106</v>
      </c>
      <c r="L2078" t="s">
        <v>2470</v>
      </c>
      <c r="M2078" t="s">
        <v>2471</v>
      </c>
      <c r="N2078">
        <v>1</v>
      </c>
      <c r="O2078">
        <v>2023</v>
      </c>
      <c r="P2078">
        <v>351.48905933689161</v>
      </c>
      <c r="Q2078">
        <v>0.67078064758948786</v>
      </c>
      <c r="R2078" t="s">
        <v>109</v>
      </c>
      <c r="S2078">
        <v>2.7</v>
      </c>
      <c r="T2078" t="s">
        <v>110</v>
      </c>
      <c r="U2078">
        <v>2.7</v>
      </c>
      <c r="V2078">
        <v>1199.3307401172131</v>
      </c>
      <c r="W2078">
        <v>2.2887991223610928</v>
      </c>
      <c r="X2078" t="s">
        <v>111</v>
      </c>
      <c r="Y2078">
        <v>20</v>
      </c>
      <c r="Z2078">
        <v>0.44</v>
      </c>
      <c r="AA2078">
        <v>31.536000000000001</v>
      </c>
    </row>
    <row r="2079" spans="1:27" x14ac:dyDescent="0.25">
      <c r="A2079" t="s">
        <v>98</v>
      </c>
      <c r="B2079" t="s">
        <v>1024</v>
      </c>
      <c r="D2079" t="s">
        <v>1722</v>
      </c>
      <c r="E2079" t="s">
        <v>226</v>
      </c>
      <c r="F2079" t="s">
        <v>227</v>
      </c>
      <c r="G2079" t="s">
        <v>228</v>
      </c>
      <c r="H2079" t="s">
        <v>104</v>
      </c>
      <c r="I2079">
        <v>2024</v>
      </c>
      <c r="J2079" t="s">
        <v>232</v>
      </c>
      <c r="K2079" t="s">
        <v>106</v>
      </c>
      <c r="L2079" t="s">
        <v>2470</v>
      </c>
      <c r="M2079" t="s">
        <v>2472</v>
      </c>
      <c r="N2079">
        <v>1</v>
      </c>
      <c r="O2079">
        <v>2024</v>
      </c>
      <c r="P2079">
        <v>351.48905933689161</v>
      </c>
      <c r="Q2079">
        <v>0.67078064758948786</v>
      </c>
      <c r="R2079" t="s">
        <v>109</v>
      </c>
      <c r="S2079">
        <v>2.7</v>
      </c>
      <c r="T2079" t="s">
        <v>110</v>
      </c>
      <c r="U2079">
        <v>2.7</v>
      </c>
      <c r="V2079">
        <v>1199.3307401172131</v>
      </c>
      <c r="W2079">
        <v>2.2887991223610928</v>
      </c>
      <c r="X2079" t="s">
        <v>111</v>
      </c>
      <c r="Y2079">
        <v>20</v>
      </c>
      <c r="Z2079">
        <v>0.44</v>
      </c>
      <c r="AA2079">
        <v>31.536000000000001</v>
      </c>
    </row>
    <row r="2080" spans="1:27" x14ac:dyDescent="0.25">
      <c r="A2080" t="s">
        <v>98</v>
      </c>
      <c r="B2080" t="s">
        <v>1024</v>
      </c>
      <c r="D2080" t="s">
        <v>1722</v>
      </c>
      <c r="E2080" t="s">
        <v>226</v>
      </c>
      <c r="F2080" t="s">
        <v>227</v>
      </c>
      <c r="G2080" t="s">
        <v>228</v>
      </c>
      <c r="H2080" t="s">
        <v>104</v>
      </c>
      <c r="I2080">
        <v>2025</v>
      </c>
      <c r="J2080" t="s">
        <v>234</v>
      </c>
      <c r="K2080" t="s">
        <v>106</v>
      </c>
      <c r="L2080" t="s">
        <v>2470</v>
      </c>
      <c r="M2080" t="s">
        <v>2473</v>
      </c>
      <c r="N2080">
        <v>1</v>
      </c>
      <c r="O2080">
        <v>2025</v>
      </c>
      <c r="P2080">
        <v>351.48905933689161</v>
      </c>
      <c r="Q2080">
        <v>0.67078064758948786</v>
      </c>
      <c r="R2080" t="s">
        <v>109</v>
      </c>
      <c r="S2080">
        <v>2.7</v>
      </c>
      <c r="T2080" t="s">
        <v>110</v>
      </c>
      <c r="U2080">
        <v>2.7</v>
      </c>
      <c r="V2080">
        <v>1199.3307401172131</v>
      </c>
      <c r="W2080">
        <v>2.2887991223610928</v>
      </c>
      <c r="X2080" t="s">
        <v>111</v>
      </c>
      <c r="Y2080">
        <v>20</v>
      </c>
      <c r="Z2080">
        <v>0.44</v>
      </c>
      <c r="AA2080">
        <v>31.536000000000001</v>
      </c>
    </row>
    <row r="2081" spans="1:27" x14ac:dyDescent="0.25">
      <c r="A2081" t="s">
        <v>98</v>
      </c>
      <c r="B2081" t="s">
        <v>1024</v>
      </c>
      <c r="D2081" t="s">
        <v>1722</v>
      </c>
      <c r="E2081" t="s">
        <v>226</v>
      </c>
      <c r="F2081" t="s">
        <v>227</v>
      </c>
      <c r="G2081" t="s">
        <v>228</v>
      </c>
      <c r="H2081" t="s">
        <v>104</v>
      </c>
      <c r="I2081">
        <v>2026</v>
      </c>
      <c r="J2081" t="s">
        <v>236</v>
      </c>
      <c r="K2081" t="s">
        <v>106</v>
      </c>
      <c r="L2081" t="s">
        <v>2470</v>
      </c>
      <c r="M2081" t="s">
        <v>2474</v>
      </c>
      <c r="N2081">
        <v>1</v>
      </c>
      <c r="O2081">
        <v>2026</v>
      </c>
      <c r="P2081">
        <v>351.48905933689161</v>
      </c>
      <c r="Q2081">
        <v>0.67078064758948786</v>
      </c>
      <c r="R2081" t="s">
        <v>109</v>
      </c>
      <c r="S2081">
        <v>2.7</v>
      </c>
      <c r="T2081" t="s">
        <v>110</v>
      </c>
      <c r="U2081">
        <v>2.7</v>
      </c>
      <c r="V2081">
        <v>1199.3307401172131</v>
      </c>
      <c r="W2081">
        <v>2.2887991223610928</v>
      </c>
      <c r="X2081" t="s">
        <v>111</v>
      </c>
      <c r="Y2081">
        <v>20</v>
      </c>
      <c r="Z2081">
        <v>0.44</v>
      </c>
      <c r="AA2081">
        <v>31.536000000000001</v>
      </c>
    </row>
    <row r="2082" spans="1:27" x14ac:dyDescent="0.25">
      <c r="A2082" t="s">
        <v>98</v>
      </c>
      <c r="B2082" t="s">
        <v>1024</v>
      </c>
      <c r="D2082" t="s">
        <v>1722</v>
      </c>
      <c r="E2082" t="s">
        <v>226</v>
      </c>
      <c r="F2082" t="s">
        <v>227</v>
      </c>
      <c r="G2082" t="s">
        <v>228</v>
      </c>
      <c r="H2082" t="s">
        <v>104</v>
      </c>
      <c r="I2082">
        <v>2027</v>
      </c>
      <c r="J2082" t="s">
        <v>238</v>
      </c>
      <c r="K2082" t="s">
        <v>106</v>
      </c>
      <c r="L2082" t="s">
        <v>2470</v>
      </c>
      <c r="M2082" t="s">
        <v>2475</v>
      </c>
      <c r="N2082">
        <v>1</v>
      </c>
      <c r="O2082">
        <v>2027</v>
      </c>
      <c r="P2082">
        <v>351.48905933689161</v>
      </c>
      <c r="Q2082">
        <v>0.67078064758948786</v>
      </c>
      <c r="R2082" t="s">
        <v>109</v>
      </c>
      <c r="S2082">
        <v>2.7</v>
      </c>
      <c r="T2082" t="s">
        <v>110</v>
      </c>
      <c r="U2082">
        <v>2.7</v>
      </c>
      <c r="V2082">
        <v>1199.3307401172131</v>
      </c>
      <c r="W2082">
        <v>2.2887991223610928</v>
      </c>
      <c r="X2082" t="s">
        <v>111</v>
      </c>
      <c r="Y2082">
        <v>20</v>
      </c>
      <c r="Z2082">
        <v>0.44</v>
      </c>
      <c r="AA2082">
        <v>31.536000000000001</v>
      </c>
    </row>
    <row r="2083" spans="1:27" x14ac:dyDescent="0.25">
      <c r="A2083" t="s">
        <v>98</v>
      </c>
      <c r="B2083" t="s">
        <v>1024</v>
      </c>
      <c r="D2083" t="s">
        <v>1722</v>
      </c>
      <c r="E2083" t="s">
        <v>226</v>
      </c>
      <c r="F2083" t="s">
        <v>240</v>
      </c>
      <c r="G2083" t="s">
        <v>103</v>
      </c>
      <c r="H2083" t="s">
        <v>104</v>
      </c>
      <c r="I2083">
        <v>2022</v>
      </c>
      <c r="J2083" t="s">
        <v>241</v>
      </c>
      <c r="K2083" t="s">
        <v>106</v>
      </c>
      <c r="L2083" t="s">
        <v>2470</v>
      </c>
      <c r="M2083" t="s">
        <v>2476</v>
      </c>
      <c r="N2083">
        <v>1</v>
      </c>
      <c r="O2083">
        <v>2020</v>
      </c>
      <c r="P2083">
        <v>364.1638033744108</v>
      </c>
      <c r="Q2083">
        <v>0.71474740603417231</v>
      </c>
      <c r="R2083" t="s">
        <v>109</v>
      </c>
      <c r="S2083">
        <v>3.9</v>
      </c>
      <c r="T2083" t="s">
        <v>110</v>
      </c>
      <c r="U2083">
        <v>3.9</v>
      </c>
      <c r="V2083">
        <v>1242.578772292075</v>
      </c>
      <c r="W2083">
        <v>2.4388199652445048</v>
      </c>
      <c r="X2083" t="s">
        <v>111</v>
      </c>
      <c r="Y2083">
        <v>15</v>
      </c>
      <c r="Z2083">
        <v>0.44</v>
      </c>
      <c r="AA2083">
        <v>31.536000000000001</v>
      </c>
    </row>
    <row r="2084" spans="1:27" hidden="1" x14ac:dyDescent="0.25">
      <c r="A2084" t="s">
        <v>98</v>
      </c>
      <c r="B2084" t="s">
        <v>1024</v>
      </c>
      <c r="D2084" t="s">
        <v>1722</v>
      </c>
      <c r="E2084" t="s">
        <v>243</v>
      </c>
      <c r="F2084" t="s">
        <v>244</v>
      </c>
      <c r="G2084" t="s">
        <v>245</v>
      </c>
      <c r="H2084" t="s">
        <v>104</v>
      </c>
      <c r="I2084">
        <v>2022</v>
      </c>
      <c r="J2084" t="s">
        <v>246</v>
      </c>
      <c r="K2084" t="s">
        <v>106</v>
      </c>
      <c r="L2084" t="s">
        <v>2477</v>
      </c>
      <c r="M2084" t="s">
        <v>2478</v>
      </c>
      <c r="N2084">
        <v>1</v>
      </c>
      <c r="O2084">
        <v>2020</v>
      </c>
      <c r="P2084">
        <v>5418.3180362120765</v>
      </c>
      <c r="Q2084">
        <v>63.780978532496562</v>
      </c>
      <c r="R2084" t="s">
        <v>249</v>
      </c>
      <c r="S2084">
        <v>0.41325750353930962</v>
      </c>
      <c r="T2084" t="s">
        <v>250</v>
      </c>
      <c r="U2084">
        <v>1</v>
      </c>
      <c r="V2084">
        <v>7640.3348848129563</v>
      </c>
      <c r="W2084">
        <v>89.937141380872987</v>
      </c>
      <c r="X2084" t="s">
        <v>111</v>
      </c>
      <c r="Y2084">
        <v>20</v>
      </c>
      <c r="Z2084">
        <v>0.44</v>
      </c>
      <c r="AA2084">
        <v>31.536000000000001</v>
      </c>
    </row>
    <row r="2085" spans="1:27" hidden="1" x14ac:dyDescent="0.25">
      <c r="A2085" t="s">
        <v>98</v>
      </c>
      <c r="B2085" t="s">
        <v>1024</v>
      </c>
      <c r="D2085" t="s">
        <v>1722</v>
      </c>
      <c r="E2085" t="s">
        <v>243</v>
      </c>
      <c r="F2085" t="s">
        <v>244</v>
      </c>
      <c r="G2085" t="s">
        <v>103</v>
      </c>
      <c r="H2085" t="s">
        <v>104</v>
      </c>
      <c r="I2085">
        <v>2022</v>
      </c>
      <c r="J2085" t="s">
        <v>251</v>
      </c>
      <c r="K2085" t="s">
        <v>106</v>
      </c>
      <c r="L2085" t="s">
        <v>2477</v>
      </c>
      <c r="M2085" t="s">
        <v>2479</v>
      </c>
      <c r="N2085">
        <v>1</v>
      </c>
      <c r="O2085">
        <v>2020</v>
      </c>
      <c r="P2085">
        <v>5667.3116722418044</v>
      </c>
      <c r="Q2085">
        <v>63.780978532496562</v>
      </c>
      <c r="R2085" t="s">
        <v>249</v>
      </c>
      <c r="S2085">
        <v>0.43508713487380868</v>
      </c>
      <c r="T2085" t="s">
        <v>250</v>
      </c>
      <c r="U2085">
        <v>1.052823315118397</v>
      </c>
      <c r="V2085">
        <v>7991.4391852139524</v>
      </c>
      <c r="W2085">
        <v>89.937141380873001</v>
      </c>
      <c r="X2085" t="s">
        <v>111</v>
      </c>
      <c r="Y2085">
        <v>20</v>
      </c>
      <c r="Z2085">
        <v>0.44</v>
      </c>
      <c r="AA2085">
        <v>31.536000000000001</v>
      </c>
    </row>
    <row r="2086" spans="1:27" hidden="1" x14ac:dyDescent="0.25">
      <c r="A2086" t="s">
        <v>98</v>
      </c>
      <c r="B2086" t="s">
        <v>1024</v>
      </c>
      <c r="D2086" t="s">
        <v>1722</v>
      </c>
      <c r="E2086" t="s">
        <v>243</v>
      </c>
      <c r="F2086" t="s">
        <v>244</v>
      </c>
      <c r="G2086" t="s">
        <v>112</v>
      </c>
      <c r="H2086" t="s">
        <v>104</v>
      </c>
      <c r="I2086">
        <v>2022</v>
      </c>
      <c r="J2086" t="s">
        <v>253</v>
      </c>
      <c r="K2086" t="s">
        <v>106</v>
      </c>
      <c r="L2086" t="s">
        <v>2477</v>
      </c>
      <c r="M2086" t="s">
        <v>2480</v>
      </c>
      <c r="N2086">
        <v>1</v>
      </c>
      <c r="O2086">
        <v>2020</v>
      </c>
      <c r="P2086">
        <v>5911.8706390075113</v>
      </c>
      <c r="Q2086">
        <v>63.780978532496562</v>
      </c>
      <c r="R2086" t="s">
        <v>249</v>
      </c>
      <c r="S2086">
        <v>0.44315925240393511</v>
      </c>
      <c r="T2086" t="s">
        <v>250</v>
      </c>
      <c r="U2086">
        <v>1.0723562152133581</v>
      </c>
      <c r="V2086">
        <v>8336.2901874412255</v>
      </c>
      <c r="W2086">
        <v>89.937141380873001</v>
      </c>
      <c r="X2086" t="s">
        <v>111</v>
      </c>
      <c r="Y2086">
        <v>20</v>
      </c>
      <c r="Z2086">
        <v>0.44</v>
      </c>
      <c r="AA2086">
        <v>31.536000000000001</v>
      </c>
    </row>
    <row r="2087" spans="1:27" hidden="1" x14ac:dyDescent="0.25">
      <c r="A2087" t="s">
        <v>98</v>
      </c>
      <c r="B2087" t="s">
        <v>1024</v>
      </c>
      <c r="D2087" t="s">
        <v>1722</v>
      </c>
      <c r="E2087" t="s">
        <v>243</v>
      </c>
      <c r="F2087" t="s">
        <v>244</v>
      </c>
      <c r="G2087" t="s">
        <v>103</v>
      </c>
      <c r="H2087" t="s">
        <v>104</v>
      </c>
      <c r="I2087">
        <v>2030</v>
      </c>
      <c r="J2087" t="s">
        <v>255</v>
      </c>
      <c r="K2087" t="s">
        <v>106</v>
      </c>
      <c r="L2087" t="s">
        <v>2477</v>
      </c>
      <c r="M2087" t="s">
        <v>2481</v>
      </c>
      <c r="N2087">
        <v>1</v>
      </c>
      <c r="O2087">
        <v>2030</v>
      </c>
      <c r="P2087">
        <v>5667.3116722418044</v>
      </c>
      <c r="Q2087">
        <v>63.780978532496562</v>
      </c>
      <c r="R2087" t="s">
        <v>249</v>
      </c>
      <c r="S2087">
        <v>0.43508713487380868</v>
      </c>
      <c r="T2087" t="s">
        <v>250</v>
      </c>
      <c r="U2087">
        <v>1.052823315118397</v>
      </c>
      <c r="V2087">
        <v>7991.4391852139524</v>
      </c>
      <c r="W2087">
        <v>89.937141380873001</v>
      </c>
      <c r="X2087" t="s">
        <v>111</v>
      </c>
      <c r="Y2087">
        <v>20</v>
      </c>
      <c r="Z2087">
        <v>0.44</v>
      </c>
      <c r="AA2087">
        <v>31.536000000000001</v>
      </c>
    </row>
    <row r="2088" spans="1:27" hidden="1" x14ac:dyDescent="0.25">
      <c r="A2088" t="s">
        <v>98</v>
      </c>
      <c r="B2088" t="s">
        <v>1024</v>
      </c>
      <c r="D2088" t="s">
        <v>1722</v>
      </c>
      <c r="E2088" t="s">
        <v>243</v>
      </c>
      <c r="F2088" t="s">
        <v>244</v>
      </c>
      <c r="G2088" t="s">
        <v>112</v>
      </c>
      <c r="H2088" t="s">
        <v>104</v>
      </c>
      <c r="I2088">
        <v>2030</v>
      </c>
      <c r="J2088" t="s">
        <v>257</v>
      </c>
      <c r="K2088" t="s">
        <v>106</v>
      </c>
      <c r="L2088" t="s">
        <v>2477</v>
      </c>
      <c r="M2088" t="s">
        <v>2482</v>
      </c>
      <c r="N2088">
        <v>1</v>
      </c>
      <c r="O2088">
        <v>2030</v>
      </c>
      <c r="P2088">
        <v>5911.8706390075113</v>
      </c>
      <c r="Q2088">
        <v>63.780978532496562</v>
      </c>
      <c r="R2088" t="s">
        <v>249</v>
      </c>
      <c r="S2088">
        <v>0.44315925240393511</v>
      </c>
      <c r="T2088" t="s">
        <v>250</v>
      </c>
      <c r="U2088">
        <v>1.0723562152133581</v>
      </c>
      <c r="V2088">
        <v>8336.2901874412255</v>
      </c>
      <c r="W2088">
        <v>89.937141380873001</v>
      </c>
      <c r="X2088" t="s">
        <v>111</v>
      </c>
      <c r="Y2088">
        <v>20</v>
      </c>
      <c r="Z2088">
        <v>0.44</v>
      </c>
      <c r="AA2088">
        <v>31.536000000000001</v>
      </c>
    </row>
    <row r="2089" spans="1:27" hidden="1" x14ac:dyDescent="0.25">
      <c r="A2089" t="s">
        <v>98</v>
      </c>
      <c r="B2089" t="s">
        <v>1024</v>
      </c>
      <c r="D2089" t="s">
        <v>1722</v>
      </c>
      <c r="E2089" t="s">
        <v>243</v>
      </c>
      <c r="F2089" t="s">
        <v>244</v>
      </c>
      <c r="G2089" t="s">
        <v>103</v>
      </c>
      <c r="H2089" t="s">
        <v>104</v>
      </c>
      <c r="I2089">
        <v>2040</v>
      </c>
      <c r="J2089" t="s">
        <v>259</v>
      </c>
      <c r="K2089" t="s">
        <v>106</v>
      </c>
      <c r="L2089" t="s">
        <v>2477</v>
      </c>
      <c r="M2089" t="s">
        <v>2483</v>
      </c>
      <c r="N2089">
        <v>1</v>
      </c>
      <c r="O2089">
        <v>2040</v>
      </c>
      <c r="P2089">
        <v>5667.3116722418044</v>
      </c>
      <c r="Q2089">
        <v>63.780978532496562</v>
      </c>
      <c r="R2089" t="s">
        <v>249</v>
      </c>
      <c r="S2089">
        <v>0.43508713487380868</v>
      </c>
      <c r="T2089" t="s">
        <v>250</v>
      </c>
      <c r="U2089">
        <v>1.052823315118397</v>
      </c>
      <c r="V2089">
        <v>7991.4391852139524</v>
      </c>
      <c r="W2089">
        <v>89.937141380873001</v>
      </c>
      <c r="X2089" t="s">
        <v>111</v>
      </c>
      <c r="Y2089">
        <v>20</v>
      </c>
      <c r="Z2089">
        <v>0.44</v>
      </c>
      <c r="AA2089">
        <v>31.536000000000001</v>
      </c>
    </row>
    <row r="2090" spans="1:27" hidden="1" x14ac:dyDescent="0.25">
      <c r="A2090" t="s">
        <v>98</v>
      </c>
      <c r="B2090" t="s">
        <v>1024</v>
      </c>
      <c r="D2090" t="s">
        <v>1722</v>
      </c>
      <c r="E2090" t="s">
        <v>243</v>
      </c>
      <c r="F2090" t="s">
        <v>244</v>
      </c>
      <c r="G2090" t="s">
        <v>112</v>
      </c>
      <c r="H2090" t="s">
        <v>104</v>
      </c>
      <c r="I2090">
        <v>2040</v>
      </c>
      <c r="J2090" t="s">
        <v>261</v>
      </c>
      <c r="K2090" t="s">
        <v>106</v>
      </c>
      <c r="L2090" t="s">
        <v>2477</v>
      </c>
      <c r="M2090" t="s">
        <v>2484</v>
      </c>
      <c r="N2090">
        <v>1</v>
      </c>
      <c r="O2090">
        <v>2040</v>
      </c>
      <c r="P2090">
        <v>5911.8706390075113</v>
      </c>
      <c r="Q2090">
        <v>63.780978532496562</v>
      </c>
      <c r="R2090" t="s">
        <v>249</v>
      </c>
      <c r="S2090">
        <v>0.44315925240393511</v>
      </c>
      <c r="T2090" t="s">
        <v>250</v>
      </c>
      <c r="U2090">
        <v>1.0723562152133581</v>
      </c>
      <c r="V2090">
        <v>8336.2901874412255</v>
      </c>
      <c r="W2090">
        <v>89.937141380873001</v>
      </c>
      <c r="X2090" t="s">
        <v>111</v>
      </c>
      <c r="Y2090">
        <v>20</v>
      </c>
      <c r="Z2090">
        <v>0.44</v>
      </c>
      <c r="AA2090">
        <v>31.536000000000001</v>
      </c>
    </row>
    <row r="2091" spans="1:27" hidden="1" x14ac:dyDescent="0.25">
      <c r="A2091" t="s">
        <v>98</v>
      </c>
      <c r="B2091" t="s">
        <v>1024</v>
      </c>
      <c r="D2091" t="s">
        <v>1722</v>
      </c>
      <c r="E2091" t="s">
        <v>243</v>
      </c>
      <c r="F2091" t="s">
        <v>244</v>
      </c>
      <c r="G2091" t="s">
        <v>103</v>
      </c>
      <c r="H2091" t="s">
        <v>104</v>
      </c>
      <c r="I2091">
        <v>2050</v>
      </c>
      <c r="J2091" t="s">
        <v>263</v>
      </c>
      <c r="K2091" t="s">
        <v>106</v>
      </c>
      <c r="L2091" t="s">
        <v>2477</v>
      </c>
      <c r="M2091" t="s">
        <v>2485</v>
      </c>
      <c r="N2091">
        <v>1</v>
      </c>
      <c r="O2091">
        <v>2050</v>
      </c>
      <c r="P2091">
        <v>5667.3116722418044</v>
      </c>
      <c r="Q2091">
        <v>63.780978532496562</v>
      </c>
      <c r="R2091" t="s">
        <v>249</v>
      </c>
      <c r="S2091">
        <v>0.43508713487380868</v>
      </c>
      <c r="T2091" t="s">
        <v>250</v>
      </c>
      <c r="U2091">
        <v>1.052823315118397</v>
      </c>
      <c r="V2091">
        <v>7991.4391852139524</v>
      </c>
      <c r="W2091">
        <v>89.937141380873001</v>
      </c>
      <c r="X2091" t="s">
        <v>111</v>
      </c>
      <c r="Y2091">
        <v>20</v>
      </c>
      <c r="Z2091">
        <v>0.44</v>
      </c>
      <c r="AA2091">
        <v>31.536000000000001</v>
      </c>
    </row>
    <row r="2092" spans="1:27" hidden="1" x14ac:dyDescent="0.25">
      <c r="A2092" t="s">
        <v>98</v>
      </c>
      <c r="B2092" t="s">
        <v>1024</v>
      </c>
      <c r="D2092" t="s">
        <v>1722</v>
      </c>
      <c r="E2092" t="s">
        <v>243</v>
      </c>
      <c r="F2092" t="s">
        <v>244</v>
      </c>
      <c r="G2092" t="s">
        <v>112</v>
      </c>
      <c r="H2092" t="s">
        <v>104</v>
      </c>
      <c r="I2092">
        <v>2050</v>
      </c>
      <c r="J2092" t="s">
        <v>265</v>
      </c>
      <c r="K2092" t="s">
        <v>106</v>
      </c>
      <c r="L2092" t="s">
        <v>2477</v>
      </c>
      <c r="M2092" t="s">
        <v>2486</v>
      </c>
      <c r="N2092">
        <v>1</v>
      </c>
      <c r="O2092">
        <v>2050</v>
      </c>
      <c r="P2092">
        <v>5911.8706390075113</v>
      </c>
      <c r="Q2092">
        <v>63.780978532496562</v>
      </c>
      <c r="R2092" t="s">
        <v>249</v>
      </c>
      <c r="S2092">
        <v>0.44315925240393511</v>
      </c>
      <c r="T2092" t="s">
        <v>250</v>
      </c>
      <c r="U2092">
        <v>1.0723562152133581</v>
      </c>
      <c r="V2092">
        <v>8336.2901874412255</v>
      </c>
      <c r="W2092">
        <v>89.937141380873001</v>
      </c>
      <c r="X2092" t="s">
        <v>111</v>
      </c>
      <c r="Y2092">
        <v>20</v>
      </c>
      <c r="Z2092">
        <v>0.44</v>
      </c>
      <c r="AA2092">
        <v>31.536000000000001</v>
      </c>
    </row>
    <row r="2093" spans="1:27" hidden="1" x14ac:dyDescent="0.25">
      <c r="A2093" t="s">
        <v>98</v>
      </c>
      <c r="B2093" t="s">
        <v>1024</v>
      </c>
      <c r="D2093" t="s">
        <v>1722</v>
      </c>
      <c r="E2093" t="s">
        <v>243</v>
      </c>
      <c r="F2093" t="s">
        <v>267</v>
      </c>
      <c r="G2093" t="s">
        <v>245</v>
      </c>
      <c r="H2093" t="s">
        <v>104</v>
      </c>
      <c r="I2093">
        <v>2022</v>
      </c>
      <c r="J2093" t="s">
        <v>268</v>
      </c>
      <c r="K2093" t="s">
        <v>106</v>
      </c>
      <c r="L2093" t="s">
        <v>2477</v>
      </c>
      <c r="M2093" t="s">
        <v>2487</v>
      </c>
      <c r="N2093">
        <v>1</v>
      </c>
      <c r="O2093">
        <v>2020</v>
      </c>
      <c r="P2093">
        <v>7748.5410872802086</v>
      </c>
      <c r="Q2093">
        <v>68.755259026523561</v>
      </c>
      <c r="R2093" t="s">
        <v>249</v>
      </c>
      <c r="S2093">
        <v>0.29876527460377861</v>
      </c>
      <c r="T2093" t="s">
        <v>250</v>
      </c>
      <c r="U2093">
        <v>0.72295184490306452</v>
      </c>
      <c r="V2093">
        <v>10926.167194301681</v>
      </c>
      <c r="W2093">
        <v>96.951341826723592</v>
      </c>
      <c r="X2093" t="s">
        <v>111</v>
      </c>
      <c r="Y2093">
        <v>20</v>
      </c>
      <c r="Z2093">
        <v>0.44</v>
      </c>
      <c r="AA2093">
        <v>31.536000000000001</v>
      </c>
    </row>
    <row r="2094" spans="1:27" hidden="1" x14ac:dyDescent="0.25">
      <c r="A2094" t="s">
        <v>98</v>
      </c>
      <c r="B2094" t="s">
        <v>1024</v>
      </c>
      <c r="D2094" t="s">
        <v>1722</v>
      </c>
      <c r="E2094" t="s">
        <v>243</v>
      </c>
      <c r="F2094" t="s">
        <v>267</v>
      </c>
      <c r="G2094" t="s">
        <v>112</v>
      </c>
      <c r="H2094" t="s">
        <v>104</v>
      </c>
      <c r="I2094">
        <v>2022</v>
      </c>
      <c r="J2094" t="s">
        <v>270</v>
      </c>
      <c r="K2094" t="s">
        <v>106</v>
      </c>
      <c r="L2094" t="s">
        <v>2477</v>
      </c>
      <c r="M2094" t="s">
        <v>2488</v>
      </c>
      <c r="N2094">
        <v>1</v>
      </c>
      <c r="O2094">
        <v>2020</v>
      </c>
      <c r="P2094">
        <v>8151.6394802345676</v>
      </c>
      <c r="Q2094">
        <v>68.755259026523561</v>
      </c>
      <c r="R2094" t="s">
        <v>249</v>
      </c>
      <c r="S2094">
        <v>0.29876527460377861</v>
      </c>
      <c r="T2094" t="s">
        <v>250</v>
      </c>
      <c r="U2094">
        <v>0.72295184490306452</v>
      </c>
      <c r="V2094">
        <v>11494.57360623949</v>
      </c>
      <c r="W2094">
        <v>96.951341826723592</v>
      </c>
      <c r="X2094" t="s">
        <v>111</v>
      </c>
      <c r="Y2094">
        <v>20</v>
      </c>
      <c r="Z2094">
        <v>0.44</v>
      </c>
      <c r="AA2094">
        <v>31.536000000000001</v>
      </c>
    </row>
    <row r="2095" spans="1:27" hidden="1" x14ac:dyDescent="0.25">
      <c r="A2095" t="s">
        <v>98</v>
      </c>
      <c r="B2095" t="s">
        <v>1024</v>
      </c>
      <c r="D2095" t="s">
        <v>1722</v>
      </c>
      <c r="E2095" t="s">
        <v>243</v>
      </c>
      <c r="F2095" t="s">
        <v>267</v>
      </c>
      <c r="G2095" t="s">
        <v>103</v>
      </c>
      <c r="H2095" t="s">
        <v>104</v>
      </c>
      <c r="I2095">
        <v>2030</v>
      </c>
      <c r="J2095" t="s">
        <v>272</v>
      </c>
      <c r="K2095" t="s">
        <v>106</v>
      </c>
      <c r="L2095" t="s">
        <v>2477</v>
      </c>
      <c r="M2095" t="s">
        <v>2489</v>
      </c>
      <c r="N2095">
        <v>1</v>
      </c>
      <c r="O2095">
        <v>2030</v>
      </c>
      <c r="P2095">
        <v>8119.0316179991396</v>
      </c>
      <c r="Q2095">
        <v>68.755259026523561</v>
      </c>
      <c r="R2095" t="s">
        <v>249</v>
      </c>
      <c r="S2095">
        <v>0.29876527460377861</v>
      </c>
      <c r="T2095" t="s">
        <v>250</v>
      </c>
      <c r="U2095">
        <v>0.72295184490306452</v>
      </c>
      <c r="V2095">
        <v>11448.59347260918</v>
      </c>
      <c r="W2095">
        <v>96.951341826723592</v>
      </c>
      <c r="X2095" t="s">
        <v>111</v>
      </c>
      <c r="Y2095">
        <v>20</v>
      </c>
      <c r="Z2095">
        <v>0.44</v>
      </c>
      <c r="AA2095">
        <v>31.536000000000001</v>
      </c>
    </row>
    <row r="2096" spans="1:27" hidden="1" x14ac:dyDescent="0.25">
      <c r="A2096" t="s">
        <v>98</v>
      </c>
      <c r="B2096" t="s">
        <v>1024</v>
      </c>
      <c r="D2096" t="s">
        <v>1722</v>
      </c>
      <c r="E2096" t="s">
        <v>243</v>
      </c>
      <c r="F2096" t="s">
        <v>267</v>
      </c>
      <c r="G2096" t="s">
        <v>112</v>
      </c>
      <c r="H2096" t="s">
        <v>104</v>
      </c>
      <c r="I2096">
        <v>2030</v>
      </c>
      <c r="J2096" t="s">
        <v>274</v>
      </c>
      <c r="K2096" t="s">
        <v>106</v>
      </c>
      <c r="L2096" t="s">
        <v>2477</v>
      </c>
      <c r="M2096" t="s">
        <v>2490</v>
      </c>
      <c r="N2096">
        <v>1</v>
      </c>
      <c r="O2096">
        <v>2030</v>
      </c>
      <c r="P2096">
        <v>8151.6394802345676</v>
      </c>
      <c r="Q2096">
        <v>68.755259026523561</v>
      </c>
      <c r="R2096" t="s">
        <v>249</v>
      </c>
      <c r="S2096">
        <v>0.31450011460924421</v>
      </c>
      <c r="T2096" t="s">
        <v>250</v>
      </c>
      <c r="U2096">
        <v>0.76102699144173802</v>
      </c>
      <c r="V2096">
        <v>11494.57360623949</v>
      </c>
      <c r="W2096">
        <v>96.951341826723578</v>
      </c>
      <c r="X2096" t="s">
        <v>111</v>
      </c>
      <c r="Y2096">
        <v>20</v>
      </c>
      <c r="Z2096">
        <v>0.44</v>
      </c>
      <c r="AA2096">
        <v>31.536000000000001</v>
      </c>
    </row>
    <row r="2097" spans="1:27" hidden="1" x14ac:dyDescent="0.25">
      <c r="A2097" t="s">
        <v>98</v>
      </c>
      <c r="B2097" t="s">
        <v>1024</v>
      </c>
      <c r="D2097" t="s">
        <v>1722</v>
      </c>
      <c r="E2097" t="s">
        <v>243</v>
      </c>
      <c r="F2097" t="s">
        <v>267</v>
      </c>
      <c r="G2097" t="s">
        <v>103</v>
      </c>
      <c r="H2097" t="s">
        <v>104</v>
      </c>
      <c r="I2097">
        <v>2040</v>
      </c>
      <c r="J2097" t="s">
        <v>276</v>
      </c>
      <c r="K2097" t="s">
        <v>106</v>
      </c>
      <c r="L2097" t="s">
        <v>2477</v>
      </c>
      <c r="M2097" t="s">
        <v>2491</v>
      </c>
      <c r="N2097">
        <v>1</v>
      </c>
      <c r="O2097">
        <v>2040</v>
      </c>
      <c r="P2097">
        <v>8119.0316179991396</v>
      </c>
      <c r="Q2097">
        <v>68.755259026523561</v>
      </c>
      <c r="R2097" t="s">
        <v>249</v>
      </c>
      <c r="S2097">
        <v>0.29876527460377861</v>
      </c>
      <c r="T2097" t="s">
        <v>250</v>
      </c>
      <c r="U2097">
        <v>0.72295184490306452</v>
      </c>
      <c r="V2097">
        <v>11448.59347260918</v>
      </c>
      <c r="W2097">
        <v>96.951341826723592</v>
      </c>
      <c r="X2097" t="s">
        <v>111</v>
      </c>
      <c r="Y2097">
        <v>20</v>
      </c>
      <c r="Z2097">
        <v>0.44</v>
      </c>
      <c r="AA2097">
        <v>31.536000000000001</v>
      </c>
    </row>
    <row r="2098" spans="1:27" hidden="1" x14ac:dyDescent="0.25">
      <c r="A2098" t="s">
        <v>98</v>
      </c>
      <c r="B2098" t="s">
        <v>1024</v>
      </c>
      <c r="D2098" t="s">
        <v>1722</v>
      </c>
      <c r="E2098" t="s">
        <v>243</v>
      </c>
      <c r="F2098" t="s">
        <v>267</v>
      </c>
      <c r="G2098" t="s">
        <v>112</v>
      </c>
      <c r="H2098" t="s">
        <v>104</v>
      </c>
      <c r="I2098">
        <v>2040</v>
      </c>
      <c r="J2098" t="s">
        <v>278</v>
      </c>
      <c r="K2098" t="s">
        <v>106</v>
      </c>
      <c r="L2098" t="s">
        <v>2477</v>
      </c>
      <c r="M2098" t="s">
        <v>2492</v>
      </c>
      <c r="N2098">
        <v>1</v>
      </c>
      <c r="O2098">
        <v>2040</v>
      </c>
      <c r="P2098">
        <v>8151.6394802345676</v>
      </c>
      <c r="Q2098">
        <v>68.755259026523561</v>
      </c>
      <c r="R2098" t="s">
        <v>249</v>
      </c>
      <c r="S2098">
        <v>0.31450011460924421</v>
      </c>
      <c r="T2098" t="s">
        <v>250</v>
      </c>
      <c r="U2098">
        <v>0.76102699144173802</v>
      </c>
      <c r="V2098">
        <v>11494.57360623949</v>
      </c>
      <c r="W2098">
        <v>96.951341826723578</v>
      </c>
      <c r="X2098" t="s">
        <v>111</v>
      </c>
      <c r="Y2098">
        <v>20</v>
      </c>
      <c r="Z2098">
        <v>0.44</v>
      </c>
      <c r="AA2098">
        <v>31.536000000000001</v>
      </c>
    </row>
    <row r="2099" spans="1:27" hidden="1" x14ac:dyDescent="0.25">
      <c r="A2099" t="s">
        <v>98</v>
      </c>
      <c r="B2099" t="s">
        <v>1024</v>
      </c>
      <c r="D2099" t="s">
        <v>1722</v>
      </c>
      <c r="E2099" t="s">
        <v>243</v>
      </c>
      <c r="F2099" t="s">
        <v>267</v>
      </c>
      <c r="G2099" t="s">
        <v>103</v>
      </c>
      <c r="H2099" t="s">
        <v>104</v>
      </c>
      <c r="I2099">
        <v>2050</v>
      </c>
      <c r="J2099" t="s">
        <v>280</v>
      </c>
      <c r="K2099" t="s">
        <v>106</v>
      </c>
      <c r="L2099" t="s">
        <v>2477</v>
      </c>
      <c r="M2099" t="s">
        <v>2493</v>
      </c>
      <c r="N2099">
        <v>1</v>
      </c>
      <c r="O2099">
        <v>2050</v>
      </c>
      <c r="P2099">
        <v>8119.0316179991396</v>
      </c>
      <c r="Q2099">
        <v>68.755259026523561</v>
      </c>
      <c r="R2099" t="s">
        <v>249</v>
      </c>
      <c r="S2099">
        <v>0.29876527460377861</v>
      </c>
      <c r="T2099" t="s">
        <v>250</v>
      </c>
      <c r="U2099">
        <v>0.72295184490306452</v>
      </c>
      <c r="V2099">
        <v>11448.59347260918</v>
      </c>
      <c r="W2099">
        <v>96.951341826723592</v>
      </c>
      <c r="X2099" t="s">
        <v>111</v>
      </c>
      <c r="Y2099">
        <v>20</v>
      </c>
      <c r="Z2099">
        <v>0.44</v>
      </c>
      <c r="AA2099">
        <v>31.536000000000001</v>
      </c>
    </row>
    <row r="2100" spans="1:27" hidden="1" x14ac:dyDescent="0.25">
      <c r="A2100" t="s">
        <v>98</v>
      </c>
      <c r="B2100" t="s">
        <v>1024</v>
      </c>
      <c r="D2100" t="s">
        <v>1722</v>
      </c>
      <c r="E2100" t="s">
        <v>243</v>
      </c>
      <c r="F2100" t="s">
        <v>267</v>
      </c>
      <c r="G2100" t="s">
        <v>112</v>
      </c>
      <c r="H2100" t="s">
        <v>104</v>
      </c>
      <c r="I2100">
        <v>2050</v>
      </c>
      <c r="J2100" t="s">
        <v>282</v>
      </c>
      <c r="K2100" t="s">
        <v>106</v>
      </c>
      <c r="L2100" t="s">
        <v>2477</v>
      </c>
      <c r="M2100" t="s">
        <v>2494</v>
      </c>
      <c r="N2100">
        <v>1</v>
      </c>
      <c r="O2100">
        <v>2050</v>
      </c>
      <c r="P2100">
        <v>8151.6394802345676</v>
      </c>
      <c r="Q2100">
        <v>68.755259026523561</v>
      </c>
      <c r="R2100" t="s">
        <v>249</v>
      </c>
      <c r="S2100">
        <v>0.31450011460924421</v>
      </c>
      <c r="T2100" t="s">
        <v>250</v>
      </c>
      <c r="U2100">
        <v>0.76102699144173802</v>
      </c>
      <c r="V2100">
        <v>11494.57360623949</v>
      </c>
      <c r="W2100">
        <v>96.951341826723578</v>
      </c>
      <c r="X2100" t="s">
        <v>111</v>
      </c>
      <c r="Y2100">
        <v>20</v>
      </c>
      <c r="Z2100">
        <v>0.44</v>
      </c>
      <c r="AA2100">
        <v>31.536000000000001</v>
      </c>
    </row>
    <row r="2101" spans="1:27" hidden="1" x14ac:dyDescent="0.25">
      <c r="A2101" t="s">
        <v>98</v>
      </c>
      <c r="B2101" t="s">
        <v>1024</v>
      </c>
      <c r="D2101" t="s">
        <v>1722</v>
      </c>
      <c r="E2101" t="s">
        <v>284</v>
      </c>
      <c r="F2101" t="s">
        <v>285</v>
      </c>
      <c r="G2101" t="s">
        <v>103</v>
      </c>
      <c r="H2101" t="s">
        <v>104</v>
      </c>
      <c r="I2101">
        <v>2022</v>
      </c>
      <c r="J2101" t="s">
        <v>286</v>
      </c>
      <c r="K2101" t="s">
        <v>106</v>
      </c>
      <c r="L2101" t="s">
        <v>2495</v>
      </c>
      <c r="M2101" t="s">
        <v>2496</v>
      </c>
      <c r="N2101">
        <v>1</v>
      </c>
      <c r="O2101">
        <v>2020</v>
      </c>
      <c r="P2101">
        <v>100.10336678844671</v>
      </c>
      <c r="Q2101">
        <v>36.612504973710713</v>
      </c>
      <c r="R2101" t="s">
        <v>289</v>
      </c>
      <c r="S2101">
        <v>15.58191798941797</v>
      </c>
      <c r="T2101" t="s">
        <v>290</v>
      </c>
      <c r="U2101">
        <v>15.58191798941797</v>
      </c>
      <c r="V2101">
        <v>100.10336678844671</v>
      </c>
      <c r="W2101">
        <v>36.612504973710713</v>
      </c>
      <c r="X2101" t="s">
        <v>291</v>
      </c>
      <c r="Y2101">
        <v>10</v>
      </c>
      <c r="Z2101">
        <v>0.34401375729085998</v>
      </c>
      <c r="AA2101">
        <v>1</v>
      </c>
    </row>
    <row r="2102" spans="1:27" hidden="1" x14ac:dyDescent="0.25">
      <c r="A2102" t="s">
        <v>98</v>
      </c>
      <c r="B2102" t="s">
        <v>1024</v>
      </c>
      <c r="D2102" t="s">
        <v>1722</v>
      </c>
      <c r="E2102" t="s">
        <v>284</v>
      </c>
      <c r="F2102" t="s">
        <v>292</v>
      </c>
      <c r="G2102" t="s">
        <v>103</v>
      </c>
      <c r="H2102" t="s">
        <v>104</v>
      </c>
      <c r="I2102">
        <v>2022</v>
      </c>
      <c r="J2102" t="s">
        <v>293</v>
      </c>
      <c r="K2102" t="s">
        <v>106</v>
      </c>
      <c r="L2102" t="s">
        <v>2495</v>
      </c>
      <c r="M2102" t="s">
        <v>2497</v>
      </c>
      <c r="N2102">
        <v>1</v>
      </c>
      <c r="O2102">
        <v>2020</v>
      </c>
      <c r="P2102">
        <v>99.46253669701926</v>
      </c>
      <c r="Q2102">
        <v>6.0605044913603194</v>
      </c>
      <c r="R2102" t="s">
        <v>289</v>
      </c>
      <c r="S2102">
        <v>42.005691056910557</v>
      </c>
      <c r="T2102" t="s">
        <v>290</v>
      </c>
      <c r="U2102">
        <v>42.005691056910557</v>
      </c>
      <c r="V2102">
        <v>99.46253669701926</v>
      </c>
      <c r="W2102">
        <v>6.0605044913603194</v>
      </c>
      <c r="X2102" t="s">
        <v>291</v>
      </c>
      <c r="Y2102">
        <v>10</v>
      </c>
      <c r="Z2102">
        <v>0.34401375729085998</v>
      </c>
      <c r="AA2102">
        <v>1</v>
      </c>
    </row>
    <row r="2103" spans="1:27" hidden="1" x14ac:dyDescent="0.25">
      <c r="A2103" t="s">
        <v>98</v>
      </c>
      <c r="B2103" t="s">
        <v>1024</v>
      </c>
      <c r="D2103" t="s">
        <v>1722</v>
      </c>
      <c r="E2103" t="s">
        <v>284</v>
      </c>
      <c r="F2103" t="s">
        <v>292</v>
      </c>
      <c r="G2103" t="s">
        <v>112</v>
      </c>
      <c r="H2103" t="s">
        <v>104</v>
      </c>
      <c r="I2103">
        <v>2022</v>
      </c>
      <c r="J2103" t="s">
        <v>295</v>
      </c>
      <c r="K2103" t="s">
        <v>106</v>
      </c>
      <c r="L2103" t="s">
        <v>2495</v>
      </c>
      <c r="M2103" t="s">
        <v>2498</v>
      </c>
      <c r="N2103">
        <v>1</v>
      </c>
      <c r="O2103">
        <v>2020</v>
      </c>
      <c r="P2103">
        <v>92.517129414925563</v>
      </c>
      <c r="Q2103">
        <v>5.9256499638890956</v>
      </c>
      <c r="R2103" t="s">
        <v>289</v>
      </c>
      <c r="S2103">
        <v>43.051923076923067</v>
      </c>
      <c r="T2103" t="s">
        <v>290</v>
      </c>
      <c r="U2103">
        <v>43.051923076923067</v>
      </c>
      <c r="V2103">
        <v>92.517129414925563</v>
      </c>
      <c r="W2103">
        <v>5.9256499638890956</v>
      </c>
      <c r="X2103" t="s">
        <v>291</v>
      </c>
      <c r="Y2103">
        <v>10</v>
      </c>
      <c r="Z2103">
        <v>0.34401375729085998</v>
      </c>
      <c r="AA2103">
        <v>1</v>
      </c>
    </row>
    <row r="2104" spans="1:27" hidden="1" x14ac:dyDescent="0.25">
      <c r="A2104" t="s">
        <v>98</v>
      </c>
      <c r="B2104" t="s">
        <v>1024</v>
      </c>
      <c r="D2104" t="s">
        <v>1722</v>
      </c>
      <c r="E2104" t="s">
        <v>284</v>
      </c>
      <c r="F2104" t="s">
        <v>297</v>
      </c>
      <c r="G2104" t="s">
        <v>103</v>
      </c>
      <c r="H2104" t="s">
        <v>104</v>
      </c>
      <c r="I2104">
        <v>2022</v>
      </c>
      <c r="J2104" t="s">
        <v>298</v>
      </c>
      <c r="K2104" t="s">
        <v>106</v>
      </c>
      <c r="L2104" t="s">
        <v>2495</v>
      </c>
      <c r="M2104" t="s">
        <v>2499</v>
      </c>
      <c r="N2104">
        <v>1</v>
      </c>
      <c r="O2104">
        <v>2020</v>
      </c>
      <c r="P2104">
        <v>94.526951376087595</v>
      </c>
      <c r="Q2104">
        <v>3.949349451558744</v>
      </c>
      <c r="R2104" t="s">
        <v>289</v>
      </c>
      <c r="S2104">
        <v>76.146700507614213</v>
      </c>
      <c r="T2104" t="s">
        <v>290</v>
      </c>
      <c r="U2104">
        <v>76.146700507614213</v>
      </c>
      <c r="V2104">
        <v>94.526951376087595</v>
      </c>
      <c r="W2104">
        <v>3.949349451558744</v>
      </c>
      <c r="X2104" t="s">
        <v>291</v>
      </c>
      <c r="Y2104">
        <v>10</v>
      </c>
      <c r="Z2104">
        <v>0.34401375729085998</v>
      </c>
      <c r="AA2104">
        <v>1</v>
      </c>
    </row>
    <row r="2105" spans="1:27" hidden="1" x14ac:dyDescent="0.25">
      <c r="A2105" t="s">
        <v>98</v>
      </c>
      <c r="B2105" t="s">
        <v>1024</v>
      </c>
      <c r="D2105" t="s">
        <v>1722</v>
      </c>
      <c r="E2105" t="s">
        <v>284</v>
      </c>
      <c r="F2105" t="s">
        <v>297</v>
      </c>
      <c r="G2105" t="s">
        <v>112</v>
      </c>
      <c r="H2105" t="s">
        <v>104</v>
      </c>
      <c r="I2105">
        <v>2022</v>
      </c>
      <c r="J2105" t="s">
        <v>300</v>
      </c>
      <c r="K2105" t="s">
        <v>106</v>
      </c>
      <c r="L2105" t="s">
        <v>2495</v>
      </c>
      <c r="M2105" t="s">
        <v>2500</v>
      </c>
      <c r="N2105">
        <v>1</v>
      </c>
      <c r="O2105">
        <v>2020</v>
      </c>
      <c r="P2105">
        <v>69.765067810793198</v>
      </c>
      <c r="Q2105">
        <v>2.516631606553434</v>
      </c>
      <c r="R2105" t="s">
        <v>289</v>
      </c>
      <c r="S2105">
        <v>93</v>
      </c>
      <c r="T2105" t="s">
        <v>290</v>
      </c>
      <c r="U2105">
        <v>93</v>
      </c>
      <c r="V2105">
        <v>69.765067810793198</v>
      </c>
      <c r="W2105">
        <v>2.516631606553434</v>
      </c>
      <c r="X2105" t="s">
        <v>291</v>
      </c>
      <c r="Y2105">
        <v>10</v>
      </c>
      <c r="Z2105">
        <v>0.34401375729085998</v>
      </c>
      <c r="AA2105">
        <v>1</v>
      </c>
    </row>
    <row r="2106" spans="1:27" hidden="1" x14ac:dyDescent="0.25">
      <c r="A2106" t="s">
        <v>98</v>
      </c>
      <c r="B2106" t="s">
        <v>1024</v>
      </c>
      <c r="D2106" t="s">
        <v>1722</v>
      </c>
      <c r="E2106" t="s">
        <v>284</v>
      </c>
      <c r="F2106" t="s">
        <v>302</v>
      </c>
      <c r="G2106" t="s">
        <v>103</v>
      </c>
      <c r="H2106" t="s">
        <v>104</v>
      </c>
      <c r="I2106">
        <v>2022</v>
      </c>
      <c r="J2106" t="s">
        <v>303</v>
      </c>
      <c r="K2106" t="s">
        <v>106</v>
      </c>
      <c r="L2106" t="s">
        <v>2495</v>
      </c>
      <c r="M2106" t="s">
        <v>2501</v>
      </c>
      <c r="N2106">
        <v>1</v>
      </c>
      <c r="O2106">
        <v>2020</v>
      </c>
      <c r="P2106">
        <v>105.7930490817716</v>
      </c>
      <c r="Q2106">
        <v>3.355492309527206</v>
      </c>
      <c r="R2106" t="s">
        <v>289</v>
      </c>
      <c r="S2106">
        <v>64.669172932330824</v>
      </c>
      <c r="T2106" t="s">
        <v>290</v>
      </c>
      <c r="U2106">
        <v>64.669172932330824</v>
      </c>
      <c r="V2106">
        <v>105.7930490817716</v>
      </c>
      <c r="W2106">
        <v>3.355492309527206</v>
      </c>
      <c r="X2106" t="s">
        <v>291</v>
      </c>
      <c r="Y2106">
        <v>10</v>
      </c>
      <c r="Z2106">
        <v>0.34401375729085998</v>
      </c>
      <c r="AA2106">
        <v>1</v>
      </c>
    </row>
    <row r="2107" spans="1:27" hidden="1" x14ac:dyDescent="0.25">
      <c r="A2107" t="s">
        <v>98</v>
      </c>
      <c r="B2107" t="s">
        <v>1024</v>
      </c>
      <c r="D2107" t="s">
        <v>1722</v>
      </c>
      <c r="E2107" t="s">
        <v>284</v>
      </c>
      <c r="F2107" t="s">
        <v>302</v>
      </c>
      <c r="G2107" t="s">
        <v>112</v>
      </c>
      <c r="H2107" t="s">
        <v>104</v>
      </c>
      <c r="I2107">
        <v>2022</v>
      </c>
      <c r="J2107" t="s">
        <v>305</v>
      </c>
      <c r="K2107" t="s">
        <v>106</v>
      </c>
      <c r="L2107" t="s">
        <v>2495</v>
      </c>
      <c r="M2107" t="s">
        <v>2502</v>
      </c>
      <c r="N2107">
        <v>1</v>
      </c>
      <c r="O2107">
        <v>2020</v>
      </c>
      <c r="P2107">
        <v>99.614212714858894</v>
      </c>
      <c r="Q2107">
        <v>1.4361600838792941</v>
      </c>
      <c r="R2107" t="s">
        <v>289</v>
      </c>
      <c r="S2107">
        <v>75.07692307692308</v>
      </c>
      <c r="T2107" t="s">
        <v>290</v>
      </c>
      <c r="U2107">
        <v>75.07692307692308</v>
      </c>
      <c r="V2107">
        <v>99.614212714858894</v>
      </c>
      <c r="W2107">
        <v>1.4361600838792941</v>
      </c>
      <c r="X2107" t="s">
        <v>291</v>
      </c>
      <c r="Y2107">
        <v>10</v>
      </c>
      <c r="Z2107">
        <v>0.34401375729085998</v>
      </c>
      <c r="AA2107">
        <v>1</v>
      </c>
    </row>
    <row r="2108" spans="1:27" hidden="1" x14ac:dyDescent="0.25">
      <c r="A2108" t="s">
        <v>98</v>
      </c>
      <c r="B2108" t="s">
        <v>1024</v>
      </c>
      <c r="D2108" t="s">
        <v>1722</v>
      </c>
      <c r="E2108" t="s">
        <v>284</v>
      </c>
      <c r="F2108" t="s">
        <v>297</v>
      </c>
      <c r="G2108" t="s">
        <v>103</v>
      </c>
      <c r="H2108" t="s">
        <v>104</v>
      </c>
      <c r="I2108">
        <v>2023</v>
      </c>
      <c r="J2108" t="s">
        <v>307</v>
      </c>
      <c r="K2108" t="s">
        <v>106</v>
      </c>
      <c r="L2108" t="s">
        <v>2495</v>
      </c>
      <c r="M2108" t="s">
        <v>2503</v>
      </c>
      <c r="N2108">
        <v>1</v>
      </c>
      <c r="O2108">
        <v>2023</v>
      </c>
      <c r="P2108">
        <v>94.526951376087595</v>
      </c>
      <c r="Q2108">
        <v>3.949349451558744</v>
      </c>
      <c r="R2108" t="s">
        <v>289</v>
      </c>
      <c r="S2108">
        <v>76.146700507614213</v>
      </c>
      <c r="T2108" t="s">
        <v>290</v>
      </c>
      <c r="U2108">
        <v>76.146700507614213</v>
      </c>
      <c r="V2108">
        <v>94.526951376087595</v>
      </c>
      <c r="W2108">
        <v>3.949349451558744</v>
      </c>
      <c r="X2108" t="s">
        <v>291</v>
      </c>
      <c r="Y2108">
        <v>10</v>
      </c>
      <c r="Z2108">
        <v>0.34401375729085998</v>
      </c>
      <c r="AA2108">
        <v>1</v>
      </c>
    </row>
    <row r="2109" spans="1:27" hidden="1" x14ac:dyDescent="0.25">
      <c r="A2109" t="s">
        <v>98</v>
      </c>
      <c r="B2109" t="s">
        <v>1024</v>
      </c>
      <c r="D2109" t="s">
        <v>1722</v>
      </c>
      <c r="E2109" t="s">
        <v>284</v>
      </c>
      <c r="F2109" t="s">
        <v>297</v>
      </c>
      <c r="G2109" t="s">
        <v>112</v>
      </c>
      <c r="H2109" t="s">
        <v>104</v>
      </c>
      <c r="I2109">
        <v>2023</v>
      </c>
      <c r="J2109" t="s">
        <v>309</v>
      </c>
      <c r="K2109" t="s">
        <v>106</v>
      </c>
      <c r="L2109" t="s">
        <v>2495</v>
      </c>
      <c r="M2109" t="s">
        <v>2504</v>
      </c>
      <c r="N2109">
        <v>1</v>
      </c>
      <c r="O2109">
        <v>2023</v>
      </c>
      <c r="P2109">
        <v>69.765067810793198</v>
      </c>
      <c r="Q2109">
        <v>2.516631606553434</v>
      </c>
      <c r="R2109" t="s">
        <v>289</v>
      </c>
      <c r="S2109">
        <v>93</v>
      </c>
      <c r="T2109" t="s">
        <v>290</v>
      </c>
      <c r="U2109">
        <v>93</v>
      </c>
      <c r="V2109">
        <v>69.765067810793198</v>
      </c>
      <c r="W2109">
        <v>2.516631606553434</v>
      </c>
      <c r="X2109" t="s">
        <v>291</v>
      </c>
      <c r="Y2109">
        <v>10</v>
      </c>
      <c r="Z2109">
        <v>0.34401375729085998</v>
      </c>
      <c r="AA2109">
        <v>1</v>
      </c>
    </row>
    <row r="2110" spans="1:27" hidden="1" x14ac:dyDescent="0.25">
      <c r="A2110" t="s">
        <v>98</v>
      </c>
      <c r="B2110" t="s">
        <v>1024</v>
      </c>
      <c r="D2110" t="s">
        <v>1722</v>
      </c>
      <c r="E2110" t="s">
        <v>284</v>
      </c>
      <c r="F2110" t="s">
        <v>302</v>
      </c>
      <c r="G2110" t="s">
        <v>103</v>
      </c>
      <c r="H2110" t="s">
        <v>104</v>
      </c>
      <c r="I2110">
        <v>2023</v>
      </c>
      <c r="J2110" t="s">
        <v>311</v>
      </c>
      <c r="K2110" t="s">
        <v>106</v>
      </c>
      <c r="L2110" t="s">
        <v>2495</v>
      </c>
      <c r="M2110" t="s">
        <v>2505</v>
      </c>
      <c r="N2110">
        <v>1</v>
      </c>
      <c r="O2110">
        <v>2023</v>
      </c>
      <c r="P2110">
        <v>105.7930490817716</v>
      </c>
      <c r="Q2110">
        <v>3.355492309527206</v>
      </c>
      <c r="R2110" t="s">
        <v>289</v>
      </c>
      <c r="S2110">
        <v>64.669172932330824</v>
      </c>
      <c r="T2110" t="s">
        <v>290</v>
      </c>
      <c r="U2110">
        <v>64.669172932330824</v>
      </c>
      <c r="V2110">
        <v>105.7930490817716</v>
      </c>
      <c r="W2110">
        <v>3.355492309527206</v>
      </c>
      <c r="X2110" t="s">
        <v>291</v>
      </c>
      <c r="Y2110">
        <v>10</v>
      </c>
      <c r="Z2110">
        <v>0.34401375729085998</v>
      </c>
      <c r="AA2110">
        <v>1</v>
      </c>
    </row>
    <row r="2111" spans="1:27" hidden="1" x14ac:dyDescent="0.25">
      <c r="A2111" t="s">
        <v>98</v>
      </c>
      <c r="B2111" t="s">
        <v>1024</v>
      </c>
      <c r="D2111" t="s">
        <v>1722</v>
      </c>
      <c r="E2111" t="s">
        <v>284</v>
      </c>
      <c r="F2111" t="s">
        <v>302</v>
      </c>
      <c r="G2111" t="s">
        <v>112</v>
      </c>
      <c r="H2111" t="s">
        <v>104</v>
      </c>
      <c r="I2111">
        <v>2023</v>
      </c>
      <c r="J2111" t="s">
        <v>313</v>
      </c>
      <c r="K2111" t="s">
        <v>106</v>
      </c>
      <c r="L2111" t="s">
        <v>2495</v>
      </c>
      <c r="M2111" t="s">
        <v>2506</v>
      </c>
      <c r="N2111">
        <v>1</v>
      </c>
      <c r="O2111">
        <v>2023</v>
      </c>
      <c r="P2111">
        <v>99.614212714858894</v>
      </c>
      <c r="Q2111">
        <v>1.4361600838792941</v>
      </c>
      <c r="R2111" t="s">
        <v>289</v>
      </c>
      <c r="S2111">
        <v>75.07692307692308</v>
      </c>
      <c r="T2111" t="s">
        <v>290</v>
      </c>
      <c r="U2111">
        <v>75.07692307692308</v>
      </c>
      <c r="V2111">
        <v>99.614212714858894</v>
      </c>
      <c r="W2111">
        <v>1.4361600838792941</v>
      </c>
      <c r="X2111" t="s">
        <v>291</v>
      </c>
      <c r="Y2111">
        <v>10</v>
      </c>
      <c r="Z2111">
        <v>0.34401375729085998</v>
      </c>
      <c r="AA2111">
        <v>1</v>
      </c>
    </row>
    <row r="2112" spans="1:27" hidden="1" x14ac:dyDescent="0.25">
      <c r="A2112" t="s">
        <v>98</v>
      </c>
      <c r="B2112" t="s">
        <v>1024</v>
      </c>
      <c r="D2112" t="s">
        <v>1722</v>
      </c>
      <c r="E2112" t="s">
        <v>284</v>
      </c>
      <c r="F2112" t="s">
        <v>297</v>
      </c>
      <c r="G2112" t="s">
        <v>103</v>
      </c>
      <c r="H2112" t="s">
        <v>104</v>
      </c>
      <c r="I2112">
        <v>2024</v>
      </c>
      <c r="J2112" t="s">
        <v>315</v>
      </c>
      <c r="K2112" t="s">
        <v>106</v>
      </c>
      <c r="L2112" t="s">
        <v>2495</v>
      </c>
      <c r="M2112" t="s">
        <v>2507</v>
      </c>
      <c r="N2112">
        <v>1</v>
      </c>
      <c r="O2112">
        <v>2024</v>
      </c>
      <c r="P2112">
        <v>94.526951376087595</v>
      </c>
      <c r="Q2112">
        <v>3.949349451558744</v>
      </c>
      <c r="R2112" t="s">
        <v>289</v>
      </c>
      <c r="S2112">
        <v>76.146700507614213</v>
      </c>
      <c r="T2112" t="s">
        <v>290</v>
      </c>
      <c r="U2112">
        <v>76.146700507614213</v>
      </c>
      <c r="V2112">
        <v>94.526951376087595</v>
      </c>
      <c r="W2112">
        <v>3.949349451558744</v>
      </c>
      <c r="X2112" t="s">
        <v>291</v>
      </c>
      <c r="Y2112">
        <v>10</v>
      </c>
      <c r="Z2112">
        <v>0.34401375729085998</v>
      </c>
      <c r="AA2112">
        <v>1</v>
      </c>
    </row>
    <row r="2113" spans="1:27" hidden="1" x14ac:dyDescent="0.25">
      <c r="A2113" t="s">
        <v>98</v>
      </c>
      <c r="B2113" t="s">
        <v>1024</v>
      </c>
      <c r="D2113" t="s">
        <v>1722</v>
      </c>
      <c r="E2113" t="s">
        <v>284</v>
      </c>
      <c r="F2113" t="s">
        <v>297</v>
      </c>
      <c r="G2113" t="s">
        <v>112</v>
      </c>
      <c r="H2113" t="s">
        <v>104</v>
      </c>
      <c r="I2113">
        <v>2024</v>
      </c>
      <c r="J2113" t="s">
        <v>317</v>
      </c>
      <c r="K2113" t="s">
        <v>106</v>
      </c>
      <c r="L2113" t="s">
        <v>2495</v>
      </c>
      <c r="M2113" t="s">
        <v>2508</v>
      </c>
      <c r="N2113">
        <v>1</v>
      </c>
      <c r="O2113">
        <v>2024</v>
      </c>
      <c r="P2113">
        <v>69.765067810793198</v>
      </c>
      <c r="Q2113">
        <v>2.516631606553434</v>
      </c>
      <c r="R2113" t="s">
        <v>289</v>
      </c>
      <c r="S2113">
        <v>93</v>
      </c>
      <c r="T2113" t="s">
        <v>290</v>
      </c>
      <c r="U2113">
        <v>93</v>
      </c>
      <c r="V2113">
        <v>69.765067810793198</v>
      </c>
      <c r="W2113">
        <v>2.516631606553434</v>
      </c>
      <c r="X2113" t="s">
        <v>291</v>
      </c>
      <c r="Y2113">
        <v>10</v>
      </c>
      <c r="Z2113">
        <v>0.34401375729085998</v>
      </c>
      <c r="AA2113">
        <v>1</v>
      </c>
    </row>
    <row r="2114" spans="1:27" hidden="1" x14ac:dyDescent="0.25">
      <c r="A2114" t="s">
        <v>98</v>
      </c>
      <c r="B2114" t="s">
        <v>1024</v>
      </c>
      <c r="D2114" t="s">
        <v>1722</v>
      </c>
      <c r="E2114" t="s">
        <v>284</v>
      </c>
      <c r="F2114" t="s">
        <v>302</v>
      </c>
      <c r="G2114" t="s">
        <v>103</v>
      </c>
      <c r="H2114" t="s">
        <v>104</v>
      </c>
      <c r="I2114">
        <v>2024</v>
      </c>
      <c r="J2114" t="s">
        <v>319</v>
      </c>
      <c r="K2114" t="s">
        <v>106</v>
      </c>
      <c r="L2114" t="s">
        <v>2495</v>
      </c>
      <c r="M2114" t="s">
        <v>2509</v>
      </c>
      <c r="N2114">
        <v>1</v>
      </c>
      <c r="O2114">
        <v>2024</v>
      </c>
      <c r="P2114">
        <v>105.7930490817716</v>
      </c>
      <c r="Q2114">
        <v>3.355492309527206</v>
      </c>
      <c r="R2114" t="s">
        <v>289</v>
      </c>
      <c r="S2114">
        <v>64.669172932330824</v>
      </c>
      <c r="T2114" t="s">
        <v>290</v>
      </c>
      <c r="U2114">
        <v>64.669172932330824</v>
      </c>
      <c r="V2114">
        <v>105.7930490817716</v>
      </c>
      <c r="W2114">
        <v>3.355492309527206</v>
      </c>
      <c r="X2114" t="s">
        <v>291</v>
      </c>
      <c r="Y2114">
        <v>10</v>
      </c>
      <c r="Z2114">
        <v>0.34401375729085998</v>
      </c>
      <c r="AA2114">
        <v>1</v>
      </c>
    </row>
    <row r="2115" spans="1:27" hidden="1" x14ac:dyDescent="0.25">
      <c r="A2115" t="s">
        <v>98</v>
      </c>
      <c r="B2115" t="s">
        <v>1024</v>
      </c>
      <c r="D2115" t="s">
        <v>1722</v>
      </c>
      <c r="E2115" t="s">
        <v>284</v>
      </c>
      <c r="F2115" t="s">
        <v>302</v>
      </c>
      <c r="G2115" t="s">
        <v>112</v>
      </c>
      <c r="H2115" t="s">
        <v>104</v>
      </c>
      <c r="I2115">
        <v>2024</v>
      </c>
      <c r="J2115" t="s">
        <v>321</v>
      </c>
      <c r="K2115" t="s">
        <v>106</v>
      </c>
      <c r="L2115" t="s">
        <v>2495</v>
      </c>
      <c r="M2115" t="s">
        <v>2510</v>
      </c>
      <c r="N2115">
        <v>1</v>
      </c>
      <c r="O2115">
        <v>2024</v>
      </c>
      <c r="P2115">
        <v>99.614212714858894</v>
      </c>
      <c r="Q2115">
        <v>1.4361600838792941</v>
      </c>
      <c r="R2115" t="s">
        <v>289</v>
      </c>
      <c r="S2115">
        <v>75.07692307692308</v>
      </c>
      <c r="T2115" t="s">
        <v>290</v>
      </c>
      <c r="U2115">
        <v>75.07692307692308</v>
      </c>
      <c r="V2115">
        <v>99.614212714858894</v>
      </c>
      <c r="W2115">
        <v>1.4361600838792941</v>
      </c>
      <c r="X2115" t="s">
        <v>291</v>
      </c>
      <c r="Y2115">
        <v>10</v>
      </c>
      <c r="Z2115">
        <v>0.34401375729085998</v>
      </c>
      <c r="AA2115">
        <v>1</v>
      </c>
    </row>
    <row r="2116" spans="1:27" hidden="1" x14ac:dyDescent="0.25">
      <c r="A2116" t="s">
        <v>98</v>
      </c>
      <c r="B2116" t="s">
        <v>1024</v>
      </c>
      <c r="D2116" t="s">
        <v>1722</v>
      </c>
      <c r="E2116" t="s">
        <v>284</v>
      </c>
      <c r="F2116" t="s">
        <v>297</v>
      </c>
      <c r="G2116" t="s">
        <v>103</v>
      </c>
      <c r="H2116" t="s">
        <v>104</v>
      </c>
      <c r="I2116">
        <v>2025</v>
      </c>
      <c r="J2116" t="s">
        <v>323</v>
      </c>
      <c r="K2116" t="s">
        <v>106</v>
      </c>
      <c r="L2116" t="s">
        <v>2495</v>
      </c>
      <c r="M2116" t="s">
        <v>2511</v>
      </c>
      <c r="N2116">
        <v>1</v>
      </c>
      <c r="O2116">
        <v>2025</v>
      </c>
      <c r="P2116">
        <v>94.526951376087595</v>
      </c>
      <c r="Q2116">
        <v>3.949349451558744</v>
      </c>
      <c r="R2116" t="s">
        <v>289</v>
      </c>
      <c r="S2116">
        <v>76.146700507614213</v>
      </c>
      <c r="T2116" t="s">
        <v>290</v>
      </c>
      <c r="U2116">
        <v>76.146700507614213</v>
      </c>
      <c r="V2116">
        <v>94.526951376087595</v>
      </c>
      <c r="W2116">
        <v>3.949349451558744</v>
      </c>
      <c r="X2116" t="s">
        <v>291</v>
      </c>
      <c r="Y2116">
        <v>10</v>
      </c>
      <c r="Z2116">
        <v>0.34401375729085998</v>
      </c>
      <c r="AA2116">
        <v>1</v>
      </c>
    </row>
    <row r="2117" spans="1:27" hidden="1" x14ac:dyDescent="0.25">
      <c r="A2117" t="s">
        <v>98</v>
      </c>
      <c r="B2117" t="s">
        <v>1024</v>
      </c>
      <c r="D2117" t="s">
        <v>1722</v>
      </c>
      <c r="E2117" t="s">
        <v>284</v>
      </c>
      <c r="F2117" t="s">
        <v>297</v>
      </c>
      <c r="G2117" t="s">
        <v>112</v>
      </c>
      <c r="H2117" t="s">
        <v>104</v>
      </c>
      <c r="I2117">
        <v>2025</v>
      </c>
      <c r="J2117" t="s">
        <v>325</v>
      </c>
      <c r="K2117" t="s">
        <v>106</v>
      </c>
      <c r="L2117" t="s">
        <v>2495</v>
      </c>
      <c r="M2117" t="s">
        <v>2512</v>
      </c>
      <c r="N2117">
        <v>1</v>
      </c>
      <c r="O2117">
        <v>2025</v>
      </c>
      <c r="P2117">
        <v>69.765067810793198</v>
      </c>
      <c r="Q2117">
        <v>2.516631606553434</v>
      </c>
      <c r="R2117" t="s">
        <v>289</v>
      </c>
      <c r="S2117">
        <v>93</v>
      </c>
      <c r="T2117" t="s">
        <v>290</v>
      </c>
      <c r="U2117">
        <v>93</v>
      </c>
      <c r="V2117">
        <v>69.765067810793198</v>
      </c>
      <c r="W2117">
        <v>2.516631606553434</v>
      </c>
      <c r="X2117" t="s">
        <v>291</v>
      </c>
      <c r="Y2117">
        <v>10</v>
      </c>
      <c r="Z2117">
        <v>0.34401375729085998</v>
      </c>
      <c r="AA2117">
        <v>1</v>
      </c>
    </row>
    <row r="2118" spans="1:27" hidden="1" x14ac:dyDescent="0.25">
      <c r="A2118" t="s">
        <v>98</v>
      </c>
      <c r="B2118" t="s">
        <v>1024</v>
      </c>
      <c r="D2118" t="s">
        <v>1722</v>
      </c>
      <c r="E2118" t="s">
        <v>284</v>
      </c>
      <c r="F2118" t="s">
        <v>302</v>
      </c>
      <c r="G2118" t="s">
        <v>103</v>
      </c>
      <c r="H2118" t="s">
        <v>104</v>
      </c>
      <c r="I2118">
        <v>2025</v>
      </c>
      <c r="J2118" t="s">
        <v>327</v>
      </c>
      <c r="K2118" t="s">
        <v>106</v>
      </c>
      <c r="L2118" t="s">
        <v>2495</v>
      </c>
      <c r="M2118" t="s">
        <v>2513</v>
      </c>
      <c r="N2118">
        <v>1</v>
      </c>
      <c r="O2118">
        <v>2025</v>
      </c>
      <c r="P2118">
        <v>105.7930490817716</v>
      </c>
      <c r="Q2118">
        <v>3.355492309527206</v>
      </c>
      <c r="R2118" t="s">
        <v>289</v>
      </c>
      <c r="S2118">
        <v>64.669172932330824</v>
      </c>
      <c r="T2118" t="s">
        <v>290</v>
      </c>
      <c r="U2118">
        <v>64.669172932330824</v>
      </c>
      <c r="V2118">
        <v>105.7930490817716</v>
      </c>
      <c r="W2118">
        <v>3.355492309527206</v>
      </c>
      <c r="X2118" t="s">
        <v>291</v>
      </c>
      <c r="Y2118">
        <v>10</v>
      </c>
      <c r="Z2118">
        <v>0.34401375729085998</v>
      </c>
      <c r="AA2118">
        <v>1</v>
      </c>
    </row>
    <row r="2119" spans="1:27" hidden="1" x14ac:dyDescent="0.25">
      <c r="A2119" t="s">
        <v>98</v>
      </c>
      <c r="B2119" t="s">
        <v>1024</v>
      </c>
      <c r="D2119" t="s">
        <v>1722</v>
      </c>
      <c r="E2119" t="s">
        <v>284</v>
      </c>
      <c r="F2119" t="s">
        <v>302</v>
      </c>
      <c r="G2119" t="s">
        <v>112</v>
      </c>
      <c r="H2119" t="s">
        <v>104</v>
      </c>
      <c r="I2119">
        <v>2025</v>
      </c>
      <c r="J2119" t="s">
        <v>329</v>
      </c>
      <c r="K2119" t="s">
        <v>106</v>
      </c>
      <c r="L2119" t="s">
        <v>2495</v>
      </c>
      <c r="M2119" t="s">
        <v>2514</v>
      </c>
      <c r="N2119">
        <v>1</v>
      </c>
      <c r="O2119">
        <v>2025</v>
      </c>
      <c r="P2119">
        <v>99.614212714858894</v>
      </c>
      <c r="Q2119">
        <v>1.4361600838792941</v>
      </c>
      <c r="R2119" t="s">
        <v>289</v>
      </c>
      <c r="S2119">
        <v>75.07692307692308</v>
      </c>
      <c r="T2119" t="s">
        <v>290</v>
      </c>
      <c r="U2119">
        <v>75.07692307692308</v>
      </c>
      <c r="V2119">
        <v>99.614212714858894</v>
      </c>
      <c r="W2119">
        <v>1.4361600838792941</v>
      </c>
      <c r="X2119" t="s">
        <v>291</v>
      </c>
      <c r="Y2119">
        <v>10</v>
      </c>
      <c r="Z2119">
        <v>0.34401375729085998</v>
      </c>
      <c r="AA2119">
        <v>1</v>
      </c>
    </row>
    <row r="2120" spans="1:27" hidden="1" x14ac:dyDescent="0.25">
      <c r="A2120" t="s">
        <v>98</v>
      </c>
      <c r="B2120" t="s">
        <v>1024</v>
      </c>
      <c r="D2120" t="s">
        <v>1722</v>
      </c>
      <c r="E2120" t="s">
        <v>284</v>
      </c>
      <c r="F2120" t="s">
        <v>297</v>
      </c>
      <c r="G2120" t="s">
        <v>103</v>
      </c>
      <c r="H2120" t="s">
        <v>104</v>
      </c>
      <c r="I2120">
        <v>2026</v>
      </c>
      <c r="J2120" t="s">
        <v>331</v>
      </c>
      <c r="K2120" t="s">
        <v>106</v>
      </c>
      <c r="L2120" t="s">
        <v>2495</v>
      </c>
      <c r="M2120" t="s">
        <v>2515</v>
      </c>
      <c r="N2120">
        <v>1</v>
      </c>
      <c r="O2120">
        <v>2026</v>
      </c>
      <c r="P2120">
        <v>94.526951376087595</v>
      </c>
      <c r="Q2120">
        <v>3.949349451558744</v>
      </c>
      <c r="R2120" t="s">
        <v>289</v>
      </c>
      <c r="S2120">
        <v>76.146700507614213</v>
      </c>
      <c r="T2120" t="s">
        <v>290</v>
      </c>
      <c r="U2120">
        <v>76.146700507614213</v>
      </c>
      <c r="V2120">
        <v>94.526951376087595</v>
      </c>
      <c r="W2120">
        <v>3.949349451558744</v>
      </c>
      <c r="X2120" t="s">
        <v>291</v>
      </c>
      <c r="Y2120">
        <v>10</v>
      </c>
      <c r="Z2120">
        <v>0.34401375729085998</v>
      </c>
      <c r="AA2120">
        <v>1</v>
      </c>
    </row>
    <row r="2121" spans="1:27" hidden="1" x14ac:dyDescent="0.25">
      <c r="A2121" t="s">
        <v>98</v>
      </c>
      <c r="B2121" t="s">
        <v>1024</v>
      </c>
      <c r="D2121" t="s">
        <v>1722</v>
      </c>
      <c r="E2121" t="s">
        <v>284</v>
      </c>
      <c r="F2121" t="s">
        <v>297</v>
      </c>
      <c r="G2121" t="s">
        <v>112</v>
      </c>
      <c r="H2121" t="s">
        <v>104</v>
      </c>
      <c r="I2121">
        <v>2026</v>
      </c>
      <c r="J2121" t="s">
        <v>333</v>
      </c>
      <c r="K2121" t="s">
        <v>106</v>
      </c>
      <c r="L2121" t="s">
        <v>2495</v>
      </c>
      <c r="M2121" t="s">
        <v>2516</v>
      </c>
      <c r="N2121">
        <v>1</v>
      </c>
      <c r="O2121">
        <v>2026</v>
      </c>
      <c r="P2121">
        <v>69.765067810793198</v>
      </c>
      <c r="Q2121">
        <v>2.516631606553434</v>
      </c>
      <c r="R2121" t="s">
        <v>289</v>
      </c>
      <c r="S2121">
        <v>93</v>
      </c>
      <c r="T2121" t="s">
        <v>290</v>
      </c>
      <c r="U2121">
        <v>93</v>
      </c>
      <c r="V2121">
        <v>69.765067810793198</v>
      </c>
      <c r="W2121">
        <v>2.516631606553434</v>
      </c>
      <c r="X2121" t="s">
        <v>291</v>
      </c>
      <c r="Y2121">
        <v>10</v>
      </c>
      <c r="Z2121">
        <v>0.34401375729085998</v>
      </c>
      <c r="AA2121">
        <v>1</v>
      </c>
    </row>
    <row r="2122" spans="1:27" hidden="1" x14ac:dyDescent="0.25">
      <c r="A2122" t="s">
        <v>98</v>
      </c>
      <c r="B2122" t="s">
        <v>1024</v>
      </c>
      <c r="D2122" t="s">
        <v>1722</v>
      </c>
      <c r="E2122" t="s">
        <v>284</v>
      </c>
      <c r="F2122" t="s">
        <v>302</v>
      </c>
      <c r="G2122" t="s">
        <v>103</v>
      </c>
      <c r="H2122" t="s">
        <v>104</v>
      </c>
      <c r="I2122">
        <v>2026</v>
      </c>
      <c r="J2122" t="s">
        <v>335</v>
      </c>
      <c r="K2122" t="s">
        <v>106</v>
      </c>
      <c r="L2122" t="s">
        <v>2495</v>
      </c>
      <c r="M2122" t="s">
        <v>2517</v>
      </c>
      <c r="N2122">
        <v>1</v>
      </c>
      <c r="O2122">
        <v>2026</v>
      </c>
      <c r="P2122">
        <v>105.7930490817716</v>
      </c>
      <c r="Q2122">
        <v>3.355492309527206</v>
      </c>
      <c r="R2122" t="s">
        <v>289</v>
      </c>
      <c r="S2122">
        <v>64.669172932330824</v>
      </c>
      <c r="T2122" t="s">
        <v>290</v>
      </c>
      <c r="U2122">
        <v>64.669172932330824</v>
      </c>
      <c r="V2122">
        <v>105.7930490817716</v>
      </c>
      <c r="W2122">
        <v>3.355492309527206</v>
      </c>
      <c r="X2122" t="s">
        <v>291</v>
      </c>
      <c r="Y2122">
        <v>10</v>
      </c>
      <c r="Z2122">
        <v>0.34401375729085998</v>
      </c>
      <c r="AA2122">
        <v>1</v>
      </c>
    </row>
    <row r="2123" spans="1:27" hidden="1" x14ac:dyDescent="0.25">
      <c r="A2123" t="s">
        <v>98</v>
      </c>
      <c r="B2123" t="s">
        <v>1024</v>
      </c>
      <c r="D2123" t="s">
        <v>1722</v>
      </c>
      <c r="E2123" t="s">
        <v>284</v>
      </c>
      <c r="F2123" t="s">
        <v>302</v>
      </c>
      <c r="G2123" t="s">
        <v>112</v>
      </c>
      <c r="H2123" t="s">
        <v>104</v>
      </c>
      <c r="I2123">
        <v>2026</v>
      </c>
      <c r="J2123" t="s">
        <v>337</v>
      </c>
      <c r="K2123" t="s">
        <v>106</v>
      </c>
      <c r="L2123" t="s">
        <v>2495</v>
      </c>
      <c r="M2123" t="s">
        <v>2518</v>
      </c>
      <c r="N2123">
        <v>1</v>
      </c>
      <c r="O2123">
        <v>2026</v>
      </c>
      <c r="P2123">
        <v>99.614212714858894</v>
      </c>
      <c r="Q2123">
        <v>1.4361600838792941</v>
      </c>
      <c r="R2123" t="s">
        <v>289</v>
      </c>
      <c r="S2123">
        <v>75.07692307692308</v>
      </c>
      <c r="T2123" t="s">
        <v>290</v>
      </c>
      <c r="U2123">
        <v>75.07692307692308</v>
      </c>
      <c r="V2123">
        <v>99.614212714858894</v>
      </c>
      <c r="W2123">
        <v>1.4361600838792941</v>
      </c>
      <c r="X2123" t="s">
        <v>291</v>
      </c>
      <c r="Y2123">
        <v>10</v>
      </c>
      <c r="Z2123">
        <v>0.34401375729085998</v>
      </c>
      <c r="AA2123">
        <v>1</v>
      </c>
    </row>
    <row r="2124" spans="1:27" hidden="1" x14ac:dyDescent="0.25">
      <c r="A2124" t="s">
        <v>98</v>
      </c>
      <c r="B2124" t="s">
        <v>1024</v>
      </c>
      <c r="D2124" t="s">
        <v>1722</v>
      </c>
      <c r="E2124" t="s">
        <v>284</v>
      </c>
      <c r="F2124" t="s">
        <v>292</v>
      </c>
      <c r="G2124" t="s">
        <v>103</v>
      </c>
      <c r="H2124" t="s">
        <v>104</v>
      </c>
      <c r="I2124">
        <v>2030</v>
      </c>
      <c r="J2124" t="s">
        <v>339</v>
      </c>
      <c r="K2124" t="s">
        <v>106</v>
      </c>
      <c r="L2124" t="s">
        <v>2495</v>
      </c>
      <c r="M2124" t="s">
        <v>2519</v>
      </c>
      <c r="N2124">
        <v>1</v>
      </c>
      <c r="O2124">
        <v>2030</v>
      </c>
      <c r="P2124">
        <v>99.96668875570353</v>
      </c>
      <c r="Q2124">
        <v>4.9152448223495018</v>
      </c>
      <c r="R2124" t="s">
        <v>289</v>
      </c>
      <c r="S2124">
        <v>55.211046644573933</v>
      </c>
      <c r="T2124" t="s">
        <v>290</v>
      </c>
      <c r="U2124">
        <v>55.211046644573933</v>
      </c>
      <c r="V2124">
        <v>99.96668875570353</v>
      </c>
      <c r="W2124">
        <v>4.9152448223495018</v>
      </c>
      <c r="X2124" t="s">
        <v>291</v>
      </c>
      <c r="Y2124">
        <v>10</v>
      </c>
      <c r="Z2124">
        <v>0.34401375729085998</v>
      </c>
      <c r="AA2124">
        <v>1</v>
      </c>
    </row>
    <row r="2125" spans="1:27" hidden="1" x14ac:dyDescent="0.25">
      <c r="A2125" t="s">
        <v>98</v>
      </c>
      <c r="B2125" t="s">
        <v>1024</v>
      </c>
      <c r="D2125" t="s">
        <v>1722</v>
      </c>
      <c r="E2125" t="s">
        <v>284</v>
      </c>
      <c r="F2125" t="s">
        <v>292</v>
      </c>
      <c r="G2125" t="s">
        <v>112</v>
      </c>
      <c r="H2125" t="s">
        <v>104</v>
      </c>
      <c r="I2125">
        <v>2030</v>
      </c>
      <c r="J2125" t="s">
        <v>341</v>
      </c>
      <c r="K2125" t="s">
        <v>106</v>
      </c>
      <c r="L2125" t="s">
        <v>2495</v>
      </c>
      <c r="M2125" t="s">
        <v>2520</v>
      </c>
      <c r="N2125">
        <v>1</v>
      </c>
      <c r="O2125">
        <v>2030</v>
      </c>
      <c r="P2125">
        <v>93.570390823718384</v>
      </c>
      <c r="Q2125">
        <v>4.27625645181514</v>
      </c>
      <c r="R2125" t="s">
        <v>289</v>
      </c>
      <c r="S2125">
        <v>60.132155797450622</v>
      </c>
      <c r="T2125" t="s">
        <v>290</v>
      </c>
      <c r="U2125">
        <v>60.132155797450622</v>
      </c>
      <c r="V2125">
        <v>93.570390823718384</v>
      </c>
      <c r="W2125">
        <v>4.27625645181514</v>
      </c>
      <c r="X2125" t="s">
        <v>291</v>
      </c>
      <c r="Y2125">
        <v>10</v>
      </c>
      <c r="Z2125">
        <v>0.34401375729085998</v>
      </c>
      <c r="AA2125">
        <v>1</v>
      </c>
    </row>
    <row r="2126" spans="1:27" hidden="1" x14ac:dyDescent="0.25">
      <c r="A2126" t="s">
        <v>98</v>
      </c>
      <c r="B2126" t="s">
        <v>1024</v>
      </c>
      <c r="D2126" t="s">
        <v>1722</v>
      </c>
      <c r="E2126" t="s">
        <v>284</v>
      </c>
      <c r="F2126" t="s">
        <v>297</v>
      </c>
      <c r="G2126" t="s">
        <v>103</v>
      </c>
      <c r="H2126" t="s">
        <v>104</v>
      </c>
      <c r="I2126">
        <v>2030</v>
      </c>
      <c r="J2126" t="s">
        <v>343</v>
      </c>
      <c r="K2126" t="s">
        <v>106</v>
      </c>
      <c r="L2126" t="s">
        <v>2495</v>
      </c>
      <c r="M2126" t="s">
        <v>2521</v>
      </c>
      <c r="N2126">
        <v>1</v>
      </c>
      <c r="O2126">
        <v>2030</v>
      </c>
      <c r="P2126">
        <v>112.2464608710101</v>
      </c>
      <c r="Q2126">
        <v>3.5870084905918258</v>
      </c>
      <c r="R2126" t="s">
        <v>289</v>
      </c>
      <c r="S2126">
        <v>89.042769074884546</v>
      </c>
      <c r="T2126" t="s">
        <v>290</v>
      </c>
      <c r="U2126">
        <v>89.042769074884546</v>
      </c>
      <c r="V2126">
        <v>112.2464608710101</v>
      </c>
      <c r="W2126">
        <v>3.5870084905918258</v>
      </c>
      <c r="X2126" t="s">
        <v>291</v>
      </c>
      <c r="Y2126">
        <v>10</v>
      </c>
      <c r="Z2126">
        <v>0.34401375729085998</v>
      </c>
      <c r="AA2126">
        <v>1</v>
      </c>
    </row>
    <row r="2127" spans="1:27" hidden="1" x14ac:dyDescent="0.25">
      <c r="A2127" t="s">
        <v>98</v>
      </c>
      <c r="B2127" t="s">
        <v>1024</v>
      </c>
      <c r="D2127" t="s">
        <v>1722</v>
      </c>
      <c r="E2127" t="s">
        <v>284</v>
      </c>
      <c r="F2127" t="s">
        <v>297</v>
      </c>
      <c r="G2127" t="s">
        <v>112</v>
      </c>
      <c r="H2127" t="s">
        <v>104</v>
      </c>
      <c r="I2127">
        <v>2030</v>
      </c>
      <c r="J2127" t="s">
        <v>345</v>
      </c>
      <c r="K2127" t="s">
        <v>106</v>
      </c>
      <c r="L2127" t="s">
        <v>2495</v>
      </c>
      <c r="M2127" t="s">
        <v>2522</v>
      </c>
      <c r="N2127">
        <v>1</v>
      </c>
      <c r="O2127">
        <v>2030</v>
      </c>
      <c r="P2127">
        <v>84.571073913548247</v>
      </c>
      <c r="Q2127">
        <v>2.3525336937486059</v>
      </c>
      <c r="R2127" t="s">
        <v>289</v>
      </c>
      <c r="S2127">
        <v>108.5525423728814</v>
      </c>
      <c r="T2127" t="s">
        <v>290</v>
      </c>
      <c r="U2127">
        <v>108.5525423728814</v>
      </c>
      <c r="V2127">
        <v>84.571073913548247</v>
      </c>
      <c r="W2127">
        <v>2.3525336937486059</v>
      </c>
      <c r="X2127" t="s">
        <v>291</v>
      </c>
      <c r="Y2127">
        <v>10</v>
      </c>
      <c r="Z2127">
        <v>0.34401375729085998</v>
      </c>
      <c r="AA2127">
        <v>1</v>
      </c>
    </row>
    <row r="2128" spans="1:27" hidden="1" x14ac:dyDescent="0.25">
      <c r="A2128" t="s">
        <v>98</v>
      </c>
      <c r="B2128" t="s">
        <v>1024</v>
      </c>
      <c r="D2128" t="s">
        <v>1722</v>
      </c>
      <c r="E2128" t="s">
        <v>284</v>
      </c>
      <c r="F2128" t="s">
        <v>292</v>
      </c>
      <c r="G2128" t="s">
        <v>103</v>
      </c>
      <c r="H2128" t="s">
        <v>104</v>
      </c>
      <c r="I2128">
        <v>2040</v>
      </c>
      <c r="J2128" t="s">
        <v>347</v>
      </c>
      <c r="K2128" t="s">
        <v>106</v>
      </c>
      <c r="L2128" t="s">
        <v>2495</v>
      </c>
      <c r="M2128" t="s">
        <v>2523</v>
      </c>
      <c r="N2128">
        <v>1</v>
      </c>
      <c r="O2128">
        <v>2040</v>
      </c>
      <c r="P2128">
        <v>98.335071194105581</v>
      </c>
      <c r="Q2128">
        <v>4.7080379086524973</v>
      </c>
      <c r="R2128" t="s">
        <v>289</v>
      </c>
      <c r="S2128">
        <v>63.829339223058007</v>
      </c>
      <c r="T2128" t="s">
        <v>290</v>
      </c>
      <c r="U2128">
        <v>63.829339223058007</v>
      </c>
      <c r="V2128">
        <v>98.335071194105581</v>
      </c>
      <c r="W2128">
        <v>4.7080379086524973</v>
      </c>
      <c r="X2128" t="s">
        <v>291</v>
      </c>
      <c r="Y2128">
        <v>10</v>
      </c>
      <c r="Z2128">
        <v>0.34401375729085998</v>
      </c>
      <c r="AA2128">
        <v>1</v>
      </c>
    </row>
    <row r="2129" spans="1:27" hidden="1" x14ac:dyDescent="0.25">
      <c r="A2129" t="s">
        <v>98</v>
      </c>
      <c r="B2129" t="s">
        <v>1024</v>
      </c>
      <c r="D2129" t="s">
        <v>1722</v>
      </c>
      <c r="E2129" t="s">
        <v>284</v>
      </c>
      <c r="F2129" t="s">
        <v>292</v>
      </c>
      <c r="G2129" t="s">
        <v>112</v>
      </c>
      <c r="H2129" t="s">
        <v>104</v>
      </c>
      <c r="I2129">
        <v>2040</v>
      </c>
      <c r="J2129" t="s">
        <v>349</v>
      </c>
      <c r="K2129" t="s">
        <v>106</v>
      </c>
      <c r="L2129" t="s">
        <v>2495</v>
      </c>
      <c r="M2129" t="s">
        <v>2524</v>
      </c>
      <c r="N2129">
        <v>1</v>
      </c>
      <c r="O2129">
        <v>2040</v>
      </c>
      <c r="P2129">
        <v>92.137687829328328</v>
      </c>
      <c r="Q2129">
        <v>4.1202723323867074</v>
      </c>
      <c r="R2129" t="s">
        <v>289</v>
      </c>
      <c r="S2129">
        <v>69.934718883357121</v>
      </c>
      <c r="T2129" t="s">
        <v>290</v>
      </c>
      <c r="U2129">
        <v>69.934718883357121</v>
      </c>
      <c r="V2129">
        <v>92.137687829328328</v>
      </c>
      <c r="W2129">
        <v>4.1202723323867074</v>
      </c>
      <c r="X2129" t="s">
        <v>291</v>
      </c>
      <c r="Y2129">
        <v>10</v>
      </c>
      <c r="Z2129">
        <v>0.34401375729085998</v>
      </c>
      <c r="AA2129">
        <v>1</v>
      </c>
    </row>
    <row r="2130" spans="1:27" hidden="1" x14ac:dyDescent="0.25">
      <c r="A2130" t="s">
        <v>98</v>
      </c>
      <c r="B2130" t="s">
        <v>1024</v>
      </c>
      <c r="D2130" t="s">
        <v>1722</v>
      </c>
      <c r="E2130" t="s">
        <v>284</v>
      </c>
      <c r="F2130" t="s">
        <v>297</v>
      </c>
      <c r="G2130" t="s">
        <v>103</v>
      </c>
      <c r="H2130" t="s">
        <v>104</v>
      </c>
      <c r="I2130">
        <v>2040</v>
      </c>
      <c r="J2130" t="s">
        <v>351</v>
      </c>
      <c r="K2130" t="s">
        <v>106</v>
      </c>
      <c r="L2130" t="s">
        <v>2495</v>
      </c>
      <c r="M2130" t="s">
        <v>2525</v>
      </c>
      <c r="N2130">
        <v>1</v>
      </c>
      <c r="O2130">
        <v>2040</v>
      </c>
      <c r="P2130">
        <v>109.62871509832991</v>
      </c>
      <c r="Q2130">
        <v>3.28145573783857</v>
      </c>
      <c r="R2130" t="s">
        <v>289</v>
      </c>
      <c r="S2130">
        <v>101.8534675620791</v>
      </c>
      <c r="T2130" t="s">
        <v>290</v>
      </c>
      <c r="U2130">
        <v>101.8534675620791</v>
      </c>
      <c r="V2130">
        <v>109.62871509832991</v>
      </c>
      <c r="W2130">
        <v>3.28145573783857</v>
      </c>
      <c r="X2130" t="s">
        <v>291</v>
      </c>
      <c r="Y2130">
        <v>10</v>
      </c>
      <c r="Z2130">
        <v>0.34401375729085998</v>
      </c>
      <c r="AA2130">
        <v>1</v>
      </c>
    </row>
    <row r="2131" spans="1:27" hidden="1" x14ac:dyDescent="0.25">
      <c r="A2131" t="s">
        <v>98</v>
      </c>
      <c r="B2131" t="s">
        <v>1024</v>
      </c>
      <c r="D2131" t="s">
        <v>1722</v>
      </c>
      <c r="E2131" t="s">
        <v>284</v>
      </c>
      <c r="F2131" t="s">
        <v>297</v>
      </c>
      <c r="G2131" t="s">
        <v>112</v>
      </c>
      <c r="H2131" t="s">
        <v>104</v>
      </c>
      <c r="I2131">
        <v>2040</v>
      </c>
      <c r="J2131" t="s">
        <v>353</v>
      </c>
      <c r="K2131" t="s">
        <v>106</v>
      </c>
      <c r="L2131" t="s">
        <v>2495</v>
      </c>
      <c r="M2131" t="s">
        <v>2526</v>
      </c>
      <c r="N2131">
        <v>1</v>
      </c>
      <c r="O2131">
        <v>2040</v>
      </c>
      <c r="P2131">
        <v>82.941268534212341</v>
      </c>
      <c r="Q2131">
        <v>2.168671786742209</v>
      </c>
      <c r="R2131" t="s">
        <v>289</v>
      </c>
      <c r="S2131">
        <v>124.1701372074253</v>
      </c>
      <c r="T2131" t="s">
        <v>290</v>
      </c>
      <c r="U2131">
        <v>124.1701372074253</v>
      </c>
      <c r="V2131">
        <v>82.941268534212341</v>
      </c>
      <c r="W2131">
        <v>2.168671786742209</v>
      </c>
      <c r="X2131" t="s">
        <v>291</v>
      </c>
      <c r="Y2131">
        <v>10</v>
      </c>
      <c r="Z2131">
        <v>0.34401375729085998</v>
      </c>
      <c r="AA2131">
        <v>1</v>
      </c>
    </row>
    <row r="2132" spans="1:27" hidden="1" x14ac:dyDescent="0.25">
      <c r="A2132" t="s">
        <v>98</v>
      </c>
      <c r="B2132" t="s">
        <v>1024</v>
      </c>
      <c r="D2132" t="s">
        <v>1722</v>
      </c>
      <c r="E2132" t="s">
        <v>284</v>
      </c>
      <c r="F2132" t="s">
        <v>355</v>
      </c>
      <c r="G2132" t="s">
        <v>103</v>
      </c>
      <c r="H2132" t="s">
        <v>104</v>
      </c>
      <c r="I2132">
        <v>2022</v>
      </c>
      <c r="J2132" t="s">
        <v>356</v>
      </c>
      <c r="K2132" t="s">
        <v>106</v>
      </c>
      <c r="L2132" t="s">
        <v>2495</v>
      </c>
      <c r="M2132" t="s">
        <v>2527</v>
      </c>
      <c r="N2132">
        <v>1</v>
      </c>
      <c r="O2132">
        <v>2020</v>
      </c>
      <c r="P2132">
        <v>26.539302440149839</v>
      </c>
      <c r="Q2132">
        <v>0.71977466386263589</v>
      </c>
      <c r="R2132" t="s">
        <v>289</v>
      </c>
      <c r="S2132">
        <v>85.75677051732572</v>
      </c>
      <c r="T2132" t="s">
        <v>290</v>
      </c>
      <c r="U2132">
        <v>85.75677051732572</v>
      </c>
      <c r="V2132">
        <v>26.539302440149839</v>
      </c>
      <c r="W2132">
        <v>0.71977466386263589</v>
      </c>
      <c r="X2132" t="s">
        <v>291</v>
      </c>
      <c r="Y2132">
        <v>10</v>
      </c>
      <c r="Z2132">
        <v>0.34401375729085998</v>
      </c>
      <c r="AA2132">
        <v>1</v>
      </c>
    </row>
    <row r="2133" spans="1:27" hidden="1" x14ac:dyDescent="0.25">
      <c r="A2133" t="s">
        <v>98</v>
      </c>
      <c r="B2133" t="s">
        <v>1024</v>
      </c>
      <c r="D2133" t="s">
        <v>1722</v>
      </c>
      <c r="E2133" t="s">
        <v>284</v>
      </c>
      <c r="F2133" t="s">
        <v>355</v>
      </c>
      <c r="G2133" t="s">
        <v>112</v>
      </c>
      <c r="H2133" t="s">
        <v>104</v>
      </c>
      <c r="I2133">
        <v>2022</v>
      </c>
      <c r="J2133" t="s">
        <v>358</v>
      </c>
      <c r="K2133" t="s">
        <v>106</v>
      </c>
      <c r="L2133" t="s">
        <v>2495</v>
      </c>
      <c r="M2133" t="s">
        <v>2528</v>
      </c>
      <c r="N2133">
        <v>1</v>
      </c>
      <c r="O2133">
        <v>2020</v>
      </c>
      <c r="P2133">
        <v>27.952547937105681</v>
      </c>
      <c r="Q2133">
        <v>0.83346015109483984</v>
      </c>
      <c r="R2133" t="s">
        <v>289</v>
      </c>
      <c r="S2133">
        <v>88.372750377742747</v>
      </c>
      <c r="T2133" t="s">
        <v>290</v>
      </c>
      <c r="U2133">
        <v>88.372750377742747</v>
      </c>
      <c r="V2133">
        <v>27.952547937105681</v>
      </c>
      <c r="W2133">
        <v>0.83346015109483984</v>
      </c>
      <c r="X2133" t="s">
        <v>291</v>
      </c>
      <c r="Y2133">
        <v>10</v>
      </c>
      <c r="Z2133">
        <v>0.34401375729085998</v>
      </c>
      <c r="AA2133">
        <v>1</v>
      </c>
    </row>
    <row r="2134" spans="1:27" hidden="1" x14ac:dyDescent="0.25">
      <c r="A2134" t="s">
        <v>98</v>
      </c>
      <c r="B2134" t="s">
        <v>1024</v>
      </c>
      <c r="D2134" t="s">
        <v>1722</v>
      </c>
      <c r="E2134" t="s">
        <v>284</v>
      </c>
      <c r="F2134" t="s">
        <v>360</v>
      </c>
      <c r="G2134" t="s">
        <v>103</v>
      </c>
      <c r="H2134" t="s">
        <v>104</v>
      </c>
      <c r="I2134">
        <v>2022</v>
      </c>
      <c r="J2134" t="s">
        <v>361</v>
      </c>
      <c r="K2134" t="s">
        <v>106</v>
      </c>
      <c r="L2134" t="s">
        <v>2495</v>
      </c>
      <c r="M2134" t="s">
        <v>2529</v>
      </c>
      <c r="N2134">
        <v>1</v>
      </c>
      <c r="O2134">
        <v>2020</v>
      </c>
      <c r="P2134">
        <v>30.743231458982891</v>
      </c>
      <c r="Q2134">
        <v>0.75530083267302539</v>
      </c>
      <c r="R2134" t="s">
        <v>289</v>
      </c>
      <c r="S2134">
        <v>85.752844444444449</v>
      </c>
      <c r="T2134" t="s">
        <v>290</v>
      </c>
      <c r="U2134">
        <v>85.752844444444449</v>
      </c>
      <c r="V2134">
        <v>30.743231458982891</v>
      </c>
      <c r="W2134">
        <v>0.75530083267302539</v>
      </c>
      <c r="X2134" t="s">
        <v>291</v>
      </c>
      <c r="Y2134">
        <v>10</v>
      </c>
      <c r="Z2134">
        <v>0.34401375729085998</v>
      </c>
      <c r="AA2134">
        <v>1</v>
      </c>
    </row>
    <row r="2135" spans="1:27" hidden="1" x14ac:dyDescent="0.25">
      <c r="A2135" t="s">
        <v>98</v>
      </c>
      <c r="B2135" t="s">
        <v>1024</v>
      </c>
      <c r="D2135" t="s">
        <v>1722</v>
      </c>
      <c r="E2135" t="s">
        <v>284</v>
      </c>
      <c r="F2135" t="s">
        <v>360</v>
      </c>
      <c r="G2135" t="s">
        <v>112</v>
      </c>
      <c r="H2135" t="s">
        <v>104</v>
      </c>
      <c r="I2135">
        <v>2022</v>
      </c>
      <c r="J2135" t="s">
        <v>363</v>
      </c>
      <c r="K2135" t="s">
        <v>106</v>
      </c>
      <c r="L2135" t="s">
        <v>2495</v>
      </c>
      <c r="M2135" t="s">
        <v>2530</v>
      </c>
      <c r="N2135">
        <v>1</v>
      </c>
      <c r="O2135">
        <v>2020</v>
      </c>
      <c r="P2135">
        <v>30.995290460986698</v>
      </c>
      <c r="Q2135">
        <v>1.07624732944957</v>
      </c>
      <c r="R2135" t="s">
        <v>289</v>
      </c>
      <c r="S2135">
        <v>91.18482905982907</v>
      </c>
      <c r="T2135" t="s">
        <v>290</v>
      </c>
      <c r="U2135">
        <v>91.18482905982907</v>
      </c>
      <c r="V2135">
        <v>30.995290460986698</v>
      </c>
      <c r="W2135">
        <v>1.07624732944957</v>
      </c>
      <c r="X2135" t="s">
        <v>291</v>
      </c>
      <c r="Y2135">
        <v>10</v>
      </c>
      <c r="Z2135">
        <v>0.34401375729085998</v>
      </c>
      <c r="AA2135">
        <v>1</v>
      </c>
    </row>
    <row r="2136" spans="1:27" hidden="1" x14ac:dyDescent="0.25">
      <c r="A2136" t="s">
        <v>98</v>
      </c>
      <c r="B2136" t="s">
        <v>1024</v>
      </c>
      <c r="D2136" t="s">
        <v>1722</v>
      </c>
      <c r="E2136" t="s">
        <v>284</v>
      </c>
      <c r="F2136" t="s">
        <v>365</v>
      </c>
      <c r="G2136" t="s">
        <v>103</v>
      </c>
      <c r="H2136" t="s">
        <v>104</v>
      </c>
      <c r="I2136">
        <v>2022</v>
      </c>
      <c r="J2136" t="s">
        <v>366</v>
      </c>
      <c r="K2136" t="s">
        <v>106</v>
      </c>
      <c r="L2136" t="s">
        <v>2495</v>
      </c>
      <c r="M2136" t="s">
        <v>2531</v>
      </c>
      <c r="N2136">
        <v>1</v>
      </c>
      <c r="O2136">
        <v>2020</v>
      </c>
      <c r="P2136">
        <v>34.581332645158973</v>
      </c>
      <c r="Q2136">
        <v>1.926881708285624</v>
      </c>
      <c r="R2136" t="s">
        <v>289</v>
      </c>
      <c r="S2136">
        <v>115.45533602622641</v>
      </c>
      <c r="T2136" t="s">
        <v>290</v>
      </c>
      <c r="U2136">
        <v>115.45533602622641</v>
      </c>
      <c r="V2136">
        <v>34.581332645158973</v>
      </c>
      <c r="W2136">
        <v>1.926881708285624</v>
      </c>
      <c r="X2136" t="s">
        <v>291</v>
      </c>
      <c r="Y2136">
        <v>10</v>
      </c>
      <c r="Z2136">
        <v>0.34401375729085998</v>
      </c>
      <c r="AA2136">
        <v>1</v>
      </c>
    </row>
    <row r="2137" spans="1:27" hidden="1" x14ac:dyDescent="0.25">
      <c r="A2137" t="s">
        <v>98</v>
      </c>
      <c r="B2137" t="s">
        <v>1024</v>
      </c>
      <c r="D2137" t="s">
        <v>1722</v>
      </c>
      <c r="E2137" t="s">
        <v>284</v>
      </c>
      <c r="F2137" t="s">
        <v>365</v>
      </c>
      <c r="G2137" t="s">
        <v>112</v>
      </c>
      <c r="H2137" t="s">
        <v>104</v>
      </c>
      <c r="I2137">
        <v>2022</v>
      </c>
      <c r="J2137" t="s">
        <v>368</v>
      </c>
      <c r="K2137" t="s">
        <v>106</v>
      </c>
      <c r="L2137" t="s">
        <v>2495</v>
      </c>
      <c r="M2137" t="s">
        <v>2532</v>
      </c>
      <c r="N2137">
        <v>1</v>
      </c>
      <c r="O2137">
        <v>2020</v>
      </c>
      <c r="P2137">
        <v>44.653862333829821</v>
      </c>
      <c r="Q2137">
        <v>2.4693086643180591</v>
      </c>
      <c r="R2137" t="s">
        <v>289</v>
      </c>
      <c r="S2137">
        <v>130.6177318295739</v>
      </c>
      <c r="T2137" t="s">
        <v>290</v>
      </c>
      <c r="U2137">
        <v>130.6177318295739</v>
      </c>
      <c r="V2137">
        <v>44.653862333829821</v>
      </c>
      <c r="W2137">
        <v>2.4693086643180591</v>
      </c>
      <c r="X2137" t="s">
        <v>291</v>
      </c>
      <c r="Y2137">
        <v>10</v>
      </c>
      <c r="Z2137">
        <v>0.34401375729085998</v>
      </c>
      <c r="AA2137">
        <v>1</v>
      </c>
    </row>
    <row r="2138" spans="1:27" hidden="1" x14ac:dyDescent="0.25">
      <c r="A2138" t="s">
        <v>98</v>
      </c>
      <c r="B2138" t="s">
        <v>1024</v>
      </c>
      <c r="D2138" t="s">
        <v>1722</v>
      </c>
      <c r="E2138" t="s">
        <v>284</v>
      </c>
      <c r="F2138" t="s">
        <v>365</v>
      </c>
      <c r="G2138" t="s">
        <v>103</v>
      </c>
      <c r="H2138" t="s">
        <v>104</v>
      </c>
      <c r="I2138">
        <v>2023</v>
      </c>
      <c r="J2138" t="s">
        <v>370</v>
      </c>
      <c r="K2138" t="s">
        <v>106</v>
      </c>
      <c r="L2138" t="s">
        <v>2495</v>
      </c>
      <c r="M2138" t="s">
        <v>2533</v>
      </c>
      <c r="N2138">
        <v>1</v>
      </c>
      <c r="O2138">
        <v>2023</v>
      </c>
      <c r="P2138">
        <v>34.353918735727063</v>
      </c>
      <c r="Q2138">
        <v>1.893397965391721</v>
      </c>
      <c r="R2138" t="s">
        <v>289</v>
      </c>
      <c r="S2138">
        <v>115.45533602622641</v>
      </c>
      <c r="T2138" t="s">
        <v>290</v>
      </c>
      <c r="U2138">
        <v>115.45533602622641</v>
      </c>
      <c r="V2138">
        <v>34.353918735727063</v>
      </c>
      <c r="W2138">
        <v>1.893397965391721</v>
      </c>
      <c r="X2138" t="s">
        <v>291</v>
      </c>
      <c r="Y2138">
        <v>10</v>
      </c>
      <c r="Z2138">
        <v>0.34401375729085998</v>
      </c>
      <c r="AA2138">
        <v>1</v>
      </c>
    </row>
    <row r="2139" spans="1:27" hidden="1" x14ac:dyDescent="0.25">
      <c r="A2139" t="s">
        <v>98</v>
      </c>
      <c r="B2139" t="s">
        <v>1024</v>
      </c>
      <c r="D2139" t="s">
        <v>1722</v>
      </c>
      <c r="E2139" t="s">
        <v>284</v>
      </c>
      <c r="F2139" t="s">
        <v>365</v>
      </c>
      <c r="G2139" t="s">
        <v>112</v>
      </c>
      <c r="H2139" t="s">
        <v>104</v>
      </c>
      <c r="I2139">
        <v>2023</v>
      </c>
      <c r="J2139" t="s">
        <v>372</v>
      </c>
      <c r="K2139" t="s">
        <v>106</v>
      </c>
      <c r="L2139" t="s">
        <v>2495</v>
      </c>
      <c r="M2139" t="s">
        <v>2534</v>
      </c>
      <c r="N2139">
        <v>1</v>
      </c>
      <c r="O2139">
        <v>2023</v>
      </c>
      <c r="P2139">
        <v>43.733464606512037</v>
      </c>
      <c r="Q2139">
        <v>2.4042644647868401</v>
      </c>
      <c r="R2139" t="s">
        <v>289</v>
      </c>
      <c r="S2139">
        <v>130.6177318295739</v>
      </c>
      <c r="T2139" t="s">
        <v>290</v>
      </c>
      <c r="U2139">
        <v>130.6177318295739</v>
      </c>
      <c r="V2139">
        <v>43.733464606512037</v>
      </c>
      <c r="W2139">
        <v>2.4042644647868401</v>
      </c>
      <c r="X2139" t="s">
        <v>291</v>
      </c>
      <c r="Y2139">
        <v>10</v>
      </c>
      <c r="Z2139">
        <v>0.34401375729085998</v>
      </c>
      <c r="AA2139">
        <v>1</v>
      </c>
    </row>
    <row r="2140" spans="1:27" hidden="1" x14ac:dyDescent="0.25">
      <c r="A2140" t="s">
        <v>98</v>
      </c>
      <c r="B2140" t="s">
        <v>1024</v>
      </c>
      <c r="D2140" t="s">
        <v>1722</v>
      </c>
      <c r="E2140" t="s">
        <v>284</v>
      </c>
      <c r="F2140" t="s">
        <v>365</v>
      </c>
      <c r="G2140" t="s">
        <v>103</v>
      </c>
      <c r="H2140" t="s">
        <v>104</v>
      </c>
      <c r="I2140">
        <v>2024</v>
      </c>
      <c r="J2140" t="s">
        <v>374</v>
      </c>
      <c r="K2140" t="s">
        <v>106</v>
      </c>
      <c r="L2140" t="s">
        <v>2495</v>
      </c>
      <c r="M2140" t="s">
        <v>2535</v>
      </c>
      <c r="N2140">
        <v>1</v>
      </c>
      <c r="O2140">
        <v>2024</v>
      </c>
      <c r="P2140">
        <v>34.353918735727063</v>
      </c>
      <c r="Q2140">
        <v>1.893397965391721</v>
      </c>
      <c r="R2140" t="s">
        <v>289</v>
      </c>
      <c r="S2140">
        <v>115.45533602622641</v>
      </c>
      <c r="T2140" t="s">
        <v>290</v>
      </c>
      <c r="U2140">
        <v>115.45533602622641</v>
      </c>
      <c r="V2140">
        <v>34.353918735727063</v>
      </c>
      <c r="W2140">
        <v>1.893397965391721</v>
      </c>
      <c r="X2140" t="s">
        <v>291</v>
      </c>
      <c r="Y2140">
        <v>10</v>
      </c>
      <c r="Z2140">
        <v>0.34401375729085998</v>
      </c>
      <c r="AA2140">
        <v>1</v>
      </c>
    </row>
    <row r="2141" spans="1:27" hidden="1" x14ac:dyDescent="0.25">
      <c r="A2141" t="s">
        <v>98</v>
      </c>
      <c r="B2141" t="s">
        <v>1024</v>
      </c>
      <c r="D2141" t="s">
        <v>1722</v>
      </c>
      <c r="E2141" t="s">
        <v>284</v>
      </c>
      <c r="F2141" t="s">
        <v>365</v>
      </c>
      <c r="G2141" t="s">
        <v>112</v>
      </c>
      <c r="H2141" t="s">
        <v>104</v>
      </c>
      <c r="I2141">
        <v>2024</v>
      </c>
      <c r="J2141" t="s">
        <v>376</v>
      </c>
      <c r="K2141" t="s">
        <v>106</v>
      </c>
      <c r="L2141" t="s">
        <v>2495</v>
      </c>
      <c r="M2141" t="s">
        <v>2536</v>
      </c>
      <c r="N2141">
        <v>1</v>
      </c>
      <c r="O2141">
        <v>2024</v>
      </c>
      <c r="P2141">
        <v>43.733464606512037</v>
      </c>
      <c r="Q2141">
        <v>2.4042644647868401</v>
      </c>
      <c r="R2141" t="s">
        <v>289</v>
      </c>
      <c r="S2141">
        <v>130.6177318295739</v>
      </c>
      <c r="T2141" t="s">
        <v>290</v>
      </c>
      <c r="U2141">
        <v>130.6177318295739</v>
      </c>
      <c r="V2141">
        <v>43.733464606512037</v>
      </c>
      <c r="W2141">
        <v>2.4042644647868401</v>
      </c>
      <c r="X2141" t="s">
        <v>291</v>
      </c>
      <c r="Y2141">
        <v>10</v>
      </c>
      <c r="Z2141">
        <v>0.34401375729085998</v>
      </c>
      <c r="AA2141">
        <v>1</v>
      </c>
    </row>
    <row r="2142" spans="1:27" hidden="1" x14ac:dyDescent="0.25">
      <c r="A2142" t="s">
        <v>98</v>
      </c>
      <c r="B2142" t="s">
        <v>1024</v>
      </c>
      <c r="D2142" t="s">
        <v>1722</v>
      </c>
      <c r="E2142" t="s">
        <v>284</v>
      </c>
      <c r="F2142" t="s">
        <v>365</v>
      </c>
      <c r="G2142" t="s">
        <v>103</v>
      </c>
      <c r="H2142" t="s">
        <v>104</v>
      </c>
      <c r="I2142">
        <v>2025</v>
      </c>
      <c r="J2142" t="s">
        <v>378</v>
      </c>
      <c r="K2142" t="s">
        <v>106</v>
      </c>
      <c r="L2142" t="s">
        <v>2495</v>
      </c>
      <c r="M2142" t="s">
        <v>2537</v>
      </c>
      <c r="N2142">
        <v>1</v>
      </c>
      <c r="O2142">
        <v>2025</v>
      </c>
      <c r="P2142">
        <v>34.353918735727063</v>
      </c>
      <c r="Q2142">
        <v>1.893397965391721</v>
      </c>
      <c r="R2142" t="s">
        <v>289</v>
      </c>
      <c r="S2142">
        <v>115.45533602622641</v>
      </c>
      <c r="T2142" t="s">
        <v>290</v>
      </c>
      <c r="U2142">
        <v>115.45533602622641</v>
      </c>
      <c r="V2142">
        <v>34.353918735727063</v>
      </c>
      <c r="W2142">
        <v>1.893397965391721</v>
      </c>
      <c r="X2142" t="s">
        <v>291</v>
      </c>
      <c r="Y2142">
        <v>10</v>
      </c>
      <c r="Z2142">
        <v>0.34401375729085998</v>
      </c>
      <c r="AA2142">
        <v>1</v>
      </c>
    </row>
    <row r="2143" spans="1:27" hidden="1" x14ac:dyDescent="0.25">
      <c r="A2143" t="s">
        <v>98</v>
      </c>
      <c r="B2143" t="s">
        <v>1024</v>
      </c>
      <c r="D2143" t="s">
        <v>1722</v>
      </c>
      <c r="E2143" t="s">
        <v>284</v>
      </c>
      <c r="F2143" t="s">
        <v>365</v>
      </c>
      <c r="G2143" t="s">
        <v>112</v>
      </c>
      <c r="H2143" t="s">
        <v>104</v>
      </c>
      <c r="I2143">
        <v>2025</v>
      </c>
      <c r="J2143" t="s">
        <v>380</v>
      </c>
      <c r="K2143" t="s">
        <v>106</v>
      </c>
      <c r="L2143" t="s">
        <v>2495</v>
      </c>
      <c r="M2143" t="s">
        <v>2538</v>
      </c>
      <c r="N2143">
        <v>1</v>
      </c>
      <c r="O2143">
        <v>2025</v>
      </c>
      <c r="P2143">
        <v>43.733464606512037</v>
      </c>
      <c r="Q2143">
        <v>2.4042644647868401</v>
      </c>
      <c r="R2143" t="s">
        <v>289</v>
      </c>
      <c r="S2143">
        <v>130.6177318295739</v>
      </c>
      <c r="T2143" t="s">
        <v>290</v>
      </c>
      <c r="U2143">
        <v>130.6177318295739</v>
      </c>
      <c r="V2143">
        <v>43.733464606512037</v>
      </c>
      <c r="W2143">
        <v>2.4042644647868401</v>
      </c>
      <c r="X2143" t="s">
        <v>291</v>
      </c>
      <c r="Y2143">
        <v>10</v>
      </c>
      <c r="Z2143">
        <v>0.34401375729085998</v>
      </c>
      <c r="AA2143">
        <v>1</v>
      </c>
    </row>
    <row r="2144" spans="1:27" hidden="1" x14ac:dyDescent="0.25">
      <c r="A2144" t="s">
        <v>98</v>
      </c>
      <c r="B2144" t="s">
        <v>1024</v>
      </c>
      <c r="D2144" t="s">
        <v>1722</v>
      </c>
      <c r="E2144" t="s">
        <v>284</v>
      </c>
      <c r="F2144" t="s">
        <v>365</v>
      </c>
      <c r="G2144" t="s">
        <v>103</v>
      </c>
      <c r="H2144" t="s">
        <v>104</v>
      </c>
      <c r="I2144">
        <v>2026</v>
      </c>
      <c r="J2144" t="s">
        <v>382</v>
      </c>
      <c r="K2144" t="s">
        <v>106</v>
      </c>
      <c r="L2144" t="s">
        <v>2495</v>
      </c>
      <c r="M2144" t="s">
        <v>2539</v>
      </c>
      <c r="N2144">
        <v>1</v>
      </c>
      <c r="O2144">
        <v>2026</v>
      </c>
      <c r="P2144">
        <v>34.353918735727063</v>
      </c>
      <c r="Q2144">
        <v>1.893397965391721</v>
      </c>
      <c r="R2144" t="s">
        <v>289</v>
      </c>
      <c r="S2144">
        <v>115.45533602622641</v>
      </c>
      <c r="T2144" t="s">
        <v>290</v>
      </c>
      <c r="U2144">
        <v>115.45533602622641</v>
      </c>
      <c r="V2144">
        <v>34.353918735727063</v>
      </c>
      <c r="W2144">
        <v>1.893397965391721</v>
      </c>
      <c r="X2144" t="s">
        <v>291</v>
      </c>
      <c r="Y2144">
        <v>10</v>
      </c>
      <c r="Z2144">
        <v>0.34401375729085998</v>
      </c>
      <c r="AA2144">
        <v>1</v>
      </c>
    </row>
    <row r="2145" spans="1:27" hidden="1" x14ac:dyDescent="0.25">
      <c r="A2145" t="s">
        <v>98</v>
      </c>
      <c r="B2145" t="s">
        <v>1024</v>
      </c>
      <c r="D2145" t="s">
        <v>1722</v>
      </c>
      <c r="E2145" t="s">
        <v>284</v>
      </c>
      <c r="F2145" t="s">
        <v>365</v>
      </c>
      <c r="G2145" t="s">
        <v>112</v>
      </c>
      <c r="H2145" t="s">
        <v>104</v>
      </c>
      <c r="I2145">
        <v>2026</v>
      </c>
      <c r="J2145" t="s">
        <v>384</v>
      </c>
      <c r="K2145" t="s">
        <v>106</v>
      </c>
      <c r="L2145" t="s">
        <v>2495</v>
      </c>
      <c r="M2145" t="s">
        <v>2540</v>
      </c>
      <c r="N2145">
        <v>1</v>
      </c>
      <c r="O2145">
        <v>2026</v>
      </c>
      <c r="P2145">
        <v>43.733464606512037</v>
      </c>
      <c r="Q2145">
        <v>2.4042644647868401</v>
      </c>
      <c r="R2145" t="s">
        <v>289</v>
      </c>
      <c r="S2145">
        <v>130.6177318295739</v>
      </c>
      <c r="T2145" t="s">
        <v>290</v>
      </c>
      <c r="U2145">
        <v>130.6177318295739</v>
      </c>
      <c r="V2145">
        <v>43.733464606512037</v>
      </c>
      <c r="W2145">
        <v>2.4042644647868401</v>
      </c>
      <c r="X2145" t="s">
        <v>291</v>
      </c>
      <c r="Y2145">
        <v>10</v>
      </c>
      <c r="Z2145">
        <v>0.34401375729085998</v>
      </c>
      <c r="AA2145">
        <v>1</v>
      </c>
    </row>
    <row r="2146" spans="1:27" hidden="1" x14ac:dyDescent="0.25">
      <c r="A2146" t="s">
        <v>98</v>
      </c>
      <c r="B2146" t="s">
        <v>1024</v>
      </c>
      <c r="D2146" t="s">
        <v>1722</v>
      </c>
      <c r="E2146" t="s">
        <v>284</v>
      </c>
      <c r="F2146" t="s">
        <v>365</v>
      </c>
      <c r="G2146" t="s">
        <v>103</v>
      </c>
      <c r="H2146" t="s">
        <v>104</v>
      </c>
      <c r="I2146">
        <v>2027</v>
      </c>
      <c r="J2146" t="s">
        <v>386</v>
      </c>
      <c r="K2146" t="s">
        <v>106</v>
      </c>
      <c r="L2146" t="s">
        <v>2495</v>
      </c>
      <c r="M2146" t="s">
        <v>2541</v>
      </c>
      <c r="N2146">
        <v>1</v>
      </c>
      <c r="O2146">
        <v>2027</v>
      </c>
      <c r="P2146">
        <v>34.353918735727063</v>
      </c>
      <c r="Q2146">
        <v>1.893397965391721</v>
      </c>
      <c r="R2146" t="s">
        <v>289</v>
      </c>
      <c r="S2146">
        <v>115.45533602622641</v>
      </c>
      <c r="T2146" t="s">
        <v>290</v>
      </c>
      <c r="U2146">
        <v>115.45533602622641</v>
      </c>
      <c r="V2146">
        <v>34.353918735727063</v>
      </c>
      <c r="W2146">
        <v>1.893397965391721</v>
      </c>
      <c r="X2146" t="s">
        <v>291</v>
      </c>
      <c r="Y2146">
        <v>10</v>
      </c>
      <c r="Z2146">
        <v>0.34401375729085998</v>
      </c>
      <c r="AA2146">
        <v>1</v>
      </c>
    </row>
    <row r="2147" spans="1:27" hidden="1" x14ac:dyDescent="0.25">
      <c r="A2147" t="s">
        <v>98</v>
      </c>
      <c r="B2147" t="s">
        <v>1024</v>
      </c>
      <c r="D2147" t="s">
        <v>1722</v>
      </c>
      <c r="E2147" t="s">
        <v>284</v>
      </c>
      <c r="F2147" t="s">
        <v>365</v>
      </c>
      <c r="G2147" t="s">
        <v>112</v>
      </c>
      <c r="H2147" t="s">
        <v>104</v>
      </c>
      <c r="I2147">
        <v>2027</v>
      </c>
      <c r="J2147" t="s">
        <v>388</v>
      </c>
      <c r="K2147" t="s">
        <v>106</v>
      </c>
      <c r="L2147" t="s">
        <v>2495</v>
      </c>
      <c r="M2147" t="s">
        <v>2542</v>
      </c>
      <c r="N2147">
        <v>1</v>
      </c>
      <c r="O2147">
        <v>2027</v>
      </c>
      <c r="P2147">
        <v>43.733464606512037</v>
      </c>
      <c r="Q2147">
        <v>2.4042644647868401</v>
      </c>
      <c r="R2147" t="s">
        <v>289</v>
      </c>
      <c r="S2147">
        <v>130.6177318295739</v>
      </c>
      <c r="T2147" t="s">
        <v>290</v>
      </c>
      <c r="U2147">
        <v>130.6177318295739</v>
      </c>
      <c r="V2147">
        <v>43.733464606512037</v>
      </c>
      <c r="W2147">
        <v>2.4042644647868401</v>
      </c>
      <c r="X2147" t="s">
        <v>291</v>
      </c>
      <c r="Y2147">
        <v>10</v>
      </c>
      <c r="Z2147">
        <v>0.34401375729085998</v>
      </c>
      <c r="AA2147">
        <v>1</v>
      </c>
    </row>
    <row r="2148" spans="1:27" hidden="1" x14ac:dyDescent="0.25">
      <c r="A2148" t="s">
        <v>98</v>
      </c>
      <c r="B2148" t="s">
        <v>1024</v>
      </c>
      <c r="D2148" t="s">
        <v>1722</v>
      </c>
      <c r="E2148" t="s">
        <v>284</v>
      </c>
      <c r="F2148" t="s">
        <v>365</v>
      </c>
      <c r="G2148" t="s">
        <v>103</v>
      </c>
      <c r="H2148" t="s">
        <v>104</v>
      </c>
      <c r="I2148">
        <v>2028</v>
      </c>
      <c r="J2148" t="s">
        <v>390</v>
      </c>
      <c r="K2148" t="s">
        <v>106</v>
      </c>
      <c r="L2148" t="s">
        <v>2495</v>
      </c>
      <c r="M2148" t="s">
        <v>2543</v>
      </c>
      <c r="N2148">
        <v>1</v>
      </c>
      <c r="O2148">
        <v>2028</v>
      </c>
      <c r="P2148">
        <v>34.353918735727063</v>
      </c>
      <c r="Q2148">
        <v>1.893397965391721</v>
      </c>
      <c r="R2148" t="s">
        <v>289</v>
      </c>
      <c r="S2148">
        <v>115.45533602622641</v>
      </c>
      <c r="T2148" t="s">
        <v>290</v>
      </c>
      <c r="U2148">
        <v>115.45533602622641</v>
      </c>
      <c r="V2148">
        <v>34.353918735727063</v>
      </c>
      <c r="W2148">
        <v>1.893397965391721</v>
      </c>
      <c r="X2148" t="s">
        <v>291</v>
      </c>
      <c r="Y2148">
        <v>10</v>
      </c>
      <c r="Z2148">
        <v>0.34401375729085998</v>
      </c>
      <c r="AA2148">
        <v>1</v>
      </c>
    </row>
    <row r="2149" spans="1:27" hidden="1" x14ac:dyDescent="0.25">
      <c r="A2149" t="s">
        <v>98</v>
      </c>
      <c r="B2149" t="s">
        <v>1024</v>
      </c>
      <c r="D2149" t="s">
        <v>1722</v>
      </c>
      <c r="E2149" t="s">
        <v>284</v>
      </c>
      <c r="F2149" t="s">
        <v>365</v>
      </c>
      <c r="G2149" t="s">
        <v>112</v>
      </c>
      <c r="H2149" t="s">
        <v>104</v>
      </c>
      <c r="I2149">
        <v>2028</v>
      </c>
      <c r="J2149" t="s">
        <v>392</v>
      </c>
      <c r="K2149" t="s">
        <v>106</v>
      </c>
      <c r="L2149" t="s">
        <v>2495</v>
      </c>
      <c r="M2149" t="s">
        <v>2544</v>
      </c>
      <c r="N2149">
        <v>1</v>
      </c>
      <c r="O2149">
        <v>2028</v>
      </c>
      <c r="P2149">
        <v>43.733464606512037</v>
      </c>
      <c r="Q2149">
        <v>2.4042644647868401</v>
      </c>
      <c r="R2149" t="s">
        <v>289</v>
      </c>
      <c r="S2149">
        <v>130.6177318295739</v>
      </c>
      <c r="T2149" t="s">
        <v>290</v>
      </c>
      <c r="U2149">
        <v>130.6177318295739</v>
      </c>
      <c r="V2149">
        <v>43.733464606512037</v>
      </c>
      <c r="W2149">
        <v>2.4042644647868401</v>
      </c>
      <c r="X2149" t="s">
        <v>291</v>
      </c>
      <c r="Y2149">
        <v>10</v>
      </c>
      <c r="Z2149">
        <v>0.34401375729085998</v>
      </c>
      <c r="AA2149">
        <v>1</v>
      </c>
    </row>
    <row r="2150" spans="1:27" hidden="1" x14ac:dyDescent="0.25">
      <c r="A2150" t="s">
        <v>98</v>
      </c>
      <c r="B2150" t="s">
        <v>1024</v>
      </c>
      <c r="D2150" t="s">
        <v>1722</v>
      </c>
      <c r="E2150" t="s">
        <v>284</v>
      </c>
      <c r="F2150" t="s">
        <v>365</v>
      </c>
      <c r="G2150" t="s">
        <v>103</v>
      </c>
      <c r="H2150" t="s">
        <v>104</v>
      </c>
      <c r="I2150">
        <v>2029</v>
      </c>
      <c r="J2150" t="s">
        <v>394</v>
      </c>
      <c r="K2150" t="s">
        <v>106</v>
      </c>
      <c r="L2150" t="s">
        <v>2495</v>
      </c>
      <c r="M2150" t="s">
        <v>2545</v>
      </c>
      <c r="N2150">
        <v>1</v>
      </c>
      <c r="O2150">
        <v>2029</v>
      </c>
      <c r="P2150">
        <v>34.353918735727063</v>
      </c>
      <c r="Q2150">
        <v>1.893397965391721</v>
      </c>
      <c r="R2150" t="s">
        <v>289</v>
      </c>
      <c r="S2150">
        <v>115.45533602622641</v>
      </c>
      <c r="T2150" t="s">
        <v>290</v>
      </c>
      <c r="U2150">
        <v>115.45533602622641</v>
      </c>
      <c r="V2150">
        <v>34.353918735727063</v>
      </c>
      <c r="W2150">
        <v>1.893397965391721</v>
      </c>
      <c r="X2150" t="s">
        <v>291</v>
      </c>
      <c r="Y2150">
        <v>10</v>
      </c>
      <c r="Z2150">
        <v>0.34401375729085998</v>
      </c>
      <c r="AA2150">
        <v>1</v>
      </c>
    </row>
    <row r="2151" spans="1:27" hidden="1" x14ac:dyDescent="0.25">
      <c r="A2151" t="s">
        <v>98</v>
      </c>
      <c r="B2151" t="s">
        <v>1024</v>
      </c>
      <c r="D2151" t="s">
        <v>1722</v>
      </c>
      <c r="E2151" t="s">
        <v>284</v>
      </c>
      <c r="F2151" t="s">
        <v>365</v>
      </c>
      <c r="G2151" t="s">
        <v>112</v>
      </c>
      <c r="H2151" t="s">
        <v>104</v>
      </c>
      <c r="I2151">
        <v>2029</v>
      </c>
      <c r="J2151" t="s">
        <v>396</v>
      </c>
      <c r="K2151" t="s">
        <v>106</v>
      </c>
      <c r="L2151" t="s">
        <v>2495</v>
      </c>
      <c r="M2151" t="s">
        <v>2546</v>
      </c>
      <c r="N2151">
        <v>1</v>
      </c>
      <c r="O2151">
        <v>2029</v>
      </c>
      <c r="P2151">
        <v>43.733464606512037</v>
      </c>
      <c r="Q2151">
        <v>2.4042644647868401</v>
      </c>
      <c r="R2151" t="s">
        <v>289</v>
      </c>
      <c r="S2151">
        <v>130.6177318295739</v>
      </c>
      <c r="T2151" t="s">
        <v>290</v>
      </c>
      <c r="U2151">
        <v>130.6177318295739</v>
      </c>
      <c r="V2151">
        <v>43.733464606512037</v>
      </c>
      <c r="W2151">
        <v>2.4042644647868401</v>
      </c>
      <c r="X2151" t="s">
        <v>291</v>
      </c>
      <c r="Y2151">
        <v>10</v>
      </c>
      <c r="Z2151">
        <v>0.34401375729085998</v>
      </c>
      <c r="AA2151">
        <v>1</v>
      </c>
    </row>
    <row r="2152" spans="1:27" hidden="1" x14ac:dyDescent="0.25">
      <c r="A2152" t="s">
        <v>98</v>
      </c>
      <c r="B2152" t="s">
        <v>1024</v>
      </c>
      <c r="D2152" t="s">
        <v>1722</v>
      </c>
      <c r="E2152" t="s">
        <v>284</v>
      </c>
      <c r="F2152" t="s">
        <v>355</v>
      </c>
      <c r="G2152" t="s">
        <v>103</v>
      </c>
      <c r="H2152" t="s">
        <v>104</v>
      </c>
      <c r="I2152">
        <v>2030</v>
      </c>
      <c r="J2152" t="s">
        <v>398</v>
      </c>
      <c r="K2152" t="s">
        <v>106</v>
      </c>
      <c r="L2152" t="s">
        <v>2495</v>
      </c>
      <c r="M2152" t="s">
        <v>2547</v>
      </c>
      <c r="N2152">
        <v>1</v>
      </c>
      <c r="O2152">
        <v>2030</v>
      </c>
      <c r="P2152">
        <v>22.026606087295281</v>
      </c>
      <c r="Q2152">
        <v>0.67594869632979349</v>
      </c>
      <c r="R2152" t="s">
        <v>289</v>
      </c>
      <c r="S2152">
        <v>87.209325187237212</v>
      </c>
      <c r="T2152" t="s">
        <v>290</v>
      </c>
      <c r="U2152">
        <v>87.209325187237212</v>
      </c>
      <c r="V2152">
        <v>22.026606087295281</v>
      </c>
      <c r="W2152">
        <v>0.67594869632979349</v>
      </c>
      <c r="X2152" t="s">
        <v>291</v>
      </c>
      <c r="Y2152">
        <v>10</v>
      </c>
      <c r="Z2152">
        <v>0.34401375729085998</v>
      </c>
      <c r="AA2152">
        <v>1</v>
      </c>
    </row>
    <row r="2153" spans="1:27" hidden="1" x14ac:dyDescent="0.25">
      <c r="A2153" t="s">
        <v>98</v>
      </c>
      <c r="B2153" t="s">
        <v>1024</v>
      </c>
      <c r="D2153" t="s">
        <v>1722</v>
      </c>
      <c r="E2153" t="s">
        <v>284</v>
      </c>
      <c r="F2153" t="s">
        <v>355</v>
      </c>
      <c r="G2153" t="s">
        <v>112</v>
      </c>
      <c r="H2153" t="s">
        <v>104</v>
      </c>
      <c r="I2153">
        <v>2030</v>
      </c>
      <c r="J2153" t="s">
        <v>400</v>
      </c>
      <c r="K2153" t="s">
        <v>106</v>
      </c>
      <c r="L2153" t="s">
        <v>2495</v>
      </c>
      <c r="M2153" t="s">
        <v>2548</v>
      </c>
      <c r="N2153">
        <v>1</v>
      </c>
      <c r="O2153">
        <v>2030</v>
      </c>
      <c r="P2153">
        <v>23.051216439564651</v>
      </c>
      <c r="Q2153">
        <v>0.88782640486853737</v>
      </c>
      <c r="R2153" t="s">
        <v>289</v>
      </c>
      <c r="S2153">
        <v>87.494679062376832</v>
      </c>
      <c r="T2153" t="s">
        <v>290</v>
      </c>
      <c r="U2153">
        <v>87.494679062376832</v>
      </c>
      <c r="V2153">
        <v>23.051216439564651</v>
      </c>
      <c r="W2153">
        <v>0.88782640486853737</v>
      </c>
      <c r="X2153" t="s">
        <v>291</v>
      </c>
      <c r="Y2153">
        <v>10</v>
      </c>
      <c r="Z2153">
        <v>0.34401375729085998</v>
      </c>
      <c r="AA2153">
        <v>1</v>
      </c>
    </row>
    <row r="2154" spans="1:27" hidden="1" x14ac:dyDescent="0.25">
      <c r="A2154" t="s">
        <v>98</v>
      </c>
      <c r="B2154" t="s">
        <v>1024</v>
      </c>
      <c r="D2154" t="s">
        <v>1722</v>
      </c>
      <c r="E2154" t="s">
        <v>284</v>
      </c>
      <c r="F2154" t="s">
        <v>360</v>
      </c>
      <c r="G2154" t="s">
        <v>103</v>
      </c>
      <c r="H2154" t="s">
        <v>104</v>
      </c>
      <c r="I2154">
        <v>2030</v>
      </c>
      <c r="J2154" t="s">
        <v>402</v>
      </c>
      <c r="K2154" t="s">
        <v>106</v>
      </c>
      <c r="L2154" t="s">
        <v>2495</v>
      </c>
      <c r="M2154" t="s">
        <v>2549</v>
      </c>
      <c r="N2154">
        <v>1</v>
      </c>
      <c r="O2154">
        <v>2030</v>
      </c>
      <c r="P2154">
        <v>32.03338343675982</v>
      </c>
      <c r="Q2154">
        <v>0.74367453538487105</v>
      </c>
      <c r="R2154" t="s">
        <v>289</v>
      </c>
      <c r="S2154">
        <v>80.816288888888892</v>
      </c>
      <c r="T2154" t="s">
        <v>290</v>
      </c>
      <c r="U2154">
        <v>80.816288888888892</v>
      </c>
      <c r="V2154">
        <v>32.03338343675982</v>
      </c>
      <c r="W2154">
        <v>0.74367453538487105</v>
      </c>
      <c r="X2154" t="s">
        <v>291</v>
      </c>
      <c r="Y2154">
        <v>10</v>
      </c>
      <c r="Z2154">
        <v>0.34401375729085998</v>
      </c>
      <c r="AA2154">
        <v>1</v>
      </c>
    </row>
    <row r="2155" spans="1:27" hidden="1" x14ac:dyDescent="0.25">
      <c r="A2155" t="s">
        <v>98</v>
      </c>
      <c r="B2155" t="s">
        <v>1024</v>
      </c>
      <c r="D2155" t="s">
        <v>1722</v>
      </c>
      <c r="E2155" t="s">
        <v>284</v>
      </c>
      <c r="F2155" t="s">
        <v>360</v>
      </c>
      <c r="G2155" t="s">
        <v>112</v>
      </c>
      <c r="H2155" t="s">
        <v>104</v>
      </c>
      <c r="I2155">
        <v>2030</v>
      </c>
      <c r="J2155" t="s">
        <v>404</v>
      </c>
      <c r="K2155" t="s">
        <v>106</v>
      </c>
      <c r="L2155" t="s">
        <v>2495</v>
      </c>
      <c r="M2155" t="s">
        <v>2550</v>
      </c>
      <c r="N2155">
        <v>1</v>
      </c>
      <c r="O2155">
        <v>2030</v>
      </c>
      <c r="P2155">
        <v>30.04097222030375</v>
      </c>
      <c r="Q2155">
        <v>1.0503155304453009</v>
      </c>
      <c r="R2155" t="s">
        <v>289</v>
      </c>
      <c r="S2155">
        <v>90.329273504273502</v>
      </c>
      <c r="T2155" t="s">
        <v>290</v>
      </c>
      <c r="U2155">
        <v>90.329273504273502</v>
      </c>
      <c r="V2155">
        <v>30.04097222030375</v>
      </c>
      <c r="W2155">
        <v>1.0503155304453009</v>
      </c>
      <c r="X2155" t="s">
        <v>291</v>
      </c>
      <c r="Y2155">
        <v>10</v>
      </c>
      <c r="Z2155">
        <v>0.34401375729085998</v>
      </c>
      <c r="AA2155">
        <v>1</v>
      </c>
    </row>
    <row r="2156" spans="1:27" hidden="1" x14ac:dyDescent="0.25">
      <c r="A2156" t="s">
        <v>98</v>
      </c>
      <c r="B2156" t="s">
        <v>1024</v>
      </c>
      <c r="D2156" t="s">
        <v>1722</v>
      </c>
      <c r="E2156" t="s">
        <v>284</v>
      </c>
      <c r="F2156" t="s">
        <v>365</v>
      </c>
      <c r="G2156" t="s">
        <v>103</v>
      </c>
      <c r="H2156" t="s">
        <v>104</v>
      </c>
      <c r="I2156">
        <v>2030</v>
      </c>
      <c r="J2156" t="s">
        <v>406</v>
      </c>
      <c r="K2156" t="s">
        <v>106</v>
      </c>
      <c r="L2156" t="s">
        <v>2495</v>
      </c>
      <c r="M2156" t="s">
        <v>2551</v>
      </c>
      <c r="N2156">
        <v>1</v>
      </c>
      <c r="O2156">
        <v>2030</v>
      </c>
      <c r="P2156">
        <v>23.710775767327672</v>
      </c>
      <c r="Q2156">
        <v>1.668845649337886</v>
      </c>
      <c r="R2156" t="s">
        <v>289</v>
      </c>
      <c r="S2156">
        <v>154.72558108377279</v>
      </c>
      <c r="T2156" t="s">
        <v>290</v>
      </c>
      <c r="U2156">
        <v>154.72558108377279</v>
      </c>
      <c r="V2156">
        <v>23.710775767327672</v>
      </c>
      <c r="W2156">
        <v>1.668845649337886</v>
      </c>
      <c r="X2156" t="s">
        <v>291</v>
      </c>
      <c r="Y2156">
        <v>10</v>
      </c>
      <c r="Z2156">
        <v>0.34401375729085998</v>
      </c>
      <c r="AA2156">
        <v>1</v>
      </c>
    </row>
    <row r="2157" spans="1:27" hidden="1" x14ac:dyDescent="0.25">
      <c r="A2157" t="s">
        <v>98</v>
      </c>
      <c r="B2157" t="s">
        <v>1024</v>
      </c>
      <c r="D2157" t="s">
        <v>1722</v>
      </c>
      <c r="E2157" t="s">
        <v>284</v>
      </c>
      <c r="F2157" t="s">
        <v>365</v>
      </c>
      <c r="G2157" t="s">
        <v>112</v>
      </c>
      <c r="H2157" t="s">
        <v>104</v>
      </c>
      <c r="I2157">
        <v>2030</v>
      </c>
      <c r="J2157" t="s">
        <v>408</v>
      </c>
      <c r="K2157" t="s">
        <v>106</v>
      </c>
      <c r="L2157" t="s">
        <v>2495</v>
      </c>
      <c r="M2157" t="s">
        <v>2552</v>
      </c>
      <c r="N2157">
        <v>1</v>
      </c>
      <c r="O2157">
        <v>2030</v>
      </c>
      <c r="P2157">
        <v>28.858905605402359</v>
      </c>
      <c r="Q2157">
        <v>2.128664396371156</v>
      </c>
      <c r="R2157" t="s">
        <v>289</v>
      </c>
      <c r="S2157">
        <v>176.3746647164572</v>
      </c>
      <c r="T2157" t="s">
        <v>290</v>
      </c>
      <c r="U2157">
        <v>176.3746647164572</v>
      </c>
      <c r="V2157">
        <v>28.858905605402359</v>
      </c>
      <c r="W2157">
        <v>2.128664396371156</v>
      </c>
      <c r="X2157" t="s">
        <v>291</v>
      </c>
      <c r="Y2157">
        <v>10</v>
      </c>
      <c r="Z2157">
        <v>0.34401375729085998</v>
      </c>
      <c r="AA2157">
        <v>1</v>
      </c>
    </row>
    <row r="2158" spans="1:27" hidden="1" x14ac:dyDescent="0.25">
      <c r="A2158" t="s">
        <v>98</v>
      </c>
      <c r="B2158" t="s">
        <v>1024</v>
      </c>
      <c r="D2158" t="s">
        <v>1722</v>
      </c>
      <c r="E2158" t="s">
        <v>284</v>
      </c>
      <c r="F2158" t="s">
        <v>355</v>
      </c>
      <c r="G2158" t="s">
        <v>103</v>
      </c>
      <c r="H2158" t="s">
        <v>104</v>
      </c>
      <c r="I2158">
        <v>2040</v>
      </c>
      <c r="J2158" t="s">
        <v>410</v>
      </c>
      <c r="K2158" t="s">
        <v>106</v>
      </c>
      <c r="L2158" t="s">
        <v>2495</v>
      </c>
      <c r="M2158" t="s">
        <v>2553</v>
      </c>
      <c r="N2158">
        <v>1</v>
      </c>
      <c r="O2158">
        <v>2040</v>
      </c>
      <c r="P2158">
        <v>22.159986853322259</v>
      </c>
      <c r="Q2158">
        <v>0.64769049265200085</v>
      </c>
      <c r="R2158" t="s">
        <v>289</v>
      </c>
      <c r="S2158">
        <v>85.846844985289152</v>
      </c>
      <c r="T2158" t="s">
        <v>290</v>
      </c>
      <c r="U2158">
        <v>85.846844985289152</v>
      </c>
      <c r="V2158">
        <v>22.159986853322259</v>
      </c>
      <c r="W2158">
        <v>0.64769049265200085</v>
      </c>
      <c r="X2158" t="s">
        <v>291</v>
      </c>
      <c r="Y2158">
        <v>10</v>
      </c>
      <c r="Z2158">
        <v>0.34401375729085998</v>
      </c>
      <c r="AA2158">
        <v>1</v>
      </c>
    </row>
    <row r="2159" spans="1:27" hidden="1" x14ac:dyDescent="0.25">
      <c r="A2159" t="s">
        <v>98</v>
      </c>
      <c r="B2159" t="s">
        <v>1024</v>
      </c>
      <c r="D2159" t="s">
        <v>1722</v>
      </c>
      <c r="E2159" t="s">
        <v>284</v>
      </c>
      <c r="F2159" t="s">
        <v>355</v>
      </c>
      <c r="G2159" t="s">
        <v>112</v>
      </c>
      <c r="H2159" t="s">
        <v>104</v>
      </c>
      <c r="I2159">
        <v>2040</v>
      </c>
      <c r="J2159" t="s">
        <v>412</v>
      </c>
      <c r="K2159" t="s">
        <v>106</v>
      </c>
      <c r="L2159" t="s">
        <v>2495</v>
      </c>
      <c r="M2159" t="s">
        <v>2554</v>
      </c>
      <c r="N2159">
        <v>1</v>
      </c>
      <c r="O2159">
        <v>2040</v>
      </c>
      <c r="P2159">
        <v>22.287209700822071</v>
      </c>
      <c r="Q2159">
        <v>0.78348370867951755</v>
      </c>
      <c r="R2159" t="s">
        <v>289</v>
      </c>
      <c r="S2159">
        <v>88.372750377742747</v>
      </c>
      <c r="T2159" t="s">
        <v>290</v>
      </c>
      <c r="U2159">
        <v>88.372750377742747</v>
      </c>
      <c r="V2159">
        <v>22.287209700822071</v>
      </c>
      <c r="W2159">
        <v>0.78348370867951755</v>
      </c>
      <c r="X2159" t="s">
        <v>291</v>
      </c>
      <c r="Y2159">
        <v>10</v>
      </c>
      <c r="Z2159">
        <v>0.34401375729085998</v>
      </c>
      <c r="AA2159">
        <v>1</v>
      </c>
    </row>
    <row r="2160" spans="1:27" hidden="1" x14ac:dyDescent="0.25">
      <c r="A2160" t="s">
        <v>98</v>
      </c>
      <c r="B2160" t="s">
        <v>1024</v>
      </c>
      <c r="D2160" t="s">
        <v>1722</v>
      </c>
      <c r="E2160" t="s">
        <v>284</v>
      </c>
      <c r="F2160" t="s">
        <v>360</v>
      </c>
      <c r="G2160" t="s">
        <v>103</v>
      </c>
      <c r="H2160" t="s">
        <v>104</v>
      </c>
      <c r="I2160">
        <v>2040</v>
      </c>
      <c r="J2160" t="s">
        <v>414</v>
      </c>
      <c r="K2160" t="s">
        <v>106</v>
      </c>
      <c r="L2160" t="s">
        <v>2495</v>
      </c>
      <c r="M2160" t="s">
        <v>2555</v>
      </c>
      <c r="N2160">
        <v>1</v>
      </c>
      <c r="O2160">
        <v>2040</v>
      </c>
      <c r="P2160">
        <v>28.721945226708339</v>
      </c>
      <c r="Q2160">
        <v>0.72978219131721256</v>
      </c>
      <c r="R2160" t="s">
        <v>289</v>
      </c>
      <c r="S2160">
        <v>80.816288888888892</v>
      </c>
      <c r="T2160" t="s">
        <v>290</v>
      </c>
      <c r="U2160">
        <v>80.816288888888892</v>
      </c>
      <c r="V2160">
        <v>28.721945226708339</v>
      </c>
      <c r="W2160">
        <v>0.72978219131721256</v>
      </c>
      <c r="X2160" t="s">
        <v>291</v>
      </c>
      <c r="Y2160">
        <v>10</v>
      </c>
      <c r="Z2160">
        <v>0.34401375729085998</v>
      </c>
      <c r="AA2160">
        <v>1</v>
      </c>
    </row>
    <row r="2161" spans="1:27" hidden="1" x14ac:dyDescent="0.25">
      <c r="A2161" t="s">
        <v>98</v>
      </c>
      <c r="B2161" t="s">
        <v>1024</v>
      </c>
      <c r="D2161" t="s">
        <v>1722</v>
      </c>
      <c r="E2161" t="s">
        <v>284</v>
      </c>
      <c r="F2161" t="s">
        <v>360</v>
      </c>
      <c r="G2161" t="s">
        <v>112</v>
      </c>
      <c r="H2161" t="s">
        <v>104</v>
      </c>
      <c r="I2161">
        <v>2040</v>
      </c>
      <c r="J2161" t="s">
        <v>416</v>
      </c>
      <c r="K2161" t="s">
        <v>106</v>
      </c>
      <c r="L2161" t="s">
        <v>2495</v>
      </c>
      <c r="M2161" t="s">
        <v>2556</v>
      </c>
      <c r="N2161">
        <v>1</v>
      </c>
      <c r="O2161">
        <v>2040</v>
      </c>
      <c r="P2161">
        <v>33.197275628385512</v>
      </c>
      <c r="Q2161">
        <v>1.1034319170477349</v>
      </c>
      <c r="R2161" t="s">
        <v>289</v>
      </c>
      <c r="S2161">
        <v>93.34643874643875</v>
      </c>
      <c r="T2161" t="s">
        <v>290</v>
      </c>
      <c r="U2161">
        <v>93.34643874643875</v>
      </c>
      <c r="V2161">
        <v>33.197275628385512</v>
      </c>
      <c r="W2161">
        <v>1.1034319170477349</v>
      </c>
      <c r="X2161" t="s">
        <v>291</v>
      </c>
      <c r="Y2161">
        <v>10</v>
      </c>
      <c r="Z2161">
        <v>0.34401375729085998</v>
      </c>
      <c r="AA2161">
        <v>1</v>
      </c>
    </row>
    <row r="2162" spans="1:27" hidden="1" x14ac:dyDescent="0.25">
      <c r="A2162" t="s">
        <v>98</v>
      </c>
      <c r="B2162" t="s">
        <v>1024</v>
      </c>
      <c r="D2162" t="s">
        <v>1722</v>
      </c>
      <c r="E2162" t="s">
        <v>284</v>
      </c>
      <c r="F2162" t="s">
        <v>365</v>
      </c>
      <c r="G2162" t="s">
        <v>103</v>
      </c>
      <c r="H2162" t="s">
        <v>104</v>
      </c>
      <c r="I2162">
        <v>2040</v>
      </c>
      <c r="J2162" t="s">
        <v>418</v>
      </c>
      <c r="K2162" t="s">
        <v>106</v>
      </c>
      <c r="L2162" t="s">
        <v>2495</v>
      </c>
      <c r="M2162" t="s">
        <v>2557</v>
      </c>
      <c r="N2162">
        <v>1</v>
      </c>
      <c r="O2162">
        <v>2040</v>
      </c>
      <c r="P2162">
        <v>22.333975775561878</v>
      </c>
      <c r="Q2162">
        <v>1.552983156443519</v>
      </c>
      <c r="R2162" t="s">
        <v>289</v>
      </c>
      <c r="S2162">
        <v>181.1420784222461</v>
      </c>
      <c r="T2162" t="s">
        <v>290</v>
      </c>
      <c r="U2162">
        <v>181.1420784222461</v>
      </c>
      <c r="V2162">
        <v>22.333975775561878</v>
      </c>
      <c r="W2162">
        <v>1.552983156443519</v>
      </c>
      <c r="X2162" t="s">
        <v>291</v>
      </c>
      <c r="Y2162">
        <v>10</v>
      </c>
      <c r="Z2162">
        <v>0.34401375729085998</v>
      </c>
      <c r="AA2162">
        <v>1</v>
      </c>
    </row>
    <row r="2163" spans="1:27" hidden="1" x14ac:dyDescent="0.25">
      <c r="A2163" t="s">
        <v>98</v>
      </c>
      <c r="B2163" t="s">
        <v>1024</v>
      </c>
      <c r="D2163" t="s">
        <v>1722</v>
      </c>
      <c r="E2163" t="s">
        <v>284</v>
      </c>
      <c r="F2163" t="s">
        <v>365</v>
      </c>
      <c r="G2163" t="s">
        <v>112</v>
      </c>
      <c r="H2163" t="s">
        <v>104</v>
      </c>
      <c r="I2163">
        <v>2040</v>
      </c>
      <c r="J2163" t="s">
        <v>420</v>
      </c>
      <c r="K2163" t="s">
        <v>106</v>
      </c>
      <c r="L2163" t="s">
        <v>2495</v>
      </c>
      <c r="M2163" t="s">
        <v>2558</v>
      </c>
      <c r="N2163">
        <v>1</v>
      </c>
      <c r="O2163">
        <v>2040</v>
      </c>
      <c r="P2163">
        <v>27.009726996743201</v>
      </c>
      <c r="Q2163">
        <v>1.971842815426603</v>
      </c>
      <c r="R2163" t="s">
        <v>289</v>
      </c>
      <c r="S2163">
        <v>206.50467814395611</v>
      </c>
      <c r="T2163" t="s">
        <v>290</v>
      </c>
      <c r="U2163">
        <v>206.50467814395611</v>
      </c>
      <c r="V2163">
        <v>27.009726996743201</v>
      </c>
      <c r="W2163">
        <v>1.971842815426603</v>
      </c>
      <c r="X2163" t="s">
        <v>291</v>
      </c>
      <c r="Y2163">
        <v>10</v>
      </c>
      <c r="Z2163">
        <v>0.34401375729085998</v>
      </c>
      <c r="AA2163">
        <v>1</v>
      </c>
    </row>
    <row r="2164" spans="1:27" hidden="1" x14ac:dyDescent="0.25">
      <c r="A2164" t="s">
        <v>98</v>
      </c>
      <c r="B2164" t="s">
        <v>1024</v>
      </c>
      <c r="D2164" t="s">
        <v>1722</v>
      </c>
      <c r="E2164" t="s">
        <v>284</v>
      </c>
      <c r="F2164" t="s">
        <v>422</v>
      </c>
      <c r="G2164" t="s">
        <v>103</v>
      </c>
      <c r="H2164" t="s">
        <v>104</v>
      </c>
      <c r="I2164">
        <v>2022</v>
      </c>
      <c r="J2164" t="s">
        <v>423</v>
      </c>
      <c r="K2164" t="s">
        <v>106</v>
      </c>
      <c r="L2164" t="s">
        <v>2495</v>
      </c>
      <c r="M2164" t="s">
        <v>2559</v>
      </c>
      <c r="N2164">
        <v>1</v>
      </c>
      <c r="O2164">
        <v>2020</v>
      </c>
      <c r="P2164">
        <v>22.570490905245428</v>
      </c>
      <c r="Q2164">
        <v>0.77947598919167282</v>
      </c>
      <c r="R2164" t="s">
        <v>289</v>
      </c>
      <c r="S2164">
        <v>59.465873015873022</v>
      </c>
      <c r="T2164" t="s">
        <v>290</v>
      </c>
      <c r="U2164">
        <v>59.465873015873022</v>
      </c>
      <c r="V2164">
        <v>22.570490905245428</v>
      </c>
      <c r="W2164">
        <v>0.77947598919167282</v>
      </c>
      <c r="X2164" t="s">
        <v>291</v>
      </c>
      <c r="Y2164">
        <v>10</v>
      </c>
      <c r="Z2164">
        <v>0.34401375729085998</v>
      </c>
      <c r="AA2164">
        <v>1</v>
      </c>
    </row>
    <row r="2165" spans="1:27" hidden="1" x14ac:dyDescent="0.25">
      <c r="A2165" t="s">
        <v>98</v>
      </c>
      <c r="B2165" t="s">
        <v>1024</v>
      </c>
      <c r="D2165" t="s">
        <v>1722</v>
      </c>
      <c r="E2165" t="s">
        <v>284</v>
      </c>
      <c r="F2165" t="s">
        <v>425</v>
      </c>
      <c r="G2165" t="s">
        <v>103</v>
      </c>
      <c r="H2165" t="s">
        <v>104</v>
      </c>
      <c r="I2165">
        <v>2022</v>
      </c>
      <c r="J2165" t="s">
        <v>426</v>
      </c>
      <c r="K2165" t="s">
        <v>106</v>
      </c>
      <c r="L2165" t="s">
        <v>2495</v>
      </c>
      <c r="M2165" t="s">
        <v>2560</v>
      </c>
      <c r="N2165">
        <v>1</v>
      </c>
      <c r="O2165">
        <v>2020</v>
      </c>
      <c r="P2165">
        <v>20.699165146358741</v>
      </c>
      <c r="Q2165">
        <v>1.111231451610436</v>
      </c>
      <c r="R2165" t="s">
        <v>289</v>
      </c>
      <c r="S2165">
        <v>74.054444444444442</v>
      </c>
      <c r="T2165" t="s">
        <v>290</v>
      </c>
      <c r="U2165">
        <v>74.054444444444442</v>
      </c>
      <c r="V2165">
        <v>20.699165146358741</v>
      </c>
      <c r="W2165">
        <v>1.111231451610436</v>
      </c>
      <c r="X2165" t="s">
        <v>291</v>
      </c>
      <c r="Y2165">
        <v>10</v>
      </c>
      <c r="Z2165">
        <v>0.34401375729085998</v>
      </c>
      <c r="AA2165">
        <v>1</v>
      </c>
    </row>
    <row r="2166" spans="1:27" hidden="1" x14ac:dyDescent="0.25">
      <c r="A2166" t="s">
        <v>98</v>
      </c>
      <c r="B2166" t="s">
        <v>1024</v>
      </c>
      <c r="D2166" t="s">
        <v>1722</v>
      </c>
      <c r="E2166" t="s">
        <v>284</v>
      </c>
      <c r="F2166" t="s">
        <v>428</v>
      </c>
      <c r="G2166" t="s">
        <v>103</v>
      </c>
      <c r="H2166" t="s">
        <v>104</v>
      </c>
      <c r="I2166">
        <v>2022</v>
      </c>
      <c r="J2166" t="s">
        <v>429</v>
      </c>
      <c r="K2166" t="s">
        <v>106</v>
      </c>
      <c r="L2166" t="s">
        <v>2495</v>
      </c>
      <c r="M2166" t="s">
        <v>2561</v>
      </c>
      <c r="N2166">
        <v>1</v>
      </c>
      <c r="O2166">
        <v>2020</v>
      </c>
      <c r="P2166">
        <v>25.347672779313449</v>
      </c>
      <c r="Q2166">
        <v>0.56400508525842741</v>
      </c>
      <c r="R2166" t="s">
        <v>289</v>
      </c>
      <c r="S2166">
        <v>77.810944444444459</v>
      </c>
      <c r="T2166" t="s">
        <v>290</v>
      </c>
      <c r="U2166">
        <v>77.810944444444459</v>
      </c>
      <c r="V2166">
        <v>25.347672779313449</v>
      </c>
      <c r="W2166">
        <v>0.56400508525842741</v>
      </c>
      <c r="X2166" t="s">
        <v>291</v>
      </c>
      <c r="Y2166">
        <v>10</v>
      </c>
      <c r="Z2166">
        <v>0.34401375729085998</v>
      </c>
      <c r="AA2166">
        <v>1</v>
      </c>
    </row>
    <row r="2167" spans="1:27" hidden="1" x14ac:dyDescent="0.25">
      <c r="A2167" t="s">
        <v>98</v>
      </c>
      <c r="B2167" t="s">
        <v>1024</v>
      </c>
      <c r="D2167" t="s">
        <v>1722</v>
      </c>
      <c r="E2167" t="s">
        <v>284</v>
      </c>
      <c r="F2167" t="s">
        <v>425</v>
      </c>
      <c r="G2167" t="s">
        <v>103</v>
      </c>
      <c r="H2167" t="s">
        <v>104</v>
      </c>
      <c r="I2167">
        <v>2030</v>
      </c>
      <c r="J2167" t="s">
        <v>431</v>
      </c>
      <c r="K2167" t="s">
        <v>106</v>
      </c>
      <c r="L2167" t="s">
        <v>2495</v>
      </c>
      <c r="M2167" t="s">
        <v>2562</v>
      </c>
      <c r="N2167">
        <v>1</v>
      </c>
      <c r="O2167">
        <v>2030</v>
      </c>
      <c r="P2167">
        <v>20.230705085538521</v>
      </c>
      <c r="Q2167">
        <v>1.0951903363739519</v>
      </c>
      <c r="R2167" t="s">
        <v>289</v>
      </c>
      <c r="S2167">
        <v>79.81</v>
      </c>
      <c r="T2167" t="s">
        <v>290</v>
      </c>
      <c r="U2167">
        <v>79.81</v>
      </c>
      <c r="V2167">
        <v>20.230705085538521</v>
      </c>
      <c r="W2167">
        <v>1.0951903363739519</v>
      </c>
      <c r="X2167" t="s">
        <v>291</v>
      </c>
      <c r="Y2167">
        <v>10</v>
      </c>
      <c r="Z2167">
        <v>0.34401375729085998</v>
      </c>
      <c r="AA2167">
        <v>1</v>
      </c>
    </row>
    <row r="2168" spans="1:27" hidden="1" x14ac:dyDescent="0.25">
      <c r="A2168" t="s">
        <v>98</v>
      </c>
      <c r="B2168" t="s">
        <v>1024</v>
      </c>
      <c r="D2168" t="s">
        <v>1722</v>
      </c>
      <c r="E2168" t="s">
        <v>284</v>
      </c>
      <c r="F2168" t="s">
        <v>428</v>
      </c>
      <c r="G2168" t="s">
        <v>103</v>
      </c>
      <c r="H2168" t="s">
        <v>104</v>
      </c>
      <c r="I2168">
        <v>2030</v>
      </c>
      <c r="J2168" t="s">
        <v>433</v>
      </c>
      <c r="K2168" t="s">
        <v>106</v>
      </c>
      <c r="L2168" t="s">
        <v>2495</v>
      </c>
      <c r="M2168" t="s">
        <v>2563</v>
      </c>
      <c r="N2168">
        <v>1</v>
      </c>
      <c r="O2168">
        <v>2030</v>
      </c>
      <c r="P2168">
        <v>24.67049407605251</v>
      </c>
      <c r="Q2168">
        <v>0.55731249361340607</v>
      </c>
      <c r="R2168" t="s">
        <v>289</v>
      </c>
      <c r="S2168">
        <v>84.367500000000007</v>
      </c>
      <c r="T2168" t="s">
        <v>290</v>
      </c>
      <c r="U2168">
        <v>84.367500000000007</v>
      </c>
      <c r="V2168">
        <v>24.67049407605251</v>
      </c>
      <c r="W2168">
        <v>0.55731249361340607</v>
      </c>
      <c r="X2168" t="s">
        <v>291</v>
      </c>
      <c r="Y2168">
        <v>10</v>
      </c>
      <c r="Z2168">
        <v>0.34401375729085998</v>
      </c>
      <c r="AA2168">
        <v>1</v>
      </c>
    </row>
    <row r="2169" spans="1:27" hidden="1" x14ac:dyDescent="0.25">
      <c r="A2169" t="s">
        <v>98</v>
      </c>
      <c r="B2169" t="s">
        <v>1024</v>
      </c>
      <c r="D2169" t="s">
        <v>1722</v>
      </c>
      <c r="E2169" t="s">
        <v>284</v>
      </c>
      <c r="F2169" t="s">
        <v>425</v>
      </c>
      <c r="G2169" t="s">
        <v>103</v>
      </c>
      <c r="H2169" t="s">
        <v>104</v>
      </c>
      <c r="I2169">
        <v>2040</v>
      </c>
      <c r="J2169" t="s">
        <v>435</v>
      </c>
      <c r="K2169" t="s">
        <v>106</v>
      </c>
      <c r="L2169" t="s">
        <v>2495</v>
      </c>
      <c r="M2169" t="s">
        <v>2564</v>
      </c>
      <c r="N2169">
        <v>1</v>
      </c>
      <c r="O2169">
        <v>2040</v>
      </c>
      <c r="P2169">
        <v>19.670938877469698</v>
      </c>
      <c r="Q2169">
        <v>1.076022695415618</v>
      </c>
      <c r="R2169" t="s">
        <v>289</v>
      </c>
      <c r="S2169">
        <v>79.81</v>
      </c>
      <c r="T2169" t="s">
        <v>290</v>
      </c>
      <c r="U2169">
        <v>79.81</v>
      </c>
      <c r="V2169">
        <v>19.670938877469698</v>
      </c>
      <c r="W2169">
        <v>1.076022695415618</v>
      </c>
      <c r="X2169" t="s">
        <v>291</v>
      </c>
      <c r="Y2169">
        <v>10</v>
      </c>
      <c r="Z2169">
        <v>0.34401375729085998</v>
      </c>
      <c r="AA2169">
        <v>1</v>
      </c>
    </row>
    <row r="2170" spans="1:27" hidden="1" x14ac:dyDescent="0.25">
      <c r="A2170" t="s">
        <v>98</v>
      </c>
      <c r="B2170" t="s">
        <v>1024</v>
      </c>
      <c r="D2170" t="s">
        <v>1722</v>
      </c>
      <c r="E2170" t="s">
        <v>284</v>
      </c>
      <c r="F2170" t="s">
        <v>428</v>
      </c>
      <c r="G2170" t="s">
        <v>103</v>
      </c>
      <c r="H2170" t="s">
        <v>104</v>
      </c>
      <c r="I2170">
        <v>2040</v>
      </c>
      <c r="J2170" t="s">
        <v>437</v>
      </c>
      <c r="K2170" t="s">
        <v>106</v>
      </c>
      <c r="L2170" t="s">
        <v>2495</v>
      </c>
      <c r="M2170" t="s">
        <v>2565</v>
      </c>
      <c r="N2170">
        <v>1</v>
      </c>
      <c r="O2170">
        <v>2040</v>
      </c>
      <c r="P2170">
        <v>23.861328500132039</v>
      </c>
      <c r="Q2170">
        <v>0.54931546897756556</v>
      </c>
      <c r="R2170" t="s">
        <v>289</v>
      </c>
      <c r="S2170">
        <v>84.367500000000007</v>
      </c>
      <c r="T2170" t="s">
        <v>290</v>
      </c>
      <c r="U2170">
        <v>84.367500000000007</v>
      </c>
      <c r="V2170">
        <v>23.861328500132039</v>
      </c>
      <c r="W2170">
        <v>0.54931546897756556</v>
      </c>
      <c r="X2170" t="s">
        <v>291</v>
      </c>
      <c r="Y2170">
        <v>10</v>
      </c>
      <c r="Z2170">
        <v>0.34401375729085998</v>
      </c>
      <c r="AA2170">
        <v>1</v>
      </c>
    </row>
    <row r="2171" spans="1:27" hidden="1" x14ac:dyDescent="0.25">
      <c r="A2171" t="s">
        <v>98</v>
      </c>
      <c r="B2171" t="s">
        <v>1024</v>
      </c>
      <c r="D2171" t="s">
        <v>1722</v>
      </c>
      <c r="E2171" t="s">
        <v>439</v>
      </c>
      <c r="F2171" t="s">
        <v>440</v>
      </c>
      <c r="G2171" t="s">
        <v>245</v>
      </c>
      <c r="H2171" t="s">
        <v>104</v>
      </c>
      <c r="I2171">
        <v>2022</v>
      </c>
      <c r="J2171" t="s">
        <v>441</v>
      </c>
      <c r="K2171" t="s">
        <v>106</v>
      </c>
      <c r="L2171" t="s">
        <v>2566</v>
      </c>
      <c r="M2171" t="s">
        <v>2567</v>
      </c>
      <c r="N2171">
        <v>1</v>
      </c>
      <c r="O2171">
        <v>2020</v>
      </c>
      <c r="P2171">
        <v>831.12625331024003</v>
      </c>
      <c r="Q2171">
        <v>84.323656568982784</v>
      </c>
      <c r="R2171" t="s">
        <v>109</v>
      </c>
      <c r="S2171">
        <v>2.8957310176295739</v>
      </c>
      <c r="T2171" t="s">
        <v>110</v>
      </c>
      <c r="U2171">
        <v>1</v>
      </c>
      <c r="V2171">
        <v>8212.0648964814554</v>
      </c>
      <c r="W2171">
        <v>833.17226148867417</v>
      </c>
      <c r="X2171" t="s">
        <v>111</v>
      </c>
      <c r="Y2171">
        <v>10</v>
      </c>
      <c r="Z2171">
        <v>0.44</v>
      </c>
      <c r="AA2171">
        <v>31.536000000000001</v>
      </c>
    </row>
    <row r="2172" spans="1:27" hidden="1" x14ac:dyDescent="0.25">
      <c r="A2172" t="s">
        <v>98</v>
      </c>
      <c r="B2172" t="s">
        <v>1024</v>
      </c>
      <c r="D2172" t="s">
        <v>1722</v>
      </c>
      <c r="E2172" t="s">
        <v>439</v>
      </c>
      <c r="F2172" t="s">
        <v>440</v>
      </c>
      <c r="G2172" t="s">
        <v>103</v>
      </c>
      <c r="H2172" t="s">
        <v>104</v>
      </c>
      <c r="I2172">
        <v>2022</v>
      </c>
      <c r="J2172" t="s">
        <v>444</v>
      </c>
      <c r="K2172" t="s">
        <v>106</v>
      </c>
      <c r="L2172" t="s">
        <v>2566</v>
      </c>
      <c r="M2172" t="s">
        <v>2568</v>
      </c>
      <c r="N2172">
        <v>1</v>
      </c>
      <c r="O2172">
        <v>2020</v>
      </c>
      <c r="P2172">
        <v>1031.6192027056411</v>
      </c>
      <c r="Q2172">
        <v>84.323656568982784</v>
      </c>
      <c r="R2172" t="s">
        <v>109</v>
      </c>
      <c r="S2172">
        <v>3.1136892662683588</v>
      </c>
      <c r="T2172" t="s">
        <v>110</v>
      </c>
      <c r="U2172">
        <v>1.075268817204301</v>
      </c>
      <c r="V2172">
        <v>10193.06490119123</v>
      </c>
      <c r="W2172">
        <v>833.17226148867428</v>
      </c>
      <c r="X2172" t="s">
        <v>111</v>
      </c>
      <c r="Y2172">
        <v>10</v>
      </c>
      <c r="Z2172">
        <v>0.44</v>
      </c>
      <c r="AA2172">
        <v>31.536000000000001</v>
      </c>
    </row>
    <row r="2173" spans="1:27" hidden="1" x14ac:dyDescent="0.25">
      <c r="A2173" t="s">
        <v>98</v>
      </c>
      <c r="B2173" t="s">
        <v>1024</v>
      </c>
      <c r="D2173" t="s">
        <v>1722</v>
      </c>
      <c r="E2173" t="s">
        <v>439</v>
      </c>
      <c r="F2173" t="s">
        <v>440</v>
      </c>
      <c r="G2173" t="s">
        <v>112</v>
      </c>
      <c r="H2173" t="s">
        <v>104</v>
      </c>
      <c r="I2173">
        <v>2022</v>
      </c>
      <c r="J2173" t="s">
        <v>446</v>
      </c>
      <c r="K2173" t="s">
        <v>106</v>
      </c>
      <c r="L2173" t="s">
        <v>2566</v>
      </c>
      <c r="M2173" t="s">
        <v>2569</v>
      </c>
      <c r="N2173">
        <v>1</v>
      </c>
      <c r="O2173">
        <v>2020</v>
      </c>
      <c r="P2173">
        <v>1137.4723035050019</v>
      </c>
      <c r="Q2173">
        <v>84.323656568982784</v>
      </c>
      <c r="R2173" t="s">
        <v>109</v>
      </c>
      <c r="S2173">
        <v>3.348052974482107</v>
      </c>
      <c r="T2173" t="s">
        <v>110</v>
      </c>
      <c r="U2173">
        <v>1.156203029251937</v>
      </c>
      <c r="V2173">
        <v>11238.961995400419</v>
      </c>
      <c r="W2173">
        <v>833.17226148867417</v>
      </c>
      <c r="X2173" t="s">
        <v>111</v>
      </c>
      <c r="Y2173">
        <v>10</v>
      </c>
      <c r="Z2173">
        <v>0.44</v>
      </c>
      <c r="AA2173">
        <v>31.536000000000001</v>
      </c>
    </row>
    <row r="2174" spans="1:27" hidden="1" x14ac:dyDescent="0.25">
      <c r="A2174" t="s">
        <v>98</v>
      </c>
      <c r="B2174" t="s">
        <v>1024</v>
      </c>
      <c r="D2174" t="s">
        <v>1722</v>
      </c>
      <c r="E2174" t="s">
        <v>439</v>
      </c>
      <c r="F2174" t="s">
        <v>440</v>
      </c>
      <c r="G2174" t="s">
        <v>103</v>
      </c>
      <c r="H2174" t="s">
        <v>104</v>
      </c>
      <c r="I2174">
        <v>2030</v>
      </c>
      <c r="J2174" t="s">
        <v>448</v>
      </c>
      <c r="K2174" t="s">
        <v>106</v>
      </c>
      <c r="L2174" t="s">
        <v>2566</v>
      </c>
      <c r="M2174" t="s">
        <v>2570</v>
      </c>
      <c r="N2174">
        <v>0</v>
      </c>
      <c r="O2174">
        <v>2030</v>
      </c>
      <c r="P2174">
        <v>1031.6192027056411</v>
      </c>
      <c r="Q2174">
        <v>84.323656568982784</v>
      </c>
      <c r="R2174" t="s">
        <v>109</v>
      </c>
      <c r="S2174">
        <v>3.1136892662683588</v>
      </c>
      <c r="T2174" t="s">
        <v>110</v>
      </c>
      <c r="U2174">
        <v>1.075268817204301</v>
      </c>
      <c r="V2174">
        <v>10193.06490119123</v>
      </c>
      <c r="W2174">
        <v>833.17226148867428</v>
      </c>
      <c r="X2174" t="s">
        <v>111</v>
      </c>
      <c r="Y2174">
        <v>10</v>
      </c>
      <c r="Z2174">
        <v>0.44</v>
      </c>
      <c r="AA2174">
        <v>31.536000000000001</v>
      </c>
    </row>
    <row r="2175" spans="1:27" hidden="1" x14ac:dyDescent="0.25">
      <c r="A2175" t="s">
        <v>98</v>
      </c>
      <c r="B2175" t="s">
        <v>1024</v>
      </c>
      <c r="D2175" t="s">
        <v>1722</v>
      </c>
      <c r="E2175" t="s">
        <v>439</v>
      </c>
      <c r="F2175" t="s">
        <v>440</v>
      </c>
      <c r="G2175" t="s">
        <v>112</v>
      </c>
      <c r="H2175" t="s">
        <v>104</v>
      </c>
      <c r="I2175">
        <v>2030</v>
      </c>
      <c r="J2175" t="s">
        <v>450</v>
      </c>
      <c r="K2175" t="s">
        <v>106</v>
      </c>
      <c r="L2175" t="s">
        <v>2566</v>
      </c>
      <c r="M2175" t="s">
        <v>2571</v>
      </c>
      <c r="N2175">
        <v>0</v>
      </c>
      <c r="O2175">
        <v>2030</v>
      </c>
      <c r="P2175">
        <v>1137.4723035050019</v>
      </c>
      <c r="Q2175">
        <v>84.323656568982784</v>
      </c>
      <c r="R2175" t="s">
        <v>109</v>
      </c>
      <c r="S2175">
        <v>3.348052974482107</v>
      </c>
      <c r="T2175" t="s">
        <v>110</v>
      </c>
      <c r="U2175">
        <v>1.156203029251937</v>
      </c>
      <c r="V2175">
        <v>11238.961995400419</v>
      </c>
      <c r="W2175">
        <v>833.17226148867417</v>
      </c>
      <c r="X2175" t="s">
        <v>111</v>
      </c>
      <c r="Y2175">
        <v>10</v>
      </c>
      <c r="Z2175">
        <v>0.44</v>
      </c>
      <c r="AA2175">
        <v>31.536000000000001</v>
      </c>
    </row>
    <row r="2176" spans="1:27" hidden="1" x14ac:dyDescent="0.25">
      <c r="A2176" t="s">
        <v>98</v>
      </c>
      <c r="B2176" t="s">
        <v>1024</v>
      </c>
      <c r="D2176" t="s">
        <v>1722</v>
      </c>
      <c r="E2176" t="s">
        <v>439</v>
      </c>
      <c r="F2176" t="s">
        <v>440</v>
      </c>
      <c r="G2176" t="s">
        <v>103</v>
      </c>
      <c r="H2176" t="s">
        <v>104</v>
      </c>
      <c r="I2176">
        <v>2040</v>
      </c>
      <c r="J2176" t="s">
        <v>452</v>
      </c>
      <c r="K2176" t="s">
        <v>106</v>
      </c>
      <c r="L2176" t="s">
        <v>2566</v>
      </c>
      <c r="M2176" t="s">
        <v>2572</v>
      </c>
      <c r="N2176">
        <v>0</v>
      </c>
      <c r="O2176">
        <v>2040</v>
      </c>
      <c r="P2176">
        <v>1031.6192027056411</v>
      </c>
      <c r="Q2176">
        <v>84.323656568982784</v>
      </c>
      <c r="R2176" t="s">
        <v>109</v>
      </c>
      <c r="S2176">
        <v>3.1136892662683588</v>
      </c>
      <c r="T2176" t="s">
        <v>110</v>
      </c>
      <c r="U2176">
        <v>1.075268817204301</v>
      </c>
      <c r="V2176">
        <v>10193.06490119123</v>
      </c>
      <c r="W2176">
        <v>833.17226148867428</v>
      </c>
      <c r="X2176" t="s">
        <v>111</v>
      </c>
      <c r="Y2176">
        <v>10</v>
      </c>
      <c r="Z2176">
        <v>0.44</v>
      </c>
      <c r="AA2176">
        <v>31.536000000000001</v>
      </c>
    </row>
    <row r="2177" spans="1:27" hidden="1" x14ac:dyDescent="0.25">
      <c r="A2177" t="s">
        <v>98</v>
      </c>
      <c r="B2177" t="s">
        <v>1024</v>
      </c>
      <c r="D2177" t="s">
        <v>1722</v>
      </c>
      <c r="E2177" t="s">
        <v>439</v>
      </c>
      <c r="F2177" t="s">
        <v>440</v>
      </c>
      <c r="G2177" t="s">
        <v>112</v>
      </c>
      <c r="H2177" t="s">
        <v>104</v>
      </c>
      <c r="I2177">
        <v>2040</v>
      </c>
      <c r="J2177" t="s">
        <v>454</v>
      </c>
      <c r="K2177" t="s">
        <v>106</v>
      </c>
      <c r="L2177" t="s">
        <v>2566</v>
      </c>
      <c r="M2177" t="s">
        <v>2573</v>
      </c>
      <c r="N2177">
        <v>0</v>
      </c>
      <c r="O2177">
        <v>2040</v>
      </c>
      <c r="P2177">
        <v>1137.4723035050019</v>
      </c>
      <c r="Q2177">
        <v>84.323656568982784</v>
      </c>
      <c r="R2177" t="s">
        <v>109</v>
      </c>
      <c r="S2177">
        <v>3.348052974482107</v>
      </c>
      <c r="T2177" t="s">
        <v>110</v>
      </c>
      <c r="U2177">
        <v>1.156203029251937</v>
      </c>
      <c r="V2177">
        <v>11238.961995400419</v>
      </c>
      <c r="W2177">
        <v>833.17226148867417</v>
      </c>
      <c r="X2177" t="s">
        <v>111</v>
      </c>
      <c r="Y2177">
        <v>10</v>
      </c>
      <c r="Z2177">
        <v>0.44</v>
      </c>
      <c r="AA2177">
        <v>31.536000000000001</v>
      </c>
    </row>
    <row r="2178" spans="1:27" hidden="1" x14ac:dyDescent="0.25">
      <c r="A2178" t="s">
        <v>98</v>
      </c>
      <c r="B2178" t="s">
        <v>1024</v>
      </c>
      <c r="D2178" t="s">
        <v>1722</v>
      </c>
      <c r="E2178" t="s">
        <v>439</v>
      </c>
      <c r="F2178" t="s">
        <v>440</v>
      </c>
      <c r="G2178" t="s">
        <v>103</v>
      </c>
      <c r="H2178" t="s">
        <v>104</v>
      </c>
      <c r="I2178">
        <v>2050</v>
      </c>
      <c r="J2178" t="s">
        <v>456</v>
      </c>
      <c r="K2178" t="s">
        <v>106</v>
      </c>
      <c r="L2178" t="s">
        <v>2566</v>
      </c>
      <c r="M2178" t="s">
        <v>2574</v>
      </c>
      <c r="N2178">
        <v>0</v>
      </c>
      <c r="O2178">
        <v>2050</v>
      </c>
      <c r="P2178">
        <v>1031.6192027056411</v>
      </c>
      <c r="Q2178">
        <v>84.323656568982784</v>
      </c>
      <c r="R2178" t="s">
        <v>109</v>
      </c>
      <c r="S2178">
        <v>3.1136892662683588</v>
      </c>
      <c r="T2178" t="s">
        <v>110</v>
      </c>
      <c r="U2178">
        <v>1.075268817204301</v>
      </c>
      <c r="V2178">
        <v>10193.06490119123</v>
      </c>
      <c r="W2178">
        <v>833.17226148867428</v>
      </c>
      <c r="X2178" t="s">
        <v>111</v>
      </c>
      <c r="Y2178">
        <v>10</v>
      </c>
      <c r="Z2178">
        <v>0.44</v>
      </c>
      <c r="AA2178">
        <v>31.536000000000001</v>
      </c>
    </row>
    <row r="2179" spans="1:27" hidden="1" x14ac:dyDescent="0.25">
      <c r="A2179" t="s">
        <v>98</v>
      </c>
      <c r="B2179" t="s">
        <v>1024</v>
      </c>
      <c r="D2179" t="s">
        <v>1722</v>
      </c>
      <c r="E2179" t="s">
        <v>439</v>
      </c>
      <c r="F2179" t="s">
        <v>440</v>
      </c>
      <c r="G2179" t="s">
        <v>112</v>
      </c>
      <c r="H2179" t="s">
        <v>104</v>
      </c>
      <c r="I2179">
        <v>2050</v>
      </c>
      <c r="J2179" t="s">
        <v>458</v>
      </c>
      <c r="K2179" t="s">
        <v>106</v>
      </c>
      <c r="L2179" t="s">
        <v>2566</v>
      </c>
      <c r="M2179" t="s">
        <v>2575</v>
      </c>
      <c r="N2179">
        <v>0</v>
      </c>
      <c r="O2179">
        <v>2050</v>
      </c>
      <c r="P2179">
        <v>1137.4723035050019</v>
      </c>
      <c r="Q2179">
        <v>84.323656568982784</v>
      </c>
      <c r="R2179" t="s">
        <v>109</v>
      </c>
      <c r="S2179">
        <v>3.348052974482107</v>
      </c>
      <c r="T2179" t="s">
        <v>110</v>
      </c>
      <c r="U2179">
        <v>1.156203029251937</v>
      </c>
      <c r="V2179">
        <v>11238.961995400419</v>
      </c>
      <c r="W2179">
        <v>833.17226148867417</v>
      </c>
      <c r="X2179" t="s">
        <v>111</v>
      </c>
      <c r="Y2179">
        <v>10</v>
      </c>
      <c r="Z2179">
        <v>0.44</v>
      </c>
      <c r="AA2179">
        <v>31.536000000000001</v>
      </c>
    </row>
    <row r="2180" spans="1:27" hidden="1" x14ac:dyDescent="0.25">
      <c r="A2180" t="s">
        <v>98</v>
      </c>
      <c r="B2180" t="s">
        <v>1024</v>
      </c>
      <c r="D2180" t="s">
        <v>1722</v>
      </c>
      <c r="E2180" t="s">
        <v>439</v>
      </c>
      <c r="F2180" t="s">
        <v>460</v>
      </c>
      <c r="G2180" t="s">
        <v>245</v>
      </c>
      <c r="H2180" t="s">
        <v>104</v>
      </c>
      <c r="I2180">
        <v>2022</v>
      </c>
      <c r="J2180" t="s">
        <v>461</v>
      </c>
      <c r="K2180" t="s">
        <v>106</v>
      </c>
      <c r="L2180" t="s">
        <v>2566</v>
      </c>
      <c r="M2180" t="s">
        <v>2576</v>
      </c>
      <c r="N2180">
        <v>1</v>
      </c>
      <c r="O2180">
        <v>2020</v>
      </c>
      <c r="P2180">
        <v>520.8323861248623</v>
      </c>
      <c r="Q2180">
        <v>19.17492366827851</v>
      </c>
      <c r="R2180" t="s">
        <v>109</v>
      </c>
      <c r="S2180">
        <v>5.9841517746527506</v>
      </c>
      <c r="T2180" t="s">
        <v>110</v>
      </c>
      <c r="U2180">
        <v>2.066542692750287</v>
      </c>
      <c r="V2180">
        <v>5146.1608125259299</v>
      </c>
      <c r="W2180">
        <v>189.46064682931279</v>
      </c>
      <c r="X2180" t="s">
        <v>111</v>
      </c>
      <c r="Y2180">
        <v>10</v>
      </c>
      <c r="Z2180">
        <v>0.44</v>
      </c>
      <c r="AA2180">
        <v>31.536000000000001</v>
      </c>
    </row>
    <row r="2181" spans="1:27" hidden="1" x14ac:dyDescent="0.25">
      <c r="A2181" t="s">
        <v>98</v>
      </c>
      <c r="B2181" t="s">
        <v>1024</v>
      </c>
      <c r="D2181" t="s">
        <v>1722</v>
      </c>
      <c r="E2181" t="s">
        <v>439</v>
      </c>
      <c r="F2181" t="s">
        <v>460</v>
      </c>
      <c r="G2181" t="s">
        <v>103</v>
      </c>
      <c r="H2181" t="s">
        <v>104</v>
      </c>
      <c r="I2181">
        <v>2022</v>
      </c>
      <c r="J2181" t="s">
        <v>463</v>
      </c>
      <c r="K2181" t="s">
        <v>106</v>
      </c>
      <c r="L2181" t="s">
        <v>2566</v>
      </c>
      <c r="M2181" t="s">
        <v>2577</v>
      </c>
      <c r="N2181">
        <v>1</v>
      </c>
      <c r="O2181">
        <v>2020</v>
      </c>
      <c r="P2181">
        <v>619.22047419033993</v>
      </c>
      <c r="Q2181">
        <v>19.17492366827851</v>
      </c>
      <c r="R2181" t="s">
        <v>109</v>
      </c>
      <c r="S2181">
        <v>6.5013006934499016</v>
      </c>
      <c r="T2181" t="s">
        <v>110</v>
      </c>
      <c r="U2181">
        <v>2.2451328020003118</v>
      </c>
      <c r="V2181">
        <v>6118.2987530812006</v>
      </c>
      <c r="W2181">
        <v>189.46064682931279</v>
      </c>
      <c r="X2181" t="s">
        <v>111</v>
      </c>
      <c r="Y2181">
        <v>10</v>
      </c>
      <c r="Z2181">
        <v>0.44</v>
      </c>
      <c r="AA2181">
        <v>31.536000000000001</v>
      </c>
    </row>
    <row r="2182" spans="1:27" hidden="1" x14ac:dyDescent="0.25">
      <c r="A2182" t="s">
        <v>98</v>
      </c>
      <c r="B2182" t="s">
        <v>1024</v>
      </c>
      <c r="D2182" t="s">
        <v>1722</v>
      </c>
      <c r="E2182" t="s">
        <v>439</v>
      </c>
      <c r="F2182" t="s">
        <v>460</v>
      </c>
      <c r="G2182" t="s">
        <v>112</v>
      </c>
      <c r="H2182" t="s">
        <v>104</v>
      </c>
      <c r="I2182">
        <v>2022</v>
      </c>
      <c r="J2182" t="s">
        <v>465</v>
      </c>
      <c r="K2182" t="s">
        <v>106</v>
      </c>
      <c r="L2182" t="s">
        <v>2566</v>
      </c>
      <c r="M2182" t="s">
        <v>2578</v>
      </c>
      <c r="N2182">
        <v>1</v>
      </c>
      <c r="O2182">
        <v>2020</v>
      </c>
      <c r="P2182">
        <v>717.59767919103297</v>
      </c>
      <c r="Q2182">
        <v>19.17492366827851</v>
      </c>
      <c r="R2182" t="s">
        <v>109</v>
      </c>
      <c r="S2182">
        <v>7.1162885968843517</v>
      </c>
      <c r="T2182" t="s">
        <v>110</v>
      </c>
      <c r="U2182">
        <v>2.4575102292165578</v>
      </c>
      <c r="V2182">
        <v>7090.3291619180018</v>
      </c>
      <c r="W2182">
        <v>189.46064682931279</v>
      </c>
      <c r="X2182" t="s">
        <v>111</v>
      </c>
      <c r="Y2182">
        <v>10</v>
      </c>
      <c r="Z2182">
        <v>0.44</v>
      </c>
      <c r="AA2182">
        <v>31.536000000000001</v>
      </c>
    </row>
    <row r="2183" spans="1:27" hidden="1" x14ac:dyDescent="0.25">
      <c r="A2183" t="s">
        <v>98</v>
      </c>
      <c r="B2183" t="s">
        <v>1024</v>
      </c>
      <c r="D2183" t="s">
        <v>1722</v>
      </c>
      <c r="E2183" t="s">
        <v>439</v>
      </c>
      <c r="F2183" t="s">
        <v>460</v>
      </c>
      <c r="G2183" t="s">
        <v>103</v>
      </c>
      <c r="H2183" t="s">
        <v>104</v>
      </c>
      <c r="I2183">
        <v>2030</v>
      </c>
      <c r="J2183" t="s">
        <v>467</v>
      </c>
      <c r="K2183" t="s">
        <v>106</v>
      </c>
      <c r="L2183" t="s">
        <v>2566</v>
      </c>
      <c r="M2183" t="s">
        <v>2579</v>
      </c>
      <c r="N2183">
        <v>1</v>
      </c>
      <c r="O2183">
        <v>2030</v>
      </c>
      <c r="P2183">
        <v>520.8323861248623</v>
      </c>
      <c r="Q2183">
        <v>19.17492366827851</v>
      </c>
      <c r="R2183" t="s">
        <v>109</v>
      </c>
      <c r="S2183">
        <v>6.5013006934499016</v>
      </c>
      <c r="T2183" t="s">
        <v>110</v>
      </c>
      <c r="U2183">
        <v>2.2451328020003118</v>
      </c>
      <c r="V2183">
        <v>5146.1608125259299</v>
      </c>
      <c r="W2183">
        <v>189.46064682931279</v>
      </c>
      <c r="X2183" t="s">
        <v>111</v>
      </c>
      <c r="Y2183">
        <v>10</v>
      </c>
      <c r="Z2183">
        <v>0.44</v>
      </c>
      <c r="AA2183">
        <v>31.536000000000001</v>
      </c>
    </row>
    <row r="2184" spans="1:27" hidden="1" x14ac:dyDescent="0.25">
      <c r="A2184" t="s">
        <v>98</v>
      </c>
      <c r="B2184" t="s">
        <v>1024</v>
      </c>
      <c r="D2184" t="s">
        <v>1722</v>
      </c>
      <c r="E2184" t="s">
        <v>439</v>
      </c>
      <c r="F2184" t="s">
        <v>460</v>
      </c>
      <c r="G2184" t="s">
        <v>112</v>
      </c>
      <c r="H2184" t="s">
        <v>104</v>
      </c>
      <c r="I2184">
        <v>2030</v>
      </c>
      <c r="J2184" t="s">
        <v>469</v>
      </c>
      <c r="K2184" t="s">
        <v>106</v>
      </c>
      <c r="L2184" t="s">
        <v>2566</v>
      </c>
      <c r="M2184" t="s">
        <v>2580</v>
      </c>
      <c r="N2184">
        <v>1</v>
      </c>
      <c r="O2184">
        <v>2030</v>
      </c>
      <c r="P2184">
        <v>717.59767919103297</v>
      </c>
      <c r="Q2184">
        <v>19.17492366827851</v>
      </c>
      <c r="R2184" t="s">
        <v>109</v>
      </c>
      <c r="S2184">
        <v>7.1162885968843517</v>
      </c>
      <c r="T2184" t="s">
        <v>110</v>
      </c>
      <c r="U2184">
        <v>2.4575102292165578</v>
      </c>
      <c r="V2184">
        <v>7090.3291619180018</v>
      </c>
      <c r="W2184">
        <v>189.46064682931279</v>
      </c>
      <c r="X2184" t="s">
        <v>111</v>
      </c>
      <c r="Y2184">
        <v>10</v>
      </c>
      <c r="Z2184">
        <v>0.44</v>
      </c>
      <c r="AA2184">
        <v>31.536000000000001</v>
      </c>
    </row>
    <row r="2185" spans="1:27" hidden="1" x14ac:dyDescent="0.25">
      <c r="A2185" t="s">
        <v>98</v>
      </c>
      <c r="B2185" t="s">
        <v>1024</v>
      </c>
      <c r="D2185" t="s">
        <v>1722</v>
      </c>
      <c r="E2185" t="s">
        <v>439</v>
      </c>
      <c r="F2185" t="s">
        <v>460</v>
      </c>
      <c r="G2185" t="s">
        <v>103</v>
      </c>
      <c r="H2185" t="s">
        <v>104</v>
      </c>
      <c r="I2185">
        <v>2040</v>
      </c>
      <c r="J2185" t="s">
        <v>471</v>
      </c>
      <c r="K2185" t="s">
        <v>106</v>
      </c>
      <c r="L2185" t="s">
        <v>2566</v>
      </c>
      <c r="M2185" t="s">
        <v>2581</v>
      </c>
      <c r="N2185">
        <v>1</v>
      </c>
      <c r="O2185">
        <v>2040</v>
      </c>
      <c r="P2185">
        <v>520.8323861248623</v>
      </c>
      <c r="Q2185">
        <v>19.17492366827851</v>
      </c>
      <c r="R2185" t="s">
        <v>109</v>
      </c>
      <c r="S2185">
        <v>6.5013006934499016</v>
      </c>
      <c r="T2185" t="s">
        <v>110</v>
      </c>
      <c r="U2185">
        <v>2.2451328020003118</v>
      </c>
      <c r="V2185">
        <v>5146.1608125259299</v>
      </c>
      <c r="W2185">
        <v>189.46064682931279</v>
      </c>
      <c r="X2185" t="s">
        <v>111</v>
      </c>
      <c r="Y2185">
        <v>10</v>
      </c>
      <c r="Z2185">
        <v>0.44</v>
      </c>
      <c r="AA2185">
        <v>31.536000000000001</v>
      </c>
    </row>
    <row r="2186" spans="1:27" hidden="1" x14ac:dyDescent="0.25">
      <c r="A2186" t="s">
        <v>98</v>
      </c>
      <c r="B2186" t="s">
        <v>1024</v>
      </c>
      <c r="D2186" t="s">
        <v>1722</v>
      </c>
      <c r="E2186" t="s">
        <v>439</v>
      </c>
      <c r="F2186" t="s">
        <v>460</v>
      </c>
      <c r="G2186" t="s">
        <v>112</v>
      </c>
      <c r="H2186" t="s">
        <v>104</v>
      </c>
      <c r="I2186">
        <v>2040</v>
      </c>
      <c r="J2186" t="s">
        <v>473</v>
      </c>
      <c r="K2186" t="s">
        <v>106</v>
      </c>
      <c r="L2186" t="s">
        <v>2566</v>
      </c>
      <c r="M2186" t="s">
        <v>2582</v>
      </c>
      <c r="N2186">
        <v>1</v>
      </c>
      <c r="O2186">
        <v>2040</v>
      </c>
      <c r="P2186">
        <v>717.59767919103297</v>
      </c>
      <c r="Q2186">
        <v>19.17492366827851</v>
      </c>
      <c r="R2186" t="s">
        <v>109</v>
      </c>
      <c r="S2186">
        <v>7.1162885968843517</v>
      </c>
      <c r="T2186" t="s">
        <v>110</v>
      </c>
      <c r="U2186">
        <v>2.4575102292165578</v>
      </c>
      <c r="V2186">
        <v>7090.3291619180018</v>
      </c>
      <c r="W2186">
        <v>189.46064682931279</v>
      </c>
      <c r="X2186" t="s">
        <v>111</v>
      </c>
      <c r="Y2186">
        <v>10</v>
      </c>
      <c r="Z2186">
        <v>0.44</v>
      </c>
      <c r="AA2186">
        <v>31.536000000000001</v>
      </c>
    </row>
    <row r="2187" spans="1:27" hidden="1" x14ac:dyDescent="0.25">
      <c r="A2187" t="s">
        <v>98</v>
      </c>
      <c r="B2187" t="s">
        <v>1024</v>
      </c>
      <c r="D2187" t="s">
        <v>1722</v>
      </c>
      <c r="E2187" t="s">
        <v>439</v>
      </c>
      <c r="F2187" t="s">
        <v>460</v>
      </c>
      <c r="G2187" t="s">
        <v>103</v>
      </c>
      <c r="H2187" t="s">
        <v>104</v>
      </c>
      <c r="I2187">
        <v>2050</v>
      </c>
      <c r="J2187" t="s">
        <v>475</v>
      </c>
      <c r="K2187" t="s">
        <v>106</v>
      </c>
      <c r="L2187" t="s">
        <v>2566</v>
      </c>
      <c r="M2187" t="s">
        <v>2583</v>
      </c>
      <c r="N2187">
        <v>1</v>
      </c>
      <c r="O2187">
        <v>2050</v>
      </c>
      <c r="P2187">
        <v>520.8323861248623</v>
      </c>
      <c r="Q2187">
        <v>19.17492366827851</v>
      </c>
      <c r="R2187" t="s">
        <v>109</v>
      </c>
      <c r="S2187">
        <v>6.5013006934499016</v>
      </c>
      <c r="T2187" t="s">
        <v>110</v>
      </c>
      <c r="U2187">
        <v>2.2451328020003118</v>
      </c>
      <c r="V2187">
        <v>5146.1608125259299</v>
      </c>
      <c r="W2187">
        <v>189.46064682931279</v>
      </c>
      <c r="X2187" t="s">
        <v>111</v>
      </c>
      <c r="Y2187">
        <v>10</v>
      </c>
      <c r="Z2187">
        <v>0.44</v>
      </c>
      <c r="AA2187">
        <v>31.536000000000001</v>
      </c>
    </row>
    <row r="2188" spans="1:27" hidden="1" x14ac:dyDescent="0.25">
      <c r="A2188" t="s">
        <v>98</v>
      </c>
      <c r="B2188" t="s">
        <v>1024</v>
      </c>
      <c r="D2188" t="s">
        <v>1722</v>
      </c>
      <c r="E2188" t="s">
        <v>439</v>
      </c>
      <c r="F2188" t="s">
        <v>460</v>
      </c>
      <c r="G2188" t="s">
        <v>112</v>
      </c>
      <c r="H2188" t="s">
        <v>104</v>
      </c>
      <c r="I2188">
        <v>2050</v>
      </c>
      <c r="J2188" t="s">
        <v>477</v>
      </c>
      <c r="K2188" t="s">
        <v>106</v>
      </c>
      <c r="L2188" t="s">
        <v>2566</v>
      </c>
      <c r="M2188" t="s">
        <v>2584</v>
      </c>
      <c r="N2188">
        <v>1</v>
      </c>
      <c r="O2188">
        <v>2050</v>
      </c>
      <c r="P2188">
        <v>717.59767919103297</v>
      </c>
      <c r="Q2188">
        <v>19.17492366827851</v>
      </c>
      <c r="R2188" t="s">
        <v>109</v>
      </c>
      <c r="S2188">
        <v>7.1162885968843517</v>
      </c>
      <c r="T2188" t="s">
        <v>110</v>
      </c>
      <c r="U2188">
        <v>2.4575102292165578</v>
      </c>
      <c r="V2188">
        <v>7090.3291619180018</v>
      </c>
      <c r="W2188">
        <v>189.46064682931279</v>
      </c>
      <c r="X2188" t="s">
        <v>111</v>
      </c>
      <c r="Y2188">
        <v>10</v>
      </c>
      <c r="Z2188">
        <v>0.44</v>
      </c>
      <c r="AA2188">
        <v>31.536000000000001</v>
      </c>
    </row>
    <row r="2189" spans="1:27" hidden="1" x14ac:dyDescent="0.25">
      <c r="A2189" t="s">
        <v>98</v>
      </c>
      <c r="B2189" t="s">
        <v>1024</v>
      </c>
      <c r="D2189" t="s">
        <v>1722</v>
      </c>
      <c r="E2189" t="s">
        <v>439</v>
      </c>
      <c r="F2189" t="s">
        <v>479</v>
      </c>
      <c r="G2189" t="s">
        <v>245</v>
      </c>
      <c r="H2189" t="s">
        <v>104</v>
      </c>
      <c r="I2189">
        <v>2022</v>
      </c>
      <c r="J2189" t="s">
        <v>480</v>
      </c>
      <c r="K2189" t="s">
        <v>106</v>
      </c>
      <c r="L2189" t="s">
        <v>2566</v>
      </c>
      <c r="M2189" t="s">
        <v>2585</v>
      </c>
      <c r="N2189">
        <v>1</v>
      </c>
      <c r="O2189">
        <v>2020</v>
      </c>
      <c r="P2189">
        <v>1625.561814955347</v>
      </c>
      <c r="Q2189">
        <v>83.737016934227881</v>
      </c>
      <c r="R2189" t="s">
        <v>109</v>
      </c>
      <c r="S2189">
        <v>3.1167552571169028</v>
      </c>
      <c r="T2189" t="s">
        <v>110</v>
      </c>
      <c r="U2189">
        <v>1.0763276140434681</v>
      </c>
      <c r="V2189">
        <v>16061.60203036269</v>
      </c>
      <c r="W2189">
        <v>827.37588250020144</v>
      </c>
      <c r="X2189" t="s">
        <v>111</v>
      </c>
      <c r="Y2189">
        <v>10</v>
      </c>
      <c r="Z2189">
        <v>0.44</v>
      </c>
      <c r="AA2189">
        <v>31.536000000000001</v>
      </c>
    </row>
    <row r="2190" spans="1:27" hidden="1" x14ac:dyDescent="0.25">
      <c r="A2190" t="s">
        <v>98</v>
      </c>
      <c r="B2190" t="s">
        <v>1024</v>
      </c>
      <c r="D2190" t="s">
        <v>1722</v>
      </c>
      <c r="E2190" t="s">
        <v>439</v>
      </c>
      <c r="F2190" t="s">
        <v>479</v>
      </c>
      <c r="G2190" t="s">
        <v>103</v>
      </c>
      <c r="H2190" t="s">
        <v>104</v>
      </c>
      <c r="I2190">
        <v>2022</v>
      </c>
      <c r="J2190" t="s">
        <v>482</v>
      </c>
      <c r="K2190" t="s">
        <v>106</v>
      </c>
      <c r="L2190" t="s">
        <v>2566</v>
      </c>
      <c r="M2190" t="s">
        <v>2586</v>
      </c>
      <c r="N2190">
        <v>1</v>
      </c>
      <c r="O2190">
        <v>2020</v>
      </c>
      <c r="P2190">
        <v>1649.1429636040691</v>
      </c>
      <c r="Q2190">
        <v>83.737016934227881</v>
      </c>
      <c r="R2190" t="s">
        <v>109</v>
      </c>
      <c r="S2190">
        <v>4.464541314248538</v>
      </c>
      <c r="T2190" t="s">
        <v>110</v>
      </c>
      <c r="U2190">
        <v>1.541766582278481</v>
      </c>
      <c r="V2190">
        <v>16294.59902963399</v>
      </c>
      <c r="W2190">
        <v>827.37588250020167</v>
      </c>
      <c r="X2190" t="s">
        <v>111</v>
      </c>
      <c r="Y2190">
        <v>10</v>
      </c>
      <c r="Z2190">
        <v>0.44</v>
      </c>
      <c r="AA2190">
        <v>31.536000000000001</v>
      </c>
    </row>
    <row r="2191" spans="1:27" hidden="1" x14ac:dyDescent="0.25">
      <c r="A2191" t="s">
        <v>98</v>
      </c>
      <c r="B2191" t="s">
        <v>1024</v>
      </c>
      <c r="D2191" t="s">
        <v>1722</v>
      </c>
      <c r="E2191" t="s">
        <v>439</v>
      </c>
      <c r="F2191" t="s">
        <v>479</v>
      </c>
      <c r="G2191" t="s">
        <v>112</v>
      </c>
      <c r="H2191" t="s">
        <v>104</v>
      </c>
      <c r="I2191">
        <v>2022</v>
      </c>
      <c r="J2191" t="s">
        <v>484</v>
      </c>
      <c r="K2191" t="s">
        <v>106</v>
      </c>
      <c r="L2191" t="s">
        <v>2566</v>
      </c>
      <c r="M2191" t="s">
        <v>2587</v>
      </c>
      <c r="N2191">
        <v>1</v>
      </c>
      <c r="O2191">
        <v>2020</v>
      </c>
      <c r="P2191">
        <v>1758.024723094816</v>
      </c>
      <c r="Q2191">
        <v>83.737016934227881</v>
      </c>
      <c r="R2191" t="s">
        <v>109</v>
      </c>
      <c r="S2191">
        <v>7.4409021904142287</v>
      </c>
      <c r="T2191" t="s">
        <v>110</v>
      </c>
      <c r="U2191">
        <v>2.5696109704641348</v>
      </c>
      <c r="V2191">
        <v>17370.421230436659</v>
      </c>
      <c r="W2191">
        <v>827.37588250020167</v>
      </c>
      <c r="X2191" t="s">
        <v>111</v>
      </c>
      <c r="Y2191">
        <v>10</v>
      </c>
      <c r="Z2191">
        <v>0.44</v>
      </c>
      <c r="AA2191">
        <v>31.536000000000001</v>
      </c>
    </row>
    <row r="2192" spans="1:27" hidden="1" x14ac:dyDescent="0.25">
      <c r="A2192" t="s">
        <v>98</v>
      </c>
      <c r="B2192" t="s">
        <v>1024</v>
      </c>
      <c r="D2192" t="s">
        <v>1722</v>
      </c>
      <c r="E2192" t="s">
        <v>439</v>
      </c>
      <c r="F2192" t="s">
        <v>479</v>
      </c>
      <c r="G2192" t="s">
        <v>219</v>
      </c>
      <c r="H2192" t="s">
        <v>104</v>
      </c>
      <c r="I2192">
        <v>2022</v>
      </c>
      <c r="J2192" t="s">
        <v>486</v>
      </c>
      <c r="K2192" t="s">
        <v>106</v>
      </c>
      <c r="L2192" t="s">
        <v>2566</v>
      </c>
      <c r="M2192" t="s">
        <v>2588</v>
      </c>
      <c r="N2192">
        <v>1</v>
      </c>
      <c r="O2192">
        <v>2020</v>
      </c>
      <c r="P2192">
        <v>1758.024723094816</v>
      </c>
      <c r="Q2192">
        <v>84.189649458196669</v>
      </c>
      <c r="R2192" t="s">
        <v>109</v>
      </c>
      <c r="S2192">
        <v>7.4409021904142287</v>
      </c>
      <c r="T2192" t="s">
        <v>110</v>
      </c>
      <c r="U2192">
        <v>2.5696109704641348</v>
      </c>
      <c r="V2192">
        <v>17370.421230436659</v>
      </c>
      <c r="W2192">
        <v>831.8481845677702</v>
      </c>
      <c r="X2192" t="s">
        <v>111</v>
      </c>
      <c r="Y2192">
        <v>10</v>
      </c>
      <c r="Z2192">
        <v>0.44</v>
      </c>
      <c r="AA2192">
        <v>31.536000000000001</v>
      </c>
    </row>
    <row r="2193" spans="1:27" hidden="1" x14ac:dyDescent="0.25">
      <c r="A2193" t="s">
        <v>98</v>
      </c>
      <c r="B2193" t="s">
        <v>1024</v>
      </c>
      <c r="D2193" t="s">
        <v>1722</v>
      </c>
      <c r="E2193" t="s">
        <v>439</v>
      </c>
      <c r="F2193" t="s">
        <v>479</v>
      </c>
      <c r="G2193" t="s">
        <v>103</v>
      </c>
      <c r="H2193" t="s">
        <v>104</v>
      </c>
      <c r="I2193">
        <v>2030</v>
      </c>
      <c r="J2193" t="s">
        <v>488</v>
      </c>
      <c r="K2193" t="s">
        <v>106</v>
      </c>
      <c r="L2193" t="s">
        <v>2566</v>
      </c>
      <c r="M2193" t="s">
        <v>2589</v>
      </c>
      <c r="N2193">
        <v>1</v>
      </c>
      <c r="O2193">
        <v>2030</v>
      </c>
      <c r="P2193">
        <v>1649.1429636040691</v>
      </c>
      <c r="Q2193">
        <v>83.737016934227881</v>
      </c>
      <c r="R2193" t="s">
        <v>109</v>
      </c>
      <c r="S2193">
        <v>4.464541314248538</v>
      </c>
      <c r="T2193" t="s">
        <v>110</v>
      </c>
      <c r="U2193">
        <v>1.541766582278481</v>
      </c>
      <c r="V2193">
        <v>16294.59902963399</v>
      </c>
      <c r="W2193">
        <v>827.37588250020167</v>
      </c>
      <c r="X2193" t="s">
        <v>111</v>
      </c>
      <c r="Y2193">
        <v>10</v>
      </c>
      <c r="Z2193">
        <v>0.44</v>
      </c>
      <c r="AA2193">
        <v>31.536000000000001</v>
      </c>
    </row>
    <row r="2194" spans="1:27" hidden="1" x14ac:dyDescent="0.25">
      <c r="A2194" t="s">
        <v>98</v>
      </c>
      <c r="B2194" t="s">
        <v>1024</v>
      </c>
      <c r="D2194" t="s">
        <v>1722</v>
      </c>
      <c r="E2194" t="s">
        <v>439</v>
      </c>
      <c r="F2194" t="s">
        <v>479</v>
      </c>
      <c r="G2194" t="s">
        <v>112</v>
      </c>
      <c r="H2194" t="s">
        <v>104</v>
      </c>
      <c r="I2194">
        <v>2030</v>
      </c>
      <c r="J2194" t="s">
        <v>490</v>
      </c>
      <c r="K2194" t="s">
        <v>106</v>
      </c>
      <c r="L2194" t="s">
        <v>2566</v>
      </c>
      <c r="M2194" t="s">
        <v>2590</v>
      </c>
      <c r="N2194">
        <v>1</v>
      </c>
      <c r="O2194">
        <v>2030</v>
      </c>
      <c r="P2194">
        <v>1758.024723094816</v>
      </c>
      <c r="Q2194">
        <v>83.737016934227881</v>
      </c>
      <c r="R2194" t="s">
        <v>109</v>
      </c>
      <c r="S2194">
        <v>7.4409021904142287</v>
      </c>
      <c r="T2194" t="s">
        <v>110</v>
      </c>
      <c r="U2194">
        <v>2.5696109704641348</v>
      </c>
      <c r="V2194">
        <v>17370.421230436659</v>
      </c>
      <c r="W2194">
        <v>827.37588250020167</v>
      </c>
      <c r="X2194" t="s">
        <v>111</v>
      </c>
      <c r="Y2194">
        <v>10</v>
      </c>
      <c r="Z2194">
        <v>0.44</v>
      </c>
      <c r="AA2194">
        <v>31.536000000000001</v>
      </c>
    </row>
    <row r="2195" spans="1:27" hidden="1" x14ac:dyDescent="0.25">
      <c r="A2195" t="s">
        <v>98</v>
      </c>
      <c r="B2195" t="s">
        <v>1024</v>
      </c>
      <c r="D2195" t="s">
        <v>1722</v>
      </c>
      <c r="E2195" t="s">
        <v>439</v>
      </c>
      <c r="F2195" t="s">
        <v>479</v>
      </c>
      <c r="G2195" t="s">
        <v>103</v>
      </c>
      <c r="H2195" t="s">
        <v>104</v>
      </c>
      <c r="I2195">
        <v>2040</v>
      </c>
      <c r="J2195" t="s">
        <v>492</v>
      </c>
      <c r="K2195" t="s">
        <v>106</v>
      </c>
      <c r="L2195" t="s">
        <v>2566</v>
      </c>
      <c r="M2195" t="s">
        <v>2591</v>
      </c>
      <c r="N2195">
        <v>1</v>
      </c>
      <c r="O2195">
        <v>2040</v>
      </c>
      <c r="P2195">
        <v>1649.1429636040691</v>
      </c>
      <c r="Q2195">
        <v>83.737016934227881</v>
      </c>
      <c r="R2195" t="s">
        <v>109</v>
      </c>
      <c r="S2195">
        <v>4.464541314248538</v>
      </c>
      <c r="T2195" t="s">
        <v>110</v>
      </c>
      <c r="U2195">
        <v>1.541766582278481</v>
      </c>
      <c r="V2195">
        <v>16294.59902963399</v>
      </c>
      <c r="W2195">
        <v>827.37588250020167</v>
      </c>
      <c r="X2195" t="s">
        <v>111</v>
      </c>
      <c r="Y2195">
        <v>10</v>
      </c>
      <c r="Z2195">
        <v>0.44</v>
      </c>
      <c r="AA2195">
        <v>31.536000000000001</v>
      </c>
    </row>
    <row r="2196" spans="1:27" hidden="1" x14ac:dyDescent="0.25">
      <c r="A2196" t="s">
        <v>98</v>
      </c>
      <c r="B2196" t="s">
        <v>1024</v>
      </c>
      <c r="D2196" t="s">
        <v>1722</v>
      </c>
      <c r="E2196" t="s">
        <v>439</v>
      </c>
      <c r="F2196" t="s">
        <v>479</v>
      </c>
      <c r="G2196" t="s">
        <v>112</v>
      </c>
      <c r="H2196" t="s">
        <v>104</v>
      </c>
      <c r="I2196">
        <v>2040</v>
      </c>
      <c r="J2196" t="s">
        <v>494</v>
      </c>
      <c r="K2196" t="s">
        <v>106</v>
      </c>
      <c r="L2196" t="s">
        <v>2566</v>
      </c>
      <c r="M2196" t="s">
        <v>2592</v>
      </c>
      <c r="N2196">
        <v>1</v>
      </c>
      <c r="O2196">
        <v>2040</v>
      </c>
      <c r="P2196">
        <v>1758.024723094816</v>
      </c>
      <c r="Q2196">
        <v>83.737016934227881</v>
      </c>
      <c r="R2196" t="s">
        <v>109</v>
      </c>
      <c r="S2196">
        <v>7.4409021904142287</v>
      </c>
      <c r="T2196" t="s">
        <v>110</v>
      </c>
      <c r="U2196">
        <v>2.5696109704641348</v>
      </c>
      <c r="V2196">
        <v>17370.421230436659</v>
      </c>
      <c r="W2196">
        <v>827.37588250020167</v>
      </c>
      <c r="X2196" t="s">
        <v>111</v>
      </c>
      <c r="Y2196">
        <v>10</v>
      </c>
      <c r="Z2196">
        <v>0.44</v>
      </c>
      <c r="AA2196">
        <v>31.536000000000001</v>
      </c>
    </row>
    <row r="2197" spans="1:27" hidden="1" x14ac:dyDescent="0.25">
      <c r="A2197" t="s">
        <v>98</v>
      </c>
      <c r="B2197" t="s">
        <v>1024</v>
      </c>
      <c r="D2197" t="s">
        <v>1722</v>
      </c>
      <c r="E2197" t="s">
        <v>439</v>
      </c>
      <c r="F2197" t="s">
        <v>479</v>
      </c>
      <c r="G2197" t="s">
        <v>112</v>
      </c>
      <c r="H2197" t="s">
        <v>104</v>
      </c>
      <c r="I2197">
        <v>2025</v>
      </c>
      <c r="J2197" t="s">
        <v>496</v>
      </c>
      <c r="K2197" t="s">
        <v>106</v>
      </c>
      <c r="L2197" t="s">
        <v>2566</v>
      </c>
      <c r="M2197" t="s">
        <v>2593</v>
      </c>
      <c r="N2197">
        <v>1</v>
      </c>
      <c r="O2197">
        <v>2025</v>
      </c>
      <c r="P2197">
        <v>1758.024723094816</v>
      </c>
      <c r="Q2197">
        <v>83.737016934227881</v>
      </c>
      <c r="R2197" t="s">
        <v>109</v>
      </c>
      <c r="S2197">
        <v>7.4409021904142287</v>
      </c>
      <c r="T2197" t="s">
        <v>110</v>
      </c>
      <c r="U2197">
        <v>2.5696109704641348</v>
      </c>
      <c r="V2197">
        <v>17370.421230436659</v>
      </c>
      <c r="W2197">
        <v>827.37588250020167</v>
      </c>
      <c r="X2197" t="s">
        <v>111</v>
      </c>
      <c r="Y2197">
        <v>10</v>
      </c>
      <c r="Z2197">
        <v>0.44</v>
      </c>
      <c r="AA2197">
        <v>31.536000000000001</v>
      </c>
    </row>
    <row r="2198" spans="1:27" hidden="1" x14ac:dyDescent="0.25">
      <c r="A2198" t="s">
        <v>498</v>
      </c>
      <c r="M2198" t="s">
        <v>498</v>
      </c>
      <c r="N2198" t="s">
        <v>498</v>
      </c>
    </row>
    <row r="2199" spans="1:27" hidden="1" x14ac:dyDescent="0.25">
      <c r="A2199" t="s">
        <v>98</v>
      </c>
      <c r="B2199" t="s">
        <v>1199</v>
      </c>
      <c r="D2199" t="s">
        <v>1722</v>
      </c>
      <c r="E2199" t="s">
        <v>101</v>
      </c>
      <c r="F2199" t="s">
        <v>102</v>
      </c>
      <c r="G2199" t="s">
        <v>103</v>
      </c>
      <c r="H2199" t="s">
        <v>104</v>
      </c>
      <c r="I2199">
        <v>2061</v>
      </c>
      <c r="J2199" t="s">
        <v>105</v>
      </c>
      <c r="K2199" t="s">
        <v>106</v>
      </c>
      <c r="L2199" t="s">
        <v>2594</v>
      </c>
      <c r="M2199" t="s">
        <v>2595</v>
      </c>
      <c r="N2199">
        <v>0</v>
      </c>
      <c r="O2199">
        <v>2061</v>
      </c>
      <c r="P2199">
        <v>117.0584711706526</v>
      </c>
      <c r="Q2199">
        <v>4.2000145906136934</v>
      </c>
      <c r="R2199" t="s">
        <v>109</v>
      </c>
      <c r="S2199">
        <v>3.3</v>
      </c>
      <c r="T2199" t="s">
        <v>110</v>
      </c>
      <c r="U2199">
        <v>3.3</v>
      </c>
      <c r="V2199">
        <v>399.42017862788401</v>
      </c>
      <c r="W2199">
        <v>14.33104807576899</v>
      </c>
      <c r="X2199" t="s">
        <v>111</v>
      </c>
      <c r="Y2199">
        <v>21</v>
      </c>
      <c r="Z2199">
        <v>0.37802164273770222</v>
      </c>
      <c r="AA2199">
        <v>31.536000000000001</v>
      </c>
    </row>
    <row r="2200" spans="1:27" hidden="1" x14ac:dyDescent="0.25">
      <c r="A2200" t="s">
        <v>98</v>
      </c>
      <c r="B2200" t="s">
        <v>1199</v>
      </c>
      <c r="D2200" t="s">
        <v>1722</v>
      </c>
      <c r="E2200" t="s">
        <v>101</v>
      </c>
      <c r="F2200" t="s">
        <v>102</v>
      </c>
      <c r="G2200" t="s">
        <v>112</v>
      </c>
      <c r="H2200" t="s">
        <v>104</v>
      </c>
      <c r="I2200">
        <v>2022</v>
      </c>
      <c r="J2200" t="s">
        <v>113</v>
      </c>
      <c r="K2200" t="s">
        <v>106</v>
      </c>
      <c r="L2200" t="s">
        <v>2594</v>
      </c>
      <c r="M2200" t="s">
        <v>2596</v>
      </c>
      <c r="N2200">
        <v>1</v>
      </c>
      <c r="O2200">
        <v>2020</v>
      </c>
      <c r="P2200">
        <v>200.7885700942916</v>
      </c>
      <c r="Q2200">
        <v>4.2000145906136934</v>
      </c>
      <c r="R2200" t="s">
        <v>109</v>
      </c>
      <c r="S2200">
        <v>3.7</v>
      </c>
      <c r="T2200" t="s">
        <v>110</v>
      </c>
      <c r="U2200">
        <v>3.7</v>
      </c>
      <c r="V2200">
        <v>685.1192035182313</v>
      </c>
      <c r="W2200">
        <v>14.33104807576899</v>
      </c>
      <c r="X2200" t="s">
        <v>111</v>
      </c>
      <c r="Y2200">
        <v>21</v>
      </c>
      <c r="Z2200">
        <v>0.37802164273770222</v>
      </c>
      <c r="AA2200">
        <v>31.536000000000001</v>
      </c>
    </row>
    <row r="2201" spans="1:27" hidden="1" x14ac:dyDescent="0.25">
      <c r="A2201" t="s">
        <v>98</v>
      </c>
      <c r="B2201" t="s">
        <v>1199</v>
      </c>
      <c r="D2201" t="s">
        <v>1722</v>
      </c>
      <c r="E2201" t="s">
        <v>101</v>
      </c>
      <c r="F2201" t="s">
        <v>102</v>
      </c>
      <c r="G2201" t="s">
        <v>103</v>
      </c>
      <c r="H2201" t="s">
        <v>104</v>
      </c>
      <c r="I2201">
        <v>2023</v>
      </c>
      <c r="J2201" t="s">
        <v>115</v>
      </c>
      <c r="K2201" t="s">
        <v>106</v>
      </c>
      <c r="L2201" t="s">
        <v>2594</v>
      </c>
      <c r="M2201" t="s">
        <v>2597</v>
      </c>
      <c r="N2201">
        <v>0</v>
      </c>
      <c r="O2201">
        <v>2023</v>
      </c>
      <c r="P2201">
        <v>135.73557542199771</v>
      </c>
      <c r="Q2201">
        <v>4.2000145906136934</v>
      </c>
      <c r="R2201" t="s">
        <v>109</v>
      </c>
      <c r="S2201">
        <v>3.4</v>
      </c>
      <c r="T2201" t="s">
        <v>110</v>
      </c>
      <c r="U2201">
        <v>3.4</v>
      </c>
      <c r="V2201">
        <v>463.14911888927151</v>
      </c>
      <c r="W2201">
        <v>14.33104807576899</v>
      </c>
      <c r="X2201" t="s">
        <v>111</v>
      </c>
      <c r="Y2201">
        <v>21</v>
      </c>
      <c r="Z2201">
        <v>0.37802164273770222</v>
      </c>
      <c r="AA2201">
        <v>31.536000000000001</v>
      </c>
    </row>
    <row r="2202" spans="1:27" hidden="1" x14ac:dyDescent="0.25">
      <c r="A2202" t="s">
        <v>98</v>
      </c>
      <c r="B2202" t="s">
        <v>1199</v>
      </c>
      <c r="D2202" t="s">
        <v>1722</v>
      </c>
      <c r="E2202" t="s">
        <v>101</v>
      </c>
      <c r="F2202" t="s">
        <v>117</v>
      </c>
      <c r="G2202" t="s">
        <v>103</v>
      </c>
      <c r="H2202" t="s">
        <v>104</v>
      </c>
      <c r="I2202">
        <v>2033</v>
      </c>
      <c r="J2202" t="s">
        <v>118</v>
      </c>
      <c r="K2202" t="s">
        <v>106</v>
      </c>
      <c r="L2202" t="s">
        <v>2594</v>
      </c>
      <c r="M2202" t="s">
        <v>2598</v>
      </c>
      <c r="N2202">
        <v>0</v>
      </c>
      <c r="O2202">
        <v>2033</v>
      </c>
      <c r="P2202">
        <v>483.9331327692995</v>
      </c>
      <c r="Q2202">
        <v>3.810497108419681</v>
      </c>
      <c r="R2202" t="s">
        <v>109</v>
      </c>
      <c r="S2202">
        <v>3.7</v>
      </c>
      <c r="T2202" t="s">
        <v>110</v>
      </c>
      <c r="U2202">
        <v>3.7</v>
      </c>
      <c r="V2202">
        <v>1651.2487853431401</v>
      </c>
      <c r="W2202">
        <v>13.00195893970977</v>
      </c>
      <c r="X2202" t="s">
        <v>111</v>
      </c>
      <c r="Y2202">
        <v>14.4</v>
      </c>
      <c r="Z2202">
        <v>0.37802164273770222</v>
      </c>
      <c r="AA2202">
        <v>31.536000000000001</v>
      </c>
    </row>
    <row r="2203" spans="1:27" hidden="1" x14ac:dyDescent="0.25">
      <c r="A2203" t="s">
        <v>98</v>
      </c>
      <c r="B2203" t="s">
        <v>1199</v>
      </c>
      <c r="D2203" t="s">
        <v>1722</v>
      </c>
      <c r="E2203" t="s">
        <v>101</v>
      </c>
      <c r="F2203" t="s">
        <v>117</v>
      </c>
      <c r="G2203" t="s">
        <v>67</v>
      </c>
      <c r="H2203" t="s">
        <v>104</v>
      </c>
      <c r="I2203">
        <v>2033</v>
      </c>
      <c r="J2203" t="s">
        <v>120</v>
      </c>
      <c r="K2203" t="s">
        <v>106</v>
      </c>
      <c r="L2203" t="s">
        <v>2594</v>
      </c>
      <c r="M2203" t="s">
        <v>2599</v>
      </c>
      <c r="N2203">
        <v>0</v>
      </c>
      <c r="O2203">
        <v>2033</v>
      </c>
      <c r="P2203">
        <v>497.90495550017158</v>
      </c>
      <c r="Q2203">
        <v>3.810497108419681</v>
      </c>
      <c r="R2203" t="s">
        <v>109</v>
      </c>
      <c r="S2203">
        <v>3.8</v>
      </c>
      <c r="T2203" t="s">
        <v>110</v>
      </c>
      <c r="U2203">
        <v>3.8</v>
      </c>
      <c r="V2203">
        <v>1698.9226347887429</v>
      </c>
      <c r="W2203">
        <v>13.00195893970977</v>
      </c>
      <c r="X2203" t="s">
        <v>111</v>
      </c>
      <c r="Y2203">
        <v>14.4</v>
      </c>
      <c r="Z2203">
        <v>0.37802164273770222</v>
      </c>
      <c r="AA2203">
        <v>31.536000000000001</v>
      </c>
    </row>
    <row r="2204" spans="1:27" hidden="1" x14ac:dyDescent="0.25">
      <c r="A2204" t="s">
        <v>98</v>
      </c>
      <c r="B2204" t="s">
        <v>1199</v>
      </c>
      <c r="D2204" t="s">
        <v>1722</v>
      </c>
      <c r="E2204" t="s">
        <v>101</v>
      </c>
      <c r="F2204" t="s">
        <v>117</v>
      </c>
      <c r="G2204" t="s">
        <v>112</v>
      </c>
      <c r="H2204" t="s">
        <v>104</v>
      </c>
      <c r="I2204">
        <v>2033</v>
      </c>
      <c r="J2204" t="s">
        <v>122</v>
      </c>
      <c r="K2204" t="s">
        <v>106</v>
      </c>
      <c r="L2204" t="s">
        <v>2594</v>
      </c>
      <c r="M2204" t="s">
        <v>2600</v>
      </c>
      <c r="N2204">
        <v>0</v>
      </c>
      <c r="O2204">
        <v>2033</v>
      </c>
      <c r="P2204">
        <v>513.14694393385037</v>
      </c>
      <c r="Q2204">
        <v>3.810497108419681</v>
      </c>
      <c r="R2204" t="s">
        <v>109</v>
      </c>
      <c r="S2204">
        <v>4</v>
      </c>
      <c r="T2204" t="s">
        <v>110</v>
      </c>
      <c r="U2204">
        <v>4</v>
      </c>
      <c r="V2204">
        <v>1750.930470547582</v>
      </c>
      <c r="W2204">
        <v>13.00195893970977</v>
      </c>
      <c r="X2204" t="s">
        <v>111</v>
      </c>
      <c r="Y2204">
        <v>14.4</v>
      </c>
      <c r="Z2204">
        <v>0.37802164273770222</v>
      </c>
      <c r="AA2204">
        <v>31.536000000000001</v>
      </c>
    </row>
    <row r="2205" spans="1:27" hidden="1" x14ac:dyDescent="0.25">
      <c r="A2205" t="s">
        <v>98</v>
      </c>
      <c r="B2205" t="s">
        <v>1199</v>
      </c>
      <c r="D2205" t="s">
        <v>1722</v>
      </c>
      <c r="E2205" t="s">
        <v>101</v>
      </c>
      <c r="F2205" t="s">
        <v>117</v>
      </c>
      <c r="G2205" t="s">
        <v>103</v>
      </c>
      <c r="H2205" t="s">
        <v>104</v>
      </c>
      <c r="I2205">
        <v>2023</v>
      </c>
      <c r="J2205" t="s">
        <v>124</v>
      </c>
      <c r="K2205" t="s">
        <v>106</v>
      </c>
      <c r="L2205" t="s">
        <v>2594</v>
      </c>
      <c r="M2205" t="s">
        <v>2601</v>
      </c>
      <c r="N2205">
        <v>0</v>
      </c>
      <c r="O2205">
        <v>2023</v>
      </c>
      <c r="P2205">
        <v>483.9331327692995</v>
      </c>
      <c r="Q2205">
        <v>3.810497108419681</v>
      </c>
      <c r="R2205" t="s">
        <v>109</v>
      </c>
      <c r="S2205">
        <v>3.7</v>
      </c>
      <c r="T2205" t="s">
        <v>110</v>
      </c>
      <c r="U2205">
        <v>3.7</v>
      </c>
      <c r="V2205">
        <v>1651.2487853431401</v>
      </c>
      <c r="W2205">
        <v>13.00195893970977</v>
      </c>
      <c r="X2205" t="s">
        <v>111</v>
      </c>
      <c r="Y2205">
        <v>14.4</v>
      </c>
      <c r="Z2205">
        <v>0.37802164273770222</v>
      </c>
      <c r="AA2205">
        <v>31.536000000000001</v>
      </c>
    </row>
    <row r="2206" spans="1:27" hidden="1" x14ac:dyDescent="0.25">
      <c r="A2206" t="s">
        <v>98</v>
      </c>
      <c r="B2206" t="s">
        <v>1199</v>
      </c>
      <c r="D2206" t="s">
        <v>1722</v>
      </c>
      <c r="E2206" t="s">
        <v>101</v>
      </c>
      <c r="F2206" t="s">
        <v>117</v>
      </c>
      <c r="G2206" t="s">
        <v>67</v>
      </c>
      <c r="H2206" t="s">
        <v>104</v>
      </c>
      <c r="I2206">
        <v>2023</v>
      </c>
      <c r="J2206" t="s">
        <v>126</v>
      </c>
      <c r="K2206" t="s">
        <v>106</v>
      </c>
      <c r="L2206" t="s">
        <v>2594</v>
      </c>
      <c r="M2206" t="s">
        <v>2602</v>
      </c>
      <c r="N2206">
        <v>0</v>
      </c>
      <c r="O2206">
        <v>2023</v>
      </c>
      <c r="P2206">
        <v>497.90495550017158</v>
      </c>
      <c r="Q2206">
        <v>3.810497108419681</v>
      </c>
      <c r="R2206" t="s">
        <v>109</v>
      </c>
      <c r="S2206">
        <v>3.8</v>
      </c>
      <c r="T2206" t="s">
        <v>110</v>
      </c>
      <c r="U2206">
        <v>3.8</v>
      </c>
      <c r="V2206">
        <v>1698.9226347887429</v>
      </c>
      <c r="W2206">
        <v>13.00195893970977</v>
      </c>
      <c r="X2206" t="s">
        <v>111</v>
      </c>
      <c r="Y2206">
        <v>14.4</v>
      </c>
      <c r="Z2206">
        <v>0.37802164273770222</v>
      </c>
      <c r="AA2206">
        <v>31.536000000000001</v>
      </c>
    </row>
    <row r="2207" spans="1:27" hidden="1" x14ac:dyDescent="0.25">
      <c r="A2207" t="s">
        <v>98</v>
      </c>
      <c r="B2207" t="s">
        <v>1199</v>
      </c>
      <c r="D2207" t="s">
        <v>1722</v>
      </c>
      <c r="E2207" t="s">
        <v>101</v>
      </c>
      <c r="F2207" t="s">
        <v>117</v>
      </c>
      <c r="G2207" t="s">
        <v>112</v>
      </c>
      <c r="H2207" t="s">
        <v>104</v>
      </c>
      <c r="I2207">
        <v>2023</v>
      </c>
      <c r="J2207" t="s">
        <v>128</v>
      </c>
      <c r="K2207" t="s">
        <v>106</v>
      </c>
      <c r="L2207" t="s">
        <v>2594</v>
      </c>
      <c r="M2207" t="s">
        <v>2603</v>
      </c>
      <c r="N2207">
        <v>0</v>
      </c>
      <c r="O2207">
        <v>2023</v>
      </c>
      <c r="P2207">
        <v>513.14694393385037</v>
      </c>
      <c r="Q2207">
        <v>3.810497108419681</v>
      </c>
      <c r="R2207" t="s">
        <v>109</v>
      </c>
      <c r="S2207">
        <v>4</v>
      </c>
      <c r="T2207" t="s">
        <v>110</v>
      </c>
      <c r="U2207">
        <v>4</v>
      </c>
      <c r="V2207">
        <v>1750.930470547582</v>
      </c>
      <c r="W2207">
        <v>13.00195893970977</v>
      </c>
      <c r="X2207" t="s">
        <v>111</v>
      </c>
      <c r="Y2207">
        <v>14.4</v>
      </c>
      <c r="Z2207">
        <v>0.37802164273770222</v>
      </c>
      <c r="AA2207">
        <v>31.536000000000001</v>
      </c>
    </row>
    <row r="2208" spans="1:27" hidden="1" x14ac:dyDescent="0.25">
      <c r="A2208" t="s">
        <v>98</v>
      </c>
      <c r="B2208" t="s">
        <v>1199</v>
      </c>
      <c r="D2208" t="s">
        <v>1722</v>
      </c>
      <c r="E2208" t="s">
        <v>101</v>
      </c>
      <c r="F2208" t="s">
        <v>130</v>
      </c>
      <c r="G2208" t="s">
        <v>103</v>
      </c>
      <c r="H2208" t="s">
        <v>131</v>
      </c>
      <c r="I2208">
        <v>2022</v>
      </c>
      <c r="J2208" t="s">
        <v>132</v>
      </c>
      <c r="K2208" t="s">
        <v>133</v>
      </c>
      <c r="L2208" t="s">
        <v>2594</v>
      </c>
      <c r="M2208" t="s">
        <v>2604</v>
      </c>
      <c r="N2208">
        <v>1</v>
      </c>
      <c r="O2208">
        <v>2020</v>
      </c>
      <c r="P2208">
        <v>335.32374554093201</v>
      </c>
      <c r="Q2208">
        <v>6.3000218859205397</v>
      </c>
      <c r="R2208" t="s">
        <v>109</v>
      </c>
      <c r="S2208">
        <v>1.4</v>
      </c>
      <c r="T2208" t="s">
        <v>110</v>
      </c>
      <c r="U2208">
        <v>1.4</v>
      </c>
      <c r="V2208">
        <v>1144.172386694459</v>
      </c>
      <c r="W2208">
        <v>21.496572113653482</v>
      </c>
      <c r="X2208" t="s">
        <v>111</v>
      </c>
      <c r="Y2208">
        <v>15</v>
      </c>
      <c r="Z2208">
        <v>0.37802164273770222</v>
      </c>
      <c r="AA2208">
        <v>31.536000000000001</v>
      </c>
    </row>
    <row r="2209" spans="1:27" hidden="1" x14ac:dyDescent="0.25">
      <c r="A2209" t="s">
        <v>98</v>
      </c>
      <c r="B2209" t="s">
        <v>1199</v>
      </c>
      <c r="D2209" t="s">
        <v>1722</v>
      </c>
      <c r="E2209" t="s">
        <v>101</v>
      </c>
      <c r="F2209" t="s">
        <v>135</v>
      </c>
      <c r="G2209" t="s">
        <v>103</v>
      </c>
      <c r="H2209" t="s">
        <v>136</v>
      </c>
      <c r="I2209">
        <v>2030</v>
      </c>
      <c r="J2209" t="s">
        <v>137</v>
      </c>
      <c r="K2209" t="s">
        <v>138</v>
      </c>
      <c r="L2209" t="s">
        <v>2594</v>
      </c>
      <c r="M2209" t="s">
        <v>2605</v>
      </c>
      <c r="N2209">
        <v>1</v>
      </c>
      <c r="O2209">
        <v>2030</v>
      </c>
      <c r="P2209">
        <v>55.186509846078152</v>
      </c>
      <c r="Q2209">
        <v>4.0294911951104666</v>
      </c>
      <c r="R2209" t="s">
        <v>109</v>
      </c>
      <c r="S2209">
        <v>0.87</v>
      </c>
      <c r="T2209" t="s">
        <v>110</v>
      </c>
      <c r="U2209">
        <v>0.87</v>
      </c>
      <c r="V2209">
        <v>188.30423291993449</v>
      </c>
      <c r="W2209">
        <v>13.749197959233321</v>
      </c>
      <c r="X2209" t="s">
        <v>111</v>
      </c>
      <c r="Y2209">
        <v>25</v>
      </c>
      <c r="Z2209">
        <v>0.37802164273770222</v>
      </c>
      <c r="AA2209">
        <v>31.536000000000001</v>
      </c>
    </row>
    <row r="2210" spans="1:27" hidden="1" x14ac:dyDescent="0.25">
      <c r="A2210" t="s">
        <v>98</v>
      </c>
      <c r="B2210" t="s">
        <v>1199</v>
      </c>
      <c r="D2210" t="s">
        <v>1722</v>
      </c>
      <c r="E2210" t="s">
        <v>101</v>
      </c>
      <c r="F2210" t="s">
        <v>135</v>
      </c>
      <c r="G2210" t="s">
        <v>103</v>
      </c>
      <c r="H2210" t="s">
        <v>136</v>
      </c>
      <c r="I2210">
        <v>2040</v>
      </c>
      <c r="J2210" t="s">
        <v>140</v>
      </c>
      <c r="K2210" t="s">
        <v>138</v>
      </c>
      <c r="L2210" t="s">
        <v>2594</v>
      </c>
      <c r="M2210" t="s">
        <v>2606</v>
      </c>
      <c r="N2210">
        <v>1</v>
      </c>
      <c r="O2210">
        <v>2040</v>
      </c>
      <c r="P2210">
        <v>53.946363557402229</v>
      </c>
      <c r="Q2210">
        <v>3.9389408311754002</v>
      </c>
      <c r="R2210" t="s">
        <v>109</v>
      </c>
      <c r="S2210">
        <v>0.89</v>
      </c>
      <c r="T2210" t="s">
        <v>110</v>
      </c>
      <c r="U2210">
        <v>0.89</v>
      </c>
      <c r="V2210">
        <v>184.07267712398101</v>
      </c>
      <c r="W2210">
        <v>13.440227218576389</v>
      </c>
      <c r="X2210" t="s">
        <v>111</v>
      </c>
      <c r="Y2210">
        <v>25</v>
      </c>
      <c r="Z2210">
        <v>0.37802164273770222</v>
      </c>
      <c r="AA2210">
        <v>31.536000000000001</v>
      </c>
    </row>
    <row r="2211" spans="1:27" hidden="1" x14ac:dyDescent="0.25">
      <c r="A2211" t="s">
        <v>98</v>
      </c>
      <c r="B2211" t="s">
        <v>1199</v>
      </c>
      <c r="D2211" t="s">
        <v>1722</v>
      </c>
      <c r="E2211" t="s">
        <v>142</v>
      </c>
      <c r="F2211" t="s">
        <v>102</v>
      </c>
      <c r="G2211" t="s">
        <v>103</v>
      </c>
      <c r="H2211" t="s">
        <v>104</v>
      </c>
      <c r="I2211">
        <v>2061</v>
      </c>
      <c r="J2211" t="s">
        <v>143</v>
      </c>
      <c r="K2211" t="s">
        <v>106</v>
      </c>
      <c r="L2211" t="s">
        <v>2607</v>
      </c>
      <c r="M2211" t="s">
        <v>2608</v>
      </c>
      <c r="N2211">
        <v>0</v>
      </c>
      <c r="O2211">
        <v>2061</v>
      </c>
      <c r="P2211">
        <v>117.0584711706526</v>
      </c>
      <c r="Q2211">
        <v>4.2000145906136934</v>
      </c>
      <c r="R2211" t="s">
        <v>109</v>
      </c>
      <c r="S2211">
        <v>3.2239155920281362</v>
      </c>
      <c r="T2211" t="s">
        <v>110</v>
      </c>
      <c r="U2211">
        <v>3.2239155920281362</v>
      </c>
      <c r="V2211">
        <v>399.42017862788401</v>
      </c>
      <c r="W2211">
        <v>14.33104807576899</v>
      </c>
      <c r="X2211" t="s">
        <v>111</v>
      </c>
      <c r="Y2211">
        <v>21</v>
      </c>
      <c r="Z2211">
        <v>0.17185415591273859</v>
      </c>
      <c r="AA2211">
        <v>31.536000000000001</v>
      </c>
    </row>
    <row r="2212" spans="1:27" hidden="1" x14ac:dyDescent="0.25">
      <c r="A2212" t="s">
        <v>98</v>
      </c>
      <c r="B2212" t="s">
        <v>1199</v>
      </c>
      <c r="D2212" t="s">
        <v>1722</v>
      </c>
      <c r="E2212" t="s">
        <v>142</v>
      </c>
      <c r="F2212" t="s">
        <v>102</v>
      </c>
      <c r="G2212" t="s">
        <v>112</v>
      </c>
      <c r="H2212" t="s">
        <v>104</v>
      </c>
      <c r="I2212">
        <v>2022</v>
      </c>
      <c r="J2212" t="s">
        <v>146</v>
      </c>
      <c r="K2212" t="s">
        <v>106</v>
      </c>
      <c r="L2212" t="s">
        <v>2607</v>
      </c>
      <c r="M2212" t="s">
        <v>2609</v>
      </c>
      <c r="N2212">
        <v>1</v>
      </c>
      <c r="O2212">
        <v>2020</v>
      </c>
      <c r="P2212">
        <v>200.7885700942916</v>
      </c>
      <c r="Q2212">
        <v>4.2000145906136934</v>
      </c>
      <c r="R2212" t="s">
        <v>109</v>
      </c>
      <c r="S2212">
        <v>3.8393903868698711</v>
      </c>
      <c r="T2212" t="s">
        <v>110</v>
      </c>
      <c r="U2212">
        <v>3.8393903868698711</v>
      </c>
      <c r="V2212">
        <v>685.1192035182313</v>
      </c>
      <c r="W2212">
        <v>14.33104807576899</v>
      </c>
      <c r="X2212" t="s">
        <v>111</v>
      </c>
      <c r="Y2212">
        <v>21</v>
      </c>
      <c r="Z2212">
        <v>0.17185415591273859</v>
      </c>
      <c r="AA2212">
        <v>31.536000000000001</v>
      </c>
    </row>
    <row r="2213" spans="1:27" hidden="1" x14ac:dyDescent="0.25">
      <c r="A2213" t="s">
        <v>98</v>
      </c>
      <c r="B2213" t="s">
        <v>1199</v>
      </c>
      <c r="D2213" t="s">
        <v>1722</v>
      </c>
      <c r="E2213" t="s">
        <v>142</v>
      </c>
      <c r="F2213" t="s">
        <v>102</v>
      </c>
      <c r="G2213" t="s">
        <v>103</v>
      </c>
      <c r="H2213" t="s">
        <v>104</v>
      </c>
      <c r="I2213">
        <v>2023</v>
      </c>
      <c r="J2213" t="s">
        <v>148</v>
      </c>
      <c r="K2213" t="s">
        <v>106</v>
      </c>
      <c r="L2213" t="s">
        <v>2607</v>
      </c>
      <c r="M2213" t="s">
        <v>2610</v>
      </c>
      <c r="N2213">
        <v>0</v>
      </c>
      <c r="O2213">
        <v>2023</v>
      </c>
      <c r="P2213">
        <v>135.73557542199771</v>
      </c>
      <c r="Q2213">
        <v>4.2000145906136934</v>
      </c>
      <c r="R2213" t="s">
        <v>109</v>
      </c>
      <c r="S2213">
        <v>3.4290738569753811</v>
      </c>
      <c r="T2213" t="s">
        <v>110</v>
      </c>
      <c r="U2213">
        <v>3.4290738569753811</v>
      </c>
      <c r="V2213">
        <v>463.14911888927151</v>
      </c>
      <c r="W2213">
        <v>14.33104807576899</v>
      </c>
      <c r="X2213" t="s">
        <v>111</v>
      </c>
      <c r="Y2213">
        <v>21</v>
      </c>
      <c r="Z2213">
        <v>0.17185415591273859</v>
      </c>
      <c r="AA2213">
        <v>31.536000000000001</v>
      </c>
    </row>
    <row r="2214" spans="1:27" hidden="1" x14ac:dyDescent="0.25">
      <c r="A2214" t="s">
        <v>98</v>
      </c>
      <c r="B2214" t="s">
        <v>1199</v>
      </c>
      <c r="D2214" t="s">
        <v>1722</v>
      </c>
      <c r="E2214" t="s">
        <v>142</v>
      </c>
      <c r="F2214" t="s">
        <v>117</v>
      </c>
      <c r="G2214" t="s">
        <v>103</v>
      </c>
      <c r="H2214" t="s">
        <v>104</v>
      </c>
      <c r="I2214">
        <v>2033</v>
      </c>
      <c r="J2214" t="s">
        <v>150</v>
      </c>
      <c r="K2214" t="s">
        <v>106</v>
      </c>
      <c r="L2214" t="s">
        <v>2607</v>
      </c>
      <c r="M2214" t="s">
        <v>2611</v>
      </c>
      <c r="N2214">
        <v>0</v>
      </c>
      <c r="O2214">
        <v>2033</v>
      </c>
      <c r="P2214">
        <v>483.9331327692995</v>
      </c>
      <c r="Q2214">
        <v>3.810497108419681</v>
      </c>
      <c r="R2214" t="s">
        <v>109</v>
      </c>
      <c r="S2214">
        <v>5.0996483001172326</v>
      </c>
      <c r="T2214" t="s">
        <v>110</v>
      </c>
      <c r="U2214">
        <v>5.0996483001172326</v>
      </c>
      <c r="V2214">
        <v>1651.2487853431401</v>
      </c>
      <c r="W2214">
        <v>13.00195893970977</v>
      </c>
      <c r="X2214" t="s">
        <v>111</v>
      </c>
      <c r="Y2214">
        <v>14.4</v>
      </c>
      <c r="Z2214">
        <v>0.17185415591273859</v>
      </c>
      <c r="AA2214">
        <v>31.536000000000001</v>
      </c>
    </row>
    <row r="2215" spans="1:27" hidden="1" x14ac:dyDescent="0.25">
      <c r="A2215" t="s">
        <v>98</v>
      </c>
      <c r="B2215" t="s">
        <v>1199</v>
      </c>
      <c r="D2215" t="s">
        <v>1722</v>
      </c>
      <c r="E2215" t="s">
        <v>142</v>
      </c>
      <c r="F2215" t="s">
        <v>117</v>
      </c>
      <c r="G2215" t="s">
        <v>67</v>
      </c>
      <c r="H2215" t="s">
        <v>104</v>
      </c>
      <c r="I2215">
        <v>2033</v>
      </c>
      <c r="J2215" t="s">
        <v>152</v>
      </c>
      <c r="K2215" t="s">
        <v>106</v>
      </c>
      <c r="L2215" t="s">
        <v>2607</v>
      </c>
      <c r="M2215" t="s">
        <v>2612</v>
      </c>
      <c r="N2215">
        <v>0</v>
      </c>
      <c r="O2215">
        <v>2033</v>
      </c>
      <c r="P2215">
        <v>497.90495550017158</v>
      </c>
      <c r="Q2215">
        <v>3.810497108419681</v>
      </c>
      <c r="R2215" t="s">
        <v>109</v>
      </c>
      <c r="S2215">
        <v>5.7737397420867529</v>
      </c>
      <c r="T2215" t="s">
        <v>110</v>
      </c>
      <c r="U2215">
        <v>5.7737397420867529</v>
      </c>
      <c r="V2215">
        <v>1698.9226347887429</v>
      </c>
      <c r="W2215">
        <v>13.00195893970977</v>
      </c>
      <c r="X2215" t="s">
        <v>111</v>
      </c>
      <c r="Y2215">
        <v>14.4</v>
      </c>
      <c r="Z2215">
        <v>0.17185415591273859</v>
      </c>
      <c r="AA2215">
        <v>31.536000000000001</v>
      </c>
    </row>
    <row r="2216" spans="1:27" hidden="1" x14ac:dyDescent="0.25">
      <c r="A2216" t="s">
        <v>98</v>
      </c>
      <c r="B2216" t="s">
        <v>1199</v>
      </c>
      <c r="D2216" t="s">
        <v>1722</v>
      </c>
      <c r="E2216" t="s">
        <v>142</v>
      </c>
      <c r="F2216" t="s">
        <v>117</v>
      </c>
      <c r="G2216" t="s">
        <v>112</v>
      </c>
      <c r="H2216" t="s">
        <v>104</v>
      </c>
      <c r="I2216">
        <v>2033</v>
      </c>
      <c r="J2216" t="s">
        <v>154</v>
      </c>
      <c r="K2216" t="s">
        <v>106</v>
      </c>
      <c r="L2216" t="s">
        <v>2607</v>
      </c>
      <c r="M2216" t="s">
        <v>2613</v>
      </c>
      <c r="N2216">
        <v>0</v>
      </c>
      <c r="O2216">
        <v>2033</v>
      </c>
      <c r="P2216">
        <v>513.14694393385037</v>
      </c>
      <c r="Q2216">
        <v>3.810497108419681</v>
      </c>
      <c r="R2216" t="s">
        <v>109</v>
      </c>
      <c r="S2216">
        <v>6.4771395076201648</v>
      </c>
      <c r="T2216" t="s">
        <v>110</v>
      </c>
      <c r="U2216">
        <v>6.4771395076201648</v>
      </c>
      <c r="V2216">
        <v>1750.930470547582</v>
      </c>
      <c r="W2216">
        <v>13.00195893970977</v>
      </c>
      <c r="X2216" t="s">
        <v>111</v>
      </c>
      <c r="Y2216">
        <v>14.4</v>
      </c>
      <c r="Z2216">
        <v>0.17185415591273859</v>
      </c>
      <c r="AA2216">
        <v>31.536000000000001</v>
      </c>
    </row>
    <row r="2217" spans="1:27" hidden="1" x14ac:dyDescent="0.25">
      <c r="A2217" t="s">
        <v>98</v>
      </c>
      <c r="B2217" t="s">
        <v>1199</v>
      </c>
      <c r="D2217" t="s">
        <v>1722</v>
      </c>
      <c r="E2217" t="s">
        <v>142</v>
      </c>
      <c r="F2217" t="s">
        <v>117</v>
      </c>
      <c r="G2217" t="s">
        <v>103</v>
      </c>
      <c r="H2217" t="s">
        <v>104</v>
      </c>
      <c r="I2217">
        <v>2023</v>
      </c>
      <c r="J2217" t="s">
        <v>156</v>
      </c>
      <c r="K2217" t="s">
        <v>106</v>
      </c>
      <c r="L2217" t="s">
        <v>2607</v>
      </c>
      <c r="M2217" t="s">
        <v>2614</v>
      </c>
      <c r="N2217">
        <v>0</v>
      </c>
      <c r="O2217">
        <v>2023</v>
      </c>
      <c r="P2217">
        <v>498.32834406777368</v>
      </c>
      <c r="Q2217">
        <v>3.810497108419681</v>
      </c>
      <c r="R2217" t="s">
        <v>109</v>
      </c>
      <c r="S2217">
        <v>3.833333333333333</v>
      </c>
      <c r="T2217" t="s">
        <v>110</v>
      </c>
      <c r="U2217">
        <v>3.833333333333333</v>
      </c>
      <c r="V2217">
        <v>1700.3672968931551</v>
      </c>
      <c r="W2217">
        <v>13.00195893970977</v>
      </c>
      <c r="X2217" t="s">
        <v>111</v>
      </c>
      <c r="Y2217">
        <v>14.4</v>
      </c>
      <c r="Z2217">
        <v>0.17185415591273859</v>
      </c>
      <c r="AA2217">
        <v>31.536000000000001</v>
      </c>
    </row>
    <row r="2218" spans="1:27" hidden="1" x14ac:dyDescent="0.25">
      <c r="A2218" t="s">
        <v>98</v>
      </c>
      <c r="B2218" t="s">
        <v>1199</v>
      </c>
      <c r="D2218" t="s">
        <v>1722</v>
      </c>
      <c r="E2218" t="s">
        <v>142</v>
      </c>
      <c r="F2218" t="s">
        <v>130</v>
      </c>
      <c r="G2218" t="s">
        <v>103</v>
      </c>
      <c r="H2218" t="s">
        <v>131</v>
      </c>
      <c r="I2218">
        <v>2022</v>
      </c>
      <c r="J2218" t="s">
        <v>158</v>
      </c>
      <c r="K2218" t="s">
        <v>133</v>
      </c>
      <c r="L2218" t="s">
        <v>2607</v>
      </c>
      <c r="M2218" t="s">
        <v>2615</v>
      </c>
      <c r="N2218">
        <v>1</v>
      </c>
      <c r="O2218">
        <v>2020</v>
      </c>
      <c r="P2218">
        <v>335.32374554093201</v>
      </c>
      <c r="Q2218">
        <v>6.3000218859205397</v>
      </c>
      <c r="R2218" t="s">
        <v>109</v>
      </c>
      <c r="S2218">
        <v>1.2</v>
      </c>
      <c r="T2218" t="s">
        <v>110</v>
      </c>
      <c r="U2218">
        <v>1.2</v>
      </c>
      <c r="V2218">
        <v>1144.172386694459</v>
      </c>
      <c r="W2218">
        <v>21.496572113653482</v>
      </c>
      <c r="X2218" t="s">
        <v>111</v>
      </c>
      <c r="Y2218">
        <v>15</v>
      </c>
      <c r="Z2218">
        <v>0.17185415591273859</v>
      </c>
      <c r="AA2218">
        <v>31.536000000000001</v>
      </c>
    </row>
    <row r="2219" spans="1:27" hidden="1" x14ac:dyDescent="0.25">
      <c r="A2219" t="s">
        <v>98</v>
      </c>
      <c r="B2219" t="s">
        <v>1199</v>
      </c>
      <c r="D2219" t="s">
        <v>1722</v>
      </c>
      <c r="E2219" t="s">
        <v>142</v>
      </c>
      <c r="F2219" t="s">
        <v>160</v>
      </c>
      <c r="G2219" t="s">
        <v>103</v>
      </c>
      <c r="H2219" t="s">
        <v>104</v>
      </c>
      <c r="I2219">
        <v>2030</v>
      </c>
      <c r="J2219" t="s">
        <v>161</v>
      </c>
      <c r="K2219" t="s">
        <v>106</v>
      </c>
      <c r="L2219" t="s">
        <v>2607</v>
      </c>
      <c r="M2219" t="s">
        <v>2616</v>
      </c>
      <c r="N2219">
        <v>0</v>
      </c>
      <c r="O2219">
        <v>2030</v>
      </c>
      <c r="P2219">
        <v>93.992262007685454</v>
      </c>
      <c r="Q2219">
        <v>4.3185633895423052</v>
      </c>
      <c r="R2219" t="s">
        <v>109</v>
      </c>
      <c r="S2219">
        <v>4.8178066132425448</v>
      </c>
      <c r="T2219" t="s">
        <v>110</v>
      </c>
      <c r="U2219">
        <v>4.8178066132425448</v>
      </c>
      <c r="V2219">
        <v>320.71498717950749</v>
      </c>
      <c r="W2219">
        <v>14.735553465004401</v>
      </c>
      <c r="X2219" t="s">
        <v>111</v>
      </c>
      <c r="Y2219">
        <v>20</v>
      </c>
      <c r="Z2219">
        <v>0.17185415591273859</v>
      </c>
      <c r="AA2219">
        <v>31.536000000000001</v>
      </c>
    </row>
    <row r="2220" spans="1:27" hidden="1" x14ac:dyDescent="0.25">
      <c r="A2220" t="s">
        <v>98</v>
      </c>
      <c r="B2220" t="s">
        <v>1199</v>
      </c>
      <c r="D2220" t="s">
        <v>1722</v>
      </c>
      <c r="E2220" t="s">
        <v>142</v>
      </c>
      <c r="F2220" t="s">
        <v>160</v>
      </c>
      <c r="G2220" t="s">
        <v>112</v>
      </c>
      <c r="H2220" t="s">
        <v>104</v>
      </c>
      <c r="I2220">
        <v>2030</v>
      </c>
      <c r="J2220" t="s">
        <v>163</v>
      </c>
      <c r="K2220" t="s">
        <v>106</v>
      </c>
      <c r="L2220" t="s">
        <v>2607</v>
      </c>
      <c r="M2220" t="s">
        <v>2617</v>
      </c>
      <c r="N2220">
        <v>0</v>
      </c>
      <c r="O2220">
        <v>2030</v>
      </c>
      <c r="P2220">
        <v>104.15358763013791</v>
      </c>
      <c r="Q2220">
        <v>4.3185633895423052</v>
      </c>
      <c r="R2220" t="s">
        <v>109</v>
      </c>
      <c r="S2220">
        <v>5.1720570995103783</v>
      </c>
      <c r="T2220" t="s">
        <v>110</v>
      </c>
      <c r="U2220">
        <v>5.1720570995103783</v>
      </c>
      <c r="V2220">
        <v>355.38687768540018</v>
      </c>
      <c r="W2220">
        <v>14.735553465004401</v>
      </c>
      <c r="X2220" t="s">
        <v>111</v>
      </c>
      <c r="Y2220">
        <v>20</v>
      </c>
      <c r="Z2220">
        <v>0.17185415591273859</v>
      </c>
      <c r="AA2220">
        <v>31.536000000000001</v>
      </c>
    </row>
    <row r="2221" spans="1:27" hidden="1" x14ac:dyDescent="0.25">
      <c r="A2221" t="s">
        <v>98</v>
      </c>
      <c r="B2221" t="s">
        <v>1199</v>
      </c>
      <c r="D2221" t="s">
        <v>1722</v>
      </c>
      <c r="E2221" t="s">
        <v>142</v>
      </c>
      <c r="F2221" t="s">
        <v>160</v>
      </c>
      <c r="G2221" t="s">
        <v>103</v>
      </c>
      <c r="H2221" t="s">
        <v>104</v>
      </c>
      <c r="I2221">
        <v>2040</v>
      </c>
      <c r="J2221" t="s">
        <v>165</v>
      </c>
      <c r="K2221" t="s">
        <v>106</v>
      </c>
      <c r="L2221" t="s">
        <v>2607</v>
      </c>
      <c r="M2221" t="s">
        <v>2618</v>
      </c>
      <c r="N2221">
        <v>0</v>
      </c>
      <c r="O2221">
        <v>2040</v>
      </c>
      <c r="P2221">
        <v>93.992262007685454</v>
      </c>
      <c r="Q2221">
        <v>4.3185633895423052</v>
      </c>
      <c r="R2221" t="s">
        <v>109</v>
      </c>
      <c r="S2221">
        <v>4.9535194755874059</v>
      </c>
      <c r="T2221" t="s">
        <v>110</v>
      </c>
      <c r="U2221">
        <v>4.9535194755874059</v>
      </c>
      <c r="V2221">
        <v>320.71498717950749</v>
      </c>
      <c r="W2221">
        <v>14.735553465004401</v>
      </c>
      <c r="X2221" t="s">
        <v>111</v>
      </c>
      <c r="Y2221">
        <v>20</v>
      </c>
      <c r="Z2221">
        <v>0.17185415591273859</v>
      </c>
      <c r="AA2221">
        <v>31.536000000000001</v>
      </c>
    </row>
    <row r="2222" spans="1:27" hidden="1" x14ac:dyDescent="0.25">
      <c r="A2222" t="s">
        <v>98</v>
      </c>
      <c r="B2222" t="s">
        <v>1199</v>
      </c>
      <c r="D2222" t="s">
        <v>1722</v>
      </c>
      <c r="E2222" t="s">
        <v>142</v>
      </c>
      <c r="F2222" t="s">
        <v>160</v>
      </c>
      <c r="G2222" t="s">
        <v>112</v>
      </c>
      <c r="H2222" t="s">
        <v>104</v>
      </c>
      <c r="I2222">
        <v>2040</v>
      </c>
      <c r="J2222" t="s">
        <v>167</v>
      </c>
      <c r="K2222" t="s">
        <v>106</v>
      </c>
      <c r="L2222" t="s">
        <v>2607</v>
      </c>
      <c r="M2222" t="s">
        <v>2619</v>
      </c>
      <c r="N2222">
        <v>0</v>
      </c>
      <c r="O2222">
        <v>2040</v>
      </c>
      <c r="P2222">
        <v>104.15358763013791</v>
      </c>
      <c r="Q2222">
        <v>4.3185633895423052</v>
      </c>
      <c r="R2222" t="s">
        <v>109</v>
      </c>
      <c r="S2222">
        <v>5.4107674271800876</v>
      </c>
      <c r="T2222" t="s">
        <v>110</v>
      </c>
      <c r="U2222">
        <v>5.4107674271800876</v>
      </c>
      <c r="V2222">
        <v>355.38687768540018</v>
      </c>
      <c r="W2222">
        <v>14.735553465004401</v>
      </c>
      <c r="X2222" t="s">
        <v>111</v>
      </c>
      <c r="Y2222">
        <v>20</v>
      </c>
      <c r="Z2222">
        <v>0.17185415591273859</v>
      </c>
      <c r="AA2222">
        <v>31.536000000000001</v>
      </c>
    </row>
    <row r="2223" spans="1:27" hidden="1" x14ac:dyDescent="0.25">
      <c r="A2223" t="s">
        <v>98</v>
      </c>
      <c r="B2223" t="s">
        <v>1199</v>
      </c>
      <c r="D2223" t="s">
        <v>1722</v>
      </c>
      <c r="E2223" t="s">
        <v>142</v>
      </c>
      <c r="F2223" t="s">
        <v>160</v>
      </c>
      <c r="G2223" t="s">
        <v>112</v>
      </c>
      <c r="H2223" t="s">
        <v>104</v>
      </c>
      <c r="I2223">
        <v>2022</v>
      </c>
      <c r="J2223" t="s">
        <v>169</v>
      </c>
      <c r="K2223" t="s">
        <v>106</v>
      </c>
      <c r="L2223" t="s">
        <v>2607</v>
      </c>
      <c r="M2223" t="s">
        <v>2620</v>
      </c>
      <c r="N2223">
        <v>1</v>
      </c>
      <c r="O2223">
        <v>2020</v>
      </c>
      <c r="P2223">
        <v>104.15358763013791</v>
      </c>
      <c r="Q2223">
        <v>4.3185633895423052</v>
      </c>
      <c r="R2223" t="s">
        <v>109</v>
      </c>
      <c r="S2223">
        <v>4.9886508193858967</v>
      </c>
      <c r="T2223" t="s">
        <v>110</v>
      </c>
      <c r="U2223">
        <v>4.9886508193858967</v>
      </c>
      <c r="V2223">
        <v>355.38687768540018</v>
      </c>
      <c r="W2223">
        <v>14.735553465004401</v>
      </c>
      <c r="X2223" t="s">
        <v>111</v>
      </c>
      <c r="Y2223">
        <v>20</v>
      </c>
      <c r="Z2223">
        <v>0.17185415591273859</v>
      </c>
      <c r="AA2223">
        <v>31.536000000000001</v>
      </c>
    </row>
    <row r="2224" spans="1:27" hidden="1" x14ac:dyDescent="0.25">
      <c r="A2224" t="s">
        <v>98</v>
      </c>
      <c r="B2224" t="s">
        <v>1199</v>
      </c>
      <c r="D2224" t="s">
        <v>1722</v>
      </c>
      <c r="E2224" t="s">
        <v>142</v>
      </c>
      <c r="F2224" t="s">
        <v>171</v>
      </c>
      <c r="G2224" t="s">
        <v>172</v>
      </c>
      <c r="H2224" t="s">
        <v>104</v>
      </c>
      <c r="I2224">
        <v>2061</v>
      </c>
      <c r="J2224" t="s">
        <v>173</v>
      </c>
      <c r="K2224" t="s">
        <v>106</v>
      </c>
      <c r="L2224" t="s">
        <v>2607</v>
      </c>
      <c r="M2224" t="s">
        <v>2621</v>
      </c>
      <c r="N2224">
        <v>0</v>
      </c>
      <c r="O2224">
        <v>2061</v>
      </c>
      <c r="P2224">
        <v>90.181764899265772</v>
      </c>
      <c r="Q2224">
        <v>3.3024308272970568</v>
      </c>
      <c r="R2224" t="s">
        <v>109</v>
      </c>
      <c r="S2224">
        <v>4.1038492738238714</v>
      </c>
      <c r="T2224" t="s">
        <v>110</v>
      </c>
      <c r="U2224">
        <v>4.1038492738238714</v>
      </c>
      <c r="V2224">
        <v>307.71302823979772</v>
      </c>
      <c r="W2224">
        <v>11.26836441441513</v>
      </c>
      <c r="X2224" t="s">
        <v>111</v>
      </c>
      <c r="Y2224">
        <v>20</v>
      </c>
      <c r="Z2224">
        <v>0.17185415591273859</v>
      </c>
      <c r="AA2224">
        <v>31.536000000000001</v>
      </c>
    </row>
    <row r="2225" spans="1:27" hidden="1" x14ac:dyDescent="0.25">
      <c r="A2225" t="s">
        <v>98</v>
      </c>
      <c r="B2225" t="s">
        <v>1199</v>
      </c>
      <c r="D2225" t="s">
        <v>1722</v>
      </c>
      <c r="E2225" t="s">
        <v>142</v>
      </c>
      <c r="F2225" t="s">
        <v>171</v>
      </c>
      <c r="G2225" t="s">
        <v>112</v>
      </c>
      <c r="H2225" t="s">
        <v>104</v>
      </c>
      <c r="I2225">
        <v>2022</v>
      </c>
      <c r="J2225" t="s">
        <v>175</v>
      </c>
      <c r="K2225" t="s">
        <v>106</v>
      </c>
      <c r="L2225" t="s">
        <v>2607</v>
      </c>
      <c r="M2225" t="s">
        <v>2622</v>
      </c>
      <c r="N2225">
        <v>1</v>
      </c>
      <c r="O2225">
        <v>2020</v>
      </c>
      <c r="P2225">
        <v>99.072924818911702</v>
      </c>
      <c r="Q2225">
        <v>3.3024308272970568</v>
      </c>
      <c r="R2225" t="s">
        <v>109</v>
      </c>
      <c r="S2225">
        <v>6.6358468446548251</v>
      </c>
      <c r="T2225" t="s">
        <v>110</v>
      </c>
      <c r="U2225">
        <v>6.6358468446548251</v>
      </c>
      <c r="V2225">
        <v>338.05093243245392</v>
      </c>
      <c r="W2225">
        <v>11.26836441441513</v>
      </c>
      <c r="X2225" t="s">
        <v>111</v>
      </c>
      <c r="Y2225">
        <v>20</v>
      </c>
      <c r="Z2225">
        <v>0.17185415591273859</v>
      </c>
      <c r="AA2225">
        <v>31.536000000000001</v>
      </c>
    </row>
    <row r="2226" spans="1:27" hidden="1" x14ac:dyDescent="0.25">
      <c r="A2226" t="s">
        <v>98</v>
      </c>
      <c r="B2226" t="s">
        <v>1199</v>
      </c>
      <c r="D2226" t="s">
        <v>1722</v>
      </c>
      <c r="E2226" t="s">
        <v>142</v>
      </c>
      <c r="F2226" t="s">
        <v>171</v>
      </c>
      <c r="G2226" t="s">
        <v>103</v>
      </c>
      <c r="H2226" t="s">
        <v>104</v>
      </c>
      <c r="I2226">
        <v>2030</v>
      </c>
      <c r="J2226" t="s">
        <v>177</v>
      </c>
      <c r="K2226" t="s">
        <v>106</v>
      </c>
      <c r="L2226" t="s">
        <v>2607</v>
      </c>
      <c r="M2226" t="s">
        <v>2623</v>
      </c>
      <c r="N2226">
        <v>0</v>
      </c>
      <c r="O2226">
        <v>2030</v>
      </c>
      <c r="P2226">
        <v>90.181764899265772</v>
      </c>
      <c r="Q2226">
        <v>3.3024308272970568</v>
      </c>
      <c r="R2226" t="s">
        <v>109</v>
      </c>
      <c r="S2226">
        <v>4.8847205939820251</v>
      </c>
      <c r="T2226" t="s">
        <v>110</v>
      </c>
      <c r="U2226">
        <v>4.8847205939820251</v>
      </c>
      <c r="V2226">
        <v>307.71302823979772</v>
      </c>
      <c r="W2226">
        <v>11.26836441441513</v>
      </c>
      <c r="X2226" t="s">
        <v>111</v>
      </c>
      <c r="Y2226">
        <v>20</v>
      </c>
      <c r="Z2226">
        <v>0.17185415591273859</v>
      </c>
      <c r="AA2226">
        <v>31.536000000000001</v>
      </c>
    </row>
    <row r="2227" spans="1:27" hidden="1" x14ac:dyDescent="0.25">
      <c r="A2227" t="s">
        <v>98</v>
      </c>
      <c r="B2227" t="s">
        <v>1199</v>
      </c>
      <c r="D2227" t="s">
        <v>1722</v>
      </c>
      <c r="E2227" t="s">
        <v>142</v>
      </c>
      <c r="F2227" t="s">
        <v>171</v>
      </c>
      <c r="G2227" t="s">
        <v>112</v>
      </c>
      <c r="H2227" t="s">
        <v>104</v>
      </c>
      <c r="I2227">
        <v>2030</v>
      </c>
      <c r="J2227" t="s">
        <v>179</v>
      </c>
      <c r="K2227" t="s">
        <v>106</v>
      </c>
      <c r="L2227" t="s">
        <v>2607</v>
      </c>
      <c r="M2227" t="s">
        <v>2624</v>
      </c>
      <c r="N2227">
        <v>0</v>
      </c>
      <c r="O2227">
        <v>2030</v>
      </c>
      <c r="P2227">
        <v>99.072924818911702</v>
      </c>
      <c r="Q2227">
        <v>3.3024308272970568</v>
      </c>
      <c r="R2227" t="s">
        <v>109</v>
      </c>
      <c r="S2227">
        <v>7.1775486278919534</v>
      </c>
      <c r="T2227" t="s">
        <v>110</v>
      </c>
      <c r="U2227">
        <v>7.1775486278919534</v>
      </c>
      <c r="V2227">
        <v>338.05093243245392</v>
      </c>
      <c r="W2227">
        <v>11.26836441441513</v>
      </c>
      <c r="X2227" t="s">
        <v>111</v>
      </c>
      <c r="Y2227">
        <v>20</v>
      </c>
      <c r="Z2227">
        <v>0.17185415591273859</v>
      </c>
      <c r="AA2227">
        <v>31.536000000000001</v>
      </c>
    </row>
    <row r="2228" spans="1:27" hidden="1" x14ac:dyDescent="0.25">
      <c r="A2228" t="s">
        <v>98</v>
      </c>
      <c r="B2228" t="s">
        <v>1199</v>
      </c>
      <c r="D2228" t="s">
        <v>1722</v>
      </c>
      <c r="E2228" t="s">
        <v>142</v>
      </c>
      <c r="F2228" t="s">
        <v>171</v>
      </c>
      <c r="G2228" t="s">
        <v>103</v>
      </c>
      <c r="H2228" t="s">
        <v>104</v>
      </c>
      <c r="I2228">
        <v>2040</v>
      </c>
      <c r="J2228" t="s">
        <v>181</v>
      </c>
      <c r="K2228" t="s">
        <v>106</v>
      </c>
      <c r="L2228" t="s">
        <v>2607</v>
      </c>
      <c r="M2228" t="s">
        <v>2625</v>
      </c>
      <c r="N2228">
        <v>0</v>
      </c>
      <c r="O2228">
        <v>2040</v>
      </c>
      <c r="P2228">
        <v>90.181764899265772</v>
      </c>
      <c r="Q2228">
        <v>3.3024308272970568</v>
      </c>
      <c r="R2228" t="s">
        <v>109</v>
      </c>
      <c r="S2228">
        <v>5.1720570995103783</v>
      </c>
      <c r="T2228" t="s">
        <v>110</v>
      </c>
      <c r="U2228">
        <v>5.1720570995103783</v>
      </c>
      <c r="V2228">
        <v>307.71302823979772</v>
      </c>
      <c r="W2228">
        <v>11.26836441441513</v>
      </c>
      <c r="X2228" t="s">
        <v>111</v>
      </c>
      <c r="Y2228">
        <v>20</v>
      </c>
      <c r="Z2228">
        <v>0.17185415591273859</v>
      </c>
      <c r="AA2228">
        <v>31.536000000000001</v>
      </c>
    </row>
    <row r="2229" spans="1:27" hidden="1" x14ac:dyDescent="0.25">
      <c r="A2229" t="s">
        <v>98</v>
      </c>
      <c r="B2229" t="s">
        <v>1199</v>
      </c>
      <c r="D2229" t="s">
        <v>1722</v>
      </c>
      <c r="E2229" t="s">
        <v>142</v>
      </c>
      <c r="F2229" t="s">
        <v>171</v>
      </c>
      <c r="G2229" t="s">
        <v>112</v>
      </c>
      <c r="H2229" t="s">
        <v>104</v>
      </c>
      <c r="I2229">
        <v>2040</v>
      </c>
      <c r="J2229" t="s">
        <v>183</v>
      </c>
      <c r="K2229" t="s">
        <v>106</v>
      </c>
      <c r="L2229" t="s">
        <v>2607</v>
      </c>
      <c r="M2229" t="s">
        <v>2626</v>
      </c>
      <c r="N2229">
        <v>0</v>
      </c>
      <c r="O2229">
        <v>2040</v>
      </c>
      <c r="P2229">
        <v>99.072924818911702</v>
      </c>
      <c r="Q2229">
        <v>3.3024308272970568</v>
      </c>
      <c r="R2229" t="s">
        <v>109</v>
      </c>
      <c r="S2229">
        <v>7.815552950371238</v>
      </c>
      <c r="T2229" t="s">
        <v>110</v>
      </c>
      <c r="U2229">
        <v>7.815552950371238</v>
      </c>
      <c r="V2229">
        <v>338.05093243245392</v>
      </c>
      <c r="W2229">
        <v>11.26836441441513</v>
      </c>
      <c r="X2229" t="s">
        <v>111</v>
      </c>
      <c r="Y2229">
        <v>20</v>
      </c>
      <c r="Z2229">
        <v>0.17185415591273859</v>
      </c>
      <c r="AA2229">
        <v>31.536000000000001</v>
      </c>
    </row>
    <row r="2230" spans="1:27" hidden="1" x14ac:dyDescent="0.25">
      <c r="A2230" t="s">
        <v>98</v>
      </c>
      <c r="B2230" t="s">
        <v>1199</v>
      </c>
      <c r="D2230" t="s">
        <v>1722</v>
      </c>
      <c r="E2230" t="s">
        <v>142</v>
      </c>
      <c r="F2230" t="s">
        <v>185</v>
      </c>
      <c r="G2230" t="s">
        <v>112</v>
      </c>
      <c r="H2230" t="s">
        <v>104</v>
      </c>
      <c r="I2230">
        <v>2022</v>
      </c>
      <c r="J2230" t="s">
        <v>186</v>
      </c>
      <c r="K2230" t="s">
        <v>106</v>
      </c>
      <c r="L2230" t="s">
        <v>2607</v>
      </c>
      <c r="M2230" t="s">
        <v>2627</v>
      </c>
      <c r="N2230">
        <v>1</v>
      </c>
      <c r="O2230">
        <v>2020</v>
      </c>
      <c r="P2230">
        <v>97.802759116105136</v>
      </c>
      <c r="Q2230">
        <v>3.5564639678583689</v>
      </c>
      <c r="R2230" t="s">
        <v>109</v>
      </c>
      <c r="S2230">
        <v>4.4518972502114647</v>
      </c>
      <c r="T2230" t="s">
        <v>110</v>
      </c>
      <c r="U2230">
        <v>4.4518972502114647</v>
      </c>
      <c r="V2230">
        <v>333.71694611921731</v>
      </c>
      <c r="W2230">
        <v>12.135161677062451</v>
      </c>
      <c r="X2230" t="s">
        <v>111</v>
      </c>
      <c r="Y2230">
        <v>20</v>
      </c>
      <c r="Z2230">
        <v>0.17185415591273859</v>
      </c>
      <c r="AA2230">
        <v>31.536000000000001</v>
      </c>
    </row>
    <row r="2231" spans="1:27" hidden="1" x14ac:dyDescent="0.25">
      <c r="A2231" t="s">
        <v>98</v>
      </c>
      <c r="B2231" t="s">
        <v>1199</v>
      </c>
      <c r="D2231" t="s">
        <v>1722</v>
      </c>
      <c r="E2231" t="s">
        <v>142</v>
      </c>
      <c r="F2231" t="s">
        <v>188</v>
      </c>
      <c r="G2231" t="s">
        <v>103</v>
      </c>
      <c r="H2231" t="s">
        <v>104</v>
      </c>
      <c r="I2231">
        <v>2030</v>
      </c>
      <c r="J2231" t="s">
        <v>189</v>
      </c>
      <c r="K2231" t="s">
        <v>106</v>
      </c>
      <c r="L2231" t="s">
        <v>2607</v>
      </c>
      <c r="M2231" t="s">
        <v>2628</v>
      </c>
      <c r="N2231">
        <v>0</v>
      </c>
      <c r="O2231">
        <v>2030</v>
      </c>
      <c r="P2231">
        <v>49.536462409455851</v>
      </c>
      <c r="Q2231">
        <v>3.0483976867357452</v>
      </c>
      <c r="R2231" t="s">
        <v>109</v>
      </c>
      <c r="S2231">
        <v>10.04856807904874</v>
      </c>
      <c r="T2231" t="s">
        <v>110</v>
      </c>
      <c r="U2231">
        <v>10.04856807904874</v>
      </c>
      <c r="V2231">
        <v>169.0254662162269</v>
      </c>
      <c r="W2231">
        <v>10.401567151767811</v>
      </c>
      <c r="X2231" t="s">
        <v>111</v>
      </c>
      <c r="Y2231">
        <v>25</v>
      </c>
      <c r="Z2231">
        <v>0.17185415591273859</v>
      </c>
      <c r="AA2231">
        <v>31.536000000000001</v>
      </c>
    </row>
    <row r="2232" spans="1:27" hidden="1" x14ac:dyDescent="0.25">
      <c r="A2232" t="s">
        <v>98</v>
      </c>
      <c r="B2232" t="s">
        <v>1199</v>
      </c>
      <c r="D2232" t="s">
        <v>1722</v>
      </c>
      <c r="E2232" t="s">
        <v>142</v>
      </c>
      <c r="F2232" t="s">
        <v>188</v>
      </c>
      <c r="G2232" t="s">
        <v>112</v>
      </c>
      <c r="H2232" t="s">
        <v>104</v>
      </c>
      <c r="I2232">
        <v>2030</v>
      </c>
      <c r="J2232" t="s">
        <v>191</v>
      </c>
      <c r="K2232" t="s">
        <v>106</v>
      </c>
      <c r="L2232" t="s">
        <v>2607</v>
      </c>
      <c r="M2232" t="s">
        <v>2629</v>
      </c>
      <c r="N2232">
        <v>0</v>
      </c>
      <c r="O2232">
        <v>2030</v>
      </c>
      <c r="P2232">
        <v>64.778450843134578</v>
      </c>
      <c r="Q2232">
        <v>3.0483976867357452</v>
      </c>
      <c r="R2232" t="s">
        <v>109</v>
      </c>
      <c r="S2232">
        <v>13.02592158395206</v>
      </c>
      <c r="T2232" t="s">
        <v>110</v>
      </c>
      <c r="U2232">
        <v>13.02592158395206</v>
      </c>
      <c r="V2232">
        <v>221.033301975066</v>
      </c>
      <c r="W2232">
        <v>10.401567151767811</v>
      </c>
      <c r="X2232" t="s">
        <v>111</v>
      </c>
      <c r="Y2232">
        <v>25</v>
      </c>
      <c r="Z2232">
        <v>0.17185415591273859</v>
      </c>
      <c r="AA2232">
        <v>31.536000000000001</v>
      </c>
    </row>
    <row r="2233" spans="1:27" hidden="1" x14ac:dyDescent="0.25">
      <c r="A2233" t="s">
        <v>98</v>
      </c>
      <c r="B2233" t="s">
        <v>1199</v>
      </c>
      <c r="D2233" t="s">
        <v>1722</v>
      </c>
      <c r="E2233" t="s">
        <v>142</v>
      </c>
      <c r="F2233" t="s">
        <v>188</v>
      </c>
      <c r="G2233" t="s">
        <v>103</v>
      </c>
      <c r="H2233" t="s">
        <v>104</v>
      </c>
      <c r="I2233">
        <v>2040</v>
      </c>
      <c r="J2233" t="s">
        <v>193</v>
      </c>
      <c r="K2233" t="s">
        <v>106</v>
      </c>
      <c r="L2233" t="s">
        <v>2607</v>
      </c>
      <c r="M2233" t="s">
        <v>2630</v>
      </c>
      <c r="N2233">
        <v>0</v>
      </c>
      <c r="O2233">
        <v>2040</v>
      </c>
      <c r="P2233">
        <v>49.536462409455851</v>
      </c>
      <c r="Q2233">
        <v>3.0483976867357452</v>
      </c>
      <c r="R2233" t="s">
        <v>109</v>
      </c>
      <c r="S2233">
        <v>10.34411419902076</v>
      </c>
      <c r="T2233" t="s">
        <v>110</v>
      </c>
      <c r="U2233">
        <v>10.34411419902076</v>
      </c>
      <c r="V2233">
        <v>169.0254662162269</v>
      </c>
      <c r="W2233">
        <v>10.401567151767811</v>
      </c>
      <c r="X2233" t="s">
        <v>111</v>
      </c>
      <c r="Y2233">
        <v>25</v>
      </c>
      <c r="Z2233">
        <v>0.17185415591273859</v>
      </c>
      <c r="AA2233">
        <v>31.536000000000001</v>
      </c>
    </row>
    <row r="2234" spans="1:27" hidden="1" x14ac:dyDescent="0.25">
      <c r="A2234" t="s">
        <v>98</v>
      </c>
      <c r="B2234" t="s">
        <v>1199</v>
      </c>
      <c r="D2234" t="s">
        <v>1722</v>
      </c>
      <c r="E2234" t="s">
        <v>142</v>
      </c>
      <c r="F2234" t="s">
        <v>188</v>
      </c>
      <c r="G2234" t="s">
        <v>112</v>
      </c>
      <c r="H2234" t="s">
        <v>104</v>
      </c>
      <c r="I2234">
        <v>2040</v>
      </c>
      <c r="J2234" t="s">
        <v>195</v>
      </c>
      <c r="K2234" t="s">
        <v>106</v>
      </c>
      <c r="L2234" t="s">
        <v>2607</v>
      </c>
      <c r="M2234" t="s">
        <v>2631</v>
      </c>
      <c r="N2234">
        <v>0</v>
      </c>
      <c r="O2234">
        <v>2040</v>
      </c>
      <c r="P2234">
        <v>64.778450843134578</v>
      </c>
      <c r="Q2234">
        <v>3.0483976867357452</v>
      </c>
      <c r="R2234" t="s">
        <v>109</v>
      </c>
      <c r="S2234">
        <v>14.067995310668231</v>
      </c>
      <c r="T2234" t="s">
        <v>110</v>
      </c>
      <c r="U2234">
        <v>14.067995310668231</v>
      </c>
      <c r="V2234">
        <v>221.033301975066</v>
      </c>
      <c r="W2234">
        <v>10.401567151767811</v>
      </c>
      <c r="X2234" t="s">
        <v>111</v>
      </c>
      <c r="Y2234">
        <v>25</v>
      </c>
      <c r="Z2234">
        <v>0.17185415591273859</v>
      </c>
      <c r="AA2234">
        <v>31.536000000000001</v>
      </c>
    </row>
    <row r="2235" spans="1:27" hidden="1" x14ac:dyDescent="0.25">
      <c r="A2235" t="s">
        <v>98</v>
      </c>
      <c r="B2235" t="s">
        <v>1199</v>
      </c>
      <c r="D2235" t="s">
        <v>1722</v>
      </c>
      <c r="E2235" t="s">
        <v>142</v>
      </c>
      <c r="F2235" t="s">
        <v>188</v>
      </c>
      <c r="G2235" t="s">
        <v>112</v>
      </c>
      <c r="H2235" t="s">
        <v>104</v>
      </c>
      <c r="I2235">
        <v>2022</v>
      </c>
      <c r="J2235" t="s">
        <v>197</v>
      </c>
      <c r="K2235" t="s">
        <v>106</v>
      </c>
      <c r="L2235" t="s">
        <v>2607</v>
      </c>
      <c r="M2235" t="s">
        <v>2632</v>
      </c>
      <c r="N2235">
        <v>1</v>
      </c>
      <c r="O2235">
        <v>2020</v>
      </c>
      <c r="P2235">
        <v>64.778450843134578</v>
      </c>
      <c r="Q2235">
        <v>3.0483976867357452</v>
      </c>
      <c r="R2235" t="s">
        <v>109</v>
      </c>
      <c r="S2235">
        <v>12.12758216436916</v>
      </c>
      <c r="T2235" t="s">
        <v>110</v>
      </c>
      <c r="U2235">
        <v>12.12758216436916</v>
      </c>
      <c r="V2235">
        <v>221.033301975066</v>
      </c>
      <c r="W2235">
        <v>10.401567151767811</v>
      </c>
      <c r="X2235" t="s">
        <v>111</v>
      </c>
      <c r="Y2235">
        <v>25</v>
      </c>
      <c r="Z2235">
        <v>0.17185415591273859</v>
      </c>
      <c r="AA2235">
        <v>31.536000000000001</v>
      </c>
    </row>
    <row r="2236" spans="1:27" hidden="1" x14ac:dyDescent="0.25">
      <c r="A2236" t="s">
        <v>98</v>
      </c>
      <c r="B2236" t="s">
        <v>1199</v>
      </c>
      <c r="D2236" t="s">
        <v>1722</v>
      </c>
      <c r="E2236" t="s">
        <v>142</v>
      </c>
      <c r="F2236" t="s">
        <v>199</v>
      </c>
      <c r="G2236" t="s">
        <v>103</v>
      </c>
      <c r="H2236" t="s">
        <v>131</v>
      </c>
      <c r="I2236">
        <v>2030</v>
      </c>
      <c r="J2236" t="s">
        <v>200</v>
      </c>
      <c r="K2236" t="s">
        <v>133</v>
      </c>
      <c r="L2236" t="s">
        <v>2607</v>
      </c>
      <c r="M2236" t="s">
        <v>2633</v>
      </c>
      <c r="N2236">
        <v>0</v>
      </c>
      <c r="O2236">
        <v>2030</v>
      </c>
      <c r="P2236">
        <v>93.992262007685454</v>
      </c>
      <c r="Q2236">
        <v>2.7943645461744331</v>
      </c>
      <c r="R2236" t="s">
        <v>109</v>
      </c>
      <c r="S2236">
        <v>1.4</v>
      </c>
      <c r="T2236" t="s">
        <v>110</v>
      </c>
      <c r="U2236">
        <v>1.4</v>
      </c>
      <c r="V2236">
        <v>320.71498717950749</v>
      </c>
      <c r="W2236">
        <v>9.5347698891204935</v>
      </c>
      <c r="X2236" t="s">
        <v>111</v>
      </c>
      <c r="Y2236">
        <v>23</v>
      </c>
      <c r="Z2236">
        <v>0.17185415591273859</v>
      </c>
      <c r="AA2236">
        <v>31.536000000000001</v>
      </c>
    </row>
    <row r="2237" spans="1:27" hidden="1" x14ac:dyDescent="0.25">
      <c r="A2237" t="s">
        <v>98</v>
      </c>
      <c r="B2237" t="s">
        <v>1199</v>
      </c>
      <c r="D2237" t="s">
        <v>1722</v>
      </c>
      <c r="E2237" t="s">
        <v>142</v>
      </c>
      <c r="F2237" t="s">
        <v>202</v>
      </c>
      <c r="G2237" t="s">
        <v>103</v>
      </c>
      <c r="H2237" t="s">
        <v>104</v>
      </c>
      <c r="I2237">
        <v>2023</v>
      </c>
      <c r="J2237" t="s">
        <v>203</v>
      </c>
      <c r="K2237" t="s">
        <v>106</v>
      </c>
      <c r="L2237" t="s">
        <v>2607</v>
      </c>
      <c r="M2237" t="s">
        <v>2634</v>
      </c>
      <c r="N2237">
        <v>1</v>
      </c>
      <c r="O2237">
        <v>2023</v>
      </c>
      <c r="P2237">
        <v>138.8714501735173</v>
      </c>
      <c r="Q2237">
        <v>4.2000145906136934</v>
      </c>
      <c r="R2237" t="s">
        <v>109</v>
      </c>
      <c r="S2237">
        <v>3.5756154747948421</v>
      </c>
      <c r="T2237" t="s">
        <v>110</v>
      </c>
      <c r="U2237">
        <v>3.5756154747948421</v>
      </c>
      <c r="V2237">
        <v>473.84917024720039</v>
      </c>
      <c r="W2237">
        <v>14.33104807576899</v>
      </c>
      <c r="X2237" t="s">
        <v>111</v>
      </c>
      <c r="Y2237">
        <v>21</v>
      </c>
      <c r="Z2237">
        <v>0.17185415591273859</v>
      </c>
      <c r="AA2237">
        <v>31.536000000000001</v>
      </c>
    </row>
    <row r="2238" spans="1:27" hidden="1" x14ac:dyDescent="0.25">
      <c r="A2238" t="s">
        <v>98</v>
      </c>
      <c r="B2238" t="s">
        <v>1199</v>
      </c>
      <c r="D2238" t="s">
        <v>1722</v>
      </c>
      <c r="E2238" t="s">
        <v>142</v>
      </c>
      <c r="F2238" t="s">
        <v>202</v>
      </c>
      <c r="G2238" t="s">
        <v>112</v>
      </c>
      <c r="H2238" t="s">
        <v>104</v>
      </c>
      <c r="I2238">
        <v>2022</v>
      </c>
      <c r="J2238" t="s">
        <v>205</v>
      </c>
      <c r="K2238" t="s">
        <v>106</v>
      </c>
      <c r="L2238" t="s">
        <v>2607</v>
      </c>
      <c r="M2238" t="s">
        <v>2635</v>
      </c>
      <c r="N2238">
        <v>1</v>
      </c>
      <c r="O2238">
        <v>2020</v>
      </c>
      <c r="P2238">
        <v>201.87166903272271</v>
      </c>
      <c r="Q2238">
        <v>4.2000145906136934</v>
      </c>
      <c r="R2238" t="s">
        <v>109</v>
      </c>
      <c r="S2238">
        <v>3.7514654161781951</v>
      </c>
      <c r="T2238" t="s">
        <v>110</v>
      </c>
      <c r="U2238">
        <v>3.7514654161781951</v>
      </c>
      <c r="V2238">
        <v>688.81489138373513</v>
      </c>
      <c r="W2238">
        <v>14.33104807576899</v>
      </c>
      <c r="X2238" t="s">
        <v>111</v>
      </c>
      <c r="Y2238">
        <v>21</v>
      </c>
      <c r="Z2238">
        <v>0.17185415591273859</v>
      </c>
      <c r="AA2238">
        <v>31.536000000000001</v>
      </c>
    </row>
    <row r="2239" spans="1:27" hidden="1" x14ac:dyDescent="0.25">
      <c r="A2239" t="s">
        <v>98</v>
      </c>
      <c r="B2239" t="s">
        <v>1199</v>
      </c>
      <c r="D2239" t="s">
        <v>1722</v>
      </c>
      <c r="E2239" t="s">
        <v>142</v>
      </c>
      <c r="F2239" t="s">
        <v>207</v>
      </c>
      <c r="G2239" t="s">
        <v>103</v>
      </c>
      <c r="H2239" t="s">
        <v>104</v>
      </c>
      <c r="I2239">
        <v>2030</v>
      </c>
      <c r="J2239" t="s">
        <v>208</v>
      </c>
      <c r="K2239" t="s">
        <v>106</v>
      </c>
      <c r="L2239" t="s">
        <v>2607</v>
      </c>
      <c r="M2239" t="s">
        <v>2636</v>
      </c>
      <c r="N2239">
        <v>0</v>
      </c>
      <c r="O2239">
        <v>2030</v>
      </c>
      <c r="P2239">
        <v>74.322838838509583</v>
      </c>
      <c r="Q2239">
        <v>1.219359074694298E-2</v>
      </c>
      <c r="R2239" t="s">
        <v>109</v>
      </c>
      <c r="S2239">
        <v>3.5902696365767879</v>
      </c>
      <c r="T2239" t="s">
        <v>110</v>
      </c>
      <c r="U2239">
        <v>3.5902696365767879</v>
      </c>
      <c r="V2239">
        <v>253.60011341452949</v>
      </c>
      <c r="W2239">
        <v>4.1606268607071263E-2</v>
      </c>
      <c r="X2239" t="s">
        <v>111</v>
      </c>
      <c r="Y2239">
        <v>9.5</v>
      </c>
      <c r="Z2239">
        <v>0.17185415591273859</v>
      </c>
      <c r="AA2239">
        <v>31.536000000000001</v>
      </c>
    </row>
    <row r="2240" spans="1:27" hidden="1" x14ac:dyDescent="0.25">
      <c r="A2240" t="s">
        <v>98</v>
      </c>
      <c r="B2240" t="s">
        <v>1199</v>
      </c>
      <c r="D2240" t="s">
        <v>1722</v>
      </c>
      <c r="E2240" t="s">
        <v>142</v>
      </c>
      <c r="F2240" t="s">
        <v>207</v>
      </c>
      <c r="G2240" t="s">
        <v>112</v>
      </c>
      <c r="H2240" t="s">
        <v>104</v>
      </c>
      <c r="I2240">
        <v>2030</v>
      </c>
      <c r="J2240" t="s">
        <v>210</v>
      </c>
      <c r="K2240" t="s">
        <v>106</v>
      </c>
      <c r="L2240" t="s">
        <v>2607</v>
      </c>
      <c r="M2240" t="s">
        <v>2637</v>
      </c>
      <c r="N2240">
        <v>0</v>
      </c>
      <c r="O2240">
        <v>2030</v>
      </c>
      <c r="P2240">
        <v>81.871252158045721</v>
      </c>
      <c r="Q2240">
        <v>1.219359074694298E-2</v>
      </c>
      <c r="R2240" t="s">
        <v>109</v>
      </c>
      <c r="S2240">
        <v>3.8100820633059791</v>
      </c>
      <c r="T2240" t="s">
        <v>110</v>
      </c>
      <c r="U2240">
        <v>3.8100820633059791</v>
      </c>
      <c r="V2240">
        <v>279.35637493319268</v>
      </c>
      <c r="W2240">
        <v>4.1606268607071263E-2</v>
      </c>
      <c r="X2240" t="s">
        <v>111</v>
      </c>
      <c r="Y2240">
        <v>9.5</v>
      </c>
      <c r="Z2240">
        <v>0.17185415591273859</v>
      </c>
      <c r="AA2240">
        <v>31.536000000000001</v>
      </c>
    </row>
    <row r="2241" spans="1:27" hidden="1" x14ac:dyDescent="0.25">
      <c r="A2241" t="s">
        <v>98</v>
      </c>
      <c r="B2241" t="s">
        <v>1199</v>
      </c>
      <c r="D2241" t="s">
        <v>1722</v>
      </c>
      <c r="E2241" t="s">
        <v>142</v>
      </c>
      <c r="F2241" t="s">
        <v>207</v>
      </c>
      <c r="G2241" t="s">
        <v>103</v>
      </c>
      <c r="H2241" t="s">
        <v>104</v>
      </c>
      <c r="I2241">
        <v>2040</v>
      </c>
      <c r="J2241" t="s">
        <v>212</v>
      </c>
      <c r="K2241" t="s">
        <v>106</v>
      </c>
      <c r="L2241" t="s">
        <v>2607</v>
      </c>
      <c r="M2241" t="s">
        <v>2638</v>
      </c>
      <c r="N2241">
        <v>0</v>
      </c>
      <c r="O2241">
        <v>2040</v>
      </c>
      <c r="P2241">
        <v>74.322838838509583</v>
      </c>
      <c r="Q2241">
        <v>1.219359074694298E-2</v>
      </c>
      <c r="R2241" t="s">
        <v>109</v>
      </c>
      <c r="S2241">
        <v>3.6635404454865181</v>
      </c>
      <c r="T2241" t="s">
        <v>110</v>
      </c>
      <c r="U2241">
        <v>3.6635404454865181</v>
      </c>
      <c r="V2241">
        <v>253.60011341452949</v>
      </c>
      <c r="W2241">
        <v>4.1606268607071263E-2</v>
      </c>
      <c r="X2241" t="s">
        <v>111</v>
      </c>
      <c r="Y2241">
        <v>9.5</v>
      </c>
      <c r="Z2241">
        <v>0.17185415591273859</v>
      </c>
      <c r="AA2241">
        <v>31.536000000000001</v>
      </c>
    </row>
    <row r="2242" spans="1:27" hidden="1" x14ac:dyDescent="0.25">
      <c r="A2242" t="s">
        <v>98</v>
      </c>
      <c r="B2242" t="s">
        <v>1199</v>
      </c>
      <c r="D2242" t="s">
        <v>1722</v>
      </c>
      <c r="E2242" t="s">
        <v>142</v>
      </c>
      <c r="F2242" t="s">
        <v>207</v>
      </c>
      <c r="G2242" t="s">
        <v>112</v>
      </c>
      <c r="H2242" t="s">
        <v>104</v>
      </c>
      <c r="I2242">
        <v>2040</v>
      </c>
      <c r="J2242" t="s">
        <v>214</v>
      </c>
      <c r="K2242" t="s">
        <v>106</v>
      </c>
      <c r="L2242" t="s">
        <v>2607</v>
      </c>
      <c r="M2242" t="s">
        <v>2639</v>
      </c>
      <c r="N2242">
        <v>0</v>
      </c>
      <c r="O2242">
        <v>2040</v>
      </c>
      <c r="P2242">
        <v>81.871252158045721</v>
      </c>
      <c r="Q2242">
        <v>1.219359074694298E-2</v>
      </c>
      <c r="R2242" t="s">
        <v>109</v>
      </c>
      <c r="S2242">
        <v>3.9566236811254401</v>
      </c>
      <c r="T2242" t="s">
        <v>110</v>
      </c>
      <c r="U2242">
        <v>3.9566236811254401</v>
      </c>
      <c r="V2242">
        <v>279.35637493319268</v>
      </c>
      <c r="W2242">
        <v>4.1606268607071263E-2</v>
      </c>
      <c r="X2242" t="s">
        <v>111</v>
      </c>
      <c r="Y2242">
        <v>9.5</v>
      </c>
      <c r="Z2242">
        <v>0.17185415591273859</v>
      </c>
      <c r="AA2242">
        <v>31.536000000000001</v>
      </c>
    </row>
    <row r="2243" spans="1:27" hidden="1" x14ac:dyDescent="0.25">
      <c r="A2243" t="s">
        <v>98</v>
      </c>
      <c r="B2243" t="s">
        <v>1199</v>
      </c>
      <c r="D2243" t="s">
        <v>1722</v>
      </c>
      <c r="E2243" t="s">
        <v>142</v>
      </c>
      <c r="F2243" t="s">
        <v>207</v>
      </c>
      <c r="G2243" t="s">
        <v>112</v>
      </c>
      <c r="H2243" t="s">
        <v>104</v>
      </c>
      <c r="I2243">
        <v>2022</v>
      </c>
      <c r="J2243" t="s">
        <v>216</v>
      </c>
      <c r="K2243" t="s">
        <v>106</v>
      </c>
      <c r="L2243" t="s">
        <v>2607</v>
      </c>
      <c r="M2243" t="s">
        <v>2640</v>
      </c>
      <c r="N2243">
        <v>1</v>
      </c>
      <c r="O2243">
        <v>2020</v>
      </c>
      <c r="P2243">
        <v>81.871252158045721</v>
      </c>
      <c r="Q2243">
        <v>1.219359074694298E-2</v>
      </c>
      <c r="R2243" t="s">
        <v>109</v>
      </c>
      <c r="S2243">
        <v>3.6635404454865181</v>
      </c>
      <c r="T2243" t="s">
        <v>110</v>
      </c>
      <c r="U2243">
        <v>3.6635404454865181</v>
      </c>
      <c r="V2243">
        <v>279.35637493319268</v>
      </c>
      <c r="W2243">
        <v>4.1606268607071263E-2</v>
      </c>
      <c r="X2243" t="s">
        <v>111</v>
      </c>
      <c r="Y2243">
        <v>9.5</v>
      </c>
      <c r="Z2243">
        <v>0.17185415591273859</v>
      </c>
      <c r="AA2243">
        <v>31.536000000000001</v>
      </c>
    </row>
    <row r="2244" spans="1:27" hidden="1" x14ac:dyDescent="0.25">
      <c r="A2244" t="s">
        <v>98</v>
      </c>
      <c r="B2244" t="s">
        <v>1199</v>
      </c>
      <c r="D2244" t="s">
        <v>1722</v>
      </c>
      <c r="E2244" t="s">
        <v>142</v>
      </c>
      <c r="F2244" t="s">
        <v>218</v>
      </c>
      <c r="G2244" t="s">
        <v>219</v>
      </c>
      <c r="H2244" t="s">
        <v>104</v>
      </c>
      <c r="I2244">
        <v>2023</v>
      </c>
      <c r="J2244" t="s">
        <v>220</v>
      </c>
      <c r="K2244" t="s">
        <v>106</v>
      </c>
      <c r="L2244" t="s">
        <v>2607</v>
      </c>
      <c r="M2244" t="s">
        <v>2641</v>
      </c>
      <c r="N2244">
        <v>1</v>
      </c>
      <c r="O2244">
        <v>2023</v>
      </c>
      <c r="P2244">
        <v>144.5166310748798</v>
      </c>
      <c r="Q2244">
        <v>2.6193639382321958</v>
      </c>
      <c r="R2244" t="s">
        <v>109</v>
      </c>
      <c r="S2244">
        <v>4.6893317702227444</v>
      </c>
      <c r="T2244" t="s">
        <v>110</v>
      </c>
      <c r="U2244">
        <v>4.6893317702227444</v>
      </c>
      <c r="V2244">
        <v>493.11133163936307</v>
      </c>
      <c r="W2244">
        <v>8.937642885963454</v>
      </c>
      <c r="X2244" t="s">
        <v>111</v>
      </c>
      <c r="Y2244">
        <v>18</v>
      </c>
      <c r="Z2244">
        <v>0.17185415591273859</v>
      </c>
      <c r="AA2244">
        <v>31.536000000000001</v>
      </c>
    </row>
    <row r="2245" spans="1:27" hidden="1" x14ac:dyDescent="0.25">
      <c r="A2245" t="s">
        <v>98</v>
      </c>
      <c r="B2245" t="s">
        <v>1199</v>
      </c>
      <c r="D2245" t="s">
        <v>1722</v>
      </c>
      <c r="E2245" t="s">
        <v>142</v>
      </c>
      <c r="F2245" t="s">
        <v>218</v>
      </c>
      <c r="G2245" t="s">
        <v>112</v>
      </c>
      <c r="H2245" t="s">
        <v>104</v>
      </c>
      <c r="I2245">
        <v>2022</v>
      </c>
      <c r="J2245" t="s">
        <v>222</v>
      </c>
      <c r="K2245" t="s">
        <v>106</v>
      </c>
      <c r="L2245" t="s">
        <v>2607</v>
      </c>
      <c r="M2245" t="s">
        <v>2642</v>
      </c>
      <c r="N2245">
        <v>1</v>
      </c>
      <c r="O2245">
        <v>2020</v>
      </c>
      <c r="P2245">
        <v>157.50054714801351</v>
      </c>
      <c r="Q2245">
        <v>2.455653692092683</v>
      </c>
      <c r="R2245" t="s">
        <v>109</v>
      </c>
      <c r="S2245">
        <v>4.835873388042204</v>
      </c>
      <c r="T2245" t="s">
        <v>110</v>
      </c>
      <c r="U2245">
        <v>4.835873388042204</v>
      </c>
      <c r="V2245">
        <v>537.41430284133696</v>
      </c>
      <c r="W2245">
        <v>8.3790402055907389</v>
      </c>
      <c r="X2245" t="s">
        <v>111</v>
      </c>
      <c r="Y2245">
        <v>18</v>
      </c>
      <c r="Z2245">
        <v>0.17185415591273859</v>
      </c>
      <c r="AA2245">
        <v>31.536000000000001</v>
      </c>
    </row>
    <row r="2246" spans="1:27" hidden="1" x14ac:dyDescent="0.25">
      <c r="A2246" t="s">
        <v>98</v>
      </c>
      <c r="B2246" t="s">
        <v>1199</v>
      </c>
      <c r="D2246" t="s">
        <v>1722</v>
      </c>
      <c r="E2246" t="s">
        <v>142</v>
      </c>
      <c r="F2246" t="s">
        <v>218</v>
      </c>
      <c r="G2246" t="s">
        <v>103</v>
      </c>
      <c r="H2246" t="s">
        <v>104</v>
      </c>
      <c r="I2246">
        <v>2023</v>
      </c>
      <c r="J2246" t="s">
        <v>224</v>
      </c>
      <c r="K2246" t="s">
        <v>106</v>
      </c>
      <c r="L2246" t="s">
        <v>2607</v>
      </c>
      <c r="M2246" t="s">
        <v>2643</v>
      </c>
      <c r="N2246">
        <v>1</v>
      </c>
      <c r="O2246">
        <v>2023</v>
      </c>
      <c r="P2246">
        <v>125.3230160102473</v>
      </c>
      <c r="Q2246">
        <v>2.455653692092683</v>
      </c>
      <c r="R2246" t="s">
        <v>109</v>
      </c>
      <c r="S2246">
        <v>4.2203985932004704</v>
      </c>
      <c r="T2246" t="s">
        <v>110</v>
      </c>
      <c r="U2246">
        <v>4.2203985932004704</v>
      </c>
      <c r="V2246">
        <v>427.61998290601008</v>
      </c>
      <c r="W2246">
        <v>8.3790402055907389</v>
      </c>
      <c r="X2246" t="s">
        <v>111</v>
      </c>
      <c r="Y2246">
        <v>18</v>
      </c>
      <c r="Z2246">
        <v>0.17185415591273859</v>
      </c>
      <c r="AA2246">
        <v>31.536000000000001</v>
      </c>
    </row>
    <row r="2247" spans="1:27" x14ac:dyDescent="0.25">
      <c r="A2247" t="s">
        <v>98</v>
      </c>
      <c r="B2247" t="s">
        <v>1199</v>
      </c>
      <c r="D2247" t="s">
        <v>1722</v>
      </c>
      <c r="E2247" t="s">
        <v>226</v>
      </c>
      <c r="F2247" t="s">
        <v>227</v>
      </c>
      <c r="G2247" t="s">
        <v>228</v>
      </c>
      <c r="H2247" t="s">
        <v>104</v>
      </c>
      <c r="I2247">
        <v>2023</v>
      </c>
      <c r="J2247" t="s">
        <v>229</v>
      </c>
      <c r="K2247" t="s">
        <v>106</v>
      </c>
      <c r="L2247" t="s">
        <v>2644</v>
      </c>
      <c r="M2247" t="s">
        <v>2645</v>
      </c>
      <c r="N2247">
        <v>0</v>
      </c>
      <c r="O2247">
        <v>2023</v>
      </c>
      <c r="P2247">
        <v>351.48905933689161</v>
      </c>
      <c r="Q2247">
        <v>0.67078064758948786</v>
      </c>
      <c r="R2247" t="s">
        <v>109</v>
      </c>
      <c r="S2247">
        <v>2.7</v>
      </c>
      <c r="T2247" t="s">
        <v>110</v>
      </c>
      <c r="U2247">
        <v>2.7</v>
      </c>
      <c r="V2247">
        <v>1199.3307401172131</v>
      </c>
      <c r="W2247">
        <v>2.2887991223610928</v>
      </c>
      <c r="X2247" t="s">
        <v>111</v>
      </c>
      <c r="Y2247">
        <v>20</v>
      </c>
      <c r="Z2247">
        <v>0.44</v>
      </c>
      <c r="AA2247">
        <v>31.536000000000001</v>
      </c>
    </row>
    <row r="2248" spans="1:27" x14ac:dyDescent="0.25">
      <c r="A2248" t="s">
        <v>98</v>
      </c>
      <c r="B2248" t="s">
        <v>1199</v>
      </c>
      <c r="D2248" t="s">
        <v>1722</v>
      </c>
      <c r="E2248" t="s">
        <v>226</v>
      </c>
      <c r="F2248" t="s">
        <v>227</v>
      </c>
      <c r="G2248" t="s">
        <v>228</v>
      </c>
      <c r="H2248" t="s">
        <v>104</v>
      </c>
      <c r="I2248">
        <v>2024</v>
      </c>
      <c r="J2248" t="s">
        <v>232</v>
      </c>
      <c r="K2248" t="s">
        <v>106</v>
      </c>
      <c r="L2248" t="s">
        <v>2644</v>
      </c>
      <c r="M2248" t="s">
        <v>2646</v>
      </c>
      <c r="N2248">
        <v>0</v>
      </c>
      <c r="O2248">
        <v>2024</v>
      </c>
      <c r="P2248">
        <v>351.48905933689161</v>
      </c>
      <c r="Q2248">
        <v>0.67078064758948786</v>
      </c>
      <c r="R2248" t="s">
        <v>109</v>
      </c>
      <c r="S2248">
        <v>2.7</v>
      </c>
      <c r="T2248" t="s">
        <v>110</v>
      </c>
      <c r="U2248">
        <v>2.7</v>
      </c>
      <c r="V2248">
        <v>1199.3307401172131</v>
      </c>
      <c r="W2248">
        <v>2.2887991223610928</v>
      </c>
      <c r="X2248" t="s">
        <v>111</v>
      </c>
      <c r="Y2248">
        <v>20</v>
      </c>
      <c r="Z2248">
        <v>0.44</v>
      </c>
      <c r="AA2248">
        <v>31.536000000000001</v>
      </c>
    </row>
    <row r="2249" spans="1:27" x14ac:dyDescent="0.25">
      <c r="A2249" t="s">
        <v>98</v>
      </c>
      <c r="B2249" t="s">
        <v>1199</v>
      </c>
      <c r="D2249" t="s">
        <v>1722</v>
      </c>
      <c r="E2249" t="s">
        <v>226</v>
      </c>
      <c r="F2249" t="s">
        <v>227</v>
      </c>
      <c r="G2249" t="s">
        <v>228</v>
      </c>
      <c r="H2249" t="s">
        <v>104</v>
      </c>
      <c r="I2249">
        <v>2025</v>
      </c>
      <c r="J2249" t="s">
        <v>234</v>
      </c>
      <c r="K2249" t="s">
        <v>106</v>
      </c>
      <c r="L2249" t="s">
        <v>2644</v>
      </c>
      <c r="M2249" t="s">
        <v>2647</v>
      </c>
      <c r="N2249">
        <v>0</v>
      </c>
      <c r="O2249">
        <v>2025</v>
      </c>
      <c r="P2249">
        <v>351.48905933689161</v>
      </c>
      <c r="Q2249">
        <v>0.67078064758948786</v>
      </c>
      <c r="R2249" t="s">
        <v>109</v>
      </c>
      <c r="S2249">
        <v>2.7</v>
      </c>
      <c r="T2249" t="s">
        <v>110</v>
      </c>
      <c r="U2249">
        <v>2.7</v>
      </c>
      <c r="V2249">
        <v>1199.3307401172131</v>
      </c>
      <c r="W2249">
        <v>2.2887991223610928</v>
      </c>
      <c r="X2249" t="s">
        <v>111</v>
      </c>
      <c r="Y2249">
        <v>20</v>
      </c>
      <c r="Z2249">
        <v>0.44</v>
      </c>
      <c r="AA2249">
        <v>31.536000000000001</v>
      </c>
    </row>
    <row r="2250" spans="1:27" x14ac:dyDescent="0.25">
      <c r="A2250" t="s">
        <v>98</v>
      </c>
      <c r="B2250" t="s">
        <v>1199</v>
      </c>
      <c r="D2250" t="s">
        <v>1722</v>
      </c>
      <c r="E2250" t="s">
        <v>226</v>
      </c>
      <c r="F2250" t="s">
        <v>227</v>
      </c>
      <c r="G2250" t="s">
        <v>228</v>
      </c>
      <c r="H2250" t="s">
        <v>104</v>
      </c>
      <c r="I2250">
        <v>2026</v>
      </c>
      <c r="J2250" t="s">
        <v>236</v>
      </c>
      <c r="K2250" t="s">
        <v>106</v>
      </c>
      <c r="L2250" t="s">
        <v>2644</v>
      </c>
      <c r="M2250" t="s">
        <v>2648</v>
      </c>
      <c r="N2250">
        <v>0</v>
      </c>
      <c r="O2250">
        <v>2026</v>
      </c>
      <c r="P2250">
        <v>351.48905933689161</v>
      </c>
      <c r="Q2250">
        <v>0.67078064758948786</v>
      </c>
      <c r="R2250" t="s">
        <v>109</v>
      </c>
      <c r="S2250">
        <v>2.7</v>
      </c>
      <c r="T2250" t="s">
        <v>110</v>
      </c>
      <c r="U2250">
        <v>2.7</v>
      </c>
      <c r="V2250">
        <v>1199.3307401172131</v>
      </c>
      <c r="W2250">
        <v>2.2887991223610928</v>
      </c>
      <c r="X2250" t="s">
        <v>111</v>
      </c>
      <c r="Y2250">
        <v>20</v>
      </c>
      <c r="Z2250">
        <v>0.44</v>
      </c>
      <c r="AA2250">
        <v>31.536000000000001</v>
      </c>
    </row>
    <row r="2251" spans="1:27" x14ac:dyDescent="0.25">
      <c r="A2251" t="s">
        <v>98</v>
      </c>
      <c r="B2251" t="s">
        <v>1199</v>
      </c>
      <c r="D2251" t="s">
        <v>1722</v>
      </c>
      <c r="E2251" t="s">
        <v>226</v>
      </c>
      <c r="F2251" t="s">
        <v>227</v>
      </c>
      <c r="G2251" t="s">
        <v>228</v>
      </c>
      <c r="H2251" t="s">
        <v>104</v>
      </c>
      <c r="I2251">
        <v>2027</v>
      </c>
      <c r="J2251" t="s">
        <v>238</v>
      </c>
      <c r="K2251" t="s">
        <v>106</v>
      </c>
      <c r="L2251" t="s">
        <v>2644</v>
      </c>
      <c r="M2251" t="s">
        <v>2649</v>
      </c>
      <c r="N2251">
        <v>0</v>
      </c>
      <c r="O2251">
        <v>2027</v>
      </c>
      <c r="P2251">
        <v>351.48905933689161</v>
      </c>
      <c r="Q2251">
        <v>0.67078064758948786</v>
      </c>
      <c r="R2251" t="s">
        <v>109</v>
      </c>
      <c r="S2251">
        <v>2.7</v>
      </c>
      <c r="T2251" t="s">
        <v>110</v>
      </c>
      <c r="U2251">
        <v>2.7</v>
      </c>
      <c r="V2251">
        <v>1199.3307401172131</v>
      </c>
      <c r="W2251">
        <v>2.2887991223610928</v>
      </c>
      <c r="X2251" t="s">
        <v>111</v>
      </c>
      <c r="Y2251">
        <v>20</v>
      </c>
      <c r="Z2251">
        <v>0.44</v>
      </c>
      <c r="AA2251">
        <v>31.536000000000001</v>
      </c>
    </row>
    <row r="2252" spans="1:27" x14ac:dyDescent="0.25">
      <c r="A2252" t="s">
        <v>98</v>
      </c>
      <c r="B2252" t="s">
        <v>1199</v>
      </c>
      <c r="D2252" t="s">
        <v>1722</v>
      </c>
      <c r="E2252" t="s">
        <v>226</v>
      </c>
      <c r="F2252" t="s">
        <v>240</v>
      </c>
      <c r="G2252" t="s">
        <v>103</v>
      </c>
      <c r="H2252" t="s">
        <v>104</v>
      </c>
      <c r="I2252">
        <v>2022</v>
      </c>
      <c r="J2252" t="s">
        <v>241</v>
      </c>
      <c r="K2252" t="s">
        <v>106</v>
      </c>
      <c r="L2252" t="s">
        <v>2644</v>
      </c>
      <c r="M2252" t="s">
        <v>2650</v>
      </c>
      <c r="N2252">
        <v>1</v>
      </c>
      <c r="O2252">
        <v>2020</v>
      </c>
      <c r="P2252">
        <v>364.1638033744108</v>
      </c>
      <c r="Q2252">
        <v>0.71474740603417231</v>
      </c>
      <c r="R2252" t="s">
        <v>109</v>
      </c>
      <c r="S2252">
        <v>3.9</v>
      </c>
      <c r="T2252" t="s">
        <v>110</v>
      </c>
      <c r="U2252">
        <v>3.9</v>
      </c>
      <c r="V2252">
        <v>1242.578772292075</v>
      </c>
      <c r="W2252">
        <v>2.4388199652445048</v>
      </c>
      <c r="X2252" t="s">
        <v>111</v>
      </c>
      <c r="Y2252">
        <v>15</v>
      </c>
      <c r="Z2252">
        <v>0.44</v>
      </c>
      <c r="AA2252">
        <v>31.536000000000001</v>
      </c>
    </row>
    <row r="2253" spans="1:27" hidden="1" x14ac:dyDescent="0.25">
      <c r="A2253" t="s">
        <v>98</v>
      </c>
      <c r="B2253" t="s">
        <v>1199</v>
      </c>
      <c r="D2253" t="s">
        <v>1722</v>
      </c>
      <c r="E2253" t="s">
        <v>243</v>
      </c>
      <c r="F2253" t="s">
        <v>244</v>
      </c>
      <c r="G2253" t="s">
        <v>245</v>
      </c>
      <c r="H2253" t="s">
        <v>104</v>
      </c>
      <c r="I2253">
        <v>2022</v>
      </c>
      <c r="J2253" t="s">
        <v>246</v>
      </c>
      <c r="K2253" t="s">
        <v>106</v>
      </c>
      <c r="L2253" t="s">
        <v>2651</v>
      </c>
      <c r="M2253" t="s">
        <v>2652</v>
      </c>
      <c r="N2253">
        <v>1</v>
      </c>
      <c r="O2253">
        <v>2020</v>
      </c>
      <c r="P2253">
        <v>5418.3180362120765</v>
      </c>
      <c r="Q2253">
        <v>63.780978532496562</v>
      </c>
      <c r="R2253" t="s">
        <v>249</v>
      </c>
      <c r="S2253">
        <v>0.41325750353930962</v>
      </c>
      <c r="T2253" t="s">
        <v>250</v>
      </c>
      <c r="U2253">
        <v>1</v>
      </c>
      <c r="V2253">
        <v>7640.3348848129563</v>
      </c>
      <c r="W2253">
        <v>89.937141380872987</v>
      </c>
      <c r="X2253" t="s">
        <v>111</v>
      </c>
      <c r="Y2253">
        <v>20</v>
      </c>
      <c r="Z2253">
        <v>0.44</v>
      </c>
      <c r="AA2253">
        <v>31.536000000000001</v>
      </c>
    </row>
    <row r="2254" spans="1:27" hidden="1" x14ac:dyDescent="0.25">
      <c r="A2254" t="s">
        <v>98</v>
      </c>
      <c r="B2254" t="s">
        <v>1199</v>
      </c>
      <c r="D2254" t="s">
        <v>1722</v>
      </c>
      <c r="E2254" t="s">
        <v>243</v>
      </c>
      <c r="F2254" t="s">
        <v>244</v>
      </c>
      <c r="G2254" t="s">
        <v>103</v>
      </c>
      <c r="H2254" t="s">
        <v>104</v>
      </c>
      <c r="I2254">
        <v>2022</v>
      </c>
      <c r="J2254" t="s">
        <v>251</v>
      </c>
      <c r="K2254" t="s">
        <v>106</v>
      </c>
      <c r="L2254" t="s">
        <v>2651</v>
      </c>
      <c r="M2254" t="s">
        <v>2653</v>
      </c>
      <c r="N2254">
        <v>1</v>
      </c>
      <c r="O2254">
        <v>2020</v>
      </c>
      <c r="P2254">
        <v>5667.3116722418044</v>
      </c>
      <c r="Q2254">
        <v>63.780978532496562</v>
      </c>
      <c r="R2254" t="s">
        <v>249</v>
      </c>
      <c r="S2254">
        <v>0.43508713487380868</v>
      </c>
      <c r="T2254" t="s">
        <v>250</v>
      </c>
      <c r="U2254">
        <v>1.052823315118397</v>
      </c>
      <c r="V2254">
        <v>7991.4391852139524</v>
      </c>
      <c r="W2254">
        <v>89.937141380873001</v>
      </c>
      <c r="X2254" t="s">
        <v>111</v>
      </c>
      <c r="Y2254">
        <v>20</v>
      </c>
      <c r="Z2254">
        <v>0.44</v>
      </c>
      <c r="AA2254">
        <v>31.536000000000001</v>
      </c>
    </row>
    <row r="2255" spans="1:27" hidden="1" x14ac:dyDescent="0.25">
      <c r="A2255" t="s">
        <v>98</v>
      </c>
      <c r="B2255" t="s">
        <v>1199</v>
      </c>
      <c r="D2255" t="s">
        <v>1722</v>
      </c>
      <c r="E2255" t="s">
        <v>243</v>
      </c>
      <c r="F2255" t="s">
        <v>244</v>
      </c>
      <c r="G2255" t="s">
        <v>112</v>
      </c>
      <c r="H2255" t="s">
        <v>104</v>
      </c>
      <c r="I2255">
        <v>2022</v>
      </c>
      <c r="J2255" t="s">
        <v>253</v>
      </c>
      <c r="K2255" t="s">
        <v>106</v>
      </c>
      <c r="L2255" t="s">
        <v>2651</v>
      </c>
      <c r="M2255" t="s">
        <v>2654</v>
      </c>
      <c r="N2255">
        <v>1</v>
      </c>
      <c r="O2255">
        <v>2020</v>
      </c>
      <c r="P2255">
        <v>5911.8706390075113</v>
      </c>
      <c r="Q2255">
        <v>63.780978532496562</v>
      </c>
      <c r="R2255" t="s">
        <v>249</v>
      </c>
      <c r="S2255">
        <v>0.44315925240393511</v>
      </c>
      <c r="T2255" t="s">
        <v>250</v>
      </c>
      <c r="U2255">
        <v>1.0723562152133581</v>
      </c>
      <c r="V2255">
        <v>8336.2901874412255</v>
      </c>
      <c r="W2255">
        <v>89.937141380873001</v>
      </c>
      <c r="X2255" t="s">
        <v>111</v>
      </c>
      <c r="Y2255">
        <v>20</v>
      </c>
      <c r="Z2255">
        <v>0.44</v>
      </c>
      <c r="AA2255">
        <v>31.536000000000001</v>
      </c>
    </row>
    <row r="2256" spans="1:27" hidden="1" x14ac:dyDescent="0.25">
      <c r="A2256" t="s">
        <v>98</v>
      </c>
      <c r="B2256" t="s">
        <v>1199</v>
      </c>
      <c r="D2256" t="s">
        <v>1722</v>
      </c>
      <c r="E2256" t="s">
        <v>243</v>
      </c>
      <c r="F2256" t="s">
        <v>244</v>
      </c>
      <c r="G2256" t="s">
        <v>103</v>
      </c>
      <c r="H2256" t="s">
        <v>104</v>
      </c>
      <c r="I2256">
        <v>2030</v>
      </c>
      <c r="J2256" t="s">
        <v>255</v>
      </c>
      <c r="K2256" t="s">
        <v>106</v>
      </c>
      <c r="L2256" t="s">
        <v>2651</v>
      </c>
      <c r="M2256" t="s">
        <v>2655</v>
      </c>
      <c r="N2256">
        <v>1</v>
      </c>
      <c r="O2256">
        <v>2030</v>
      </c>
      <c r="P2256">
        <v>5667.3116722418044</v>
      </c>
      <c r="Q2256">
        <v>63.780978532496562</v>
      </c>
      <c r="R2256" t="s">
        <v>249</v>
      </c>
      <c r="S2256">
        <v>0.43508713487380868</v>
      </c>
      <c r="T2256" t="s">
        <v>250</v>
      </c>
      <c r="U2256">
        <v>1.052823315118397</v>
      </c>
      <c r="V2256">
        <v>7991.4391852139524</v>
      </c>
      <c r="W2256">
        <v>89.937141380873001</v>
      </c>
      <c r="X2256" t="s">
        <v>111</v>
      </c>
      <c r="Y2256">
        <v>20</v>
      </c>
      <c r="Z2256">
        <v>0.44</v>
      </c>
      <c r="AA2256">
        <v>31.536000000000001</v>
      </c>
    </row>
    <row r="2257" spans="1:27" hidden="1" x14ac:dyDescent="0.25">
      <c r="A2257" t="s">
        <v>98</v>
      </c>
      <c r="B2257" t="s">
        <v>1199</v>
      </c>
      <c r="D2257" t="s">
        <v>1722</v>
      </c>
      <c r="E2257" t="s">
        <v>243</v>
      </c>
      <c r="F2257" t="s">
        <v>244</v>
      </c>
      <c r="G2257" t="s">
        <v>112</v>
      </c>
      <c r="H2257" t="s">
        <v>104</v>
      </c>
      <c r="I2257">
        <v>2030</v>
      </c>
      <c r="J2257" t="s">
        <v>257</v>
      </c>
      <c r="K2257" t="s">
        <v>106</v>
      </c>
      <c r="L2257" t="s">
        <v>2651</v>
      </c>
      <c r="M2257" t="s">
        <v>2656</v>
      </c>
      <c r="N2257">
        <v>1</v>
      </c>
      <c r="O2257">
        <v>2030</v>
      </c>
      <c r="P2257">
        <v>5911.8706390075113</v>
      </c>
      <c r="Q2257">
        <v>63.780978532496562</v>
      </c>
      <c r="R2257" t="s">
        <v>249</v>
      </c>
      <c r="S2257">
        <v>0.44315925240393511</v>
      </c>
      <c r="T2257" t="s">
        <v>250</v>
      </c>
      <c r="U2257">
        <v>1.0723562152133581</v>
      </c>
      <c r="V2257">
        <v>8336.2901874412255</v>
      </c>
      <c r="W2257">
        <v>89.937141380873001</v>
      </c>
      <c r="X2257" t="s">
        <v>111</v>
      </c>
      <c r="Y2257">
        <v>20</v>
      </c>
      <c r="Z2257">
        <v>0.44</v>
      </c>
      <c r="AA2257">
        <v>31.536000000000001</v>
      </c>
    </row>
    <row r="2258" spans="1:27" hidden="1" x14ac:dyDescent="0.25">
      <c r="A2258" t="s">
        <v>98</v>
      </c>
      <c r="B2258" t="s">
        <v>1199</v>
      </c>
      <c r="D2258" t="s">
        <v>1722</v>
      </c>
      <c r="E2258" t="s">
        <v>243</v>
      </c>
      <c r="F2258" t="s">
        <v>244</v>
      </c>
      <c r="G2258" t="s">
        <v>103</v>
      </c>
      <c r="H2258" t="s">
        <v>104</v>
      </c>
      <c r="I2258">
        <v>2040</v>
      </c>
      <c r="J2258" t="s">
        <v>259</v>
      </c>
      <c r="K2258" t="s">
        <v>106</v>
      </c>
      <c r="L2258" t="s">
        <v>2651</v>
      </c>
      <c r="M2258" t="s">
        <v>2657</v>
      </c>
      <c r="N2258">
        <v>1</v>
      </c>
      <c r="O2258">
        <v>2040</v>
      </c>
      <c r="P2258">
        <v>5667.3116722418044</v>
      </c>
      <c r="Q2258">
        <v>63.780978532496562</v>
      </c>
      <c r="R2258" t="s">
        <v>249</v>
      </c>
      <c r="S2258">
        <v>0.43508713487380868</v>
      </c>
      <c r="T2258" t="s">
        <v>250</v>
      </c>
      <c r="U2258">
        <v>1.052823315118397</v>
      </c>
      <c r="V2258">
        <v>7991.4391852139524</v>
      </c>
      <c r="W2258">
        <v>89.937141380873001</v>
      </c>
      <c r="X2258" t="s">
        <v>111</v>
      </c>
      <c r="Y2258">
        <v>20</v>
      </c>
      <c r="Z2258">
        <v>0.44</v>
      </c>
      <c r="AA2258">
        <v>31.536000000000001</v>
      </c>
    </row>
    <row r="2259" spans="1:27" hidden="1" x14ac:dyDescent="0.25">
      <c r="A2259" t="s">
        <v>98</v>
      </c>
      <c r="B2259" t="s">
        <v>1199</v>
      </c>
      <c r="D2259" t="s">
        <v>1722</v>
      </c>
      <c r="E2259" t="s">
        <v>243</v>
      </c>
      <c r="F2259" t="s">
        <v>244</v>
      </c>
      <c r="G2259" t="s">
        <v>112</v>
      </c>
      <c r="H2259" t="s">
        <v>104</v>
      </c>
      <c r="I2259">
        <v>2040</v>
      </c>
      <c r="J2259" t="s">
        <v>261</v>
      </c>
      <c r="K2259" t="s">
        <v>106</v>
      </c>
      <c r="L2259" t="s">
        <v>2651</v>
      </c>
      <c r="M2259" t="s">
        <v>2658</v>
      </c>
      <c r="N2259">
        <v>1</v>
      </c>
      <c r="O2259">
        <v>2040</v>
      </c>
      <c r="P2259">
        <v>5911.8706390075113</v>
      </c>
      <c r="Q2259">
        <v>63.780978532496562</v>
      </c>
      <c r="R2259" t="s">
        <v>249</v>
      </c>
      <c r="S2259">
        <v>0.44315925240393511</v>
      </c>
      <c r="T2259" t="s">
        <v>250</v>
      </c>
      <c r="U2259">
        <v>1.0723562152133581</v>
      </c>
      <c r="V2259">
        <v>8336.2901874412255</v>
      </c>
      <c r="W2259">
        <v>89.937141380873001</v>
      </c>
      <c r="X2259" t="s">
        <v>111</v>
      </c>
      <c r="Y2259">
        <v>20</v>
      </c>
      <c r="Z2259">
        <v>0.44</v>
      </c>
      <c r="AA2259">
        <v>31.536000000000001</v>
      </c>
    </row>
    <row r="2260" spans="1:27" hidden="1" x14ac:dyDescent="0.25">
      <c r="A2260" t="s">
        <v>98</v>
      </c>
      <c r="B2260" t="s">
        <v>1199</v>
      </c>
      <c r="D2260" t="s">
        <v>1722</v>
      </c>
      <c r="E2260" t="s">
        <v>243</v>
      </c>
      <c r="F2260" t="s">
        <v>244</v>
      </c>
      <c r="G2260" t="s">
        <v>103</v>
      </c>
      <c r="H2260" t="s">
        <v>104</v>
      </c>
      <c r="I2260">
        <v>2050</v>
      </c>
      <c r="J2260" t="s">
        <v>263</v>
      </c>
      <c r="K2260" t="s">
        <v>106</v>
      </c>
      <c r="L2260" t="s">
        <v>2651</v>
      </c>
      <c r="M2260" t="s">
        <v>2659</v>
      </c>
      <c r="N2260">
        <v>1</v>
      </c>
      <c r="O2260">
        <v>2050</v>
      </c>
      <c r="P2260">
        <v>5667.3116722418044</v>
      </c>
      <c r="Q2260">
        <v>63.780978532496562</v>
      </c>
      <c r="R2260" t="s">
        <v>249</v>
      </c>
      <c r="S2260">
        <v>0.43508713487380868</v>
      </c>
      <c r="T2260" t="s">
        <v>250</v>
      </c>
      <c r="U2260">
        <v>1.052823315118397</v>
      </c>
      <c r="V2260">
        <v>7991.4391852139524</v>
      </c>
      <c r="W2260">
        <v>89.937141380873001</v>
      </c>
      <c r="X2260" t="s">
        <v>111</v>
      </c>
      <c r="Y2260">
        <v>20</v>
      </c>
      <c r="Z2260">
        <v>0.44</v>
      </c>
      <c r="AA2260">
        <v>31.536000000000001</v>
      </c>
    </row>
    <row r="2261" spans="1:27" hidden="1" x14ac:dyDescent="0.25">
      <c r="A2261" t="s">
        <v>98</v>
      </c>
      <c r="B2261" t="s">
        <v>1199</v>
      </c>
      <c r="D2261" t="s">
        <v>1722</v>
      </c>
      <c r="E2261" t="s">
        <v>243</v>
      </c>
      <c r="F2261" t="s">
        <v>244</v>
      </c>
      <c r="G2261" t="s">
        <v>112</v>
      </c>
      <c r="H2261" t="s">
        <v>104</v>
      </c>
      <c r="I2261">
        <v>2050</v>
      </c>
      <c r="J2261" t="s">
        <v>265</v>
      </c>
      <c r="K2261" t="s">
        <v>106</v>
      </c>
      <c r="L2261" t="s">
        <v>2651</v>
      </c>
      <c r="M2261" t="s">
        <v>2660</v>
      </c>
      <c r="N2261">
        <v>1</v>
      </c>
      <c r="O2261">
        <v>2050</v>
      </c>
      <c r="P2261">
        <v>5911.8706390075113</v>
      </c>
      <c r="Q2261">
        <v>63.780978532496562</v>
      </c>
      <c r="R2261" t="s">
        <v>249</v>
      </c>
      <c r="S2261">
        <v>0.44315925240393511</v>
      </c>
      <c r="T2261" t="s">
        <v>250</v>
      </c>
      <c r="U2261">
        <v>1.0723562152133581</v>
      </c>
      <c r="V2261">
        <v>8336.2901874412255</v>
      </c>
      <c r="W2261">
        <v>89.937141380873001</v>
      </c>
      <c r="X2261" t="s">
        <v>111</v>
      </c>
      <c r="Y2261">
        <v>20</v>
      </c>
      <c r="Z2261">
        <v>0.44</v>
      </c>
      <c r="AA2261">
        <v>31.536000000000001</v>
      </c>
    </row>
    <row r="2262" spans="1:27" hidden="1" x14ac:dyDescent="0.25">
      <c r="A2262" t="s">
        <v>98</v>
      </c>
      <c r="B2262" t="s">
        <v>1199</v>
      </c>
      <c r="D2262" t="s">
        <v>1722</v>
      </c>
      <c r="E2262" t="s">
        <v>243</v>
      </c>
      <c r="F2262" t="s">
        <v>267</v>
      </c>
      <c r="G2262" t="s">
        <v>245</v>
      </c>
      <c r="H2262" t="s">
        <v>104</v>
      </c>
      <c r="I2262">
        <v>2022</v>
      </c>
      <c r="J2262" t="s">
        <v>268</v>
      </c>
      <c r="K2262" t="s">
        <v>106</v>
      </c>
      <c r="L2262" t="s">
        <v>2651</v>
      </c>
      <c r="M2262" t="s">
        <v>2661</v>
      </c>
      <c r="N2262">
        <v>1</v>
      </c>
      <c r="O2262">
        <v>2020</v>
      </c>
      <c r="P2262">
        <v>7748.5410872802086</v>
      </c>
      <c r="Q2262">
        <v>68.755259026523561</v>
      </c>
      <c r="R2262" t="s">
        <v>249</v>
      </c>
      <c r="S2262">
        <v>0.29876527460377861</v>
      </c>
      <c r="T2262" t="s">
        <v>250</v>
      </c>
      <c r="U2262">
        <v>0.72295184490306452</v>
      </c>
      <c r="V2262">
        <v>10926.167194301681</v>
      </c>
      <c r="W2262">
        <v>96.951341826723592</v>
      </c>
      <c r="X2262" t="s">
        <v>111</v>
      </c>
      <c r="Y2262">
        <v>20</v>
      </c>
      <c r="Z2262">
        <v>0.44</v>
      </c>
      <c r="AA2262">
        <v>31.536000000000001</v>
      </c>
    </row>
    <row r="2263" spans="1:27" hidden="1" x14ac:dyDescent="0.25">
      <c r="A2263" t="s">
        <v>98</v>
      </c>
      <c r="B2263" t="s">
        <v>1199</v>
      </c>
      <c r="D2263" t="s">
        <v>1722</v>
      </c>
      <c r="E2263" t="s">
        <v>243</v>
      </c>
      <c r="F2263" t="s">
        <v>267</v>
      </c>
      <c r="G2263" t="s">
        <v>112</v>
      </c>
      <c r="H2263" t="s">
        <v>104</v>
      </c>
      <c r="I2263">
        <v>2022</v>
      </c>
      <c r="J2263" t="s">
        <v>270</v>
      </c>
      <c r="K2263" t="s">
        <v>106</v>
      </c>
      <c r="L2263" t="s">
        <v>2651</v>
      </c>
      <c r="M2263" t="s">
        <v>2662</v>
      </c>
      <c r="N2263">
        <v>1</v>
      </c>
      <c r="O2263">
        <v>2020</v>
      </c>
      <c r="P2263">
        <v>8151.6394802345676</v>
      </c>
      <c r="Q2263">
        <v>68.755259026523561</v>
      </c>
      <c r="R2263" t="s">
        <v>249</v>
      </c>
      <c r="S2263">
        <v>0.29876527460377861</v>
      </c>
      <c r="T2263" t="s">
        <v>250</v>
      </c>
      <c r="U2263">
        <v>0.72295184490306452</v>
      </c>
      <c r="V2263">
        <v>11494.57360623949</v>
      </c>
      <c r="W2263">
        <v>96.951341826723592</v>
      </c>
      <c r="X2263" t="s">
        <v>111</v>
      </c>
      <c r="Y2263">
        <v>20</v>
      </c>
      <c r="Z2263">
        <v>0.44</v>
      </c>
      <c r="AA2263">
        <v>31.536000000000001</v>
      </c>
    </row>
    <row r="2264" spans="1:27" hidden="1" x14ac:dyDescent="0.25">
      <c r="A2264" t="s">
        <v>98</v>
      </c>
      <c r="B2264" t="s">
        <v>1199</v>
      </c>
      <c r="D2264" t="s">
        <v>1722</v>
      </c>
      <c r="E2264" t="s">
        <v>243</v>
      </c>
      <c r="F2264" t="s">
        <v>267</v>
      </c>
      <c r="G2264" t="s">
        <v>103</v>
      </c>
      <c r="H2264" t="s">
        <v>104</v>
      </c>
      <c r="I2264">
        <v>2030</v>
      </c>
      <c r="J2264" t="s">
        <v>272</v>
      </c>
      <c r="K2264" t="s">
        <v>106</v>
      </c>
      <c r="L2264" t="s">
        <v>2651</v>
      </c>
      <c r="M2264" t="s">
        <v>2663</v>
      </c>
      <c r="N2264">
        <v>1</v>
      </c>
      <c r="O2264">
        <v>2030</v>
      </c>
      <c r="P2264">
        <v>8119.0316179991396</v>
      </c>
      <c r="Q2264">
        <v>68.755259026523561</v>
      </c>
      <c r="R2264" t="s">
        <v>249</v>
      </c>
      <c r="S2264">
        <v>0.29876527460377861</v>
      </c>
      <c r="T2264" t="s">
        <v>250</v>
      </c>
      <c r="U2264">
        <v>0.72295184490306452</v>
      </c>
      <c r="V2264">
        <v>11448.59347260918</v>
      </c>
      <c r="W2264">
        <v>96.951341826723592</v>
      </c>
      <c r="X2264" t="s">
        <v>111</v>
      </c>
      <c r="Y2264">
        <v>20</v>
      </c>
      <c r="Z2264">
        <v>0.44</v>
      </c>
      <c r="AA2264">
        <v>31.536000000000001</v>
      </c>
    </row>
    <row r="2265" spans="1:27" hidden="1" x14ac:dyDescent="0.25">
      <c r="A2265" t="s">
        <v>98</v>
      </c>
      <c r="B2265" t="s">
        <v>1199</v>
      </c>
      <c r="D2265" t="s">
        <v>1722</v>
      </c>
      <c r="E2265" t="s">
        <v>243</v>
      </c>
      <c r="F2265" t="s">
        <v>267</v>
      </c>
      <c r="G2265" t="s">
        <v>112</v>
      </c>
      <c r="H2265" t="s">
        <v>104</v>
      </c>
      <c r="I2265">
        <v>2030</v>
      </c>
      <c r="J2265" t="s">
        <v>274</v>
      </c>
      <c r="K2265" t="s">
        <v>106</v>
      </c>
      <c r="L2265" t="s">
        <v>2651</v>
      </c>
      <c r="M2265" t="s">
        <v>2664</v>
      </c>
      <c r="N2265">
        <v>1</v>
      </c>
      <c r="O2265">
        <v>2030</v>
      </c>
      <c r="P2265">
        <v>8151.6394802345676</v>
      </c>
      <c r="Q2265">
        <v>68.755259026523561</v>
      </c>
      <c r="R2265" t="s">
        <v>249</v>
      </c>
      <c r="S2265">
        <v>0.31450011460924421</v>
      </c>
      <c r="T2265" t="s">
        <v>250</v>
      </c>
      <c r="U2265">
        <v>0.76102699144173802</v>
      </c>
      <c r="V2265">
        <v>11494.57360623949</v>
      </c>
      <c r="W2265">
        <v>96.951341826723578</v>
      </c>
      <c r="X2265" t="s">
        <v>111</v>
      </c>
      <c r="Y2265">
        <v>20</v>
      </c>
      <c r="Z2265">
        <v>0.44</v>
      </c>
      <c r="AA2265">
        <v>31.536000000000001</v>
      </c>
    </row>
    <row r="2266" spans="1:27" hidden="1" x14ac:dyDescent="0.25">
      <c r="A2266" t="s">
        <v>98</v>
      </c>
      <c r="B2266" t="s">
        <v>1199</v>
      </c>
      <c r="D2266" t="s">
        <v>1722</v>
      </c>
      <c r="E2266" t="s">
        <v>243</v>
      </c>
      <c r="F2266" t="s">
        <v>267</v>
      </c>
      <c r="G2266" t="s">
        <v>103</v>
      </c>
      <c r="H2266" t="s">
        <v>104</v>
      </c>
      <c r="I2266">
        <v>2040</v>
      </c>
      <c r="J2266" t="s">
        <v>276</v>
      </c>
      <c r="K2266" t="s">
        <v>106</v>
      </c>
      <c r="L2266" t="s">
        <v>2651</v>
      </c>
      <c r="M2266" t="s">
        <v>2665</v>
      </c>
      <c r="N2266">
        <v>1</v>
      </c>
      <c r="O2266">
        <v>2040</v>
      </c>
      <c r="P2266">
        <v>8119.0316179991396</v>
      </c>
      <c r="Q2266">
        <v>68.755259026523561</v>
      </c>
      <c r="R2266" t="s">
        <v>249</v>
      </c>
      <c r="S2266">
        <v>0.29876527460377861</v>
      </c>
      <c r="T2266" t="s">
        <v>250</v>
      </c>
      <c r="U2266">
        <v>0.72295184490306452</v>
      </c>
      <c r="V2266">
        <v>11448.59347260918</v>
      </c>
      <c r="W2266">
        <v>96.951341826723592</v>
      </c>
      <c r="X2266" t="s">
        <v>111</v>
      </c>
      <c r="Y2266">
        <v>20</v>
      </c>
      <c r="Z2266">
        <v>0.44</v>
      </c>
      <c r="AA2266">
        <v>31.536000000000001</v>
      </c>
    </row>
    <row r="2267" spans="1:27" hidden="1" x14ac:dyDescent="0.25">
      <c r="A2267" t="s">
        <v>98</v>
      </c>
      <c r="B2267" t="s">
        <v>1199</v>
      </c>
      <c r="D2267" t="s">
        <v>1722</v>
      </c>
      <c r="E2267" t="s">
        <v>243</v>
      </c>
      <c r="F2267" t="s">
        <v>267</v>
      </c>
      <c r="G2267" t="s">
        <v>112</v>
      </c>
      <c r="H2267" t="s">
        <v>104</v>
      </c>
      <c r="I2267">
        <v>2040</v>
      </c>
      <c r="J2267" t="s">
        <v>278</v>
      </c>
      <c r="K2267" t="s">
        <v>106</v>
      </c>
      <c r="L2267" t="s">
        <v>2651</v>
      </c>
      <c r="M2267" t="s">
        <v>2666</v>
      </c>
      <c r="N2267">
        <v>1</v>
      </c>
      <c r="O2267">
        <v>2040</v>
      </c>
      <c r="P2267">
        <v>8151.6394802345676</v>
      </c>
      <c r="Q2267">
        <v>68.755259026523561</v>
      </c>
      <c r="R2267" t="s">
        <v>249</v>
      </c>
      <c r="S2267">
        <v>0.31450011460924421</v>
      </c>
      <c r="T2267" t="s">
        <v>250</v>
      </c>
      <c r="U2267">
        <v>0.76102699144173802</v>
      </c>
      <c r="V2267">
        <v>11494.57360623949</v>
      </c>
      <c r="W2267">
        <v>96.951341826723578</v>
      </c>
      <c r="X2267" t="s">
        <v>111</v>
      </c>
      <c r="Y2267">
        <v>20</v>
      </c>
      <c r="Z2267">
        <v>0.44</v>
      </c>
      <c r="AA2267">
        <v>31.536000000000001</v>
      </c>
    </row>
    <row r="2268" spans="1:27" hidden="1" x14ac:dyDescent="0.25">
      <c r="A2268" t="s">
        <v>98</v>
      </c>
      <c r="B2268" t="s">
        <v>1199</v>
      </c>
      <c r="D2268" t="s">
        <v>1722</v>
      </c>
      <c r="E2268" t="s">
        <v>243</v>
      </c>
      <c r="F2268" t="s">
        <v>267</v>
      </c>
      <c r="G2268" t="s">
        <v>103</v>
      </c>
      <c r="H2268" t="s">
        <v>104</v>
      </c>
      <c r="I2268">
        <v>2050</v>
      </c>
      <c r="J2268" t="s">
        <v>280</v>
      </c>
      <c r="K2268" t="s">
        <v>106</v>
      </c>
      <c r="L2268" t="s">
        <v>2651</v>
      </c>
      <c r="M2268" t="s">
        <v>2667</v>
      </c>
      <c r="N2268">
        <v>1</v>
      </c>
      <c r="O2268">
        <v>2050</v>
      </c>
      <c r="P2268">
        <v>8119.0316179991396</v>
      </c>
      <c r="Q2268">
        <v>68.755259026523561</v>
      </c>
      <c r="R2268" t="s">
        <v>249</v>
      </c>
      <c r="S2268">
        <v>0.29876527460377861</v>
      </c>
      <c r="T2268" t="s">
        <v>250</v>
      </c>
      <c r="U2268">
        <v>0.72295184490306452</v>
      </c>
      <c r="V2268">
        <v>11448.59347260918</v>
      </c>
      <c r="W2268">
        <v>96.951341826723592</v>
      </c>
      <c r="X2268" t="s">
        <v>111</v>
      </c>
      <c r="Y2268">
        <v>20</v>
      </c>
      <c r="Z2268">
        <v>0.44</v>
      </c>
      <c r="AA2268">
        <v>31.536000000000001</v>
      </c>
    </row>
    <row r="2269" spans="1:27" hidden="1" x14ac:dyDescent="0.25">
      <c r="A2269" t="s">
        <v>98</v>
      </c>
      <c r="B2269" t="s">
        <v>1199</v>
      </c>
      <c r="D2269" t="s">
        <v>1722</v>
      </c>
      <c r="E2269" t="s">
        <v>243</v>
      </c>
      <c r="F2269" t="s">
        <v>267</v>
      </c>
      <c r="G2269" t="s">
        <v>112</v>
      </c>
      <c r="H2269" t="s">
        <v>104</v>
      </c>
      <c r="I2269">
        <v>2050</v>
      </c>
      <c r="J2269" t="s">
        <v>282</v>
      </c>
      <c r="K2269" t="s">
        <v>106</v>
      </c>
      <c r="L2269" t="s">
        <v>2651</v>
      </c>
      <c r="M2269" t="s">
        <v>2668</v>
      </c>
      <c r="N2269">
        <v>1</v>
      </c>
      <c r="O2269">
        <v>2050</v>
      </c>
      <c r="P2269">
        <v>8151.6394802345676</v>
      </c>
      <c r="Q2269">
        <v>68.755259026523561</v>
      </c>
      <c r="R2269" t="s">
        <v>249</v>
      </c>
      <c r="S2269">
        <v>0.31450011460924421</v>
      </c>
      <c r="T2269" t="s">
        <v>250</v>
      </c>
      <c r="U2269">
        <v>0.76102699144173802</v>
      </c>
      <c r="V2269">
        <v>11494.57360623949</v>
      </c>
      <c r="W2269">
        <v>96.951341826723578</v>
      </c>
      <c r="X2269" t="s">
        <v>111</v>
      </c>
      <c r="Y2269">
        <v>20</v>
      </c>
      <c r="Z2269">
        <v>0.44</v>
      </c>
      <c r="AA2269">
        <v>31.536000000000001</v>
      </c>
    </row>
    <row r="2270" spans="1:27" hidden="1" x14ac:dyDescent="0.25">
      <c r="A2270" t="s">
        <v>98</v>
      </c>
      <c r="B2270" t="s">
        <v>1199</v>
      </c>
      <c r="D2270" t="s">
        <v>1722</v>
      </c>
      <c r="E2270" t="s">
        <v>284</v>
      </c>
      <c r="F2270" t="s">
        <v>285</v>
      </c>
      <c r="G2270" t="s">
        <v>103</v>
      </c>
      <c r="H2270" t="s">
        <v>104</v>
      </c>
      <c r="I2270">
        <v>2022</v>
      </c>
      <c r="J2270" t="s">
        <v>286</v>
      </c>
      <c r="K2270" t="s">
        <v>106</v>
      </c>
      <c r="L2270" t="s">
        <v>2669</v>
      </c>
      <c r="M2270" t="s">
        <v>2670</v>
      </c>
      <c r="N2270">
        <v>1</v>
      </c>
      <c r="O2270">
        <v>2020</v>
      </c>
      <c r="P2270">
        <v>100.10336678844671</v>
      </c>
      <c r="Q2270">
        <v>36.612504973710713</v>
      </c>
      <c r="R2270" t="s">
        <v>289</v>
      </c>
      <c r="S2270">
        <v>15.58191798941797</v>
      </c>
      <c r="T2270" t="s">
        <v>290</v>
      </c>
      <c r="U2270">
        <v>15.58191798941797</v>
      </c>
      <c r="V2270">
        <v>100.10336678844671</v>
      </c>
      <c r="W2270">
        <v>36.612504973710713</v>
      </c>
      <c r="X2270" t="s">
        <v>291</v>
      </c>
      <c r="Y2270">
        <v>10</v>
      </c>
      <c r="Z2270">
        <v>0.30963119843953862</v>
      </c>
      <c r="AA2270">
        <v>1</v>
      </c>
    </row>
    <row r="2271" spans="1:27" hidden="1" x14ac:dyDescent="0.25">
      <c r="A2271" t="s">
        <v>98</v>
      </c>
      <c r="B2271" t="s">
        <v>1199</v>
      </c>
      <c r="D2271" t="s">
        <v>1722</v>
      </c>
      <c r="E2271" t="s">
        <v>284</v>
      </c>
      <c r="F2271" t="s">
        <v>292</v>
      </c>
      <c r="G2271" t="s">
        <v>103</v>
      </c>
      <c r="H2271" t="s">
        <v>104</v>
      </c>
      <c r="I2271">
        <v>2022</v>
      </c>
      <c r="J2271" t="s">
        <v>293</v>
      </c>
      <c r="K2271" t="s">
        <v>106</v>
      </c>
      <c r="L2271" t="s">
        <v>2669</v>
      </c>
      <c r="M2271" t="s">
        <v>2671</v>
      </c>
      <c r="N2271">
        <v>1</v>
      </c>
      <c r="O2271">
        <v>2020</v>
      </c>
      <c r="P2271">
        <v>99.46253669701926</v>
      </c>
      <c r="Q2271">
        <v>6.0605044913603194</v>
      </c>
      <c r="R2271" t="s">
        <v>289</v>
      </c>
      <c r="S2271">
        <v>42.005691056910557</v>
      </c>
      <c r="T2271" t="s">
        <v>290</v>
      </c>
      <c r="U2271">
        <v>42.005691056910557</v>
      </c>
      <c r="V2271">
        <v>99.46253669701926</v>
      </c>
      <c r="W2271">
        <v>6.0605044913603194</v>
      </c>
      <c r="X2271" t="s">
        <v>291</v>
      </c>
      <c r="Y2271">
        <v>10</v>
      </c>
      <c r="Z2271">
        <v>0.30963119843953862</v>
      </c>
      <c r="AA2271">
        <v>1</v>
      </c>
    </row>
    <row r="2272" spans="1:27" hidden="1" x14ac:dyDescent="0.25">
      <c r="A2272" t="s">
        <v>98</v>
      </c>
      <c r="B2272" t="s">
        <v>1199</v>
      </c>
      <c r="D2272" t="s">
        <v>1722</v>
      </c>
      <c r="E2272" t="s">
        <v>284</v>
      </c>
      <c r="F2272" t="s">
        <v>292</v>
      </c>
      <c r="G2272" t="s">
        <v>112</v>
      </c>
      <c r="H2272" t="s">
        <v>104</v>
      </c>
      <c r="I2272">
        <v>2022</v>
      </c>
      <c r="J2272" t="s">
        <v>295</v>
      </c>
      <c r="K2272" t="s">
        <v>106</v>
      </c>
      <c r="L2272" t="s">
        <v>2669</v>
      </c>
      <c r="M2272" t="s">
        <v>2672</v>
      </c>
      <c r="N2272">
        <v>1</v>
      </c>
      <c r="O2272">
        <v>2020</v>
      </c>
      <c r="P2272">
        <v>92.517129414925563</v>
      </c>
      <c r="Q2272">
        <v>5.9256499638890956</v>
      </c>
      <c r="R2272" t="s">
        <v>289</v>
      </c>
      <c r="S2272">
        <v>43.051923076923067</v>
      </c>
      <c r="T2272" t="s">
        <v>290</v>
      </c>
      <c r="U2272">
        <v>43.051923076923067</v>
      </c>
      <c r="V2272">
        <v>92.517129414925563</v>
      </c>
      <c r="W2272">
        <v>5.9256499638890956</v>
      </c>
      <c r="X2272" t="s">
        <v>291</v>
      </c>
      <c r="Y2272">
        <v>10</v>
      </c>
      <c r="Z2272">
        <v>0.30963119843953862</v>
      </c>
      <c r="AA2272">
        <v>1</v>
      </c>
    </row>
    <row r="2273" spans="1:27" hidden="1" x14ac:dyDescent="0.25">
      <c r="A2273" t="s">
        <v>98</v>
      </c>
      <c r="B2273" t="s">
        <v>1199</v>
      </c>
      <c r="D2273" t="s">
        <v>1722</v>
      </c>
      <c r="E2273" t="s">
        <v>284</v>
      </c>
      <c r="F2273" t="s">
        <v>297</v>
      </c>
      <c r="G2273" t="s">
        <v>103</v>
      </c>
      <c r="H2273" t="s">
        <v>104</v>
      </c>
      <c r="I2273">
        <v>2022</v>
      </c>
      <c r="J2273" t="s">
        <v>298</v>
      </c>
      <c r="K2273" t="s">
        <v>106</v>
      </c>
      <c r="L2273" t="s">
        <v>2669</v>
      </c>
      <c r="M2273" t="s">
        <v>2673</v>
      </c>
      <c r="N2273">
        <v>1</v>
      </c>
      <c r="O2273">
        <v>2020</v>
      </c>
      <c r="P2273">
        <v>94.526951376087595</v>
      </c>
      <c r="Q2273">
        <v>3.949349451558744</v>
      </c>
      <c r="R2273" t="s">
        <v>289</v>
      </c>
      <c r="S2273">
        <v>76.146700507614213</v>
      </c>
      <c r="T2273" t="s">
        <v>290</v>
      </c>
      <c r="U2273">
        <v>76.146700507614213</v>
      </c>
      <c r="V2273">
        <v>94.526951376087595</v>
      </c>
      <c r="W2273">
        <v>3.949349451558744</v>
      </c>
      <c r="X2273" t="s">
        <v>291</v>
      </c>
      <c r="Y2273">
        <v>10</v>
      </c>
      <c r="Z2273">
        <v>0.30963119843953862</v>
      </c>
      <c r="AA2273">
        <v>1</v>
      </c>
    </row>
    <row r="2274" spans="1:27" hidden="1" x14ac:dyDescent="0.25">
      <c r="A2274" t="s">
        <v>98</v>
      </c>
      <c r="B2274" t="s">
        <v>1199</v>
      </c>
      <c r="D2274" t="s">
        <v>1722</v>
      </c>
      <c r="E2274" t="s">
        <v>284</v>
      </c>
      <c r="F2274" t="s">
        <v>297</v>
      </c>
      <c r="G2274" t="s">
        <v>112</v>
      </c>
      <c r="H2274" t="s">
        <v>104</v>
      </c>
      <c r="I2274">
        <v>2022</v>
      </c>
      <c r="J2274" t="s">
        <v>300</v>
      </c>
      <c r="K2274" t="s">
        <v>106</v>
      </c>
      <c r="L2274" t="s">
        <v>2669</v>
      </c>
      <c r="M2274" t="s">
        <v>2674</v>
      </c>
      <c r="N2274">
        <v>1</v>
      </c>
      <c r="O2274">
        <v>2020</v>
      </c>
      <c r="P2274">
        <v>69.765067810793198</v>
      </c>
      <c r="Q2274">
        <v>2.516631606553434</v>
      </c>
      <c r="R2274" t="s">
        <v>289</v>
      </c>
      <c r="S2274">
        <v>93</v>
      </c>
      <c r="T2274" t="s">
        <v>290</v>
      </c>
      <c r="U2274">
        <v>93</v>
      </c>
      <c r="V2274">
        <v>69.765067810793198</v>
      </c>
      <c r="W2274">
        <v>2.516631606553434</v>
      </c>
      <c r="X2274" t="s">
        <v>291</v>
      </c>
      <c r="Y2274">
        <v>10</v>
      </c>
      <c r="Z2274">
        <v>0.30963119843953862</v>
      </c>
      <c r="AA2274">
        <v>1</v>
      </c>
    </row>
    <row r="2275" spans="1:27" hidden="1" x14ac:dyDescent="0.25">
      <c r="A2275" t="s">
        <v>98</v>
      </c>
      <c r="B2275" t="s">
        <v>1199</v>
      </c>
      <c r="D2275" t="s">
        <v>1722</v>
      </c>
      <c r="E2275" t="s">
        <v>284</v>
      </c>
      <c r="F2275" t="s">
        <v>302</v>
      </c>
      <c r="G2275" t="s">
        <v>103</v>
      </c>
      <c r="H2275" t="s">
        <v>104</v>
      </c>
      <c r="I2275">
        <v>2022</v>
      </c>
      <c r="J2275" t="s">
        <v>303</v>
      </c>
      <c r="K2275" t="s">
        <v>106</v>
      </c>
      <c r="L2275" t="s">
        <v>2669</v>
      </c>
      <c r="M2275" t="s">
        <v>2675</v>
      </c>
      <c r="N2275">
        <v>1</v>
      </c>
      <c r="O2275">
        <v>2020</v>
      </c>
      <c r="P2275">
        <v>105.7930490817716</v>
      </c>
      <c r="Q2275">
        <v>3.355492309527206</v>
      </c>
      <c r="R2275" t="s">
        <v>289</v>
      </c>
      <c r="S2275">
        <v>64.669172932330824</v>
      </c>
      <c r="T2275" t="s">
        <v>290</v>
      </c>
      <c r="U2275">
        <v>64.669172932330824</v>
      </c>
      <c r="V2275">
        <v>105.7930490817716</v>
      </c>
      <c r="W2275">
        <v>3.355492309527206</v>
      </c>
      <c r="X2275" t="s">
        <v>291</v>
      </c>
      <c r="Y2275">
        <v>10</v>
      </c>
      <c r="Z2275">
        <v>0.30963119843953862</v>
      </c>
      <c r="AA2275">
        <v>1</v>
      </c>
    </row>
    <row r="2276" spans="1:27" hidden="1" x14ac:dyDescent="0.25">
      <c r="A2276" t="s">
        <v>98</v>
      </c>
      <c r="B2276" t="s">
        <v>1199</v>
      </c>
      <c r="D2276" t="s">
        <v>1722</v>
      </c>
      <c r="E2276" t="s">
        <v>284</v>
      </c>
      <c r="F2276" t="s">
        <v>302</v>
      </c>
      <c r="G2276" t="s">
        <v>112</v>
      </c>
      <c r="H2276" t="s">
        <v>104</v>
      </c>
      <c r="I2276">
        <v>2022</v>
      </c>
      <c r="J2276" t="s">
        <v>305</v>
      </c>
      <c r="K2276" t="s">
        <v>106</v>
      </c>
      <c r="L2276" t="s">
        <v>2669</v>
      </c>
      <c r="M2276" t="s">
        <v>2676</v>
      </c>
      <c r="N2276">
        <v>1</v>
      </c>
      <c r="O2276">
        <v>2020</v>
      </c>
      <c r="P2276">
        <v>99.614212714858894</v>
      </c>
      <c r="Q2276">
        <v>1.4361600838792941</v>
      </c>
      <c r="R2276" t="s">
        <v>289</v>
      </c>
      <c r="S2276">
        <v>75.07692307692308</v>
      </c>
      <c r="T2276" t="s">
        <v>290</v>
      </c>
      <c r="U2276">
        <v>75.07692307692308</v>
      </c>
      <c r="V2276">
        <v>99.614212714858894</v>
      </c>
      <c r="W2276">
        <v>1.4361600838792941</v>
      </c>
      <c r="X2276" t="s">
        <v>291</v>
      </c>
      <c r="Y2276">
        <v>10</v>
      </c>
      <c r="Z2276">
        <v>0.30963119843953862</v>
      </c>
      <c r="AA2276">
        <v>1</v>
      </c>
    </row>
    <row r="2277" spans="1:27" hidden="1" x14ac:dyDescent="0.25">
      <c r="A2277" t="s">
        <v>98</v>
      </c>
      <c r="B2277" t="s">
        <v>1199</v>
      </c>
      <c r="D2277" t="s">
        <v>1722</v>
      </c>
      <c r="E2277" t="s">
        <v>284</v>
      </c>
      <c r="F2277" t="s">
        <v>297</v>
      </c>
      <c r="G2277" t="s">
        <v>103</v>
      </c>
      <c r="H2277" t="s">
        <v>104</v>
      </c>
      <c r="I2277">
        <v>2023</v>
      </c>
      <c r="J2277" t="s">
        <v>307</v>
      </c>
      <c r="K2277" t="s">
        <v>106</v>
      </c>
      <c r="L2277" t="s">
        <v>2669</v>
      </c>
      <c r="M2277" t="s">
        <v>2677</v>
      </c>
      <c r="N2277">
        <v>1</v>
      </c>
      <c r="O2277">
        <v>2023</v>
      </c>
      <c r="P2277">
        <v>94.526951376087595</v>
      </c>
      <c r="Q2277">
        <v>3.949349451558744</v>
      </c>
      <c r="R2277" t="s">
        <v>289</v>
      </c>
      <c r="S2277">
        <v>76.146700507614213</v>
      </c>
      <c r="T2277" t="s">
        <v>290</v>
      </c>
      <c r="U2277">
        <v>76.146700507614213</v>
      </c>
      <c r="V2277">
        <v>94.526951376087595</v>
      </c>
      <c r="W2277">
        <v>3.949349451558744</v>
      </c>
      <c r="X2277" t="s">
        <v>291</v>
      </c>
      <c r="Y2277">
        <v>10</v>
      </c>
      <c r="Z2277">
        <v>0.30963119843953862</v>
      </c>
      <c r="AA2277">
        <v>1</v>
      </c>
    </row>
    <row r="2278" spans="1:27" hidden="1" x14ac:dyDescent="0.25">
      <c r="A2278" t="s">
        <v>98</v>
      </c>
      <c r="B2278" t="s">
        <v>1199</v>
      </c>
      <c r="D2278" t="s">
        <v>1722</v>
      </c>
      <c r="E2278" t="s">
        <v>284</v>
      </c>
      <c r="F2278" t="s">
        <v>297</v>
      </c>
      <c r="G2278" t="s">
        <v>112</v>
      </c>
      <c r="H2278" t="s">
        <v>104</v>
      </c>
      <c r="I2278">
        <v>2023</v>
      </c>
      <c r="J2278" t="s">
        <v>309</v>
      </c>
      <c r="K2278" t="s">
        <v>106</v>
      </c>
      <c r="L2278" t="s">
        <v>2669</v>
      </c>
      <c r="M2278" t="s">
        <v>2678</v>
      </c>
      <c r="N2278">
        <v>1</v>
      </c>
      <c r="O2278">
        <v>2023</v>
      </c>
      <c r="P2278">
        <v>69.765067810793198</v>
      </c>
      <c r="Q2278">
        <v>2.516631606553434</v>
      </c>
      <c r="R2278" t="s">
        <v>289</v>
      </c>
      <c r="S2278">
        <v>93</v>
      </c>
      <c r="T2278" t="s">
        <v>290</v>
      </c>
      <c r="U2278">
        <v>93</v>
      </c>
      <c r="V2278">
        <v>69.765067810793198</v>
      </c>
      <c r="W2278">
        <v>2.516631606553434</v>
      </c>
      <c r="X2278" t="s">
        <v>291</v>
      </c>
      <c r="Y2278">
        <v>10</v>
      </c>
      <c r="Z2278">
        <v>0.30963119843953862</v>
      </c>
      <c r="AA2278">
        <v>1</v>
      </c>
    </row>
    <row r="2279" spans="1:27" hidden="1" x14ac:dyDescent="0.25">
      <c r="A2279" t="s">
        <v>98</v>
      </c>
      <c r="B2279" t="s">
        <v>1199</v>
      </c>
      <c r="D2279" t="s">
        <v>1722</v>
      </c>
      <c r="E2279" t="s">
        <v>284</v>
      </c>
      <c r="F2279" t="s">
        <v>302</v>
      </c>
      <c r="G2279" t="s">
        <v>103</v>
      </c>
      <c r="H2279" t="s">
        <v>104</v>
      </c>
      <c r="I2279">
        <v>2023</v>
      </c>
      <c r="J2279" t="s">
        <v>311</v>
      </c>
      <c r="K2279" t="s">
        <v>106</v>
      </c>
      <c r="L2279" t="s">
        <v>2669</v>
      </c>
      <c r="M2279" t="s">
        <v>2679</v>
      </c>
      <c r="N2279">
        <v>1</v>
      </c>
      <c r="O2279">
        <v>2023</v>
      </c>
      <c r="P2279">
        <v>105.7930490817716</v>
      </c>
      <c r="Q2279">
        <v>3.355492309527206</v>
      </c>
      <c r="R2279" t="s">
        <v>289</v>
      </c>
      <c r="S2279">
        <v>64.669172932330824</v>
      </c>
      <c r="T2279" t="s">
        <v>290</v>
      </c>
      <c r="U2279">
        <v>64.669172932330824</v>
      </c>
      <c r="V2279">
        <v>105.7930490817716</v>
      </c>
      <c r="W2279">
        <v>3.355492309527206</v>
      </c>
      <c r="X2279" t="s">
        <v>291</v>
      </c>
      <c r="Y2279">
        <v>10</v>
      </c>
      <c r="Z2279">
        <v>0.30963119843953862</v>
      </c>
      <c r="AA2279">
        <v>1</v>
      </c>
    </row>
    <row r="2280" spans="1:27" hidden="1" x14ac:dyDescent="0.25">
      <c r="A2280" t="s">
        <v>98</v>
      </c>
      <c r="B2280" t="s">
        <v>1199</v>
      </c>
      <c r="D2280" t="s">
        <v>1722</v>
      </c>
      <c r="E2280" t="s">
        <v>284</v>
      </c>
      <c r="F2280" t="s">
        <v>302</v>
      </c>
      <c r="G2280" t="s">
        <v>112</v>
      </c>
      <c r="H2280" t="s">
        <v>104</v>
      </c>
      <c r="I2280">
        <v>2023</v>
      </c>
      <c r="J2280" t="s">
        <v>313</v>
      </c>
      <c r="K2280" t="s">
        <v>106</v>
      </c>
      <c r="L2280" t="s">
        <v>2669</v>
      </c>
      <c r="M2280" t="s">
        <v>2680</v>
      </c>
      <c r="N2280">
        <v>1</v>
      </c>
      <c r="O2280">
        <v>2023</v>
      </c>
      <c r="P2280">
        <v>99.614212714858894</v>
      </c>
      <c r="Q2280">
        <v>1.4361600838792941</v>
      </c>
      <c r="R2280" t="s">
        <v>289</v>
      </c>
      <c r="S2280">
        <v>75.07692307692308</v>
      </c>
      <c r="T2280" t="s">
        <v>290</v>
      </c>
      <c r="U2280">
        <v>75.07692307692308</v>
      </c>
      <c r="V2280">
        <v>99.614212714858894</v>
      </c>
      <c r="W2280">
        <v>1.4361600838792941</v>
      </c>
      <c r="X2280" t="s">
        <v>291</v>
      </c>
      <c r="Y2280">
        <v>10</v>
      </c>
      <c r="Z2280">
        <v>0.30963119843953862</v>
      </c>
      <c r="AA2280">
        <v>1</v>
      </c>
    </row>
    <row r="2281" spans="1:27" hidden="1" x14ac:dyDescent="0.25">
      <c r="A2281" t="s">
        <v>98</v>
      </c>
      <c r="B2281" t="s">
        <v>1199</v>
      </c>
      <c r="D2281" t="s">
        <v>1722</v>
      </c>
      <c r="E2281" t="s">
        <v>284</v>
      </c>
      <c r="F2281" t="s">
        <v>297</v>
      </c>
      <c r="G2281" t="s">
        <v>103</v>
      </c>
      <c r="H2281" t="s">
        <v>104</v>
      </c>
      <c r="I2281">
        <v>2024</v>
      </c>
      <c r="J2281" t="s">
        <v>315</v>
      </c>
      <c r="K2281" t="s">
        <v>106</v>
      </c>
      <c r="L2281" t="s">
        <v>2669</v>
      </c>
      <c r="M2281" t="s">
        <v>2681</v>
      </c>
      <c r="N2281">
        <v>1</v>
      </c>
      <c r="O2281">
        <v>2024</v>
      </c>
      <c r="P2281">
        <v>94.526951376087595</v>
      </c>
      <c r="Q2281">
        <v>3.949349451558744</v>
      </c>
      <c r="R2281" t="s">
        <v>289</v>
      </c>
      <c r="S2281">
        <v>76.146700507614213</v>
      </c>
      <c r="T2281" t="s">
        <v>290</v>
      </c>
      <c r="U2281">
        <v>76.146700507614213</v>
      </c>
      <c r="V2281">
        <v>94.526951376087595</v>
      </c>
      <c r="W2281">
        <v>3.949349451558744</v>
      </c>
      <c r="X2281" t="s">
        <v>291</v>
      </c>
      <c r="Y2281">
        <v>10</v>
      </c>
      <c r="Z2281">
        <v>0.30963119843953862</v>
      </c>
      <c r="AA2281">
        <v>1</v>
      </c>
    </row>
    <row r="2282" spans="1:27" hidden="1" x14ac:dyDescent="0.25">
      <c r="A2282" t="s">
        <v>98</v>
      </c>
      <c r="B2282" t="s">
        <v>1199</v>
      </c>
      <c r="D2282" t="s">
        <v>1722</v>
      </c>
      <c r="E2282" t="s">
        <v>284</v>
      </c>
      <c r="F2282" t="s">
        <v>297</v>
      </c>
      <c r="G2282" t="s">
        <v>112</v>
      </c>
      <c r="H2282" t="s">
        <v>104</v>
      </c>
      <c r="I2282">
        <v>2024</v>
      </c>
      <c r="J2282" t="s">
        <v>317</v>
      </c>
      <c r="K2282" t="s">
        <v>106</v>
      </c>
      <c r="L2282" t="s">
        <v>2669</v>
      </c>
      <c r="M2282" t="s">
        <v>2682</v>
      </c>
      <c r="N2282">
        <v>1</v>
      </c>
      <c r="O2282">
        <v>2024</v>
      </c>
      <c r="P2282">
        <v>69.765067810793198</v>
      </c>
      <c r="Q2282">
        <v>2.516631606553434</v>
      </c>
      <c r="R2282" t="s">
        <v>289</v>
      </c>
      <c r="S2282">
        <v>93</v>
      </c>
      <c r="T2282" t="s">
        <v>290</v>
      </c>
      <c r="U2282">
        <v>93</v>
      </c>
      <c r="V2282">
        <v>69.765067810793198</v>
      </c>
      <c r="W2282">
        <v>2.516631606553434</v>
      </c>
      <c r="X2282" t="s">
        <v>291</v>
      </c>
      <c r="Y2282">
        <v>10</v>
      </c>
      <c r="Z2282">
        <v>0.30963119843953862</v>
      </c>
      <c r="AA2282">
        <v>1</v>
      </c>
    </row>
    <row r="2283" spans="1:27" hidden="1" x14ac:dyDescent="0.25">
      <c r="A2283" t="s">
        <v>98</v>
      </c>
      <c r="B2283" t="s">
        <v>1199</v>
      </c>
      <c r="D2283" t="s">
        <v>1722</v>
      </c>
      <c r="E2283" t="s">
        <v>284</v>
      </c>
      <c r="F2283" t="s">
        <v>302</v>
      </c>
      <c r="G2283" t="s">
        <v>103</v>
      </c>
      <c r="H2283" t="s">
        <v>104</v>
      </c>
      <c r="I2283">
        <v>2024</v>
      </c>
      <c r="J2283" t="s">
        <v>319</v>
      </c>
      <c r="K2283" t="s">
        <v>106</v>
      </c>
      <c r="L2283" t="s">
        <v>2669</v>
      </c>
      <c r="M2283" t="s">
        <v>2683</v>
      </c>
      <c r="N2283">
        <v>1</v>
      </c>
      <c r="O2283">
        <v>2024</v>
      </c>
      <c r="P2283">
        <v>105.7930490817716</v>
      </c>
      <c r="Q2283">
        <v>3.355492309527206</v>
      </c>
      <c r="R2283" t="s">
        <v>289</v>
      </c>
      <c r="S2283">
        <v>64.669172932330824</v>
      </c>
      <c r="T2283" t="s">
        <v>290</v>
      </c>
      <c r="U2283">
        <v>64.669172932330824</v>
      </c>
      <c r="V2283">
        <v>105.7930490817716</v>
      </c>
      <c r="W2283">
        <v>3.355492309527206</v>
      </c>
      <c r="X2283" t="s">
        <v>291</v>
      </c>
      <c r="Y2283">
        <v>10</v>
      </c>
      <c r="Z2283">
        <v>0.30963119843953862</v>
      </c>
      <c r="AA2283">
        <v>1</v>
      </c>
    </row>
    <row r="2284" spans="1:27" hidden="1" x14ac:dyDescent="0.25">
      <c r="A2284" t="s">
        <v>98</v>
      </c>
      <c r="B2284" t="s">
        <v>1199</v>
      </c>
      <c r="D2284" t="s">
        <v>1722</v>
      </c>
      <c r="E2284" t="s">
        <v>284</v>
      </c>
      <c r="F2284" t="s">
        <v>302</v>
      </c>
      <c r="G2284" t="s">
        <v>112</v>
      </c>
      <c r="H2284" t="s">
        <v>104</v>
      </c>
      <c r="I2284">
        <v>2024</v>
      </c>
      <c r="J2284" t="s">
        <v>321</v>
      </c>
      <c r="K2284" t="s">
        <v>106</v>
      </c>
      <c r="L2284" t="s">
        <v>2669</v>
      </c>
      <c r="M2284" t="s">
        <v>2684</v>
      </c>
      <c r="N2284">
        <v>1</v>
      </c>
      <c r="O2284">
        <v>2024</v>
      </c>
      <c r="P2284">
        <v>99.614212714858894</v>
      </c>
      <c r="Q2284">
        <v>1.4361600838792941</v>
      </c>
      <c r="R2284" t="s">
        <v>289</v>
      </c>
      <c r="S2284">
        <v>75.07692307692308</v>
      </c>
      <c r="T2284" t="s">
        <v>290</v>
      </c>
      <c r="U2284">
        <v>75.07692307692308</v>
      </c>
      <c r="V2284">
        <v>99.614212714858894</v>
      </c>
      <c r="W2284">
        <v>1.4361600838792941</v>
      </c>
      <c r="X2284" t="s">
        <v>291</v>
      </c>
      <c r="Y2284">
        <v>10</v>
      </c>
      <c r="Z2284">
        <v>0.30963119843953862</v>
      </c>
      <c r="AA2284">
        <v>1</v>
      </c>
    </row>
    <row r="2285" spans="1:27" hidden="1" x14ac:dyDescent="0.25">
      <c r="A2285" t="s">
        <v>98</v>
      </c>
      <c r="B2285" t="s">
        <v>1199</v>
      </c>
      <c r="D2285" t="s">
        <v>1722</v>
      </c>
      <c r="E2285" t="s">
        <v>284</v>
      </c>
      <c r="F2285" t="s">
        <v>297</v>
      </c>
      <c r="G2285" t="s">
        <v>103</v>
      </c>
      <c r="H2285" t="s">
        <v>104</v>
      </c>
      <c r="I2285">
        <v>2025</v>
      </c>
      <c r="J2285" t="s">
        <v>323</v>
      </c>
      <c r="K2285" t="s">
        <v>106</v>
      </c>
      <c r="L2285" t="s">
        <v>2669</v>
      </c>
      <c r="M2285" t="s">
        <v>2685</v>
      </c>
      <c r="N2285">
        <v>1</v>
      </c>
      <c r="O2285">
        <v>2025</v>
      </c>
      <c r="P2285">
        <v>94.526951376087595</v>
      </c>
      <c r="Q2285">
        <v>3.949349451558744</v>
      </c>
      <c r="R2285" t="s">
        <v>289</v>
      </c>
      <c r="S2285">
        <v>76.146700507614213</v>
      </c>
      <c r="T2285" t="s">
        <v>290</v>
      </c>
      <c r="U2285">
        <v>76.146700507614213</v>
      </c>
      <c r="V2285">
        <v>94.526951376087595</v>
      </c>
      <c r="W2285">
        <v>3.949349451558744</v>
      </c>
      <c r="X2285" t="s">
        <v>291</v>
      </c>
      <c r="Y2285">
        <v>10</v>
      </c>
      <c r="Z2285">
        <v>0.30963119843953862</v>
      </c>
      <c r="AA2285">
        <v>1</v>
      </c>
    </row>
    <row r="2286" spans="1:27" hidden="1" x14ac:dyDescent="0.25">
      <c r="A2286" t="s">
        <v>98</v>
      </c>
      <c r="B2286" t="s">
        <v>1199</v>
      </c>
      <c r="D2286" t="s">
        <v>1722</v>
      </c>
      <c r="E2286" t="s">
        <v>284</v>
      </c>
      <c r="F2286" t="s">
        <v>297</v>
      </c>
      <c r="G2286" t="s">
        <v>112</v>
      </c>
      <c r="H2286" t="s">
        <v>104</v>
      </c>
      <c r="I2286">
        <v>2025</v>
      </c>
      <c r="J2286" t="s">
        <v>325</v>
      </c>
      <c r="K2286" t="s">
        <v>106</v>
      </c>
      <c r="L2286" t="s">
        <v>2669</v>
      </c>
      <c r="M2286" t="s">
        <v>2686</v>
      </c>
      <c r="N2286">
        <v>1</v>
      </c>
      <c r="O2286">
        <v>2025</v>
      </c>
      <c r="P2286">
        <v>69.765067810793198</v>
      </c>
      <c r="Q2286">
        <v>2.516631606553434</v>
      </c>
      <c r="R2286" t="s">
        <v>289</v>
      </c>
      <c r="S2286">
        <v>93</v>
      </c>
      <c r="T2286" t="s">
        <v>290</v>
      </c>
      <c r="U2286">
        <v>93</v>
      </c>
      <c r="V2286">
        <v>69.765067810793198</v>
      </c>
      <c r="W2286">
        <v>2.516631606553434</v>
      </c>
      <c r="X2286" t="s">
        <v>291</v>
      </c>
      <c r="Y2286">
        <v>10</v>
      </c>
      <c r="Z2286">
        <v>0.30963119843953862</v>
      </c>
      <c r="AA2286">
        <v>1</v>
      </c>
    </row>
    <row r="2287" spans="1:27" hidden="1" x14ac:dyDescent="0.25">
      <c r="A2287" t="s">
        <v>98</v>
      </c>
      <c r="B2287" t="s">
        <v>1199</v>
      </c>
      <c r="D2287" t="s">
        <v>1722</v>
      </c>
      <c r="E2287" t="s">
        <v>284</v>
      </c>
      <c r="F2287" t="s">
        <v>302</v>
      </c>
      <c r="G2287" t="s">
        <v>103</v>
      </c>
      <c r="H2287" t="s">
        <v>104</v>
      </c>
      <c r="I2287">
        <v>2025</v>
      </c>
      <c r="J2287" t="s">
        <v>327</v>
      </c>
      <c r="K2287" t="s">
        <v>106</v>
      </c>
      <c r="L2287" t="s">
        <v>2669</v>
      </c>
      <c r="M2287" t="s">
        <v>2687</v>
      </c>
      <c r="N2287">
        <v>1</v>
      </c>
      <c r="O2287">
        <v>2025</v>
      </c>
      <c r="P2287">
        <v>105.7930490817716</v>
      </c>
      <c r="Q2287">
        <v>3.355492309527206</v>
      </c>
      <c r="R2287" t="s">
        <v>289</v>
      </c>
      <c r="S2287">
        <v>64.669172932330824</v>
      </c>
      <c r="T2287" t="s">
        <v>290</v>
      </c>
      <c r="U2287">
        <v>64.669172932330824</v>
      </c>
      <c r="V2287">
        <v>105.7930490817716</v>
      </c>
      <c r="W2287">
        <v>3.355492309527206</v>
      </c>
      <c r="X2287" t="s">
        <v>291</v>
      </c>
      <c r="Y2287">
        <v>10</v>
      </c>
      <c r="Z2287">
        <v>0.30963119843953862</v>
      </c>
      <c r="AA2287">
        <v>1</v>
      </c>
    </row>
    <row r="2288" spans="1:27" hidden="1" x14ac:dyDescent="0.25">
      <c r="A2288" t="s">
        <v>98</v>
      </c>
      <c r="B2288" t="s">
        <v>1199</v>
      </c>
      <c r="D2288" t="s">
        <v>1722</v>
      </c>
      <c r="E2288" t="s">
        <v>284</v>
      </c>
      <c r="F2288" t="s">
        <v>302</v>
      </c>
      <c r="G2288" t="s">
        <v>112</v>
      </c>
      <c r="H2288" t="s">
        <v>104</v>
      </c>
      <c r="I2288">
        <v>2025</v>
      </c>
      <c r="J2288" t="s">
        <v>329</v>
      </c>
      <c r="K2288" t="s">
        <v>106</v>
      </c>
      <c r="L2288" t="s">
        <v>2669</v>
      </c>
      <c r="M2288" t="s">
        <v>2688</v>
      </c>
      <c r="N2288">
        <v>1</v>
      </c>
      <c r="O2288">
        <v>2025</v>
      </c>
      <c r="P2288">
        <v>99.614212714858894</v>
      </c>
      <c r="Q2288">
        <v>1.4361600838792941</v>
      </c>
      <c r="R2288" t="s">
        <v>289</v>
      </c>
      <c r="S2288">
        <v>75.07692307692308</v>
      </c>
      <c r="T2288" t="s">
        <v>290</v>
      </c>
      <c r="U2288">
        <v>75.07692307692308</v>
      </c>
      <c r="V2288">
        <v>99.614212714858894</v>
      </c>
      <c r="W2288">
        <v>1.4361600838792941</v>
      </c>
      <c r="X2288" t="s">
        <v>291</v>
      </c>
      <c r="Y2288">
        <v>10</v>
      </c>
      <c r="Z2288">
        <v>0.30963119843953862</v>
      </c>
      <c r="AA2288">
        <v>1</v>
      </c>
    </row>
    <row r="2289" spans="1:27" hidden="1" x14ac:dyDescent="0.25">
      <c r="A2289" t="s">
        <v>98</v>
      </c>
      <c r="B2289" t="s">
        <v>1199</v>
      </c>
      <c r="D2289" t="s">
        <v>1722</v>
      </c>
      <c r="E2289" t="s">
        <v>284</v>
      </c>
      <c r="F2289" t="s">
        <v>297</v>
      </c>
      <c r="G2289" t="s">
        <v>103</v>
      </c>
      <c r="H2289" t="s">
        <v>104</v>
      </c>
      <c r="I2289">
        <v>2026</v>
      </c>
      <c r="J2289" t="s">
        <v>331</v>
      </c>
      <c r="K2289" t="s">
        <v>106</v>
      </c>
      <c r="L2289" t="s">
        <v>2669</v>
      </c>
      <c r="M2289" t="s">
        <v>2689</v>
      </c>
      <c r="N2289">
        <v>1</v>
      </c>
      <c r="O2289">
        <v>2026</v>
      </c>
      <c r="P2289">
        <v>94.526951376087595</v>
      </c>
      <c r="Q2289">
        <v>3.949349451558744</v>
      </c>
      <c r="R2289" t="s">
        <v>289</v>
      </c>
      <c r="S2289">
        <v>76.146700507614213</v>
      </c>
      <c r="T2289" t="s">
        <v>290</v>
      </c>
      <c r="U2289">
        <v>76.146700507614213</v>
      </c>
      <c r="V2289">
        <v>94.526951376087595</v>
      </c>
      <c r="W2289">
        <v>3.949349451558744</v>
      </c>
      <c r="X2289" t="s">
        <v>291</v>
      </c>
      <c r="Y2289">
        <v>10</v>
      </c>
      <c r="Z2289">
        <v>0.30963119843953862</v>
      </c>
      <c r="AA2289">
        <v>1</v>
      </c>
    </row>
    <row r="2290" spans="1:27" hidden="1" x14ac:dyDescent="0.25">
      <c r="A2290" t="s">
        <v>98</v>
      </c>
      <c r="B2290" t="s">
        <v>1199</v>
      </c>
      <c r="D2290" t="s">
        <v>1722</v>
      </c>
      <c r="E2290" t="s">
        <v>284</v>
      </c>
      <c r="F2290" t="s">
        <v>297</v>
      </c>
      <c r="G2290" t="s">
        <v>112</v>
      </c>
      <c r="H2290" t="s">
        <v>104</v>
      </c>
      <c r="I2290">
        <v>2026</v>
      </c>
      <c r="J2290" t="s">
        <v>333</v>
      </c>
      <c r="K2290" t="s">
        <v>106</v>
      </c>
      <c r="L2290" t="s">
        <v>2669</v>
      </c>
      <c r="M2290" t="s">
        <v>2690</v>
      </c>
      <c r="N2290">
        <v>1</v>
      </c>
      <c r="O2290">
        <v>2026</v>
      </c>
      <c r="P2290">
        <v>69.765067810793198</v>
      </c>
      <c r="Q2290">
        <v>2.516631606553434</v>
      </c>
      <c r="R2290" t="s">
        <v>289</v>
      </c>
      <c r="S2290">
        <v>93</v>
      </c>
      <c r="T2290" t="s">
        <v>290</v>
      </c>
      <c r="U2290">
        <v>93</v>
      </c>
      <c r="V2290">
        <v>69.765067810793198</v>
      </c>
      <c r="W2290">
        <v>2.516631606553434</v>
      </c>
      <c r="X2290" t="s">
        <v>291</v>
      </c>
      <c r="Y2290">
        <v>10</v>
      </c>
      <c r="Z2290">
        <v>0.30963119843953862</v>
      </c>
      <c r="AA2290">
        <v>1</v>
      </c>
    </row>
    <row r="2291" spans="1:27" hidden="1" x14ac:dyDescent="0.25">
      <c r="A2291" t="s">
        <v>98</v>
      </c>
      <c r="B2291" t="s">
        <v>1199</v>
      </c>
      <c r="D2291" t="s">
        <v>1722</v>
      </c>
      <c r="E2291" t="s">
        <v>284</v>
      </c>
      <c r="F2291" t="s">
        <v>302</v>
      </c>
      <c r="G2291" t="s">
        <v>103</v>
      </c>
      <c r="H2291" t="s">
        <v>104</v>
      </c>
      <c r="I2291">
        <v>2026</v>
      </c>
      <c r="J2291" t="s">
        <v>335</v>
      </c>
      <c r="K2291" t="s">
        <v>106</v>
      </c>
      <c r="L2291" t="s">
        <v>2669</v>
      </c>
      <c r="M2291" t="s">
        <v>2691</v>
      </c>
      <c r="N2291">
        <v>1</v>
      </c>
      <c r="O2291">
        <v>2026</v>
      </c>
      <c r="P2291">
        <v>105.7930490817716</v>
      </c>
      <c r="Q2291">
        <v>3.355492309527206</v>
      </c>
      <c r="R2291" t="s">
        <v>289</v>
      </c>
      <c r="S2291">
        <v>64.669172932330824</v>
      </c>
      <c r="T2291" t="s">
        <v>290</v>
      </c>
      <c r="U2291">
        <v>64.669172932330824</v>
      </c>
      <c r="V2291">
        <v>105.7930490817716</v>
      </c>
      <c r="W2291">
        <v>3.355492309527206</v>
      </c>
      <c r="X2291" t="s">
        <v>291</v>
      </c>
      <c r="Y2291">
        <v>10</v>
      </c>
      <c r="Z2291">
        <v>0.30963119843953862</v>
      </c>
      <c r="AA2291">
        <v>1</v>
      </c>
    </row>
    <row r="2292" spans="1:27" hidden="1" x14ac:dyDescent="0.25">
      <c r="A2292" t="s">
        <v>98</v>
      </c>
      <c r="B2292" t="s">
        <v>1199</v>
      </c>
      <c r="D2292" t="s">
        <v>1722</v>
      </c>
      <c r="E2292" t="s">
        <v>284</v>
      </c>
      <c r="F2292" t="s">
        <v>302</v>
      </c>
      <c r="G2292" t="s">
        <v>112</v>
      </c>
      <c r="H2292" t="s">
        <v>104</v>
      </c>
      <c r="I2292">
        <v>2026</v>
      </c>
      <c r="J2292" t="s">
        <v>337</v>
      </c>
      <c r="K2292" t="s">
        <v>106</v>
      </c>
      <c r="L2292" t="s">
        <v>2669</v>
      </c>
      <c r="M2292" t="s">
        <v>2692</v>
      </c>
      <c r="N2292">
        <v>1</v>
      </c>
      <c r="O2292">
        <v>2026</v>
      </c>
      <c r="P2292">
        <v>99.614212714858894</v>
      </c>
      <c r="Q2292">
        <v>1.4361600838792941</v>
      </c>
      <c r="R2292" t="s">
        <v>289</v>
      </c>
      <c r="S2292">
        <v>75.07692307692308</v>
      </c>
      <c r="T2292" t="s">
        <v>290</v>
      </c>
      <c r="U2292">
        <v>75.07692307692308</v>
      </c>
      <c r="V2292">
        <v>99.614212714858894</v>
      </c>
      <c r="W2292">
        <v>1.4361600838792941</v>
      </c>
      <c r="X2292" t="s">
        <v>291</v>
      </c>
      <c r="Y2292">
        <v>10</v>
      </c>
      <c r="Z2292">
        <v>0.30963119843953862</v>
      </c>
      <c r="AA2292">
        <v>1</v>
      </c>
    </row>
    <row r="2293" spans="1:27" hidden="1" x14ac:dyDescent="0.25">
      <c r="A2293" t="s">
        <v>98</v>
      </c>
      <c r="B2293" t="s">
        <v>1199</v>
      </c>
      <c r="D2293" t="s">
        <v>1722</v>
      </c>
      <c r="E2293" t="s">
        <v>284</v>
      </c>
      <c r="F2293" t="s">
        <v>292</v>
      </c>
      <c r="G2293" t="s">
        <v>103</v>
      </c>
      <c r="H2293" t="s">
        <v>104</v>
      </c>
      <c r="I2293">
        <v>2030</v>
      </c>
      <c r="J2293" t="s">
        <v>339</v>
      </c>
      <c r="K2293" t="s">
        <v>106</v>
      </c>
      <c r="L2293" t="s">
        <v>2669</v>
      </c>
      <c r="M2293" t="s">
        <v>2693</v>
      </c>
      <c r="N2293">
        <v>1</v>
      </c>
      <c r="O2293">
        <v>2030</v>
      </c>
      <c r="P2293">
        <v>99.96668875570353</v>
      </c>
      <c r="Q2293">
        <v>4.9152448223495018</v>
      </c>
      <c r="R2293" t="s">
        <v>289</v>
      </c>
      <c r="S2293">
        <v>55.211046644573933</v>
      </c>
      <c r="T2293" t="s">
        <v>290</v>
      </c>
      <c r="U2293">
        <v>55.211046644573933</v>
      </c>
      <c r="V2293">
        <v>99.96668875570353</v>
      </c>
      <c r="W2293">
        <v>4.9152448223495018</v>
      </c>
      <c r="X2293" t="s">
        <v>291</v>
      </c>
      <c r="Y2293">
        <v>10</v>
      </c>
      <c r="Z2293">
        <v>0.30963119843953862</v>
      </c>
      <c r="AA2293">
        <v>1</v>
      </c>
    </row>
    <row r="2294" spans="1:27" hidden="1" x14ac:dyDescent="0.25">
      <c r="A2294" t="s">
        <v>98</v>
      </c>
      <c r="B2294" t="s">
        <v>1199</v>
      </c>
      <c r="D2294" t="s">
        <v>1722</v>
      </c>
      <c r="E2294" t="s">
        <v>284</v>
      </c>
      <c r="F2294" t="s">
        <v>292</v>
      </c>
      <c r="G2294" t="s">
        <v>112</v>
      </c>
      <c r="H2294" t="s">
        <v>104</v>
      </c>
      <c r="I2294">
        <v>2030</v>
      </c>
      <c r="J2294" t="s">
        <v>341</v>
      </c>
      <c r="K2294" t="s">
        <v>106</v>
      </c>
      <c r="L2294" t="s">
        <v>2669</v>
      </c>
      <c r="M2294" t="s">
        <v>2694</v>
      </c>
      <c r="N2294">
        <v>1</v>
      </c>
      <c r="O2294">
        <v>2030</v>
      </c>
      <c r="P2294">
        <v>93.570390823718384</v>
      </c>
      <c r="Q2294">
        <v>4.27625645181514</v>
      </c>
      <c r="R2294" t="s">
        <v>289</v>
      </c>
      <c r="S2294">
        <v>60.132155797450622</v>
      </c>
      <c r="T2294" t="s">
        <v>290</v>
      </c>
      <c r="U2294">
        <v>60.132155797450622</v>
      </c>
      <c r="V2294">
        <v>93.570390823718384</v>
      </c>
      <c r="W2294">
        <v>4.27625645181514</v>
      </c>
      <c r="X2294" t="s">
        <v>291</v>
      </c>
      <c r="Y2294">
        <v>10</v>
      </c>
      <c r="Z2294">
        <v>0.30963119843953862</v>
      </c>
      <c r="AA2294">
        <v>1</v>
      </c>
    </row>
    <row r="2295" spans="1:27" hidden="1" x14ac:dyDescent="0.25">
      <c r="A2295" t="s">
        <v>98</v>
      </c>
      <c r="B2295" t="s">
        <v>1199</v>
      </c>
      <c r="D2295" t="s">
        <v>1722</v>
      </c>
      <c r="E2295" t="s">
        <v>284</v>
      </c>
      <c r="F2295" t="s">
        <v>297</v>
      </c>
      <c r="G2295" t="s">
        <v>103</v>
      </c>
      <c r="H2295" t="s">
        <v>104</v>
      </c>
      <c r="I2295">
        <v>2030</v>
      </c>
      <c r="J2295" t="s">
        <v>343</v>
      </c>
      <c r="K2295" t="s">
        <v>106</v>
      </c>
      <c r="L2295" t="s">
        <v>2669</v>
      </c>
      <c r="M2295" t="s">
        <v>2695</v>
      </c>
      <c r="N2295">
        <v>1</v>
      </c>
      <c r="O2295">
        <v>2030</v>
      </c>
      <c r="P2295">
        <v>112.2464608710101</v>
      </c>
      <c r="Q2295">
        <v>3.5870084905918258</v>
      </c>
      <c r="R2295" t="s">
        <v>289</v>
      </c>
      <c r="S2295">
        <v>89.042769074884546</v>
      </c>
      <c r="T2295" t="s">
        <v>290</v>
      </c>
      <c r="U2295">
        <v>89.042769074884546</v>
      </c>
      <c r="V2295">
        <v>112.2464608710101</v>
      </c>
      <c r="W2295">
        <v>3.5870084905918258</v>
      </c>
      <c r="X2295" t="s">
        <v>291</v>
      </c>
      <c r="Y2295">
        <v>10</v>
      </c>
      <c r="Z2295">
        <v>0.30963119843953862</v>
      </c>
      <c r="AA2295">
        <v>1</v>
      </c>
    </row>
    <row r="2296" spans="1:27" hidden="1" x14ac:dyDescent="0.25">
      <c r="A2296" t="s">
        <v>98</v>
      </c>
      <c r="B2296" t="s">
        <v>1199</v>
      </c>
      <c r="D2296" t="s">
        <v>1722</v>
      </c>
      <c r="E2296" t="s">
        <v>284</v>
      </c>
      <c r="F2296" t="s">
        <v>297</v>
      </c>
      <c r="G2296" t="s">
        <v>112</v>
      </c>
      <c r="H2296" t="s">
        <v>104</v>
      </c>
      <c r="I2296">
        <v>2030</v>
      </c>
      <c r="J2296" t="s">
        <v>345</v>
      </c>
      <c r="K2296" t="s">
        <v>106</v>
      </c>
      <c r="L2296" t="s">
        <v>2669</v>
      </c>
      <c r="M2296" t="s">
        <v>2696</v>
      </c>
      <c r="N2296">
        <v>1</v>
      </c>
      <c r="O2296">
        <v>2030</v>
      </c>
      <c r="P2296">
        <v>84.571073913548247</v>
      </c>
      <c r="Q2296">
        <v>2.3525336937486059</v>
      </c>
      <c r="R2296" t="s">
        <v>289</v>
      </c>
      <c r="S2296">
        <v>108.5525423728814</v>
      </c>
      <c r="T2296" t="s">
        <v>290</v>
      </c>
      <c r="U2296">
        <v>108.5525423728814</v>
      </c>
      <c r="V2296">
        <v>84.571073913548247</v>
      </c>
      <c r="W2296">
        <v>2.3525336937486059</v>
      </c>
      <c r="X2296" t="s">
        <v>291</v>
      </c>
      <c r="Y2296">
        <v>10</v>
      </c>
      <c r="Z2296">
        <v>0.30963119843953862</v>
      </c>
      <c r="AA2296">
        <v>1</v>
      </c>
    </row>
    <row r="2297" spans="1:27" hidden="1" x14ac:dyDescent="0.25">
      <c r="A2297" t="s">
        <v>98</v>
      </c>
      <c r="B2297" t="s">
        <v>1199</v>
      </c>
      <c r="D2297" t="s">
        <v>1722</v>
      </c>
      <c r="E2297" t="s">
        <v>284</v>
      </c>
      <c r="F2297" t="s">
        <v>292</v>
      </c>
      <c r="G2297" t="s">
        <v>103</v>
      </c>
      <c r="H2297" t="s">
        <v>104</v>
      </c>
      <c r="I2297">
        <v>2040</v>
      </c>
      <c r="J2297" t="s">
        <v>347</v>
      </c>
      <c r="K2297" t="s">
        <v>106</v>
      </c>
      <c r="L2297" t="s">
        <v>2669</v>
      </c>
      <c r="M2297" t="s">
        <v>2697</v>
      </c>
      <c r="N2297">
        <v>1</v>
      </c>
      <c r="O2297">
        <v>2040</v>
      </c>
      <c r="P2297">
        <v>98.335071194105581</v>
      </c>
      <c r="Q2297">
        <v>4.7080379086524973</v>
      </c>
      <c r="R2297" t="s">
        <v>289</v>
      </c>
      <c r="S2297">
        <v>63.829339223058007</v>
      </c>
      <c r="T2297" t="s">
        <v>290</v>
      </c>
      <c r="U2297">
        <v>63.829339223058007</v>
      </c>
      <c r="V2297">
        <v>98.335071194105581</v>
      </c>
      <c r="W2297">
        <v>4.7080379086524973</v>
      </c>
      <c r="X2297" t="s">
        <v>291</v>
      </c>
      <c r="Y2297">
        <v>10</v>
      </c>
      <c r="Z2297">
        <v>0.30963119843953862</v>
      </c>
      <c r="AA2297">
        <v>1</v>
      </c>
    </row>
    <row r="2298" spans="1:27" hidden="1" x14ac:dyDescent="0.25">
      <c r="A2298" t="s">
        <v>98</v>
      </c>
      <c r="B2298" t="s">
        <v>1199</v>
      </c>
      <c r="D2298" t="s">
        <v>1722</v>
      </c>
      <c r="E2298" t="s">
        <v>284</v>
      </c>
      <c r="F2298" t="s">
        <v>292</v>
      </c>
      <c r="G2298" t="s">
        <v>112</v>
      </c>
      <c r="H2298" t="s">
        <v>104</v>
      </c>
      <c r="I2298">
        <v>2040</v>
      </c>
      <c r="J2298" t="s">
        <v>349</v>
      </c>
      <c r="K2298" t="s">
        <v>106</v>
      </c>
      <c r="L2298" t="s">
        <v>2669</v>
      </c>
      <c r="M2298" t="s">
        <v>2698</v>
      </c>
      <c r="N2298">
        <v>1</v>
      </c>
      <c r="O2298">
        <v>2040</v>
      </c>
      <c r="P2298">
        <v>92.137687829328328</v>
      </c>
      <c r="Q2298">
        <v>4.1202723323867074</v>
      </c>
      <c r="R2298" t="s">
        <v>289</v>
      </c>
      <c r="S2298">
        <v>69.934718883357121</v>
      </c>
      <c r="T2298" t="s">
        <v>290</v>
      </c>
      <c r="U2298">
        <v>69.934718883357121</v>
      </c>
      <c r="V2298">
        <v>92.137687829328328</v>
      </c>
      <c r="W2298">
        <v>4.1202723323867074</v>
      </c>
      <c r="X2298" t="s">
        <v>291</v>
      </c>
      <c r="Y2298">
        <v>10</v>
      </c>
      <c r="Z2298">
        <v>0.30963119843953862</v>
      </c>
      <c r="AA2298">
        <v>1</v>
      </c>
    </row>
    <row r="2299" spans="1:27" hidden="1" x14ac:dyDescent="0.25">
      <c r="A2299" t="s">
        <v>98</v>
      </c>
      <c r="B2299" t="s">
        <v>1199</v>
      </c>
      <c r="D2299" t="s">
        <v>1722</v>
      </c>
      <c r="E2299" t="s">
        <v>284</v>
      </c>
      <c r="F2299" t="s">
        <v>297</v>
      </c>
      <c r="G2299" t="s">
        <v>103</v>
      </c>
      <c r="H2299" t="s">
        <v>104</v>
      </c>
      <c r="I2299">
        <v>2040</v>
      </c>
      <c r="J2299" t="s">
        <v>351</v>
      </c>
      <c r="K2299" t="s">
        <v>106</v>
      </c>
      <c r="L2299" t="s">
        <v>2669</v>
      </c>
      <c r="M2299" t="s">
        <v>2699</v>
      </c>
      <c r="N2299">
        <v>1</v>
      </c>
      <c r="O2299">
        <v>2040</v>
      </c>
      <c r="P2299">
        <v>109.62871509832991</v>
      </c>
      <c r="Q2299">
        <v>3.28145573783857</v>
      </c>
      <c r="R2299" t="s">
        <v>289</v>
      </c>
      <c r="S2299">
        <v>101.8534675620791</v>
      </c>
      <c r="T2299" t="s">
        <v>290</v>
      </c>
      <c r="U2299">
        <v>101.8534675620791</v>
      </c>
      <c r="V2299">
        <v>109.62871509832991</v>
      </c>
      <c r="W2299">
        <v>3.28145573783857</v>
      </c>
      <c r="X2299" t="s">
        <v>291</v>
      </c>
      <c r="Y2299">
        <v>10</v>
      </c>
      <c r="Z2299">
        <v>0.30963119843953862</v>
      </c>
      <c r="AA2299">
        <v>1</v>
      </c>
    </row>
    <row r="2300" spans="1:27" hidden="1" x14ac:dyDescent="0.25">
      <c r="A2300" t="s">
        <v>98</v>
      </c>
      <c r="B2300" t="s">
        <v>1199</v>
      </c>
      <c r="D2300" t="s">
        <v>1722</v>
      </c>
      <c r="E2300" t="s">
        <v>284</v>
      </c>
      <c r="F2300" t="s">
        <v>297</v>
      </c>
      <c r="G2300" t="s">
        <v>112</v>
      </c>
      <c r="H2300" t="s">
        <v>104</v>
      </c>
      <c r="I2300">
        <v>2040</v>
      </c>
      <c r="J2300" t="s">
        <v>353</v>
      </c>
      <c r="K2300" t="s">
        <v>106</v>
      </c>
      <c r="L2300" t="s">
        <v>2669</v>
      </c>
      <c r="M2300" t="s">
        <v>2700</v>
      </c>
      <c r="N2300">
        <v>1</v>
      </c>
      <c r="O2300">
        <v>2040</v>
      </c>
      <c r="P2300">
        <v>82.941268534212341</v>
      </c>
      <c r="Q2300">
        <v>2.168671786742209</v>
      </c>
      <c r="R2300" t="s">
        <v>289</v>
      </c>
      <c r="S2300">
        <v>124.1701372074253</v>
      </c>
      <c r="T2300" t="s">
        <v>290</v>
      </c>
      <c r="U2300">
        <v>124.1701372074253</v>
      </c>
      <c r="V2300">
        <v>82.941268534212341</v>
      </c>
      <c r="W2300">
        <v>2.168671786742209</v>
      </c>
      <c r="X2300" t="s">
        <v>291</v>
      </c>
      <c r="Y2300">
        <v>10</v>
      </c>
      <c r="Z2300">
        <v>0.30963119843953862</v>
      </c>
      <c r="AA2300">
        <v>1</v>
      </c>
    </row>
    <row r="2301" spans="1:27" hidden="1" x14ac:dyDescent="0.25">
      <c r="A2301" t="s">
        <v>98</v>
      </c>
      <c r="B2301" t="s">
        <v>1199</v>
      </c>
      <c r="D2301" t="s">
        <v>1722</v>
      </c>
      <c r="E2301" t="s">
        <v>284</v>
      </c>
      <c r="F2301" t="s">
        <v>355</v>
      </c>
      <c r="G2301" t="s">
        <v>103</v>
      </c>
      <c r="H2301" t="s">
        <v>104</v>
      </c>
      <c r="I2301">
        <v>2022</v>
      </c>
      <c r="J2301" t="s">
        <v>356</v>
      </c>
      <c r="K2301" t="s">
        <v>106</v>
      </c>
      <c r="L2301" t="s">
        <v>2669</v>
      </c>
      <c r="M2301" t="s">
        <v>2701</v>
      </c>
      <c r="N2301">
        <v>1</v>
      </c>
      <c r="O2301">
        <v>2020</v>
      </c>
      <c r="P2301">
        <v>26.539302440149839</v>
      </c>
      <c r="Q2301">
        <v>0.71977466386263589</v>
      </c>
      <c r="R2301" t="s">
        <v>289</v>
      </c>
      <c r="S2301">
        <v>85.75677051732572</v>
      </c>
      <c r="T2301" t="s">
        <v>290</v>
      </c>
      <c r="U2301">
        <v>85.75677051732572</v>
      </c>
      <c r="V2301">
        <v>26.539302440149839</v>
      </c>
      <c r="W2301">
        <v>0.71977466386263589</v>
      </c>
      <c r="X2301" t="s">
        <v>291</v>
      </c>
      <c r="Y2301">
        <v>10</v>
      </c>
      <c r="Z2301">
        <v>0.30963119843953862</v>
      </c>
      <c r="AA2301">
        <v>1</v>
      </c>
    </row>
    <row r="2302" spans="1:27" hidden="1" x14ac:dyDescent="0.25">
      <c r="A2302" t="s">
        <v>98</v>
      </c>
      <c r="B2302" t="s">
        <v>1199</v>
      </c>
      <c r="D2302" t="s">
        <v>1722</v>
      </c>
      <c r="E2302" t="s">
        <v>284</v>
      </c>
      <c r="F2302" t="s">
        <v>355</v>
      </c>
      <c r="G2302" t="s">
        <v>112</v>
      </c>
      <c r="H2302" t="s">
        <v>104</v>
      </c>
      <c r="I2302">
        <v>2022</v>
      </c>
      <c r="J2302" t="s">
        <v>358</v>
      </c>
      <c r="K2302" t="s">
        <v>106</v>
      </c>
      <c r="L2302" t="s">
        <v>2669</v>
      </c>
      <c r="M2302" t="s">
        <v>2702</v>
      </c>
      <c r="N2302">
        <v>1</v>
      </c>
      <c r="O2302">
        <v>2020</v>
      </c>
      <c r="P2302">
        <v>27.952547937105681</v>
      </c>
      <c r="Q2302">
        <v>0.83346015109483984</v>
      </c>
      <c r="R2302" t="s">
        <v>289</v>
      </c>
      <c r="S2302">
        <v>88.372750377742747</v>
      </c>
      <c r="T2302" t="s">
        <v>290</v>
      </c>
      <c r="U2302">
        <v>88.372750377742747</v>
      </c>
      <c r="V2302">
        <v>27.952547937105681</v>
      </c>
      <c r="W2302">
        <v>0.83346015109483984</v>
      </c>
      <c r="X2302" t="s">
        <v>291</v>
      </c>
      <c r="Y2302">
        <v>10</v>
      </c>
      <c r="Z2302">
        <v>0.30963119843953862</v>
      </c>
      <c r="AA2302">
        <v>1</v>
      </c>
    </row>
    <row r="2303" spans="1:27" hidden="1" x14ac:dyDescent="0.25">
      <c r="A2303" t="s">
        <v>98</v>
      </c>
      <c r="B2303" t="s">
        <v>1199</v>
      </c>
      <c r="D2303" t="s">
        <v>1722</v>
      </c>
      <c r="E2303" t="s">
        <v>284</v>
      </c>
      <c r="F2303" t="s">
        <v>360</v>
      </c>
      <c r="G2303" t="s">
        <v>103</v>
      </c>
      <c r="H2303" t="s">
        <v>104</v>
      </c>
      <c r="I2303">
        <v>2022</v>
      </c>
      <c r="J2303" t="s">
        <v>361</v>
      </c>
      <c r="K2303" t="s">
        <v>106</v>
      </c>
      <c r="L2303" t="s">
        <v>2669</v>
      </c>
      <c r="M2303" t="s">
        <v>2703</v>
      </c>
      <c r="N2303">
        <v>1</v>
      </c>
      <c r="O2303">
        <v>2020</v>
      </c>
      <c r="P2303">
        <v>30.743231458982891</v>
      </c>
      <c r="Q2303">
        <v>0.75530083267302539</v>
      </c>
      <c r="R2303" t="s">
        <v>289</v>
      </c>
      <c r="S2303">
        <v>85.752844444444449</v>
      </c>
      <c r="T2303" t="s">
        <v>290</v>
      </c>
      <c r="U2303">
        <v>85.752844444444449</v>
      </c>
      <c r="V2303">
        <v>30.743231458982891</v>
      </c>
      <c r="W2303">
        <v>0.75530083267302539</v>
      </c>
      <c r="X2303" t="s">
        <v>291</v>
      </c>
      <c r="Y2303">
        <v>10</v>
      </c>
      <c r="Z2303">
        <v>0.30963119843953862</v>
      </c>
      <c r="AA2303">
        <v>1</v>
      </c>
    </row>
    <row r="2304" spans="1:27" hidden="1" x14ac:dyDescent="0.25">
      <c r="A2304" t="s">
        <v>98</v>
      </c>
      <c r="B2304" t="s">
        <v>1199</v>
      </c>
      <c r="D2304" t="s">
        <v>1722</v>
      </c>
      <c r="E2304" t="s">
        <v>284</v>
      </c>
      <c r="F2304" t="s">
        <v>360</v>
      </c>
      <c r="G2304" t="s">
        <v>112</v>
      </c>
      <c r="H2304" t="s">
        <v>104</v>
      </c>
      <c r="I2304">
        <v>2022</v>
      </c>
      <c r="J2304" t="s">
        <v>363</v>
      </c>
      <c r="K2304" t="s">
        <v>106</v>
      </c>
      <c r="L2304" t="s">
        <v>2669</v>
      </c>
      <c r="M2304" t="s">
        <v>2704</v>
      </c>
      <c r="N2304">
        <v>1</v>
      </c>
      <c r="O2304">
        <v>2020</v>
      </c>
      <c r="P2304">
        <v>30.995290460986698</v>
      </c>
      <c r="Q2304">
        <v>1.07624732944957</v>
      </c>
      <c r="R2304" t="s">
        <v>289</v>
      </c>
      <c r="S2304">
        <v>91.18482905982907</v>
      </c>
      <c r="T2304" t="s">
        <v>290</v>
      </c>
      <c r="U2304">
        <v>91.18482905982907</v>
      </c>
      <c r="V2304">
        <v>30.995290460986698</v>
      </c>
      <c r="W2304">
        <v>1.07624732944957</v>
      </c>
      <c r="X2304" t="s">
        <v>291</v>
      </c>
      <c r="Y2304">
        <v>10</v>
      </c>
      <c r="Z2304">
        <v>0.30963119843953862</v>
      </c>
      <c r="AA2304">
        <v>1</v>
      </c>
    </row>
    <row r="2305" spans="1:27" hidden="1" x14ac:dyDescent="0.25">
      <c r="A2305" t="s">
        <v>98</v>
      </c>
      <c r="B2305" t="s">
        <v>1199</v>
      </c>
      <c r="D2305" t="s">
        <v>1722</v>
      </c>
      <c r="E2305" t="s">
        <v>284</v>
      </c>
      <c r="F2305" t="s">
        <v>365</v>
      </c>
      <c r="G2305" t="s">
        <v>103</v>
      </c>
      <c r="H2305" t="s">
        <v>104</v>
      </c>
      <c r="I2305">
        <v>2022</v>
      </c>
      <c r="J2305" t="s">
        <v>366</v>
      </c>
      <c r="K2305" t="s">
        <v>106</v>
      </c>
      <c r="L2305" t="s">
        <v>2669</v>
      </c>
      <c r="M2305" t="s">
        <v>2705</v>
      </c>
      <c r="N2305">
        <v>1</v>
      </c>
      <c r="O2305">
        <v>2020</v>
      </c>
      <c r="P2305">
        <v>34.581332645158973</v>
      </c>
      <c r="Q2305">
        <v>1.926881708285624</v>
      </c>
      <c r="R2305" t="s">
        <v>289</v>
      </c>
      <c r="S2305">
        <v>115.45533602622641</v>
      </c>
      <c r="T2305" t="s">
        <v>290</v>
      </c>
      <c r="U2305">
        <v>115.45533602622641</v>
      </c>
      <c r="V2305">
        <v>34.581332645158973</v>
      </c>
      <c r="W2305">
        <v>1.926881708285624</v>
      </c>
      <c r="X2305" t="s">
        <v>291</v>
      </c>
      <c r="Y2305">
        <v>10</v>
      </c>
      <c r="Z2305">
        <v>0.30963119843953862</v>
      </c>
      <c r="AA2305">
        <v>1</v>
      </c>
    </row>
    <row r="2306" spans="1:27" hidden="1" x14ac:dyDescent="0.25">
      <c r="A2306" t="s">
        <v>98</v>
      </c>
      <c r="B2306" t="s">
        <v>1199</v>
      </c>
      <c r="D2306" t="s">
        <v>1722</v>
      </c>
      <c r="E2306" t="s">
        <v>284</v>
      </c>
      <c r="F2306" t="s">
        <v>365</v>
      </c>
      <c r="G2306" t="s">
        <v>112</v>
      </c>
      <c r="H2306" t="s">
        <v>104</v>
      </c>
      <c r="I2306">
        <v>2022</v>
      </c>
      <c r="J2306" t="s">
        <v>368</v>
      </c>
      <c r="K2306" t="s">
        <v>106</v>
      </c>
      <c r="L2306" t="s">
        <v>2669</v>
      </c>
      <c r="M2306" t="s">
        <v>2706</v>
      </c>
      <c r="N2306">
        <v>1</v>
      </c>
      <c r="O2306">
        <v>2020</v>
      </c>
      <c r="P2306">
        <v>44.653862333829821</v>
      </c>
      <c r="Q2306">
        <v>2.4693086643180591</v>
      </c>
      <c r="R2306" t="s">
        <v>289</v>
      </c>
      <c r="S2306">
        <v>130.6177318295739</v>
      </c>
      <c r="T2306" t="s">
        <v>290</v>
      </c>
      <c r="U2306">
        <v>130.6177318295739</v>
      </c>
      <c r="V2306">
        <v>44.653862333829821</v>
      </c>
      <c r="W2306">
        <v>2.4693086643180591</v>
      </c>
      <c r="X2306" t="s">
        <v>291</v>
      </c>
      <c r="Y2306">
        <v>10</v>
      </c>
      <c r="Z2306">
        <v>0.30963119843953862</v>
      </c>
      <c r="AA2306">
        <v>1</v>
      </c>
    </row>
    <row r="2307" spans="1:27" hidden="1" x14ac:dyDescent="0.25">
      <c r="A2307" t="s">
        <v>98</v>
      </c>
      <c r="B2307" t="s">
        <v>1199</v>
      </c>
      <c r="D2307" t="s">
        <v>1722</v>
      </c>
      <c r="E2307" t="s">
        <v>284</v>
      </c>
      <c r="F2307" t="s">
        <v>365</v>
      </c>
      <c r="G2307" t="s">
        <v>103</v>
      </c>
      <c r="H2307" t="s">
        <v>104</v>
      </c>
      <c r="I2307">
        <v>2023</v>
      </c>
      <c r="J2307" t="s">
        <v>370</v>
      </c>
      <c r="K2307" t="s">
        <v>106</v>
      </c>
      <c r="L2307" t="s">
        <v>2669</v>
      </c>
      <c r="M2307" t="s">
        <v>2707</v>
      </c>
      <c r="N2307">
        <v>1</v>
      </c>
      <c r="O2307">
        <v>2023</v>
      </c>
      <c r="P2307">
        <v>34.353918735727063</v>
      </c>
      <c r="Q2307">
        <v>1.893397965391721</v>
      </c>
      <c r="R2307" t="s">
        <v>289</v>
      </c>
      <c r="S2307">
        <v>115.45533602622641</v>
      </c>
      <c r="T2307" t="s">
        <v>290</v>
      </c>
      <c r="U2307">
        <v>115.45533602622641</v>
      </c>
      <c r="V2307">
        <v>34.353918735727063</v>
      </c>
      <c r="W2307">
        <v>1.893397965391721</v>
      </c>
      <c r="X2307" t="s">
        <v>291</v>
      </c>
      <c r="Y2307">
        <v>10</v>
      </c>
      <c r="Z2307">
        <v>0.30963119843953862</v>
      </c>
      <c r="AA2307">
        <v>1</v>
      </c>
    </row>
    <row r="2308" spans="1:27" hidden="1" x14ac:dyDescent="0.25">
      <c r="A2308" t="s">
        <v>98</v>
      </c>
      <c r="B2308" t="s">
        <v>1199</v>
      </c>
      <c r="D2308" t="s">
        <v>1722</v>
      </c>
      <c r="E2308" t="s">
        <v>284</v>
      </c>
      <c r="F2308" t="s">
        <v>365</v>
      </c>
      <c r="G2308" t="s">
        <v>112</v>
      </c>
      <c r="H2308" t="s">
        <v>104</v>
      </c>
      <c r="I2308">
        <v>2023</v>
      </c>
      <c r="J2308" t="s">
        <v>372</v>
      </c>
      <c r="K2308" t="s">
        <v>106</v>
      </c>
      <c r="L2308" t="s">
        <v>2669</v>
      </c>
      <c r="M2308" t="s">
        <v>2708</v>
      </c>
      <c r="N2308">
        <v>1</v>
      </c>
      <c r="O2308">
        <v>2023</v>
      </c>
      <c r="P2308">
        <v>43.733464606512037</v>
      </c>
      <c r="Q2308">
        <v>2.4042644647868401</v>
      </c>
      <c r="R2308" t="s">
        <v>289</v>
      </c>
      <c r="S2308">
        <v>130.6177318295739</v>
      </c>
      <c r="T2308" t="s">
        <v>290</v>
      </c>
      <c r="U2308">
        <v>130.6177318295739</v>
      </c>
      <c r="V2308">
        <v>43.733464606512037</v>
      </c>
      <c r="W2308">
        <v>2.4042644647868401</v>
      </c>
      <c r="X2308" t="s">
        <v>291</v>
      </c>
      <c r="Y2308">
        <v>10</v>
      </c>
      <c r="Z2308">
        <v>0.30963119843953862</v>
      </c>
      <c r="AA2308">
        <v>1</v>
      </c>
    </row>
    <row r="2309" spans="1:27" hidden="1" x14ac:dyDescent="0.25">
      <c r="A2309" t="s">
        <v>98</v>
      </c>
      <c r="B2309" t="s">
        <v>1199</v>
      </c>
      <c r="D2309" t="s">
        <v>1722</v>
      </c>
      <c r="E2309" t="s">
        <v>284</v>
      </c>
      <c r="F2309" t="s">
        <v>365</v>
      </c>
      <c r="G2309" t="s">
        <v>103</v>
      </c>
      <c r="H2309" t="s">
        <v>104</v>
      </c>
      <c r="I2309">
        <v>2024</v>
      </c>
      <c r="J2309" t="s">
        <v>374</v>
      </c>
      <c r="K2309" t="s">
        <v>106</v>
      </c>
      <c r="L2309" t="s">
        <v>2669</v>
      </c>
      <c r="M2309" t="s">
        <v>2709</v>
      </c>
      <c r="N2309">
        <v>1</v>
      </c>
      <c r="O2309">
        <v>2024</v>
      </c>
      <c r="P2309">
        <v>34.353918735727063</v>
      </c>
      <c r="Q2309">
        <v>1.893397965391721</v>
      </c>
      <c r="R2309" t="s">
        <v>289</v>
      </c>
      <c r="S2309">
        <v>115.45533602622641</v>
      </c>
      <c r="T2309" t="s">
        <v>290</v>
      </c>
      <c r="U2309">
        <v>115.45533602622641</v>
      </c>
      <c r="V2309">
        <v>34.353918735727063</v>
      </c>
      <c r="W2309">
        <v>1.893397965391721</v>
      </c>
      <c r="X2309" t="s">
        <v>291</v>
      </c>
      <c r="Y2309">
        <v>10</v>
      </c>
      <c r="Z2309">
        <v>0.30963119843953862</v>
      </c>
      <c r="AA2309">
        <v>1</v>
      </c>
    </row>
    <row r="2310" spans="1:27" hidden="1" x14ac:dyDescent="0.25">
      <c r="A2310" t="s">
        <v>98</v>
      </c>
      <c r="B2310" t="s">
        <v>1199</v>
      </c>
      <c r="D2310" t="s">
        <v>1722</v>
      </c>
      <c r="E2310" t="s">
        <v>284</v>
      </c>
      <c r="F2310" t="s">
        <v>365</v>
      </c>
      <c r="G2310" t="s">
        <v>112</v>
      </c>
      <c r="H2310" t="s">
        <v>104</v>
      </c>
      <c r="I2310">
        <v>2024</v>
      </c>
      <c r="J2310" t="s">
        <v>376</v>
      </c>
      <c r="K2310" t="s">
        <v>106</v>
      </c>
      <c r="L2310" t="s">
        <v>2669</v>
      </c>
      <c r="M2310" t="s">
        <v>2710</v>
      </c>
      <c r="N2310">
        <v>1</v>
      </c>
      <c r="O2310">
        <v>2024</v>
      </c>
      <c r="P2310">
        <v>43.733464606512037</v>
      </c>
      <c r="Q2310">
        <v>2.4042644647868401</v>
      </c>
      <c r="R2310" t="s">
        <v>289</v>
      </c>
      <c r="S2310">
        <v>130.6177318295739</v>
      </c>
      <c r="T2310" t="s">
        <v>290</v>
      </c>
      <c r="U2310">
        <v>130.6177318295739</v>
      </c>
      <c r="V2310">
        <v>43.733464606512037</v>
      </c>
      <c r="W2310">
        <v>2.4042644647868401</v>
      </c>
      <c r="X2310" t="s">
        <v>291</v>
      </c>
      <c r="Y2310">
        <v>10</v>
      </c>
      <c r="Z2310">
        <v>0.30963119843953862</v>
      </c>
      <c r="AA2310">
        <v>1</v>
      </c>
    </row>
    <row r="2311" spans="1:27" hidden="1" x14ac:dyDescent="0.25">
      <c r="A2311" t="s">
        <v>98</v>
      </c>
      <c r="B2311" t="s">
        <v>1199</v>
      </c>
      <c r="D2311" t="s">
        <v>1722</v>
      </c>
      <c r="E2311" t="s">
        <v>284</v>
      </c>
      <c r="F2311" t="s">
        <v>365</v>
      </c>
      <c r="G2311" t="s">
        <v>103</v>
      </c>
      <c r="H2311" t="s">
        <v>104</v>
      </c>
      <c r="I2311">
        <v>2025</v>
      </c>
      <c r="J2311" t="s">
        <v>378</v>
      </c>
      <c r="K2311" t="s">
        <v>106</v>
      </c>
      <c r="L2311" t="s">
        <v>2669</v>
      </c>
      <c r="M2311" t="s">
        <v>2711</v>
      </c>
      <c r="N2311">
        <v>1</v>
      </c>
      <c r="O2311">
        <v>2025</v>
      </c>
      <c r="P2311">
        <v>34.353918735727063</v>
      </c>
      <c r="Q2311">
        <v>1.893397965391721</v>
      </c>
      <c r="R2311" t="s">
        <v>289</v>
      </c>
      <c r="S2311">
        <v>115.45533602622641</v>
      </c>
      <c r="T2311" t="s">
        <v>290</v>
      </c>
      <c r="U2311">
        <v>115.45533602622641</v>
      </c>
      <c r="V2311">
        <v>34.353918735727063</v>
      </c>
      <c r="W2311">
        <v>1.893397965391721</v>
      </c>
      <c r="X2311" t="s">
        <v>291</v>
      </c>
      <c r="Y2311">
        <v>10</v>
      </c>
      <c r="Z2311">
        <v>0.30963119843953862</v>
      </c>
      <c r="AA2311">
        <v>1</v>
      </c>
    </row>
    <row r="2312" spans="1:27" hidden="1" x14ac:dyDescent="0.25">
      <c r="A2312" t="s">
        <v>98</v>
      </c>
      <c r="B2312" t="s">
        <v>1199</v>
      </c>
      <c r="D2312" t="s">
        <v>1722</v>
      </c>
      <c r="E2312" t="s">
        <v>284</v>
      </c>
      <c r="F2312" t="s">
        <v>365</v>
      </c>
      <c r="G2312" t="s">
        <v>112</v>
      </c>
      <c r="H2312" t="s">
        <v>104</v>
      </c>
      <c r="I2312">
        <v>2025</v>
      </c>
      <c r="J2312" t="s">
        <v>380</v>
      </c>
      <c r="K2312" t="s">
        <v>106</v>
      </c>
      <c r="L2312" t="s">
        <v>2669</v>
      </c>
      <c r="M2312" t="s">
        <v>2712</v>
      </c>
      <c r="N2312">
        <v>1</v>
      </c>
      <c r="O2312">
        <v>2025</v>
      </c>
      <c r="P2312">
        <v>43.733464606512037</v>
      </c>
      <c r="Q2312">
        <v>2.4042644647868401</v>
      </c>
      <c r="R2312" t="s">
        <v>289</v>
      </c>
      <c r="S2312">
        <v>130.6177318295739</v>
      </c>
      <c r="T2312" t="s">
        <v>290</v>
      </c>
      <c r="U2312">
        <v>130.6177318295739</v>
      </c>
      <c r="V2312">
        <v>43.733464606512037</v>
      </c>
      <c r="W2312">
        <v>2.4042644647868401</v>
      </c>
      <c r="X2312" t="s">
        <v>291</v>
      </c>
      <c r="Y2312">
        <v>10</v>
      </c>
      <c r="Z2312">
        <v>0.30963119843953862</v>
      </c>
      <c r="AA2312">
        <v>1</v>
      </c>
    </row>
    <row r="2313" spans="1:27" hidden="1" x14ac:dyDescent="0.25">
      <c r="A2313" t="s">
        <v>98</v>
      </c>
      <c r="B2313" t="s">
        <v>1199</v>
      </c>
      <c r="D2313" t="s">
        <v>1722</v>
      </c>
      <c r="E2313" t="s">
        <v>284</v>
      </c>
      <c r="F2313" t="s">
        <v>365</v>
      </c>
      <c r="G2313" t="s">
        <v>103</v>
      </c>
      <c r="H2313" t="s">
        <v>104</v>
      </c>
      <c r="I2313">
        <v>2026</v>
      </c>
      <c r="J2313" t="s">
        <v>382</v>
      </c>
      <c r="K2313" t="s">
        <v>106</v>
      </c>
      <c r="L2313" t="s">
        <v>2669</v>
      </c>
      <c r="M2313" t="s">
        <v>2713</v>
      </c>
      <c r="N2313">
        <v>1</v>
      </c>
      <c r="O2313">
        <v>2026</v>
      </c>
      <c r="P2313">
        <v>34.353918735727063</v>
      </c>
      <c r="Q2313">
        <v>1.893397965391721</v>
      </c>
      <c r="R2313" t="s">
        <v>289</v>
      </c>
      <c r="S2313">
        <v>115.45533602622641</v>
      </c>
      <c r="T2313" t="s">
        <v>290</v>
      </c>
      <c r="U2313">
        <v>115.45533602622641</v>
      </c>
      <c r="V2313">
        <v>34.353918735727063</v>
      </c>
      <c r="W2313">
        <v>1.893397965391721</v>
      </c>
      <c r="X2313" t="s">
        <v>291</v>
      </c>
      <c r="Y2313">
        <v>10</v>
      </c>
      <c r="Z2313">
        <v>0.30963119843953862</v>
      </c>
      <c r="AA2313">
        <v>1</v>
      </c>
    </row>
    <row r="2314" spans="1:27" hidden="1" x14ac:dyDescent="0.25">
      <c r="A2314" t="s">
        <v>98</v>
      </c>
      <c r="B2314" t="s">
        <v>1199</v>
      </c>
      <c r="D2314" t="s">
        <v>1722</v>
      </c>
      <c r="E2314" t="s">
        <v>284</v>
      </c>
      <c r="F2314" t="s">
        <v>365</v>
      </c>
      <c r="G2314" t="s">
        <v>112</v>
      </c>
      <c r="H2314" t="s">
        <v>104</v>
      </c>
      <c r="I2314">
        <v>2026</v>
      </c>
      <c r="J2314" t="s">
        <v>384</v>
      </c>
      <c r="K2314" t="s">
        <v>106</v>
      </c>
      <c r="L2314" t="s">
        <v>2669</v>
      </c>
      <c r="M2314" t="s">
        <v>2714</v>
      </c>
      <c r="N2314">
        <v>1</v>
      </c>
      <c r="O2314">
        <v>2026</v>
      </c>
      <c r="P2314">
        <v>43.733464606512037</v>
      </c>
      <c r="Q2314">
        <v>2.4042644647868401</v>
      </c>
      <c r="R2314" t="s">
        <v>289</v>
      </c>
      <c r="S2314">
        <v>130.6177318295739</v>
      </c>
      <c r="T2314" t="s">
        <v>290</v>
      </c>
      <c r="U2314">
        <v>130.6177318295739</v>
      </c>
      <c r="V2314">
        <v>43.733464606512037</v>
      </c>
      <c r="W2314">
        <v>2.4042644647868401</v>
      </c>
      <c r="X2314" t="s">
        <v>291</v>
      </c>
      <c r="Y2314">
        <v>10</v>
      </c>
      <c r="Z2314">
        <v>0.30963119843953862</v>
      </c>
      <c r="AA2314">
        <v>1</v>
      </c>
    </row>
    <row r="2315" spans="1:27" hidden="1" x14ac:dyDescent="0.25">
      <c r="A2315" t="s">
        <v>98</v>
      </c>
      <c r="B2315" t="s">
        <v>1199</v>
      </c>
      <c r="D2315" t="s">
        <v>1722</v>
      </c>
      <c r="E2315" t="s">
        <v>284</v>
      </c>
      <c r="F2315" t="s">
        <v>365</v>
      </c>
      <c r="G2315" t="s">
        <v>103</v>
      </c>
      <c r="H2315" t="s">
        <v>104</v>
      </c>
      <c r="I2315">
        <v>2027</v>
      </c>
      <c r="J2315" t="s">
        <v>386</v>
      </c>
      <c r="K2315" t="s">
        <v>106</v>
      </c>
      <c r="L2315" t="s">
        <v>2669</v>
      </c>
      <c r="M2315" t="s">
        <v>2715</v>
      </c>
      <c r="N2315">
        <v>1</v>
      </c>
      <c r="O2315">
        <v>2027</v>
      </c>
      <c r="P2315">
        <v>34.353918735727063</v>
      </c>
      <c r="Q2315">
        <v>1.893397965391721</v>
      </c>
      <c r="R2315" t="s">
        <v>289</v>
      </c>
      <c r="S2315">
        <v>115.45533602622641</v>
      </c>
      <c r="T2315" t="s">
        <v>290</v>
      </c>
      <c r="U2315">
        <v>115.45533602622641</v>
      </c>
      <c r="V2315">
        <v>34.353918735727063</v>
      </c>
      <c r="W2315">
        <v>1.893397965391721</v>
      </c>
      <c r="X2315" t="s">
        <v>291</v>
      </c>
      <c r="Y2315">
        <v>10</v>
      </c>
      <c r="Z2315">
        <v>0.30963119843953862</v>
      </c>
      <c r="AA2315">
        <v>1</v>
      </c>
    </row>
    <row r="2316" spans="1:27" hidden="1" x14ac:dyDescent="0.25">
      <c r="A2316" t="s">
        <v>98</v>
      </c>
      <c r="B2316" t="s">
        <v>1199</v>
      </c>
      <c r="D2316" t="s">
        <v>1722</v>
      </c>
      <c r="E2316" t="s">
        <v>284</v>
      </c>
      <c r="F2316" t="s">
        <v>365</v>
      </c>
      <c r="G2316" t="s">
        <v>112</v>
      </c>
      <c r="H2316" t="s">
        <v>104</v>
      </c>
      <c r="I2316">
        <v>2027</v>
      </c>
      <c r="J2316" t="s">
        <v>388</v>
      </c>
      <c r="K2316" t="s">
        <v>106</v>
      </c>
      <c r="L2316" t="s">
        <v>2669</v>
      </c>
      <c r="M2316" t="s">
        <v>2716</v>
      </c>
      <c r="N2316">
        <v>1</v>
      </c>
      <c r="O2316">
        <v>2027</v>
      </c>
      <c r="P2316">
        <v>43.733464606512037</v>
      </c>
      <c r="Q2316">
        <v>2.4042644647868401</v>
      </c>
      <c r="R2316" t="s">
        <v>289</v>
      </c>
      <c r="S2316">
        <v>130.6177318295739</v>
      </c>
      <c r="T2316" t="s">
        <v>290</v>
      </c>
      <c r="U2316">
        <v>130.6177318295739</v>
      </c>
      <c r="V2316">
        <v>43.733464606512037</v>
      </c>
      <c r="W2316">
        <v>2.4042644647868401</v>
      </c>
      <c r="X2316" t="s">
        <v>291</v>
      </c>
      <c r="Y2316">
        <v>10</v>
      </c>
      <c r="Z2316">
        <v>0.30963119843953862</v>
      </c>
      <c r="AA2316">
        <v>1</v>
      </c>
    </row>
    <row r="2317" spans="1:27" hidden="1" x14ac:dyDescent="0.25">
      <c r="A2317" t="s">
        <v>98</v>
      </c>
      <c r="B2317" t="s">
        <v>1199</v>
      </c>
      <c r="D2317" t="s">
        <v>1722</v>
      </c>
      <c r="E2317" t="s">
        <v>284</v>
      </c>
      <c r="F2317" t="s">
        <v>365</v>
      </c>
      <c r="G2317" t="s">
        <v>103</v>
      </c>
      <c r="H2317" t="s">
        <v>104</v>
      </c>
      <c r="I2317">
        <v>2028</v>
      </c>
      <c r="J2317" t="s">
        <v>390</v>
      </c>
      <c r="K2317" t="s">
        <v>106</v>
      </c>
      <c r="L2317" t="s">
        <v>2669</v>
      </c>
      <c r="M2317" t="s">
        <v>2717</v>
      </c>
      <c r="N2317">
        <v>1</v>
      </c>
      <c r="O2317">
        <v>2028</v>
      </c>
      <c r="P2317">
        <v>34.353918735727063</v>
      </c>
      <c r="Q2317">
        <v>1.893397965391721</v>
      </c>
      <c r="R2317" t="s">
        <v>289</v>
      </c>
      <c r="S2317">
        <v>115.45533602622641</v>
      </c>
      <c r="T2317" t="s">
        <v>290</v>
      </c>
      <c r="U2317">
        <v>115.45533602622641</v>
      </c>
      <c r="V2317">
        <v>34.353918735727063</v>
      </c>
      <c r="W2317">
        <v>1.893397965391721</v>
      </c>
      <c r="X2317" t="s">
        <v>291</v>
      </c>
      <c r="Y2317">
        <v>10</v>
      </c>
      <c r="Z2317">
        <v>0.30963119843953862</v>
      </c>
      <c r="AA2317">
        <v>1</v>
      </c>
    </row>
    <row r="2318" spans="1:27" hidden="1" x14ac:dyDescent="0.25">
      <c r="A2318" t="s">
        <v>98</v>
      </c>
      <c r="B2318" t="s">
        <v>1199</v>
      </c>
      <c r="D2318" t="s">
        <v>1722</v>
      </c>
      <c r="E2318" t="s">
        <v>284</v>
      </c>
      <c r="F2318" t="s">
        <v>365</v>
      </c>
      <c r="G2318" t="s">
        <v>112</v>
      </c>
      <c r="H2318" t="s">
        <v>104</v>
      </c>
      <c r="I2318">
        <v>2028</v>
      </c>
      <c r="J2318" t="s">
        <v>392</v>
      </c>
      <c r="K2318" t="s">
        <v>106</v>
      </c>
      <c r="L2318" t="s">
        <v>2669</v>
      </c>
      <c r="M2318" t="s">
        <v>2718</v>
      </c>
      <c r="N2318">
        <v>1</v>
      </c>
      <c r="O2318">
        <v>2028</v>
      </c>
      <c r="P2318">
        <v>43.733464606512037</v>
      </c>
      <c r="Q2318">
        <v>2.4042644647868401</v>
      </c>
      <c r="R2318" t="s">
        <v>289</v>
      </c>
      <c r="S2318">
        <v>130.6177318295739</v>
      </c>
      <c r="T2318" t="s">
        <v>290</v>
      </c>
      <c r="U2318">
        <v>130.6177318295739</v>
      </c>
      <c r="V2318">
        <v>43.733464606512037</v>
      </c>
      <c r="W2318">
        <v>2.4042644647868401</v>
      </c>
      <c r="X2318" t="s">
        <v>291</v>
      </c>
      <c r="Y2318">
        <v>10</v>
      </c>
      <c r="Z2318">
        <v>0.30963119843953862</v>
      </c>
      <c r="AA2318">
        <v>1</v>
      </c>
    </row>
    <row r="2319" spans="1:27" hidden="1" x14ac:dyDescent="0.25">
      <c r="A2319" t="s">
        <v>98</v>
      </c>
      <c r="B2319" t="s">
        <v>1199</v>
      </c>
      <c r="D2319" t="s">
        <v>1722</v>
      </c>
      <c r="E2319" t="s">
        <v>284</v>
      </c>
      <c r="F2319" t="s">
        <v>365</v>
      </c>
      <c r="G2319" t="s">
        <v>103</v>
      </c>
      <c r="H2319" t="s">
        <v>104</v>
      </c>
      <c r="I2319">
        <v>2029</v>
      </c>
      <c r="J2319" t="s">
        <v>394</v>
      </c>
      <c r="K2319" t="s">
        <v>106</v>
      </c>
      <c r="L2319" t="s">
        <v>2669</v>
      </c>
      <c r="M2319" t="s">
        <v>2719</v>
      </c>
      <c r="N2319">
        <v>1</v>
      </c>
      <c r="O2319">
        <v>2029</v>
      </c>
      <c r="P2319">
        <v>34.353918735727063</v>
      </c>
      <c r="Q2319">
        <v>1.893397965391721</v>
      </c>
      <c r="R2319" t="s">
        <v>289</v>
      </c>
      <c r="S2319">
        <v>115.45533602622641</v>
      </c>
      <c r="T2319" t="s">
        <v>290</v>
      </c>
      <c r="U2319">
        <v>115.45533602622641</v>
      </c>
      <c r="V2319">
        <v>34.353918735727063</v>
      </c>
      <c r="W2319">
        <v>1.893397965391721</v>
      </c>
      <c r="X2319" t="s">
        <v>291</v>
      </c>
      <c r="Y2319">
        <v>10</v>
      </c>
      <c r="Z2319">
        <v>0.30963119843953862</v>
      </c>
      <c r="AA2319">
        <v>1</v>
      </c>
    </row>
    <row r="2320" spans="1:27" hidden="1" x14ac:dyDescent="0.25">
      <c r="A2320" t="s">
        <v>98</v>
      </c>
      <c r="B2320" t="s">
        <v>1199</v>
      </c>
      <c r="D2320" t="s">
        <v>1722</v>
      </c>
      <c r="E2320" t="s">
        <v>284</v>
      </c>
      <c r="F2320" t="s">
        <v>365</v>
      </c>
      <c r="G2320" t="s">
        <v>112</v>
      </c>
      <c r="H2320" t="s">
        <v>104</v>
      </c>
      <c r="I2320">
        <v>2029</v>
      </c>
      <c r="J2320" t="s">
        <v>396</v>
      </c>
      <c r="K2320" t="s">
        <v>106</v>
      </c>
      <c r="L2320" t="s">
        <v>2669</v>
      </c>
      <c r="M2320" t="s">
        <v>2720</v>
      </c>
      <c r="N2320">
        <v>1</v>
      </c>
      <c r="O2320">
        <v>2029</v>
      </c>
      <c r="P2320">
        <v>43.733464606512037</v>
      </c>
      <c r="Q2320">
        <v>2.4042644647868401</v>
      </c>
      <c r="R2320" t="s">
        <v>289</v>
      </c>
      <c r="S2320">
        <v>130.6177318295739</v>
      </c>
      <c r="T2320" t="s">
        <v>290</v>
      </c>
      <c r="U2320">
        <v>130.6177318295739</v>
      </c>
      <c r="V2320">
        <v>43.733464606512037</v>
      </c>
      <c r="W2320">
        <v>2.4042644647868401</v>
      </c>
      <c r="X2320" t="s">
        <v>291</v>
      </c>
      <c r="Y2320">
        <v>10</v>
      </c>
      <c r="Z2320">
        <v>0.30963119843953862</v>
      </c>
      <c r="AA2320">
        <v>1</v>
      </c>
    </row>
    <row r="2321" spans="1:27" hidden="1" x14ac:dyDescent="0.25">
      <c r="A2321" t="s">
        <v>98</v>
      </c>
      <c r="B2321" t="s">
        <v>1199</v>
      </c>
      <c r="D2321" t="s">
        <v>1722</v>
      </c>
      <c r="E2321" t="s">
        <v>284</v>
      </c>
      <c r="F2321" t="s">
        <v>355</v>
      </c>
      <c r="G2321" t="s">
        <v>103</v>
      </c>
      <c r="H2321" t="s">
        <v>104</v>
      </c>
      <c r="I2321">
        <v>2030</v>
      </c>
      <c r="J2321" t="s">
        <v>398</v>
      </c>
      <c r="K2321" t="s">
        <v>106</v>
      </c>
      <c r="L2321" t="s">
        <v>2669</v>
      </c>
      <c r="M2321" t="s">
        <v>2721</v>
      </c>
      <c r="N2321">
        <v>1</v>
      </c>
      <c r="O2321">
        <v>2030</v>
      </c>
      <c r="P2321">
        <v>22.026606087295281</v>
      </c>
      <c r="Q2321">
        <v>0.67594869632979349</v>
      </c>
      <c r="R2321" t="s">
        <v>289</v>
      </c>
      <c r="S2321">
        <v>87.209325187237212</v>
      </c>
      <c r="T2321" t="s">
        <v>290</v>
      </c>
      <c r="U2321">
        <v>87.209325187237212</v>
      </c>
      <c r="V2321">
        <v>22.026606087295281</v>
      </c>
      <c r="W2321">
        <v>0.67594869632979349</v>
      </c>
      <c r="X2321" t="s">
        <v>291</v>
      </c>
      <c r="Y2321">
        <v>10</v>
      </c>
      <c r="Z2321">
        <v>0.30963119843953862</v>
      </c>
      <c r="AA2321">
        <v>1</v>
      </c>
    </row>
    <row r="2322" spans="1:27" hidden="1" x14ac:dyDescent="0.25">
      <c r="A2322" t="s">
        <v>98</v>
      </c>
      <c r="B2322" t="s">
        <v>1199</v>
      </c>
      <c r="D2322" t="s">
        <v>1722</v>
      </c>
      <c r="E2322" t="s">
        <v>284</v>
      </c>
      <c r="F2322" t="s">
        <v>355</v>
      </c>
      <c r="G2322" t="s">
        <v>112</v>
      </c>
      <c r="H2322" t="s">
        <v>104</v>
      </c>
      <c r="I2322">
        <v>2030</v>
      </c>
      <c r="J2322" t="s">
        <v>400</v>
      </c>
      <c r="K2322" t="s">
        <v>106</v>
      </c>
      <c r="L2322" t="s">
        <v>2669</v>
      </c>
      <c r="M2322" t="s">
        <v>2722</v>
      </c>
      <c r="N2322">
        <v>1</v>
      </c>
      <c r="O2322">
        <v>2030</v>
      </c>
      <c r="P2322">
        <v>23.051216439564651</v>
      </c>
      <c r="Q2322">
        <v>0.88782640486853737</v>
      </c>
      <c r="R2322" t="s">
        <v>289</v>
      </c>
      <c r="S2322">
        <v>87.494679062376832</v>
      </c>
      <c r="T2322" t="s">
        <v>290</v>
      </c>
      <c r="U2322">
        <v>87.494679062376832</v>
      </c>
      <c r="V2322">
        <v>23.051216439564651</v>
      </c>
      <c r="W2322">
        <v>0.88782640486853737</v>
      </c>
      <c r="X2322" t="s">
        <v>291</v>
      </c>
      <c r="Y2322">
        <v>10</v>
      </c>
      <c r="Z2322">
        <v>0.30963119843953862</v>
      </c>
      <c r="AA2322">
        <v>1</v>
      </c>
    </row>
    <row r="2323" spans="1:27" hidden="1" x14ac:dyDescent="0.25">
      <c r="A2323" t="s">
        <v>98</v>
      </c>
      <c r="B2323" t="s">
        <v>1199</v>
      </c>
      <c r="D2323" t="s">
        <v>1722</v>
      </c>
      <c r="E2323" t="s">
        <v>284</v>
      </c>
      <c r="F2323" t="s">
        <v>360</v>
      </c>
      <c r="G2323" t="s">
        <v>103</v>
      </c>
      <c r="H2323" t="s">
        <v>104</v>
      </c>
      <c r="I2323">
        <v>2030</v>
      </c>
      <c r="J2323" t="s">
        <v>402</v>
      </c>
      <c r="K2323" t="s">
        <v>106</v>
      </c>
      <c r="L2323" t="s">
        <v>2669</v>
      </c>
      <c r="M2323" t="s">
        <v>2723</v>
      </c>
      <c r="N2323">
        <v>1</v>
      </c>
      <c r="O2323">
        <v>2030</v>
      </c>
      <c r="P2323">
        <v>32.03338343675982</v>
      </c>
      <c r="Q2323">
        <v>0.74367453538487105</v>
      </c>
      <c r="R2323" t="s">
        <v>289</v>
      </c>
      <c r="S2323">
        <v>80.816288888888892</v>
      </c>
      <c r="T2323" t="s">
        <v>290</v>
      </c>
      <c r="U2323">
        <v>80.816288888888892</v>
      </c>
      <c r="V2323">
        <v>32.03338343675982</v>
      </c>
      <c r="W2323">
        <v>0.74367453538487105</v>
      </c>
      <c r="X2323" t="s">
        <v>291</v>
      </c>
      <c r="Y2323">
        <v>10</v>
      </c>
      <c r="Z2323">
        <v>0.30963119843953862</v>
      </c>
      <c r="AA2323">
        <v>1</v>
      </c>
    </row>
    <row r="2324" spans="1:27" hidden="1" x14ac:dyDescent="0.25">
      <c r="A2324" t="s">
        <v>98</v>
      </c>
      <c r="B2324" t="s">
        <v>1199</v>
      </c>
      <c r="D2324" t="s">
        <v>1722</v>
      </c>
      <c r="E2324" t="s">
        <v>284</v>
      </c>
      <c r="F2324" t="s">
        <v>360</v>
      </c>
      <c r="G2324" t="s">
        <v>112</v>
      </c>
      <c r="H2324" t="s">
        <v>104</v>
      </c>
      <c r="I2324">
        <v>2030</v>
      </c>
      <c r="J2324" t="s">
        <v>404</v>
      </c>
      <c r="K2324" t="s">
        <v>106</v>
      </c>
      <c r="L2324" t="s">
        <v>2669</v>
      </c>
      <c r="M2324" t="s">
        <v>2724</v>
      </c>
      <c r="N2324">
        <v>1</v>
      </c>
      <c r="O2324">
        <v>2030</v>
      </c>
      <c r="P2324">
        <v>30.04097222030375</v>
      </c>
      <c r="Q2324">
        <v>1.0503155304453009</v>
      </c>
      <c r="R2324" t="s">
        <v>289</v>
      </c>
      <c r="S2324">
        <v>90.329273504273502</v>
      </c>
      <c r="T2324" t="s">
        <v>290</v>
      </c>
      <c r="U2324">
        <v>90.329273504273502</v>
      </c>
      <c r="V2324">
        <v>30.04097222030375</v>
      </c>
      <c r="W2324">
        <v>1.0503155304453009</v>
      </c>
      <c r="X2324" t="s">
        <v>291</v>
      </c>
      <c r="Y2324">
        <v>10</v>
      </c>
      <c r="Z2324">
        <v>0.30963119843953862</v>
      </c>
      <c r="AA2324">
        <v>1</v>
      </c>
    </row>
    <row r="2325" spans="1:27" hidden="1" x14ac:dyDescent="0.25">
      <c r="A2325" t="s">
        <v>98</v>
      </c>
      <c r="B2325" t="s">
        <v>1199</v>
      </c>
      <c r="D2325" t="s">
        <v>1722</v>
      </c>
      <c r="E2325" t="s">
        <v>284</v>
      </c>
      <c r="F2325" t="s">
        <v>365</v>
      </c>
      <c r="G2325" t="s">
        <v>103</v>
      </c>
      <c r="H2325" t="s">
        <v>104</v>
      </c>
      <c r="I2325">
        <v>2030</v>
      </c>
      <c r="J2325" t="s">
        <v>406</v>
      </c>
      <c r="K2325" t="s">
        <v>106</v>
      </c>
      <c r="L2325" t="s">
        <v>2669</v>
      </c>
      <c r="M2325" t="s">
        <v>2725</v>
      </c>
      <c r="N2325">
        <v>1</v>
      </c>
      <c r="O2325">
        <v>2030</v>
      </c>
      <c r="P2325">
        <v>23.710775767327672</v>
      </c>
      <c r="Q2325">
        <v>1.668845649337886</v>
      </c>
      <c r="R2325" t="s">
        <v>289</v>
      </c>
      <c r="S2325">
        <v>154.72558108377279</v>
      </c>
      <c r="T2325" t="s">
        <v>290</v>
      </c>
      <c r="U2325">
        <v>154.72558108377279</v>
      </c>
      <c r="V2325">
        <v>23.710775767327672</v>
      </c>
      <c r="W2325">
        <v>1.668845649337886</v>
      </c>
      <c r="X2325" t="s">
        <v>291</v>
      </c>
      <c r="Y2325">
        <v>10</v>
      </c>
      <c r="Z2325">
        <v>0.30963119843953862</v>
      </c>
      <c r="AA2325">
        <v>1</v>
      </c>
    </row>
    <row r="2326" spans="1:27" hidden="1" x14ac:dyDescent="0.25">
      <c r="A2326" t="s">
        <v>98</v>
      </c>
      <c r="B2326" t="s">
        <v>1199</v>
      </c>
      <c r="D2326" t="s">
        <v>1722</v>
      </c>
      <c r="E2326" t="s">
        <v>284</v>
      </c>
      <c r="F2326" t="s">
        <v>365</v>
      </c>
      <c r="G2326" t="s">
        <v>112</v>
      </c>
      <c r="H2326" t="s">
        <v>104</v>
      </c>
      <c r="I2326">
        <v>2030</v>
      </c>
      <c r="J2326" t="s">
        <v>408</v>
      </c>
      <c r="K2326" t="s">
        <v>106</v>
      </c>
      <c r="L2326" t="s">
        <v>2669</v>
      </c>
      <c r="M2326" t="s">
        <v>2726</v>
      </c>
      <c r="N2326">
        <v>1</v>
      </c>
      <c r="O2326">
        <v>2030</v>
      </c>
      <c r="P2326">
        <v>28.858905605402359</v>
      </c>
      <c r="Q2326">
        <v>2.128664396371156</v>
      </c>
      <c r="R2326" t="s">
        <v>289</v>
      </c>
      <c r="S2326">
        <v>176.3746647164572</v>
      </c>
      <c r="T2326" t="s">
        <v>290</v>
      </c>
      <c r="U2326">
        <v>176.3746647164572</v>
      </c>
      <c r="V2326">
        <v>28.858905605402359</v>
      </c>
      <c r="W2326">
        <v>2.128664396371156</v>
      </c>
      <c r="X2326" t="s">
        <v>291</v>
      </c>
      <c r="Y2326">
        <v>10</v>
      </c>
      <c r="Z2326">
        <v>0.30963119843953862</v>
      </c>
      <c r="AA2326">
        <v>1</v>
      </c>
    </row>
    <row r="2327" spans="1:27" hidden="1" x14ac:dyDescent="0.25">
      <c r="A2327" t="s">
        <v>98</v>
      </c>
      <c r="B2327" t="s">
        <v>1199</v>
      </c>
      <c r="D2327" t="s">
        <v>1722</v>
      </c>
      <c r="E2327" t="s">
        <v>284</v>
      </c>
      <c r="F2327" t="s">
        <v>355</v>
      </c>
      <c r="G2327" t="s">
        <v>103</v>
      </c>
      <c r="H2327" t="s">
        <v>104</v>
      </c>
      <c r="I2327">
        <v>2040</v>
      </c>
      <c r="J2327" t="s">
        <v>410</v>
      </c>
      <c r="K2327" t="s">
        <v>106</v>
      </c>
      <c r="L2327" t="s">
        <v>2669</v>
      </c>
      <c r="M2327" t="s">
        <v>2727</v>
      </c>
      <c r="N2327">
        <v>1</v>
      </c>
      <c r="O2327">
        <v>2040</v>
      </c>
      <c r="P2327">
        <v>22.159986853322259</v>
      </c>
      <c r="Q2327">
        <v>0.64769049265200085</v>
      </c>
      <c r="R2327" t="s">
        <v>289</v>
      </c>
      <c r="S2327">
        <v>85.846844985289152</v>
      </c>
      <c r="T2327" t="s">
        <v>290</v>
      </c>
      <c r="U2327">
        <v>85.846844985289152</v>
      </c>
      <c r="V2327">
        <v>22.159986853322259</v>
      </c>
      <c r="W2327">
        <v>0.64769049265200085</v>
      </c>
      <c r="X2327" t="s">
        <v>291</v>
      </c>
      <c r="Y2327">
        <v>10</v>
      </c>
      <c r="Z2327">
        <v>0.30963119843953862</v>
      </c>
      <c r="AA2327">
        <v>1</v>
      </c>
    </row>
    <row r="2328" spans="1:27" hidden="1" x14ac:dyDescent="0.25">
      <c r="A2328" t="s">
        <v>98</v>
      </c>
      <c r="B2328" t="s">
        <v>1199</v>
      </c>
      <c r="D2328" t="s">
        <v>1722</v>
      </c>
      <c r="E2328" t="s">
        <v>284</v>
      </c>
      <c r="F2328" t="s">
        <v>355</v>
      </c>
      <c r="G2328" t="s">
        <v>112</v>
      </c>
      <c r="H2328" t="s">
        <v>104</v>
      </c>
      <c r="I2328">
        <v>2040</v>
      </c>
      <c r="J2328" t="s">
        <v>412</v>
      </c>
      <c r="K2328" t="s">
        <v>106</v>
      </c>
      <c r="L2328" t="s">
        <v>2669</v>
      </c>
      <c r="M2328" t="s">
        <v>2728</v>
      </c>
      <c r="N2328">
        <v>1</v>
      </c>
      <c r="O2328">
        <v>2040</v>
      </c>
      <c r="P2328">
        <v>22.287209700822071</v>
      </c>
      <c r="Q2328">
        <v>0.78348370867951755</v>
      </c>
      <c r="R2328" t="s">
        <v>289</v>
      </c>
      <c r="S2328">
        <v>88.372750377742747</v>
      </c>
      <c r="T2328" t="s">
        <v>290</v>
      </c>
      <c r="U2328">
        <v>88.372750377742747</v>
      </c>
      <c r="V2328">
        <v>22.287209700822071</v>
      </c>
      <c r="W2328">
        <v>0.78348370867951755</v>
      </c>
      <c r="X2328" t="s">
        <v>291</v>
      </c>
      <c r="Y2328">
        <v>10</v>
      </c>
      <c r="Z2328">
        <v>0.30963119843953862</v>
      </c>
      <c r="AA2328">
        <v>1</v>
      </c>
    </row>
    <row r="2329" spans="1:27" hidden="1" x14ac:dyDescent="0.25">
      <c r="A2329" t="s">
        <v>98</v>
      </c>
      <c r="B2329" t="s">
        <v>1199</v>
      </c>
      <c r="D2329" t="s">
        <v>1722</v>
      </c>
      <c r="E2329" t="s">
        <v>284</v>
      </c>
      <c r="F2329" t="s">
        <v>360</v>
      </c>
      <c r="G2329" t="s">
        <v>103</v>
      </c>
      <c r="H2329" t="s">
        <v>104</v>
      </c>
      <c r="I2329">
        <v>2040</v>
      </c>
      <c r="J2329" t="s">
        <v>414</v>
      </c>
      <c r="K2329" t="s">
        <v>106</v>
      </c>
      <c r="L2329" t="s">
        <v>2669</v>
      </c>
      <c r="M2329" t="s">
        <v>2729</v>
      </c>
      <c r="N2329">
        <v>1</v>
      </c>
      <c r="O2329">
        <v>2040</v>
      </c>
      <c r="P2329">
        <v>28.721945226708339</v>
      </c>
      <c r="Q2329">
        <v>0.72978219131721256</v>
      </c>
      <c r="R2329" t="s">
        <v>289</v>
      </c>
      <c r="S2329">
        <v>80.816288888888892</v>
      </c>
      <c r="T2329" t="s">
        <v>290</v>
      </c>
      <c r="U2329">
        <v>80.816288888888892</v>
      </c>
      <c r="V2329">
        <v>28.721945226708339</v>
      </c>
      <c r="W2329">
        <v>0.72978219131721256</v>
      </c>
      <c r="X2329" t="s">
        <v>291</v>
      </c>
      <c r="Y2329">
        <v>10</v>
      </c>
      <c r="Z2329">
        <v>0.30963119843953862</v>
      </c>
      <c r="AA2329">
        <v>1</v>
      </c>
    </row>
    <row r="2330" spans="1:27" hidden="1" x14ac:dyDescent="0.25">
      <c r="A2330" t="s">
        <v>98</v>
      </c>
      <c r="B2330" t="s">
        <v>1199</v>
      </c>
      <c r="D2330" t="s">
        <v>1722</v>
      </c>
      <c r="E2330" t="s">
        <v>284</v>
      </c>
      <c r="F2330" t="s">
        <v>360</v>
      </c>
      <c r="G2330" t="s">
        <v>112</v>
      </c>
      <c r="H2330" t="s">
        <v>104</v>
      </c>
      <c r="I2330">
        <v>2040</v>
      </c>
      <c r="J2330" t="s">
        <v>416</v>
      </c>
      <c r="K2330" t="s">
        <v>106</v>
      </c>
      <c r="L2330" t="s">
        <v>2669</v>
      </c>
      <c r="M2330" t="s">
        <v>2730</v>
      </c>
      <c r="N2330">
        <v>1</v>
      </c>
      <c r="O2330">
        <v>2040</v>
      </c>
      <c r="P2330">
        <v>33.197275628385512</v>
      </c>
      <c r="Q2330">
        <v>1.1034319170477349</v>
      </c>
      <c r="R2330" t="s">
        <v>289</v>
      </c>
      <c r="S2330">
        <v>93.34643874643875</v>
      </c>
      <c r="T2330" t="s">
        <v>290</v>
      </c>
      <c r="U2330">
        <v>93.34643874643875</v>
      </c>
      <c r="V2330">
        <v>33.197275628385512</v>
      </c>
      <c r="W2330">
        <v>1.1034319170477349</v>
      </c>
      <c r="X2330" t="s">
        <v>291</v>
      </c>
      <c r="Y2330">
        <v>10</v>
      </c>
      <c r="Z2330">
        <v>0.30963119843953862</v>
      </c>
      <c r="AA2330">
        <v>1</v>
      </c>
    </row>
    <row r="2331" spans="1:27" hidden="1" x14ac:dyDescent="0.25">
      <c r="A2331" t="s">
        <v>98</v>
      </c>
      <c r="B2331" t="s">
        <v>1199</v>
      </c>
      <c r="D2331" t="s">
        <v>1722</v>
      </c>
      <c r="E2331" t="s">
        <v>284</v>
      </c>
      <c r="F2331" t="s">
        <v>365</v>
      </c>
      <c r="G2331" t="s">
        <v>103</v>
      </c>
      <c r="H2331" t="s">
        <v>104</v>
      </c>
      <c r="I2331">
        <v>2040</v>
      </c>
      <c r="J2331" t="s">
        <v>418</v>
      </c>
      <c r="K2331" t="s">
        <v>106</v>
      </c>
      <c r="L2331" t="s">
        <v>2669</v>
      </c>
      <c r="M2331" t="s">
        <v>2731</v>
      </c>
      <c r="N2331">
        <v>1</v>
      </c>
      <c r="O2331">
        <v>2040</v>
      </c>
      <c r="P2331">
        <v>22.333975775561878</v>
      </c>
      <c r="Q2331">
        <v>1.552983156443519</v>
      </c>
      <c r="R2331" t="s">
        <v>289</v>
      </c>
      <c r="S2331">
        <v>181.1420784222461</v>
      </c>
      <c r="T2331" t="s">
        <v>290</v>
      </c>
      <c r="U2331">
        <v>181.1420784222461</v>
      </c>
      <c r="V2331">
        <v>22.333975775561878</v>
      </c>
      <c r="W2331">
        <v>1.552983156443519</v>
      </c>
      <c r="X2331" t="s">
        <v>291</v>
      </c>
      <c r="Y2331">
        <v>10</v>
      </c>
      <c r="Z2331">
        <v>0.30963119843953862</v>
      </c>
      <c r="AA2331">
        <v>1</v>
      </c>
    </row>
    <row r="2332" spans="1:27" hidden="1" x14ac:dyDescent="0.25">
      <c r="A2332" t="s">
        <v>98</v>
      </c>
      <c r="B2332" t="s">
        <v>1199</v>
      </c>
      <c r="D2332" t="s">
        <v>1722</v>
      </c>
      <c r="E2332" t="s">
        <v>284</v>
      </c>
      <c r="F2332" t="s">
        <v>365</v>
      </c>
      <c r="G2332" t="s">
        <v>112</v>
      </c>
      <c r="H2332" t="s">
        <v>104</v>
      </c>
      <c r="I2332">
        <v>2040</v>
      </c>
      <c r="J2332" t="s">
        <v>420</v>
      </c>
      <c r="K2332" t="s">
        <v>106</v>
      </c>
      <c r="L2332" t="s">
        <v>2669</v>
      </c>
      <c r="M2332" t="s">
        <v>2732</v>
      </c>
      <c r="N2332">
        <v>1</v>
      </c>
      <c r="O2332">
        <v>2040</v>
      </c>
      <c r="P2332">
        <v>27.009726996743201</v>
      </c>
      <c r="Q2332">
        <v>1.971842815426603</v>
      </c>
      <c r="R2332" t="s">
        <v>289</v>
      </c>
      <c r="S2332">
        <v>206.50467814395611</v>
      </c>
      <c r="T2332" t="s">
        <v>290</v>
      </c>
      <c r="U2332">
        <v>206.50467814395611</v>
      </c>
      <c r="V2332">
        <v>27.009726996743201</v>
      </c>
      <c r="W2332">
        <v>1.971842815426603</v>
      </c>
      <c r="X2332" t="s">
        <v>291</v>
      </c>
      <c r="Y2332">
        <v>10</v>
      </c>
      <c r="Z2332">
        <v>0.30963119843953862</v>
      </c>
      <c r="AA2332">
        <v>1</v>
      </c>
    </row>
    <row r="2333" spans="1:27" hidden="1" x14ac:dyDescent="0.25">
      <c r="A2333" t="s">
        <v>98</v>
      </c>
      <c r="B2333" t="s">
        <v>1199</v>
      </c>
      <c r="D2333" t="s">
        <v>1722</v>
      </c>
      <c r="E2333" t="s">
        <v>284</v>
      </c>
      <c r="F2333" t="s">
        <v>422</v>
      </c>
      <c r="G2333" t="s">
        <v>103</v>
      </c>
      <c r="H2333" t="s">
        <v>104</v>
      </c>
      <c r="I2333">
        <v>2022</v>
      </c>
      <c r="J2333" t="s">
        <v>423</v>
      </c>
      <c r="K2333" t="s">
        <v>106</v>
      </c>
      <c r="L2333" t="s">
        <v>2669</v>
      </c>
      <c r="M2333" t="s">
        <v>2733</v>
      </c>
      <c r="N2333">
        <v>1</v>
      </c>
      <c r="O2333">
        <v>2020</v>
      </c>
      <c r="P2333">
        <v>22.570490905245428</v>
      </c>
      <c r="Q2333">
        <v>0.77947598919167282</v>
      </c>
      <c r="R2333" t="s">
        <v>289</v>
      </c>
      <c r="S2333">
        <v>59.465873015873022</v>
      </c>
      <c r="T2333" t="s">
        <v>290</v>
      </c>
      <c r="U2333">
        <v>59.465873015873022</v>
      </c>
      <c r="V2333">
        <v>22.570490905245428</v>
      </c>
      <c r="W2333">
        <v>0.77947598919167282</v>
      </c>
      <c r="X2333" t="s">
        <v>291</v>
      </c>
      <c r="Y2333">
        <v>10</v>
      </c>
      <c r="Z2333">
        <v>0.30963119843953862</v>
      </c>
      <c r="AA2333">
        <v>1</v>
      </c>
    </row>
    <row r="2334" spans="1:27" hidden="1" x14ac:dyDescent="0.25">
      <c r="A2334" t="s">
        <v>98</v>
      </c>
      <c r="B2334" t="s">
        <v>1199</v>
      </c>
      <c r="D2334" t="s">
        <v>1722</v>
      </c>
      <c r="E2334" t="s">
        <v>284</v>
      </c>
      <c r="F2334" t="s">
        <v>425</v>
      </c>
      <c r="G2334" t="s">
        <v>103</v>
      </c>
      <c r="H2334" t="s">
        <v>104</v>
      </c>
      <c r="I2334">
        <v>2022</v>
      </c>
      <c r="J2334" t="s">
        <v>426</v>
      </c>
      <c r="K2334" t="s">
        <v>106</v>
      </c>
      <c r="L2334" t="s">
        <v>2669</v>
      </c>
      <c r="M2334" t="s">
        <v>2734</v>
      </c>
      <c r="N2334">
        <v>1</v>
      </c>
      <c r="O2334">
        <v>2020</v>
      </c>
      <c r="P2334">
        <v>20.699165146358741</v>
      </c>
      <c r="Q2334">
        <v>1.111231451610436</v>
      </c>
      <c r="R2334" t="s">
        <v>289</v>
      </c>
      <c r="S2334">
        <v>74.054444444444442</v>
      </c>
      <c r="T2334" t="s">
        <v>290</v>
      </c>
      <c r="U2334">
        <v>74.054444444444442</v>
      </c>
      <c r="V2334">
        <v>20.699165146358741</v>
      </c>
      <c r="W2334">
        <v>1.111231451610436</v>
      </c>
      <c r="X2334" t="s">
        <v>291</v>
      </c>
      <c r="Y2334">
        <v>10</v>
      </c>
      <c r="Z2334">
        <v>0.30963119843953862</v>
      </c>
      <c r="AA2334">
        <v>1</v>
      </c>
    </row>
    <row r="2335" spans="1:27" hidden="1" x14ac:dyDescent="0.25">
      <c r="A2335" t="s">
        <v>98</v>
      </c>
      <c r="B2335" t="s">
        <v>1199</v>
      </c>
      <c r="D2335" t="s">
        <v>1722</v>
      </c>
      <c r="E2335" t="s">
        <v>284</v>
      </c>
      <c r="F2335" t="s">
        <v>428</v>
      </c>
      <c r="G2335" t="s">
        <v>103</v>
      </c>
      <c r="H2335" t="s">
        <v>104</v>
      </c>
      <c r="I2335">
        <v>2022</v>
      </c>
      <c r="J2335" t="s">
        <v>429</v>
      </c>
      <c r="K2335" t="s">
        <v>106</v>
      </c>
      <c r="L2335" t="s">
        <v>2669</v>
      </c>
      <c r="M2335" t="s">
        <v>2735</v>
      </c>
      <c r="N2335">
        <v>1</v>
      </c>
      <c r="O2335">
        <v>2020</v>
      </c>
      <c r="P2335">
        <v>25.347672779313449</v>
      </c>
      <c r="Q2335">
        <v>0.56400508525842741</v>
      </c>
      <c r="R2335" t="s">
        <v>289</v>
      </c>
      <c r="S2335">
        <v>77.810944444444459</v>
      </c>
      <c r="T2335" t="s">
        <v>290</v>
      </c>
      <c r="U2335">
        <v>77.810944444444459</v>
      </c>
      <c r="V2335">
        <v>25.347672779313449</v>
      </c>
      <c r="W2335">
        <v>0.56400508525842741</v>
      </c>
      <c r="X2335" t="s">
        <v>291</v>
      </c>
      <c r="Y2335">
        <v>10</v>
      </c>
      <c r="Z2335">
        <v>0.30963119843953862</v>
      </c>
      <c r="AA2335">
        <v>1</v>
      </c>
    </row>
    <row r="2336" spans="1:27" hidden="1" x14ac:dyDescent="0.25">
      <c r="A2336" t="s">
        <v>98</v>
      </c>
      <c r="B2336" t="s">
        <v>1199</v>
      </c>
      <c r="D2336" t="s">
        <v>1722</v>
      </c>
      <c r="E2336" t="s">
        <v>284</v>
      </c>
      <c r="F2336" t="s">
        <v>425</v>
      </c>
      <c r="G2336" t="s">
        <v>103</v>
      </c>
      <c r="H2336" t="s">
        <v>104</v>
      </c>
      <c r="I2336">
        <v>2030</v>
      </c>
      <c r="J2336" t="s">
        <v>431</v>
      </c>
      <c r="K2336" t="s">
        <v>106</v>
      </c>
      <c r="L2336" t="s">
        <v>2669</v>
      </c>
      <c r="M2336" t="s">
        <v>2736</v>
      </c>
      <c r="N2336">
        <v>1</v>
      </c>
      <c r="O2336">
        <v>2030</v>
      </c>
      <c r="P2336">
        <v>20.230705085538521</v>
      </c>
      <c r="Q2336">
        <v>1.0951903363739519</v>
      </c>
      <c r="R2336" t="s">
        <v>289</v>
      </c>
      <c r="S2336">
        <v>79.81</v>
      </c>
      <c r="T2336" t="s">
        <v>290</v>
      </c>
      <c r="U2336">
        <v>79.81</v>
      </c>
      <c r="V2336">
        <v>20.230705085538521</v>
      </c>
      <c r="W2336">
        <v>1.0951903363739519</v>
      </c>
      <c r="X2336" t="s">
        <v>291</v>
      </c>
      <c r="Y2336">
        <v>10</v>
      </c>
      <c r="Z2336">
        <v>0.30963119843953862</v>
      </c>
      <c r="AA2336">
        <v>1</v>
      </c>
    </row>
    <row r="2337" spans="1:27" hidden="1" x14ac:dyDescent="0.25">
      <c r="A2337" t="s">
        <v>98</v>
      </c>
      <c r="B2337" t="s">
        <v>1199</v>
      </c>
      <c r="D2337" t="s">
        <v>1722</v>
      </c>
      <c r="E2337" t="s">
        <v>284</v>
      </c>
      <c r="F2337" t="s">
        <v>428</v>
      </c>
      <c r="G2337" t="s">
        <v>103</v>
      </c>
      <c r="H2337" t="s">
        <v>104</v>
      </c>
      <c r="I2337">
        <v>2030</v>
      </c>
      <c r="J2337" t="s">
        <v>433</v>
      </c>
      <c r="K2337" t="s">
        <v>106</v>
      </c>
      <c r="L2337" t="s">
        <v>2669</v>
      </c>
      <c r="M2337" t="s">
        <v>2737</v>
      </c>
      <c r="N2337">
        <v>1</v>
      </c>
      <c r="O2337">
        <v>2030</v>
      </c>
      <c r="P2337">
        <v>24.67049407605251</v>
      </c>
      <c r="Q2337">
        <v>0.55731249361340607</v>
      </c>
      <c r="R2337" t="s">
        <v>289</v>
      </c>
      <c r="S2337">
        <v>84.367500000000007</v>
      </c>
      <c r="T2337" t="s">
        <v>290</v>
      </c>
      <c r="U2337">
        <v>84.367500000000007</v>
      </c>
      <c r="V2337">
        <v>24.67049407605251</v>
      </c>
      <c r="W2337">
        <v>0.55731249361340607</v>
      </c>
      <c r="X2337" t="s">
        <v>291</v>
      </c>
      <c r="Y2337">
        <v>10</v>
      </c>
      <c r="Z2337">
        <v>0.30963119843953862</v>
      </c>
      <c r="AA2337">
        <v>1</v>
      </c>
    </row>
    <row r="2338" spans="1:27" hidden="1" x14ac:dyDescent="0.25">
      <c r="A2338" t="s">
        <v>98</v>
      </c>
      <c r="B2338" t="s">
        <v>1199</v>
      </c>
      <c r="D2338" t="s">
        <v>1722</v>
      </c>
      <c r="E2338" t="s">
        <v>284</v>
      </c>
      <c r="F2338" t="s">
        <v>425</v>
      </c>
      <c r="G2338" t="s">
        <v>103</v>
      </c>
      <c r="H2338" t="s">
        <v>104</v>
      </c>
      <c r="I2338">
        <v>2040</v>
      </c>
      <c r="J2338" t="s">
        <v>435</v>
      </c>
      <c r="K2338" t="s">
        <v>106</v>
      </c>
      <c r="L2338" t="s">
        <v>2669</v>
      </c>
      <c r="M2338" t="s">
        <v>2738</v>
      </c>
      <c r="N2338">
        <v>1</v>
      </c>
      <c r="O2338">
        <v>2040</v>
      </c>
      <c r="P2338">
        <v>19.670938877469698</v>
      </c>
      <c r="Q2338">
        <v>1.076022695415618</v>
      </c>
      <c r="R2338" t="s">
        <v>289</v>
      </c>
      <c r="S2338">
        <v>79.81</v>
      </c>
      <c r="T2338" t="s">
        <v>290</v>
      </c>
      <c r="U2338">
        <v>79.81</v>
      </c>
      <c r="V2338">
        <v>19.670938877469698</v>
      </c>
      <c r="W2338">
        <v>1.076022695415618</v>
      </c>
      <c r="X2338" t="s">
        <v>291</v>
      </c>
      <c r="Y2338">
        <v>10</v>
      </c>
      <c r="Z2338">
        <v>0.30963119843953862</v>
      </c>
      <c r="AA2338">
        <v>1</v>
      </c>
    </row>
    <row r="2339" spans="1:27" hidden="1" x14ac:dyDescent="0.25">
      <c r="A2339" t="s">
        <v>98</v>
      </c>
      <c r="B2339" t="s">
        <v>1199</v>
      </c>
      <c r="D2339" t="s">
        <v>1722</v>
      </c>
      <c r="E2339" t="s">
        <v>284</v>
      </c>
      <c r="F2339" t="s">
        <v>428</v>
      </c>
      <c r="G2339" t="s">
        <v>103</v>
      </c>
      <c r="H2339" t="s">
        <v>104</v>
      </c>
      <c r="I2339">
        <v>2040</v>
      </c>
      <c r="J2339" t="s">
        <v>437</v>
      </c>
      <c r="K2339" t="s">
        <v>106</v>
      </c>
      <c r="L2339" t="s">
        <v>2669</v>
      </c>
      <c r="M2339" t="s">
        <v>2739</v>
      </c>
      <c r="N2339">
        <v>1</v>
      </c>
      <c r="O2339">
        <v>2040</v>
      </c>
      <c r="P2339">
        <v>23.861328500132039</v>
      </c>
      <c r="Q2339">
        <v>0.54931546897756556</v>
      </c>
      <c r="R2339" t="s">
        <v>289</v>
      </c>
      <c r="S2339">
        <v>84.367500000000007</v>
      </c>
      <c r="T2339" t="s">
        <v>290</v>
      </c>
      <c r="U2339">
        <v>84.367500000000007</v>
      </c>
      <c r="V2339">
        <v>23.861328500132039</v>
      </c>
      <c r="W2339">
        <v>0.54931546897756556</v>
      </c>
      <c r="X2339" t="s">
        <v>291</v>
      </c>
      <c r="Y2339">
        <v>10</v>
      </c>
      <c r="Z2339">
        <v>0.30963119843953862</v>
      </c>
      <c r="AA2339">
        <v>1</v>
      </c>
    </row>
    <row r="2340" spans="1:27" hidden="1" x14ac:dyDescent="0.25">
      <c r="A2340" t="s">
        <v>98</v>
      </c>
      <c r="B2340" t="s">
        <v>1199</v>
      </c>
      <c r="D2340" t="s">
        <v>1722</v>
      </c>
      <c r="E2340" t="s">
        <v>439</v>
      </c>
      <c r="F2340" t="s">
        <v>440</v>
      </c>
      <c r="G2340" t="s">
        <v>245</v>
      </c>
      <c r="H2340" t="s">
        <v>104</v>
      </c>
      <c r="I2340">
        <v>2022</v>
      </c>
      <c r="J2340" t="s">
        <v>441</v>
      </c>
      <c r="K2340" t="s">
        <v>106</v>
      </c>
      <c r="L2340" t="s">
        <v>2740</v>
      </c>
      <c r="M2340" t="s">
        <v>2741</v>
      </c>
      <c r="N2340">
        <v>1</v>
      </c>
      <c r="O2340">
        <v>2020</v>
      </c>
      <c r="P2340">
        <v>831.12625331024003</v>
      </c>
      <c r="Q2340">
        <v>84.323656568982784</v>
      </c>
      <c r="R2340" t="s">
        <v>109</v>
      </c>
      <c r="S2340">
        <v>2.8957310176295739</v>
      </c>
      <c r="T2340" t="s">
        <v>110</v>
      </c>
      <c r="U2340">
        <v>1</v>
      </c>
      <c r="V2340">
        <v>8212.0648964814554</v>
      </c>
      <c r="W2340">
        <v>833.17226148867417</v>
      </c>
      <c r="X2340" t="s">
        <v>111</v>
      </c>
      <c r="Y2340">
        <v>10</v>
      </c>
      <c r="Z2340">
        <v>0.44</v>
      </c>
      <c r="AA2340">
        <v>31.536000000000001</v>
      </c>
    </row>
    <row r="2341" spans="1:27" hidden="1" x14ac:dyDescent="0.25">
      <c r="A2341" t="s">
        <v>98</v>
      </c>
      <c r="B2341" t="s">
        <v>1199</v>
      </c>
      <c r="D2341" t="s">
        <v>1722</v>
      </c>
      <c r="E2341" t="s">
        <v>439</v>
      </c>
      <c r="F2341" t="s">
        <v>440</v>
      </c>
      <c r="G2341" t="s">
        <v>103</v>
      </c>
      <c r="H2341" t="s">
        <v>104</v>
      </c>
      <c r="I2341">
        <v>2022</v>
      </c>
      <c r="J2341" t="s">
        <v>444</v>
      </c>
      <c r="K2341" t="s">
        <v>106</v>
      </c>
      <c r="L2341" t="s">
        <v>2740</v>
      </c>
      <c r="M2341" t="s">
        <v>2742</v>
      </c>
      <c r="N2341">
        <v>1</v>
      </c>
      <c r="O2341">
        <v>2020</v>
      </c>
      <c r="P2341">
        <v>1031.6192027056411</v>
      </c>
      <c r="Q2341">
        <v>84.323656568982784</v>
      </c>
      <c r="R2341" t="s">
        <v>109</v>
      </c>
      <c r="S2341">
        <v>3.1136892662683588</v>
      </c>
      <c r="T2341" t="s">
        <v>110</v>
      </c>
      <c r="U2341">
        <v>1.075268817204301</v>
      </c>
      <c r="V2341">
        <v>10193.06490119123</v>
      </c>
      <c r="W2341">
        <v>833.17226148867428</v>
      </c>
      <c r="X2341" t="s">
        <v>111</v>
      </c>
      <c r="Y2341">
        <v>10</v>
      </c>
      <c r="Z2341">
        <v>0.44</v>
      </c>
      <c r="AA2341">
        <v>31.536000000000001</v>
      </c>
    </row>
    <row r="2342" spans="1:27" hidden="1" x14ac:dyDescent="0.25">
      <c r="A2342" t="s">
        <v>98</v>
      </c>
      <c r="B2342" t="s">
        <v>1199</v>
      </c>
      <c r="D2342" t="s">
        <v>1722</v>
      </c>
      <c r="E2342" t="s">
        <v>439</v>
      </c>
      <c r="F2342" t="s">
        <v>440</v>
      </c>
      <c r="G2342" t="s">
        <v>112</v>
      </c>
      <c r="H2342" t="s">
        <v>104</v>
      </c>
      <c r="I2342">
        <v>2022</v>
      </c>
      <c r="J2342" t="s">
        <v>446</v>
      </c>
      <c r="K2342" t="s">
        <v>106</v>
      </c>
      <c r="L2342" t="s">
        <v>2740</v>
      </c>
      <c r="M2342" t="s">
        <v>2743</v>
      </c>
      <c r="N2342">
        <v>1</v>
      </c>
      <c r="O2342">
        <v>2020</v>
      </c>
      <c r="P2342">
        <v>1137.4723035050019</v>
      </c>
      <c r="Q2342">
        <v>84.323656568982784</v>
      </c>
      <c r="R2342" t="s">
        <v>109</v>
      </c>
      <c r="S2342">
        <v>3.348052974482107</v>
      </c>
      <c r="T2342" t="s">
        <v>110</v>
      </c>
      <c r="U2342">
        <v>1.156203029251937</v>
      </c>
      <c r="V2342">
        <v>11238.961995400419</v>
      </c>
      <c r="W2342">
        <v>833.17226148867417</v>
      </c>
      <c r="X2342" t="s">
        <v>111</v>
      </c>
      <c r="Y2342">
        <v>10</v>
      </c>
      <c r="Z2342">
        <v>0.44</v>
      </c>
      <c r="AA2342">
        <v>31.536000000000001</v>
      </c>
    </row>
    <row r="2343" spans="1:27" hidden="1" x14ac:dyDescent="0.25">
      <c r="A2343" t="s">
        <v>98</v>
      </c>
      <c r="B2343" t="s">
        <v>1199</v>
      </c>
      <c r="D2343" t="s">
        <v>1722</v>
      </c>
      <c r="E2343" t="s">
        <v>439</v>
      </c>
      <c r="F2343" t="s">
        <v>440</v>
      </c>
      <c r="G2343" t="s">
        <v>103</v>
      </c>
      <c r="H2343" t="s">
        <v>104</v>
      </c>
      <c r="I2343">
        <v>2030</v>
      </c>
      <c r="J2343" t="s">
        <v>448</v>
      </c>
      <c r="K2343" t="s">
        <v>106</v>
      </c>
      <c r="L2343" t="s">
        <v>2740</v>
      </c>
      <c r="M2343" t="s">
        <v>2744</v>
      </c>
      <c r="N2343">
        <v>0</v>
      </c>
      <c r="O2343">
        <v>2030</v>
      </c>
      <c r="P2343">
        <v>1031.6192027056411</v>
      </c>
      <c r="Q2343">
        <v>84.323656568982784</v>
      </c>
      <c r="R2343" t="s">
        <v>109</v>
      </c>
      <c r="S2343">
        <v>3.1136892662683588</v>
      </c>
      <c r="T2343" t="s">
        <v>110</v>
      </c>
      <c r="U2343">
        <v>1.075268817204301</v>
      </c>
      <c r="V2343">
        <v>10193.06490119123</v>
      </c>
      <c r="W2343">
        <v>833.17226148867428</v>
      </c>
      <c r="X2343" t="s">
        <v>111</v>
      </c>
      <c r="Y2343">
        <v>10</v>
      </c>
      <c r="Z2343">
        <v>0.44</v>
      </c>
      <c r="AA2343">
        <v>31.536000000000001</v>
      </c>
    </row>
    <row r="2344" spans="1:27" hidden="1" x14ac:dyDescent="0.25">
      <c r="A2344" t="s">
        <v>98</v>
      </c>
      <c r="B2344" t="s">
        <v>1199</v>
      </c>
      <c r="D2344" t="s">
        <v>1722</v>
      </c>
      <c r="E2344" t="s">
        <v>439</v>
      </c>
      <c r="F2344" t="s">
        <v>440</v>
      </c>
      <c r="G2344" t="s">
        <v>112</v>
      </c>
      <c r="H2344" t="s">
        <v>104</v>
      </c>
      <c r="I2344">
        <v>2030</v>
      </c>
      <c r="J2344" t="s">
        <v>450</v>
      </c>
      <c r="K2344" t="s">
        <v>106</v>
      </c>
      <c r="L2344" t="s">
        <v>2740</v>
      </c>
      <c r="M2344" t="s">
        <v>2745</v>
      </c>
      <c r="N2344">
        <v>0</v>
      </c>
      <c r="O2344">
        <v>2030</v>
      </c>
      <c r="P2344">
        <v>1137.4723035050019</v>
      </c>
      <c r="Q2344">
        <v>84.323656568982784</v>
      </c>
      <c r="R2344" t="s">
        <v>109</v>
      </c>
      <c r="S2344">
        <v>3.348052974482107</v>
      </c>
      <c r="T2344" t="s">
        <v>110</v>
      </c>
      <c r="U2344">
        <v>1.156203029251937</v>
      </c>
      <c r="V2344">
        <v>11238.961995400419</v>
      </c>
      <c r="W2344">
        <v>833.17226148867417</v>
      </c>
      <c r="X2344" t="s">
        <v>111</v>
      </c>
      <c r="Y2344">
        <v>10</v>
      </c>
      <c r="Z2344">
        <v>0.44</v>
      </c>
      <c r="AA2344">
        <v>31.536000000000001</v>
      </c>
    </row>
    <row r="2345" spans="1:27" hidden="1" x14ac:dyDescent="0.25">
      <c r="A2345" t="s">
        <v>98</v>
      </c>
      <c r="B2345" t="s">
        <v>1199</v>
      </c>
      <c r="D2345" t="s">
        <v>1722</v>
      </c>
      <c r="E2345" t="s">
        <v>439</v>
      </c>
      <c r="F2345" t="s">
        <v>440</v>
      </c>
      <c r="G2345" t="s">
        <v>103</v>
      </c>
      <c r="H2345" t="s">
        <v>104</v>
      </c>
      <c r="I2345">
        <v>2040</v>
      </c>
      <c r="J2345" t="s">
        <v>452</v>
      </c>
      <c r="K2345" t="s">
        <v>106</v>
      </c>
      <c r="L2345" t="s">
        <v>2740</v>
      </c>
      <c r="M2345" t="s">
        <v>2746</v>
      </c>
      <c r="N2345">
        <v>0</v>
      </c>
      <c r="O2345">
        <v>2040</v>
      </c>
      <c r="P2345">
        <v>1031.6192027056411</v>
      </c>
      <c r="Q2345">
        <v>84.323656568982784</v>
      </c>
      <c r="R2345" t="s">
        <v>109</v>
      </c>
      <c r="S2345">
        <v>3.1136892662683588</v>
      </c>
      <c r="T2345" t="s">
        <v>110</v>
      </c>
      <c r="U2345">
        <v>1.075268817204301</v>
      </c>
      <c r="V2345">
        <v>10193.06490119123</v>
      </c>
      <c r="W2345">
        <v>833.17226148867428</v>
      </c>
      <c r="X2345" t="s">
        <v>111</v>
      </c>
      <c r="Y2345">
        <v>10</v>
      </c>
      <c r="Z2345">
        <v>0.44</v>
      </c>
      <c r="AA2345">
        <v>31.536000000000001</v>
      </c>
    </row>
    <row r="2346" spans="1:27" hidden="1" x14ac:dyDescent="0.25">
      <c r="A2346" t="s">
        <v>98</v>
      </c>
      <c r="B2346" t="s">
        <v>1199</v>
      </c>
      <c r="D2346" t="s">
        <v>1722</v>
      </c>
      <c r="E2346" t="s">
        <v>439</v>
      </c>
      <c r="F2346" t="s">
        <v>440</v>
      </c>
      <c r="G2346" t="s">
        <v>112</v>
      </c>
      <c r="H2346" t="s">
        <v>104</v>
      </c>
      <c r="I2346">
        <v>2040</v>
      </c>
      <c r="J2346" t="s">
        <v>454</v>
      </c>
      <c r="K2346" t="s">
        <v>106</v>
      </c>
      <c r="L2346" t="s">
        <v>2740</v>
      </c>
      <c r="M2346" t="s">
        <v>2747</v>
      </c>
      <c r="N2346">
        <v>0</v>
      </c>
      <c r="O2346">
        <v>2040</v>
      </c>
      <c r="P2346">
        <v>1137.4723035050019</v>
      </c>
      <c r="Q2346">
        <v>84.323656568982784</v>
      </c>
      <c r="R2346" t="s">
        <v>109</v>
      </c>
      <c r="S2346">
        <v>3.348052974482107</v>
      </c>
      <c r="T2346" t="s">
        <v>110</v>
      </c>
      <c r="U2346">
        <v>1.156203029251937</v>
      </c>
      <c r="V2346">
        <v>11238.961995400419</v>
      </c>
      <c r="W2346">
        <v>833.17226148867417</v>
      </c>
      <c r="X2346" t="s">
        <v>111</v>
      </c>
      <c r="Y2346">
        <v>10</v>
      </c>
      <c r="Z2346">
        <v>0.44</v>
      </c>
      <c r="AA2346">
        <v>31.536000000000001</v>
      </c>
    </row>
    <row r="2347" spans="1:27" hidden="1" x14ac:dyDescent="0.25">
      <c r="A2347" t="s">
        <v>98</v>
      </c>
      <c r="B2347" t="s">
        <v>1199</v>
      </c>
      <c r="D2347" t="s">
        <v>1722</v>
      </c>
      <c r="E2347" t="s">
        <v>439</v>
      </c>
      <c r="F2347" t="s">
        <v>440</v>
      </c>
      <c r="G2347" t="s">
        <v>103</v>
      </c>
      <c r="H2347" t="s">
        <v>104</v>
      </c>
      <c r="I2347">
        <v>2050</v>
      </c>
      <c r="J2347" t="s">
        <v>456</v>
      </c>
      <c r="K2347" t="s">
        <v>106</v>
      </c>
      <c r="L2347" t="s">
        <v>2740</v>
      </c>
      <c r="M2347" t="s">
        <v>2748</v>
      </c>
      <c r="N2347">
        <v>0</v>
      </c>
      <c r="O2347">
        <v>2050</v>
      </c>
      <c r="P2347">
        <v>1031.6192027056411</v>
      </c>
      <c r="Q2347">
        <v>84.323656568982784</v>
      </c>
      <c r="R2347" t="s">
        <v>109</v>
      </c>
      <c r="S2347">
        <v>3.1136892662683588</v>
      </c>
      <c r="T2347" t="s">
        <v>110</v>
      </c>
      <c r="U2347">
        <v>1.075268817204301</v>
      </c>
      <c r="V2347">
        <v>10193.06490119123</v>
      </c>
      <c r="W2347">
        <v>833.17226148867428</v>
      </c>
      <c r="X2347" t="s">
        <v>111</v>
      </c>
      <c r="Y2347">
        <v>10</v>
      </c>
      <c r="Z2347">
        <v>0.44</v>
      </c>
      <c r="AA2347">
        <v>31.536000000000001</v>
      </c>
    </row>
    <row r="2348" spans="1:27" hidden="1" x14ac:dyDescent="0.25">
      <c r="A2348" t="s">
        <v>98</v>
      </c>
      <c r="B2348" t="s">
        <v>1199</v>
      </c>
      <c r="D2348" t="s">
        <v>1722</v>
      </c>
      <c r="E2348" t="s">
        <v>439</v>
      </c>
      <c r="F2348" t="s">
        <v>440</v>
      </c>
      <c r="G2348" t="s">
        <v>112</v>
      </c>
      <c r="H2348" t="s">
        <v>104</v>
      </c>
      <c r="I2348">
        <v>2050</v>
      </c>
      <c r="J2348" t="s">
        <v>458</v>
      </c>
      <c r="K2348" t="s">
        <v>106</v>
      </c>
      <c r="L2348" t="s">
        <v>2740</v>
      </c>
      <c r="M2348" t="s">
        <v>2749</v>
      </c>
      <c r="N2348">
        <v>0</v>
      </c>
      <c r="O2348">
        <v>2050</v>
      </c>
      <c r="P2348">
        <v>1137.4723035050019</v>
      </c>
      <c r="Q2348">
        <v>84.323656568982784</v>
      </c>
      <c r="R2348" t="s">
        <v>109</v>
      </c>
      <c r="S2348">
        <v>3.348052974482107</v>
      </c>
      <c r="T2348" t="s">
        <v>110</v>
      </c>
      <c r="U2348">
        <v>1.156203029251937</v>
      </c>
      <c r="V2348">
        <v>11238.961995400419</v>
      </c>
      <c r="W2348">
        <v>833.17226148867417</v>
      </c>
      <c r="X2348" t="s">
        <v>111</v>
      </c>
      <c r="Y2348">
        <v>10</v>
      </c>
      <c r="Z2348">
        <v>0.44</v>
      </c>
      <c r="AA2348">
        <v>31.536000000000001</v>
      </c>
    </row>
    <row r="2349" spans="1:27" hidden="1" x14ac:dyDescent="0.25">
      <c r="A2349" t="s">
        <v>98</v>
      </c>
      <c r="B2349" t="s">
        <v>1199</v>
      </c>
      <c r="D2349" t="s">
        <v>1722</v>
      </c>
      <c r="E2349" t="s">
        <v>439</v>
      </c>
      <c r="F2349" t="s">
        <v>460</v>
      </c>
      <c r="G2349" t="s">
        <v>245</v>
      </c>
      <c r="H2349" t="s">
        <v>104</v>
      </c>
      <c r="I2349">
        <v>2022</v>
      </c>
      <c r="J2349" t="s">
        <v>461</v>
      </c>
      <c r="K2349" t="s">
        <v>106</v>
      </c>
      <c r="L2349" t="s">
        <v>2740</v>
      </c>
      <c r="M2349" t="s">
        <v>2750</v>
      </c>
      <c r="N2349">
        <v>1</v>
      </c>
      <c r="O2349">
        <v>2020</v>
      </c>
      <c r="P2349">
        <v>520.8323861248623</v>
      </c>
      <c r="Q2349">
        <v>19.17492366827851</v>
      </c>
      <c r="R2349" t="s">
        <v>109</v>
      </c>
      <c r="S2349">
        <v>5.9841517746527506</v>
      </c>
      <c r="T2349" t="s">
        <v>110</v>
      </c>
      <c r="U2349">
        <v>2.066542692750287</v>
      </c>
      <c r="V2349">
        <v>5146.1608125259299</v>
      </c>
      <c r="W2349">
        <v>189.46064682931279</v>
      </c>
      <c r="X2349" t="s">
        <v>111</v>
      </c>
      <c r="Y2349">
        <v>10</v>
      </c>
      <c r="Z2349">
        <v>0.44</v>
      </c>
      <c r="AA2349">
        <v>31.536000000000001</v>
      </c>
    </row>
    <row r="2350" spans="1:27" hidden="1" x14ac:dyDescent="0.25">
      <c r="A2350" t="s">
        <v>98</v>
      </c>
      <c r="B2350" t="s">
        <v>1199</v>
      </c>
      <c r="D2350" t="s">
        <v>1722</v>
      </c>
      <c r="E2350" t="s">
        <v>439</v>
      </c>
      <c r="F2350" t="s">
        <v>460</v>
      </c>
      <c r="G2350" t="s">
        <v>103</v>
      </c>
      <c r="H2350" t="s">
        <v>104</v>
      </c>
      <c r="I2350">
        <v>2022</v>
      </c>
      <c r="J2350" t="s">
        <v>463</v>
      </c>
      <c r="K2350" t="s">
        <v>106</v>
      </c>
      <c r="L2350" t="s">
        <v>2740</v>
      </c>
      <c r="M2350" t="s">
        <v>2751</v>
      </c>
      <c r="N2350">
        <v>1</v>
      </c>
      <c r="O2350">
        <v>2020</v>
      </c>
      <c r="P2350">
        <v>619.22047419033993</v>
      </c>
      <c r="Q2350">
        <v>19.17492366827851</v>
      </c>
      <c r="R2350" t="s">
        <v>109</v>
      </c>
      <c r="S2350">
        <v>6.5013006934499016</v>
      </c>
      <c r="T2350" t="s">
        <v>110</v>
      </c>
      <c r="U2350">
        <v>2.2451328020003118</v>
      </c>
      <c r="V2350">
        <v>6118.2987530812006</v>
      </c>
      <c r="W2350">
        <v>189.46064682931279</v>
      </c>
      <c r="X2350" t="s">
        <v>111</v>
      </c>
      <c r="Y2350">
        <v>10</v>
      </c>
      <c r="Z2350">
        <v>0.44</v>
      </c>
      <c r="AA2350">
        <v>31.536000000000001</v>
      </c>
    </row>
    <row r="2351" spans="1:27" hidden="1" x14ac:dyDescent="0.25">
      <c r="A2351" t="s">
        <v>98</v>
      </c>
      <c r="B2351" t="s">
        <v>1199</v>
      </c>
      <c r="D2351" t="s">
        <v>1722</v>
      </c>
      <c r="E2351" t="s">
        <v>439</v>
      </c>
      <c r="F2351" t="s">
        <v>460</v>
      </c>
      <c r="G2351" t="s">
        <v>112</v>
      </c>
      <c r="H2351" t="s">
        <v>104</v>
      </c>
      <c r="I2351">
        <v>2022</v>
      </c>
      <c r="J2351" t="s">
        <v>465</v>
      </c>
      <c r="K2351" t="s">
        <v>106</v>
      </c>
      <c r="L2351" t="s">
        <v>2740</v>
      </c>
      <c r="M2351" t="s">
        <v>2752</v>
      </c>
      <c r="N2351">
        <v>1</v>
      </c>
      <c r="O2351">
        <v>2020</v>
      </c>
      <c r="P2351">
        <v>717.59767919103297</v>
      </c>
      <c r="Q2351">
        <v>19.17492366827851</v>
      </c>
      <c r="R2351" t="s">
        <v>109</v>
      </c>
      <c r="S2351">
        <v>7.1162885968843517</v>
      </c>
      <c r="T2351" t="s">
        <v>110</v>
      </c>
      <c r="U2351">
        <v>2.4575102292165578</v>
      </c>
      <c r="V2351">
        <v>7090.3291619180018</v>
      </c>
      <c r="W2351">
        <v>189.46064682931279</v>
      </c>
      <c r="X2351" t="s">
        <v>111</v>
      </c>
      <c r="Y2351">
        <v>10</v>
      </c>
      <c r="Z2351">
        <v>0.44</v>
      </c>
      <c r="AA2351">
        <v>31.536000000000001</v>
      </c>
    </row>
    <row r="2352" spans="1:27" hidden="1" x14ac:dyDescent="0.25">
      <c r="A2352" t="s">
        <v>98</v>
      </c>
      <c r="B2352" t="s">
        <v>1199</v>
      </c>
      <c r="D2352" t="s">
        <v>1722</v>
      </c>
      <c r="E2352" t="s">
        <v>439</v>
      </c>
      <c r="F2352" t="s">
        <v>460</v>
      </c>
      <c r="G2352" t="s">
        <v>103</v>
      </c>
      <c r="H2352" t="s">
        <v>104</v>
      </c>
      <c r="I2352">
        <v>2030</v>
      </c>
      <c r="J2352" t="s">
        <v>467</v>
      </c>
      <c r="K2352" t="s">
        <v>106</v>
      </c>
      <c r="L2352" t="s">
        <v>2740</v>
      </c>
      <c r="M2352" t="s">
        <v>2753</v>
      </c>
      <c r="N2352">
        <v>1</v>
      </c>
      <c r="O2352">
        <v>2030</v>
      </c>
      <c r="P2352">
        <v>520.8323861248623</v>
      </c>
      <c r="Q2352">
        <v>19.17492366827851</v>
      </c>
      <c r="R2352" t="s">
        <v>109</v>
      </c>
      <c r="S2352">
        <v>6.5013006934499016</v>
      </c>
      <c r="T2352" t="s">
        <v>110</v>
      </c>
      <c r="U2352">
        <v>2.2451328020003118</v>
      </c>
      <c r="V2352">
        <v>5146.1608125259299</v>
      </c>
      <c r="W2352">
        <v>189.46064682931279</v>
      </c>
      <c r="X2352" t="s">
        <v>111</v>
      </c>
      <c r="Y2352">
        <v>10</v>
      </c>
      <c r="Z2352">
        <v>0.44</v>
      </c>
      <c r="AA2352">
        <v>31.536000000000001</v>
      </c>
    </row>
    <row r="2353" spans="1:27" hidden="1" x14ac:dyDescent="0.25">
      <c r="A2353" t="s">
        <v>98</v>
      </c>
      <c r="B2353" t="s">
        <v>1199</v>
      </c>
      <c r="D2353" t="s">
        <v>1722</v>
      </c>
      <c r="E2353" t="s">
        <v>439</v>
      </c>
      <c r="F2353" t="s">
        <v>460</v>
      </c>
      <c r="G2353" t="s">
        <v>112</v>
      </c>
      <c r="H2353" t="s">
        <v>104</v>
      </c>
      <c r="I2353">
        <v>2030</v>
      </c>
      <c r="J2353" t="s">
        <v>469</v>
      </c>
      <c r="K2353" t="s">
        <v>106</v>
      </c>
      <c r="L2353" t="s">
        <v>2740</v>
      </c>
      <c r="M2353" t="s">
        <v>2754</v>
      </c>
      <c r="N2353">
        <v>1</v>
      </c>
      <c r="O2353">
        <v>2030</v>
      </c>
      <c r="P2353">
        <v>717.59767919103297</v>
      </c>
      <c r="Q2353">
        <v>19.17492366827851</v>
      </c>
      <c r="R2353" t="s">
        <v>109</v>
      </c>
      <c r="S2353">
        <v>7.1162885968843517</v>
      </c>
      <c r="T2353" t="s">
        <v>110</v>
      </c>
      <c r="U2353">
        <v>2.4575102292165578</v>
      </c>
      <c r="V2353">
        <v>7090.3291619180018</v>
      </c>
      <c r="W2353">
        <v>189.46064682931279</v>
      </c>
      <c r="X2353" t="s">
        <v>111</v>
      </c>
      <c r="Y2353">
        <v>10</v>
      </c>
      <c r="Z2353">
        <v>0.44</v>
      </c>
      <c r="AA2353">
        <v>31.536000000000001</v>
      </c>
    </row>
    <row r="2354" spans="1:27" hidden="1" x14ac:dyDescent="0.25">
      <c r="A2354" t="s">
        <v>98</v>
      </c>
      <c r="B2354" t="s">
        <v>1199</v>
      </c>
      <c r="D2354" t="s">
        <v>1722</v>
      </c>
      <c r="E2354" t="s">
        <v>439</v>
      </c>
      <c r="F2354" t="s">
        <v>460</v>
      </c>
      <c r="G2354" t="s">
        <v>103</v>
      </c>
      <c r="H2354" t="s">
        <v>104</v>
      </c>
      <c r="I2354">
        <v>2040</v>
      </c>
      <c r="J2354" t="s">
        <v>471</v>
      </c>
      <c r="K2354" t="s">
        <v>106</v>
      </c>
      <c r="L2354" t="s">
        <v>2740</v>
      </c>
      <c r="M2354" t="s">
        <v>2755</v>
      </c>
      <c r="N2354">
        <v>1</v>
      </c>
      <c r="O2354">
        <v>2040</v>
      </c>
      <c r="P2354">
        <v>520.8323861248623</v>
      </c>
      <c r="Q2354">
        <v>19.17492366827851</v>
      </c>
      <c r="R2354" t="s">
        <v>109</v>
      </c>
      <c r="S2354">
        <v>6.5013006934499016</v>
      </c>
      <c r="T2354" t="s">
        <v>110</v>
      </c>
      <c r="U2354">
        <v>2.2451328020003118</v>
      </c>
      <c r="V2354">
        <v>5146.1608125259299</v>
      </c>
      <c r="W2354">
        <v>189.46064682931279</v>
      </c>
      <c r="X2354" t="s">
        <v>111</v>
      </c>
      <c r="Y2354">
        <v>10</v>
      </c>
      <c r="Z2354">
        <v>0.44</v>
      </c>
      <c r="AA2354">
        <v>31.536000000000001</v>
      </c>
    </row>
    <row r="2355" spans="1:27" hidden="1" x14ac:dyDescent="0.25">
      <c r="A2355" t="s">
        <v>98</v>
      </c>
      <c r="B2355" t="s">
        <v>1199</v>
      </c>
      <c r="D2355" t="s">
        <v>1722</v>
      </c>
      <c r="E2355" t="s">
        <v>439</v>
      </c>
      <c r="F2355" t="s">
        <v>460</v>
      </c>
      <c r="G2355" t="s">
        <v>112</v>
      </c>
      <c r="H2355" t="s">
        <v>104</v>
      </c>
      <c r="I2355">
        <v>2040</v>
      </c>
      <c r="J2355" t="s">
        <v>473</v>
      </c>
      <c r="K2355" t="s">
        <v>106</v>
      </c>
      <c r="L2355" t="s">
        <v>2740</v>
      </c>
      <c r="M2355" t="s">
        <v>2756</v>
      </c>
      <c r="N2355">
        <v>1</v>
      </c>
      <c r="O2355">
        <v>2040</v>
      </c>
      <c r="P2355">
        <v>717.59767919103297</v>
      </c>
      <c r="Q2355">
        <v>19.17492366827851</v>
      </c>
      <c r="R2355" t="s">
        <v>109</v>
      </c>
      <c r="S2355">
        <v>7.1162885968843517</v>
      </c>
      <c r="T2355" t="s">
        <v>110</v>
      </c>
      <c r="U2355">
        <v>2.4575102292165578</v>
      </c>
      <c r="V2355">
        <v>7090.3291619180018</v>
      </c>
      <c r="W2355">
        <v>189.46064682931279</v>
      </c>
      <c r="X2355" t="s">
        <v>111</v>
      </c>
      <c r="Y2355">
        <v>10</v>
      </c>
      <c r="Z2355">
        <v>0.44</v>
      </c>
      <c r="AA2355">
        <v>31.536000000000001</v>
      </c>
    </row>
    <row r="2356" spans="1:27" hidden="1" x14ac:dyDescent="0.25">
      <c r="A2356" t="s">
        <v>98</v>
      </c>
      <c r="B2356" t="s">
        <v>1199</v>
      </c>
      <c r="D2356" t="s">
        <v>1722</v>
      </c>
      <c r="E2356" t="s">
        <v>439</v>
      </c>
      <c r="F2356" t="s">
        <v>460</v>
      </c>
      <c r="G2356" t="s">
        <v>103</v>
      </c>
      <c r="H2356" t="s">
        <v>104</v>
      </c>
      <c r="I2356">
        <v>2050</v>
      </c>
      <c r="J2356" t="s">
        <v>475</v>
      </c>
      <c r="K2356" t="s">
        <v>106</v>
      </c>
      <c r="L2356" t="s">
        <v>2740</v>
      </c>
      <c r="M2356" t="s">
        <v>2757</v>
      </c>
      <c r="N2356">
        <v>1</v>
      </c>
      <c r="O2356">
        <v>2050</v>
      </c>
      <c r="P2356">
        <v>520.8323861248623</v>
      </c>
      <c r="Q2356">
        <v>19.17492366827851</v>
      </c>
      <c r="R2356" t="s">
        <v>109</v>
      </c>
      <c r="S2356">
        <v>6.5013006934499016</v>
      </c>
      <c r="T2356" t="s">
        <v>110</v>
      </c>
      <c r="U2356">
        <v>2.2451328020003118</v>
      </c>
      <c r="V2356">
        <v>5146.1608125259299</v>
      </c>
      <c r="W2356">
        <v>189.46064682931279</v>
      </c>
      <c r="X2356" t="s">
        <v>111</v>
      </c>
      <c r="Y2356">
        <v>10</v>
      </c>
      <c r="Z2356">
        <v>0.44</v>
      </c>
      <c r="AA2356">
        <v>31.536000000000001</v>
      </c>
    </row>
    <row r="2357" spans="1:27" hidden="1" x14ac:dyDescent="0.25">
      <c r="A2357" t="s">
        <v>98</v>
      </c>
      <c r="B2357" t="s">
        <v>1199</v>
      </c>
      <c r="D2357" t="s">
        <v>1722</v>
      </c>
      <c r="E2357" t="s">
        <v>439</v>
      </c>
      <c r="F2357" t="s">
        <v>460</v>
      </c>
      <c r="G2357" t="s">
        <v>112</v>
      </c>
      <c r="H2357" t="s">
        <v>104</v>
      </c>
      <c r="I2357">
        <v>2050</v>
      </c>
      <c r="J2357" t="s">
        <v>477</v>
      </c>
      <c r="K2357" t="s">
        <v>106</v>
      </c>
      <c r="L2357" t="s">
        <v>2740</v>
      </c>
      <c r="M2357" t="s">
        <v>2758</v>
      </c>
      <c r="N2357">
        <v>1</v>
      </c>
      <c r="O2357">
        <v>2050</v>
      </c>
      <c r="P2357">
        <v>717.59767919103297</v>
      </c>
      <c r="Q2357">
        <v>19.17492366827851</v>
      </c>
      <c r="R2357" t="s">
        <v>109</v>
      </c>
      <c r="S2357">
        <v>7.1162885968843517</v>
      </c>
      <c r="T2357" t="s">
        <v>110</v>
      </c>
      <c r="U2357">
        <v>2.4575102292165578</v>
      </c>
      <c r="V2357">
        <v>7090.3291619180018</v>
      </c>
      <c r="W2357">
        <v>189.46064682931279</v>
      </c>
      <c r="X2357" t="s">
        <v>111</v>
      </c>
      <c r="Y2357">
        <v>10</v>
      </c>
      <c r="Z2357">
        <v>0.44</v>
      </c>
      <c r="AA2357">
        <v>31.536000000000001</v>
      </c>
    </row>
    <row r="2358" spans="1:27" hidden="1" x14ac:dyDescent="0.25">
      <c r="A2358" t="s">
        <v>98</v>
      </c>
      <c r="B2358" t="s">
        <v>1199</v>
      </c>
      <c r="D2358" t="s">
        <v>1722</v>
      </c>
      <c r="E2358" t="s">
        <v>439</v>
      </c>
      <c r="F2358" t="s">
        <v>479</v>
      </c>
      <c r="G2358" t="s">
        <v>245</v>
      </c>
      <c r="H2358" t="s">
        <v>104</v>
      </c>
      <c r="I2358">
        <v>2022</v>
      </c>
      <c r="J2358" t="s">
        <v>480</v>
      </c>
      <c r="K2358" t="s">
        <v>106</v>
      </c>
      <c r="L2358" t="s">
        <v>2740</v>
      </c>
      <c r="M2358" t="s">
        <v>2759</v>
      </c>
      <c r="N2358">
        <v>1</v>
      </c>
      <c r="O2358">
        <v>2020</v>
      </c>
      <c r="P2358">
        <v>1625.561814955347</v>
      </c>
      <c r="Q2358">
        <v>83.737016934227881</v>
      </c>
      <c r="R2358" t="s">
        <v>109</v>
      </c>
      <c r="S2358">
        <v>3.1167552571169028</v>
      </c>
      <c r="T2358" t="s">
        <v>110</v>
      </c>
      <c r="U2358">
        <v>1.0763276140434681</v>
      </c>
      <c r="V2358">
        <v>16061.60203036269</v>
      </c>
      <c r="W2358">
        <v>827.37588250020144</v>
      </c>
      <c r="X2358" t="s">
        <v>111</v>
      </c>
      <c r="Y2358">
        <v>10</v>
      </c>
      <c r="Z2358">
        <v>0.44</v>
      </c>
      <c r="AA2358">
        <v>31.536000000000001</v>
      </c>
    </row>
    <row r="2359" spans="1:27" hidden="1" x14ac:dyDescent="0.25">
      <c r="A2359" t="s">
        <v>98</v>
      </c>
      <c r="B2359" t="s">
        <v>1199</v>
      </c>
      <c r="D2359" t="s">
        <v>1722</v>
      </c>
      <c r="E2359" t="s">
        <v>439</v>
      </c>
      <c r="F2359" t="s">
        <v>479</v>
      </c>
      <c r="G2359" t="s">
        <v>103</v>
      </c>
      <c r="H2359" t="s">
        <v>104</v>
      </c>
      <c r="I2359">
        <v>2022</v>
      </c>
      <c r="J2359" t="s">
        <v>482</v>
      </c>
      <c r="K2359" t="s">
        <v>106</v>
      </c>
      <c r="L2359" t="s">
        <v>2740</v>
      </c>
      <c r="M2359" t="s">
        <v>2760</v>
      </c>
      <c r="N2359">
        <v>1</v>
      </c>
      <c r="O2359">
        <v>2020</v>
      </c>
      <c r="P2359">
        <v>1649.1429636040691</v>
      </c>
      <c r="Q2359">
        <v>83.737016934227881</v>
      </c>
      <c r="R2359" t="s">
        <v>109</v>
      </c>
      <c r="S2359">
        <v>4.464541314248538</v>
      </c>
      <c r="T2359" t="s">
        <v>110</v>
      </c>
      <c r="U2359">
        <v>1.541766582278481</v>
      </c>
      <c r="V2359">
        <v>16294.59902963399</v>
      </c>
      <c r="W2359">
        <v>827.37588250020167</v>
      </c>
      <c r="X2359" t="s">
        <v>111</v>
      </c>
      <c r="Y2359">
        <v>10</v>
      </c>
      <c r="Z2359">
        <v>0.44</v>
      </c>
      <c r="AA2359">
        <v>31.536000000000001</v>
      </c>
    </row>
    <row r="2360" spans="1:27" hidden="1" x14ac:dyDescent="0.25">
      <c r="A2360" t="s">
        <v>98</v>
      </c>
      <c r="B2360" t="s">
        <v>1199</v>
      </c>
      <c r="D2360" t="s">
        <v>1722</v>
      </c>
      <c r="E2360" t="s">
        <v>439</v>
      </c>
      <c r="F2360" t="s">
        <v>479</v>
      </c>
      <c r="G2360" t="s">
        <v>112</v>
      </c>
      <c r="H2360" t="s">
        <v>104</v>
      </c>
      <c r="I2360">
        <v>2022</v>
      </c>
      <c r="J2360" t="s">
        <v>484</v>
      </c>
      <c r="K2360" t="s">
        <v>106</v>
      </c>
      <c r="L2360" t="s">
        <v>2740</v>
      </c>
      <c r="M2360" t="s">
        <v>2761</v>
      </c>
      <c r="N2360">
        <v>1</v>
      </c>
      <c r="O2360">
        <v>2020</v>
      </c>
      <c r="P2360">
        <v>1758.024723094816</v>
      </c>
      <c r="Q2360">
        <v>83.737016934227881</v>
      </c>
      <c r="R2360" t="s">
        <v>109</v>
      </c>
      <c r="S2360">
        <v>7.4409021904142287</v>
      </c>
      <c r="T2360" t="s">
        <v>110</v>
      </c>
      <c r="U2360">
        <v>2.5696109704641348</v>
      </c>
      <c r="V2360">
        <v>17370.421230436659</v>
      </c>
      <c r="W2360">
        <v>827.37588250020167</v>
      </c>
      <c r="X2360" t="s">
        <v>111</v>
      </c>
      <c r="Y2360">
        <v>10</v>
      </c>
      <c r="Z2360">
        <v>0.44</v>
      </c>
      <c r="AA2360">
        <v>31.536000000000001</v>
      </c>
    </row>
    <row r="2361" spans="1:27" hidden="1" x14ac:dyDescent="0.25">
      <c r="A2361" t="s">
        <v>98</v>
      </c>
      <c r="B2361" t="s">
        <v>1199</v>
      </c>
      <c r="D2361" t="s">
        <v>1722</v>
      </c>
      <c r="E2361" t="s">
        <v>439</v>
      </c>
      <c r="F2361" t="s">
        <v>479</v>
      </c>
      <c r="G2361" t="s">
        <v>219</v>
      </c>
      <c r="H2361" t="s">
        <v>104</v>
      </c>
      <c r="I2361">
        <v>2022</v>
      </c>
      <c r="J2361" t="s">
        <v>486</v>
      </c>
      <c r="K2361" t="s">
        <v>106</v>
      </c>
      <c r="L2361" t="s">
        <v>2740</v>
      </c>
      <c r="M2361" t="s">
        <v>2762</v>
      </c>
      <c r="N2361">
        <v>1</v>
      </c>
      <c r="O2361">
        <v>2020</v>
      </c>
      <c r="P2361">
        <v>1758.024723094816</v>
      </c>
      <c r="Q2361">
        <v>84.189649458196669</v>
      </c>
      <c r="R2361" t="s">
        <v>109</v>
      </c>
      <c r="S2361">
        <v>7.4409021904142287</v>
      </c>
      <c r="T2361" t="s">
        <v>110</v>
      </c>
      <c r="U2361">
        <v>2.5696109704641348</v>
      </c>
      <c r="V2361">
        <v>17370.421230436659</v>
      </c>
      <c r="W2361">
        <v>831.8481845677702</v>
      </c>
      <c r="X2361" t="s">
        <v>111</v>
      </c>
      <c r="Y2361">
        <v>10</v>
      </c>
      <c r="Z2361">
        <v>0.44</v>
      </c>
      <c r="AA2361">
        <v>31.536000000000001</v>
      </c>
    </row>
    <row r="2362" spans="1:27" hidden="1" x14ac:dyDescent="0.25">
      <c r="A2362" t="s">
        <v>98</v>
      </c>
      <c r="B2362" t="s">
        <v>1199</v>
      </c>
      <c r="D2362" t="s">
        <v>1722</v>
      </c>
      <c r="E2362" t="s">
        <v>439</v>
      </c>
      <c r="F2362" t="s">
        <v>479</v>
      </c>
      <c r="G2362" t="s">
        <v>103</v>
      </c>
      <c r="H2362" t="s">
        <v>104</v>
      </c>
      <c r="I2362">
        <v>2030</v>
      </c>
      <c r="J2362" t="s">
        <v>488</v>
      </c>
      <c r="K2362" t="s">
        <v>106</v>
      </c>
      <c r="L2362" t="s">
        <v>2740</v>
      </c>
      <c r="M2362" t="s">
        <v>2763</v>
      </c>
      <c r="N2362">
        <v>1</v>
      </c>
      <c r="O2362">
        <v>2030</v>
      </c>
      <c r="P2362">
        <v>1649.1429636040691</v>
      </c>
      <c r="Q2362">
        <v>83.737016934227881</v>
      </c>
      <c r="R2362" t="s">
        <v>109</v>
      </c>
      <c r="S2362">
        <v>4.464541314248538</v>
      </c>
      <c r="T2362" t="s">
        <v>110</v>
      </c>
      <c r="U2362">
        <v>1.541766582278481</v>
      </c>
      <c r="V2362">
        <v>16294.59902963399</v>
      </c>
      <c r="W2362">
        <v>827.37588250020167</v>
      </c>
      <c r="X2362" t="s">
        <v>111</v>
      </c>
      <c r="Y2362">
        <v>10</v>
      </c>
      <c r="Z2362">
        <v>0.44</v>
      </c>
      <c r="AA2362">
        <v>31.536000000000001</v>
      </c>
    </row>
    <row r="2363" spans="1:27" hidden="1" x14ac:dyDescent="0.25">
      <c r="A2363" t="s">
        <v>98</v>
      </c>
      <c r="B2363" t="s">
        <v>1199</v>
      </c>
      <c r="D2363" t="s">
        <v>1722</v>
      </c>
      <c r="E2363" t="s">
        <v>439</v>
      </c>
      <c r="F2363" t="s">
        <v>479</v>
      </c>
      <c r="G2363" t="s">
        <v>112</v>
      </c>
      <c r="H2363" t="s">
        <v>104</v>
      </c>
      <c r="I2363">
        <v>2030</v>
      </c>
      <c r="J2363" t="s">
        <v>490</v>
      </c>
      <c r="K2363" t="s">
        <v>106</v>
      </c>
      <c r="L2363" t="s">
        <v>2740</v>
      </c>
      <c r="M2363" t="s">
        <v>2764</v>
      </c>
      <c r="N2363">
        <v>1</v>
      </c>
      <c r="O2363">
        <v>2030</v>
      </c>
      <c r="P2363">
        <v>1758.024723094816</v>
      </c>
      <c r="Q2363">
        <v>83.737016934227881</v>
      </c>
      <c r="R2363" t="s">
        <v>109</v>
      </c>
      <c r="S2363">
        <v>7.4409021904142287</v>
      </c>
      <c r="T2363" t="s">
        <v>110</v>
      </c>
      <c r="U2363">
        <v>2.5696109704641348</v>
      </c>
      <c r="V2363">
        <v>17370.421230436659</v>
      </c>
      <c r="W2363">
        <v>827.37588250020167</v>
      </c>
      <c r="X2363" t="s">
        <v>111</v>
      </c>
      <c r="Y2363">
        <v>10</v>
      </c>
      <c r="Z2363">
        <v>0.44</v>
      </c>
      <c r="AA2363">
        <v>31.536000000000001</v>
      </c>
    </row>
    <row r="2364" spans="1:27" hidden="1" x14ac:dyDescent="0.25">
      <c r="A2364" t="s">
        <v>98</v>
      </c>
      <c r="B2364" t="s">
        <v>1199</v>
      </c>
      <c r="D2364" t="s">
        <v>1722</v>
      </c>
      <c r="E2364" t="s">
        <v>439</v>
      </c>
      <c r="F2364" t="s">
        <v>479</v>
      </c>
      <c r="G2364" t="s">
        <v>103</v>
      </c>
      <c r="H2364" t="s">
        <v>104</v>
      </c>
      <c r="I2364">
        <v>2040</v>
      </c>
      <c r="J2364" t="s">
        <v>492</v>
      </c>
      <c r="K2364" t="s">
        <v>106</v>
      </c>
      <c r="L2364" t="s">
        <v>2740</v>
      </c>
      <c r="M2364" t="s">
        <v>2765</v>
      </c>
      <c r="N2364">
        <v>1</v>
      </c>
      <c r="O2364">
        <v>2040</v>
      </c>
      <c r="P2364">
        <v>1649.1429636040691</v>
      </c>
      <c r="Q2364">
        <v>83.737016934227881</v>
      </c>
      <c r="R2364" t="s">
        <v>109</v>
      </c>
      <c r="S2364">
        <v>4.464541314248538</v>
      </c>
      <c r="T2364" t="s">
        <v>110</v>
      </c>
      <c r="U2364">
        <v>1.541766582278481</v>
      </c>
      <c r="V2364">
        <v>16294.59902963399</v>
      </c>
      <c r="W2364">
        <v>827.37588250020167</v>
      </c>
      <c r="X2364" t="s">
        <v>111</v>
      </c>
      <c r="Y2364">
        <v>10</v>
      </c>
      <c r="Z2364">
        <v>0.44</v>
      </c>
      <c r="AA2364">
        <v>31.536000000000001</v>
      </c>
    </row>
    <row r="2365" spans="1:27" hidden="1" x14ac:dyDescent="0.25">
      <c r="A2365" t="s">
        <v>98</v>
      </c>
      <c r="B2365" t="s">
        <v>1199</v>
      </c>
      <c r="D2365" t="s">
        <v>1722</v>
      </c>
      <c r="E2365" t="s">
        <v>439</v>
      </c>
      <c r="F2365" t="s">
        <v>479</v>
      </c>
      <c r="G2365" t="s">
        <v>112</v>
      </c>
      <c r="H2365" t="s">
        <v>104</v>
      </c>
      <c r="I2365">
        <v>2040</v>
      </c>
      <c r="J2365" t="s">
        <v>494</v>
      </c>
      <c r="K2365" t="s">
        <v>106</v>
      </c>
      <c r="L2365" t="s">
        <v>2740</v>
      </c>
      <c r="M2365" t="s">
        <v>2766</v>
      </c>
      <c r="N2365">
        <v>1</v>
      </c>
      <c r="O2365">
        <v>2040</v>
      </c>
      <c r="P2365">
        <v>1758.024723094816</v>
      </c>
      <c r="Q2365">
        <v>83.737016934227881</v>
      </c>
      <c r="R2365" t="s">
        <v>109</v>
      </c>
      <c r="S2365">
        <v>7.4409021904142287</v>
      </c>
      <c r="T2365" t="s">
        <v>110</v>
      </c>
      <c r="U2365">
        <v>2.5696109704641348</v>
      </c>
      <c r="V2365">
        <v>17370.421230436659</v>
      </c>
      <c r="W2365">
        <v>827.37588250020167</v>
      </c>
      <c r="X2365" t="s">
        <v>111</v>
      </c>
      <c r="Y2365">
        <v>10</v>
      </c>
      <c r="Z2365">
        <v>0.44</v>
      </c>
      <c r="AA2365">
        <v>31.536000000000001</v>
      </c>
    </row>
    <row r="2366" spans="1:27" hidden="1" x14ac:dyDescent="0.25">
      <c r="A2366" t="s">
        <v>98</v>
      </c>
      <c r="B2366" t="s">
        <v>1199</v>
      </c>
      <c r="D2366" t="s">
        <v>1722</v>
      </c>
      <c r="E2366" t="s">
        <v>439</v>
      </c>
      <c r="F2366" t="s">
        <v>479</v>
      </c>
      <c r="G2366" t="s">
        <v>112</v>
      </c>
      <c r="H2366" t="s">
        <v>104</v>
      </c>
      <c r="I2366">
        <v>2025</v>
      </c>
      <c r="J2366" t="s">
        <v>496</v>
      </c>
      <c r="K2366" t="s">
        <v>106</v>
      </c>
      <c r="L2366" t="s">
        <v>2740</v>
      </c>
      <c r="M2366" t="s">
        <v>2767</v>
      </c>
      <c r="N2366">
        <v>1</v>
      </c>
      <c r="O2366">
        <v>2025</v>
      </c>
      <c r="P2366">
        <v>1758.024723094816</v>
      </c>
      <c r="Q2366">
        <v>83.737016934227881</v>
      </c>
      <c r="R2366" t="s">
        <v>109</v>
      </c>
      <c r="S2366">
        <v>7.4409021904142287</v>
      </c>
      <c r="T2366" t="s">
        <v>110</v>
      </c>
      <c r="U2366">
        <v>2.5696109704641348</v>
      </c>
      <c r="V2366">
        <v>17370.421230436659</v>
      </c>
      <c r="W2366">
        <v>827.37588250020167</v>
      </c>
      <c r="X2366" t="s">
        <v>111</v>
      </c>
      <c r="Y2366">
        <v>10</v>
      </c>
      <c r="Z2366">
        <v>0.44</v>
      </c>
      <c r="AA2366">
        <v>31.536000000000001</v>
      </c>
    </row>
    <row r="2367" spans="1:27" hidden="1" x14ac:dyDescent="0.25">
      <c r="A2367" t="s">
        <v>98</v>
      </c>
      <c r="B2367" t="s">
        <v>1199</v>
      </c>
      <c r="D2367" t="s">
        <v>1722</v>
      </c>
      <c r="E2367" t="s">
        <v>101</v>
      </c>
      <c r="F2367" t="s">
        <v>102</v>
      </c>
      <c r="G2367" t="s">
        <v>103</v>
      </c>
      <c r="H2367" t="s">
        <v>104</v>
      </c>
      <c r="I2367">
        <v>2061</v>
      </c>
      <c r="J2367" t="s">
        <v>105</v>
      </c>
      <c r="K2367" t="s">
        <v>106</v>
      </c>
      <c r="L2367" t="s">
        <v>2594</v>
      </c>
      <c r="M2367" t="s">
        <v>2595</v>
      </c>
      <c r="N2367">
        <v>0</v>
      </c>
      <c r="O2367">
        <v>2061</v>
      </c>
      <c r="P2367">
        <v>117.0584711706526</v>
      </c>
      <c r="Q2367">
        <v>4.2000145906136934</v>
      </c>
      <c r="R2367" t="s">
        <v>109</v>
      </c>
      <c r="S2367">
        <v>3.3</v>
      </c>
      <c r="T2367" t="s">
        <v>110</v>
      </c>
      <c r="U2367">
        <v>3.3</v>
      </c>
      <c r="V2367">
        <v>399.42017862788401</v>
      </c>
      <c r="W2367">
        <v>14.33104807576899</v>
      </c>
      <c r="X2367" t="s">
        <v>111</v>
      </c>
      <c r="Y2367">
        <v>21</v>
      </c>
      <c r="Z2367">
        <v>0.37802164273770222</v>
      </c>
      <c r="AA2367">
        <v>31.536000000000001</v>
      </c>
    </row>
    <row r="2368" spans="1:27" hidden="1" x14ac:dyDescent="0.25">
      <c r="A2368" t="s">
        <v>498</v>
      </c>
      <c r="M2368" t="s">
        <v>498</v>
      </c>
      <c r="N2368" t="s">
        <v>498</v>
      </c>
    </row>
    <row r="2369" spans="1:27" hidden="1" x14ac:dyDescent="0.25">
      <c r="A2369" t="s">
        <v>98</v>
      </c>
      <c r="B2369" t="s">
        <v>1374</v>
      </c>
      <c r="D2369" t="s">
        <v>1722</v>
      </c>
      <c r="E2369" t="s">
        <v>101</v>
      </c>
      <c r="F2369" t="s">
        <v>102</v>
      </c>
      <c r="G2369" t="s">
        <v>112</v>
      </c>
      <c r="H2369" t="s">
        <v>104</v>
      </c>
      <c r="I2369">
        <v>2022</v>
      </c>
      <c r="J2369" t="s">
        <v>113</v>
      </c>
      <c r="K2369" t="s">
        <v>106</v>
      </c>
      <c r="L2369" t="s">
        <v>2768</v>
      </c>
      <c r="M2369" t="s">
        <v>2769</v>
      </c>
      <c r="N2369">
        <v>1</v>
      </c>
      <c r="O2369">
        <v>2020</v>
      </c>
      <c r="P2369">
        <v>200.7885700942916</v>
      </c>
      <c r="Q2369">
        <v>4.2000145906136934</v>
      </c>
      <c r="R2369" t="s">
        <v>109</v>
      </c>
      <c r="S2369">
        <v>3.7</v>
      </c>
      <c r="T2369" t="s">
        <v>110</v>
      </c>
      <c r="U2369">
        <v>3.7</v>
      </c>
      <c r="V2369">
        <v>685.1192035182313</v>
      </c>
      <c r="W2369">
        <v>14.33104807576899</v>
      </c>
      <c r="X2369" t="s">
        <v>111</v>
      </c>
      <c r="Y2369">
        <v>21</v>
      </c>
      <c r="Z2369">
        <v>0.22779524453645689</v>
      </c>
      <c r="AA2369">
        <v>31.536000000000001</v>
      </c>
    </row>
    <row r="2370" spans="1:27" hidden="1" x14ac:dyDescent="0.25">
      <c r="A2370" t="s">
        <v>98</v>
      </c>
      <c r="B2370" t="s">
        <v>1374</v>
      </c>
      <c r="D2370" t="s">
        <v>1722</v>
      </c>
      <c r="E2370" t="s">
        <v>101</v>
      </c>
      <c r="F2370" t="s">
        <v>102</v>
      </c>
      <c r="G2370" t="s">
        <v>103</v>
      </c>
      <c r="H2370" t="s">
        <v>104</v>
      </c>
      <c r="I2370">
        <v>2023</v>
      </c>
      <c r="J2370" t="s">
        <v>115</v>
      </c>
      <c r="K2370" t="s">
        <v>106</v>
      </c>
      <c r="L2370" t="s">
        <v>2768</v>
      </c>
      <c r="M2370" t="s">
        <v>2770</v>
      </c>
      <c r="N2370">
        <v>1</v>
      </c>
      <c r="O2370">
        <v>2023</v>
      </c>
      <c r="P2370">
        <v>135.73557542199771</v>
      </c>
      <c r="Q2370">
        <v>4.2000145906136934</v>
      </c>
      <c r="R2370" t="s">
        <v>109</v>
      </c>
      <c r="S2370">
        <v>3.4</v>
      </c>
      <c r="T2370" t="s">
        <v>110</v>
      </c>
      <c r="U2370">
        <v>3.4</v>
      </c>
      <c r="V2370">
        <v>463.14911888927151</v>
      </c>
      <c r="W2370">
        <v>14.33104807576899</v>
      </c>
      <c r="X2370" t="s">
        <v>111</v>
      </c>
      <c r="Y2370">
        <v>21</v>
      </c>
      <c r="Z2370">
        <v>0.22779524453645689</v>
      </c>
      <c r="AA2370">
        <v>31.536000000000001</v>
      </c>
    </row>
    <row r="2371" spans="1:27" hidden="1" x14ac:dyDescent="0.25">
      <c r="A2371" t="s">
        <v>98</v>
      </c>
      <c r="B2371" t="s">
        <v>1374</v>
      </c>
      <c r="D2371" t="s">
        <v>1722</v>
      </c>
      <c r="E2371" t="s">
        <v>101</v>
      </c>
      <c r="F2371" t="s">
        <v>117</v>
      </c>
      <c r="G2371" t="s">
        <v>103</v>
      </c>
      <c r="H2371" t="s">
        <v>104</v>
      </c>
      <c r="I2371">
        <v>2033</v>
      </c>
      <c r="J2371" t="s">
        <v>118</v>
      </c>
      <c r="K2371" t="s">
        <v>106</v>
      </c>
      <c r="L2371" t="s">
        <v>2768</v>
      </c>
      <c r="M2371" t="s">
        <v>2771</v>
      </c>
      <c r="N2371">
        <v>1</v>
      </c>
      <c r="O2371">
        <v>2033</v>
      </c>
      <c r="P2371">
        <v>483.9331327692995</v>
      </c>
      <c r="Q2371">
        <v>3.810497108419681</v>
      </c>
      <c r="R2371" t="s">
        <v>109</v>
      </c>
      <c r="S2371">
        <v>3.7</v>
      </c>
      <c r="T2371" t="s">
        <v>110</v>
      </c>
      <c r="U2371">
        <v>3.7</v>
      </c>
      <c r="V2371">
        <v>1651.2487853431401</v>
      </c>
      <c r="W2371">
        <v>13.00195893970977</v>
      </c>
      <c r="X2371" t="s">
        <v>111</v>
      </c>
      <c r="Y2371">
        <v>14.4</v>
      </c>
      <c r="Z2371">
        <v>0.22779524453645689</v>
      </c>
      <c r="AA2371">
        <v>31.536000000000001</v>
      </c>
    </row>
    <row r="2372" spans="1:27" hidden="1" x14ac:dyDescent="0.25">
      <c r="A2372" t="s">
        <v>98</v>
      </c>
      <c r="B2372" t="s">
        <v>1374</v>
      </c>
      <c r="D2372" t="s">
        <v>1722</v>
      </c>
      <c r="E2372" t="s">
        <v>101</v>
      </c>
      <c r="F2372" t="s">
        <v>117</v>
      </c>
      <c r="G2372" t="s">
        <v>67</v>
      </c>
      <c r="H2372" t="s">
        <v>104</v>
      </c>
      <c r="I2372">
        <v>2033</v>
      </c>
      <c r="J2372" t="s">
        <v>120</v>
      </c>
      <c r="K2372" t="s">
        <v>106</v>
      </c>
      <c r="L2372" t="s">
        <v>2768</v>
      </c>
      <c r="M2372" t="s">
        <v>2772</v>
      </c>
      <c r="N2372">
        <v>1</v>
      </c>
      <c r="O2372">
        <v>2033</v>
      </c>
      <c r="P2372">
        <v>497.90495550017158</v>
      </c>
      <c r="Q2372">
        <v>3.810497108419681</v>
      </c>
      <c r="R2372" t="s">
        <v>109</v>
      </c>
      <c r="S2372">
        <v>3.8</v>
      </c>
      <c r="T2372" t="s">
        <v>110</v>
      </c>
      <c r="U2372">
        <v>3.8</v>
      </c>
      <c r="V2372">
        <v>1698.9226347887429</v>
      </c>
      <c r="W2372">
        <v>13.00195893970977</v>
      </c>
      <c r="X2372" t="s">
        <v>111</v>
      </c>
      <c r="Y2372">
        <v>14.4</v>
      </c>
      <c r="Z2372">
        <v>0.22779524453645689</v>
      </c>
      <c r="AA2372">
        <v>31.536000000000001</v>
      </c>
    </row>
    <row r="2373" spans="1:27" hidden="1" x14ac:dyDescent="0.25">
      <c r="A2373" t="s">
        <v>98</v>
      </c>
      <c r="B2373" t="s">
        <v>1374</v>
      </c>
      <c r="D2373" t="s">
        <v>1722</v>
      </c>
      <c r="E2373" t="s">
        <v>101</v>
      </c>
      <c r="F2373" t="s">
        <v>117</v>
      </c>
      <c r="G2373" t="s">
        <v>112</v>
      </c>
      <c r="H2373" t="s">
        <v>104</v>
      </c>
      <c r="I2373">
        <v>2033</v>
      </c>
      <c r="J2373" t="s">
        <v>122</v>
      </c>
      <c r="K2373" t="s">
        <v>106</v>
      </c>
      <c r="L2373" t="s">
        <v>2768</v>
      </c>
      <c r="M2373" t="s">
        <v>2773</v>
      </c>
      <c r="N2373">
        <v>1</v>
      </c>
      <c r="O2373">
        <v>2033</v>
      </c>
      <c r="P2373">
        <v>513.14694393385037</v>
      </c>
      <c r="Q2373">
        <v>3.810497108419681</v>
      </c>
      <c r="R2373" t="s">
        <v>109</v>
      </c>
      <c r="S2373">
        <v>4</v>
      </c>
      <c r="T2373" t="s">
        <v>110</v>
      </c>
      <c r="U2373">
        <v>4</v>
      </c>
      <c r="V2373">
        <v>1750.930470547582</v>
      </c>
      <c r="W2373">
        <v>13.00195893970977</v>
      </c>
      <c r="X2373" t="s">
        <v>111</v>
      </c>
      <c r="Y2373">
        <v>14.4</v>
      </c>
      <c r="Z2373">
        <v>0.22779524453645689</v>
      </c>
      <c r="AA2373">
        <v>31.536000000000001</v>
      </c>
    </row>
    <row r="2374" spans="1:27" hidden="1" x14ac:dyDescent="0.25">
      <c r="A2374" t="s">
        <v>98</v>
      </c>
      <c r="B2374" t="s">
        <v>1374</v>
      </c>
      <c r="D2374" t="s">
        <v>1722</v>
      </c>
      <c r="E2374" t="s">
        <v>101</v>
      </c>
      <c r="F2374" t="s">
        <v>117</v>
      </c>
      <c r="G2374" t="s">
        <v>103</v>
      </c>
      <c r="H2374" t="s">
        <v>104</v>
      </c>
      <c r="I2374">
        <v>2023</v>
      </c>
      <c r="J2374" t="s">
        <v>124</v>
      </c>
      <c r="K2374" t="s">
        <v>106</v>
      </c>
      <c r="L2374" t="s">
        <v>2768</v>
      </c>
      <c r="M2374" t="s">
        <v>2774</v>
      </c>
      <c r="N2374">
        <v>1</v>
      </c>
      <c r="O2374">
        <v>2023</v>
      </c>
      <c r="P2374">
        <v>483.9331327692995</v>
      </c>
      <c r="Q2374">
        <v>3.810497108419681</v>
      </c>
      <c r="R2374" t="s">
        <v>109</v>
      </c>
      <c r="S2374">
        <v>3.7</v>
      </c>
      <c r="T2374" t="s">
        <v>110</v>
      </c>
      <c r="U2374">
        <v>3.7</v>
      </c>
      <c r="V2374">
        <v>1651.2487853431401</v>
      </c>
      <c r="W2374">
        <v>13.00195893970977</v>
      </c>
      <c r="X2374" t="s">
        <v>111</v>
      </c>
      <c r="Y2374">
        <v>14.4</v>
      </c>
      <c r="Z2374">
        <v>0.22779524453645689</v>
      </c>
      <c r="AA2374">
        <v>31.536000000000001</v>
      </c>
    </row>
    <row r="2375" spans="1:27" hidden="1" x14ac:dyDescent="0.25">
      <c r="A2375" t="s">
        <v>98</v>
      </c>
      <c r="B2375" t="s">
        <v>1374</v>
      </c>
      <c r="D2375" t="s">
        <v>1722</v>
      </c>
      <c r="E2375" t="s">
        <v>101</v>
      </c>
      <c r="F2375" t="s">
        <v>117</v>
      </c>
      <c r="G2375" t="s">
        <v>67</v>
      </c>
      <c r="H2375" t="s">
        <v>104</v>
      </c>
      <c r="I2375">
        <v>2023</v>
      </c>
      <c r="J2375" t="s">
        <v>126</v>
      </c>
      <c r="K2375" t="s">
        <v>106</v>
      </c>
      <c r="L2375" t="s">
        <v>2768</v>
      </c>
      <c r="M2375" t="s">
        <v>2775</v>
      </c>
      <c r="N2375">
        <v>1</v>
      </c>
      <c r="O2375">
        <v>2023</v>
      </c>
      <c r="P2375">
        <v>497.90495550017158</v>
      </c>
      <c r="Q2375">
        <v>3.810497108419681</v>
      </c>
      <c r="R2375" t="s">
        <v>109</v>
      </c>
      <c r="S2375">
        <v>3.8</v>
      </c>
      <c r="T2375" t="s">
        <v>110</v>
      </c>
      <c r="U2375">
        <v>3.8</v>
      </c>
      <c r="V2375">
        <v>1698.9226347887429</v>
      </c>
      <c r="W2375">
        <v>13.00195893970977</v>
      </c>
      <c r="X2375" t="s">
        <v>111</v>
      </c>
      <c r="Y2375">
        <v>14.4</v>
      </c>
      <c r="Z2375">
        <v>0.22779524453645689</v>
      </c>
      <c r="AA2375">
        <v>31.536000000000001</v>
      </c>
    </row>
    <row r="2376" spans="1:27" hidden="1" x14ac:dyDescent="0.25">
      <c r="A2376" t="s">
        <v>98</v>
      </c>
      <c r="B2376" t="s">
        <v>1374</v>
      </c>
      <c r="D2376" t="s">
        <v>1722</v>
      </c>
      <c r="E2376" t="s">
        <v>101</v>
      </c>
      <c r="F2376" t="s">
        <v>117</v>
      </c>
      <c r="G2376" t="s">
        <v>112</v>
      </c>
      <c r="H2376" t="s">
        <v>104</v>
      </c>
      <c r="I2376">
        <v>2023</v>
      </c>
      <c r="J2376" t="s">
        <v>128</v>
      </c>
      <c r="K2376" t="s">
        <v>106</v>
      </c>
      <c r="L2376" t="s">
        <v>2768</v>
      </c>
      <c r="M2376" t="s">
        <v>2776</v>
      </c>
      <c r="N2376">
        <v>1</v>
      </c>
      <c r="O2376">
        <v>2023</v>
      </c>
      <c r="P2376">
        <v>513.14694393385037</v>
      </c>
      <c r="Q2376">
        <v>3.810497108419681</v>
      </c>
      <c r="R2376" t="s">
        <v>109</v>
      </c>
      <c r="S2376">
        <v>4</v>
      </c>
      <c r="T2376" t="s">
        <v>110</v>
      </c>
      <c r="U2376">
        <v>4</v>
      </c>
      <c r="V2376">
        <v>1750.930470547582</v>
      </c>
      <c r="W2376">
        <v>13.00195893970977</v>
      </c>
      <c r="X2376" t="s">
        <v>111</v>
      </c>
      <c r="Y2376">
        <v>14.4</v>
      </c>
      <c r="Z2376">
        <v>0.22779524453645689</v>
      </c>
      <c r="AA2376">
        <v>31.536000000000001</v>
      </c>
    </row>
    <row r="2377" spans="1:27" hidden="1" x14ac:dyDescent="0.25">
      <c r="A2377" t="s">
        <v>98</v>
      </c>
      <c r="B2377" t="s">
        <v>1374</v>
      </c>
      <c r="D2377" t="s">
        <v>1722</v>
      </c>
      <c r="E2377" t="s">
        <v>101</v>
      </c>
      <c r="F2377" t="s">
        <v>130</v>
      </c>
      <c r="G2377" t="s">
        <v>103</v>
      </c>
      <c r="H2377" t="s">
        <v>131</v>
      </c>
      <c r="I2377">
        <v>2022</v>
      </c>
      <c r="J2377" t="s">
        <v>132</v>
      </c>
      <c r="K2377" t="s">
        <v>133</v>
      </c>
      <c r="L2377" t="s">
        <v>2768</v>
      </c>
      <c r="M2377" t="s">
        <v>2777</v>
      </c>
      <c r="N2377">
        <v>1</v>
      </c>
      <c r="O2377">
        <v>2020</v>
      </c>
      <c r="P2377">
        <v>335.32374554093201</v>
      </c>
      <c r="Q2377">
        <v>6.3000218859205397</v>
      </c>
      <c r="R2377" t="s">
        <v>109</v>
      </c>
      <c r="S2377">
        <v>1.4</v>
      </c>
      <c r="T2377" t="s">
        <v>110</v>
      </c>
      <c r="U2377">
        <v>1.4</v>
      </c>
      <c r="V2377">
        <v>1144.172386694459</v>
      </c>
      <c r="W2377">
        <v>21.496572113653482</v>
      </c>
      <c r="X2377" t="s">
        <v>111</v>
      </c>
      <c r="Y2377">
        <v>15</v>
      </c>
      <c r="Z2377">
        <v>0.22779524453645689</v>
      </c>
      <c r="AA2377">
        <v>31.536000000000001</v>
      </c>
    </row>
    <row r="2378" spans="1:27" hidden="1" x14ac:dyDescent="0.25">
      <c r="A2378" t="s">
        <v>98</v>
      </c>
      <c r="B2378" t="s">
        <v>1374</v>
      </c>
      <c r="D2378" t="s">
        <v>1722</v>
      </c>
      <c r="E2378" t="s">
        <v>101</v>
      </c>
      <c r="F2378" t="s">
        <v>135</v>
      </c>
      <c r="G2378" t="s">
        <v>103</v>
      </c>
      <c r="H2378" t="s">
        <v>136</v>
      </c>
      <c r="I2378">
        <v>2030</v>
      </c>
      <c r="J2378" t="s">
        <v>137</v>
      </c>
      <c r="K2378" t="s">
        <v>138</v>
      </c>
      <c r="L2378" t="s">
        <v>2768</v>
      </c>
      <c r="M2378" t="s">
        <v>2778</v>
      </c>
      <c r="N2378">
        <v>1</v>
      </c>
      <c r="O2378">
        <v>2030</v>
      </c>
      <c r="P2378">
        <v>55.186509846078152</v>
      </c>
      <c r="Q2378">
        <v>4.0294911951104666</v>
      </c>
      <c r="R2378" t="s">
        <v>109</v>
      </c>
      <c r="S2378">
        <v>0.87</v>
      </c>
      <c r="T2378" t="s">
        <v>110</v>
      </c>
      <c r="U2378">
        <v>0.87</v>
      </c>
      <c r="V2378">
        <v>188.30423291993449</v>
      </c>
      <c r="W2378">
        <v>13.749197959233321</v>
      </c>
      <c r="X2378" t="s">
        <v>111</v>
      </c>
      <c r="Y2378">
        <v>25</v>
      </c>
      <c r="Z2378">
        <v>0.22779524453645689</v>
      </c>
      <c r="AA2378">
        <v>31.536000000000001</v>
      </c>
    </row>
    <row r="2379" spans="1:27" hidden="1" x14ac:dyDescent="0.25">
      <c r="A2379" t="s">
        <v>98</v>
      </c>
      <c r="B2379" t="s">
        <v>1374</v>
      </c>
      <c r="D2379" t="s">
        <v>1722</v>
      </c>
      <c r="E2379" t="s">
        <v>101</v>
      </c>
      <c r="F2379" t="s">
        <v>135</v>
      </c>
      <c r="G2379" t="s">
        <v>103</v>
      </c>
      <c r="H2379" t="s">
        <v>136</v>
      </c>
      <c r="I2379">
        <v>2040</v>
      </c>
      <c r="J2379" t="s">
        <v>140</v>
      </c>
      <c r="K2379" t="s">
        <v>138</v>
      </c>
      <c r="L2379" t="s">
        <v>2768</v>
      </c>
      <c r="M2379" t="s">
        <v>2779</v>
      </c>
      <c r="N2379">
        <v>1</v>
      </c>
      <c r="O2379">
        <v>2040</v>
      </c>
      <c r="P2379">
        <v>53.946363557402229</v>
      </c>
      <c r="Q2379">
        <v>3.9389408311754002</v>
      </c>
      <c r="R2379" t="s">
        <v>109</v>
      </c>
      <c r="S2379">
        <v>0.89</v>
      </c>
      <c r="T2379" t="s">
        <v>110</v>
      </c>
      <c r="U2379">
        <v>0.89</v>
      </c>
      <c r="V2379">
        <v>184.07267712398101</v>
      </c>
      <c r="W2379">
        <v>13.440227218576389</v>
      </c>
      <c r="X2379" t="s">
        <v>111</v>
      </c>
      <c r="Y2379">
        <v>25</v>
      </c>
      <c r="Z2379">
        <v>0.22779524453645689</v>
      </c>
      <c r="AA2379">
        <v>31.536000000000001</v>
      </c>
    </row>
    <row r="2380" spans="1:27" hidden="1" x14ac:dyDescent="0.25">
      <c r="A2380" t="s">
        <v>98</v>
      </c>
      <c r="B2380" t="s">
        <v>1374</v>
      </c>
      <c r="D2380" t="s">
        <v>1722</v>
      </c>
      <c r="E2380" t="s">
        <v>142</v>
      </c>
      <c r="F2380" t="s">
        <v>102</v>
      </c>
      <c r="G2380" t="s">
        <v>103</v>
      </c>
      <c r="H2380" t="s">
        <v>104</v>
      </c>
      <c r="I2380">
        <v>2061</v>
      </c>
      <c r="J2380" t="s">
        <v>143</v>
      </c>
      <c r="K2380" t="s">
        <v>106</v>
      </c>
      <c r="L2380" t="s">
        <v>2780</v>
      </c>
      <c r="M2380" t="s">
        <v>2781</v>
      </c>
      <c r="N2380">
        <v>1</v>
      </c>
      <c r="O2380">
        <v>2061</v>
      </c>
      <c r="P2380">
        <v>117.0584711706526</v>
      </c>
      <c r="Q2380">
        <v>4.2000145906136934</v>
      </c>
      <c r="R2380" t="s">
        <v>109</v>
      </c>
      <c r="S2380">
        <v>3.2239155920281362</v>
      </c>
      <c r="T2380" t="s">
        <v>110</v>
      </c>
      <c r="U2380">
        <v>3.2239155920281362</v>
      </c>
      <c r="V2380">
        <v>399.42017862788401</v>
      </c>
      <c r="W2380">
        <v>14.33104807576899</v>
      </c>
      <c r="X2380" t="s">
        <v>111</v>
      </c>
      <c r="Y2380">
        <v>21</v>
      </c>
      <c r="Z2380">
        <v>0.1064322100008962</v>
      </c>
      <c r="AA2380">
        <v>31.536000000000001</v>
      </c>
    </row>
    <row r="2381" spans="1:27" hidden="1" x14ac:dyDescent="0.25">
      <c r="A2381" t="s">
        <v>98</v>
      </c>
      <c r="B2381" t="s">
        <v>1374</v>
      </c>
      <c r="D2381" t="s">
        <v>1722</v>
      </c>
      <c r="E2381" t="s">
        <v>142</v>
      </c>
      <c r="F2381" t="s">
        <v>102</v>
      </c>
      <c r="G2381" t="s">
        <v>112</v>
      </c>
      <c r="H2381" t="s">
        <v>104</v>
      </c>
      <c r="I2381">
        <v>2022</v>
      </c>
      <c r="J2381" t="s">
        <v>146</v>
      </c>
      <c r="K2381" t="s">
        <v>106</v>
      </c>
      <c r="L2381" t="s">
        <v>2780</v>
      </c>
      <c r="M2381" t="s">
        <v>2782</v>
      </c>
      <c r="N2381">
        <v>1</v>
      </c>
      <c r="O2381">
        <v>2020</v>
      </c>
      <c r="P2381">
        <v>200.7885700942916</v>
      </c>
      <c r="Q2381">
        <v>4.2000145906136934</v>
      </c>
      <c r="R2381" t="s">
        <v>109</v>
      </c>
      <c r="S2381">
        <v>3.8393903868698711</v>
      </c>
      <c r="T2381" t="s">
        <v>110</v>
      </c>
      <c r="U2381">
        <v>3.8393903868698711</v>
      </c>
      <c r="V2381">
        <v>685.1192035182313</v>
      </c>
      <c r="W2381">
        <v>14.33104807576899</v>
      </c>
      <c r="X2381" t="s">
        <v>111</v>
      </c>
      <c r="Y2381">
        <v>21</v>
      </c>
      <c r="Z2381">
        <v>0.1064322100008962</v>
      </c>
      <c r="AA2381">
        <v>31.536000000000001</v>
      </c>
    </row>
    <row r="2382" spans="1:27" hidden="1" x14ac:dyDescent="0.25">
      <c r="A2382" t="s">
        <v>98</v>
      </c>
      <c r="B2382" t="s">
        <v>1374</v>
      </c>
      <c r="D2382" t="s">
        <v>1722</v>
      </c>
      <c r="E2382" t="s">
        <v>142</v>
      </c>
      <c r="F2382" t="s">
        <v>102</v>
      </c>
      <c r="G2382" t="s">
        <v>103</v>
      </c>
      <c r="H2382" t="s">
        <v>104</v>
      </c>
      <c r="I2382">
        <v>2023</v>
      </c>
      <c r="J2382" t="s">
        <v>148</v>
      </c>
      <c r="K2382" t="s">
        <v>106</v>
      </c>
      <c r="L2382" t="s">
        <v>2780</v>
      </c>
      <c r="M2382" t="s">
        <v>2783</v>
      </c>
      <c r="N2382">
        <v>1</v>
      </c>
      <c r="O2382">
        <v>2023</v>
      </c>
      <c r="P2382">
        <v>135.73557542199771</v>
      </c>
      <c r="Q2382">
        <v>4.2000145906136934</v>
      </c>
      <c r="R2382" t="s">
        <v>109</v>
      </c>
      <c r="S2382">
        <v>3.4290738569753811</v>
      </c>
      <c r="T2382" t="s">
        <v>110</v>
      </c>
      <c r="U2382">
        <v>3.4290738569753811</v>
      </c>
      <c r="V2382">
        <v>463.14911888927151</v>
      </c>
      <c r="W2382">
        <v>14.33104807576899</v>
      </c>
      <c r="X2382" t="s">
        <v>111</v>
      </c>
      <c r="Y2382">
        <v>21</v>
      </c>
      <c r="Z2382">
        <v>0.1064322100008962</v>
      </c>
      <c r="AA2382">
        <v>31.536000000000001</v>
      </c>
    </row>
    <row r="2383" spans="1:27" hidden="1" x14ac:dyDescent="0.25">
      <c r="A2383" t="s">
        <v>98</v>
      </c>
      <c r="B2383" t="s">
        <v>1374</v>
      </c>
      <c r="D2383" t="s">
        <v>1722</v>
      </c>
      <c r="E2383" t="s">
        <v>142</v>
      </c>
      <c r="F2383" t="s">
        <v>117</v>
      </c>
      <c r="G2383" t="s">
        <v>103</v>
      </c>
      <c r="H2383" t="s">
        <v>104</v>
      </c>
      <c r="I2383">
        <v>2033</v>
      </c>
      <c r="J2383" t="s">
        <v>150</v>
      </c>
      <c r="K2383" t="s">
        <v>106</v>
      </c>
      <c r="L2383" t="s">
        <v>2780</v>
      </c>
      <c r="M2383" t="s">
        <v>2784</v>
      </c>
      <c r="N2383">
        <v>1</v>
      </c>
      <c r="O2383">
        <v>2033</v>
      </c>
      <c r="P2383">
        <v>483.9331327692995</v>
      </c>
      <c r="Q2383">
        <v>3.810497108419681</v>
      </c>
      <c r="R2383" t="s">
        <v>109</v>
      </c>
      <c r="S2383">
        <v>5.0996483001172326</v>
      </c>
      <c r="T2383" t="s">
        <v>110</v>
      </c>
      <c r="U2383">
        <v>5.0996483001172326</v>
      </c>
      <c r="V2383">
        <v>1651.2487853431401</v>
      </c>
      <c r="W2383">
        <v>13.00195893970977</v>
      </c>
      <c r="X2383" t="s">
        <v>111</v>
      </c>
      <c r="Y2383">
        <v>14.4</v>
      </c>
      <c r="Z2383">
        <v>0.1064322100008962</v>
      </c>
      <c r="AA2383">
        <v>31.536000000000001</v>
      </c>
    </row>
    <row r="2384" spans="1:27" hidden="1" x14ac:dyDescent="0.25">
      <c r="A2384" t="s">
        <v>98</v>
      </c>
      <c r="B2384" t="s">
        <v>1374</v>
      </c>
      <c r="D2384" t="s">
        <v>1722</v>
      </c>
      <c r="E2384" t="s">
        <v>142</v>
      </c>
      <c r="F2384" t="s">
        <v>117</v>
      </c>
      <c r="G2384" t="s">
        <v>67</v>
      </c>
      <c r="H2384" t="s">
        <v>104</v>
      </c>
      <c r="I2384">
        <v>2033</v>
      </c>
      <c r="J2384" t="s">
        <v>152</v>
      </c>
      <c r="K2384" t="s">
        <v>106</v>
      </c>
      <c r="L2384" t="s">
        <v>2780</v>
      </c>
      <c r="M2384" t="s">
        <v>2785</v>
      </c>
      <c r="N2384">
        <v>1</v>
      </c>
      <c r="O2384">
        <v>2033</v>
      </c>
      <c r="P2384">
        <v>497.90495550017158</v>
      </c>
      <c r="Q2384">
        <v>3.810497108419681</v>
      </c>
      <c r="R2384" t="s">
        <v>109</v>
      </c>
      <c r="S2384">
        <v>5.7737397420867529</v>
      </c>
      <c r="T2384" t="s">
        <v>110</v>
      </c>
      <c r="U2384">
        <v>5.7737397420867529</v>
      </c>
      <c r="V2384">
        <v>1698.9226347887429</v>
      </c>
      <c r="W2384">
        <v>13.00195893970977</v>
      </c>
      <c r="X2384" t="s">
        <v>111</v>
      </c>
      <c r="Y2384">
        <v>14.4</v>
      </c>
      <c r="Z2384">
        <v>0.1064322100008962</v>
      </c>
      <c r="AA2384">
        <v>31.536000000000001</v>
      </c>
    </row>
    <row r="2385" spans="1:27" hidden="1" x14ac:dyDescent="0.25">
      <c r="A2385" t="s">
        <v>98</v>
      </c>
      <c r="B2385" t="s">
        <v>1374</v>
      </c>
      <c r="D2385" t="s">
        <v>1722</v>
      </c>
      <c r="E2385" t="s">
        <v>142</v>
      </c>
      <c r="F2385" t="s">
        <v>117</v>
      </c>
      <c r="G2385" t="s">
        <v>112</v>
      </c>
      <c r="H2385" t="s">
        <v>104</v>
      </c>
      <c r="I2385">
        <v>2033</v>
      </c>
      <c r="J2385" t="s">
        <v>154</v>
      </c>
      <c r="K2385" t="s">
        <v>106</v>
      </c>
      <c r="L2385" t="s">
        <v>2780</v>
      </c>
      <c r="M2385" t="s">
        <v>2786</v>
      </c>
      <c r="N2385">
        <v>1</v>
      </c>
      <c r="O2385">
        <v>2033</v>
      </c>
      <c r="P2385">
        <v>513.14694393385037</v>
      </c>
      <c r="Q2385">
        <v>3.810497108419681</v>
      </c>
      <c r="R2385" t="s">
        <v>109</v>
      </c>
      <c r="S2385">
        <v>6.4771395076201648</v>
      </c>
      <c r="T2385" t="s">
        <v>110</v>
      </c>
      <c r="U2385">
        <v>6.4771395076201648</v>
      </c>
      <c r="V2385">
        <v>1750.930470547582</v>
      </c>
      <c r="W2385">
        <v>13.00195893970977</v>
      </c>
      <c r="X2385" t="s">
        <v>111</v>
      </c>
      <c r="Y2385">
        <v>14.4</v>
      </c>
      <c r="Z2385">
        <v>0.1064322100008962</v>
      </c>
      <c r="AA2385">
        <v>31.536000000000001</v>
      </c>
    </row>
    <row r="2386" spans="1:27" hidden="1" x14ac:dyDescent="0.25">
      <c r="A2386" t="s">
        <v>98</v>
      </c>
      <c r="B2386" t="s">
        <v>1374</v>
      </c>
      <c r="D2386" t="s">
        <v>1722</v>
      </c>
      <c r="E2386" t="s">
        <v>142</v>
      </c>
      <c r="F2386" t="s">
        <v>117</v>
      </c>
      <c r="G2386" t="s">
        <v>103</v>
      </c>
      <c r="H2386" t="s">
        <v>104</v>
      </c>
      <c r="I2386">
        <v>2023</v>
      </c>
      <c r="J2386" t="s">
        <v>156</v>
      </c>
      <c r="K2386" t="s">
        <v>106</v>
      </c>
      <c r="L2386" t="s">
        <v>2780</v>
      </c>
      <c r="M2386" t="s">
        <v>2787</v>
      </c>
      <c r="N2386">
        <v>1</v>
      </c>
      <c r="O2386">
        <v>2023</v>
      </c>
      <c r="P2386">
        <v>498.32834406777368</v>
      </c>
      <c r="Q2386">
        <v>3.810497108419681</v>
      </c>
      <c r="R2386" t="s">
        <v>109</v>
      </c>
      <c r="S2386">
        <v>3.833333333333333</v>
      </c>
      <c r="T2386" t="s">
        <v>110</v>
      </c>
      <c r="U2386">
        <v>3.833333333333333</v>
      </c>
      <c r="V2386">
        <v>1700.3672968931551</v>
      </c>
      <c r="W2386">
        <v>13.00195893970977</v>
      </c>
      <c r="X2386" t="s">
        <v>111</v>
      </c>
      <c r="Y2386">
        <v>14.4</v>
      </c>
      <c r="Z2386">
        <v>0.1064322100008962</v>
      </c>
      <c r="AA2386">
        <v>31.536000000000001</v>
      </c>
    </row>
    <row r="2387" spans="1:27" hidden="1" x14ac:dyDescent="0.25">
      <c r="A2387" t="s">
        <v>98</v>
      </c>
      <c r="B2387" t="s">
        <v>1374</v>
      </c>
      <c r="D2387" t="s">
        <v>1722</v>
      </c>
      <c r="E2387" t="s">
        <v>142</v>
      </c>
      <c r="F2387" t="s">
        <v>130</v>
      </c>
      <c r="G2387" t="s">
        <v>103</v>
      </c>
      <c r="H2387" t="s">
        <v>131</v>
      </c>
      <c r="I2387">
        <v>2022</v>
      </c>
      <c r="J2387" t="s">
        <v>158</v>
      </c>
      <c r="K2387" t="s">
        <v>133</v>
      </c>
      <c r="L2387" t="s">
        <v>2780</v>
      </c>
      <c r="M2387" t="s">
        <v>2788</v>
      </c>
      <c r="N2387">
        <v>1</v>
      </c>
      <c r="O2387">
        <v>2020</v>
      </c>
      <c r="P2387">
        <v>335.32374554093201</v>
      </c>
      <c r="Q2387">
        <v>6.3000218859205397</v>
      </c>
      <c r="R2387" t="s">
        <v>109</v>
      </c>
      <c r="S2387">
        <v>1.2</v>
      </c>
      <c r="T2387" t="s">
        <v>110</v>
      </c>
      <c r="U2387">
        <v>1.2</v>
      </c>
      <c r="V2387">
        <v>1144.172386694459</v>
      </c>
      <c r="W2387">
        <v>21.496572113653482</v>
      </c>
      <c r="X2387" t="s">
        <v>111</v>
      </c>
      <c r="Y2387">
        <v>15</v>
      </c>
      <c r="Z2387">
        <v>0.1064322100008962</v>
      </c>
      <c r="AA2387">
        <v>31.536000000000001</v>
      </c>
    </row>
    <row r="2388" spans="1:27" hidden="1" x14ac:dyDescent="0.25">
      <c r="A2388" t="s">
        <v>98</v>
      </c>
      <c r="B2388" t="s">
        <v>1374</v>
      </c>
      <c r="D2388" t="s">
        <v>1722</v>
      </c>
      <c r="E2388" t="s">
        <v>142</v>
      </c>
      <c r="F2388" t="s">
        <v>160</v>
      </c>
      <c r="G2388" t="s">
        <v>103</v>
      </c>
      <c r="H2388" t="s">
        <v>104</v>
      </c>
      <c r="I2388">
        <v>2030</v>
      </c>
      <c r="J2388" t="s">
        <v>161</v>
      </c>
      <c r="K2388" t="s">
        <v>106</v>
      </c>
      <c r="L2388" t="s">
        <v>2780</v>
      </c>
      <c r="M2388" t="s">
        <v>2789</v>
      </c>
      <c r="N2388">
        <v>1</v>
      </c>
      <c r="O2388">
        <v>2030</v>
      </c>
      <c r="P2388">
        <v>93.992262007685454</v>
      </c>
      <c r="Q2388">
        <v>4.3185633895423052</v>
      </c>
      <c r="R2388" t="s">
        <v>109</v>
      </c>
      <c r="S2388">
        <v>4.8178066132425448</v>
      </c>
      <c r="T2388" t="s">
        <v>110</v>
      </c>
      <c r="U2388">
        <v>4.8178066132425448</v>
      </c>
      <c r="V2388">
        <v>320.71498717950749</v>
      </c>
      <c r="W2388">
        <v>14.735553465004401</v>
      </c>
      <c r="X2388" t="s">
        <v>111</v>
      </c>
      <c r="Y2388">
        <v>20</v>
      </c>
      <c r="Z2388">
        <v>0.1064322100008962</v>
      </c>
      <c r="AA2388">
        <v>31.536000000000001</v>
      </c>
    </row>
    <row r="2389" spans="1:27" hidden="1" x14ac:dyDescent="0.25">
      <c r="A2389" t="s">
        <v>98</v>
      </c>
      <c r="B2389" t="s">
        <v>1374</v>
      </c>
      <c r="D2389" t="s">
        <v>1722</v>
      </c>
      <c r="E2389" t="s">
        <v>142</v>
      </c>
      <c r="F2389" t="s">
        <v>160</v>
      </c>
      <c r="G2389" t="s">
        <v>112</v>
      </c>
      <c r="H2389" t="s">
        <v>104</v>
      </c>
      <c r="I2389">
        <v>2030</v>
      </c>
      <c r="J2389" t="s">
        <v>163</v>
      </c>
      <c r="K2389" t="s">
        <v>106</v>
      </c>
      <c r="L2389" t="s">
        <v>2780</v>
      </c>
      <c r="M2389" t="s">
        <v>2790</v>
      </c>
      <c r="N2389">
        <v>1</v>
      </c>
      <c r="O2389">
        <v>2030</v>
      </c>
      <c r="P2389">
        <v>104.15358763013791</v>
      </c>
      <c r="Q2389">
        <v>4.3185633895423052</v>
      </c>
      <c r="R2389" t="s">
        <v>109</v>
      </c>
      <c r="S2389">
        <v>5.1720570995103783</v>
      </c>
      <c r="T2389" t="s">
        <v>110</v>
      </c>
      <c r="U2389">
        <v>5.1720570995103783</v>
      </c>
      <c r="V2389">
        <v>355.38687768540018</v>
      </c>
      <c r="W2389">
        <v>14.735553465004401</v>
      </c>
      <c r="X2389" t="s">
        <v>111</v>
      </c>
      <c r="Y2389">
        <v>20</v>
      </c>
      <c r="Z2389">
        <v>0.1064322100008962</v>
      </c>
      <c r="AA2389">
        <v>31.536000000000001</v>
      </c>
    </row>
    <row r="2390" spans="1:27" hidden="1" x14ac:dyDescent="0.25">
      <c r="A2390" t="s">
        <v>98</v>
      </c>
      <c r="B2390" t="s">
        <v>1374</v>
      </c>
      <c r="D2390" t="s">
        <v>1722</v>
      </c>
      <c r="E2390" t="s">
        <v>142</v>
      </c>
      <c r="F2390" t="s">
        <v>160</v>
      </c>
      <c r="G2390" t="s">
        <v>103</v>
      </c>
      <c r="H2390" t="s">
        <v>104</v>
      </c>
      <c r="I2390">
        <v>2040</v>
      </c>
      <c r="J2390" t="s">
        <v>165</v>
      </c>
      <c r="K2390" t="s">
        <v>106</v>
      </c>
      <c r="L2390" t="s">
        <v>2780</v>
      </c>
      <c r="M2390" t="s">
        <v>2791</v>
      </c>
      <c r="N2390">
        <v>1</v>
      </c>
      <c r="O2390">
        <v>2040</v>
      </c>
      <c r="P2390">
        <v>93.992262007685454</v>
      </c>
      <c r="Q2390">
        <v>4.3185633895423052</v>
      </c>
      <c r="R2390" t="s">
        <v>109</v>
      </c>
      <c r="S2390">
        <v>4.9535194755874059</v>
      </c>
      <c r="T2390" t="s">
        <v>110</v>
      </c>
      <c r="U2390">
        <v>4.9535194755874059</v>
      </c>
      <c r="V2390">
        <v>320.71498717950749</v>
      </c>
      <c r="W2390">
        <v>14.735553465004401</v>
      </c>
      <c r="X2390" t="s">
        <v>111</v>
      </c>
      <c r="Y2390">
        <v>20</v>
      </c>
      <c r="Z2390">
        <v>0.1064322100008962</v>
      </c>
      <c r="AA2390">
        <v>31.536000000000001</v>
      </c>
    </row>
    <row r="2391" spans="1:27" hidden="1" x14ac:dyDescent="0.25">
      <c r="A2391" t="s">
        <v>98</v>
      </c>
      <c r="B2391" t="s">
        <v>1374</v>
      </c>
      <c r="D2391" t="s">
        <v>1722</v>
      </c>
      <c r="E2391" t="s">
        <v>142</v>
      </c>
      <c r="F2391" t="s">
        <v>160</v>
      </c>
      <c r="G2391" t="s">
        <v>112</v>
      </c>
      <c r="H2391" t="s">
        <v>104</v>
      </c>
      <c r="I2391">
        <v>2040</v>
      </c>
      <c r="J2391" t="s">
        <v>167</v>
      </c>
      <c r="K2391" t="s">
        <v>106</v>
      </c>
      <c r="L2391" t="s">
        <v>2780</v>
      </c>
      <c r="M2391" t="s">
        <v>2792</v>
      </c>
      <c r="N2391">
        <v>1</v>
      </c>
      <c r="O2391">
        <v>2040</v>
      </c>
      <c r="P2391">
        <v>104.15358763013791</v>
      </c>
      <c r="Q2391">
        <v>4.3185633895423052</v>
      </c>
      <c r="R2391" t="s">
        <v>109</v>
      </c>
      <c r="S2391">
        <v>5.4107674271800876</v>
      </c>
      <c r="T2391" t="s">
        <v>110</v>
      </c>
      <c r="U2391">
        <v>5.4107674271800876</v>
      </c>
      <c r="V2391">
        <v>355.38687768540018</v>
      </c>
      <c r="W2391">
        <v>14.735553465004401</v>
      </c>
      <c r="X2391" t="s">
        <v>111</v>
      </c>
      <c r="Y2391">
        <v>20</v>
      </c>
      <c r="Z2391">
        <v>0.1064322100008962</v>
      </c>
      <c r="AA2391">
        <v>31.536000000000001</v>
      </c>
    </row>
    <row r="2392" spans="1:27" hidden="1" x14ac:dyDescent="0.25">
      <c r="A2392" t="s">
        <v>98</v>
      </c>
      <c r="B2392" t="s">
        <v>1374</v>
      </c>
      <c r="D2392" t="s">
        <v>1722</v>
      </c>
      <c r="E2392" t="s">
        <v>142</v>
      </c>
      <c r="F2392" t="s">
        <v>160</v>
      </c>
      <c r="G2392" t="s">
        <v>112</v>
      </c>
      <c r="H2392" t="s">
        <v>104</v>
      </c>
      <c r="I2392">
        <v>2022</v>
      </c>
      <c r="J2392" t="s">
        <v>169</v>
      </c>
      <c r="K2392" t="s">
        <v>106</v>
      </c>
      <c r="L2392" t="s">
        <v>2780</v>
      </c>
      <c r="M2392" t="s">
        <v>2793</v>
      </c>
      <c r="N2392">
        <v>1</v>
      </c>
      <c r="O2392">
        <v>2020</v>
      </c>
      <c r="P2392">
        <v>104.15358763013791</v>
      </c>
      <c r="Q2392">
        <v>4.3185633895423052</v>
      </c>
      <c r="R2392" t="s">
        <v>109</v>
      </c>
      <c r="S2392">
        <v>4.9886508193858967</v>
      </c>
      <c r="T2392" t="s">
        <v>110</v>
      </c>
      <c r="U2392">
        <v>4.9886508193858967</v>
      </c>
      <c r="V2392">
        <v>355.38687768540018</v>
      </c>
      <c r="W2392">
        <v>14.735553465004401</v>
      </c>
      <c r="X2392" t="s">
        <v>111</v>
      </c>
      <c r="Y2392">
        <v>20</v>
      </c>
      <c r="Z2392">
        <v>0.1064322100008962</v>
      </c>
      <c r="AA2392">
        <v>31.536000000000001</v>
      </c>
    </row>
    <row r="2393" spans="1:27" hidden="1" x14ac:dyDescent="0.25">
      <c r="A2393" t="s">
        <v>98</v>
      </c>
      <c r="B2393" t="s">
        <v>1374</v>
      </c>
      <c r="D2393" t="s">
        <v>1722</v>
      </c>
      <c r="E2393" t="s">
        <v>142</v>
      </c>
      <c r="F2393" t="s">
        <v>171</v>
      </c>
      <c r="G2393" t="s">
        <v>172</v>
      </c>
      <c r="H2393" t="s">
        <v>104</v>
      </c>
      <c r="I2393">
        <v>2061</v>
      </c>
      <c r="J2393" t="s">
        <v>173</v>
      </c>
      <c r="K2393" t="s">
        <v>106</v>
      </c>
      <c r="L2393" t="s">
        <v>2780</v>
      </c>
      <c r="M2393" t="s">
        <v>2794</v>
      </c>
      <c r="N2393">
        <v>1</v>
      </c>
      <c r="O2393">
        <v>2061</v>
      </c>
      <c r="P2393">
        <v>90.181764899265772</v>
      </c>
      <c r="Q2393">
        <v>3.3024308272970568</v>
      </c>
      <c r="R2393" t="s">
        <v>109</v>
      </c>
      <c r="S2393">
        <v>4.1038492738238714</v>
      </c>
      <c r="T2393" t="s">
        <v>110</v>
      </c>
      <c r="U2393">
        <v>4.1038492738238714</v>
      </c>
      <c r="V2393">
        <v>307.71302823979772</v>
      </c>
      <c r="W2393">
        <v>11.26836441441513</v>
      </c>
      <c r="X2393" t="s">
        <v>111</v>
      </c>
      <c r="Y2393">
        <v>20</v>
      </c>
      <c r="Z2393">
        <v>0.1064322100008962</v>
      </c>
      <c r="AA2393">
        <v>31.536000000000001</v>
      </c>
    </row>
    <row r="2394" spans="1:27" hidden="1" x14ac:dyDescent="0.25">
      <c r="A2394" t="s">
        <v>98</v>
      </c>
      <c r="B2394" t="s">
        <v>1374</v>
      </c>
      <c r="D2394" t="s">
        <v>1722</v>
      </c>
      <c r="E2394" t="s">
        <v>142</v>
      </c>
      <c r="F2394" t="s">
        <v>171</v>
      </c>
      <c r="G2394" t="s">
        <v>112</v>
      </c>
      <c r="H2394" t="s">
        <v>104</v>
      </c>
      <c r="I2394">
        <v>2022</v>
      </c>
      <c r="J2394" t="s">
        <v>175</v>
      </c>
      <c r="K2394" t="s">
        <v>106</v>
      </c>
      <c r="L2394" t="s">
        <v>2780</v>
      </c>
      <c r="M2394" t="s">
        <v>2795</v>
      </c>
      <c r="N2394">
        <v>1</v>
      </c>
      <c r="O2394">
        <v>2020</v>
      </c>
      <c r="P2394">
        <v>99.072924818911702</v>
      </c>
      <c r="Q2394">
        <v>3.3024308272970568</v>
      </c>
      <c r="R2394" t="s">
        <v>109</v>
      </c>
      <c r="S2394">
        <v>6.6358468446548251</v>
      </c>
      <c r="T2394" t="s">
        <v>110</v>
      </c>
      <c r="U2394">
        <v>6.6358468446548251</v>
      </c>
      <c r="V2394">
        <v>338.05093243245392</v>
      </c>
      <c r="W2394">
        <v>11.26836441441513</v>
      </c>
      <c r="X2394" t="s">
        <v>111</v>
      </c>
      <c r="Y2394">
        <v>20</v>
      </c>
      <c r="Z2394">
        <v>0.1064322100008962</v>
      </c>
      <c r="AA2394">
        <v>31.536000000000001</v>
      </c>
    </row>
    <row r="2395" spans="1:27" hidden="1" x14ac:dyDescent="0.25">
      <c r="A2395" t="s">
        <v>98</v>
      </c>
      <c r="B2395" t="s">
        <v>1374</v>
      </c>
      <c r="D2395" t="s">
        <v>1722</v>
      </c>
      <c r="E2395" t="s">
        <v>142</v>
      </c>
      <c r="F2395" t="s">
        <v>171</v>
      </c>
      <c r="G2395" t="s">
        <v>103</v>
      </c>
      <c r="H2395" t="s">
        <v>104</v>
      </c>
      <c r="I2395">
        <v>2030</v>
      </c>
      <c r="J2395" t="s">
        <v>177</v>
      </c>
      <c r="K2395" t="s">
        <v>106</v>
      </c>
      <c r="L2395" t="s">
        <v>2780</v>
      </c>
      <c r="M2395" t="s">
        <v>2796</v>
      </c>
      <c r="N2395">
        <v>1</v>
      </c>
      <c r="O2395">
        <v>2030</v>
      </c>
      <c r="P2395">
        <v>90.181764899265772</v>
      </c>
      <c r="Q2395">
        <v>3.3024308272970568</v>
      </c>
      <c r="R2395" t="s">
        <v>109</v>
      </c>
      <c r="S2395">
        <v>4.8847205939820251</v>
      </c>
      <c r="T2395" t="s">
        <v>110</v>
      </c>
      <c r="U2395">
        <v>4.8847205939820251</v>
      </c>
      <c r="V2395">
        <v>307.71302823979772</v>
      </c>
      <c r="W2395">
        <v>11.26836441441513</v>
      </c>
      <c r="X2395" t="s">
        <v>111</v>
      </c>
      <c r="Y2395">
        <v>20</v>
      </c>
      <c r="Z2395">
        <v>0.1064322100008962</v>
      </c>
      <c r="AA2395">
        <v>31.536000000000001</v>
      </c>
    </row>
    <row r="2396" spans="1:27" hidden="1" x14ac:dyDescent="0.25">
      <c r="A2396" t="s">
        <v>98</v>
      </c>
      <c r="B2396" t="s">
        <v>1374</v>
      </c>
      <c r="D2396" t="s">
        <v>1722</v>
      </c>
      <c r="E2396" t="s">
        <v>142</v>
      </c>
      <c r="F2396" t="s">
        <v>171</v>
      </c>
      <c r="G2396" t="s">
        <v>112</v>
      </c>
      <c r="H2396" t="s">
        <v>104</v>
      </c>
      <c r="I2396">
        <v>2030</v>
      </c>
      <c r="J2396" t="s">
        <v>179</v>
      </c>
      <c r="K2396" t="s">
        <v>106</v>
      </c>
      <c r="L2396" t="s">
        <v>2780</v>
      </c>
      <c r="M2396" t="s">
        <v>2797</v>
      </c>
      <c r="N2396">
        <v>1</v>
      </c>
      <c r="O2396">
        <v>2030</v>
      </c>
      <c r="P2396">
        <v>99.072924818911702</v>
      </c>
      <c r="Q2396">
        <v>3.3024308272970568</v>
      </c>
      <c r="R2396" t="s">
        <v>109</v>
      </c>
      <c r="S2396">
        <v>7.1775486278919534</v>
      </c>
      <c r="T2396" t="s">
        <v>110</v>
      </c>
      <c r="U2396">
        <v>7.1775486278919534</v>
      </c>
      <c r="V2396">
        <v>338.05093243245392</v>
      </c>
      <c r="W2396">
        <v>11.26836441441513</v>
      </c>
      <c r="X2396" t="s">
        <v>111</v>
      </c>
      <c r="Y2396">
        <v>20</v>
      </c>
      <c r="Z2396">
        <v>0.1064322100008962</v>
      </c>
      <c r="AA2396">
        <v>31.536000000000001</v>
      </c>
    </row>
    <row r="2397" spans="1:27" hidden="1" x14ac:dyDescent="0.25">
      <c r="A2397" t="s">
        <v>98</v>
      </c>
      <c r="B2397" t="s">
        <v>1374</v>
      </c>
      <c r="D2397" t="s">
        <v>1722</v>
      </c>
      <c r="E2397" t="s">
        <v>142</v>
      </c>
      <c r="F2397" t="s">
        <v>171</v>
      </c>
      <c r="G2397" t="s">
        <v>103</v>
      </c>
      <c r="H2397" t="s">
        <v>104</v>
      </c>
      <c r="I2397">
        <v>2040</v>
      </c>
      <c r="J2397" t="s">
        <v>181</v>
      </c>
      <c r="K2397" t="s">
        <v>106</v>
      </c>
      <c r="L2397" t="s">
        <v>2780</v>
      </c>
      <c r="M2397" t="s">
        <v>2798</v>
      </c>
      <c r="N2397">
        <v>1</v>
      </c>
      <c r="O2397">
        <v>2040</v>
      </c>
      <c r="P2397">
        <v>90.181764899265772</v>
      </c>
      <c r="Q2397">
        <v>3.3024308272970568</v>
      </c>
      <c r="R2397" t="s">
        <v>109</v>
      </c>
      <c r="S2397">
        <v>5.1720570995103783</v>
      </c>
      <c r="T2397" t="s">
        <v>110</v>
      </c>
      <c r="U2397">
        <v>5.1720570995103783</v>
      </c>
      <c r="V2397">
        <v>307.71302823979772</v>
      </c>
      <c r="W2397">
        <v>11.26836441441513</v>
      </c>
      <c r="X2397" t="s">
        <v>111</v>
      </c>
      <c r="Y2397">
        <v>20</v>
      </c>
      <c r="Z2397">
        <v>0.1064322100008962</v>
      </c>
      <c r="AA2397">
        <v>31.536000000000001</v>
      </c>
    </row>
    <row r="2398" spans="1:27" hidden="1" x14ac:dyDescent="0.25">
      <c r="A2398" t="s">
        <v>98</v>
      </c>
      <c r="B2398" t="s">
        <v>1374</v>
      </c>
      <c r="D2398" t="s">
        <v>1722</v>
      </c>
      <c r="E2398" t="s">
        <v>142</v>
      </c>
      <c r="F2398" t="s">
        <v>171</v>
      </c>
      <c r="G2398" t="s">
        <v>112</v>
      </c>
      <c r="H2398" t="s">
        <v>104</v>
      </c>
      <c r="I2398">
        <v>2040</v>
      </c>
      <c r="J2398" t="s">
        <v>183</v>
      </c>
      <c r="K2398" t="s">
        <v>106</v>
      </c>
      <c r="L2398" t="s">
        <v>2780</v>
      </c>
      <c r="M2398" t="s">
        <v>2799</v>
      </c>
      <c r="N2398">
        <v>1</v>
      </c>
      <c r="O2398">
        <v>2040</v>
      </c>
      <c r="P2398">
        <v>99.072924818911702</v>
      </c>
      <c r="Q2398">
        <v>3.3024308272970568</v>
      </c>
      <c r="R2398" t="s">
        <v>109</v>
      </c>
      <c r="S2398">
        <v>7.815552950371238</v>
      </c>
      <c r="T2398" t="s">
        <v>110</v>
      </c>
      <c r="U2398">
        <v>7.815552950371238</v>
      </c>
      <c r="V2398">
        <v>338.05093243245392</v>
      </c>
      <c r="W2398">
        <v>11.26836441441513</v>
      </c>
      <c r="X2398" t="s">
        <v>111</v>
      </c>
      <c r="Y2398">
        <v>20</v>
      </c>
      <c r="Z2398">
        <v>0.1064322100008962</v>
      </c>
      <c r="AA2398">
        <v>31.536000000000001</v>
      </c>
    </row>
    <row r="2399" spans="1:27" hidden="1" x14ac:dyDescent="0.25">
      <c r="A2399" t="s">
        <v>98</v>
      </c>
      <c r="B2399" t="s">
        <v>1374</v>
      </c>
      <c r="D2399" t="s">
        <v>1722</v>
      </c>
      <c r="E2399" t="s">
        <v>142</v>
      </c>
      <c r="F2399" t="s">
        <v>185</v>
      </c>
      <c r="G2399" t="s">
        <v>112</v>
      </c>
      <c r="H2399" t="s">
        <v>104</v>
      </c>
      <c r="I2399">
        <v>2022</v>
      </c>
      <c r="J2399" t="s">
        <v>186</v>
      </c>
      <c r="K2399" t="s">
        <v>106</v>
      </c>
      <c r="L2399" t="s">
        <v>2780</v>
      </c>
      <c r="M2399" t="s">
        <v>2800</v>
      </c>
      <c r="N2399">
        <v>1</v>
      </c>
      <c r="O2399">
        <v>2020</v>
      </c>
      <c r="P2399">
        <v>97.802759116105136</v>
      </c>
      <c r="Q2399">
        <v>3.5564639678583689</v>
      </c>
      <c r="R2399" t="s">
        <v>109</v>
      </c>
      <c r="S2399">
        <v>4.4518972502114647</v>
      </c>
      <c r="T2399" t="s">
        <v>110</v>
      </c>
      <c r="U2399">
        <v>4.4518972502114647</v>
      </c>
      <c r="V2399">
        <v>333.71694611921731</v>
      </c>
      <c r="W2399">
        <v>12.135161677062451</v>
      </c>
      <c r="X2399" t="s">
        <v>111</v>
      </c>
      <c r="Y2399">
        <v>20</v>
      </c>
      <c r="Z2399">
        <v>0.1064322100008962</v>
      </c>
      <c r="AA2399">
        <v>31.536000000000001</v>
      </c>
    </row>
    <row r="2400" spans="1:27" hidden="1" x14ac:dyDescent="0.25">
      <c r="A2400" t="s">
        <v>98</v>
      </c>
      <c r="B2400" t="s">
        <v>1374</v>
      </c>
      <c r="D2400" t="s">
        <v>1722</v>
      </c>
      <c r="E2400" t="s">
        <v>142</v>
      </c>
      <c r="F2400" t="s">
        <v>188</v>
      </c>
      <c r="G2400" t="s">
        <v>103</v>
      </c>
      <c r="H2400" t="s">
        <v>104</v>
      </c>
      <c r="I2400">
        <v>2030</v>
      </c>
      <c r="J2400" t="s">
        <v>189</v>
      </c>
      <c r="K2400" t="s">
        <v>106</v>
      </c>
      <c r="L2400" t="s">
        <v>2780</v>
      </c>
      <c r="M2400" t="s">
        <v>2801</v>
      </c>
      <c r="N2400">
        <v>0</v>
      </c>
      <c r="O2400">
        <v>2030</v>
      </c>
      <c r="P2400">
        <v>49.536462409455851</v>
      </c>
      <c r="Q2400">
        <v>3.0483976867357452</v>
      </c>
      <c r="R2400" t="s">
        <v>109</v>
      </c>
      <c r="S2400">
        <v>10.04856807904874</v>
      </c>
      <c r="T2400" t="s">
        <v>110</v>
      </c>
      <c r="U2400">
        <v>10.04856807904874</v>
      </c>
      <c r="V2400">
        <v>169.0254662162269</v>
      </c>
      <c r="W2400">
        <v>10.401567151767811</v>
      </c>
      <c r="X2400" t="s">
        <v>111</v>
      </c>
      <c r="Y2400">
        <v>25</v>
      </c>
      <c r="Z2400">
        <v>0.1064322100008962</v>
      </c>
      <c r="AA2400">
        <v>31.536000000000001</v>
      </c>
    </row>
    <row r="2401" spans="1:27" hidden="1" x14ac:dyDescent="0.25">
      <c r="A2401" t="s">
        <v>98</v>
      </c>
      <c r="B2401" t="s">
        <v>1374</v>
      </c>
      <c r="D2401" t="s">
        <v>1722</v>
      </c>
      <c r="E2401" t="s">
        <v>142</v>
      </c>
      <c r="F2401" t="s">
        <v>188</v>
      </c>
      <c r="G2401" t="s">
        <v>112</v>
      </c>
      <c r="H2401" t="s">
        <v>104</v>
      </c>
      <c r="I2401">
        <v>2030</v>
      </c>
      <c r="J2401" t="s">
        <v>191</v>
      </c>
      <c r="K2401" t="s">
        <v>106</v>
      </c>
      <c r="L2401" t="s">
        <v>2780</v>
      </c>
      <c r="M2401" t="s">
        <v>2802</v>
      </c>
      <c r="N2401">
        <v>0</v>
      </c>
      <c r="O2401">
        <v>2030</v>
      </c>
      <c r="P2401">
        <v>64.778450843134578</v>
      </c>
      <c r="Q2401">
        <v>3.0483976867357452</v>
      </c>
      <c r="R2401" t="s">
        <v>109</v>
      </c>
      <c r="S2401">
        <v>13.02592158395206</v>
      </c>
      <c r="T2401" t="s">
        <v>110</v>
      </c>
      <c r="U2401">
        <v>13.02592158395206</v>
      </c>
      <c r="V2401">
        <v>221.033301975066</v>
      </c>
      <c r="W2401">
        <v>10.401567151767811</v>
      </c>
      <c r="X2401" t="s">
        <v>111</v>
      </c>
      <c r="Y2401">
        <v>25</v>
      </c>
      <c r="Z2401">
        <v>0.1064322100008962</v>
      </c>
      <c r="AA2401">
        <v>31.536000000000001</v>
      </c>
    </row>
    <row r="2402" spans="1:27" hidden="1" x14ac:dyDescent="0.25">
      <c r="A2402" t="s">
        <v>98</v>
      </c>
      <c r="B2402" t="s">
        <v>1374</v>
      </c>
      <c r="D2402" t="s">
        <v>1722</v>
      </c>
      <c r="E2402" t="s">
        <v>142</v>
      </c>
      <c r="F2402" t="s">
        <v>188</v>
      </c>
      <c r="G2402" t="s">
        <v>103</v>
      </c>
      <c r="H2402" t="s">
        <v>104</v>
      </c>
      <c r="I2402">
        <v>2040</v>
      </c>
      <c r="J2402" t="s">
        <v>193</v>
      </c>
      <c r="K2402" t="s">
        <v>106</v>
      </c>
      <c r="L2402" t="s">
        <v>2780</v>
      </c>
      <c r="M2402" t="s">
        <v>2803</v>
      </c>
      <c r="N2402">
        <v>0</v>
      </c>
      <c r="O2402">
        <v>2040</v>
      </c>
      <c r="P2402">
        <v>49.536462409455851</v>
      </c>
      <c r="Q2402">
        <v>3.0483976867357452</v>
      </c>
      <c r="R2402" t="s">
        <v>109</v>
      </c>
      <c r="S2402">
        <v>10.34411419902076</v>
      </c>
      <c r="T2402" t="s">
        <v>110</v>
      </c>
      <c r="U2402">
        <v>10.34411419902076</v>
      </c>
      <c r="V2402">
        <v>169.0254662162269</v>
      </c>
      <c r="W2402">
        <v>10.401567151767811</v>
      </c>
      <c r="X2402" t="s">
        <v>111</v>
      </c>
      <c r="Y2402">
        <v>25</v>
      </c>
      <c r="Z2402">
        <v>0.1064322100008962</v>
      </c>
      <c r="AA2402">
        <v>31.536000000000001</v>
      </c>
    </row>
    <row r="2403" spans="1:27" hidden="1" x14ac:dyDescent="0.25">
      <c r="A2403" t="s">
        <v>98</v>
      </c>
      <c r="B2403" t="s">
        <v>1374</v>
      </c>
      <c r="D2403" t="s">
        <v>1722</v>
      </c>
      <c r="E2403" t="s">
        <v>142</v>
      </c>
      <c r="F2403" t="s">
        <v>188</v>
      </c>
      <c r="G2403" t="s">
        <v>112</v>
      </c>
      <c r="H2403" t="s">
        <v>104</v>
      </c>
      <c r="I2403">
        <v>2040</v>
      </c>
      <c r="J2403" t="s">
        <v>195</v>
      </c>
      <c r="K2403" t="s">
        <v>106</v>
      </c>
      <c r="L2403" t="s">
        <v>2780</v>
      </c>
      <c r="M2403" t="s">
        <v>2804</v>
      </c>
      <c r="N2403">
        <v>0</v>
      </c>
      <c r="O2403">
        <v>2040</v>
      </c>
      <c r="P2403">
        <v>64.778450843134578</v>
      </c>
      <c r="Q2403">
        <v>3.0483976867357452</v>
      </c>
      <c r="R2403" t="s">
        <v>109</v>
      </c>
      <c r="S2403">
        <v>14.067995310668231</v>
      </c>
      <c r="T2403" t="s">
        <v>110</v>
      </c>
      <c r="U2403">
        <v>14.067995310668231</v>
      </c>
      <c r="V2403">
        <v>221.033301975066</v>
      </c>
      <c r="W2403">
        <v>10.401567151767811</v>
      </c>
      <c r="X2403" t="s">
        <v>111</v>
      </c>
      <c r="Y2403">
        <v>25</v>
      </c>
      <c r="Z2403">
        <v>0.1064322100008962</v>
      </c>
      <c r="AA2403">
        <v>31.536000000000001</v>
      </c>
    </row>
    <row r="2404" spans="1:27" hidden="1" x14ac:dyDescent="0.25">
      <c r="A2404" t="s">
        <v>98</v>
      </c>
      <c r="B2404" t="s">
        <v>1374</v>
      </c>
      <c r="D2404" t="s">
        <v>1722</v>
      </c>
      <c r="E2404" t="s">
        <v>142</v>
      </c>
      <c r="F2404" t="s">
        <v>188</v>
      </c>
      <c r="G2404" t="s">
        <v>112</v>
      </c>
      <c r="H2404" t="s">
        <v>104</v>
      </c>
      <c r="I2404">
        <v>2022</v>
      </c>
      <c r="J2404" t="s">
        <v>197</v>
      </c>
      <c r="K2404" t="s">
        <v>106</v>
      </c>
      <c r="L2404" t="s">
        <v>2780</v>
      </c>
      <c r="M2404" t="s">
        <v>2805</v>
      </c>
      <c r="N2404">
        <v>1</v>
      </c>
      <c r="O2404">
        <v>2020</v>
      </c>
      <c r="P2404">
        <v>64.778450843134578</v>
      </c>
      <c r="Q2404">
        <v>3.0483976867357452</v>
      </c>
      <c r="R2404" t="s">
        <v>109</v>
      </c>
      <c r="S2404">
        <v>12.12758216436916</v>
      </c>
      <c r="T2404" t="s">
        <v>110</v>
      </c>
      <c r="U2404">
        <v>12.12758216436916</v>
      </c>
      <c r="V2404">
        <v>221.033301975066</v>
      </c>
      <c r="W2404">
        <v>10.401567151767811</v>
      </c>
      <c r="X2404" t="s">
        <v>111</v>
      </c>
      <c r="Y2404">
        <v>25</v>
      </c>
      <c r="Z2404">
        <v>0.1064322100008962</v>
      </c>
      <c r="AA2404">
        <v>31.536000000000001</v>
      </c>
    </row>
    <row r="2405" spans="1:27" hidden="1" x14ac:dyDescent="0.25">
      <c r="A2405" t="s">
        <v>98</v>
      </c>
      <c r="B2405" t="s">
        <v>1374</v>
      </c>
      <c r="D2405" t="s">
        <v>1722</v>
      </c>
      <c r="E2405" t="s">
        <v>142</v>
      </c>
      <c r="F2405" t="s">
        <v>199</v>
      </c>
      <c r="G2405" t="s">
        <v>103</v>
      </c>
      <c r="H2405" t="s">
        <v>131</v>
      </c>
      <c r="I2405">
        <v>2030</v>
      </c>
      <c r="J2405" t="s">
        <v>200</v>
      </c>
      <c r="K2405" t="s">
        <v>133</v>
      </c>
      <c r="L2405" t="s">
        <v>2780</v>
      </c>
      <c r="M2405" t="s">
        <v>2806</v>
      </c>
      <c r="N2405">
        <v>0</v>
      </c>
      <c r="O2405">
        <v>2030</v>
      </c>
      <c r="P2405">
        <v>93.992262007685454</v>
      </c>
      <c r="Q2405">
        <v>2.7943645461744331</v>
      </c>
      <c r="R2405" t="s">
        <v>109</v>
      </c>
      <c r="S2405">
        <v>1.4</v>
      </c>
      <c r="T2405" t="s">
        <v>110</v>
      </c>
      <c r="U2405">
        <v>1.4</v>
      </c>
      <c r="V2405">
        <v>320.71498717950749</v>
      </c>
      <c r="W2405">
        <v>9.5347698891204935</v>
      </c>
      <c r="X2405" t="s">
        <v>111</v>
      </c>
      <c r="Y2405">
        <v>23</v>
      </c>
      <c r="Z2405">
        <v>0.1064322100008962</v>
      </c>
      <c r="AA2405">
        <v>31.536000000000001</v>
      </c>
    </row>
    <row r="2406" spans="1:27" hidden="1" x14ac:dyDescent="0.25">
      <c r="A2406" t="s">
        <v>98</v>
      </c>
      <c r="B2406" t="s">
        <v>1374</v>
      </c>
      <c r="D2406" t="s">
        <v>1722</v>
      </c>
      <c r="E2406" t="s">
        <v>142</v>
      </c>
      <c r="F2406" t="s">
        <v>202</v>
      </c>
      <c r="G2406" t="s">
        <v>103</v>
      </c>
      <c r="H2406" t="s">
        <v>104</v>
      </c>
      <c r="I2406">
        <v>2023</v>
      </c>
      <c r="J2406" t="s">
        <v>203</v>
      </c>
      <c r="K2406" t="s">
        <v>106</v>
      </c>
      <c r="L2406" t="s">
        <v>2780</v>
      </c>
      <c r="M2406" t="s">
        <v>2807</v>
      </c>
      <c r="N2406">
        <v>1</v>
      </c>
      <c r="O2406">
        <v>2023</v>
      </c>
      <c r="P2406">
        <v>138.8714501735173</v>
      </c>
      <c r="Q2406">
        <v>4.2000145906136934</v>
      </c>
      <c r="R2406" t="s">
        <v>109</v>
      </c>
      <c r="S2406">
        <v>3.5756154747948421</v>
      </c>
      <c r="T2406" t="s">
        <v>110</v>
      </c>
      <c r="U2406">
        <v>3.5756154747948421</v>
      </c>
      <c r="V2406">
        <v>473.84917024720039</v>
      </c>
      <c r="W2406">
        <v>14.33104807576899</v>
      </c>
      <c r="X2406" t="s">
        <v>111</v>
      </c>
      <c r="Y2406">
        <v>21</v>
      </c>
      <c r="Z2406">
        <v>0.1064322100008962</v>
      </c>
      <c r="AA2406">
        <v>31.536000000000001</v>
      </c>
    </row>
    <row r="2407" spans="1:27" hidden="1" x14ac:dyDescent="0.25">
      <c r="A2407" t="s">
        <v>98</v>
      </c>
      <c r="B2407" t="s">
        <v>1374</v>
      </c>
      <c r="D2407" t="s">
        <v>1722</v>
      </c>
      <c r="E2407" t="s">
        <v>142</v>
      </c>
      <c r="F2407" t="s">
        <v>202</v>
      </c>
      <c r="G2407" t="s">
        <v>112</v>
      </c>
      <c r="H2407" t="s">
        <v>104</v>
      </c>
      <c r="I2407">
        <v>2022</v>
      </c>
      <c r="J2407" t="s">
        <v>205</v>
      </c>
      <c r="K2407" t="s">
        <v>106</v>
      </c>
      <c r="L2407" t="s">
        <v>2780</v>
      </c>
      <c r="M2407" t="s">
        <v>2808</v>
      </c>
      <c r="N2407">
        <v>1</v>
      </c>
      <c r="O2407">
        <v>2020</v>
      </c>
      <c r="P2407">
        <v>201.87166903272271</v>
      </c>
      <c r="Q2407">
        <v>4.2000145906136934</v>
      </c>
      <c r="R2407" t="s">
        <v>109</v>
      </c>
      <c r="S2407">
        <v>3.7514654161781951</v>
      </c>
      <c r="T2407" t="s">
        <v>110</v>
      </c>
      <c r="U2407">
        <v>3.7514654161781951</v>
      </c>
      <c r="V2407">
        <v>688.81489138373513</v>
      </c>
      <c r="W2407">
        <v>14.33104807576899</v>
      </c>
      <c r="X2407" t="s">
        <v>111</v>
      </c>
      <c r="Y2407">
        <v>21</v>
      </c>
      <c r="Z2407">
        <v>0.1064322100008962</v>
      </c>
      <c r="AA2407">
        <v>31.536000000000001</v>
      </c>
    </row>
    <row r="2408" spans="1:27" hidden="1" x14ac:dyDescent="0.25">
      <c r="A2408" t="s">
        <v>98</v>
      </c>
      <c r="B2408" t="s">
        <v>1374</v>
      </c>
      <c r="D2408" t="s">
        <v>1722</v>
      </c>
      <c r="E2408" t="s">
        <v>142</v>
      </c>
      <c r="F2408" t="s">
        <v>207</v>
      </c>
      <c r="G2408" t="s">
        <v>103</v>
      </c>
      <c r="H2408" t="s">
        <v>104</v>
      </c>
      <c r="I2408">
        <v>2030</v>
      </c>
      <c r="J2408" t="s">
        <v>208</v>
      </c>
      <c r="K2408" t="s">
        <v>106</v>
      </c>
      <c r="L2408" t="s">
        <v>2780</v>
      </c>
      <c r="M2408" t="s">
        <v>2809</v>
      </c>
      <c r="N2408">
        <v>1</v>
      </c>
      <c r="O2408">
        <v>2030</v>
      </c>
      <c r="P2408">
        <v>74.322838838509583</v>
      </c>
      <c r="Q2408">
        <v>1.219359074694298E-2</v>
      </c>
      <c r="R2408" t="s">
        <v>109</v>
      </c>
      <c r="S2408">
        <v>3.5902696365767879</v>
      </c>
      <c r="T2408" t="s">
        <v>110</v>
      </c>
      <c r="U2408">
        <v>3.5902696365767879</v>
      </c>
      <c r="V2408">
        <v>253.60011341452949</v>
      </c>
      <c r="W2408">
        <v>4.1606268607071263E-2</v>
      </c>
      <c r="X2408" t="s">
        <v>111</v>
      </c>
      <c r="Y2408">
        <v>9.5</v>
      </c>
      <c r="Z2408">
        <v>0.1064322100008962</v>
      </c>
      <c r="AA2408">
        <v>31.536000000000001</v>
      </c>
    </row>
    <row r="2409" spans="1:27" hidden="1" x14ac:dyDescent="0.25">
      <c r="A2409" t="s">
        <v>98</v>
      </c>
      <c r="B2409" t="s">
        <v>1374</v>
      </c>
      <c r="D2409" t="s">
        <v>1722</v>
      </c>
      <c r="E2409" t="s">
        <v>142</v>
      </c>
      <c r="F2409" t="s">
        <v>207</v>
      </c>
      <c r="G2409" t="s">
        <v>112</v>
      </c>
      <c r="H2409" t="s">
        <v>104</v>
      </c>
      <c r="I2409">
        <v>2030</v>
      </c>
      <c r="J2409" t="s">
        <v>210</v>
      </c>
      <c r="K2409" t="s">
        <v>106</v>
      </c>
      <c r="L2409" t="s">
        <v>2780</v>
      </c>
      <c r="M2409" t="s">
        <v>2810</v>
      </c>
      <c r="N2409">
        <v>1</v>
      </c>
      <c r="O2409">
        <v>2030</v>
      </c>
      <c r="P2409">
        <v>81.871252158045721</v>
      </c>
      <c r="Q2409">
        <v>1.219359074694298E-2</v>
      </c>
      <c r="R2409" t="s">
        <v>109</v>
      </c>
      <c r="S2409">
        <v>3.8100820633059791</v>
      </c>
      <c r="T2409" t="s">
        <v>110</v>
      </c>
      <c r="U2409">
        <v>3.8100820633059791</v>
      </c>
      <c r="V2409">
        <v>279.35637493319268</v>
      </c>
      <c r="W2409">
        <v>4.1606268607071263E-2</v>
      </c>
      <c r="X2409" t="s">
        <v>111</v>
      </c>
      <c r="Y2409">
        <v>9.5</v>
      </c>
      <c r="Z2409">
        <v>0.1064322100008962</v>
      </c>
      <c r="AA2409">
        <v>31.536000000000001</v>
      </c>
    </row>
    <row r="2410" spans="1:27" hidden="1" x14ac:dyDescent="0.25">
      <c r="A2410" t="s">
        <v>98</v>
      </c>
      <c r="B2410" t="s">
        <v>1374</v>
      </c>
      <c r="D2410" t="s">
        <v>1722</v>
      </c>
      <c r="E2410" t="s">
        <v>142</v>
      </c>
      <c r="F2410" t="s">
        <v>207</v>
      </c>
      <c r="G2410" t="s">
        <v>103</v>
      </c>
      <c r="H2410" t="s">
        <v>104</v>
      </c>
      <c r="I2410">
        <v>2040</v>
      </c>
      <c r="J2410" t="s">
        <v>212</v>
      </c>
      <c r="K2410" t="s">
        <v>106</v>
      </c>
      <c r="L2410" t="s">
        <v>2780</v>
      </c>
      <c r="M2410" t="s">
        <v>2811</v>
      </c>
      <c r="N2410">
        <v>1</v>
      </c>
      <c r="O2410">
        <v>2040</v>
      </c>
      <c r="P2410">
        <v>74.322838838509583</v>
      </c>
      <c r="Q2410">
        <v>1.219359074694298E-2</v>
      </c>
      <c r="R2410" t="s">
        <v>109</v>
      </c>
      <c r="S2410">
        <v>3.6635404454865181</v>
      </c>
      <c r="T2410" t="s">
        <v>110</v>
      </c>
      <c r="U2410">
        <v>3.6635404454865181</v>
      </c>
      <c r="V2410">
        <v>253.60011341452949</v>
      </c>
      <c r="W2410">
        <v>4.1606268607071263E-2</v>
      </c>
      <c r="X2410" t="s">
        <v>111</v>
      </c>
      <c r="Y2410">
        <v>9.5</v>
      </c>
      <c r="Z2410">
        <v>0.1064322100008962</v>
      </c>
      <c r="AA2410">
        <v>31.536000000000001</v>
      </c>
    </row>
    <row r="2411" spans="1:27" hidden="1" x14ac:dyDescent="0.25">
      <c r="A2411" t="s">
        <v>98</v>
      </c>
      <c r="B2411" t="s">
        <v>1374</v>
      </c>
      <c r="D2411" t="s">
        <v>1722</v>
      </c>
      <c r="E2411" t="s">
        <v>142</v>
      </c>
      <c r="F2411" t="s">
        <v>207</v>
      </c>
      <c r="G2411" t="s">
        <v>112</v>
      </c>
      <c r="H2411" t="s">
        <v>104</v>
      </c>
      <c r="I2411">
        <v>2040</v>
      </c>
      <c r="J2411" t="s">
        <v>214</v>
      </c>
      <c r="K2411" t="s">
        <v>106</v>
      </c>
      <c r="L2411" t="s">
        <v>2780</v>
      </c>
      <c r="M2411" t="s">
        <v>2812</v>
      </c>
      <c r="N2411">
        <v>1</v>
      </c>
      <c r="O2411">
        <v>2040</v>
      </c>
      <c r="P2411">
        <v>81.871252158045721</v>
      </c>
      <c r="Q2411">
        <v>1.219359074694298E-2</v>
      </c>
      <c r="R2411" t="s">
        <v>109</v>
      </c>
      <c r="S2411">
        <v>3.9566236811254401</v>
      </c>
      <c r="T2411" t="s">
        <v>110</v>
      </c>
      <c r="U2411">
        <v>3.9566236811254401</v>
      </c>
      <c r="V2411">
        <v>279.35637493319268</v>
      </c>
      <c r="W2411">
        <v>4.1606268607071263E-2</v>
      </c>
      <c r="X2411" t="s">
        <v>111</v>
      </c>
      <c r="Y2411">
        <v>9.5</v>
      </c>
      <c r="Z2411">
        <v>0.1064322100008962</v>
      </c>
      <c r="AA2411">
        <v>31.536000000000001</v>
      </c>
    </row>
    <row r="2412" spans="1:27" hidden="1" x14ac:dyDescent="0.25">
      <c r="A2412" t="s">
        <v>98</v>
      </c>
      <c r="B2412" t="s">
        <v>1374</v>
      </c>
      <c r="D2412" t="s">
        <v>1722</v>
      </c>
      <c r="E2412" t="s">
        <v>142</v>
      </c>
      <c r="F2412" t="s">
        <v>207</v>
      </c>
      <c r="G2412" t="s">
        <v>112</v>
      </c>
      <c r="H2412" t="s">
        <v>104</v>
      </c>
      <c r="I2412">
        <v>2022</v>
      </c>
      <c r="J2412" t="s">
        <v>216</v>
      </c>
      <c r="K2412" t="s">
        <v>106</v>
      </c>
      <c r="L2412" t="s">
        <v>2780</v>
      </c>
      <c r="M2412" t="s">
        <v>2813</v>
      </c>
      <c r="N2412">
        <v>1</v>
      </c>
      <c r="O2412">
        <v>2020</v>
      </c>
      <c r="P2412">
        <v>81.871252158045721</v>
      </c>
      <c r="Q2412">
        <v>1.219359074694298E-2</v>
      </c>
      <c r="R2412" t="s">
        <v>109</v>
      </c>
      <c r="S2412">
        <v>3.6635404454865181</v>
      </c>
      <c r="T2412" t="s">
        <v>110</v>
      </c>
      <c r="U2412">
        <v>3.6635404454865181</v>
      </c>
      <c r="V2412">
        <v>279.35637493319268</v>
      </c>
      <c r="W2412">
        <v>4.1606268607071263E-2</v>
      </c>
      <c r="X2412" t="s">
        <v>111</v>
      </c>
      <c r="Y2412">
        <v>9.5</v>
      </c>
      <c r="Z2412">
        <v>0.1064322100008962</v>
      </c>
      <c r="AA2412">
        <v>31.536000000000001</v>
      </c>
    </row>
    <row r="2413" spans="1:27" hidden="1" x14ac:dyDescent="0.25">
      <c r="A2413" t="s">
        <v>98</v>
      </c>
      <c r="B2413" t="s">
        <v>1374</v>
      </c>
      <c r="D2413" t="s">
        <v>1722</v>
      </c>
      <c r="E2413" t="s">
        <v>142</v>
      </c>
      <c r="F2413" t="s">
        <v>218</v>
      </c>
      <c r="G2413" t="s">
        <v>219</v>
      </c>
      <c r="H2413" t="s">
        <v>104</v>
      </c>
      <c r="I2413">
        <v>2023</v>
      </c>
      <c r="J2413" t="s">
        <v>220</v>
      </c>
      <c r="K2413" t="s">
        <v>106</v>
      </c>
      <c r="L2413" t="s">
        <v>2780</v>
      </c>
      <c r="M2413" t="s">
        <v>2814</v>
      </c>
      <c r="N2413">
        <v>1</v>
      </c>
      <c r="O2413">
        <v>2023</v>
      </c>
      <c r="P2413">
        <v>144.5166310748798</v>
      </c>
      <c r="Q2413">
        <v>2.6193639382321958</v>
      </c>
      <c r="R2413" t="s">
        <v>109</v>
      </c>
      <c r="S2413">
        <v>4.6893317702227444</v>
      </c>
      <c r="T2413" t="s">
        <v>110</v>
      </c>
      <c r="U2413">
        <v>4.6893317702227444</v>
      </c>
      <c r="V2413">
        <v>493.11133163936307</v>
      </c>
      <c r="W2413">
        <v>8.937642885963454</v>
      </c>
      <c r="X2413" t="s">
        <v>111</v>
      </c>
      <c r="Y2413">
        <v>18</v>
      </c>
      <c r="Z2413">
        <v>0.1064322100008962</v>
      </c>
      <c r="AA2413">
        <v>31.536000000000001</v>
      </c>
    </row>
    <row r="2414" spans="1:27" hidden="1" x14ac:dyDescent="0.25">
      <c r="A2414" t="s">
        <v>98</v>
      </c>
      <c r="B2414" t="s">
        <v>1374</v>
      </c>
      <c r="D2414" t="s">
        <v>1722</v>
      </c>
      <c r="E2414" t="s">
        <v>142</v>
      </c>
      <c r="F2414" t="s">
        <v>218</v>
      </c>
      <c r="G2414" t="s">
        <v>112</v>
      </c>
      <c r="H2414" t="s">
        <v>104</v>
      </c>
      <c r="I2414">
        <v>2022</v>
      </c>
      <c r="J2414" t="s">
        <v>222</v>
      </c>
      <c r="K2414" t="s">
        <v>106</v>
      </c>
      <c r="L2414" t="s">
        <v>2780</v>
      </c>
      <c r="M2414" t="s">
        <v>2815</v>
      </c>
      <c r="N2414">
        <v>1</v>
      </c>
      <c r="O2414">
        <v>2020</v>
      </c>
      <c r="P2414">
        <v>157.50054714801351</v>
      </c>
      <c r="Q2414">
        <v>2.455653692092683</v>
      </c>
      <c r="R2414" t="s">
        <v>109</v>
      </c>
      <c r="S2414">
        <v>4.835873388042204</v>
      </c>
      <c r="T2414" t="s">
        <v>110</v>
      </c>
      <c r="U2414">
        <v>4.835873388042204</v>
      </c>
      <c r="V2414">
        <v>537.41430284133696</v>
      </c>
      <c r="W2414">
        <v>8.3790402055907389</v>
      </c>
      <c r="X2414" t="s">
        <v>111</v>
      </c>
      <c r="Y2414">
        <v>18</v>
      </c>
      <c r="Z2414">
        <v>0.1064322100008962</v>
      </c>
      <c r="AA2414">
        <v>31.536000000000001</v>
      </c>
    </row>
    <row r="2415" spans="1:27" hidden="1" x14ac:dyDescent="0.25">
      <c r="A2415" t="s">
        <v>98</v>
      </c>
      <c r="B2415" t="s">
        <v>1374</v>
      </c>
      <c r="D2415" t="s">
        <v>1722</v>
      </c>
      <c r="E2415" t="s">
        <v>142</v>
      </c>
      <c r="F2415" t="s">
        <v>218</v>
      </c>
      <c r="G2415" t="s">
        <v>103</v>
      </c>
      <c r="H2415" t="s">
        <v>104</v>
      </c>
      <c r="I2415">
        <v>2023</v>
      </c>
      <c r="J2415" t="s">
        <v>224</v>
      </c>
      <c r="K2415" t="s">
        <v>106</v>
      </c>
      <c r="L2415" t="s">
        <v>2780</v>
      </c>
      <c r="M2415" t="s">
        <v>2816</v>
      </c>
      <c r="N2415">
        <v>1</v>
      </c>
      <c r="O2415">
        <v>2023</v>
      </c>
      <c r="P2415">
        <v>125.3230160102473</v>
      </c>
      <c r="Q2415">
        <v>2.455653692092683</v>
      </c>
      <c r="R2415" t="s">
        <v>109</v>
      </c>
      <c r="S2415">
        <v>4.2203985932004704</v>
      </c>
      <c r="T2415" t="s">
        <v>110</v>
      </c>
      <c r="U2415">
        <v>4.2203985932004704</v>
      </c>
      <c r="V2415">
        <v>427.61998290601008</v>
      </c>
      <c r="W2415">
        <v>8.3790402055907389</v>
      </c>
      <c r="X2415" t="s">
        <v>111</v>
      </c>
      <c r="Y2415">
        <v>18</v>
      </c>
      <c r="Z2415">
        <v>0.1064322100008962</v>
      </c>
      <c r="AA2415">
        <v>31.536000000000001</v>
      </c>
    </row>
    <row r="2416" spans="1:27" x14ac:dyDescent="0.25">
      <c r="A2416" t="s">
        <v>98</v>
      </c>
      <c r="B2416" t="s">
        <v>1374</v>
      </c>
      <c r="D2416" t="s">
        <v>1722</v>
      </c>
      <c r="E2416" t="s">
        <v>226</v>
      </c>
      <c r="F2416" t="s">
        <v>227</v>
      </c>
      <c r="G2416" t="s">
        <v>228</v>
      </c>
      <c r="H2416" t="s">
        <v>104</v>
      </c>
      <c r="I2416">
        <v>2023</v>
      </c>
      <c r="J2416" t="s">
        <v>229</v>
      </c>
      <c r="K2416" t="s">
        <v>106</v>
      </c>
      <c r="L2416" t="s">
        <v>2817</v>
      </c>
      <c r="M2416" t="s">
        <v>2818</v>
      </c>
      <c r="N2416">
        <v>1</v>
      </c>
      <c r="O2416">
        <v>2023</v>
      </c>
      <c r="P2416">
        <v>351.48905933689161</v>
      </c>
      <c r="Q2416">
        <v>0.67078064758948786</v>
      </c>
      <c r="R2416" t="s">
        <v>109</v>
      </c>
      <c r="S2416">
        <v>2.7</v>
      </c>
      <c r="T2416" t="s">
        <v>110</v>
      </c>
      <c r="U2416">
        <v>2.7</v>
      </c>
      <c r="V2416">
        <v>1199.3307401172131</v>
      </c>
      <c r="W2416">
        <v>2.2887991223610928</v>
      </c>
      <c r="X2416" t="s">
        <v>111</v>
      </c>
      <c r="Y2416">
        <v>20</v>
      </c>
      <c r="Z2416">
        <v>0.44</v>
      </c>
      <c r="AA2416">
        <v>31.536000000000001</v>
      </c>
    </row>
    <row r="2417" spans="1:27" x14ac:dyDescent="0.25">
      <c r="A2417" t="s">
        <v>98</v>
      </c>
      <c r="B2417" t="s">
        <v>1374</v>
      </c>
      <c r="D2417" t="s">
        <v>1722</v>
      </c>
      <c r="E2417" t="s">
        <v>226</v>
      </c>
      <c r="F2417" t="s">
        <v>227</v>
      </c>
      <c r="G2417" t="s">
        <v>228</v>
      </c>
      <c r="H2417" t="s">
        <v>104</v>
      </c>
      <c r="I2417">
        <v>2024</v>
      </c>
      <c r="J2417" t="s">
        <v>232</v>
      </c>
      <c r="K2417" t="s">
        <v>106</v>
      </c>
      <c r="L2417" t="s">
        <v>2817</v>
      </c>
      <c r="M2417" t="s">
        <v>2819</v>
      </c>
      <c r="N2417">
        <v>1</v>
      </c>
      <c r="O2417">
        <v>2024</v>
      </c>
      <c r="P2417">
        <v>351.48905933689161</v>
      </c>
      <c r="Q2417">
        <v>0.67078064758948786</v>
      </c>
      <c r="R2417" t="s">
        <v>109</v>
      </c>
      <c r="S2417">
        <v>2.7</v>
      </c>
      <c r="T2417" t="s">
        <v>110</v>
      </c>
      <c r="U2417">
        <v>2.7</v>
      </c>
      <c r="V2417">
        <v>1199.3307401172131</v>
      </c>
      <c r="W2417">
        <v>2.2887991223610928</v>
      </c>
      <c r="X2417" t="s">
        <v>111</v>
      </c>
      <c r="Y2417">
        <v>20</v>
      </c>
      <c r="Z2417">
        <v>0.44</v>
      </c>
      <c r="AA2417">
        <v>31.536000000000001</v>
      </c>
    </row>
    <row r="2418" spans="1:27" x14ac:dyDescent="0.25">
      <c r="A2418" t="s">
        <v>98</v>
      </c>
      <c r="B2418" t="s">
        <v>1374</v>
      </c>
      <c r="D2418" t="s">
        <v>1722</v>
      </c>
      <c r="E2418" t="s">
        <v>226</v>
      </c>
      <c r="F2418" t="s">
        <v>227</v>
      </c>
      <c r="G2418" t="s">
        <v>228</v>
      </c>
      <c r="H2418" t="s">
        <v>104</v>
      </c>
      <c r="I2418">
        <v>2025</v>
      </c>
      <c r="J2418" t="s">
        <v>234</v>
      </c>
      <c r="K2418" t="s">
        <v>106</v>
      </c>
      <c r="L2418" t="s">
        <v>2817</v>
      </c>
      <c r="M2418" t="s">
        <v>2820</v>
      </c>
      <c r="N2418">
        <v>1</v>
      </c>
      <c r="O2418">
        <v>2025</v>
      </c>
      <c r="P2418">
        <v>351.48905933689161</v>
      </c>
      <c r="Q2418">
        <v>0.67078064758948786</v>
      </c>
      <c r="R2418" t="s">
        <v>109</v>
      </c>
      <c r="S2418">
        <v>2.7</v>
      </c>
      <c r="T2418" t="s">
        <v>110</v>
      </c>
      <c r="U2418">
        <v>2.7</v>
      </c>
      <c r="V2418">
        <v>1199.3307401172131</v>
      </c>
      <c r="W2418">
        <v>2.2887991223610928</v>
      </c>
      <c r="X2418" t="s">
        <v>111</v>
      </c>
      <c r="Y2418">
        <v>20</v>
      </c>
      <c r="Z2418">
        <v>0.44</v>
      </c>
      <c r="AA2418">
        <v>31.536000000000001</v>
      </c>
    </row>
    <row r="2419" spans="1:27" x14ac:dyDescent="0.25">
      <c r="A2419" t="s">
        <v>98</v>
      </c>
      <c r="B2419" t="s">
        <v>1374</v>
      </c>
      <c r="D2419" t="s">
        <v>1722</v>
      </c>
      <c r="E2419" t="s">
        <v>226</v>
      </c>
      <c r="F2419" t="s">
        <v>227</v>
      </c>
      <c r="G2419" t="s">
        <v>228</v>
      </c>
      <c r="H2419" t="s">
        <v>104</v>
      </c>
      <c r="I2419">
        <v>2026</v>
      </c>
      <c r="J2419" t="s">
        <v>236</v>
      </c>
      <c r="K2419" t="s">
        <v>106</v>
      </c>
      <c r="L2419" t="s">
        <v>2817</v>
      </c>
      <c r="M2419" t="s">
        <v>2821</v>
      </c>
      <c r="N2419">
        <v>1</v>
      </c>
      <c r="O2419">
        <v>2026</v>
      </c>
      <c r="P2419">
        <v>351.48905933689161</v>
      </c>
      <c r="Q2419">
        <v>0.67078064758948786</v>
      </c>
      <c r="R2419" t="s">
        <v>109</v>
      </c>
      <c r="S2419">
        <v>2.7</v>
      </c>
      <c r="T2419" t="s">
        <v>110</v>
      </c>
      <c r="U2419">
        <v>2.7</v>
      </c>
      <c r="V2419">
        <v>1199.3307401172131</v>
      </c>
      <c r="W2419">
        <v>2.2887991223610928</v>
      </c>
      <c r="X2419" t="s">
        <v>111</v>
      </c>
      <c r="Y2419">
        <v>20</v>
      </c>
      <c r="Z2419">
        <v>0.44</v>
      </c>
      <c r="AA2419">
        <v>31.536000000000001</v>
      </c>
    </row>
    <row r="2420" spans="1:27" x14ac:dyDescent="0.25">
      <c r="A2420" t="s">
        <v>98</v>
      </c>
      <c r="B2420" t="s">
        <v>1374</v>
      </c>
      <c r="D2420" t="s">
        <v>1722</v>
      </c>
      <c r="E2420" t="s">
        <v>226</v>
      </c>
      <c r="F2420" t="s">
        <v>227</v>
      </c>
      <c r="G2420" t="s">
        <v>228</v>
      </c>
      <c r="H2420" t="s">
        <v>104</v>
      </c>
      <c r="I2420">
        <v>2027</v>
      </c>
      <c r="J2420" t="s">
        <v>238</v>
      </c>
      <c r="K2420" t="s">
        <v>106</v>
      </c>
      <c r="L2420" t="s">
        <v>2817</v>
      </c>
      <c r="M2420" t="s">
        <v>2822</v>
      </c>
      <c r="N2420">
        <v>1</v>
      </c>
      <c r="O2420">
        <v>2027</v>
      </c>
      <c r="P2420">
        <v>351.48905933689161</v>
      </c>
      <c r="Q2420">
        <v>0.67078064758948786</v>
      </c>
      <c r="R2420" t="s">
        <v>109</v>
      </c>
      <c r="S2420">
        <v>2.7</v>
      </c>
      <c r="T2420" t="s">
        <v>110</v>
      </c>
      <c r="U2420">
        <v>2.7</v>
      </c>
      <c r="V2420">
        <v>1199.3307401172131</v>
      </c>
      <c r="W2420">
        <v>2.2887991223610928</v>
      </c>
      <c r="X2420" t="s">
        <v>111</v>
      </c>
      <c r="Y2420">
        <v>20</v>
      </c>
      <c r="Z2420">
        <v>0.44</v>
      </c>
      <c r="AA2420">
        <v>31.536000000000001</v>
      </c>
    </row>
    <row r="2421" spans="1:27" x14ac:dyDescent="0.25">
      <c r="A2421" t="s">
        <v>98</v>
      </c>
      <c r="B2421" t="s">
        <v>1374</v>
      </c>
      <c r="D2421" t="s">
        <v>1722</v>
      </c>
      <c r="E2421" t="s">
        <v>226</v>
      </c>
      <c r="F2421" t="s">
        <v>240</v>
      </c>
      <c r="G2421" t="s">
        <v>103</v>
      </c>
      <c r="H2421" t="s">
        <v>104</v>
      </c>
      <c r="I2421">
        <v>2022</v>
      </c>
      <c r="J2421" t="s">
        <v>241</v>
      </c>
      <c r="K2421" t="s">
        <v>106</v>
      </c>
      <c r="L2421" t="s">
        <v>2817</v>
      </c>
      <c r="M2421" t="s">
        <v>2823</v>
      </c>
      <c r="N2421">
        <v>1</v>
      </c>
      <c r="O2421">
        <v>2020</v>
      </c>
      <c r="P2421">
        <v>364.1638033744108</v>
      </c>
      <c r="Q2421">
        <v>0.71474740603417231</v>
      </c>
      <c r="R2421" t="s">
        <v>109</v>
      </c>
      <c r="S2421">
        <v>3.9</v>
      </c>
      <c r="T2421" t="s">
        <v>110</v>
      </c>
      <c r="U2421">
        <v>3.9</v>
      </c>
      <c r="V2421">
        <v>1242.578772292075</v>
      </c>
      <c r="W2421">
        <v>2.4388199652445048</v>
      </c>
      <c r="X2421" t="s">
        <v>111</v>
      </c>
      <c r="Y2421">
        <v>15</v>
      </c>
      <c r="Z2421">
        <v>0.44</v>
      </c>
      <c r="AA2421">
        <v>31.536000000000001</v>
      </c>
    </row>
    <row r="2422" spans="1:27" hidden="1" x14ac:dyDescent="0.25">
      <c r="A2422" t="s">
        <v>98</v>
      </c>
      <c r="B2422" t="s">
        <v>1374</v>
      </c>
      <c r="D2422" t="s">
        <v>1722</v>
      </c>
      <c r="E2422" t="s">
        <v>243</v>
      </c>
      <c r="F2422" t="s">
        <v>244</v>
      </c>
      <c r="G2422" t="s">
        <v>245</v>
      </c>
      <c r="H2422" t="s">
        <v>104</v>
      </c>
      <c r="I2422">
        <v>2022</v>
      </c>
      <c r="J2422" t="s">
        <v>246</v>
      </c>
      <c r="K2422" t="s">
        <v>106</v>
      </c>
      <c r="L2422" t="s">
        <v>2824</v>
      </c>
      <c r="M2422" t="s">
        <v>2825</v>
      </c>
      <c r="N2422">
        <v>1</v>
      </c>
      <c r="O2422">
        <v>2020</v>
      </c>
      <c r="P2422">
        <v>5418.3180362120765</v>
      </c>
      <c r="Q2422">
        <v>63.780978532496562</v>
      </c>
      <c r="R2422" t="s">
        <v>249</v>
      </c>
      <c r="S2422">
        <v>0.41325750353930962</v>
      </c>
      <c r="T2422" t="s">
        <v>250</v>
      </c>
      <c r="U2422">
        <v>1</v>
      </c>
      <c r="V2422">
        <v>7640.3348848129563</v>
      </c>
      <c r="W2422">
        <v>89.937141380872987</v>
      </c>
      <c r="X2422" t="s">
        <v>111</v>
      </c>
      <c r="Y2422">
        <v>20</v>
      </c>
      <c r="Z2422">
        <v>0.44</v>
      </c>
      <c r="AA2422">
        <v>31.536000000000001</v>
      </c>
    </row>
    <row r="2423" spans="1:27" hidden="1" x14ac:dyDescent="0.25">
      <c r="A2423" t="s">
        <v>98</v>
      </c>
      <c r="B2423" t="s">
        <v>1374</v>
      </c>
      <c r="D2423" t="s">
        <v>1722</v>
      </c>
      <c r="E2423" t="s">
        <v>243</v>
      </c>
      <c r="F2423" t="s">
        <v>244</v>
      </c>
      <c r="G2423" t="s">
        <v>103</v>
      </c>
      <c r="H2423" t="s">
        <v>104</v>
      </c>
      <c r="I2423">
        <v>2022</v>
      </c>
      <c r="J2423" t="s">
        <v>251</v>
      </c>
      <c r="K2423" t="s">
        <v>106</v>
      </c>
      <c r="L2423" t="s">
        <v>2824</v>
      </c>
      <c r="M2423" t="s">
        <v>2826</v>
      </c>
      <c r="N2423">
        <v>1</v>
      </c>
      <c r="O2423">
        <v>2020</v>
      </c>
      <c r="P2423">
        <v>5667.3116722418044</v>
      </c>
      <c r="Q2423">
        <v>63.780978532496562</v>
      </c>
      <c r="R2423" t="s">
        <v>249</v>
      </c>
      <c r="S2423">
        <v>0.43508713487380868</v>
      </c>
      <c r="T2423" t="s">
        <v>250</v>
      </c>
      <c r="U2423">
        <v>1.052823315118397</v>
      </c>
      <c r="V2423">
        <v>7991.4391852139524</v>
      </c>
      <c r="W2423">
        <v>89.937141380873001</v>
      </c>
      <c r="X2423" t="s">
        <v>111</v>
      </c>
      <c r="Y2423">
        <v>20</v>
      </c>
      <c r="Z2423">
        <v>0.44</v>
      </c>
      <c r="AA2423">
        <v>31.536000000000001</v>
      </c>
    </row>
    <row r="2424" spans="1:27" hidden="1" x14ac:dyDescent="0.25">
      <c r="A2424" t="s">
        <v>98</v>
      </c>
      <c r="B2424" t="s">
        <v>1374</v>
      </c>
      <c r="D2424" t="s">
        <v>1722</v>
      </c>
      <c r="E2424" t="s">
        <v>243</v>
      </c>
      <c r="F2424" t="s">
        <v>244</v>
      </c>
      <c r="G2424" t="s">
        <v>112</v>
      </c>
      <c r="H2424" t="s">
        <v>104</v>
      </c>
      <c r="I2424">
        <v>2022</v>
      </c>
      <c r="J2424" t="s">
        <v>253</v>
      </c>
      <c r="K2424" t="s">
        <v>106</v>
      </c>
      <c r="L2424" t="s">
        <v>2824</v>
      </c>
      <c r="M2424" t="s">
        <v>2827</v>
      </c>
      <c r="N2424">
        <v>1</v>
      </c>
      <c r="O2424">
        <v>2020</v>
      </c>
      <c r="P2424">
        <v>5911.8706390075113</v>
      </c>
      <c r="Q2424">
        <v>63.780978532496562</v>
      </c>
      <c r="R2424" t="s">
        <v>249</v>
      </c>
      <c r="S2424">
        <v>0.44315925240393511</v>
      </c>
      <c r="T2424" t="s">
        <v>250</v>
      </c>
      <c r="U2424">
        <v>1.0723562152133581</v>
      </c>
      <c r="V2424">
        <v>8336.2901874412255</v>
      </c>
      <c r="W2424">
        <v>89.937141380873001</v>
      </c>
      <c r="X2424" t="s">
        <v>111</v>
      </c>
      <c r="Y2424">
        <v>20</v>
      </c>
      <c r="Z2424">
        <v>0.44</v>
      </c>
      <c r="AA2424">
        <v>31.536000000000001</v>
      </c>
    </row>
    <row r="2425" spans="1:27" hidden="1" x14ac:dyDescent="0.25">
      <c r="A2425" t="s">
        <v>98</v>
      </c>
      <c r="B2425" t="s">
        <v>1374</v>
      </c>
      <c r="D2425" t="s">
        <v>1722</v>
      </c>
      <c r="E2425" t="s">
        <v>243</v>
      </c>
      <c r="F2425" t="s">
        <v>244</v>
      </c>
      <c r="G2425" t="s">
        <v>103</v>
      </c>
      <c r="H2425" t="s">
        <v>104</v>
      </c>
      <c r="I2425">
        <v>2030</v>
      </c>
      <c r="J2425" t="s">
        <v>255</v>
      </c>
      <c r="K2425" t="s">
        <v>106</v>
      </c>
      <c r="L2425" t="s">
        <v>2824</v>
      </c>
      <c r="M2425" t="s">
        <v>2828</v>
      </c>
      <c r="N2425">
        <v>1</v>
      </c>
      <c r="O2425">
        <v>2030</v>
      </c>
      <c r="P2425">
        <v>5667.3116722418044</v>
      </c>
      <c r="Q2425">
        <v>63.780978532496562</v>
      </c>
      <c r="R2425" t="s">
        <v>249</v>
      </c>
      <c r="S2425">
        <v>0.43508713487380868</v>
      </c>
      <c r="T2425" t="s">
        <v>250</v>
      </c>
      <c r="U2425">
        <v>1.052823315118397</v>
      </c>
      <c r="V2425">
        <v>7991.4391852139524</v>
      </c>
      <c r="W2425">
        <v>89.937141380873001</v>
      </c>
      <c r="X2425" t="s">
        <v>111</v>
      </c>
      <c r="Y2425">
        <v>20</v>
      </c>
      <c r="Z2425">
        <v>0.44</v>
      </c>
      <c r="AA2425">
        <v>31.536000000000001</v>
      </c>
    </row>
    <row r="2426" spans="1:27" hidden="1" x14ac:dyDescent="0.25">
      <c r="A2426" t="s">
        <v>98</v>
      </c>
      <c r="B2426" t="s">
        <v>1374</v>
      </c>
      <c r="D2426" t="s">
        <v>1722</v>
      </c>
      <c r="E2426" t="s">
        <v>243</v>
      </c>
      <c r="F2426" t="s">
        <v>244</v>
      </c>
      <c r="G2426" t="s">
        <v>112</v>
      </c>
      <c r="H2426" t="s">
        <v>104</v>
      </c>
      <c r="I2426">
        <v>2030</v>
      </c>
      <c r="J2426" t="s">
        <v>257</v>
      </c>
      <c r="K2426" t="s">
        <v>106</v>
      </c>
      <c r="L2426" t="s">
        <v>2824</v>
      </c>
      <c r="M2426" t="s">
        <v>2829</v>
      </c>
      <c r="N2426">
        <v>1</v>
      </c>
      <c r="O2426">
        <v>2030</v>
      </c>
      <c r="P2426">
        <v>5911.8706390075113</v>
      </c>
      <c r="Q2426">
        <v>63.780978532496562</v>
      </c>
      <c r="R2426" t="s">
        <v>249</v>
      </c>
      <c r="S2426">
        <v>0.44315925240393511</v>
      </c>
      <c r="T2426" t="s">
        <v>250</v>
      </c>
      <c r="U2426">
        <v>1.0723562152133581</v>
      </c>
      <c r="V2426">
        <v>8336.2901874412255</v>
      </c>
      <c r="W2426">
        <v>89.937141380873001</v>
      </c>
      <c r="X2426" t="s">
        <v>111</v>
      </c>
      <c r="Y2426">
        <v>20</v>
      </c>
      <c r="Z2426">
        <v>0.44</v>
      </c>
      <c r="AA2426">
        <v>31.536000000000001</v>
      </c>
    </row>
    <row r="2427" spans="1:27" hidden="1" x14ac:dyDescent="0.25">
      <c r="A2427" t="s">
        <v>98</v>
      </c>
      <c r="B2427" t="s">
        <v>1374</v>
      </c>
      <c r="D2427" t="s">
        <v>1722</v>
      </c>
      <c r="E2427" t="s">
        <v>243</v>
      </c>
      <c r="F2427" t="s">
        <v>244</v>
      </c>
      <c r="G2427" t="s">
        <v>103</v>
      </c>
      <c r="H2427" t="s">
        <v>104</v>
      </c>
      <c r="I2427">
        <v>2040</v>
      </c>
      <c r="J2427" t="s">
        <v>259</v>
      </c>
      <c r="K2427" t="s">
        <v>106</v>
      </c>
      <c r="L2427" t="s">
        <v>2824</v>
      </c>
      <c r="M2427" t="s">
        <v>2830</v>
      </c>
      <c r="N2427">
        <v>1</v>
      </c>
      <c r="O2427">
        <v>2040</v>
      </c>
      <c r="P2427">
        <v>5667.3116722418044</v>
      </c>
      <c r="Q2427">
        <v>63.780978532496562</v>
      </c>
      <c r="R2427" t="s">
        <v>249</v>
      </c>
      <c r="S2427">
        <v>0.43508713487380868</v>
      </c>
      <c r="T2427" t="s">
        <v>250</v>
      </c>
      <c r="U2427">
        <v>1.052823315118397</v>
      </c>
      <c r="V2427">
        <v>7991.4391852139524</v>
      </c>
      <c r="W2427">
        <v>89.937141380873001</v>
      </c>
      <c r="X2427" t="s">
        <v>111</v>
      </c>
      <c r="Y2427">
        <v>20</v>
      </c>
      <c r="Z2427">
        <v>0.44</v>
      </c>
      <c r="AA2427">
        <v>31.536000000000001</v>
      </c>
    </row>
    <row r="2428" spans="1:27" hidden="1" x14ac:dyDescent="0.25">
      <c r="A2428" t="s">
        <v>98</v>
      </c>
      <c r="B2428" t="s">
        <v>1374</v>
      </c>
      <c r="D2428" t="s">
        <v>1722</v>
      </c>
      <c r="E2428" t="s">
        <v>243</v>
      </c>
      <c r="F2428" t="s">
        <v>244</v>
      </c>
      <c r="G2428" t="s">
        <v>112</v>
      </c>
      <c r="H2428" t="s">
        <v>104</v>
      </c>
      <c r="I2428">
        <v>2040</v>
      </c>
      <c r="J2428" t="s">
        <v>261</v>
      </c>
      <c r="K2428" t="s">
        <v>106</v>
      </c>
      <c r="L2428" t="s">
        <v>2824</v>
      </c>
      <c r="M2428" t="s">
        <v>2831</v>
      </c>
      <c r="N2428">
        <v>1</v>
      </c>
      <c r="O2428">
        <v>2040</v>
      </c>
      <c r="P2428">
        <v>5911.8706390075113</v>
      </c>
      <c r="Q2428">
        <v>63.780978532496562</v>
      </c>
      <c r="R2428" t="s">
        <v>249</v>
      </c>
      <c r="S2428">
        <v>0.44315925240393511</v>
      </c>
      <c r="T2428" t="s">
        <v>250</v>
      </c>
      <c r="U2428">
        <v>1.0723562152133581</v>
      </c>
      <c r="V2428">
        <v>8336.2901874412255</v>
      </c>
      <c r="W2428">
        <v>89.937141380873001</v>
      </c>
      <c r="X2428" t="s">
        <v>111</v>
      </c>
      <c r="Y2428">
        <v>20</v>
      </c>
      <c r="Z2428">
        <v>0.44</v>
      </c>
      <c r="AA2428">
        <v>31.536000000000001</v>
      </c>
    </row>
    <row r="2429" spans="1:27" hidden="1" x14ac:dyDescent="0.25">
      <c r="A2429" t="s">
        <v>98</v>
      </c>
      <c r="B2429" t="s">
        <v>1374</v>
      </c>
      <c r="D2429" t="s">
        <v>1722</v>
      </c>
      <c r="E2429" t="s">
        <v>243</v>
      </c>
      <c r="F2429" t="s">
        <v>244</v>
      </c>
      <c r="G2429" t="s">
        <v>103</v>
      </c>
      <c r="H2429" t="s">
        <v>104</v>
      </c>
      <c r="I2429">
        <v>2050</v>
      </c>
      <c r="J2429" t="s">
        <v>263</v>
      </c>
      <c r="K2429" t="s">
        <v>106</v>
      </c>
      <c r="L2429" t="s">
        <v>2824</v>
      </c>
      <c r="M2429" t="s">
        <v>2832</v>
      </c>
      <c r="N2429">
        <v>1</v>
      </c>
      <c r="O2429">
        <v>2050</v>
      </c>
      <c r="P2429">
        <v>5667.3116722418044</v>
      </c>
      <c r="Q2429">
        <v>63.780978532496562</v>
      </c>
      <c r="R2429" t="s">
        <v>249</v>
      </c>
      <c r="S2429">
        <v>0.43508713487380868</v>
      </c>
      <c r="T2429" t="s">
        <v>250</v>
      </c>
      <c r="U2429">
        <v>1.052823315118397</v>
      </c>
      <c r="V2429">
        <v>7991.4391852139524</v>
      </c>
      <c r="W2429">
        <v>89.937141380873001</v>
      </c>
      <c r="X2429" t="s">
        <v>111</v>
      </c>
      <c r="Y2429">
        <v>20</v>
      </c>
      <c r="Z2429">
        <v>0.44</v>
      </c>
      <c r="AA2429">
        <v>31.536000000000001</v>
      </c>
    </row>
    <row r="2430" spans="1:27" hidden="1" x14ac:dyDescent="0.25">
      <c r="A2430" t="s">
        <v>98</v>
      </c>
      <c r="B2430" t="s">
        <v>1374</v>
      </c>
      <c r="D2430" t="s">
        <v>1722</v>
      </c>
      <c r="E2430" t="s">
        <v>243</v>
      </c>
      <c r="F2430" t="s">
        <v>244</v>
      </c>
      <c r="G2430" t="s">
        <v>112</v>
      </c>
      <c r="H2430" t="s">
        <v>104</v>
      </c>
      <c r="I2430">
        <v>2050</v>
      </c>
      <c r="J2430" t="s">
        <v>265</v>
      </c>
      <c r="K2430" t="s">
        <v>106</v>
      </c>
      <c r="L2430" t="s">
        <v>2824</v>
      </c>
      <c r="M2430" t="s">
        <v>2833</v>
      </c>
      <c r="N2430">
        <v>1</v>
      </c>
      <c r="O2430">
        <v>2050</v>
      </c>
      <c r="P2430">
        <v>5911.8706390075113</v>
      </c>
      <c r="Q2430">
        <v>63.780978532496562</v>
      </c>
      <c r="R2430" t="s">
        <v>249</v>
      </c>
      <c r="S2430">
        <v>0.44315925240393511</v>
      </c>
      <c r="T2430" t="s">
        <v>250</v>
      </c>
      <c r="U2430">
        <v>1.0723562152133581</v>
      </c>
      <c r="V2430">
        <v>8336.2901874412255</v>
      </c>
      <c r="W2430">
        <v>89.937141380873001</v>
      </c>
      <c r="X2430" t="s">
        <v>111</v>
      </c>
      <c r="Y2430">
        <v>20</v>
      </c>
      <c r="Z2430">
        <v>0.44</v>
      </c>
      <c r="AA2430">
        <v>31.536000000000001</v>
      </c>
    </row>
    <row r="2431" spans="1:27" hidden="1" x14ac:dyDescent="0.25">
      <c r="A2431" t="s">
        <v>98</v>
      </c>
      <c r="B2431" t="s">
        <v>1374</v>
      </c>
      <c r="D2431" t="s">
        <v>1722</v>
      </c>
      <c r="E2431" t="s">
        <v>243</v>
      </c>
      <c r="F2431" t="s">
        <v>267</v>
      </c>
      <c r="G2431" t="s">
        <v>245</v>
      </c>
      <c r="H2431" t="s">
        <v>104</v>
      </c>
      <c r="I2431">
        <v>2022</v>
      </c>
      <c r="J2431" t="s">
        <v>268</v>
      </c>
      <c r="K2431" t="s">
        <v>106</v>
      </c>
      <c r="L2431" t="s">
        <v>2824</v>
      </c>
      <c r="M2431" t="s">
        <v>2834</v>
      </c>
      <c r="N2431">
        <v>1</v>
      </c>
      <c r="O2431">
        <v>2020</v>
      </c>
      <c r="P2431">
        <v>7748.5410872802086</v>
      </c>
      <c r="Q2431">
        <v>68.755259026523561</v>
      </c>
      <c r="R2431" t="s">
        <v>249</v>
      </c>
      <c r="S2431">
        <v>0.29876527460377861</v>
      </c>
      <c r="T2431" t="s">
        <v>250</v>
      </c>
      <c r="U2431">
        <v>0.72295184490306452</v>
      </c>
      <c r="V2431">
        <v>10926.167194301681</v>
      </c>
      <c r="W2431">
        <v>96.951341826723592</v>
      </c>
      <c r="X2431" t="s">
        <v>111</v>
      </c>
      <c r="Y2431">
        <v>20</v>
      </c>
      <c r="Z2431">
        <v>0.44</v>
      </c>
      <c r="AA2431">
        <v>31.536000000000001</v>
      </c>
    </row>
    <row r="2432" spans="1:27" hidden="1" x14ac:dyDescent="0.25">
      <c r="A2432" t="s">
        <v>98</v>
      </c>
      <c r="B2432" t="s">
        <v>1374</v>
      </c>
      <c r="D2432" t="s">
        <v>1722</v>
      </c>
      <c r="E2432" t="s">
        <v>243</v>
      </c>
      <c r="F2432" t="s">
        <v>267</v>
      </c>
      <c r="G2432" t="s">
        <v>112</v>
      </c>
      <c r="H2432" t="s">
        <v>104</v>
      </c>
      <c r="I2432">
        <v>2022</v>
      </c>
      <c r="J2432" t="s">
        <v>270</v>
      </c>
      <c r="K2432" t="s">
        <v>106</v>
      </c>
      <c r="L2432" t="s">
        <v>2824</v>
      </c>
      <c r="M2432" t="s">
        <v>2835</v>
      </c>
      <c r="N2432">
        <v>1</v>
      </c>
      <c r="O2432">
        <v>2020</v>
      </c>
      <c r="P2432">
        <v>8151.6394802345676</v>
      </c>
      <c r="Q2432">
        <v>68.755259026523561</v>
      </c>
      <c r="R2432" t="s">
        <v>249</v>
      </c>
      <c r="S2432">
        <v>0.29876527460377861</v>
      </c>
      <c r="T2432" t="s">
        <v>250</v>
      </c>
      <c r="U2432">
        <v>0.72295184490306452</v>
      </c>
      <c r="V2432">
        <v>11494.57360623949</v>
      </c>
      <c r="W2432">
        <v>96.951341826723592</v>
      </c>
      <c r="X2432" t="s">
        <v>111</v>
      </c>
      <c r="Y2432">
        <v>20</v>
      </c>
      <c r="Z2432">
        <v>0.44</v>
      </c>
      <c r="AA2432">
        <v>31.536000000000001</v>
      </c>
    </row>
    <row r="2433" spans="1:27" hidden="1" x14ac:dyDescent="0.25">
      <c r="A2433" t="s">
        <v>98</v>
      </c>
      <c r="B2433" t="s">
        <v>1374</v>
      </c>
      <c r="D2433" t="s">
        <v>1722</v>
      </c>
      <c r="E2433" t="s">
        <v>243</v>
      </c>
      <c r="F2433" t="s">
        <v>267</v>
      </c>
      <c r="G2433" t="s">
        <v>103</v>
      </c>
      <c r="H2433" t="s">
        <v>104</v>
      </c>
      <c r="I2433">
        <v>2030</v>
      </c>
      <c r="J2433" t="s">
        <v>272</v>
      </c>
      <c r="K2433" t="s">
        <v>106</v>
      </c>
      <c r="L2433" t="s">
        <v>2824</v>
      </c>
      <c r="M2433" t="s">
        <v>2836</v>
      </c>
      <c r="N2433">
        <v>1</v>
      </c>
      <c r="O2433">
        <v>2030</v>
      </c>
      <c r="P2433">
        <v>8119.0316179991396</v>
      </c>
      <c r="Q2433">
        <v>68.755259026523561</v>
      </c>
      <c r="R2433" t="s">
        <v>249</v>
      </c>
      <c r="S2433">
        <v>0.29876527460377861</v>
      </c>
      <c r="T2433" t="s">
        <v>250</v>
      </c>
      <c r="U2433">
        <v>0.72295184490306452</v>
      </c>
      <c r="V2433">
        <v>11448.59347260918</v>
      </c>
      <c r="W2433">
        <v>96.951341826723592</v>
      </c>
      <c r="X2433" t="s">
        <v>111</v>
      </c>
      <c r="Y2433">
        <v>20</v>
      </c>
      <c r="Z2433">
        <v>0.44</v>
      </c>
      <c r="AA2433">
        <v>31.536000000000001</v>
      </c>
    </row>
    <row r="2434" spans="1:27" hidden="1" x14ac:dyDescent="0.25">
      <c r="A2434" t="s">
        <v>98</v>
      </c>
      <c r="B2434" t="s">
        <v>1374</v>
      </c>
      <c r="D2434" t="s">
        <v>1722</v>
      </c>
      <c r="E2434" t="s">
        <v>243</v>
      </c>
      <c r="F2434" t="s">
        <v>267</v>
      </c>
      <c r="G2434" t="s">
        <v>112</v>
      </c>
      <c r="H2434" t="s">
        <v>104</v>
      </c>
      <c r="I2434">
        <v>2030</v>
      </c>
      <c r="J2434" t="s">
        <v>274</v>
      </c>
      <c r="K2434" t="s">
        <v>106</v>
      </c>
      <c r="L2434" t="s">
        <v>2824</v>
      </c>
      <c r="M2434" t="s">
        <v>2837</v>
      </c>
      <c r="N2434">
        <v>1</v>
      </c>
      <c r="O2434">
        <v>2030</v>
      </c>
      <c r="P2434">
        <v>8151.6394802345676</v>
      </c>
      <c r="Q2434">
        <v>68.755259026523561</v>
      </c>
      <c r="R2434" t="s">
        <v>249</v>
      </c>
      <c r="S2434">
        <v>0.31450011460924421</v>
      </c>
      <c r="T2434" t="s">
        <v>250</v>
      </c>
      <c r="U2434">
        <v>0.76102699144173802</v>
      </c>
      <c r="V2434">
        <v>11494.57360623949</v>
      </c>
      <c r="W2434">
        <v>96.951341826723578</v>
      </c>
      <c r="X2434" t="s">
        <v>111</v>
      </c>
      <c r="Y2434">
        <v>20</v>
      </c>
      <c r="Z2434">
        <v>0.44</v>
      </c>
      <c r="AA2434">
        <v>31.536000000000001</v>
      </c>
    </row>
    <row r="2435" spans="1:27" hidden="1" x14ac:dyDescent="0.25">
      <c r="A2435" t="s">
        <v>98</v>
      </c>
      <c r="B2435" t="s">
        <v>1374</v>
      </c>
      <c r="D2435" t="s">
        <v>1722</v>
      </c>
      <c r="E2435" t="s">
        <v>243</v>
      </c>
      <c r="F2435" t="s">
        <v>267</v>
      </c>
      <c r="G2435" t="s">
        <v>103</v>
      </c>
      <c r="H2435" t="s">
        <v>104</v>
      </c>
      <c r="I2435">
        <v>2040</v>
      </c>
      <c r="J2435" t="s">
        <v>276</v>
      </c>
      <c r="K2435" t="s">
        <v>106</v>
      </c>
      <c r="L2435" t="s">
        <v>2824</v>
      </c>
      <c r="M2435" t="s">
        <v>2838</v>
      </c>
      <c r="N2435">
        <v>1</v>
      </c>
      <c r="O2435">
        <v>2040</v>
      </c>
      <c r="P2435">
        <v>8119.0316179991396</v>
      </c>
      <c r="Q2435">
        <v>68.755259026523561</v>
      </c>
      <c r="R2435" t="s">
        <v>249</v>
      </c>
      <c r="S2435">
        <v>0.29876527460377861</v>
      </c>
      <c r="T2435" t="s">
        <v>250</v>
      </c>
      <c r="U2435">
        <v>0.72295184490306452</v>
      </c>
      <c r="V2435">
        <v>11448.59347260918</v>
      </c>
      <c r="W2435">
        <v>96.951341826723592</v>
      </c>
      <c r="X2435" t="s">
        <v>111</v>
      </c>
      <c r="Y2435">
        <v>20</v>
      </c>
      <c r="Z2435">
        <v>0.44</v>
      </c>
      <c r="AA2435">
        <v>31.536000000000001</v>
      </c>
    </row>
    <row r="2436" spans="1:27" hidden="1" x14ac:dyDescent="0.25">
      <c r="A2436" t="s">
        <v>98</v>
      </c>
      <c r="B2436" t="s">
        <v>1374</v>
      </c>
      <c r="D2436" t="s">
        <v>1722</v>
      </c>
      <c r="E2436" t="s">
        <v>243</v>
      </c>
      <c r="F2436" t="s">
        <v>267</v>
      </c>
      <c r="G2436" t="s">
        <v>112</v>
      </c>
      <c r="H2436" t="s">
        <v>104</v>
      </c>
      <c r="I2436">
        <v>2040</v>
      </c>
      <c r="J2436" t="s">
        <v>278</v>
      </c>
      <c r="K2436" t="s">
        <v>106</v>
      </c>
      <c r="L2436" t="s">
        <v>2824</v>
      </c>
      <c r="M2436" t="s">
        <v>2839</v>
      </c>
      <c r="N2436">
        <v>1</v>
      </c>
      <c r="O2436">
        <v>2040</v>
      </c>
      <c r="P2436">
        <v>8151.6394802345676</v>
      </c>
      <c r="Q2436">
        <v>68.755259026523561</v>
      </c>
      <c r="R2436" t="s">
        <v>249</v>
      </c>
      <c r="S2436">
        <v>0.31450011460924421</v>
      </c>
      <c r="T2436" t="s">
        <v>250</v>
      </c>
      <c r="U2436">
        <v>0.76102699144173802</v>
      </c>
      <c r="V2436">
        <v>11494.57360623949</v>
      </c>
      <c r="W2436">
        <v>96.951341826723578</v>
      </c>
      <c r="X2436" t="s">
        <v>111</v>
      </c>
      <c r="Y2436">
        <v>20</v>
      </c>
      <c r="Z2436">
        <v>0.44</v>
      </c>
      <c r="AA2436">
        <v>31.536000000000001</v>
      </c>
    </row>
    <row r="2437" spans="1:27" hidden="1" x14ac:dyDescent="0.25">
      <c r="A2437" t="s">
        <v>98</v>
      </c>
      <c r="B2437" t="s">
        <v>1374</v>
      </c>
      <c r="D2437" t="s">
        <v>1722</v>
      </c>
      <c r="E2437" t="s">
        <v>243</v>
      </c>
      <c r="F2437" t="s">
        <v>267</v>
      </c>
      <c r="G2437" t="s">
        <v>103</v>
      </c>
      <c r="H2437" t="s">
        <v>104</v>
      </c>
      <c r="I2437">
        <v>2050</v>
      </c>
      <c r="J2437" t="s">
        <v>280</v>
      </c>
      <c r="K2437" t="s">
        <v>106</v>
      </c>
      <c r="L2437" t="s">
        <v>2824</v>
      </c>
      <c r="M2437" t="s">
        <v>2840</v>
      </c>
      <c r="N2437">
        <v>1</v>
      </c>
      <c r="O2437">
        <v>2050</v>
      </c>
      <c r="P2437">
        <v>8119.0316179991396</v>
      </c>
      <c r="Q2437">
        <v>68.755259026523561</v>
      </c>
      <c r="R2437" t="s">
        <v>249</v>
      </c>
      <c r="S2437">
        <v>0.29876527460377861</v>
      </c>
      <c r="T2437" t="s">
        <v>250</v>
      </c>
      <c r="U2437">
        <v>0.72295184490306452</v>
      </c>
      <c r="V2437">
        <v>11448.59347260918</v>
      </c>
      <c r="W2437">
        <v>96.951341826723592</v>
      </c>
      <c r="X2437" t="s">
        <v>111</v>
      </c>
      <c r="Y2437">
        <v>20</v>
      </c>
      <c r="Z2437">
        <v>0.44</v>
      </c>
      <c r="AA2437">
        <v>31.536000000000001</v>
      </c>
    </row>
    <row r="2438" spans="1:27" hidden="1" x14ac:dyDescent="0.25">
      <c r="A2438" t="s">
        <v>98</v>
      </c>
      <c r="B2438" t="s">
        <v>1374</v>
      </c>
      <c r="D2438" t="s">
        <v>1722</v>
      </c>
      <c r="E2438" t="s">
        <v>243</v>
      </c>
      <c r="F2438" t="s">
        <v>267</v>
      </c>
      <c r="G2438" t="s">
        <v>112</v>
      </c>
      <c r="H2438" t="s">
        <v>104</v>
      </c>
      <c r="I2438">
        <v>2050</v>
      </c>
      <c r="J2438" t="s">
        <v>282</v>
      </c>
      <c r="K2438" t="s">
        <v>106</v>
      </c>
      <c r="L2438" t="s">
        <v>2824</v>
      </c>
      <c r="M2438" t="s">
        <v>2841</v>
      </c>
      <c r="N2438">
        <v>1</v>
      </c>
      <c r="O2438">
        <v>2050</v>
      </c>
      <c r="P2438">
        <v>8151.6394802345676</v>
      </c>
      <c r="Q2438">
        <v>68.755259026523561</v>
      </c>
      <c r="R2438" t="s">
        <v>249</v>
      </c>
      <c r="S2438">
        <v>0.31450011460924421</v>
      </c>
      <c r="T2438" t="s">
        <v>250</v>
      </c>
      <c r="U2438">
        <v>0.76102699144173802</v>
      </c>
      <c r="V2438">
        <v>11494.57360623949</v>
      </c>
      <c r="W2438">
        <v>96.951341826723578</v>
      </c>
      <c r="X2438" t="s">
        <v>111</v>
      </c>
      <c r="Y2438">
        <v>20</v>
      </c>
      <c r="Z2438">
        <v>0.44</v>
      </c>
      <c r="AA2438">
        <v>31.536000000000001</v>
      </c>
    </row>
    <row r="2439" spans="1:27" hidden="1" x14ac:dyDescent="0.25">
      <c r="A2439" t="s">
        <v>98</v>
      </c>
      <c r="B2439" t="s">
        <v>1374</v>
      </c>
      <c r="D2439" t="s">
        <v>1722</v>
      </c>
      <c r="E2439" t="s">
        <v>284</v>
      </c>
      <c r="F2439" t="s">
        <v>285</v>
      </c>
      <c r="G2439" t="s">
        <v>103</v>
      </c>
      <c r="H2439" t="s">
        <v>104</v>
      </c>
      <c r="I2439">
        <v>2022</v>
      </c>
      <c r="J2439" t="s">
        <v>286</v>
      </c>
      <c r="K2439" t="s">
        <v>106</v>
      </c>
      <c r="L2439" t="s">
        <v>2842</v>
      </c>
      <c r="M2439" t="s">
        <v>2843</v>
      </c>
      <c r="N2439">
        <v>1</v>
      </c>
      <c r="O2439">
        <v>2020</v>
      </c>
      <c r="P2439">
        <v>100.10336678844671</v>
      </c>
      <c r="Q2439">
        <v>36.612504973710713</v>
      </c>
      <c r="R2439" t="s">
        <v>289</v>
      </c>
      <c r="S2439">
        <v>15.58191798941797</v>
      </c>
      <c r="T2439" t="s">
        <v>290</v>
      </c>
      <c r="U2439">
        <v>37.705106031875843</v>
      </c>
      <c r="V2439">
        <v>100.10336678844671</v>
      </c>
      <c r="W2439">
        <v>36.612504973710713</v>
      </c>
      <c r="X2439" t="s">
        <v>291</v>
      </c>
      <c r="Y2439">
        <v>10</v>
      </c>
      <c r="Z2439">
        <v>0.26592676994077491</v>
      </c>
      <c r="AA2439">
        <v>1</v>
      </c>
    </row>
    <row r="2440" spans="1:27" hidden="1" x14ac:dyDescent="0.25">
      <c r="A2440" t="s">
        <v>98</v>
      </c>
      <c r="B2440" t="s">
        <v>1374</v>
      </c>
      <c r="D2440" t="s">
        <v>1722</v>
      </c>
      <c r="E2440" t="s">
        <v>284</v>
      </c>
      <c r="F2440" t="s">
        <v>292</v>
      </c>
      <c r="G2440" t="s">
        <v>103</v>
      </c>
      <c r="H2440" t="s">
        <v>104</v>
      </c>
      <c r="I2440">
        <v>2022</v>
      </c>
      <c r="J2440" t="s">
        <v>293</v>
      </c>
      <c r="K2440" t="s">
        <v>106</v>
      </c>
      <c r="L2440" t="s">
        <v>2842</v>
      </c>
      <c r="M2440" t="s">
        <v>2844</v>
      </c>
      <c r="N2440">
        <v>1</v>
      </c>
      <c r="O2440">
        <v>2020</v>
      </c>
      <c r="P2440">
        <v>99.46253669701926</v>
      </c>
      <c r="Q2440">
        <v>6.0605044913603194</v>
      </c>
      <c r="R2440" t="s">
        <v>289</v>
      </c>
      <c r="S2440">
        <v>42.005691056910557</v>
      </c>
      <c r="T2440" t="s">
        <v>290</v>
      </c>
      <c r="U2440">
        <v>42.005691056910557</v>
      </c>
      <c r="V2440">
        <v>99.46253669701926</v>
      </c>
      <c r="W2440">
        <v>6.0605044913603194</v>
      </c>
      <c r="X2440" t="s">
        <v>291</v>
      </c>
      <c r="Y2440">
        <v>10</v>
      </c>
      <c r="Z2440">
        <v>0.26592676994077491</v>
      </c>
      <c r="AA2440">
        <v>1</v>
      </c>
    </row>
    <row r="2441" spans="1:27" hidden="1" x14ac:dyDescent="0.25">
      <c r="A2441" t="s">
        <v>98</v>
      </c>
      <c r="B2441" t="s">
        <v>1374</v>
      </c>
      <c r="D2441" t="s">
        <v>1722</v>
      </c>
      <c r="E2441" t="s">
        <v>284</v>
      </c>
      <c r="F2441" t="s">
        <v>292</v>
      </c>
      <c r="G2441" t="s">
        <v>112</v>
      </c>
      <c r="H2441" t="s">
        <v>104</v>
      </c>
      <c r="I2441">
        <v>2022</v>
      </c>
      <c r="J2441" t="s">
        <v>295</v>
      </c>
      <c r="K2441" t="s">
        <v>106</v>
      </c>
      <c r="L2441" t="s">
        <v>2842</v>
      </c>
      <c r="M2441" t="s">
        <v>2845</v>
      </c>
      <c r="N2441">
        <v>1</v>
      </c>
      <c r="O2441">
        <v>2020</v>
      </c>
      <c r="P2441">
        <v>92.517129414925563</v>
      </c>
      <c r="Q2441">
        <v>5.9256499638890956</v>
      </c>
      <c r="R2441" t="s">
        <v>289</v>
      </c>
      <c r="S2441">
        <v>43.051923076923067</v>
      </c>
      <c r="T2441" t="s">
        <v>290</v>
      </c>
      <c r="U2441">
        <v>43.051923076923067</v>
      </c>
      <c r="V2441">
        <v>92.517129414925563</v>
      </c>
      <c r="W2441">
        <v>5.9256499638890956</v>
      </c>
      <c r="X2441" t="s">
        <v>291</v>
      </c>
      <c r="Y2441">
        <v>10</v>
      </c>
      <c r="Z2441">
        <v>0.26592676994077491</v>
      </c>
      <c r="AA2441">
        <v>1</v>
      </c>
    </row>
    <row r="2442" spans="1:27" hidden="1" x14ac:dyDescent="0.25">
      <c r="A2442" t="s">
        <v>98</v>
      </c>
      <c r="B2442" t="s">
        <v>1374</v>
      </c>
      <c r="D2442" t="s">
        <v>1722</v>
      </c>
      <c r="E2442" t="s">
        <v>284</v>
      </c>
      <c r="F2442" t="s">
        <v>297</v>
      </c>
      <c r="G2442" t="s">
        <v>103</v>
      </c>
      <c r="H2442" t="s">
        <v>104</v>
      </c>
      <c r="I2442">
        <v>2022</v>
      </c>
      <c r="J2442" t="s">
        <v>298</v>
      </c>
      <c r="K2442" t="s">
        <v>106</v>
      </c>
      <c r="L2442" t="s">
        <v>2842</v>
      </c>
      <c r="M2442" t="s">
        <v>2846</v>
      </c>
      <c r="N2442">
        <v>1</v>
      </c>
      <c r="O2442">
        <v>2020</v>
      </c>
      <c r="P2442">
        <v>94.526951376087595</v>
      </c>
      <c r="Q2442">
        <v>3.949349451558744</v>
      </c>
      <c r="R2442" t="s">
        <v>289</v>
      </c>
      <c r="S2442">
        <v>76.146700507614213</v>
      </c>
      <c r="T2442" t="s">
        <v>290</v>
      </c>
      <c r="U2442">
        <v>76.146700507614213</v>
      </c>
      <c r="V2442">
        <v>94.526951376087595</v>
      </c>
      <c r="W2442">
        <v>3.949349451558744</v>
      </c>
      <c r="X2442" t="s">
        <v>291</v>
      </c>
      <c r="Y2442">
        <v>10</v>
      </c>
      <c r="Z2442">
        <v>0.26592676994077491</v>
      </c>
      <c r="AA2442">
        <v>1</v>
      </c>
    </row>
    <row r="2443" spans="1:27" hidden="1" x14ac:dyDescent="0.25">
      <c r="A2443" t="s">
        <v>98</v>
      </c>
      <c r="B2443" t="s">
        <v>1374</v>
      </c>
      <c r="D2443" t="s">
        <v>1722</v>
      </c>
      <c r="E2443" t="s">
        <v>284</v>
      </c>
      <c r="F2443" t="s">
        <v>297</v>
      </c>
      <c r="G2443" t="s">
        <v>112</v>
      </c>
      <c r="H2443" t="s">
        <v>104</v>
      </c>
      <c r="I2443">
        <v>2022</v>
      </c>
      <c r="J2443" t="s">
        <v>300</v>
      </c>
      <c r="K2443" t="s">
        <v>106</v>
      </c>
      <c r="L2443" t="s">
        <v>2842</v>
      </c>
      <c r="M2443" t="s">
        <v>2847</v>
      </c>
      <c r="N2443">
        <v>1</v>
      </c>
      <c r="O2443">
        <v>2020</v>
      </c>
      <c r="P2443">
        <v>69.765067810793198</v>
      </c>
      <c r="Q2443">
        <v>2.516631606553434</v>
      </c>
      <c r="R2443" t="s">
        <v>289</v>
      </c>
      <c r="S2443">
        <v>93</v>
      </c>
      <c r="T2443" t="s">
        <v>290</v>
      </c>
      <c r="U2443">
        <v>93</v>
      </c>
      <c r="V2443">
        <v>69.765067810793198</v>
      </c>
      <c r="W2443">
        <v>2.516631606553434</v>
      </c>
      <c r="X2443" t="s">
        <v>291</v>
      </c>
      <c r="Y2443">
        <v>10</v>
      </c>
      <c r="Z2443">
        <v>0.26592676994077491</v>
      </c>
      <c r="AA2443">
        <v>1</v>
      </c>
    </row>
    <row r="2444" spans="1:27" hidden="1" x14ac:dyDescent="0.25">
      <c r="A2444" t="s">
        <v>98</v>
      </c>
      <c r="B2444" t="s">
        <v>1374</v>
      </c>
      <c r="D2444" t="s">
        <v>1722</v>
      </c>
      <c r="E2444" t="s">
        <v>284</v>
      </c>
      <c r="F2444" t="s">
        <v>302</v>
      </c>
      <c r="G2444" t="s">
        <v>103</v>
      </c>
      <c r="H2444" t="s">
        <v>104</v>
      </c>
      <c r="I2444">
        <v>2022</v>
      </c>
      <c r="J2444" t="s">
        <v>303</v>
      </c>
      <c r="K2444" t="s">
        <v>106</v>
      </c>
      <c r="L2444" t="s">
        <v>2842</v>
      </c>
      <c r="M2444" t="s">
        <v>2848</v>
      </c>
      <c r="N2444">
        <v>1</v>
      </c>
      <c r="O2444">
        <v>2020</v>
      </c>
      <c r="P2444">
        <v>105.7930490817716</v>
      </c>
      <c r="Q2444">
        <v>3.355492309527206</v>
      </c>
      <c r="R2444" t="s">
        <v>289</v>
      </c>
      <c r="S2444">
        <v>64.669172932330824</v>
      </c>
      <c r="T2444" t="s">
        <v>290</v>
      </c>
      <c r="U2444">
        <v>64.669172932330824</v>
      </c>
      <c r="V2444">
        <v>105.7930490817716</v>
      </c>
      <c r="W2444">
        <v>3.355492309527206</v>
      </c>
      <c r="X2444" t="s">
        <v>291</v>
      </c>
      <c r="Y2444">
        <v>10</v>
      </c>
      <c r="Z2444">
        <v>0.26592676994077491</v>
      </c>
      <c r="AA2444">
        <v>1</v>
      </c>
    </row>
    <row r="2445" spans="1:27" hidden="1" x14ac:dyDescent="0.25">
      <c r="A2445" t="s">
        <v>98</v>
      </c>
      <c r="B2445" t="s">
        <v>1374</v>
      </c>
      <c r="D2445" t="s">
        <v>1722</v>
      </c>
      <c r="E2445" t="s">
        <v>284</v>
      </c>
      <c r="F2445" t="s">
        <v>302</v>
      </c>
      <c r="G2445" t="s">
        <v>112</v>
      </c>
      <c r="H2445" t="s">
        <v>104</v>
      </c>
      <c r="I2445">
        <v>2022</v>
      </c>
      <c r="J2445" t="s">
        <v>305</v>
      </c>
      <c r="K2445" t="s">
        <v>106</v>
      </c>
      <c r="L2445" t="s">
        <v>2842</v>
      </c>
      <c r="M2445" t="s">
        <v>2849</v>
      </c>
      <c r="N2445">
        <v>1</v>
      </c>
      <c r="O2445">
        <v>2020</v>
      </c>
      <c r="P2445">
        <v>99.614212714858894</v>
      </c>
      <c r="Q2445">
        <v>1.4361600838792941</v>
      </c>
      <c r="R2445" t="s">
        <v>289</v>
      </c>
      <c r="S2445">
        <v>75.07692307692308</v>
      </c>
      <c r="T2445" t="s">
        <v>290</v>
      </c>
      <c r="U2445">
        <v>75.07692307692308</v>
      </c>
      <c r="V2445">
        <v>99.614212714858894</v>
      </c>
      <c r="W2445">
        <v>1.4361600838792941</v>
      </c>
      <c r="X2445" t="s">
        <v>291</v>
      </c>
      <c r="Y2445">
        <v>10</v>
      </c>
      <c r="Z2445">
        <v>0.26592676994077491</v>
      </c>
      <c r="AA2445">
        <v>1</v>
      </c>
    </row>
    <row r="2446" spans="1:27" hidden="1" x14ac:dyDescent="0.25">
      <c r="A2446" t="s">
        <v>98</v>
      </c>
      <c r="B2446" t="s">
        <v>1374</v>
      </c>
      <c r="D2446" t="s">
        <v>1722</v>
      </c>
      <c r="E2446" t="s">
        <v>284</v>
      </c>
      <c r="F2446" t="s">
        <v>297</v>
      </c>
      <c r="G2446" t="s">
        <v>103</v>
      </c>
      <c r="H2446" t="s">
        <v>104</v>
      </c>
      <c r="I2446">
        <v>2023</v>
      </c>
      <c r="J2446" t="s">
        <v>307</v>
      </c>
      <c r="K2446" t="s">
        <v>106</v>
      </c>
      <c r="L2446" t="s">
        <v>2842</v>
      </c>
      <c r="M2446" t="s">
        <v>2850</v>
      </c>
      <c r="N2446">
        <v>1</v>
      </c>
      <c r="O2446">
        <v>2023</v>
      </c>
      <c r="P2446">
        <v>94.526951376087595</v>
      </c>
      <c r="Q2446">
        <v>3.949349451558744</v>
      </c>
      <c r="R2446" t="s">
        <v>289</v>
      </c>
      <c r="S2446">
        <v>76.146700507614213</v>
      </c>
      <c r="T2446" t="s">
        <v>290</v>
      </c>
      <c r="U2446">
        <v>76.146700507614213</v>
      </c>
      <c r="V2446">
        <v>94.526951376087595</v>
      </c>
      <c r="W2446">
        <v>3.949349451558744</v>
      </c>
      <c r="X2446" t="s">
        <v>291</v>
      </c>
      <c r="Y2446">
        <v>10</v>
      </c>
      <c r="Z2446">
        <v>0.26592676994077491</v>
      </c>
      <c r="AA2446">
        <v>1</v>
      </c>
    </row>
    <row r="2447" spans="1:27" hidden="1" x14ac:dyDescent="0.25">
      <c r="A2447" t="s">
        <v>98</v>
      </c>
      <c r="B2447" t="s">
        <v>1374</v>
      </c>
      <c r="D2447" t="s">
        <v>1722</v>
      </c>
      <c r="E2447" t="s">
        <v>284</v>
      </c>
      <c r="F2447" t="s">
        <v>297</v>
      </c>
      <c r="G2447" t="s">
        <v>112</v>
      </c>
      <c r="H2447" t="s">
        <v>104</v>
      </c>
      <c r="I2447">
        <v>2023</v>
      </c>
      <c r="J2447" t="s">
        <v>309</v>
      </c>
      <c r="K2447" t="s">
        <v>106</v>
      </c>
      <c r="L2447" t="s">
        <v>2842</v>
      </c>
      <c r="M2447" t="s">
        <v>2851</v>
      </c>
      <c r="N2447">
        <v>1</v>
      </c>
      <c r="O2447">
        <v>2023</v>
      </c>
      <c r="P2447">
        <v>69.765067810793198</v>
      </c>
      <c r="Q2447">
        <v>2.516631606553434</v>
      </c>
      <c r="R2447" t="s">
        <v>289</v>
      </c>
      <c r="S2447">
        <v>93</v>
      </c>
      <c r="T2447" t="s">
        <v>290</v>
      </c>
      <c r="U2447">
        <v>93</v>
      </c>
      <c r="V2447">
        <v>69.765067810793198</v>
      </c>
      <c r="W2447">
        <v>2.516631606553434</v>
      </c>
      <c r="X2447" t="s">
        <v>291</v>
      </c>
      <c r="Y2447">
        <v>10</v>
      </c>
      <c r="Z2447">
        <v>0.26592676994077491</v>
      </c>
      <c r="AA2447">
        <v>1</v>
      </c>
    </row>
    <row r="2448" spans="1:27" hidden="1" x14ac:dyDescent="0.25">
      <c r="A2448" t="s">
        <v>98</v>
      </c>
      <c r="B2448" t="s">
        <v>1374</v>
      </c>
      <c r="D2448" t="s">
        <v>1722</v>
      </c>
      <c r="E2448" t="s">
        <v>284</v>
      </c>
      <c r="F2448" t="s">
        <v>302</v>
      </c>
      <c r="G2448" t="s">
        <v>103</v>
      </c>
      <c r="H2448" t="s">
        <v>104</v>
      </c>
      <c r="I2448">
        <v>2023</v>
      </c>
      <c r="J2448" t="s">
        <v>311</v>
      </c>
      <c r="K2448" t="s">
        <v>106</v>
      </c>
      <c r="L2448" t="s">
        <v>2842</v>
      </c>
      <c r="M2448" t="s">
        <v>2852</v>
      </c>
      <c r="N2448">
        <v>1</v>
      </c>
      <c r="O2448">
        <v>2023</v>
      </c>
      <c r="P2448">
        <v>105.7930490817716</v>
      </c>
      <c r="Q2448">
        <v>3.355492309527206</v>
      </c>
      <c r="R2448" t="s">
        <v>289</v>
      </c>
      <c r="S2448">
        <v>64.669172932330824</v>
      </c>
      <c r="T2448" t="s">
        <v>290</v>
      </c>
      <c r="U2448">
        <v>64.669172932330824</v>
      </c>
      <c r="V2448">
        <v>105.7930490817716</v>
      </c>
      <c r="W2448">
        <v>3.355492309527206</v>
      </c>
      <c r="X2448" t="s">
        <v>291</v>
      </c>
      <c r="Y2448">
        <v>10</v>
      </c>
      <c r="Z2448">
        <v>0.26592676994077491</v>
      </c>
      <c r="AA2448">
        <v>1</v>
      </c>
    </row>
    <row r="2449" spans="1:27" hidden="1" x14ac:dyDescent="0.25">
      <c r="A2449" t="s">
        <v>98</v>
      </c>
      <c r="B2449" t="s">
        <v>1374</v>
      </c>
      <c r="D2449" t="s">
        <v>1722</v>
      </c>
      <c r="E2449" t="s">
        <v>284</v>
      </c>
      <c r="F2449" t="s">
        <v>302</v>
      </c>
      <c r="G2449" t="s">
        <v>112</v>
      </c>
      <c r="H2449" t="s">
        <v>104</v>
      </c>
      <c r="I2449">
        <v>2023</v>
      </c>
      <c r="J2449" t="s">
        <v>313</v>
      </c>
      <c r="K2449" t="s">
        <v>106</v>
      </c>
      <c r="L2449" t="s">
        <v>2842</v>
      </c>
      <c r="M2449" t="s">
        <v>2853</v>
      </c>
      <c r="N2449">
        <v>1</v>
      </c>
      <c r="O2449">
        <v>2023</v>
      </c>
      <c r="P2449">
        <v>99.614212714858894</v>
      </c>
      <c r="Q2449">
        <v>1.4361600838792941</v>
      </c>
      <c r="R2449" t="s">
        <v>289</v>
      </c>
      <c r="S2449">
        <v>75.07692307692308</v>
      </c>
      <c r="T2449" t="s">
        <v>290</v>
      </c>
      <c r="U2449">
        <v>75.07692307692308</v>
      </c>
      <c r="V2449">
        <v>99.614212714858894</v>
      </c>
      <c r="W2449">
        <v>1.4361600838792941</v>
      </c>
      <c r="X2449" t="s">
        <v>291</v>
      </c>
      <c r="Y2449">
        <v>10</v>
      </c>
      <c r="Z2449">
        <v>0.26592676994077491</v>
      </c>
      <c r="AA2449">
        <v>1</v>
      </c>
    </row>
    <row r="2450" spans="1:27" hidden="1" x14ac:dyDescent="0.25">
      <c r="A2450" t="s">
        <v>98</v>
      </c>
      <c r="B2450" t="s">
        <v>1374</v>
      </c>
      <c r="D2450" t="s">
        <v>1722</v>
      </c>
      <c r="E2450" t="s">
        <v>284</v>
      </c>
      <c r="F2450" t="s">
        <v>297</v>
      </c>
      <c r="G2450" t="s">
        <v>103</v>
      </c>
      <c r="H2450" t="s">
        <v>104</v>
      </c>
      <c r="I2450">
        <v>2024</v>
      </c>
      <c r="J2450" t="s">
        <v>315</v>
      </c>
      <c r="K2450" t="s">
        <v>106</v>
      </c>
      <c r="L2450" t="s">
        <v>2842</v>
      </c>
      <c r="M2450" t="s">
        <v>2854</v>
      </c>
      <c r="N2450">
        <v>1</v>
      </c>
      <c r="O2450">
        <v>2024</v>
      </c>
      <c r="P2450">
        <v>94.526951376087595</v>
      </c>
      <c r="Q2450">
        <v>3.949349451558744</v>
      </c>
      <c r="R2450" t="s">
        <v>289</v>
      </c>
      <c r="S2450">
        <v>76.146700507614213</v>
      </c>
      <c r="T2450" t="s">
        <v>290</v>
      </c>
      <c r="U2450">
        <v>76.146700507614213</v>
      </c>
      <c r="V2450">
        <v>94.526951376087595</v>
      </c>
      <c r="W2450">
        <v>3.949349451558744</v>
      </c>
      <c r="X2450" t="s">
        <v>291</v>
      </c>
      <c r="Y2450">
        <v>10</v>
      </c>
      <c r="Z2450">
        <v>0.26592676994077491</v>
      </c>
      <c r="AA2450">
        <v>1</v>
      </c>
    </row>
    <row r="2451" spans="1:27" hidden="1" x14ac:dyDescent="0.25">
      <c r="A2451" t="s">
        <v>98</v>
      </c>
      <c r="B2451" t="s">
        <v>1374</v>
      </c>
      <c r="D2451" t="s">
        <v>1722</v>
      </c>
      <c r="E2451" t="s">
        <v>284</v>
      </c>
      <c r="F2451" t="s">
        <v>297</v>
      </c>
      <c r="G2451" t="s">
        <v>112</v>
      </c>
      <c r="H2451" t="s">
        <v>104</v>
      </c>
      <c r="I2451">
        <v>2024</v>
      </c>
      <c r="J2451" t="s">
        <v>317</v>
      </c>
      <c r="K2451" t="s">
        <v>106</v>
      </c>
      <c r="L2451" t="s">
        <v>2842</v>
      </c>
      <c r="M2451" t="s">
        <v>2855</v>
      </c>
      <c r="N2451">
        <v>1</v>
      </c>
      <c r="O2451">
        <v>2024</v>
      </c>
      <c r="P2451">
        <v>69.765067810793198</v>
      </c>
      <c r="Q2451">
        <v>2.516631606553434</v>
      </c>
      <c r="R2451" t="s">
        <v>289</v>
      </c>
      <c r="S2451">
        <v>93</v>
      </c>
      <c r="T2451" t="s">
        <v>290</v>
      </c>
      <c r="U2451">
        <v>93</v>
      </c>
      <c r="V2451">
        <v>69.765067810793198</v>
      </c>
      <c r="W2451">
        <v>2.516631606553434</v>
      </c>
      <c r="X2451" t="s">
        <v>291</v>
      </c>
      <c r="Y2451">
        <v>10</v>
      </c>
      <c r="Z2451">
        <v>0.26592676994077491</v>
      </c>
      <c r="AA2451">
        <v>1</v>
      </c>
    </row>
    <row r="2452" spans="1:27" hidden="1" x14ac:dyDescent="0.25">
      <c r="A2452" t="s">
        <v>98</v>
      </c>
      <c r="B2452" t="s">
        <v>1374</v>
      </c>
      <c r="D2452" t="s">
        <v>1722</v>
      </c>
      <c r="E2452" t="s">
        <v>284</v>
      </c>
      <c r="F2452" t="s">
        <v>302</v>
      </c>
      <c r="G2452" t="s">
        <v>103</v>
      </c>
      <c r="H2452" t="s">
        <v>104</v>
      </c>
      <c r="I2452">
        <v>2024</v>
      </c>
      <c r="J2452" t="s">
        <v>319</v>
      </c>
      <c r="K2452" t="s">
        <v>106</v>
      </c>
      <c r="L2452" t="s">
        <v>2842</v>
      </c>
      <c r="M2452" t="s">
        <v>2856</v>
      </c>
      <c r="N2452">
        <v>1</v>
      </c>
      <c r="O2452">
        <v>2024</v>
      </c>
      <c r="P2452">
        <v>105.7930490817716</v>
      </c>
      <c r="Q2452">
        <v>3.355492309527206</v>
      </c>
      <c r="R2452" t="s">
        <v>289</v>
      </c>
      <c r="S2452">
        <v>64.669172932330824</v>
      </c>
      <c r="T2452" t="s">
        <v>290</v>
      </c>
      <c r="U2452">
        <v>64.669172932330824</v>
      </c>
      <c r="V2452">
        <v>105.7930490817716</v>
      </c>
      <c r="W2452">
        <v>3.355492309527206</v>
      </c>
      <c r="X2452" t="s">
        <v>291</v>
      </c>
      <c r="Y2452">
        <v>10</v>
      </c>
      <c r="Z2452">
        <v>0.26592676994077491</v>
      </c>
      <c r="AA2452">
        <v>1</v>
      </c>
    </row>
    <row r="2453" spans="1:27" hidden="1" x14ac:dyDescent="0.25">
      <c r="A2453" t="s">
        <v>98</v>
      </c>
      <c r="B2453" t="s">
        <v>1374</v>
      </c>
      <c r="D2453" t="s">
        <v>1722</v>
      </c>
      <c r="E2453" t="s">
        <v>284</v>
      </c>
      <c r="F2453" t="s">
        <v>302</v>
      </c>
      <c r="G2453" t="s">
        <v>112</v>
      </c>
      <c r="H2453" t="s">
        <v>104</v>
      </c>
      <c r="I2453">
        <v>2024</v>
      </c>
      <c r="J2453" t="s">
        <v>321</v>
      </c>
      <c r="K2453" t="s">
        <v>106</v>
      </c>
      <c r="L2453" t="s">
        <v>2842</v>
      </c>
      <c r="M2453" t="s">
        <v>2857</v>
      </c>
      <c r="N2453">
        <v>1</v>
      </c>
      <c r="O2453">
        <v>2024</v>
      </c>
      <c r="P2453">
        <v>99.614212714858894</v>
      </c>
      <c r="Q2453">
        <v>1.4361600838792941</v>
      </c>
      <c r="R2453" t="s">
        <v>289</v>
      </c>
      <c r="S2453">
        <v>75.07692307692308</v>
      </c>
      <c r="T2453" t="s">
        <v>290</v>
      </c>
      <c r="U2453">
        <v>75.07692307692308</v>
      </c>
      <c r="V2453">
        <v>99.614212714858894</v>
      </c>
      <c r="W2453">
        <v>1.4361600838792941</v>
      </c>
      <c r="X2453" t="s">
        <v>291</v>
      </c>
      <c r="Y2453">
        <v>10</v>
      </c>
      <c r="Z2453">
        <v>0.26592676994077491</v>
      </c>
      <c r="AA2453">
        <v>1</v>
      </c>
    </row>
    <row r="2454" spans="1:27" hidden="1" x14ac:dyDescent="0.25">
      <c r="A2454" t="s">
        <v>98</v>
      </c>
      <c r="B2454" t="s">
        <v>1374</v>
      </c>
      <c r="D2454" t="s">
        <v>1722</v>
      </c>
      <c r="E2454" t="s">
        <v>284</v>
      </c>
      <c r="F2454" t="s">
        <v>297</v>
      </c>
      <c r="G2454" t="s">
        <v>103</v>
      </c>
      <c r="H2454" t="s">
        <v>104</v>
      </c>
      <c r="I2454">
        <v>2025</v>
      </c>
      <c r="J2454" t="s">
        <v>323</v>
      </c>
      <c r="K2454" t="s">
        <v>106</v>
      </c>
      <c r="L2454" t="s">
        <v>2842</v>
      </c>
      <c r="M2454" t="s">
        <v>2858</v>
      </c>
      <c r="N2454">
        <v>1</v>
      </c>
      <c r="O2454">
        <v>2025</v>
      </c>
      <c r="P2454">
        <v>94.526951376087595</v>
      </c>
      <c r="Q2454">
        <v>3.949349451558744</v>
      </c>
      <c r="R2454" t="s">
        <v>289</v>
      </c>
      <c r="S2454">
        <v>76.146700507614213</v>
      </c>
      <c r="T2454" t="s">
        <v>290</v>
      </c>
      <c r="U2454">
        <v>76.146700507614213</v>
      </c>
      <c r="V2454">
        <v>94.526951376087595</v>
      </c>
      <c r="W2454">
        <v>3.949349451558744</v>
      </c>
      <c r="X2454" t="s">
        <v>291</v>
      </c>
      <c r="Y2454">
        <v>10</v>
      </c>
      <c r="Z2454">
        <v>0.26592676994077491</v>
      </c>
      <c r="AA2454">
        <v>1</v>
      </c>
    </row>
    <row r="2455" spans="1:27" hidden="1" x14ac:dyDescent="0.25">
      <c r="A2455" t="s">
        <v>98</v>
      </c>
      <c r="B2455" t="s">
        <v>1374</v>
      </c>
      <c r="D2455" t="s">
        <v>1722</v>
      </c>
      <c r="E2455" t="s">
        <v>284</v>
      </c>
      <c r="F2455" t="s">
        <v>297</v>
      </c>
      <c r="G2455" t="s">
        <v>112</v>
      </c>
      <c r="H2455" t="s">
        <v>104</v>
      </c>
      <c r="I2455">
        <v>2025</v>
      </c>
      <c r="J2455" t="s">
        <v>325</v>
      </c>
      <c r="K2455" t="s">
        <v>106</v>
      </c>
      <c r="L2455" t="s">
        <v>2842</v>
      </c>
      <c r="M2455" t="s">
        <v>2859</v>
      </c>
      <c r="N2455">
        <v>1</v>
      </c>
      <c r="O2455">
        <v>2025</v>
      </c>
      <c r="P2455">
        <v>69.765067810793198</v>
      </c>
      <c r="Q2455">
        <v>2.516631606553434</v>
      </c>
      <c r="R2455" t="s">
        <v>289</v>
      </c>
      <c r="S2455">
        <v>93</v>
      </c>
      <c r="T2455" t="s">
        <v>290</v>
      </c>
      <c r="U2455">
        <v>93</v>
      </c>
      <c r="V2455">
        <v>69.765067810793198</v>
      </c>
      <c r="W2455">
        <v>2.516631606553434</v>
      </c>
      <c r="X2455" t="s">
        <v>291</v>
      </c>
      <c r="Y2455">
        <v>10</v>
      </c>
      <c r="Z2455">
        <v>0.26592676994077491</v>
      </c>
      <c r="AA2455">
        <v>1</v>
      </c>
    </row>
    <row r="2456" spans="1:27" hidden="1" x14ac:dyDescent="0.25">
      <c r="A2456" t="s">
        <v>98</v>
      </c>
      <c r="B2456" t="s">
        <v>1374</v>
      </c>
      <c r="D2456" t="s">
        <v>1722</v>
      </c>
      <c r="E2456" t="s">
        <v>284</v>
      </c>
      <c r="F2456" t="s">
        <v>302</v>
      </c>
      <c r="G2456" t="s">
        <v>103</v>
      </c>
      <c r="H2456" t="s">
        <v>104</v>
      </c>
      <c r="I2456">
        <v>2025</v>
      </c>
      <c r="J2456" t="s">
        <v>327</v>
      </c>
      <c r="K2456" t="s">
        <v>106</v>
      </c>
      <c r="L2456" t="s">
        <v>2842</v>
      </c>
      <c r="M2456" t="s">
        <v>2860</v>
      </c>
      <c r="N2456">
        <v>1</v>
      </c>
      <c r="O2456">
        <v>2025</v>
      </c>
      <c r="P2456">
        <v>105.7930490817716</v>
      </c>
      <c r="Q2456">
        <v>3.355492309527206</v>
      </c>
      <c r="R2456" t="s">
        <v>289</v>
      </c>
      <c r="S2456">
        <v>64.669172932330824</v>
      </c>
      <c r="T2456" t="s">
        <v>290</v>
      </c>
      <c r="U2456">
        <v>64.669172932330824</v>
      </c>
      <c r="V2456">
        <v>105.7930490817716</v>
      </c>
      <c r="W2456">
        <v>3.355492309527206</v>
      </c>
      <c r="X2456" t="s">
        <v>291</v>
      </c>
      <c r="Y2456">
        <v>10</v>
      </c>
      <c r="Z2456">
        <v>0.26592676994077491</v>
      </c>
      <c r="AA2456">
        <v>1</v>
      </c>
    </row>
    <row r="2457" spans="1:27" hidden="1" x14ac:dyDescent="0.25">
      <c r="A2457" t="s">
        <v>98</v>
      </c>
      <c r="B2457" t="s">
        <v>1374</v>
      </c>
      <c r="D2457" t="s">
        <v>1722</v>
      </c>
      <c r="E2457" t="s">
        <v>284</v>
      </c>
      <c r="F2457" t="s">
        <v>302</v>
      </c>
      <c r="G2457" t="s">
        <v>112</v>
      </c>
      <c r="H2457" t="s">
        <v>104</v>
      </c>
      <c r="I2457">
        <v>2025</v>
      </c>
      <c r="J2457" t="s">
        <v>329</v>
      </c>
      <c r="K2457" t="s">
        <v>106</v>
      </c>
      <c r="L2457" t="s">
        <v>2842</v>
      </c>
      <c r="M2457" t="s">
        <v>2861</v>
      </c>
      <c r="N2457">
        <v>1</v>
      </c>
      <c r="O2457">
        <v>2025</v>
      </c>
      <c r="P2457">
        <v>99.614212714858894</v>
      </c>
      <c r="Q2457">
        <v>1.4361600838792941</v>
      </c>
      <c r="R2457" t="s">
        <v>289</v>
      </c>
      <c r="S2457">
        <v>75.07692307692308</v>
      </c>
      <c r="T2457" t="s">
        <v>290</v>
      </c>
      <c r="U2457">
        <v>75.07692307692308</v>
      </c>
      <c r="V2457">
        <v>99.614212714858894</v>
      </c>
      <c r="W2457">
        <v>1.4361600838792941</v>
      </c>
      <c r="X2457" t="s">
        <v>291</v>
      </c>
      <c r="Y2457">
        <v>10</v>
      </c>
      <c r="Z2457">
        <v>0.26592676994077491</v>
      </c>
      <c r="AA2457">
        <v>1</v>
      </c>
    </row>
    <row r="2458" spans="1:27" hidden="1" x14ac:dyDescent="0.25">
      <c r="A2458" t="s">
        <v>98</v>
      </c>
      <c r="B2458" t="s">
        <v>1374</v>
      </c>
      <c r="D2458" t="s">
        <v>1722</v>
      </c>
      <c r="E2458" t="s">
        <v>284</v>
      </c>
      <c r="F2458" t="s">
        <v>297</v>
      </c>
      <c r="G2458" t="s">
        <v>103</v>
      </c>
      <c r="H2458" t="s">
        <v>104</v>
      </c>
      <c r="I2458">
        <v>2026</v>
      </c>
      <c r="J2458" t="s">
        <v>331</v>
      </c>
      <c r="K2458" t="s">
        <v>106</v>
      </c>
      <c r="L2458" t="s">
        <v>2842</v>
      </c>
      <c r="M2458" t="s">
        <v>2862</v>
      </c>
      <c r="N2458">
        <v>1</v>
      </c>
      <c r="O2458">
        <v>2026</v>
      </c>
      <c r="P2458">
        <v>94.526951376087595</v>
      </c>
      <c r="Q2458">
        <v>3.949349451558744</v>
      </c>
      <c r="R2458" t="s">
        <v>289</v>
      </c>
      <c r="S2458">
        <v>76.146700507614213</v>
      </c>
      <c r="T2458" t="s">
        <v>290</v>
      </c>
      <c r="U2458">
        <v>76.146700507614213</v>
      </c>
      <c r="V2458">
        <v>94.526951376087595</v>
      </c>
      <c r="W2458">
        <v>3.949349451558744</v>
      </c>
      <c r="X2458" t="s">
        <v>291</v>
      </c>
      <c r="Y2458">
        <v>10</v>
      </c>
      <c r="Z2458">
        <v>0.26592676994077491</v>
      </c>
      <c r="AA2458">
        <v>1</v>
      </c>
    </row>
    <row r="2459" spans="1:27" hidden="1" x14ac:dyDescent="0.25">
      <c r="A2459" t="s">
        <v>98</v>
      </c>
      <c r="B2459" t="s">
        <v>1374</v>
      </c>
      <c r="D2459" t="s">
        <v>1722</v>
      </c>
      <c r="E2459" t="s">
        <v>284</v>
      </c>
      <c r="F2459" t="s">
        <v>297</v>
      </c>
      <c r="G2459" t="s">
        <v>112</v>
      </c>
      <c r="H2459" t="s">
        <v>104</v>
      </c>
      <c r="I2459">
        <v>2026</v>
      </c>
      <c r="J2459" t="s">
        <v>333</v>
      </c>
      <c r="K2459" t="s">
        <v>106</v>
      </c>
      <c r="L2459" t="s">
        <v>2842</v>
      </c>
      <c r="M2459" t="s">
        <v>2863</v>
      </c>
      <c r="N2459">
        <v>1</v>
      </c>
      <c r="O2459">
        <v>2026</v>
      </c>
      <c r="P2459">
        <v>69.765067810793198</v>
      </c>
      <c r="Q2459">
        <v>2.516631606553434</v>
      </c>
      <c r="R2459" t="s">
        <v>289</v>
      </c>
      <c r="S2459">
        <v>93</v>
      </c>
      <c r="T2459" t="s">
        <v>290</v>
      </c>
      <c r="U2459">
        <v>93</v>
      </c>
      <c r="V2459">
        <v>69.765067810793198</v>
      </c>
      <c r="W2459">
        <v>2.516631606553434</v>
      </c>
      <c r="X2459" t="s">
        <v>291</v>
      </c>
      <c r="Y2459">
        <v>10</v>
      </c>
      <c r="Z2459">
        <v>0.26592676994077491</v>
      </c>
      <c r="AA2459">
        <v>1</v>
      </c>
    </row>
    <row r="2460" spans="1:27" hidden="1" x14ac:dyDescent="0.25">
      <c r="A2460" t="s">
        <v>98</v>
      </c>
      <c r="B2460" t="s">
        <v>1374</v>
      </c>
      <c r="D2460" t="s">
        <v>1722</v>
      </c>
      <c r="E2460" t="s">
        <v>284</v>
      </c>
      <c r="F2460" t="s">
        <v>302</v>
      </c>
      <c r="G2460" t="s">
        <v>103</v>
      </c>
      <c r="H2460" t="s">
        <v>104</v>
      </c>
      <c r="I2460">
        <v>2026</v>
      </c>
      <c r="J2460" t="s">
        <v>335</v>
      </c>
      <c r="K2460" t="s">
        <v>106</v>
      </c>
      <c r="L2460" t="s">
        <v>2842</v>
      </c>
      <c r="M2460" t="s">
        <v>2864</v>
      </c>
      <c r="N2460">
        <v>1</v>
      </c>
      <c r="O2460">
        <v>2026</v>
      </c>
      <c r="P2460">
        <v>105.7930490817716</v>
      </c>
      <c r="Q2460">
        <v>3.355492309527206</v>
      </c>
      <c r="R2460" t="s">
        <v>289</v>
      </c>
      <c r="S2460">
        <v>64.669172932330824</v>
      </c>
      <c r="T2460" t="s">
        <v>290</v>
      </c>
      <c r="U2460">
        <v>64.669172932330824</v>
      </c>
      <c r="V2460">
        <v>105.7930490817716</v>
      </c>
      <c r="W2460">
        <v>3.355492309527206</v>
      </c>
      <c r="X2460" t="s">
        <v>291</v>
      </c>
      <c r="Y2460">
        <v>10</v>
      </c>
      <c r="Z2460">
        <v>0.26592676994077491</v>
      </c>
      <c r="AA2460">
        <v>1</v>
      </c>
    </row>
    <row r="2461" spans="1:27" hidden="1" x14ac:dyDescent="0.25">
      <c r="A2461" t="s">
        <v>98</v>
      </c>
      <c r="B2461" t="s">
        <v>1374</v>
      </c>
      <c r="D2461" t="s">
        <v>1722</v>
      </c>
      <c r="E2461" t="s">
        <v>284</v>
      </c>
      <c r="F2461" t="s">
        <v>302</v>
      </c>
      <c r="G2461" t="s">
        <v>112</v>
      </c>
      <c r="H2461" t="s">
        <v>104</v>
      </c>
      <c r="I2461">
        <v>2026</v>
      </c>
      <c r="J2461" t="s">
        <v>337</v>
      </c>
      <c r="K2461" t="s">
        <v>106</v>
      </c>
      <c r="L2461" t="s">
        <v>2842</v>
      </c>
      <c r="M2461" t="s">
        <v>2865</v>
      </c>
      <c r="N2461">
        <v>1</v>
      </c>
      <c r="O2461">
        <v>2026</v>
      </c>
      <c r="P2461">
        <v>99.614212714858894</v>
      </c>
      <c r="Q2461">
        <v>1.4361600838792941</v>
      </c>
      <c r="R2461" t="s">
        <v>289</v>
      </c>
      <c r="S2461">
        <v>75.07692307692308</v>
      </c>
      <c r="T2461" t="s">
        <v>290</v>
      </c>
      <c r="U2461">
        <v>75.07692307692308</v>
      </c>
      <c r="V2461">
        <v>99.614212714858894</v>
      </c>
      <c r="W2461">
        <v>1.4361600838792941</v>
      </c>
      <c r="X2461" t="s">
        <v>291</v>
      </c>
      <c r="Y2461">
        <v>10</v>
      </c>
      <c r="Z2461">
        <v>0.26592676994077491</v>
      </c>
      <c r="AA2461">
        <v>1</v>
      </c>
    </row>
    <row r="2462" spans="1:27" hidden="1" x14ac:dyDescent="0.25">
      <c r="A2462" t="s">
        <v>98</v>
      </c>
      <c r="B2462" t="s">
        <v>1374</v>
      </c>
      <c r="D2462" t="s">
        <v>1722</v>
      </c>
      <c r="E2462" t="s">
        <v>284</v>
      </c>
      <c r="F2462" t="s">
        <v>292</v>
      </c>
      <c r="G2462" t="s">
        <v>103</v>
      </c>
      <c r="H2462" t="s">
        <v>104</v>
      </c>
      <c r="I2462">
        <v>2030</v>
      </c>
      <c r="J2462" t="s">
        <v>339</v>
      </c>
      <c r="K2462" t="s">
        <v>106</v>
      </c>
      <c r="L2462" t="s">
        <v>2842</v>
      </c>
      <c r="M2462" t="s">
        <v>2866</v>
      </c>
      <c r="N2462">
        <v>1</v>
      </c>
      <c r="O2462">
        <v>2030</v>
      </c>
      <c r="P2462">
        <v>99.96668875570353</v>
      </c>
      <c r="Q2462">
        <v>4.9152448223495018</v>
      </c>
      <c r="R2462" t="s">
        <v>289</v>
      </c>
      <c r="S2462">
        <v>55.211046644573933</v>
      </c>
      <c r="T2462" t="s">
        <v>290</v>
      </c>
      <c r="U2462">
        <v>55.211046644573933</v>
      </c>
      <c r="V2462">
        <v>99.96668875570353</v>
      </c>
      <c r="W2462">
        <v>4.9152448223495018</v>
      </c>
      <c r="X2462" t="s">
        <v>291</v>
      </c>
      <c r="Y2462">
        <v>10</v>
      </c>
      <c r="Z2462">
        <v>0.26592676994077491</v>
      </c>
      <c r="AA2462">
        <v>1</v>
      </c>
    </row>
    <row r="2463" spans="1:27" hidden="1" x14ac:dyDescent="0.25">
      <c r="A2463" t="s">
        <v>98</v>
      </c>
      <c r="B2463" t="s">
        <v>1374</v>
      </c>
      <c r="D2463" t="s">
        <v>1722</v>
      </c>
      <c r="E2463" t="s">
        <v>284</v>
      </c>
      <c r="F2463" t="s">
        <v>292</v>
      </c>
      <c r="G2463" t="s">
        <v>112</v>
      </c>
      <c r="H2463" t="s">
        <v>104</v>
      </c>
      <c r="I2463">
        <v>2030</v>
      </c>
      <c r="J2463" t="s">
        <v>341</v>
      </c>
      <c r="K2463" t="s">
        <v>106</v>
      </c>
      <c r="L2463" t="s">
        <v>2842</v>
      </c>
      <c r="M2463" t="s">
        <v>2867</v>
      </c>
      <c r="N2463">
        <v>1</v>
      </c>
      <c r="O2463">
        <v>2030</v>
      </c>
      <c r="P2463">
        <v>93.570390823718384</v>
      </c>
      <c r="Q2463">
        <v>4.27625645181514</v>
      </c>
      <c r="R2463" t="s">
        <v>289</v>
      </c>
      <c r="S2463">
        <v>60.132155797450622</v>
      </c>
      <c r="T2463" t="s">
        <v>290</v>
      </c>
      <c r="U2463">
        <v>60.132155797450622</v>
      </c>
      <c r="V2463">
        <v>93.570390823718384</v>
      </c>
      <c r="W2463">
        <v>4.27625645181514</v>
      </c>
      <c r="X2463" t="s">
        <v>291</v>
      </c>
      <c r="Y2463">
        <v>10</v>
      </c>
      <c r="Z2463">
        <v>0.26592676994077491</v>
      </c>
      <c r="AA2463">
        <v>1</v>
      </c>
    </row>
    <row r="2464" spans="1:27" hidden="1" x14ac:dyDescent="0.25">
      <c r="A2464" t="s">
        <v>98</v>
      </c>
      <c r="B2464" t="s">
        <v>1374</v>
      </c>
      <c r="D2464" t="s">
        <v>1722</v>
      </c>
      <c r="E2464" t="s">
        <v>284</v>
      </c>
      <c r="F2464" t="s">
        <v>297</v>
      </c>
      <c r="G2464" t="s">
        <v>103</v>
      </c>
      <c r="H2464" t="s">
        <v>104</v>
      </c>
      <c r="I2464">
        <v>2030</v>
      </c>
      <c r="J2464" t="s">
        <v>343</v>
      </c>
      <c r="K2464" t="s">
        <v>106</v>
      </c>
      <c r="L2464" t="s">
        <v>2842</v>
      </c>
      <c r="M2464" t="s">
        <v>2868</v>
      </c>
      <c r="N2464">
        <v>1</v>
      </c>
      <c r="O2464">
        <v>2030</v>
      </c>
      <c r="P2464">
        <v>112.2464608710101</v>
      </c>
      <c r="Q2464">
        <v>3.5870084905918258</v>
      </c>
      <c r="R2464" t="s">
        <v>289</v>
      </c>
      <c r="S2464">
        <v>89.042769074884546</v>
      </c>
      <c r="T2464" t="s">
        <v>290</v>
      </c>
      <c r="U2464">
        <v>89.042769074884546</v>
      </c>
      <c r="V2464">
        <v>112.2464608710101</v>
      </c>
      <c r="W2464">
        <v>3.5870084905918258</v>
      </c>
      <c r="X2464" t="s">
        <v>291</v>
      </c>
      <c r="Y2464">
        <v>10</v>
      </c>
      <c r="Z2464">
        <v>0.26592676994077491</v>
      </c>
      <c r="AA2464">
        <v>1</v>
      </c>
    </row>
    <row r="2465" spans="1:27" hidden="1" x14ac:dyDescent="0.25">
      <c r="A2465" t="s">
        <v>98</v>
      </c>
      <c r="B2465" t="s">
        <v>1374</v>
      </c>
      <c r="D2465" t="s">
        <v>1722</v>
      </c>
      <c r="E2465" t="s">
        <v>284</v>
      </c>
      <c r="F2465" t="s">
        <v>297</v>
      </c>
      <c r="G2465" t="s">
        <v>112</v>
      </c>
      <c r="H2465" t="s">
        <v>104</v>
      </c>
      <c r="I2465">
        <v>2030</v>
      </c>
      <c r="J2465" t="s">
        <v>345</v>
      </c>
      <c r="K2465" t="s">
        <v>106</v>
      </c>
      <c r="L2465" t="s">
        <v>2842</v>
      </c>
      <c r="M2465" t="s">
        <v>2869</v>
      </c>
      <c r="N2465">
        <v>1</v>
      </c>
      <c r="O2465">
        <v>2030</v>
      </c>
      <c r="P2465">
        <v>84.571073913548247</v>
      </c>
      <c r="Q2465">
        <v>2.3525336937486059</v>
      </c>
      <c r="R2465" t="s">
        <v>289</v>
      </c>
      <c r="S2465">
        <v>108.5525423728814</v>
      </c>
      <c r="T2465" t="s">
        <v>290</v>
      </c>
      <c r="U2465">
        <v>108.5525423728814</v>
      </c>
      <c r="V2465">
        <v>84.571073913548247</v>
      </c>
      <c r="W2465">
        <v>2.3525336937486059</v>
      </c>
      <c r="X2465" t="s">
        <v>291</v>
      </c>
      <c r="Y2465">
        <v>10</v>
      </c>
      <c r="Z2465">
        <v>0.26592676994077491</v>
      </c>
      <c r="AA2465">
        <v>1</v>
      </c>
    </row>
    <row r="2466" spans="1:27" hidden="1" x14ac:dyDescent="0.25">
      <c r="A2466" t="s">
        <v>98</v>
      </c>
      <c r="B2466" t="s">
        <v>1374</v>
      </c>
      <c r="D2466" t="s">
        <v>1722</v>
      </c>
      <c r="E2466" t="s">
        <v>284</v>
      </c>
      <c r="F2466" t="s">
        <v>292</v>
      </c>
      <c r="G2466" t="s">
        <v>103</v>
      </c>
      <c r="H2466" t="s">
        <v>104</v>
      </c>
      <c r="I2466">
        <v>2040</v>
      </c>
      <c r="J2466" t="s">
        <v>347</v>
      </c>
      <c r="K2466" t="s">
        <v>106</v>
      </c>
      <c r="L2466" t="s">
        <v>2842</v>
      </c>
      <c r="M2466" t="s">
        <v>2870</v>
      </c>
      <c r="N2466">
        <v>1</v>
      </c>
      <c r="O2466">
        <v>2040</v>
      </c>
      <c r="P2466">
        <v>98.335071194105581</v>
      </c>
      <c r="Q2466">
        <v>4.7080379086524973</v>
      </c>
      <c r="R2466" t="s">
        <v>289</v>
      </c>
      <c r="S2466">
        <v>63.829339223058007</v>
      </c>
      <c r="T2466" t="s">
        <v>290</v>
      </c>
      <c r="U2466">
        <v>63.829339223058007</v>
      </c>
      <c r="V2466">
        <v>98.335071194105581</v>
      </c>
      <c r="W2466">
        <v>4.7080379086524973</v>
      </c>
      <c r="X2466" t="s">
        <v>291</v>
      </c>
      <c r="Y2466">
        <v>10</v>
      </c>
      <c r="Z2466">
        <v>0.26592676994077491</v>
      </c>
      <c r="AA2466">
        <v>1</v>
      </c>
    </row>
    <row r="2467" spans="1:27" hidden="1" x14ac:dyDescent="0.25">
      <c r="A2467" t="s">
        <v>98</v>
      </c>
      <c r="B2467" t="s">
        <v>1374</v>
      </c>
      <c r="D2467" t="s">
        <v>1722</v>
      </c>
      <c r="E2467" t="s">
        <v>284</v>
      </c>
      <c r="F2467" t="s">
        <v>292</v>
      </c>
      <c r="G2467" t="s">
        <v>112</v>
      </c>
      <c r="H2467" t="s">
        <v>104</v>
      </c>
      <c r="I2467">
        <v>2040</v>
      </c>
      <c r="J2467" t="s">
        <v>349</v>
      </c>
      <c r="K2467" t="s">
        <v>106</v>
      </c>
      <c r="L2467" t="s">
        <v>2842</v>
      </c>
      <c r="M2467" t="s">
        <v>2871</v>
      </c>
      <c r="N2467">
        <v>1</v>
      </c>
      <c r="O2467">
        <v>2040</v>
      </c>
      <c r="P2467">
        <v>92.137687829328328</v>
      </c>
      <c r="Q2467">
        <v>4.1202723323867074</v>
      </c>
      <c r="R2467" t="s">
        <v>289</v>
      </c>
      <c r="S2467">
        <v>69.934718883357121</v>
      </c>
      <c r="T2467" t="s">
        <v>290</v>
      </c>
      <c r="U2467">
        <v>69.934718883357121</v>
      </c>
      <c r="V2467">
        <v>92.137687829328328</v>
      </c>
      <c r="W2467">
        <v>4.1202723323867074</v>
      </c>
      <c r="X2467" t="s">
        <v>291</v>
      </c>
      <c r="Y2467">
        <v>10</v>
      </c>
      <c r="Z2467">
        <v>0.26592676994077491</v>
      </c>
      <c r="AA2467">
        <v>1</v>
      </c>
    </row>
    <row r="2468" spans="1:27" hidden="1" x14ac:dyDescent="0.25">
      <c r="A2468" t="s">
        <v>98</v>
      </c>
      <c r="B2468" t="s">
        <v>1374</v>
      </c>
      <c r="D2468" t="s">
        <v>1722</v>
      </c>
      <c r="E2468" t="s">
        <v>284</v>
      </c>
      <c r="F2468" t="s">
        <v>297</v>
      </c>
      <c r="G2468" t="s">
        <v>103</v>
      </c>
      <c r="H2468" t="s">
        <v>104</v>
      </c>
      <c r="I2468">
        <v>2040</v>
      </c>
      <c r="J2468" t="s">
        <v>351</v>
      </c>
      <c r="K2468" t="s">
        <v>106</v>
      </c>
      <c r="L2468" t="s">
        <v>2842</v>
      </c>
      <c r="M2468" t="s">
        <v>2872</v>
      </c>
      <c r="N2468">
        <v>1</v>
      </c>
      <c r="O2468">
        <v>2040</v>
      </c>
      <c r="P2468">
        <v>109.62871509832991</v>
      </c>
      <c r="Q2468">
        <v>3.28145573783857</v>
      </c>
      <c r="R2468" t="s">
        <v>289</v>
      </c>
      <c r="S2468">
        <v>101.8534675620791</v>
      </c>
      <c r="T2468" t="s">
        <v>290</v>
      </c>
      <c r="U2468">
        <v>101.8534675620791</v>
      </c>
      <c r="V2468">
        <v>109.62871509832991</v>
      </c>
      <c r="W2468">
        <v>3.28145573783857</v>
      </c>
      <c r="X2468" t="s">
        <v>291</v>
      </c>
      <c r="Y2468">
        <v>10</v>
      </c>
      <c r="Z2468">
        <v>0.26592676994077491</v>
      </c>
      <c r="AA2468">
        <v>1</v>
      </c>
    </row>
    <row r="2469" spans="1:27" hidden="1" x14ac:dyDescent="0.25">
      <c r="A2469" t="s">
        <v>98</v>
      </c>
      <c r="B2469" t="s">
        <v>1374</v>
      </c>
      <c r="D2469" t="s">
        <v>1722</v>
      </c>
      <c r="E2469" t="s">
        <v>284</v>
      </c>
      <c r="F2469" t="s">
        <v>297</v>
      </c>
      <c r="G2469" t="s">
        <v>112</v>
      </c>
      <c r="H2469" t="s">
        <v>104</v>
      </c>
      <c r="I2469">
        <v>2040</v>
      </c>
      <c r="J2469" t="s">
        <v>353</v>
      </c>
      <c r="K2469" t="s">
        <v>106</v>
      </c>
      <c r="L2469" t="s">
        <v>2842</v>
      </c>
      <c r="M2469" t="s">
        <v>2873</v>
      </c>
      <c r="N2469">
        <v>1</v>
      </c>
      <c r="O2469">
        <v>2040</v>
      </c>
      <c r="P2469">
        <v>82.941268534212341</v>
      </c>
      <c r="Q2469">
        <v>2.168671786742209</v>
      </c>
      <c r="R2469" t="s">
        <v>289</v>
      </c>
      <c r="S2469">
        <v>124.1701372074253</v>
      </c>
      <c r="T2469" t="s">
        <v>290</v>
      </c>
      <c r="U2469">
        <v>124.1701372074253</v>
      </c>
      <c r="V2469">
        <v>82.941268534212341</v>
      </c>
      <c r="W2469">
        <v>2.168671786742209</v>
      </c>
      <c r="X2469" t="s">
        <v>291</v>
      </c>
      <c r="Y2469">
        <v>10</v>
      </c>
      <c r="Z2469">
        <v>0.26592676994077491</v>
      </c>
      <c r="AA2469">
        <v>1</v>
      </c>
    </row>
    <row r="2470" spans="1:27" hidden="1" x14ac:dyDescent="0.25">
      <c r="A2470" t="s">
        <v>98</v>
      </c>
      <c r="B2470" t="s">
        <v>1374</v>
      </c>
      <c r="D2470" t="s">
        <v>1722</v>
      </c>
      <c r="E2470" t="s">
        <v>284</v>
      </c>
      <c r="F2470" t="s">
        <v>355</v>
      </c>
      <c r="G2470" t="s">
        <v>103</v>
      </c>
      <c r="H2470" t="s">
        <v>104</v>
      </c>
      <c r="I2470">
        <v>2022</v>
      </c>
      <c r="J2470" t="s">
        <v>356</v>
      </c>
      <c r="K2470" t="s">
        <v>106</v>
      </c>
      <c r="L2470" t="s">
        <v>2842</v>
      </c>
      <c r="M2470" t="s">
        <v>2874</v>
      </c>
      <c r="N2470">
        <v>1</v>
      </c>
      <c r="O2470">
        <v>2020</v>
      </c>
      <c r="P2470">
        <v>26.539302440149839</v>
      </c>
      <c r="Q2470">
        <v>0.71977466386263589</v>
      </c>
      <c r="R2470" t="s">
        <v>289</v>
      </c>
      <c r="S2470">
        <v>85.75677051732572</v>
      </c>
      <c r="T2470" t="s">
        <v>290</v>
      </c>
      <c r="U2470">
        <v>85.75677051732572</v>
      </c>
      <c r="V2470">
        <v>26.539302440149839</v>
      </c>
      <c r="W2470">
        <v>0.71977466386263589</v>
      </c>
      <c r="X2470" t="s">
        <v>291</v>
      </c>
      <c r="Y2470">
        <v>10</v>
      </c>
      <c r="Z2470">
        <v>0.26592676994077491</v>
      </c>
      <c r="AA2470">
        <v>1</v>
      </c>
    </row>
    <row r="2471" spans="1:27" hidden="1" x14ac:dyDescent="0.25">
      <c r="A2471" t="s">
        <v>98</v>
      </c>
      <c r="B2471" t="s">
        <v>1374</v>
      </c>
      <c r="D2471" t="s">
        <v>1722</v>
      </c>
      <c r="E2471" t="s">
        <v>284</v>
      </c>
      <c r="F2471" t="s">
        <v>355</v>
      </c>
      <c r="G2471" t="s">
        <v>112</v>
      </c>
      <c r="H2471" t="s">
        <v>104</v>
      </c>
      <c r="I2471">
        <v>2022</v>
      </c>
      <c r="J2471" t="s">
        <v>358</v>
      </c>
      <c r="K2471" t="s">
        <v>106</v>
      </c>
      <c r="L2471" t="s">
        <v>2842</v>
      </c>
      <c r="M2471" t="s">
        <v>2875</v>
      </c>
      <c r="N2471">
        <v>1</v>
      </c>
      <c r="O2471">
        <v>2020</v>
      </c>
      <c r="P2471">
        <v>27.952547937105681</v>
      </c>
      <c r="Q2471">
        <v>0.83346015109483984</v>
      </c>
      <c r="R2471" t="s">
        <v>289</v>
      </c>
      <c r="S2471">
        <v>88.372750377742747</v>
      </c>
      <c r="T2471" t="s">
        <v>290</v>
      </c>
      <c r="U2471">
        <v>88.372750377742747</v>
      </c>
      <c r="V2471">
        <v>27.952547937105681</v>
      </c>
      <c r="W2471">
        <v>0.83346015109483984</v>
      </c>
      <c r="X2471" t="s">
        <v>291</v>
      </c>
      <c r="Y2471">
        <v>10</v>
      </c>
      <c r="Z2471">
        <v>0.26592676994077491</v>
      </c>
      <c r="AA2471">
        <v>1</v>
      </c>
    </row>
    <row r="2472" spans="1:27" hidden="1" x14ac:dyDescent="0.25">
      <c r="A2472" t="s">
        <v>98</v>
      </c>
      <c r="B2472" t="s">
        <v>1374</v>
      </c>
      <c r="D2472" t="s">
        <v>1722</v>
      </c>
      <c r="E2472" t="s">
        <v>284</v>
      </c>
      <c r="F2472" t="s">
        <v>360</v>
      </c>
      <c r="G2472" t="s">
        <v>103</v>
      </c>
      <c r="H2472" t="s">
        <v>104</v>
      </c>
      <c r="I2472">
        <v>2022</v>
      </c>
      <c r="J2472" t="s">
        <v>361</v>
      </c>
      <c r="K2472" t="s">
        <v>106</v>
      </c>
      <c r="L2472" t="s">
        <v>2842</v>
      </c>
      <c r="M2472" t="s">
        <v>2876</v>
      </c>
      <c r="N2472">
        <v>1</v>
      </c>
      <c r="O2472">
        <v>2020</v>
      </c>
      <c r="P2472">
        <v>30.743231458982891</v>
      </c>
      <c r="Q2472">
        <v>0.75530083267302539</v>
      </c>
      <c r="R2472" t="s">
        <v>289</v>
      </c>
      <c r="S2472">
        <v>85.752844444444449</v>
      </c>
      <c r="T2472" t="s">
        <v>290</v>
      </c>
      <c r="U2472">
        <v>85.752844444444449</v>
      </c>
      <c r="V2472">
        <v>30.743231458982891</v>
      </c>
      <c r="W2472">
        <v>0.75530083267302539</v>
      </c>
      <c r="X2472" t="s">
        <v>291</v>
      </c>
      <c r="Y2472">
        <v>10</v>
      </c>
      <c r="Z2472">
        <v>0.26592676994077491</v>
      </c>
      <c r="AA2472">
        <v>1</v>
      </c>
    </row>
    <row r="2473" spans="1:27" hidden="1" x14ac:dyDescent="0.25">
      <c r="A2473" t="s">
        <v>98</v>
      </c>
      <c r="B2473" t="s">
        <v>1374</v>
      </c>
      <c r="D2473" t="s">
        <v>1722</v>
      </c>
      <c r="E2473" t="s">
        <v>284</v>
      </c>
      <c r="F2473" t="s">
        <v>360</v>
      </c>
      <c r="G2473" t="s">
        <v>112</v>
      </c>
      <c r="H2473" t="s">
        <v>104</v>
      </c>
      <c r="I2473">
        <v>2022</v>
      </c>
      <c r="J2473" t="s">
        <v>363</v>
      </c>
      <c r="K2473" t="s">
        <v>106</v>
      </c>
      <c r="L2473" t="s">
        <v>2842</v>
      </c>
      <c r="M2473" t="s">
        <v>2877</v>
      </c>
      <c r="N2473">
        <v>1</v>
      </c>
      <c r="O2473">
        <v>2020</v>
      </c>
      <c r="P2473">
        <v>30.995290460986698</v>
      </c>
      <c r="Q2473">
        <v>1.07624732944957</v>
      </c>
      <c r="R2473" t="s">
        <v>289</v>
      </c>
      <c r="S2473">
        <v>91.18482905982907</v>
      </c>
      <c r="T2473" t="s">
        <v>290</v>
      </c>
      <c r="U2473">
        <v>91.18482905982907</v>
      </c>
      <c r="V2473">
        <v>30.995290460986698</v>
      </c>
      <c r="W2473">
        <v>1.07624732944957</v>
      </c>
      <c r="X2473" t="s">
        <v>291</v>
      </c>
      <c r="Y2473">
        <v>10</v>
      </c>
      <c r="Z2473">
        <v>0.26592676994077491</v>
      </c>
      <c r="AA2473">
        <v>1</v>
      </c>
    </row>
    <row r="2474" spans="1:27" hidden="1" x14ac:dyDescent="0.25">
      <c r="A2474" t="s">
        <v>98</v>
      </c>
      <c r="B2474" t="s">
        <v>1374</v>
      </c>
      <c r="D2474" t="s">
        <v>1722</v>
      </c>
      <c r="E2474" t="s">
        <v>284</v>
      </c>
      <c r="F2474" t="s">
        <v>365</v>
      </c>
      <c r="G2474" t="s">
        <v>103</v>
      </c>
      <c r="H2474" t="s">
        <v>104</v>
      </c>
      <c r="I2474">
        <v>2022</v>
      </c>
      <c r="J2474" t="s">
        <v>366</v>
      </c>
      <c r="K2474" t="s">
        <v>106</v>
      </c>
      <c r="L2474" t="s">
        <v>2842</v>
      </c>
      <c r="M2474" t="s">
        <v>2878</v>
      </c>
      <c r="N2474">
        <v>1</v>
      </c>
      <c r="O2474">
        <v>2020</v>
      </c>
      <c r="P2474">
        <v>34.581332645158973</v>
      </c>
      <c r="Q2474">
        <v>1.926881708285624</v>
      </c>
      <c r="R2474" t="s">
        <v>289</v>
      </c>
      <c r="S2474">
        <v>115.45533602622641</v>
      </c>
      <c r="T2474" t="s">
        <v>290</v>
      </c>
      <c r="U2474">
        <v>115.45533602622641</v>
      </c>
      <c r="V2474">
        <v>34.581332645158973</v>
      </c>
      <c r="W2474">
        <v>1.926881708285624</v>
      </c>
      <c r="X2474" t="s">
        <v>291</v>
      </c>
      <c r="Y2474">
        <v>10</v>
      </c>
      <c r="Z2474">
        <v>0.26592676994077491</v>
      </c>
      <c r="AA2474">
        <v>1</v>
      </c>
    </row>
    <row r="2475" spans="1:27" hidden="1" x14ac:dyDescent="0.25">
      <c r="A2475" t="s">
        <v>98</v>
      </c>
      <c r="B2475" t="s">
        <v>1374</v>
      </c>
      <c r="D2475" t="s">
        <v>1722</v>
      </c>
      <c r="E2475" t="s">
        <v>284</v>
      </c>
      <c r="F2475" t="s">
        <v>365</v>
      </c>
      <c r="G2475" t="s">
        <v>112</v>
      </c>
      <c r="H2475" t="s">
        <v>104</v>
      </c>
      <c r="I2475">
        <v>2022</v>
      </c>
      <c r="J2475" t="s">
        <v>368</v>
      </c>
      <c r="K2475" t="s">
        <v>106</v>
      </c>
      <c r="L2475" t="s">
        <v>2842</v>
      </c>
      <c r="M2475" t="s">
        <v>2879</v>
      </c>
      <c r="N2475">
        <v>1</v>
      </c>
      <c r="O2475">
        <v>2020</v>
      </c>
      <c r="P2475">
        <v>44.653862333829821</v>
      </c>
      <c r="Q2475">
        <v>2.4693086643180591</v>
      </c>
      <c r="R2475" t="s">
        <v>289</v>
      </c>
      <c r="S2475">
        <v>130.6177318295739</v>
      </c>
      <c r="T2475" t="s">
        <v>290</v>
      </c>
      <c r="U2475">
        <v>130.6177318295739</v>
      </c>
      <c r="V2475">
        <v>44.653862333829821</v>
      </c>
      <c r="W2475">
        <v>2.4693086643180591</v>
      </c>
      <c r="X2475" t="s">
        <v>291</v>
      </c>
      <c r="Y2475">
        <v>10</v>
      </c>
      <c r="Z2475">
        <v>0.26592676994077491</v>
      </c>
      <c r="AA2475">
        <v>1</v>
      </c>
    </row>
    <row r="2476" spans="1:27" hidden="1" x14ac:dyDescent="0.25">
      <c r="A2476" t="s">
        <v>98</v>
      </c>
      <c r="B2476" t="s">
        <v>1374</v>
      </c>
      <c r="D2476" t="s">
        <v>1722</v>
      </c>
      <c r="E2476" t="s">
        <v>284</v>
      </c>
      <c r="F2476" t="s">
        <v>365</v>
      </c>
      <c r="G2476" t="s">
        <v>103</v>
      </c>
      <c r="H2476" t="s">
        <v>104</v>
      </c>
      <c r="I2476">
        <v>2023</v>
      </c>
      <c r="J2476" t="s">
        <v>370</v>
      </c>
      <c r="K2476" t="s">
        <v>106</v>
      </c>
      <c r="L2476" t="s">
        <v>2842</v>
      </c>
      <c r="M2476" t="s">
        <v>2880</v>
      </c>
      <c r="N2476">
        <v>1</v>
      </c>
      <c r="O2476">
        <v>2023</v>
      </c>
      <c r="P2476">
        <v>34.353918735727063</v>
      </c>
      <c r="Q2476">
        <v>1.893397965391721</v>
      </c>
      <c r="R2476" t="s">
        <v>289</v>
      </c>
      <c r="S2476">
        <v>115.45533602622641</v>
      </c>
      <c r="T2476" t="s">
        <v>290</v>
      </c>
      <c r="U2476">
        <v>115.45533602622641</v>
      </c>
      <c r="V2476">
        <v>34.353918735727063</v>
      </c>
      <c r="W2476">
        <v>1.893397965391721</v>
      </c>
      <c r="X2476" t="s">
        <v>291</v>
      </c>
      <c r="Y2476">
        <v>10</v>
      </c>
      <c r="Z2476">
        <v>0.26592676994077491</v>
      </c>
      <c r="AA2476">
        <v>1</v>
      </c>
    </row>
    <row r="2477" spans="1:27" hidden="1" x14ac:dyDescent="0.25">
      <c r="A2477" t="s">
        <v>98</v>
      </c>
      <c r="B2477" t="s">
        <v>1374</v>
      </c>
      <c r="D2477" t="s">
        <v>1722</v>
      </c>
      <c r="E2477" t="s">
        <v>284</v>
      </c>
      <c r="F2477" t="s">
        <v>365</v>
      </c>
      <c r="G2477" t="s">
        <v>112</v>
      </c>
      <c r="H2477" t="s">
        <v>104</v>
      </c>
      <c r="I2477">
        <v>2023</v>
      </c>
      <c r="J2477" t="s">
        <v>372</v>
      </c>
      <c r="K2477" t="s">
        <v>106</v>
      </c>
      <c r="L2477" t="s">
        <v>2842</v>
      </c>
      <c r="M2477" t="s">
        <v>2881</v>
      </c>
      <c r="N2477">
        <v>1</v>
      </c>
      <c r="O2477">
        <v>2023</v>
      </c>
      <c r="P2477">
        <v>43.733464606512037</v>
      </c>
      <c r="Q2477">
        <v>2.4042644647868401</v>
      </c>
      <c r="R2477" t="s">
        <v>289</v>
      </c>
      <c r="S2477">
        <v>130.6177318295739</v>
      </c>
      <c r="T2477" t="s">
        <v>290</v>
      </c>
      <c r="U2477">
        <v>130.6177318295739</v>
      </c>
      <c r="V2477">
        <v>43.733464606512037</v>
      </c>
      <c r="W2477">
        <v>2.4042644647868401</v>
      </c>
      <c r="X2477" t="s">
        <v>291</v>
      </c>
      <c r="Y2477">
        <v>10</v>
      </c>
      <c r="Z2477">
        <v>0.26592676994077491</v>
      </c>
      <c r="AA2477">
        <v>1</v>
      </c>
    </row>
    <row r="2478" spans="1:27" hidden="1" x14ac:dyDescent="0.25">
      <c r="A2478" t="s">
        <v>98</v>
      </c>
      <c r="B2478" t="s">
        <v>1374</v>
      </c>
      <c r="D2478" t="s">
        <v>1722</v>
      </c>
      <c r="E2478" t="s">
        <v>284</v>
      </c>
      <c r="F2478" t="s">
        <v>365</v>
      </c>
      <c r="G2478" t="s">
        <v>103</v>
      </c>
      <c r="H2478" t="s">
        <v>104</v>
      </c>
      <c r="I2478">
        <v>2024</v>
      </c>
      <c r="J2478" t="s">
        <v>374</v>
      </c>
      <c r="K2478" t="s">
        <v>106</v>
      </c>
      <c r="L2478" t="s">
        <v>2842</v>
      </c>
      <c r="M2478" t="s">
        <v>2882</v>
      </c>
      <c r="N2478">
        <v>1</v>
      </c>
      <c r="O2478">
        <v>2024</v>
      </c>
      <c r="P2478">
        <v>34.353918735727063</v>
      </c>
      <c r="Q2478">
        <v>1.893397965391721</v>
      </c>
      <c r="R2478" t="s">
        <v>289</v>
      </c>
      <c r="S2478">
        <v>115.45533602622641</v>
      </c>
      <c r="T2478" t="s">
        <v>290</v>
      </c>
      <c r="U2478">
        <v>115.45533602622641</v>
      </c>
      <c r="V2478">
        <v>34.353918735727063</v>
      </c>
      <c r="W2478">
        <v>1.893397965391721</v>
      </c>
      <c r="X2478" t="s">
        <v>291</v>
      </c>
      <c r="Y2478">
        <v>10</v>
      </c>
      <c r="Z2478">
        <v>0.26592676994077491</v>
      </c>
      <c r="AA2478">
        <v>1</v>
      </c>
    </row>
    <row r="2479" spans="1:27" hidden="1" x14ac:dyDescent="0.25">
      <c r="A2479" t="s">
        <v>98</v>
      </c>
      <c r="B2479" t="s">
        <v>1374</v>
      </c>
      <c r="D2479" t="s">
        <v>1722</v>
      </c>
      <c r="E2479" t="s">
        <v>284</v>
      </c>
      <c r="F2479" t="s">
        <v>365</v>
      </c>
      <c r="G2479" t="s">
        <v>112</v>
      </c>
      <c r="H2479" t="s">
        <v>104</v>
      </c>
      <c r="I2479">
        <v>2024</v>
      </c>
      <c r="J2479" t="s">
        <v>376</v>
      </c>
      <c r="K2479" t="s">
        <v>106</v>
      </c>
      <c r="L2479" t="s">
        <v>2842</v>
      </c>
      <c r="M2479" t="s">
        <v>2883</v>
      </c>
      <c r="N2479">
        <v>1</v>
      </c>
      <c r="O2479">
        <v>2024</v>
      </c>
      <c r="P2479">
        <v>43.733464606512037</v>
      </c>
      <c r="Q2479">
        <v>2.4042644647868401</v>
      </c>
      <c r="R2479" t="s">
        <v>289</v>
      </c>
      <c r="S2479">
        <v>130.6177318295739</v>
      </c>
      <c r="T2479" t="s">
        <v>290</v>
      </c>
      <c r="U2479">
        <v>130.6177318295739</v>
      </c>
      <c r="V2479">
        <v>43.733464606512037</v>
      </c>
      <c r="W2479">
        <v>2.4042644647868401</v>
      </c>
      <c r="X2479" t="s">
        <v>291</v>
      </c>
      <c r="Y2479">
        <v>10</v>
      </c>
      <c r="Z2479">
        <v>0.26592676994077491</v>
      </c>
      <c r="AA2479">
        <v>1</v>
      </c>
    </row>
    <row r="2480" spans="1:27" hidden="1" x14ac:dyDescent="0.25">
      <c r="A2480" t="s">
        <v>98</v>
      </c>
      <c r="B2480" t="s">
        <v>1374</v>
      </c>
      <c r="D2480" t="s">
        <v>1722</v>
      </c>
      <c r="E2480" t="s">
        <v>284</v>
      </c>
      <c r="F2480" t="s">
        <v>365</v>
      </c>
      <c r="G2480" t="s">
        <v>103</v>
      </c>
      <c r="H2480" t="s">
        <v>104</v>
      </c>
      <c r="I2480">
        <v>2025</v>
      </c>
      <c r="J2480" t="s">
        <v>378</v>
      </c>
      <c r="K2480" t="s">
        <v>106</v>
      </c>
      <c r="L2480" t="s">
        <v>2842</v>
      </c>
      <c r="M2480" t="s">
        <v>2884</v>
      </c>
      <c r="N2480">
        <v>1</v>
      </c>
      <c r="O2480">
        <v>2025</v>
      </c>
      <c r="P2480">
        <v>34.353918735727063</v>
      </c>
      <c r="Q2480">
        <v>1.893397965391721</v>
      </c>
      <c r="R2480" t="s">
        <v>289</v>
      </c>
      <c r="S2480">
        <v>115.45533602622641</v>
      </c>
      <c r="T2480" t="s">
        <v>290</v>
      </c>
      <c r="U2480">
        <v>115.45533602622641</v>
      </c>
      <c r="V2480">
        <v>34.353918735727063</v>
      </c>
      <c r="W2480">
        <v>1.893397965391721</v>
      </c>
      <c r="X2480" t="s">
        <v>291</v>
      </c>
      <c r="Y2480">
        <v>10</v>
      </c>
      <c r="Z2480">
        <v>0.26592676994077491</v>
      </c>
      <c r="AA2480">
        <v>1</v>
      </c>
    </row>
    <row r="2481" spans="1:27" hidden="1" x14ac:dyDescent="0.25">
      <c r="A2481" t="s">
        <v>98</v>
      </c>
      <c r="B2481" t="s">
        <v>1374</v>
      </c>
      <c r="D2481" t="s">
        <v>1722</v>
      </c>
      <c r="E2481" t="s">
        <v>284</v>
      </c>
      <c r="F2481" t="s">
        <v>365</v>
      </c>
      <c r="G2481" t="s">
        <v>112</v>
      </c>
      <c r="H2481" t="s">
        <v>104</v>
      </c>
      <c r="I2481">
        <v>2025</v>
      </c>
      <c r="J2481" t="s">
        <v>380</v>
      </c>
      <c r="K2481" t="s">
        <v>106</v>
      </c>
      <c r="L2481" t="s">
        <v>2842</v>
      </c>
      <c r="M2481" t="s">
        <v>2885</v>
      </c>
      <c r="N2481">
        <v>1</v>
      </c>
      <c r="O2481">
        <v>2025</v>
      </c>
      <c r="P2481">
        <v>43.733464606512037</v>
      </c>
      <c r="Q2481">
        <v>2.4042644647868401</v>
      </c>
      <c r="R2481" t="s">
        <v>289</v>
      </c>
      <c r="S2481">
        <v>130.6177318295739</v>
      </c>
      <c r="T2481" t="s">
        <v>290</v>
      </c>
      <c r="U2481">
        <v>130.6177318295739</v>
      </c>
      <c r="V2481">
        <v>43.733464606512037</v>
      </c>
      <c r="W2481">
        <v>2.4042644647868401</v>
      </c>
      <c r="X2481" t="s">
        <v>291</v>
      </c>
      <c r="Y2481">
        <v>10</v>
      </c>
      <c r="Z2481">
        <v>0.26592676994077491</v>
      </c>
      <c r="AA2481">
        <v>1</v>
      </c>
    </row>
    <row r="2482" spans="1:27" hidden="1" x14ac:dyDescent="0.25">
      <c r="A2482" t="s">
        <v>98</v>
      </c>
      <c r="B2482" t="s">
        <v>1374</v>
      </c>
      <c r="D2482" t="s">
        <v>1722</v>
      </c>
      <c r="E2482" t="s">
        <v>284</v>
      </c>
      <c r="F2482" t="s">
        <v>365</v>
      </c>
      <c r="G2482" t="s">
        <v>103</v>
      </c>
      <c r="H2482" t="s">
        <v>104</v>
      </c>
      <c r="I2482">
        <v>2026</v>
      </c>
      <c r="J2482" t="s">
        <v>382</v>
      </c>
      <c r="K2482" t="s">
        <v>106</v>
      </c>
      <c r="L2482" t="s">
        <v>2842</v>
      </c>
      <c r="M2482" t="s">
        <v>2886</v>
      </c>
      <c r="N2482">
        <v>1</v>
      </c>
      <c r="O2482">
        <v>2026</v>
      </c>
      <c r="P2482">
        <v>34.353918735727063</v>
      </c>
      <c r="Q2482">
        <v>1.893397965391721</v>
      </c>
      <c r="R2482" t="s">
        <v>289</v>
      </c>
      <c r="S2482">
        <v>115.45533602622641</v>
      </c>
      <c r="T2482" t="s">
        <v>290</v>
      </c>
      <c r="U2482">
        <v>115.45533602622641</v>
      </c>
      <c r="V2482">
        <v>34.353918735727063</v>
      </c>
      <c r="W2482">
        <v>1.893397965391721</v>
      </c>
      <c r="X2482" t="s">
        <v>291</v>
      </c>
      <c r="Y2482">
        <v>10</v>
      </c>
      <c r="Z2482">
        <v>0.26592676994077491</v>
      </c>
      <c r="AA2482">
        <v>1</v>
      </c>
    </row>
    <row r="2483" spans="1:27" hidden="1" x14ac:dyDescent="0.25">
      <c r="A2483" t="s">
        <v>98</v>
      </c>
      <c r="B2483" t="s">
        <v>1374</v>
      </c>
      <c r="D2483" t="s">
        <v>1722</v>
      </c>
      <c r="E2483" t="s">
        <v>284</v>
      </c>
      <c r="F2483" t="s">
        <v>365</v>
      </c>
      <c r="G2483" t="s">
        <v>112</v>
      </c>
      <c r="H2483" t="s">
        <v>104</v>
      </c>
      <c r="I2483">
        <v>2026</v>
      </c>
      <c r="J2483" t="s">
        <v>384</v>
      </c>
      <c r="K2483" t="s">
        <v>106</v>
      </c>
      <c r="L2483" t="s">
        <v>2842</v>
      </c>
      <c r="M2483" t="s">
        <v>2887</v>
      </c>
      <c r="N2483">
        <v>1</v>
      </c>
      <c r="O2483">
        <v>2026</v>
      </c>
      <c r="P2483">
        <v>43.733464606512037</v>
      </c>
      <c r="Q2483">
        <v>2.4042644647868401</v>
      </c>
      <c r="R2483" t="s">
        <v>289</v>
      </c>
      <c r="S2483">
        <v>130.6177318295739</v>
      </c>
      <c r="T2483" t="s">
        <v>290</v>
      </c>
      <c r="U2483">
        <v>130.6177318295739</v>
      </c>
      <c r="V2483">
        <v>43.733464606512037</v>
      </c>
      <c r="W2483">
        <v>2.4042644647868401</v>
      </c>
      <c r="X2483" t="s">
        <v>291</v>
      </c>
      <c r="Y2483">
        <v>10</v>
      </c>
      <c r="Z2483">
        <v>0.26592676994077491</v>
      </c>
      <c r="AA2483">
        <v>1</v>
      </c>
    </row>
    <row r="2484" spans="1:27" hidden="1" x14ac:dyDescent="0.25">
      <c r="A2484" t="s">
        <v>98</v>
      </c>
      <c r="B2484" t="s">
        <v>1374</v>
      </c>
      <c r="D2484" t="s">
        <v>1722</v>
      </c>
      <c r="E2484" t="s">
        <v>284</v>
      </c>
      <c r="F2484" t="s">
        <v>365</v>
      </c>
      <c r="G2484" t="s">
        <v>103</v>
      </c>
      <c r="H2484" t="s">
        <v>104</v>
      </c>
      <c r="I2484">
        <v>2027</v>
      </c>
      <c r="J2484" t="s">
        <v>386</v>
      </c>
      <c r="K2484" t="s">
        <v>106</v>
      </c>
      <c r="L2484" t="s">
        <v>2842</v>
      </c>
      <c r="M2484" t="s">
        <v>2888</v>
      </c>
      <c r="N2484">
        <v>1</v>
      </c>
      <c r="O2484">
        <v>2027</v>
      </c>
      <c r="P2484">
        <v>34.353918735727063</v>
      </c>
      <c r="Q2484">
        <v>1.893397965391721</v>
      </c>
      <c r="R2484" t="s">
        <v>289</v>
      </c>
      <c r="S2484">
        <v>115.45533602622641</v>
      </c>
      <c r="T2484" t="s">
        <v>290</v>
      </c>
      <c r="U2484">
        <v>115.45533602622641</v>
      </c>
      <c r="V2484">
        <v>34.353918735727063</v>
      </c>
      <c r="W2484">
        <v>1.893397965391721</v>
      </c>
      <c r="X2484" t="s">
        <v>291</v>
      </c>
      <c r="Y2484">
        <v>10</v>
      </c>
      <c r="Z2484">
        <v>0.26592676994077491</v>
      </c>
      <c r="AA2484">
        <v>1</v>
      </c>
    </row>
    <row r="2485" spans="1:27" hidden="1" x14ac:dyDescent="0.25">
      <c r="A2485" t="s">
        <v>98</v>
      </c>
      <c r="B2485" t="s">
        <v>1374</v>
      </c>
      <c r="D2485" t="s">
        <v>1722</v>
      </c>
      <c r="E2485" t="s">
        <v>284</v>
      </c>
      <c r="F2485" t="s">
        <v>365</v>
      </c>
      <c r="G2485" t="s">
        <v>112</v>
      </c>
      <c r="H2485" t="s">
        <v>104</v>
      </c>
      <c r="I2485">
        <v>2027</v>
      </c>
      <c r="J2485" t="s">
        <v>388</v>
      </c>
      <c r="K2485" t="s">
        <v>106</v>
      </c>
      <c r="L2485" t="s">
        <v>2842</v>
      </c>
      <c r="M2485" t="s">
        <v>2889</v>
      </c>
      <c r="N2485">
        <v>1</v>
      </c>
      <c r="O2485">
        <v>2027</v>
      </c>
      <c r="P2485">
        <v>43.733464606512037</v>
      </c>
      <c r="Q2485">
        <v>2.4042644647868401</v>
      </c>
      <c r="R2485" t="s">
        <v>289</v>
      </c>
      <c r="S2485">
        <v>130.6177318295739</v>
      </c>
      <c r="T2485" t="s">
        <v>290</v>
      </c>
      <c r="U2485">
        <v>130.6177318295739</v>
      </c>
      <c r="V2485">
        <v>43.733464606512037</v>
      </c>
      <c r="W2485">
        <v>2.4042644647868401</v>
      </c>
      <c r="X2485" t="s">
        <v>291</v>
      </c>
      <c r="Y2485">
        <v>10</v>
      </c>
      <c r="Z2485">
        <v>0.26592676994077491</v>
      </c>
      <c r="AA2485">
        <v>1</v>
      </c>
    </row>
    <row r="2486" spans="1:27" hidden="1" x14ac:dyDescent="0.25">
      <c r="A2486" t="s">
        <v>98</v>
      </c>
      <c r="B2486" t="s">
        <v>1374</v>
      </c>
      <c r="D2486" t="s">
        <v>1722</v>
      </c>
      <c r="E2486" t="s">
        <v>284</v>
      </c>
      <c r="F2486" t="s">
        <v>365</v>
      </c>
      <c r="G2486" t="s">
        <v>103</v>
      </c>
      <c r="H2486" t="s">
        <v>104</v>
      </c>
      <c r="I2486">
        <v>2028</v>
      </c>
      <c r="J2486" t="s">
        <v>390</v>
      </c>
      <c r="K2486" t="s">
        <v>106</v>
      </c>
      <c r="L2486" t="s">
        <v>2842</v>
      </c>
      <c r="M2486" t="s">
        <v>2890</v>
      </c>
      <c r="N2486">
        <v>1</v>
      </c>
      <c r="O2486">
        <v>2028</v>
      </c>
      <c r="P2486">
        <v>34.353918735727063</v>
      </c>
      <c r="Q2486">
        <v>1.893397965391721</v>
      </c>
      <c r="R2486" t="s">
        <v>289</v>
      </c>
      <c r="S2486">
        <v>115.45533602622641</v>
      </c>
      <c r="T2486" t="s">
        <v>290</v>
      </c>
      <c r="U2486">
        <v>115.45533602622641</v>
      </c>
      <c r="V2486">
        <v>34.353918735727063</v>
      </c>
      <c r="W2486">
        <v>1.893397965391721</v>
      </c>
      <c r="X2486" t="s">
        <v>291</v>
      </c>
      <c r="Y2486">
        <v>10</v>
      </c>
      <c r="Z2486">
        <v>0.26592676994077491</v>
      </c>
      <c r="AA2486">
        <v>1</v>
      </c>
    </row>
    <row r="2487" spans="1:27" hidden="1" x14ac:dyDescent="0.25">
      <c r="A2487" t="s">
        <v>98</v>
      </c>
      <c r="B2487" t="s">
        <v>1374</v>
      </c>
      <c r="D2487" t="s">
        <v>1722</v>
      </c>
      <c r="E2487" t="s">
        <v>284</v>
      </c>
      <c r="F2487" t="s">
        <v>365</v>
      </c>
      <c r="G2487" t="s">
        <v>112</v>
      </c>
      <c r="H2487" t="s">
        <v>104</v>
      </c>
      <c r="I2487">
        <v>2028</v>
      </c>
      <c r="J2487" t="s">
        <v>392</v>
      </c>
      <c r="K2487" t="s">
        <v>106</v>
      </c>
      <c r="L2487" t="s">
        <v>2842</v>
      </c>
      <c r="M2487" t="s">
        <v>2891</v>
      </c>
      <c r="N2487">
        <v>1</v>
      </c>
      <c r="O2487">
        <v>2028</v>
      </c>
      <c r="P2487">
        <v>43.733464606512037</v>
      </c>
      <c r="Q2487">
        <v>2.4042644647868401</v>
      </c>
      <c r="R2487" t="s">
        <v>289</v>
      </c>
      <c r="S2487">
        <v>130.6177318295739</v>
      </c>
      <c r="T2487" t="s">
        <v>290</v>
      </c>
      <c r="U2487">
        <v>130.6177318295739</v>
      </c>
      <c r="V2487">
        <v>43.733464606512037</v>
      </c>
      <c r="W2487">
        <v>2.4042644647868401</v>
      </c>
      <c r="X2487" t="s">
        <v>291</v>
      </c>
      <c r="Y2487">
        <v>10</v>
      </c>
      <c r="Z2487">
        <v>0.26592676994077491</v>
      </c>
      <c r="AA2487">
        <v>1</v>
      </c>
    </row>
    <row r="2488" spans="1:27" hidden="1" x14ac:dyDescent="0.25">
      <c r="A2488" t="s">
        <v>98</v>
      </c>
      <c r="B2488" t="s">
        <v>1374</v>
      </c>
      <c r="D2488" t="s">
        <v>1722</v>
      </c>
      <c r="E2488" t="s">
        <v>284</v>
      </c>
      <c r="F2488" t="s">
        <v>365</v>
      </c>
      <c r="G2488" t="s">
        <v>103</v>
      </c>
      <c r="H2488" t="s">
        <v>104</v>
      </c>
      <c r="I2488">
        <v>2029</v>
      </c>
      <c r="J2488" t="s">
        <v>394</v>
      </c>
      <c r="K2488" t="s">
        <v>106</v>
      </c>
      <c r="L2488" t="s">
        <v>2842</v>
      </c>
      <c r="M2488" t="s">
        <v>2892</v>
      </c>
      <c r="N2488">
        <v>1</v>
      </c>
      <c r="O2488">
        <v>2029</v>
      </c>
      <c r="P2488">
        <v>34.353918735727063</v>
      </c>
      <c r="Q2488">
        <v>1.893397965391721</v>
      </c>
      <c r="R2488" t="s">
        <v>289</v>
      </c>
      <c r="S2488">
        <v>115.45533602622641</v>
      </c>
      <c r="T2488" t="s">
        <v>290</v>
      </c>
      <c r="U2488">
        <v>115.45533602622641</v>
      </c>
      <c r="V2488">
        <v>34.353918735727063</v>
      </c>
      <c r="W2488">
        <v>1.893397965391721</v>
      </c>
      <c r="X2488" t="s">
        <v>291</v>
      </c>
      <c r="Y2488">
        <v>10</v>
      </c>
      <c r="Z2488">
        <v>0.26592676994077491</v>
      </c>
      <c r="AA2488">
        <v>1</v>
      </c>
    </row>
    <row r="2489" spans="1:27" hidden="1" x14ac:dyDescent="0.25">
      <c r="A2489" t="s">
        <v>98</v>
      </c>
      <c r="B2489" t="s">
        <v>1374</v>
      </c>
      <c r="D2489" t="s">
        <v>1722</v>
      </c>
      <c r="E2489" t="s">
        <v>284</v>
      </c>
      <c r="F2489" t="s">
        <v>365</v>
      </c>
      <c r="G2489" t="s">
        <v>112</v>
      </c>
      <c r="H2489" t="s">
        <v>104</v>
      </c>
      <c r="I2489">
        <v>2029</v>
      </c>
      <c r="J2489" t="s">
        <v>396</v>
      </c>
      <c r="K2489" t="s">
        <v>106</v>
      </c>
      <c r="L2489" t="s">
        <v>2842</v>
      </c>
      <c r="M2489" t="s">
        <v>2893</v>
      </c>
      <c r="N2489">
        <v>1</v>
      </c>
      <c r="O2489">
        <v>2029</v>
      </c>
      <c r="P2489">
        <v>43.733464606512037</v>
      </c>
      <c r="Q2489">
        <v>2.4042644647868401</v>
      </c>
      <c r="R2489" t="s">
        <v>289</v>
      </c>
      <c r="S2489">
        <v>130.6177318295739</v>
      </c>
      <c r="T2489" t="s">
        <v>290</v>
      </c>
      <c r="U2489">
        <v>130.6177318295739</v>
      </c>
      <c r="V2489">
        <v>43.733464606512037</v>
      </c>
      <c r="W2489">
        <v>2.4042644647868401</v>
      </c>
      <c r="X2489" t="s">
        <v>291</v>
      </c>
      <c r="Y2489">
        <v>10</v>
      </c>
      <c r="Z2489">
        <v>0.26592676994077491</v>
      </c>
      <c r="AA2489">
        <v>1</v>
      </c>
    </row>
    <row r="2490" spans="1:27" hidden="1" x14ac:dyDescent="0.25">
      <c r="A2490" t="s">
        <v>98</v>
      </c>
      <c r="B2490" t="s">
        <v>1374</v>
      </c>
      <c r="D2490" t="s">
        <v>1722</v>
      </c>
      <c r="E2490" t="s">
        <v>284</v>
      </c>
      <c r="F2490" t="s">
        <v>355</v>
      </c>
      <c r="G2490" t="s">
        <v>103</v>
      </c>
      <c r="H2490" t="s">
        <v>104</v>
      </c>
      <c r="I2490">
        <v>2030</v>
      </c>
      <c r="J2490" t="s">
        <v>398</v>
      </c>
      <c r="K2490" t="s">
        <v>106</v>
      </c>
      <c r="L2490" t="s">
        <v>2842</v>
      </c>
      <c r="M2490" t="s">
        <v>2894</v>
      </c>
      <c r="N2490">
        <v>1</v>
      </c>
      <c r="O2490">
        <v>2030</v>
      </c>
      <c r="P2490">
        <v>22.026606087295281</v>
      </c>
      <c r="Q2490">
        <v>0.67594869632979349</v>
      </c>
      <c r="R2490" t="s">
        <v>289</v>
      </c>
      <c r="S2490">
        <v>87.209325187237212</v>
      </c>
      <c r="T2490" t="s">
        <v>290</v>
      </c>
      <c r="U2490">
        <v>87.209325187237212</v>
      </c>
      <c r="V2490">
        <v>22.026606087295281</v>
      </c>
      <c r="W2490">
        <v>0.67594869632979349</v>
      </c>
      <c r="X2490" t="s">
        <v>291</v>
      </c>
      <c r="Y2490">
        <v>10</v>
      </c>
      <c r="Z2490">
        <v>0.26592676994077491</v>
      </c>
      <c r="AA2490">
        <v>1</v>
      </c>
    </row>
    <row r="2491" spans="1:27" hidden="1" x14ac:dyDescent="0.25">
      <c r="A2491" t="s">
        <v>98</v>
      </c>
      <c r="B2491" t="s">
        <v>1374</v>
      </c>
      <c r="D2491" t="s">
        <v>1722</v>
      </c>
      <c r="E2491" t="s">
        <v>284</v>
      </c>
      <c r="F2491" t="s">
        <v>355</v>
      </c>
      <c r="G2491" t="s">
        <v>112</v>
      </c>
      <c r="H2491" t="s">
        <v>104</v>
      </c>
      <c r="I2491">
        <v>2030</v>
      </c>
      <c r="J2491" t="s">
        <v>400</v>
      </c>
      <c r="K2491" t="s">
        <v>106</v>
      </c>
      <c r="L2491" t="s">
        <v>2842</v>
      </c>
      <c r="M2491" t="s">
        <v>2895</v>
      </c>
      <c r="N2491">
        <v>1</v>
      </c>
      <c r="O2491">
        <v>2030</v>
      </c>
      <c r="P2491">
        <v>23.051216439564651</v>
      </c>
      <c r="Q2491">
        <v>0.88782640486853737</v>
      </c>
      <c r="R2491" t="s">
        <v>289</v>
      </c>
      <c r="S2491">
        <v>87.494679062376832</v>
      </c>
      <c r="T2491" t="s">
        <v>290</v>
      </c>
      <c r="U2491">
        <v>87.494679062376832</v>
      </c>
      <c r="V2491">
        <v>23.051216439564651</v>
      </c>
      <c r="W2491">
        <v>0.88782640486853737</v>
      </c>
      <c r="X2491" t="s">
        <v>291</v>
      </c>
      <c r="Y2491">
        <v>10</v>
      </c>
      <c r="Z2491">
        <v>0.26592676994077491</v>
      </c>
      <c r="AA2491">
        <v>1</v>
      </c>
    </row>
    <row r="2492" spans="1:27" hidden="1" x14ac:dyDescent="0.25">
      <c r="A2492" t="s">
        <v>98</v>
      </c>
      <c r="B2492" t="s">
        <v>1374</v>
      </c>
      <c r="D2492" t="s">
        <v>1722</v>
      </c>
      <c r="E2492" t="s">
        <v>284</v>
      </c>
      <c r="F2492" t="s">
        <v>360</v>
      </c>
      <c r="G2492" t="s">
        <v>103</v>
      </c>
      <c r="H2492" t="s">
        <v>104</v>
      </c>
      <c r="I2492">
        <v>2030</v>
      </c>
      <c r="J2492" t="s">
        <v>402</v>
      </c>
      <c r="K2492" t="s">
        <v>106</v>
      </c>
      <c r="L2492" t="s">
        <v>2842</v>
      </c>
      <c r="M2492" t="s">
        <v>2896</v>
      </c>
      <c r="N2492">
        <v>1</v>
      </c>
      <c r="O2492">
        <v>2030</v>
      </c>
      <c r="P2492">
        <v>32.03338343675982</v>
      </c>
      <c r="Q2492">
        <v>0.74367453538487105</v>
      </c>
      <c r="R2492" t="s">
        <v>289</v>
      </c>
      <c r="S2492">
        <v>80.816288888888892</v>
      </c>
      <c r="T2492" t="s">
        <v>290</v>
      </c>
      <c r="U2492">
        <v>80.816288888888892</v>
      </c>
      <c r="V2492">
        <v>32.03338343675982</v>
      </c>
      <c r="W2492">
        <v>0.74367453538487105</v>
      </c>
      <c r="X2492" t="s">
        <v>291</v>
      </c>
      <c r="Y2492">
        <v>10</v>
      </c>
      <c r="Z2492">
        <v>0.26592676994077491</v>
      </c>
      <c r="AA2492">
        <v>1</v>
      </c>
    </row>
    <row r="2493" spans="1:27" hidden="1" x14ac:dyDescent="0.25">
      <c r="A2493" t="s">
        <v>98</v>
      </c>
      <c r="B2493" t="s">
        <v>1374</v>
      </c>
      <c r="D2493" t="s">
        <v>1722</v>
      </c>
      <c r="E2493" t="s">
        <v>284</v>
      </c>
      <c r="F2493" t="s">
        <v>360</v>
      </c>
      <c r="G2493" t="s">
        <v>112</v>
      </c>
      <c r="H2493" t="s">
        <v>104</v>
      </c>
      <c r="I2493">
        <v>2030</v>
      </c>
      <c r="J2493" t="s">
        <v>404</v>
      </c>
      <c r="K2493" t="s">
        <v>106</v>
      </c>
      <c r="L2493" t="s">
        <v>2842</v>
      </c>
      <c r="M2493" t="s">
        <v>2897</v>
      </c>
      <c r="N2493">
        <v>1</v>
      </c>
      <c r="O2493">
        <v>2030</v>
      </c>
      <c r="P2493">
        <v>30.04097222030375</v>
      </c>
      <c r="Q2493">
        <v>1.0503155304453009</v>
      </c>
      <c r="R2493" t="s">
        <v>289</v>
      </c>
      <c r="S2493">
        <v>90.329273504273502</v>
      </c>
      <c r="T2493" t="s">
        <v>290</v>
      </c>
      <c r="U2493">
        <v>90.329273504273502</v>
      </c>
      <c r="V2493">
        <v>30.04097222030375</v>
      </c>
      <c r="W2493">
        <v>1.0503155304453009</v>
      </c>
      <c r="X2493" t="s">
        <v>291</v>
      </c>
      <c r="Y2493">
        <v>10</v>
      </c>
      <c r="Z2493">
        <v>0.26592676994077491</v>
      </c>
      <c r="AA2493">
        <v>1</v>
      </c>
    </row>
    <row r="2494" spans="1:27" hidden="1" x14ac:dyDescent="0.25">
      <c r="A2494" t="s">
        <v>98</v>
      </c>
      <c r="B2494" t="s">
        <v>1374</v>
      </c>
      <c r="D2494" t="s">
        <v>1722</v>
      </c>
      <c r="E2494" t="s">
        <v>284</v>
      </c>
      <c r="F2494" t="s">
        <v>365</v>
      </c>
      <c r="G2494" t="s">
        <v>103</v>
      </c>
      <c r="H2494" t="s">
        <v>104</v>
      </c>
      <c r="I2494">
        <v>2030</v>
      </c>
      <c r="J2494" t="s">
        <v>406</v>
      </c>
      <c r="K2494" t="s">
        <v>106</v>
      </c>
      <c r="L2494" t="s">
        <v>2842</v>
      </c>
      <c r="M2494" t="s">
        <v>2898</v>
      </c>
      <c r="N2494">
        <v>1</v>
      </c>
      <c r="O2494">
        <v>2030</v>
      </c>
      <c r="P2494">
        <v>23.710775767327672</v>
      </c>
      <c r="Q2494">
        <v>1.668845649337886</v>
      </c>
      <c r="R2494" t="s">
        <v>289</v>
      </c>
      <c r="S2494">
        <v>154.72558108377279</v>
      </c>
      <c r="T2494" t="s">
        <v>290</v>
      </c>
      <c r="U2494">
        <v>154.72558108377279</v>
      </c>
      <c r="V2494">
        <v>23.710775767327672</v>
      </c>
      <c r="W2494">
        <v>1.668845649337886</v>
      </c>
      <c r="X2494" t="s">
        <v>291</v>
      </c>
      <c r="Y2494">
        <v>10</v>
      </c>
      <c r="Z2494">
        <v>0.26592676994077491</v>
      </c>
      <c r="AA2494">
        <v>1</v>
      </c>
    </row>
    <row r="2495" spans="1:27" hidden="1" x14ac:dyDescent="0.25">
      <c r="A2495" t="s">
        <v>98</v>
      </c>
      <c r="B2495" t="s">
        <v>1374</v>
      </c>
      <c r="D2495" t="s">
        <v>1722</v>
      </c>
      <c r="E2495" t="s">
        <v>284</v>
      </c>
      <c r="F2495" t="s">
        <v>365</v>
      </c>
      <c r="G2495" t="s">
        <v>112</v>
      </c>
      <c r="H2495" t="s">
        <v>104</v>
      </c>
      <c r="I2495">
        <v>2030</v>
      </c>
      <c r="J2495" t="s">
        <v>408</v>
      </c>
      <c r="K2495" t="s">
        <v>106</v>
      </c>
      <c r="L2495" t="s">
        <v>2842</v>
      </c>
      <c r="M2495" t="s">
        <v>2899</v>
      </c>
      <c r="N2495">
        <v>1</v>
      </c>
      <c r="O2495">
        <v>2030</v>
      </c>
      <c r="P2495">
        <v>28.858905605402359</v>
      </c>
      <c r="Q2495">
        <v>2.128664396371156</v>
      </c>
      <c r="R2495" t="s">
        <v>289</v>
      </c>
      <c r="S2495">
        <v>176.3746647164572</v>
      </c>
      <c r="T2495" t="s">
        <v>290</v>
      </c>
      <c r="U2495">
        <v>176.3746647164572</v>
      </c>
      <c r="V2495">
        <v>28.858905605402359</v>
      </c>
      <c r="W2495">
        <v>2.128664396371156</v>
      </c>
      <c r="X2495" t="s">
        <v>291</v>
      </c>
      <c r="Y2495">
        <v>10</v>
      </c>
      <c r="Z2495">
        <v>0.26592676994077491</v>
      </c>
      <c r="AA2495">
        <v>1</v>
      </c>
    </row>
    <row r="2496" spans="1:27" hidden="1" x14ac:dyDescent="0.25">
      <c r="A2496" t="s">
        <v>98</v>
      </c>
      <c r="B2496" t="s">
        <v>1374</v>
      </c>
      <c r="D2496" t="s">
        <v>1722</v>
      </c>
      <c r="E2496" t="s">
        <v>284</v>
      </c>
      <c r="F2496" t="s">
        <v>355</v>
      </c>
      <c r="G2496" t="s">
        <v>103</v>
      </c>
      <c r="H2496" t="s">
        <v>104</v>
      </c>
      <c r="I2496">
        <v>2040</v>
      </c>
      <c r="J2496" t="s">
        <v>410</v>
      </c>
      <c r="K2496" t="s">
        <v>106</v>
      </c>
      <c r="L2496" t="s">
        <v>2842</v>
      </c>
      <c r="M2496" t="s">
        <v>2900</v>
      </c>
      <c r="N2496">
        <v>1</v>
      </c>
      <c r="O2496">
        <v>2040</v>
      </c>
      <c r="P2496">
        <v>22.159986853322259</v>
      </c>
      <c r="Q2496">
        <v>0.64769049265200085</v>
      </c>
      <c r="R2496" t="s">
        <v>289</v>
      </c>
      <c r="S2496">
        <v>85.846844985289152</v>
      </c>
      <c r="T2496" t="s">
        <v>290</v>
      </c>
      <c r="U2496">
        <v>85.846844985289152</v>
      </c>
      <c r="V2496">
        <v>22.159986853322259</v>
      </c>
      <c r="W2496">
        <v>0.64769049265200085</v>
      </c>
      <c r="X2496" t="s">
        <v>291</v>
      </c>
      <c r="Y2496">
        <v>10</v>
      </c>
      <c r="Z2496">
        <v>0.26592676994077491</v>
      </c>
      <c r="AA2496">
        <v>1</v>
      </c>
    </row>
    <row r="2497" spans="1:27" hidden="1" x14ac:dyDescent="0.25">
      <c r="A2497" t="s">
        <v>98</v>
      </c>
      <c r="B2497" t="s">
        <v>1374</v>
      </c>
      <c r="D2497" t="s">
        <v>1722</v>
      </c>
      <c r="E2497" t="s">
        <v>284</v>
      </c>
      <c r="F2497" t="s">
        <v>355</v>
      </c>
      <c r="G2497" t="s">
        <v>112</v>
      </c>
      <c r="H2497" t="s">
        <v>104</v>
      </c>
      <c r="I2497">
        <v>2040</v>
      </c>
      <c r="J2497" t="s">
        <v>412</v>
      </c>
      <c r="K2497" t="s">
        <v>106</v>
      </c>
      <c r="L2497" t="s">
        <v>2842</v>
      </c>
      <c r="M2497" t="s">
        <v>2901</v>
      </c>
      <c r="N2497">
        <v>1</v>
      </c>
      <c r="O2497">
        <v>2040</v>
      </c>
      <c r="P2497">
        <v>22.287209700822071</v>
      </c>
      <c r="Q2497">
        <v>0.78348370867951755</v>
      </c>
      <c r="R2497" t="s">
        <v>289</v>
      </c>
      <c r="S2497">
        <v>88.372750377742747</v>
      </c>
      <c r="T2497" t="s">
        <v>290</v>
      </c>
      <c r="U2497">
        <v>88.372750377742747</v>
      </c>
      <c r="V2497">
        <v>22.287209700822071</v>
      </c>
      <c r="W2497">
        <v>0.78348370867951755</v>
      </c>
      <c r="X2497" t="s">
        <v>291</v>
      </c>
      <c r="Y2497">
        <v>10</v>
      </c>
      <c r="Z2497">
        <v>0.26592676994077491</v>
      </c>
      <c r="AA2497">
        <v>1</v>
      </c>
    </row>
    <row r="2498" spans="1:27" hidden="1" x14ac:dyDescent="0.25">
      <c r="A2498" t="s">
        <v>98</v>
      </c>
      <c r="B2498" t="s">
        <v>1374</v>
      </c>
      <c r="D2498" t="s">
        <v>1722</v>
      </c>
      <c r="E2498" t="s">
        <v>284</v>
      </c>
      <c r="F2498" t="s">
        <v>360</v>
      </c>
      <c r="G2498" t="s">
        <v>103</v>
      </c>
      <c r="H2498" t="s">
        <v>104</v>
      </c>
      <c r="I2498">
        <v>2040</v>
      </c>
      <c r="J2498" t="s">
        <v>414</v>
      </c>
      <c r="K2498" t="s">
        <v>106</v>
      </c>
      <c r="L2498" t="s">
        <v>2842</v>
      </c>
      <c r="M2498" t="s">
        <v>2902</v>
      </c>
      <c r="N2498">
        <v>1</v>
      </c>
      <c r="O2498">
        <v>2040</v>
      </c>
      <c r="P2498">
        <v>28.721945226708339</v>
      </c>
      <c r="Q2498">
        <v>0.72978219131721256</v>
      </c>
      <c r="R2498" t="s">
        <v>289</v>
      </c>
      <c r="S2498">
        <v>80.816288888888892</v>
      </c>
      <c r="T2498" t="s">
        <v>290</v>
      </c>
      <c r="U2498">
        <v>80.816288888888892</v>
      </c>
      <c r="V2498">
        <v>28.721945226708339</v>
      </c>
      <c r="W2498">
        <v>0.72978219131721256</v>
      </c>
      <c r="X2498" t="s">
        <v>291</v>
      </c>
      <c r="Y2498">
        <v>10</v>
      </c>
      <c r="Z2498">
        <v>0.26592676994077491</v>
      </c>
      <c r="AA2498">
        <v>1</v>
      </c>
    </row>
    <row r="2499" spans="1:27" hidden="1" x14ac:dyDescent="0.25">
      <c r="A2499" t="s">
        <v>98</v>
      </c>
      <c r="B2499" t="s">
        <v>1374</v>
      </c>
      <c r="D2499" t="s">
        <v>1722</v>
      </c>
      <c r="E2499" t="s">
        <v>284</v>
      </c>
      <c r="F2499" t="s">
        <v>360</v>
      </c>
      <c r="G2499" t="s">
        <v>112</v>
      </c>
      <c r="H2499" t="s">
        <v>104</v>
      </c>
      <c r="I2499">
        <v>2040</v>
      </c>
      <c r="J2499" t="s">
        <v>416</v>
      </c>
      <c r="K2499" t="s">
        <v>106</v>
      </c>
      <c r="L2499" t="s">
        <v>2842</v>
      </c>
      <c r="M2499" t="s">
        <v>2903</v>
      </c>
      <c r="N2499">
        <v>1</v>
      </c>
      <c r="O2499">
        <v>2040</v>
      </c>
      <c r="P2499">
        <v>33.197275628385512</v>
      </c>
      <c r="Q2499">
        <v>1.1034319170477349</v>
      </c>
      <c r="R2499" t="s">
        <v>289</v>
      </c>
      <c r="S2499">
        <v>93.34643874643875</v>
      </c>
      <c r="T2499" t="s">
        <v>290</v>
      </c>
      <c r="U2499">
        <v>93.34643874643875</v>
      </c>
      <c r="V2499">
        <v>33.197275628385512</v>
      </c>
      <c r="W2499">
        <v>1.1034319170477349</v>
      </c>
      <c r="X2499" t="s">
        <v>291</v>
      </c>
      <c r="Y2499">
        <v>10</v>
      </c>
      <c r="Z2499">
        <v>0.26592676994077491</v>
      </c>
      <c r="AA2499">
        <v>1</v>
      </c>
    </row>
    <row r="2500" spans="1:27" hidden="1" x14ac:dyDescent="0.25">
      <c r="A2500" t="s">
        <v>98</v>
      </c>
      <c r="B2500" t="s">
        <v>1374</v>
      </c>
      <c r="D2500" t="s">
        <v>1722</v>
      </c>
      <c r="E2500" t="s">
        <v>284</v>
      </c>
      <c r="F2500" t="s">
        <v>365</v>
      </c>
      <c r="G2500" t="s">
        <v>103</v>
      </c>
      <c r="H2500" t="s">
        <v>104</v>
      </c>
      <c r="I2500">
        <v>2040</v>
      </c>
      <c r="J2500" t="s">
        <v>418</v>
      </c>
      <c r="K2500" t="s">
        <v>106</v>
      </c>
      <c r="L2500" t="s">
        <v>2842</v>
      </c>
      <c r="M2500" t="s">
        <v>2904</v>
      </c>
      <c r="N2500">
        <v>1</v>
      </c>
      <c r="O2500">
        <v>2040</v>
      </c>
      <c r="P2500">
        <v>22.333975775561878</v>
      </c>
      <c r="Q2500">
        <v>1.552983156443519</v>
      </c>
      <c r="R2500" t="s">
        <v>289</v>
      </c>
      <c r="S2500">
        <v>181.1420784222461</v>
      </c>
      <c r="T2500" t="s">
        <v>290</v>
      </c>
      <c r="U2500">
        <v>181.1420784222461</v>
      </c>
      <c r="V2500">
        <v>22.333975775561878</v>
      </c>
      <c r="W2500">
        <v>1.552983156443519</v>
      </c>
      <c r="X2500" t="s">
        <v>291</v>
      </c>
      <c r="Y2500">
        <v>10</v>
      </c>
      <c r="Z2500">
        <v>0.26592676994077491</v>
      </c>
      <c r="AA2500">
        <v>1</v>
      </c>
    </row>
    <row r="2501" spans="1:27" hidden="1" x14ac:dyDescent="0.25">
      <c r="A2501" t="s">
        <v>98</v>
      </c>
      <c r="B2501" t="s">
        <v>1374</v>
      </c>
      <c r="D2501" t="s">
        <v>1722</v>
      </c>
      <c r="E2501" t="s">
        <v>284</v>
      </c>
      <c r="F2501" t="s">
        <v>365</v>
      </c>
      <c r="G2501" t="s">
        <v>112</v>
      </c>
      <c r="H2501" t="s">
        <v>104</v>
      </c>
      <c r="I2501">
        <v>2040</v>
      </c>
      <c r="J2501" t="s">
        <v>420</v>
      </c>
      <c r="K2501" t="s">
        <v>106</v>
      </c>
      <c r="L2501" t="s">
        <v>2842</v>
      </c>
      <c r="M2501" t="s">
        <v>2905</v>
      </c>
      <c r="N2501">
        <v>1</v>
      </c>
      <c r="O2501">
        <v>2040</v>
      </c>
      <c r="P2501">
        <v>27.009726996743201</v>
      </c>
      <c r="Q2501">
        <v>1.971842815426603</v>
      </c>
      <c r="R2501" t="s">
        <v>289</v>
      </c>
      <c r="S2501">
        <v>206.50467814395611</v>
      </c>
      <c r="T2501" t="s">
        <v>290</v>
      </c>
      <c r="U2501">
        <v>206.50467814395611</v>
      </c>
      <c r="V2501">
        <v>27.009726996743201</v>
      </c>
      <c r="W2501">
        <v>1.971842815426603</v>
      </c>
      <c r="X2501" t="s">
        <v>291</v>
      </c>
      <c r="Y2501">
        <v>10</v>
      </c>
      <c r="Z2501">
        <v>0.26592676994077491</v>
      </c>
      <c r="AA2501">
        <v>1</v>
      </c>
    </row>
    <row r="2502" spans="1:27" hidden="1" x14ac:dyDescent="0.25">
      <c r="A2502" t="s">
        <v>98</v>
      </c>
      <c r="B2502" t="s">
        <v>1374</v>
      </c>
      <c r="D2502" t="s">
        <v>1722</v>
      </c>
      <c r="E2502" t="s">
        <v>284</v>
      </c>
      <c r="F2502" t="s">
        <v>422</v>
      </c>
      <c r="G2502" t="s">
        <v>103</v>
      </c>
      <c r="H2502" t="s">
        <v>104</v>
      </c>
      <c r="I2502">
        <v>2022</v>
      </c>
      <c r="J2502" t="s">
        <v>423</v>
      </c>
      <c r="K2502" t="s">
        <v>106</v>
      </c>
      <c r="L2502" t="s">
        <v>2842</v>
      </c>
      <c r="M2502" t="s">
        <v>2906</v>
      </c>
      <c r="N2502">
        <v>1</v>
      </c>
      <c r="O2502">
        <v>2020</v>
      </c>
      <c r="P2502">
        <v>22.570490905245428</v>
      </c>
      <c r="Q2502">
        <v>0.77947598919167282</v>
      </c>
      <c r="R2502" t="s">
        <v>289</v>
      </c>
      <c r="S2502">
        <v>59.465873015873022</v>
      </c>
      <c r="T2502" t="s">
        <v>290</v>
      </c>
      <c r="U2502">
        <v>59.465873015873022</v>
      </c>
      <c r="V2502">
        <v>22.570490905245428</v>
      </c>
      <c r="W2502">
        <v>0.77947598919167282</v>
      </c>
      <c r="X2502" t="s">
        <v>291</v>
      </c>
      <c r="Y2502">
        <v>10</v>
      </c>
      <c r="Z2502">
        <v>0.26592676994077491</v>
      </c>
      <c r="AA2502">
        <v>1</v>
      </c>
    </row>
    <row r="2503" spans="1:27" hidden="1" x14ac:dyDescent="0.25">
      <c r="A2503" t="s">
        <v>98</v>
      </c>
      <c r="B2503" t="s">
        <v>1374</v>
      </c>
      <c r="D2503" t="s">
        <v>1722</v>
      </c>
      <c r="E2503" t="s">
        <v>284</v>
      </c>
      <c r="F2503" t="s">
        <v>425</v>
      </c>
      <c r="G2503" t="s">
        <v>103</v>
      </c>
      <c r="H2503" t="s">
        <v>104</v>
      </c>
      <c r="I2503">
        <v>2022</v>
      </c>
      <c r="J2503" t="s">
        <v>426</v>
      </c>
      <c r="K2503" t="s">
        <v>106</v>
      </c>
      <c r="L2503" t="s">
        <v>2842</v>
      </c>
      <c r="M2503" t="s">
        <v>2907</v>
      </c>
      <c r="N2503">
        <v>1</v>
      </c>
      <c r="O2503">
        <v>2020</v>
      </c>
      <c r="P2503">
        <v>20.699165146358741</v>
      </c>
      <c r="Q2503">
        <v>1.111231451610436</v>
      </c>
      <c r="R2503" t="s">
        <v>289</v>
      </c>
      <c r="S2503">
        <v>74.054444444444442</v>
      </c>
      <c r="T2503" t="s">
        <v>290</v>
      </c>
      <c r="U2503">
        <v>74.054444444444442</v>
      </c>
      <c r="V2503">
        <v>20.699165146358741</v>
      </c>
      <c r="W2503">
        <v>1.111231451610436</v>
      </c>
      <c r="X2503" t="s">
        <v>291</v>
      </c>
      <c r="Y2503">
        <v>10</v>
      </c>
      <c r="Z2503">
        <v>0.26592676994077491</v>
      </c>
      <c r="AA2503">
        <v>1</v>
      </c>
    </row>
    <row r="2504" spans="1:27" hidden="1" x14ac:dyDescent="0.25">
      <c r="A2504" t="s">
        <v>98</v>
      </c>
      <c r="B2504" t="s">
        <v>1374</v>
      </c>
      <c r="D2504" t="s">
        <v>1722</v>
      </c>
      <c r="E2504" t="s">
        <v>284</v>
      </c>
      <c r="F2504" t="s">
        <v>428</v>
      </c>
      <c r="G2504" t="s">
        <v>103</v>
      </c>
      <c r="H2504" t="s">
        <v>104</v>
      </c>
      <c r="I2504">
        <v>2022</v>
      </c>
      <c r="J2504" t="s">
        <v>429</v>
      </c>
      <c r="K2504" t="s">
        <v>106</v>
      </c>
      <c r="L2504" t="s">
        <v>2842</v>
      </c>
      <c r="M2504" t="s">
        <v>2908</v>
      </c>
      <c r="N2504">
        <v>1</v>
      </c>
      <c r="O2504">
        <v>2020</v>
      </c>
      <c r="P2504">
        <v>25.347672779313449</v>
      </c>
      <c r="Q2504">
        <v>0.56400508525842741</v>
      </c>
      <c r="R2504" t="s">
        <v>289</v>
      </c>
      <c r="S2504">
        <v>77.810944444444459</v>
      </c>
      <c r="T2504" t="s">
        <v>290</v>
      </c>
      <c r="U2504">
        <v>77.810944444444459</v>
      </c>
      <c r="V2504">
        <v>25.347672779313449</v>
      </c>
      <c r="W2504">
        <v>0.56400508525842741</v>
      </c>
      <c r="X2504" t="s">
        <v>291</v>
      </c>
      <c r="Y2504">
        <v>10</v>
      </c>
      <c r="Z2504">
        <v>0.26592676994077491</v>
      </c>
      <c r="AA2504">
        <v>1</v>
      </c>
    </row>
    <row r="2505" spans="1:27" hidden="1" x14ac:dyDescent="0.25">
      <c r="A2505" t="s">
        <v>98</v>
      </c>
      <c r="B2505" t="s">
        <v>1374</v>
      </c>
      <c r="D2505" t="s">
        <v>1722</v>
      </c>
      <c r="E2505" t="s">
        <v>284</v>
      </c>
      <c r="F2505" t="s">
        <v>425</v>
      </c>
      <c r="G2505" t="s">
        <v>103</v>
      </c>
      <c r="H2505" t="s">
        <v>104</v>
      </c>
      <c r="I2505">
        <v>2030</v>
      </c>
      <c r="J2505" t="s">
        <v>431</v>
      </c>
      <c r="K2505" t="s">
        <v>106</v>
      </c>
      <c r="L2505" t="s">
        <v>2842</v>
      </c>
      <c r="M2505" t="s">
        <v>2909</v>
      </c>
      <c r="N2505">
        <v>1</v>
      </c>
      <c r="O2505">
        <v>2030</v>
      </c>
      <c r="P2505">
        <v>20.230705085538521</v>
      </c>
      <c r="Q2505">
        <v>1.0951903363739519</v>
      </c>
      <c r="R2505" t="s">
        <v>289</v>
      </c>
      <c r="S2505">
        <v>79.81</v>
      </c>
      <c r="T2505" t="s">
        <v>290</v>
      </c>
      <c r="U2505">
        <v>79.81</v>
      </c>
      <c r="V2505">
        <v>20.230705085538521</v>
      </c>
      <c r="W2505">
        <v>1.0951903363739519</v>
      </c>
      <c r="X2505" t="s">
        <v>291</v>
      </c>
      <c r="Y2505">
        <v>10</v>
      </c>
      <c r="Z2505">
        <v>0.26592676994077491</v>
      </c>
      <c r="AA2505">
        <v>1</v>
      </c>
    </row>
    <row r="2506" spans="1:27" hidden="1" x14ac:dyDescent="0.25">
      <c r="A2506" t="s">
        <v>98</v>
      </c>
      <c r="B2506" t="s">
        <v>1374</v>
      </c>
      <c r="D2506" t="s">
        <v>1722</v>
      </c>
      <c r="E2506" t="s">
        <v>284</v>
      </c>
      <c r="F2506" t="s">
        <v>428</v>
      </c>
      <c r="G2506" t="s">
        <v>103</v>
      </c>
      <c r="H2506" t="s">
        <v>104</v>
      </c>
      <c r="I2506">
        <v>2030</v>
      </c>
      <c r="J2506" t="s">
        <v>433</v>
      </c>
      <c r="K2506" t="s">
        <v>106</v>
      </c>
      <c r="L2506" t="s">
        <v>2842</v>
      </c>
      <c r="M2506" t="s">
        <v>2910</v>
      </c>
      <c r="N2506">
        <v>1</v>
      </c>
      <c r="O2506">
        <v>2030</v>
      </c>
      <c r="P2506">
        <v>24.67049407605251</v>
      </c>
      <c r="Q2506">
        <v>0.55731249361340607</v>
      </c>
      <c r="R2506" t="s">
        <v>289</v>
      </c>
      <c r="S2506">
        <v>84.367500000000007</v>
      </c>
      <c r="T2506" t="s">
        <v>290</v>
      </c>
      <c r="U2506">
        <v>84.367500000000007</v>
      </c>
      <c r="V2506">
        <v>24.67049407605251</v>
      </c>
      <c r="W2506">
        <v>0.55731249361340607</v>
      </c>
      <c r="X2506" t="s">
        <v>291</v>
      </c>
      <c r="Y2506">
        <v>10</v>
      </c>
      <c r="Z2506">
        <v>0.26592676994077491</v>
      </c>
      <c r="AA2506">
        <v>1</v>
      </c>
    </row>
    <row r="2507" spans="1:27" hidden="1" x14ac:dyDescent="0.25">
      <c r="A2507" t="s">
        <v>98</v>
      </c>
      <c r="B2507" t="s">
        <v>1374</v>
      </c>
      <c r="D2507" t="s">
        <v>1722</v>
      </c>
      <c r="E2507" t="s">
        <v>284</v>
      </c>
      <c r="F2507" t="s">
        <v>425</v>
      </c>
      <c r="G2507" t="s">
        <v>103</v>
      </c>
      <c r="H2507" t="s">
        <v>104</v>
      </c>
      <c r="I2507">
        <v>2040</v>
      </c>
      <c r="J2507" t="s">
        <v>435</v>
      </c>
      <c r="K2507" t="s">
        <v>106</v>
      </c>
      <c r="L2507" t="s">
        <v>2842</v>
      </c>
      <c r="M2507" t="s">
        <v>2911</v>
      </c>
      <c r="N2507">
        <v>1</v>
      </c>
      <c r="O2507">
        <v>2040</v>
      </c>
      <c r="P2507">
        <v>19.670938877469698</v>
      </c>
      <c r="Q2507">
        <v>1.076022695415618</v>
      </c>
      <c r="R2507" t="s">
        <v>289</v>
      </c>
      <c r="S2507">
        <v>79.81</v>
      </c>
      <c r="T2507" t="s">
        <v>290</v>
      </c>
      <c r="U2507">
        <v>79.81</v>
      </c>
      <c r="V2507">
        <v>19.670938877469698</v>
      </c>
      <c r="W2507">
        <v>1.076022695415618</v>
      </c>
      <c r="X2507" t="s">
        <v>291</v>
      </c>
      <c r="Y2507">
        <v>10</v>
      </c>
      <c r="Z2507">
        <v>0.26592676994077491</v>
      </c>
      <c r="AA2507">
        <v>1</v>
      </c>
    </row>
    <row r="2508" spans="1:27" hidden="1" x14ac:dyDescent="0.25">
      <c r="A2508" t="s">
        <v>98</v>
      </c>
      <c r="B2508" t="s">
        <v>1374</v>
      </c>
      <c r="D2508" t="s">
        <v>1722</v>
      </c>
      <c r="E2508" t="s">
        <v>284</v>
      </c>
      <c r="F2508" t="s">
        <v>428</v>
      </c>
      <c r="G2508" t="s">
        <v>103</v>
      </c>
      <c r="H2508" t="s">
        <v>104</v>
      </c>
      <c r="I2508">
        <v>2040</v>
      </c>
      <c r="J2508" t="s">
        <v>437</v>
      </c>
      <c r="K2508" t="s">
        <v>106</v>
      </c>
      <c r="L2508" t="s">
        <v>2842</v>
      </c>
      <c r="M2508" t="s">
        <v>2912</v>
      </c>
      <c r="N2508">
        <v>1</v>
      </c>
      <c r="O2508">
        <v>2040</v>
      </c>
      <c r="P2508">
        <v>23.861328500132039</v>
      </c>
      <c r="Q2508">
        <v>0.54931546897756556</v>
      </c>
      <c r="R2508" t="s">
        <v>289</v>
      </c>
      <c r="S2508">
        <v>84.367500000000007</v>
      </c>
      <c r="T2508" t="s">
        <v>290</v>
      </c>
      <c r="U2508">
        <v>84.367500000000007</v>
      </c>
      <c r="V2508">
        <v>23.861328500132039</v>
      </c>
      <c r="W2508">
        <v>0.54931546897756556</v>
      </c>
      <c r="X2508" t="s">
        <v>291</v>
      </c>
      <c r="Y2508">
        <v>10</v>
      </c>
      <c r="Z2508">
        <v>0.26592676994077491</v>
      </c>
      <c r="AA2508">
        <v>1</v>
      </c>
    </row>
    <row r="2509" spans="1:27" hidden="1" x14ac:dyDescent="0.25">
      <c r="A2509" t="s">
        <v>98</v>
      </c>
      <c r="B2509" t="s">
        <v>1374</v>
      </c>
      <c r="D2509" t="s">
        <v>1722</v>
      </c>
      <c r="E2509" t="s">
        <v>439</v>
      </c>
      <c r="F2509" t="s">
        <v>440</v>
      </c>
      <c r="G2509" t="s">
        <v>245</v>
      </c>
      <c r="H2509" t="s">
        <v>104</v>
      </c>
      <c r="I2509">
        <v>2022</v>
      </c>
      <c r="J2509" t="s">
        <v>441</v>
      </c>
      <c r="K2509" t="s">
        <v>106</v>
      </c>
      <c r="L2509" t="s">
        <v>2913</v>
      </c>
      <c r="M2509" t="s">
        <v>2914</v>
      </c>
      <c r="N2509">
        <v>1</v>
      </c>
      <c r="O2509">
        <v>2020</v>
      </c>
      <c r="P2509">
        <v>831.12625331024003</v>
      </c>
      <c r="Q2509">
        <v>84.323656568982784</v>
      </c>
      <c r="R2509" t="s">
        <v>109</v>
      </c>
      <c r="S2509">
        <v>2.8957310176295739</v>
      </c>
      <c r="T2509" t="s">
        <v>110</v>
      </c>
      <c r="U2509">
        <v>2.8957310176295739</v>
      </c>
      <c r="V2509">
        <v>2835.9211703315582</v>
      </c>
      <c r="W2509">
        <v>287.72432812862002</v>
      </c>
      <c r="X2509" t="s">
        <v>111</v>
      </c>
      <c r="Y2509">
        <v>10</v>
      </c>
      <c r="Z2509">
        <v>0.44</v>
      </c>
      <c r="AA2509">
        <v>31.536000000000001</v>
      </c>
    </row>
    <row r="2510" spans="1:27" hidden="1" x14ac:dyDescent="0.25">
      <c r="A2510" t="s">
        <v>98</v>
      </c>
      <c r="B2510" t="s">
        <v>1374</v>
      </c>
      <c r="D2510" t="s">
        <v>1722</v>
      </c>
      <c r="E2510" t="s">
        <v>439</v>
      </c>
      <c r="F2510" t="s">
        <v>440</v>
      </c>
      <c r="G2510" t="s">
        <v>103</v>
      </c>
      <c r="H2510" t="s">
        <v>104</v>
      </c>
      <c r="I2510">
        <v>2022</v>
      </c>
      <c r="J2510" t="s">
        <v>444</v>
      </c>
      <c r="K2510" t="s">
        <v>106</v>
      </c>
      <c r="L2510" t="s">
        <v>2913</v>
      </c>
      <c r="M2510" t="s">
        <v>2915</v>
      </c>
      <c r="N2510">
        <v>1</v>
      </c>
      <c r="O2510">
        <v>2020</v>
      </c>
      <c r="P2510">
        <v>1031.6192027056411</v>
      </c>
      <c r="Q2510">
        <v>84.323656568982784</v>
      </c>
      <c r="R2510" t="s">
        <v>109</v>
      </c>
      <c r="S2510">
        <v>3.1136892662683588</v>
      </c>
      <c r="T2510" t="s">
        <v>110</v>
      </c>
      <c r="U2510">
        <v>1</v>
      </c>
      <c r="V2510">
        <v>10960.284839990571</v>
      </c>
      <c r="W2510">
        <v>895.88415213835935</v>
      </c>
      <c r="X2510" t="s">
        <v>111</v>
      </c>
      <c r="Y2510">
        <v>10</v>
      </c>
      <c r="Z2510">
        <v>0.44</v>
      </c>
      <c r="AA2510">
        <v>31.536000000000001</v>
      </c>
    </row>
    <row r="2511" spans="1:27" hidden="1" x14ac:dyDescent="0.25">
      <c r="A2511" t="s">
        <v>98</v>
      </c>
      <c r="B2511" t="s">
        <v>1374</v>
      </c>
      <c r="D2511" t="s">
        <v>1722</v>
      </c>
      <c r="E2511" t="s">
        <v>439</v>
      </c>
      <c r="F2511" t="s">
        <v>440</v>
      </c>
      <c r="G2511" t="s">
        <v>112</v>
      </c>
      <c r="H2511" t="s">
        <v>104</v>
      </c>
      <c r="I2511">
        <v>2022</v>
      </c>
      <c r="J2511" t="s">
        <v>446</v>
      </c>
      <c r="K2511" t="s">
        <v>106</v>
      </c>
      <c r="L2511" t="s">
        <v>2913</v>
      </c>
      <c r="M2511" t="s">
        <v>2916</v>
      </c>
      <c r="N2511">
        <v>1</v>
      </c>
      <c r="O2511">
        <v>2020</v>
      </c>
      <c r="P2511">
        <v>1137.4723035050019</v>
      </c>
      <c r="Q2511">
        <v>84.323656568982784</v>
      </c>
      <c r="R2511" t="s">
        <v>109</v>
      </c>
      <c r="S2511">
        <v>3.348052974482107</v>
      </c>
      <c r="T2511" t="s">
        <v>110</v>
      </c>
      <c r="U2511">
        <v>1.156203029251937</v>
      </c>
      <c r="V2511">
        <v>11238.961995400419</v>
      </c>
      <c r="W2511">
        <v>833.17226148867417</v>
      </c>
      <c r="X2511" t="s">
        <v>111</v>
      </c>
      <c r="Y2511">
        <v>10</v>
      </c>
      <c r="Z2511">
        <v>0.44</v>
      </c>
      <c r="AA2511">
        <v>31.536000000000001</v>
      </c>
    </row>
    <row r="2512" spans="1:27" hidden="1" x14ac:dyDescent="0.25">
      <c r="A2512" t="s">
        <v>98</v>
      </c>
      <c r="B2512" t="s">
        <v>1374</v>
      </c>
      <c r="D2512" t="s">
        <v>1722</v>
      </c>
      <c r="E2512" t="s">
        <v>439</v>
      </c>
      <c r="F2512" t="s">
        <v>440</v>
      </c>
      <c r="G2512" t="s">
        <v>103</v>
      </c>
      <c r="H2512" t="s">
        <v>104</v>
      </c>
      <c r="I2512">
        <v>2030</v>
      </c>
      <c r="J2512" t="s">
        <v>448</v>
      </c>
      <c r="K2512" t="s">
        <v>106</v>
      </c>
      <c r="L2512" t="s">
        <v>2913</v>
      </c>
      <c r="M2512" t="s">
        <v>2917</v>
      </c>
      <c r="N2512">
        <v>0</v>
      </c>
      <c r="O2512">
        <v>2030</v>
      </c>
      <c r="P2512">
        <v>1031.6192027056411</v>
      </c>
      <c r="Q2512">
        <v>84.323656568982784</v>
      </c>
      <c r="R2512" t="s">
        <v>109</v>
      </c>
      <c r="S2512">
        <v>3.1136892662683588</v>
      </c>
      <c r="T2512" t="s">
        <v>110</v>
      </c>
      <c r="U2512">
        <v>1.075268817204301</v>
      </c>
      <c r="V2512">
        <v>10193.06490119123</v>
      </c>
      <c r="W2512">
        <v>833.17226148867428</v>
      </c>
      <c r="X2512" t="s">
        <v>111</v>
      </c>
      <c r="Y2512">
        <v>10</v>
      </c>
      <c r="Z2512">
        <v>0.44</v>
      </c>
      <c r="AA2512">
        <v>31.536000000000001</v>
      </c>
    </row>
    <row r="2513" spans="1:27" hidden="1" x14ac:dyDescent="0.25">
      <c r="A2513" t="s">
        <v>98</v>
      </c>
      <c r="B2513" t="s">
        <v>1374</v>
      </c>
      <c r="D2513" t="s">
        <v>1722</v>
      </c>
      <c r="E2513" t="s">
        <v>439</v>
      </c>
      <c r="F2513" t="s">
        <v>440</v>
      </c>
      <c r="G2513" t="s">
        <v>112</v>
      </c>
      <c r="H2513" t="s">
        <v>104</v>
      </c>
      <c r="I2513">
        <v>2030</v>
      </c>
      <c r="J2513" t="s">
        <v>450</v>
      </c>
      <c r="K2513" t="s">
        <v>106</v>
      </c>
      <c r="L2513" t="s">
        <v>2913</v>
      </c>
      <c r="M2513" t="s">
        <v>2918</v>
      </c>
      <c r="N2513">
        <v>0</v>
      </c>
      <c r="O2513">
        <v>2030</v>
      </c>
      <c r="P2513">
        <v>1137.4723035050019</v>
      </c>
      <c r="Q2513">
        <v>84.323656568982784</v>
      </c>
      <c r="R2513" t="s">
        <v>109</v>
      </c>
      <c r="S2513">
        <v>3.348052974482107</v>
      </c>
      <c r="T2513" t="s">
        <v>110</v>
      </c>
      <c r="U2513">
        <v>1.156203029251937</v>
      </c>
      <c r="V2513">
        <v>11238.961995400419</v>
      </c>
      <c r="W2513">
        <v>833.17226148867417</v>
      </c>
      <c r="X2513" t="s">
        <v>111</v>
      </c>
      <c r="Y2513">
        <v>10</v>
      </c>
      <c r="Z2513">
        <v>0.44</v>
      </c>
      <c r="AA2513">
        <v>31.536000000000001</v>
      </c>
    </row>
    <row r="2514" spans="1:27" hidden="1" x14ac:dyDescent="0.25">
      <c r="A2514" t="s">
        <v>98</v>
      </c>
      <c r="B2514" t="s">
        <v>1374</v>
      </c>
      <c r="D2514" t="s">
        <v>1722</v>
      </c>
      <c r="E2514" t="s">
        <v>439</v>
      </c>
      <c r="F2514" t="s">
        <v>440</v>
      </c>
      <c r="G2514" t="s">
        <v>103</v>
      </c>
      <c r="H2514" t="s">
        <v>104</v>
      </c>
      <c r="I2514">
        <v>2040</v>
      </c>
      <c r="J2514" t="s">
        <v>452</v>
      </c>
      <c r="K2514" t="s">
        <v>106</v>
      </c>
      <c r="L2514" t="s">
        <v>2913</v>
      </c>
      <c r="M2514" t="s">
        <v>2919</v>
      </c>
      <c r="N2514">
        <v>0</v>
      </c>
      <c r="O2514">
        <v>2040</v>
      </c>
      <c r="P2514">
        <v>1031.6192027056411</v>
      </c>
      <c r="Q2514">
        <v>84.323656568982784</v>
      </c>
      <c r="R2514" t="s">
        <v>109</v>
      </c>
      <c r="S2514">
        <v>3.1136892662683588</v>
      </c>
      <c r="T2514" t="s">
        <v>110</v>
      </c>
      <c r="U2514">
        <v>1.075268817204301</v>
      </c>
      <c r="V2514">
        <v>10193.06490119123</v>
      </c>
      <c r="W2514">
        <v>833.17226148867428</v>
      </c>
      <c r="X2514" t="s">
        <v>111</v>
      </c>
      <c r="Y2514">
        <v>10</v>
      </c>
      <c r="Z2514">
        <v>0.44</v>
      </c>
      <c r="AA2514">
        <v>31.536000000000001</v>
      </c>
    </row>
    <row r="2515" spans="1:27" hidden="1" x14ac:dyDescent="0.25">
      <c r="A2515" t="s">
        <v>98</v>
      </c>
      <c r="B2515" t="s">
        <v>1374</v>
      </c>
      <c r="D2515" t="s">
        <v>1722</v>
      </c>
      <c r="E2515" t="s">
        <v>439</v>
      </c>
      <c r="F2515" t="s">
        <v>440</v>
      </c>
      <c r="G2515" t="s">
        <v>112</v>
      </c>
      <c r="H2515" t="s">
        <v>104</v>
      </c>
      <c r="I2515">
        <v>2040</v>
      </c>
      <c r="J2515" t="s">
        <v>454</v>
      </c>
      <c r="K2515" t="s">
        <v>106</v>
      </c>
      <c r="L2515" t="s">
        <v>2913</v>
      </c>
      <c r="M2515" t="s">
        <v>2920</v>
      </c>
      <c r="N2515">
        <v>0</v>
      </c>
      <c r="O2515">
        <v>2040</v>
      </c>
      <c r="P2515">
        <v>1137.4723035050019</v>
      </c>
      <c r="Q2515">
        <v>84.323656568982784</v>
      </c>
      <c r="R2515" t="s">
        <v>109</v>
      </c>
      <c r="S2515">
        <v>3.348052974482107</v>
      </c>
      <c r="T2515" t="s">
        <v>110</v>
      </c>
      <c r="U2515">
        <v>1.156203029251937</v>
      </c>
      <c r="V2515">
        <v>11238.961995400419</v>
      </c>
      <c r="W2515">
        <v>833.17226148867417</v>
      </c>
      <c r="X2515" t="s">
        <v>111</v>
      </c>
      <c r="Y2515">
        <v>10</v>
      </c>
      <c r="Z2515">
        <v>0.44</v>
      </c>
      <c r="AA2515">
        <v>31.536000000000001</v>
      </c>
    </row>
    <row r="2516" spans="1:27" hidden="1" x14ac:dyDescent="0.25">
      <c r="A2516" t="s">
        <v>98</v>
      </c>
      <c r="B2516" t="s">
        <v>1374</v>
      </c>
      <c r="D2516" t="s">
        <v>1722</v>
      </c>
      <c r="E2516" t="s">
        <v>439</v>
      </c>
      <c r="F2516" t="s">
        <v>440</v>
      </c>
      <c r="G2516" t="s">
        <v>103</v>
      </c>
      <c r="H2516" t="s">
        <v>104</v>
      </c>
      <c r="I2516">
        <v>2050</v>
      </c>
      <c r="J2516" t="s">
        <v>456</v>
      </c>
      <c r="K2516" t="s">
        <v>106</v>
      </c>
      <c r="L2516" t="s">
        <v>2913</v>
      </c>
      <c r="M2516" t="s">
        <v>2921</v>
      </c>
      <c r="N2516">
        <v>0</v>
      </c>
      <c r="O2516">
        <v>2050</v>
      </c>
      <c r="P2516">
        <v>1031.6192027056411</v>
      </c>
      <c r="Q2516">
        <v>84.323656568982784</v>
      </c>
      <c r="R2516" t="s">
        <v>109</v>
      </c>
      <c r="S2516">
        <v>3.1136892662683588</v>
      </c>
      <c r="T2516" t="s">
        <v>110</v>
      </c>
      <c r="U2516">
        <v>1.075268817204301</v>
      </c>
      <c r="V2516">
        <v>10193.06490119123</v>
      </c>
      <c r="W2516">
        <v>833.17226148867428</v>
      </c>
      <c r="X2516" t="s">
        <v>111</v>
      </c>
      <c r="Y2516">
        <v>10</v>
      </c>
      <c r="Z2516">
        <v>0.44</v>
      </c>
      <c r="AA2516">
        <v>31.536000000000001</v>
      </c>
    </row>
    <row r="2517" spans="1:27" hidden="1" x14ac:dyDescent="0.25">
      <c r="A2517" t="s">
        <v>98</v>
      </c>
      <c r="B2517" t="s">
        <v>1374</v>
      </c>
      <c r="D2517" t="s">
        <v>1722</v>
      </c>
      <c r="E2517" t="s">
        <v>439</v>
      </c>
      <c r="F2517" t="s">
        <v>440</v>
      </c>
      <c r="G2517" t="s">
        <v>112</v>
      </c>
      <c r="H2517" t="s">
        <v>104</v>
      </c>
      <c r="I2517">
        <v>2050</v>
      </c>
      <c r="J2517" t="s">
        <v>458</v>
      </c>
      <c r="K2517" t="s">
        <v>106</v>
      </c>
      <c r="L2517" t="s">
        <v>2913</v>
      </c>
      <c r="M2517" t="s">
        <v>2922</v>
      </c>
      <c r="N2517">
        <v>0</v>
      </c>
      <c r="O2517">
        <v>2050</v>
      </c>
      <c r="P2517">
        <v>1137.4723035050019</v>
      </c>
      <c r="Q2517">
        <v>84.323656568982784</v>
      </c>
      <c r="R2517" t="s">
        <v>109</v>
      </c>
      <c r="S2517">
        <v>3.348052974482107</v>
      </c>
      <c r="T2517" t="s">
        <v>110</v>
      </c>
      <c r="U2517">
        <v>1.156203029251937</v>
      </c>
      <c r="V2517">
        <v>11238.961995400419</v>
      </c>
      <c r="W2517">
        <v>833.17226148867417</v>
      </c>
      <c r="X2517" t="s">
        <v>111</v>
      </c>
      <c r="Y2517">
        <v>10</v>
      </c>
      <c r="Z2517">
        <v>0.44</v>
      </c>
      <c r="AA2517">
        <v>31.536000000000001</v>
      </c>
    </row>
    <row r="2518" spans="1:27" hidden="1" x14ac:dyDescent="0.25">
      <c r="A2518" t="s">
        <v>98</v>
      </c>
      <c r="B2518" t="s">
        <v>1374</v>
      </c>
      <c r="D2518" t="s">
        <v>1722</v>
      </c>
      <c r="E2518" t="s">
        <v>439</v>
      </c>
      <c r="F2518" t="s">
        <v>460</v>
      </c>
      <c r="G2518" t="s">
        <v>245</v>
      </c>
      <c r="H2518" t="s">
        <v>104</v>
      </c>
      <c r="I2518">
        <v>2022</v>
      </c>
      <c r="J2518" t="s">
        <v>461</v>
      </c>
      <c r="K2518" t="s">
        <v>106</v>
      </c>
      <c r="L2518" t="s">
        <v>2913</v>
      </c>
      <c r="M2518" t="s">
        <v>2923</v>
      </c>
      <c r="N2518">
        <v>1</v>
      </c>
      <c r="O2518">
        <v>2020</v>
      </c>
      <c r="P2518">
        <v>520.8323861248623</v>
      </c>
      <c r="Q2518">
        <v>19.17492366827851</v>
      </c>
      <c r="R2518" t="s">
        <v>109</v>
      </c>
      <c r="S2518">
        <v>5.9841517746527506</v>
      </c>
      <c r="T2518" t="s">
        <v>110</v>
      </c>
      <c r="U2518">
        <v>2.066542692750287</v>
      </c>
      <c r="V2518">
        <v>5146.1608125259299</v>
      </c>
      <c r="W2518">
        <v>189.46064682931279</v>
      </c>
      <c r="X2518" t="s">
        <v>111</v>
      </c>
      <c r="Y2518">
        <v>10</v>
      </c>
      <c r="Z2518">
        <v>0.44</v>
      </c>
      <c r="AA2518">
        <v>31.536000000000001</v>
      </c>
    </row>
    <row r="2519" spans="1:27" hidden="1" x14ac:dyDescent="0.25">
      <c r="A2519" t="s">
        <v>98</v>
      </c>
      <c r="B2519" t="s">
        <v>1374</v>
      </c>
      <c r="D2519" t="s">
        <v>1722</v>
      </c>
      <c r="E2519" t="s">
        <v>439</v>
      </c>
      <c r="F2519" t="s">
        <v>460</v>
      </c>
      <c r="G2519" t="s">
        <v>103</v>
      </c>
      <c r="H2519" t="s">
        <v>104</v>
      </c>
      <c r="I2519">
        <v>2022</v>
      </c>
      <c r="J2519" t="s">
        <v>463</v>
      </c>
      <c r="K2519" t="s">
        <v>106</v>
      </c>
      <c r="L2519" t="s">
        <v>2913</v>
      </c>
      <c r="M2519" t="s">
        <v>2924</v>
      </c>
      <c r="N2519">
        <v>1</v>
      </c>
      <c r="O2519">
        <v>2020</v>
      </c>
      <c r="P2519">
        <v>619.22047419033993</v>
      </c>
      <c r="Q2519">
        <v>19.17492366827851</v>
      </c>
      <c r="R2519" t="s">
        <v>109</v>
      </c>
      <c r="S2519">
        <v>6.5013006934499016</v>
      </c>
      <c r="T2519" t="s">
        <v>110</v>
      </c>
      <c r="U2519">
        <v>2.2451328020003118</v>
      </c>
      <c r="V2519">
        <v>6118.2987530812006</v>
      </c>
      <c r="W2519">
        <v>189.46064682931279</v>
      </c>
      <c r="X2519" t="s">
        <v>111</v>
      </c>
      <c r="Y2519">
        <v>10</v>
      </c>
      <c r="Z2519">
        <v>0.44</v>
      </c>
      <c r="AA2519">
        <v>31.536000000000001</v>
      </c>
    </row>
    <row r="2520" spans="1:27" hidden="1" x14ac:dyDescent="0.25">
      <c r="A2520" t="s">
        <v>98</v>
      </c>
      <c r="B2520" t="s">
        <v>1374</v>
      </c>
      <c r="D2520" t="s">
        <v>1722</v>
      </c>
      <c r="E2520" t="s">
        <v>439</v>
      </c>
      <c r="F2520" t="s">
        <v>460</v>
      </c>
      <c r="G2520" t="s">
        <v>112</v>
      </c>
      <c r="H2520" t="s">
        <v>104</v>
      </c>
      <c r="I2520">
        <v>2022</v>
      </c>
      <c r="J2520" t="s">
        <v>465</v>
      </c>
      <c r="K2520" t="s">
        <v>106</v>
      </c>
      <c r="L2520" t="s">
        <v>2913</v>
      </c>
      <c r="M2520" t="s">
        <v>2925</v>
      </c>
      <c r="N2520">
        <v>1</v>
      </c>
      <c r="O2520">
        <v>2020</v>
      </c>
      <c r="P2520">
        <v>717.59767919103297</v>
      </c>
      <c r="Q2520">
        <v>19.17492366827851</v>
      </c>
      <c r="R2520" t="s">
        <v>109</v>
      </c>
      <c r="S2520">
        <v>7.1162885968843517</v>
      </c>
      <c r="T2520" t="s">
        <v>110</v>
      </c>
      <c r="U2520">
        <v>2.4575102292165578</v>
      </c>
      <c r="V2520">
        <v>7090.3291619180018</v>
      </c>
      <c r="W2520">
        <v>189.46064682931279</v>
      </c>
      <c r="X2520" t="s">
        <v>111</v>
      </c>
      <c r="Y2520">
        <v>10</v>
      </c>
      <c r="Z2520">
        <v>0.44</v>
      </c>
      <c r="AA2520">
        <v>31.536000000000001</v>
      </c>
    </row>
    <row r="2521" spans="1:27" hidden="1" x14ac:dyDescent="0.25">
      <c r="A2521" t="s">
        <v>98</v>
      </c>
      <c r="B2521" t="s">
        <v>1374</v>
      </c>
      <c r="D2521" t="s">
        <v>1722</v>
      </c>
      <c r="E2521" t="s">
        <v>439</v>
      </c>
      <c r="F2521" t="s">
        <v>460</v>
      </c>
      <c r="G2521" t="s">
        <v>103</v>
      </c>
      <c r="H2521" t="s">
        <v>104</v>
      </c>
      <c r="I2521">
        <v>2030</v>
      </c>
      <c r="J2521" t="s">
        <v>467</v>
      </c>
      <c r="K2521" t="s">
        <v>106</v>
      </c>
      <c r="L2521" t="s">
        <v>2913</v>
      </c>
      <c r="M2521" t="s">
        <v>2926</v>
      </c>
      <c r="N2521">
        <v>1</v>
      </c>
      <c r="O2521">
        <v>2030</v>
      </c>
      <c r="P2521">
        <v>520.8323861248623</v>
      </c>
      <c r="Q2521">
        <v>19.17492366827851</v>
      </c>
      <c r="R2521" t="s">
        <v>109</v>
      </c>
      <c r="S2521">
        <v>6.5013006934499016</v>
      </c>
      <c r="T2521" t="s">
        <v>110</v>
      </c>
      <c r="U2521">
        <v>2.2451328020003118</v>
      </c>
      <c r="V2521">
        <v>5146.1608125259299</v>
      </c>
      <c r="W2521">
        <v>189.46064682931279</v>
      </c>
      <c r="X2521" t="s">
        <v>111</v>
      </c>
      <c r="Y2521">
        <v>10</v>
      </c>
      <c r="Z2521">
        <v>0.44</v>
      </c>
      <c r="AA2521">
        <v>31.536000000000001</v>
      </c>
    </row>
    <row r="2522" spans="1:27" hidden="1" x14ac:dyDescent="0.25">
      <c r="A2522" t="s">
        <v>98</v>
      </c>
      <c r="B2522" t="s">
        <v>1374</v>
      </c>
      <c r="D2522" t="s">
        <v>1722</v>
      </c>
      <c r="E2522" t="s">
        <v>439</v>
      </c>
      <c r="F2522" t="s">
        <v>460</v>
      </c>
      <c r="G2522" t="s">
        <v>112</v>
      </c>
      <c r="H2522" t="s">
        <v>104</v>
      </c>
      <c r="I2522">
        <v>2030</v>
      </c>
      <c r="J2522" t="s">
        <v>469</v>
      </c>
      <c r="K2522" t="s">
        <v>106</v>
      </c>
      <c r="L2522" t="s">
        <v>2913</v>
      </c>
      <c r="M2522" t="s">
        <v>2927</v>
      </c>
      <c r="N2522">
        <v>1</v>
      </c>
      <c r="O2522">
        <v>2030</v>
      </c>
      <c r="P2522">
        <v>717.59767919103297</v>
      </c>
      <c r="Q2522">
        <v>19.17492366827851</v>
      </c>
      <c r="R2522" t="s">
        <v>109</v>
      </c>
      <c r="S2522">
        <v>7.1162885968843517</v>
      </c>
      <c r="T2522" t="s">
        <v>110</v>
      </c>
      <c r="U2522">
        <v>2.4575102292165578</v>
      </c>
      <c r="V2522">
        <v>7090.3291619180018</v>
      </c>
      <c r="W2522">
        <v>189.46064682931279</v>
      </c>
      <c r="X2522" t="s">
        <v>111</v>
      </c>
      <c r="Y2522">
        <v>10</v>
      </c>
      <c r="Z2522">
        <v>0.44</v>
      </c>
      <c r="AA2522">
        <v>31.536000000000001</v>
      </c>
    </row>
    <row r="2523" spans="1:27" hidden="1" x14ac:dyDescent="0.25">
      <c r="A2523" t="s">
        <v>98</v>
      </c>
      <c r="B2523" t="s">
        <v>1374</v>
      </c>
      <c r="D2523" t="s">
        <v>1722</v>
      </c>
      <c r="E2523" t="s">
        <v>439</v>
      </c>
      <c r="F2523" t="s">
        <v>460</v>
      </c>
      <c r="G2523" t="s">
        <v>103</v>
      </c>
      <c r="H2523" t="s">
        <v>104</v>
      </c>
      <c r="I2523">
        <v>2040</v>
      </c>
      <c r="J2523" t="s">
        <v>471</v>
      </c>
      <c r="K2523" t="s">
        <v>106</v>
      </c>
      <c r="L2523" t="s">
        <v>2913</v>
      </c>
      <c r="M2523" t="s">
        <v>2928</v>
      </c>
      <c r="N2523">
        <v>1</v>
      </c>
      <c r="O2523">
        <v>2040</v>
      </c>
      <c r="P2523">
        <v>520.8323861248623</v>
      </c>
      <c r="Q2523">
        <v>19.17492366827851</v>
      </c>
      <c r="R2523" t="s">
        <v>109</v>
      </c>
      <c r="S2523">
        <v>6.5013006934499016</v>
      </c>
      <c r="T2523" t="s">
        <v>110</v>
      </c>
      <c r="U2523">
        <v>2.2451328020003118</v>
      </c>
      <c r="V2523">
        <v>5146.1608125259299</v>
      </c>
      <c r="W2523">
        <v>189.46064682931279</v>
      </c>
      <c r="X2523" t="s">
        <v>111</v>
      </c>
      <c r="Y2523">
        <v>10</v>
      </c>
      <c r="Z2523">
        <v>0.44</v>
      </c>
      <c r="AA2523">
        <v>31.536000000000001</v>
      </c>
    </row>
    <row r="2524" spans="1:27" hidden="1" x14ac:dyDescent="0.25">
      <c r="A2524" t="s">
        <v>98</v>
      </c>
      <c r="B2524" t="s">
        <v>1374</v>
      </c>
      <c r="D2524" t="s">
        <v>1722</v>
      </c>
      <c r="E2524" t="s">
        <v>439</v>
      </c>
      <c r="F2524" t="s">
        <v>460</v>
      </c>
      <c r="G2524" t="s">
        <v>112</v>
      </c>
      <c r="H2524" t="s">
        <v>104</v>
      </c>
      <c r="I2524">
        <v>2040</v>
      </c>
      <c r="J2524" t="s">
        <v>473</v>
      </c>
      <c r="K2524" t="s">
        <v>106</v>
      </c>
      <c r="L2524" t="s">
        <v>2913</v>
      </c>
      <c r="M2524" t="s">
        <v>2929</v>
      </c>
      <c r="N2524">
        <v>1</v>
      </c>
      <c r="O2524">
        <v>2040</v>
      </c>
      <c r="P2524">
        <v>717.59767919103297</v>
      </c>
      <c r="Q2524">
        <v>19.17492366827851</v>
      </c>
      <c r="R2524" t="s">
        <v>109</v>
      </c>
      <c r="S2524">
        <v>7.1162885968843517</v>
      </c>
      <c r="T2524" t="s">
        <v>110</v>
      </c>
      <c r="U2524">
        <v>2.4575102292165578</v>
      </c>
      <c r="V2524">
        <v>7090.3291619180018</v>
      </c>
      <c r="W2524">
        <v>189.46064682931279</v>
      </c>
      <c r="X2524" t="s">
        <v>111</v>
      </c>
      <c r="Y2524">
        <v>10</v>
      </c>
      <c r="Z2524">
        <v>0.44</v>
      </c>
      <c r="AA2524">
        <v>31.536000000000001</v>
      </c>
    </row>
    <row r="2525" spans="1:27" hidden="1" x14ac:dyDescent="0.25">
      <c r="A2525" t="s">
        <v>98</v>
      </c>
      <c r="B2525" t="s">
        <v>1374</v>
      </c>
      <c r="D2525" t="s">
        <v>1722</v>
      </c>
      <c r="E2525" t="s">
        <v>439</v>
      </c>
      <c r="F2525" t="s">
        <v>460</v>
      </c>
      <c r="G2525" t="s">
        <v>103</v>
      </c>
      <c r="H2525" t="s">
        <v>104</v>
      </c>
      <c r="I2525">
        <v>2050</v>
      </c>
      <c r="J2525" t="s">
        <v>475</v>
      </c>
      <c r="K2525" t="s">
        <v>106</v>
      </c>
      <c r="L2525" t="s">
        <v>2913</v>
      </c>
      <c r="M2525" t="s">
        <v>2930</v>
      </c>
      <c r="N2525">
        <v>1</v>
      </c>
      <c r="O2525">
        <v>2050</v>
      </c>
      <c r="P2525">
        <v>520.8323861248623</v>
      </c>
      <c r="Q2525">
        <v>19.17492366827851</v>
      </c>
      <c r="R2525" t="s">
        <v>109</v>
      </c>
      <c r="S2525">
        <v>6.5013006934499016</v>
      </c>
      <c r="T2525" t="s">
        <v>110</v>
      </c>
      <c r="U2525">
        <v>2.2451328020003118</v>
      </c>
      <c r="V2525">
        <v>5146.1608125259299</v>
      </c>
      <c r="W2525">
        <v>189.46064682931279</v>
      </c>
      <c r="X2525" t="s">
        <v>111</v>
      </c>
      <c r="Y2525">
        <v>10</v>
      </c>
      <c r="Z2525">
        <v>0.44</v>
      </c>
      <c r="AA2525">
        <v>31.536000000000001</v>
      </c>
    </row>
    <row r="2526" spans="1:27" hidden="1" x14ac:dyDescent="0.25">
      <c r="A2526" t="s">
        <v>98</v>
      </c>
      <c r="B2526" t="s">
        <v>1374</v>
      </c>
      <c r="D2526" t="s">
        <v>1722</v>
      </c>
      <c r="E2526" t="s">
        <v>439</v>
      </c>
      <c r="F2526" t="s">
        <v>460</v>
      </c>
      <c r="G2526" t="s">
        <v>112</v>
      </c>
      <c r="H2526" t="s">
        <v>104</v>
      </c>
      <c r="I2526">
        <v>2050</v>
      </c>
      <c r="J2526" t="s">
        <v>477</v>
      </c>
      <c r="K2526" t="s">
        <v>106</v>
      </c>
      <c r="L2526" t="s">
        <v>2913</v>
      </c>
      <c r="M2526" t="s">
        <v>2931</v>
      </c>
      <c r="N2526">
        <v>1</v>
      </c>
      <c r="O2526">
        <v>2050</v>
      </c>
      <c r="P2526">
        <v>717.59767919103297</v>
      </c>
      <c r="Q2526">
        <v>19.17492366827851</v>
      </c>
      <c r="R2526" t="s">
        <v>109</v>
      </c>
      <c r="S2526">
        <v>7.1162885968843517</v>
      </c>
      <c r="T2526" t="s">
        <v>110</v>
      </c>
      <c r="U2526">
        <v>2.4575102292165578</v>
      </c>
      <c r="V2526">
        <v>7090.3291619180018</v>
      </c>
      <c r="W2526">
        <v>189.46064682931279</v>
      </c>
      <c r="X2526" t="s">
        <v>111</v>
      </c>
      <c r="Y2526">
        <v>10</v>
      </c>
      <c r="Z2526">
        <v>0.44</v>
      </c>
      <c r="AA2526">
        <v>31.536000000000001</v>
      </c>
    </row>
    <row r="2527" spans="1:27" hidden="1" x14ac:dyDescent="0.25">
      <c r="A2527" t="s">
        <v>98</v>
      </c>
      <c r="B2527" t="s">
        <v>1374</v>
      </c>
      <c r="D2527" t="s">
        <v>1722</v>
      </c>
      <c r="E2527" t="s">
        <v>439</v>
      </c>
      <c r="F2527" t="s">
        <v>479</v>
      </c>
      <c r="G2527" t="s">
        <v>245</v>
      </c>
      <c r="H2527" t="s">
        <v>104</v>
      </c>
      <c r="I2527">
        <v>2022</v>
      </c>
      <c r="J2527" t="s">
        <v>480</v>
      </c>
      <c r="K2527" t="s">
        <v>106</v>
      </c>
      <c r="L2527" t="s">
        <v>2913</v>
      </c>
      <c r="M2527" t="s">
        <v>2932</v>
      </c>
      <c r="N2527">
        <v>1</v>
      </c>
      <c r="O2527">
        <v>2020</v>
      </c>
      <c r="P2527">
        <v>1625.561814955347</v>
      </c>
      <c r="Q2527">
        <v>83.737016934227881</v>
      </c>
      <c r="R2527" t="s">
        <v>109</v>
      </c>
      <c r="S2527">
        <v>3.1167552571169028</v>
      </c>
      <c r="T2527" t="s">
        <v>110</v>
      </c>
      <c r="U2527">
        <v>1.0763276140434681</v>
      </c>
      <c r="V2527">
        <v>16061.60203036269</v>
      </c>
      <c r="W2527">
        <v>827.37588250020144</v>
      </c>
      <c r="X2527" t="s">
        <v>111</v>
      </c>
      <c r="Y2527">
        <v>10</v>
      </c>
      <c r="Z2527">
        <v>0.44</v>
      </c>
      <c r="AA2527">
        <v>31.536000000000001</v>
      </c>
    </row>
    <row r="2528" spans="1:27" hidden="1" x14ac:dyDescent="0.25">
      <c r="A2528" t="s">
        <v>98</v>
      </c>
      <c r="B2528" t="s">
        <v>1374</v>
      </c>
      <c r="D2528" t="s">
        <v>1722</v>
      </c>
      <c r="E2528" t="s">
        <v>439</v>
      </c>
      <c r="F2528" t="s">
        <v>479</v>
      </c>
      <c r="G2528" t="s">
        <v>103</v>
      </c>
      <c r="H2528" t="s">
        <v>104</v>
      </c>
      <c r="I2528">
        <v>2022</v>
      </c>
      <c r="J2528" t="s">
        <v>482</v>
      </c>
      <c r="K2528" t="s">
        <v>106</v>
      </c>
      <c r="L2528" t="s">
        <v>2913</v>
      </c>
      <c r="M2528" t="s">
        <v>2933</v>
      </c>
      <c r="N2528">
        <v>1</v>
      </c>
      <c r="O2528">
        <v>2020</v>
      </c>
      <c r="P2528">
        <v>1649.1429636040691</v>
      </c>
      <c r="Q2528">
        <v>83.737016934227881</v>
      </c>
      <c r="R2528" t="s">
        <v>109</v>
      </c>
      <c r="S2528">
        <v>4.464541314248538</v>
      </c>
      <c r="T2528" t="s">
        <v>110</v>
      </c>
      <c r="U2528">
        <v>1.541766582278481</v>
      </c>
      <c r="V2528">
        <v>16294.59902963399</v>
      </c>
      <c r="W2528">
        <v>827.37588250020167</v>
      </c>
      <c r="X2528" t="s">
        <v>111</v>
      </c>
      <c r="Y2528">
        <v>10</v>
      </c>
      <c r="Z2528">
        <v>0.44</v>
      </c>
      <c r="AA2528">
        <v>31.536000000000001</v>
      </c>
    </row>
    <row r="2529" spans="1:27" hidden="1" x14ac:dyDescent="0.25">
      <c r="A2529" t="s">
        <v>98</v>
      </c>
      <c r="B2529" t="s">
        <v>1374</v>
      </c>
      <c r="D2529" t="s">
        <v>1722</v>
      </c>
      <c r="E2529" t="s">
        <v>439</v>
      </c>
      <c r="F2529" t="s">
        <v>479</v>
      </c>
      <c r="G2529" t="s">
        <v>112</v>
      </c>
      <c r="H2529" t="s">
        <v>104</v>
      </c>
      <c r="I2529">
        <v>2022</v>
      </c>
      <c r="J2529" t="s">
        <v>484</v>
      </c>
      <c r="K2529" t="s">
        <v>106</v>
      </c>
      <c r="L2529" t="s">
        <v>2913</v>
      </c>
      <c r="M2529" t="s">
        <v>2934</v>
      </c>
      <c r="N2529">
        <v>1</v>
      </c>
      <c r="O2529">
        <v>2020</v>
      </c>
      <c r="P2529">
        <v>1758.024723094816</v>
      </c>
      <c r="Q2529">
        <v>83.737016934227881</v>
      </c>
      <c r="R2529" t="s">
        <v>109</v>
      </c>
      <c r="S2529">
        <v>7.4409021904142287</v>
      </c>
      <c r="T2529" t="s">
        <v>110</v>
      </c>
      <c r="U2529">
        <v>2.5696109704641348</v>
      </c>
      <c r="V2529">
        <v>17370.421230436659</v>
      </c>
      <c r="W2529">
        <v>827.37588250020167</v>
      </c>
      <c r="X2529" t="s">
        <v>111</v>
      </c>
      <c r="Y2529">
        <v>10</v>
      </c>
      <c r="Z2529">
        <v>0.44</v>
      </c>
      <c r="AA2529">
        <v>31.536000000000001</v>
      </c>
    </row>
    <row r="2530" spans="1:27" hidden="1" x14ac:dyDescent="0.25">
      <c r="A2530" t="s">
        <v>98</v>
      </c>
      <c r="B2530" t="s">
        <v>1374</v>
      </c>
      <c r="D2530" t="s">
        <v>1722</v>
      </c>
      <c r="E2530" t="s">
        <v>439</v>
      </c>
      <c r="F2530" t="s">
        <v>479</v>
      </c>
      <c r="G2530" t="s">
        <v>219</v>
      </c>
      <c r="H2530" t="s">
        <v>104</v>
      </c>
      <c r="I2530">
        <v>2022</v>
      </c>
      <c r="J2530" t="s">
        <v>486</v>
      </c>
      <c r="K2530" t="s">
        <v>106</v>
      </c>
      <c r="L2530" t="s">
        <v>2913</v>
      </c>
      <c r="M2530" t="s">
        <v>2935</v>
      </c>
      <c r="N2530">
        <v>1</v>
      </c>
      <c r="O2530">
        <v>2020</v>
      </c>
      <c r="P2530">
        <v>1758.024723094816</v>
      </c>
      <c r="Q2530">
        <v>84.189649458196669</v>
      </c>
      <c r="R2530" t="s">
        <v>109</v>
      </c>
      <c r="S2530">
        <v>7.4409021904142287</v>
      </c>
      <c r="T2530" t="s">
        <v>110</v>
      </c>
      <c r="U2530">
        <v>2.5696109704641348</v>
      </c>
      <c r="V2530">
        <v>17370.421230436659</v>
      </c>
      <c r="W2530">
        <v>831.8481845677702</v>
      </c>
      <c r="X2530" t="s">
        <v>111</v>
      </c>
      <c r="Y2530">
        <v>10</v>
      </c>
      <c r="Z2530">
        <v>0.44</v>
      </c>
      <c r="AA2530">
        <v>31.536000000000001</v>
      </c>
    </row>
    <row r="2531" spans="1:27" hidden="1" x14ac:dyDescent="0.25">
      <c r="A2531" t="s">
        <v>98</v>
      </c>
      <c r="B2531" t="s">
        <v>1374</v>
      </c>
      <c r="D2531" t="s">
        <v>1722</v>
      </c>
      <c r="E2531" t="s">
        <v>439</v>
      </c>
      <c r="F2531" t="s">
        <v>479</v>
      </c>
      <c r="G2531" t="s">
        <v>103</v>
      </c>
      <c r="H2531" t="s">
        <v>104</v>
      </c>
      <c r="I2531">
        <v>2030</v>
      </c>
      <c r="J2531" t="s">
        <v>488</v>
      </c>
      <c r="K2531" t="s">
        <v>106</v>
      </c>
      <c r="L2531" t="s">
        <v>2913</v>
      </c>
      <c r="M2531" t="s">
        <v>2936</v>
      </c>
      <c r="N2531">
        <v>1</v>
      </c>
      <c r="O2531">
        <v>2030</v>
      </c>
      <c r="P2531">
        <v>1649.1429636040691</v>
      </c>
      <c r="Q2531">
        <v>83.737016934227881</v>
      </c>
      <c r="R2531" t="s">
        <v>109</v>
      </c>
      <c r="S2531">
        <v>4.464541314248538</v>
      </c>
      <c r="T2531" t="s">
        <v>110</v>
      </c>
      <c r="U2531">
        <v>1.541766582278481</v>
      </c>
      <c r="V2531">
        <v>16294.59902963399</v>
      </c>
      <c r="W2531">
        <v>827.37588250020167</v>
      </c>
      <c r="X2531" t="s">
        <v>111</v>
      </c>
      <c r="Y2531">
        <v>10</v>
      </c>
      <c r="Z2531">
        <v>0.44</v>
      </c>
      <c r="AA2531">
        <v>31.536000000000001</v>
      </c>
    </row>
    <row r="2532" spans="1:27" hidden="1" x14ac:dyDescent="0.25">
      <c r="A2532" t="s">
        <v>98</v>
      </c>
      <c r="B2532" t="s">
        <v>1374</v>
      </c>
      <c r="D2532" t="s">
        <v>1722</v>
      </c>
      <c r="E2532" t="s">
        <v>439</v>
      </c>
      <c r="F2532" t="s">
        <v>479</v>
      </c>
      <c r="G2532" t="s">
        <v>112</v>
      </c>
      <c r="H2532" t="s">
        <v>104</v>
      </c>
      <c r="I2532">
        <v>2030</v>
      </c>
      <c r="J2532" t="s">
        <v>490</v>
      </c>
      <c r="K2532" t="s">
        <v>106</v>
      </c>
      <c r="L2532" t="s">
        <v>2913</v>
      </c>
      <c r="M2532" t="s">
        <v>2937</v>
      </c>
      <c r="N2532">
        <v>1</v>
      </c>
      <c r="O2532">
        <v>2030</v>
      </c>
      <c r="P2532">
        <v>1758.024723094816</v>
      </c>
      <c r="Q2532">
        <v>83.737016934227881</v>
      </c>
      <c r="R2532" t="s">
        <v>109</v>
      </c>
      <c r="S2532">
        <v>7.4409021904142287</v>
      </c>
      <c r="T2532" t="s">
        <v>110</v>
      </c>
      <c r="U2532">
        <v>2.5696109704641348</v>
      </c>
      <c r="V2532">
        <v>17370.421230436659</v>
      </c>
      <c r="W2532">
        <v>827.37588250020167</v>
      </c>
      <c r="X2532" t="s">
        <v>111</v>
      </c>
      <c r="Y2532">
        <v>10</v>
      </c>
      <c r="Z2532">
        <v>0.44</v>
      </c>
      <c r="AA2532">
        <v>31.536000000000001</v>
      </c>
    </row>
    <row r="2533" spans="1:27" hidden="1" x14ac:dyDescent="0.25">
      <c r="A2533" t="s">
        <v>98</v>
      </c>
      <c r="B2533" t="s">
        <v>1374</v>
      </c>
      <c r="D2533" t="s">
        <v>1722</v>
      </c>
      <c r="E2533" t="s">
        <v>439</v>
      </c>
      <c r="F2533" t="s">
        <v>479</v>
      </c>
      <c r="G2533" t="s">
        <v>103</v>
      </c>
      <c r="H2533" t="s">
        <v>104</v>
      </c>
      <c r="I2533">
        <v>2040</v>
      </c>
      <c r="J2533" t="s">
        <v>492</v>
      </c>
      <c r="K2533" t="s">
        <v>106</v>
      </c>
      <c r="L2533" t="s">
        <v>2913</v>
      </c>
      <c r="M2533" t="s">
        <v>2938</v>
      </c>
      <c r="N2533">
        <v>1</v>
      </c>
      <c r="O2533">
        <v>2040</v>
      </c>
      <c r="P2533">
        <v>1649.1429636040691</v>
      </c>
      <c r="Q2533">
        <v>83.737016934227881</v>
      </c>
      <c r="R2533" t="s">
        <v>109</v>
      </c>
      <c r="S2533">
        <v>4.464541314248538</v>
      </c>
      <c r="T2533" t="s">
        <v>110</v>
      </c>
      <c r="U2533">
        <v>1.541766582278481</v>
      </c>
      <c r="V2533">
        <v>16294.59902963399</v>
      </c>
      <c r="W2533">
        <v>827.37588250020167</v>
      </c>
      <c r="X2533" t="s">
        <v>111</v>
      </c>
      <c r="Y2533">
        <v>10</v>
      </c>
      <c r="Z2533">
        <v>0.44</v>
      </c>
      <c r="AA2533">
        <v>31.536000000000001</v>
      </c>
    </row>
    <row r="2534" spans="1:27" hidden="1" x14ac:dyDescent="0.25">
      <c r="A2534" t="s">
        <v>98</v>
      </c>
      <c r="B2534" t="s">
        <v>1374</v>
      </c>
      <c r="D2534" t="s">
        <v>1722</v>
      </c>
      <c r="E2534" t="s">
        <v>439</v>
      </c>
      <c r="F2534" t="s">
        <v>479</v>
      </c>
      <c r="G2534" t="s">
        <v>112</v>
      </c>
      <c r="H2534" t="s">
        <v>104</v>
      </c>
      <c r="I2534">
        <v>2040</v>
      </c>
      <c r="J2534" t="s">
        <v>494</v>
      </c>
      <c r="K2534" t="s">
        <v>106</v>
      </c>
      <c r="L2534" t="s">
        <v>2913</v>
      </c>
      <c r="M2534" t="s">
        <v>2939</v>
      </c>
      <c r="N2534">
        <v>1</v>
      </c>
      <c r="O2534">
        <v>2040</v>
      </c>
      <c r="P2534">
        <v>1758.024723094816</v>
      </c>
      <c r="Q2534">
        <v>83.737016934227881</v>
      </c>
      <c r="R2534" t="s">
        <v>109</v>
      </c>
      <c r="S2534">
        <v>7.4409021904142287</v>
      </c>
      <c r="T2534" t="s">
        <v>110</v>
      </c>
      <c r="U2534">
        <v>2.5696109704641348</v>
      </c>
      <c r="V2534">
        <v>17370.421230436659</v>
      </c>
      <c r="W2534">
        <v>827.37588250020167</v>
      </c>
      <c r="X2534" t="s">
        <v>111</v>
      </c>
      <c r="Y2534">
        <v>10</v>
      </c>
      <c r="Z2534">
        <v>0.44</v>
      </c>
      <c r="AA2534">
        <v>31.536000000000001</v>
      </c>
    </row>
    <row r="2535" spans="1:27" hidden="1" x14ac:dyDescent="0.25">
      <c r="A2535" t="s">
        <v>98</v>
      </c>
      <c r="B2535" t="s">
        <v>1374</v>
      </c>
      <c r="D2535" t="s">
        <v>1722</v>
      </c>
      <c r="E2535" t="s">
        <v>439</v>
      </c>
      <c r="F2535" t="s">
        <v>479</v>
      </c>
      <c r="G2535" t="s">
        <v>112</v>
      </c>
      <c r="H2535" t="s">
        <v>104</v>
      </c>
      <c r="I2535">
        <v>2025</v>
      </c>
      <c r="J2535" t="s">
        <v>496</v>
      </c>
      <c r="K2535" t="s">
        <v>106</v>
      </c>
      <c r="L2535" t="s">
        <v>2913</v>
      </c>
      <c r="M2535" t="s">
        <v>2940</v>
      </c>
      <c r="N2535">
        <v>1</v>
      </c>
      <c r="O2535">
        <v>2025</v>
      </c>
      <c r="P2535">
        <v>1758.024723094816</v>
      </c>
      <c r="Q2535">
        <v>83.737016934227881</v>
      </c>
      <c r="R2535" t="s">
        <v>109</v>
      </c>
      <c r="S2535">
        <v>7.4409021904142287</v>
      </c>
      <c r="T2535" t="s">
        <v>110</v>
      </c>
      <c r="U2535">
        <v>2.5696109704641348</v>
      </c>
      <c r="V2535">
        <v>17370.421230436659</v>
      </c>
      <c r="W2535">
        <v>827.37588250020167</v>
      </c>
      <c r="X2535" t="s">
        <v>111</v>
      </c>
      <c r="Y2535">
        <v>10</v>
      </c>
      <c r="Z2535">
        <v>0.44</v>
      </c>
      <c r="AA2535">
        <v>31.536000000000001</v>
      </c>
    </row>
    <row r="2536" spans="1:27" hidden="1" x14ac:dyDescent="0.25">
      <c r="A2536" t="s">
        <v>498</v>
      </c>
      <c r="M2536" t="s">
        <v>498</v>
      </c>
      <c r="N2536" t="s">
        <v>498</v>
      </c>
    </row>
    <row r="2537" spans="1:27" hidden="1" x14ac:dyDescent="0.25">
      <c r="A2537" t="s">
        <v>98</v>
      </c>
      <c r="B2537" t="s">
        <v>1548</v>
      </c>
      <c r="D2537" t="s">
        <v>1722</v>
      </c>
      <c r="E2537" t="s">
        <v>101</v>
      </c>
      <c r="F2537" t="s">
        <v>102</v>
      </c>
      <c r="G2537" t="s">
        <v>112</v>
      </c>
      <c r="H2537" t="s">
        <v>104</v>
      </c>
      <c r="I2537">
        <v>2022</v>
      </c>
      <c r="J2537" t="s">
        <v>113</v>
      </c>
      <c r="K2537" t="s">
        <v>106</v>
      </c>
      <c r="L2537" t="s">
        <v>2941</v>
      </c>
      <c r="M2537" t="s">
        <v>2942</v>
      </c>
      <c r="N2537">
        <v>1</v>
      </c>
      <c r="O2537">
        <v>2020</v>
      </c>
      <c r="P2537">
        <v>200.7885700942916</v>
      </c>
      <c r="Q2537">
        <v>4.2000145906136934</v>
      </c>
      <c r="R2537" t="s">
        <v>109</v>
      </c>
      <c r="S2537">
        <v>3.7</v>
      </c>
      <c r="T2537" t="s">
        <v>110</v>
      </c>
      <c r="U2537">
        <v>3.7</v>
      </c>
      <c r="V2537">
        <v>685.1192035182313</v>
      </c>
      <c r="W2537">
        <v>14.33104807576899</v>
      </c>
      <c r="X2537" t="s">
        <v>111</v>
      </c>
      <c r="Y2537">
        <v>21</v>
      </c>
      <c r="Z2537">
        <v>0.18925608949732059</v>
      </c>
      <c r="AA2537">
        <v>31.536000000000001</v>
      </c>
    </row>
    <row r="2538" spans="1:27" hidden="1" x14ac:dyDescent="0.25">
      <c r="A2538" t="s">
        <v>98</v>
      </c>
      <c r="B2538" t="s">
        <v>1548</v>
      </c>
      <c r="D2538" t="s">
        <v>1722</v>
      </c>
      <c r="E2538" t="s">
        <v>101</v>
      </c>
      <c r="F2538" t="s">
        <v>102</v>
      </c>
      <c r="G2538" t="s">
        <v>103</v>
      </c>
      <c r="H2538" t="s">
        <v>104</v>
      </c>
      <c r="I2538">
        <v>2023</v>
      </c>
      <c r="J2538" t="s">
        <v>115</v>
      </c>
      <c r="K2538" t="s">
        <v>106</v>
      </c>
      <c r="L2538" t="s">
        <v>2941</v>
      </c>
      <c r="M2538" t="s">
        <v>2943</v>
      </c>
      <c r="N2538">
        <v>0</v>
      </c>
      <c r="O2538">
        <v>2023</v>
      </c>
      <c r="P2538">
        <v>135.73557542199771</v>
      </c>
      <c r="Q2538">
        <v>4.2000145906136934</v>
      </c>
      <c r="R2538" t="s">
        <v>109</v>
      </c>
      <c r="S2538">
        <v>3.4</v>
      </c>
      <c r="T2538" t="s">
        <v>110</v>
      </c>
      <c r="U2538">
        <v>3.4</v>
      </c>
      <c r="V2538">
        <v>463.14911888927151</v>
      </c>
      <c r="W2538">
        <v>14.33104807576899</v>
      </c>
      <c r="X2538" t="s">
        <v>111</v>
      </c>
      <c r="Y2538">
        <v>21</v>
      </c>
      <c r="Z2538">
        <v>0.18925608949732059</v>
      </c>
      <c r="AA2538">
        <v>31.536000000000001</v>
      </c>
    </row>
    <row r="2539" spans="1:27" hidden="1" x14ac:dyDescent="0.25">
      <c r="A2539" t="s">
        <v>98</v>
      </c>
      <c r="B2539" t="s">
        <v>1548</v>
      </c>
      <c r="D2539" t="s">
        <v>1722</v>
      </c>
      <c r="E2539" t="s">
        <v>101</v>
      </c>
      <c r="F2539" t="s">
        <v>117</v>
      </c>
      <c r="G2539" t="s">
        <v>103</v>
      </c>
      <c r="H2539" t="s">
        <v>104</v>
      </c>
      <c r="I2539">
        <v>2033</v>
      </c>
      <c r="J2539" t="s">
        <v>118</v>
      </c>
      <c r="K2539" t="s">
        <v>106</v>
      </c>
      <c r="L2539" t="s">
        <v>2941</v>
      </c>
      <c r="M2539" t="s">
        <v>2944</v>
      </c>
      <c r="N2539">
        <v>0</v>
      </c>
      <c r="O2539">
        <v>2033</v>
      </c>
      <c r="P2539">
        <v>483.9331327692995</v>
      </c>
      <c r="Q2539">
        <v>3.810497108419681</v>
      </c>
      <c r="R2539" t="s">
        <v>109</v>
      </c>
      <c r="S2539">
        <v>3.7</v>
      </c>
      <c r="T2539" t="s">
        <v>110</v>
      </c>
      <c r="U2539">
        <v>3.7</v>
      </c>
      <c r="V2539">
        <v>1651.2487853431401</v>
      </c>
      <c r="W2539">
        <v>13.00195893970977</v>
      </c>
      <c r="X2539" t="s">
        <v>111</v>
      </c>
      <c r="Y2539">
        <v>14.4</v>
      </c>
      <c r="Z2539">
        <v>0.18925608949732059</v>
      </c>
      <c r="AA2539">
        <v>31.536000000000001</v>
      </c>
    </row>
    <row r="2540" spans="1:27" hidden="1" x14ac:dyDescent="0.25">
      <c r="A2540" t="s">
        <v>98</v>
      </c>
      <c r="B2540" t="s">
        <v>1548</v>
      </c>
      <c r="D2540" t="s">
        <v>1722</v>
      </c>
      <c r="E2540" t="s">
        <v>101</v>
      </c>
      <c r="F2540" t="s">
        <v>117</v>
      </c>
      <c r="G2540" t="s">
        <v>67</v>
      </c>
      <c r="H2540" t="s">
        <v>104</v>
      </c>
      <c r="I2540">
        <v>2033</v>
      </c>
      <c r="J2540" t="s">
        <v>120</v>
      </c>
      <c r="K2540" t="s">
        <v>106</v>
      </c>
      <c r="L2540" t="s">
        <v>2941</v>
      </c>
      <c r="M2540" t="s">
        <v>2945</v>
      </c>
      <c r="N2540">
        <v>0</v>
      </c>
      <c r="O2540">
        <v>2033</v>
      </c>
      <c r="P2540">
        <v>497.90495550017158</v>
      </c>
      <c r="Q2540">
        <v>3.810497108419681</v>
      </c>
      <c r="R2540" t="s">
        <v>109</v>
      </c>
      <c r="S2540">
        <v>3.8</v>
      </c>
      <c r="T2540" t="s">
        <v>110</v>
      </c>
      <c r="U2540">
        <v>3.8</v>
      </c>
      <c r="V2540">
        <v>1698.9226347887429</v>
      </c>
      <c r="W2540">
        <v>13.00195893970977</v>
      </c>
      <c r="X2540" t="s">
        <v>111</v>
      </c>
      <c r="Y2540">
        <v>14.4</v>
      </c>
      <c r="Z2540">
        <v>0.18925608949732059</v>
      </c>
      <c r="AA2540">
        <v>31.536000000000001</v>
      </c>
    </row>
    <row r="2541" spans="1:27" hidden="1" x14ac:dyDescent="0.25">
      <c r="A2541" t="s">
        <v>98</v>
      </c>
      <c r="B2541" t="s">
        <v>1548</v>
      </c>
      <c r="D2541" t="s">
        <v>1722</v>
      </c>
      <c r="E2541" t="s">
        <v>101</v>
      </c>
      <c r="F2541" t="s">
        <v>117</v>
      </c>
      <c r="G2541" t="s">
        <v>112</v>
      </c>
      <c r="H2541" t="s">
        <v>104</v>
      </c>
      <c r="I2541">
        <v>2033</v>
      </c>
      <c r="J2541" t="s">
        <v>122</v>
      </c>
      <c r="K2541" t="s">
        <v>106</v>
      </c>
      <c r="L2541" t="s">
        <v>2941</v>
      </c>
      <c r="M2541" t="s">
        <v>2946</v>
      </c>
      <c r="N2541">
        <v>0</v>
      </c>
      <c r="O2541">
        <v>2033</v>
      </c>
      <c r="P2541">
        <v>513.14694393385037</v>
      </c>
      <c r="Q2541">
        <v>3.810497108419681</v>
      </c>
      <c r="R2541" t="s">
        <v>109</v>
      </c>
      <c r="S2541">
        <v>4</v>
      </c>
      <c r="T2541" t="s">
        <v>110</v>
      </c>
      <c r="U2541">
        <v>4</v>
      </c>
      <c r="V2541">
        <v>1750.930470547582</v>
      </c>
      <c r="W2541">
        <v>13.00195893970977</v>
      </c>
      <c r="X2541" t="s">
        <v>111</v>
      </c>
      <c r="Y2541">
        <v>14.4</v>
      </c>
      <c r="Z2541">
        <v>0.18925608949732059</v>
      </c>
      <c r="AA2541">
        <v>31.536000000000001</v>
      </c>
    </row>
    <row r="2542" spans="1:27" hidden="1" x14ac:dyDescent="0.25">
      <c r="A2542" t="s">
        <v>98</v>
      </c>
      <c r="B2542" t="s">
        <v>1548</v>
      </c>
      <c r="D2542" t="s">
        <v>1722</v>
      </c>
      <c r="E2542" t="s">
        <v>101</v>
      </c>
      <c r="F2542" t="s">
        <v>117</v>
      </c>
      <c r="G2542" t="s">
        <v>103</v>
      </c>
      <c r="H2542" t="s">
        <v>104</v>
      </c>
      <c r="I2542">
        <v>2023</v>
      </c>
      <c r="J2542" t="s">
        <v>124</v>
      </c>
      <c r="K2542" t="s">
        <v>106</v>
      </c>
      <c r="L2542" t="s">
        <v>2941</v>
      </c>
      <c r="M2542" t="s">
        <v>2947</v>
      </c>
      <c r="N2542">
        <v>0</v>
      </c>
      <c r="O2542">
        <v>2023</v>
      </c>
      <c r="P2542">
        <v>483.9331327692995</v>
      </c>
      <c r="Q2542">
        <v>3.810497108419681</v>
      </c>
      <c r="R2542" t="s">
        <v>109</v>
      </c>
      <c r="S2542">
        <v>3.7</v>
      </c>
      <c r="T2542" t="s">
        <v>110</v>
      </c>
      <c r="U2542">
        <v>3.7</v>
      </c>
      <c r="V2542">
        <v>1651.2487853431401</v>
      </c>
      <c r="W2542">
        <v>13.00195893970977</v>
      </c>
      <c r="X2542" t="s">
        <v>111</v>
      </c>
      <c r="Y2542">
        <v>14.4</v>
      </c>
      <c r="Z2542">
        <v>0.18925608949732059</v>
      </c>
      <c r="AA2542">
        <v>31.536000000000001</v>
      </c>
    </row>
    <row r="2543" spans="1:27" hidden="1" x14ac:dyDescent="0.25">
      <c r="A2543" t="s">
        <v>98</v>
      </c>
      <c r="B2543" t="s">
        <v>1548</v>
      </c>
      <c r="D2543" t="s">
        <v>1722</v>
      </c>
      <c r="E2543" t="s">
        <v>101</v>
      </c>
      <c r="F2543" t="s">
        <v>117</v>
      </c>
      <c r="G2543" t="s">
        <v>67</v>
      </c>
      <c r="H2543" t="s">
        <v>104</v>
      </c>
      <c r="I2543">
        <v>2023</v>
      </c>
      <c r="J2543" t="s">
        <v>126</v>
      </c>
      <c r="K2543" t="s">
        <v>106</v>
      </c>
      <c r="L2543" t="s">
        <v>2941</v>
      </c>
      <c r="M2543" t="s">
        <v>2948</v>
      </c>
      <c r="N2543">
        <v>0</v>
      </c>
      <c r="O2543">
        <v>2023</v>
      </c>
      <c r="P2543">
        <v>497.90495550017158</v>
      </c>
      <c r="Q2543">
        <v>3.810497108419681</v>
      </c>
      <c r="R2543" t="s">
        <v>109</v>
      </c>
      <c r="S2543">
        <v>3.8</v>
      </c>
      <c r="T2543" t="s">
        <v>110</v>
      </c>
      <c r="U2543">
        <v>3.8</v>
      </c>
      <c r="V2543">
        <v>1698.9226347887429</v>
      </c>
      <c r="W2543">
        <v>13.00195893970977</v>
      </c>
      <c r="X2543" t="s">
        <v>111</v>
      </c>
      <c r="Y2543">
        <v>14.4</v>
      </c>
      <c r="Z2543">
        <v>0.18925608949732059</v>
      </c>
      <c r="AA2543">
        <v>31.536000000000001</v>
      </c>
    </row>
    <row r="2544" spans="1:27" hidden="1" x14ac:dyDescent="0.25">
      <c r="A2544" t="s">
        <v>98</v>
      </c>
      <c r="B2544" t="s">
        <v>1548</v>
      </c>
      <c r="D2544" t="s">
        <v>1722</v>
      </c>
      <c r="E2544" t="s">
        <v>101</v>
      </c>
      <c r="F2544" t="s">
        <v>117</v>
      </c>
      <c r="G2544" t="s">
        <v>112</v>
      </c>
      <c r="H2544" t="s">
        <v>104</v>
      </c>
      <c r="I2544">
        <v>2023</v>
      </c>
      <c r="J2544" t="s">
        <v>128</v>
      </c>
      <c r="K2544" t="s">
        <v>106</v>
      </c>
      <c r="L2544" t="s">
        <v>2941</v>
      </c>
      <c r="M2544" t="s">
        <v>2949</v>
      </c>
      <c r="N2544">
        <v>0</v>
      </c>
      <c r="O2544">
        <v>2023</v>
      </c>
      <c r="P2544">
        <v>513.14694393385037</v>
      </c>
      <c r="Q2544">
        <v>3.810497108419681</v>
      </c>
      <c r="R2544" t="s">
        <v>109</v>
      </c>
      <c r="S2544">
        <v>4</v>
      </c>
      <c r="T2544" t="s">
        <v>110</v>
      </c>
      <c r="U2544">
        <v>4</v>
      </c>
      <c r="V2544">
        <v>1750.930470547582</v>
      </c>
      <c r="W2544">
        <v>13.00195893970977</v>
      </c>
      <c r="X2544" t="s">
        <v>111</v>
      </c>
      <c r="Y2544">
        <v>14.4</v>
      </c>
      <c r="Z2544">
        <v>0.18925608949732059</v>
      </c>
      <c r="AA2544">
        <v>31.536000000000001</v>
      </c>
    </row>
    <row r="2545" spans="1:27" hidden="1" x14ac:dyDescent="0.25">
      <c r="A2545" t="s">
        <v>98</v>
      </c>
      <c r="B2545" t="s">
        <v>1548</v>
      </c>
      <c r="D2545" t="s">
        <v>1722</v>
      </c>
      <c r="E2545" t="s">
        <v>101</v>
      </c>
      <c r="F2545" t="s">
        <v>130</v>
      </c>
      <c r="G2545" t="s">
        <v>103</v>
      </c>
      <c r="H2545" t="s">
        <v>131</v>
      </c>
      <c r="I2545">
        <v>2022</v>
      </c>
      <c r="J2545" t="s">
        <v>132</v>
      </c>
      <c r="K2545" t="s">
        <v>133</v>
      </c>
      <c r="L2545" t="s">
        <v>2941</v>
      </c>
      <c r="M2545" t="s">
        <v>2950</v>
      </c>
      <c r="N2545">
        <v>1</v>
      </c>
      <c r="O2545">
        <v>2020</v>
      </c>
      <c r="P2545">
        <v>335.32374554093201</v>
      </c>
      <c r="Q2545">
        <v>6.3000218859205397</v>
      </c>
      <c r="R2545" t="s">
        <v>109</v>
      </c>
      <c r="S2545">
        <v>1.4</v>
      </c>
      <c r="T2545" t="s">
        <v>110</v>
      </c>
      <c r="U2545">
        <v>1.4</v>
      </c>
      <c r="V2545">
        <v>1144.172386694459</v>
      </c>
      <c r="W2545">
        <v>21.496572113653482</v>
      </c>
      <c r="X2545" t="s">
        <v>111</v>
      </c>
      <c r="Y2545">
        <v>15</v>
      </c>
      <c r="Z2545">
        <v>0.18925608949732059</v>
      </c>
      <c r="AA2545">
        <v>31.536000000000001</v>
      </c>
    </row>
    <row r="2546" spans="1:27" hidden="1" x14ac:dyDescent="0.25">
      <c r="A2546" t="s">
        <v>98</v>
      </c>
      <c r="B2546" t="s">
        <v>1548</v>
      </c>
      <c r="D2546" t="s">
        <v>1722</v>
      </c>
      <c r="E2546" t="s">
        <v>101</v>
      </c>
      <c r="F2546" t="s">
        <v>135</v>
      </c>
      <c r="G2546" t="s">
        <v>103</v>
      </c>
      <c r="H2546" t="s">
        <v>136</v>
      </c>
      <c r="I2546">
        <v>2030</v>
      </c>
      <c r="J2546" t="s">
        <v>137</v>
      </c>
      <c r="K2546" t="s">
        <v>138</v>
      </c>
      <c r="L2546" t="s">
        <v>2941</v>
      </c>
      <c r="M2546" t="s">
        <v>2951</v>
      </c>
      <c r="N2546">
        <v>1</v>
      </c>
      <c r="O2546">
        <v>2030</v>
      </c>
      <c r="P2546">
        <v>55.186509846078152</v>
      </c>
      <c r="Q2546">
        <v>4.0294911951104666</v>
      </c>
      <c r="R2546" t="s">
        <v>109</v>
      </c>
      <c r="S2546">
        <v>0.87</v>
      </c>
      <c r="T2546" t="s">
        <v>110</v>
      </c>
      <c r="U2546">
        <v>0.87</v>
      </c>
      <c r="V2546">
        <v>188.30423291993449</v>
      </c>
      <c r="W2546">
        <v>13.749197959233321</v>
      </c>
      <c r="X2546" t="s">
        <v>111</v>
      </c>
      <c r="Y2546">
        <v>25</v>
      </c>
      <c r="Z2546">
        <v>0.18925608949732059</v>
      </c>
      <c r="AA2546">
        <v>31.536000000000001</v>
      </c>
    </row>
    <row r="2547" spans="1:27" hidden="1" x14ac:dyDescent="0.25">
      <c r="A2547" t="s">
        <v>98</v>
      </c>
      <c r="B2547" t="s">
        <v>1548</v>
      </c>
      <c r="D2547" t="s">
        <v>1722</v>
      </c>
      <c r="E2547" t="s">
        <v>101</v>
      </c>
      <c r="F2547" t="s">
        <v>135</v>
      </c>
      <c r="G2547" t="s">
        <v>103</v>
      </c>
      <c r="H2547" t="s">
        <v>136</v>
      </c>
      <c r="I2547">
        <v>2040</v>
      </c>
      <c r="J2547" t="s">
        <v>140</v>
      </c>
      <c r="K2547" t="s">
        <v>138</v>
      </c>
      <c r="L2547" t="s">
        <v>2941</v>
      </c>
      <c r="M2547" t="s">
        <v>2952</v>
      </c>
      <c r="N2547">
        <v>1</v>
      </c>
      <c r="O2547">
        <v>2040</v>
      </c>
      <c r="P2547">
        <v>53.946363557402229</v>
      </c>
      <c r="Q2547">
        <v>3.9389408311754002</v>
      </c>
      <c r="R2547" t="s">
        <v>109</v>
      </c>
      <c r="S2547">
        <v>0.89</v>
      </c>
      <c r="T2547" t="s">
        <v>110</v>
      </c>
      <c r="U2547">
        <v>0.89</v>
      </c>
      <c r="V2547">
        <v>184.07267712398101</v>
      </c>
      <c r="W2547">
        <v>13.440227218576389</v>
      </c>
      <c r="X2547" t="s">
        <v>111</v>
      </c>
      <c r="Y2547">
        <v>25</v>
      </c>
      <c r="Z2547">
        <v>0.18925608949732059</v>
      </c>
      <c r="AA2547">
        <v>31.536000000000001</v>
      </c>
    </row>
    <row r="2548" spans="1:27" hidden="1" x14ac:dyDescent="0.25">
      <c r="A2548" t="s">
        <v>98</v>
      </c>
      <c r="B2548" t="s">
        <v>1548</v>
      </c>
      <c r="D2548" t="s">
        <v>1722</v>
      </c>
      <c r="E2548" t="s">
        <v>142</v>
      </c>
      <c r="F2548" t="s">
        <v>102</v>
      </c>
      <c r="G2548" t="s">
        <v>103</v>
      </c>
      <c r="H2548" t="s">
        <v>104</v>
      </c>
      <c r="I2548">
        <v>2061</v>
      </c>
      <c r="J2548" t="s">
        <v>143</v>
      </c>
      <c r="K2548" t="s">
        <v>106</v>
      </c>
      <c r="L2548" t="s">
        <v>2953</v>
      </c>
      <c r="M2548" t="s">
        <v>2954</v>
      </c>
      <c r="N2548">
        <v>0</v>
      </c>
      <c r="O2548">
        <v>2061</v>
      </c>
      <c r="P2548">
        <v>117.0584711706526</v>
      </c>
      <c r="Q2548">
        <v>4.2000145906136934</v>
      </c>
      <c r="R2548" t="s">
        <v>109</v>
      </c>
      <c r="S2548">
        <v>3.2239155920281362</v>
      </c>
      <c r="T2548" t="s">
        <v>110</v>
      </c>
      <c r="U2548">
        <v>3.2239155920281362</v>
      </c>
      <c r="V2548">
        <v>399.42017862788401</v>
      </c>
      <c r="W2548">
        <v>14.33104807576899</v>
      </c>
      <c r="X2548" t="s">
        <v>111</v>
      </c>
      <c r="Y2548">
        <v>21</v>
      </c>
      <c r="Z2548">
        <v>0.21443134850376791</v>
      </c>
      <c r="AA2548">
        <v>31.536000000000001</v>
      </c>
    </row>
    <row r="2549" spans="1:27" hidden="1" x14ac:dyDescent="0.25">
      <c r="A2549" t="s">
        <v>98</v>
      </c>
      <c r="B2549" t="s">
        <v>1548</v>
      </c>
      <c r="D2549" t="s">
        <v>1722</v>
      </c>
      <c r="E2549" t="s">
        <v>142</v>
      </c>
      <c r="F2549" t="s">
        <v>102</v>
      </c>
      <c r="G2549" t="s">
        <v>112</v>
      </c>
      <c r="H2549" t="s">
        <v>104</v>
      </c>
      <c r="I2549">
        <v>2022</v>
      </c>
      <c r="J2549" t="s">
        <v>146</v>
      </c>
      <c r="K2549" t="s">
        <v>106</v>
      </c>
      <c r="L2549" t="s">
        <v>2953</v>
      </c>
      <c r="M2549" t="s">
        <v>2955</v>
      </c>
      <c r="N2549">
        <v>1</v>
      </c>
      <c r="O2549">
        <v>2020</v>
      </c>
      <c r="P2549">
        <v>200.7885700942916</v>
      </c>
      <c r="Q2549">
        <v>4.2000145906136934</v>
      </c>
      <c r="R2549" t="s">
        <v>109</v>
      </c>
      <c r="S2549">
        <v>3.8393903868698711</v>
      </c>
      <c r="T2549" t="s">
        <v>110</v>
      </c>
      <c r="U2549">
        <v>3.8393903868698711</v>
      </c>
      <c r="V2549">
        <v>685.1192035182313</v>
      </c>
      <c r="W2549">
        <v>14.33104807576899</v>
      </c>
      <c r="X2549" t="s">
        <v>111</v>
      </c>
      <c r="Y2549">
        <v>21</v>
      </c>
      <c r="Z2549">
        <v>0.21443134850376791</v>
      </c>
      <c r="AA2549">
        <v>31.536000000000001</v>
      </c>
    </row>
    <row r="2550" spans="1:27" hidden="1" x14ac:dyDescent="0.25">
      <c r="A2550" t="s">
        <v>98</v>
      </c>
      <c r="B2550" t="s">
        <v>1548</v>
      </c>
      <c r="D2550" t="s">
        <v>1722</v>
      </c>
      <c r="E2550" t="s">
        <v>142</v>
      </c>
      <c r="F2550" t="s">
        <v>102</v>
      </c>
      <c r="G2550" t="s">
        <v>103</v>
      </c>
      <c r="H2550" t="s">
        <v>104</v>
      </c>
      <c r="I2550">
        <v>2023</v>
      </c>
      <c r="J2550" t="s">
        <v>148</v>
      </c>
      <c r="K2550" t="s">
        <v>106</v>
      </c>
      <c r="L2550" t="s">
        <v>2953</v>
      </c>
      <c r="M2550" t="s">
        <v>2956</v>
      </c>
      <c r="N2550">
        <v>0</v>
      </c>
      <c r="O2550">
        <v>2023</v>
      </c>
      <c r="P2550">
        <v>135.73557542199771</v>
      </c>
      <c r="Q2550">
        <v>4.2000145906136934</v>
      </c>
      <c r="R2550" t="s">
        <v>109</v>
      </c>
      <c r="S2550">
        <v>3.4290738569753811</v>
      </c>
      <c r="T2550" t="s">
        <v>110</v>
      </c>
      <c r="U2550">
        <v>3.4290738569753811</v>
      </c>
      <c r="V2550">
        <v>463.14911888927151</v>
      </c>
      <c r="W2550">
        <v>14.33104807576899</v>
      </c>
      <c r="X2550" t="s">
        <v>111</v>
      </c>
      <c r="Y2550">
        <v>21</v>
      </c>
      <c r="Z2550">
        <v>0.21443134850376791</v>
      </c>
      <c r="AA2550">
        <v>31.536000000000001</v>
      </c>
    </row>
    <row r="2551" spans="1:27" hidden="1" x14ac:dyDescent="0.25">
      <c r="A2551" t="s">
        <v>98</v>
      </c>
      <c r="B2551" t="s">
        <v>1548</v>
      </c>
      <c r="D2551" t="s">
        <v>1722</v>
      </c>
      <c r="E2551" t="s">
        <v>142</v>
      </c>
      <c r="F2551" t="s">
        <v>117</v>
      </c>
      <c r="G2551" t="s">
        <v>103</v>
      </c>
      <c r="H2551" t="s">
        <v>104</v>
      </c>
      <c r="I2551">
        <v>2033</v>
      </c>
      <c r="J2551" t="s">
        <v>150</v>
      </c>
      <c r="K2551" t="s">
        <v>106</v>
      </c>
      <c r="L2551" t="s">
        <v>2953</v>
      </c>
      <c r="M2551" t="s">
        <v>2957</v>
      </c>
      <c r="N2551">
        <v>0</v>
      </c>
      <c r="O2551">
        <v>2033</v>
      </c>
      <c r="P2551">
        <v>483.9331327692995</v>
      </c>
      <c r="Q2551">
        <v>3.810497108419681</v>
      </c>
      <c r="R2551" t="s">
        <v>109</v>
      </c>
      <c r="S2551">
        <v>5.0996483001172326</v>
      </c>
      <c r="T2551" t="s">
        <v>110</v>
      </c>
      <c r="U2551">
        <v>5.0996483001172326</v>
      </c>
      <c r="V2551">
        <v>1651.2487853431401</v>
      </c>
      <c r="W2551">
        <v>13.00195893970977</v>
      </c>
      <c r="X2551" t="s">
        <v>111</v>
      </c>
      <c r="Y2551">
        <v>14.4</v>
      </c>
      <c r="Z2551">
        <v>0.21443134850376791</v>
      </c>
      <c r="AA2551">
        <v>31.536000000000001</v>
      </c>
    </row>
    <row r="2552" spans="1:27" hidden="1" x14ac:dyDescent="0.25">
      <c r="A2552" t="s">
        <v>98</v>
      </c>
      <c r="B2552" t="s">
        <v>1548</v>
      </c>
      <c r="D2552" t="s">
        <v>1722</v>
      </c>
      <c r="E2552" t="s">
        <v>142</v>
      </c>
      <c r="F2552" t="s">
        <v>117</v>
      </c>
      <c r="G2552" t="s">
        <v>67</v>
      </c>
      <c r="H2552" t="s">
        <v>104</v>
      </c>
      <c r="I2552">
        <v>2033</v>
      </c>
      <c r="J2552" t="s">
        <v>152</v>
      </c>
      <c r="K2552" t="s">
        <v>106</v>
      </c>
      <c r="L2552" t="s">
        <v>2953</v>
      </c>
      <c r="M2552" t="s">
        <v>2958</v>
      </c>
      <c r="N2552">
        <v>0</v>
      </c>
      <c r="O2552">
        <v>2033</v>
      </c>
      <c r="P2552">
        <v>497.90495550017158</v>
      </c>
      <c r="Q2552">
        <v>3.810497108419681</v>
      </c>
      <c r="R2552" t="s">
        <v>109</v>
      </c>
      <c r="S2552">
        <v>5.7737397420867529</v>
      </c>
      <c r="T2552" t="s">
        <v>110</v>
      </c>
      <c r="U2552">
        <v>5.7737397420867529</v>
      </c>
      <c r="V2552">
        <v>1698.9226347887429</v>
      </c>
      <c r="W2552">
        <v>13.00195893970977</v>
      </c>
      <c r="X2552" t="s">
        <v>111</v>
      </c>
      <c r="Y2552">
        <v>14.4</v>
      </c>
      <c r="Z2552">
        <v>0.21443134850376791</v>
      </c>
      <c r="AA2552">
        <v>31.536000000000001</v>
      </c>
    </row>
    <row r="2553" spans="1:27" hidden="1" x14ac:dyDescent="0.25">
      <c r="A2553" t="s">
        <v>98</v>
      </c>
      <c r="B2553" t="s">
        <v>1548</v>
      </c>
      <c r="D2553" t="s">
        <v>1722</v>
      </c>
      <c r="E2553" t="s">
        <v>142</v>
      </c>
      <c r="F2553" t="s">
        <v>117</v>
      </c>
      <c r="G2553" t="s">
        <v>112</v>
      </c>
      <c r="H2553" t="s">
        <v>104</v>
      </c>
      <c r="I2553">
        <v>2033</v>
      </c>
      <c r="J2553" t="s">
        <v>154</v>
      </c>
      <c r="K2553" t="s">
        <v>106</v>
      </c>
      <c r="L2553" t="s">
        <v>2953</v>
      </c>
      <c r="M2553" t="s">
        <v>2959</v>
      </c>
      <c r="N2553">
        <v>0</v>
      </c>
      <c r="O2553">
        <v>2033</v>
      </c>
      <c r="P2553">
        <v>513.14694393385037</v>
      </c>
      <c r="Q2553">
        <v>3.810497108419681</v>
      </c>
      <c r="R2553" t="s">
        <v>109</v>
      </c>
      <c r="S2553">
        <v>6.4771395076201648</v>
      </c>
      <c r="T2553" t="s">
        <v>110</v>
      </c>
      <c r="U2553">
        <v>6.4771395076201648</v>
      </c>
      <c r="V2553">
        <v>1750.930470547582</v>
      </c>
      <c r="W2553">
        <v>13.00195893970977</v>
      </c>
      <c r="X2553" t="s">
        <v>111</v>
      </c>
      <c r="Y2553">
        <v>14.4</v>
      </c>
      <c r="Z2553">
        <v>0.21443134850376791</v>
      </c>
      <c r="AA2553">
        <v>31.536000000000001</v>
      </c>
    </row>
    <row r="2554" spans="1:27" hidden="1" x14ac:dyDescent="0.25">
      <c r="A2554" t="s">
        <v>98</v>
      </c>
      <c r="B2554" t="s">
        <v>1548</v>
      </c>
      <c r="D2554" t="s">
        <v>1722</v>
      </c>
      <c r="E2554" t="s">
        <v>142</v>
      </c>
      <c r="F2554" t="s">
        <v>117</v>
      </c>
      <c r="G2554" t="s">
        <v>103</v>
      </c>
      <c r="H2554" t="s">
        <v>104</v>
      </c>
      <c r="I2554">
        <v>2023</v>
      </c>
      <c r="J2554" t="s">
        <v>156</v>
      </c>
      <c r="K2554" t="s">
        <v>106</v>
      </c>
      <c r="L2554" t="s">
        <v>2953</v>
      </c>
      <c r="M2554" t="s">
        <v>2960</v>
      </c>
      <c r="N2554">
        <v>0</v>
      </c>
      <c r="O2554">
        <v>2023</v>
      </c>
      <c r="P2554">
        <v>498.32834406777368</v>
      </c>
      <c r="Q2554">
        <v>3.810497108419681</v>
      </c>
      <c r="R2554" t="s">
        <v>109</v>
      </c>
      <c r="S2554">
        <v>3.833333333333333</v>
      </c>
      <c r="T2554" t="s">
        <v>110</v>
      </c>
      <c r="U2554">
        <v>3.833333333333333</v>
      </c>
      <c r="V2554">
        <v>1700.3672968931551</v>
      </c>
      <c r="W2554">
        <v>13.00195893970977</v>
      </c>
      <c r="X2554" t="s">
        <v>111</v>
      </c>
      <c r="Y2554">
        <v>14.4</v>
      </c>
      <c r="Z2554">
        <v>0.21443134850376791</v>
      </c>
      <c r="AA2554">
        <v>31.536000000000001</v>
      </c>
    </row>
    <row r="2555" spans="1:27" hidden="1" x14ac:dyDescent="0.25">
      <c r="A2555" t="s">
        <v>98</v>
      </c>
      <c r="B2555" t="s">
        <v>1548</v>
      </c>
      <c r="D2555" t="s">
        <v>1722</v>
      </c>
      <c r="E2555" t="s">
        <v>142</v>
      </c>
      <c r="F2555" t="s">
        <v>130</v>
      </c>
      <c r="G2555" t="s">
        <v>103</v>
      </c>
      <c r="H2555" t="s">
        <v>131</v>
      </c>
      <c r="I2555">
        <v>2022</v>
      </c>
      <c r="J2555" t="s">
        <v>158</v>
      </c>
      <c r="K2555" t="s">
        <v>133</v>
      </c>
      <c r="L2555" t="s">
        <v>2953</v>
      </c>
      <c r="M2555" t="s">
        <v>2961</v>
      </c>
      <c r="N2555">
        <v>1</v>
      </c>
      <c r="O2555">
        <v>2020</v>
      </c>
      <c r="P2555">
        <v>335.32374554093201</v>
      </c>
      <c r="Q2555">
        <v>6.3000218859205397</v>
      </c>
      <c r="R2555" t="s">
        <v>109</v>
      </c>
      <c r="S2555">
        <v>1.2</v>
      </c>
      <c r="T2555" t="s">
        <v>110</v>
      </c>
      <c r="U2555">
        <v>1.2</v>
      </c>
      <c r="V2555">
        <v>1144.172386694459</v>
      </c>
      <c r="W2555">
        <v>21.496572113653482</v>
      </c>
      <c r="X2555" t="s">
        <v>111</v>
      </c>
      <c r="Y2555">
        <v>15</v>
      </c>
      <c r="Z2555">
        <v>0.21443134850376791</v>
      </c>
      <c r="AA2555">
        <v>31.536000000000001</v>
      </c>
    </row>
    <row r="2556" spans="1:27" hidden="1" x14ac:dyDescent="0.25">
      <c r="A2556" t="s">
        <v>98</v>
      </c>
      <c r="B2556" t="s">
        <v>1548</v>
      </c>
      <c r="D2556" t="s">
        <v>1722</v>
      </c>
      <c r="E2556" t="s">
        <v>142</v>
      </c>
      <c r="F2556" t="s">
        <v>160</v>
      </c>
      <c r="G2556" t="s">
        <v>103</v>
      </c>
      <c r="H2556" t="s">
        <v>104</v>
      </c>
      <c r="I2556">
        <v>2030</v>
      </c>
      <c r="J2556" t="s">
        <v>161</v>
      </c>
      <c r="K2556" t="s">
        <v>106</v>
      </c>
      <c r="L2556" t="s">
        <v>2953</v>
      </c>
      <c r="M2556" t="s">
        <v>2962</v>
      </c>
      <c r="N2556">
        <v>1</v>
      </c>
      <c r="O2556">
        <v>2030</v>
      </c>
      <c r="P2556">
        <v>93.992262007685454</v>
      </c>
      <c r="Q2556">
        <v>4.3185633895423052</v>
      </c>
      <c r="R2556" t="s">
        <v>109</v>
      </c>
      <c r="S2556">
        <v>4.8178066132425448</v>
      </c>
      <c r="T2556" t="s">
        <v>110</v>
      </c>
      <c r="U2556">
        <v>4.8178066132425448</v>
      </c>
      <c r="V2556">
        <v>320.71498717950749</v>
      </c>
      <c r="W2556">
        <v>14.735553465004401</v>
      </c>
      <c r="X2556" t="s">
        <v>111</v>
      </c>
      <c r="Y2556">
        <v>20</v>
      </c>
      <c r="Z2556">
        <v>0.21443134850376791</v>
      </c>
      <c r="AA2556">
        <v>31.536000000000001</v>
      </c>
    </row>
    <row r="2557" spans="1:27" hidden="1" x14ac:dyDescent="0.25">
      <c r="A2557" t="s">
        <v>98</v>
      </c>
      <c r="B2557" t="s">
        <v>1548</v>
      </c>
      <c r="D2557" t="s">
        <v>1722</v>
      </c>
      <c r="E2557" t="s">
        <v>142</v>
      </c>
      <c r="F2557" t="s">
        <v>160</v>
      </c>
      <c r="G2557" t="s">
        <v>112</v>
      </c>
      <c r="H2557" t="s">
        <v>104</v>
      </c>
      <c r="I2557">
        <v>2030</v>
      </c>
      <c r="J2557" t="s">
        <v>163</v>
      </c>
      <c r="K2557" t="s">
        <v>106</v>
      </c>
      <c r="L2557" t="s">
        <v>2953</v>
      </c>
      <c r="M2557" t="s">
        <v>2963</v>
      </c>
      <c r="N2557">
        <v>1</v>
      </c>
      <c r="O2557">
        <v>2030</v>
      </c>
      <c r="P2557">
        <v>104.15358763013791</v>
      </c>
      <c r="Q2557">
        <v>4.3185633895423052</v>
      </c>
      <c r="R2557" t="s">
        <v>109</v>
      </c>
      <c r="S2557">
        <v>5.1720570995103783</v>
      </c>
      <c r="T2557" t="s">
        <v>110</v>
      </c>
      <c r="U2557">
        <v>5.1720570995103783</v>
      </c>
      <c r="V2557">
        <v>355.38687768540018</v>
      </c>
      <c r="W2557">
        <v>14.735553465004401</v>
      </c>
      <c r="X2557" t="s">
        <v>111</v>
      </c>
      <c r="Y2557">
        <v>20</v>
      </c>
      <c r="Z2557">
        <v>0.21443134850376791</v>
      </c>
      <c r="AA2557">
        <v>31.536000000000001</v>
      </c>
    </row>
    <row r="2558" spans="1:27" hidden="1" x14ac:dyDescent="0.25">
      <c r="A2558" t="s">
        <v>98</v>
      </c>
      <c r="B2558" t="s">
        <v>1548</v>
      </c>
      <c r="D2558" t="s">
        <v>1722</v>
      </c>
      <c r="E2558" t="s">
        <v>142</v>
      </c>
      <c r="F2558" t="s">
        <v>160</v>
      </c>
      <c r="G2558" t="s">
        <v>103</v>
      </c>
      <c r="H2558" t="s">
        <v>104</v>
      </c>
      <c r="I2558">
        <v>2040</v>
      </c>
      <c r="J2558" t="s">
        <v>165</v>
      </c>
      <c r="K2558" t="s">
        <v>106</v>
      </c>
      <c r="L2558" t="s">
        <v>2953</v>
      </c>
      <c r="M2558" t="s">
        <v>2964</v>
      </c>
      <c r="N2558">
        <v>1</v>
      </c>
      <c r="O2558">
        <v>2040</v>
      </c>
      <c r="P2558">
        <v>93.992262007685454</v>
      </c>
      <c r="Q2558">
        <v>4.3185633895423052</v>
      </c>
      <c r="R2558" t="s">
        <v>109</v>
      </c>
      <c r="S2558">
        <v>4.9535194755874059</v>
      </c>
      <c r="T2558" t="s">
        <v>110</v>
      </c>
      <c r="U2558">
        <v>4.9535194755874059</v>
      </c>
      <c r="V2558">
        <v>320.71498717950749</v>
      </c>
      <c r="W2558">
        <v>14.735553465004401</v>
      </c>
      <c r="X2558" t="s">
        <v>111</v>
      </c>
      <c r="Y2558">
        <v>20</v>
      </c>
      <c r="Z2558">
        <v>0.21443134850376791</v>
      </c>
      <c r="AA2558">
        <v>31.536000000000001</v>
      </c>
    </row>
    <row r="2559" spans="1:27" hidden="1" x14ac:dyDescent="0.25">
      <c r="A2559" t="s">
        <v>98</v>
      </c>
      <c r="B2559" t="s">
        <v>1548</v>
      </c>
      <c r="D2559" t="s">
        <v>1722</v>
      </c>
      <c r="E2559" t="s">
        <v>142</v>
      </c>
      <c r="F2559" t="s">
        <v>160</v>
      </c>
      <c r="G2559" t="s">
        <v>112</v>
      </c>
      <c r="H2559" t="s">
        <v>104</v>
      </c>
      <c r="I2559">
        <v>2040</v>
      </c>
      <c r="J2559" t="s">
        <v>167</v>
      </c>
      <c r="K2559" t="s">
        <v>106</v>
      </c>
      <c r="L2559" t="s">
        <v>2953</v>
      </c>
      <c r="M2559" t="s">
        <v>2965</v>
      </c>
      <c r="N2559">
        <v>1</v>
      </c>
      <c r="O2559">
        <v>2040</v>
      </c>
      <c r="P2559">
        <v>104.15358763013791</v>
      </c>
      <c r="Q2559">
        <v>4.3185633895423052</v>
      </c>
      <c r="R2559" t="s">
        <v>109</v>
      </c>
      <c r="S2559">
        <v>5.4107674271800876</v>
      </c>
      <c r="T2559" t="s">
        <v>110</v>
      </c>
      <c r="U2559">
        <v>5.4107674271800876</v>
      </c>
      <c r="V2559">
        <v>355.38687768540018</v>
      </c>
      <c r="W2559">
        <v>14.735553465004401</v>
      </c>
      <c r="X2559" t="s">
        <v>111</v>
      </c>
      <c r="Y2559">
        <v>20</v>
      </c>
      <c r="Z2559">
        <v>0.21443134850376791</v>
      </c>
      <c r="AA2559">
        <v>31.536000000000001</v>
      </c>
    </row>
    <row r="2560" spans="1:27" hidden="1" x14ac:dyDescent="0.25">
      <c r="A2560" t="s">
        <v>98</v>
      </c>
      <c r="B2560" t="s">
        <v>1548</v>
      </c>
      <c r="D2560" t="s">
        <v>1722</v>
      </c>
      <c r="E2560" t="s">
        <v>142</v>
      </c>
      <c r="F2560" t="s">
        <v>160</v>
      </c>
      <c r="G2560" t="s">
        <v>112</v>
      </c>
      <c r="H2560" t="s">
        <v>104</v>
      </c>
      <c r="I2560">
        <v>2022</v>
      </c>
      <c r="J2560" t="s">
        <v>169</v>
      </c>
      <c r="K2560" t="s">
        <v>106</v>
      </c>
      <c r="L2560" t="s">
        <v>2953</v>
      </c>
      <c r="M2560" t="s">
        <v>2966</v>
      </c>
      <c r="N2560">
        <v>1</v>
      </c>
      <c r="O2560">
        <v>2020</v>
      </c>
      <c r="P2560">
        <v>104.15358763013791</v>
      </c>
      <c r="Q2560">
        <v>4.3185633895423052</v>
      </c>
      <c r="R2560" t="s">
        <v>109</v>
      </c>
      <c r="S2560">
        <v>4.9886508193858967</v>
      </c>
      <c r="T2560" t="s">
        <v>110</v>
      </c>
      <c r="U2560">
        <v>4.9886508193858967</v>
      </c>
      <c r="V2560">
        <v>355.38687768540018</v>
      </c>
      <c r="W2560">
        <v>14.735553465004401</v>
      </c>
      <c r="X2560" t="s">
        <v>111</v>
      </c>
      <c r="Y2560">
        <v>20</v>
      </c>
      <c r="Z2560">
        <v>0.21443134850376791</v>
      </c>
      <c r="AA2560">
        <v>31.536000000000001</v>
      </c>
    </row>
    <row r="2561" spans="1:27" hidden="1" x14ac:dyDescent="0.25">
      <c r="A2561" t="s">
        <v>98</v>
      </c>
      <c r="B2561" t="s">
        <v>1548</v>
      </c>
      <c r="D2561" t="s">
        <v>1722</v>
      </c>
      <c r="E2561" t="s">
        <v>142</v>
      </c>
      <c r="F2561" t="s">
        <v>171</v>
      </c>
      <c r="G2561" t="s">
        <v>172</v>
      </c>
      <c r="H2561" t="s">
        <v>104</v>
      </c>
      <c r="I2561">
        <v>2061</v>
      </c>
      <c r="J2561" t="s">
        <v>173</v>
      </c>
      <c r="K2561" t="s">
        <v>106</v>
      </c>
      <c r="L2561" t="s">
        <v>2953</v>
      </c>
      <c r="M2561" t="s">
        <v>2967</v>
      </c>
      <c r="N2561">
        <v>1</v>
      </c>
      <c r="O2561">
        <v>2061</v>
      </c>
      <c r="P2561">
        <v>90.181764899265772</v>
      </c>
      <c r="Q2561">
        <v>3.3024308272970568</v>
      </c>
      <c r="R2561" t="s">
        <v>109</v>
      </c>
      <c r="S2561">
        <v>4.1038492738238714</v>
      </c>
      <c r="T2561" t="s">
        <v>110</v>
      </c>
      <c r="U2561">
        <v>4.1038492738238714</v>
      </c>
      <c r="V2561">
        <v>307.71302823979772</v>
      </c>
      <c r="W2561">
        <v>11.26836441441513</v>
      </c>
      <c r="X2561" t="s">
        <v>111</v>
      </c>
      <c r="Y2561">
        <v>20</v>
      </c>
      <c r="Z2561">
        <v>0.21443134850376791</v>
      </c>
      <c r="AA2561">
        <v>31.536000000000001</v>
      </c>
    </row>
    <row r="2562" spans="1:27" hidden="1" x14ac:dyDescent="0.25">
      <c r="A2562" t="s">
        <v>98</v>
      </c>
      <c r="B2562" t="s">
        <v>1548</v>
      </c>
      <c r="D2562" t="s">
        <v>1722</v>
      </c>
      <c r="E2562" t="s">
        <v>142</v>
      </c>
      <c r="F2562" t="s">
        <v>171</v>
      </c>
      <c r="G2562" t="s">
        <v>112</v>
      </c>
      <c r="H2562" t="s">
        <v>104</v>
      </c>
      <c r="I2562">
        <v>2022</v>
      </c>
      <c r="J2562" t="s">
        <v>175</v>
      </c>
      <c r="K2562" t="s">
        <v>106</v>
      </c>
      <c r="L2562" t="s">
        <v>2953</v>
      </c>
      <c r="M2562" t="s">
        <v>2968</v>
      </c>
      <c r="N2562">
        <v>1</v>
      </c>
      <c r="O2562">
        <v>2020</v>
      </c>
      <c r="P2562">
        <v>99.072924818911702</v>
      </c>
      <c r="Q2562">
        <v>3.3024308272970568</v>
      </c>
      <c r="R2562" t="s">
        <v>109</v>
      </c>
      <c r="S2562">
        <v>6.6358468446548251</v>
      </c>
      <c r="T2562" t="s">
        <v>110</v>
      </c>
      <c r="U2562">
        <v>6.6358468446548251</v>
      </c>
      <c r="V2562">
        <v>338.05093243245392</v>
      </c>
      <c r="W2562">
        <v>11.26836441441513</v>
      </c>
      <c r="X2562" t="s">
        <v>111</v>
      </c>
      <c r="Y2562">
        <v>20</v>
      </c>
      <c r="Z2562">
        <v>0.21443134850376791</v>
      </c>
      <c r="AA2562">
        <v>31.536000000000001</v>
      </c>
    </row>
    <row r="2563" spans="1:27" hidden="1" x14ac:dyDescent="0.25">
      <c r="A2563" t="s">
        <v>98</v>
      </c>
      <c r="B2563" t="s">
        <v>1548</v>
      </c>
      <c r="D2563" t="s">
        <v>1722</v>
      </c>
      <c r="E2563" t="s">
        <v>142</v>
      </c>
      <c r="F2563" t="s">
        <v>171</v>
      </c>
      <c r="G2563" t="s">
        <v>103</v>
      </c>
      <c r="H2563" t="s">
        <v>104</v>
      </c>
      <c r="I2563">
        <v>2030</v>
      </c>
      <c r="J2563" t="s">
        <v>177</v>
      </c>
      <c r="K2563" t="s">
        <v>106</v>
      </c>
      <c r="L2563" t="s">
        <v>2953</v>
      </c>
      <c r="M2563" t="s">
        <v>2969</v>
      </c>
      <c r="N2563">
        <v>1</v>
      </c>
      <c r="O2563">
        <v>2030</v>
      </c>
      <c r="P2563">
        <v>90.181764899265772</v>
      </c>
      <c r="Q2563">
        <v>3.3024308272970568</v>
      </c>
      <c r="R2563" t="s">
        <v>109</v>
      </c>
      <c r="S2563">
        <v>4.8847205939820251</v>
      </c>
      <c r="T2563" t="s">
        <v>110</v>
      </c>
      <c r="U2563">
        <v>4.8847205939820251</v>
      </c>
      <c r="V2563">
        <v>307.71302823979772</v>
      </c>
      <c r="W2563">
        <v>11.26836441441513</v>
      </c>
      <c r="X2563" t="s">
        <v>111</v>
      </c>
      <c r="Y2563">
        <v>20</v>
      </c>
      <c r="Z2563">
        <v>0.21443134850376791</v>
      </c>
      <c r="AA2563">
        <v>31.536000000000001</v>
      </c>
    </row>
    <row r="2564" spans="1:27" hidden="1" x14ac:dyDescent="0.25">
      <c r="A2564" t="s">
        <v>98</v>
      </c>
      <c r="B2564" t="s">
        <v>1548</v>
      </c>
      <c r="D2564" t="s">
        <v>1722</v>
      </c>
      <c r="E2564" t="s">
        <v>142</v>
      </c>
      <c r="F2564" t="s">
        <v>171</v>
      </c>
      <c r="G2564" t="s">
        <v>112</v>
      </c>
      <c r="H2564" t="s">
        <v>104</v>
      </c>
      <c r="I2564">
        <v>2030</v>
      </c>
      <c r="J2564" t="s">
        <v>179</v>
      </c>
      <c r="K2564" t="s">
        <v>106</v>
      </c>
      <c r="L2564" t="s">
        <v>2953</v>
      </c>
      <c r="M2564" t="s">
        <v>2970</v>
      </c>
      <c r="N2564">
        <v>1</v>
      </c>
      <c r="O2564">
        <v>2030</v>
      </c>
      <c r="P2564">
        <v>99.072924818911702</v>
      </c>
      <c r="Q2564">
        <v>3.3024308272970568</v>
      </c>
      <c r="R2564" t="s">
        <v>109</v>
      </c>
      <c r="S2564">
        <v>7.1775486278919534</v>
      </c>
      <c r="T2564" t="s">
        <v>110</v>
      </c>
      <c r="U2564">
        <v>7.1775486278919534</v>
      </c>
      <c r="V2564">
        <v>338.05093243245392</v>
      </c>
      <c r="W2564">
        <v>11.26836441441513</v>
      </c>
      <c r="X2564" t="s">
        <v>111</v>
      </c>
      <c r="Y2564">
        <v>20</v>
      </c>
      <c r="Z2564">
        <v>0.21443134850376791</v>
      </c>
      <c r="AA2564">
        <v>31.536000000000001</v>
      </c>
    </row>
    <row r="2565" spans="1:27" hidden="1" x14ac:dyDescent="0.25">
      <c r="A2565" t="s">
        <v>98</v>
      </c>
      <c r="B2565" t="s">
        <v>1548</v>
      </c>
      <c r="D2565" t="s">
        <v>1722</v>
      </c>
      <c r="E2565" t="s">
        <v>142</v>
      </c>
      <c r="F2565" t="s">
        <v>171</v>
      </c>
      <c r="G2565" t="s">
        <v>103</v>
      </c>
      <c r="H2565" t="s">
        <v>104</v>
      </c>
      <c r="I2565">
        <v>2040</v>
      </c>
      <c r="J2565" t="s">
        <v>181</v>
      </c>
      <c r="K2565" t="s">
        <v>106</v>
      </c>
      <c r="L2565" t="s">
        <v>2953</v>
      </c>
      <c r="M2565" t="s">
        <v>2971</v>
      </c>
      <c r="N2565">
        <v>1</v>
      </c>
      <c r="O2565">
        <v>2040</v>
      </c>
      <c r="P2565">
        <v>90.181764899265772</v>
      </c>
      <c r="Q2565">
        <v>3.3024308272970568</v>
      </c>
      <c r="R2565" t="s">
        <v>109</v>
      </c>
      <c r="S2565">
        <v>5.1720570995103783</v>
      </c>
      <c r="T2565" t="s">
        <v>110</v>
      </c>
      <c r="U2565">
        <v>5.1720570995103783</v>
      </c>
      <c r="V2565">
        <v>307.71302823979772</v>
      </c>
      <c r="W2565">
        <v>11.26836441441513</v>
      </c>
      <c r="X2565" t="s">
        <v>111</v>
      </c>
      <c r="Y2565">
        <v>20</v>
      </c>
      <c r="Z2565">
        <v>0.21443134850376791</v>
      </c>
      <c r="AA2565">
        <v>31.536000000000001</v>
      </c>
    </row>
    <row r="2566" spans="1:27" hidden="1" x14ac:dyDescent="0.25">
      <c r="A2566" t="s">
        <v>98</v>
      </c>
      <c r="B2566" t="s">
        <v>1548</v>
      </c>
      <c r="D2566" t="s">
        <v>1722</v>
      </c>
      <c r="E2566" t="s">
        <v>142</v>
      </c>
      <c r="F2566" t="s">
        <v>171</v>
      </c>
      <c r="G2566" t="s">
        <v>112</v>
      </c>
      <c r="H2566" t="s">
        <v>104</v>
      </c>
      <c r="I2566">
        <v>2040</v>
      </c>
      <c r="J2566" t="s">
        <v>183</v>
      </c>
      <c r="K2566" t="s">
        <v>106</v>
      </c>
      <c r="L2566" t="s">
        <v>2953</v>
      </c>
      <c r="M2566" t="s">
        <v>2972</v>
      </c>
      <c r="N2566">
        <v>1</v>
      </c>
      <c r="O2566">
        <v>2040</v>
      </c>
      <c r="P2566">
        <v>99.072924818911702</v>
      </c>
      <c r="Q2566">
        <v>3.3024308272970568</v>
      </c>
      <c r="R2566" t="s">
        <v>109</v>
      </c>
      <c r="S2566">
        <v>7.815552950371238</v>
      </c>
      <c r="T2566" t="s">
        <v>110</v>
      </c>
      <c r="U2566">
        <v>7.815552950371238</v>
      </c>
      <c r="V2566">
        <v>338.05093243245392</v>
      </c>
      <c r="W2566">
        <v>11.26836441441513</v>
      </c>
      <c r="X2566" t="s">
        <v>111</v>
      </c>
      <c r="Y2566">
        <v>20</v>
      </c>
      <c r="Z2566">
        <v>0.21443134850376791</v>
      </c>
      <c r="AA2566">
        <v>31.536000000000001</v>
      </c>
    </row>
    <row r="2567" spans="1:27" hidden="1" x14ac:dyDescent="0.25">
      <c r="A2567" t="s">
        <v>98</v>
      </c>
      <c r="B2567" t="s">
        <v>1548</v>
      </c>
      <c r="D2567" t="s">
        <v>1722</v>
      </c>
      <c r="E2567" t="s">
        <v>142</v>
      </c>
      <c r="F2567" t="s">
        <v>185</v>
      </c>
      <c r="G2567" t="s">
        <v>112</v>
      </c>
      <c r="H2567" t="s">
        <v>104</v>
      </c>
      <c r="I2567">
        <v>2022</v>
      </c>
      <c r="J2567" t="s">
        <v>186</v>
      </c>
      <c r="K2567" t="s">
        <v>106</v>
      </c>
      <c r="L2567" t="s">
        <v>2953</v>
      </c>
      <c r="M2567" t="s">
        <v>2973</v>
      </c>
      <c r="N2567">
        <v>1</v>
      </c>
      <c r="O2567">
        <v>2020</v>
      </c>
      <c r="P2567">
        <v>97.802759116105136</v>
      </c>
      <c r="Q2567">
        <v>3.5564639678583689</v>
      </c>
      <c r="R2567" t="s">
        <v>109</v>
      </c>
      <c r="S2567">
        <v>4.4518972502114647</v>
      </c>
      <c r="T2567" t="s">
        <v>110</v>
      </c>
      <c r="U2567">
        <v>4.4518972502114647</v>
      </c>
      <c r="V2567">
        <v>333.71694611921731</v>
      </c>
      <c r="W2567">
        <v>12.135161677062451</v>
      </c>
      <c r="X2567" t="s">
        <v>111</v>
      </c>
      <c r="Y2567">
        <v>20</v>
      </c>
      <c r="Z2567">
        <v>0.21443134850376791</v>
      </c>
      <c r="AA2567">
        <v>31.536000000000001</v>
      </c>
    </row>
    <row r="2568" spans="1:27" hidden="1" x14ac:dyDescent="0.25">
      <c r="A2568" t="s">
        <v>98</v>
      </c>
      <c r="B2568" t="s">
        <v>1548</v>
      </c>
      <c r="D2568" t="s">
        <v>1722</v>
      </c>
      <c r="E2568" t="s">
        <v>142</v>
      </c>
      <c r="F2568" t="s">
        <v>188</v>
      </c>
      <c r="G2568" t="s">
        <v>103</v>
      </c>
      <c r="H2568" t="s">
        <v>104</v>
      </c>
      <c r="I2568">
        <v>2030</v>
      </c>
      <c r="J2568" t="s">
        <v>189</v>
      </c>
      <c r="K2568" t="s">
        <v>106</v>
      </c>
      <c r="L2568" t="s">
        <v>2953</v>
      </c>
      <c r="M2568" t="s">
        <v>2974</v>
      </c>
      <c r="N2568">
        <v>0</v>
      </c>
      <c r="O2568">
        <v>2030</v>
      </c>
      <c r="P2568">
        <v>49.536462409455851</v>
      </c>
      <c r="Q2568">
        <v>3.0483976867357452</v>
      </c>
      <c r="R2568" t="s">
        <v>109</v>
      </c>
      <c r="S2568">
        <v>10.04856807904874</v>
      </c>
      <c r="T2568" t="s">
        <v>110</v>
      </c>
      <c r="U2568">
        <v>10.04856807904874</v>
      </c>
      <c r="V2568">
        <v>169.0254662162269</v>
      </c>
      <c r="W2568">
        <v>10.401567151767811</v>
      </c>
      <c r="X2568" t="s">
        <v>111</v>
      </c>
      <c r="Y2568">
        <v>25</v>
      </c>
      <c r="Z2568">
        <v>0.21443134850376791</v>
      </c>
      <c r="AA2568">
        <v>31.536000000000001</v>
      </c>
    </row>
    <row r="2569" spans="1:27" hidden="1" x14ac:dyDescent="0.25">
      <c r="A2569" t="s">
        <v>98</v>
      </c>
      <c r="B2569" t="s">
        <v>1548</v>
      </c>
      <c r="D2569" t="s">
        <v>1722</v>
      </c>
      <c r="E2569" t="s">
        <v>142</v>
      </c>
      <c r="F2569" t="s">
        <v>188</v>
      </c>
      <c r="G2569" t="s">
        <v>112</v>
      </c>
      <c r="H2569" t="s">
        <v>104</v>
      </c>
      <c r="I2569">
        <v>2030</v>
      </c>
      <c r="J2569" t="s">
        <v>191</v>
      </c>
      <c r="K2569" t="s">
        <v>106</v>
      </c>
      <c r="L2569" t="s">
        <v>2953</v>
      </c>
      <c r="M2569" t="s">
        <v>2975</v>
      </c>
      <c r="N2569">
        <v>0</v>
      </c>
      <c r="O2569">
        <v>2030</v>
      </c>
      <c r="P2569">
        <v>64.778450843134578</v>
      </c>
      <c r="Q2569">
        <v>3.0483976867357452</v>
      </c>
      <c r="R2569" t="s">
        <v>109</v>
      </c>
      <c r="S2569">
        <v>13.02592158395206</v>
      </c>
      <c r="T2569" t="s">
        <v>110</v>
      </c>
      <c r="U2569">
        <v>13.02592158395206</v>
      </c>
      <c r="V2569">
        <v>221.033301975066</v>
      </c>
      <c r="W2569">
        <v>10.401567151767811</v>
      </c>
      <c r="X2569" t="s">
        <v>111</v>
      </c>
      <c r="Y2569">
        <v>25</v>
      </c>
      <c r="Z2569">
        <v>0.21443134850376791</v>
      </c>
      <c r="AA2569">
        <v>31.536000000000001</v>
      </c>
    </row>
    <row r="2570" spans="1:27" hidden="1" x14ac:dyDescent="0.25">
      <c r="A2570" t="s">
        <v>98</v>
      </c>
      <c r="B2570" t="s">
        <v>1548</v>
      </c>
      <c r="D2570" t="s">
        <v>1722</v>
      </c>
      <c r="E2570" t="s">
        <v>142</v>
      </c>
      <c r="F2570" t="s">
        <v>188</v>
      </c>
      <c r="G2570" t="s">
        <v>103</v>
      </c>
      <c r="H2570" t="s">
        <v>104</v>
      </c>
      <c r="I2570">
        <v>2040</v>
      </c>
      <c r="J2570" t="s">
        <v>193</v>
      </c>
      <c r="K2570" t="s">
        <v>106</v>
      </c>
      <c r="L2570" t="s">
        <v>2953</v>
      </c>
      <c r="M2570" t="s">
        <v>2976</v>
      </c>
      <c r="N2570">
        <v>0</v>
      </c>
      <c r="O2570">
        <v>2040</v>
      </c>
      <c r="P2570">
        <v>49.536462409455851</v>
      </c>
      <c r="Q2570">
        <v>3.0483976867357452</v>
      </c>
      <c r="R2570" t="s">
        <v>109</v>
      </c>
      <c r="S2570">
        <v>10.34411419902076</v>
      </c>
      <c r="T2570" t="s">
        <v>110</v>
      </c>
      <c r="U2570">
        <v>10.34411419902076</v>
      </c>
      <c r="V2570">
        <v>169.0254662162269</v>
      </c>
      <c r="W2570">
        <v>10.401567151767811</v>
      </c>
      <c r="X2570" t="s">
        <v>111</v>
      </c>
      <c r="Y2570">
        <v>25</v>
      </c>
      <c r="Z2570">
        <v>0.21443134850376791</v>
      </c>
      <c r="AA2570">
        <v>31.536000000000001</v>
      </c>
    </row>
    <row r="2571" spans="1:27" hidden="1" x14ac:dyDescent="0.25">
      <c r="A2571" t="s">
        <v>98</v>
      </c>
      <c r="B2571" t="s">
        <v>1548</v>
      </c>
      <c r="D2571" t="s">
        <v>1722</v>
      </c>
      <c r="E2571" t="s">
        <v>142</v>
      </c>
      <c r="F2571" t="s">
        <v>188</v>
      </c>
      <c r="G2571" t="s">
        <v>112</v>
      </c>
      <c r="H2571" t="s">
        <v>104</v>
      </c>
      <c r="I2571">
        <v>2040</v>
      </c>
      <c r="J2571" t="s">
        <v>195</v>
      </c>
      <c r="K2571" t="s">
        <v>106</v>
      </c>
      <c r="L2571" t="s">
        <v>2953</v>
      </c>
      <c r="M2571" t="s">
        <v>2977</v>
      </c>
      <c r="N2571">
        <v>0</v>
      </c>
      <c r="O2571">
        <v>2040</v>
      </c>
      <c r="P2571">
        <v>64.778450843134578</v>
      </c>
      <c r="Q2571">
        <v>3.0483976867357452</v>
      </c>
      <c r="R2571" t="s">
        <v>109</v>
      </c>
      <c r="S2571">
        <v>14.067995310668231</v>
      </c>
      <c r="T2571" t="s">
        <v>110</v>
      </c>
      <c r="U2571">
        <v>14.067995310668231</v>
      </c>
      <c r="V2571">
        <v>221.033301975066</v>
      </c>
      <c r="W2571">
        <v>10.401567151767811</v>
      </c>
      <c r="X2571" t="s">
        <v>111</v>
      </c>
      <c r="Y2571">
        <v>25</v>
      </c>
      <c r="Z2571">
        <v>0.21443134850376791</v>
      </c>
      <c r="AA2571">
        <v>31.536000000000001</v>
      </c>
    </row>
    <row r="2572" spans="1:27" hidden="1" x14ac:dyDescent="0.25">
      <c r="A2572" t="s">
        <v>98</v>
      </c>
      <c r="B2572" t="s">
        <v>1548</v>
      </c>
      <c r="D2572" t="s">
        <v>1722</v>
      </c>
      <c r="E2572" t="s">
        <v>142</v>
      </c>
      <c r="F2572" t="s">
        <v>188</v>
      </c>
      <c r="G2572" t="s">
        <v>112</v>
      </c>
      <c r="H2572" t="s">
        <v>104</v>
      </c>
      <c r="I2572">
        <v>2022</v>
      </c>
      <c r="J2572" t="s">
        <v>197</v>
      </c>
      <c r="K2572" t="s">
        <v>106</v>
      </c>
      <c r="L2572" t="s">
        <v>2953</v>
      </c>
      <c r="M2572" t="s">
        <v>2978</v>
      </c>
      <c r="N2572">
        <v>1</v>
      </c>
      <c r="O2572">
        <v>2020</v>
      </c>
      <c r="P2572">
        <v>64.778450843134578</v>
      </c>
      <c r="Q2572">
        <v>3.0483976867357452</v>
      </c>
      <c r="R2572" t="s">
        <v>109</v>
      </c>
      <c r="S2572">
        <v>12.12758216436916</v>
      </c>
      <c r="T2572" t="s">
        <v>110</v>
      </c>
      <c r="U2572">
        <v>12.12758216436916</v>
      </c>
      <c r="V2572">
        <v>221.033301975066</v>
      </c>
      <c r="W2572">
        <v>10.401567151767811</v>
      </c>
      <c r="X2572" t="s">
        <v>111</v>
      </c>
      <c r="Y2572">
        <v>25</v>
      </c>
      <c r="Z2572">
        <v>0.21443134850376791</v>
      </c>
      <c r="AA2572">
        <v>31.536000000000001</v>
      </c>
    </row>
    <row r="2573" spans="1:27" hidden="1" x14ac:dyDescent="0.25">
      <c r="A2573" t="s">
        <v>98</v>
      </c>
      <c r="B2573" t="s">
        <v>1548</v>
      </c>
      <c r="D2573" t="s">
        <v>1722</v>
      </c>
      <c r="E2573" t="s">
        <v>142</v>
      </c>
      <c r="F2573" t="s">
        <v>199</v>
      </c>
      <c r="G2573" t="s">
        <v>103</v>
      </c>
      <c r="H2573" t="s">
        <v>131</v>
      </c>
      <c r="I2573">
        <v>2030</v>
      </c>
      <c r="J2573" t="s">
        <v>200</v>
      </c>
      <c r="K2573" t="s">
        <v>133</v>
      </c>
      <c r="L2573" t="s">
        <v>2953</v>
      </c>
      <c r="M2573" t="s">
        <v>2979</v>
      </c>
      <c r="N2573">
        <v>0</v>
      </c>
      <c r="O2573">
        <v>2030</v>
      </c>
      <c r="P2573">
        <v>93.992262007685454</v>
      </c>
      <c r="Q2573">
        <v>2.7943645461744331</v>
      </c>
      <c r="R2573" t="s">
        <v>109</v>
      </c>
      <c r="S2573">
        <v>1.4</v>
      </c>
      <c r="T2573" t="s">
        <v>110</v>
      </c>
      <c r="U2573">
        <v>1.4</v>
      </c>
      <c r="V2573">
        <v>320.71498717950749</v>
      </c>
      <c r="W2573">
        <v>9.5347698891204935</v>
      </c>
      <c r="X2573" t="s">
        <v>111</v>
      </c>
      <c r="Y2573">
        <v>23</v>
      </c>
      <c r="Z2573">
        <v>0.21443134850376791</v>
      </c>
      <c r="AA2573">
        <v>31.536000000000001</v>
      </c>
    </row>
    <row r="2574" spans="1:27" hidden="1" x14ac:dyDescent="0.25">
      <c r="A2574" t="s">
        <v>98</v>
      </c>
      <c r="B2574" t="s">
        <v>1548</v>
      </c>
      <c r="D2574" t="s">
        <v>1722</v>
      </c>
      <c r="E2574" t="s">
        <v>142</v>
      </c>
      <c r="F2574" t="s">
        <v>202</v>
      </c>
      <c r="G2574" t="s">
        <v>103</v>
      </c>
      <c r="H2574" t="s">
        <v>104</v>
      </c>
      <c r="I2574">
        <v>2023</v>
      </c>
      <c r="J2574" t="s">
        <v>203</v>
      </c>
      <c r="K2574" t="s">
        <v>106</v>
      </c>
      <c r="L2574" t="s">
        <v>2953</v>
      </c>
      <c r="M2574" t="s">
        <v>2980</v>
      </c>
      <c r="N2574">
        <v>1</v>
      </c>
      <c r="O2574">
        <v>2023</v>
      </c>
      <c r="P2574">
        <v>138.8714501735173</v>
      </c>
      <c r="Q2574">
        <v>4.2000145906136934</v>
      </c>
      <c r="R2574" t="s">
        <v>109</v>
      </c>
      <c r="S2574">
        <v>3.5756154747948421</v>
      </c>
      <c r="T2574" t="s">
        <v>110</v>
      </c>
      <c r="U2574">
        <v>3.5756154747948421</v>
      </c>
      <c r="V2574">
        <v>473.84917024720039</v>
      </c>
      <c r="W2574">
        <v>14.33104807576899</v>
      </c>
      <c r="X2574" t="s">
        <v>111</v>
      </c>
      <c r="Y2574">
        <v>21</v>
      </c>
      <c r="Z2574">
        <v>0.21443134850376791</v>
      </c>
      <c r="AA2574">
        <v>31.536000000000001</v>
      </c>
    </row>
    <row r="2575" spans="1:27" hidden="1" x14ac:dyDescent="0.25">
      <c r="A2575" t="s">
        <v>98</v>
      </c>
      <c r="B2575" t="s">
        <v>1548</v>
      </c>
      <c r="D2575" t="s">
        <v>1722</v>
      </c>
      <c r="E2575" t="s">
        <v>142</v>
      </c>
      <c r="F2575" t="s">
        <v>202</v>
      </c>
      <c r="G2575" t="s">
        <v>112</v>
      </c>
      <c r="H2575" t="s">
        <v>104</v>
      </c>
      <c r="I2575">
        <v>2022</v>
      </c>
      <c r="J2575" t="s">
        <v>205</v>
      </c>
      <c r="K2575" t="s">
        <v>106</v>
      </c>
      <c r="L2575" t="s">
        <v>2953</v>
      </c>
      <c r="M2575" t="s">
        <v>2981</v>
      </c>
      <c r="N2575">
        <v>1</v>
      </c>
      <c r="O2575">
        <v>2020</v>
      </c>
      <c r="P2575">
        <v>201.87166903272271</v>
      </c>
      <c r="Q2575">
        <v>4.2000145906136934</v>
      </c>
      <c r="R2575" t="s">
        <v>109</v>
      </c>
      <c r="S2575">
        <v>3.7514654161781951</v>
      </c>
      <c r="T2575" t="s">
        <v>110</v>
      </c>
      <c r="U2575">
        <v>3.7514654161781951</v>
      </c>
      <c r="V2575">
        <v>688.81489138373513</v>
      </c>
      <c r="W2575">
        <v>14.33104807576899</v>
      </c>
      <c r="X2575" t="s">
        <v>111</v>
      </c>
      <c r="Y2575">
        <v>21</v>
      </c>
      <c r="Z2575">
        <v>0.21443134850376791</v>
      </c>
      <c r="AA2575">
        <v>31.536000000000001</v>
      </c>
    </row>
    <row r="2576" spans="1:27" hidden="1" x14ac:dyDescent="0.25">
      <c r="A2576" t="s">
        <v>98</v>
      </c>
      <c r="B2576" t="s">
        <v>1548</v>
      </c>
      <c r="D2576" t="s">
        <v>1722</v>
      </c>
      <c r="E2576" t="s">
        <v>142</v>
      </c>
      <c r="F2576" t="s">
        <v>207</v>
      </c>
      <c r="G2576" t="s">
        <v>103</v>
      </c>
      <c r="H2576" t="s">
        <v>104</v>
      </c>
      <c r="I2576">
        <v>2030</v>
      </c>
      <c r="J2576" t="s">
        <v>208</v>
      </c>
      <c r="K2576" t="s">
        <v>106</v>
      </c>
      <c r="L2576" t="s">
        <v>2953</v>
      </c>
      <c r="M2576" t="s">
        <v>2982</v>
      </c>
      <c r="N2576">
        <v>0</v>
      </c>
      <c r="O2576">
        <v>2030</v>
      </c>
      <c r="P2576">
        <v>74.322838838509583</v>
      </c>
      <c r="Q2576">
        <v>1.219359074694298E-2</v>
      </c>
      <c r="R2576" t="s">
        <v>109</v>
      </c>
      <c r="S2576">
        <v>3.5902696365767879</v>
      </c>
      <c r="T2576" t="s">
        <v>110</v>
      </c>
      <c r="U2576">
        <v>3.5902696365767879</v>
      </c>
      <c r="V2576">
        <v>253.60011341452949</v>
      </c>
      <c r="W2576">
        <v>4.1606268607071263E-2</v>
      </c>
      <c r="X2576" t="s">
        <v>111</v>
      </c>
      <c r="Y2576">
        <v>9.5</v>
      </c>
      <c r="Z2576">
        <v>0.21443134850376791</v>
      </c>
      <c r="AA2576">
        <v>31.536000000000001</v>
      </c>
    </row>
    <row r="2577" spans="1:27" hidden="1" x14ac:dyDescent="0.25">
      <c r="A2577" t="s">
        <v>98</v>
      </c>
      <c r="B2577" t="s">
        <v>1548</v>
      </c>
      <c r="D2577" t="s">
        <v>1722</v>
      </c>
      <c r="E2577" t="s">
        <v>142</v>
      </c>
      <c r="F2577" t="s">
        <v>207</v>
      </c>
      <c r="G2577" t="s">
        <v>112</v>
      </c>
      <c r="H2577" t="s">
        <v>104</v>
      </c>
      <c r="I2577">
        <v>2030</v>
      </c>
      <c r="J2577" t="s">
        <v>210</v>
      </c>
      <c r="K2577" t="s">
        <v>106</v>
      </c>
      <c r="L2577" t="s">
        <v>2953</v>
      </c>
      <c r="M2577" t="s">
        <v>2983</v>
      </c>
      <c r="N2577">
        <v>0</v>
      </c>
      <c r="O2577">
        <v>2030</v>
      </c>
      <c r="P2577">
        <v>81.871252158045721</v>
      </c>
      <c r="Q2577">
        <v>1.219359074694298E-2</v>
      </c>
      <c r="R2577" t="s">
        <v>109</v>
      </c>
      <c r="S2577">
        <v>3.8100820633059791</v>
      </c>
      <c r="T2577" t="s">
        <v>110</v>
      </c>
      <c r="U2577">
        <v>3.8100820633059791</v>
      </c>
      <c r="V2577">
        <v>279.35637493319268</v>
      </c>
      <c r="W2577">
        <v>4.1606268607071263E-2</v>
      </c>
      <c r="X2577" t="s">
        <v>111</v>
      </c>
      <c r="Y2577">
        <v>9.5</v>
      </c>
      <c r="Z2577">
        <v>0.21443134850376791</v>
      </c>
      <c r="AA2577">
        <v>31.536000000000001</v>
      </c>
    </row>
    <row r="2578" spans="1:27" hidden="1" x14ac:dyDescent="0.25">
      <c r="A2578" t="s">
        <v>98</v>
      </c>
      <c r="B2578" t="s">
        <v>1548</v>
      </c>
      <c r="D2578" t="s">
        <v>1722</v>
      </c>
      <c r="E2578" t="s">
        <v>142</v>
      </c>
      <c r="F2578" t="s">
        <v>207</v>
      </c>
      <c r="G2578" t="s">
        <v>103</v>
      </c>
      <c r="H2578" t="s">
        <v>104</v>
      </c>
      <c r="I2578">
        <v>2040</v>
      </c>
      <c r="J2578" t="s">
        <v>212</v>
      </c>
      <c r="K2578" t="s">
        <v>106</v>
      </c>
      <c r="L2578" t="s">
        <v>2953</v>
      </c>
      <c r="M2578" t="s">
        <v>2984</v>
      </c>
      <c r="N2578">
        <v>0</v>
      </c>
      <c r="O2578">
        <v>2040</v>
      </c>
      <c r="P2578">
        <v>74.322838838509583</v>
      </c>
      <c r="Q2578">
        <v>1.219359074694298E-2</v>
      </c>
      <c r="R2578" t="s">
        <v>109</v>
      </c>
      <c r="S2578">
        <v>3.6635404454865181</v>
      </c>
      <c r="T2578" t="s">
        <v>110</v>
      </c>
      <c r="U2578">
        <v>3.6635404454865181</v>
      </c>
      <c r="V2578">
        <v>253.60011341452949</v>
      </c>
      <c r="W2578">
        <v>4.1606268607071263E-2</v>
      </c>
      <c r="X2578" t="s">
        <v>111</v>
      </c>
      <c r="Y2578">
        <v>9.5</v>
      </c>
      <c r="Z2578">
        <v>0.21443134850376791</v>
      </c>
      <c r="AA2578">
        <v>31.536000000000001</v>
      </c>
    </row>
    <row r="2579" spans="1:27" hidden="1" x14ac:dyDescent="0.25">
      <c r="A2579" t="s">
        <v>98</v>
      </c>
      <c r="B2579" t="s">
        <v>1548</v>
      </c>
      <c r="D2579" t="s">
        <v>1722</v>
      </c>
      <c r="E2579" t="s">
        <v>142</v>
      </c>
      <c r="F2579" t="s">
        <v>207</v>
      </c>
      <c r="G2579" t="s">
        <v>112</v>
      </c>
      <c r="H2579" t="s">
        <v>104</v>
      </c>
      <c r="I2579">
        <v>2040</v>
      </c>
      <c r="J2579" t="s">
        <v>214</v>
      </c>
      <c r="K2579" t="s">
        <v>106</v>
      </c>
      <c r="L2579" t="s">
        <v>2953</v>
      </c>
      <c r="M2579" t="s">
        <v>2985</v>
      </c>
      <c r="N2579">
        <v>0</v>
      </c>
      <c r="O2579">
        <v>2040</v>
      </c>
      <c r="P2579">
        <v>81.871252158045721</v>
      </c>
      <c r="Q2579">
        <v>1.219359074694298E-2</v>
      </c>
      <c r="R2579" t="s">
        <v>109</v>
      </c>
      <c r="S2579">
        <v>3.9566236811254401</v>
      </c>
      <c r="T2579" t="s">
        <v>110</v>
      </c>
      <c r="U2579">
        <v>3.9566236811254401</v>
      </c>
      <c r="V2579">
        <v>279.35637493319268</v>
      </c>
      <c r="W2579">
        <v>4.1606268607071263E-2</v>
      </c>
      <c r="X2579" t="s">
        <v>111</v>
      </c>
      <c r="Y2579">
        <v>9.5</v>
      </c>
      <c r="Z2579">
        <v>0.21443134850376791</v>
      </c>
      <c r="AA2579">
        <v>31.536000000000001</v>
      </c>
    </row>
    <row r="2580" spans="1:27" hidden="1" x14ac:dyDescent="0.25">
      <c r="A2580" t="s">
        <v>98</v>
      </c>
      <c r="B2580" t="s">
        <v>1548</v>
      </c>
      <c r="D2580" t="s">
        <v>1722</v>
      </c>
      <c r="E2580" t="s">
        <v>142</v>
      </c>
      <c r="F2580" t="s">
        <v>207</v>
      </c>
      <c r="G2580" t="s">
        <v>112</v>
      </c>
      <c r="H2580" t="s">
        <v>104</v>
      </c>
      <c r="I2580">
        <v>2022</v>
      </c>
      <c r="J2580" t="s">
        <v>216</v>
      </c>
      <c r="K2580" t="s">
        <v>106</v>
      </c>
      <c r="L2580" t="s">
        <v>2953</v>
      </c>
      <c r="M2580" t="s">
        <v>2986</v>
      </c>
      <c r="N2580">
        <v>1</v>
      </c>
      <c r="O2580">
        <v>2020</v>
      </c>
      <c r="P2580">
        <v>81.871252158045721</v>
      </c>
      <c r="Q2580">
        <v>1.219359074694298E-2</v>
      </c>
      <c r="R2580" t="s">
        <v>109</v>
      </c>
      <c r="S2580">
        <v>3.6635404454865181</v>
      </c>
      <c r="T2580" t="s">
        <v>110</v>
      </c>
      <c r="U2580">
        <v>3.6635404454865181</v>
      </c>
      <c r="V2580">
        <v>279.35637493319268</v>
      </c>
      <c r="W2580">
        <v>4.1606268607071263E-2</v>
      </c>
      <c r="X2580" t="s">
        <v>111</v>
      </c>
      <c r="Y2580">
        <v>9.5</v>
      </c>
      <c r="Z2580">
        <v>0.21443134850376791</v>
      </c>
      <c r="AA2580">
        <v>31.536000000000001</v>
      </c>
    </row>
    <row r="2581" spans="1:27" hidden="1" x14ac:dyDescent="0.25">
      <c r="A2581" t="s">
        <v>98</v>
      </c>
      <c r="B2581" t="s">
        <v>1548</v>
      </c>
      <c r="D2581" t="s">
        <v>1722</v>
      </c>
      <c r="E2581" t="s">
        <v>142</v>
      </c>
      <c r="F2581" t="s">
        <v>218</v>
      </c>
      <c r="G2581" t="s">
        <v>219</v>
      </c>
      <c r="H2581" t="s">
        <v>104</v>
      </c>
      <c r="I2581">
        <v>2023</v>
      </c>
      <c r="J2581" t="s">
        <v>220</v>
      </c>
      <c r="K2581" t="s">
        <v>106</v>
      </c>
      <c r="L2581" t="s">
        <v>2953</v>
      </c>
      <c r="M2581" t="s">
        <v>2987</v>
      </c>
      <c r="N2581">
        <v>0</v>
      </c>
      <c r="O2581">
        <v>2023</v>
      </c>
      <c r="P2581">
        <v>144.5166310748798</v>
      </c>
      <c r="Q2581">
        <v>2.6193639382321958</v>
      </c>
      <c r="R2581" t="s">
        <v>109</v>
      </c>
      <c r="S2581">
        <v>4.6893317702227444</v>
      </c>
      <c r="T2581" t="s">
        <v>110</v>
      </c>
      <c r="U2581">
        <v>4.6893317702227444</v>
      </c>
      <c r="V2581">
        <v>493.11133163936307</v>
      </c>
      <c r="W2581">
        <v>8.937642885963454</v>
      </c>
      <c r="X2581" t="s">
        <v>111</v>
      </c>
      <c r="Y2581">
        <v>18</v>
      </c>
      <c r="Z2581">
        <v>0.21443134850376791</v>
      </c>
      <c r="AA2581">
        <v>31.536000000000001</v>
      </c>
    </row>
    <row r="2582" spans="1:27" hidden="1" x14ac:dyDescent="0.25">
      <c r="A2582" t="s">
        <v>98</v>
      </c>
      <c r="B2582" t="s">
        <v>1548</v>
      </c>
      <c r="D2582" t="s">
        <v>1722</v>
      </c>
      <c r="E2582" t="s">
        <v>142</v>
      </c>
      <c r="F2582" t="s">
        <v>218</v>
      </c>
      <c r="G2582" t="s">
        <v>112</v>
      </c>
      <c r="H2582" t="s">
        <v>104</v>
      </c>
      <c r="I2582">
        <v>2022</v>
      </c>
      <c r="J2582" t="s">
        <v>222</v>
      </c>
      <c r="K2582" t="s">
        <v>106</v>
      </c>
      <c r="L2582" t="s">
        <v>2953</v>
      </c>
      <c r="M2582" t="s">
        <v>2988</v>
      </c>
      <c r="N2582">
        <v>1</v>
      </c>
      <c r="O2582">
        <v>2020</v>
      </c>
      <c r="P2582">
        <v>157.50054714801351</v>
      </c>
      <c r="Q2582">
        <v>2.455653692092683</v>
      </c>
      <c r="R2582" t="s">
        <v>109</v>
      </c>
      <c r="S2582">
        <v>4.835873388042204</v>
      </c>
      <c r="T2582" t="s">
        <v>110</v>
      </c>
      <c r="U2582">
        <v>4.835873388042204</v>
      </c>
      <c r="V2582">
        <v>537.41430284133696</v>
      </c>
      <c r="W2582">
        <v>8.3790402055907389</v>
      </c>
      <c r="X2582" t="s">
        <v>111</v>
      </c>
      <c r="Y2582">
        <v>18</v>
      </c>
      <c r="Z2582">
        <v>0.21443134850376791</v>
      </c>
      <c r="AA2582">
        <v>31.536000000000001</v>
      </c>
    </row>
    <row r="2583" spans="1:27" hidden="1" x14ac:dyDescent="0.25">
      <c r="A2583" t="s">
        <v>98</v>
      </c>
      <c r="B2583" t="s">
        <v>1548</v>
      </c>
      <c r="D2583" t="s">
        <v>1722</v>
      </c>
      <c r="E2583" t="s">
        <v>142</v>
      </c>
      <c r="F2583" t="s">
        <v>218</v>
      </c>
      <c r="G2583" t="s">
        <v>103</v>
      </c>
      <c r="H2583" t="s">
        <v>104</v>
      </c>
      <c r="I2583">
        <v>2023</v>
      </c>
      <c r="J2583" t="s">
        <v>224</v>
      </c>
      <c r="K2583" t="s">
        <v>106</v>
      </c>
      <c r="L2583" t="s">
        <v>2953</v>
      </c>
      <c r="M2583" t="s">
        <v>2989</v>
      </c>
      <c r="N2583">
        <v>0</v>
      </c>
      <c r="O2583">
        <v>2023</v>
      </c>
      <c r="P2583">
        <v>125.3230160102473</v>
      </c>
      <c r="Q2583">
        <v>2.455653692092683</v>
      </c>
      <c r="R2583" t="s">
        <v>109</v>
      </c>
      <c r="S2583">
        <v>4.2203985932004704</v>
      </c>
      <c r="T2583" t="s">
        <v>110</v>
      </c>
      <c r="U2583">
        <v>4.2203985932004704</v>
      </c>
      <c r="V2583">
        <v>427.61998290601008</v>
      </c>
      <c r="W2583">
        <v>8.3790402055907389</v>
      </c>
      <c r="X2583" t="s">
        <v>111</v>
      </c>
      <c r="Y2583">
        <v>18</v>
      </c>
      <c r="Z2583">
        <v>0.21443134850376791</v>
      </c>
      <c r="AA2583">
        <v>31.536000000000001</v>
      </c>
    </row>
    <row r="2584" spans="1:27" x14ac:dyDescent="0.25">
      <c r="A2584" t="s">
        <v>98</v>
      </c>
      <c r="B2584" t="s">
        <v>1548</v>
      </c>
      <c r="D2584" t="s">
        <v>1722</v>
      </c>
      <c r="E2584" t="s">
        <v>226</v>
      </c>
      <c r="F2584" t="s">
        <v>227</v>
      </c>
      <c r="G2584" t="s">
        <v>228</v>
      </c>
      <c r="H2584" t="s">
        <v>104</v>
      </c>
      <c r="I2584">
        <v>2023</v>
      </c>
      <c r="J2584" t="s">
        <v>229</v>
      </c>
      <c r="K2584" t="s">
        <v>106</v>
      </c>
      <c r="L2584" t="s">
        <v>2990</v>
      </c>
      <c r="M2584" t="s">
        <v>2991</v>
      </c>
      <c r="N2584">
        <v>1</v>
      </c>
      <c r="O2584">
        <v>2023</v>
      </c>
      <c r="P2584">
        <v>351.48905933689161</v>
      </c>
      <c r="Q2584">
        <v>0.67078064758948786</v>
      </c>
      <c r="R2584" t="s">
        <v>109</v>
      </c>
      <c r="S2584">
        <v>2.7</v>
      </c>
      <c r="T2584" t="s">
        <v>110</v>
      </c>
      <c r="U2584">
        <v>2.7</v>
      </c>
      <c r="V2584">
        <v>1199.3307401172131</v>
      </c>
      <c r="W2584">
        <v>2.2887991223610928</v>
      </c>
      <c r="X2584" t="s">
        <v>111</v>
      </c>
      <c r="Y2584">
        <v>20</v>
      </c>
      <c r="Z2584">
        <v>0.44</v>
      </c>
      <c r="AA2584">
        <v>31.536000000000001</v>
      </c>
    </row>
    <row r="2585" spans="1:27" x14ac:dyDescent="0.25">
      <c r="A2585" t="s">
        <v>98</v>
      </c>
      <c r="B2585" t="s">
        <v>1548</v>
      </c>
      <c r="D2585" t="s">
        <v>1722</v>
      </c>
      <c r="E2585" t="s">
        <v>226</v>
      </c>
      <c r="F2585" t="s">
        <v>227</v>
      </c>
      <c r="G2585" t="s">
        <v>228</v>
      </c>
      <c r="H2585" t="s">
        <v>104</v>
      </c>
      <c r="I2585">
        <v>2024</v>
      </c>
      <c r="J2585" t="s">
        <v>232</v>
      </c>
      <c r="K2585" t="s">
        <v>106</v>
      </c>
      <c r="L2585" t="s">
        <v>2990</v>
      </c>
      <c r="M2585" t="s">
        <v>2992</v>
      </c>
      <c r="N2585">
        <v>1</v>
      </c>
      <c r="O2585">
        <v>2024</v>
      </c>
      <c r="P2585">
        <v>351.48905933689161</v>
      </c>
      <c r="Q2585">
        <v>0.67078064758948786</v>
      </c>
      <c r="R2585" t="s">
        <v>109</v>
      </c>
      <c r="S2585">
        <v>2.7</v>
      </c>
      <c r="T2585" t="s">
        <v>110</v>
      </c>
      <c r="U2585">
        <v>2.7</v>
      </c>
      <c r="V2585">
        <v>1199.3307401172131</v>
      </c>
      <c r="W2585">
        <v>2.2887991223610928</v>
      </c>
      <c r="X2585" t="s">
        <v>111</v>
      </c>
      <c r="Y2585">
        <v>20</v>
      </c>
      <c r="Z2585">
        <v>0.44</v>
      </c>
      <c r="AA2585">
        <v>31.536000000000001</v>
      </c>
    </row>
    <row r="2586" spans="1:27" x14ac:dyDescent="0.25">
      <c r="A2586" t="s">
        <v>98</v>
      </c>
      <c r="B2586" t="s">
        <v>1548</v>
      </c>
      <c r="D2586" t="s">
        <v>1722</v>
      </c>
      <c r="E2586" t="s">
        <v>226</v>
      </c>
      <c r="F2586" t="s">
        <v>227</v>
      </c>
      <c r="G2586" t="s">
        <v>228</v>
      </c>
      <c r="H2586" t="s">
        <v>104</v>
      </c>
      <c r="I2586">
        <v>2025</v>
      </c>
      <c r="J2586" t="s">
        <v>234</v>
      </c>
      <c r="K2586" t="s">
        <v>106</v>
      </c>
      <c r="L2586" t="s">
        <v>2990</v>
      </c>
      <c r="M2586" t="s">
        <v>2993</v>
      </c>
      <c r="N2586">
        <v>1</v>
      </c>
      <c r="O2586">
        <v>2025</v>
      </c>
      <c r="P2586">
        <v>351.48905933689161</v>
      </c>
      <c r="Q2586">
        <v>0.67078064758948786</v>
      </c>
      <c r="R2586" t="s">
        <v>109</v>
      </c>
      <c r="S2586">
        <v>2.7</v>
      </c>
      <c r="T2586" t="s">
        <v>110</v>
      </c>
      <c r="U2586">
        <v>2.7</v>
      </c>
      <c r="V2586">
        <v>1199.3307401172131</v>
      </c>
      <c r="W2586">
        <v>2.2887991223610928</v>
      </c>
      <c r="X2586" t="s">
        <v>111</v>
      </c>
      <c r="Y2586">
        <v>20</v>
      </c>
      <c r="Z2586">
        <v>0.44</v>
      </c>
      <c r="AA2586">
        <v>31.536000000000001</v>
      </c>
    </row>
    <row r="2587" spans="1:27" x14ac:dyDescent="0.25">
      <c r="A2587" t="s">
        <v>98</v>
      </c>
      <c r="B2587" t="s">
        <v>1548</v>
      </c>
      <c r="D2587" t="s">
        <v>1722</v>
      </c>
      <c r="E2587" t="s">
        <v>226</v>
      </c>
      <c r="F2587" t="s">
        <v>227</v>
      </c>
      <c r="G2587" t="s">
        <v>228</v>
      </c>
      <c r="H2587" t="s">
        <v>104</v>
      </c>
      <c r="I2587">
        <v>2026</v>
      </c>
      <c r="J2587" t="s">
        <v>236</v>
      </c>
      <c r="K2587" t="s">
        <v>106</v>
      </c>
      <c r="L2587" t="s">
        <v>2990</v>
      </c>
      <c r="M2587" t="s">
        <v>2994</v>
      </c>
      <c r="N2587">
        <v>1</v>
      </c>
      <c r="O2587">
        <v>2026</v>
      </c>
      <c r="P2587">
        <v>351.48905933689161</v>
      </c>
      <c r="Q2587">
        <v>0.67078064758948786</v>
      </c>
      <c r="R2587" t="s">
        <v>109</v>
      </c>
      <c r="S2587">
        <v>2.7</v>
      </c>
      <c r="T2587" t="s">
        <v>110</v>
      </c>
      <c r="U2587">
        <v>2.7</v>
      </c>
      <c r="V2587">
        <v>1199.3307401172131</v>
      </c>
      <c r="W2587">
        <v>2.2887991223610928</v>
      </c>
      <c r="X2587" t="s">
        <v>111</v>
      </c>
      <c r="Y2587">
        <v>20</v>
      </c>
      <c r="Z2587">
        <v>0.44</v>
      </c>
      <c r="AA2587">
        <v>31.536000000000001</v>
      </c>
    </row>
    <row r="2588" spans="1:27" x14ac:dyDescent="0.25">
      <c r="A2588" t="s">
        <v>98</v>
      </c>
      <c r="B2588" t="s">
        <v>1548</v>
      </c>
      <c r="D2588" t="s">
        <v>1722</v>
      </c>
      <c r="E2588" t="s">
        <v>226</v>
      </c>
      <c r="F2588" t="s">
        <v>227</v>
      </c>
      <c r="G2588" t="s">
        <v>228</v>
      </c>
      <c r="H2588" t="s">
        <v>104</v>
      </c>
      <c r="I2588">
        <v>2027</v>
      </c>
      <c r="J2588" t="s">
        <v>238</v>
      </c>
      <c r="K2588" t="s">
        <v>106</v>
      </c>
      <c r="L2588" t="s">
        <v>2990</v>
      </c>
      <c r="M2588" t="s">
        <v>2995</v>
      </c>
      <c r="N2588">
        <v>1</v>
      </c>
      <c r="O2588">
        <v>2027</v>
      </c>
      <c r="P2588">
        <v>351.48905933689161</v>
      </c>
      <c r="Q2588">
        <v>0.67078064758948786</v>
      </c>
      <c r="R2588" t="s">
        <v>109</v>
      </c>
      <c r="S2588">
        <v>2.7</v>
      </c>
      <c r="T2588" t="s">
        <v>110</v>
      </c>
      <c r="U2588">
        <v>2.7</v>
      </c>
      <c r="V2588">
        <v>1199.3307401172131</v>
      </c>
      <c r="W2588">
        <v>2.2887991223610928</v>
      </c>
      <c r="X2588" t="s">
        <v>111</v>
      </c>
      <c r="Y2588">
        <v>20</v>
      </c>
      <c r="Z2588">
        <v>0.44</v>
      </c>
      <c r="AA2588">
        <v>31.536000000000001</v>
      </c>
    </row>
    <row r="2589" spans="1:27" x14ac:dyDescent="0.25">
      <c r="A2589" t="s">
        <v>98</v>
      </c>
      <c r="B2589" t="s">
        <v>1548</v>
      </c>
      <c r="D2589" t="s">
        <v>1722</v>
      </c>
      <c r="E2589" t="s">
        <v>226</v>
      </c>
      <c r="F2589" t="s">
        <v>240</v>
      </c>
      <c r="G2589" t="s">
        <v>103</v>
      </c>
      <c r="H2589" t="s">
        <v>104</v>
      </c>
      <c r="I2589">
        <v>2022</v>
      </c>
      <c r="J2589" t="s">
        <v>241</v>
      </c>
      <c r="K2589" t="s">
        <v>106</v>
      </c>
      <c r="L2589" t="s">
        <v>2990</v>
      </c>
      <c r="M2589" t="s">
        <v>2996</v>
      </c>
      <c r="N2589">
        <v>1</v>
      </c>
      <c r="O2589">
        <v>2020</v>
      </c>
      <c r="P2589">
        <v>364.1638033744108</v>
      </c>
      <c r="Q2589">
        <v>0.71474740603417231</v>
      </c>
      <c r="R2589" t="s">
        <v>109</v>
      </c>
      <c r="S2589">
        <v>3.9</v>
      </c>
      <c r="T2589" t="s">
        <v>110</v>
      </c>
      <c r="U2589">
        <v>3.9</v>
      </c>
      <c r="V2589">
        <v>1242.578772292075</v>
      </c>
      <c r="W2589">
        <v>2.4388199652445048</v>
      </c>
      <c r="X2589" t="s">
        <v>111</v>
      </c>
      <c r="Y2589">
        <v>15</v>
      </c>
      <c r="Z2589">
        <v>0.44</v>
      </c>
      <c r="AA2589">
        <v>31.536000000000001</v>
      </c>
    </row>
    <row r="2590" spans="1:27" hidden="1" x14ac:dyDescent="0.25">
      <c r="A2590" t="s">
        <v>98</v>
      </c>
      <c r="B2590" t="s">
        <v>1548</v>
      </c>
      <c r="D2590" t="s">
        <v>1722</v>
      </c>
      <c r="E2590" t="s">
        <v>243</v>
      </c>
      <c r="F2590" t="s">
        <v>244</v>
      </c>
      <c r="G2590" t="s">
        <v>245</v>
      </c>
      <c r="H2590" t="s">
        <v>104</v>
      </c>
      <c r="I2590">
        <v>2022</v>
      </c>
      <c r="J2590" t="s">
        <v>246</v>
      </c>
      <c r="K2590" t="s">
        <v>106</v>
      </c>
      <c r="L2590" t="s">
        <v>2997</v>
      </c>
      <c r="M2590" t="s">
        <v>2998</v>
      </c>
      <c r="N2590">
        <v>1</v>
      </c>
      <c r="O2590">
        <v>2020</v>
      </c>
      <c r="P2590">
        <v>5418.3180362120765</v>
      </c>
      <c r="Q2590">
        <v>63.780978532496562</v>
      </c>
      <c r="R2590" t="s">
        <v>249</v>
      </c>
      <c r="S2590">
        <v>0.41325750353930962</v>
      </c>
      <c r="T2590" t="s">
        <v>250</v>
      </c>
      <c r="U2590">
        <v>1</v>
      </c>
      <c r="V2590">
        <v>7640.3348848129563</v>
      </c>
      <c r="W2590">
        <v>89.937141380872987</v>
      </c>
      <c r="X2590" t="s">
        <v>111</v>
      </c>
      <c r="Y2590">
        <v>20</v>
      </c>
      <c r="Z2590">
        <v>0.44</v>
      </c>
      <c r="AA2590">
        <v>31.536000000000001</v>
      </c>
    </row>
    <row r="2591" spans="1:27" hidden="1" x14ac:dyDescent="0.25">
      <c r="A2591" t="s">
        <v>98</v>
      </c>
      <c r="B2591" t="s">
        <v>1548</v>
      </c>
      <c r="D2591" t="s">
        <v>1722</v>
      </c>
      <c r="E2591" t="s">
        <v>243</v>
      </c>
      <c r="F2591" t="s">
        <v>244</v>
      </c>
      <c r="G2591" t="s">
        <v>103</v>
      </c>
      <c r="H2591" t="s">
        <v>104</v>
      </c>
      <c r="I2591">
        <v>2022</v>
      </c>
      <c r="J2591" t="s">
        <v>251</v>
      </c>
      <c r="K2591" t="s">
        <v>106</v>
      </c>
      <c r="L2591" t="s">
        <v>2997</v>
      </c>
      <c r="M2591" t="s">
        <v>2999</v>
      </c>
      <c r="N2591">
        <v>1</v>
      </c>
      <c r="O2591">
        <v>2020</v>
      </c>
      <c r="P2591">
        <v>5667.3116722418044</v>
      </c>
      <c r="Q2591">
        <v>63.780978532496562</v>
      </c>
      <c r="R2591" t="s">
        <v>249</v>
      </c>
      <c r="S2591">
        <v>0.43508713487380868</v>
      </c>
      <c r="T2591" t="s">
        <v>250</v>
      </c>
      <c r="U2591">
        <v>1.052823315118397</v>
      </c>
      <c r="V2591">
        <v>7991.4391852139524</v>
      </c>
      <c r="W2591">
        <v>89.937141380873001</v>
      </c>
      <c r="X2591" t="s">
        <v>111</v>
      </c>
      <c r="Y2591">
        <v>20</v>
      </c>
      <c r="Z2591">
        <v>0.44</v>
      </c>
      <c r="AA2591">
        <v>31.536000000000001</v>
      </c>
    </row>
    <row r="2592" spans="1:27" hidden="1" x14ac:dyDescent="0.25">
      <c r="A2592" t="s">
        <v>98</v>
      </c>
      <c r="B2592" t="s">
        <v>1548</v>
      </c>
      <c r="D2592" t="s">
        <v>1722</v>
      </c>
      <c r="E2592" t="s">
        <v>243</v>
      </c>
      <c r="F2592" t="s">
        <v>244</v>
      </c>
      <c r="G2592" t="s">
        <v>112</v>
      </c>
      <c r="H2592" t="s">
        <v>104</v>
      </c>
      <c r="I2592">
        <v>2022</v>
      </c>
      <c r="J2592" t="s">
        <v>253</v>
      </c>
      <c r="K2592" t="s">
        <v>106</v>
      </c>
      <c r="L2592" t="s">
        <v>2997</v>
      </c>
      <c r="M2592" t="s">
        <v>3000</v>
      </c>
      <c r="N2592">
        <v>1</v>
      </c>
      <c r="O2592">
        <v>2020</v>
      </c>
      <c r="P2592">
        <v>5911.8706390075113</v>
      </c>
      <c r="Q2592">
        <v>63.780978532496562</v>
      </c>
      <c r="R2592" t="s">
        <v>249</v>
      </c>
      <c r="S2592">
        <v>0.44315925240393511</v>
      </c>
      <c r="T2592" t="s">
        <v>250</v>
      </c>
      <c r="U2592">
        <v>1.0723562152133581</v>
      </c>
      <c r="V2592">
        <v>8336.2901874412255</v>
      </c>
      <c r="W2592">
        <v>89.937141380873001</v>
      </c>
      <c r="X2592" t="s">
        <v>111</v>
      </c>
      <c r="Y2592">
        <v>20</v>
      </c>
      <c r="Z2592">
        <v>0.44</v>
      </c>
      <c r="AA2592">
        <v>31.536000000000001</v>
      </c>
    </row>
    <row r="2593" spans="1:27" hidden="1" x14ac:dyDescent="0.25">
      <c r="A2593" t="s">
        <v>98</v>
      </c>
      <c r="B2593" t="s">
        <v>1548</v>
      </c>
      <c r="D2593" t="s">
        <v>1722</v>
      </c>
      <c r="E2593" t="s">
        <v>243</v>
      </c>
      <c r="F2593" t="s">
        <v>244</v>
      </c>
      <c r="G2593" t="s">
        <v>103</v>
      </c>
      <c r="H2593" t="s">
        <v>104</v>
      </c>
      <c r="I2593">
        <v>2030</v>
      </c>
      <c r="J2593" t="s">
        <v>255</v>
      </c>
      <c r="K2593" t="s">
        <v>106</v>
      </c>
      <c r="L2593" t="s">
        <v>2997</v>
      </c>
      <c r="M2593" t="s">
        <v>3001</v>
      </c>
      <c r="N2593">
        <v>1</v>
      </c>
      <c r="O2593">
        <v>2030</v>
      </c>
      <c r="P2593">
        <v>5667.3116722418044</v>
      </c>
      <c r="Q2593">
        <v>63.780978532496562</v>
      </c>
      <c r="R2593" t="s">
        <v>249</v>
      </c>
      <c r="S2593">
        <v>0.43508713487380868</v>
      </c>
      <c r="T2593" t="s">
        <v>250</v>
      </c>
      <c r="U2593">
        <v>1.052823315118397</v>
      </c>
      <c r="V2593">
        <v>7991.4391852139524</v>
      </c>
      <c r="W2593">
        <v>89.937141380873001</v>
      </c>
      <c r="X2593" t="s">
        <v>111</v>
      </c>
      <c r="Y2593">
        <v>20</v>
      </c>
      <c r="Z2593">
        <v>0.44</v>
      </c>
      <c r="AA2593">
        <v>31.536000000000001</v>
      </c>
    </row>
    <row r="2594" spans="1:27" hidden="1" x14ac:dyDescent="0.25">
      <c r="A2594" t="s">
        <v>98</v>
      </c>
      <c r="B2594" t="s">
        <v>1548</v>
      </c>
      <c r="D2594" t="s">
        <v>1722</v>
      </c>
      <c r="E2594" t="s">
        <v>243</v>
      </c>
      <c r="F2594" t="s">
        <v>244</v>
      </c>
      <c r="G2594" t="s">
        <v>112</v>
      </c>
      <c r="H2594" t="s">
        <v>104</v>
      </c>
      <c r="I2594">
        <v>2030</v>
      </c>
      <c r="J2594" t="s">
        <v>257</v>
      </c>
      <c r="K2594" t="s">
        <v>106</v>
      </c>
      <c r="L2594" t="s">
        <v>2997</v>
      </c>
      <c r="M2594" t="s">
        <v>3002</v>
      </c>
      <c r="N2594">
        <v>1</v>
      </c>
      <c r="O2594">
        <v>2030</v>
      </c>
      <c r="P2594">
        <v>5911.8706390075113</v>
      </c>
      <c r="Q2594">
        <v>63.780978532496562</v>
      </c>
      <c r="R2594" t="s">
        <v>249</v>
      </c>
      <c r="S2594">
        <v>0.44315925240393511</v>
      </c>
      <c r="T2594" t="s">
        <v>250</v>
      </c>
      <c r="U2594">
        <v>1.0723562152133581</v>
      </c>
      <c r="V2594">
        <v>8336.2901874412255</v>
      </c>
      <c r="W2594">
        <v>89.937141380873001</v>
      </c>
      <c r="X2594" t="s">
        <v>111</v>
      </c>
      <c r="Y2594">
        <v>20</v>
      </c>
      <c r="Z2594">
        <v>0.44</v>
      </c>
      <c r="AA2594">
        <v>31.536000000000001</v>
      </c>
    </row>
    <row r="2595" spans="1:27" hidden="1" x14ac:dyDescent="0.25">
      <c r="A2595" t="s">
        <v>98</v>
      </c>
      <c r="B2595" t="s">
        <v>1548</v>
      </c>
      <c r="D2595" t="s">
        <v>1722</v>
      </c>
      <c r="E2595" t="s">
        <v>243</v>
      </c>
      <c r="F2595" t="s">
        <v>244</v>
      </c>
      <c r="G2595" t="s">
        <v>103</v>
      </c>
      <c r="H2595" t="s">
        <v>104</v>
      </c>
      <c r="I2595">
        <v>2040</v>
      </c>
      <c r="J2595" t="s">
        <v>259</v>
      </c>
      <c r="K2595" t="s">
        <v>106</v>
      </c>
      <c r="L2595" t="s">
        <v>2997</v>
      </c>
      <c r="M2595" t="s">
        <v>3003</v>
      </c>
      <c r="N2595">
        <v>1</v>
      </c>
      <c r="O2595">
        <v>2040</v>
      </c>
      <c r="P2595">
        <v>5667.3116722418044</v>
      </c>
      <c r="Q2595">
        <v>63.780978532496562</v>
      </c>
      <c r="R2595" t="s">
        <v>249</v>
      </c>
      <c r="S2595">
        <v>0.43508713487380868</v>
      </c>
      <c r="T2595" t="s">
        <v>250</v>
      </c>
      <c r="U2595">
        <v>1.052823315118397</v>
      </c>
      <c r="V2595">
        <v>7991.4391852139524</v>
      </c>
      <c r="W2595">
        <v>89.937141380873001</v>
      </c>
      <c r="X2595" t="s">
        <v>111</v>
      </c>
      <c r="Y2595">
        <v>20</v>
      </c>
      <c r="Z2595">
        <v>0.44</v>
      </c>
      <c r="AA2595">
        <v>31.536000000000001</v>
      </c>
    </row>
    <row r="2596" spans="1:27" hidden="1" x14ac:dyDescent="0.25">
      <c r="A2596" t="s">
        <v>98</v>
      </c>
      <c r="B2596" t="s">
        <v>1548</v>
      </c>
      <c r="D2596" t="s">
        <v>1722</v>
      </c>
      <c r="E2596" t="s">
        <v>243</v>
      </c>
      <c r="F2596" t="s">
        <v>244</v>
      </c>
      <c r="G2596" t="s">
        <v>112</v>
      </c>
      <c r="H2596" t="s">
        <v>104</v>
      </c>
      <c r="I2596">
        <v>2040</v>
      </c>
      <c r="J2596" t="s">
        <v>261</v>
      </c>
      <c r="K2596" t="s">
        <v>106</v>
      </c>
      <c r="L2596" t="s">
        <v>2997</v>
      </c>
      <c r="M2596" t="s">
        <v>3004</v>
      </c>
      <c r="N2596">
        <v>1</v>
      </c>
      <c r="O2596">
        <v>2040</v>
      </c>
      <c r="P2596">
        <v>5911.8706390075113</v>
      </c>
      <c r="Q2596">
        <v>63.780978532496562</v>
      </c>
      <c r="R2596" t="s">
        <v>249</v>
      </c>
      <c r="S2596">
        <v>0.44315925240393511</v>
      </c>
      <c r="T2596" t="s">
        <v>250</v>
      </c>
      <c r="U2596">
        <v>1.0723562152133581</v>
      </c>
      <c r="V2596">
        <v>8336.2901874412255</v>
      </c>
      <c r="W2596">
        <v>89.937141380873001</v>
      </c>
      <c r="X2596" t="s">
        <v>111</v>
      </c>
      <c r="Y2596">
        <v>20</v>
      </c>
      <c r="Z2596">
        <v>0.44</v>
      </c>
      <c r="AA2596">
        <v>31.536000000000001</v>
      </c>
    </row>
    <row r="2597" spans="1:27" hidden="1" x14ac:dyDescent="0.25">
      <c r="A2597" t="s">
        <v>98</v>
      </c>
      <c r="B2597" t="s">
        <v>1548</v>
      </c>
      <c r="D2597" t="s">
        <v>1722</v>
      </c>
      <c r="E2597" t="s">
        <v>243</v>
      </c>
      <c r="F2597" t="s">
        <v>244</v>
      </c>
      <c r="G2597" t="s">
        <v>103</v>
      </c>
      <c r="H2597" t="s">
        <v>104</v>
      </c>
      <c r="I2597">
        <v>2050</v>
      </c>
      <c r="J2597" t="s">
        <v>263</v>
      </c>
      <c r="K2597" t="s">
        <v>106</v>
      </c>
      <c r="L2597" t="s">
        <v>2997</v>
      </c>
      <c r="M2597" t="s">
        <v>3005</v>
      </c>
      <c r="N2597">
        <v>1</v>
      </c>
      <c r="O2597">
        <v>2050</v>
      </c>
      <c r="P2597">
        <v>5667.3116722418044</v>
      </c>
      <c r="Q2597">
        <v>63.780978532496562</v>
      </c>
      <c r="R2597" t="s">
        <v>249</v>
      </c>
      <c r="S2597">
        <v>0.43508713487380868</v>
      </c>
      <c r="T2597" t="s">
        <v>250</v>
      </c>
      <c r="U2597">
        <v>1.052823315118397</v>
      </c>
      <c r="V2597">
        <v>7991.4391852139524</v>
      </c>
      <c r="W2597">
        <v>89.937141380873001</v>
      </c>
      <c r="X2597" t="s">
        <v>111</v>
      </c>
      <c r="Y2597">
        <v>20</v>
      </c>
      <c r="Z2597">
        <v>0.44</v>
      </c>
      <c r="AA2597">
        <v>31.536000000000001</v>
      </c>
    </row>
    <row r="2598" spans="1:27" hidden="1" x14ac:dyDescent="0.25">
      <c r="A2598" t="s">
        <v>98</v>
      </c>
      <c r="B2598" t="s">
        <v>1548</v>
      </c>
      <c r="D2598" t="s">
        <v>1722</v>
      </c>
      <c r="E2598" t="s">
        <v>243</v>
      </c>
      <c r="F2598" t="s">
        <v>244</v>
      </c>
      <c r="G2598" t="s">
        <v>112</v>
      </c>
      <c r="H2598" t="s">
        <v>104</v>
      </c>
      <c r="I2598">
        <v>2050</v>
      </c>
      <c r="J2598" t="s">
        <v>265</v>
      </c>
      <c r="K2598" t="s">
        <v>106</v>
      </c>
      <c r="L2598" t="s">
        <v>2997</v>
      </c>
      <c r="M2598" t="s">
        <v>3006</v>
      </c>
      <c r="N2598">
        <v>1</v>
      </c>
      <c r="O2598">
        <v>2050</v>
      </c>
      <c r="P2598">
        <v>5911.8706390075113</v>
      </c>
      <c r="Q2598">
        <v>63.780978532496562</v>
      </c>
      <c r="R2598" t="s">
        <v>249</v>
      </c>
      <c r="S2598">
        <v>0.44315925240393511</v>
      </c>
      <c r="T2598" t="s">
        <v>250</v>
      </c>
      <c r="U2598">
        <v>1.0723562152133581</v>
      </c>
      <c r="V2598">
        <v>8336.2901874412255</v>
      </c>
      <c r="W2598">
        <v>89.937141380873001</v>
      </c>
      <c r="X2598" t="s">
        <v>111</v>
      </c>
      <c r="Y2598">
        <v>20</v>
      </c>
      <c r="Z2598">
        <v>0.44</v>
      </c>
      <c r="AA2598">
        <v>31.536000000000001</v>
      </c>
    </row>
    <row r="2599" spans="1:27" hidden="1" x14ac:dyDescent="0.25">
      <c r="A2599" t="s">
        <v>98</v>
      </c>
      <c r="B2599" t="s">
        <v>1548</v>
      </c>
      <c r="D2599" t="s">
        <v>1722</v>
      </c>
      <c r="E2599" t="s">
        <v>243</v>
      </c>
      <c r="F2599" t="s">
        <v>267</v>
      </c>
      <c r="G2599" t="s">
        <v>245</v>
      </c>
      <c r="H2599" t="s">
        <v>104</v>
      </c>
      <c r="I2599">
        <v>2022</v>
      </c>
      <c r="J2599" t="s">
        <v>268</v>
      </c>
      <c r="K2599" t="s">
        <v>106</v>
      </c>
      <c r="L2599" t="s">
        <v>2997</v>
      </c>
      <c r="M2599" t="s">
        <v>3007</v>
      </c>
      <c r="N2599">
        <v>1</v>
      </c>
      <c r="O2599">
        <v>2020</v>
      </c>
      <c r="P2599">
        <v>7748.5410872802086</v>
      </c>
      <c r="Q2599">
        <v>68.755259026523561</v>
      </c>
      <c r="R2599" t="s">
        <v>249</v>
      </c>
      <c r="S2599">
        <v>0.29876527460377861</v>
      </c>
      <c r="T2599" t="s">
        <v>250</v>
      </c>
      <c r="U2599">
        <v>0.72295184490306452</v>
      </c>
      <c r="V2599">
        <v>10926.167194301681</v>
      </c>
      <c r="W2599">
        <v>96.951341826723592</v>
      </c>
      <c r="X2599" t="s">
        <v>111</v>
      </c>
      <c r="Y2599">
        <v>20</v>
      </c>
      <c r="Z2599">
        <v>0.44</v>
      </c>
      <c r="AA2599">
        <v>31.536000000000001</v>
      </c>
    </row>
    <row r="2600" spans="1:27" hidden="1" x14ac:dyDescent="0.25">
      <c r="A2600" t="s">
        <v>98</v>
      </c>
      <c r="B2600" t="s">
        <v>1548</v>
      </c>
      <c r="D2600" t="s">
        <v>1722</v>
      </c>
      <c r="E2600" t="s">
        <v>243</v>
      </c>
      <c r="F2600" t="s">
        <v>267</v>
      </c>
      <c r="G2600" t="s">
        <v>112</v>
      </c>
      <c r="H2600" t="s">
        <v>104</v>
      </c>
      <c r="I2600">
        <v>2022</v>
      </c>
      <c r="J2600" t="s">
        <v>270</v>
      </c>
      <c r="K2600" t="s">
        <v>106</v>
      </c>
      <c r="L2600" t="s">
        <v>2997</v>
      </c>
      <c r="M2600" t="s">
        <v>3008</v>
      </c>
      <c r="N2600">
        <v>1</v>
      </c>
      <c r="O2600">
        <v>2020</v>
      </c>
      <c r="P2600">
        <v>8151.6394802345676</v>
      </c>
      <c r="Q2600">
        <v>68.755259026523561</v>
      </c>
      <c r="R2600" t="s">
        <v>249</v>
      </c>
      <c r="S2600">
        <v>0.29876527460377861</v>
      </c>
      <c r="T2600" t="s">
        <v>250</v>
      </c>
      <c r="U2600">
        <v>0.72295184490306452</v>
      </c>
      <c r="V2600">
        <v>11494.57360623949</v>
      </c>
      <c r="W2600">
        <v>96.951341826723592</v>
      </c>
      <c r="X2600" t="s">
        <v>111</v>
      </c>
      <c r="Y2600">
        <v>20</v>
      </c>
      <c r="Z2600">
        <v>0.44</v>
      </c>
      <c r="AA2600">
        <v>31.536000000000001</v>
      </c>
    </row>
    <row r="2601" spans="1:27" hidden="1" x14ac:dyDescent="0.25">
      <c r="A2601" t="s">
        <v>98</v>
      </c>
      <c r="B2601" t="s">
        <v>1548</v>
      </c>
      <c r="D2601" t="s">
        <v>1722</v>
      </c>
      <c r="E2601" t="s">
        <v>243</v>
      </c>
      <c r="F2601" t="s">
        <v>267</v>
      </c>
      <c r="G2601" t="s">
        <v>103</v>
      </c>
      <c r="H2601" t="s">
        <v>104</v>
      </c>
      <c r="I2601">
        <v>2030</v>
      </c>
      <c r="J2601" t="s">
        <v>272</v>
      </c>
      <c r="K2601" t="s">
        <v>106</v>
      </c>
      <c r="L2601" t="s">
        <v>2997</v>
      </c>
      <c r="M2601" t="s">
        <v>3009</v>
      </c>
      <c r="N2601">
        <v>1</v>
      </c>
      <c r="O2601">
        <v>2030</v>
      </c>
      <c r="P2601">
        <v>8119.0316179991396</v>
      </c>
      <c r="Q2601">
        <v>68.755259026523561</v>
      </c>
      <c r="R2601" t="s">
        <v>249</v>
      </c>
      <c r="S2601">
        <v>0.29876527460377861</v>
      </c>
      <c r="T2601" t="s">
        <v>250</v>
      </c>
      <c r="U2601">
        <v>0.72295184490306452</v>
      </c>
      <c r="V2601">
        <v>11448.59347260918</v>
      </c>
      <c r="W2601">
        <v>96.951341826723592</v>
      </c>
      <c r="X2601" t="s">
        <v>111</v>
      </c>
      <c r="Y2601">
        <v>20</v>
      </c>
      <c r="Z2601">
        <v>0.44</v>
      </c>
      <c r="AA2601">
        <v>31.536000000000001</v>
      </c>
    </row>
    <row r="2602" spans="1:27" hidden="1" x14ac:dyDescent="0.25">
      <c r="A2602" t="s">
        <v>98</v>
      </c>
      <c r="B2602" t="s">
        <v>1548</v>
      </c>
      <c r="D2602" t="s">
        <v>1722</v>
      </c>
      <c r="E2602" t="s">
        <v>243</v>
      </c>
      <c r="F2602" t="s">
        <v>267</v>
      </c>
      <c r="G2602" t="s">
        <v>112</v>
      </c>
      <c r="H2602" t="s">
        <v>104</v>
      </c>
      <c r="I2602">
        <v>2030</v>
      </c>
      <c r="J2602" t="s">
        <v>274</v>
      </c>
      <c r="K2602" t="s">
        <v>106</v>
      </c>
      <c r="L2602" t="s">
        <v>2997</v>
      </c>
      <c r="M2602" t="s">
        <v>3010</v>
      </c>
      <c r="N2602">
        <v>1</v>
      </c>
      <c r="O2602">
        <v>2030</v>
      </c>
      <c r="P2602">
        <v>8151.6394802345676</v>
      </c>
      <c r="Q2602">
        <v>68.755259026523561</v>
      </c>
      <c r="R2602" t="s">
        <v>249</v>
      </c>
      <c r="S2602">
        <v>0.31450011460924421</v>
      </c>
      <c r="T2602" t="s">
        <v>250</v>
      </c>
      <c r="U2602">
        <v>0.76102699144173802</v>
      </c>
      <c r="V2602">
        <v>11494.57360623949</v>
      </c>
      <c r="W2602">
        <v>96.951341826723578</v>
      </c>
      <c r="X2602" t="s">
        <v>111</v>
      </c>
      <c r="Y2602">
        <v>20</v>
      </c>
      <c r="Z2602">
        <v>0.44</v>
      </c>
      <c r="AA2602">
        <v>31.536000000000001</v>
      </c>
    </row>
    <row r="2603" spans="1:27" hidden="1" x14ac:dyDescent="0.25">
      <c r="A2603" t="s">
        <v>98</v>
      </c>
      <c r="B2603" t="s">
        <v>1548</v>
      </c>
      <c r="D2603" t="s">
        <v>1722</v>
      </c>
      <c r="E2603" t="s">
        <v>243</v>
      </c>
      <c r="F2603" t="s">
        <v>267</v>
      </c>
      <c r="G2603" t="s">
        <v>103</v>
      </c>
      <c r="H2603" t="s">
        <v>104</v>
      </c>
      <c r="I2603">
        <v>2040</v>
      </c>
      <c r="J2603" t="s">
        <v>276</v>
      </c>
      <c r="K2603" t="s">
        <v>106</v>
      </c>
      <c r="L2603" t="s">
        <v>2997</v>
      </c>
      <c r="M2603" t="s">
        <v>3011</v>
      </c>
      <c r="N2603">
        <v>1</v>
      </c>
      <c r="O2603">
        <v>2040</v>
      </c>
      <c r="P2603">
        <v>8119.0316179991396</v>
      </c>
      <c r="Q2603">
        <v>68.755259026523561</v>
      </c>
      <c r="R2603" t="s">
        <v>249</v>
      </c>
      <c r="S2603">
        <v>0.29876527460377861</v>
      </c>
      <c r="T2603" t="s">
        <v>250</v>
      </c>
      <c r="U2603">
        <v>0.72295184490306452</v>
      </c>
      <c r="V2603">
        <v>11448.59347260918</v>
      </c>
      <c r="W2603">
        <v>96.951341826723592</v>
      </c>
      <c r="X2603" t="s">
        <v>111</v>
      </c>
      <c r="Y2603">
        <v>20</v>
      </c>
      <c r="Z2603">
        <v>0.44</v>
      </c>
      <c r="AA2603">
        <v>31.536000000000001</v>
      </c>
    </row>
    <row r="2604" spans="1:27" hidden="1" x14ac:dyDescent="0.25">
      <c r="A2604" t="s">
        <v>98</v>
      </c>
      <c r="B2604" t="s">
        <v>1548</v>
      </c>
      <c r="D2604" t="s">
        <v>1722</v>
      </c>
      <c r="E2604" t="s">
        <v>243</v>
      </c>
      <c r="F2604" t="s">
        <v>267</v>
      </c>
      <c r="G2604" t="s">
        <v>112</v>
      </c>
      <c r="H2604" t="s">
        <v>104</v>
      </c>
      <c r="I2604">
        <v>2040</v>
      </c>
      <c r="J2604" t="s">
        <v>278</v>
      </c>
      <c r="K2604" t="s">
        <v>106</v>
      </c>
      <c r="L2604" t="s">
        <v>2997</v>
      </c>
      <c r="M2604" t="s">
        <v>3012</v>
      </c>
      <c r="N2604">
        <v>1</v>
      </c>
      <c r="O2604">
        <v>2040</v>
      </c>
      <c r="P2604">
        <v>8151.6394802345676</v>
      </c>
      <c r="Q2604">
        <v>68.755259026523561</v>
      </c>
      <c r="R2604" t="s">
        <v>249</v>
      </c>
      <c r="S2604">
        <v>0.31450011460924421</v>
      </c>
      <c r="T2604" t="s">
        <v>250</v>
      </c>
      <c r="U2604">
        <v>0.76102699144173802</v>
      </c>
      <c r="V2604">
        <v>11494.57360623949</v>
      </c>
      <c r="W2604">
        <v>96.951341826723578</v>
      </c>
      <c r="X2604" t="s">
        <v>111</v>
      </c>
      <c r="Y2604">
        <v>20</v>
      </c>
      <c r="Z2604">
        <v>0.44</v>
      </c>
      <c r="AA2604">
        <v>31.536000000000001</v>
      </c>
    </row>
    <row r="2605" spans="1:27" hidden="1" x14ac:dyDescent="0.25">
      <c r="A2605" t="s">
        <v>98</v>
      </c>
      <c r="B2605" t="s">
        <v>1548</v>
      </c>
      <c r="D2605" t="s">
        <v>1722</v>
      </c>
      <c r="E2605" t="s">
        <v>243</v>
      </c>
      <c r="F2605" t="s">
        <v>267</v>
      </c>
      <c r="G2605" t="s">
        <v>103</v>
      </c>
      <c r="H2605" t="s">
        <v>104</v>
      </c>
      <c r="I2605">
        <v>2050</v>
      </c>
      <c r="J2605" t="s">
        <v>280</v>
      </c>
      <c r="K2605" t="s">
        <v>106</v>
      </c>
      <c r="L2605" t="s">
        <v>2997</v>
      </c>
      <c r="M2605" t="s">
        <v>3013</v>
      </c>
      <c r="N2605">
        <v>1</v>
      </c>
      <c r="O2605">
        <v>2050</v>
      </c>
      <c r="P2605">
        <v>8119.0316179991396</v>
      </c>
      <c r="Q2605">
        <v>68.755259026523561</v>
      </c>
      <c r="R2605" t="s">
        <v>249</v>
      </c>
      <c r="S2605">
        <v>0.29876527460377861</v>
      </c>
      <c r="T2605" t="s">
        <v>250</v>
      </c>
      <c r="U2605">
        <v>0.72295184490306452</v>
      </c>
      <c r="V2605">
        <v>11448.59347260918</v>
      </c>
      <c r="W2605">
        <v>96.951341826723592</v>
      </c>
      <c r="X2605" t="s">
        <v>111</v>
      </c>
      <c r="Y2605">
        <v>20</v>
      </c>
      <c r="Z2605">
        <v>0.44</v>
      </c>
      <c r="AA2605">
        <v>31.536000000000001</v>
      </c>
    </row>
    <row r="2606" spans="1:27" hidden="1" x14ac:dyDescent="0.25">
      <c r="A2606" t="s">
        <v>98</v>
      </c>
      <c r="B2606" t="s">
        <v>1548</v>
      </c>
      <c r="D2606" t="s">
        <v>1722</v>
      </c>
      <c r="E2606" t="s">
        <v>243</v>
      </c>
      <c r="F2606" t="s">
        <v>267</v>
      </c>
      <c r="G2606" t="s">
        <v>112</v>
      </c>
      <c r="H2606" t="s">
        <v>104</v>
      </c>
      <c r="I2606">
        <v>2050</v>
      </c>
      <c r="J2606" t="s">
        <v>282</v>
      </c>
      <c r="K2606" t="s">
        <v>106</v>
      </c>
      <c r="L2606" t="s">
        <v>2997</v>
      </c>
      <c r="M2606" t="s">
        <v>3014</v>
      </c>
      <c r="N2606">
        <v>1</v>
      </c>
      <c r="O2606">
        <v>2050</v>
      </c>
      <c r="P2606">
        <v>8151.6394802345676</v>
      </c>
      <c r="Q2606">
        <v>68.755259026523561</v>
      </c>
      <c r="R2606" t="s">
        <v>249</v>
      </c>
      <c r="S2606">
        <v>0.31450011460924421</v>
      </c>
      <c r="T2606" t="s">
        <v>250</v>
      </c>
      <c r="U2606">
        <v>0.76102699144173802</v>
      </c>
      <c r="V2606">
        <v>11494.57360623949</v>
      </c>
      <c r="W2606">
        <v>96.951341826723578</v>
      </c>
      <c r="X2606" t="s">
        <v>111</v>
      </c>
      <c r="Y2606">
        <v>20</v>
      </c>
      <c r="Z2606">
        <v>0.44</v>
      </c>
      <c r="AA2606">
        <v>31.536000000000001</v>
      </c>
    </row>
    <row r="2607" spans="1:27" hidden="1" x14ac:dyDescent="0.25">
      <c r="A2607" t="s">
        <v>98</v>
      </c>
      <c r="B2607" t="s">
        <v>1548</v>
      </c>
      <c r="D2607" t="s">
        <v>1722</v>
      </c>
      <c r="E2607" t="s">
        <v>284</v>
      </c>
      <c r="F2607" t="s">
        <v>285</v>
      </c>
      <c r="G2607" t="s">
        <v>103</v>
      </c>
      <c r="H2607" t="s">
        <v>104</v>
      </c>
      <c r="I2607">
        <v>2022</v>
      </c>
      <c r="J2607" t="s">
        <v>286</v>
      </c>
      <c r="K2607" t="s">
        <v>106</v>
      </c>
      <c r="L2607" t="s">
        <v>3015</v>
      </c>
      <c r="M2607" t="s">
        <v>3016</v>
      </c>
      <c r="N2607">
        <v>1</v>
      </c>
      <c r="O2607">
        <v>2020</v>
      </c>
      <c r="P2607">
        <v>100.10336678844671</v>
      </c>
      <c r="Q2607">
        <v>36.612504973710713</v>
      </c>
      <c r="R2607" t="s">
        <v>289</v>
      </c>
      <c r="S2607">
        <v>15.58191798941797</v>
      </c>
      <c r="T2607" t="s">
        <v>290</v>
      </c>
      <c r="U2607">
        <v>37.705106031875843</v>
      </c>
      <c r="V2607">
        <v>341.56694721909253</v>
      </c>
      <c r="W2607">
        <v>124.9270824261381</v>
      </c>
      <c r="X2607" t="s">
        <v>291</v>
      </c>
      <c r="Y2607">
        <v>10</v>
      </c>
      <c r="Z2607">
        <v>0.2813393128634602</v>
      </c>
      <c r="AA2607">
        <v>1</v>
      </c>
    </row>
    <row r="2608" spans="1:27" hidden="1" x14ac:dyDescent="0.25">
      <c r="A2608" t="s">
        <v>98</v>
      </c>
      <c r="B2608" t="s">
        <v>1548</v>
      </c>
      <c r="D2608" t="s">
        <v>1722</v>
      </c>
      <c r="E2608" t="s">
        <v>284</v>
      </c>
      <c r="F2608" t="s">
        <v>292</v>
      </c>
      <c r="G2608" t="s">
        <v>103</v>
      </c>
      <c r="H2608" t="s">
        <v>104</v>
      </c>
      <c r="I2608">
        <v>2022</v>
      </c>
      <c r="J2608" t="s">
        <v>293</v>
      </c>
      <c r="K2608" t="s">
        <v>106</v>
      </c>
      <c r="L2608" t="s">
        <v>3015</v>
      </c>
      <c r="M2608" t="s">
        <v>3017</v>
      </c>
      <c r="N2608">
        <v>1</v>
      </c>
      <c r="O2608">
        <v>2020</v>
      </c>
      <c r="P2608">
        <v>99.46253669701926</v>
      </c>
      <c r="Q2608">
        <v>6.0605044913603194</v>
      </c>
      <c r="R2608" t="s">
        <v>289</v>
      </c>
      <c r="S2608">
        <v>42.005691056910557</v>
      </c>
      <c r="T2608" t="s">
        <v>290</v>
      </c>
      <c r="U2608">
        <v>42.005691056910557</v>
      </c>
      <c r="V2608">
        <v>99.46253669701926</v>
      </c>
      <c r="W2608">
        <v>6.0605044913603194</v>
      </c>
      <c r="X2608" t="s">
        <v>291</v>
      </c>
      <c r="Y2608">
        <v>10</v>
      </c>
      <c r="Z2608">
        <v>0.2813393128634602</v>
      </c>
      <c r="AA2608">
        <v>1</v>
      </c>
    </row>
    <row r="2609" spans="1:27" hidden="1" x14ac:dyDescent="0.25">
      <c r="A2609" t="s">
        <v>98</v>
      </c>
      <c r="B2609" t="s">
        <v>1548</v>
      </c>
      <c r="D2609" t="s">
        <v>1722</v>
      </c>
      <c r="E2609" t="s">
        <v>284</v>
      </c>
      <c r="F2609" t="s">
        <v>292</v>
      </c>
      <c r="G2609" t="s">
        <v>112</v>
      </c>
      <c r="H2609" t="s">
        <v>104</v>
      </c>
      <c r="I2609">
        <v>2022</v>
      </c>
      <c r="J2609" t="s">
        <v>295</v>
      </c>
      <c r="K2609" t="s">
        <v>106</v>
      </c>
      <c r="L2609" t="s">
        <v>3015</v>
      </c>
      <c r="M2609" t="s">
        <v>3018</v>
      </c>
      <c r="N2609">
        <v>1</v>
      </c>
      <c r="O2609">
        <v>2020</v>
      </c>
      <c r="P2609">
        <v>92.517129414925563</v>
      </c>
      <c r="Q2609">
        <v>5.9256499638890956</v>
      </c>
      <c r="R2609" t="s">
        <v>289</v>
      </c>
      <c r="S2609">
        <v>43.051923076923067</v>
      </c>
      <c r="T2609" t="s">
        <v>290</v>
      </c>
      <c r="U2609">
        <v>43.051923076923067</v>
      </c>
      <c r="V2609">
        <v>92.517129414925563</v>
      </c>
      <c r="W2609">
        <v>5.9256499638890956</v>
      </c>
      <c r="X2609" t="s">
        <v>291</v>
      </c>
      <c r="Y2609">
        <v>10</v>
      </c>
      <c r="Z2609">
        <v>0.2813393128634602</v>
      </c>
      <c r="AA2609">
        <v>1</v>
      </c>
    </row>
    <row r="2610" spans="1:27" hidden="1" x14ac:dyDescent="0.25">
      <c r="A2610" t="s">
        <v>98</v>
      </c>
      <c r="B2610" t="s">
        <v>1548</v>
      </c>
      <c r="D2610" t="s">
        <v>1722</v>
      </c>
      <c r="E2610" t="s">
        <v>284</v>
      </c>
      <c r="F2610" t="s">
        <v>297</v>
      </c>
      <c r="G2610" t="s">
        <v>103</v>
      </c>
      <c r="H2610" t="s">
        <v>104</v>
      </c>
      <c r="I2610">
        <v>2022</v>
      </c>
      <c r="J2610" t="s">
        <v>298</v>
      </c>
      <c r="K2610" t="s">
        <v>106</v>
      </c>
      <c r="L2610" t="s">
        <v>3015</v>
      </c>
      <c r="M2610" t="s">
        <v>3019</v>
      </c>
      <c r="N2610">
        <v>1</v>
      </c>
      <c r="O2610">
        <v>2020</v>
      </c>
      <c r="P2610">
        <v>94.526951376087595</v>
      </c>
      <c r="Q2610">
        <v>3.949349451558744</v>
      </c>
      <c r="R2610" t="s">
        <v>289</v>
      </c>
      <c r="S2610">
        <v>76.146700507614213</v>
      </c>
      <c r="T2610" t="s">
        <v>290</v>
      </c>
      <c r="U2610">
        <v>76.146700507614213</v>
      </c>
      <c r="V2610">
        <v>94.526951376087595</v>
      </c>
      <c r="W2610">
        <v>3.949349451558744</v>
      </c>
      <c r="X2610" t="s">
        <v>291</v>
      </c>
      <c r="Y2610">
        <v>10</v>
      </c>
      <c r="Z2610">
        <v>0.2813393128634602</v>
      </c>
      <c r="AA2610">
        <v>1</v>
      </c>
    </row>
    <row r="2611" spans="1:27" hidden="1" x14ac:dyDescent="0.25">
      <c r="A2611" t="s">
        <v>98</v>
      </c>
      <c r="B2611" t="s">
        <v>1548</v>
      </c>
      <c r="D2611" t="s">
        <v>1722</v>
      </c>
      <c r="E2611" t="s">
        <v>284</v>
      </c>
      <c r="F2611" t="s">
        <v>297</v>
      </c>
      <c r="G2611" t="s">
        <v>112</v>
      </c>
      <c r="H2611" t="s">
        <v>104</v>
      </c>
      <c r="I2611">
        <v>2022</v>
      </c>
      <c r="J2611" t="s">
        <v>300</v>
      </c>
      <c r="K2611" t="s">
        <v>106</v>
      </c>
      <c r="L2611" t="s">
        <v>3015</v>
      </c>
      <c r="M2611" t="s">
        <v>3020</v>
      </c>
      <c r="N2611">
        <v>1</v>
      </c>
      <c r="O2611">
        <v>2020</v>
      </c>
      <c r="P2611">
        <v>69.765067810793198</v>
      </c>
      <c r="Q2611">
        <v>2.516631606553434</v>
      </c>
      <c r="R2611" t="s">
        <v>289</v>
      </c>
      <c r="S2611">
        <v>93</v>
      </c>
      <c r="T2611" t="s">
        <v>290</v>
      </c>
      <c r="U2611">
        <v>93</v>
      </c>
      <c r="V2611">
        <v>69.765067810793198</v>
      </c>
      <c r="W2611">
        <v>2.516631606553434</v>
      </c>
      <c r="X2611" t="s">
        <v>291</v>
      </c>
      <c r="Y2611">
        <v>10</v>
      </c>
      <c r="Z2611">
        <v>0.2813393128634602</v>
      </c>
      <c r="AA2611">
        <v>1</v>
      </c>
    </row>
    <row r="2612" spans="1:27" hidden="1" x14ac:dyDescent="0.25">
      <c r="A2612" t="s">
        <v>98</v>
      </c>
      <c r="B2612" t="s">
        <v>1548</v>
      </c>
      <c r="D2612" t="s">
        <v>1722</v>
      </c>
      <c r="E2612" t="s">
        <v>284</v>
      </c>
      <c r="F2612" t="s">
        <v>302</v>
      </c>
      <c r="G2612" t="s">
        <v>103</v>
      </c>
      <c r="H2612" t="s">
        <v>104</v>
      </c>
      <c r="I2612">
        <v>2022</v>
      </c>
      <c r="J2612" t="s">
        <v>303</v>
      </c>
      <c r="K2612" t="s">
        <v>106</v>
      </c>
      <c r="L2612" t="s">
        <v>3015</v>
      </c>
      <c r="M2612" t="s">
        <v>3021</v>
      </c>
      <c r="N2612">
        <v>1</v>
      </c>
      <c r="O2612">
        <v>2020</v>
      </c>
      <c r="P2612">
        <v>105.7930490817716</v>
      </c>
      <c r="Q2612">
        <v>3.355492309527206</v>
      </c>
      <c r="R2612" t="s">
        <v>289</v>
      </c>
      <c r="S2612">
        <v>64.669172932330824</v>
      </c>
      <c r="T2612" t="s">
        <v>290</v>
      </c>
      <c r="U2612">
        <v>64.669172932330824</v>
      </c>
      <c r="V2612">
        <v>105.7930490817716</v>
      </c>
      <c r="W2612">
        <v>3.355492309527206</v>
      </c>
      <c r="X2612" t="s">
        <v>291</v>
      </c>
      <c r="Y2612">
        <v>10</v>
      </c>
      <c r="Z2612">
        <v>0.2813393128634602</v>
      </c>
      <c r="AA2612">
        <v>1</v>
      </c>
    </row>
    <row r="2613" spans="1:27" hidden="1" x14ac:dyDescent="0.25">
      <c r="A2613" t="s">
        <v>98</v>
      </c>
      <c r="B2613" t="s">
        <v>1548</v>
      </c>
      <c r="D2613" t="s">
        <v>1722</v>
      </c>
      <c r="E2613" t="s">
        <v>284</v>
      </c>
      <c r="F2613" t="s">
        <v>302</v>
      </c>
      <c r="G2613" t="s">
        <v>112</v>
      </c>
      <c r="H2613" t="s">
        <v>104</v>
      </c>
      <c r="I2613">
        <v>2022</v>
      </c>
      <c r="J2613" t="s">
        <v>305</v>
      </c>
      <c r="K2613" t="s">
        <v>106</v>
      </c>
      <c r="L2613" t="s">
        <v>3015</v>
      </c>
      <c r="M2613" t="s">
        <v>3022</v>
      </c>
      <c r="N2613">
        <v>1</v>
      </c>
      <c r="O2613">
        <v>2020</v>
      </c>
      <c r="P2613">
        <v>99.614212714858894</v>
      </c>
      <c r="Q2613">
        <v>1.4361600838792941</v>
      </c>
      <c r="R2613" t="s">
        <v>289</v>
      </c>
      <c r="S2613">
        <v>75.07692307692308</v>
      </c>
      <c r="T2613" t="s">
        <v>290</v>
      </c>
      <c r="U2613">
        <v>75.07692307692308</v>
      </c>
      <c r="V2613">
        <v>99.614212714858894</v>
      </c>
      <c r="W2613">
        <v>1.4361600838792941</v>
      </c>
      <c r="X2613" t="s">
        <v>291</v>
      </c>
      <c r="Y2613">
        <v>10</v>
      </c>
      <c r="Z2613">
        <v>0.2813393128634602</v>
      </c>
      <c r="AA2613">
        <v>1</v>
      </c>
    </row>
    <row r="2614" spans="1:27" hidden="1" x14ac:dyDescent="0.25">
      <c r="A2614" t="s">
        <v>98</v>
      </c>
      <c r="B2614" t="s">
        <v>1548</v>
      </c>
      <c r="D2614" t="s">
        <v>1722</v>
      </c>
      <c r="E2614" t="s">
        <v>284</v>
      </c>
      <c r="F2614" t="s">
        <v>297</v>
      </c>
      <c r="G2614" t="s">
        <v>103</v>
      </c>
      <c r="H2614" t="s">
        <v>104</v>
      </c>
      <c r="I2614">
        <v>2023</v>
      </c>
      <c r="J2614" t="s">
        <v>307</v>
      </c>
      <c r="K2614" t="s">
        <v>106</v>
      </c>
      <c r="L2614" t="s">
        <v>3015</v>
      </c>
      <c r="M2614" t="s">
        <v>3023</v>
      </c>
      <c r="N2614">
        <v>1</v>
      </c>
      <c r="O2614">
        <v>2023</v>
      </c>
      <c r="P2614">
        <v>94.526951376087595</v>
      </c>
      <c r="Q2614">
        <v>3.949349451558744</v>
      </c>
      <c r="R2614" t="s">
        <v>289</v>
      </c>
      <c r="S2614">
        <v>76.146700507614213</v>
      </c>
      <c r="T2614" t="s">
        <v>290</v>
      </c>
      <c r="U2614">
        <v>76.146700507614213</v>
      </c>
      <c r="V2614">
        <v>94.526951376087595</v>
      </c>
      <c r="W2614">
        <v>3.949349451558744</v>
      </c>
      <c r="X2614" t="s">
        <v>291</v>
      </c>
      <c r="Y2614">
        <v>10</v>
      </c>
      <c r="Z2614">
        <v>0.2813393128634602</v>
      </c>
      <c r="AA2614">
        <v>1</v>
      </c>
    </row>
    <row r="2615" spans="1:27" hidden="1" x14ac:dyDescent="0.25">
      <c r="A2615" t="s">
        <v>98</v>
      </c>
      <c r="B2615" t="s">
        <v>1548</v>
      </c>
      <c r="D2615" t="s">
        <v>1722</v>
      </c>
      <c r="E2615" t="s">
        <v>284</v>
      </c>
      <c r="F2615" t="s">
        <v>297</v>
      </c>
      <c r="G2615" t="s">
        <v>112</v>
      </c>
      <c r="H2615" t="s">
        <v>104</v>
      </c>
      <c r="I2615">
        <v>2023</v>
      </c>
      <c r="J2615" t="s">
        <v>309</v>
      </c>
      <c r="K2615" t="s">
        <v>106</v>
      </c>
      <c r="L2615" t="s">
        <v>3015</v>
      </c>
      <c r="M2615" t="s">
        <v>3024</v>
      </c>
      <c r="N2615">
        <v>1</v>
      </c>
      <c r="O2615">
        <v>2023</v>
      </c>
      <c r="P2615">
        <v>69.765067810793198</v>
      </c>
      <c r="Q2615">
        <v>2.516631606553434</v>
      </c>
      <c r="R2615" t="s">
        <v>289</v>
      </c>
      <c r="S2615">
        <v>93</v>
      </c>
      <c r="T2615" t="s">
        <v>290</v>
      </c>
      <c r="U2615">
        <v>93</v>
      </c>
      <c r="V2615">
        <v>69.765067810793198</v>
      </c>
      <c r="W2615">
        <v>2.516631606553434</v>
      </c>
      <c r="X2615" t="s">
        <v>291</v>
      </c>
      <c r="Y2615">
        <v>10</v>
      </c>
      <c r="Z2615">
        <v>0.2813393128634602</v>
      </c>
      <c r="AA2615">
        <v>1</v>
      </c>
    </row>
    <row r="2616" spans="1:27" hidden="1" x14ac:dyDescent="0.25">
      <c r="A2616" t="s">
        <v>98</v>
      </c>
      <c r="B2616" t="s">
        <v>1548</v>
      </c>
      <c r="D2616" t="s">
        <v>1722</v>
      </c>
      <c r="E2616" t="s">
        <v>284</v>
      </c>
      <c r="F2616" t="s">
        <v>302</v>
      </c>
      <c r="G2616" t="s">
        <v>103</v>
      </c>
      <c r="H2616" t="s">
        <v>104</v>
      </c>
      <c r="I2616">
        <v>2023</v>
      </c>
      <c r="J2616" t="s">
        <v>311</v>
      </c>
      <c r="K2616" t="s">
        <v>106</v>
      </c>
      <c r="L2616" t="s">
        <v>3015</v>
      </c>
      <c r="M2616" t="s">
        <v>3025</v>
      </c>
      <c r="N2616">
        <v>1</v>
      </c>
      <c r="O2616">
        <v>2023</v>
      </c>
      <c r="P2616">
        <v>105.7930490817716</v>
      </c>
      <c r="Q2616">
        <v>3.355492309527206</v>
      </c>
      <c r="R2616" t="s">
        <v>289</v>
      </c>
      <c r="S2616">
        <v>64.669172932330824</v>
      </c>
      <c r="T2616" t="s">
        <v>290</v>
      </c>
      <c r="U2616">
        <v>64.669172932330824</v>
      </c>
      <c r="V2616">
        <v>105.7930490817716</v>
      </c>
      <c r="W2616">
        <v>3.355492309527206</v>
      </c>
      <c r="X2616" t="s">
        <v>291</v>
      </c>
      <c r="Y2616">
        <v>10</v>
      </c>
      <c r="Z2616">
        <v>0.2813393128634602</v>
      </c>
      <c r="AA2616">
        <v>1</v>
      </c>
    </row>
    <row r="2617" spans="1:27" hidden="1" x14ac:dyDescent="0.25">
      <c r="A2617" t="s">
        <v>98</v>
      </c>
      <c r="B2617" t="s">
        <v>1548</v>
      </c>
      <c r="D2617" t="s">
        <v>1722</v>
      </c>
      <c r="E2617" t="s">
        <v>284</v>
      </c>
      <c r="F2617" t="s">
        <v>302</v>
      </c>
      <c r="G2617" t="s">
        <v>112</v>
      </c>
      <c r="H2617" t="s">
        <v>104</v>
      </c>
      <c r="I2617">
        <v>2023</v>
      </c>
      <c r="J2617" t="s">
        <v>313</v>
      </c>
      <c r="K2617" t="s">
        <v>106</v>
      </c>
      <c r="L2617" t="s">
        <v>3015</v>
      </c>
      <c r="M2617" t="s">
        <v>3026</v>
      </c>
      <c r="N2617">
        <v>1</v>
      </c>
      <c r="O2617">
        <v>2023</v>
      </c>
      <c r="P2617">
        <v>99.614212714858894</v>
      </c>
      <c r="Q2617">
        <v>1.4361600838792941</v>
      </c>
      <c r="R2617" t="s">
        <v>289</v>
      </c>
      <c r="S2617">
        <v>75.07692307692308</v>
      </c>
      <c r="T2617" t="s">
        <v>290</v>
      </c>
      <c r="U2617">
        <v>75.07692307692308</v>
      </c>
      <c r="V2617">
        <v>99.614212714858894</v>
      </c>
      <c r="W2617">
        <v>1.4361600838792941</v>
      </c>
      <c r="X2617" t="s">
        <v>291</v>
      </c>
      <c r="Y2617">
        <v>10</v>
      </c>
      <c r="Z2617">
        <v>0.2813393128634602</v>
      </c>
      <c r="AA2617">
        <v>1</v>
      </c>
    </row>
    <row r="2618" spans="1:27" hidden="1" x14ac:dyDescent="0.25">
      <c r="A2618" t="s">
        <v>98</v>
      </c>
      <c r="B2618" t="s">
        <v>1548</v>
      </c>
      <c r="D2618" t="s">
        <v>1722</v>
      </c>
      <c r="E2618" t="s">
        <v>284</v>
      </c>
      <c r="F2618" t="s">
        <v>297</v>
      </c>
      <c r="G2618" t="s">
        <v>103</v>
      </c>
      <c r="H2618" t="s">
        <v>104</v>
      </c>
      <c r="I2618">
        <v>2024</v>
      </c>
      <c r="J2618" t="s">
        <v>315</v>
      </c>
      <c r="K2618" t="s">
        <v>106</v>
      </c>
      <c r="L2618" t="s">
        <v>3015</v>
      </c>
      <c r="M2618" t="s">
        <v>3027</v>
      </c>
      <c r="N2618">
        <v>1</v>
      </c>
      <c r="O2618">
        <v>2024</v>
      </c>
      <c r="P2618">
        <v>94.526951376087595</v>
      </c>
      <c r="Q2618">
        <v>3.949349451558744</v>
      </c>
      <c r="R2618" t="s">
        <v>289</v>
      </c>
      <c r="S2618">
        <v>76.146700507614213</v>
      </c>
      <c r="T2618" t="s">
        <v>290</v>
      </c>
      <c r="U2618">
        <v>76.146700507614213</v>
      </c>
      <c r="V2618">
        <v>94.526951376087595</v>
      </c>
      <c r="W2618">
        <v>3.949349451558744</v>
      </c>
      <c r="X2618" t="s">
        <v>291</v>
      </c>
      <c r="Y2618">
        <v>10</v>
      </c>
      <c r="Z2618">
        <v>0.2813393128634602</v>
      </c>
      <c r="AA2618">
        <v>1</v>
      </c>
    </row>
    <row r="2619" spans="1:27" hidden="1" x14ac:dyDescent="0.25">
      <c r="A2619" t="s">
        <v>98</v>
      </c>
      <c r="B2619" t="s">
        <v>1548</v>
      </c>
      <c r="D2619" t="s">
        <v>1722</v>
      </c>
      <c r="E2619" t="s">
        <v>284</v>
      </c>
      <c r="F2619" t="s">
        <v>297</v>
      </c>
      <c r="G2619" t="s">
        <v>112</v>
      </c>
      <c r="H2619" t="s">
        <v>104</v>
      </c>
      <c r="I2619">
        <v>2024</v>
      </c>
      <c r="J2619" t="s">
        <v>317</v>
      </c>
      <c r="K2619" t="s">
        <v>106</v>
      </c>
      <c r="L2619" t="s">
        <v>3015</v>
      </c>
      <c r="M2619" t="s">
        <v>3028</v>
      </c>
      <c r="N2619">
        <v>1</v>
      </c>
      <c r="O2619">
        <v>2024</v>
      </c>
      <c r="P2619">
        <v>69.765067810793198</v>
      </c>
      <c r="Q2619">
        <v>2.516631606553434</v>
      </c>
      <c r="R2619" t="s">
        <v>289</v>
      </c>
      <c r="S2619">
        <v>93</v>
      </c>
      <c r="T2619" t="s">
        <v>290</v>
      </c>
      <c r="U2619">
        <v>93</v>
      </c>
      <c r="V2619">
        <v>69.765067810793198</v>
      </c>
      <c r="W2619">
        <v>2.516631606553434</v>
      </c>
      <c r="X2619" t="s">
        <v>291</v>
      </c>
      <c r="Y2619">
        <v>10</v>
      </c>
      <c r="Z2619">
        <v>0.2813393128634602</v>
      </c>
      <c r="AA2619">
        <v>1</v>
      </c>
    </row>
    <row r="2620" spans="1:27" hidden="1" x14ac:dyDescent="0.25">
      <c r="A2620" t="s">
        <v>98</v>
      </c>
      <c r="B2620" t="s">
        <v>1548</v>
      </c>
      <c r="D2620" t="s">
        <v>1722</v>
      </c>
      <c r="E2620" t="s">
        <v>284</v>
      </c>
      <c r="F2620" t="s">
        <v>302</v>
      </c>
      <c r="G2620" t="s">
        <v>103</v>
      </c>
      <c r="H2620" t="s">
        <v>104</v>
      </c>
      <c r="I2620">
        <v>2024</v>
      </c>
      <c r="J2620" t="s">
        <v>319</v>
      </c>
      <c r="K2620" t="s">
        <v>106</v>
      </c>
      <c r="L2620" t="s">
        <v>3015</v>
      </c>
      <c r="M2620" t="s">
        <v>3029</v>
      </c>
      <c r="N2620">
        <v>1</v>
      </c>
      <c r="O2620">
        <v>2024</v>
      </c>
      <c r="P2620">
        <v>105.7930490817716</v>
      </c>
      <c r="Q2620">
        <v>3.355492309527206</v>
      </c>
      <c r="R2620" t="s">
        <v>289</v>
      </c>
      <c r="S2620">
        <v>64.669172932330824</v>
      </c>
      <c r="T2620" t="s">
        <v>290</v>
      </c>
      <c r="U2620">
        <v>64.669172932330824</v>
      </c>
      <c r="V2620">
        <v>105.7930490817716</v>
      </c>
      <c r="W2620">
        <v>3.355492309527206</v>
      </c>
      <c r="X2620" t="s">
        <v>291</v>
      </c>
      <c r="Y2620">
        <v>10</v>
      </c>
      <c r="Z2620">
        <v>0.2813393128634602</v>
      </c>
      <c r="AA2620">
        <v>1</v>
      </c>
    </row>
    <row r="2621" spans="1:27" hidden="1" x14ac:dyDescent="0.25">
      <c r="A2621" t="s">
        <v>98</v>
      </c>
      <c r="B2621" t="s">
        <v>1548</v>
      </c>
      <c r="D2621" t="s">
        <v>1722</v>
      </c>
      <c r="E2621" t="s">
        <v>284</v>
      </c>
      <c r="F2621" t="s">
        <v>302</v>
      </c>
      <c r="G2621" t="s">
        <v>112</v>
      </c>
      <c r="H2621" t="s">
        <v>104</v>
      </c>
      <c r="I2621">
        <v>2024</v>
      </c>
      <c r="J2621" t="s">
        <v>321</v>
      </c>
      <c r="K2621" t="s">
        <v>106</v>
      </c>
      <c r="L2621" t="s">
        <v>3015</v>
      </c>
      <c r="M2621" t="s">
        <v>3030</v>
      </c>
      <c r="N2621">
        <v>1</v>
      </c>
      <c r="O2621">
        <v>2024</v>
      </c>
      <c r="P2621">
        <v>99.614212714858894</v>
      </c>
      <c r="Q2621">
        <v>1.4361600838792941</v>
      </c>
      <c r="R2621" t="s">
        <v>289</v>
      </c>
      <c r="S2621">
        <v>75.07692307692308</v>
      </c>
      <c r="T2621" t="s">
        <v>290</v>
      </c>
      <c r="U2621">
        <v>75.07692307692308</v>
      </c>
      <c r="V2621">
        <v>99.614212714858894</v>
      </c>
      <c r="W2621">
        <v>1.4361600838792941</v>
      </c>
      <c r="X2621" t="s">
        <v>291</v>
      </c>
      <c r="Y2621">
        <v>10</v>
      </c>
      <c r="Z2621">
        <v>0.2813393128634602</v>
      </c>
      <c r="AA2621">
        <v>1</v>
      </c>
    </row>
    <row r="2622" spans="1:27" hidden="1" x14ac:dyDescent="0.25">
      <c r="A2622" t="s">
        <v>98</v>
      </c>
      <c r="B2622" t="s">
        <v>1548</v>
      </c>
      <c r="D2622" t="s">
        <v>1722</v>
      </c>
      <c r="E2622" t="s">
        <v>284</v>
      </c>
      <c r="F2622" t="s">
        <v>297</v>
      </c>
      <c r="G2622" t="s">
        <v>103</v>
      </c>
      <c r="H2622" t="s">
        <v>104</v>
      </c>
      <c r="I2622">
        <v>2025</v>
      </c>
      <c r="J2622" t="s">
        <v>323</v>
      </c>
      <c r="K2622" t="s">
        <v>106</v>
      </c>
      <c r="L2622" t="s">
        <v>3015</v>
      </c>
      <c r="M2622" t="s">
        <v>3031</v>
      </c>
      <c r="N2622">
        <v>1</v>
      </c>
      <c r="O2622">
        <v>2025</v>
      </c>
      <c r="P2622">
        <v>94.526951376087595</v>
      </c>
      <c r="Q2622">
        <v>3.949349451558744</v>
      </c>
      <c r="R2622" t="s">
        <v>289</v>
      </c>
      <c r="S2622">
        <v>76.146700507614213</v>
      </c>
      <c r="T2622" t="s">
        <v>290</v>
      </c>
      <c r="U2622">
        <v>76.146700507614213</v>
      </c>
      <c r="V2622">
        <v>94.526951376087595</v>
      </c>
      <c r="W2622">
        <v>3.949349451558744</v>
      </c>
      <c r="X2622" t="s">
        <v>291</v>
      </c>
      <c r="Y2622">
        <v>10</v>
      </c>
      <c r="Z2622">
        <v>0.2813393128634602</v>
      </c>
      <c r="AA2622">
        <v>1</v>
      </c>
    </row>
    <row r="2623" spans="1:27" hidden="1" x14ac:dyDescent="0.25">
      <c r="A2623" t="s">
        <v>98</v>
      </c>
      <c r="B2623" t="s">
        <v>1548</v>
      </c>
      <c r="D2623" t="s">
        <v>1722</v>
      </c>
      <c r="E2623" t="s">
        <v>284</v>
      </c>
      <c r="F2623" t="s">
        <v>297</v>
      </c>
      <c r="G2623" t="s">
        <v>112</v>
      </c>
      <c r="H2623" t="s">
        <v>104</v>
      </c>
      <c r="I2623">
        <v>2025</v>
      </c>
      <c r="J2623" t="s">
        <v>325</v>
      </c>
      <c r="K2623" t="s">
        <v>106</v>
      </c>
      <c r="L2623" t="s">
        <v>3015</v>
      </c>
      <c r="M2623" t="s">
        <v>3032</v>
      </c>
      <c r="N2623">
        <v>1</v>
      </c>
      <c r="O2623">
        <v>2025</v>
      </c>
      <c r="P2623">
        <v>69.765067810793198</v>
      </c>
      <c r="Q2623">
        <v>2.516631606553434</v>
      </c>
      <c r="R2623" t="s">
        <v>289</v>
      </c>
      <c r="S2623">
        <v>93</v>
      </c>
      <c r="T2623" t="s">
        <v>290</v>
      </c>
      <c r="U2623">
        <v>93</v>
      </c>
      <c r="V2623">
        <v>69.765067810793198</v>
      </c>
      <c r="W2623">
        <v>2.516631606553434</v>
      </c>
      <c r="X2623" t="s">
        <v>291</v>
      </c>
      <c r="Y2623">
        <v>10</v>
      </c>
      <c r="Z2623">
        <v>0.2813393128634602</v>
      </c>
      <c r="AA2623">
        <v>1</v>
      </c>
    </row>
    <row r="2624" spans="1:27" hidden="1" x14ac:dyDescent="0.25">
      <c r="A2624" t="s">
        <v>98</v>
      </c>
      <c r="B2624" t="s">
        <v>1548</v>
      </c>
      <c r="D2624" t="s">
        <v>1722</v>
      </c>
      <c r="E2624" t="s">
        <v>284</v>
      </c>
      <c r="F2624" t="s">
        <v>302</v>
      </c>
      <c r="G2624" t="s">
        <v>103</v>
      </c>
      <c r="H2624" t="s">
        <v>104</v>
      </c>
      <c r="I2624">
        <v>2025</v>
      </c>
      <c r="J2624" t="s">
        <v>327</v>
      </c>
      <c r="K2624" t="s">
        <v>106</v>
      </c>
      <c r="L2624" t="s">
        <v>3015</v>
      </c>
      <c r="M2624" t="s">
        <v>3033</v>
      </c>
      <c r="N2624">
        <v>1</v>
      </c>
      <c r="O2624">
        <v>2025</v>
      </c>
      <c r="P2624">
        <v>105.7930490817716</v>
      </c>
      <c r="Q2624">
        <v>3.355492309527206</v>
      </c>
      <c r="R2624" t="s">
        <v>289</v>
      </c>
      <c r="S2624">
        <v>64.669172932330824</v>
      </c>
      <c r="T2624" t="s">
        <v>290</v>
      </c>
      <c r="U2624">
        <v>64.669172932330824</v>
      </c>
      <c r="V2624">
        <v>105.7930490817716</v>
      </c>
      <c r="W2624">
        <v>3.355492309527206</v>
      </c>
      <c r="X2624" t="s">
        <v>291</v>
      </c>
      <c r="Y2624">
        <v>10</v>
      </c>
      <c r="Z2624">
        <v>0.2813393128634602</v>
      </c>
      <c r="AA2624">
        <v>1</v>
      </c>
    </row>
    <row r="2625" spans="1:27" hidden="1" x14ac:dyDescent="0.25">
      <c r="A2625" t="s">
        <v>98</v>
      </c>
      <c r="B2625" t="s">
        <v>1548</v>
      </c>
      <c r="D2625" t="s">
        <v>1722</v>
      </c>
      <c r="E2625" t="s">
        <v>284</v>
      </c>
      <c r="F2625" t="s">
        <v>302</v>
      </c>
      <c r="G2625" t="s">
        <v>112</v>
      </c>
      <c r="H2625" t="s">
        <v>104</v>
      </c>
      <c r="I2625">
        <v>2025</v>
      </c>
      <c r="J2625" t="s">
        <v>329</v>
      </c>
      <c r="K2625" t="s">
        <v>106</v>
      </c>
      <c r="L2625" t="s">
        <v>3015</v>
      </c>
      <c r="M2625" t="s">
        <v>3034</v>
      </c>
      <c r="N2625">
        <v>1</v>
      </c>
      <c r="O2625">
        <v>2025</v>
      </c>
      <c r="P2625">
        <v>99.614212714858894</v>
      </c>
      <c r="Q2625">
        <v>1.4361600838792941</v>
      </c>
      <c r="R2625" t="s">
        <v>289</v>
      </c>
      <c r="S2625">
        <v>75.07692307692308</v>
      </c>
      <c r="T2625" t="s">
        <v>290</v>
      </c>
      <c r="U2625">
        <v>75.07692307692308</v>
      </c>
      <c r="V2625">
        <v>99.614212714858894</v>
      </c>
      <c r="W2625">
        <v>1.4361600838792941</v>
      </c>
      <c r="X2625" t="s">
        <v>291</v>
      </c>
      <c r="Y2625">
        <v>10</v>
      </c>
      <c r="Z2625">
        <v>0.2813393128634602</v>
      </c>
      <c r="AA2625">
        <v>1</v>
      </c>
    </row>
    <row r="2626" spans="1:27" hidden="1" x14ac:dyDescent="0.25">
      <c r="A2626" t="s">
        <v>98</v>
      </c>
      <c r="B2626" t="s">
        <v>1548</v>
      </c>
      <c r="D2626" t="s">
        <v>1722</v>
      </c>
      <c r="E2626" t="s">
        <v>284</v>
      </c>
      <c r="F2626" t="s">
        <v>297</v>
      </c>
      <c r="G2626" t="s">
        <v>103</v>
      </c>
      <c r="H2626" t="s">
        <v>104</v>
      </c>
      <c r="I2626">
        <v>2026</v>
      </c>
      <c r="J2626" t="s">
        <v>331</v>
      </c>
      <c r="K2626" t="s">
        <v>106</v>
      </c>
      <c r="L2626" t="s">
        <v>3015</v>
      </c>
      <c r="M2626" t="s">
        <v>3035</v>
      </c>
      <c r="N2626">
        <v>1</v>
      </c>
      <c r="O2626">
        <v>2026</v>
      </c>
      <c r="P2626">
        <v>94.526951376087595</v>
      </c>
      <c r="Q2626">
        <v>3.949349451558744</v>
      </c>
      <c r="R2626" t="s">
        <v>289</v>
      </c>
      <c r="S2626">
        <v>76.146700507614213</v>
      </c>
      <c r="T2626" t="s">
        <v>290</v>
      </c>
      <c r="U2626">
        <v>76.146700507614213</v>
      </c>
      <c r="V2626">
        <v>94.526951376087595</v>
      </c>
      <c r="W2626">
        <v>3.949349451558744</v>
      </c>
      <c r="X2626" t="s">
        <v>291</v>
      </c>
      <c r="Y2626">
        <v>10</v>
      </c>
      <c r="Z2626">
        <v>0.2813393128634602</v>
      </c>
      <c r="AA2626">
        <v>1</v>
      </c>
    </row>
    <row r="2627" spans="1:27" hidden="1" x14ac:dyDescent="0.25">
      <c r="A2627" t="s">
        <v>98</v>
      </c>
      <c r="B2627" t="s">
        <v>1548</v>
      </c>
      <c r="D2627" t="s">
        <v>1722</v>
      </c>
      <c r="E2627" t="s">
        <v>284</v>
      </c>
      <c r="F2627" t="s">
        <v>297</v>
      </c>
      <c r="G2627" t="s">
        <v>112</v>
      </c>
      <c r="H2627" t="s">
        <v>104</v>
      </c>
      <c r="I2627">
        <v>2026</v>
      </c>
      <c r="J2627" t="s">
        <v>333</v>
      </c>
      <c r="K2627" t="s">
        <v>106</v>
      </c>
      <c r="L2627" t="s">
        <v>3015</v>
      </c>
      <c r="M2627" t="s">
        <v>3036</v>
      </c>
      <c r="N2627">
        <v>1</v>
      </c>
      <c r="O2627">
        <v>2026</v>
      </c>
      <c r="P2627">
        <v>69.765067810793198</v>
      </c>
      <c r="Q2627">
        <v>2.516631606553434</v>
      </c>
      <c r="R2627" t="s">
        <v>289</v>
      </c>
      <c r="S2627">
        <v>93</v>
      </c>
      <c r="T2627" t="s">
        <v>290</v>
      </c>
      <c r="U2627">
        <v>93</v>
      </c>
      <c r="V2627">
        <v>69.765067810793198</v>
      </c>
      <c r="W2627">
        <v>2.516631606553434</v>
      </c>
      <c r="X2627" t="s">
        <v>291</v>
      </c>
      <c r="Y2627">
        <v>10</v>
      </c>
      <c r="Z2627">
        <v>0.2813393128634602</v>
      </c>
      <c r="AA2627">
        <v>1</v>
      </c>
    </row>
    <row r="2628" spans="1:27" hidden="1" x14ac:dyDescent="0.25">
      <c r="A2628" t="s">
        <v>98</v>
      </c>
      <c r="B2628" t="s">
        <v>1548</v>
      </c>
      <c r="D2628" t="s">
        <v>1722</v>
      </c>
      <c r="E2628" t="s">
        <v>284</v>
      </c>
      <c r="F2628" t="s">
        <v>302</v>
      </c>
      <c r="G2628" t="s">
        <v>103</v>
      </c>
      <c r="H2628" t="s">
        <v>104</v>
      </c>
      <c r="I2628">
        <v>2026</v>
      </c>
      <c r="J2628" t="s">
        <v>335</v>
      </c>
      <c r="K2628" t="s">
        <v>106</v>
      </c>
      <c r="L2628" t="s">
        <v>3015</v>
      </c>
      <c r="M2628" t="s">
        <v>3037</v>
      </c>
      <c r="N2628">
        <v>1</v>
      </c>
      <c r="O2628">
        <v>2026</v>
      </c>
      <c r="P2628">
        <v>105.7930490817716</v>
      </c>
      <c r="Q2628">
        <v>3.355492309527206</v>
      </c>
      <c r="R2628" t="s">
        <v>289</v>
      </c>
      <c r="S2628">
        <v>64.669172932330824</v>
      </c>
      <c r="T2628" t="s">
        <v>290</v>
      </c>
      <c r="U2628">
        <v>64.669172932330824</v>
      </c>
      <c r="V2628">
        <v>105.7930490817716</v>
      </c>
      <c r="W2628">
        <v>3.355492309527206</v>
      </c>
      <c r="X2628" t="s">
        <v>291</v>
      </c>
      <c r="Y2628">
        <v>10</v>
      </c>
      <c r="Z2628">
        <v>0.2813393128634602</v>
      </c>
      <c r="AA2628">
        <v>1</v>
      </c>
    </row>
    <row r="2629" spans="1:27" hidden="1" x14ac:dyDescent="0.25">
      <c r="A2629" t="s">
        <v>98</v>
      </c>
      <c r="B2629" t="s">
        <v>1548</v>
      </c>
      <c r="D2629" t="s">
        <v>1722</v>
      </c>
      <c r="E2629" t="s">
        <v>284</v>
      </c>
      <c r="F2629" t="s">
        <v>302</v>
      </c>
      <c r="G2629" t="s">
        <v>112</v>
      </c>
      <c r="H2629" t="s">
        <v>104</v>
      </c>
      <c r="I2629">
        <v>2026</v>
      </c>
      <c r="J2629" t="s">
        <v>337</v>
      </c>
      <c r="K2629" t="s">
        <v>106</v>
      </c>
      <c r="L2629" t="s">
        <v>3015</v>
      </c>
      <c r="M2629" t="s">
        <v>3038</v>
      </c>
      <c r="N2629">
        <v>1</v>
      </c>
      <c r="O2629">
        <v>2026</v>
      </c>
      <c r="P2629">
        <v>99.614212714858894</v>
      </c>
      <c r="Q2629">
        <v>1.4361600838792941</v>
      </c>
      <c r="R2629" t="s">
        <v>289</v>
      </c>
      <c r="S2629">
        <v>75.07692307692308</v>
      </c>
      <c r="T2629" t="s">
        <v>290</v>
      </c>
      <c r="U2629">
        <v>75.07692307692308</v>
      </c>
      <c r="V2629">
        <v>99.614212714858894</v>
      </c>
      <c r="W2629">
        <v>1.4361600838792941</v>
      </c>
      <c r="X2629" t="s">
        <v>291</v>
      </c>
      <c r="Y2629">
        <v>10</v>
      </c>
      <c r="Z2629">
        <v>0.2813393128634602</v>
      </c>
      <c r="AA2629">
        <v>1</v>
      </c>
    </row>
    <row r="2630" spans="1:27" hidden="1" x14ac:dyDescent="0.25">
      <c r="A2630" t="s">
        <v>98</v>
      </c>
      <c r="B2630" t="s">
        <v>1548</v>
      </c>
      <c r="D2630" t="s">
        <v>1722</v>
      </c>
      <c r="E2630" t="s">
        <v>284</v>
      </c>
      <c r="F2630" t="s">
        <v>292</v>
      </c>
      <c r="G2630" t="s">
        <v>103</v>
      </c>
      <c r="H2630" t="s">
        <v>104</v>
      </c>
      <c r="I2630">
        <v>2030</v>
      </c>
      <c r="J2630" t="s">
        <v>339</v>
      </c>
      <c r="K2630" t="s">
        <v>106</v>
      </c>
      <c r="L2630" t="s">
        <v>3015</v>
      </c>
      <c r="M2630" t="s">
        <v>3039</v>
      </c>
      <c r="N2630">
        <v>1</v>
      </c>
      <c r="O2630">
        <v>2030</v>
      </c>
      <c r="P2630">
        <v>99.96668875570353</v>
      </c>
      <c r="Q2630">
        <v>4.9152448223495018</v>
      </c>
      <c r="R2630" t="s">
        <v>289</v>
      </c>
      <c r="S2630">
        <v>55.211046644573933</v>
      </c>
      <c r="T2630" t="s">
        <v>290</v>
      </c>
      <c r="U2630">
        <v>55.211046644573933</v>
      </c>
      <c r="V2630">
        <v>99.96668875570353</v>
      </c>
      <c r="W2630">
        <v>4.9152448223495018</v>
      </c>
      <c r="X2630" t="s">
        <v>291</v>
      </c>
      <c r="Y2630">
        <v>10</v>
      </c>
      <c r="Z2630">
        <v>0.2813393128634602</v>
      </c>
      <c r="AA2630">
        <v>1</v>
      </c>
    </row>
    <row r="2631" spans="1:27" hidden="1" x14ac:dyDescent="0.25">
      <c r="A2631" t="s">
        <v>98</v>
      </c>
      <c r="B2631" t="s">
        <v>1548</v>
      </c>
      <c r="D2631" t="s">
        <v>1722</v>
      </c>
      <c r="E2631" t="s">
        <v>284</v>
      </c>
      <c r="F2631" t="s">
        <v>292</v>
      </c>
      <c r="G2631" t="s">
        <v>112</v>
      </c>
      <c r="H2631" t="s">
        <v>104</v>
      </c>
      <c r="I2631">
        <v>2030</v>
      </c>
      <c r="J2631" t="s">
        <v>341</v>
      </c>
      <c r="K2631" t="s">
        <v>106</v>
      </c>
      <c r="L2631" t="s">
        <v>3015</v>
      </c>
      <c r="M2631" t="s">
        <v>3040</v>
      </c>
      <c r="N2631">
        <v>1</v>
      </c>
      <c r="O2631">
        <v>2030</v>
      </c>
      <c r="P2631">
        <v>93.570390823718384</v>
      </c>
      <c r="Q2631">
        <v>4.27625645181514</v>
      </c>
      <c r="R2631" t="s">
        <v>289</v>
      </c>
      <c r="S2631">
        <v>60.132155797450622</v>
      </c>
      <c r="T2631" t="s">
        <v>290</v>
      </c>
      <c r="U2631">
        <v>60.132155797450622</v>
      </c>
      <c r="V2631">
        <v>93.570390823718384</v>
      </c>
      <c r="W2631">
        <v>4.27625645181514</v>
      </c>
      <c r="X2631" t="s">
        <v>291</v>
      </c>
      <c r="Y2631">
        <v>10</v>
      </c>
      <c r="Z2631">
        <v>0.2813393128634602</v>
      </c>
      <c r="AA2631">
        <v>1</v>
      </c>
    </row>
    <row r="2632" spans="1:27" hidden="1" x14ac:dyDescent="0.25">
      <c r="A2632" t="s">
        <v>98</v>
      </c>
      <c r="B2632" t="s">
        <v>1548</v>
      </c>
      <c r="D2632" t="s">
        <v>1722</v>
      </c>
      <c r="E2632" t="s">
        <v>284</v>
      </c>
      <c r="F2632" t="s">
        <v>297</v>
      </c>
      <c r="G2632" t="s">
        <v>103</v>
      </c>
      <c r="H2632" t="s">
        <v>104</v>
      </c>
      <c r="I2632">
        <v>2030</v>
      </c>
      <c r="J2632" t="s">
        <v>343</v>
      </c>
      <c r="K2632" t="s">
        <v>106</v>
      </c>
      <c r="L2632" t="s">
        <v>3015</v>
      </c>
      <c r="M2632" t="s">
        <v>3041</v>
      </c>
      <c r="N2632">
        <v>1</v>
      </c>
      <c r="O2632">
        <v>2030</v>
      </c>
      <c r="P2632">
        <v>112.2464608710101</v>
      </c>
      <c r="Q2632">
        <v>3.5870084905918258</v>
      </c>
      <c r="R2632" t="s">
        <v>289</v>
      </c>
      <c r="S2632">
        <v>89.042769074884546</v>
      </c>
      <c r="T2632" t="s">
        <v>290</v>
      </c>
      <c r="U2632">
        <v>89.042769074884546</v>
      </c>
      <c r="V2632">
        <v>112.2464608710101</v>
      </c>
      <c r="W2632">
        <v>3.5870084905918258</v>
      </c>
      <c r="X2632" t="s">
        <v>291</v>
      </c>
      <c r="Y2632">
        <v>10</v>
      </c>
      <c r="Z2632">
        <v>0.2813393128634602</v>
      </c>
      <c r="AA2632">
        <v>1</v>
      </c>
    </row>
    <row r="2633" spans="1:27" hidden="1" x14ac:dyDescent="0.25">
      <c r="A2633" t="s">
        <v>98</v>
      </c>
      <c r="B2633" t="s">
        <v>1548</v>
      </c>
      <c r="D2633" t="s">
        <v>1722</v>
      </c>
      <c r="E2633" t="s">
        <v>284</v>
      </c>
      <c r="F2633" t="s">
        <v>297</v>
      </c>
      <c r="G2633" t="s">
        <v>112</v>
      </c>
      <c r="H2633" t="s">
        <v>104</v>
      </c>
      <c r="I2633">
        <v>2030</v>
      </c>
      <c r="J2633" t="s">
        <v>345</v>
      </c>
      <c r="K2633" t="s">
        <v>106</v>
      </c>
      <c r="L2633" t="s">
        <v>3015</v>
      </c>
      <c r="M2633" t="s">
        <v>3042</v>
      </c>
      <c r="N2633">
        <v>1</v>
      </c>
      <c r="O2633">
        <v>2030</v>
      </c>
      <c r="P2633">
        <v>84.571073913548247</v>
      </c>
      <c r="Q2633">
        <v>2.3525336937486059</v>
      </c>
      <c r="R2633" t="s">
        <v>289</v>
      </c>
      <c r="S2633">
        <v>108.5525423728814</v>
      </c>
      <c r="T2633" t="s">
        <v>290</v>
      </c>
      <c r="U2633">
        <v>108.5525423728814</v>
      </c>
      <c r="V2633">
        <v>84.571073913548247</v>
      </c>
      <c r="W2633">
        <v>2.3525336937486059</v>
      </c>
      <c r="X2633" t="s">
        <v>291</v>
      </c>
      <c r="Y2633">
        <v>10</v>
      </c>
      <c r="Z2633">
        <v>0.2813393128634602</v>
      </c>
      <c r="AA2633">
        <v>1</v>
      </c>
    </row>
    <row r="2634" spans="1:27" hidden="1" x14ac:dyDescent="0.25">
      <c r="A2634" t="s">
        <v>98</v>
      </c>
      <c r="B2634" t="s">
        <v>1548</v>
      </c>
      <c r="D2634" t="s">
        <v>1722</v>
      </c>
      <c r="E2634" t="s">
        <v>284</v>
      </c>
      <c r="F2634" t="s">
        <v>292</v>
      </c>
      <c r="G2634" t="s">
        <v>103</v>
      </c>
      <c r="H2634" t="s">
        <v>104</v>
      </c>
      <c r="I2634">
        <v>2040</v>
      </c>
      <c r="J2634" t="s">
        <v>347</v>
      </c>
      <c r="K2634" t="s">
        <v>106</v>
      </c>
      <c r="L2634" t="s">
        <v>3015</v>
      </c>
      <c r="M2634" t="s">
        <v>3043</v>
      </c>
      <c r="N2634">
        <v>1</v>
      </c>
      <c r="O2634">
        <v>2040</v>
      </c>
      <c r="P2634">
        <v>98.335071194105581</v>
      </c>
      <c r="Q2634">
        <v>4.7080379086524973</v>
      </c>
      <c r="R2634" t="s">
        <v>289</v>
      </c>
      <c r="S2634">
        <v>63.829339223058007</v>
      </c>
      <c r="T2634" t="s">
        <v>290</v>
      </c>
      <c r="U2634">
        <v>63.829339223058007</v>
      </c>
      <c r="V2634">
        <v>98.335071194105581</v>
      </c>
      <c r="W2634">
        <v>4.7080379086524973</v>
      </c>
      <c r="X2634" t="s">
        <v>291</v>
      </c>
      <c r="Y2634">
        <v>10</v>
      </c>
      <c r="Z2634">
        <v>0.2813393128634602</v>
      </c>
      <c r="AA2634">
        <v>1</v>
      </c>
    </row>
    <row r="2635" spans="1:27" hidden="1" x14ac:dyDescent="0.25">
      <c r="A2635" t="s">
        <v>98</v>
      </c>
      <c r="B2635" t="s">
        <v>1548</v>
      </c>
      <c r="D2635" t="s">
        <v>1722</v>
      </c>
      <c r="E2635" t="s">
        <v>284</v>
      </c>
      <c r="F2635" t="s">
        <v>292</v>
      </c>
      <c r="G2635" t="s">
        <v>112</v>
      </c>
      <c r="H2635" t="s">
        <v>104</v>
      </c>
      <c r="I2635">
        <v>2040</v>
      </c>
      <c r="J2635" t="s">
        <v>349</v>
      </c>
      <c r="K2635" t="s">
        <v>106</v>
      </c>
      <c r="L2635" t="s">
        <v>3015</v>
      </c>
      <c r="M2635" t="s">
        <v>3044</v>
      </c>
      <c r="N2635">
        <v>1</v>
      </c>
      <c r="O2635">
        <v>2040</v>
      </c>
      <c r="P2635">
        <v>92.137687829328328</v>
      </c>
      <c r="Q2635">
        <v>4.1202723323867074</v>
      </c>
      <c r="R2635" t="s">
        <v>289</v>
      </c>
      <c r="S2635">
        <v>69.934718883357121</v>
      </c>
      <c r="T2635" t="s">
        <v>290</v>
      </c>
      <c r="U2635">
        <v>69.934718883357121</v>
      </c>
      <c r="V2635">
        <v>92.137687829328328</v>
      </c>
      <c r="W2635">
        <v>4.1202723323867074</v>
      </c>
      <c r="X2635" t="s">
        <v>291</v>
      </c>
      <c r="Y2635">
        <v>10</v>
      </c>
      <c r="Z2635">
        <v>0.2813393128634602</v>
      </c>
      <c r="AA2635">
        <v>1</v>
      </c>
    </row>
    <row r="2636" spans="1:27" hidden="1" x14ac:dyDescent="0.25">
      <c r="A2636" t="s">
        <v>98</v>
      </c>
      <c r="B2636" t="s">
        <v>1548</v>
      </c>
      <c r="D2636" t="s">
        <v>1722</v>
      </c>
      <c r="E2636" t="s">
        <v>284</v>
      </c>
      <c r="F2636" t="s">
        <v>297</v>
      </c>
      <c r="G2636" t="s">
        <v>103</v>
      </c>
      <c r="H2636" t="s">
        <v>104</v>
      </c>
      <c r="I2636">
        <v>2040</v>
      </c>
      <c r="J2636" t="s">
        <v>351</v>
      </c>
      <c r="K2636" t="s">
        <v>106</v>
      </c>
      <c r="L2636" t="s">
        <v>3015</v>
      </c>
      <c r="M2636" t="s">
        <v>3045</v>
      </c>
      <c r="N2636">
        <v>1</v>
      </c>
      <c r="O2636">
        <v>2040</v>
      </c>
      <c r="P2636">
        <v>109.62871509832991</v>
      </c>
      <c r="Q2636">
        <v>3.28145573783857</v>
      </c>
      <c r="R2636" t="s">
        <v>289</v>
      </c>
      <c r="S2636">
        <v>101.8534675620791</v>
      </c>
      <c r="T2636" t="s">
        <v>290</v>
      </c>
      <c r="U2636">
        <v>101.8534675620791</v>
      </c>
      <c r="V2636">
        <v>109.62871509832991</v>
      </c>
      <c r="W2636">
        <v>3.28145573783857</v>
      </c>
      <c r="X2636" t="s">
        <v>291</v>
      </c>
      <c r="Y2636">
        <v>10</v>
      </c>
      <c r="Z2636">
        <v>0.2813393128634602</v>
      </c>
      <c r="AA2636">
        <v>1</v>
      </c>
    </row>
    <row r="2637" spans="1:27" hidden="1" x14ac:dyDescent="0.25">
      <c r="A2637" t="s">
        <v>98</v>
      </c>
      <c r="B2637" t="s">
        <v>1548</v>
      </c>
      <c r="D2637" t="s">
        <v>1722</v>
      </c>
      <c r="E2637" t="s">
        <v>284</v>
      </c>
      <c r="F2637" t="s">
        <v>297</v>
      </c>
      <c r="G2637" t="s">
        <v>112</v>
      </c>
      <c r="H2637" t="s">
        <v>104</v>
      </c>
      <c r="I2637">
        <v>2040</v>
      </c>
      <c r="J2637" t="s">
        <v>353</v>
      </c>
      <c r="K2637" t="s">
        <v>106</v>
      </c>
      <c r="L2637" t="s">
        <v>3015</v>
      </c>
      <c r="M2637" t="s">
        <v>3046</v>
      </c>
      <c r="N2637">
        <v>1</v>
      </c>
      <c r="O2637">
        <v>2040</v>
      </c>
      <c r="P2637">
        <v>82.941268534212341</v>
      </c>
      <c r="Q2637">
        <v>2.168671786742209</v>
      </c>
      <c r="R2637" t="s">
        <v>289</v>
      </c>
      <c r="S2637">
        <v>124.1701372074253</v>
      </c>
      <c r="T2637" t="s">
        <v>290</v>
      </c>
      <c r="U2637">
        <v>124.1701372074253</v>
      </c>
      <c r="V2637">
        <v>82.941268534212341</v>
      </c>
      <c r="W2637">
        <v>2.168671786742209</v>
      </c>
      <c r="X2637" t="s">
        <v>291</v>
      </c>
      <c r="Y2637">
        <v>10</v>
      </c>
      <c r="Z2637">
        <v>0.2813393128634602</v>
      </c>
      <c r="AA2637">
        <v>1</v>
      </c>
    </row>
    <row r="2638" spans="1:27" hidden="1" x14ac:dyDescent="0.25">
      <c r="A2638" t="s">
        <v>98</v>
      </c>
      <c r="B2638" t="s">
        <v>1548</v>
      </c>
      <c r="D2638" t="s">
        <v>1722</v>
      </c>
      <c r="E2638" t="s">
        <v>284</v>
      </c>
      <c r="F2638" t="s">
        <v>355</v>
      </c>
      <c r="G2638" t="s">
        <v>103</v>
      </c>
      <c r="H2638" t="s">
        <v>104</v>
      </c>
      <c r="I2638">
        <v>2022</v>
      </c>
      <c r="J2638" t="s">
        <v>356</v>
      </c>
      <c r="K2638" t="s">
        <v>106</v>
      </c>
      <c r="L2638" t="s">
        <v>3015</v>
      </c>
      <c r="M2638" t="s">
        <v>3047</v>
      </c>
      <c r="N2638">
        <v>1</v>
      </c>
      <c r="O2638">
        <v>2020</v>
      </c>
      <c r="P2638">
        <v>26.539302440149839</v>
      </c>
      <c r="Q2638">
        <v>0.71977466386263589</v>
      </c>
      <c r="R2638" t="s">
        <v>289</v>
      </c>
      <c r="S2638">
        <v>85.75677051732572</v>
      </c>
      <c r="T2638" t="s">
        <v>290</v>
      </c>
      <c r="U2638">
        <v>85.75677051732572</v>
      </c>
      <c r="V2638">
        <v>26.539302440149839</v>
      </c>
      <c r="W2638">
        <v>0.71977466386263589</v>
      </c>
      <c r="X2638" t="s">
        <v>291</v>
      </c>
      <c r="Y2638">
        <v>10</v>
      </c>
      <c r="Z2638">
        <v>0.2813393128634602</v>
      </c>
      <c r="AA2638">
        <v>1</v>
      </c>
    </row>
    <row r="2639" spans="1:27" hidden="1" x14ac:dyDescent="0.25">
      <c r="A2639" t="s">
        <v>98</v>
      </c>
      <c r="B2639" t="s">
        <v>1548</v>
      </c>
      <c r="D2639" t="s">
        <v>1722</v>
      </c>
      <c r="E2639" t="s">
        <v>284</v>
      </c>
      <c r="F2639" t="s">
        <v>355</v>
      </c>
      <c r="G2639" t="s">
        <v>112</v>
      </c>
      <c r="H2639" t="s">
        <v>104</v>
      </c>
      <c r="I2639">
        <v>2022</v>
      </c>
      <c r="J2639" t="s">
        <v>358</v>
      </c>
      <c r="K2639" t="s">
        <v>106</v>
      </c>
      <c r="L2639" t="s">
        <v>3015</v>
      </c>
      <c r="M2639" t="s">
        <v>3048</v>
      </c>
      <c r="N2639">
        <v>1</v>
      </c>
      <c r="O2639">
        <v>2020</v>
      </c>
      <c r="P2639">
        <v>27.952547937105681</v>
      </c>
      <c r="Q2639">
        <v>0.83346015109483984</v>
      </c>
      <c r="R2639" t="s">
        <v>289</v>
      </c>
      <c r="S2639">
        <v>88.372750377742747</v>
      </c>
      <c r="T2639" t="s">
        <v>290</v>
      </c>
      <c r="U2639">
        <v>88.372750377742747</v>
      </c>
      <c r="V2639">
        <v>27.952547937105681</v>
      </c>
      <c r="W2639">
        <v>0.83346015109483984</v>
      </c>
      <c r="X2639" t="s">
        <v>291</v>
      </c>
      <c r="Y2639">
        <v>10</v>
      </c>
      <c r="Z2639">
        <v>0.2813393128634602</v>
      </c>
      <c r="AA2639">
        <v>1</v>
      </c>
    </row>
    <row r="2640" spans="1:27" hidden="1" x14ac:dyDescent="0.25">
      <c r="A2640" t="s">
        <v>98</v>
      </c>
      <c r="B2640" t="s">
        <v>1548</v>
      </c>
      <c r="D2640" t="s">
        <v>1722</v>
      </c>
      <c r="E2640" t="s">
        <v>284</v>
      </c>
      <c r="F2640" t="s">
        <v>360</v>
      </c>
      <c r="G2640" t="s">
        <v>103</v>
      </c>
      <c r="H2640" t="s">
        <v>104</v>
      </c>
      <c r="I2640">
        <v>2022</v>
      </c>
      <c r="J2640" t="s">
        <v>361</v>
      </c>
      <c r="K2640" t="s">
        <v>106</v>
      </c>
      <c r="L2640" t="s">
        <v>3015</v>
      </c>
      <c r="M2640" t="s">
        <v>3049</v>
      </c>
      <c r="N2640">
        <v>1</v>
      </c>
      <c r="O2640">
        <v>2020</v>
      </c>
      <c r="P2640">
        <v>30.743231458982891</v>
      </c>
      <c r="Q2640">
        <v>0.75530083267302539</v>
      </c>
      <c r="R2640" t="s">
        <v>289</v>
      </c>
      <c r="S2640">
        <v>85.752844444444449</v>
      </c>
      <c r="T2640" t="s">
        <v>290</v>
      </c>
      <c r="U2640">
        <v>85.752844444444449</v>
      </c>
      <c r="V2640">
        <v>30.743231458982891</v>
      </c>
      <c r="W2640">
        <v>0.75530083267302539</v>
      </c>
      <c r="X2640" t="s">
        <v>291</v>
      </c>
      <c r="Y2640">
        <v>10</v>
      </c>
      <c r="Z2640">
        <v>0.2813393128634602</v>
      </c>
      <c r="AA2640">
        <v>1</v>
      </c>
    </row>
    <row r="2641" spans="1:27" hidden="1" x14ac:dyDescent="0.25">
      <c r="A2641" t="s">
        <v>98</v>
      </c>
      <c r="B2641" t="s">
        <v>1548</v>
      </c>
      <c r="D2641" t="s">
        <v>1722</v>
      </c>
      <c r="E2641" t="s">
        <v>284</v>
      </c>
      <c r="F2641" t="s">
        <v>360</v>
      </c>
      <c r="G2641" t="s">
        <v>112</v>
      </c>
      <c r="H2641" t="s">
        <v>104</v>
      </c>
      <c r="I2641">
        <v>2022</v>
      </c>
      <c r="J2641" t="s">
        <v>363</v>
      </c>
      <c r="K2641" t="s">
        <v>106</v>
      </c>
      <c r="L2641" t="s">
        <v>3015</v>
      </c>
      <c r="M2641" t="s">
        <v>3050</v>
      </c>
      <c r="N2641">
        <v>1</v>
      </c>
      <c r="O2641">
        <v>2020</v>
      </c>
      <c r="P2641">
        <v>30.995290460986698</v>
      </c>
      <c r="Q2641">
        <v>1.07624732944957</v>
      </c>
      <c r="R2641" t="s">
        <v>289</v>
      </c>
      <c r="S2641">
        <v>91.18482905982907</v>
      </c>
      <c r="T2641" t="s">
        <v>290</v>
      </c>
      <c r="U2641">
        <v>91.18482905982907</v>
      </c>
      <c r="V2641">
        <v>30.995290460986698</v>
      </c>
      <c r="W2641">
        <v>1.07624732944957</v>
      </c>
      <c r="X2641" t="s">
        <v>291</v>
      </c>
      <c r="Y2641">
        <v>10</v>
      </c>
      <c r="Z2641">
        <v>0.2813393128634602</v>
      </c>
      <c r="AA2641">
        <v>1</v>
      </c>
    </row>
    <row r="2642" spans="1:27" hidden="1" x14ac:dyDescent="0.25">
      <c r="A2642" t="s">
        <v>98</v>
      </c>
      <c r="B2642" t="s">
        <v>1548</v>
      </c>
      <c r="D2642" t="s">
        <v>1722</v>
      </c>
      <c r="E2642" t="s">
        <v>284</v>
      </c>
      <c r="F2642" t="s">
        <v>365</v>
      </c>
      <c r="G2642" t="s">
        <v>103</v>
      </c>
      <c r="H2642" t="s">
        <v>104</v>
      </c>
      <c r="I2642">
        <v>2022</v>
      </c>
      <c r="J2642" t="s">
        <v>366</v>
      </c>
      <c r="K2642" t="s">
        <v>106</v>
      </c>
      <c r="L2642" t="s">
        <v>3015</v>
      </c>
      <c r="M2642" t="s">
        <v>3051</v>
      </c>
      <c r="N2642">
        <v>1</v>
      </c>
      <c r="O2642">
        <v>2020</v>
      </c>
      <c r="P2642">
        <v>34.581332645158973</v>
      </c>
      <c r="Q2642">
        <v>1.926881708285624</v>
      </c>
      <c r="R2642" t="s">
        <v>289</v>
      </c>
      <c r="S2642">
        <v>115.45533602622641</v>
      </c>
      <c r="T2642" t="s">
        <v>290</v>
      </c>
      <c r="U2642">
        <v>115.45533602622641</v>
      </c>
      <c r="V2642">
        <v>34.581332645158973</v>
      </c>
      <c r="W2642">
        <v>1.926881708285624</v>
      </c>
      <c r="X2642" t="s">
        <v>291</v>
      </c>
      <c r="Y2642">
        <v>10</v>
      </c>
      <c r="Z2642">
        <v>0.2813393128634602</v>
      </c>
      <c r="AA2642">
        <v>1</v>
      </c>
    </row>
    <row r="2643" spans="1:27" hidden="1" x14ac:dyDescent="0.25">
      <c r="A2643" t="s">
        <v>98</v>
      </c>
      <c r="B2643" t="s">
        <v>1548</v>
      </c>
      <c r="D2643" t="s">
        <v>1722</v>
      </c>
      <c r="E2643" t="s">
        <v>284</v>
      </c>
      <c r="F2643" t="s">
        <v>365</v>
      </c>
      <c r="G2643" t="s">
        <v>112</v>
      </c>
      <c r="H2643" t="s">
        <v>104</v>
      </c>
      <c r="I2643">
        <v>2022</v>
      </c>
      <c r="J2643" t="s">
        <v>368</v>
      </c>
      <c r="K2643" t="s">
        <v>106</v>
      </c>
      <c r="L2643" t="s">
        <v>3015</v>
      </c>
      <c r="M2643" t="s">
        <v>3052</v>
      </c>
      <c r="N2643">
        <v>1</v>
      </c>
      <c r="O2643">
        <v>2020</v>
      </c>
      <c r="P2643">
        <v>44.653862333829821</v>
      </c>
      <c r="Q2643">
        <v>2.4693086643180591</v>
      </c>
      <c r="R2643" t="s">
        <v>289</v>
      </c>
      <c r="S2643">
        <v>130.6177318295739</v>
      </c>
      <c r="T2643" t="s">
        <v>290</v>
      </c>
      <c r="U2643">
        <v>130.6177318295739</v>
      </c>
      <c r="V2643">
        <v>44.653862333829821</v>
      </c>
      <c r="W2643">
        <v>2.4693086643180591</v>
      </c>
      <c r="X2643" t="s">
        <v>291</v>
      </c>
      <c r="Y2643">
        <v>10</v>
      </c>
      <c r="Z2643">
        <v>0.2813393128634602</v>
      </c>
      <c r="AA2643">
        <v>1</v>
      </c>
    </row>
    <row r="2644" spans="1:27" hidden="1" x14ac:dyDescent="0.25">
      <c r="A2644" t="s">
        <v>98</v>
      </c>
      <c r="B2644" t="s">
        <v>1548</v>
      </c>
      <c r="D2644" t="s">
        <v>1722</v>
      </c>
      <c r="E2644" t="s">
        <v>284</v>
      </c>
      <c r="F2644" t="s">
        <v>365</v>
      </c>
      <c r="G2644" t="s">
        <v>103</v>
      </c>
      <c r="H2644" t="s">
        <v>104</v>
      </c>
      <c r="I2644">
        <v>2023</v>
      </c>
      <c r="J2644" t="s">
        <v>370</v>
      </c>
      <c r="K2644" t="s">
        <v>106</v>
      </c>
      <c r="L2644" t="s">
        <v>3015</v>
      </c>
      <c r="M2644" t="s">
        <v>3053</v>
      </c>
      <c r="N2644">
        <v>1</v>
      </c>
      <c r="O2644">
        <v>2023</v>
      </c>
      <c r="P2644">
        <v>34.353918735727063</v>
      </c>
      <c r="Q2644">
        <v>1.893397965391721</v>
      </c>
      <c r="R2644" t="s">
        <v>289</v>
      </c>
      <c r="S2644">
        <v>115.45533602622641</v>
      </c>
      <c r="T2644" t="s">
        <v>290</v>
      </c>
      <c r="U2644">
        <v>115.45533602622641</v>
      </c>
      <c r="V2644">
        <v>34.353918735727063</v>
      </c>
      <c r="W2644">
        <v>1.893397965391721</v>
      </c>
      <c r="X2644" t="s">
        <v>291</v>
      </c>
      <c r="Y2644">
        <v>10</v>
      </c>
      <c r="Z2644">
        <v>0.2813393128634602</v>
      </c>
      <c r="AA2644">
        <v>1</v>
      </c>
    </row>
    <row r="2645" spans="1:27" hidden="1" x14ac:dyDescent="0.25">
      <c r="A2645" t="s">
        <v>98</v>
      </c>
      <c r="B2645" t="s">
        <v>1548</v>
      </c>
      <c r="D2645" t="s">
        <v>1722</v>
      </c>
      <c r="E2645" t="s">
        <v>284</v>
      </c>
      <c r="F2645" t="s">
        <v>365</v>
      </c>
      <c r="G2645" t="s">
        <v>112</v>
      </c>
      <c r="H2645" t="s">
        <v>104</v>
      </c>
      <c r="I2645">
        <v>2023</v>
      </c>
      <c r="J2645" t="s">
        <v>372</v>
      </c>
      <c r="K2645" t="s">
        <v>106</v>
      </c>
      <c r="L2645" t="s">
        <v>3015</v>
      </c>
      <c r="M2645" t="s">
        <v>3054</v>
      </c>
      <c r="N2645">
        <v>1</v>
      </c>
      <c r="O2645">
        <v>2023</v>
      </c>
      <c r="P2645">
        <v>43.733464606512037</v>
      </c>
      <c r="Q2645">
        <v>2.4042644647868401</v>
      </c>
      <c r="R2645" t="s">
        <v>289</v>
      </c>
      <c r="S2645">
        <v>130.6177318295739</v>
      </c>
      <c r="T2645" t="s">
        <v>290</v>
      </c>
      <c r="U2645">
        <v>130.6177318295739</v>
      </c>
      <c r="V2645">
        <v>43.733464606512037</v>
      </c>
      <c r="W2645">
        <v>2.4042644647868401</v>
      </c>
      <c r="X2645" t="s">
        <v>291</v>
      </c>
      <c r="Y2645">
        <v>10</v>
      </c>
      <c r="Z2645">
        <v>0.2813393128634602</v>
      </c>
      <c r="AA2645">
        <v>1</v>
      </c>
    </row>
    <row r="2646" spans="1:27" hidden="1" x14ac:dyDescent="0.25">
      <c r="A2646" t="s">
        <v>98</v>
      </c>
      <c r="B2646" t="s">
        <v>1548</v>
      </c>
      <c r="D2646" t="s">
        <v>1722</v>
      </c>
      <c r="E2646" t="s">
        <v>284</v>
      </c>
      <c r="F2646" t="s">
        <v>365</v>
      </c>
      <c r="G2646" t="s">
        <v>103</v>
      </c>
      <c r="H2646" t="s">
        <v>104</v>
      </c>
      <c r="I2646">
        <v>2024</v>
      </c>
      <c r="J2646" t="s">
        <v>374</v>
      </c>
      <c r="K2646" t="s">
        <v>106</v>
      </c>
      <c r="L2646" t="s">
        <v>3015</v>
      </c>
      <c r="M2646" t="s">
        <v>3055</v>
      </c>
      <c r="N2646">
        <v>1</v>
      </c>
      <c r="O2646">
        <v>2024</v>
      </c>
      <c r="P2646">
        <v>34.353918735727063</v>
      </c>
      <c r="Q2646">
        <v>1.893397965391721</v>
      </c>
      <c r="R2646" t="s">
        <v>289</v>
      </c>
      <c r="S2646">
        <v>115.45533602622641</v>
      </c>
      <c r="T2646" t="s">
        <v>290</v>
      </c>
      <c r="U2646">
        <v>115.45533602622641</v>
      </c>
      <c r="V2646">
        <v>34.353918735727063</v>
      </c>
      <c r="W2646">
        <v>1.893397965391721</v>
      </c>
      <c r="X2646" t="s">
        <v>291</v>
      </c>
      <c r="Y2646">
        <v>10</v>
      </c>
      <c r="Z2646">
        <v>0.2813393128634602</v>
      </c>
      <c r="AA2646">
        <v>1</v>
      </c>
    </row>
    <row r="2647" spans="1:27" hidden="1" x14ac:dyDescent="0.25">
      <c r="A2647" t="s">
        <v>98</v>
      </c>
      <c r="B2647" t="s">
        <v>1548</v>
      </c>
      <c r="D2647" t="s">
        <v>1722</v>
      </c>
      <c r="E2647" t="s">
        <v>284</v>
      </c>
      <c r="F2647" t="s">
        <v>365</v>
      </c>
      <c r="G2647" t="s">
        <v>112</v>
      </c>
      <c r="H2647" t="s">
        <v>104</v>
      </c>
      <c r="I2647">
        <v>2024</v>
      </c>
      <c r="J2647" t="s">
        <v>376</v>
      </c>
      <c r="K2647" t="s">
        <v>106</v>
      </c>
      <c r="L2647" t="s">
        <v>3015</v>
      </c>
      <c r="M2647" t="s">
        <v>3056</v>
      </c>
      <c r="N2647">
        <v>1</v>
      </c>
      <c r="O2647">
        <v>2024</v>
      </c>
      <c r="P2647">
        <v>43.733464606512037</v>
      </c>
      <c r="Q2647">
        <v>2.4042644647868401</v>
      </c>
      <c r="R2647" t="s">
        <v>289</v>
      </c>
      <c r="S2647">
        <v>130.6177318295739</v>
      </c>
      <c r="T2647" t="s">
        <v>290</v>
      </c>
      <c r="U2647">
        <v>130.6177318295739</v>
      </c>
      <c r="V2647">
        <v>43.733464606512037</v>
      </c>
      <c r="W2647">
        <v>2.4042644647868401</v>
      </c>
      <c r="X2647" t="s">
        <v>291</v>
      </c>
      <c r="Y2647">
        <v>10</v>
      </c>
      <c r="Z2647">
        <v>0.2813393128634602</v>
      </c>
      <c r="AA2647">
        <v>1</v>
      </c>
    </row>
    <row r="2648" spans="1:27" hidden="1" x14ac:dyDescent="0.25">
      <c r="A2648" t="s">
        <v>98</v>
      </c>
      <c r="B2648" t="s">
        <v>1548</v>
      </c>
      <c r="D2648" t="s">
        <v>1722</v>
      </c>
      <c r="E2648" t="s">
        <v>284</v>
      </c>
      <c r="F2648" t="s">
        <v>365</v>
      </c>
      <c r="G2648" t="s">
        <v>103</v>
      </c>
      <c r="H2648" t="s">
        <v>104</v>
      </c>
      <c r="I2648">
        <v>2025</v>
      </c>
      <c r="J2648" t="s">
        <v>378</v>
      </c>
      <c r="K2648" t="s">
        <v>106</v>
      </c>
      <c r="L2648" t="s">
        <v>3015</v>
      </c>
      <c r="M2648" t="s">
        <v>3057</v>
      </c>
      <c r="N2648">
        <v>1</v>
      </c>
      <c r="O2648">
        <v>2025</v>
      </c>
      <c r="P2648">
        <v>34.353918735727063</v>
      </c>
      <c r="Q2648">
        <v>1.893397965391721</v>
      </c>
      <c r="R2648" t="s">
        <v>289</v>
      </c>
      <c r="S2648">
        <v>115.45533602622641</v>
      </c>
      <c r="T2648" t="s">
        <v>290</v>
      </c>
      <c r="U2648">
        <v>115.45533602622641</v>
      </c>
      <c r="V2648">
        <v>34.353918735727063</v>
      </c>
      <c r="W2648">
        <v>1.893397965391721</v>
      </c>
      <c r="X2648" t="s">
        <v>291</v>
      </c>
      <c r="Y2648">
        <v>10</v>
      </c>
      <c r="Z2648">
        <v>0.2813393128634602</v>
      </c>
      <c r="AA2648">
        <v>1</v>
      </c>
    </row>
    <row r="2649" spans="1:27" hidden="1" x14ac:dyDescent="0.25">
      <c r="A2649" t="s">
        <v>98</v>
      </c>
      <c r="B2649" t="s">
        <v>1548</v>
      </c>
      <c r="D2649" t="s">
        <v>1722</v>
      </c>
      <c r="E2649" t="s">
        <v>284</v>
      </c>
      <c r="F2649" t="s">
        <v>365</v>
      </c>
      <c r="G2649" t="s">
        <v>112</v>
      </c>
      <c r="H2649" t="s">
        <v>104</v>
      </c>
      <c r="I2649">
        <v>2025</v>
      </c>
      <c r="J2649" t="s">
        <v>380</v>
      </c>
      <c r="K2649" t="s">
        <v>106</v>
      </c>
      <c r="L2649" t="s">
        <v>3015</v>
      </c>
      <c r="M2649" t="s">
        <v>3058</v>
      </c>
      <c r="N2649">
        <v>1</v>
      </c>
      <c r="O2649">
        <v>2025</v>
      </c>
      <c r="P2649">
        <v>43.733464606512037</v>
      </c>
      <c r="Q2649">
        <v>2.4042644647868401</v>
      </c>
      <c r="R2649" t="s">
        <v>289</v>
      </c>
      <c r="S2649">
        <v>130.6177318295739</v>
      </c>
      <c r="T2649" t="s">
        <v>290</v>
      </c>
      <c r="U2649">
        <v>130.6177318295739</v>
      </c>
      <c r="V2649">
        <v>43.733464606512037</v>
      </c>
      <c r="W2649">
        <v>2.4042644647868401</v>
      </c>
      <c r="X2649" t="s">
        <v>291</v>
      </c>
      <c r="Y2649">
        <v>10</v>
      </c>
      <c r="Z2649">
        <v>0.2813393128634602</v>
      </c>
      <c r="AA2649">
        <v>1</v>
      </c>
    </row>
    <row r="2650" spans="1:27" hidden="1" x14ac:dyDescent="0.25">
      <c r="A2650" t="s">
        <v>98</v>
      </c>
      <c r="B2650" t="s">
        <v>1548</v>
      </c>
      <c r="D2650" t="s">
        <v>1722</v>
      </c>
      <c r="E2650" t="s">
        <v>284</v>
      </c>
      <c r="F2650" t="s">
        <v>365</v>
      </c>
      <c r="G2650" t="s">
        <v>103</v>
      </c>
      <c r="H2650" t="s">
        <v>104</v>
      </c>
      <c r="I2650">
        <v>2026</v>
      </c>
      <c r="J2650" t="s">
        <v>382</v>
      </c>
      <c r="K2650" t="s">
        <v>106</v>
      </c>
      <c r="L2650" t="s">
        <v>3015</v>
      </c>
      <c r="M2650" t="s">
        <v>3059</v>
      </c>
      <c r="N2650">
        <v>1</v>
      </c>
      <c r="O2650">
        <v>2026</v>
      </c>
      <c r="P2650">
        <v>34.353918735727063</v>
      </c>
      <c r="Q2650">
        <v>1.893397965391721</v>
      </c>
      <c r="R2650" t="s">
        <v>289</v>
      </c>
      <c r="S2650">
        <v>115.45533602622641</v>
      </c>
      <c r="T2650" t="s">
        <v>290</v>
      </c>
      <c r="U2650">
        <v>115.45533602622641</v>
      </c>
      <c r="V2650">
        <v>34.353918735727063</v>
      </c>
      <c r="W2650">
        <v>1.893397965391721</v>
      </c>
      <c r="X2650" t="s">
        <v>291</v>
      </c>
      <c r="Y2650">
        <v>10</v>
      </c>
      <c r="Z2650">
        <v>0.2813393128634602</v>
      </c>
      <c r="AA2650">
        <v>1</v>
      </c>
    </row>
    <row r="2651" spans="1:27" hidden="1" x14ac:dyDescent="0.25">
      <c r="A2651" t="s">
        <v>98</v>
      </c>
      <c r="B2651" t="s">
        <v>1548</v>
      </c>
      <c r="D2651" t="s">
        <v>1722</v>
      </c>
      <c r="E2651" t="s">
        <v>284</v>
      </c>
      <c r="F2651" t="s">
        <v>365</v>
      </c>
      <c r="G2651" t="s">
        <v>112</v>
      </c>
      <c r="H2651" t="s">
        <v>104</v>
      </c>
      <c r="I2651">
        <v>2026</v>
      </c>
      <c r="J2651" t="s">
        <v>384</v>
      </c>
      <c r="K2651" t="s">
        <v>106</v>
      </c>
      <c r="L2651" t="s">
        <v>3015</v>
      </c>
      <c r="M2651" t="s">
        <v>3060</v>
      </c>
      <c r="N2651">
        <v>1</v>
      </c>
      <c r="O2651">
        <v>2026</v>
      </c>
      <c r="P2651">
        <v>43.733464606512037</v>
      </c>
      <c r="Q2651">
        <v>2.4042644647868401</v>
      </c>
      <c r="R2651" t="s">
        <v>289</v>
      </c>
      <c r="S2651">
        <v>130.6177318295739</v>
      </c>
      <c r="T2651" t="s">
        <v>290</v>
      </c>
      <c r="U2651">
        <v>130.6177318295739</v>
      </c>
      <c r="V2651">
        <v>43.733464606512037</v>
      </c>
      <c r="W2651">
        <v>2.4042644647868401</v>
      </c>
      <c r="X2651" t="s">
        <v>291</v>
      </c>
      <c r="Y2651">
        <v>10</v>
      </c>
      <c r="Z2651">
        <v>0.2813393128634602</v>
      </c>
      <c r="AA2651">
        <v>1</v>
      </c>
    </row>
    <row r="2652" spans="1:27" hidden="1" x14ac:dyDescent="0.25">
      <c r="A2652" t="s">
        <v>98</v>
      </c>
      <c r="B2652" t="s">
        <v>1548</v>
      </c>
      <c r="D2652" t="s">
        <v>1722</v>
      </c>
      <c r="E2652" t="s">
        <v>284</v>
      </c>
      <c r="F2652" t="s">
        <v>365</v>
      </c>
      <c r="G2652" t="s">
        <v>103</v>
      </c>
      <c r="H2652" t="s">
        <v>104</v>
      </c>
      <c r="I2652">
        <v>2027</v>
      </c>
      <c r="J2652" t="s">
        <v>386</v>
      </c>
      <c r="K2652" t="s">
        <v>106</v>
      </c>
      <c r="L2652" t="s">
        <v>3015</v>
      </c>
      <c r="M2652" t="s">
        <v>3061</v>
      </c>
      <c r="N2652">
        <v>1</v>
      </c>
      <c r="O2652">
        <v>2027</v>
      </c>
      <c r="P2652">
        <v>34.353918735727063</v>
      </c>
      <c r="Q2652">
        <v>1.893397965391721</v>
      </c>
      <c r="R2652" t="s">
        <v>289</v>
      </c>
      <c r="S2652">
        <v>115.45533602622641</v>
      </c>
      <c r="T2652" t="s">
        <v>290</v>
      </c>
      <c r="U2652">
        <v>115.45533602622641</v>
      </c>
      <c r="V2652">
        <v>34.353918735727063</v>
      </c>
      <c r="W2652">
        <v>1.893397965391721</v>
      </c>
      <c r="X2652" t="s">
        <v>291</v>
      </c>
      <c r="Y2652">
        <v>10</v>
      </c>
      <c r="Z2652">
        <v>0.2813393128634602</v>
      </c>
      <c r="AA2652">
        <v>1</v>
      </c>
    </row>
    <row r="2653" spans="1:27" hidden="1" x14ac:dyDescent="0.25">
      <c r="A2653" t="s">
        <v>98</v>
      </c>
      <c r="B2653" t="s">
        <v>1548</v>
      </c>
      <c r="D2653" t="s">
        <v>1722</v>
      </c>
      <c r="E2653" t="s">
        <v>284</v>
      </c>
      <c r="F2653" t="s">
        <v>365</v>
      </c>
      <c r="G2653" t="s">
        <v>112</v>
      </c>
      <c r="H2653" t="s">
        <v>104</v>
      </c>
      <c r="I2653">
        <v>2027</v>
      </c>
      <c r="J2653" t="s">
        <v>388</v>
      </c>
      <c r="K2653" t="s">
        <v>106</v>
      </c>
      <c r="L2653" t="s">
        <v>3015</v>
      </c>
      <c r="M2653" t="s">
        <v>3062</v>
      </c>
      <c r="N2653">
        <v>1</v>
      </c>
      <c r="O2653">
        <v>2027</v>
      </c>
      <c r="P2653">
        <v>43.733464606512037</v>
      </c>
      <c r="Q2653">
        <v>2.4042644647868401</v>
      </c>
      <c r="R2653" t="s">
        <v>289</v>
      </c>
      <c r="S2653">
        <v>130.6177318295739</v>
      </c>
      <c r="T2653" t="s">
        <v>290</v>
      </c>
      <c r="U2653">
        <v>130.6177318295739</v>
      </c>
      <c r="V2653">
        <v>43.733464606512037</v>
      </c>
      <c r="W2653">
        <v>2.4042644647868401</v>
      </c>
      <c r="X2653" t="s">
        <v>291</v>
      </c>
      <c r="Y2653">
        <v>10</v>
      </c>
      <c r="Z2653">
        <v>0.2813393128634602</v>
      </c>
      <c r="AA2653">
        <v>1</v>
      </c>
    </row>
    <row r="2654" spans="1:27" hidden="1" x14ac:dyDescent="0.25">
      <c r="A2654" t="s">
        <v>98</v>
      </c>
      <c r="B2654" t="s">
        <v>1548</v>
      </c>
      <c r="D2654" t="s">
        <v>1722</v>
      </c>
      <c r="E2654" t="s">
        <v>284</v>
      </c>
      <c r="F2654" t="s">
        <v>365</v>
      </c>
      <c r="G2654" t="s">
        <v>103</v>
      </c>
      <c r="H2654" t="s">
        <v>104</v>
      </c>
      <c r="I2654">
        <v>2028</v>
      </c>
      <c r="J2654" t="s">
        <v>390</v>
      </c>
      <c r="K2654" t="s">
        <v>106</v>
      </c>
      <c r="L2654" t="s">
        <v>3015</v>
      </c>
      <c r="M2654" t="s">
        <v>3063</v>
      </c>
      <c r="N2654">
        <v>1</v>
      </c>
      <c r="O2654">
        <v>2028</v>
      </c>
      <c r="P2654">
        <v>34.353918735727063</v>
      </c>
      <c r="Q2654">
        <v>1.893397965391721</v>
      </c>
      <c r="R2654" t="s">
        <v>289</v>
      </c>
      <c r="S2654">
        <v>115.45533602622641</v>
      </c>
      <c r="T2654" t="s">
        <v>290</v>
      </c>
      <c r="U2654">
        <v>115.45533602622641</v>
      </c>
      <c r="V2654">
        <v>34.353918735727063</v>
      </c>
      <c r="W2654">
        <v>1.893397965391721</v>
      </c>
      <c r="X2654" t="s">
        <v>291</v>
      </c>
      <c r="Y2654">
        <v>10</v>
      </c>
      <c r="Z2654">
        <v>0.2813393128634602</v>
      </c>
      <c r="AA2654">
        <v>1</v>
      </c>
    </row>
    <row r="2655" spans="1:27" hidden="1" x14ac:dyDescent="0.25">
      <c r="A2655" t="s">
        <v>98</v>
      </c>
      <c r="B2655" t="s">
        <v>1548</v>
      </c>
      <c r="D2655" t="s">
        <v>1722</v>
      </c>
      <c r="E2655" t="s">
        <v>284</v>
      </c>
      <c r="F2655" t="s">
        <v>365</v>
      </c>
      <c r="G2655" t="s">
        <v>112</v>
      </c>
      <c r="H2655" t="s">
        <v>104</v>
      </c>
      <c r="I2655">
        <v>2028</v>
      </c>
      <c r="J2655" t="s">
        <v>392</v>
      </c>
      <c r="K2655" t="s">
        <v>106</v>
      </c>
      <c r="L2655" t="s">
        <v>3015</v>
      </c>
      <c r="M2655" t="s">
        <v>3064</v>
      </c>
      <c r="N2655">
        <v>1</v>
      </c>
      <c r="O2655">
        <v>2028</v>
      </c>
      <c r="P2655">
        <v>43.733464606512037</v>
      </c>
      <c r="Q2655">
        <v>2.4042644647868401</v>
      </c>
      <c r="R2655" t="s">
        <v>289</v>
      </c>
      <c r="S2655">
        <v>130.6177318295739</v>
      </c>
      <c r="T2655" t="s">
        <v>290</v>
      </c>
      <c r="U2655">
        <v>130.6177318295739</v>
      </c>
      <c r="V2655">
        <v>43.733464606512037</v>
      </c>
      <c r="W2655">
        <v>2.4042644647868401</v>
      </c>
      <c r="X2655" t="s">
        <v>291</v>
      </c>
      <c r="Y2655">
        <v>10</v>
      </c>
      <c r="Z2655">
        <v>0.2813393128634602</v>
      </c>
      <c r="AA2655">
        <v>1</v>
      </c>
    </row>
    <row r="2656" spans="1:27" hidden="1" x14ac:dyDescent="0.25">
      <c r="A2656" t="s">
        <v>98</v>
      </c>
      <c r="B2656" t="s">
        <v>1548</v>
      </c>
      <c r="D2656" t="s">
        <v>1722</v>
      </c>
      <c r="E2656" t="s">
        <v>284</v>
      </c>
      <c r="F2656" t="s">
        <v>365</v>
      </c>
      <c r="G2656" t="s">
        <v>103</v>
      </c>
      <c r="H2656" t="s">
        <v>104</v>
      </c>
      <c r="I2656">
        <v>2029</v>
      </c>
      <c r="J2656" t="s">
        <v>394</v>
      </c>
      <c r="K2656" t="s">
        <v>106</v>
      </c>
      <c r="L2656" t="s">
        <v>3015</v>
      </c>
      <c r="M2656" t="s">
        <v>3065</v>
      </c>
      <c r="N2656">
        <v>1</v>
      </c>
      <c r="O2656">
        <v>2029</v>
      </c>
      <c r="P2656">
        <v>34.353918735727063</v>
      </c>
      <c r="Q2656">
        <v>1.893397965391721</v>
      </c>
      <c r="R2656" t="s">
        <v>289</v>
      </c>
      <c r="S2656">
        <v>115.45533602622641</v>
      </c>
      <c r="T2656" t="s">
        <v>290</v>
      </c>
      <c r="U2656">
        <v>115.45533602622641</v>
      </c>
      <c r="V2656">
        <v>34.353918735727063</v>
      </c>
      <c r="W2656">
        <v>1.893397965391721</v>
      </c>
      <c r="X2656" t="s">
        <v>291</v>
      </c>
      <c r="Y2656">
        <v>10</v>
      </c>
      <c r="Z2656">
        <v>0.2813393128634602</v>
      </c>
      <c r="AA2656">
        <v>1</v>
      </c>
    </row>
    <row r="2657" spans="1:27" hidden="1" x14ac:dyDescent="0.25">
      <c r="A2657" t="s">
        <v>98</v>
      </c>
      <c r="B2657" t="s">
        <v>1548</v>
      </c>
      <c r="D2657" t="s">
        <v>1722</v>
      </c>
      <c r="E2657" t="s">
        <v>284</v>
      </c>
      <c r="F2657" t="s">
        <v>365</v>
      </c>
      <c r="G2657" t="s">
        <v>112</v>
      </c>
      <c r="H2657" t="s">
        <v>104</v>
      </c>
      <c r="I2657">
        <v>2029</v>
      </c>
      <c r="J2657" t="s">
        <v>396</v>
      </c>
      <c r="K2657" t="s">
        <v>106</v>
      </c>
      <c r="L2657" t="s">
        <v>3015</v>
      </c>
      <c r="M2657" t="s">
        <v>3066</v>
      </c>
      <c r="N2657">
        <v>1</v>
      </c>
      <c r="O2657">
        <v>2029</v>
      </c>
      <c r="P2657">
        <v>43.733464606512037</v>
      </c>
      <c r="Q2657">
        <v>2.4042644647868401</v>
      </c>
      <c r="R2657" t="s">
        <v>289</v>
      </c>
      <c r="S2657">
        <v>130.6177318295739</v>
      </c>
      <c r="T2657" t="s">
        <v>290</v>
      </c>
      <c r="U2657">
        <v>130.6177318295739</v>
      </c>
      <c r="V2657">
        <v>43.733464606512037</v>
      </c>
      <c r="W2657">
        <v>2.4042644647868401</v>
      </c>
      <c r="X2657" t="s">
        <v>291</v>
      </c>
      <c r="Y2657">
        <v>10</v>
      </c>
      <c r="Z2657">
        <v>0.2813393128634602</v>
      </c>
      <c r="AA2657">
        <v>1</v>
      </c>
    </row>
    <row r="2658" spans="1:27" hidden="1" x14ac:dyDescent="0.25">
      <c r="A2658" t="s">
        <v>98</v>
      </c>
      <c r="B2658" t="s">
        <v>1548</v>
      </c>
      <c r="D2658" t="s">
        <v>1722</v>
      </c>
      <c r="E2658" t="s">
        <v>284</v>
      </c>
      <c r="F2658" t="s">
        <v>355</v>
      </c>
      <c r="G2658" t="s">
        <v>103</v>
      </c>
      <c r="H2658" t="s">
        <v>104</v>
      </c>
      <c r="I2658">
        <v>2030</v>
      </c>
      <c r="J2658" t="s">
        <v>398</v>
      </c>
      <c r="K2658" t="s">
        <v>106</v>
      </c>
      <c r="L2658" t="s">
        <v>3015</v>
      </c>
      <c r="M2658" t="s">
        <v>3067</v>
      </c>
      <c r="N2658">
        <v>1</v>
      </c>
      <c r="O2658">
        <v>2030</v>
      </c>
      <c r="P2658">
        <v>22.026606087295281</v>
      </c>
      <c r="Q2658">
        <v>0.67594869632979349</v>
      </c>
      <c r="R2658" t="s">
        <v>289</v>
      </c>
      <c r="S2658">
        <v>87.209325187237212</v>
      </c>
      <c r="T2658" t="s">
        <v>290</v>
      </c>
      <c r="U2658">
        <v>87.209325187237212</v>
      </c>
      <c r="V2658">
        <v>22.026606087295281</v>
      </c>
      <c r="W2658">
        <v>0.67594869632979349</v>
      </c>
      <c r="X2658" t="s">
        <v>291</v>
      </c>
      <c r="Y2658">
        <v>10</v>
      </c>
      <c r="Z2658">
        <v>0.2813393128634602</v>
      </c>
      <c r="AA2658">
        <v>1</v>
      </c>
    </row>
    <row r="2659" spans="1:27" hidden="1" x14ac:dyDescent="0.25">
      <c r="A2659" t="s">
        <v>98</v>
      </c>
      <c r="B2659" t="s">
        <v>1548</v>
      </c>
      <c r="D2659" t="s">
        <v>1722</v>
      </c>
      <c r="E2659" t="s">
        <v>284</v>
      </c>
      <c r="F2659" t="s">
        <v>355</v>
      </c>
      <c r="G2659" t="s">
        <v>112</v>
      </c>
      <c r="H2659" t="s">
        <v>104</v>
      </c>
      <c r="I2659">
        <v>2030</v>
      </c>
      <c r="J2659" t="s">
        <v>400</v>
      </c>
      <c r="K2659" t="s">
        <v>106</v>
      </c>
      <c r="L2659" t="s">
        <v>3015</v>
      </c>
      <c r="M2659" t="s">
        <v>3068</v>
      </c>
      <c r="N2659">
        <v>1</v>
      </c>
      <c r="O2659">
        <v>2030</v>
      </c>
      <c r="P2659">
        <v>23.051216439564651</v>
      </c>
      <c r="Q2659">
        <v>0.88782640486853737</v>
      </c>
      <c r="R2659" t="s">
        <v>289</v>
      </c>
      <c r="S2659">
        <v>87.494679062376832</v>
      </c>
      <c r="T2659" t="s">
        <v>290</v>
      </c>
      <c r="U2659">
        <v>87.494679062376832</v>
      </c>
      <c r="V2659">
        <v>23.051216439564651</v>
      </c>
      <c r="W2659">
        <v>0.88782640486853737</v>
      </c>
      <c r="X2659" t="s">
        <v>291</v>
      </c>
      <c r="Y2659">
        <v>10</v>
      </c>
      <c r="Z2659">
        <v>0.2813393128634602</v>
      </c>
      <c r="AA2659">
        <v>1</v>
      </c>
    </row>
    <row r="2660" spans="1:27" hidden="1" x14ac:dyDescent="0.25">
      <c r="A2660" t="s">
        <v>98</v>
      </c>
      <c r="B2660" t="s">
        <v>1548</v>
      </c>
      <c r="D2660" t="s">
        <v>1722</v>
      </c>
      <c r="E2660" t="s">
        <v>284</v>
      </c>
      <c r="F2660" t="s">
        <v>360</v>
      </c>
      <c r="G2660" t="s">
        <v>103</v>
      </c>
      <c r="H2660" t="s">
        <v>104</v>
      </c>
      <c r="I2660">
        <v>2030</v>
      </c>
      <c r="J2660" t="s">
        <v>402</v>
      </c>
      <c r="K2660" t="s">
        <v>106</v>
      </c>
      <c r="L2660" t="s">
        <v>3015</v>
      </c>
      <c r="M2660" t="s">
        <v>3069</v>
      </c>
      <c r="N2660">
        <v>1</v>
      </c>
      <c r="O2660">
        <v>2030</v>
      </c>
      <c r="P2660">
        <v>32.03338343675982</v>
      </c>
      <c r="Q2660">
        <v>0.74367453538487105</v>
      </c>
      <c r="R2660" t="s">
        <v>289</v>
      </c>
      <c r="S2660">
        <v>80.816288888888892</v>
      </c>
      <c r="T2660" t="s">
        <v>290</v>
      </c>
      <c r="U2660">
        <v>80.816288888888892</v>
      </c>
      <c r="V2660">
        <v>32.03338343675982</v>
      </c>
      <c r="W2660">
        <v>0.74367453538487105</v>
      </c>
      <c r="X2660" t="s">
        <v>291</v>
      </c>
      <c r="Y2660">
        <v>10</v>
      </c>
      <c r="Z2660">
        <v>0.2813393128634602</v>
      </c>
      <c r="AA2660">
        <v>1</v>
      </c>
    </row>
    <row r="2661" spans="1:27" hidden="1" x14ac:dyDescent="0.25">
      <c r="A2661" t="s">
        <v>98</v>
      </c>
      <c r="B2661" t="s">
        <v>1548</v>
      </c>
      <c r="D2661" t="s">
        <v>1722</v>
      </c>
      <c r="E2661" t="s">
        <v>284</v>
      </c>
      <c r="F2661" t="s">
        <v>360</v>
      </c>
      <c r="G2661" t="s">
        <v>112</v>
      </c>
      <c r="H2661" t="s">
        <v>104</v>
      </c>
      <c r="I2661">
        <v>2030</v>
      </c>
      <c r="J2661" t="s">
        <v>404</v>
      </c>
      <c r="K2661" t="s">
        <v>106</v>
      </c>
      <c r="L2661" t="s">
        <v>3015</v>
      </c>
      <c r="M2661" t="s">
        <v>3070</v>
      </c>
      <c r="N2661">
        <v>1</v>
      </c>
      <c r="O2661">
        <v>2030</v>
      </c>
      <c r="P2661">
        <v>30.04097222030375</v>
      </c>
      <c r="Q2661">
        <v>1.0503155304453009</v>
      </c>
      <c r="R2661" t="s">
        <v>289</v>
      </c>
      <c r="S2661">
        <v>90.329273504273502</v>
      </c>
      <c r="T2661" t="s">
        <v>290</v>
      </c>
      <c r="U2661">
        <v>90.329273504273502</v>
      </c>
      <c r="V2661">
        <v>30.04097222030375</v>
      </c>
      <c r="W2661">
        <v>1.0503155304453009</v>
      </c>
      <c r="X2661" t="s">
        <v>291</v>
      </c>
      <c r="Y2661">
        <v>10</v>
      </c>
      <c r="Z2661">
        <v>0.2813393128634602</v>
      </c>
      <c r="AA2661">
        <v>1</v>
      </c>
    </row>
    <row r="2662" spans="1:27" hidden="1" x14ac:dyDescent="0.25">
      <c r="A2662" t="s">
        <v>98</v>
      </c>
      <c r="B2662" t="s">
        <v>1548</v>
      </c>
      <c r="D2662" t="s">
        <v>1722</v>
      </c>
      <c r="E2662" t="s">
        <v>284</v>
      </c>
      <c r="F2662" t="s">
        <v>365</v>
      </c>
      <c r="G2662" t="s">
        <v>103</v>
      </c>
      <c r="H2662" t="s">
        <v>104</v>
      </c>
      <c r="I2662">
        <v>2030</v>
      </c>
      <c r="J2662" t="s">
        <v>406</v>
      </c>
      <c r="K2662" t="s">
        <v>106</v>
      </c>
      <c r="L2662" t="s">
        <v>3015</v>
      </c>
      <c r="M2662" t="s">
        <v>3071</v>
      </c>
      <c r="N2662">
        <v>1</v>
      </c>
      <c r="O2662">
        <v>2030</v>
      </c>
      <c r="P2662">
        <v>23.710775767327672</v>
      </c>
      <c r="Q2662">
        <v>1.668845649337886</v>
      </c>
      <c r="R2662" t="s">
        <v>289</v>
      </c>
      <c r="S2662">
        <v>154.72558108377279</v>
      </c>
      <c r="T2662" t="s">
        <v>290</v>
      </c>
      <c r="U2662">
        <v>154.72558108377279</v>
      </c>
      <c r="V2662">
        <v>23.710775767327672</v>
      </c>
      <c r="W2662">
        <v>1.668845649337886</v>
      </c>
      <c r="X2662" t="s">
        <v>291</v>
      </c>
      <c r="Y2662">
        <v>10</v>
      </c>
      <c r="Z2662">
        <v>0.2813393128634602</v>
      </c>
      <c r="AA2662">
        <v>1</v>
      </c>
    </row>
    <row r="2663" spans="1:27" hidden="1" x14ac:dyDescent="0.25">
      <c r="A2663" t="s">
        <v>98</v>
      </c>
      <c r="B2663" t="s">
        <v>1548</v>
      </c>
      <c r="D2663" t="s">
        <v>1722</v>
      </c>
      <c r="E2663" t="s">
        <v>284</v>
      </c>
      <c r="F2663" t="s">
        <v>365</v>
      </c>
      <c r="G2663" t="s">
        <v>112</v>
      </c>
      <c r="H2663" t="s">
        <v>104</v>
      </c>
      <c r="I2663">
        <v>2030</v>
      </c>
      <c r="J2663" t="s">
        <v>408</v>
      </c>
      <c r="K2663" t="s">
        <v>106</v>
      </c>
      <c r="L2663" t="s">
        <v>3015</v>
      </c>
      <c r="M2663" t="s">
        <v>3072</v>
      </c>
      <c r="N2663">
        <v>1</v>
      </c>
      <c r="O2663">
        <v>2030</v>
      </c>
      <c r="P2663">
        <v>28.858905605402359</v>
      </c>
      <c r="Q2663">
        <v>2.128664396371156</v>
      </c>
      <c r="R2663" t="s">
        <v>289</v>
      </c>
      <c r="S2663">
        <v>176.3746647164572</v>
      </c>
      <c r="T2663" t="s">
        <v>290</v>
      </c>
      <c r="U2663">
        <v>176.3746647164572</v>
      </c>
      <c r="V2663">
        <v>28.858905605402359</v>
      </c>
      <c r="W2663">
        <v>2.128664396371156</v>
      </c>
      <c r="X2663" t="s">
        <v>291</v>
      </c>
      <c r="Y2663">
        <v>10</v>
      </c>
      <c r="Z2663">
        <v>0.2813393128634602</v>
      </c>
      <c r="AA2663">
        <v>1</v>
      </c>
    </row>
    <row r="2664" spans="1:27" hidden="1" x14ac:dyDescent="0.25">
      <c r="A2664" t="s">
        <v>98</v>
      </c>
      <c r="B2664" t="s">
        <v>1548</v>
      </c>
      <c r="D2664" t="s">
        <v>1722</v>
      </c>
      <c r="E2664" t="s">
        <v>284</v>
      </c>
      <c r="F2664" t="s">
        <v>355</v>
      </c>
      <c r="G2664" t="s">
        <v>103</v>
      </c>
      <c r="H2664" t="s">
        <v>104</v>
      </c>
      <c r="I2664">
        <v>2040</v>
      </c>
      <c r="J2664" t="s">
        <v>410</v>
      </c>
      <c r="K2664" t="s">
        <v>106</v>
      </c>
      <c r="L2664" t="s">
        <v>3015</v>
      </c>
      <c r="M2664" t="s">
        <v>3073</v>
      </c>
      <c r="N2664">
        <v>1</v>
      </c>
      <c r="O2664">
        <v>2040</v>
      </c>
      <c r="P2664">
        <v>22.159986853322259</v>
      </c>
      <c r="Q2664">
        <v>0.64769049265200085</v>
      </c>
      <c r="R2664" t="s">
        <v>289</v>
      </c>
      <c r="S2664">
        <v>85.846844985289152</v>
      </c>
      <c r="T2664" t="s">
        <v>290</v>
      </c>
      <c r="U2664">
        <v>85.846844985289152</v>
      </c>
      <c r="V2664">
        <v>22.159986853322259</v>
      </c>
      <c r="W2664">
        <v>0.64769049265200085</v>
      </c>
      <c r="X2664" t="s">
        <v>291</v>
      </c>
      <c r="Y2664">
        <v>10</v>
      </c>
      <c r="Z2664">
        <v>0.2813393128634602</v>
      </c>
      <c r="AA2664">
        <v>1</v>
      </c>
    </row>
    <row r="2665" spans="1:27" hidden="1" x14ac:dyDescent="0.25">
      <c r="A2665" t="s">
        <v>98</v>
      </c>
      <c r="B2665" t="s">
        <v>1548</v>
      </c>
      <c r="D2665" t="s">
        <v>1722</v>
      </c>
      <c r="E2665" t="s">
        <v>284</v>
      </c>
      <c r="F2665" t="s">
        <v>355</v>
      </c>
      <c r="G2665" t="s">
        <v>112</v>
      </c>
      <c r="H2665" t="s">
        <v>104</v>
      </c>
      <c r="I2665">
        <v>2040</v>
      </c>
      <c r="J2665" t="s">
        <v>412</v>
      </c>
      <c r="K2665" t="s">
        <v>106</v>
      </c>
      <c r="L2665" t="s">
        <v>3015</v>
      </c>
      <c r="M2665" t="s">
        <v>3074</v>
      </c>
      <c r="N2665">
        <v>1</v>
      </c>
      <c r="O2665">
        <v>2040</v>
      </c>
      <c r="P2665">
        <v>22.287209700822071</v>
      </c>
      <c r="Q2665">
        <v>0.78348370867951755</v>
      </c>
      <c r="R2665" t="s">
        <v>289</v>
      </c>
      <c r="S2665">
        <v>88.372750377742747</v>
      </c>
      <c r="T2665" t="s">
        <v>290</v>
      </c>
      <c r="U2665">
        <v>88.372750377742747</v>
      </c>
      <c r="V2665">
        <v>22.287209700822071</v>
      </c>
      <c r="W2665">
        <v>0.78348370867951755</v>
      </c>
      <c r="X2665" t="s">
        <v>291</v>
      </c>
      <c r="Y2665">
        <v>10</v>
      </c>
      <c r="Z2665">
        <v>0.2813393128634602</v>
      </c>
      <c r="AA2665">
        <v>1</v>
      </c>
    </row>
    <row r="2666" spans="1:27" hidden="1" x14ac:dyDescent="0.25">
      <c r="A2666" t="s">
        <v>98</v>
      </c>
      <c r="B2666" t="s">
        <v>1548</v>
      </c>
      <c r="D2666" t="s">
        <v>1722</v>
      </c>
      <c r="E2666" t="s">
        <v>284</v>
      </c>
      <c r="F2666" t="s">
        <v>360</v>
      </c>
      <c r="G2666" t="s">
        <v>103</v>
      </c>
      <c r="H2666" t="s">
        <v>104</v>
      </c>
      <c r="I2666">
        <v>2040</v>
      </c>
      <c r="J2666" t="s">
        <v>414</v>
      </c>
      <c r="K2666" t="s">
        <v>106</v>
      </c>
      <c r="L2666" t="s">
        <v>3015</v>
      </c>
      <c r="M2666" t="s">
        <v>3075</v>
      </c>
      <c r="N2666">
        <v>1</v>
      </c>
      <c r="O2666">
        <v>2040</v>
      </c>
      <c r="P2666">
        <v>28.721945226708339</v>
      </c>
      <c r="Q2666">
        <v>0.72978219131721256</v>
      </c>
      <c r="R2666" t="s">
        <v>289</v>
      </c>
      <c r="S2666">
        <v>80.816288888888892</v>
      </c>
      <c r="T2666" t="s">
        <v>290</v>
      </c>
      <c r="U2666">
        <v>80.816288888888892</v>
      </c>
      <c r="V2666">
        <v>28.721945226708339</v>
      </c>
      <c r="W2666">
        <v>0.72978219131721256</v>
      </c>
      <c r="X2666" t="s">
        <v>291</v>
      </c>
      <c r="Y2666">
        <v>10</v>
      </c>
      <c r="Z2666">
        <v>0.2813393128634602</v>
      </c>
      <c r="AA2666">
        <v>1</v>
      </c>
    </row>
    <row r="2667" spans="1:27" hidden="1" x14ac:dyDescent="0.25">
      <c r="A2667" t="s">
        <v>98</v>
      </c>
      <c r="B2667" t="s">
        <v>1548</v>
      </c>
      <c r="D2667" t="s">
        <v>1722</v>
      </c>
      <c r="E2667" t="s">
        <v>284</v>
      </c>
      <c r="F2667" t="s">
        <v>360</v>
      </c>
      <c r="G2667" t="s">
        <v>112</v>
      </c>
      <c r="H2667" t="s">
        <v>104</v>
      </c>
      <c r="I2667">
        <v>2040</v>
      </c>
      <c r="J2667" t="s">
        <v>416</v>
      </c>
      <c r="K2667" t="s">
        <v>106</v>
      </c>
      <c r="L2667" t="s">
        <v>3015</v>
      </c>
      <c r="M2667" t="s">
        <v>3076</v>
      </c>
      <c r="N2667">
        <v>1</v>
      </c>
      <c r="O2667">
        <v>2040</v>
      </c>
      <c r="P2667">
        <v>33.197275628385512</v>
      </c>
      <c r="Q2667">
        <v>1.1034319170477349</v>
      </c>
      <c r="R2667" t="s">
        <v>289</v>
      </c>
      <c r="S2667">
        <v>93.34643874643875</v>
      </c>
      <c r="T2667" t="s">
        <v>290</v>
      </c>
      <c r="U2667">
        <v>93.34643874643875</v>
      </c>
      <c r="V2667">
        <v>33.197275628385512</v>
      </c>
      <c r="W2667">
        <v>1.1034319170477349</v>
      </c>
      <c r="X2667" t="s">
        <v>291</v>
      </c>
      <c r="Y2667">
        <v>10</v>
      </c>
      <c r="Z2667">
        <v>0.2813393128634602</v>
      </c>
      <c r="AA2667">
        <v>1</v>
      </c>
    </row>
    <row r="2668" spans="1:27" hidden="1" x14ac:dyDescent="0.25">
      <c r="A2668" t="s">
        <v>98</v>
      </c>
      <c r="B2668" t="s">
        <v>1548</v>
      </c>
      <c r="D2668" t="s">
        <v>1722</v>
      </c>
      <c r="E2668" t="s">
        <v>284</v>
      </c>
      <c r="F2668" t="s">
        <v>365</v>
      </c>
      <c r="G2668" t="s">
        <v>103</v>
      </c>
      <c r="H2668" t="s">
        <v>104</v>
      </c>
      <c r="I2668">
        <v>2040</v>
      </c>
      <c r="J2668" t="s">
        <v>418</v>
      </c>
      <c r="K2668" t="s">
        <v>106</v>
      </c>
      <c r="L2668" t="s">
        <v>3015</v>
      </c>
      <c r="M2668" t="s">
        <v>3077</v>
      </c>
      <c r="N2668">
        <v>1</v>
      </c>
      <c r="O2668">
        <v>2040</v>
      </c>
      <c r="P2668">
        <v>22.333975775561878</v>
      </c>
      <c r="Q2668">
        <v>1.552983156443519</v>
      </c>
      <c r="R2668" t="s">
        <v>289</v>
      </c>
      <c r="S2668">
        <v>181.1420784222461</v>
      </c>
      <c r="T2668" t="s">
        <v>290</v>
      </c>
      <c r="U2668">
        <v>181.1420784222461</v>
      </c>
      <c r="V2668">
        <v>22.333975775561878</v>
      </c>
      <c r="W2668">
        <v>1.552983156443519</v>
      </c>
      <c r="X2668" t="s">
        <v>291</v>
      </c>
      <c r="Y2668">
        <v>10</v>
      </c>
      <c r="Z2668">
        <v>0.2813393128634602</v>
      </c>
      <c r="AA2668">
        <v>1</v>
      </c>
    </row>
    <row r="2669" spans="1:27" hidden="1" x14ac:dyDescent="0.25">
      <c r="A2669" t="s">
        <v>98</v>
      </c>
      <c r="B2669" t="s">
        <v>1548</v>
      </c>
      <c r="D2669" t="s">
        <v>1722</v>
      </c>
      <c r="E2669" t="s">
        <v>284</v>
      </c>
      <c r="F2669" t="s">
        <v>365</v>
      </c>
      <c r="G2669" t="s">
        <v>112</v>
      </c>
      <c r="H2669" t="s">
        <v>104</v>
      </c>
      <c r="I2669">
        <v>2040</v>
      </c>
      <c r="J2669" t="s">
        <v>420</v>
      </c>
      <c r="K2669" t="s">
        <v>106</v>
      </c>
      <c r="L2669" t="s">
        <v>3015</v>
      </c>
      <c r="M2669" t="s">
        <v>3078</v>
      </c>
      <c r="N2669">
        <v>1</v>
      </c>
      <c r="O2669">
        <v>2040</v>
      </c>
      <c r="P2669">
        <v>27.009726996743201</v>
      </c>
      <c r="Q2669">
        <v>1.971842815426603</v>
      </c>
      <c r="R2669" t="s">
        <v>289</v>
      </c>
      <c r="S2669">
        <v>206.50467814395611</v>
      </c>
      <c r="T2669" t="s">
        <v>290</v>
      </c>
      <c r="U2669">
        <v>206.50467814395611</v>
      </c>
      <c r="V2669">
        <v>27.009726996743201</v>
      </c>
      <c r="W2669">
        <v>1.971842815426603</v>
      </c>
      <c r="X2669" t="s">
        <v>291</v>
      </c>
      <c r="Y2669">
        <v>10</v>
      </c>
      <c r="Z2669">
        <v>0.2813393128634602</v>
      </c>
      <c r="AA2669">
        <v>1</v>
      </c>
    </row>
    <row r="2670" spans="1:27" hidden="1" x14ac:dyDescent="0.25">
      <c r="A2670" t="s">
        <v>98</v>
      </c>
      <c r="B2670" t="s">
        <v>1548</v>
      </c>
      <c r="D2670" t="s">
        <v>1722</v>
      </c>
      <c r="E2670" t="s">
        <v>284</v>
      </c>
      <c r="F2670" t="s">
        <v>422</v>
      </c>
      <c r="G2670" t="s">
        <v>103</v>
      </c>
      <c r="H2670" t="s">
        <v>104</v>
      </c>
      <c r="I2670">
        <v>2022</v>
      </c>
      <c r="J2670" t="s">
        <v>423</v>
      </c>
      <c r="K2670" t="s">
        <v>106</v>
      </c>
      <c r="L2670" t="s">
        <v>3015</v>
      </c>
      <c r="M2670" t="s">
        <v>3079</v>
      </c>
      <c r="N2670">
        <v>1</v>
      </c>
      <c r="O2670">
        <v>2020</v>
      </c>
      <c r="P2670">
        <v>22.570490905245428</v>
      </c>
      <c r="Q2670">
        <v>0.77947598919167282</v>
      </c>
      <c r="R2670" t="s">
        <v>289</v>
      </c>
      <c r="S2670">
        <v>59.465873015873022</v>
      </c>
      <c r="T2670" t="s">
        <v>290</v>
      </c>
      <c r="U2670">
        <v>59.465873015873022</v>
      </c>
      <c r="V2670">
        <v>22.570490905245428</v>
      </c>
      <c r="W2670">
        <v>0.77947598919167282</v>
      </c>
      <c r="X2670" t="s">
        <v>291</v>
      </c>
      <c r="Y2670">
        <v>10</v>
      </c>
      <c r="Z2670">
        <v>0.2813393128634602</v>
      </c>
      <c r="AA2670">
        <v>1</v>
      </c>
    </row>
    <row r="2671" spans="1:27" hidden="1" x14ac:dyDescent="0.25">
      <c r="A2671" t="s">
        <v>98</v>
      </c>
      <c r="B2671" t="s">
        <v>1548</v>
      </c>
      <c r="D2671" t="s">
        <v>1722</v>
      </c>
      <c r="E2671" t="s">
        <v>284</v>
      </c>
      <c r="F2671" t="s">
        <v>425</v>
      </c>
      <c r="G2671" t="s">
        <v>103</v>
      </c>
      <c r="H2671" t="s">
        <v>104</v>
      </c>
      <c r="I2671">
        <v>2022</v>
      </c>
      <c r="J2671" t="s">
        <v>426</v>
      </c>
      <c r="K2671" t="s">
        <v>106</v>
      </c>
      <c r="L2671" t="s">
        <v>3015</v>
      </c>
      <c r="M2671" t="s">
        <v>3080</v>
      </c>
      <c r="N2671">
        <v>1</v>
      </c>
      <c r="O2671">
        <v>2020</v>
      </c>
      <c r="P2671">
        <v>20.699165146358741</v>
      </c>
      <c r="Q2671">
        <v>1.111231451610436</v>
      </c>
      <c r="R2671" t="s">
        <v>289</v>
      </c>
      <c r="S2671">
        <v>74.054444444444442</v>
      </c>
      <c r="T2671" t="s">
        <v>290</v>
      </c>
      <c r="U2671">
        <v>74.054444444444442</v>
      </c>
      <c r="V2671">
        <v>20.699165146358741</v>
      </c>
      <c r="W2671">
        <v>1.111231451610436</v>
      </c>
      <c r="X2671" t="s">
        <v>291</v>
      </c>
      <c r="Y2671">
        <v>10</v>
      </c>
      <c r="Z2671">
        <v>0.2813393128634602</v>
      </c>
      <c r="AA2671">
        <v>1</v>
      </c>
    </row>
    <row r="2672" spans="1:27" hidden="1" x14ac:dyDescent="0.25">
      <c r="A2672" t="s">
        <v>98</v>
      </c>
      <c r="B2672" t="s">
        <v>1548</v>
      </c>
      <c r="D2672" t="s">
        <v>1722</v>
      </c>
      <c r="E2672" t="s">
        <v>284</v>
      </c>
      <c r="F2672" t="s">
        <v>428</v>
      </c>
      <c r="G2672" t="s">
        <v>103</v>
      </c>
      <c r="H2672" t="s">
        <v>104</v>
      </c>
      <c r="I2672">
        <v>2022</v>
      </c>
      <c r="J2672" t="s">
        <v>429</v>
      </c>
      <c r="K2672" t="s">
        <v>106</v>
      </c>
      <c r="L2672" t="s">
        <v>3015</v>
      </c>
      <c r="M2672" t="s">
        <v>3081</v>
      </c>
      <c r="N2672">
        <v>1</v>
      </c>
      <c r="O2672">
        <v>2020</v>
      </c>
      <c r="P2672">
        <v>25.347672779313449</v>
      </c>
      <c r="Q2672">
        <v>0.56400508525842741</v>
      </c>
      <c r="R2672" t="s">
        <v>289</v>
      </c>
      <c r="S2672">
        <v>77.810944444444459</v>
      </c>
      <c r="T2672" t="s">
        <v>290</v>
      </c>
      <c r="U2672">
        <v>77.810944444444459</v>
      </c>
      <c r="V2672">
        <v>25.347672779313449</v>
      </c>
      <c r="W2672">
        <v>0.56400508525842741</v>
      </c>
      <c r="X2672" t="s">
        <v>291</v>
      </c>
      <c r="Y2672">
        <v>10</v>
      </c>
      <c r="Z2672">
        <v>0.2813393128634602</v>
      </c>
      <c r="AA2672">
        <v>1</v>
      </c>
    </row>
    <row r="2673" spans="1:27" hidden="1" x14ac:dyDescent="0.25">
      <c r="A2673" t="s">
        <v>98</v>
      </c>
      <c r="B2673" t="s">
        <v>1548</v>
      </c>
      <c r="D2673" t="s">
        <v>1722</v>
      </c>
      <c r="E2673" t="s">
        <v>284</v>
      </c>
      <c r="F2673" t="s">
        <v>425</v>
      </c>
      <c r="G2673" t="s">
        <v>103</v>
      </c>
      <c r="H2673" t="s">
        <v>104</v>
      </c>
      <c r="I2673">
        <v>2030</v>
      </c>
      <c r="J2673" t="s">
        <v>431</v>
      </c>
      <c r="K2673" t="s">
        <v>106</v>
      </c>
      <c r="L2673" t="s">
        <v>3015</v>
      </c>
      <c r="M2673" t="s">
        <v>3082</v>
      </c>
      <c r="N2673">
        <v>1</v>
      </c>
      <c r="O2673">
        <v>2030</v>
      </c>
      <c r="P2673">
        <v>20.230705085538521</v>
      </c>
      <c r="Q2673">
        <v>1.0951903363739519</v>
      </c>
      <c r="R2673" t="s">
        <v>289</v>
      </c>
      <c r="S2673">
        <v>79.81</v>
      </c>
      <c r="T2673" t="s">
        <v>290</v>
      </c>
      <c r="U2673">
        <v>79.81</v>
      </c>
      <c r="V2673">
        <v>20.230705085538521</v>
      </c>
      <c r="W2673">
        <v>1.0951903363739519</v>
      </c>
      <c r="X2673" t="s">
        <v>291</v>
      </c>
      <c r="Y2673">
        <v>10</v>
      </c>
      <c r="Z2673">
        <v>0.2813393128634602</v>
      </c>
      <c r="AA2673">
        <v>1</v>
      </c>
    </row>
    <row r="2674" spans="1:27" hidden="1" x14ac:dyDescent="0.25">
      <c r="A2674" t="s">
        <v>98</v>
      </c>
      <c r="B2674" t="s">
        <v>1548</v>
      </c>
      <c r="D2674" t="s">
        <v>1722</v>
      </c>
      <c r="E2674" t="s">
        <v>284</v>
      </c>
      <c r="F2674" t="s">
        <v>428</v>
      </c>
      <c r="G2674" t="s">
        <v>103</v>
      </c>
      <c r="H2674" t="s">
        <v>104</v>
      </c>
      <c r="I2674">
        <v>2030</v>
      </c>
      <c r="J2674" t="s">
        <v>433</v>
      </c>
      <c r="K2674" t="s">
        <v>106</v>
      </c>
      <c r="L2674" t="s">
        <v>3015</v>
      </c>
      <c r="M2674" t="s">
        <v>3083</v>
      </c>
      <c r="N2674">
        <v>1</v>
      </c>
      <c r="O2674">
        <v>2030</v>
      </c>
      <c r="P2674">
        <v>24.67049407605251</v>
      </c>
      <c r="Q2674">
        <v>0.55731249361340607</v>
      </c>
      <c r="R2674" t="s">
        <v>289</v>
      </c>
      <c r="S2674">
        <v>84.367500000000007</v>
      </c>
      <c r="T2674" t="s">
        <v>290</v>
      </c>
      <c r="U2674">
        <v>84.367500000000007</v>
      </c>
      <c r="V2674">
        <v>24.67049407605251</v>
      </c>
      <c r="W2674">
        <v>0.55731249361340607</v>
      </c>
      <c r="X2674" t="s">
        <v>291</v>
      </c>
      <c r="Y2674">
        <v>10</v>
      </c>
      <c r="Z2674">
        <v>0.2813393128634602</v>
      </c>
      <c r="AA2674">
        <v>1</v>
      </c>
    </row>
    <row r="2675" spans="1:27" hidden="1" x14ac:dyDescent="0.25">
      <c r="A2675" t="s">
        <v>98</v>
      </c>
      <c r="B2675" t="s">
        <v>1548</v>
      </c>
      <c r="D2675" t="s">
        <v>1722</v>
      </c>
      <c r="E2675" t="s">
        <v>284</v>
      </c>
      <c r="F2675" t="s">
        <v>425</v>
      </c>
      <c r="G2675" t="s">
        <v>103</v>
      </c>
      <c r="H2675" t="s">
        <v>104</v>
      </c>
      <c r="I2675">
        <v>2040</v>
      </c>
      <c r="J2675" t="s">
        <v>435</v>
      </c>
      <c r="K2675" t="s">
        <v>106</v>
      </c>
      <c r="L2675" t="s">
        <v>3015</v>
      </c>
      <c r="M2675" t="s">
        <v>3084</v>
      </c>
      <c r="N2675">
        <v>1</v>
      </c>
      <c r="O2675">
        <v>2040</v>
      </c>
      <c r="P2675">
        <v>19.670938877469698</v>
      </c>
      <c r="Q2675">
        <v>1.076022695415618</v>
      </c>
      <c r="R2675" t="s">
        <v>289</v>
      </c>
      <c r="S2675">
        <v>79.81</v>
      </c>
      <c r="T2675" t="s">
        <v>290</v>
      </c>
      <c r="U2675">
        <v>79.81</v>
      </c>
      <c r="V2675">
        <v>19.670938877469698</v>
      </c>
      <c r="W2675">
        <v>1.076022695415618</v>
      </c>
      <c r="X2675" t="s">
        <v>291</v>
      </c>
      <c r="Y2675">
        <v>10</v>
      </c>
      <c r="Z2675">
        <v>0.2813393128634602</v>
      </c>
      <c r="AA2675">
        <v>1</v>
      </c>
    </row>
    <row r="2676" spans="1:27" hidden="1" x14ac:dyDescent="0.25">
      <c r="A2676" t="s">
        <v>98</v>
      </c>
      <c r="B2676" t="s">
        <v>1548</v>
      </c>
      <c r="D2676" t="s">
        <v>1722</v>
      </c>
      <c r="E2676" t="s">
        <v>284</v>
      </c>
      <c r="F2676" t="s">
        <v>428</v>
      </c>
      <c r="G2676" t="s">
        <v>103</v>
      </c>
      <c r="H2676" t="s">
        <v>104</v>
      </c>
      <c r="I2676">
        <v>2040</v>
      </c>
      <c r="J2676" t="s">
        <v>437</v>
      </c>
      <c r="K2676" t="s">
        <v>106</v>
      </c>
      <c r="L2676" t="s">
        <v>3015</v>
      </c>
      <c r="M2676" t="s">
        <v>3085</v>
      </c>
      <c r="N2676">
        <v>1</v>
      </c>
      <c r="O2676">
        <v>2040</v>
      </c>
      <c r="P2676">
        <v>23.861328500132039</v>
      </c>
      <c r="Q2676">
        <v>0.54931546897756556</v>
      </c>
      <c r="R2676" t="s">
        <v>289</v>
      </c>
      <c r="S2676">
        <v>84.367500000000007</v>
      </c>
      <c r="T2676" t="s">
        <v>290</v>
      </c>
      <c r="U2676">
        <v>84.367500000000007</v>
      </c>
      <c r="V2676">
        <v>23.861328500132039</v>
      </c>
      <c r="W2676">
        <v>0.54931546897756556</v>
      </c>
      <c r="X2676" t="s">
        <v>291</v>
      </c>
      <c r="Y2676">
        <v>10</v>
      </c>
      <c r="Z2676">
        <v>0.2813393128634602</v>
      </c>
      <c r="AA2676">
        <v>1</v>
      </c>
    </row>
    <row r="2677" spans="1:27" hidden="1" x14ac:dyDescent="0.25">
      <c r="A2677" t="s">
        <v>98</v>
      </c>
      <c r="B2677" t="s">
        <v>1548</v>
      </c>
      <c r="D2677" t="s">
        <v>1722</v>
      </c>
      <c r="E2677" t="s">
        <v>439</v>
      </c>
      <c r="F2677" t="s">
        <v>440</v>
      </c>
      <c r="G2677" t="s">
        <v>245</v>
      </c>
      <c r="H2677" t="s">
        <v>104</v>
      </c>
      <c r="I2677">
        <v>2022</v>
      </c>
      <c r="J2677" t="s">
        <v>441</v>
      </c>
      <c r="K2677" t="s">
        <v>106</v>
      </c>
      <c r="L2677" t="s">
        <v>3086</v>
      </c>
      <c r="M2677" t="s">
        <v>3087</v>
      </c>
      <c r="N2677">
        <v>1</v>
      </c>
      <c r="O2677">
        <v>2020</v>
      </c>
      <c r="P2677">
        <v>831.12625331024003</v>
      </c>
      <c r="Q2677">
        <v>84.323656568982784</v>
      </c>
      <c r="R2677" t="s">
        <v>109</v>
      </c>
      <c r="S2677">
        <v>2.8957310176295739</v>
      </c>
      <c r="T2677" t="s">
        <v>110</v>
      </c>
      <c r="U2677">
        <v>2.8957310176295739</v>
      </c>
      <c r="V2677">
        <v>2835.9211703315582</v>
      </c>
      <c r="W2677">
        <v>287.72432812862002</v>
      </c>
      <c r="X2677" t="s">
        <v>111</v>
      </c>
      <c r="Y2677">
        <v>10</v>
      </c>
      <c r="Z2677">
        <v>0.44</v>
      </c>
      <c r="AA2677">
        <v>31.536000000000001</v>
      </c>
    </row>
    <row r="2678" spans="1:27" hidden="1" x14ac:dyDescent="0.25">
      <c r="A2678" t="s">
        <v>98</v>
      </c>
      <c r="B2678" t="s">
        <v>1548</v>
      </c>
      <c r="D2678" t="s">
        <v>1722</v>
      </c>
      <c r="E2678" t="s">
        <v>439</v>
      </c>
      <c r="F2678" t="s">
        <v>440</v>
      </c>
      <c r="G2678" t="s">
        <v>103</v>
      </c>
      <c r="H2678" t="s">
        <v>104</v>
      </c>
      <c r="I2678">
        <v>2022</v>
      </c>
      <c r="J2678" t="s">
        <v>444</v>
      </c>
      <c r="K2678" t="s">
        <v>106</v>
      </c>
      <c r="L2678" t="s">
        <v>3086</v>
      </c>
      <c r="M2678" t="s">
        <v>3088</v>
      </c>
      <c r="N2678">
        <v>1</v>
      </c>
      <c r="O2678">
        <v>2020</v>
      </c>
      <c r="P2678">
        <v>1031.6192027056411</v>
      </c>
      <c r="Q2678">
        <v>84.323656568982784</v>
      </c>
      <c r="R2678" t="s">
        <v>109</v>
      </c>
      <c r="S2678">
        <v>3.1136892662683588</v>
      </c>
      <c r="T2678" t="s">
        <v>110</v>
      </c>
      <c r="U2678">
        <v>1</v>
      </c>
      <c r="V2678">
        <v>10960.284839990571</v>
      </c>
      <c r="W2678">
        <v>895.88415213835935</v>
      </c>
      <c r="X2678" t="s">
        <v>111</v>
      </c>
      <c r="Y2678">
        <v>10</v>
      </c>
      <c r="Z2678">
        <v>0.44</v>
      </c>
      <c r="AA2678">
        <v>31.536000000000001</v>
      </c>
    </row>
    <row r="2679" spans="1:27" hidden="1" x14ac:dyDescent="0.25">
      <c r="A2679" t="s">
        <v>98</v>
      </c>
      <c r="B2679" t="s">
        <v>1548</v>
      </c>
      <c r="D2679" t="s">
        <v>1722</v>
      </c>
      <c r="E2679" t="s">
        <v>439</v>
      </c>
      <c r="F2679" t="s">
        <v>440</v>
      </c>
      <c r="G2679" t="s">
        <v>112</v>
      </c>
      <c r="H2679" t="s">
        <v>104</v>
      </c>
      <c r="I2679">
        <v>2022</v>
      </c>
      <c r="J2679" t="s">
        <v>446</v>
      </c>
      <c r="K2679" t="s">
        <v>106</v>
      </c>
      <c r="L2679" t="s">
        <v>3086</v>
      </c>
      <c r="M2679" t="s">
        <v>3089</v>
      </c>
      <c r="N2679">
        <v>1</v>
      </c>
      <c r="O2679">
        <v>2020</v>
      </c>
      <c r="P2679">
        <v>1137.4723035050019</v>
      </c>
      <c r="Q2679">
        <v>84.323656568982784</v>
      </c>
      <c r="R2679" t="s">
        <v>109</v>
      </c>
      <c r="S2679">
        <v>3.348052974482107</v>
      </c>
      <c r="T2679" t="s">
        <v>110</v>
      </c>
      <c r="U2679">
        <v>1.156203029251937</v>
      </c>
      <c r="V2679">
        <v>11238.961995400419</v>
      </c>
      <c r="W2679">
        <v>833.17226148867417</v>
      </c>
      <c r="X2679" t="s">
        <v>111</v>
      </c>
      <c r="Y2679">
        <v>10</v>
      </c>
      <c r="Z2679">
        <v>0.44</v>
      </c>
      <c r="AA2679">
        <v>31.536000000000001</v>
      </c>
    </row>
    <row r="2680" spans="1:27" hidden="1" x14ac:dyDescent="0.25">
      <c r="A2680" t="s">
        <v>98</v>
      </c>
      <c r="B2680" t="s">
        <v>1548</v>
      </c>
      <c r="D2680" t="s">
        <v>1722</v>
      </c>
      <c r="E2680" t="s">
        <v>439</v>
      </c>
      <c r="F2680" t="s">
        <v>440</v>
      </c>
      <c r="G2680" t="s">
        <v>103</v>
      </c>
      <c r="H2680" t="s">
        <v>104</v>
      </c>
      <c r="I2680">
        <v>2030</v>
      </c>
      <c r="J2680" t="s">
        <v>448</v>
      </c>
      <c r="K2680" t="s">
        <v>106</v>
      </c>
      <c r="L2680" t="s">
        <v>3086</v>
      </c>
      <c r="M2680" t="s">
        <v>3090</v>
      </c>
      <c r="N2680">
        <v>0</v>
      </c>
      <c r="O2680">
        <v>2030</v>
      </c>
      <c r="P2680">
        <v>1031.6192027056411</v>
      </c>
      <c r="Q2680">
        <v>84.323656568982784</v>
      </c>
      <c r="R2680" t="s">
        <v>109</v>
      </c>
      <c r="S2680">
        <v>3.1136892662683588</v>
      </c>
      <c r="T2680" t="s">
        <v>110</v>
      </c>
      <c r="U2680">
        <v>1.075268817204301</v>
      </c>
      <c r="V2680">
        <v>10193.06490119123</v>
      </c>
      <c r="W2680">
        <v>833.17226148867428</v>
      </c>
      <c r="X2680" t="s">
        <v>111</v>
      </c>
      <c r="Y2680">
        <v>10</v>
      </c>
      <c r="Z2680">
        <v>0.44</v>
      </c>
      <c r="AA2680">
        <v>31.536000000000001</v>
      </c>
    </row>
    <row r="2681" spans="1:27" hidden="1" x14ac:dyDescent="0.25">
      <c r="A2681" t="s">
        <v>98</v>
      </c>
      <c r="B2681" t="s">
        <v>1548</v>
      </c>
      <c r="D2681" t="s">
        <v>1722</v>
      </c>
      <c r="E2681" t="s">
        <v>439</v>
      </c>
      <c r="F2681" t="s">
        <v>440</v>
      </c>
      <c r="G2681" t="s">
        <v>112</v>
      </c>
      <c r="H2681" t="s">
        <v>104</v>
      </c>
      <c r="I2681">
        <v>2030</v>
      </c>
      <c r="J2681" t="s">
        <v>450</v>
      </c>
      <c r="K2681" t="s">
        <v>106</v>
      </c>
      <c r="L2681" t="s">
        <v>3086</v>
      </c>
      <c r="M2681" t="s">
        <v>3091</v>
      </c>
      <c r="N2681">
        <v>0</v>
      </c>
      <c r="O2681">
        <v>2030</v>
      </c>
      <c r="P2681">
        <v>1137.4723035050019</v>
      </c>
      <c r="Q2681">
        <v>84.323656568982784</v>
      </c>
      <c r="R2681" t="s">
        <v>109</v>
      </c>
      <c r="S2681">
        <v>3.348052974482107</v>
      </c>
      <c r="T2681" t="s">
        <v>110</v>
      </c>
      <c r="U2681">
        <v>1.156203029251937</v>
      </c>
      <c r="V2681">
        <v>11238.961995400419</v>
      </c>
      <c r="W2681">
        <v>833.17226148867417</v>
      </c>
      <c r="X2681" t="s">
        <v>111</v>
      </c>
      <c r="Y2681">
        <v>10</v>
      </c>
      <c r="Z2681">
        <v>0.44</v>
      </c>
      <c r="AA2681">
        <v>31.536000000000001</v>
      </c>
    </row>
    <row r="2682" spans="1:27" hidden="1" x14ac:dyDescent="0.25">
      <c r="A2682" t="s">
        <v>98</v>
      </c>
      <c r="B2682" t="s">
        <v>1548</v>
      </c>
      <c r="D2682" t="s">
        <v>1722</v>
      </c>
      <c r="E2682" t="s">
        <v>439</v>
      </c>
      <c r="F2682" t="s">
        <v>440</v>
      </c>
      <c r="G2682" t="s">
        <v>103</v>
      </c>
      <c r="H2682" t="s">
        <v>104</v>
      </c>
      <c r="I2682">
        <v>2040</v>
      </c>
      <c r="J2682" t="s">
        <v>452</v>
      </c>
      <c r="K2682" t="s">
        <v>106</v>
      </c>
      <c r="L2682" t="s">
        <v>3086</v>
      </c>
      <c r="M2682" t="s">
        <v>3092</v>
      </c>
      <c r="N2682">
        <v>0</v>
      </c>
      <c r="O2682">
        <v>2040</v>
      </c>
      <c r="P2682">
        <v>1031.6192027056411</v>
      </c>
      <c r="Q2682">
        <v>84.323656568982784</v>
      </c>
      <c r="R2682" t="s">
        <v>109</v>
      </c>
      <c r="S2682">
        <v>3.1136892662683588</v>
      </c>
      <c r="T2682" t="s">
        <v>110</v>
      </c>
      <c r="U2682">
        <v>1.075268817204301</v>
      </c>
      <c r="V2682">
        <v>10193.06490119123</v>
      </c>
      <c r="W2682">
        <v>833.17226148867428</v>
      </c>
      <c r="X2682" t="s">
        <v>111</v>
      </c>
      <c r="Y2682">
        <v>10</v>
      </c>
      <c r="Z2682">
        <v>0.44</v>
      </c>
      <c r="AA2682">
        <v>31.536000000000001</v>
      </c>
    </row>
    <row r="2683" spans="1:27" hidden="1" x14ac:dyDescent="0.25">
      <c r="A2683" t="s">
        <v>98</v>
      </c>
      <c r="B2683" t="s">
        <v>1548</v>
      </c>
      <c r="D2683" t="s">
        <v>1722</v>
      </c>
      <c r="E2683" t="s">
        <v>439</v>
      </c>
      <c r="F2683" t="s">
        <v>440</v>
      </c>
      <c r="G2683" t="s">
        <v>112</v>
      </c>
      <c r="H2683" t="s">
        <v>104</v>
      </c>
      <c r="I2683">
        <v>2040</v>
      </c>
      <c r="J2683" t="s">
        <v>454</v>
      </c>
      <c r="K2683" t="s">
        <v>106</v>
      </c>
      <c r="L2683" t="s">
        <v>3086</v>
      </c>
      <c r="M2683" t="s">
        <v>3093</v>
      </c>
      <c r="N2683">
        <v>0</v>
      </c>
      <c r="O2683">
        <v>2040</v>
      </c>
      <c r="P2683">
        <v>1137.4723035050019</v>
      </c>
      <c r="Q2683">
        <v>84.323656568982784</v>
      </c>
      <c r="R2683" t="s">
        <v>109</v>
      </c>
      <c r="S2683">
        <v>3.348052974482107</v>
      </c>
      <c r="T2683" t="s">
        <v>110</v>
      </c>
      <c r="U2683">
        <v>1.156203029251937</v>
      </c>
      <c r="V2683">
        <v>11238.961995400419</v>
      </c>
      <c r="W2683">
        <v>833.17226148867417</v>
      </c>
      <c r="X2683" t="s">
        <v>111</v>
      </c>
      <c r="Y2683">
        <v>10</v>
      </c>
      <c r="Z2683">
        <v>0.44</v>
      </c>
      <c r="AA2683">
        <v>31.536000000000001</v>
      </c>
    </row>
    <row r="2684" spans="1:27" hidden="1" x14ac:dyDescent="0.25">
      <c r="A2684" t="s">
        <v>98</v>
      </c>
      <c r="B2684" t="s">
        <v>1548</v>
      </c>
      <c r="D2684" t="s">
        <v>1722</v>
      </c>
      <c r="E2684" t="s">
        <v>439</v>
      </c>
      <c r="F2684" t="s">
        <v>440</v>
      </c>
      <c r="G2684" t="s">
        <v>103</v>
      </c>
      <c r="H2684" t="s">
        <v>104</v>
      </c>
      <c r="I2684">
        <v>2050</v>
      </c>
      <c r="J2684" t="s">
        <v>456</v>
      </c>
      <c r="K2684" t="s">
        <v>106</v>
      </c>
      <c r="L2684" t="s">
        <v>3086</v>
      </c>
      <c r="M2684" t="s">
        <v>3094</v>
      </c>
      <c r="N2684">
        <v>0</v>
      </c>
      <c r="O2684">
        <v>2050</v>
      </c>
      <c r="P2684">
        <v>1031.6192027056411</v>
      </c>
      <c r="Q2684">
        <v>84.323656568982784</v>
      </c>
      <c r="R2684" t="s">
        <v>109</v>
      </c>
      <c r="S2684">
        <v>3.1136892662683588</v>
      </c>
      <c r="T2684" t="s">
        <v>110</v>
      </c>
      <c r="U2684">
        <v>1.075268817204301</v>
      </c>
      <c r="V2684">
        <v>10193.06490119123</v>
      </c>
      <c r="W2684">
        <v>833.17226148867428</v>
      </c>
      <c r="X2684" t="s">
        <v>111</v>
      </c>
      <c r="Y2684">
        <v>10</v>
      </c>
      <c r="Z2684">
        <v>0.44</v>
      </c>
      <c r="AA2684">
        <v>31.536000000000001</v>
      </c>
    </row>
    <row r="2685" spans="1:27" hidden="1" x14ac:dyDescent="0.25">
      <c r="A2685" t="s">
        <v>98</v>
      </c>
      <c r="B2685" t="s">
        <v>1548</v>
      </c>
      <c r="D2685" t="s">
        <v>1722</v>
      </c>
      <c r="E2685" t="s">
        <v>439</v>
      </c>
      <c r="F2685" t="s">
        <v>440</v>
      </c>
      <c r="G2685" t="s">
        <v>112</v>
      </c>
      <c r="H2685" t="s">
        <v>104</v>
      </c>
      <c r="I2685">
        <v>2050</v>
      </c>
      <c r="J2685" t="s">
        <v>458</v>
      </c>
      <c r="K2685" t="s">
        <v>106</v>
      </c>
      <c r="L2685" t="s">
        <v>3086</v>
      </c>
      <c r="M2685" t="s">
        <v>3095</v>
      </c>
      <c r="N2685">
        <v>0</v>
      </c>
      <c r="O2685">
        <v>2050</v>
      </c>
      <c r="P2685">
        <v>1137.4723035050019</v>
      </c>
      <c r="Q2685">
        <v>84.323656568982784</v>
      </c>
      <c r="R2685" t="s">
        <v>109</v>
      </c>
      <c r="S2685">
        <v>3.348052974482107</v>
      </c>
      <c r="T2685" t="s">
        <v>110</v>
      </c>
      <c r="U2685">
        <v>1.156203029251937</v>
      </c>
      <c r="V2685">
        <v>11238.961995400419</v>
      </c>
      <c r="W2685">
        <v>833.17226148867417</v>
      </c>
      <c r="X2685" t="s">
        <v>111</v>
      </c>
      <c r="Y2685">
        <v>10</v>
      </c>
      <c r="Z2685">
        <v>0.44</v>
      </c>
      <c r="AA2685">
        <v>31.536000000000001</v>
      </c>
    </row>
    <row r="2686" spans="1:27" hidden="1" x14ac:dyDescent="0.25">
      <c r="A2686" t="s">
        <v>98</v>
      </c>
      <c r="B2686" t="s">
        <v>1548</v>
      </c>
      <c r="D2686" t="s">
        <v>1722</v>
      </c>
      <c r="E2686" t="s">
        <v>439</v>
      </c>
      <c r="F2686" t="s">
        <v>460</v>
      </c>
      <c r="G2686" t="s">
        <v>245</v>
      </c>
      <c r="H2686" t="s">
        <v>104</v>
      </c>
      <c r="I2686">
        <v>2022</v>
      </c>
      <c r="J2686" t="s">
        <v>461</v>
      </c>
      <c r="K2686" t="s">
        <v>106</v>
      </c>
      <c r="L2686" t="s">
        <v>3086</v>
      </c>
      <c r="M2686" t="s">
        <v>3096</v>
      </c>
      <c r="N2686">
        <v>1</v>
      </c>
      <c r="O2686">
        <v>2020</v>
      </c>
      <c r="P2686">
        <v>520.8323861248623</v>
      </c>
      <c r="Q2686">
        <v>19.17492366827851</v>
      </c>
      <c r="R2686" t="s">
        <v>109</v>
      </c>
      <c r="S2686">
        <v>5.9841517746527506</v>
      </c>
      <c r="T2686" t="s">
        <v>110</v>
      </c>
      <c r="U2686">
        <v>2.066542692750287</v>
      </c>
      <c r="V2686">
        <v>5146.1608125259299</v>
      </c>
      <c r="W2686">
        <v>189.46064682931279</v>
      </c>
      <c r="X2686" t="s">
        <v>111</v>
      </c>
      <c r="Y2686">
        <v>10</v>
      </c>
      <c r="Z2686">
        <v>0.44</v>
      </c>
      <c r="AA2686">
        <v>31.536000000000001</v>
      </c>
    </row>
    <row r="2687" spans="1:27" hidden="1" x14ac:dyDescent="0.25">
      <c r="A2687" t="s">
        <v>98</v>
      </c>
      <c r="B2687" t="s">
        <v>1548</v>
      </c>
      <c r="D2687" t="s">
        <v>1722</v>
      </c>
      <c r="E2687" t="s">
        <v>439</v>
      </c>
      <c r="F2687" t="s">
        <v>460</v>
      </c>
      <c r="G2687" t="s">
        <v>103</v>
      </c>
      <c r="H2687" t="s">
        <v>104</v>
      </c>
      <c r="I2687">
        <v>2022</v>
      </c>
      <c r="J2687" t="s">
        <v>463</v>
      </c>
      <c r="K2687" t="s">
        <v>106</v>
      </c>
      <c r="L2687" t="s">
        <v>3086</v>
      </c>
      <c r="M2687" t="s">
        <v>3097</v>
      </c>
      <c r="N2687">
        <v>1</v>
      </c>
      <c r="O2687">
        <v>2020</v>
      </c>
      <c r="P2687">
        <v>619.22047419033993</v>
      </c>
      <c r="Q2687">
        <v>19.17492366827851</v>
      </c>
      <c r="R2687" t="s">
        <v>109</v>
      </c>
      <c r="S2687">
        <v>6.5013006934499016</v>
      </c>
      <c r="T2687" t="s">
        <v>110</v>
      </c>
      <c r="U2687">
        <v>2.2451328020003118</v>
      </c>
      <c r="V2687">
        <v>6118.2987530812006</v>
      </c>
      <c r="W2687">
        <v>189.46064682931279</v>
      </c>
      <c r="X2687" t="s">
        <v>111</v>
      </c>
      <c r="Y2687">
        <v>10</v>
      </c>
      <c r="Z2687">
        <v>0.44</v>
      </c>
      <c r="AA2687">
        <v>31.536000000000001</v>
      </c>
    </row>
    <row r="2688" spans="1:27" hidden="1" x14ac:dyDescent="0.25">
      <c r="A2688" t="s">
        <v>98</v>
      </c>
      <c r="B2688" t="s">
        <v>1548</v>
      </c>
      <c r="D2688" t="s">
        <v>1722</v>
      </c>
      <c r="E2688" t="s">
        <v>439</v>
      </c>
      <c r="F2688" t="s">
        <v>460</v>
      </c>
      <c r="G2688" t="s">
        <v>112</v>
      </c>
      <c r="H2688" t="s">
        <v>104</v>
      </c>
      <c r="I2688">
        <v>2022</v>
      </c>
      <c r="J2688" t="s">
        <v>465</v>
      </c>
      <c r="K2688" t="s">
        <v>106</v>
      </c>
      <c r="L2688" t="s">
        <v>3086</v>
      </c>
      <c r="M2688" t="s">
        <v>3098</v>
      </c>
      <c r="N2688">
        <v>1</v>
      </c>
      <c r="O2688">
        <v>2020</v>
      </c>
      <c r="P2688">
        <v>717.59767919103297</v>
      </c>
      <c r="Q2688">
        <v>19.17492366827851</v>
      </c>
      <c r="R2688" t="s">
        <v>109</v>
      </c>
      <c r="S2688">
        <v>7.1162885968843517</v>
      </c>
      <c r="T2688" t="s">
        <v>110</v>
      </c>
      <c r="U2688">
        <v>2.4575102292165578</v>
      </c>
      <c r="V2688">
        <v>7090.3291619180018</v>
      </c>
      <c r="W2688">
        <v>189.46064682931279</v>
      </c>
      <c r="X2688" t="s">
        <v>111</v>
      </c>
      <c r="Y2688">
        <v>10</v>
      </c>
      <c r="Z2688">
        <v>0.44</v>
      </c>
      <c r="AA2688">
        <v>31.536000000000001</v>
      </c>
    </row>
    <row r="2689" spans="1:27" hidden="1" x14ac:dyDescent="0.25">
      <c r="A2689" t="s">
        <v>98</v>
      </c>
      <c r="B2689" t="s">
        <v>1548</v>
      </c>
      <c r="D2689" t="s">
        <v>1722</v>
      </c>
      <c r="E2689" t="s">
        <v>439</v>
      </c>
      <c r="F2689" t="s">
        <v>460</v>
      </c>
      <c r="G2689" t="s">
        <v>103</v>
      </c>
      <c r="H2689" t="s">
        <v>104</v>
      </c>
      <c r="I2689">
        <v>2030</v>
      </c>
      <c r="J2689" t="s">
        <v>467</v>
      </c>
      <c r="K2689" t="s">
        <v>106</v>
      </c>
      <c r="L2689" t="s">
        <v>3086</v>
      </c>
      <c r="M2689" t="s">
        <v>3099</v>
      </c>
      <c r="N2689">
        <v>1</v>
      </c>
      <c r="O2689">
        <v>2030</v>
      </c>
      <c r="P2689">
        <v>520.8323861248623</v>
      </c>
      <c r="Q2689">
        <v>19.17492366827851</v>
      </c>
      <c r="R2689" t="s">
        <v>109</v>
      </c>
      <c r="S2689">
        <v>6.5013006934499016</v>
      </c>
      <c r="T2689" t="s">
        <v>110</v>
      </c>
      <c r="U2689">
        <v>2.2451328020003118</v>
      </c>
      <c r="V2689">
        <v>5146.1608125259299</v>
      </c>
      <c r="W2689">
        <v>189.46064682931279</v>
      </c>
      <c r="X2689" t="s">
        <v>111</v>
      </c>
      <c r="Y2689">
        <v>10</v>
      </c>
      <c r="Z2689">
        <v>0.44</v>
      </c>
      <c r="AA2689">
        <v>31.536000000000001</v>
      </c>
    </row>
    <row r="2690" spans="1:27" hidden="1" x14ac:dyDescent="0.25">
      <c r="A2690" t="s">
        <v>98</v>
      </c>
      <c r="B2690" t="s">
        <v>1548</v>
      </c>
      <c r="D2690" t="s">
        <v>1722</v>
      </c>
      <c r="E2690" t="s">
        <v>439</v>
      </c>
      <c r="F2690" t="s">
        <v>460</v>
      </c>
      <c r="G2690" t="s">
        <v>112</v>
      </c>
      <c r="H2690" t="s">
        <v>104</v>
      </c>
      <c r="I2690">
        <v>2030</v>
      </c>
      <c r="J2690" t="s">
        <v>469</v>
      </c>
      <c r="K2690" t="s">
        <v>106</v>
      </c>
      <c r="L2690" t="s">
        <v>3086</v>
      </c>
      <c r="M2690" t="s">
        <v>3100</v>
      </c>
      <c r="N2690">
        <v>1</v>
      </c>
      <c r="O2690">
        <v>2030</v>
      </c>
      <c r="P2690">
        <v>717.59767919103297</v>
      </c>
      <c r="Q2690">
        <v>19.17492366827851</v>
      </c>
      <c r="R2690" t="s">
        <v>109</v>
      </c>
      <c r="S2690">
        <v>7.1162885968843517</v>
      </c>
      <c r="T2690" t="s">
        <v>110</v>
      </c>
      <c r="U2690">
        <v>2.4575102292165578</v>
      </c>
      <c r="V2690">
        <v>7090.3291619180018</v>
      </c>
      <c r="W2690">
        <v>189.46064682931279</v>
      </c>
      <c r="X2690" t="s">
        <v>111</v>
      </c>
      <c r="Y2690">
        <v>10</v>
      </c>
      <c r="Z2690">
        <v>0.44</v>
      </c>
      <c r="AA2690">
        <v>31.536000000000001</v>
      </c>
    </row>
    <row r="2691" spans="1:27" hidden="1" x14ac:dyDescent="0.25">
      <c r="A2691" t="s">
        <v>98</v>
      </c>
      <c r="B2691" t="s">
        <v>1548</v>
      </c>
      <c r="D2691" t="s">
        <v>1722</v>
      </c>
      <c r="E2691" t="s">
        <v>439</v>
      </c>
      <c r="F2691" t="s">
        <v>460</v>
      </c>
      <c r="G2691" t="s">
        <v>103</v>
      </c>
      <c r="H2691" t="s">
        <v>104</v>
      </c>
      <c r="I2691">
        <v>2040</v>
      </c>
      <c r="J2691" t="s">
        <v>471</v>
      </c>
      <c r="K2691" t="s">
        <v>106</v>
      </c>
      <c r="L2691" t="s">
        <v>3086</v>
      </c>
      <c r="M2691" t="s">
        <v>3101</v>
      </c>
      <c r="N2691">
        <v>1</v>
      </c>
      <c r="O2691">
        <v>2040</v>
      </c>
      <c r="P2691">
        <v>520.8323861248623</v>
      </c>
      <c r="Q2691">
        <v>19.17492366827851</v>
      </c>
      <c r="R2691" t="s">
        <v>109</v>
      </c>
      <c r="S2691">
        <v>6.5013006934499016</v>
      </c>
      <c r="T2691" t="s">
        <v>110</v>
      </c>
      <c r="U2691">
        <v>2.2451328020003118</v>
      </c>
      <c r="V2691">
        <v>5146.1608125259299</v>
      </c>
      <c r="W2691">
        <v>189.46064682931279</v>
      </c>
      <c r="X2691" t="s">
        <v>111</v>
      </c>
      <c r="Y2691">
        <v>10</v>
      </c>
      <c r="Z2691">
        <v>0.44</v>
      </c>
      <c r="AA2691">
        <v>31.536000000000001</v>
      </c>
    </row>
    <row r="2692" spans="1:27" hidden="1" x14ac:dyDescent="0.25">
      <c r="A2692" t="s">
        <v>98</v>
      </c>
      <c r="B2692" t="s">
        <v>1548</v>
      </c>
      <c r="D2692" t="s">
        <v>1722</v>
      </c>
      <c r="E2692" t="s">
        <v>439</v>
      </c>
      <c r="F2692" t="s">
        <v>460</v>
      </c>
      <c r="G2692" t="s">
        <v>112</v>
      </c>
      <c r="H2692" t="s">
        <v>104</v>
      </c>
      <c r="I2692">
        <v>2040</v>
      </c>
      <c r="J2692" t="s">
        <v>473</v>
      </c>
      <c r="K2692" t="s">
        <v>106</v>
      </c>
      <c r="L2692" t="s">
        <v>3086</v>
      </c>
      <c r="M2692" t="s">
        <v>3102</v>
      </c>
      <c r="N2692">
        <v>1</v>
      </c>
      <c r="O2692">
        <v>2040</v>
      </c>
      <c r="P2692">
        <v>717.59767919103297</v>
      </c>
      <c r="Q2692">
        <v>19.17492366827851</v>
      </c>
      <c r="R2692" t="s">
        <v>109</v>
      </c>
      <c r="S2692">
        <v>7.1162885968843517</v>
      </c>
      <c r="T2692" t="s">
        <v>110</v>
      </c>
      <c r="U2692">
        <v>2.4575102292165578</v>
      </c>
      <c r="V2692">
        <v>7090.3291619180018</v>
      </c>
      <c r="W2692">
        <v>189.46064682931279</v>
      </c>
      <c r="X2692" t="s">
        <v>111</v>
      </c>
      <c r="Y2692">
        <v>10</v>
      </c>
      <c r="Z2692">
        <v>0.44</v>
      </c>
      <c r="AA2692">
        <v>31.536000000000001</v>
      </c>
    </row>
    <row r="2693" spans="1:27" hidden="1" x14ac:dyDescent="0.25">
      <c r="A2693" t="s">
        <v>98</v>
      </c>
      <c r="B2693" t="s">
        <v>1548</v>
      </c>
      <c r="D2693" t="s">
        <v>1722</v>
      </c>
      <c r="E2693" t="s">
        <v>439</v>
      </c>
      <c r="F2693" t="s">
        <v>460</v>
      </c>
      <c r="G2693" t="s">
        <v>103</v>
      </c>
      <c r="H2693" t="s">
        <v>104</v>
      </c>
      <c r="I2693">
        <v>2050</v>
      </c>
      <c r="J2693" t="s">
        <v>475</v>
      </c>
      <c r="K2693" t="s">
        <v>106</v>
      </c>
      <c r="L2693" t="s">
        <v>3086</v>
      </c>
      <c r="M2693" t="s">
        <v>3103</v>
      </c>
      <c r="N2693">
        <v>1</v>
      </c>
      <c r="O2693">
        <v>2050</v>
      </c>
      <c r="P2693">
        <v>520.8323861248623</v>
      </c>
      <c r="Q2693">
        <v>19.17492366827851</v>
      </c>
      <c r="R2693" t="s">
        <v>109</v>
      </c>
      <c r="S2693">
        <v>6.5013006934499016</v>
      </c>
      <c r="T2693" t="s">
        <v>110</v>
      </c>
      <c r="U2693">
        <v>2.2451328020003118</v>
      </c>
      <c r="V2693">
        <v>5146.1608125259299</v>
      </c>
      <c r="W2693">
        <v>189.46064682931279</v>
      </c>
      <c r="X2693" t="s">
        <v>111</v>
      </c>
      <c r="Y2693">
        <v>10</v>
      </c>
      <c r="Z2693">
        <v>0.44</v>
      </c>
      <c r="AA2693">
        <v>31.536000000000001</v>
      </c>
    </row>
    <row r="2694" spans="1:27" hidden="1" x14ac:dyDescent="0.25">
      <c r="A2694" t="s">
        <v>98</v>
      </c>
      <c r="B2694" t="s">
        <v>1548</v>
      </c>
      <c r="D2694" t="s">
        <v>1722</v>
      </c>
      <c r="E2694" t="s">
        <v>439</v>
      </c>
      <c r="F2694" t="s">
        <v>460</v>
      </c>
      <c r="G2694" t="s">
        <v>112</v>
      </c>
      <c r="H2694" t="s">
        <v>104</v>
      </c>
      <c r="I2694">
        <v>2050</v>
      </c>
      <c r="J2694" t="s">
        <v>477</v>
      </c>
      <c r="K2694" t="s">
        <v>106</v>
      </c>
      <c r="L2694" t="s">
        <v>3086</v>
      </c>
      <c r="M2694" t="s">
        <v>3104</v>
      </c>
      <c r="N2694">
        <v>1</v>
      </c>
      <c r="O2694">
        <v>2050</v>
      </c>
      <c r="P2694">
        <v>717.59767919103297</v>
      </c>
      <c r="Q2694">
        <v>19.17492366827851</v>
      </c>
      <c r="R2694" t="s">
        <v>109</v>
      </c>
      <c r="S2694">
        <v>7.1162885968843517</v>
      </c>
      <c r="T2694" t="s">
        <v>110</v>
      </c>
      <c r="U2694">
        <v>2.4575102292165578</v>
      </c>
      <c r="V2694">
        <v>7090.3291619180018</v>
      </c>
      <c r="W2694">
        <v>189.46064682931279</v>
      </c>
      <c r="X2694" t="s">
        <v>111</v>
      </c>
      <c r="Y2694">
        <v>10</v>
      </c>
      <c r="Z2694">
        <v>0.44</v>
      </c>
      <c r="AA2694">
        <v>31.536000000000001</v>
      </c>
    </row>
    <row r="2695" spans="1:27" hidden="1" x14ac:dyDescent="0.25">
      <c r="A2695" t="s">
        <v>98</v>
      </c>
      <c r="B2695" t="s">
        <v>1548</v>
      </c>
      <c r="D2695" t="s">
        <v>1722</v>
      </c>
      <c r="E2695" t="s">
        <v>439</v>
      </c>
      <c r="F2695" t="s">
        <v>479</v>
      </c>
      <c r="G2695" t="s">
        <v>245</v>
      </c>
      <c r="H2695" t="s">
        <v>104</v>
      </c>
      <c r="I2695">
        <v>2022</v>
      </c>
      <c r="J2695" t="s">
        <v>480</v>
      </c>
      <c r="K2695" t="s">
        <v>106</v>
      </c>
      <c r="L2695" t="s">
        <v>3086</v>
      </c>
      <c r="M2695" t="s">
        <v>3105</v>
      </c>
      <c r="N2695">
        <v>1</v>
      </c>
      <c r="O2695">
        <v>2020</v>
      </c>
      <c r="P2695">
        <v>1625.561814955347</v>
      </c>
      <c r="Q2695">
        <v>83.737016934227881</v>
      </c>
      <c r="R2695" t="s">
        <v>109</v>
      </c>
      <c r="S2695">
        <v>3.1167552571169028</v>
      </c>
      <c r="T2695" t="s">
        <v>110</v>
      </c>
      <c r="U2695">
        <v>1.0763276140434681</v>
      </c>
      <c r="V2695">
        <v>16061.60203036269</v>
      </c>
      <c r="W2695">
        <v>827.37588250020144</v>
      </c>
      <c r="X2695" t="s">
        <v>111</v>
      </c>
      <c r="Y2695">
        <v>10</v>
      </c>
      <c r="Z2695">
        <v>0.44</v>
      </c>
      <c r="AA2695">
        <v>31.536000000000001</v>
      </c>
    </row>
    <row r="2696" spans="1:27" hidden="1" x14ac:dyDescent="0.25">
      <c r="A2696" t="s">
        <v>98</v>
      </c>
      <c r="B2696" t="s">
        <v>1548</v>
      </c>
      <c r="D2696" t="s">
        <v>1722</v>
      </c>
      <c r="E2696" t="s">
        <v>439</v>
      </c>
      <c r="F2696" t="s">
        <v>479</v>
      </c>
      <c r="G2696" t="s">
        <v>103</v>
      </c>
      <c r="H2696" t="s">
        <v>104</v>
      </c>
      <c r="I2696">
        <v>2022</v>
      </c>
      <c r="J2696" t="s">
        <v>482</v>
      </c>
      <c r="K2696" t="s">
        <v>106</v>
      </c>
      <c r="L2696" t="s">
        <v>3086</v>
      </c>
      <c r="M2696" t="s">
        <v>3106</v>
      </c>
      <c r="N2696">
        <v>1</v>
      </c>
      <c r="O2696">
        <v>2020</v>
      </c>
      <c r="P2696">
        <v>1649.1429636040691</v>
      </c>
      <c r="Q2696">
        <v>83.737016934227881</v>
      </c>
      <c r="R2696" t="s">
        <v>109</v>
      </c>
      <c r="S2696">
        <v>4.464541314248538</v>
      </c>
      <c r="T2696" t="s">
        <v>110</v>
      </c>
      <c r="U2696">
        <v>1.541766582278481</v>
      </c>
      <c r="V2696">
        <v>16294.59902963399</v>
      </c>
      <c r="W2696">
        <v>827.37588250020167</v>
      </c>
      <c r="X2696" t="s">
        <v>111</v>
      </c>
      <c r="Y2696">
        <v>10</v>
      </c>
      <c r="Z2696">
        <v>0.44</v>
      </c>
      <c r="AA2696">
        <v>31.536000000000001</v>
      </c>
    </row>
    <row r="2697" spans="1:27" hidden="1" x14ac:dyDescent="0.25">
      <c r="A2697" t="s">
        <v>98</v>
      </c>
      <c r="B2697" t="s">
        <v>1548</v>
      </c>
      <c r="D2697" t="s">
        <v>1722</v>
      </c>
      <c r="E2697" t="s">
        <v>439</v>
      </c>
      <c r="F2697" t="s">
        <v>479</v>
      </c>
      <c r="G2697" t="s">
        <v>112</v>
      </c>
      <c r="H2697" t="s">
        <v>104</v>
      </c>
      <c r="I2697">
        <v>2022</v>
      </c>
      <c r="J2697" t="s">
        <v>484</v>
      </c>
      <c r="K2697" t="s">
        <v>106</v>
      </c>
      <c r="L2697" t="s">
        <v>3086</v>
      </c>
      <c r="M2697" t="s">
        <v>3107</v>
      </c>
      <c r="N2697">
        <v>1</v>
      </c>
      <c r="O2697">
        <v>2020</v>
      </c>
      <c r="P2697">
        <v>1758.024723094816</v>
      </c>
      <c r="Q2697">
        <v>83.737016934227881</v>
      </c>
      <c r="R2697" t="s">
        <v>109</v>
      </c>
      <c r="S2697">
        <v>7.4409021904142287</v>
      </c>
      <c r="T2697" t="s">
        <v>110</v>
      </c>
      <c r="U2697">
        <v>2.5696109704641348</v>
      </c>
      <c r="V2697">
        <v>17370.421230436659</v>
      </c>
      <c r="W2697">
        <v>827.37588250020167</v>
      </c>
      <c r="X2697" t="s">
        <v>111</v>
      </c>
      <c r="Y2697">
        <v>10</v>
      </c>
      <c r="Z2697">
        <v>0.44</v>
      </c>
      <c r="AA2697">
        <v>31.536000000000001</v>
      </c>
    </row>
    <row r="2698" spans="1:27" hidden="1" x14ac:dyDescent="0.25">
      <c r="A2698" t="s">
        <v>98</v>
      </c>
      <c r="B2698" t="s">
        <v>1548</v>
      </c>
      <c r="D2698" t="s">
        <v>1722</v>
      </c>
      <c r="E2698" t="s">
        <v>439</v>
      </c>
      <c r="F2698" t="s">
        <v>479</v>
      </c>
      <c r="G2698" t="s">
        <v>219</v>
      </c>
      <c r="H2698" t="s">
        <v>104</v>
      </c>
      <c r="I2698">
        <v>2022</v>
      </c>
      <c r="J2698" t="s">
        <v>486</v>
      </c>
      <c r="K2698" t="s">
        <v>106</v>
      </c>
      <c r="L2698" t="s">
        <v>3086</v>
      </c>
      <c r="M2698" t="s">
        <v>3108</v>
      </c>
      <c r="N2698">
        <v>1</v>
      </c>
      <c r="O2698">
        <v>2020</v>
      </c>
      <c r="P2698">
        <v>1758.024723094816</v>
      </c>
      <c r="Q2698">
        <v>84.189649458196669</v>
      </c>
      <c r="R2698" t="s">
        <v>109</v>
      </c>
      <c r="S2698">
        <v>7.4409021904142287</v>
      </c>
      <c r="T2698" t="s">
        <v>110</v>
      </c>
      <c r="U2698">
        <v>2.5696109704641348</v>
      </c>
      <c r="V2698">
        <v>17370.421230436659</v>
      </c>
      <c r="W2698">
        <v>831.8481845677702</v>
      </c>
      <c r="X2698" t="s">
        <v>111</v>
      </c>
      <c r="Y2698">
        <v>10</v>
      </c>
      <c r="Z2698">
        <v>0.44</v>
      </c>
      <c r="AA2698">
        <v>31.536000000000001</v>
      </c>
    </row>
    <row r="2699" spans="1:27" hidden="1" x14ac:dyDescent="0.25">
      <c r="A2699" t="s">
        <v>98</v>
      </c>
      <c r="B2699" t="s">
        <v>1548</v>
      </c>
      <c r="D2699" t="s">
        <v>1722</v>
      </c>
      <c r="E2699" t="s">
        <v>439</v>
      </c>
      <c r="F2699" t="s">
        <v>479</v>
      </c>
      <c r="G2699" t="s">
        <v>103</v>
      </c>
      <c r="H2699" t="s">
        <v>104</v>
      </c>
      <c r="I2699">
        <v>2030</v>
      </c>
      <c r="J2699" t="s">
        <v>488</v>
      </c>
      <c r="K2699" t="s">
        <v>106</v>
      </c>
      <c r="L2699" t="s">
        <v>3086</v>
      </c>
      <c r="M2699" t="s">
        <v>3109</v>
      </c>
      <c r="N2699">
        <v>1</v>
      </c>
      <c r="O2699">
        <v>2030</v>
      </c>
      <c r="P2699">
        <v>1649.1429636040691</v>
      </c>
      <c r="Q2699">
        <v>83.737016934227881</v>
      </c>
      <c r="R2699" t="s">
        <v>109</v>
      </c>
      <c r="S2699">
        <v>4.464541314248538</v>
      </c>
      <c r="T2699" t="s">
        <v>110</v>
      </c>
      <c r="U2699">
        <v>1.541766582278481</v>
      </c>
      <c r="V2699">
        <v>16294.59902963399</v>
      </c>
      <c r="W2699">
        <v>827.37588250020167</v>
      </c>
      <c r="X2699" t="s">
        <v>111</v>
      </c>
      <c r="Y2699">
        <v>10</v>
      </c>
      <c r="Z2699">
        <v>0.44</v>
      </c>
      <c r="AA2699">
        <v>31.536000000000001</v>
      </c>
    </row>
    <row r="2700" spans="1:27" hidden="1" x14ac:dyDescent="0.25">
      <c r="A2700" t="s">
        <v>98</v>
      </c>
      <c r="B2700" t="s">
        <v>1548</v>
      </c>
      <c r="D2700" t="s">
        <v>1722</v>
      </c>
      <c r="E2700" t="s">
        <v>439</v>
      </c>
      <c r="F2700" t="s">
        <v>479</v>
      </c>
      <c r="G2700" t="s">
        <v>112</v>
      </c>
      <c r="H2700" t="s">
        <v>104</v>
      </c>
      <c r="I2700">
        <v>2030</v>
      </c>
      <c r="J2700" t="s">
        <v>490</v>
      </c>
      <c r="K2700" t="s">
        <v>106</v>
      </c>
      <c r="L2700" t="s">
        <v>3086</v>
      </c>
      <c r="M2700" t="s">
        <v>3110</v>
      </c>
      <c r="N2700">
        <v>1</v>
      </c>
      <c r="O2700">
        <v>2030</v>
      </c>
      <c r="P2700">
        <v>1758.024723094816</v>
      </c>
      <c r="Q2700">
        <v>83.737016934227881</v>
      </c>
      <c r="R2700" t="s">
        <v>109</v>
      </c>
      <c r="S2700">
        <v>7.4409021904142287</v>
      </c>
      <c r="T2700" t="s">
        <v>110</v>
      </c>
      <c r="U2700">
        <v>2.5696109704641348</v>
      </c>
      <c r="V2700">
        <v>17370.421230436659</v>
      </c>
      <c r="W2700">
        <v>827.37588250020167</v>
      </c>
      <c r="X2700" t="s">
        <v>111</v>
      </c>
      <c r="Y2700">
        <v>10</v>
      </c>
      <c r="Z2700">
        <v>0.44</v>
      </c>
      <c r="AA2700">
        <v>31.536000000000001</v>
      </c>
    </row>
    <row r="2701" spans="1:27" hidden="1" x14ac:dyDescent="0.25">
      <c r="A2701" t="s">
        <v>98</v>
      </c>
      <c r="B2701" t="s">
        <v>1548</v>
      </c>
      <c r="D2701" t="s">
        <v>1722</v>
      </c>
      <c r="E2701" t="s">
        <v>439</v>
      </c>
      <c r="F2701" t="s">
        <v>479</v>
      </c>
      <c r="G2701" t="s">
        <v>103</v>
      </c>
      <c r="H2701" t="s">
        <v>104</v>
      </c>
      <c r="I2701">
        <v>2040</v>
      </c>
      <c r="J2701" t="s">
        <v>492</v>
      </c>
      <c r="K2701" t="s">
        <v>106</v>
      </c>
      <c r="L2701" t="s">
        <v>3086</v>
      </c>
      <c r="M2701" t="s">
        <v>3111</v>
      </c>
      <c r="N2701">
        <v>1</v>
      </c>
      <c r="O2701">
        <v>2040</v>
      </c>
      <c r="P2701">
        <v>1649.1429636040691</v>
      </c>
      <c r="Q2701">
        <v>83.737016934227881</v>
      </c>
      <c r="R2701" t="s">
        <v>109</v>
      </c>
      <c r="S2701">
        <v>4.464541314248538</v>
      </c>
      <c r="T2701" t="s">
        <v>110</v>
      </c>
      <c r="U2701">
        <v>1.541766582278481</v>
      </c>
      <c r="V2701">
        <v>16294.59902963399</v>
      </c>
      <c r="W2701">
        <v>827.37588250020167</v>
      </c>
      <c r="X2701" t="s">
        <v>111</v>
      </c>
      <c r="Y2701">
        <v>10</v>
      </c>
      <c r="Z2701">
        <v>0.44</v>
      </c>
      <c r="AA2701">
        <v>31.536000000000001</v>
      </c>
    </row>
    <row r="2702" spans="1:27" hidden="1" x14ac:dyDescent="0.25">
      <c r="A2702" t="s">
        <v>98</v>
      </c>
      <c r="B2702" t="s">
        <v>1548</v>
      </c>
      <c r="D2702" t="s">
        <v>1722</v>
      </c>
      <c r="E2702" t="s">
        <v>439</v>
      </c>
      <c r="F2702" t="s">
        <v>479</v>
      </c>
      <c r="G2702" t="s">
        <v>112</v>
      </c>
      <c r="H2702" t="s">
        <v>104</v>
      </c>
      <c r="I2702">
        <v>2040</v>
      </c>
      <c r="J2702" t="s">
        <v>494</v>
      </c>
      <c r="K2702" t="s">
        <v>106</v>
      </c>
      <c r="L2702" t="s">
        <v>3086</v>
      </c>
      <c r="M2702" t="s">
        <v>3112</v>
      </c>
      <c r="N2702">
        <v>1</v>
      </c>
      <c r="O2702">
        <v>2040</v>
      </c>
      <c r="P2702">
        <v>1758.024723094816</v>
      </c>
      <c r="Q2702">
        <v>83.737016934227881</v>
      </c>
      <c r="R2702" t="s">
        <v>109</v>
      </c>
      <c r="S2702">
        <v>7.4409021904142287</v>
      </c>
      <c r="T2702" t="s">
        <v>110</v>
      </c>
      <c r="U2702">
        <v>2.5696109704641348</v>
      </c>
      <c r="V2702">
        <v>17370.421230436659</v>
      </c>
      <c r="W2702">
        <v>827.37588250020167</v>
      </c>
      <c r="X2702" t="s">
        <v>111</v>
      </c>
      <c r="Y2702">
        <v>10</v>
      </c>
      <c r="Z2702">
        <v>0.44</v>
      </c>
      <c r="AA2702">
        <v>31.536000000000001</v>
      </c>
    </row>
    <row r="2703" spans="1:27" hidden="1" x14ac:dyDescent="0.25">
      <c r="A2703" t="s">
        <v>98</v>
      </c>
      <c r="B2703" t="s">
        <v>1548</v>
      </c>
      <c r="D2703" t="s">
        <v>1722</v>
      </c>
      <c r="E2703" t="s">
        <v>439</v>
      </c>
      <c r="F2703" t="s">
        <v>479</v>
      </c>
      <c r="G2703" t="s">
        <v>112</v>
      </c>
      <c r="H2703" t="s">
        <v>104</v>
      </c>
      <c r="I2703">
        <v>2025</v>
      </c>
      <c r="J2703" t="s">
        <v>496</v>
      </c>
      <c r="K2703" t="s">
        <v>106</v>
      </c>
      <c r="L2703" t="s">
        <v>3086</v>
      </c>
      <c r="M2703" t="s">
        <v>3113</v>
      </c>
      <c r="N2703">
        <v>1</v>
      </c>
      <c r="O2703">
        <v>2025</v>
      </c>
      <c r="P2703">
        <v>1758.024723094816</v>
      </c>
      <c r="Q2703">
        <v>83.737016934227881</v>
      </c>
      <c r="R2703" t="s">
        <v>109</v>
      </c>
      <c r="S2703">
        <v>7.4409021904142287</v>
      </c>
      <c r="T2703" t="s">
        <v>110</v>
      </c>
      <c r="U2703">
        <v>2.5696109704641348</v>
      </c>
      <c r="V2703">
        <v>17370.421230436659</v>
      </c>
      <c r="W2703">
        <v>827.37588250020167</v>
      </c>
      <c r="X2703" t="s">
        <v>111</v>
      </c>
      <c r="Y2703">
        <v>10</v>
      </c>
      <c r="Z2703">
        <v>0.44</v>
      </c>
      <c r="AA2703">
        <v>31.536000000000001</v>
      </c>
    </row>
    <row r="2704" spans="1:27" hidden="1" x14ac:dyDescent="0.25">
      <c r="A2704" t="s">
        <v>498</v>
      </c>
      <c r="M2704" t="s">
        <v>498</v>
      </c>
      <c r="N2704" t="s">
        <v>498</v>
      </c>
    </row>
    <row r="2705" spans="1:27" hidden="1" x14ac:dyDescent="0.25">
      <c r="A2705" t="s">
        <v>98</v>
      </c>
      <c r="B2705" t="s">
        <v>99</v>
      </c>
      <c r="D2705" t="s">
        <v>100</v>
      </c>
      <c r="E2705" t="s">
        <v>3114</v>
      </c>
      <c r="F2705" t="s">
        <v>3115</v>
      </c>
      <c r="G2705" t="s">
        <v>103</v>
      </c>
      <c r="H2705" t="s">
        <v>104</v>
      </c>
      <c r="I2705">
        <v>2013</v>
      </c>
      <c r="J2705" t="s">
        <v>3116</v>
      </c>
      <c r="K2705" t="s">
        <v>106</v>
      </c>
      <c r="L2705" t="s">
        <v>3117</v>
      </c>
      <c r="M2705" t="s">
        <v>3118</v>
      </c>
      <c r="N2705">
        <v>1</v>
      </c>
      <c r="O2705">
        <v>2020</v>
      </c>
      <c r="P2705">
        <v>247.59861829010069</v>
      </c>
      <c r="Q2705">
        <v>2.29730676764011</v>
      </c>
      <c r="R2705" t="s">
        <v>109</v>
      </c>
      <c r="S2705">
        <v>0.7</v>
      </c>
      <c r="T2705" t="s">
        <v>110</v>
      </c>
      <c r="U2705">
        <v>1.4</v>
      </c>
      <c r="V2705">
        <v>422.42087802972782</v>
      </c>
      <c r="W2705">
        <v>3.919368971409845</v>
      </c>
      <c r="X2705" t="s">
        <v>111</v>
      </c>
      <c r="Y2705">
        <v>12</v>
      </c>
      <c r="Z2705">
        <v>0.44</v>
      </c>
      <c r="AA2705">
        <v>31.536000000000001</v>
      </c>
    </row>
    <row r="2706" spans="1:27" hidden="1" x14ac:dyDescent="0.25">
      <c r="A2706" t="s">
        <v>98</v>
      </c>
      <c r="B2706" t="s">
        <v>499</v>
      </c>
      <c r="D2706" t="s">
        <v>100</v>
      </c>
      <c r="E2706" t="s">
        <v>3114</v>
      </c>
      <c r="F2706" t="s">
        <v>3115</v>
      </c>
      <c r="G2706" t="s">
        <v>103</v>
      </c>
      <c r="H2706" t="s">
        <v>104</v>
      </c>
      <c r="I2706">
        <v>2013</v>
      </c>
      <c r="J2706" t="s">
        <v>3116</v>
      </c>
      <c r="K2706" t="s">
        <v>106</v>
      </c>
      <c r="L2706" t="s">
        <v>3119</v>
      </c>
      <c r="M2706" t="s">
        <v>3120</v>
      </c>
      <c r="N2706">
        <v>1</v>
      </c>
      <c r="O2706">
        <v>2020</v>
      </c>
      <c r="P2706">
        <v>247.59861829010069</v>
      </c>
      <c r="Q2706">
        <v>2.29730676764011</v>
      </c>
      <c r="R2706" t="s">
        <v>109</v>
      </c>
      <c r="S2706">
        <v>0.7</v>
      </c>
      <c r="T2706" t="s">
        <v>110</v>
      </c>
      <c r="U2706">
        <v>1.4</v>
      </c>
      <c r="V2706">
        <v>422.42087802972782</v>
      </c>
      <c r="W2706">
        <v>3.919368971409845</v>
      </c>
      <c r="X2706" t="s">
        <v>111</v>
      </c>
      <c r="Y2706">
        <v>12</v>
      </c>
      <c r="Z2706">
        <v>0.44</v>
      </c>
      <c r="AA2706">
        <v>31.536000000000001</v>
      </c>
    </row>
    <row r="2707" spans="1:27" hidden="1" x14ac:dyDescent="0.25">
      <c r="A2707" t="s">
        <v>98</v>
      </c>
      <c r="B2707" t="s">
        <v>674</v>
      </c>
      <c r="D2707" t="s">
        <v>100</v>
      </c>
      <c r="E2707" t="s">
        <v>3114</v>
      </c>
      <c r="F2707" t="s">
        <v>3115</v>
      </c>
      <c r="G2707" t="s">
        <v>103</v>
      </c>
      <c r="H2707" t="s">
        <v>104</v>
      </c>
      <c r="I2707">
        <v>2013</v>
      </c>
      <c r="J2707" t="s">
        <v>3116</v>
      </c>
      <c r="K2707" t="s">
        <v>106</v>
      </c>
      <c r="L2707" t="s">
        <v>3121</v>
      </c>
      <c r="M2707" t="s">
        <v>3122</v>
      </c>
      <c r="N2707">
        <v>1</v>
      </c>
      <c r="O2707">
        <v>2020</v>
      </c>
      <c r="P2707">
        <v>247.59861829010069</v>
      </c>
      <c r="Q2707">
        <v>2.29730676764011</v>
      </c>
      <c r="R2707" t="s">
        <v>109</v>
      </c>
      <c r="S2707">
        <v>0.7</v>
      </c>
      <c r="T2707" t="s">
        <v>110</v>
      </c>
      <c r="U2707">
        <v>1.4</v>
      </c>
      <c r="V2707">
        <v>422.42087802972782</v>
      </c>
      <c r="W2707">
        <v>3.919368971409845</v>
      </c>
      <c r="X2707" t="s">
        <v>111</v>
      </c>
      <c r="Y2707">
        <v>12</v>
      </c>
      <c r="Z2707">
        <v>0.44</v>
      </c>
      <c r="AA2707">
        <v>31.536000000000001</v>
      </c>
    </row>
    <row r="2708" spans="1:27" hidden="1" x14ac:dyDescent="0.25">
      <c r="A2708" t="s">
        <v>98</v>
      </c>
      <c r="B2708" t="s">
        <v>849</v>
      </c>
      <c r="D2708" t="s">
        <v>100</v>
      </c>
      <c r="E2708" t="s">
        <v>3114</v>
      </c>
      <c r="F2708" t="s">
        <v>3115</v>
      </c>
      <c r="G2708" t="s">
        <v>103</v>
      </c>
      <c r="H2708" t="s">
        <v>104</v>
      </c>
      <c r="I2708">
        <v>2013</v>
      </c>
      <c r="J2708" t="s">
        <v>3116</v>
      </c>
      <c r="K2708" t="s">
        <v>106</v>
      </c>
      <c r="L2708" t="s">
        <v>3123</v>
      </c>
      <c r="M2708" t="s">
        <v>3124</v>
      </c>
      <c r="N2708">
        <v>1</v>
      </c>
      <c r="O2708">
        <v>2020</v>
      </c>
      <c r="P2708">
        <v>247.59861829010069</v>
      </c>
      <c r="Q2708">
        <v>2.29730676764011</v>
      </c>
      <c r="R2708" t="s">
        <v>109</v>
      </c>
      <c r="S2708">
        <v>0.7</v>
      </c>
      <c r="T2708" t="s">
        <v>110</v>
      </c>
      <c r="U2708">
        <v>1.4</v>
      </c>
      <c r="V2708">
        <v>422.42087802972782</v>
      </c>
      <c r="W2708">
        <v>3.919368971409845</v>
      </c>
      <c r="X2708" t="s">
        <v>111</v>
      </c>
      <c r="Y2708">
        <v>12</v>
      </c>
      <c r="Z2708">
        <v>0.44</v>
      </c>
      <c r="AA2708">
        <v>31.536000000000001</v>
      </c>
    </row>
    <row r="2709" spans="1:27" hidden="1" x14ac:dyDescent="0.25">
      <c r="A2709" t="s">
        <v>98</v>
      </c>
      <c r="B2709" t="s">
        <v>1024</v>
      </c>
      <c r="D2709" t="s">
        <v>100</v>
      </c>
      <c r="E2709" t="s">
        <v>3114</v>
      </c>
      <c r="F2709" t="s">
        <v>3115</v>
      </c>
      <c r="G2709" t="s">
        <v>103</v>
      </c>
      <c r="H2709" t="s">
        <v>104</v>
      </c>
      <c r="I2709">
        <v>2013</v>
      </c>
      <c r="J2709" t="s">
        <v>3116</v>
      </c>
      <c r="K2709" t="s">
        <v>106</v>
      </c>
      <c r="L2709" t="s">
        <v>3125</v>
      </c>
      <c r="M2709" t="s">
        <v>3126</v>
      </c>
      <c r="N2709">
        <v>1</v>
      </c>
      <c r="O2709">
        <v>2020</v>
      </c>
      <c r="P2709">
        <v>247.59861829010069</v>
      </c>
      <c r="Q2709">
        <v>2.29730676764011</v>
      </c>
      <c r="R2709" t="s">
        <v>109</v>
      </c>
      <c r="S2709">
        <v>0.7</v>
      </c>
      <c r="T2709" t="s">
        <v>110</v>
      </c>
      <c r="U2709">
        <v>1.4</v>
      </c>
      <c r="V2709">
        <v>422.42087802972782</v>
      </c>
      <c r="W2709">
        <v>3.919368971409845</v>
      </c>
      <c r="X2709" t="s">
        <v>111</v>
      </c>
      <c r="Y2709">
        <v>12</v>
      </c>
      <c r="Z2709">
        <v>0.44</v>
      </c>
      <c r="AA2709">
        <v>31.536000000000001</v>
      </c>
    </row>
    <row r="2710" spans="1:27" hidden="1" x14ac:dyDescent="0.25">
      <c r="A2710" t="s">
        <v>98</v>
      </c>
      <c r="B2710" t="s">
        <v>1199</v>
      </c>
      <c r="D2710" t="s">
        <v>100</v>
      </c>
      <c r="E2710" t="s">
        <v>3114</v>
      </c>
      <c r="F2710" t="s">
        <v>3115</v>
      </c>
      <c r="G2710" t="s">
        <v>103</v>
      </c>
      <c r="H2710" t="s">
        <v>104</v>
      </c>
      <c r="I2710">
        <v>2013</v>
      </c>
      <c r="J2710" t="s">
        <v>3116</v>
      </c>
      <c r="K2710" t="s">
        <v>106</v>
      </c>
      <c r="L2710" t="s">
        <v>3127</v>
      </c>
      <c r="M2710" t="s">
        <v>3128</v>
      </c>
      <c r="N2710">
        <v>1</v>
      </c>
      <c r="O2710">
        <v>2020</v>
      </c>
      <c r="P2710">
        <v>247.59861829010069</v>
      </c>
      <c r="Q2710">
        <v>2.29730676764011</v>
      </c>
      <c r="R2710" t="s">
        <v>109</v>
      </c>
      <c r="S2710">
        <v>0.7</v>
      </c>
      <c r="T2710" t="s">
        <v>110</v>
      </c>
      <c r="U2710">
        <v>1.4</v>
      </c>
      <c r="V2710">
        <v>422.42087802972782</v>
      </c>
      <c r="W2710">
        <v>3.919368971409845</v>
      </c>
      <c r="X2710" t="s">
        <v>111</v>
      </c>
      <c r="Y2710">
        <v>12</v>
      </c>
      <c r="Z2710">
        <v>0.44</v>
      </c>
      <c r="AA2710">
        <v>31.536000000000001</v>
      </c>
    </row>
    <row r="2711" spans="1:27" hidden="1" x14ac:dyDescent="0.25">
      <c r="A2711" t="s">
        <v>98</v>
      </c>
      <c r="B2711" t="s">
        <v>1374</v>
      </c>
      <c r="D2711" t="s">
        <v>100</v>
      </c>
      <c r="E2711" t="s">
        <v>3114</v>
      </c>
      <c r="F2711" t="s">
        <v>3115</v>
      </c>
      <c r="G2711" t="s">
        <v>103</v>
      </c>
      <c r="H2711" t="s">
        <v>104</v>
      </c>
      <c r="I2711">
        <v>2013</v>
      </c>
      <c r="J2711" t="s">
        <v>3116</v>
      </c>
      <c r="K2711" t="s">
        <v>106</v>
      </c>
      <c r="L2711" t="s">
        <v>3129</v>
      </c>
      <c r="M2711" t="s">
        <v>3130</v>
      </c>
      <c r="N2711">
        <v>1</v>
      </c>
      <c r="O2711">
        <v>2020</v>
      </c>
      <c r="P2711">
        <v>247.59861829010069</v>
      </c>
      <c r="Q2711">
        <v>2.29730676764011</v>
      </c>
      <c r="R2711" t="s">
        <v>109</v>
      </c>
      <c r="S2711">
        <v>0.7</v>
      </c>
      <c r="T2711" t="s">
        <v>110</v>
      </c>
      <c r="U2711">
        <v>1.4</v>
      </c>
      <c r="V2711">
        <v>422.42087802972782</v>
      </c>
      <c r="W2711">
        <v>3.919368971409845</v>
      </c>
      <c r="X2711" t="s">
        <v>111</v>
      </c>
      <c r="Y2711">
        <v>12</v>
      </c>
      <c r="Z2711">
        <v>0.44</v>
      </c>
      <c r="AA2711">
        <v>31.536000000000001</v>
      </c>
    </row>
    <row r="2712" spans="1:27" hidden="1" x14ac:dyDescent="0.25">
      <c r="A2712" t="s">
        <v>98</v>
      </c>
      <c r="B2712" t="s">
        <v>1548</v>
      </c>
      <c r="D2712" t="s">
        <v>100</v>
      </c>
      <c r="E2712" t="s">
        <v>3114</v>
      </c>
      <c r="F2712" t="s">
        <v>3115</v>
      </c>
      <c r="G2712" t="s">
        <v>103</v>
      </c>
      <c r="H2712" t="s">
        <v>104</v>
      </c>
      <c r="I2712">
        <v>2013</v>
      </c>
      <c r="J2712" t="s">
        <v>3116</v>
      </c>
      <c r="K2712" t="s">
        <v>106</v>
      </c>
      <c r="L2712" t="s">
        <v>3131</v>
      </c>
      <c r="M2712" t="s">
        <v>3132</v>
      </c>
      <c r="N2712">
        <v>1</v>
      </c>
      <c r="O2712">
        <v>2020</v>
      </c>
      <c r="P2712">
        <v>247.59861829010069</v>
      </c>
      <c r="Q2712">
        <v>2.29730676764011</v>
      </c>
      <c r="R2712" t="s">
        <v>109</v>
      </c>
      <c r="S2712">
        <v>0.7</v>
      </c>
      <c r="T2712" t="s">
        <v>110</v>
      </c>
      <c r="U2712">
        <v>1.4</v>
      </c>
      <c r="V2712">
        <v>422.42087802972782</v>
      </c>
      <c r="W2712">
        <v>3.919368971409845</v>
      </c>
      <c r="X2712" t="s">
        <v>111</v>
      </c>
      <c r="Y2712">
        <v>12</v>
      </c>
      <c r="Z2712">
        <v>0.44</v>
      </c>
      <c r="AA2712">
        <v>31.536000000000001</v>
      </c>
    </row>
    <row r="2713" spans="1:27" hidden="1" x14ac:dyDescent="0.25">
      <c r="A2713" t="s">
        <v>98</v>
      </c>
      <c r="B2713" t="s">
        <v>99</v>
      </c>
      <c r="D2713" t="s">
        <v>1722</v>
      </c>
      <c r="E2713" t="s">
        <v>3114</v>
      </c>
      <c r="F2713" t="s">
        <v>3115</v>
      </c>
      <c r="G2713" t="s">
        <v>103</v>
      </c>
      <c r="H2713" t="s">
        <v>104</v>
      </c>
      <c r="I2713">
        <v>2013</v>
      </c>
      <c r="J2713" t="s">
        <v>3116</v>
      </c>
      <c r="K2713" t="s">
        <v>106</v>
      </c>
      <c r="L2713" t="s">
        <v>3133</v>
      </c>
      <c r="M2713" t="s">
        <v>3134</v>
      </c>
      <c r="N2713">
        <v>1</v>
      </c>
      <c r="O2713">
        <v>2020</v>
      </c>
      <c r="P2713">
        <v>247.59861829010069</v>
      </c>
      <c r="Q2713">
        <v>2.29730676764011</v>
      </c>
      <c r="R2713" t="s">
        <v>109</v>
      </c>
      <c r="S2713">
        <v>0.7</v>
      </c>
      <c r="T2713" t="s">
        <v>110</v>
      </c>
      <c r="U2713">
        <v>1.4</v>
      </c>
      <c r="V2713">
        <v>422.42087802972782</v>
      </c>
      <c r="W2713">
        <v>3.919368971409845</v>
      </c>
      <c r="X2713" t="s">
        <v>111</v>
      </c>
      <c r="Y2713">
        <v>12</v>
      </c>
      <c r="Z2713">
        <v>0.44</v>
      </c>
      <c r="AA2713">
        <v>31.536000000000001</v>
      </c>
    </row>
    <row r="2714" spans="1:27" hidden="1" x14ac:dyDescent="0.25">
      <c r="A2714" t="s">
        <v>98</v>
      </c>
      <c r="B2714" t="s">
        <v>499</v>
      </c>
      <c r="D2714" t="s">
        <v>1722</v>
      </c>
      <c r="E2714" t="s">
        <v>3114</v>
      </c>
      <c r="F2714" t="s">
        <v>3115</v>
      </c>
      <c r="G2714" t="s">
        <v>103</v>
      </c>
      <c r="H2714" t="s">
        <v>104</v>
      </c>
      <c r="I2714">
        <v>2013</v>
      </c>
      <c r="J2714" t="s">
        <v>3116</v>
      </c>
      <c r="K2714" t="s">
        <v>106</v>
      </c>
      <c r="L2714" t="s">
        <v>3135</v>
      </c>
      <c r="M2714" t="s">
        <v>3136</v>
      </c>
      <c r="N2714">
        <v>1</v>
      </c>
      <c r="O2714">
        <v>2020</v>
      </c>
      <c r="P2714">
        <v>247.59861829010069</v>
      </c>
      <c r="Q2714">
        <v>2.29730676764011</v>
      </c>
      <c r="R2714" t="s">
        <v>109</v>
      </c>
      <c r="S2714">
        <v>0.7</v>
      </c>
      <c r="T2714" t="s">
        <v>110</v>
      </c>
      <c r="U2714">
        <v>1.4</v>
      </c>
      <c r="V2714">
        <v>422.42087802972782</v>
      </c>
      <c r="W2714">
        <v>3.919368971409845</v>
      </c>
      <c r="X2714" t="s">
        <v>111</v>
      </c>
      <c r="Y2714">
        <v>12</v>
      </c>
      <c r="Z2714">
        <v>0.44</v>
      </c>
      <c r="AA2714">
        <v>31.536000000000001</v>
      </c>
    </row>
    <row r="2715" spans="1:27" hidden="1" x14ac:dyDescent="0.25">
      <c r="A2715" t="s">
        <v>98</v>
      </c>
      <c r="B2715" t="s">
        <v>674</v>
      </c>
      <c r="D2715" t="s">
        <v>1722</v>
      </c>
      <c r="E2715" t="s">
        <v>3114</v>
      </c>
      <c r="F2715" t="s">
        <v>3115</v>
      </c>
      <c r="G2715" t="s">
        <v>103</v>
      </c>
      <c r="H2715" t="s">
        <v>104</v>
      </c>
      <c r="I2715">
        <v>2013</v>
      </c>
      <c r="J2715" t="s">
        <v>3116</v>
      </c>
      <c r="K2715" t="s">
        <v>106</v>
      </c>
      <c r="L2715" t="s">
        <v>3137</v>
      </c>
      <c r="M2715" t="s">
        <v>3138</v>
      </c>
      <c r="N2715">
        <v>1</v>
      </c>
      <c r="O2715">
        <v>2020</v>
      </c>
      <c r="P2715">
        <v>247.59861829010069</v>
      </c>
      <c r="Q2715">
        <v>2.29730676764011</v>
      </c>
      <c r="R2715" t="s">
        <v>109</v>
      </c>
      <c r="S2715">
        <v>0.7</v>
      </c>
      <c r="T2715" t="s">
        <v>110</v>
      </c>
      <c r="U2715">
        <v>1.4</v>
      </c>
      <c r="V2715">
        <v>422.42087802972782</v>
      </c>
      <c r="W2715">
        <v>3.919368971409845</v>
      </c>
      <c r="X2715" t="s">
        <v>111</v>
      </c>
      <c r="Y2715">
        <v>12</v>
      </c>
      <c r="Z2715">
        <v>0.44</v>
      </c>
      <c r="AA2715">
        <v>31.536000000000001</v>
      </c>
    </row>
    <row r="2716" spans="1:27" hidden="1" x14ac:dyDescent="0.25">
      <c r="A2716" t="s">
        <v>98</v>
      </c>
      <c r="B2716" t="s">
        <v>849</v>
      </c>
      <c r="D2716" t="s">
        <v>1722</v>
      </c>
      <c r="E2716" t="s">
        <v>3114</v>
      </c>
      <c r="F2716" t="s">
        <v>3115</v>
      </c>
      <c r="G2716" t="s">
        <v>103</v>
      </c>
      <c r="H2716" t="s">
        <v>104</v>
      </c>
      <c r="I2716">
        <v>2013</v>
      </c>
      <c r="J2716" t="s">
        <v>3116</v>
      </c>
      <c r="K2716" t="s">
        <v>106</v>
      </c>
      <c r="L2716" t="s">
        <v>3139</v>
      </c>
      <c r="M2716" t="s">
        <v>3140</v>
      </c>
      <c r="N2716">
        <v>1</v>
      </c>
      <c r="O2716">
        <v>2020</v>
      </c>
      <c r="P2716">
        <v>247.59861829010069</v>
      </c>
      <c r="Q2716">
        <v>2.29730676764011</v>
      </c>
      <c r="R2716" t="s">
        <v>109</v>
      </c>
      <c r="S2716">
        <v>0.7</v>
      </c>
      <c r="T2716" t="s">
        <v>110</v>
      </c>
      <c r="U2716">
        <v>1.4</v>
      </c>
      <c r="V2716">
        <v>422.42087802972782</v>
      </c>
      <c r="W2716">
        <v>3.919368971409845</v>
      </c>
      <c r="X2716" t="s">
        <v>111</v>
      </c>
      <c r="Y2716">
        <v>12</v>
      </c>
      <c r="Z2716">
        <v>0.44</v>
      </c>
      <c r="AA2716">
        <v>31.536000000000001</v>
      </c>
    </row>
    <row r="2717" spans="1:27" hidden="1" x14ac:dyDescent="0.25">
      <c r="A2717" t="s">
        <v>98</v>
      </c>
      <c r="B2717" t="s">
        <v>1024</v>
      </c>
      <c r="D2717" t="s">
        <v>1722</v>
      </c>
      <c r="E2717" t="s">
        <v>3114</v>
      </c>
      <c r="F2717" t="s">
        <v>3115</v>
      </c>
      <c r="G2717" t="s">
        <v>103</v>
      </c>
      <c r="H2717" t="s">
        <v>104</v>
      </c>
      <c r="I2717">
        <v>2013</v>
      </c>
      <c r="J2717" t="s">
        <v>3116</v>
      </c>
      <c r="K2717" t="s">
        <v>106</v>
      </c>
      <c r="L2717" t="s">
        <v>3141</v>
      </c>
      <c r="M2717" t="s">
        <v>3142</v>
      </c>
      <c r="N2717">
        <v>1</v>
      </c>
      <c r="O2717">
        <v>2020</v>
      </c>
      <c r="P2717">
        <v>247.59861829010069</v>
      </c>
      <c r="Q2717">
        <v>2.29730676764011</v>
      </c>
      <c r="R2717" t="s">
        <v>109</v>
      </c>
      <c r="S2717">
        <v>0.7</v>
      </c>
      <c r="T2717" t="s">
        <v>110</v>
      </c>
      <c r="U2717">
        <v>1.4</v>
      </c>
      <c r="V2717">
        <v>422.42087802972782</v>
      </c>
      <c r="W2717">
        <v>3.919368971409845</v>
      </c>
      <c r="X2717" t="s">
        <v>111</v>
      </c>
      <c r="Y2717">
        <v>12</v>
      </c>
      <c r="Z2717">
        <v>0.44</v>
      </c>
      <c r="AA2717">
        <v>31.536000000000001</v>
      </c>
    </row>
    <row r="2718" spans="1:27" hidden="1" x14ac:dyDescent="0.25">
      <c r="A2718" t="s">
        <v>98</v>
      </c>
      <c r="B2718" t="s">
        <v>1199</v>
      </c>
      <c r="D2718" t="s">
        <v>1722</v>
      </c>
      <c r="E2718" t="s">
        <v>3114</v>
      </c>
      <c r="F2718" t="s">
        <v>3115</v>
      </c>
      <c r="G2718" t="s">
        <v>103</v>
      </c>
      <c r="H2718" t="s">
        <v>104</v>
      </c>
      <c r="I2718">
        <v>2013</v>
      </c>
      <c r="J2718" t="s">
        <v>3116</v>
      </c>
      <c r="K2718" t="s">
        <v>106</v>
      </c>
      <c r="L2718" t="s">
        <v>3143</v>
      </c>
      <c r="M2718" t="s">
        <v>3144</v>
      </c>
      <c r="N2718">
        <v>1</v>
      </c>
      <c r="O2718">
        <v>2020</v>
      </c>
      <c r="P2718">
        <v>247.59861829010069</v>
      </c>
      <c r="Q2718">
        <v>2.29730676764011</v>
      </c>
      <c r="R2718" t="s">
        <v>109</v>
      </c>
      <c r="S2718">
        <v>0.7</v>
      </c>
      <c r="T2718" t="s">
        <v>110</v>
      </c>
      <c r="U2718">
        <v>1.4</v>
      </c>
      <c r="V2718">
        <v>422.42087802972782</v>
      </c>
      <c r="W2718">
        <v>3.919368971409845</v>
      </c>
      <c r="X2718" t="s">
        <v>111</v>
      </c>
      <c r="Y2718">
        <v>12</v>
      </c>
      <c r="Z2718">
        <v>0.44</v>
      </c>
      <c r="AA2718">
        <v>31.536000000000001</v>
      </c>
    </row>
    <row r="2719" spans="1:27" hidden="1" x14ac:dyDescent="0.25">
      <c r="A2719" t="s">
        <v>98</v>
      </c>
      <c r="B2719" t="s">
        <v>1374</v>
      </c>
      <c r="D2719" t="s">
        <v>1722</v>
      </c>
      <c r="E2719" t="s">
        <v>3114</v>
      </c>
      <c r="F2719" t="s">
        <v>3115</v>
      </c>
      <c r="G2719" t="s">
        <v>103</v>
      </c>
      <c r="H2719" t="s">
        <v>104</v>
      </c>
      <c r="I2719">
        <v>2013</v>
      </c>
      <c r="J2719" t="s">
        <v>3116</v>
      </c>
      <c r="K2719" t="s">
        <v>106</v>
      </c>
      <c r="L2719" t="s">
        <v>3145</v>
      </c>
      <c r="M2719" t="s">
        <v>3146</v>
      </c>
      <c r="N2719">
        <v>1</v>
      </c>
      <c r="O2719">
        <v>2020</v>
      </c>
      <c r="P2719">
        <v>247.59861829010069</v>
      </c>
      <c r="Q2719">
        <v>2.29730676764011</v>
      </c>
      <c r="R2719" t="s">
        <v>109</v>
      </c>
      <c r="S2719">
        <v>0.7</v>
      </c>
      <c r="T2719" t="s">
        <v>110</v>
      </c>
      <c r="U2719">
        <v>1.4</v>
      </c>
      <c r="V2719">
        <v>422.42087802972782</v>
      </c>
      <c r="W2719">
        <v>3.919368971409845</v>
      </c>
      <c r="X2719" t="s">
        <v>111</v>
      </c>
      <c r="Y2719">
        <v>12</v>
      </c>
      <c r="Z2719">
        <v>0.44</v>
      </c>
      <c r="AA2719">
        <v>31.536000000000001</v>
      </c>
    </row>
    <row r="2720" spans="1:27" hidden="1" x14ac:dyDescent="0.25">
      <c r="A2720" t="s">
        <v>98</v>
      </c>
      <c r="B2720" t="s">
        <v>1548</v>
      </c>
      <c r="D2720" t="s">
        <v>1722</v>
      </c>
      <c r="E2720" t="s">
        <v>3114</v>
      </c>
      <c r="F2720" t="s">
        <v>3115</v>
      </c>
      <c r="G2720" t="s">
        <v>103</v>
      </c>
      <c r="H2720" t="s">
        <v>104</v>
      </c>
      <c r="I2720">
        <v>2013</v>
      </c>
      <c r="J2720" t="s">
        <v>3116</v>
      </c>
      <c r="K2720" t="s">
        <v>106</v>
      </c>
      <c r="L2720" t="s">
        <v>3147</v>
      </c>
      <c r="M2720" t="s">
        <v>3148</v>
      </c>
      <c r="N2720">
        <v>1</v>
      </c>
      <c r="O2720">
        <v>2020</v>
      </c>
      <c r="P2720">
        <v>247.59861829010069</v>
      </c>
      <c r="Q2720">
        <v>2.29730676764011</v>
      </c>
      <c r="R2720" t="s">
        <v>109</v>
      </c>
      <c r="S2720">
        <v>0.7</v>
      </c>
      <c r="T2720" t="s">
        <v>110</v>
      </c>
      <c r="U2720">
        <v>1.4</v>
      </c>
      <c r="V2720">
        <v>422.42087802972782</v>
      </c>
      <c r="W2720">
        <v>3.919368971409845</v>
      </c>
      <c r="X2720" t="s">
        <v>111</v>
      </c>
      <c r="Y2720">
        <v>12</v>
      </c>
      <c r="Z2720">
        <v>0.44</v>
      </c>
      <c r="AA2720">
        <v>31.536000000000001</v>
      </c>
    </row>
    <row r="2721" spans="1:27" hidden="1" x14ac:dyDescent="0.25">
      <c r="A2721" t="s">
        <v>498</v>
      </c>
      <c r="M2721" t="s">
        <v>498</v>
      </c>
      <c r="N2721" t="s">
        <v>498</v>
      </c>
    </row>
    <row r="2722" spans="1:27" hidden="1" x14ac:dyDescent="0.25">
      <c r="A2722" t="s">
        <v>98</v>
      </c>
      <c r="B2722" t="s">
        <v>99</v>
      </c>
      <c r="D2722" t="s">
        <v>100</v>
      </c>
      <c r="E2722" t="s">
        <v>3149</v>
      </c>
      <c r="G2722" t="s">
        <v>103</v>
      </c>
      <c r="H2722" t="s">
        <v>104</v>
      </c>
      <c r="I2722">
        <v>2013</v>
      </c>
      <c r="K2722" t="s">
        <v>106</v>
      </c>
      <c r="L2722" t="s">
        <v>3150</v>
      </c>
      <c r="M2722" t="s">
        <v>3151</v>
      </c>
      <c r="N2722">
        <v>1</v>
      </c>
      <c r="O2722">
        <v>2020</v>
      </c>
      <c r="U2722">
        <v>1</v>
      </c>
      <c r="V2722">
        <v>100</v>
      </c>
      <c r="W2722">
        <v>1</v>
      </c>
      <c r="X2722" t="s">
        <v>3152</v>
      </c>
      <c r="Y2722">
        <v>20</v>
      </c>
      <c r="Z2722">
        <v>0.44</v>
      </c>
      <c r="AA2722">
        <v>31.536000000000001</v>
      </c>
    </row>
    <row r="2723" spans="1:27" hidden="1" x14ac:dyDescent="0.25">
      <c r="A2723" t="s">
        <v>98</v>
      </c>
      <c r="B2723" t="s">
        <v>499</v>
      </c>
      <c r="D2723" t="s">
        <v>100</v>
      </c>
      <c r="E2723" t="s">
        <v>3149</v>
      </c>
      <c r="G2723" t="s">
        <v>103</v>
      </c>
      <c r="H2723" t="s">
        <v>104</v>
      </c>
      <c r="I2723">
        <v>2013</v>
      </c>
      <c r="K2723" t="s">
        <v>106</v>
      </c>
      <c r="L2723" t="s">
        <v>3153</v>
      </c>
      <c r="M2723" t="s">
        <v>3154</v>
      </c>
      <c r="N2723">
        <v>1</v>
      </c>
      <c r="O2723">
        <v>2020</v>
      </c>
      <c r="U2723">
        <v>1</v>
      </c>
      <c r="V2723">
        <v>100</v>
      </c>
      <c r="W2723">
        <v>1</v>
      </c>
      <c r="X2723" t="s">
        <v>3152</v>
      </c>
      <c r="Y2723">
        <v>20</v>
      </c>
      <c r="Z2723">
        <v>0.44</v>
      </c>
      <c r="AA2723">
        <v>31.536000000000001</v>
      </c>
    </row>
    <row r="2724" spans="1:27" hidden="1" x14ac:dyDescent="0.25">
      <c r="A2724" t="s">
        <v>98</v>
      </c>
      <c r="B2724" t="s">
        <v>674</v>
      </c>
      <c r="D2724" t="s">
        <v>100</v>
      </c>
      <c r="E2724" t="s">
        <v>3149</v>
      </c>
      <c r="G2724" t="s">
        <v>103</v>
      </c>
      <c r="H2724" t="s">
        <v>104</v>
      </c>
      <c r="I2724">
        <v>2013</v>
      </c>
      <c r="K2724" t="s">
        <v>106</v>
      </c>
      <c r="L2724" t="s">
        <v>3155</v>
      </c>
      <c r="M2724" t="s">
        <v>3156</v>
      </c>
      <c r="N2724">
        <v>1</v>
      </c>
      <c r="O2724">
        <v>2020</v>
      </c>
      <c r="U2724">
        <v>1</v>
      </c>
      <c r="V2724">
        <v>100</v>
      </c>
      <c r="W2724">
        <v>1</v>
      </c>
      <c r="X2724" t="s">
        <v>3152</v>
      </c>
      <c r="Y2724">
        <v>20</v>
      </c>
      <c r="Z2724">
        <v>0.44</v>
      </c>
      <c r="AA2724">
        <v>31.536000000000001</v>
      </c>
    </row>
    <row r="2725" spans="1:27" hidden="1" x14ac:dyDescent="0.25">
      <c r="A2725" t="s">
        <v>98</v>
      </c>
      <c r="B2725" t="s">
        <v>849</v>
      </c>
      <c r="D2725" t="s">
        <v>100</v>
      </c>
      <c r="E2725" t="s">
        <v>3149</v>
      </c>
      <c r="G2725" t="s">
        <v>103</v>
      </c>
      <c r="H2725" t="s">
        <v>104</v>
      </c>
      <c r="I2725">
        <v>2013</v>
      </c>
      <c r="K2725" t="s">
        <v>106</v>
      </c>
      <c r="L2725" t="s">
        <v>3157</v>
      </c>
      <c r="M2725" t="s">
        <v>3158</v>
      </c>
      <c r="N2725">
        <v>1</v>
      </c>
      <c r="O2725">
        <v>2020</v>
      </c>
      <c r="U2725">
        <v>1</v>
      </c>
      <c r="V2725">
        <v>100</v>
      </c>
      <c r="W2725">
        <v>1</v>
      </c>
      <c r="X2725" t="s">
        <v>3152</v>
      </c>
      <c r="Y2725">
        <v>20</v>
      </c>
      <c r="Z2725">
        <v>0.44</v>
      </c>
      <c r="AA2725">
        <v>31.536000000000001</v>
      </c>
    </row>
    <row r="2726" spans="1:27" hidden="1" x14ac:dyDescent="0.25">
      <c r="A2726" t="s">
        <v>98</v>
      </c>
      <c r="B2726" t="s">
        <v>1024</v>
      </c>
      <c r="D2726" t="s">
        <v>100</v>
      </c>
      <c r="E2726" t="s">
        <v>3149</v>
      </c>
      <c r="G2726" t="s">
        <v>103</v>
      </c>
      <c r="H2726" t="s">
        <v>104</v>
      </c>
      <c r="I2726">
        <v>2013</v>
      </c>
      <c r="K2726" t="s">
        <v>106</v>
      </c>
      <c r="L2726" t="s">
        <v>3159</v>
      </c>
      <c r="M2726" t="s">
        <v>3160</v>
      </c>
      <c r="N2726">
        <v>1</v>
      </c>
      <c r="O2726">
        <v>2020</v>
      </c>
      <c r="U2726">
        <v>1</v>
      </c>
      <c r="V2726">
        <v>100</v>
      </c>
      <c r="W2726">
        <v>1</v>
      </c>
      <c r="X2726" t="s">
        <v>3152</v>
      </c>
      <c r="Y2726">
        <v>20</v>
      </c>
      <c r="Z2726">
        <v>0.44</v>
      </c>
      <c r="AA2726">
        <v>31.536000000000001</v>
      </c>
    </row>
    <row r="2727" spans="1:27" hidden="1" x14ac:dyDescent="0.25">
      <c r="A2727" t="s">
        <v>98</v>
      </c>
      <c r="B2727" t="s">
        <v>1199</v>
      </c>
      <c r="D2727" t="s">
        <v>100</v>
      </c>
      <c r="E2727" t="s">
        <v>3149</v>
      </c>
      <c r="G2727" t="s">
        <v>103</v>
      </c>
      <c r="H2727" t="s">
        <v>104</v>
      </c>
      <c r="I2727">
        <v>2013</v>
      </c>
      <c r="K2727" t="s">
        <v>106</v>
      </c>
      <c r="L2727" t="s">
        <v>3161</v>
      </c>
      <c r="M2727" t="s">
        <v>3162</v>
      </c>
      <c r="N2727">
        <v>1</v>
      </c>
      <c r="O2727">
        <v>2020</v>
      </c>
      <c r="U2727">
        <v>1</v>
      </c>
      <c r="V2727">
        <v>100</v>
      </c>
      <c r="W2727">
        <v>1</v>
      </c>
      <c r="X2727" t="s">
        <v>3152</v>
      </c>
      <c r="Y2727">
        <v>20</v>
      </c>
      <c r="Z2727">
        <v>0.44</v>
      </c>
      <c r="AA2727">
        <v>31.536000000000001</v>
      </c>
    </row>
    <row r="2728" spans="1:27" hidden="1" x14ac:dyDescent="0.25">
      <c r="A2728" t="s">
        <v>98</v>
      </c>
      <c r="B2728" t="s">
        <v>1374</v>
      </c>
      <c r="D2728" t="s">
        <v>100</v>
      </c>
      <c r="E2728" t="s">
        <v>3149</v>
      </c>
      <c r="G2728" t="s">
        <v>103</v>
      </c>
      <c r="H2728" t="s">
        <v>104</v>
      </c>
      <c r="I2728">
        <v>2013</v>
      </c>
      <c r="K2728" t="s">
        <v>106</v>
      </c>
      <c r="L2728" t="s">
        <v>3163</v>
      </c>
      <c r="M2728" t="s">
        <v>3164</v>
      </c>
      <c r="N2728">
        <v>1</v>
      </c>
      <c r="O2728">
        <v>2020</v>
      </c>
      <c r="U2728">
        <v>1</v>
      </c>
      <c r="V2728">
        <v>100</v>
      </c>
      <c r="W2728">
        <v>1</v>
      </c>
      <c r="X2728" t="s">
        <v>3152</v>
      </c>
      <c r="Y2728">
        <v>20</v>
      </c>
      <c r="Z2728">
        <v>0.44</v>
      </c>
      <c r="AA2728">
        <v>31.536000000000001</v>
      </c>
    </row>
    <row r="2729" spans="1:27" hidden="1" x14ac:dyDescent="0.25">
      <c r="A2729" t="s">
        <v>98</v>
      </c>
      <c r="B2729" t="s">
        <v>1548</v>
      </c>
      <c r="D2729" t="s">
        <v>100</v>
      </c>
      <c r="E2729" t="s">
        <v>3149</v>
      </c>
      <c r="G2729" t="s">
        <v>103</v>
      </c>
      <c r="H2729" t="s">
        <v>104</v>
      </c>
      <c r="I2729">
        <v>2013</v>
      </c>
      <c r="K2729" t="s">
        <v>106</v>
      </c>
      <c r="L2729" t="s">
        <v>3165</v>
      </c>
      <c r="M2729" t="s">
        <v>3166</v>
      </c>
      <c r="N2729">
        <v>1</v>
      </c>
      <c r="O2729">
        <v>2020</v>
      </c>
      <c r="U2729">
        <v>1</v>
      </c>
      <c r="V2729">
        <v>100</v>
      </c>
      <c r="W2729">
        <v>1</v>
      </c>
      <c r="X2729" t="s">
        <v>3152</v>
      </c>
      <c r="Y2729">
        <v>20</v>
      </c>
      <c r="Z2729">
        <v>0.44</v>
      </c>
      <c r="AA2729">
        <v>31.536000000000001</v>
      </c>
    </row>
    <row r="2730" spans="1:27" hidden="1" x14ac:dyDescent="0.25">
      <c r="A2730" t="s">
        <v>98</v>
      </c>
      <c r="B2730" t="s">
        <v>99</v>
      </c>
      <c r="D2730" t="s">
        <v>1722</v>
      </c>
      <c r="E2730" t="s">
        <v>3149</v>
      </c>
      <c r="G2730" t="s">
        <v>103</v>
      </c>
      <c r="H2730" t="s">
        <v>104</v>
      </c>
      <c r="I2730">
        <v>2013</v>
      </c>
      <c r="K2730" t="s">
        <v>106</v>
      </c>
      <c r="L2730" t="s">
        <v>3167</v>
      </c>
      <c r="M2730" t="s">
        <v>3168</v>
      </c>
      <c r="N2730">
        <v>1</v>
      </c>
      <c r="O2730">
        <v>2020</v>
      </c>
      <c r="U2730">
        <v>1</v>
      </c>
      <c r="V2730">
        <v>100</v>
      </c>
      <c r="W2730">
        <v>1</v>
      </c>
      <c r="X2730" t="s">
        <v>3152</v>
      </c>
      <c r="Y2730">
        <v>20</v>
      </c>
      <c r="Z2730">
        <v>0.44</v>
      </c>
      <c r="AA2730">
        <v>31.536000000000001</v>
      </c>
    </row>
    <row r="2731" spans="1:27" hidden="1" x14ac:dyDescent="0.25">
      <c r="A2731" t="s">
        <v>98</v>
      </c>
      <c r="B2731" t="s">
        <v>499</v>
      </c>
      <c r="D2731" t="s">
        <v>1722</v>
      </c>
      <c r="E2731" t="s">
        <v>3149</v>
      </c>
      <c r="G2731" t="s">
        <v>103</v>
      </c>
      <c r="H2731" t="s">
        <v>104</v>
      </c>
      <c r="I2731">
        <v>2013</v>
      </c>
      <c r="K2731" t="s">
        <v>106</v>
      </c>
      <c r="L2731" t="s">
        <v>3169</v>
      </c>
      <c r="M2731" t="s">
        <v>3170</v>
      </c>
      <c r="N2731">
        <v>1</v>
      </c>
      <c r="O2731">
        <v>2020</v>
      </c>
      <c r="U2731">
        <v>1</v>
      </c>
      <c r="V2731">
        <v>100</v>
      </c>
      <c r="W2731">
        <v>1</v>
      </c>
      <c r="X2731" t="s">
        <v>3152</v>
      </c>
      <c r="Y2731">
        <v>20</v>
      </c>
      <c r="Z2731">
        <v>0.44</v>
      </c>
      <c r="AA2731">
        <v>31.536000000000001</v>
      </c>
    </row>
    <row r="2732" spans="1:27" hidden="1" x14ac:dyDescent="0.25">
      <c r="A2732" t="s">
        <v>98</v>
      </c>
      <c r="B2732" t="s">
        <v>674</v>
      </c>
      <c r="D2732" t="s">
        <v>1722</v>
      </c>
      <c r="E2732" t="s">
        <v>3149</v>
      </c>
      <c r="G2732" t="s">
        <v>103</v>
      </c>
      <c r="H2732" t="s">
        <v>104</v>
      </c>
      <c r="I2732">
        <v>2013</v>
      </c>
      <c r="K2732" t="s">
        <v>106</v>
      </c>
      <c r="L2732" t="s">
        <v>3171</v>
      </c>
      <c r="M2732" t="s">
        <v>3172</v>
      </c>
      <c r="N2732">
        <v>1</v>
      </c>
      <c r="O2732">
        <v>2020</v>
      </c>
      <c r="U2732">
        <v>1</v>
      </c>
      <c r="V2732">
        <v>100</v>
      </c>
      <c r="W2732">
        <v>1</v>
      </c>
      <c r="X2732" t="s">
        <v>3152</v>
      </c>
      <c r="Y2732">
        <v>20</v>
      </c>
      <c r="Z2732">
        <v>0.44</v>
      </c>
      <c r="AA2732">
        <v>31.536000000000001</v>
      </c>
    </row>
    <row r="2733" spans="1:27" hidden="1" x14ac:dyDescent="0.25">
      <c r="A2733" t="s">
        <v>98</v>
      </c>
      <c r="B2733" t="s">
        <v>849</v>
      </c>
      <c r="D2733" t="s">
        <v>1722</v>
      </c>
      <c r="E2733" t="s">
        <v>3149</v>
      </c>
      <c r="G2733" t="s">
        <v>103</v>
      </c>
      <c r="H2733" t="s">
        <v>104</v>
      </c>
      <c r="I2733">
        <v>2013</v>
      </c>
      <c r="K2733" t="s">
        <v>106</v>
      </c>
      <c r="L2733" t="s">
        <v>3173</v>
      </c>
      <c r="M2733" t="s">
        <v>3174</v>
      </c>
      <c r="N2733">
        <v>1</v>
      </c>
      <c r="O2733">
        <v>2020</v>
      </c>
      <c r="U2733">
        <v>1</v>
      </c>
      <c r="V2733">
        <v>100</v>
      </c>
      <c r="W2733">
        <v>1</v>
      </c>
      <c r="X2733" t="s">
        <v>3152</v>
      </c>
      <c r="Y2733">
        <v>20</v>
      </c>
      <c r="Z2733">
        <v>0.44</v>
      </c>
      <c r="AA2733">
        <v>31.536000000000001</v>
      </c>
    </row>
    <row r="2734" spans="1:27" hidden="1" x14ac:dyDescent="0.25">
      <c r="A2734" t="s">
        <v>98</v>
      </c>
      <c r="B2734" t="s">
        <v>1024</v>
      </c>
      <c r="D2734" t="s">
        <v>1722</v>
      </c>
      <c r="E2734" t="s">
        <v>3149</v>
      </c>
      <c r="G2734" t="s">
        <v>103</v>
      </c>
      <c r="H2734" t="s">
        <v>104</v>
      </c>
      <c r="I2734">
        <v>2013</v>
      </c>
      <c r="K2734" t="s">
        <v>106</v>
      </c>
      <c r="L2734" t="s">
        <v>3175</v>
      </c>
      <c r="M2734" t="s">
        <v>3176</v>
      </c>
      <c r="N2734">
        <v>1</v>
      </c>
      <c r="O2734">
        <v>2020</v>
      </c>
      <c r="U2734">
        <v>1</v>
      </c>
      <c r="V2734">
        <v>100</v>
      </c>
      <c r="W2734">
        <v>1</v>
      </c>
      <c r="X2734" t="s">
        <v>3152</v>
      </c>
      <c r="Y2734">
        <v>20</v>
      </c>
      <c r="Z2734">
        <v>0.44</v>
      </c>
      <c r="AA2734">
        <v>31.536000000000001</v>
      </c>
    </row>
    <row r="2735" spans="1:27" hidden="1" x14ac:dyDescent="0.25">
      <c r="A2735" t="s">
        <v>98</v>
      </c>
      <c r="B2735" t="s">
        <v>1199</v>
      </c>
      <c r="D2735" t="s">
        <v>1722</v>
      </c>
      <c r="E2735" t="s">
        <v>3149</v>
      </c>
      <c r="G2735" t="s">
        <v>103</v>
      </c>
      <c r="H2735" t="s">
        <v>104</v>
      </c>
      <c r="I2735">
        <v>2013</v>
      </c>
      <c r="K2735" t="s">
        <v>106</v>
      </c>
      <c r="L2735" t="s">
        <v>3177</v>
      </c>
      <c r="M2735" t="s">
        <v>3178</v>
      </c>
      <c r="N2735">
        <v>1</v>
      </c>
      <c r="O2735">
        <v>2020</v>
      </c>
      <c r="U2735">
        <v>1</v>
      </c>
      <c r="V2735">
        <v>100</v>
      </c>
      <c r="W2735">
        <v>1</v>
      </c>
      <c r="X2735" t="s">
        <v>3152</v>
      </c>
      <c r="Y2735">
        <v>20</v>
      </c>
      <c r="Z2735">
        <v>0.44</v>
      </c>
      <c r="AA2735">
        <v>31.536000000000001</v>
      </c>
    </row>
    <row r="2736" spans="1:27" hidden="1" x14ac:dyDescent="0.25">
      <c r="A2736" t="s">
        <v>98</v>
      </c>
      <c r="B2736" t="s">
        <v>1374</v>
      </c>
      <c r="D2736" t="s">
        <v>1722</v>
      </c>
      <c r="E2736" t="s">
        <v>3149</v>
      </c>
      <c r="G2736" t="s">
        <v>103</v>
      </c>
      <c r="H2736" t="s">
        <v>104</v>
      </c>
      <c r="I2736">
        <v>2013</v>
      </c>
      <c r="K2736" t="s">
        <v>106</v>
      </c>
      <c r="L2736" t="s">
        <v>3179</v>
      </c>
      <c r="M2736" t="s">
        <v>3180</v>
      </c>
      <c r="N2736">
        <v>1</v>
      </c>
      <c r="O2736">
        <v>2020</v>
      </c>
      <c r="U2736">
        <v>1</v>
      </c>
      <c r="V2736">
        <v>100</v>
      </c>
      <c r="W2736">
        <v>1</v>
      </c>
      <c r="X2736" t="s">
        <v>3152</v>
      </c>
      <c r="Y2736">
        <v>20</v>
      </c>
      <c r="Z2736">
        <v>0.44</v>
      </c>
      <c r="AA2736">
        <v>31.536000000000001</v>
      </c>
    </row>
    <row r="2737" spans="1:27" hidden="1" x14ac:dyDescent="0.25">
      <c r="A2737" t="s">
        <v>98</v>
      </c>
      <c r="B2737" t="s">
        <v>1548</v>
      </c>
      <c r="D2737" t="s">
        <v>1722</v>
      </c>
      <c r="E2737" t="s">
        <v>3149</v>
      </c>
      <c r="G2737" t="s">
        <v>103</v>
      </c>
      <c r="H2737" t="s">
        <v>104</v>
      </c>
      <c r="I2737">
        <v>2013</v>
      </c>
      <c r="K2737" t="s">
        <v>106</v>
      </c>
      <c r="L2737" t="s">
        <v>3181</v>
      </c>
      <c r="M2737" t="s">
        <v>3182</v>
      </c>
      <c r="N2737">
        <v>1</v>
      </c>
      <c r="O2737">
        <v>2020</v>
      </c>
      <c r="U2737">
        <v>1</v>
      </c>
      <c r="V2737">
        <v>100</v>
      </c>
      <c r="W2737">
        <v>1</v>
      </c>
      <c r="X2737" t="s">
        <v>3152</v>
      </c>
      <c r="Y2737">
        <v>20</v>
      </c>
      <c r="Z2737">
        <v>0.44</v>
      </c>
      <c r="AA2737">
        <v>31.536000000000001</v>
      </c>
    </row>
    <row r="2738" spans="1:27" hidden="1" x14ac:dyDescent="0.25">
      <c r="A2738" t="s">
        <v>98</v>
      </c>
      <c r="B2738" t="s">
        <v>99</v>
      </c>
      <c r="D2738" t="s">
        <v>100</v>
      </c>
      <c r="E2738" t="s">
        <v>3149</v>
      </c>
      <c r="G2738" t="s">
        <v>103</v>
      </c>
      <c r="H2738" t="s">
        <v>131</v>
      </c>
      <c r="I2738">
        <v>2013</v>
      </c>
      <c r="K2738" t="s">
        <v>133</v>
      </c>
      <c r="L2738" t="s">
        <v>3150</v>
      </c>
      <c r="M2738" t="s">
        <v>3183</v>
      </c>
      <c r="N2738">
        <v>1</v>
      </c>
      <c r="O2738">
        <v>2020</v>
      </c>
      <c r="U2738">
        <v>1</v>
      </c>
      <c r="V2738">
        <v>100</v>
      </c>
      <c r="W2738">
        <v>1</v>
      </c>
      <c r="X2738" t="s">
        <v>3152</v>
      </c>
      <c r="Y2738">
        <v>20</v>
      </c>
      <c r="Z2738">
        <v>0.44</v>
      </c>
      <c r="AA2738">
        <v>31.536000000000001</v>
      </c>
    </row>
    <row r="2739" spans="1:27" hidden="1" x14ac:dyDescent="0.25">
      <c r="A2739" t="s">
        <v>98</v>
      </c>
      <c r="B2739" t="s">
        <v>499</v>
      </c>
      <c r="D2739" t="s">
        <v>100</v>
      </c>
      <c r="E2739" t="s">
        <v>3149</v>
      </c>
      <c r="G2739" t="s">
        <v>103</v>
      </c>
      <c r="H2739" t="s">
        <v>131</v>
      </c>
      <c r="I2739">
        <v>2013</v>
      </c>
      <c r="K2739" t="s">
        <v>133</v>
      </c>
      <c r="L2739" t="s">
        <v>3153</v>
      </c>
      <c r="M2739" t="s">
        <v>3184</v>
      </c>
      <c r="N2739">
        <v>1</v>
      </c>
      <c r="O2739">
        <v>2020</v>
      </c>
      <c r="U2739">
        <v>1</v>
      </c>
      <c r="V2739">
        <v>100</v>
      </c>
      <c r="W2739">
        <v>1</v>
      </c>
      <c r="X2739" t="s">
        <v>3152</v>
      </c>
      <c r="Y2739">
        <v>20</v>
      </c>
      <c r="Z2739">
        <v>0.44</v>
      </c>
      <c r="AA2739">
        <v>31.536000000000001</v>
      </c>
    </row>
    <row r="2740" spans="1:27" hidden="1" x14ac:dyDescent="0.25">
      <c r="A2740" t="s">
        <v>98</v>
      </c>
      <c r="B2740" t="s">
        <v>674</v>
      </c>
      <c r="D2740" t="s">
        <v>100</v>
      </c>
      <c r="E2740" t="s">
        <v>3149</v>
      </c>
      <c r="G2740" t="s">
        <v>103</v>
      </c>
      <c r="H2740" t="s">
        <v>131</v>
      </c>
      <c r="I2740">
        <v>2013</v>
      </c>
      <c r="K2740" t="s">
        <v>133</v>
      </c>
      <c r="L2740" t="s">
        <v>3155</v>
      </c>
      <c r="M2740" t="s">
        <v>3185</v>
      </c>
      <c r="N2740">
        <v>1</v>
      </c>
      <c r="O2740">
        <v>2020</v>
      </c>
      <c r="U2740">
        <v>1</v>
      </c>
      <c r="V2740">
        <v>100</v>
      </c>
      <c r="W2740">
        <v>1</v>
      </c>
      <c r="X2740" t="s">
        <v>3152</v>
      </c>
      <c r="Y2740">
        <v>20</v>
      </c>
      <c r="Z2740">
        <v>0.44</v>
      </c>
      <c r="AA2740">
        <v>31.536000000000001</v>
      </c>
    </row>
    <row r="2741" spans="1:27" hidden="1" x14ac:dyDescent="0.25">
      <c r="A2741" t="s">
        <v>98</v>
      </c>
      <c r="B2741" t="s">
        <v>849</v>
      </c>
      <c r="D2741" t="s">
        <v>100</v>
      </c>
      <c r="E2741" t="s">
        <v>3149</v>
      </c>
      <c r="G2741" t="s">
        <v>103</v>
      </c>
      <c r="H2741" t="s">
        <v>131</v>
      </c>
      <c r="I2741">
        <v>2013</v>
      </c>
      <c r="K2741" t="s">
        <v>133</v>
      </c>
      <c r="L2741" t="s">
        <v>3157</v>
      </c>
      <c r="M2741" t="s">
        <v>3186</v>
      </c>
      <c r="N2741">
        <v>1</v>
      </c>
      <c r="O2741">
        <v>2020</v>
      </c>
      <c r="U2741">
        <v>1</v>
      </c>
      <c r="V2741">
        <v>100</v>
      </c>
      <c r="W2741">
        <v>1</v>
      </c>
      <c r="X2741" t="s">
        <v>3152</v>
      </c>
      <c r="Y2741">
        <v>20</v>
      </c>
      <c r="Z2741">
        <v>0.44</v>
      </c>
      <c r="AA2741">
        <v>31.536000000000001</v>
      </c>
    </row>
    <row r="2742" spans="1:27" hidden="1" x14ac:dyDescent="0.25">
      <c r="A2742" t="s">
        <v>98</v>
      </c>
      <c r="B2742" t="s">
        <v>1024</v>
      </c>
      <c r="D2742" t="s">
        <v>100</v>
      </c>
      <c r="E2742" t="s">
        <v>3149</v>
      </c>
      <c r="G2742" t="s">
        <v>103</v>
      </c>
      <c r="H2742" t="s">
        <v>131</v>
      </c>
      <c r="I2742">
        <v>2013</v>
      </c>
      <c r="K2742" t="s">
        <v>133</v>
      </c>
      <c r="L2742" t="s">
        <v>3159</v>
      </c>
      <c r="M2742" t="s">
        <v>3187</v>
      </c>
      <c r="N2742">
        <v>1</v>
      </c>
      <c r="O2742">
        <v>2020</v>
      </c>
      <c r="U2742">
        <v>1</v>
      </c>
      <c r="V2742">
        <v>100</v>
      </c>
      <c r="W2742">
        <v>1</v>
      </c>
      <c r="X2742" t="s">
        <v>3152</v>
      </c>
      <c r="Y2742">
        <v>20</v>
      </c>
      <c r="Z2742">
        <v>0.44</v>
      </c>
      <c r="AA2742">
        <v>31.536000000000001</v>
      </c>
    </row>
    <row r="2743" spans="1:27" hidden="1" x14ac:dyDescent="0.25">
      <c r="A2743" t="s">
        <v>98</v>
      </c>
      <c r="B2743" t="s">
        <v>1199</v>
      </c>
      <c r="D2743" t="s">
        <v>100</v>
      </c>
      <c r="E2743" t="s">
        <v>3149</v>
      </c>
      <c r="G2743" t="s">
        <v>103</v>
      </c>
      <c r="H2743" t="s">
        <v>131</v>
      </c>
      <c r="I2743">
        <v>2013</v>
      </c>
      <c r="K2743" t="s">
        <v>133</v>
      </c>
      <c r="L2743" t="s">
        <v>3161</v>
      </c>
      <c r="M2743" t="s">
        <v>3188</v>
      </c>
      <c r="N2743">
        <v>1</v>
      </c>
      <c r="O2743">
        <v>2020</v>
      </c>
      <c r="U2743">
        <v>1</v>
      </c>
      <c r="V2743">
        <v>100</v>
      </c>
      <c r="W2743">
        <v>1</v>
      </c>
      <c r="X2743" t="s">
        <v>3152</v>
      </c>
      <c r="Y2743">
        <v>20</v>
      </c>
      <c r="Z2743">
        <v>0.44</v>
      </c>
      <c r="AA2743">
        <v>31.536000000000001</v>
      </c>
    </row>
    <row r="2744" spans="1:27" hidden="1" x14ac:dyDescent="0.25">
      <c r="A2744" t="s">
        <v>98</v>
      </c>
      <c r="B2744" t="s">
        <v>1374</v>
      </c>
      <c r="D2744" t="s">
        <v>100</v>
      </c>
      <c r="E2744" t="s">
        <v>3149</v>
      </c>
      <c r="G2744" t="s">
        <v>103</v>
      </c>
      <c r="H2744" t="s">
        <v>131</v>
      </c>
      <c r="I2744">
        <v>2013</v>
      </c>
      <c r="K2744" t="s">
        <v>133</v>
      </c>
      <c r="L2744" t="s">
        <v>3163</v>
      </c>
      <c r="M2744" t="s">
        <v>3189</v>
      </c>
      <c r="N2744">
        <v>1</v>
      </c>
      <c r="O2744">
        <v>2020</v>
      </c>
      <c r="U2744">
        <v>1</v>
      </c>
      <c r="V2744">
        <v>100</v>
      </c>
      <c r="W2744">
        <v>1</v>
      </c>
      <c r="X2744" t="s">
        <v>3152</v>
      </c>
      <c r="Y2744">
        <v>20</v>
      </c>
      <c r="Z2744">
        <v>0.44</v>
      </c>
      <c r="AA2744">
        <v>31.536000000000001</v>
      </c>
    </row>
    <row r="2745" spans="1:27" hidden="1" x14ac:dyDescent="0.25">
      <c r="A2745" t="s">
        <v>98</v>
      </c>
      <c r="B2745" t="s">
        <v>1548</v>
      </c>
      <c r="D2745" t="s">
        <v>100</v>
      </c>
      <c r="E2745" t="s">
        <v>3149</v>
      </c>
      <c r="G2745" t="s">
        <v>103</v>
      </c>
      <c r="H2745" t="s">
        <v>131</v>
      </c>
      <c r="I2745">
        <v>2013</v>
      </c>
      <c r="K2745" t="s">
        <v>133</v>
      </c>
      <c r="L2745" t="s">
        <v>3165</v>
      </c>
      <c r="M2745" t="s">
        <v>3190</v>
      </c>
      <c r="N2745">
        <v>1</v>
      </c>
      <c r="O2745">
        <v>2020</v>
      </c>
      <c r="U2745">
        <v>1</v>
      </c>
      <c r="V2745">
        <v>100</v>
      </c>
      <c r="W2745">
        <v>1</v>
      </c>
      <c r="X2745" t="s">
        <v>3152</v>
      </c>
      <c r="Y2745">
        <v>20</v>
      </c>
      <c r="Z2745">
        <v>0.44</v>
      </c>
      <c r="AA2745">
        <v>31.536000000000001</v>
      </c>
    </row>
    <row r="2746" spans="1:27" hidden="1" x14ac:dyDescent="0.25">
      <c r="A2746" t="s">
        <v>98</v>
      </c>
      <c r="B2746" t="s">
        <v>99</v>
      </c>
      <c r="D2746" t="s">
        <v>1722</v>
      </c>
      <c r="E2746" t="s">
        <v>3149</v>
      </c>
      <c r="G2746" t="s">
        <v>103</v>
      </c>
      <c r="H2746" t="s">
        <v>131</v>
      </c>
      <c r="I2746">
        <v>2013</v>
      </c>
      <c r="K2746" t="s">
        <v>133</v>
      </c>
      <c r="L2746" t="s">
        <v>3167</v>
      </c>
      <c r="M2746" t="s">
        <v>3191</v>
      </c>
      <c r="N2746">
        <v>1</v>
      </c>
      <c r="O2746">
        <v>2020</v>
      </c>
      <c r="U2746">
        <v>1</v>
      </c>
      <c r="V2746">
        <v>100</v>
      </c>
      <c r="W2746">
        <v>1</v>
      </c>
      <c r="X2746" t="s">
        <v>3152</v>
      </c>
      <c r="Y2746">
        <v>20</v>
      </c>
      <c r="Z2746">
        <v>0.44</v>
      </c>
      <c r="AA2746">
        <v>31.536000000000001</v>
      </c>
    </row>
    <row r="2747" spans="1:27" hidden="1" x14ac:dyDescent="0.25">
      <c r="A2747" t="s">
        <v>98</v>
      </c>
      <c r="B2747" t="s">
        <v>499</v>
      </c>
      <c r="D2747" t="s">
        <v>1722</v>
      </c>
      <c r="E2747" t="s">
        <v>3149</v>
      </c>
      <c r="G2747" t="s">
        <v>103</v>
      </c>
      <c r="H2747" t="s">
        <v>131</v>
      </c>
      <c r="I2747">
        <v>2013</v>
      </c>
      <c r="K2747" t="s">
        <v>133</v>
      </c>
      <c r="L2747" t="s">
        <v>3169</v>
      </c>
      <c r="M2747" t="s">
        <v>3192</v>
      </c>
      <c r="N2747">
        <v>1</v>
      </c>
      <c r="O2747">
        <v>2020</v>
      </c>
      <c r="U2747">
        <v>1</v>
      </c>
      <c r="V2747">
        <v>100</v>
      </c>
      <c r="W2747">
        <v>1</v>
      </c>
      <c r="X2747" t="s">
        <v>3152</v>
      </c>
      <c r="Y2747">
        <v>20</v>
      </c>
      <c r="Z2747">
        <v>0.44</v>
      </c>
      <c r="AA2747">
        <v>31.536000000000001</v>
      </c>
    </row>
    <row r="2748" spans="1:27" hidden="1" x14ac:dyDescent="0.25">
      <c r="A2748" t="s">
        <v>98</v>
      </c>
      <c r="B2748" t="s">
        <v>674</v>
      </c>
      <c r="D2748" t="s">
        <v>1722</v>
      </c>
      <c r="E2748" t="s">
        <v>3149</v>
      </c>
      <c r="G2748" t="s">
        <v>103</v>
      </c>
      <c r="H2748" t="s">
        <v>131</v>
      </c>
      <c r="I2748">
        <v>2013</v>
      </c>
      <c r="K2748" t="s">
        <v>133</v>
      </c>
      <c r="L2748" t="s">
        <v>3171</v>
      </c>
      <c r="M2748" t="s">
        <v>3193</v>
      </c>
      <c r="N2748">
        <v>1</v>
      </c>
      <c r="O2748">
        <v>2020</v>
      </c>
      <c r="U2748">
        <v>1</v>
      </c>
      <c r="V2748">
        <v>100</v>
      </c>
      <c r="W2748">
        <v>1</v>
      </c>
      <c r="X2748" t="s">
        <v>3152</v>
      </c>
      <c r="Y2748">
        <v>20</v>
      </c>
      <c r="Z2748">
        <v>0.44</v>
      </c>
      <c r="AA2748">
        <v>31.536000000000001</v>
      </c>
    </row>
    <row r="2749" spans="1:27" hidden="1" x14ac:dyDescent="0.25">
      <c r="A2749" t="s">
        <v>98</v>
      </c>
      <c r="B2749" t="s">
        <v>849</v>
      </c>
      <c r="D2749" t="s">
        <v>1722</v>
      </c>
      <c r="E2749" t="s">
        <v>3149</v>
      </c>
      <c r="G2749" t="s">
        <v>103</v>
      </c>
      <c r="H2749" t="s">
        <v>131</v>
      </c>
      <c r="I2749">
        <v>2013</v>
      </c>
      <c r="K2749" t="s">
        <v>133</v>
      </c>
      <c r="L2749" t="s">
        <v>3173</v>
      </c>
      <c r="M2749" t="s">
        <v>3194</v>
      </c>
      <c r="N2749">
        <v>1</v>
      </c>
      <c r="O2749">
        <v>2020</v>
      </c>
      <c r="U2749">
        <v>1</v>
      </c>
      <c r="V2749">
        <v>100</v>
      </c>
      <c r="W2749">
        <v>1</v>
      </c>
      <c r="X2749" t="s">
        <v>3152</v>
      </c>
      <c r="Y2749">
        <v>20</v>
      </c>
      <c r="Z2749">
        <v>0.44</v>
      </c>
      <c r="AA2749">
        <v>31.536000000000001</v>
      </c>
    </row>
    <row r="2750" spans="1:27" hidden="1" x14ac:dyDescent="0.25">
      <c r="A2750" t="s">
        <v>98</v>
      </c>
      <c r="B2750" t="s">
        <v>1024</v>
      </c>
      <c r="D2750" t="s">
        <v>1722</v>
      </c>
      <c r="E2750" t="s">
        <v>3149</v>
      </c>
      <c r="G2750" t="s">
        <v>103</v>
      </c>
      <c r="H2750" t="s">
        <v>131</v>
      </c>
      <c r="I2750">
        <v>2013</v>
      </c>
      <c r="K2750" t="s">
        <v>133</v>
      </c>
      <c r="L2750" t="s">
        <v>3175</v>
      </c>
      <c r="M2750" t="s">
        <v>3195</v>
      </c>
      <c r="N2750">
        <v>1</v>
      </c>
      <c r="O2750">
        <v>2020</v>
      </c>
      <c r="U2750">
        <v>1</v>
      </c>
      <c r="V2750">
        <v>100</v>
      </c>
      <c r="W2750">
        <v>1</v>
      </c>
      <c r="X2750" t="s">
        <v>3152</v>
      </c>
      <c r="Y2750">
        <v>20</v>
      </c>
      <c r="Z2750">
        <v>0.44</v>
      </c>
      <c r="AA2750">
        <v>31.536000000000001</v>
      </c>
    </row>
    <row r="2751" spans="1:27" hidden="1" x14ac:dyDescent="0.25">
      <c r="A2751" t="s">
        <v>98</v>
      </c>
      <c r="B2751" t="s">
        <v>1199</v>
      </c>
      <c r="D2751" t="s">
        <v>1722</v>
      </c>
      <c r="E2751" t="s">
        <v>3149</v>
      </c>
      <c r="G2751" t="s">
        <v>103</v>
      </c>
      <c r="H2751" t="s">
        <v>131</v>
      </c>
      <c r="I2751">
        <v>2013</v>
      </c>
      <c r="K2751" t="s">
        <v>133</v>
      </c>
      <c r="L2751" t="s">
        <v>3177</v>
      </c>
      <c r="M2751" t="s">
        <v>3196</v>
      </c>
      <c r="N2751">
        <v>1</v>
      </c>
      <c r="O2751">
        <v>2020</v>
      </c>
      <c r="U2751">
        <v>1</v>
      </c>
      <c r="V2751">
        <v>100</v>
      </c>
      <c r="W2751">
        <v>1</v>
      </c>
      <c r="X2751" t="s">
        <v>3152</v>
      </c>
      <c r="Y2751">
        <v>20</v>
      </c>
      <c r="Z2751">
        <v>0.44</v>
      </c>
      <c r="AA2751">
        <v>31.536000000000001</v>
      </c>
    </row>
    <row r="2752" spans="1:27" hidden="1" x14ac:dyDescent="0.25">
      <c r="A2752" t="s">
        <v>98</v>
      </c>
      <c r="B2752" t="s">
        <v>1374</v>
      </c>
      <c r="D2752" t="s">
        <v>1722</v>
      </c>
      <c r="E2752" t="s">
        <v>3149</v>
      </c>
      <c r="G2752" t="s">
        <v>103</v>
      </c>
      <c r="H2752" t="s">
        <v>131</v>
      </c>
      <c r="I2752">
        <v>2013</v>
      </c>
      <c r="K2752" t="s">
        <v>133</v>
      </c>
      <c r="L2752" t="s">
        <v>3179</v>
      </c>
      <c r="M2752" t="s">
        <v>3197</v>
      </c>
      <c r="N2752">
        <v>1</v>
      </c>
      <c r="O2752">
        <v>2020</v>
      </c>
      <c r="U2752">
        <v>1</v>
      </c>
      <c r="V2752">
        <v>100</v>
      </c>
      <c r="W2752">
        <v>1</v>
      </c>
      <c r="X2752" t="s">
        <v>3152</v>
      </c>
      <c r="Y2752">
        <v>20</v>
      </c>
      <c r="Z2752">
        <v>0.44</v>
      </c>
      <c r="AA2752">
        <v>31.536000000000001</v>
      </c>
    </row>
    <row r="2753" spans="1:27" hidden="1" x14ac:dyDescent="0.25">
      <c r="A2753" t="s">
        <v>98</v>
      </c>
      <c r="B2753" t="s">
        <v>1548</v>
      </c>
      <c r="D2753" t="s">
        <v>1722</v>
      </c>
      <c r="E2753" t="s">
        <v>3149</v>
      </c>
      <c r="G2753" t="s">
        <v>103</v>
      </c>
      <c r="H2753" t="s">
        <v>131</v>
      </c>
      <c r="I2753">
        <v>2013</v>
      </c>
      <c r="K2753" t="s">
        <v>133</v>
      </c>
      <c r="L2753" t="s">
        <v>3181</v>
      </c>
      <c r="M2753" t="s">
        <v>3198</v>
      </c>
      <c r="N2753">
        <v>1</v>
      </c>
      <c r="O2753">
        <v>2020</v>
      </c>
      <c r="U2753">
        <v>1</v>
      </c>
      <c r="V2753">
        <v>100</v>
      </c>
      <c r="W2753">
        <v>1</v>
      </c>
      <c r="X2753" t="s">
        <v>3152</v>
      </c>
      <c r="Y2753">
        <v>20</v>
      </c>
      <c r="Z2753">
        <v>0.44</v>
      </c>
      <c r="AA2753">
        <v>31.536000000000001</v>
      </c>
    </row>
    <row r="2754" spans="1:27" hidden="1" x14ac:dyDescent="0.25">
      <c r="A2754" t="s">
        <v>498</v>
      </c>
      <c r="M2754" t="s">
        <v>498</v>
      </c>
      <c r="N2754" t="s">
        <v>498</v>
      </c>
    </row>
    <row r="2755" spans="1:27" x14ac:dyDescent="0.25">
      <c r="A2755" t="s">
        <v>98</v>
      </c>
      <c r="B2755" t="s">
        <v>99</v>
      </c>
      <c r="D2755" t="s">
        <v>100</v>
      </c>
      <c r="E2755" t="s">
        <v>226</v>
      </c>
      <c r="G2755" t="s">
        <v>103</v>
      </c>
      <c r="H2755" t="s">
        <v>131</v>
      </c>
      <c r="I2755">
        <v>2013</v>
      </c>
      <c r="J2755" t="s">
        <v>3199</v>
      </c>
      <c r="K2755" t="s">
        <v>133</v>
      </c>
      <c r="L2755" t="s">
        <v>230</v>
      </c>
      <c r="M2755" t="s">
        <v>3200</v>
      </c>
      <c r="N2755">
        <v>1</v>
      </c>
      <c r="O2755">
        <v>2020</v>
      </c>
      <c r="P2755">
        <v>32.199778001859627</v>
      </c>
      <c r="Q2755">
        <v>2.04603082236848</v>
      </c>
      <c r="R2755" t="s">
        <v>109</v>
      </c>
      <c r="S2755">
        <v>0.81333333333333335</v>
      </c>
      <c r="T2755" t="s">
        <v>110</v>
      </c>
      <c r="U2755">
        <v>0.81333333333333335</v>
      </c>
      <c r="V2755">
        <v>109.87022940468221</v>
      </c>
      <c r="W2755">
        <v>6.9813486232635764</v>
      </c>
      <c r="X2755" t="s">
        <v>111</v>
      </c>
      <c r="Y2755">
        <v>10</v>
      </c>
      <c r="Z2755">
        <v>0.44</v>
      </c>
      <c r="AA2755">
        <v>31.536000000000001</v>
      </c>
    </row>
    <row r="2756" spans="1:27" x14ac:dyDescent="0.25">
      <c r="A2756" t="s">
        <v>98</v>
      </c>
      <c r="B2756" t="s">
        <v>499</v>
      </c>
      <c r="D2756" t="s">
        <v>100</v>
      </c>
      <c r="E2756" t="s">
        <v>226</v>
      </c>
      <c r="G2756" t="s">
        <v>103</v>
      </c>
      <c r="H2756" t="s">
        <v>131</v>
      </c>
      <c r="I2756">
        <v>2013</v>
      </c>
      <c r="J2756" t="s">
        <v>3199</v>
      </c>
      <c r="K2756" t="s">
        <v>133</v>
      </c>
      <c r="L2756" t="s">
        <v>550</v>
      </c>
      <c r="M2756" t="s">
        <v>3201</v>
      </c>
      <c r="N2756">
        <v>1</v>
      </c>
      <c r="O2756">
        <v>2020</v>
      </c>
      <c r="P2756">
        <v>32.199778001859627</v>
      </c>
      <c r="Q2756">
        <v>2.04603082236848</v>
      </c>
      <c r="R2756" t="s">
        <v>109</v>
      </c>
      <c r="S2756">
        <v>0.81333333333333335</v>
      </c>
      <c r="T2756" t="s">
        <v>110</v>
      </c>
      <c r="U2756">
        <v>0.81333333333333335</v>
      </c>
      <c r="V2756">
        <v>109.87022940468221</v>
      </c>
      <c r="W2756">
        <v>6.9813486232635764</v>
      </c>
      <c r="X2756" t="s">
        <v>111</v>
      </c>
      <c r="Y2756">
        <v>10</v>
      </c>
      <c r="Z2756">
        <v>0.44</v>
      </c>
      <c r="AA2756">
        <v>31.536000000000001</v>
      </c>
    </row>
    <row r="2757" spans="1:27" x14ac:dyDescent="0.25">
      <c r="A2757" t="s">
        <v>98</v>
      </c>
      <c r="B2757" t="s">
        <v>674</v>
      </c>
      <c r="D2757" t="s">
        <v>100</v>
      </c>
      <c r="E2757" t="s">
        <v>226</v>
      </c>
      <c r="G2757" t="s">
        <v>103</v>
      </c>
      <c r="H2757" t="s">
        <v>131</v>
      </c>
      <c r="I2757">
        <v>2013</v>
      </c>
      <c r="J2757" t="s">
        <v>3199</v>
      </c>
      <c r="K2757" t="s">
        <v>133</v>
      </c>
      <c r="L2757" t="s">
        <v>725</v>
      </c>
      <c r="M2757" t="s">
        <v>3202</v>
      </c>
      <c r="N2757">
        <v>1</v>
      </c>
      <c r="O2757">
        <v>2020</v>
      </c>
      <c r="P2757">
        <v>32.199778001859627</v>
      </c>
      <c r="Q2757">
        <v>2.04603082236848</v>
      </c>
      <c r="R2757" t="s">
        <v>109</v>
      </c>
      <c r="S2757">
        <v>0.81333333333333335</v>
      </c>
      <c r="T2757" t="s">
        <v>110</v>
      </c>
      <c r="U2757">
        <v>0.81333333333333335</v>
      </c>
      <c r="V2757">
        <v>109.87022940468221</v>
      </c>
      <c r="W2757">
        <v>6.9813486232635764</v>
      </c>
      <c r="X2757" t="s">
        <v>111</v>
      </c>
      <c r="Y2757">
        <v>10</v>
      </c>
      <c r="Z2757">
        <v>0.44</v>
      </c>
      <c r="AA2757">
        <v>31.536000000000001</v>
      </c>
    </row>
    <row r="2758" spans="1:27" x14ac:dyDescent="0.25">
      <c r="A2758" t="s">
        <v>98</v>
      </c>
      <c r="B2758" t="s">
        <v>849</v>
      </c>
      <c r="D2758" t="s">
        <v>100</v>
      </c>
      <c r="E2758" t="s">
        <v>226</v>
      </c>
      <c r="G2758" t="s">
        <v>103</v>
      </c>
      <c r="H2758" t="s">
        <v>131</v>
      </c>
      <c r="I2758">
        <v>2013</v>
      </c>
      <c r="J2758" t="s">
        <v>3199</v>
      </c>
      <c r="K2758" t="s">
        <v>133</v>
      </c>
      <c r="L2758" t="s">
        <v>900</v>
      </c>
      <c r="M2758" t="s">
        <v>3203</v>
      </c>
      <c r="N2758">
        <v>1</v>
      </c>
      <c r="O2758">
        <v>2020</v>
      </c>
      <c r="P2758">
        <v>32.199778001859627</v>
      </c>
      <c r="Q2758">
        <v>2.04603082236848</v>
      </c>
      <c r="R2758" t="s">
        <v>109</v>
      </c>
      <c r="S2758">
        <v>0.81333333333333335</v>
      </c>
      <c r="T2758" t="s">
        <v>110</v>
      </c>
      <c r="U2758">
        <v>0.81333333333333335</v>
      </c>
      <c r="V2758">
        <v>109.87022940468221</v>
      </c>
      <c r="W2758">
        <v>6.9813486232635764</v>
      </c>
      <c r="X2758" t="s">
        <v>111</v>
      </c>
      <c r="Y2758">
        <v>10</v>
      </c>
      <c r="Z2758">
        <v>0.44</v>
      </c>
      <c r="AA2758">
        <v>31.536000000000001</v>
      </c>
    </row>
    <row r="2759" spans="1:27" x14ac:dyDescent="0.25">
      <c r="A2759" t="s">
        <v>98</v>
      </c>
      <c r="B2759" t="s">
        <v>1024</v>
      </c>
      <c r="D2759" t="s">
        <v>100</v>
      </c>
      <c r="E2759" t="s">
        <v>226</v>
      </c>
      <c r="G2759" t="s">
        <v>103</v>
      </c>
      <c r="H2759" t="s">
        <v>131</v>
      </c>
      <c r="I2759">
        <v>2013</v>
      </c>
      <c r="J2759" t="s">
        <v>3199</v>
      </c>
      <c r="K2759" t="s">
        <v>133</v>
      </c>
      <c r="L2759" t="s">
        <v>1075</v>
      </c>
      <c r="M2759" t="s">
        <v>3204</v>
      </c>
      <c r="N2759">
        <v>1</v>
      </c>
      <c r="O2759">
        <v>2020</v>
      </c>
      <c r="P2759">
        <v>32.199778001859627</v>
      </c>
      <c r="Q2759">
        <v>2.04603082236848</v>
      </c>
      <c r="R2759" t="s">
        <v>109</v>
      </c>
      <c r="S2759">
        <v>0.81333333333333335</v>
      </c>
      <c r="T2759" t="s">
        <v>110</v>
      </c>
      <c r="U2759">
        <v>0.81333333333333335</v>
      </c>
      <c r="V2759">
        <v>109.87022940468221</v>
      </c>
      <c r="W2759">
        <v>6.9813486232635764</v>
      </c>
      <c r="X2759" t="s">
        <v>111</v>
      </c>
      <c r="Y2759">
        <v>10</v>
      </c>
      <c r="Z2759">
        <v>0.44</v>
      </c>
      <c r="AA2759">
        <v>31.536000000000001</v>
      </c>
    </row>
    <row r="2760" spans="1:27" x14ac:dyDescent="0.25">
      <c r="A2760" t="s">
        <v>98</v>
      </c>
      <c r="B2760" t="s">
        <v>1199</v>
      </c>
      <c r="D2760" t="s">
        <v>100</v>
      </c>
      <c r="E2760" t="s">
        <v>226</v>
      </c>
      <c r="G2760" t="s">
        <v>103</v>
      </c>
      <c r="H2760" t="s">
        <v>131</v>
      </c>
      <c r="I2760">
        <v>2013</v>
      </c>
      <c r="J2760" t="s">
        <v>3199</v>
      </c>
      <c r="K2760" t="s">
        <v>133</v>
      </c>
      <c r="L2760" t="s">
        <v>1250</v>
      </c>
      <c r="M2760" t="s">
        <v>3205</v>
      </c>
      <c r="N2760">
        <v>1</v>
      </c>
      <c r="O2760">
        <v>2020</v>
      </c>
      <c r="P2760">
        <v>32.199778001859627</v>
      </c>
      <c r="Q2760">
        <v>2.04603082236848</v>
      </c>
      <c r="R2760" t="s">
        <v>109</v>
      </c>
      <c r="S2760">
        <v>0.81333333333333335</v>
      </c>
      <c r="T2760" t="s">
        <v>110</v>
      </c>
      <c r="U2760">
        <v>0.81333333333333335</v>
      </c>
      <c r="V2760">
        <v>109.87022940468221</v>
      </c>
      <c r="W2760">
        <v>6.9813486232635764</v>
      </c>
      <c r="X2760" t="s">
        <v>111</v>
      </c>
      <c r="Y2760">
        <v>10</v>
      </c>
      <c r="Z2760">
        <v>0.44</v>
      </c>
      <c r="AA2760">
        <v>31.536000000000001</v>
      </c>
    </row>
    <row r="2761" spans="1:27" x14ac:dyDescent="0.25">
      <c r="A2761" t="s">
        <v>98</v>
      </c>
      <c r="B2761" t="s">
        <v>1374</v>
      </c>
      <c r="D2761" t="s">
        <v>100</v>
      </c>
      <c r="E2761" t="s">
        <v>226</v>
      </c>
      <c r="G2761" t="s">
        <v>103</v>
      </c>
      <c r="H2761" t="s">
        <v>131</v>
      </c>
      <c r="I2761">
        <v>2013</v>
      </c>
      <c r="J2761" t="s">
        <v>3199</v>
      </c>
      <c r="K2761" t="s">
        <v>133</v>
      </c>
      <c r="L2761" t="s">
        <v>1424</v>
      </c>
      <c r="M2761" t="s">
        <v>3206</v>
      </c>
      <c r="N2761">
        <v>1</v>
      </c>
      <c r="O2761">
        <v>2020</v>
      </c>
      <c r="P2761">
        <v>32.199778001859627</v>
      </c>
      <c r="Q2761">
        <v>2.04603082236848</v>
      </c>
      <c r="R2761" t="s">
        <v>109</v>
      </c>
      <c r="S2761">
        <v>0.81333333333333335</v>
      </c>
      <c r="T2761" t="s">
        <v>110</v>
      </c>
      <c r="U2761">
        <v>0.81333333333333335</v>
      </c>
      <c r="V2761">
        <v>109.87022940468221</v>
      </c>
      <c r="W2761">
        <v>6.9813486232635764</v>
      </c>
      <c r="X2761" t="s">
        <v>111</v>
      </c>
      <c r="Y2761">
        <v>10</v>
      </c>
      <c r="Z2761">
        <v>0.44</v>
      </c>
      <c r="AA2761">
        <v>31.536000000000001</v>
      </c>
    </row>
    <row r="2762" spans="1:27" x14ac:dyDescent="0.25">
      <c r="A2762" t="s">
        <v>98</v>
      </c>
      <c r="B2762" t="s">
        <v>1548</v>
      </c>
      <c r="D2762" t="s">
        <v>100</v>
      </c>
      <c r="E2762" t="s">
        <v>226</v>
      </c>
      <c r="G2762" t="s">
        <v>103</v>
      </c>
      <c r="H2762" t="s">
        <v>131</v>
      </c>
      <c r="I2762">
        <v>2013</v>
      </c>
      <c r="J2762" t="s">
        <v>3199</v>
      </c>
      <c r="K2762" t="s">
        <v>133</v>
      </c>
      <c r="L2762" t="s">
        <v>1598</v>
      </c>
      <c r="M2762" t="s">
        <v>3207</v>
      </c>
      <c r="N2762">
        <v>1</v>
      </c>
      <c r="O2762">
        <v>2020</v>
      </c>
      <c r="P2762">
        <v>32.199778001859627</v>
      </c>
      <c r="Q2762">
        <v>2.04603082236848</v>
      </c>
      <c r="R2762" t="s">
        <v>109</v>
      </c>
      <c r="S2762">
        <v>0.81333333333333335</v>
      </c>
      <c r="T2762" t="s">
        <v>110</v>
      </c>
      <c r="U2762">
        <v>0.81333333333333335</v>
      </c>
      <c r="V2762">
        <v>109.87022940468221</v>
      </c>
      <c r="W2762">
        <v>6.9813486232635764</v>
      </c>
      <c r="X2762" t="s">
        <v>111</v>
      </c>
      <c r="Y2762">
        <v>10</v>
      </c>
      <c r="Z2762">
        <v>0.44</v>
      </c>
      <c r="AA2762">
        <v>31.536000000000001</v>
      </c>
    </row>
    <row r="2763" spans="1:27" x14ac:dyDescent="0.25">
      <c r="A2763" t="s">
        <v>98</v>
      </c>
      <c r="B2763" t="s">
        <v>99</v>
      </c>
      <c r="D2763" t="s">
        <v>1722</v>
      </c>
      <c r="E2763" t="s">
        <v>226</v>
      </c>
      <c r="G2763" t="s">
        <v>103</v>
      </c>
      <c r="H2763" t="s">
        <v>131</v>
      </c>
      <c r="I2763">
        <v>2013</v>
      </c>
      <c r="J2763" t="s">
        <v>3199</v>
      </c>
      <c r="K2763" t="s">
        <v>133</v>
      </c>
      <c r="L2763" t="s">
        <v>1773</v>
      </c>
      <c r="M2763" t="s">
        <v>3208</v>
      </c>
      <c r="N2763">
        <v>1</v>
      </c>
      <c r="O2763">
        <v>2020</v>
      </c>
      <c r="P2763">
        <v>32.199778001859627</v>
      </c>
      <c r="Q2763">
        <v>2.04603082236848</v>
      </c>
      <c r="R2763" t="s">
        <v>109</v>
      </c>
      <c r="S2763">
        <v>0.81333333333333335</v>
      </c>
      <c r="T2763" t="s">
        <v>110</v>
      </c>
      <c r="U2763">
        <v>0.81333333333333335</v>
      </c>
      <c r="V2763">
        <v>109.87022940468221</v>
      </c>
      <c r="W2763">
        <v>6.9813486232635764</v>
      </c>
      <c r="X2763" t="s">
        <v>111</v>
      </c>
      <c r="Y2763">
        <v>10</v>
      </c>
      <c r="Z2763">
        <v>0.44</v>
      </c>
      <c r="AA2763">
        <v>31.536000000000001</v>
      </c>
    </row>
    <row r="2764" spans="1:27" x14ac:dyDescent="0.25">
      <c r="A2764" t="s">
        <v>98</v>
      </c>
      <c r="B2764" t="s">
        <v>499</v>
      </c>
      <c r="D2764" t="s">
        <v>1722</v>
      </c>
      <c r="E2764" t="s">
        <v>226</v>
      </c>
      <c r="G2764" t="s">
        <v>103</v>
      </c>
      <c r="H2764" t="s">
        <v>131</v>
      </c>
      <c r="I2764">
        <v>2013</v>
      </c>
      <c r="J2764" t="s">
        <v>3199</v>
      </c>
      <c r="K2764" t="s">
        <v>133</v>
      </c>
      <c r="L2764" t="s">
        <v>1948</v>
      </c>
      <c r="M2764" t="s">
        <v>3209</v>
      </c>
      <c r="N2764">
        <v>1</v>
      </c>
      <c r="O2764">
        <v>2020</v>
      </c>
      <c r="P2764">
        <v>32.199778001859627</v>
      </c>
      <c r="Q2764">
        <v>2.04603082236848</v>
      </c>
      <c r="R2764" t="s">
        <v>109</v>
      </c>
      <c r="S2764">
        <v>0.81333333333333335</v>
      </c>
      <c r="T2764" t="s">
        <v>110</v>
      </c>
      <c r="U2764">
        <v>0.81333333333333335</v>
      </c>
      <c r="V2764">
        <v>109.87022940468221</v>
      </c>
      <c r="W2764">
        <v>6.9813486232635764</v>
      </c>
      <c r="X2764" t="s">
        <v>111</v>
      </c>
      <c r="Y2764">
        <v>10</v>
      </c>
      <c r="Z2764">
        <v>0.44</v>
      </c>
      <c r="AA2764">
        <v>31.536000000000001</v>
      </c>
    </row>
    <row r="2765" spans="1:27" x14ac:dyDescent="0.25">
      <c r="A2765" t="s">
        <v>98</v>
      </c>
      <c r="B2765" t="s">
        <v>674</v>
      </c>
      <c r="D2765" t="s">
        <v>1722</v>
      </c>
      <c r="E2765" t="s">
        <v>226</v>
      </c>
      <c r="G2765" t="s">
        <v>103</v>
      </c>
      <c r="H2765" t="s">
        <v>131</v>
      </c>
      <c r="I2765">
        <v>2013</v>
      </c>
      <c r="J2765" t="s">
        <v>3199</v>
      </c>
      <c r="K2765" t="s">
        <v>133</v>
      </c>
      <c r="L2765" t="s">
        <v>2122</v>
      </c>
      <c r="M2765" t="s">
        <v>3210</v>
      </c>
      <c r="N2765">
        <v>1</v>
      </c>
      <c r="O2765">
        <v>2020</v>
      </c>
      <c r="P2765">
        <v>32.199778001859627</v>
      </c>
      <c r="Q2765">
        <v>2.04603082236848</v>
      </c>
      <c r="R2765" t="s">
        <v>109</v>
      </c>
      <c r="S2765">
        <v>0.81333333333333335</v>
      </c>
      <c r="T2765" t="s">
        <v>110</v>
      </c>
      <c r="U2765">
        <v>0.81333333333333335</v>
      </c>
      <c r="V2765">
        <v>109.87022940468221</v>
      </c>
      <c r="W2765">
        <v>6.9813486232635764</v>
      </c>
      <c r="X2765" t="s">
        <v>111</v>
      </c>
      <c r="Y2765">
        <v>10</v>
      </c>
      <c r="Z2765">
        <v>0.44</v>
      </c>
      <c r="AA2765">
        <v>31.536000000000001</v>
      </c>
    </row>
    <row r="2766" spans="1:27" x14ac:dyDescent="0.25">
      <c r="A2766" t="s">
        <v>98</v>
      </c>
      <c r="B2766" t="s">
        <v>849</v>
      </c>
      <c r="D2766" t="s">
        <v>1722</v>
      </c>
      <c r="E2766" t="s">
        <v>226</v>
      </c>
      <c r="G2766" t="s">
        <v>103</v>
      </c>
      <c r="H2766" t="s">
        <v>131</v>
      </c>
      <c r="I2766">
        <v>2013</v>
      </c>
      <c r="J2766" t="s">
        <v>3199</v>
      </c>
      <c r="K2766" t="s">
        <v>133</v>
      </c>
      <c r="L2766" t="s">
        <v>2296</v>
      </c>
      <c r="M2766" t="s">
        <v>3211</v>
      </c>
      <c r="N2766">
        <v>1</v>
      </c>
      <c r="O2766">
        <v>2020</v>
      </c>
      <c r="P2766">
        <v>32.199778001859627</v>
      </c>
      <c r="Q2766">
        <v>2.04603082236848</v>
      </c>
      <c r="R2766" t="s">
        <v>109</v>
      </c>
      <c r="S2766">
        <v>0.81333333333333335</v>
      </c>
      <c r="T2766" t="s">
        <v>110</v>
      </c>
      <c r="U2766">
        <v>0.81333333333333335</v>
      </c>
      <c r="V2766">
        <v>109.87022940468221</v>
      </c>
      <c r="W2766">
        <v>6.9813486232635764</v>
      </c>
      <c r="X2766" t="s">
        <v>111</v>
      </c>
      <c r="Y2766">
        <v>10</v>
      </c>
      <c r="Z2766">
        <v>0.44</v>
      </c>
      <c r="AA2766">
        <v>31.536000000000001</v>
      </c>
    </row>
    <row r="2767" spans="1:27" x14ac:dyDescent="0.25">
      <c r="A2767" t="s">
        <v>98</v>
      </c>
      <c r="B2767" t="s">
        <v>1024</v>
      </c>
      <c r="D2767" t="s">
        <v>1722</v>
      </c>
      <c r="E2767" t="s">
        <v>226</v>
      </c>
      <c r="G2767" t="s">
        <v>103</v>
      </c>
      <c r="H2767" t="s">
        <v>131</v>
      </c>
      <c r="I2767">
        <v>2013</v>
      </c>
      <c r="J2767" t="s">
        <v>3199</v>
      </c>
      <c r="K2767" t="s">
        <v>133</v>
      </c>
      <c r="L2767" t="s">
        <v>2470</v>
      </c>
      <c r="M2767" t="s">
        <v>3212</v>
      </c>
      <c r="N2767">
        <v>1</v>
      </c>
      <c r="O2767">
        <v>2020</v>
      </c>
      <c r="P2767">
        <v>32.199778001859627</v>
      </c>
      <c r="Q2767">
        <v>2.04603082236848</v>
      </c>
      <c r="R2767" t="s">
        <v>109</v>
      </c>
      <c r="S2767">
        <v>0.81333333333333335</v>
      </c>
      <c r="T2767" t="s">
        <v>110</v>
      </c>
      <c r="U2767">
        <v>0.81333333333333335</v>
      </c>
      <c r="V2767">
        <v>109.87022940468221</v>
      </c>
      <c r="W2767">
        <v>6.9813486232635764</v>
      </c>
      <c r="X2767" t="s">
        <v>111</v>
      </c>
      <c r="Y2767">
        <v>10</v>
      </c>
      <c r="Z2767">
        <v>0.44</v>
      </c>
      <c r="AA2767">
        <v>31.536000000000001</v>
      </c>
    </row>
    <row r="2768" spans="1:27" x14ac:dyDescent="0.25">
      <c r="A2768" t="s">
        <v>98</v>
      </c>
      <c r="B2768" t="s">
        <v>1199</v>
      </c>
      <c r="D2768" t="s">
        <v>1722</v>
      </c>
      <c r="E2768" t="s">
        <v>226</v>
      </c>
      <c r="G2768" t="s">
        <v>103</v>
      </c>
      <c r="H2768" t="s">
        <v>131</v>
      </c>
      <c r="I2768">
        <v>2013</v>
      </c>
      <c r="J2768" t="s">
        <v>3199</v>
      </c>
      <c r="K2768" t="s">
        <v>133</v>
      </c>
      <c r="L2768" t="s">
        <v>2644</v>
      </c>
      <c r="M2768" t="s">
        <v>3213</v>
      </c>
      <c r="N2768">
        <v>1</v>
      </c>
      <c r="O2768">
        <v>2020</v>
      </c>
      <c r="P2768">
        <v>32.199778001859627</v>
      </c>
      <c r="Q2768">
        <v>2.04603082236848</v>
      </c>
      <c r="R2768" t="s">
        <v>109</v>
      </c>
      <c r="S2768">
        <v>0.81333333333333335</v>
      </c>
      <c r="T2768" t="s">
        <v>110</v>
      </c>
      <c r="U2768">
        <v>0.81333333333333335</v>
      </c>
      <c r="V2768">
        <v>109.87022940468221</v>
      </c>
      <c r="W2768">
        <v>6.9813486232635764</v>
      </c>
      <c r="X2768" t="s">
        <v>111</v>
      </c>
      <c r="Y2768">
        <v>10</v>
      </c>
      <c r="Z2768">
        <v>0.44</v>
      </c>
      <c r="AA2768">
        <v>31.536000000000001</v>
      </c>
    </row>
    <row r="2769" spans="1:27" x14ac:dyDescent="0.25">
      <c r="A2769" t="s">
        <v>98</v>
      </c>
      <c r="B2769" t="s">
        <v>1374</v>
      </c>
      <c r="D2769" t="s">
        <v>1722</v>
      </c>
      <c r="E2769" t="s">
        <v>226</v>
      </c>
      <c r="G2769" t="s">
        <v>103</v>
      </c>
      <c r="H2769" t="s">
        <v>131</v>
      </c>
      <c r="I2769">
        <v>2013</v>
      </c>
      <c r="J2769" t="s">
        <v>3199</v>
      </c>
      <c r="K2769" t="s">
        <v>133</v>
      </c>
      <c r="L2769" t="s">
        <v>2817</v>
      </c>
      <c r="M2769" t="s">
        <v>3214</v>
      </c>
      <c r="N2769">
        <v>1</v>
      </c>
      <c r="O2769">
        <v>2020</v>
      </c>
      <c r="P2769">
        <v>32.199778001859627</v>
      </c>
      <c r="Q2769">
        <v>2.04603082236848</v>
      </c>
      <c r="R2769" t="s">
        <v>109</v>
      </c>
      <c r="S2769">
        <v>0.81333333333333335</v>
      </c>
      <c r="T2769" t="s">
        <v>110</v>
      </c>
      <c r="U2769">
        <v>0.81333333333333335</v>
      </c>
      <c r="V2769">
        <v>109.87022940468221</v>
      </c>
      <c r="W2769">
        <v>6.9813486232635764</v>
      </c>
      <c r="X2769" t="s">
        <v>111</v>
      </c>
      <c r="Y2769">
        <v>10</v>
      </c>
      <c r="Z2769">
        <v>0.44</v>
      </c>
      <c r="AA2769">
        <v>31.536000000000001</v>
      </c>
    </row>
    <row r="2770" spans="1:27" x14ac:dyDescent="0.25">
      <c r="A2770" t="s">
        <v>98</v>
      </c>
      <c r="B2770" t="s">
        <v>1548</v>
      </c>
      <c r="D2770" t="s">
        <v>1722</v>
      </c>
      <c r="E2770" t="s">
        <v>226</v>
      </c>
      <c r="G2770" t="s">
        <v>103</v>
      </c>
      <c r="H2770" t="s">
        <v>131</v>
      </c>
      <c r="I2770">
        <v>2013</v>
      </c>
      <c r="J2770" t="s">
        <v>3199</v>
      </c>
      <c r="K2770" t="s">
        <v>133</v>
      </c>
      <c r="L2770" t="s">
        <v>2990</v>
      </c>
      <c r="M2770" t="s">
        <v>3215</v>
      </c>
      <c r="N2770">
        <v>1</v>
      </c>
      <c r="O2770">
        <v>2020</v>
      </c>
      <c r="P2770">
        <v>32.199778001859627</v>
      </c>
      <c r="Q2770">
        <v>2.04603082236848</v>
      </c>
      <c r="R2770" t="s">
        <v>109</v>
      </c>
      <c r="S2770">
        <v>0.81333333333333335</v>
      </c>
      <c r="T2770" t="s">
        <v>110</v>
      </c>
      <c r="U2770">
        <v>0.81333333333333335</v>
      </c>
      <c r="V2770">
        <v>109.87022940468221</v>
      </c>
      <c r="W2770">
        <v>6.9813486232635764</v>
      </c>
      <c r="X2770" t="s">
        <v>111</v>
      </c>
      <c r="Y2770">
        <v>10</v>
      </c>
      <c r="Z2770">
        <v>0.44</v>
      </c>
      <c r="AA2770">
        <v>31.536000000000001</v>
      </c>
    </row>
    <row r="2771" spans="1:27" x14ac:dyDescent="0.25">
      <c r="A2771" t="s">
        <v>98</v>
      </c>
      <c r="B2771" t="s">
        <v>99</v>
      </c>
      <c r="D2771" t="s">
        <v>100</v>
      </c>
      <c r="E2771" t="s">
        <v>226</v>
      </c>
      <c r="G2771" t="s">
        <v>219</v>
      </c>
      <c r="H2771" t="s">
        <v>131</v>
      </c>
      <c r="I2771">
        <v>2013</v>
      </c>
      <c r="J2771" t="s">
        <v>3216</v>
      </c>
      <c r="K2771" t="s">
        <v>133</v>
      </c>
      <c r="L2771" t="s">
        <v>230</v>
      </c>
      <c r="M2771" t="s">
        <v>3217</v>
      </c>
      <c r="N2771">
        <v>1</v>
      </c>
      <c r="O2771">
        <v>2020</v>
      </c>
      <c r="P2771">
        <v>35.729487310883442</v>
      </c>
      <c r="Q2771">
        <v>1.7700846924657849</v>
      </c>
      <c r="R2771" t="s">
        <v>109</v>
      </c>
      <c r="S2771">
        <v>0.94</v>
      </c>
      <c r="T2771" t="s">
        <v>110</v>
      </c>
      <c r="U2771">
        <v>0.94</v>
      </c>
      <c r="V2771">
        <v>121.9141003745967</v>
      </c>
      <c r="W2771">
        <v>6.0397811194754336</v>
      </c>
      <c r="X2771" t="s">
        <v>111</v>
      </c>
      <c r="Y2771">
        <v>10</v>
      </c>
      <c r="Z2771">
        <v>0.44</v>
      </c>
      <c r="AA2771">
        <v>31.536000000000001</v>
      </c>
    </row>
    <row r="2772" spans="1:27" x14ac:dyDescent="0.25">
      <c r="A2772" t="s">
        <v>98</v>
      </c>
      <c r="B2772" t="s">
        <v>499</v>
      </c>
      <c r="D2772" t="s">
        <v>100</v>
      </c>
      <c r="E2772" t="s">
        <v>226</v>
      </c>
      <c r="G2772" t="s">
        <v>219</v>
      </c>
      <c r="H2772" t="s">
        <v>131</v>
      </c>
      <c r="I2772">
        <v>2013</v>
      </c>
      <c r="J2772" t="s">
        <v>3216</v>
      </c>
      <c r="K2772" t="s">
        <v>133</v>
      </c>
      <c r="L2772" t="s">
        <v>550</v>
      </c>
      <c r="M2772" t="s">
        <v>3218</v>
      </c>
      <c r="N2772">
        <v>1</v>
      </c>
      <c r="O2772">
        <v>2020</v>
      </c>
      <c r="P2772">
        <v>35.729487310883442</v>
      </c>
      <c r="Q2772">
        <v>1.7700846924657849</v>
      </c>
      <c r="R2772" t="s">
        <v>109</v>
      </c>
      <c r="S2772">
        <v>0.94</v>
      </c>
      <c r="T2772" t="s">
        <v>110</v>
      </c>
      <c r="U2772">
        <v>0.94</v>
      </c>
      <c r="V2772">
        <v>121.9141003745967</v>
      </c>
      <c r="W2772">
        <v>6.0397811194754336</v>
      </c>
      <c r="X2772" t="s">
        <v>111</v>
      </c>
      <c r="Y2772">
        <v>10</v>
      </c>
      <c r="Z2772">
        <v>0.44</v>
      </c>
      <c r="AA2772">
        <v>31.536000000000001</v>
      </c>
    </row>
    <row r="2773" spans="1:27" x14ac:dyDescent="0.25">
      <c r="A2773" t="s">
        <v>98</v>
      </c>
      <c r="B2773" t="s">
        <v>674</v>
      </c>
      <c r="D2773" t="s">
        <v>100</v>
      </c>
      <c r="E2773" t="s">
        <v>226</v>
      </c>
      <c r="G2773" t="s">
        <v>219</v>
      </c>
      <c r="H2773" t="s">
        <v>131</v>
      </c>
      <c r="I2773">
        <v>2013</v>
      </c>
      <c r="J2773" t="s">
        <v>3216</v>
      </c>
      <c r="K2773" t="s">
        <v>133</v>
      </c>
      <c r="L2773" t="s">
        <v>725</v>
      </c>
      <c r="M2773" t="s">
        <v>3219</v>
      </c>
      <c r="N2773">
        <v>1</v>
      </c>
      <c r="O2773">
        <v>2020</v>
      </c>
      <c r="P2773">
        <v>35.729487310883442</v>
      </c>
      <c r="Q2773">
        <v>1.7700846924657849</v>
      </c>
      <c r="R2773" t="s">
        <v>109</v>
      </c>
      <c r="S2773">
        <v>0.94</v>
      </c>
      <c r="T2773" t="s">
        <v>110</v>
      </c>
      <c r="U2773">
        <v>0.94</v>
      </c>
      <c r="V2773">
        <v>121.9141003745967</v>
      </c>
      <c r="W2773">
        <v>6.0397811194754336</v>
      </c>
      <c r="X2773" t="s">
        <v>111</v>
      </c>
      <c r="Y2773">
        <v>10</v>
      </c>
      <c r="Z2773">
        <v>0.44</v>
      </c>
      <c r="AA2773">
        <v>31.536000000000001</v>
      </c>
    </row>
    <row r="2774" spans="1:27" x14ac:dyDescent="0.25">
      <c r="A2774" t="s">
        <v>98</v>
      </c>
      <c r="B2774" t="s">
        <v>849</v>
      </c>
      <c r="D2774" t="s">
        <v>100</v>
      </c>
      <c r="E2774" t="s">
        <v>226</v>
      </c>
      <c r="G2774" t="s">
        <v>219</v>
      </c>
      <c r="H2774" t="s">
        <v>131</v>
      </c>
      <c r="I2774">
        <v>2013</v>
      </c>
      <c r="J2774" t="s">
        <v>3216</v>
      </c>
      <c r="K2774" t="s">
        <v>133</v>
      </c>
      <c r="L2774" t="s">
        <v>900</v>
      </c>
      <c r="M2774" t="s">
        <v>3220</v>
      </c>
      <c r="N2774">
        <v>1</v>
      </c>
      <c r="O2774">
        <v>2020</v>
      </c>
      <c r="P2774">
        <v>35.729487310883442</v>
      </c>
      <c r="Q2774">
        <v>1.7700846924657849</v>
      </c>
      <c r="R2774" t="s">
        <v>109</v>
      </c>
      <c r="S2774">
        <v>0.94</v>
      </c>
      <c r="T2774" t="s">
        <v>110</v>
      </c>
      <c r="U2774">
        <v>0.94</v>
      </c>
      <c r="V2774">
        <v>121.9141003745967</v>
      </c>
      <c r="W2774">
        <v>6.0397811194754336</v>
      </c>
      <c r="X2774" t="s">
        <v>111</v>
      </c>
      <c r="Y2774">
        <v>10</v>
      </c>
      <c r="Z2774">
        <v>0.44</v>
      </c>
      <c r="AA2774">
        <v>31.536000000000001</v>
      </c>
    </row>
    <row r="2775" spans="1:27" x14ac:dyDescent="0.25">
      <c r="A2775" t="s">
        <v>98</v>
      </c>
      <c r="B2775" t="s">
        <v>1024</v>
      </c>
      <c r="D2775" t="s">
        <v>100</v>
      </c>
      <c r="E2775" t="s">
        <v>226</v>
      </c>
      <c r="G2775" t="s">
        <v>219</v>
      </c>
      <c r="H2775" t="s">
        <v>131</v>
      </c>
      <c r="I2775">
        <v>2013</v>
      </c>
      <c r="J2775" t="s">
        <v>3216</v>
      </c>
      <c r="K2775" t="s">
        <v>133</v>
      </c>
      <c r="L2775" t="s">
        <v>1075</v>
      </c>
      <c r="M2775" t="s">
        <v>3221</v>
      </c>
      <c r="N2775">
        <v>1</v>
      </c>
      <c r="O2775">
        <v>2020</v>
      </c>
      <c r="P2775">
        <v>35.729487310883442</v>
      </c>
      <c r="Q2775">
        <v>1.7700846924657849</v>
      </c>
      <c r="R2775" t="s">
        <v>109</v>
      </c>
      <c r="S2775">
        <v>0.94</v>
      </c>
      <c r="T2775" t="s">
        <v>110</v>
      </c>
      <c r="U2775">
        <v>0.94</v>
      </c>
      <c r="V2775">
        <v>121.9141003745967</v>
      </c>
      <c r="W2775">
        <v>6.0397811194754336</v>
      </c>
      <c r="X2775" t="s">
        <v>111</v>
      </c>
      <c r="Y2775">
        <v>10</v>
      </c>
      <c r="Z2775">
        <v>0.44</v>
      </c>
      <c r="AA2775">
        <v>31.536000000000001</v>
      </c>
    </row>
    <row r="2776" spans="1:27" x14ac:dyDescent="0.25">
      <c r="A2776" t="s">
        <v>98</v>
      </c>
      <c r="B2776" t="s">
        <v>1199</v>
      </c>
      <c r="D2776" t="s">
        <v>100</v>
      </c>
      <c r="E2776" t="s">
        <v>226</v>
      </c>
      <c r="G2776" t="s">
        <v>219</v>
      </c>
      <c r="H2776" t="s">
        <v>131</v>
      </c>
      <c r="I2776">
        <v>2013</v>
      </c>
      <c r="J2776" t="s">
        <v>3216</v>
      </c>
      <c r="K2776" t="s">
        <v>133</v>
      </c>
      <c r="L2776" t="s">
        <v>1250</v>
      </c>
      <c r="M2776" t="s">
        <v>3222</v>
      </c>
      <c r="N2776">
        <v>1</v>
      </c>
      <c r="O2776">
        <v>2020</v>
      </c>
      <c r="P2776">
        <v>35.729487310883442</v>
      </c>
      <c r="Q2776">
        <v>1.7700846924657849</v>
      </c>
      <c r="R2776" t="s">
        <v>109</v>
      </c>
      <c r="S2776">
        <v>0.94</v>
      </c>
      <c r="T2776" t="s">
        <v>110</v>
      </c>
      <c r="U2776">
        <v>0.94</v>
      </c>
      <c r="V2776">
        <v>121.9141003745967</v>
      </c>
      <c r="W2776">
        <v>6.0397811194754336</v>
      </c>
      <c r="X2776" t="s">
        <v>111</v>
      </c>
      <c r="Y2776">
        <v>10</v>
      </c>
      <c r="Z2776">
        <v>0.35682680185771348</v>
      </c>
      <c r="AA2776">
        <v>1</v>
      </c>
    </row>
    <row r="2777" spans="1:27" x14ac:dyDescent="0.25">
      <c r="A2777" t="s">
        <v>98</v>
      </c>
      <c r="B2777" t="s">
        <v>1374</v>
      </c>
      <c r="D2777" t="s">
        <v>100</v>
      </c>
      <c r="E2777" t="s">
        <v>226</v>
      </c>
      <c r="G2777" t="s">
        <v>219</v>
      </c>
      <c r="H2777" t="s">
        <v>131</v>
      </c>
      <c r="I2777">
        <v>2013</v>
      </c>
      <c r="J2777" t="s">
        <v>3216</v>
      </c>
      <c r="K2777" t="s">
        <v>133</v>
      </c>
      <c r="L2777" t="s">
        <v>1424</v>
      </c>
      <c r="M2777" t="s">
        <v>3223</v>
      </c>
      <c r="N2777">
        <v>1</v>
      </c>
      <c r="O2777">
        <v>2020</v>
      </c>
      <c r="P2777">
        <v>35.729487310883442</v>
      </c>
      <c r="Q2777">
        <v>1.7700846924657849</v>
      </c>
      <c r="R2777" t="s">
        <v>109</v>
      </c>
      <c r="S2777">
        <v>0.94</v>
      </c>
      <c r="T2777" t="s">
        <v>110</v>
      </c>
      <c r="U2777">
        <v>0.94</v>
      </c>
      <c r="V2777">
        <v>121.9141003745967</v>
      </c>
      <c r="W2777">
        <v>6.0397811194754336</v>
      </c>
      <c r="X2777" t="s">
        <v>111</v>
      </c>
      <c r="Y2777">
        <v>10</v>
      </c>
      <c r="Z2777">
        <v>0.35682680185771348</v>
      </c>
      <c r="AA2777">
        <v>1</v>
      </c>
    </row>
    <row r="2778" spans="1:27" x14ac:dyDescent="0.25">
      <c r="A2778" t="s">
        <v>98</v>
      </c>
      <c r="B2778" t="s">
        <v>1548</v>
      </c>
      <c r="D2778" t="s">
        <v>100</v>
      </c>
      <c r="E2778" t="s">
        <v>226</v>
      </c>
      <c r="G2778" t="s">
        <v>219</v>
      </c>
      <c r="H2778" t="s">
        <v>131</v>
      </c>
      <c r="I2778">
        <v>2013</v>
      </c>
      <c r="J2778" t="s">
        <v>3216</v>
      </c>
      <c r="K2778" t="s">
        <v>133</v>
      </c>
      <c r="L2778" t="s">
        <v>1598</v>
      </c>
      <c r="M2778" t="s">
        <v>3224</v>
      </c>
      <c r="N2778">
        <v>1</v>
      </c>
      <c r="O2778">
        <v>2020</v>
      </c>
      <c r="P2778">
        <v>35.729487310883442</v>
      </c>
      <c r="Q2778">
        <v>1.7700846924657849</v>
      </c>
      <c r="R2778" t="s">
        <v>109</v>
      </c>
      <c r="S2778">
        <v>0.94</v>
      </c>
      <c r="T2778" t="s">
        <v>110</v>
      </c>
      <c r="U2778">
        <v>0.94</v>
      </c>
      <c r="V2778">
        <v>121.9141003745967</v>
      </c>
      <c r="W2778">
        <v>6.0397811194754336</v>
      </c>
      <c r="X2778" t="s">
        <v>111</v>
      </c>
      <c r="Y2778">
        <v>10</v>
      </c>
      <c r="Z2778">
        <v>0.35682680185771348</v>
      </c>
      <c r="AA2778">
        <v>1</v>
      </c>
    </row>
    <row r="2779" spans="1:27" x14ac:dyDescent="0.25">
      <c r="A2779" t="s">
        <v>98</v>
      </c>
      <c r="B2779" t="s">
        <v>99</v>
      </c>
      <c r="D2779" t="s">
        <v>1722</v>
      </c>
      <c r="E2779" t="s">
        <v>226</v>
      </c>
      <c r="G2779" t="s">
        <v>219</v>
      </c>
      <c r="H2779" t="s">
        <v>131</v>
      </c>
      <c r="I2779">
        <v>2013</v>
      </c>
      <c r="J2779" t="s">
        <v>3216</v>
      </c>
      <c r="K2779" t="s">
        <v>133</v>
      </c>
      <c r="L2779" t="s">
        <v>1773</v>
      </c>
      <c r="M2779" t="s">
        <v>3225</v>
      </c>
      <c r="N2779">
        <v>1</v>
      </c>
      <c r="O2779">
        <v>2020</v>
      </c>
      <c r="P2779">
        <v>35.729487310883442</v>
      </c>
      <c r="Q2779">
        <v>1.7700846924657849</v>
      </c>
      <c r="R2779" t="s">
        <v>109</v>
      </c>
      <c r="S2779">
        <v>0.94</v>
      </c>
      <c r="T2779" t="s">
        <v>110</v>
      </c>
      <c r="U2779">
        <v>0.94</v>
      </c>
      <c r="V2779">
        <v>121.9141003745967</v>
      </c>
      <c r="W2779">
        <v>6.0397811194754336</v>
      </c>
      <c r="X2779" t="s">
        <v>111</v>
      </c>
      <c r="Y2779">
        <v>10</v>
      </c>
      <c r="Z2779">
        <v>0.35682680185771348</v>
      </c>
      <c r="AA2779">
        <v>1</v>
      </c>
    </row>
    <row r="2780" spans="1:27" x14ac:dyDescent="0.25">
      <c r="A2780" t="s">
        <v>98</v>
      </c>
      <c r="B2780" t="s">
        <v>499</v>
      </c>
      <c r="D2780" t="s">
        <v>1722</v>
      </c>
      <c r="E2780" t="s">
        <v>226</v>
      </c>
      <c r="G2780" t="s">
        <v>219</v>
      </c>
      <c r="H2780" t="s">
        <v>131</v>
      </c>
      <c r="I2780">
        <v>2013</v>
      </c>
      <c r="J2780" t="s">
        <v>3216</v>
      </c>
      <c r="K2780" t="s">
        <v>133</v>
      </c>
      <c r="L2780" t="s">
        <v>1948</v>
      </c>
      <c r="M2780" t="s">
        <v>3226</v>
      </c>
      <c r="N2780">
        <v>1</v>
      </c>
      <c r="O2780">
        <v>2020</v>
      </c>
      <c r="P2780">
        <v>35.729487310883442</v>
      </c>
      <c r="Q2780">
        <v>1.7700846924657849</v>
      </c>
      <c r="R2780" t="s">
        <v>109</v>
      </c>
      <c r="S2780">
        <v>0.94</v>
      </c>
      <c r="T2780" t="s">
        <v>110</v>
      </c>
      <c r="U2780">
        <v>0.94</v>
      </c>
      <c r="V2780">
        <v>121.9141003745967</v>
      </c>
      <c r="W2780">
        <v>6.0397811194754336</v>
      </c>
      <c r="X2780" t="s">
        <v>111</v>
      </c>
      <c r="Y2780">
        <v>10</v>
      </c>
      <c r="Z2780">
        <v>0.35682680185771348</v>
      </c>
      <c r="AA2780">
        <v>1</v>
      </c>
    </row>
    <row r="2781" spans="1:27" x14ac:dyDescent="0.25">
      <c r="A2781" t="s">
        <v>98</v>
      </c>
      <c r="B2781" t="s">
        <v>674</v>
      </c>
      <c r="D2781" t="s">
        <v>1722</v>
      </c>
      <c r="E2781" t="s">
        <v>226</v>
      </c>
      <c r="G2781" t="s">
        <v>219</v>
      </c>
      <c r="H2781" t="s">
        <v>131</v>
      </c>
      <c r="I2781">
        <v>2013</v>
      </c>
      <c r="J2781" t="s">
        <v>3216</v>
      </c>
      <c r="K2781" t="s">
        <v>133</v>
      </c>
      <c r="L2781" t="s">
        <v>2122</v>
      </c>
      <c r="M2781" t="s">
        <v>3227</v>
      </c>
      <c r="N2781">
        <v>1</v>
      </c>
      <c r="O2781">
        <v>2020</v>
      </c>
      <c r="P2781">
        <v>35.729487310883442</v>
      </c>
      <c r="Q2781">
        <v>1.7700846924657849</v>
      </c>
      <c r="R2781" t="s">
        <v>109</v>
      </c>
      <c r="S2781">
        <v>0.94</v>
      </c>
      <c r="T2781" t="s">
        <v>110</v>
      </c>
      <c r="U2781">
        <v>0.94</v>
      </c>
      <c r="V2781">
        <v>121.9141003745967</v>
      </c>
      <c r="W2781">
        <v>6.0397811194754336</v>
      </c>
      <c r="X2781" t="s">
        <v>111</v>
      </c>
      <c r="Y2781">
        <v>10</v>
      </c>
      <c r="Z2781">
        <v>0.35682680185771348</v>
      </c>
      <c r="AA2781">
        <v>1</v>
      </c>
    </row>
    <row r="2782" spans="1:27" x14ac:dyDescent="0.25">
      <c r="A2782" t="s">
        <v>98</v>
      </c>
      <c r="B2782" t="s">
        <v>849</v>
      </c>
      <c r="D2782" t="s">
        <v>1722</v>
      </c>
      <c r="E2782" t="s">
        <v>226</v>
      </c>
      <c r="G2782" t="s">
        <v>219</v>
      </c>
      <c r="H2782" t="s">
        <v>131</v>
      </c>
      <c r="I2782">
        <v>2013</v>
      </c>
      <c r="J2782" t="s">
        <v>3216</v>
      </c>
      <c r="K2782" t="s">
        <v>133</v>
      </c>
      <c r="L2782" t="s">
        <v>2296</v>
      </c>
      <c r="M2782" t="s">
        <v>3228</v>
      </c>
      <c r="N2782">
        <v>1</v>
      </c>
      <c r="O2782">
        <v>2020</v>
      </c>
      <c r="P2782">
        <v>35.729487310883442</v>
      </c>
      <c r="Q2782">
        <v>1.7700846924657849</v>
      </c>
      <c r="R2782" t="s">
        <v>109</v>
      </c>
      <c r="S2782">
        <v>0.94</v>
      </c>
      <c r="T2782" t="s">
        <v>110</v>
      </c>
      <c r="U2782">
        <v>0.94</v>
      </c>
      <c r="V2782">
        <v>121.9141003745967</v>
      </c>
      <c r="W2782">
        <v>6.0397811194754336</v>
      </c>
      <c r="X2782" t="s">
        <v>111</v>
      </c>
      <c r="Y2782">
        <v>10</v>
      </c>
      <c r="Z2782">
        <v>0.35682680185771348</v>
      </c>
      <c r="AA2782">
        <v>1</v>
      </c>
    </row>
    <row r="2783" spans="1:27" x14ac:dyDescent="0.25">
      <c r="A2783" t="s">
        <v>98</v>
      </c>
      <c r="B2783" t="s">
        <v>1024</v>
      </c>
      <c r="D2783" t="s">
        <v>1722</v>
      </c>
      <c r="E2783" t="s">
        <v>226</v>
      </c>
      <c r="G2783" t="s">
        <v>219</v>
      </c>
      <c r="H2783" t="s">
        <v>131</v>
      </c>
      <c r="I2783">
        <v>2013</v>
      </c>
      <c r="J2783" t="s">
        <v>3216</v>
      </c>
      <c r="K2783" t="s">
        <v>133</v>
      </c>
      <c r="L2783" t="s">
        <v>2470</v>
      </c>
      <c r="M2783" t="s">
        <v>3229</v>
      </c>
      <c r="N2783">
        <v>1</v>
      </c>
      <c r="O2783">
        <v>2020</v>
      </c>
      <c r="P2783">
        <v>35.729487310883442</v>
      </c>
      <c r="Q2783">
        <v>1.7700846924657849</v>
      </c>
      <c r="R2783" t="s">
        <v>109</v>
      </c>
      <c r="S2783">
        <v>0.94</v>
      </c>
      <c r="T2783" t="s">
        <v>110</v>
      </c>
      <c r="U2783">
        <v>0.94</v>
      </c>
      <c r="V2783">
        <v>121.9141003745967</v>
      </c>
      <c r="W2783">
        <v>6.0397811194754336</v>
      </c>
      <c r="X2783" t="s">
        <v>111</v>
      </c>
      <c r="Y2783">
        <v>10</v>
      </c>
      <c r="Z2783">
        <v>0.35682680185771348</v>
      </c>
      <c r="AA2783">
        <v>1</v>
      </c>
    </row>
    <row r="2784" spans="1:27" x14ac:dyDescent="0.25">
      <c r="A2784" t="s">
        <v>98</v>
      </c>
      <c r="B2784" t="s">
        <v>1199</v>
      </c>
      <c r="D2784" t="s">
        <v>1722</v>
      </c>
      <c r="E2784" t="s">
        <v>226</v>
      </c>
      <c r="G2784" t="s">
        <v>219</v>
      </c>
      <c r="H2784" t="s">
        <v>131</v>
      </c>
      <c r="I2784">
        <v>2013</v>
      </c>
      <c r="J2784" t="s">
        <v>3216</v>
      </c>
      <c r="K2784" t="s">
        <v>133</v>
      </c>
      <c r="L2784" t="s">
        <v>2644</v>
      </c>
      <c r="M2784" t="s">
        <v>3230</v>
      </c>
      <c r="N2784">
        <v>1</v>
      </c>
      <c r="O2784">
        <v>2020</v>
      </c>
      <c r="P2784">
        <v>35.729487310883442</v>
      </c>
      <c r="Q2784">
        <v>1.7700846924657849</v>
      </c>
      <c r="R2784" t="s">
        <v>109</v>
      </c>
      <c r="S2784">
        <v>0.94</v>
      </c>
      <c r="T2784" t="s">
        <v>110</v>
      </c>
      <c r="U2784">
        <v>0.94</v>
      </c>
      <c r="V2784">
        <v>121.9141003745967</v>
      </c>
      <c r="W2784">
        <v>6.0397811194754336</v>
      </c>
      <c r="X2784" t="s">
        <v>111</v>
      </c>
      <c r="Y2784">
        <v>10</v>
      </c>
      <c r="Z2784">
        <v>0.35682680185771348</v>
      </c>
      <c r="AA2784">
        <v>1</v>
      </c>
    </row>
    <row r="2785" spans="1:27" x14ac:dyDescent="0.25">
      <c r="A2785" t="s">
        <v>98</v>
      </c>
      <c r="B2785" t="s">
        <v>1374</v>
      </c>
      <c r="D2785" t="s">
        <v>1722</v>
      </c>
      <c r="E2785" t="s">
        <v>226</v>
      </c>
      <c r="G2785" t="s">
        <v>219</v>
      </c>
      <c r="H2785" t="s">
        <v>131</v>
      </c>
      <c r="I2785">
        <v>2013</v>
      </c>
      <c r="J2785" t="s">
        <v>3216</v>
      </c>
      <c r="K2785" t="s">
        <v>133</v>
      </c>
      <c r="L2785" t="s">
        <v>2817</v>
      </c>
      <c r="M2785" t="s">
        <v>3231</v>
      </c>
      <c r="N2785">
        <v>1</v>
      </c>
      <c r="O2785">
        <v>2020</v>
      </c>
      <c r="P2785">
        <v>35.729487310883442</v>
      </c>
      <c r="Q2785">
        <v>1.7700846924657849</v>
      </c>
      <c r="R2785" t="s">
        <v>109</v>
      </c>
      <c r="S2785">
        <v>0.94</v>
      </c>
      <c r="T2785" t="s">
        <v>110</v>
      </c>
      <c r="U2785">
        <v>0.94</v>
      </c>
      <c r="V2785">
        <v>121.9141003745967</v>
      </c>
      <c r="W2785">
        <v>6.0397811194754336</v>
      </c>
      <c r="X2785" t="s">
        <v>111</v>
      </c>
      <c r="Y2785">
        <v>10</v>
      </c>
      <c r="Z2785">
        <v>0.35682680185771348</v>
      </c>
      <c r="AA2785">
        <v>1</v>
      </c>
    </row>
    <row r="2786" spans="1:27" x14ac:dyDescent="0.25">
      <c r="A2786" t="s">
        <v>98</v>
      </c>
      <c r="B2786" t="s">
        <v>1548</v>
      </c>
      <c r="D2786" t="s">
        <v>1722</v>
      </c>
      <c r="E2786" t="s">
        <v>226</v>
      </c>
      <c r="G2786" t="s">
        <v>219</v>
      </c>
      <c r="H2786" t="s">
        <v>131</v>
      </c>
      <c r="I2786">
        <v>2013</v>
      </c>
      <c r="J2786" t="s">
        <v>3216</v>
      </c>
      <c r="K2786" t="s">
        <v>133</v>
      </c>
      <c r="L2786" t="s">
        <v>2990</v>
      </c>
      <c r="M2786" t="s">
        <v>3232</v>
      </c>
      <c r="N2786">
        <v>1</v>
      </c>
      <c r="O2786">
        <v>2020</v>
      </c>
      <c r="P2786">
        <v>35.729487310883442</v>
      </c>
      <c r="Q2786">
        <v>1.7700846924657849</v>
      </c>
      <c r="R2786" t="s">
        <v>109</v>
      </c>
      <c r="S2786">
        <v>0.94</v>
      </c>
      <c r="T2786" t="s">
        <v>110</v>
      </c>
      <c r="U2786">
        <v>0.94</v>
      </c>
      <c r="V2786">
        <v>121.9141003745967</v>
      </c>
      <c r="W2786">
        <v>6.0397811194754336</v>
      </c>
      <c r="X2786" t="s">
        <v>111</v>
      </c>
      <c r="Y2786">
        <v>10</v>
      </c>
      <c r="Z2786">
        <v>0.35682680185771348</v>
      </c>
      <c r="AA2786">
        <v>1</v>
      </c>
    </row>
    <row r="2787" spans="1:27" x14ac:dyDescent="0.25">
      <c r="A2787" t="s">
        <v>98</v>
      </c>
      <c r="B2787" t="s">
        <v>99</v>
      </c>
      <c r="D2787" t="s">
        <v>100</v>
      </c>
      <c r="E2787" t="s">
        <v>226</v>
      </c>
      <c r="G2787" t="s">
        <v>112</v>
      </c>
      <c r="H2787" t="s">
        <v>131</v>
      </c>
      <c r="I2787">
        <v>2013</v>
      </c>
      <c r="J2787" t="s">
        <v>3233</v>
      </c>
      <c r="K2787" t="s">
        <v>133</v>
      </c>
      <c r="L2787" t="s">
        <v>230</v>
      </c>
      <c r="M2787" t="s">
        <v>3234</v>
      </c>
      <c r="N2787">
        <v>1</v>
      </c>
      <c r="O2787">
        <v>2020</v>
      </c>
      <c r="P2787">
        <v>34.547444222199779</v>
      </c>
      <c r="Q2787">
        <v>1.6806864756745841</v>
      </c>
      <c r="R2787" t="s">
        <v>109</v>
      </c>
      <c r="S2787">
        <v>0.99</v>
      </c>
      <c r="T2787" t="s">
        <v>110</v>
      </c>
      <c r="U2787">
        <v>0.99</v>
      </c>
      <c r="V2787">
        <v>117.88080097382471</v>
      </c>
      <c r="W2787">
        <v>5.7347416689968771</v>
      </c>
      <c r="X2787" t="s">
        <v>111</v>
      </c>
      <c r="Y2787">
        <v>10</v>
      </c>
      <c r="Z2787">
        <v>0.35682680185771348</v>
      </c>
      <c r="AA2787">
        <v>1</v>
      </c>
    </row>
    <row r="2788" spans="1:27" x14ac:dyDescent="0.25">
      <c r="A2788" t="s">
        <v>98</v>
      </c>
      <c r="B2788" t="s">
        <v>499</v>
      </c>
      <c r="D2788" t="s">
        <v>100</v>
      </c>
      <c r="E2788" t="s">
        <v>226</v>
      </c>
      <c r="G2788" t="s">
        <v>112</v>
      </c>
      <c r="H2788" t="s">
        <v>131</v>
      </c>
      <c r="I2788">
        <v>2013</v>
      </c>
      <c r="J2788" t="s">
        <v>3233</v>
      </c>
      <c r="K2788" t="s">
        <v>133</v>
      </c>
      <c r="L2788" t="s">
        <v>550</v>
      </c>
      <c r="M2788" t="s">
        <v>3235</v>
      </c>
      <c r="N2788">
        <v>1</v>
      </c>
      <c r="O2788">
        <v>2020</v>
      </c>
      <c r="P2788">
        <v>34.547444222199779</v>
      </c>
      <c r="Q2788">
        <v>1.6806864756745841</v>
      </c>
      <c r="R2788" t="s">
        <v>109</v>
      </c>
      <c r="S2788">
        <v>0.99</v>
      </c>
      <c r="T2788" t="s">
        <v>110</v>
      </c>
      <c r="U2788">
        <v>0.99</v>
      </c>
      <c r="V2788">
        <v>117.88080097382471</v>
      </c>
      <c r="W2788">
        <v>5.7347416689968771</v>
      </c>
      <c r="X2788" t="s">
        <v>111</v>
      </c>
      <c r="Y2788">
        <v>10</v>
      </c>
      <c r="Z2788">
        <v>0.35682680185771348</v>
      </c>
      <c r="AA2788">
        <v>1</v>
      </c>
    </row>
    <row r="2789" spans="1:27" x14ac:dyDescent="0.25">
      <c r="A2789" t="s">
        <v>98</v>
      </c>
      <c r="B2789" t="s">
        <v>674</v>
      </c>
      <c r="D2789" t="s">
        <v>100</v>
      </c>
      <c r="E2789" t="s">
        <v>226</v>
      </c>
      <c r="G2789" t="s">
        <v>112</v>
      </c>
      <c r="H2789" t="s">
        <v>131</v>
      </c>
      <c r="I2789">
        <v>2013</v>
      </c>
      <c r="J2789" t="s">
        <v>3233</v>
      </c>
      <c r="K2789" t="s">
        <v>133</v>
      </c>
      <c r="L2789" t="s">
        <v>725</v>
      </c>
      <c r="M2789" t="s">
        <v>3236</v>
      </c>
      <c r="N2789">
        <v>1</v>
      </c>
      <c r="O2789">
        <v>2020</v>
      </c>
      <c r="P2789">
        <v>34.547444222199779</v>
      </c>
      <c r="Q2789">
        <v>1.6806864756745841</v>
      </c>
      <c r="R2789" t="s">
        <v>109</v>
      </c>
      <c r="S2789">
        <v>0.99</v>
      </c>
      <c r="T2789" t="s">
        <v>110</v>
      </c>
      <c r="U2789">
        <v>0.99</v>
      </c>
      <c r="V2789">
        <v>117.88080097382471</v>
      </c>
      <c r="W2789">
        <v>5.7347416689968771</v>
      </c>
      <c r="X2789" t="s">
        <v>111</v>
      </c>
      <c r="Y2789">
        <v>10</v>
      </c>
      <c r="Z2789">
        <v>0.35682680185771348</v>
      </c>
      <c r="AA2789">
        <v>1</v>
      </c>
    </row>
    <row r="2790" spans="1:27" x14ac:dyDescent="0.25">
      <c r="A2790" t="s">
        <v>98</v>
      </c>
      <c r="B2790" t="s">
        <v>849</v>
      </c>
      <c r="D2790" t="s">
        <v>100</v>
      </c>
      <c r="E2790" t="s">
        <v>226</v>
      </c>
      <c r="G2790" t="s">
        <v>112</v>
      </c>
      <c r="H2790" t="s">
        <v>131</v>
      </c>
      <c r="I2790">
        <v>2013</v>
      </c>
      <c r="J2790" t="s">
        <v>3233</v>
      </c>
      <c r="K2790" t="s">
        <v>133</v>
      </c>
      <c r="L2790" t="s">
        <v>900</v>
      </c>
      <c r="M2790" t="s">
        <v>3237</v>
      </c>
      <c r="N2790">
        <v>1</v>
      </c>
      <c r="O2790">
        <v>2020</v>
      </c>
      <c r="P2790">
        <v>34.547444222199779</v>
      </c>
      <c r="Q2790">
        <v>1.6806864756745841</v>
      </c>
      <c r="R2790" t="s">
        <v>109</v>
      </c>
      <c r="S2790">
        <v>0.99</v>
      </c>
      <c r="T2790" t="s">
        <v>110</v>
      </c>
      <c r="U2790">
        <v>0.99</v>
      </c>
      <c r="V2790">
        <v>117.88080097382471</v>
      </c>
      <c r="W2790">
        <v>5.7347416689968771</v>
      </c>
      <c r="X2790" t="s">
        <v>111</v>
      </c>
      <c r="Y2790">
        <v>10</v>
      </c>
      <c r="Z2790">
        <v>0.35682680185771348</v>
      </c>
      <c r="AA2790">
        <v>1</v>
      </c>
    </row>
    <row r="2791" spans="1:27" x14ac:dyDescent="0.25">
      <c r="A2791" t="s">
        <v>98</v>
      </c>
      <c r="B2791" t="s">
        <v>1024</v>
      </c>
      <c r="D2791" t="s">
        <v>100</v>
      </c>
      <c r="E2791" t="s">
        <v>226</v>
      </c>
      <c r="G2791" t="s">
        <v>112</v>
      </c>
      <c r="H2791" t="s">
        <v>131</v>
      </c>
      <c r="I2791">
        <v>2013</v>
      </c>
      <c r="J2791" t="s">
        <v>3233</v>
      </c>
      <c r="K2791" t="s">
        <v>133</v>
      </c>
      <c r="L2791" t="s">
        <v>1075</v>
      </c>
      <c r="M2791" t="s">
        <v>3238</v>
      </c>
      <c r="N2791">
        <v>1</v>
      </c>
      <c r="O2791">
        <v>2020</v>
      </c>
      <c r="P2791">
        <v>34.547444222199779</v>
      </c>
      <c r="Q2791">
        <v>1.6806864756745841</v>
      </c>
      <c r="R2791" t="s">
        <v>109</v>
      </c>
      <c r="S2791">
        <v>0.99</v>
      </c>
      <c r="T2791" t="s">
        <v>110</v>
      </c>
      <c r="U2791">
        <v>0.99</v>
      </c>
      <c r="V2791">
        <v>117.88080097382471</v>
      </c>
      <c r="W2791">
        <v>5.7347416689968771</v>
      </c>
      <c r="X2791" t="s">
        <v>111</v>
      </c>
      <c r="Y2791">
        <v>10</v>
      </c>
      <c r="Z2791">
        <v>0.35682680185771348</v>
      </c>
      <c r="AA2791">
        <v>1</v>
      </c>
    </row>
    <row r="2792" spans="1:27" x14ac:dyDescent="0.25">
      <c r="A2792" t="s">
        <v>98</v>
      </c>
      <c r="B2792" t="s">
        <v>1199</v>
      </c>
      <c r="D2792" t="s">
        <v>100</v>
      </c>
      <c r="E2792" t="s">
        <v>226</v>
      </c>
      <c r="G2792" t="s">
        <v>112</v>
      </c>
      <c r="H2792" t="s">
        <v>131</v>
      </c>
      <c r="I2792">
        <v>2013</v>
      </c>
      <c r="J2792" t="s">
        <v>3233</v>
      </c>
      <c r="K2792" t="s">
        <v>133</v>
      </c>
      <c r="L2792" t="s">
        <v>1250</v>
      </c>
      <c r="M2792" t="s">
        <v>3239</v>
      </c>
      <c r="N2792">
        <v>1</v>
      </c>
      <c r="O2792">
        <v>2020</v>
      </c>
      <c r="P2792">
        <v>34.547444222199779</v>
      </c>
      <c r="Q2792">
        <v>1.6806864756745841</v>
      </c>
      <c r="R2792" t="s">
        <v>109</v>
      </c>
      <c r="S2792">
        <v>0.99</v>
      </c>
      <c r="T2792" t="s">
        <v>110</v>
      </c>
      <c r="U2792">
        <v>0.99</v>
      </c>
      <c r="V2792">
        <v>117.88080097382471</v>
      </c>
      <c r="W2792">
        <v>5.7347416689968771</v>
      </c>
      <c r="X2792" t="s">
        <v>111</v>
      </c>
      <c r="Y2792">
        <v>10</v>
      </c>
      <c r="Z2792">
        <v>0.35682680185771348</v>
      </c>
      <c r="AA2792">
        <v>1</v>
      </c>
    </row>
    <row r="2793" spans="1:27" x14ac:dyDescent="0.25">
      <c r="A2793" t="s">
        <v>98</v>
      </c>
      <c r="B2793" t="s">
        <v>1374</v>
      </c>
      <c r="D2793" t="s">
        <v>100</v>
      </c>
      <c r="E2793" t="s">
        <v>226</v>
      </c>
      <c r="G2793" t="s">
        <v>112</v>
      </c>
      <c r="H2793" t="s">
        <v>131</v>
      </c>
      <c r="I2793">
        <v>2013</v>
      </c>
      <c r="J2793" t="s">
        <v>3233</v>
      </c>
      <c r="K2793" t="s">
        <v>133</v>
      </c>
      <c r="L2793" t="s">
        <v>1424</v>
      </c>
      <c r="M2793" t="s">
        <v>3240</v>
      </c>
      <c r="N2793">
        <v>1</v>
      </c>
      <c r="O2793">
        <v>2020</v>
      </c>
      <c r="P2793">
        <v>34.547444222199779</v>
      </c>
      <c r="Q2793">
        <v>1.6806864756745841</v>
      </c>
      <c r="R2793" t="s">
        <v>109</v>
      </c>
      <c r="S2793">
        <v>0.99</v>
      </c>
      <c r="T2793" t="s">
        <v>110</v>
      </c>
      <c r="U2793">
        <v>0.99</v>
      </c>
      <c r="V2793">
        <v>117.88080097382471</v>
      </c>
      <c r="W2793">
        <v>5.7347416689968771</v>
      </c>
      <c r="X2793" t="s">
        <v>111</v>
      </c>
      <c r="Y2793">
        <v>10</v>
      </c>
      <c r="Z2793">
        <v>0.35682680185771348</v>
      </c>
      <c r="AA2793">
        <v>1</v>
      </c>
    </row>
    <row r="2794" spans="1:27" x14ac:dyDescent="0.25">
      <c r="A2794" t="s">
        <v>98</v>
      </c>
      <c r="B2794" t="s">
        <v>1548</v>
      </c>
      <c r="D2794" t="s">
        <v>100</v>
      </c>
      <c r="E2794" t="s">
        <v>226</v>
      </c>
      <c r="G2794" t="s">
        <v>112</v>
      </c>
      <c r="H2794" t="s">
        <v>131</v>
      </c>
      <c r="I2794">
        <v>2013</v>
      </c>
      <c r="J2794" t="s">
        <v>3233</v>
      </c>
      <c r="K2794" t="s">
        <v>133</v>
      </c>
      <c r="L2794" t="s">
        <v>1598</v>
      </c>
      <c r="M2794" t="s">
        <v>3241</v>
      </c>
      <c r="N2794">
        <v>1</v>
      </c>
      <c r="O2794">
        <v>2020</v>
      </c>
      <c r="P2794">
        <v>34.547444222199779</v>
      </c>
      <c r="Q2794">
        <v>1.6806864756745841</v>
      </c>
      <c r="R2794" t="s">
        <v>109</v>
      </c>
      <c r="S2794">
        <v>0.99</v>
      </c>
      <c r="T2794" t="s">
        <v>110</v>
      </c>
      <c r="U2794">
        <v>0.99</v>
      </c>
      <c r="V2794">
        <v>117.88080097382471</v>
      </c>
      <c r="W2794">
        <v>5.7347416689968771</v>
      </c>
      <c r="X2794" t="s">
        <v>111</v>
      </c>
      <c r="Y2794">
        <v>10</v>
      </c>
      <c r="Z2794">
        <v>0.35682680185771348</v>
      </c>
      <c r="AA2794">
        <v>1</v>
      </c>
    </row>
    <row r="2795" spans="1:27" x14ac:dyDescent="0.25">
      <c r="A2795" t="s">
        <v>98</v>
      </c>
      <c r="B2795" t="s">
        <v>99</v>
      </c>
      <c r="D2795" t="s">
        <v>1722</v>
      </c>
      <c r="E2795" t="s">
        <v>226</v>
      </c>
      <c r="G2795" t="s">
        <v>112</v>
      </c>
      <c r="H2795" t="s">
        <v>131</v>
      </c>
      <c r="I2795">
        <v>2013</v>
      </c>
      <c r="J2795" t="s">
        <v>3233</v>
      </c>
      <c r="K2795" t="s">
        <v>133</v>
      </c>
      <c r="L2795" t="s">
        <v>1773</v>
      </c>
      <c r="M2795" t="s">
        <v>3242</v>
      </c>
      <c r="N2795">
        <v>1</v>
      </c>
      <c r="O2795">
        <v>2020</v>
      </c>
      <c r="P2795">
        <v>34.547444222199779</v>
      </c>
      <c r="Q2795">
        <v>1.6806864756745841</v>
      </c>
      <c r="R2795" t="s">
        <v>109</v>
      </c>
      <c r="S2795">
        <v>0.99</v>
      </c>
      <c r="T2795" t="s">
        <v>110</v>
      </c>
      <c r="U2795">
        <v>0.99</v>
      </c>
      <c r="V2795">
        <v>117.88080097382471</v>
      </c>
      <c r="W2795">
        <v>5.7347416689968771</v>
      </c>
      <c r="X2795" t="s">
        <v>111</v>
      </c>
      <c r="Y2795">
        <v>10</v>
      </c>
      <c r="Z2795">
        <v>0.35682680185771348</v>
      </c>
      <c r="AA2795">
        <v>1</v>
      </c>
    </row>
    <row r="2796" spans="1:27" x14ac:dyDescent="0.25">
      <c r="A2796" t="s">
        <v>98</v>
      </c>
      <c r="B2796" t="s">
        <v>499</v>
      </c>
      <c r="D2796" t="s">
        <v>1722</v>
      </c>
      <c r="E2796" t="s">
        <v>226</v>
      </c>
      <c r="G2796" t="s">
        <v>112</v>
      </c>
      <c r="H2796" t="s">
        <v>131</v>
      </c>
      <c r="I2796">
        <v>2013</v>
      </c>
      <c r="J2796" t="s">
        <v>3233</v>
      </c>
      <c r="K2796" t="s">
        <v>133</v>
      </c>
      <c r="L2796" t="s">
        <v>1948</v>
      </c>
      <c r="M2796" t="s">
        <v>3243</v>
      </c>
      <c r="N2796">
        <v>1</v>
      </c>
      <c r="O2796">
        <v>2020</v>
      </c>
      <c r="P2796">
        <v>34.547444222199779</v>
      </c>
      <c r="Q2796">
        <v>1.6806864756745841</v>
      </c>
      <c r="R2796" t="s">
        <v>109</v>
      </c>
      <c r="S2796">
        <v>0.99</v>
      </c>
      <c r="T2796" t="s">
        <v>110</v>
      </c>
      <c r="U2796">
        <v>0.99</v>
      </c>
      <c r="V2796">
        <v>117.88080097382471</v>
      </c>
      <c r="W2796">
        <v>5.7347416689968771</v>
      </c>
      <c r="X2796" t="s">
        <v>111</v>
      </c>
      <c r="Y2796">
        <v>10</v>
      </c>
      <c r="Z2796">
        <v>0.35682680185771348</v>
      </c>
      <c r="AA2796">
        <v>1</v>
      </c>
    </row>
    <row r="2797" spans="1:27" x14ac:dyDescent="0.25">
      <c r="A2797" t="s">
        <v>98</v>
      </c>
      <c r="B2797" t="s">
        <v>674</v>
      </c>
      <c r="D2797" t="s">
        <v>1722</v>
      </c>
      <c r="E2797" t="s">
        <v>226</v>
      </c>
      <c r="G2797" t="s">
        <v>112</v>
      </c>
      <c r="H2797" t="s">
        <v>131</v>
      </c>
      <c r="I2797">
        <v>2013</v>
      </c>
      <c r="J2797" t="s">
        <v>3233</v>
      </c>
      <c r="K2797" t="s">
        <v>133</v>
      </c>
      <c r="L2797" t="s">
        <v>2122</v>
      </c>
      <c r="M2797" t="s">
        <v>3244</v>
      </c>
      <c r="N2797">
        <v>1</v>
      </c>
      <c r="O2797">
        <v>2020</v>
      </c>
      <c r="P2797">
        <v>34.547444222199779</v>
      </c>
      <c r="Q2797">
        <v>1.6806864756745841</v>
      </c>
      <c r="R2797" t="s">
        <v>109</v>
      </c>
      <c r="S2797">
        <v>0.99</v>
      </c>
      <c r="T2797" t="s">
        <v>110</v>
      </c>
      <c r="U2797">
        <v>0.99</v>
      </c>
      <c r="V2797">
        <v>117.88080097382471</v>
      </c>
      <c r="W2797">
        <v>5.7347416689968771</v>
      </c>
      <c r="X2797" t="s">
        <v>111</v>
      </c>
      <c r="Y2797">
        <v>10</v>
      </c>
      <c r="Z2797">
        <v>0.35682680185771348</v>
      </c>
      <c r="AA2797">
        <v>1</v>
      </c>
    </row>
    <row r="2798" spans="1:27" x14ac:dyDescent="0.25">
      <c r="A2798" t="s">
        <v>98</v>
      </c>
      <c r="B2798" t="s">
        <v>849</v>
      </c>
      <c r="D2798" t="s">
        <v>1722</v>
      </c>
      <c r="E2798" t="s">
        <v>226</v>
      </c>
      <c r="G2798" t="s">
        <v>112</v>
      </c>
      <c r="H2798" t="s">
        <v>131</v>
      </c>
      <c r="I2798">
        <v>2013</v>
      </c>
      <c r="J2798" t="s">
        <v>3233</v>
      </c>
      <c r="K2798" t="s">
        <v>133</v>
      </c>
      <c r="L2798" t="s">
        <v>2296</v>
      </c>
      <c r="M2798" t="s">
        <v>3245</v>
      </c>
      <c r="N2798">
        <v>1</v>
      </c>
      <c r="O2798">
        <v>2020</v>
      </c>
      <c r="P2798">
        <v>34.547444222199779</v>
      </c>
      <c r="Q2798">
        <v>1.6806864756745841</v>
      </c>
      <c r="R2798" t="s">
        <v>109</v>
      </c>
      <c r="S2798">
        <v>0.99</v>
      </c>
      <c r="T2798" t="s">
        <v>110</v>
      </c>
      <c r="U2798">
        <v>0.99</v>
      </c>
      <c r="V2798">
        <v>117.88080097382471</v>
      </c>
      <c r="W2798">
        <v>5.7347416689968771</v>
      </c>
      <c r="X2798" t="s">
        <v>111</v>
      </c>
      <c r="Y2798">
        <v>10</v>
      </c>
      <c r="Z2798">
        <v>0.35682680185771348</v>
      </c>
      <c r="AA2798">
        <v>1</v>
      </c>
    </row>
    <row r="2799" spans="1:27" x14ac:dyDescent="0.25">
      <c r="A2799" t="s">
        <v>98</v>
      </c>
      <c r="B2799" t="s">
        <v>1024</v>
      </c>
      <c r="D2799" t="s">
        <v>1722</v>
      </c>
      <c r="E2799" t="s">
        <v>226</v>
      </c>
      <c r="G2799" t="s">
        <v>112</v>
      </c>
      <c r="H2799" t="s">
        <v>131</v>
      </c>
      <c r="I2799">
        <v>2013</v>
      </c>
      <c r="J2799" t="s">
        <v>3233</v>
      </c>
      <c r="K2799" t="s">
        <v>133</v>
      </c>
      <c r="L2799" t="s">
        <v>2470</v>
      </c>
      <c r="M2799" t="s">
        <v>3246</v>
      </c>
      <c r="N2799">
        <v>1</v>
      </c>
      <c r="O2799">
        <v>2020</v>
      </c>
      <c r="P2799">
        <v>34.547444222199779</v>
      </c>
      <c r="Q2799">
        <v>1.6806864756745841</v>
      </c>
      <c r="R2799" t="s">
        <v>109</v>
      </c>
      <c r="S2799">
        <v>0.99</v>
      </c>
      <c r="T2799" t="s">
        <v>110</v>
      </c>
      <c r="U2799">
        <v>0.99</v>
      </c>
      <c r="V2799">
        <v>117.88080097382471</v>
      </c>
      <c r="W2799">
        <v>5.7347416689968771</v>
      </c>
      <c r="X2799" t="s">
        <v>111</v>
      </c>
      <c r="Y2799">
        <v>10</v>
      </c>
      <c r="Z2799">
        <v>0.35682680185771348</v>
      </c>
      <c r="AA2799">
        <v>1</v>
      </c>
    </row>
    <row r="2800" spans="1:27" x14ac:dyDescent="0.25">
      <c r="A2800" t="s">
        <v>98</v>
      </c>
      <c r="B2800" t="s">
        <v>1199</v>
      </c>
      <c r="D2800" t="s">
        <v>1722</v>
      </c>
      <c r="E2800" t="s">
        <v>226</v>
      </c>
      <c r="G2800" t="s">
        <v>112</v>
      </c>
      <c r="H2800" t="s">
        <v>131</v>
      </c>
      <c r="I2800">
        <v>2013</v>
      </c>
      <c r="J2800" t="s">
        <v>3233</v>
      </c>
      <c r="K2800" t="s">
        <v>133</v>
      </c>
      <c r="L2800" t="s">
        <v>2644</v>
      </c>
      <c r="M2800" t="s">
        <v>3247</v>
      </c>
      <c r="N2800">
        <v>1</v>
      </c>
      <c r="O2800">
        <v>2020</v>
      </c>
      <c r="P2800">
        <v>34.547444222199779</v>
      </c>
      <c r="Q2800">
        <v>1.6806864756745841</v>
      </c>
      <c r="R2800" t="s">
        <v>109</v>
      </c>
      <c r="S2800">
        <v>0.99</v>
      </c>
      <c r="T2800" t="s">
        <v>110</v>
      </c>
      <c r="U2800">
        <v>0.99</v>
      </c>
      <c r="V2800">
        <v>117.88080097382471</v>
      </c>
      <c r="W2800">
        <v>5.7347416689968771</v>
      </c>
      <c r="X2800" t="s">
        <v>111</v>
      </c>
      <c r="Y2800">
        <v>10</v>
      </c>
      <c r="Z2800">
        <v>0.35682680185771348</v>
      </c>
      <c r="AA2800">
        <v>1</v>
      </c>
    </row>
    <row r="2801" spans="1:27" x14ac:dyDescent="0.25">
      <c r="A2801" t="s">
        <v>98</v>
      </c>
      <c r="B2801" t="s">
        <v>1374</v>
      </c>
      <c r="D2801" t="s">
        <v>1722</v>
      </c>
      <c r="E2801" t="s">
        <v>226</v>
      </c>
      <c r="G2801" t="s">
        <v>112</v>
      </c>
      <c r="H2801" t="s">
        <v>131</v>
      </c>
      <c r="I2801">
        <v>2013</v>
      </c>
      <c r="J2801" t="s">
        <v>3233</v>
      </c>
      <c r="K2801" t="s">
        <v>133</v>
      </c>
      <c r="L2801" t="s">
        <v>2817</v>
      </c>
      <c r="M2801" t="s">
        <v>3248</v>
      </c>
      <c r="N2801">
        <v>1</v>
      </c>
      <c r="O2801">
        <v>2020</v>
      </c>
      <c r="P2801">
        <v>34.547444222199779</v>
      </c>
      <c r="Q2801">
        <v>1.6806864756745841</v>
      </c>
      <c r="R2801" t="s">
        <v>109</v>
      </c>
      <c r="S2801">
        <v>0.99</v>
      </c>
      <c r="T2801" t="s">
        <v>110</v>
      </c>
      <c r="U2801">
        <v>0.99</v>
      </c>
      <c r="V2801">
        <v>117.88080097382471</v>
      </c>
      <c r="W2801">
        <v>5.7347416689968771</v>
      </c>
      <c r="X2801" t="s">
        <v>111</v>
      </c>
      <c r="Y2801">
        <v>10</v>
      </c>
      <c r="Z2801">
        <v>0.35682680185771348</v>
      </c>
      <c r="AA2801">
        <v>1</v>
      </c>
    </row>
    <row r="2802" spans="1:27" x14ac:dyDescent="0.25">
      <c r="A2802" t="s">
        <v>98</v>
      </c>
      <c r="B2802" t="s">
        <v>1548</v>
      </c>
      <c r="D2802" t="s">
        <v>1722</v>
      </c>
      <c r="E2802" t="s">
        <v>226</v>
      </c>
      <c r="G2802" t="s">
        <v>112</v>
      </c>
      <c r="H2802" t="s">
        <v>131</v>
      </c>
      <c r="I2802">
        <v>2013</v>
      </c>
      <c r="J2802" t="s">
        <v>3233</v>
      </c>
      <c r="K2802" t="s">
        <v>133</v>
      </c>
      <c r="L2802" t="s">
        <v>2990</v>
      </c>
      <c r="M2802" t="s">
        <v>3249</v>
      </c>
      <c r="N2802">
        <v>1</v>
      </c>
      <c r="O2802">
        <v>2020</v>
      </c>
      <c r="P2802">
        <v>34.547444222199779</v>
      </c>
      <c r="Q2802">
        <v>1.6806864756745841</v>
      </c>
      <c r="R2802" t="s">
        <v>109</v>
      </c>
      <c r="S2802">
        <v>0.99</v>
      </c>
      <c r="T2802" t="s">
        <v>110</v>
      </c>
      <c r="U2802">
        <v>0.99</v>
      </c>
      <c r="V2802">
        <v>117.88080097382471</v>
      </c>
      <c r="W2802">
        <v>5.7347416689968771</v>
      </c>
      <c r="X2802" t="s">
        <v>111</v>
      </c>
      <c r="Y2802">
        <v>10</v>
      </c>
      <c r="Z2802">
        <v>0.35682680185771348</v>
      </c>
      <c r="AA2802">
        <v>1</v>
      </c>
    </row>
    <row r="2803" spans="1:27" x14ac:dyDescent="0.25">
      <c r="A2803" t="s">
        <v>98</v>
      </c>
      <c r="B2803" t="s">
        <v>99</v>
      </c>
      <c r="D2803" t="s">
        <v>100</v>
      </c>
      <c r="E2803" t="s">
        <v>226</v>
      </c>
      <c r="G2803" t="s">
        <v>103</v>
      </c>
      <c r="H2803" t="s">
        <v>136</v>
      </c>
      <c r="I2803">
        <v>2013</v>
      </c>
      <c r="J2803" t="s">
        <v>3250</v>
      </c>
      <c r="K2803" t="s">
        <v>138</v>
      </c>
      <c r="L2803" t="s">
        <v>230</v>
      </c>
      <c r="M2803" t="s">
        <v>3251</v>
      </c>
      <c r="N2803">
        <v>1</v>
      </c>
      <c r="O2803">
        <v>2020</v>
      </c>
      <c r="P2803">
        <v>56.263636316912823</v>
      </c>
      <c r="Q2803">
        <v>1.8177482502387221</v>
      </c>
      <c r="R2803" t="s">
        <v>109</v>
      </c>
      <c r="S2803">
        <v>0.80500000000000005</v>
      </c>
      <c r="T2803" t="s">
        <v>110</v>
      </c>
      <c r="U2803">
        <v>0.80500000000000005</v>
      </c>
      <c r="V2803">
        <v>191.97954187522069</v>
      </c>
      <c r="W2803">
        <v>6.2024159682763624</v>
      </c>
      <c r="X2803" t="s">
        <v>111</v>
      </c>
      <c r="Y2803">
        <v>13</v>
      </c>
      <c r="Z2803">
        <v>0.35682680185771348</v>
      </c>
      <c r="AA2803">
        <v>1</v>
      </c>
    </row>
    <row r="2804" spans="1:27" x14ac:dyDescent="0.25">
      <c r="A2804" t="s">
        <v>98</v>
      </c>
      <c r="B2804" t="s">
        <v>499</v>
      </c>
      <c r="D2804" t="s">
        <v>100</v>
      </c>
      <c r="E2804" t="s">
        <v>226</v>
      </c>
      <c r="G2804" t="s">
        <v>103</v>
      </c>
      <c r="H2804" t="s">
        <v>136</v>
      </c>
      <c r="I2804">
        <v>2013</v>
      </c>
      <c r="J2804" t="s">
        <v>3250</v>
      </c>
      <c r="K2804" t="s">
        <v>138</v>
      </c>
      <c r="L2804" t="s">
        <v>550</v>
      </c>
      <c r="M2804" t="s">
        <v>3252</v>
      </c>
      <c r="N2804">
        <v>1</v>
      </c>
      <c r="O2804">
        <v>2020</v>
      </c>
      <c r="P2804">
        <v>56.263636316912823</v>
      </c>
      <c r="Q2804">
        <v>1.8177482502387221</v>
      </c>
      <c r="R2804" t="s">
        <v>109</v>
      </c>
      <c r="S2804">
        <v>0.80500000000000005</v>
      </c>
      <c r="T2804" t="s">
        <v>110</v>
      </c>
      <c r="U2804">
        <v>0.80500000000000005</v>
      </c>
      <c r="V2804">
        <v>191.97954187522069</v>
      </c>
      <c r="W2804">
        <v>6.2024159682763624</v>
      </c>
      <c r="X2804" t="s">
        <v>111</v>
      </c>
      <c r="Y2804">
        <v>13</v>
      </c>
      <c r="Z2804">
        <v>0.35682680185771348</v>
      </c>
      <c r="AA2804">
        <v>1</v>
      </c>
    </row>
    <row r="2805" spans="1:27" x14ac:dyDescent="0.25">
      <c r="A2805" t="s">
        <v>98</v>
      </c>
      <c r="B2805" t="s">
        <v>674</v>
      </c>
      <c r="D2805" t="s">
        <v>100</v>
      </c>
      <c r="E2805" t="s">
        <v>226</v>
      </c>
      <c r="G2805" t="s">
        <v>103</v>
      </c>
      <c r="H2805" t="s">
        <v>136</v>
      </c>
      <c r="I2805">
        <v>2013</v>
      </c>
      <c r="J2805" t="s">
        <v>3250</v>
      </c>
      <c r="K2805" t="s">
        <v>138</v>
      </c>
      <c r="L2805" t="s">
        <v>725</v>
      </c>
      <c r="M2805" t="s">
        <v>3253</v>
      </c>
      <c r="N2805">
        <v>1</v>
      </c>
      <c r="O2805">
        <v>2020</v>
      </c>
      <c r="P2805">
        <v>56.263636316912823</v>
      </c>
      <c r="Q2805">
        <v>1.8177482502387221</v>
      </c>
      <c r="R2805" t="s">
        <v>109</v>
      </c>
      <c r="S2805">
        <v>0.80500000000000005</v>
      </c>
      <c r="T2805" t="s">
        <v>110</v>
      </c>
      <c r="U2805">
        <v>0.80500000000000005</v>
      </c>
      <c r="V2805">
        <v>191.97954187522069</v>
      </c>
      <c r="W2805">
        <v>6.2024159682763624</v>
      </c>
      <c r="X2805" t="s">
        <v>111</v>
      </c>
      <c r="Y2805">
        <v>13</v>
      </c>
      <c r="Z2805">
        <v>0.35682680185771348</v>
      </c>
      <c r="AA2805">
        <v>1</v>
      </c>
    </row>
    <row r="2806" spans="1:27" x14ac:dyDescent="0.25">
      <c r="A2806" t="s">
        <v>98</v>
      </c>
      <c r="B2806" t="s">
        <v>849</v>
      </c>
      <c r="D2806" t="s">
        <v>100</v>
      </c>
      <c r="E2806" t="s">
        <v>226</v>
      </c>
      <c r="G2806" t="s">
        <v>103</v>
      </c>
      <c r="H2806" t="s">
        <v>136</v>
      </c>
      <c r="I2806">
        <v>2013</v>
      </c>
      <c r="J2806" t="s">
        <v>3250</v>
      </c>
      <c r="K2806" t="s">
        <v>138</v>
      </c>
      <c r="L2806" t="s">
        <v>900</v>
      </c>
      <c r="M2806" t="s">
        <v>3254</v>
      </c>
      <c r="N2806">
        <v>1</v>
      </c>
      <c r="O2806">
        <v>2020</v>
      </c>
      <c r="P2806">
        <v>56.263636316912823</v>
      </c>
      <c r="Q2806">
        <v>1.8177482502387221</v>
      </c>
      <c r="R2806" t="s">
        <v>109</v>
      </c>
      <c r="S2806">
        <v>0.80500000000000005</v>
      </c>
      <c r="T2806" t="s">
        <v>110</v>
      </c>
      <c r="U2806">
        <v>0.80500000000000005</v>
      </c>
      <c r="V2806">
        <v>191.97954187522069</v>
      </c>
      <c r="W2806">
        <v>6.2024159682763624</v>
      </c>
      <c r="X2806" t="s">
        <v>111</v>
      </c>
      <c r="Y2806">
        <v>13</v>
      </c>
      <c r="Z2806">
        <v>0.35682680185771348</v>
      </c>
      <c r="AA2806">
        <v>1</v>
      </c>
    </row>
    <row r="2807" spans="1:27" x14ac:dyDescent="0.25">
      <c r="A2807" t="s">
        <v>98</v>
      </c>
      <c r="B2807" t="s">
        <v>1024</v>
      </c>
      <c r="D2807" t="s">
        <v>100</v>
      </c>
      <c r="E2807" t="s">
        <v>226</v>
      </c>
      <c r="G2807" t="s">
        <v>103</v>
      </c>
      <c r="H2807" t="s">
        <v>136</v>
      </c>
      <c r="I2807">
        <v>2013</v>
      </c>
      <c r="J2807" t="s">
        <v>3250</v>
      </c>
      <c r="K2807" t="s">
        <v>138</v>
      </c>
      <c r="L2807" t="s">
        <v>1075</v>
      </c>
      <c r="M2807" t="s">
        <v>3255</v>
      </c>
      <c r="N2807">
        <v>1</v>
      </c>
      <c r="O2807">
        <v>2020</v>
      </c>
      <c r="P2807">
        <v>56.263636316912823</v>
      </c>
      <c r="Q2807">
        <v>1.8177482502387221</v>
      </c>
      <c r="R2807" t="s">
        <v>109</v>
      </c>
      <c r="S2807">
        <v>0.80500000000000005</v>
      </c>
      <c r="T2807" t="s">
        <v>110</v>
      </c>
      <c r="U2807">
        <v>0.80500000000000005</v>
      </c>
      <c r="V2807">
        <v>191.97954187522069</v>
      </c>
      <c r="W2807">
        <v>6.2024159682763624</v>
      </c>
      <c r="X2807" t="s">
        <v>111</v>
      </c>
      <c r="Y2807">
        <v>13</v>
      </c>
      <c r="Z2807">
        <v>0.35682680185771348</v>
      </c>
      <c r="AA2807">
        <v>1</v>
      </c>
    </row>
    <row r="2808" spans="1:27" x14ac:dyDescent="0.25">
      <c r="A2808" t="s">
        <v>98</v>
      </c>
      <c r="B2808" t="s">
        <v>1199</v>
      </c>
      <c r="D2808" t="s">
        <v>100</v>
      </c>
      <c r="E2808" t="s">
        <v>226</v>
      </c>
      <c r="G2808" t="s">
        <v>103</v>
      </c>
      <c r="H2808" t="s">
        <v>136</v>
      </c>
      <c r="I2808">
        <v>2013</v>
      </c>
      <c r="J2808" t="s">
        <v>3250</v>
      </c>
      <c r="K2808" t="s">
        <v>138</v>
      </c>
      <c r="L2808" t="s">
        <v>1250</v>
      </c>
      <c r="M2808" t="s">
        <v>3256</v>
      </c>
      <c r="N2808">
        <v>1</v>
      </c>
      <c r="O2808">
        <v>2020</v>
      </c>
      <c r="P2808">
        <v>56.263636316912823</v>
      </c>
      <c r="Q2808">
        <v>1.8177482502387221</v>
      </c>
      <c r="R2808" t="s">
        <v>109</v>
      </c>
      <c r="S2808">
        <v>0.80500000000000005</v>
      </c>
      <c r="T2808" t="s">
        <v>110</v>
      </c>
      <c r="U2808">
        <v>0.80500000000000005</v>
      </c>
      <c r="V2808">
        <v>191.97954187522069</v>
      </c>
      <c r="W2808">
        <v>6.2024159682763624</v>
      </c>
      <c r="X2808" t="s">
        <v>111</v>
      </c>
      <c r="Y2808">
        <v>13</v>
      </c>
      <c r="Z2808">
        <v>0.35682680185771348</v>
      </c>
      <c r="AA2808">
        <v>1</v>
      </c>
    </row>
    <row r="2809" spans="1:27" x14ac:dyDescent="0.25">
      <c r="A2809" t="s">
        <v>98</v>
      </c>
      <c r="B2809" t="s">
        <v>1374</v>
      </c>
      <c r="D2809" t="s">
        <v>100</v>
      </c>
      <c r="E2809" t="s">
        <v>226</v>
      </c>
      <c r="G2809" t="s">
        <v>103</v>
      </c>
      <c r="H2809" t="s">
        <v>136</v>
      </c>
      <c r="I2809">
        <v>2013</v>
      </c>
      <c r="J2809" t="s">
        <v>3250</v>
      </c>
      <c r="K2809" t="s">
        <v>138</v>
      </c>
      <c r="L2809" t="s">
        <v>1424</v>
      </c>
      <c r="M2809" t="s">
        <v>3257</v>
      </c>
      <c r="N2809">
        <v>1</v>
      </c>
      <c r="O2809">
        <v>2020</v>
      </c>
      <c r="P2809">
        <v>56.263636316912823</v>
      </c>
      <c r="Q2809">
        <v>1.8177482502387221</v>
      </c>
      <c r="R2809" t="s">
        <v>109</v>
      </c>
      <c r="S2809">
        <v>0.80500000000000005</v>
      </c>
      <c r="T2809" t="s">
        <v>110</v>
      </c>
      <c r="U2809">
        <v>0.80500000000000005</v>
      </c>
      <c r="V2809">
        <v>191.97954187522069</v>
      </c>
      <c r="W2809">
        <v>6.2024159682763624</v>
      </c>
      <c r="X2809" t="s">
        <v>111</v>
      </c>
      <c r="Y2809">
        <v>13</v>
      </c>
      <c r="Z2809">
        <v>0.35682680185771348</v>
      </c>
      <c r="AA2809">
        <v>1</v>
      </c>
    </row>
    <row r="2810" spans="1:27" x14ac:dyDescent="0.25">
      <c r="A2810" t="s">
        <v>98</v>
      </c>
      <c r="B2810" t="s">
        <v>1548</v>
      </c>
      <c r="D2810" t="s">
        <v>100</v>
      </c>
      <c r="E2810" t="s">
        <v>226</v>
      </c>
      <c r="G2810" t="s">
        <v>103</v>
      </c>
      <c r="H2810" t="s">
        <v>136</v>
      </c>
      <c r="I2810">
        <v>2013</v>
      </c>
      <c r="J2810" t="s">
        <v>3250</v>
      </c>
      <c r="K2810" t="s">
        <v>138</v>
      </c>
      <c r="L2810" t="s">
        <v>1598</v>
      </c>
      <c r="M2810" t="s">
        <v>3258</v>
      </c>
      <c r="N2810">
        <v>1</v>
      </c>
      <c r="O2810">
        <v>2020</v>
      </c>
      <c r="P2810">
        <v>56.263636316912823</v>
      </c>
      <c r="Q2810">
        <v>1.8177482502387221</v>
      </c>
      <c r="R2810" t="s">
        <v>109</v>
      </c>
      <c r="S2810">
        <v>0.80500000000000005</v>
      </c>
      <c r="T2810" t="s">
        <v>110</v>
      </c>
      <c r="U2810">
        <v>0.80500000000000005</v>
      </c>
      <c r="V2810">
        <v>191.97954187522069</v>
      </c>
      <c r="W2810">
        <v>6.2024159682763624</v>
      </c>
      <c r="X2810" t="s">
        <v>111</v>
      </c>
      <c r="Y2810">
        <v>13</v>
      </c>
      <c r="Z2810">
        <v>0.35682680185771348</v>
      </c>
      <c r="AA2810">
        <v>1</v>
      </c>
    </row>
    <row r="2811" spans="1:27" x14ac:dyDescent="0.25">
      <c r="A2811" t="s">
        <v>98</v>
      </c>
      <c r="B2811" t="s">
        <v>99</v>
      </c>
      <c r="D2811" t="s">
        <v>1722</v>
      </c>
      <c r="E2811" t="s">
        <v>226</v>
      </c>
      <c r="G2811" t="s">
        <v>103</v>
      </c>
      <c r="H2811" t="s">
        <v>136</v>
      </c>
      <c r="I2811">
        <v>2013</v>
      </c>
      <c r="J2811" t="s">
        <v>3250</v>
      </c>
      <c r="K2811" t="s">
        <v>138</v>
      </c>
      <c r="L2811" t="s">
        <v>1773</v>
      </c>
      <c r="M2811" t="s">
        <v>3259</v>
      </c>
      <c r="N2811">
        <v>1</v>
      </c>
      <c r="O2811">
        <v>2020</v>
      </c>
      <c r="P2811">
        <v>56.263636316912823</v>
      </c>
      <c r="Q2811">
        <v>1.8177482502387221</v>
      </c>
      <c r="R2811" t="s">
        <v>109</v>
      </c>
      <c r="S2811">
        <v>0.80500000000000005</v>
      </c>
      <c r="T2811" t="s">
        <v>110</v>
      </c>
      <c r="U2811">
        <v>0.80500000000000005</v>
      </c>
      <c r="V2811">
        <v>191.97954187522069</v>
      </c>
      <c r="W2811">
        <v>6.2024159682763624</v>
      </c>
      <c r="X2811" t="s">
        <v>111</v>
      </c>
      <c r="Y2811">
        <v>13</v>
      </c>
      <c r="Z2811">
        <v>0.35682680185771348</v>
      </c>
      <c r="AA2811">
        <v>1</v>
      </c>
    </row>
    <row r="2812" spans="1:27" x14ac:dyDescent="0.25">
      <c r="A2812" t="s">
        <v>98</v>
      </c>
      <c r="B2812" t="s">
        <v>499</v>
      </c>
      <c r="D2812" t="s">
        <v>1722</v>
      </c>
      <c r="E2812" t="s">
        <v>226</v>
      </c>
      <c r="G2812" t="s">
        <v>103</v>
      </c>
      <c r="H2812" t="s">
        <v>136</v>
      </c>
      <c r="I2812">
        <v>2013</v>
      </c>
      <c r="J2812" t="s">
        <v>3250</v>
      </c>
      <c r="K2812" t="s">
        <v>138</v>
      </c>
      <c r="L2812" t="s">
        <v>1948</v>
      </c>
      <c r="M2812" t="s">
        <v>3260</v>
      </c>
      <c r="N2812">
        <v>1</v>
      </c>
      <c r="O2812">
        <v>2020</v>
      </c>
      <c r="P2812">
        <v>56.263636316912823</v>
      </c>
      <c r="Q2812">
        <v>1.8177482502387221</v>
      </c>
      <c r="R2812" t="s">
        <v>109</v>
      </c>
      <c r="S2812">
        <v>0.80500000000000005</v>
      </c>
      <c r="T2812" t="s">
        <v>110</v>
      </c>
      <c r="U2812">
        <v>0.80500000000000005</v>
      </c>
      <c r="V2812">
        <v>191.97954187522069</v>
      </c>
      <c r="W2812">
        <v>6.2024159682763624</v>
      </c>
      <c r="X2812" t="s">
        <v>111</v>
      </c>
      <c r="Y2812">
        <v>13</v>
      </c>
      <c r="Z2812">
        <v>0.35682680185771348</v>
      </c>
      <c r="AA2812">
        <v>1</v>
      </c>
    </row>
    <row r="2813" spans="1:27" x14ac:dyDescent="0.25">
      <c r="A2813" t="s">
        <v>98</v>
      </c>
      <c r="B2813" t="s">
        <v>674</v>
      </c>
      <c r="D2813" t="s">
        <v>1722</v>
      </c>
      <c r="E2813" t="s">
        <v>226</v>
      </c>
      <c r="G2813" t="s">
        <v>103</v>
      </c>
      <c r="H2813" t="s">
        <v>136</v>
      </c>
      <c r="I2813">
        <v>2013</v>
      </c>
      <c r="J2813" t="s">
        <v>3250</v>
      </c>
      <c r="K2813" t="s">
        <v>138</v>
      </c>
      <c r="L2813" t="s">
        <v>2122</v>
      </c>
      <c r="M2813" t="s">
        <v>3261</v>
      </c>
      <c r="N2813">
        <v>1</v>
      </c>
      <c r="O2813">
        <v>2020</v>
      </c>
      <c r="P2813">
        <v>56.263636316912823</v>
      </c>
      <c r="Q2813">
        <v>1.8177482502387221</v>
      </c>
      <c r="R2813" t="s">
        <v>109</v>
      </c>
      <c r="S2813">
        <v>0.80500000000000005</v>
      </c>
      <c r="T2813" t="s">
        <v>110</v>
      </c>
      <c r="U2813">
        <v>0.80500000000000005</v>
      </c>
      <c r="V2813">
        <v>191.97954187522069</v>
      </c>
      <c r="W2813">
        <v>6.2024159682763624</v>
      </c>
      <c r="X2813" t="s">
        <v>111</v>
      </c>
      <c r="Y2813">
        <v>13</v>
      </c>
      <c r="Z2813">
        <v>0.35682680185771348</v>
      </c>
      <c r="AA2813">
        <v>1</v>
      </c>
    </row>
    <row r="2814" spans="1:27" x14ac:dyDescent="0.25">
      <c r="A2814" t="s">
        <v>98</v>
      </c>
      <c r="B2814" t="s">
        <v>849</v>
      </c>
      <c r="D2814" t="s">
        <v>1722</v>
      </c>
      <c r="E2814" t="s">
        <v>226</v>
      </c>
      <c r="G2814" t="s">
        <v>103</v>
      </c>
      <c r="H2814" t="s">
        <v>136</v>
      </c>
      <c r="I2814">
        <v>2013</v>
      </c>
      <c r="J2814" t="s">
        <v>3250</v>
      </c>
      <c r="K2814" t="s">
        <v>138</v>
      </c>
      <c r="L2814" t="s">
        <v>2296</v>
      </c>
      <c r="M2814" t="s">
        <v>3262</v>
      </c>
      <c r="N2814">
        <v>1</v>
      </c>
      <c r="O2814">
        <v>2020</v>
      </c>
      <c r="P2814">
        <v>56.263636316912823</v>
      </c>
      <c r="Q2814">
        <v>1.8177482502387221</v>
      </c>
      <c r="R2814" t="s">
        <v>109</v>
      </c>
      <c r="S2814">
        <v>0.80500000000000005</v>
      </c>
      <c r="T2814" t="s">
        <v>110</v>
      </c>
      <c r="U2814">
        <v>0.80500000000000005</v>
      </c>
      <c r="V2814">
        <v>191.97954187522069</v>
      </c>
      <c r="W2814">
        <v>6.2024159682763624</v>
      </c>
      <c r="X2814" t="s">
        <v>111</v>
      </c>
      <c r="Y2814">
        <v>13</v>
      </c>
      <c r="Z2814">
        <v>0.35682680185771348</v>
      </c>
      <c r="AA2814">
        <v>1</v>
      </c>
    </row>
    <row r="2815" spans="1:27" x14ac:dyDescent="0.25">
      <c r="A2815" t="s">
        <v>98</v>
      </c>
      <c r="B2815" t="s">
        <v>1024</v>
      </c>
      <c r="D2815" t="s">
        <v>1722</v>
      </c>
      <c r="E2815" t="s">
        <v>226</v>
      </c>
      <c r="G2815" t="s">
        <v>103</v>
      </c>
      <c r="H2815" t="s">
        <v>136</v>
      </c>
      <c r="I2815">
        <v>2013</v>
      </c>
      <c r="J2815" t="s">
        <v>3250</v>
      </c>
      <c r="K2815" t="s">
        <v>138</v>
      </c>
      <c r="L2815" t="s">
        <v>2470</v>
      </c>
      <c r="M2815" t="s">
        <v>3263</v>
      </c>
      <c r="N2815">
        <v>1</v>
      </c>
      <c r="O2815">
        <v>2020</v>
      </c>
      <c r="P2815">
        <v>56.263636316912823</v>
      </c>
      <c r="Q2815">
        <v>1.8177482502387221</v>
      </c>
      <c r="R2815" t="s">
        <v>109</v>
      </c>
      <c r="S2815">
        <v>0.80500000000000005</v>
      </c>
      <c r="T2815" t="s">
        <v>110</v>
      </c>
      <c r="U2815">
        <v>0.80500000000000005</v>
      </c>
      <c r="V2815">
        <v>191.97954187522069</v>
      </c>
      <c r="W2815">
        <v>6.2024159682763624</v>
      </c>
      <c r="X2815" t="s">
        <v>111</v>
      </c>
      <c r="Y2815">
        <v>13</v>
      </c>
      <c r="Z2815">
        <v>0.35682680185771348</v>
      </c>
      <c r="AA2815">
        <v>1</v>
      </c>
    </row>
    <row r="2816" spans="1:27" x14ac:dyDescent="0.25">
      <c r="A2816" t="s">
        <v>98</v>
      </c>
      <c r="B2816" t="s">
        <v>1199</v>
      </c>
      <c r="D2816" t="s">
        <v>1722</v>
      </c>
      <c r="E2816" t="s">
        <v>226</v>
      </c>
      <c r="G2816" t="s">
        <v>103</v>
      </c>
      <c r="H2816" t="s">
        <v>136</v>
      </c>
      <c r="I2816">
        <v>2013</v>
      </c>
      <c r="J2816" t="s">
        <v>3250</v>
      </c>
      <c r="K2816" t="s">
        <v>138</v>
      </c>
      <c r="L2816" t="s">
        <v>2644</v>
      </c>
      <c r="M2816" t="s">
        <v>3264</v>
      </c>
      <c r="N2816">
        <v>1</v>
      </c>
      <c r="O2816">
        <v>2020</v>
      </c>
      <c r="P2816">
        <v>56.263636316912823</v>
      </c>
      <c r="Q2816">
        <v>1.8177482502387221</v>
      </c>
      <c r="R2816" t="s">
        <v>109</v>
      </c>
      <c r="S2816">
        <v>0.80500000000000005</v>
      </c>
      <c r="T2816" t="s">
        <v>110</v>
      </c>
      <c r="U2816">
        <v>0.80500000000000005</v>
      </c>
      <c r="V2816">
        <v>191.97954187522069</v>
      </c>
      <c r="W2816">
        <v>6.2024159682763624</v>
      </c>
      <c r="X2816" t="s">
        <v>111</v>
      </c>
      <c r="Y2816">
        <v>13</v>
      </c>
      <c r="Z2816">
        <v>0.35682680185771348</v>
      </c>
      <c r="AA2816">
        <v>1</v>
      </c>
    </row>
    <row r="2817" spans="1:27" x14ac:dyDescent="0.25">
      <c r="A2817" t="s">
        <v>98</v>
      </c>
      <c r="B2817" t="s">
        <v>1374</v>
      </c>
      <c r="D2817" t="s">
        <v>1722</v>
      </c>
      <c r="E2817" t="s">
        <v>226</v>
      </c>
      <c r="G2817" t="s">
        <v>103</v>
      </c>
      <c r="H2817" t="s">
        <v>136</v>
      </c>
      <c r="I2817">
        <v>2013</v>
      </c>
      <c r="J2817" t="s">
        <v>3250</v>
      </c>
      <c r="K2817" t="s">
        <v>138</v>
      </c>
      <c r="L2817" t="s">
        <v>2817</v>
      </c>
      <c r="M2817" t="s">
        <v>3265</v>
      </c>
      <c r="N2817">
        <v>1</v>
      </c>
      <c r="O2817">
        <v>2020</v>
      </c>
      <c r="P2817">
        <v>56.263636316912823</v>
      </c>
      <c r="Q2817">
        <v>1.8177482502387221</v>
      </c>
      <c r="R2817" t="s">
        <v>109</v>
      </c>
      <c r="S2817">
        <v>0.80500000000000005</v>
      </c>
      <c r="T2817" t="s">
        <v>110</v>
      </c>
      <c r="U2817">
        <v>0.80500000000000005</v>
      </c>
      <c r="V2817">
        <v>191.97954187522069</v>
      </c>
      <c r="W2817">
        <v>6.2024159682763624</v>
      </c>
      <c r="X2817" t="s">
        <v>111</v>
      </c>
      <c r="Y2817">
        <v>13</v>
      </c>
      <c r="Z2817">
        <v>0.35682680185771348</v>
      </c>
      <c r="AA2817">
        <v>1</v>
      </c>
    </row>
    <row r="2818" spans="1:27" x14ac:dyDescent="0.25">
      <c r="A2818" t="s">
        <v>98</v>
      </c>
      <c r="B2818" t="s">
        <v>1548</v>
      </c>
      <c r="D2818" t="s">
        <v>1722</v>
      </c>
      <c r="E2818" t="s">
        <v>226</v>
      </c>
      <c r="G2818" t="s">
        <v>103</v>
      </c>
      <c r="H2818" t="s">
        <v>136</v>
      </c>
      <c r="I2818">
        <v>2013</v>
      </c>
      <c r="J2818" t="s">
        <v>3250</v>
      </c>
      <c r="K2818" t="s">
        <v>138</v>
      </c>
      <c r="L2818" t="s">
        <v>2990</v>
      </c>
      <c r="M2818" t="s">
        <v>3266</v>
      </c>
      <c r="N2818">
        <v>1</v>
      </c>
      <c r="O2818">
        <v>2020</v>
      </c>
      <c r="P2818">
        <v>56.263636316912823</v>
      </c>
      <c r="Q2818">
        <v>1.8177482502387221</v>
      </c>
      <c r="R2818" t="s">
        <v>109</v>
      </c>
      <c r="S2818">
        <v>0.80500000000000005</v>
      </c>
      <c r="T2818" t="s">
        <v>110</v>
      </c>
      <c r="U2818">
        <v>0.80500000000000005</v>
      </c>
      <c r="V2818">
        <v>191.97954187522069</v>
      </c>
      <c r="W2818">
        <v>6.2024159682763624</v>
      </c>
      <c r="X2818" t="s">
        <v>111</v>
      </c>
      <c r="Y2818">
        <v>13</v>
      </c>
      <c r="Z2818">
        <v>0.35682680185771348</v>
      </c>
      <c r="AA2818">
        <v>1</v>
      </c>
    </row>
    <row r="2819" spans="1:27" x14ac:dyDescent="0.25">
      <c r="A2819" t="s">
        <v>98</v>
      </c>
      <c r="B2819" t="s">
        <v>99</v>
      </c>
      <c r="D2819" t="s">
        <v>100</v>
      </c>
      <c r="E2819" t="s">
        <v>226</v>
      </c>
      <c r="G2819" t="s">
        <v>112</v>
      </c>
      <c r="H2819" t="s">
        <v>136</v>
      </c>
      <c r="I2819">
        <v>2013</v>
      </c>
      <c r="J2819" t="s">
        <v>3267</v>
      </c>
      <c r="K2819" t="s">
        <v>138</v>
      </c>
      <c r="L2819" t="s">
        <v>230</v>
      </c>
      <c r="M2819" t="s">
        <v>3268</v>
      </c>
      <c r="N2819">
        <v>1</v>
      </c>
      <c r="O2819">
        <v>2020</v>
      </c>
      <c r="P2819">
        <v>55.232292581971677</v>
      </c>
      <c r="Q2819">
        <v>1.7844279141867769</v>
      </c>
      <c r="R2819" t="s">
        <v>109</v>
      </c>
      <c r="S2819">
        <v>0.82</v>
      </c>
      <c r="T2819" t="s">
        <v>110</v>
      </c>
      <c r="U2819">
        <v>0.82</v>
      </c>
      <c r="V2819">
        <v>188.4604501365597</v>
      </c>
      <c r="W2819">
        <v>6.0887222351811578</v>
      </c>
      <c r="X2819" t="s">
        <v>111</v>
      </c>
      <c r="Y2819">
        <v>13</v>
      </c>
      <c r="Z2819">
        <v>0.35682680185771348</v>
      </c>
      <c r="AA2819">
        <v>1</v>
      </c>
    </row>
    <row r="2820" spans="1:27" x14ac:dyDescent="0.25">
      <c r="A2820" t="s">
        <v>98</v>
      </c>
      <c r="B2820" t="s">
        <v>499</v>
      </c>
      <c r="D2820" t="s">
        <v>100</v>
      </c>
      <c r="E2820" t="s">
        <v>226</v>
      </c>
      <c r="G2820" t="s">
        <v>112</v>
      </c>
      <c r="H2820" t="s">
        <v>136</v>
      </c>
      <c r="I2820">
        <v>2013</v>
      </c>
      <c r="J2820" t="s">
        <v>3267</v>
      </c>
      <c r="K2820" t="s">
        <v>138</v>
      </c>
      <c r="L2820" t="s">
        <v>550</v>
      </c>
      <c r="M2820" t="s">
        <v>3269</v>
      </c>
      <c r="N2820">
        <v>1</v>
      </c>
      <c r="O2820">
        <v>2020</v>
      </c>
      <c r="P2820">
        <v>55.232292581971677</v>
      </c>
      <c r="Q2820">
        <v>1.7844279141867769</v>
      </c>
      <c r="R2820" t="s">
        <v>109</v>
      </c>
      <c r="S2820">
        <v>0.82</v>
      </c>
      <c r="T2820" t="s">
        <v>110</v>
      </c>
      <c r="U2820">
        <v>0.82</v>
      </c>
      <c r="V2820">
        <v>188.4604501365597</v>
      </c>
      <c r="W2820">
        <v>6.0887222351811578</v>
      </c>
      <c r="X2820" t="s">
        <v>111</v>
      </c>
      <c r="Y2820">
        <v>13</v>
      </c>
      <c r="Z2820">
        <v>0.35682680185771348</v>
      </c>
      <c r="AA2820">
        <v>1</v>
      </c>
    </row>
    <row r="2821" spans="1:27" x14ac:dyDescent="0.25">
      <c r="A2821" t="s">
        <v>98</v>
      </c>
      <c r="B2821" t="s">
        <v>674</v>
      </c>
      <c r="D2821" t="s">
        <v>100</v>
      </c>
      <c r="E2821" t="s">
        <v>226</v>
      </c>
      <c r="G2821" t="s">
        <v>112</v>
      </c>
      <c r="H2821" t="s">
        <v>136</v>
      </c>
      <c r="I2821">
        <v>2013</v>
      </c>
      <c r="J2821" t="s">
        <v>3267</v>
      </c>
      <c r="K2821" t="s">
        <v>138</v>
      </c>
      <c r="L2821" t="s">
        <v>725</v>
      </c>
      <c r="M2821" t="s">
        <v>3270</v>
      </c>
      <c r="N2821">
        <v>1</v>
      </c>
      <c r="O2821">
        <v>2020</v>
      </c>
      <c r="P2821">
        <v>55.232292581971677</v>
      </c>
      <c r="Q2821">
        <v>1.7844279141867769</v>
      </c>
      <c r="R2821" t="s">
        <v>109</v>
      </c>
      <c r="S2821">
        <v>0.82</v>
      </c>
      <c r="T2821" t="s">
        <v>110</v>
      </c>
      <c r="U2821">
        <v>0.82</v>
      </c>
      <c r="V2821">
        <v>188.4604501365597</v>
      </c>
      <c r="W2821">
        <v>6.0887222351811578</v>
      </c>
      <c r="X2821" t="s">
        <v>111</v>
      </c>
      <c r="Y2821">
        <v>13</v>
      </c>
      <c r="Z2821">
        <v>0.35682680185771348</v>
      </c>
      <c r="AA2821">
        <v>1</v>
      </c>
    </row>
    <row r="2822" spans="1:27" x14ac:dyDescent="0.25">
      <c r="A2822" t="s">
        <v>98</v>
      </c>
      <c r="B2822" t="s">
        <v>849</v>
      </c>
      <c r="D2822" t="s">
        <v>100</v>
      </c>
      <c r="E2822" t="s">
        <v>226</v>
      </c>
      <c r="G2822" t="s">
        <v>112</v>
      </c>
      <c r="H2822" t="s">
        <v>136</v>
      </c>
      <c r="I2822">
        <v>2013</v>
      </c>
      <c r="J2822" t="s">
        <v>3267</v>
      </c>
      <c r="K2822" t="s">
        <v>138</v>
      </c>
      <c r="L2822" t="s">
        <v>900</v>
      </c>
      <c r="M2822" t="s">
        <v>3271</v>
      </c>
      <c r="N2822">
        <v>1</v>
      </c>
      <c r="O2822">
        <v>2020</v>
      </c>
      <c r="P2822">
        <v>55.232292581971677</v>
      </c>
      <c r="Q2822">
        <v>1.7844279141867769</v>
      </c>
      <c r="R2822" t="s">
        <v>109</v>
      </c>
      <c r="S2822">
        <v>0.82</v>
      </c>
      <c r="T2822" t="s">
        <v>110</v>
      </c>
      <c r="U2822">
        <v>0.82</v>
      </c>
      <c r="V2822">
        <v>188.4604501365597</v>
      </c>
      <c r="W2822">
        <v>6.0887222351811578</v>
      </c>
      <c r="X2822" t="s">
        <v>111</v>
      </c>
      <c r="Y2822">
        <v>13</v>
      </c>
      <c r="Z2822">
        <v>0.35682680185771348</v>
      </c>
      <c r="AA2822">
        <v>1</v>
      </c>
    </row>
    <row r="2823" spans="1:27" x14ac:dyDescent="0.25">
      <c r="A2823" t="s">
        <v>98</v>
      </c>
      <c r="B2823" t="s">
        <v>1024</v>
      </c>
      <c r="D2823" t="s">
        <v>100</v>
      </c>
      <c r="E2823" t="s">
        <v>226</v>
      </c>
      <c r="G2823" t="s">
        <v>112</v>
      </c>
      <c r="H2823" t="s">
        <v>136</v>
      </c>
      <c r="I2823">
        <v>2013</v>
      </c>
      <c r="J2823" t="s">
        <v>3267</v>
      </c>
      <c r="K2823" t="s">
        <v>138</v>
      </c>
      <c r="L2823" t="s">
        <v>1075</v>
      </c>
      <c r="M2823" t="s">
        <v>3272</v>
      </c>
      <c r="N2823">
        <v>1</v>
      </c>
      <c r="O2823">
        <v>2020</v>
      </c>
      <c r="P2823">
        <v>55.232292581971677</v>
      </c>
      <c r="Q2823">
        <v>1.7844279141867769</v>
      </c>
      <c r="R2823" t="s">
        <v>109</v>
      </c>
      <c r="S2823">
        <v>0.82</v>
      </c>
      <c r="T2823" t="s">
        <v>110</v>
      </c>
      <c r="U2823">
        <v>0.82</v>
      </c>
      <c r="V2823">
        <v>188.4604501365597</v>
      </c>
      <c r="W2823">
        <v>6.0887222351811578</v>
      </c>
      <c r="X2823" t="s">
        <v>111</v>
      </c>
      <c r="Y2823">
        <v>13</v>
      </c>
      <c r="Z2823">
        <v>0.35682680185771348</v>
      </c>
      <c r="AA2823">
        <v>1</v>
      </c>
    </row>
    <row r="2824" spans="1:27" x14ac:dyDescent="0.25">
      <c r="A2824" t="s">
        <v>98</v>
      </c>
      <c r="B2824" t="s">
        <v>1199</v>
      </c>
      <c r="D2824" t="s">
        <v>100</v>
      </c>
      <c r="E2824" t="s">
        <v>226</v>
      </c>
      <c r="G2824" t="s">
        <v>112</v>
      </c>
      <c r="H2824" t="s">
        <v>136</v>
      </c>
      <c r="I2824">
        <v>2013</v>
      </c>
      <c r="J2824" t="s">
        <v>3267</v>
      </c>
      <c r="K2824" t="s">
        <v>138</v>
      </c>
      <c r="L2824" t="s">
        <v>1250</v>
      </c>
      <c r="M2824" t="s">
        <v>3273</v>
      </c>
      <c r="N2824">
        <v>1</v>
      </c>
      <c r="O2824">
        <v>2020</v>
      </c>
      <c r="P2824">
        <v>55.232292581971677</v>
      </c>
      <c r="Q2824">
        <v>1.7844279141867769</v>
      </c>
      <c r="R2824" t="s">
        <v>109</v>
      </c>
      <c r="S2824">
        <v>0.82</v>
      </c>
      <c r="T2824" t="s">
        <v>110</v>
      </c>
      <c r="U2824">
        <v>0.82</v>
      </c>
      <c r="V2824">
        <v>188.4604501365597</v>
      </c>
      <c r="W2824">
        <v>6.0887222351811578</v>
      </c>
      <c r="X2824" t="s">
        <v>111</v>
      </c>
      <c r="Y2824">
        <v>13</v>
      </c>
      <c r="Z2824">
        <v>0.35682680185771348</v>
      </c>
      <c r="AA2824">
        <v>1</v>
      </c>
    </row>
    <row r="2825" spans="1:27" x14ac:dyDescent="0.25">
      <c r="A2825" t="s">
        <v>98</v>
      </c>
      <c r="B2825" t="s">
        <v>1374</v>
      </c>
      <c r="D2825" t="s">
        <v>100</v>
      </c>
      <c r="E2825" t="s">
        <v>226</v>
      </c>
      <c r="G2825" t="s">
        <v>112</v>
      </c>
      <c r="H2825" t="s">
        <v>136</v>
      </c>
      <c r="I2825">
        <v>2013</v>
      </c>
      <c r="J2825" t="s">
        <v>3267</v>
      </c>
      <c r="K2825" t="s">
        <v>138</v>
      </c>
      <c r="L2825" t="s">
        <v>1424</v>
      </c>
      <c r="M2825" t="s">
        <v>3274</v>
      </c>
      <c r="N2825">
        <v>1</v>
      </c>
      <c r="O2825">
        <v>2020</v>
      </c>
      <c r="P2825">
        <v>55.232292581971677</v>
      </c>
      <c r="Q2825">
        <v>1.7844279141867769</v>
      </c>
      <c r="R2825" t="s">
        <v>109</v>
      </c>
      <c r="S2825">
        <v>0.82</v>
      </c>
      <c r="T2825" t="s">
        <v>110</v>
      </c>
      <c r="U2825">
        <v>0.82</v>
      </c>
      <c r="V2825">
        <v>188.4604501365597</v>
      </c>
      <c r="W2825">
        <v>6.0887222351811578</v>
      </c>
      <c r="X2825" t="s">
        <v>111</v>
      </c>
      <c r="Y2825">
        <v>13</v>
      </c>
      <c r="Z2825">
        <v>0.35682680185771348</v>
      </c>
      <c r="AA2825">
        <v>1</v>
      </c>
    </row>
    <row r="2826" spans="1:27" x14ac:dyDescent="0.25">
      <c r="A2826" t="s">
        <v>98</v>
      </c>
      <c r="B2826" t="s">
        <v>1548</v>
      </c>
      <c r="D2826" t="s">
        <v>100</v>
      </c>
      <c r="E2826" t="s">
        <v>226</v>
      </c>
      <c r="G2826" t="s">
        <v>112</v>
      </c>
      <c r="H2826" t="s">
        <v>136</v>
      </c>
      <c r="I2826">
        <v>2013</v>
      </c>
      <c r="J2826" t="s">
        <v>3267</v>
      </c>
      <c r="K2826" t="s">
        <v>138</v>
      </c>
      <c r="L2826" t="s">
        <v>1598</v>
      </c>
      <c r="M2826" t="s">
        <v>3275</v>
      </c>
      <c r="N2826">
        <v>1</v>
      </c>
      <c r="O2826">
        <v>2020</v>
      </c>
      <c r="P2826">
        <v>55.232292581971677</v>
      </c>
      <c r="Q2826">
        <v>1.7844279141867769</v>
      </c>
      <c r="R2826" t="s">
        <v>109</v>
      </c>
      <c r="S2826">
        <v>0.82</v>
      </c>
      <c r="T2826" t="s">
        <v>110</v>
      </c>
      <c r="U2826">
        <v>0.82</v>
      </c>
      <c r="V2826">
        <v>188.4604501365597</v>
      </c>
      <c r="W2826">
        <v>6.0887222351811578</v>
      </c>
      <c r="X2826" t="s">
        <v>111</v>
      </c>
      <c r="Y2826">
        <v>13</v>
      </c>
      <c r="Z2826">
        <v>0.35682680185771348</v>
      </c>
      <c r="AA2826">
        <v>1</v>
      </c>
    </row>
    <row r="2827" spans="1:27" x14ac:dyDescent="0.25">
      <c r="A2827" t="s">
        <v>98</v>
      </c>
      <c r="B2827" t="s">
        <v>99</v>
      </c>
      <c r="D2827" t="s">
        <v>1722</v>
      </c>
      <c r="E2827" t="s">
        <v>226</v>
      </c>
      <c r="G2827" t="s">
        <v>112</v>
      </c>
      <c r="H2827" t="s">
        <v>136</v>
      </c>
      <c r="I2827">
        <v>2013</v>
      </c>
      <c r="J2827" t="s">
        <v>3267</v>
      </c>
      <c r="K2827" t="s">
        <v>138</v>
      </c>
      <c r="L2827" t="s">
        <v>1773</v>
      </c>
      <c r="M2827" t="s">
        <v>3276</v>
      </c>
      <c r="N2827">
        <v>1</v>
      </c>
      <c r="O2827">
        <v>2020</v>
      </c>
      <c r="P2827">
        <v>55.232292581971677</v>
      </c>
      <c r="Q2827">
        <v>1.7844279141867769</v>
      </c>
      <c r="R2827" t="s">
        <v>109</v>
      </c>
      <c r="S2827">
        <v>0.82</v>
      </c>
      <c r="T2827" t="s">
        <v>110</v>
      </c>
      <c r="U2827">
        <v>0.82</v>
      </c>
      <c r="V2827">
        <v>188.4604501365597</v>
      </c>
      <c r="W2827">
        <v>6.0887222351811578</v>
      </c>
      <c r="X2827" t="s">
        <v>111</v>
      </c>
      <c r="Y2827">
        <v>13</v>
      </c>
      <c r="Z2827">
        <v>0.35682680185771348</v>
      </c>
      <c r="AA2827">
        <v>1</v>
      </c>
    </row>
    <row r="2828" spans="1:27" x14ac:dyDescent="0.25">
      <c r="A2828" t="s">
        <v>98</v>
      </c>
      <c r="B2828" t="s">
        <v>499</v>
      </c>
      <c r="D2828" t="s">
        <v>1722</v>
      </c>
      <c r="E2828" t="s">
        <v>226</v>
      </c>
      <c r="G2828" t="s">
        <v>112</v>
      </c>
      <c r="H2828" t="s">
        <v>136</v>
      </c>
      <c r="I2828">
        <v>2013</v>
      </c>
      <c r="J2828" t="s">
        <v>3267</v>
      </c>
      <c r="K2828" t="s">
        <v>138</v>
      </c>
      <c r="L2828" t="s">
        <v>1948</v>
      </c>
      <c r="M2828" t="s">
        <v>3277</v>
      </c>
      <c r="N2828">
        <v>1</v>
      </c>
      <c r="O2828">
        <v>2020</v>
      </c>
      <c r="P2828">
        <v>55.232292581971677</v>
      </c>
      <c r="Q2828">
        <v>1.7844279141867769</v>
      </c>
      <c r="R2828" t="s">
        <v>109</v>
      </c>
      <c r="S2828">
        <v>0.82</v>
      </c>
      <c r="T2828" t="s">
        <v>110</v>
      </c>
      <c r="U2828">
        <v>0.82</v>
      </c>
      <c r="V2828">
        <v>188.4604501365597</v>
      </c>
      <c r="W2828">
        <v>6.0887222351811578</v>
      </c>
      <c r="X2828" t="s">
        <v>111</v>
      </c>
      <c r="Y2828">
        <v>13</v>
      </c>
      <c r="Z2828">
        <v>0.35682680185771348</v>
      </c>
      <c r="AA2828">
        <v>1</v>
      </c>
    </row>
    <row r="2829" spans="1:27" x14ac:dyDescent="0.25">
      <c r="A2829" t="s">
        <v>98</v>
      </c>
      <c r="B2829" t="s">
        <v>674</v>
      </c>
      <c r="D2829" t="s">
        <v>1722</v>
      </c>
      <c r="E2829" t="s">
        <v>226</v>
      </c>
      <c r="G2829" t="s">
        <v>112</v>
      </c>
      <c r="H2829" t="s">
        <v>136</v>
      </c>
      <c r="I2829">
        <v>2013</v>
      </c>
      <c r="J2829" t="s">
        <v>3267</v>
      </c>
      <c r="K2829" t="s">
        <v>138</v>
      </c>
      <c r="L2829" t="s">
        <v>2122</v>
      </c>
      <c r="M2829" t="s">
        <v>3278</v>
      </c>
      <c r="N2829">
        <v>1</v>
      </c>
      <c r="O2829">
        <v>2020</v>
      </c>
      <c r="P2829">
        <v>55.232292581971677</v>
      </c>
      <c r="Q2829">
        <v>1.7844279141867769</v>
      </c>
      <c r="R2829" t="s">
        <v>109</v>
      </c>
      <c r="S2829">
        <v>0.82</v>
      </c>
      <c r="T2829" t="s">
        <v>110</v>
      </c>
      <c r="U2829">
        <v>0.82</v>
      </c>
      <c r="V2829">
        <v>188.4604501365597</v>
      </c>
      <c r="W2829">
        <v>6.0887222351811578</v>
      </c>
      <c r="X2829" t="s">
        <v>111</v>
      </c>
      <c r="Y2829">
        <v>13</v>
      </c>
      <c r="Z2829">
        <v>0.35682680185771348</v>
      </c>
      <c r="AA2829">
        <v>1</v>
      </c>
    </row>
    <row r="2830" spans="1:27" x14ac:dyDescent="0.25">
      <c r="A2830" t="s">
        <v>98</v>
      </c>
      <c r="B2830" t="s">
        <v>849</v>
      </c>
      <c r="D2830" t="s">
        <v>1722</v>
      </c>
      <c r="E2830" t="s">
        <v>226</v>
      </c>
      <c r="G2830" t="s">
        <v>112</v>
      </c>
      <c r="H2830" t="s">
        <v>136</v>
      </c>
      <c r="I2830">
        <v>2013</v>
      </c>
      <c r="J2830" t="s">
        <v>3267</v>
      </c>
      <c r="K2830" t="s">
        <v>138</v>
      </c>
      <c r="L2830" t="s">
        <v>2296</v>
      </c>
      <c r="M2830" t="s">
        <v>3279</v>
      </c>
      <c r="N2830">
        <v>1</v>
      </c>
      <c r="O2830">
        <v>2020</v>
      </c>
      <c r="P2830">
        <v>55.232292581971677</v>
      </c>
      <c r="Q2830">
        <v>1.7844279141867769</v>
      </c>
      <c r="R2830" t="s">
        <v>109</v>
      </c>
      <c r="S2830">
        <v>0.82</v>
      </c>
      <c r="T2830" t="s">
        <v>110</v>
      </c>
      <c r="U2830">
        <v>0.82</v>
      </c>
      <c r="V2830">
        <v>188.4604501365597</v>
      </c>
      <c r="W2830">
        <v>6.0887222351811578</v>
      </c>
      <c r="X2830" t="s">
        <v>111</v>
      </c>
      <c r="Y2830">
        <v>13</v>
      </c>
      <c r="Z2830">
        <v>0.35682680185771348</v>
      </c>
      <c r="AA2830">
        <v>1</v>
      </c>
    </row>
    <row r="2831" spans="1:27" x14ac:dyDescent="0.25">
      <c r="A2831" t="s">
        <v>98</v>
      </c>
      <c r="B2831" t="s">
        <v>1024</v>
      </c>
      <c r="D2831" t="s">
        <v>1722</v>
      </c>
      <c r="E2831" t="s">
        <v>226</v>
      </c>
      <c r="G2831" t="s">
        <v>112</v>
      </c>
      <c r="H2831" t="s">
        <v>136</v>
      </c>
      <c r="I2831">
        <v>2013</v>
      </c>
      <c r="J2831" t="s">
        <v>3267</v>
      </c>
      <c r="K2831" t="s">
        <v>138</v>
      </c>
      <c r="L2831" t="s">
        <v>2470</v>
      </c>
      <c r="M2831" t="s">
        <v>3280</v>
      </c>
      <c r="N2831">
        <v>1</v>
      </c>
      <c r="O2831">
        <v>2020</v>
      </c>
      <c r="P2831">
        <v>55.232292581971677</v>
      </c>
      <c r="Q2831">
        <v>1.7844279141867769</v>
      </c>
      <c r="R2831" t="s">
        <v>109</v>
      </c>
      <c r="S2831">
        <v>0.82</v>
      </c>
      <c r="T2831" t="s">
        <v>110</v>
      </c>
      <c r="U2831">
        <v>0.82</v>
      </c>
      <c r="V2831">
        <v>188.4604501365597</v>
      </c>
      <c r="W2831">
        <v>6.0887222351811578</v>
      </c>
      <c r="X2831" t="s">
        <v>111</v>
      </c>
      <c r="Y2831">
        <v>13</v>
      </c>
      <c r="Z2831">
        <v>0.35682680185771348</v>
      </c>
      <c r="AA2831">
        <v>1</v>
      </c>
    </row>
    <row r="2832" spans="1:27" x14ac:dyDescent="0.25">
      <c r="A2832" t="s">
        <v>98</v>
      </c>
      <c r="B2832" t="s">
        <v>1199</v>
      </c>
      <c r="D2832" t="s">
        <v>1722</v>
      </c>
      <c r="E2832" t="s">
        <v>226</v>
      </c>
      <c r="G2832" t="s">
        <v>112</v>
      </c>
      <c r="H2832" t="s">
        <v>136</v>
      </c>
      <c r="I2832">
        <v>2013</v>
      </c>
      <c r="J2832" t="s">
        <v>3267</v>
      </c>
      <c r="K2832" t="s">
        <v>138</v>
      </c>
      <c r="L2832" t="s">
        <v>2644</v>
      </c>
      <c r="M2832" t="s">
        <v>3281</v>
      </c>
      <c r="N2832">
        <v>1</v>
      </c>
      <c r="O2832">
        <v>2020</v>
      </c>
      <c r="P2832">
        <v>55.232292581971677</v>
      </c>
      <c r="Q2832">
        <v>1.7844279141867769</v>
      </c>
      <c r="R2832" t="s">
        <v>109</v>
      </c>
      <c r="S2832">
        <v>0.82</v>
      </c>
      <c r="T2832" t="s">
        <v>110</v>
      </c>
      <c r="U2832">
        <v>0.82</v>
      </c>
      <c r="V2832">
        <v>188.4604501365597</v>
      </c>
      <c r="W2832">
        <v>6.0887222351811578</v>
      </c>
      <c r="X2832" t="s">
        <v>111</v>
      </c>
      <c r="Y2832">
        <v>13</v>
      </c>
      <c r="Z2832">
        <v>0.35682680185771348</v>
      </c>
      <c r="AA2832">
        <v>1</v>
      </c>
    </row>
    <row r="2833" spans="1:27" x14ac:dyDescent="0.25">
      <c r="A2833" t="s">
        <v>98</v>
      </c>
      <c r="B2833" t="s">
        <v>1374</v>
      </c>
      <c r="D2833" t="s">
        <v>1722</v>
      </c>
      <c r="E2833" t="s">
        <v>226</v>
      </c>
      <c r="G2833" t="s">
        <v>112</v>
      </c>
      <c r="H2833" t="s">
        <v>136</v>
      </c>
      <c r="I2833">
        <v>2013</v>
      </c>
      <c r="J2833" t="s">
        <v>3267</v>
      </c>
      <c r="K2833" t="s">
        <v>138</v>
      </c>
      <c r="L2833" t="s">
        <v>2817</v>
      </c>
      <c r="M2833" t="s">
        <v>3282</v>
      </c>
      <c r="N2833">
        <v>1</v>
      </c>
      <c r="O2833">
        <v>2020</v>
      </c>
      <c r="P2833">
        <v>55.232292581971677</v>
      </c>
      <c r="Q2833">
        <v>1.7844279141867769</v>
      </c>
      <c r="R2833" t="s">
        <v>109</v>
      </c>
      <c r="S2833">
        <v>0.82</v>
      </c>
      <c r="T2833" t="s">
        <v>110</v>
      </c>
      <c r="U2833">
        <v>0.82</v>
      </c>
      <c r="V2833">
        <v>188.4604501365597</v>
      </c>
      <c r="W2833">
        <v>6.0887222351811578</v>
      </c>
      <c r="X2833" t="s">
        <v>111</v>
      </c>
      <c r="Y2833">
        <v>13</v>
      </c>
      <c r="Z2833">
        <v>0.35682680185771348</v>
      </c>
      <c r="AA2833">
        <v>1</v>
      </c>
    </row>
    <row r="2834" spans="1:27" x14ac:dyDescent="0.25">
      <c r="A2834" t="s">
        <v>98</v>
      </c>
      <c r="B2834" t="s">
        <v>1548</v>
      </c>
      <c r="D2834" t="s">
        <v>1722</v>
      </c>
      <c r="E2834" t="s">
        <v>226</v>
      </c>
      <c r="G2834" t="s">
        <v>112</v>
      </c>
      <c r="H2834" t="s">
        <v>136</v>
      </c>
      <c r="I2834">
        <v>2013</v>
      </c>
      <c r="J2834" t="s">
        <v>3267</v>
      </c>
      <c r="K2834" t="s">
        <v>138</v>
      </c>
      <c r="L2834" t="s">
        <v>2990</v>
      </c>
      <c r="M2834" t="s">
        <v>3283</v>
      </c>
      <c r="N2834">
        <v>1</v>
      </c>
      <c r="O2834">
        <v>2020</v>
      </c>
      <c r="P2834">
        <v>55.232292581971677</v>
      </c>
      <c r="Q2834">
        <v>1.7844279141867769</v>
      </c>
      <c r="R2834" t="s">
        <v>109</v>
      </c>
      <c r="S2834">
        <v>0.82</v>
      </c>
      <c r="T2834" t="s">
        <v>110</v>
      </c>
      <c r="U2834">
        <v>0.82</v>
      </c>
      <c r="V2834">
        <v>188.4604501365597</v>
      </c>
      <c r="W2834">
        <v>6.0887222351811578</v>
      </c>
      <c r="X2834" t="s">
        <v>111</v>
      </c>
      <c r="Y2834">
        <v>13</v>
      </c>
      <c r="Z2834">
        <v>0.35682680185771348</v>
      </c>
      <c r="AA2834">
        <v>1</v>
      </c>
    </row>
    <row r="2835" spans="1:27" hidden="1" x14ac:dyDescent="0.25">
      <c r="A2835" t="s">
        <v>498</v>
      </c>
      <c r="B2835" t="s">
        <v>498</v>
      </c>
      <c r="C2835" t="s">
        <v>498</v>
      </c>
      <c r="D2835" t="s">
        <v>498</v>
      </c>
      <c r="E2835" t="s">
        <v>498</v>
      </c>
      <c r="F2835" t="s">
        <v>498</v>
      </c>
      <c r="G2835" t="s">
        <v>498</v>
      </c>
      <c r="H2835" t="s">
        <v>498</v>
      </c>
      <c r="I2835" t="s">
        <v>498</v>
      </c>
      <c r="J2835" t="s">
        <v>498</v>
      </c>
      <c r="K2835" t="s">
        <v>498</v>
      </c>
      <c r="L2835" t="s">
        <v>498</v>
      </c>
      <c r="M2835" t="s">
        <v>498</v>
      </c>
      <c r="N2835" t="s">
        <v>498</v>
      </c>
    </row>
    <row r="2836" spans="1:27" hidden="1" x14ac:dyDescent="0.25">
      <c r="A2836" t="s">
        <v>98</v>
      </c>
      <c r="B2836" t="s">
        <v>99</v>
      </c>
      <c r="D2836" t="s">
        <v>100</v>
      </c>
      <c r="E2836" t="s">
        <v>101</v>
      </c>
      <c r="F2836" t="s">
        <v>3284</v>
      </c>
      <c r="G2836" t="s">
        <v>103</v>
      </c>
      <c r="H2836" t="s">
        <v>131</v>
      </c>
      <c r="I2836">
        <v>2020</v>
      </c>
      <c r="J2836" t="s">
        <v>3285</v>
      </c>
      <c r="K2836" t="s">
        <v>133</v>
      </c>
      <c r="L2836" t="s">
        <v>107</v>
      </c>
      <c r="M2836" t="s">
        <v>3286</v>
      </c>
      <c r="N2836">
        <v>1</v>
      </c>
      <c r="O2836">
        <v>2020</v>
      </c>
      <c r="P2836">
        <v>276.38805693070748</v>
      </c>
      <c r="Q2836">
        <v>3.4548507116338438</v>
      </c>
      <c r="R2836" t="s">
        <v>109</v>
      </c>
      <c r="S2836">
        <v>1.3</v>
      </c>
      <c r="T2836" t="s">
        <v>110</v>
      </c>
      <c r="U2836">
        <v>1.3</v>
      </c>
      <c r="V2836">
        <v>943.07542176028164</v>
      </c>
      <c r="W2836">
        <v>11.788442772003521</v>
      </c>
      <c r="X2836" t="s">
        <v>111</v>
      </c>
      <c r="Y2836">
        <v>15</v>
      </c>
      <c r="Z2836">
        <v>0.35682680185771348</v>
      </c>
      <c r="AA2836">
        <v>1</v>
      </c>
    </row>
    <row r="2837" spans="1:27" hidden="1" x14ac:dyDescent="0.25">
      <c r="A2837" t="s">
        <v>98</v>
      </c>
      <c r="B2837" t="s">
        <v>499</v>
      </c>
      <c r="D2837" t="s">
        <v>100</v>
      </c>
      <c r="E2837" t="s">
        <v>101</v>
      </c>
      <c r="F2837" t="s">
        <v>3284</v>
      </c>
      <c r="G2837" t="s">
        <v>103</v>
      </c>
      <c r="H2837" t="s">
        <v>131</v>
      </c>
      <c r="I2837">
        <v>2020</v>
      </c>
      <c r="J2837" t="s">
        <v>3285</v>
      </c>
      <c r="K2837" t="s">
        <v>133</v>
      </c>
      <c r="L2837" t="s">
        <v>500</v>
      </c>
      <c r="M2837" t="s">
        <v>3287</v>
      </c>
      <c r="N2837">
        <v>1</v>
      </c>
      <c r="O2837">
        <v>2020</v>
      </c>
      <c r="P2837">
        <v>276.38805693070748</v>
      </c>
      <c r="Q2837">
        <v>3.4548507116338438</v>
      </c>
      <c r="R2837" t="s">
        <v>109</v>
      </c>
      <c r="S2837">
        <v>1.3</v>
      </c>
      <c r="T2837" t="s">
        <v>110</v>
      </c>
      <c r="U2837">
        <v>1.3</v>
      </c>
      <c r="V2837">
        <v>943.07542176028164</v>
      </c>
      <c r="W2837">
        <v>11.788442772003521</v>
      </c>
      <c r="X2837" t="s">
        <v>111</v>
      </c>
      <c r="Y2837">
        <v>15</v>
      </c>
      <c r="Z2837">
        <v>0.35682680185771348</v>
      </c>
      <c r="AA2837">
        <v>1</v>
      </c>
    </row>
    <row r="2838" spans="1:27" hidden="1" x14ac:dyDescent="0.25">
      <c r="A2838" t="s">
        <v>98</v>
      </c>
      <c r="B2838" t="s">
        <v>674</v>
      </c>
      <c r="D2838" t="s">
        <v>100</v>
      </c>
      <c r="E2838" t="s">
        <v>101</v>
      </c>
      <c r="F2838" t="s">
        <v>3284</v>
      </c>
      <c r="G2838" t="s">
        <v>103</v>
      </c>
      <c r="H2838" t="s">
        <v>131</v>
      </c>
      <c r="I2838">
        <v>2020</v>
      </c>
      <c r="J2838" t="s">
        <v>3285</v>
      </c>
      <c r="K2838" t="s">
        <v>133</v>
      </c>
      <c r="L2838" t="s">
        <v>675</v>
      </c>
      <c r="M2838" t="s">
        <v>3288</v>
      </c>
      <c r="N2838">
        <v>1</v>
      </c>
      <c r="O2838">
        <v>2020</v>
      </c>
      <c r="P2838">
        <v>276.38805693070748</v>
      </c>
      <c r="Q2838">
        <v>3.4548507116338438</v>
      </c>
      <c r="R2838" t="s">
        <v>109</v>
      </c>
      <c r="S2838">
        <v>1.3</v>
      </c>
      <c r="T2838" t="s">
        <v>110</v>
      </c>
      <c r="U2838">
        <v>1.3</v>
      </c>
      <c r="V2838">
        <v>943.07542176028164</v>
      </c>
      <c r="W2838">
        <v>11.788442772003521</v>
      </c>
      <c r="X2838" t="s">
        <v>111</v>
      </c>
      <c r="Y2838">
        <v>15</v>
      </c>
      <c r="Z2838">
        <v>0.35682680185771348</v>
      </c>
      <c r="AA2838">
        <v>1</v>
      </c>
    </row>
    <row r="2839" spans="1:27" hidden="1" x14ac:dyDescent="0.25">
      <c r="A2839" t="s">
        <v>98</v>
      </c>
      <c r="B2839" t="s">
        <v>849</v>
      </c>
      <c r="D2839" t="s">
        <v>100</v>
      </c>
      <c r="E2839" t="s">
        <v>101</v>
      </c>
      <c r="F2839" t="s">
        <v>3284</v>
      </c>
      <c r="G2839" t="s">
        <v>103</v>
      </c>
      <c r="H2839" t="s">
        <v>131</v>
      </c>
      <c r="I2839">
        <v>2020</v>
      </c>
      <c r="J2839" t="s">
        <v>3285</v>
      </c>
      <c r="K2839" t="s">
        <v>133</v>
      </c>
      <c r="L2839" t="s">
        <v>850</v>
      </c>
      <c r="M2839" t="s">
        <v>3289</v>
      </c>
      <c r="N2839">
        <v>1</v>
      </c>
      <c r="O2839">
        <v>2020</v>
      </c>
      <c r="P2839">
        <v>276.38805693070748</v>
      </c>
      <c r="Q2839">
        <v>3.4548507116338438</v>
      </c>
      <c r="R2839" t="s">
        <v>109</v>
      </c>
      <c r="S2839">
        <v>1.3</v>
      </c>
      <c r="T2839" t="s">
        <v>110</v>
      </c>
      <c r="U2839">
        <v>1.3</v>
      </c>
      <c r="V2839">
        <v>943.07542176028164</v>
      </c>
      <c r="W2839">
        <v>11.788442772003521</v>
      </c>
      <c r="X2839" t="s">
        <v>111</v>
      </c>
      <c r="Y2839">
        <v>15</v>
      </c>
      <c r="Z2839">
        <v>0.35682680185771348</v>
      </c>
      <c r="AA2839">
        <v>1</v>
      </c>
    </row>
    <row r="2840" spans="1:27" hidden="1" x14ac:dyDescent="0.25">
      <c r="A2840" t="s">
        <v>98</v>
      </c>
      <c r="B2840" t="s">
        <v>1024</v>
      </c>
      <c r="D2840" t="s">
        <v>100</v>
      </c>
      <c r="E2840" t="s">
        <v>101</v>
      </c>
      <c r="F2840" t="s">
        <v>3284</v>
      </c>
      <c r="G2840" t="s">
        <v>103</v>
      </c>
      <c r="H2840" t="s">
        <v>131</v>
      </c>
      <c r="I2840">
        <v>2020</v>
      </c>
      <c r="J2840" t="s">
        <v>3285</v>
      </c>
      <c r="K2840" t="s">
        <v>133</v>
      </c>
      <c r="L2840" t="s">
        <v>1025</v>
      </c>
      <c r="M2840" t="s">
        <v>3290</v>
      </c>
      <c r="N2840">
        <v>1</v>
      </c>
      <c r="O2840">
        <v>2020</v>
      </c>
      <c r="P2840">
        <v>276.38805693070748</v>
      </c>
      <c r="Q2840">
        <v>3.4548507116338438</v>
      </c>
      <c r="R2840" t="s">
        <v>109</v>
      </c>
      <c r="S2840">
        <v>1.3</v>
      </c>
      <c r="T2840" t="s">
        <v>110</v>
      </c>
      <c r="U2840">
        <v>1.3</v>
      </c>
      <c r="V2840">
        <v>943.07542176028164</v>
      </c>
      <c r="W2840">
        <v>11.788442772003521</v>
      </c>
      <c r="X2840" t="s">
        <v>111</v>
      </c>
      <c r="Y2840">
        <v>15</v>
      </c>
      <c r="Z2840">
        <v>0.35682680185771348</v>
      </c>
      <c r="AA2840">
        <v>1</v>
      </c>
    </row>
    <row r="2841" spans="1:27" hidden="1" x14ac:dyDescent="0.25">
      <c r="A2841" t="s">
        <v>98</v>
      </c>
      <c r="B2841" t="s">
        <v>1199</v>
      </c>
      <c r="D2841" t="s">
        <v>100</v>
      </c>
      <c r="E2841" t="s">
        <v>101</v>
      </c>
      <c r="F2841" t="s">
        <v>3284</v>
      </c>
      <c r="G2841" t="s">
        <v>103</v>
      </c>
      <c r="H2841" t="s">
        <v>131</v>
      </c>
      <c r="I2841">
        <v>2020</v>
      </c>
      <c r="J2841" t="s">
        <v>3285</v>
      </c>
      <c r="K2841" t="s">
        <v>133</v>
      </c>
      <c r="L2841" t="s">
        <v>1200</v>
      </c>
      <c r="M2841" t="s">
        <v>3291</v>
      </c>
      <c r="N2841">
        <v>1</v>
      </c>
      <c r="O2841">
        <v>2020</v>
      </c>
      <c r="P2841">
        <v>276.38805693070748</v>
      </c>
      <c r="Q2841">
        <v>3.4548507116338438</v>
      </c>
      <c r="R2841" t="s">
        <v>109</v>
      </c>
      <c r="S2841">
        <v>1.3</v>
      </c>
      <c r="T2841" t="s">
        <v>110</v>
      </c>
      <c r="U2841">
        <v>1.3</v>
      </c>
      <c r="V2841">
        <v>943.07542176028164</v>
      </c>
      <c r="W2841">
        <v>11.788442772003521</v>
      </c>
      <c r="X2841" t="s">
        <v>111</v>
      </c>
      <c r="Y2841">
        <v>15</v>
      </c>
      <c r="Z2841">
        <v>0.35682680185771348</v>
      </c>
      <c r="AA2841">
        <v>1</v>
      </c>
    </row>
    <row r="2842" spans="1:27" hidden="1" x14ac:dyDescent="0.25">
      <c r="A2842" t="s">
        <v>98</v>
      </c>
      <c r="B2842" t="s">
        <v>1374</v>
      </c>
      <c r="D2842" t="s">
        <v>100</v>
      </c>
      <c r="E2842" t="s">
        <v>101</v>
      </c>
      <c r="F2842" t="s">
        <v>3284</v>
      </c>
      <c r="G2842" t="s">
        <v>103</v>
      </c>
      <c r="H2842" t="s">
        <v>131</v>
      </c>
      <c r="I2842">
        <v>2020</v>
      </c>
      <c r="J2842" t="s">
        <v>3285</v>
      </c>
      <c r="K2842" t="s">
        <v>133</v>
      </c>
      <c r="L2842" t="s">
        <v>1375</v>
      </c>
      <c r="M2842" t="s">
        <v>3292</v>
      </c>
      <c r="N2842">
        <v>1</v>
      </c>
      <c r="O2842">
        <v>2020</v>
      </c>
      <c r="P2842">
        <v>276.38805693070748</v>
      </c>
      <c r="Q2842">
        <v>3.4548507116338438</v>
      </c>
      <c r="R2842" t="s">
        <v>109</v>
      </c>
      <c r="S2842">
        <v>1.3</v>
      </c>
      <c r="T2842" t="s">
        <v>110</v>
      </c>
      <c r="U2842">
        <v>1.3</v>
      </c>
      <c r="V2842">
        <v>943.07542176028164</v>
      </c>
      <c r="W2842">
        <v>11.788442772003521</v>
      </c>
      <c r="X2842" t="s">
        <v>111</v>
      </c>
      <c r="Y2842">
        <v>15</v>
      </c>
      <c r="Z2842">
        <v>0.35682680185771348</v>
      </c>
      <c r="AA2842">
        <v>1</v>
      </c>
    </row>
    <row r="2843" spans="1:27" hidden="1" x14ac:dyDescent="0.25">
      <c r="A2843" t="s">
        <v>98</v>
      </c>
      <c r="B2843" t="s">
        <v>1548</v>
      </c>
      <c r="D2843" t="s">
        <v>100</v>
      </c>
      <c r="E2843" t="s">
        <v>101</v>
      </c>
      <c r="F2843" t="s">
        <v>3284</v>
      </c>
      <c r="G2843" t="s">
        <v>103</v>
      </c>
      <c r="H2843" t="s">
        <v>131</v>
      </c>
      <c r="I2843">
        <v>2020</v>
      </c>
      <c r="J2843" t="s">
        <v>3285</v>
      </c>
      <c r="K2843" t="s">
        <v>133</v>
      </c>
      <c r="L2843" t="s">
        <v>1549</v>
      </c>
      <c r="M2843" t="s">
        <v>3293</v>
      </c>
      <c r="N2843">
        <v>1</v>
      </c>
      <c r="O2843">
        <v>2020</v>
      </c>
      <c r="P2843">
        <v>276.38805693070748</v>
      </c>
      <c r="Q2843">
        <v>3.4548507116338438</v>
      </c>
      <c r="R2843" t="s">
        <v>109</v>
      </c>
      <c r="S2843">
        <v>1.3</v>
      </c>
      <c r="T2843" t="s">
        <v>110</v>
      </c>
      <c r="U2843">
        <v>1.3</v>
      </c>
      <c r="V2843">
        <v>943.07542176028164</v>
      </c>
      <c r="W2843">
        <v>11.788442772003521</v>
      </c>
      <c r="X2843" t="s">
        <v>111</v>
      </c>
      <c r="Y2843">
        <v>15</v>
      </c>
      <c r="Z2843">
        <v>0.35682680185771348</v>
      </c>
      <c r="AA2843">
        <v>1</v>
      </c>
    </row>
    <row r="2844" spans="1:27" hidden="1" x14ac:dyDescent="0.25">
      <c r="A2844" t="s">
        <v>98</v>
      </c>
      <c r="B2844" t="s">
        <v>99</v>
      </c>
      <c r="D2844" t="s">
        <v>1722</v>
      </c>
      <c r="E2844" t="s">
        <v>101</v>
      </c>
      <c r="F2844" t="s">
        <v>3284</v>
      </c>
      <c r="G2844" t="s">
        <v>103</v>
      </c>
      <c r="H2844" t="s">
        <v>131</v>
      </c>
      <c r="I2844">
        <v>2020</v>
      </c>
      <c r="J2844" t="s">
        <v>3285</v>
      </c>
      <c r="K2844" t="s">
        <v>133</v>
      </c>
      <c r="L2844" t="s">
        <v>1723</v>
      </c>
      <c r="M2844" t="s">
        <v>3294</v>
      </c>
      <c r="N2844">
        <v>1</v>
      </c>
      <c r="O2844">
        <v>2020</v>
      </c>
      <c r="P2844">
        <v>276.38805693070748</v>
      </c>
      <c r="Q2844">
        <v>3.4548507116338438</v>
      </c>
      <c r="R2844" t="s">
        <v>109</v>
      </c>
      <c r="S2844">
        <v>1.3</v>
      </c>
      <c r="T2844" t="s">
        <v>110</v>
      </c>
      <c r="U2844">
        <v>1.3</v>
      </c>
      <c r="V2844">
        <v>943.07542176028164</v>
      </c>
      <c r="W2844">
        <v>11.788442772003521</v>
      </c>
      <c r="X2844" t="s">
        <v>111</v>
      </c>
      <c r="Y2844">
        <v>15</v>
      </c>
      <c r="Z2844">
        <v>0.35682680185771348</v>
      </c>
      <c r="AA2844">
        <v>1</v>
      </c>
    </row>
    <row r="2845" spans="1:27" hidden="1" x14ac:dyDescent="0.25">
      <c r="A2845" t="s">
        <v>98</v>
      </c>
      <c r="B2845" t="s">
        <v>499</v>
      </c>
      <c r="D2845" t="s">
        <v>1722</v>
      </c>
      <c r="E2845" t="s">
        <v>101</v>
      </c>
      <c r="F2845" t="s">
        <v>3284</v>
      </c>
      <c r="G2845" t="s">
        <v>103</v>
      </c>
      <c r="H2845" t="s">
        <v>131</v>
      </c>
      <c r="I2845">
        <v>2020</v>
      </c>
      <c r="J2845" t="s">
        <v>3285</v>
      </c>
      <c r="K2845" t="s">
        <v>133</v>
      </c>
      <c r="L2845" t="s">
        <v>1898</v>
      </c>
      <c r="M2845" t="s">
        <v>3295</v>
      </c>
      <c r="N2845">
        <v>1</v>
      </c>
      <c r="O2845">
        <v>2020</v>
      </c>
      <c r="P2845">
        <v>276.38805693070748</v>
      </c>
      <c r="Q2845">
        <v>3.4548507116338438</v>
      </c>
      <c r="R2845" t="s">
        <v>109</v>
      </c>
      <c r="S2845">
        <v>1.3</v>
      </c>
      <c r="T2845" t="s">
        <v>110</v>
      </c>
      <c r="U2845">
        <v>1.3</v>
      </c>
      <c r="V2845">
        <v>943.07542176028164</v>
      </c>
      <c r="W2845">
        <v>11.788442772003521</v>
      </c>
      <c r="X2845" t="s">
        <v>111</v>
      </c>
      <c r="Y2845">
        <v>15</v>
      </c>
      <c r="Z2845">
        <v>0.35682680185771348</v>
      </c>
      <c r="AA2845">
        <v>1</v>
      </c>
    </row>
    <row r="2846" spans="1:27" hidden="1" x14ac:dyDescent="0.25">
      <c r="A2846" t="s">
        <v>98</v>
      </c>
      <c r="B2846" t="s">
        <v>674</v>
      </c>
      <c r="D2846" t="s">
        <v>1722</v>
      </c>
      <c r="E2846" t="s">
        <v>101</v>
      </c>
      <c r="F2846" t="s">
        <v>3284</v>
      </c>
      <c r="G2846" t="s">
        <v>103</v>
      </c>
      <c r="H2846" t="s">
        <v>131</v>
      </c>
      <c r="I2846">
        <v>2020</v>
      </c>
      <c r="J2846" t="s">
        <v>3285</v>
      </c>
      <c r="K2846" t="s">
        <v>133</v>
      </c>
      <c r="L2846" t="s">
        <v>2072</v>
      </c>
      <c r="M2846" t="s">
        <v>3296</v>
      </c>
      <c r="N2846">
        <v>1</v>
      </c>
      <c r="O2846">
        <v>2020</v>
      </c>
      <c r="P2846">
        <v>276.38805693070748</v>
      </c>
      <c r="Q2846">
        <v>3.4548507116338438</v>
      </c>
      <c r="R2846" t="s">
        <v>109</v>
      </c>
      <c r="S2846">
        <v>1.3</v>
      </c>
      <c r="T2846" t="s">
        <v>110</v>
      </c>
      <c r="U2846">
        <v>1.3</v>
      </c>
      <c r="V2846">
        <v>943.07542176028164</v>
      </c>
      <c r="W2846">
        <v>11.788442772003521</v>
      </c>
      <c r="X2846" t="s">
        <v>111</v>
      </c>
      <c r="Y2846">
        <v>15</v>
      </c>
      <c r="Z2846">
        <v>0.44</v>
      </c>
      <c r="AA2846">
        <v>31.536000000000001</v>
      </c>
    </row>
    <row r="2847" spans="1:27" hidden="1" x14ac:dyDescent="0.25">
      <c r="A2847" t="s">
        <v>98</v>
      </c>
      <c r="B2847" t="s">
        <v>849</v>
      </c>
      <c r="D2847" t="s">
        <v>1722</v>
      </c>
      <c r="E2847" t="s">
        <v>101</v>
      </c>
      <c r="F2847" t="s">
        <v>3284</v>
      </c>
      <c r="G2847" t="s">
        <v>103</v>
      </c>
      <c r="H2847" t="s">
        <v>131</v>
      </c>
      <c r="I2847">
        <v>2020</v>
      </c>
      <c r="J2847" t="s">
        <v>3285</v>
      </c>
      <c r="K2847" t="s">
        <v>133</v>
      </c>
      <c r="L2847" t="s">
        <v>2246</v>
      </c>
      <c r="M2847" t="s">
        <v>3297</v>
      </c>
      <c r="N2847">
        <v>1</v>
      </c>
      <c r="O2847">
        <v>2020</v>
      </c>
      <c r="P2847">
        <v>276.38805693070748</v>
      </c>
      <c r="Q2847">
        <v>3.4548507116338438</v>
      </c>
      <c r="R2847" t="s">
        <v>109</v>
      </c>
      <c r="S2847">
        <v>1.3</v>
      </c>
      <c r="T2847" t="s">
        <v>110</v>
      </c>
      <c r="U2847">
        <v>1.3</v>
      </c>
      <c r="V2847">
        <v>943.07542176028164</v>
      </c>
      <c r="W2847">
        <v>11.788442772003521</v>
      </c>
      <c r="X2847" t="s">
        <v>111</v>
      </c>
      <c r="Y2847">
        <v>15</v>
      </c>
      <c r="Z2847">
        <v>0.44</v>
      </c>
      <c r="AA2847">
        <v>31.536000000000001</v>
      </c>
    </row>
    <row r="2848" spans="1:27" hidden="1" x14ac:dyDescent="0.25">
      <c r="A2848" t="s">
        <v>98</v>
      </c>
      <c r="B2848" t="s">
        <v>1024</v>
      </c>
      <c r="D2848" t="s">
        <v>1722</v>
      </c>
      <c r="E2848" t="s">
        <v>101</v>
      </c>
      <c r="F2848" t="s">
        <v>3284</v>
      </c>
      <c r="G2848" t="s">
        <v>103</v>
      </c>
      <c r="H2848" t="s">
        <v>131</v>
      </c>
      <c r="I2848">
        <v>2020</v>
      </c>
      <c r="J2848" t="s">
        <v>3285</v>
      </c>
      <c r="K2848" t="s">
        <v>133</v>
      </c>
      <c r="L2848" t="s">
        <v>2420</v>
      </c>
      <c r="M2848" t="s">
        <v>3298</v>
      </c>
      <c r="N2848">
        <v>1</v>
      </c>
      <c r="O2848">
        <v>2020</v>
      </c>
      <c r="P2848">
        <v>276.38805693070748</v>
      </c>
      <c r="Q2848">
        <v>3.4548507116338438</v>
      </c>
      <c r="R2848" t="s">
        <v>109</v>
      </c>
      <c r="S2848">
        <v>1.3</v>
      </c>
      <c r="T2848" t="s">
        <v>110</v>
      </c>
      <c r="U2848">
        <v>1.3</v>
      </c>
      <c r="V2848">
        <v>943.07542176028164</v>
      </c>
      <c r="W2848">
        <v>11.788442772003521</v>
      </c>
      <c r="X2848" t="s">
        <v>111</v>
      </c>
      <c r="Y2848">
        <v>15</v>
      </c>
      <c r="Z2848">
        <v>0.44</v>
      </c>
      <c r="AA2848">
        <v>31.536000000000001</v>
      </c>
    </row>
    <row r="2849" spans="1:27" hidden="1" x14ac:dyDescent="0.25">
      <c r="A2849" t="s">
        <v>98</v>
      </c>
      <c r="B2849" t="s">
        <v>1199</v>
      </c>
      <c r="D2849" t="s">
        <v>1722</v>
      </c>
      <c r="E2849" t="s">
        <v>101</v>
      </c>
      <c r="F2849" t="s">
        <v>3284</v>
      </c>
      <c r="G2849" t="s">
        <v>103</v>
      </c>
      <c r="H2849" t="s">
        <v>131</v>
      </c>
      <c r="I2849">
        <v>2020</v>
      </c>
      <c r="J2849" t="s">
        <v>3285</v>
      </c>
      <c r="K2849" t="s">
        <v>133</v>
      </c>
      <c r="L2849" t="s">
        <v>2594</v>
      </c>
      <c r="M2849" t="s">
        <v>3299</v>
      </c>
      <c r="N2849">
        <v>1</v>
      </c>
      <c r="O2849">
        <v>2020</v>
      </c>
      <c r="P2849">
        <v>276.38805693070748</v>
      </c>
      <c r="Q2849">
        <v>3.4548507116338438</v>
      </c>
      <c r="R2849" t="s">
        <v>109</v>
      </c>
      <c r="S2849">
        <v>1.3</v>
      </c>
      <c r="T2849" t="s">
        <v>110</v>
      </c>
      <c r="U2849">
        <v>1.3</v>
      </c>
      <c r="V2849">
        <v>943.07542176028164</v>
      </c>
      <c r="W2849">
        <v>11.788442772003521</v>
      </c>
      <c r="X2849" t="s">
        <v>111</v>
      </c>
      <c r="Y2849">
        <v>15</v>
      </c>
      <c r="Z2849">
        <v>0.44</v>
      </c>
      <c r="AA2849">
        <v>31.536000000000001</v>
      </c>
    </row>
    <row r="2850" spans="1:27" hidden="1" x14ac:dyDescent="0.25">
      <c r="A2850" t="s">
        <v>98</v>
      </c>
      <c r="B2850" t="s">
        <v>1374</v>
      </c>
      <c r="D2850" t="s">
        <v>1722</v>
      </c>
      <c r="E2850" t="s">
        <v>101</v>
      </c>
      <c r="F2850" t="s">
        <v>3284</v>
      </c>
      <c r="G2850" t="s">
        <v>103</v>
      </c>
      <c r="H2850" t="s">
        <v>131</v>
      </c>
      <c r="I2850">
        <v>2020</v>
      </c>
      <c r="J2850" t="s">
        <v>3285</v>
      </c>
      <c r="K2850" t="s">
        <v>133</v>
      </c>
      <c r="L2850" t="s">
        <v>2768</v>
      </c>
      <c r="M2850" t="s">
        <v>3300</v>
      </c>
      <c r="N2850">
        <v>1</v>
      </c>
      <c r="O2850">
        <v>2020</v>
      </c>
      <c r="P2850">
        <v>276.38805693070748</v>
      </c>
      <c r="Q2850">
        <v>3.4548507116338438</v>
      </c>
      <c r="R2850" t="s">
        <v>109</v>
      </c>
      <c r="S2850">
        <v>1.3</v>
      </c>
      <c r="T2850" t="s">
        <v>110</v>
      </c>
      <c r="U2850">
        <v>1.3</v>
      </c>
      <c r="V2850">
        <v>943.07542176028164</v>
      </c>
      <c r="W2850">
        <v>11.788442772003521</v>
      </c>
      <c r="X2850" t="s">
        <v>111</v>
      </c>
      <c r="Y2850">
        <v>15</v>
      </c>
      <c r="Z2850">
        <v>0.44</v>
      </c>
      <c r="AA2850">
        <v>31.536000000000001</v>
      </c>
    </row>
    <row r="2851" spans="1:27" hidden="1" x14ac:dyDescent="0.25">
      <c r="A2851" t="s">
        <v>98</v>
      </c>
      <c r="B2851" t="s">
        <v>1548</v>
      </c>
      <c r="D2851" t="s">
        <v>1722</v>
      </c>
      <c r="E2851" t="s">
        <v>101</v>
      </c>
      <c r="F2851" t="s">
        <v>3284</v>
      </c>
      <c r="G2851" t="s">
        <v>103</v>
      </c>
      <c r="H2851" t="s">
        <v>131</v>
      </c>
      <c r="I2851">
        <v>2020</v>
      </c>
      <c r="J2851" t="s">
        <v>3285</v>
      </c>
      <c r="K2851" t="s">
        <v>133</v>
      </c>
      <c r="L2851" t="s">
        <v>2941</v>
      </c>
      <c r="M2851" t="s">
        <v>3301</v>
      </c>
      <c r="N2851">
        <v>1</v>
      </c>
      <c r="O2851">
        <v>2020</v>
      </c>
      <c r="P2851">
        <v>276.38805693070748</v>
      </c>
      <c r="Q2851">
        <v>3.4548507116338438</v>
      </c>
      <c r="R2851" t="s">
        <v>109</v>
      </c>
      <c r="S2851">
        <v>1.3</v>
      </c>
      <c r="T2851" t="s">
        <v>110</v>
      </c>
      <c r="U2851">
        <v>1.3</v>
      </c>
      <c r="V2851">
        <v>943.07542176028164</v>
      </c>
      <c r="W2851">
        <v>11.788442772003521</v>
      </c>
      <c r="X2851" t="s">
        <v>111</v>
      </c>
      <c r="Y2851">
        <v>15</v>
      </c>
      <c r="Z2851">
        <v>0.44</v>
      </c>
      <c r="AA2851">
        <v>31.536000000000001</v>
      </c>
    </row>
    <row r="2852" spans="1:27" hidden="1" x14ac:dyDescent="0.25">
      <c r="A2852" t="s">
        <v>98</v>
      </c>
      <c r="B2852" t="s">
        <v>99</v>
      </c>
      <c r="D2852" t="s">
        <v>100</v>
      </c>
      <c r="E2852" t="s">
        <v>101</v>
      </c>
      <c r="F2852" t="s">
        <v>130</v>
      </c>
      <c r="G2852" t="s">
        <v>103</v>
      </c>
      <c r="H2852" t="s">
        <v>131</v>
      </c>
      <c r="I2852">
        <v>2017</v>
      </c>
      <c r="J2852" t="s">
        <v>3302</v>
      </c>
      <c r="K2852" t="s">
        <v>133</v>
      </c>
      <c r="L2852" t="s">
        <v>107</v>
      </c>
      <c r="M2852" t="s">
        <v>134</v>
      </c>
      <c r="N2852">
        <v>1</v>
      </c>
      <c r="O2852">
        <v>2020</v>
      </c>
      <c r="P2852">
        <v>335.32374554093201</v>
      </c>
      <c r="Q2852">
        <v>6.3000218859205397</v>
      </c>
      <c r="R2852" t="s">
        <v>109</v>
      </c>
      <c r="S2852">
        <v>1.4</v>
      </c>
      <c r="T2852" t="s">
        <v>110</v>
      </c>
      <c r="U2852">
        <v>1.4</v>
      </c>
      <c r="V2852">
        <v>1144.172386694459</v>
      </c>
      <c r="W2852">
        <v>21.496572113653482</v>
      </c>
      <c r="X2852" t="s">
        <v>111</v>
      </c>
      <c r="Y2852">
        <v>15</v>
      </c>
      <c r="Z2852">
        <v>0.44</v>
      </c>
      <c r="AA2852">
        <v>31.536000000000001</v>
      </c>
    </row>
    <row r="2853" spans="1:27" hidden="1" x14ac:dyDescent="0.25">
      <c r="A2853" t="s">
        <v>98</v>
      </c>
      <c r="B2853" t="s">
        <v>499</v>
      </c>
      <c r="D2853" t="s">
        <v>100</v>
      </c>
      <c r="E2853" t="s">
        <v>101</v>
      </c>
      <c r="F2853" t="s">
        <v>130</v>
      </c>
      <c r="G2853" t="s">
        <v>103</v>
      </c>
      <c r="H2853" t="s">
        <v>131</v>
      </c>
      <c r="I2853">
        <v>2017</v>
      </c>
      <c r="J2853" t="s">
        <v>3302</v>
      </c>
      <c r="K2853" t="s">
        <v>133</v>
      </c>
      <c r="L2853" t="s">
        <v>500</v>
      </c>
      <c r="M2853" t="s">
        <v>510</v>
      </c>
      <c r="N2853">
        <v>1</v>
      </c>
      <c r="O2853">
        <v>2020</v>
      </c>
      <c r="P2853">
        <v>335.32374554093201</v>
      </c>
      <c r="Q2853">
        <v>6.3000218859205397</v>
      </c>
      <c r="R2853" t="s">
        <v>109</v>
      </c>
      <c r="S2853">
        <v>1.4</v>
      </c>
      <c r="T2853" t="s">
        <v>110</v>
      </c>
      <c r="U2853">
        <v>1.4</v>
      </c>
      <c r="V2853">
        <v>1144.172386694459</v>
      </c>
      <c r="W2853">
        <v>21.496572113653482</v>
      </c>
      <c r="X2853" t="s">
        <v>111</v>
      </c>
      <c r="Y2853">
        <v>15</v>
      </c>
      <c r="Z2853">
        <v>0.44</v>
      </c>
      <c r="AA2853">
        <v>31.536000000000001</v>
      </c>
    </row>
    <row r="2854" spans="1:27" hidden="1" x14ac:dyDescent="0.25">
      <c r="A2854" t="s">
        <v>98</v>
      </c>
      <c r="B2854" t="s">
        <v>674</v>
      </c>
      <c r="D2854" t="s">
        <v>100</v>
      </c>
      <c r="E2854" t="s">
        <v>101</v>
      </c>
      <c r="F2854" t="s">
        <v>130</v>
      </c>
      <c r="G2854" t="s">
        <v>103</v>
      </c>
      <c r="H2854" t="s">
        <v>131</v>
      </c>
      <c r="I2854">
        <v>2017</v>
      </c>
      <c r="J2854" t="s">
        <v>3302</v>
      </c>
      <c r="K2854" t="s">
        <v>133</v>
      </c>
      <c r="L2854" t="s">
        <v>675</v>
      </c>
      <c r="M2854" t="s">
        <v>685</v>
      </c>
      <c r="N2854">
        <v>1</v>
      </c>
      <c r="O2854">
        <v>2020</v>
      </c>
      <c r="P2854">
        <v>335.32374554093201</v>
      </c>
      <c r="Q2854">
        <v>6.3000218859205397</v>
      </c>
      <c r="R2854" t="s">
        <v>109</v>
      </c>
      <c r="S2854">
        <v>1.4</v>
      </c>
      <c r="T2854" t="s">
        <v>110</v>
      </c>
      <c r="U2854">
        <v>1.4</v>
      </c>
      <c r="V2854">
        <v>1144.172386694459</v>
      </c>
      <c r="W2854">
        <v>21.496572113653482</v>
      </c>
      <c r="X2854" t="s">
        <v>111</v>
      </c>
      <c r="Y2854">
        <v>15</v>
      </c>
      <c r="Z2854">
        <v>0.44</v>
      </c>
      <c r="AA2854">
        <v>31.536000000000001</v>
      </c>
    </row>
    <row r="2855" spans="1:27" hidden="1" x14ac:dyDescent="0.25">
      <c r="A2855" t="s">
        <v>98</v>
      </c>
      <c r="B2855" t="s">
        <v>849</v>
      </c>
      <c r="D2855" t="s">
        <v>100</v>
      </c>
      <c r="E2855" t="s">
        <v>101</v>
      </c>
      <c r="F2855" t="s">
        <v>130</v>
      </c>
      <c r="G2855" t="s">
        <v>103</v>
      </c>
      <c r="H2855" t="s">
        <v>131</v>
      </c>
      <c r="I2855">
        <v>2017</v>
      </c>
      <c r="J2855" t="s">
        <v>3302</v>
      </c>
      <c r="K2855" t="s">
        <v>133</v>
      </c>
      <c r="L2855" t="s">
        <v>850</v>
      </c>
      <c r="M2855" t="s">
        <v>860</v>
      </c>
      <c r="N2855">
        <v>1</v>
      </c>
      <c r="O2855">
        <v>2020</v>
      </c>
      <c r="P2855">
        <v>335.32374554093201</v>
      </c>
      <c r="Q2855">
        <v>6.3000218859205397</v>
      </c>
      <c r="R2855" t="s">
        <v>109</v>
      </c>
      <c r="S2855">
        <v>1.4</v>
      </c>
      <c r="T2855" t="s">
        <v>110</v>
      </c>
      <c r="U2855">
        <v>1.4</v>
      </c>
      <c r="V2855">
        <v>1144.172386694459</v>
      </c>
      <c r="W2855">
        <v>21.496572113653482</v>
      </c>
      <c r="X2855" t="s">
        <v>111</v>
      </c>
      <c r="Y2855">
        <v>15</v>
      </c>
      <c r="Z2855">
        <v>0.44</v>
      </c>
      <c r="AA2855">
        <v>31.536000000000001</v>
      </c>
    </row>
    <row r="2856" spans="1:27" hidden="1" x14ac:dyDescent="0.25">
      <c r="A2856" t="s">
        <v>98</v>
      </c>
      <c r="B2856" t="s">
        <v>1024</v>
      </c>
      <c r="D2856" t="s">
        <v>100</v>
      </c>
      <c r="E2856" t="s">
        <v>101</v>
      </c>
      <c r="F2856" t="s">
        <v>130</v>
      </c>
      <c r="G2856" t="s">
        <v>103</v>
      </c>
      <c r="H2856" t="s">
        <v>131</v>
      </c>
      <c r="I2856">
        <v>2017</v>
      </c>
      <c r="J2856" t="s">
        <v>3302</v>
      </c>
      <c r="K2856" t="s">
        <v>133</v>
      </c>
      <c r="L2856" t="s">
        <v>1025</v>
      </c>
      <c r="M2856" t="s">
        <v>1035</v>
      </c>
      <c r="N2856">
        <v>1</v>
      </c>
      <c r="O2856">
        <v>2020</v>
      </c>
      <c r="P2856">
        <v>335.32374554093201</v>
      </c>
      <c r="Q2856">
        <v>6.3000218859205397</v>
      </c>
      <c r="R2856" t="s">
        <v>109</v>
      </c>
      <c r="S2856">
        <v>1.4</v>
      </c>
      <c r="T2856" t="s">
        <v>110</v>
      </c>
      <c r="U2856">
        <v>1.4</v>
      </c>
      <c r="V2856">
        <v>1144.172386694459</v>
      </c>
      <c r="W2856">
        <v>21.496572113653482</v>
      </c>
      <c r="X2856" t="s">
        <v>111</v>
      </c>
      <c r="Y2856">
        <v>15</v>
      </c>
      <c r="Z2856">
        <v>0.44</v>
      </c>
      <c r="AA2856">
        <v>31.536000000000001</v>
      </c>
    </row>
    <row r="2857" spans="1:27" hidden="1" x14ac:dyDescent="0.25">
      <c r="A2857" t="s">
        <v>98</v>
      </c>
      <c r="B2857" t="s">
        <v>1199</v>
      </c>
      <c r="D2857" t="s">
        <v>100</v>
      </c>
      <c r="E2857" t="s">
        <v>101</v>
      </c>
      <c r="F2857" t="s">
        <v>130</v>
      </c>
      <c r="G2857" t="s">
        <v>103</v>
      </c>
      <c r="H2857" t="s">
        <v>131</v>
      </c>
      <c r="I2857">
        <v>2017</v>
      </c>
      <c r="J2857" t="s">
        <v>3302</v>
      </c>
      <c r="K2857" t="s">
        <v>133</v>
      </c>
      <c r="L2857" t="s">
        <v>1200</v>
      </c>
      <c r="M2857" t="s">
        <v>1210</v>
      </c>
      <c r="N2857">
        <v>1</v>
      </c>
      <c r="O2857">
        <v>2020</v>
      </c>
      <c r="P2857">
        <v>335.32374554093201</v>
      </c>
      <c r="Q2857">
        <v>6.3000218859205397</v>
      </c>
      <c r="R2857" t="s">
        <v>109</v>
      </c>
      <c r="S2857">
        <v>1.4</v>
      </c>
      <c r="T2857" t="s">
        <v>110</v>
      </c>
      <c r="U2857">
        <v>1.4</v>
      </c>
      <c r="V2857">
        <v>1144.172386694459</v>
      </c>
      <c r="W2857">
        <v>21.496572113653482</v>
      </c>
      <c r="X2857" t="s">
        <v>111</v>
      </c>
      <c r="Y2857">
        <v>15</v>
      </c>
      <c r="Z2857">
        <v>0.44</v>
      </c>
      <c r="AA2857">
        <v>31.536000000000001</v>
      </c>
    </row>
    <row r="2858" spans="1:27" hidden="1" x14ac:dyDescent="0.25">
      <c r="A2858" t="s">
        <v>98</v>
      </c>
      <c r="B2858" t="s">
        <v>1374</v>
      </c>
      <c r="D2858" t="s">
        <v>100</v>
      </c>
      <c r="E2858" t="s">
        <v>101</v>
      </c>
      <c r="F2858" t="s">
        <v>130</v>
      </c>
      <c r="G2858" t="s">
        <v>103</v>
      </c>
      <c r="H2858" t="s">
        <v>131</v>
      </c>
      <c r="I2858">
        <v>2017</v>
      </c>
      <c r="J2858" t="s">
        <v>3302</v>
      </c>
      <c r="K2858" t="s">
        <v>133</v>
      </c>
      <c r="L2858" t="s">
        <v>1375</v>
      </c>
      <c r="M2858" t="s">
        <v>1384</v>
      </c>
      <c r="N2858">
        <v>1</v>
      </c>
      <c r="O2858">
        <v>2020</v>
      </c>
      <c r="P2858">
        <v>335.32374554093201</v>
      </c>
      <c r="Q2858">
        <v>6.3000218859205397</v>
      </c>
      <c r="R2858" t="s">
        <v>109</v>
      </c>
      <c r="S2858">
        <v>1.4</v>
      </c>
      <c r="T2858" t="s">
        <v>110</v>
      </c>
      <c r="U2858">
        <v>1.4</v>
      </c>
      <c r="V2858">
        <v>1144.172386694459</v>
      </c>
      <c r="W2858">
        <v>21.496572113653482</v>
      </c>
      <c r="X2858" t="s">
        <v>111</v>
      </c>
      <c r="Y2858">
        <v>15</v>
      </c>
      <c r="Z2858">
        <v>0.44</v>
      </c>
      <c r="AA2858">
        <v>31.536000000000001</v>
      </c>
    </row>
    <row r="2859" spans="1:27" hidden="1" x14ac:dyDescent="0.25">
      <c r="A2859" t="s">
        <v>98</v>
      </c>
      <c r="B2859" t="s">
        <v>1548</v>
      </c>
      <c r="D2859" t="s">
        <v>100</v>
      </c>
      <c r="E2859" t="s">
        <v>101</v>
      </c>
      <c r="F2859" t="s">
        <v>130</v>
      </c>
      <c r="G2859" t="s">
        <v>103</v>
      </c>
      <c r="H2859" t="s">
        <v>131</v>
      </c>
      <c r="I2859">
        <v>2017</v>
      </c>
      <c r="J2859" t="s">
        <v>3302</v>
      </c>
      <c r="K2859" t="s">
        <v>133</v>
      </c>
      <c r="L2859" t="s">
        <v>1549</v>
      </c>
      <c r="M2859" t="s">
        <v>1558</v>
      </c>
      <c r="N2859">
        <v>1</v>
      </c>
      <c r="O2859">
        <v>2020</v>
      </c>
      <c r="P2859">
        <v>335.32374554093201</v>
      </c>
      <c r="Q2859">
        <v>6.3000218859205397</v>
      </c>
      <c r="R2859" t="s">
        <v>109</v>
      </c>
      <c r="S2859">
        <v>1.4</v>
      </c>
      <c r="T2859" t="s">
        <v>110</v>
      </c>
      <c r="U2859">
        <v>1.4</v>
      </c>
      <c r="V2859">
        <v>1144.172386694459</v>
      </c>
      <c r="W2859">
        <v>21.496572113653482</v>
      </c>
      <c r="X2859" t="s">
        <v>111</v>
      </c>
      <c r="Y2859">
        <v>15</v>
      </c>
      <c r="Z2859">
        <v>0.44</v>
      </c>
      <c r="AA2859">
        <v>31.536000000000001</v>
      </c>
    </row>
    <row r="2860" spans="1:27" hidden="1" x14ac:dyDescent="0.25">
      <c r="A2860" t="s">
        <v>98</v>
      </c>
      <c r="B2860" t="s">
        <v>99</v>
      </c>
      <c r="D2860" t="s">
        <v>1722</v>
      </c>
      <c r="E2860" t="s">
        <v>101</v>
      </c>
      <c r="F2860" t="s">
        <v>130</v>
      </c>
      <c r="G2860" t="s">
        <v>103</v>
      </c>
      <c r="H2860" t="s">
        <v>131</v>
      </c>
      <c r="I2860">
        <v>2017</v>
      </c>
      <c r="J2860" t="s">
        <v>3302</v>
      </c>
      <c r="K2860" t="s">
        <v>133</v>
      </c>
      <c r="L2860" t="s">
        <v>1723</v>
      </c>
      <c r="M2860" t="s">
        <v>1733</v>
      </c>
      <c r="N2860">
        <v>1</v>
      </c>
      <c r="O2860">
        <v>2020</v>
      </c>
      <c r="P2860">
        <v>335.32374554093201</v>
      </c>
      <c r="Q2860">
        <v>6.3000218859205397</v>
      </c>
      <c r="R2860" t="s">
        <v>109</v>
      </c>
      <c r="S2860">
        <v>1.4</v>
      </c>
      <c r="T2860" t="s">
        <v>110</v>
      </c>
      <c r="U2860">
        <v>1.4</v>
      </c>
      <c r="V2860">
        <v>1144.172386694459</v>
      </c>
      <c r="W2860">
        <v>21.496572113653482</v>
      </c>
      <c r="X2860" t="s">
        <v>111</v>
      </c>
      <c r="Y2860">
        <v>15</v>
      </c>
      <c r="Z2860">
        <v>0.44</v>
      </c>
      <c r="AA2860">
        <v>31.536000000000001</v>
      </c>
    </row>
    <row r="2861" spans="1:27" hidden="1" x14ac:dyDescent="0.25">
      <c r="A2861" t="s">
        <v>98</v>
      </c>
      <c r="B2861" t="s">
        <v>499</v>
      </c>
      <c r="D2861" t="s">
        <v>1722</v>
      </c>
      <c r="E2861" t="s">
        <v>101</v>
      </c>
      <c r="F2861" t="s">
        <v>130</v>
      </c>
      <c r="G2861" t="s">
        <v>103</v>
      </c>
      <c r="H2861" t="s">
        <v>131</v>
      </c>
      <c r="I2861">
        <v>2017</v>
      </c>
      <c r="J2861" t="s">
        <v>3302</v>
      </c>
      <c r="K2861" t="s">
        <v>133</v>
      </c>
      <c r="L2861" t="s">
        <v>1898</v>
      </c>
      <c r="M2861" t="s">
        <v>1908</v>
      </c>
      <c r="N2861">
        <v>1</v>
      </c>
      <c r="O2861">
        <v>2020</v>
      </c>
      <c r="P2861">
        <v>335.32374554093201</v>
      </c>
      <c r="Q2861">
        <v>6.3000218859205397</v>
      </c>
      <c r="R2861" t="s">
        <v>109</v>
      </c>
      <c r="S2861">
        <v>1.4</v>
      </c>
      <c r="T2861" t="s">
        <v>110</v>
      </c>
      <c r="U2861">
        <v>1.4</v>
      </c>
      <c r="V2861">
        <v>1144.172386694459</v>
      </c>
      <c r="W2861">
        <v>21.496572113653482</v>
      </c>
      <c r="X2861" t="s">
        <v>111</v>
      </c>
      <c r="Y2861">
        <v>15</v>
      </c>
      <c r="Z2861">
        <v>0.44</v>
      </c>
      <c r="AA2861">
        <v>31.536000000000001</v>
      </c>
    </row>
    <row r="2862" spans="1:27" hidden="1" x14ac:dyDescent="0.25">
      <c r="A2862" t="s">
        <v>98</v>
      </c>
      <c r="B2862" t="s">
        <v>674</v>
      </c>
      <c r="D2862" t="s">
        <v>1722</v>
      </c>
      <c r="E2862" t="s">
        <v>101</v>
      </c>
      <c r="F2862" t="s">
        <v>130</v>
      </c>
      <c r="G2862" t="s">
        <v>103</v>
      </c>
      <c r="H2862" t="s">
        <v>131</v>
      </c>
      <c r="I2862">
        <v>2017</v>
      </c>
      <c r="J2862" t="s">
        <v>3302</v>
      </c>
      <c r="K2862" t="s">
        <v>133</v>
      </c>
      <c r="L2862" t="s">
        <v>2072</v>
      </c>
      <c r="M2862" t="s">
        <v>2082</v>
      </c>
      <c r="N2862">
        <v>1</v>
      </c>
      <c r="O2862">
        <v>2020</v>
      </c>
      <c r="P2862">
        <v>335.32374554093201</v>
      </c>
      <c r="Q2862">
        <v>6.3000218859205397</v>
      </c>
      <c r="R2862" t="s">
        <v>109</v>
      </c>
      <c r="S2862">
        <v>1.4</v>
      </c>
      <c r="T2862" t="s">
        <v>110</v>
      </c>
      <c r="U2862">
        <v>1.4</v>
      </c>
      <c r="V2862">
        <v>1144.172386694459</v>
      </c>
      <c r="W2862">
        <v>21.496572113653482</v>
      </c>
      <c r="X2862" t="s">
        <v>111</v>
      </c>
      <c r="Y2862">
        <v>15</v>
      </c>
      <c r="Z2862">
        <v>0.44</v>
      </c>
      <c r="AA2862">
        <v>31.536000000000001</v>
      </c>
    </row>
    <row r="2863" spans="1:27" hidden="1" x14ac:dyDescent="0.25">
      <c r="A2863" t="s">
        <v>98</v>
      </c>
      <c r="B2863" t="s">
        <v>849</v>
      </c>
      <c r="D2863" t="s">
        <v>1722</v>
      </c>
      <c r="E2863" t="s">
        <v>101</v>
      </c>
      <c r="F2863" t="s">
        <v>130</v>
      </c>
      <c r="G2863" t="s">
        <v>103</v>
      </c>
      <c r="H2863" t="s">
        <v>131</v>
      </c>
      <c r="I2863">
        <v>2017</v>
      </c>
      <c r="J2863" t="s">
        <v>3302</v>
      </c>
      <c r="K2863" t="s">
        <v>133</v>
      </c>
      <c r="L2863" t="s">
        <v>2246</v>
      </c>
      <c r="M2863" t="s">
        <v>2256</v>
      </c>
      <c r="N2863">
        <v>1</v>
      </c>
      <c r="O2863">
        <v>2020</v>
      </c>
      <c r="P2863">
        <v>335.32374554093201</v>
      </c>
      <c r="Q2863">
        <v>6.3000218859205397</v>
      </c>
      <c r="R2863" t="s">
        <v>109</v>
      </c>
      <c r="S2863">
        <v>1.4</v>
      </c>
      <c r="T2863" t="s">
        <v>110</v>
      </c>
      <c r="U2863">
        <v>1.4</v>
      </c>
      <c r="V2863">
        <v>1144.172386694459</v>
      </c>
      <c r="W2863">
        <v>21.496572113653482</v>
      </c>
      <c r="X2863" t="s">
        <v>111</v>
      </c>
      <c r="Y2863">
        <v>15</v>
      </c>
      <c r="Z2863">
        <v>0.44</v>
      </c>
      <c r="AA2863">
        <v>31.536000000000001</v>
      </c>
    </row>
    <row r="2864" spans="1:27" hidden="1" x14ac:dyDescent="0.25">
      <c r="A2864" t="s">
        <v>98</v>
      </c>
      <c r="B2864" t="s">
        <v>1024</v>
      </c>
      <c r="D2864" t="s">
        <v>1722</v>
      </c>
      <c r="E2864" t="s">
        <v>101</v>
      </c>
      <c r="F2864" t="s">
        <v>130</v>
      </c>
      <c r="G2864" t="s">
        <v>103</v>
      </c>
      <c r="H2864" t="s">
        <v>131</v>
      </c>
      <c r="I2864">
        <v>2017</v>
      </c>
      <c r="J2864" t="s">
        <v>3302</v>
      </c>
      <c r="K2864" t="s">
        <v>133</v>
      </c>
      <c r="L2864" t="s">
        <v>2420</v>
      </c>
      <c r="M2864" t="s">
        <v>2430</v>
      </c>
      <c r="N2864">
        <v>1</v>
      </c>
      <c r="O2864">
        <v>2020</v>
      </c>
      <c r="P2864">
        <v>335.32374554093201</v>
      </c>
      <c r="Q2864">
        <v>6.3000218859205397</v>
      </c>
      <c r="R2864" t="s">
        <v>109</v>
      </c>
      <c r="S2864">
        <v>1.4</v>
      </c>
      <c r="T2864" t="s">
        <v>110</v>
      </c>
      <c r="U2864">
        <v>1.4</v>
      </c>
      <c r="V2864">
        <v>1144.172386694459</v>
      </c>
      <c r="W2864">
        <v>21.496572113653482</v>
      </c>
      <c r="X2864" t="s">
        <v>111</v>
      </c>
      <c r="Y2864">
        <v>15</v>
      </c>
      <c r="Z2864">
        <v>0.44</v>
      </c>
      <c r="AA2864">
        <v>31.536000000000001</v>
      </c>
    </row>
    <row r="2865" spans="1:27" hidden="1" x14ac:dyDescent="0.25">
      <c r="A2865" t="s">
        <v>98</v>
      </c>
      <c r="B2865" t="s">
        <v>1199</v>
      </c>
      <c r="D2865" t="s">
        <v>1722</v>
      </c>
      <c r="E2865" t="s">
        <v>101</v>
      </c>
      <c r="F2865" t="s">
        <v>130</v>
      </c>
      <c r="G2865" t="s">
        <v>103</v>
      </c>
      <c r="H2865" t="s">
        <v>131</v>
      </c>
      <c r="I2865">
        <v>2017</v>
      </c>
      <c r="J2865" t="s">
        <v>3302</v>
      </c>
      <c r="K2865" t="s">
        <v>133</v>
      </c>
      <c r="L2865" t="s">
        <v>2594</v>
      </c>
      <c r="M2865" t="s">
        <v>2604</v>
      </c>
      <c r="N2865">
        <v>1</v>
      </c>
      <c r="O2865">
        <v>2020</v>
      </c>
      <c r="P2865">
        <v>335.32374554093201</v>
      </c>
      <c r="Q2865">
        <v>6.3000218859205397</v>
      </c>
      <c r="R2865" t="s">
        <v>109</v>
      </c>
      <c r="S2865">
        <v>1.4</v>
      </c>
      <c r="T2865" t="s">
        <v>110</v>
      </c>
      <c r="U2865">
        <v>1.4</v>
      </c>
      <c r="V2865">
        <v>1144.172386694459</v>
      </c>
      <c r="W2865">
        <v>21.496572113653482</v>
      </c>
      <c r="X2865" t="s">
        <v>111</v>
      </c>
      <c r="Y2865">
        <v>15</v>
      </c>
      <c r="Z2865">
        <v>0.44</v>
      </c>
      <c r="AA2865">
        <v>31.536000000000001</v>
      </c>
    </row>
    <row r="2866" spans="1:27" hidden="1" x14ac:dyDescent="0.25">
      <c r="A2866" t="s">
        <v>98</v>
      </c>
      <c r="B2866" t="s">
        <v>1374</v>
      </c>
      <c r="D2866" t="s">
        <v>1722</v>
      </c>
      <c r="E2866" t="s">
        <v>101</v>
      </c>
      <c r="F2866" t="s">
        <v>130</v>
      </c>
      <c r="G2866" t="s">
        <v>103</v>
      </c>
      <c r="H2866" t="s">
        <v>131</v>
      </c>
      <c r="I2866">
        <v>2017</v>
      </c>
      <c r="J2866" t="s">
        <v>3302</v>
      </c>
      <c r="K2866" t="s">
        <v>133</v>
      </c>
      <c r="L2866" t="s">
        <v>2768</v>
      </c>
      <c r="M2866" t="s">
        <v>2777</v>
      </c>
      <c r="N2866">
        <v>1</v>
      </c>
      <c r="O2866">
        <v>2020</v>
      </c>
      <c r="P2866">
        <v>335.32374554093201</v>
      </c>
      <c r="Q2866">
        <v>6.3000218859205397</v>
      </c>
      <c r="R2866" t="s">
        <v>109</v>
      </c>
      <c r="S2866">
        <v>1.4</v>
      </c>
      <c r="T2866" t="s">
        <v>110</v>
      </c>
      <c r="U2866">
        <v>1.4</v>
      </c>
      <c r="V2866">
        <v>1144.172386694459</v>
      </c>
      <c r="W2866">
        <v>21.496572113653482</v>
      </c>
      <c r="X2866" t="s">
        <v>111</v>
      </c>
      <c r="Y2866">
        <v>15</v>
      </c>
      <c r="Z2866">
        <v>0.44</v>
      </c>
      <c r="AA2866">
        <v>31.536000000000001</v>
      </c>
    </row>
    <row r="2867" spans="1:27" hidden="1" x14ac:dyDescent="0.25">
      <c r="A2867" t="s">
        <v>98</v>
      </c>
      <c r="B2867" t="s">
        <v>1548</v>
      </c>
      <c r="D2867" t="s">
        <v>1722</v>
      </c>
      <c r="E2867" t="s">
        <v>101</v>
      </c>
      <c r="F2867" t="s">
        <v>130</v>
      </c>
      <c r="G2867" t="s">
        <v>103</v>
      </c>
      <c r="H2867" t="s">
        <v>131</v>
      </c>
      <c r="I2867">
        <v>2017</v>
      </c>
      <c r="J2867" t="s">
        <v>3302</v>
      </c>
      <c r="K2867" t="s">
        <v>133</v>
      </c>
      <c r="L2867" t="s">
        <v>2941</v>
      </c>
      <c r="M2867" t="s">
        <v>2950</v>
      </c>
      <c r="N2867">
        <v>1</v>
      </c>
      <c r="O2867">
        <v>2020</v>
      </c>
      <c r="P2867">
        <v>335.32374554093201</v>
      </c>
      <c r="Q2867">
        <v>6.3000218859205397</v>
      </c>
      <c r="R2867" t="s">
        <v>109</v>
      </c>
      <c r="S2867">
        <v>1.4</v>
      </c>
      <c r="T2867" t="s">
        <v>110</v>
      </c>
      <c r="U2867">
        <v>1.4</v>
      </c>
      <c r="V2867">
        <v>1144.172386694459</v>
      </c>
      <c r="W2867">
        <v>21.496572113653482</v>
      </c>
      <c r="X2867" t="s">
        <v>111</v>
      </c>
      <c r="Y2867">
        <v>15</v>
      </c>
      <c r="Z2867">
        <v>0.44</v>
      </c>
      <c r="AA2867">
        <v>31.536000000000001</v>
      </c>
    </row>
    <row r="2868" spans="1:27" hidden="1" x14ac:dyDescent="0.25">
      <c r="A2868" t="s">
        <v>98</v>
      </c>
      <c r="B2868" t="s">
        <v>99</v>
      </c>
      <c r="D2868" t="s">
        <v>100</v>
      </c>
      <c r="E2868" t="s">
        <v>101</v>
      </c>
      <c r="F2868" t="s">
        <v>135</v>
      </c>
      <c r="G2868" t="s">
        <v>103</v>
      </c>
      <c r="H2868" t="s">
        <v>104</v>
      </c>
      <c r="I2868">
        <v>2017</v>
      </c>
      <c r="J2868" t="s">
        <v>3303</v>
      </c>
      <c r="K2868" t="s">
        <v>106</v>
      </c>
      <c r="L2868" t="s">
        <v>107</v>
      </c>
      <c r="M2868" t="s">
        <v>3304</v>
      </c>
      <c r="N2868">
        <v>1</v>
      </c>
      <c r="O2868">
        <v>2020</v>
      </c>
      <c r="P2868">
        <v>27.157549308800931</v>
      </c>
      <c r="Q2868">
        <v>0.25424088714622151</v>
      </c>
      <c r="R2868" t="s">
        <v>109</v>
      </c>
      <c r="S2868">
        <v>0.93709999999999993</v>
      </c>
      <c r="T2868" t="s">
        <v>110</v>
      </c>
      <c r="U2868">
        <v>0.93709999999999993</v>
      </c>
      <c r="V2868">
        <v>92.665426837868381</v>
      </c>
      <c r="W2868">
        <v>0.86750612358855506</v>
      </c>
      <c r="X2868" t="s">
        <v>111</v>
      </c>
      <c r="Y2868">
        <v>15</v>
      </c>
      <c r="Z2868">
        <v>0.44</v>
      </c>
      <c r="AA2868">
        <v>31.536000000000001</v>
      </c>
    </row>
    <row r="2869" spans="1:27" hidden="1" x14ac:dyDescent="0.25">
      <c r="A2869" t="s">
        <v>98</v>
      </c>
      <c r="B2869" t="s">
        <v>499</v>
      </c>
      <c r="D2869" t="s">
        <v>100</v>
      </c>
      <c r="E2869" t="s">
        <v>101</v>
      </c>
      <c r="F2869" t="s">
        <v>135</v>
      </c>
      <c r="G2869" t="s">
        <v>103</v>
      </c>
      <c r="H2869" t="s">
        <v>104</v>
      </c>
      <c r="I2869">
        <v>2017</v>
      </c>
      <c r="J2869" t="s">
        <v>3303</v>
      </c>
      <c r="K2869" t="s">
        <v>106</v>
      </c>
      <c r="L2869" t="s">
        <v>500</v>
      </c>
      <c r="M2869" t="s">
        <v>3305</v>
      </c>
      <c r="N2869">
        <v>1</v>
      </c>
      <c r="O2869">
        <v>2020</v>
      </c>
      <c r="P2869">
        <v>27.157549308800931</v>
      </c>
      <c r="Q2869">
        <v>0.25424088714622151</v>
      </c>
      <c r="R2869" t="s">
        <v>109</v>
      </c>
      <c r="S2869">
        <v>0.93709999999999993</v>
      </c>
      <c r="T2869" t="s">
        <v>110</v>
      </c>
      <c r="U2869">
        <v>0.93709999999999993</v>
      </c>
      <c r="V2869">
        <v>92.665426837868381</v>
      </c>
      <c r="W2869">
        <v>0.86750612358855506</v>
      </c>
      <c r="X2869" t="s">
        <v>111</v>
      </c>
      <c r="Y2869">
        <v>15</v>
      </c>
      <c r="Z2869">
        <v>0.44</v>
      </c>
      <c r="AA2869">
        <v>31.536000000000001</v>
      </c>
    </row>
    <row r="2870" spans="1:27" hidden="1" x14ac:dyDescent="0.25">
      <c r="A2870" t="s">
        <v>98</v>
      </c>
      <c r="B2870" t="s">
        <v>674</v>
      </c>
      <c r="D2870" t="s">
        <v>100</v>
      </c>
      <c r="E2870" t="s">
        <v>101</v>
      </c>
      <c r="F2870" t="s">
        <v>135</v>
      </c>
      <c r="G2870" t="s">
        <v>103</v>
      </c>
      <c r="H2870" t="s">
        <v>104</v>
      </c>
      <c r="I2870">
        <v>2017</v>
      </c>
      <c r="J2870" t="s">
        <v>3303</v>
      </c>
      <c r="K2870" t="s">
        <v>106</v>
      </c>
      <c r="L2870" t="s">
        <v>675</v>
      </c>
      <c r="M2870" t="s">
        <v>3306</v>
      </c>
      <c r="N2870">
        <v>1</v>
      </c>
      <c r="O2870">
        <v>2020</v>
      </c>
      <c r="P2870">
        <v>27.157549308800931</v>
      </c>
      <c r="Q2870">
        <v>0.25424088714622151</v>
      </c>
      <c r="R2870" t="s">
        <v>109</v>
      </c>
      <c r="S2870">
        <v>0.93709999999999993</v>
      </c>
      <c r="T2870" t="s">
        <v>110</v>
      </c>
      <c r="U2870">
        <v>0.93709999999999993</v>
      </c>
      <c r="V2870">
        <v>92.665426837868381</v>
      </c>
      <c r="W2870">
        <v>0.86750612358855506</v>
      </c>
      <c r="X2870" t="s">
        <v>111</v>
      </c>
      <c r="Y2870">
        <v>15</v>
      </c>
      <c r="Z2870">
        <v>0.44</v>
      </c>
      <c r="AA2870">
        <v>31.536000000000001</v>
      </c>
    </row>
    <row r="2871" spans="1:27" hidden="1" x14ac:dyDescent="0.25">
      <c r="A2871" t="s">
        <v>98</v>
      </c>
      <c r="B2871" t="s">
        <v>849</v>
      </c>
      <c r="D2871" t="s">
        <v>100</v>
      </c>
      <c r="E2871" t="s">
        <v>101</v>
      </c>
      <c r="F2871" t="s">
        <v>135</v>
      </c>
      <c r="G2871" t="s">
        <v>103</v>
      </c>
      <c r="H2871" t="s">
        <v>104</v>
      </c>
      <c r="I2871">
        <v>2017</v>
      </c>
      <c r="J2871" t="s">
        <v>3303</v>
      </c>
      <c r="K2871" t="s">
        <v>106</v>
      </c>
      <c r="L2871" t="s">
        <v>850</v>
      </c>
      <c r="M2871" t="s">
        <v>3307</v>
      </c>
      <c r="N2871">
        <v>1</v>
      </c>
      <c r="O2871">
        <v>2020</v>
      </c>
      <c r="P2871">
        <v>27.157549308800931</v>
      </c>
      <c r="Q2871">
        <v>0.25424088714622151</v>
      </c>
      <c r="R2871" t="s">
        <v>109</v>
      </c>
      <c r="S2871">
        <v>0.93709999999999993</v>
      </c>
      <c r="T2871" t="s">
        <v>110</v>
      </c>
      <c r="U2871">
        <v>0.93709999999999993</v>
      </c>
      <c r="V2871">
        <v>92.665426837868381</v>
      </c>
      <c r="W2871">
        <v>0.86750612358855506</v>
      </c>
      <c r="X2871" t="s">
        <v>111</v>
      </c>
      <c r="Y2871">
        <v>15</v>
      </c>
      <c r="Z2871">
        <v>0.44</v>
      </c>
      <c r="AA2871">
        <v>31.536000000000001</v>
      </c>
    </row>
    <row r="2872" spans="1:27" hidden="1" x14ac:dyDescent="0.25">
      <c r="A2872" t="s">
        <v>98</v>
      </c>
      <c r="B2872" t="s">
        <v>1024</v>
      </c>
      <c r="D2872" t="s">
        <v>100</v>
      </c>
      <c r="E2872" t="s">
        <v>101</v>
      </c>
      <c r="F2872" t="s">
        <v>135</v>
      </c>
      <c r="G2872" t="s">
        <v>103</v>
      </c>
      <c r="H2872" t="s">
        <v>104</v>
      </c>
      <c r="I2872">
        <v>2017</v>
      </c>
      <c r="J2872" t="s">
        <v>3303</v>
      </c>
      <c r="K2872" t="s">
        <v>106</v>
      </c>
      <c r="L2872" t="s">
        <v>1025</v>
      </c>
      <c r="M2872" t="s">
        <v>3308</v>
      </c>
      <c r="N2872">
        <v>1</v>
      </c>
      <c r="O2872">
        <v>2020</v>
      </c>
      <c r="P2872">
        <v>27.157549308800931</v>
      </c>
      <c r="Q2872">
        <v>0.25424088714622151</v>
      </c>
      <c r="R2872" t="s">
        <v>109</v>
      </c>
      <c r="S2872">
        <v>0.93709999999999993</v>
      </c>
      <c r="T2872" t="s">
        <v>110</v>
      </c>
      <c r="U2872">
        <v>0.93709999999999993</v>
      </c>
      <c r="V2872">
        <v>92.665426837868381</v>
      </c>
      <c r="W2872">
        <v>0.86750612358855506</v>
      </c>
      <c r="X2872" t="s">
        <v>111</v>
      </c>
      <c r="Y2872">
        <v>15</v>
      </c>
      <c r="Z2872">
        <v>0.44</v>
      </c>
      <c r="AA2872">
        <v>31.536000000000001</v>
      </c>
    </row>
    <row r="2873" spans="1:27" hidden="1" x14ac:dyDescent="0.25">
      <c r="A2873" t="s">
        <v>98</v>
      </c>
      <c r="B2873" t="s">
        <v>1199</v>
      </c>
      <c r="D2873" t="s">
        <v>100</v>
      </c>
      <c r="E2873" t="s">
        <v>101</v>
      </c>
      <c r="F2873" t="s">
        <v>135</v>
      </c>
      <c r="G2873" t="s">
        <v>103</v>
      </c>
      <c r="H2873" t="s">
        <v>104</v>
      </c>
      <c r="I2873">
        <v>2017</v>
      </c>
      <c r="J2873" t="s">
        <v>3303</v>
      </c>
      <c r="K2873" t="s">
        <v>106</v>
      </c>
      <c r="L2873" t="s">
        <v>1200</v>
      </c>
      <c r="M2873" t="s">
        <v>3309</v>
      </c>
      <c r="N2873">
        <v>1</v>
      </c>
      <c r="O2873">
        <v>2020</v>
      </c>
      <c r="P2873">
        <v>27.157549308800931</v>
      </c>
      <c r="Q2873">
        <v>0.25424088714622151</v>
      </c>
      <c r="R2873" t="s">
        <v>109</v>
      </c>
      <c r="S2873">
        <v>0.93709999999999993</v>
      </c>
      <c r="T2873" t="s">
        <v>110</v>
      </c>
      <c r="U2873">
        <v>0.93709999999999993</v>
      </c>
      <c r="V2873">
        <v>92.665426837868381</v>
      </c>
      <c r="W2873">
        <v>0.86750612358855506</v>
      </c>
      <c r="X2873" t="s">
        <v>111</v>
      </c>
      <c r="Y2873">
        <v>15</v>
      </c>
      <c r="Z2873">
        <v>0</v>
      </c>
      <c r="AA2873">
        <v>0</v>
      </c>
    </row>
    <row r="2874" spans="1:27" hidden="1" x14ac:dyDescent="0.25">
      <c r="A2874" t="s">
        <v>98</v>
      </c>
      <c r="B2874" t="s">
        <v>1374</v>
      </c>
      <c r="D2874" t="s">
        <v>100</v>
      </c>
      <c r="E2874" t="s">
        <v>101</v>
      </c>
      <c r="F2874" t="s">
        <v>135</v>
      </c>
      <c r="G2874" t="s">
        <v>103</v>
      </c>
      <c r="H2874" t="s">
        <v>104</v>
      </c>
      <c r="I2874">
        <v>2017</v>
      </c>
      <c r="J2874" t="s">
        <v>3303</v>
      </c>
      <c r="K2874" t="s">
        <v>106</v>
      </c>
      <c r="L2874" t="s">
        <v>1375</v>
      </c>
      <c r="M2874" t="s">
        <v>3310</v>
      </c>
      <c r="N2874">
        <v>1</v>
      </c>
      <c r="O2874">
        <v>2020</v>
      </c>
      <c r="P2874">
        <v>27.157549308800931</v>
      </c>
      <c r="Q2874">
        <v>0.25424088714622151</v>
      </c>
      <c r="R2874" t="s">
        <v>109</v>
      </c>
      <c r="S2874">
        <v>0.93709999999999993</v>
      </c>
      <c r="T2874" t="s">
        <v>110</v>
      </c>
      <c r="U2874">
        <v>0.93709999999999993</v>
      </c>
      <c r="V2874">
        <v>92.665426837868381</v>
      </c>
      <c r="W2874">
        <v>0.86750612358855506</v>
      </c>
      <c r="X2874" t="s">
        <v>111</v>
      </c>
      <c r="Y2874">
        <v>15</v>
      </c>
      <c r="Z2874">
        <v>0.23552730994099891</v>
      </c>
      <c r="AA2874">
        <v>31.536000000000001</v>
      </c>
    </row>
    <row r="2875" spans="1:27" hidden="1" x14ac:dyDescent="0.25">
      <c r="A2875" t="s">
        <v>98</v>
      </c>
      <c r="B2875" t="s">
        <v>1548</v>
      </c>
      <c r="D2875" t="s">
        <v>100</v>
      </c>
      <c r="E2875" t="s">
        <v>101</v>
      </c>
      <c r="F2875" t="s">
        <v>135</v>
      </c>
      <c r="G2875" t="s">
        <v>103</v>
      </c>
      <c r="H2875" t="s">
        <v>104</v>
      </c>
      <c r="I2875">
        <v>2017</v>
      </c>
      <c r="J2875" t="s">
        <v>3303</v>
      </c>
      <c r="K2875" t="s">
        <v>106</v>
      </c>
      <c r="L2875" t="s">
        <v>1549</v>
      </c>
      <c r="M2875" t="s">
        <v>3311</v>
      </c>
      <c r="N2875">
        <v>1</v>
      </c>
      <c r="O2875">
        <v>2020</v>
      </c>
      <c r="P2875">
        <v>27.157549308800931</v>
      </c>
      <c r="Q2875">
        <v>0.25424088714622151</v>
      </c>
      <c r="R2875" t="s">
        <v>109</v>
      </c>
      <c r="S2875">
        <v>0.93709999999999993</v>
      </c>
      <c r="T2875" t="s">
        <v>110</v>
      </c>
      <c r="U2875">
        <v>0.93709999999999993</v>
      </c>
      <c r="V2875">
        <v>92.665426837868381</v>
      </c>
      <c r="W2875">
        <v>0.86750612358855506</v>
      </c>
      <c r="X2875" t="s">
        <v>111</v>
      </c>
      <c r="Y2875">
        <v>15</v>
      </c>
      <c r="Z2875">
        <v>0.23552730994099891</v>
      </c>
      <c r="AA2875">
        <v>31.536000000000001</v>
      </c>
    </row>
    <row r="2876" spans="1:27" hidden="1" x14ac:dyDescent="0.25">
      <c r="A2876" t="s">
        <v>98</v>
      </c>
      <c r="B2876" t="s">
        <v>99</v>
      </c>
      <c r="D2876" t="s">
        <v>1722</v>
      </c>
      <c r="E2876" t="s">
        <v>101</v>
      </c>
      <c r="F2876" t="s">
        <v>135</v>
      </c>
      <c r="G2876" t="s">
        <v>103</v>
      </c>
      <c r="H2876" t="s">
        <v>104</v>
      </c>
      <c r="I2876">
        <v>2017</v>
      </c>
      <c r="J2876" t="s">
        <v>3303</v>
      </c>
      <c r="K2876" t="s">
        <v>106</v>
      </c>
      <c r="L2876" t="s">
        <v>1723</v>
      </c>
      <c r="M2876" t="s">
        <v>3312</v>
      </c>
      <c r="N2876">
        <v>1</v>
      </c>
      <c r="O2876">
        <v>2020</v>
      </c>
      <c r="P2876">
        <v>27.157549308800931</v>
      </c>
      <c r="Q2876">
        <v>0.25424088714622151</v>
      </c>
      <c r="R2876" t="s">
        <v>109</v>
      </c>
      <c r="S2876">
        <v>0.93709999999999993</v>
      </c>
      <c r="T2876" t="s">
        <v>110</v>
      </c>
      <c r="U2876">
        <v>0.93709999999999993</v>
      </c>
      <c r="V2876">
        <v>92.665426837868381</v>
      </c>
      <c r="W2876">
        <v>0.86750612358855506</v>
      </c>
      <c r="X2876" t="s">
        <v>111</v>
      </c>
      <c r="Y2876">
        <v>15</v>
      </c>
      <c r="Z2876">
        <v>0.23552730994099891</v>
      </c>
      <c r="AA2876">
        <v>31.536000000000001</v>
      </c>
    </row>
    <row r="2877" spans="1:27" hidden="1" x14ac:dyDescent="0.25">
      <c r="A2877" t="s">
        <v>98</v>
      </c>
      <c r="B2877" t="s">
        <v>499</v>
      </c>
      <c r="D2877" t="s">
        <v>1722</v>
      </c>
      <c r="E2877" t="s">
        <v>101</v>
      </c>
      <c r="F2877" t="s">
        <v>135</v>
      </c>
      <c r="G2877" t="s">
        <v>103</v>
      </c>
      <c r="H2877" t="s">
        <v>104</v>
      </c>
      <c r="I2877">
        <v>2017</v>
      </c>
      <c r="J2877" t="s">
        <v>3303</v>
      </c>
      <c r="K2877" t="s">
        <v>106</v>
      </c>
      <c r="L2877" t="s">
        <v>1898</v>
      </c>
      <c r="M2877" t="s">
        <v>3313</v>
      </c>
      <c r="N2877">
        <v>1</v>
      </c>
      <c r="O2877">
        <v>2020</v>
      </c>
      <c r="P2877">
        <v>27.157549308800931</v>
      </c>
      <c r="Q2877">
        <v>0.25424088714622151</v>
      </c>
      <c r="R2877" t="s">
        <v>109</v>
      </c>
      <c r="S2877">
        <v>0.93709999999999993</v>
      </c>
      <c r="T2877" t="s">
        <v>110</v>
      </c>
      <c r="U2877">
        <v>0.93709999999999993</v>
      </c>
      <c r="V2877">
        <v>92.665426837868381</v>
      </c>
      <c r="W2877">
        <v>0.86750612358855506</v>
      </c>
      <c r="X2877" t="s">
        <v>111</v>
      </c>
      <c r="Y2877">
        <v>15</v>
      </c>
      <c r="Z2877">
        <v>0.23552730994099891</v>
      </c>
      <c r="AA2877">
        <v>31.536000000000001</v>
      </c>
    </row>
    <row r="2878" spans="1:27" hidden="1" x14ac:dyDescent="0.25">
      <c r="A2878" t="s">
        <v>98</v>
      </c>
      <c r="B2878" t="s">
        <v>674</v>
      </c>
      <c r="D2878" t="s">
        <v>1722</v>
      </c>
      <c r="E2878" t="s">
        <v>101</v>
      </c>
      <c r="F2878" t="s">
        <v>135</v>
      </c>
      <c r="G2878" t="s">
        <v>103</v>
      </c>
      <c r="H2878" t="s">
        <v>104</v>
      </c>
      <c r="I2878">
        <v>2017</v>
      </c>
      <c r="J2878" t="s">
        <v>3303</v>
      </c>
      <c r="K2878" t="s">
        <v>106</v>
      </c>
      <c r="L2878" t="s">
        <v>2072</v>
      </c>
      <c r="M2878" t="s">
        <v>3314</v>
      </c>
      <c r="N2878">
        <v>1</v>
      </c>
      <c r="O2878">
        <v>2020</v>
      </c>
      <c r="P2878">
        <v>27.157549308800931</v>
      </c>
      <c r="Q2878">
        <v>0.25424088714622151</v>
      </c>
      <c r="R2878" t="s">
        <v>109</v>
      </c>
      <c r="S2878">
        <v>0.93709999999999993</v>
      </c>
      <c r="T2878" t="s">
        <v>110</v>
      </c>
      <c r="U2878">
        <v>0.93709999999999993</v>
      </c>
      <c r="V2878">
        <v>92.665426837868381</v>
      </c>
      <c r="W2878">
        <v>0.86750612358855506</v>
      </c>
      <c r="X2878" t="s">
        <v>111</v>
      </c>
      <c r="Y2878">
        <v>15</v>
      </c>
      <c r="Z2878">
        <v>0.23552730994099891</v>
      </c>
      <c r="AA2878">
        <v>31.536000000000001</v>
      </c>
    </row>
    <row r="2879" spans="1:27" hidden="1" x14ac:dyDescent="0.25">
      <c r="A2879" t="s">
        <v>98</v>
      </c>
      <c r="B2879" t="s">
        <v>849</v>
      </c>
      <c r="D2879" t="s">
        <v>1722</v>
      </c>
      <c r="E2879" t="s">
        <v>101</v>
      </c>
      <c r="F2879" t="s">
        <v>135</v>
      </c>
      <c r="G2879" t="s">
        <v>103</v>
      </c>
      <c r="H2879" t="s">
        <v>104</v>
      </c>
      <c r="I2879">
        <v>2017</v>
      </c>
      <c r="J2879" t="s">
        <v>3303</v>
      </c>
      <c r="K2879" t="s">
        <v>106</v>
      </c>
      <c r="L2879" t="s">
        <v>2246</v>
      </c>
      <c r="M2879" t="s">
        <v>3315</v>
      </c>
      <c r="N2879">
        <v>1</v>
      </c>
      <c r="O2879">
        <v>2020</v>
      </c>
      <c r="P2879">
        <v>27.157549308800931</v>
      </c>
      <c r="Q2879">
        <v>0.25424088714622151</v>
      </c>
      <c r="R2879" t="s">
        <v>109</v>
      </c>
      <c r="S2879">
        <v>0.93709999999999993</v>
      </c>
      <c r="T2879" t="s">
        <v>110</v>
      </c>
      <c r="U2879">
        <v>0.93709999999999993</v>
      </c>
      <c r="V2879">
        <v>92.665426837868381</v>
      </c>
      <c r="W2879">
        <v>0.86750612358855506</v>
      </c>
      <c r="X2879" t="s">
        <v>111</v>
      </c>
      <c r="Y2879">
        <v>15</v>
      </c>
      <c r="Z2879">
        <v>0.23552730994099891</v>
      </c>
      <c r="AA2879">
        <v>31.536000000000001</v>
      </c>
    </row>
    <row r="2880" spans="1:27" hidden="1" x14ac:dyDescent="0.25">
      <c r="A2880" t="s">
        <v>98</v>
      </c>
      <c r="B2880" t="s">
        <v>1024</v>
      </c>
      <c r="D2880" t="s">
        <v>1722</v>
      </c>
      <c r="E2880" t="s">
        <v>101</v>
      </c>
      <c r="F2880" t="s">
        <v>135</v>
      </c>
      <c r="G2880" t="s">
        <v>103</v>
      </c>
      <c r="H2880" t="s">
        <v>104</v>
      </c>
      <c r="I2880">
        <v>2017</v>
      </c>
      <c r="J2880" t="s">
        <v>3303</v>
      </c>
      <c r="K2880" t="s">
        <v>106</v>
      </c>
      <c r="L2880" t="s">
        <v>2420</v>
      </c>
      <c r="M2880" t="s">
        <v>3316</v>
      </c>
      <c r="N2880">
        <v>1</v>
      </c>
      <c r="O2880">
        <v>2020</v>
      </c>
      <c r="P2880">
        <v>27.157549308800931</v>
      </c>
      <c r="Q2880">
        <v>0.25424088714622151</v>
      </c>
      <c r="R2880" t="s">
        <v>109</v>
      </c>
      <c r="S2880">
        <v>0.93709999999999993</v>
      </c>
      <c r="T2880" t="s">
        <v>110</v>
      </c>
      <c r="U2880">
        <v>0.93709999999999993</v>
      </c>
      <c r="V2880">
        <v>92.665426837868381</v>
      </c>
      <c r="W2880">
        <v>0.86750612358855506</v>
      </c>
      <c r="X2880" t="s">
        <v>111</v>
      </c>
      <c r="Y2880">
        <v>15</v>
      </c>
      <c r="Z2880">
        <v>0.23552730994099891</v>
      </c>
      <c r="AA2880">
        <v>31.536000000000001</v>
      </c>
    </row>
    <row r="2881" spans="1:27" hidden="1" x14ac:dyDescent="0.25">
      <c r="A2881" t="s">
        <v>98</v>
      </c>
      <c r="B2881" t="s">
        <v>1199</v>
      </c>
      <c r="D2881" t="s">
        <v>1722</v>
      </c>
      <c r="E2881" t="s">
        <v>101</v>
      </c>
      <c r="F2881" t="s">
        <v>135</v>
      </c>
      <c r="G2881" t="s">
        <v>103</v>
      </c>
      <c r="H2881" t="s">
        <v>104</v>
      </c>
      <c r="I2881">
        <v>2017</v>
      </c>
      <c r="J2881" t="s">
        <v>3303</v>
      </c>
      <c r="K2881" t="s">
        <v>106</v>
      </c>
      <c r="L2881" t="s">
        <v>2594</v>
      </c>
      <c r="M2881" t="s">
        <v>3317</v>
      </c>
      <c r="N2881">
        <v>1</v>
      </c>
      <c r="O2881">
        <v>2020</v>
      </c>
      <c r="P2881">
        <v>27.157549308800931</v>
      </c>
      <c r="Q2881">
        <v>0.25424088714622151</v>
      </c>
      <c r="R2881" t="s">
        <v>109</v>
      </c>
      <c r="S2881">
        <v>0.93709999999999993</v>
      </c>
      <c r="T2881" t="s">
        <v>110</v>
      </c>
      <c r="U2881">
        <v>0.93709999999999993</v>
      </c>
      <c r="V2881">
        <v>92.665426837868381</v>
      </c>
      <c r="W2881">
        <v>0.86750612358855506</v>
      </c>
      <c r="X2881" t="s">
        <v>111</v>
      </c>
      <c r="Y2881">
        <v>15</v>
      </c>
      <c r="Z2881">
        <v>0.23552730994099891</v>
      </c>
      <c r="AA2881">
        <v>31.536000000000001</v>
      </c>
    </row>
    <row r="2882" spans="1:27" hidden="1" x14ac:dyDescent="0.25">
      <c r="A2882" t="s">
        <v>98</v>
      </c>
      <c r="B2882" t="s">
        <v>1374</v>
      </c>
      <c r="D2882" t="s">
        <v>1722</v>
      </c>
      <c r="E2882" t="s">
        <v>101</v>
      </c>
      <c r="F2882" t="s">
        <v>135</v>
      </c>
      <c r="G2882" t="s">
        <v>103</v>
      </c>
      <c r="H2882" t="s">
        <v>104</v>
      </c>
      <c r="I2882">
        <v>2017</v>
      </c>
      <c r="J2882" t="s">
        <v>3303</v>
      </c>
      <c r="K2882" t="s">
        <v>106</v>
      </c>
      <c r="L2882" t="s">
        <v>2768</v>
      </c>
      <c r="M2882" t="s">
        <v>3318</v>
      </c>
      <c r="N2882">
        <v>1</v>
      </c>
      <c r="O2882">
        <v>2020</v>
      </c>
      <c r="P2882">
        <v>27.157549308800931</v>
      </c>
      <c r="Q2882">
        <v>0.25424088714622151</v>
      </c>
      <c r="R2882" t="s">
        <v>109</v>
      </c>
      <c r="S2882">
        <v>0.93709999999999993</v>
      </c>
      <c r="T2882" t="s">
        <v>110</v>
      </c>
      <c r="U2882">
        <v>0.93709999999999993</v>
      </c>
      <c r="V2882">
        <v>92.665426837868381</v>
      </c>
      <c r="W2882">
        <v>0.86750612358855506</v>
      </c>
      <c r="X2882" t="s">
        <v>111</v>
      </c>
      <c r="Y2882">
        <v>15</v>
      </c>
      <c r="Z2882">
        <v>0.23552730994099891</v>
      </c>
      <c r="AA2882">
        <v>31.536000000000001</v>
      </c>
    </row>
    <row r="2883" spans="1:27" hidden="1" x14ac:dyDescent="0.25">
      <c r="A2883" t="s">
        <v>98</v>
      </c>
      <c r="B2883" t="s">
        <v>1548</v>
      </c>
      <c r="D2883" t="s">
        <v>1722</v>
      </c>
      <c r="E2883" t="s">
        <v>101</v>
      </c>
      <c r="F2883" t="s">
        <v>135</v>
      </c>
      <c r="G2883" t="s">
        <v>103</v>
      </c>
      <c r="H2883" t="s">
        <v>104</v>
      </c>
      <c r="I2883">
        <v>2017</v>
      </c>
      <c r="J2883" t="s">
        <v>3303</v>
      </c>
      <c r="K2883" t="s">
        <v>106</v>
      </c>
      <c r="L2883" t="s">
        <v>2941</v>
      </c>
      <c r="M2883" t="s">
        <v>3319</v>
      </c>
      <c r="N2883">
        <v>1</v>
      </c>
      <c r="O2883">
        <v>2020</v>
      </c>
      <c r="P2883">
        <v>27.157549308800931</v>
      </c>
      <c r="Q2883">
        <v>0.25424088714622151</v>
      </c>
      <c r="R2883" t="s">
        <v>109</v>
      </c>
      <c r="S2883">
        <v>0.93709999999999993</v>
      </c>
      <c r="T2883" t="s">
        <v>110</v>
      </c>
      <c r="U2883">
        <v>0.93709999999999993</v>
      </c>
      <c r="V2883">
        <v>92.665426837868381</v>
      </c>
      <c r="W2883">
        <v>0.86750612358855506</v>
      </c>
      <c r="X2883" t="s">
        <v>111</v>
      </c>
      <c r="Y2883">
        <v>15</v>
      </c>
      <c r="Z2883">
        <v>0.23552730994099891</v>
      </c>
      <c r="AA2883">
        <v>31.536000000000001</v>
      </c>
    </row>
    <row r="2884" spans="1:27" hidden="1" x14ac:dyDescent="0.25">
      <c r="A2884" t="s">
        <v>98</v>
      </c>
      <c r="B2884" t="s">
        <v>99</v>
      </c>
      <c r="D2884" t="s">
        <v>100</v>
      </c>
      <c r="E2884" t="s">
        <v>101</v>
      </c>
      <c r="F2884" t="s">
        <v>3320</v>
      </c>
      <c r="G2884" t="s">
        <v>112</v>
      </c>
      <c r="H2884" t="s">
        <v>131</v>
      </c>
      <c r="I2884">
        <v>2013</v>
      </c>
      <c r="J2884" t="s">
        <v>3321</v>
      </c>
      <c r="K2884" t="s">
        <v>133</v>
      </c>
      <c r="L2884" t="s">
        <v>107</v>
      </c>
      <c r="M2884" t="s">
        <v>3322</v>
      </c>
      <c r="N2884">
        <v>1</v>
      </c>
      <c r="O2884">
        <v>2020</v>
      </c>
      <c r="P2884">
        <v>13.01396472586457</v>
      </c>
      <c r="Q2884">
        <v>0.59304143054572711</v>
      </c>
      <c r="R2884" t="s">
        <v>109</v>
      </c>
      <c r="S2884">
        <v>0.92525000000000002</v>
      </c>
      <c r="T2884" t="s">
        <v>110</v>
      </c>
      <c r="U2884">
        <v>0.92525000000000002</v>
      </c>
      <c r="V2884">
        <v>44.405501485525917</v>
      </c>
      <c r="W2884">
        <v>2.0235418398467511</v>
      </c>
      <c r="X2884" t="s">
        <v>111</v>
      </c>
      <c r="Y2884">
        <v>23</v>
      </c>
      <c r="Z2884">
        <v>0.23552730994099891</v>
      </c>
      <c r="AA2884">
        <v>31.536000000000001</v>
      </c>
    </row>
    <row r="2885" spans="1:27" hidden="1" x14ac:dyDescent="0.25">
      <c r="A2885" t="s">
        <v>98</v>
      </c>
      <c r="B2885" t="s">
        <v>499</v>
      </c>
      <c r="D2885" t="s">
        <v>100</v>
      </c>
      <c r="E2885" t="s">
        <v>101</v>
      </c>
      <c r="F2885" t="s">
        <v>3320</v>
      </c>
      <c r="G2885" t="s">
        <v>112</v>
      </c>
      <c r="H2885" t="s">
        <v>131</v>
      </c>
      <c r="I2885">
        <v>2013</v>
      </c>
      <c r="J2885" t="s">
        <v>3321</v>
      </c>
      <c r="K2885" t="s">
        <v>133</v>
      </c>
      <c r="L2885" t="s">
        <v>500</v>
      </c>
      <c r="M2885" t="s">
        <v>3323</v>
      </c>
      <c r="N2885">
        <v>1</v>
      </c>
      <c r="O2885">
        <v>2020</v>
      </c>
      <c r="P2885">
        <v>13.01396472586457</v>
      </c>
      <c r="Q2885">
        <v>0.59304143054572711</v>
      </c>
      <c r="R2885" t="s">
        <v>109</v>
      </c>
      <c r="S2885">
        <v>0.92525000000000002</v>
      </c>
      <c r="T2885" t="s">
        <v>110</v>
      </c>
      <c r="U2885">
        <v>0.92525000000000002</v>
      </c>
      <c r="V2885">
        <v>44.405501485525917</v>
      </c>
      <c r="W2885">
        <v>2.0235418398467511</v>
      </c>
      <c r="X2885" t="s">
        <v>111</v>
      </c>
      <c r="Y2885">
        <v>23</v>
      </c>
      <c r="Z2885">
        <v>0.23552730994099891</v>
      </c>
      <c r="AA2885">
        <v>31.536000000000001</v>
      </c>
    </row>
    <row r="2886" spans="1:27" hidden="1" x14ac:dyDescent="0.25">
      <c r="A2886" t="s">
        <v>98</v>
      </c>
      <c r="B2886" t="s">
        <v>674</v>
      </c>
      <c r="D2886" t="s">
        <v>100</v>
      </c>
      <c r="E2886" t="s">
        <v>101</v>
      </c>
      <c r="F2886" t="s">
        <v>3320</v>
      </c>
      <c r="G2886" t="s">
        <v>112</v>
      </c>
      <c r="H2886" t="s">
        <v>131</v>
      </c>
      <c r="I2886">
        <v>2013</v>
      </c>
      <c r="J2886" t="s">
        <v>3321</v>
      </c>
      <c r="K2886" t="s">
        <v>133</v>
      </c>
      <c r="L2886" t="s">
        <v>675</v>
      </c>
      <c r="M2886" t="s">
        <v>3324</v>
      </c>
      <c r="N2886">
        <v>1</v>
      </c>
      <c r="O2886">
        <v>2020</v>
      </c>
      <c r="P2886">
        <v>13.01396472586457</v>
      </c>
      <c r="Q2886">
        <v>0.59304143054572711</v>
      </c>
      <c r="R2886" t="s">
        <v>109</v>
      </c>
      <c r="S2886">
        <v>0.92525000000000002</v>
      </c>
      <c r="T2886" t="s">
        <v>110</v>
      </c>
      <c r="U2886">
        <v>0.92525000000000002</v>
      </c>
      <c r="V2886">
        <v>44.405501485525917</v>
      </c>
      <c r="W2886">
        <v>2.0235418398467511</v>
      </c>
      <c r="X2886" t="s">
        <v>111</v>
      </c>
      <c r="Y2886">
        <v>23</v>
      </c>
      <c r="Z2886">
        <v>0.1218781971003525</v>
      </c>
      <c r="AA2886">
        <v>31.536000000000001</v>
      </c>
    </row>
    <row r="2887" spans="1:27" hidden="1" x14ac:dyDescent="0.25">
      <c r="A2887" t="s">
        <v>98</v>
      </c>
      <c r="B2887" t="s">
        <v>849</v>
      </c>
      <c r="D2887" t="s">
        <v>100</v>
      </c>
      <c r="E2887" t="s">
        <v>101</v>
      </c>
      <c r="F2887" t="s">
        <v>3320</v>
      </c>
      <c r="G2887" t="s">
        <v>112</v>
      </c>
      <c r="H2887" t="s">
        <v>131</v>
      </c>
      <c r="I2887">
        <v>2013</v>
      </c>
      <c r="J2887" t="s">
        <v>3321</v>
      </c>
      <c r="K2887" t="s">
        <v>133</v>
      </c>
      <c r="L2887" t="s">
        <v>850</v>
      </c>
      <c r="M2887" t="s">
        <v>3325</v>
      </c>
      <c r="N2887">
        <v>1</v>
      </c>
      <c r="O2887">
        <v>2020</v>
      </c>
      <c r="P2887">
        <v>13.01396472586457</v>
      </c>
      <c r="Q2887">
        <v>0.59304143054572711</v>
      </c>
      <c r="R2887" t="s">
        <v>109</v>
      </c>
      <c r="S2887">
        <v>0.92525000000000002</v>
      </c>
      <c r="T2887" t="s">
        <v>110</v>
      </c>
      <c r="U2887">
        <v>0.92525000000000002</v>
      </c>
      <c r="V2887">
        <v>44.405501485525917</v>
      </c>
      <c r="W2887">
        <v>2.0235418398467511</v>
      </c>
      <c r="X2887" t="s">
        <v>111</v>
      </c>
      <c r="Y2887">
        <v>23</v>
      </c>
      <c r="Z2887">
        <v>0.1218781971003525</v>
      </c>
      <c r="AA2887">
        <v>31.536000000000001</v>
      </c>
    </row>
    <row r="2888" spans="1:27" hidden="1" x14ac:dyDescent="0.25">
      <c r="A2888" t="s">
        <v>98</v>
      </c>
      <c r="B2888" t="s">
        <v>1024</v>
      </c>
      <c r="D2888" t="s">
        <v>100</v>
      </c>
      <c r="E2888" t="s">
        <v>101</v>
      </c>
      <c r="F2888" t="s">
        <v>3320</v>
      </c>
      <c r="G2888" t="s">
        <v>112</v>
      </c>
      <c r="H2888" t="s">
        <v>131</v>
      </c>
      <c r="I2888">
        <v>2013</v>
      </c>
      <c r="J2888" t="s">
        <v>3321</v>
      </c>
      <c r="K2888" t="s">
        <v>133</v>
      </c>
      <c r="L2888" t="s">
        <v>1025</v>
      </c>
      <c r="M2888" t="s">
        <v>3326</v>
      </c>
      <c r="N2888">
        <v>1</v>
      </c>
      <c r="O2888">
        <v>2020</v>
      </c>
      <c r="P2888">
        <v>13.01396472586457</v>
      </c>
      <c r="Q2888">
        <v>0.59304143054572711</v>
      </c>
      <c r="R2888" t="s">
        <v>109</v>
      </c>
      <c r="S2888">
        <v>0.92525000000000002</v>
      </c>
      <c r="T2888" t="s">
        <v>110</v>
      </c>
      <c r="U2888">
        <v>0.92525000000000002</v>
      </c>
      <c r="V2888">
        <v>44.405501485525917</v>
      </c>
      <c r="W2888">
        <v>2.0235418398467511</v>
      </c>
      <c r="X2888" t="s">
        <v>111</v>
      </c>
      <c r="Y2888">
        <v>23</v>
      </c>
      <c r="Z2888">
        <v>0.1218781971003525</v>
      </c>
      <c r="AA2888">
        <v>31.536000000000001</v>
      </c>
    </row>
    <row r="2889" spans="1:27" hidden="1" x14ac:dyDescent="0.25">
      <c r="A2889" t="s">
        <v>98</v>
      </c>
      <c r="B2889" t="s">
        <v>1199</v>
      </c>
      <c r="D2889" t="s">
        <v>100</v>
      </c>
      <c r="E2889" t="s">
        <v>101</v>
      </c>
      <c r="F2889" t="s">
        <v>3320</v>
      </c>
      <c r="G2889" t="s">
        <v>112</v>
      </c>
      <c r="H2889" t="s">
        <v>131</v>
      </c>
      <c r="I2889">
        <v>2013</v>
      </c>
      <c r="J2889" t="s">
        <v>3321</v>
      </c>
      <c r="K2889" t="s">
        <v>133</v>
      </c>
      <c r="L2889" t="s">
        <v>1200</v>
      </c>
      <c r="M2889" t="s">
        <v>3327</v>
      </c>
      <c r="N2889">
        <v>1</v>
      </c>
      <c r="O2889">
        <v>2020</v>
      </c>
      <c r="P2889">
        <v>13.01396472586457</v>
      </c>
      <c r="Q2889">
        <v>0.59304143054572711</v>
      </c>
      <c r="R2889" t="s">
        <v>109</v>
      </c>
      <c r="S2889">
        <v>0.92525000000000002</v>
      </c>
      <c r="T2889" t="s">
        <v>110</v>
      </c>
      <c r="U2889">
        <v>0.92525000000000002</v>
      </c>
      <c r="V2889">
        <v>44.405501485525917</v>
      </c>
      <c r="W2889">
        <v>2.0235418398467511</v>
      </c>
      <c r="X2889" t="s">
        <v>111</v>
      </c>
      <c r="Y2889">
        <v>23</v>
      </c>
      <c r="Z2889">
        <v>0.1218781971003525</v>
      </c>
      <c r="AA2889">
        <v>31.536000000000001</v>
      </c>
    </row>
    <row r="2890" spans="1:27" hidden="1" x14ac:dyDescent="0.25">
      <c r="A2890" t="s">
        <v>98</v>
      </c>
      <c r="B2890" t="s">
        <v>1374</v>
      </c>
      <c r="D2890" t="s">
        <v>100</v>
      </c>
      <c r="E2890" t="s">
        <v>101</v>
      </c>
      <c r="F2890" t="s">
        <v>3320</v>
      </c>
      <c r="G2890" t="s">
        <v>112</v>
      </c>
      <c r="H2890" t="s">
        <v>131</v>
      </c>
      <c r="I2890">
        <v>2013</v>
      </c>
      <c r="J2890" t="s">
        <v>3321</v>
      </c>
      <c r="K2890" t="s">
        <v>133</v>
      </c>
      <c r="L2890" t="s">
        <v>1375</v>
      </c>
      <c r="M2890" t="s">
        <v>3328</v>
      </c>
      <c r="N2890">
        <v>1</v>
      </c>
      <c r="O2890">
        <v>2020</v>
      </c>
      <c r="P2890">
        <v>13.01396472586457</v>
      </c>
      <c r="Q2890">
        <v>0.59304143054572711</v>
      </c>
      <c r="R2890" t="s">
        <v>109</v>
      </c>
      <c r="S2890">
        <v>0.92525000000000002</v>
      </c>
      <c r="T2890" t="s">
        <v>110</v>
      </c>
      <c r="U2890">
        <v>0.92525000000000002</v>
      </c>
      <c r="V2890">
        <v>44.405501485525917</v>
      </c>
      <c r="W2890">
        <v>2.0235418398467511</v>
      </c>
      <c r="X2890" t="s">
        <v>111</v>
      </c>
      <c r="Y2890">
        <v>23</v>
      </c>
      <c r="Z2890">
        <v>0.1218781971003525</v>
      </c>
      <c r="AA2890">
        <v>31.536000000000001</v>
      </c>
    </row>
    <row r="2891" spans="1:27" hidden="1" x14ac:dyDescent="0.25">
      <c r="A2891" t="s">
        <v>98</v>
      </c>
      <c r="B2891" t="s">
        <v>1548</v>
      </c>
      <c r="D2891" t="s">
        <v>100</v>
      </c>
      <c r="E2891" t="s">
        <v>101</v>
      </c>
      <c r="F2891" t="s">
        <v>3320</v>
      </c>
      <c r="G2891" t="s">
        <v>112</v>
      </c>
      <c r="H2891" t="s">
        <v>131</v>
      </c>
      <c r="I2891">
        <v>2013</v>
      </c>
      <c r="J2891" t="s">
        <v>3321</v>
      </c>
      <c r="K2891" t="s">
        <v>133</v>
      </c>
      <c r="L2891" t="s">
        <v>1549</v>
      </c>
      <c r="M2891" t="s">
        <v>3329</v>
      </c>
      <c r="N2891">
        <v>1</v>
      </c>
      <c r="O2891">
        <v>2020</v>
      </c>
      <c r="P2891">
        <v>13.01396472586457</v>
      </c>
      <c r="Q2891">
        <v>0.59304143054572711</v>
      </c>
      <c r="R2891" t="s">
        <v>109</v>
      </c>
      <c r="S2891">
        <v>0.92525000000000002</v>
      </c>
      <c r="T2891" t="s">
        <v>110</v>
      </c>
      <c r="U2891">
        <v>0.92525000000000002</v>
      </c>
      <c r="V2891">
        <v>44.405501485525917</v>
      </c>
      <c r="W2891">
        <v>2.0235418398467511</v>
      </c>
      <c r="X2891" t="s">
        <v>111</v>
      </c>
      <c r="Y2891">
        <v>23</v>
      </c>
      <c r="Z2891">
        <v>0.1218781971003525</v>
      </c>
      <c r="AA2891">
        <v>31.536000000000001</v>
      </c>
    </row>
    <row r="2892" spans="1:27" hidden="1" x14ac:dyDescent="0.25">
      <c r="A2892" t="s">
        <v>98</v>
      </c>
      <c r="B2892" t="s">
        <v>99</v>
      </c>
      <c r="D2892" t="s">
        <v>1722</v>
      </c>
      <c r="E2892" t="s">
        <v>101</v>
      </c>
      <c r="F2892" t="s">
        <v>3320</v>
      </c>
      <c r="G2892" t="s">
        <v>112</v>
      </c>
      <c r="H2892" t="s">
        <v>131</v>
      </c>
      <c r="I2892">
        <v>2013</v>
      </c>
      <c r="J2892" t="s">
        <v>3321</v>
      </c>
      <c r="K2892" t="s">
        <v>133</v>
      </c>
      <c r="L2892" t="s">
        <v>1723</v>
      </c>
      <c r="M2892" t="s">
        <v>3330</v>
      </c>
      <c r="N2892">
        <v>1</v>
      </c>
      <c r="O2892">
        <v>2020</v>
      </c>
      <c r="P2892">
        <v>13.01396472586457</v>
      </c>
      <c r="Q2892">
        <v>0.59304143054572711</v>
      </c>
      <c r="R2892" t="s">
        <v>109</v>
      </c>
      <c r="S2892">
        <v>0.92525000000000002</v>
      </c>
      <c r="T2892" t="s">
        <v>110</v>
      </c>
      <c r="U2892">
        <v>0.92525000000000002</v>
      </c>
      <c r="V2892">
        <v>44.405501485525917</v>
      </c>
      <c r="W2892">
        <v>2.0235418398467511</v>
      </c>
      <c r="X2892" t="s">
        <v>111</v>
      </c>
      <c r="Y2892">
        <v>23</v>
      </c>
      <c r="Z2892">
        <v>0.1218781971003525</v>
      </c>
      <c r="AA2892">
        <v>31.536000000000001</v>
      </c>
    </row>
    <row r="2893" spans="1:27" hidden="1" x14ac:dyDescent="0.25">
      <c r="A2893" t="s">
        <v>98</v>
      </c>
      <c r="B2893" t="s">
        <v>499</v>
      </c>
      <c r="D2893" t="s">
        <v>1722</v>
      </c>
      <c r="E2893" t="s">
        <v>101</v>
      </c>
      <c r="F2893" t="s">
        <v>3320</v>
      </c>
      <c r="G2893" t="s">
        <v>112</v>
      </c>
      <c r="H2893" t="s">
        <v>131</v>
      </c>
      <c r="I2893">
        <v>2013</v>
      </c>
      <c r="J2893" t="s">
        <v>3321</v>
      </c>
      <c r="K2893" t="s">
        <v>133</v>
      </c>
      <c r="L2893" t="s">
        <v>1898</v>
      </c>
      <c r="M2893" t="s">
        <v>3331</v>
      </c>
      <c r="N2893">
        <v>1</v>
      </c>
      <c r="O2893">
        <v>2020</v>
      </c>
      <c r="P2893">
        <v>13.01396472586457</v>
      </c>
      <c r="Q2893">
        <v>0.59304143054572711</v>
      </c>
      <c r="R2893" t="s">
        <v>109</v>
      </c>
      <c r="S2893">
        <v>0.92525000000000002</v>
      </c>
      <c r="T2893" t="s">
        <v>110</v>
      </c>
      <c r="U2893">
        <v>0.92525000000000002</v>
      </c>
      <c r="V2893">
        <v>44.405501485525917</v>
      </c>
      <c r="W2893">
        <v>2.0235418398467511</v>
      </c>
      <c r="X2893" t="s">
        <v>111</v>
      </c>
      <c r="Y2893">
        <v>23</v>
      </c>
      <c r="Z2893">
        <v>0.1218781971003525</v>
      </c>
      <c r="AA2893">
        <v>31.536000000000001</v>
      </c>
    </row>
    <row r="2894" spans="1:27" hidden="1" x14ac:dyDescent="0.25">
      <c r="A2894" t="s">
        <v>98</v>
      </c>
      <c r="B2894" t="s">
        <v>674</v>
      </c>
      <c r="D2894" t="s">
        <v>1722</v>
      </c>
      <c r="E2894" t="s">
        <v>101</v>
      </c>
      <c r="F2894" t="s">
        <v>3320</v>
      </c>
      <c r="G2894" t="s">
        <v>112</v>
      </c>
      <c r="H2894" t="s">
        <v>131</v>
      </c>
      <c r="I2894">
        <v>2013</v>
      </c>
      <c r="J2894" t="s">
        <v>3321</v>
      </c>
      <c r="K2894" t="s">
        <v>133</v>
      </c>
      <c r="L2894" t="s">
        <v>2072</v>
      </c>
      <c r="M2894" t="s">
        <v>3332</v>
      </c>
      <c r="N2894">
        <v>1</v>
      </c>
      <c r="O2894">
        <v>2020</v>
      </c>
      <c r="P2894">
        <v>13.01396472586457</v>
      </c>
      <c r="Q2894">
        <v>0.59304143054572711</v>
      </c>
      <c r="R2894" t="s">
        <v>109</v>
      </c>
      <c r="S2894">
        <v>0.92525000000000002</v>
      </c>
      <c r="T2894" t="s">
        <v>110</v>
      </c>
      <c r="U2894">
        <v>0.92525000000000002</v>
      </c>
      <c r="V2894">
        <v>44.405501485525917</v>
      </c>
      <c r="W2894">
        <v>2.0235418398467511</v>
      </c>
      <c r="X2894" t="s">
        <v>111</v>
      </c>
      <c r="Y2894">
        <v>23</v>
      </c>
      <c r="Z2894">
        <v>0.1218781971003525</v>
      </c>
      <c r="AA2894">
        <v>31.536000000000001</v>
      </c>
    </row>
    <row r="2895" spans="1:27" hidden="1" x14ac:dyDescent="0.25">
      <c r="A2895" t="s">
        <v>98</v>
      </c>
      <c r="B2895" t="s">
        <v>849</v>
      </c>
      <c r="D2895" t="s">
        <v>1722</v>
      </c>
      <c r="E2895" t="s">
        <v>101</v>
      </c>
      <c r="F2895" t="s">
        <v>3320</v>
      </c>
      <c r="G2895" t="s">
        <v>112</v>
      </c>
      <c r="H2895" t="s">
        <v>131</v>
      </c>
      <c r="I2895">
        <v>2013</v>
      </c>
      <c r="J2895" t="s">
        <v>3321</v>
      </c>
      <c r="K2895" t="s">
        <v>133</v>
      </c>
      <c r="L2895" t="s">
        <v>2246</v>
      </c>
      <c r="M2895" t="s">
        <v>3333</v>
      </c>
      <c r="N2895">
        <v>1</v>
      </c>
      <c r="O2895">
        <v>2020</v>
      </c>
      <c r="P2895">
        <v>13.01396472586457</v>
      </c>
      <c r="Q2895">
        <v>0.59304143054572711</v>
      </c>
      <c r="R2895" t="s">
        <v>109</v>
      </c>
      <c r="S2895">
        <v>0.92525000000000002</v>
      </c>
      <c r="T2895" t="s">
        <v>110</v>
      </c>
      <c r="U2895">
        <v>0.92525000000000002</v>
      </c>
      <c r="V2895">
        <v>44.405501485525917</v>
      </c>
      <c r="W2895">
        <v>2.0235418398467511</v>
      </c>
      <c r="X2895" t="s">
        <v>111</v>
      </c>
      <c r="Y2895">
        <v>23</v>
      </c>
      <c r="Z2895">
        <v>0.1218781971003525</v>
      </c>
      <c r="AA2895">
        <v>31.536000000000001</v>
      </c>
    </row>
    <row r="2896" spans="1:27" hidden="1" x14ac:dyDescent="0.25">
      <c r="A2896" t="s">
        <v>98</v>
      </c>
      <c r="B2896" t="s">
        <v>1024</v>
      </c>
      <c r="D2896" t="s">
        <v>1722</v>
      </c>
      <c r="E2896" t="s">
        <v>101</v>
      </c>
      <c r="F2896" t="s">
        <v>3320</v>
      </c>
      <c r="G2896" t="s">
        <v>112</v>
      </c>
      <c r="H2896" t="s">
        <v>131</v>
      </c>
      <c r="I2896">
        <v>2013</v>
      </c>
      <c r="J2896" t="s">
        <v>3321</v>
      </c>
      <c r="K2896" t="s">
        <v>133</v>
      </c>
      <c r="L2896" t="s">
        <v>2420</v>
      </c>
      <c r="M2896" t="s">
        <v>3334</v>
      </c>
      <c r="N2896">
        <v>1</v>
      </c>
      <c r="O2896">
        <v>2020</v>
      </c>
      <c r="P2896">
        <v>13.01396472586457</v>
      </c>
      <c r="Q2896">
        <v>0.59304143054572711</v>
      </c>
      <c r="R2896" t="s">
        <v>109</v>
      </c>
      <c r="S2896">
        <v>0.92525000000000002</v>
      </c>
      <c r="T2896" t="s">
        <v>110</v>
      </c>
      <c r="U2896">
        <v>0.92525000000000002</v>
      </c>
      <c r="V2896">
        <v>44.405501485525917</v>
      </c>
      <c r="W2896">
        <v>2.0235418398467511</v>
      </c>
      <c r="X2896" t="s">
        <v>111</v>
      </c>
      <c r="Y2896">
        <v>23</v>
      </c>
      <c r="Z2896">
        <v>0.1218781971003525</v>
      </c>
      <c r="AA2896">
        <v>31.536000000000001</v>
      </c>
    </row>
    <row r="2897" spans="1:27" hidden="1" x14ac:dyDescent="0.25">
      <c r="A2897" t="s">
        <v>98</v>
      </c>
      <c r="B2897" t="s">
        <v>1199</v>
      </c>
      <c r="D2897" t="s">
        <v>1722</v>
      </c>
      <c r="E2897" t="s">
        <v>101</v>
      </c>
      <c r="F2897" t="s">
        <v>3320</v>
      </c>
      <c r="G2897" t="s">
        <v>112</v>
      </c>
      <c r="H2897" t="s">
        <v>131</v>
      </c>
      <c r="I2897">
        <v>2013</v>
      </c>
      <c r="J2897" t="s">
        <v>3321</v>
      </c>
      <c r="K2897" t="s">
        <v>133</v>
      </c>
      <c r="L2897" t="s">
        <v>2594</v>
      </c>
      <c r="M2897" t="s">
        <v>3335</v>
      </c>
      <c r="N2897">
        <v>1</v>
      </c>
      <c r="O2897">
        <v>2020</v>
      </c>
      <c r="P2897">
        <v>13.01396472586457</v>
      </c>
      <c r="Q2897">
        <v>0.59304143054572711</v>
      </c>
      <c r="R2897" t="s">
        <v>109</v>
      </c>
      <c r="S2897">
        <v>0.92525000000000002</v>
      </c>
      <c r="T2897" t="s">
        <v>110</v>
      </c>
      <c r="U2897">
        <v>0.92525000000000002</v>
      </c>
      <c r="V2897">
        <v>44.405501485525917</v>
      </c>
      <c r="W2897">
        <v>2.0235418398467511</v>
      </c>
      <c r="X2897" t="s">
        <v>111</v>
      </c>
      <c r="Y2897">
        <v>23</v>
      </c>
      <c r="Z2897">
        <v>0.1218781971003525</v>
      </c>
      <c r="AA2897">
        <v>31.536000000000001</v>
      </c>
    </row>
    <row r="2898" spans="1:27" hidden="1" x14ac:dyDescent="0.25">
      <c r="A2898" t="s">
        <v>98</v>
      </c>
      <c r="B2898" t="s">
        <v>1374</v>
      </c>
      <c r="D2898" t="s">
        <v>1722</v>
      </c>
      <c r="E2898" t="s">
        <v>101</v>
      </c>
      <c r="F2898" t="s">
        <v>3320</v>
      </c>
      <c r="G2898" t="s">
        <v>112</v>
      </c>
      <c r="H2898" t="s">
        <v>131</v>
      </c>
      <c r="I2898">
        <v>2013</v>
      </c>
      <c r="J2898" t="s">
        <v>3321</v>
      </c>
      <c r="K2898" t="s">
        <v>133</v>
      </c>
      <c r="L2898" t="s">
        <v>2768</v>
      </c>
      <c r="M2898" t="s">
        <v>3336</v>
      </c>
      <c r="N2898">
        <v>1</v>
      </c>
      <c r="O2898">
        <v>2020</v>
      </c>
      <c r="P2898">
        <v>13.01396472586457</v>
      </c>
      <c r="Q2898">
        <v>0.59304143054572711</v>
      </c>
      <c r="R2898" t="s">
        <v>109</v>
      </c>
      <c r="S2898">
        <v>0.92525000000000002</v>
      </c>
      <c r="T2898" t="s">
        <v>110</v>
      </c>
      <c r="U2898">
        <v>0.92525000000000002</v>
      </c>
      <c r="V2898">
        <v>44.405501485525917</v>
      </c>
      <c r="W2898">
        <v>2.0235418398467511</v>
      </c>
      <c r="X2898" t="s">
        <v>111</v>
      </c>
      <c r="Y2898">
        <v>23</v>
      </c>
      <c r="Z2898">
        <v>0.1218781971003525</v>
      </c>
      <c r="AA2898">
        <v>31.536000000000001</v>
      </c>
    </row>
    <row r="2899" spans="1:27" hidden="1" x14ac:dyDescent="0.25">
      <c r="A2899" t="s">
        <v>98</v>
      </c>
      <c r="B2899" t="s">
        <v>1548</v>
      </c>
      <c r="D2899" t="s">
        <v>1722</v>
      </c>
      <c r="E2899" t="s">
        <v>101</v>
      </c>
      <c r="F2899" t="s">
        <v>3320</v>
      </c>
      <c r="G2899" t="s">
        <v>112</v>
      </c>
      <c r="H2899" t="s">
        <v>131</v>
      </c>
      <c r="I2899">
        <v>2013</v>
      </c>
      <c r="J2899" t="s">
        <v>3321</v>
      </c>
      <c r="K2899" t="s">
        <v>133</v>
      </c>
      <c r="L2899" t="s">
        <v>2941</v>
      </c>
      <c r="M2899" t="s">
        <v>3337</v>
      </c>
      <c r="N2899">
        <v>1</v>
      </c>
      <c r="O2899">
        <v>2020</v>
      </c>
      <c r="P2899">
        <v>13.01396472586457</v>
      </c>
      <c r="Q2899">
        <v>0.59304143054572711</v>
      </c>
      <c r="R2899" t="s">
        <v>109</v>
      </c>
      <c r="S2899">
        <v>0.92525000000000002</v>
      </c>
      <c r="T2899" t="s">
        <v>110</v>
      </c>
      <c r="U2899">
        <v>0.92525000000000002</v>
      </c>
      <c r="V2899">
        <v>44.405501485525917</v>
      </c>
      <c r="W2899">
        <v>2.0235418398467511</v>
      </c>
      <c r="X2899" t="s">
        <v>111</v>
      </c>
      <c r="Y2899">
        <v>23</v>
      </c>
      <c r="Z2899">
        <v>0.1218781971003525</v>
      </c>
      <c r="AA2899">
        <v>31.536000000000001</v>
      </c>
    </row>
    <row r="2900" spans="1:27" hidden="1" x14ac:dyDescent="0.25">
      <c r="A2900" t="s">
        <v>98</v>
      </c>
      <c r="B2900" t="s">
        <v>99</v>
      </c>
      <c r="D2900" t="s">
        <v>100</v>
      </c>
      <c r="E2900" t="s">
        <v>101</v>
      </c>
      <c r="F2900" t="s">
        <v>3320</v>
      </c>
      <c r="G2900" t="s">
        <v>103</v>
      </c>
      <c r="H2900" t="s">
        <v>131</v>
      </c>
      <c r="I2900">
        <v>2020</v>
      </c>
      <c r="J2900" t="s">
        <v>3338</v>
      </c>
      <c r="K2900" t="s">
        <v>133</v>
      </c>
      <c r="L2900" t="s">
        <v>107</v>
      </c>
      <c r="M2900" t="s">
        <v>3339</v>
      </c>
      <c r="N2900">
        <v>1</v>
      </c>
      <c r="O2900">
        <v>2020</v>
      </c>
      <c r="P2900">
        <v>8.5405602175340825</v>
      </c>
      <c r="Q2900">
        <v>0.65995238044581539</v>
      </c>
      <c r="R2900" t="s">
        <v>109</v>
      </c>
      <c r="S2900">
        <v>0.78525</v>
      </c>
      <c r="T2900" t="s">
        <v>110</v>
      </c>
      <c r="U2900">
        <v>0.78525</v>
      </c>
      <c r="V2900">
        <v>29.141608066079829</v>
      </c>
      <c r="W2900">
        <v>2.251851532378895</v>
      </c>
      <c r="X2900" t="s">
        <v>111</v>
      </c>
      <c r="Y2900">
        <v>23</v>
      </c>
      <c r="Z2900">
        <v>0.1218781971003525</v>
      </c>
      <c r="AA2900">
        <v>31.536000000000001</v>
      </c>
    </row>
    <row r="2901" spans="1:27" hidden="1" x14ac:dyDescent="0.25">
      <c r="A2901" t="s">
        <v>98</v>
      </c>
      <c r="B2901" t="s">
        <v>499</v>
      </c>
      <c r="D2901" t="s">
        <v>100</v>
      </c>
      <c r="E2901" t="s">
        <v>101</v>
      </c>
      <c r="F2901" t="s">
        <v>3320</v>
      </c>
      <c r="G2901" t="s">
        <v>103</v>
      </c>
      <c r="H2901" t="s">
        <v>131</v>
      </c>
      <c r="I2901">
        <v>2020</v>
      </c>
      <c r="J2901" t="s">
        <v>3338</v>
      </c>
      <c r="K2901" t="s">
        <v>133</v>
      </c>
      <c r="L2901" t="s">
        <v>500</v>
      </c>
      <c r="M2901" t="s">
        <v>3340</v>
      </c>
      <c r="N2901">
        <v>1</v>
      </c>
      <c r="O2901">
        <v>2020</v>
      </c>
      <c r="P2901">
        <v>8.5405602175340825</v>
      </c>
      <c r="Q2901">
        <v>0.65995238044581539</v>
      </c>
      <c r="R2901" t="s">
        <v>109</v>
      </c>
      <c r="S2901">
        <v>0.78525</v>
      </c>
      <c r="T2901" t="s">
        <v>110</v>
      </c>
      <c r="U2901">
        <v>0.78525</v>
      </c>
      <c r="V2901">
        <v>29.141608066079829</v>
      </c>
      <c r="W2901">
        <v>2.251851532378895</v>
      </c>
      <c r="X2901" t="s">
        <v>111</v>
      </c>
      <c r="Y2901">
        <v>23</v>
      </c>
      <c r="Z2901">
        <v>0.1218781971003525</v>
      </c>
      <c r="AA2901">
        <v>31.536000000000001</v>
      </c>
    </row>
    <row r="2902" spans="1:27" hidden="1" x14ac:dyDescent="0.25">
      <c r="A2902" t="s">
        <v>98</v>
      </c>
      <c r="B2902" t="s">
        <v>674</v>
      </c>
      <c r="D2902" t="s">
        <v>100</v>
      </c>
      <c r="E2902" t="s">
        <v>101</v>
      </c>
      <c r="F2902" t="s">
        <v>3320</v>
      </c>
      <c r="G2902" t="s">
        <v>103</v>
      </c>
      <c r="H2902" t="s">
        <v>131</v>
      </c>
      <c r="I2902">
        <v>2020</v>
      </c>
      <c r="J2902" t="s">
        <v>3338</v>
      </c>
      <c r="K2902" t="s">
        <v>133</v>
      </c>
      <c r="L2902" t="s">
        <v>675</v>
      </c>
      <c r="M2902" t="s">
        <v>3341</v>
      </c>
      <c r="N2902">
        <v>1</v>
      </c>
      <c r="O2902">
        <v>2020</v>
      </c>
      <c r="P2902">
        <v>8.5405602175340825</v>
      </c>
      <c r="Q2902">
        <v>0.65995238044581539</v>
      </c>
      <c r="R2902" t="s">
        <v>109</v>
      </c>
      <c r="S2902">
        <v>0.78525</v>
      </c>
      <c r="T2902" t="s">
        <v>110</v>
      </c>
      <c r="U2902">
        <v>0.78525</v>
      </c>
      <c r="V2902">
        <v>29.141608066079829</v>
      </c>
      <c r="W2902">
        <v>2.251851532378895</v>
      </c>
      <c r="X2902" t="s">
        <v>111</v>
      </c>
      <c r="Y2902">
        <v>23</v>
      </c>
      <c r="Z2902">
        <v>0.1218781971003525</v>
      </c>
      <c r="AA2902">
        <v>31.536000000000001</v>
      </c>
    </row>
    <row r="2903" spans="1:27" hidden="1" x14ac:dyDescent="0.25">
      <c r="A2903" t="s">
        <v>98</v>
      </c>
      <c r="B2903" t="s">
        <v>849</v>
      </c>
      <c r="D2903" t="s">
        <v>100</v>
      </c>
      <c r="E2903" t="s">
        <v>101</v>
      </c>
      <c r="F2903" t="s">
        <v>3320</v>
      </c>
      <c r="G2903" t="s">
        <v>103</v>
      </c>
      <c r="H2903" t="s">
        <v>131</v>
      </c>
      <c r="I2903">
        <v>2020</v>
      </c>
      <c r="J2903" t="s">
        <v>3338</v>
      </c>
      <c r="K2903" t="s">
        <v>133</v>
      </c>
      <c r="L2903" t="s">
        <v>850</v>
      </c>
      <c r="M2903" t="s">
        <v>3342</v>
      </c>
      <c r="N2903">
        <v>1</v>
      </c>
      <c r="O2903">
        <v>2020</v>
      </c>
      <c r="P2903">
        <v>8.5405602175340825</v>
      </c>
      <c r="Q2903">
        <v>0.65995238044581539</v>
      </c>
      <c r="R2903" t="s">
        <v>109</v>
      </c>
      <c r="S2903">
        <v>0.78525</v>
      </c>
      <c r="T2903" t="s">
        <v>110</v>
      </c>
      <c r="U2903">
        <v>0.78525</v>
      </c>
      <c r="V2903">
        <v>29.141608066079829</v>
      </c>
      <c r="W2903">
        <v>2.251851532378895</v>
      </c>
      <c r="X2903" t="s">
        <v>111</v>
      </c>
      <c r="Y2903">
        <v>23</v>
      </c>
      <c r="Z2903">
        <v>0.1218781971003525</v>
      </c>
      <c r="AA2903">
        <v>31.536000000000001</v>
      </c>
    </row>
    <row r="2904" spans="1:27" hidden="1" x14ac:dyDescent="0.25">
      <c r="A2904" t="s">
        <v>98</v>
      </c>
      <c r="B2904" t="s">
        <v>1024</v>
      </c>
      <c r="D2904" t="s">
        <v>100</v>
      </c>
      <c r="E2904" t="s">
        <v>101</v>
      </c>
      <c r="F2904" t="s">
        <v>3320</v>
      </c>
      <c r="G2904" t="s">
        <v>103</v>
      </c>
      <c r="H2904" t="s">
        <v>131</v>
      </c>
      <c r="I2904">
        <v>2020</v>
      </c>
      <c r="J2904" t="s">
        <v>3338</v>
      </c>
      <c r="K2904" t="s">
        <v>133</v>
      </c>
      <c r="L2904" t="s">
        <v>1025</v>
      </c>
      <c r="M2904" t="s">
        <v>3343</v>
      </c>
      <c r="N2904">
        <v>1</v>
      </c>
      <c r="O2904">
        <v>2020</v>
      </c>
      <c r="P2904">
        <v>8.5405602175340825</v>
      </c>
      <c r="Q2904">
        <v>0.65995238044581539</v>
      </c>
      <c r="R2904" t="s">
        <v>109</v>
      </c>
      <c r="S2904">
        <v>0.78525</v>
      </c>
      <c r="T2904" t="s">
        <v>110</v>
      </c>
      <c r="U2904">
        <v>0.78525</v>
      </c>
      <c r="V2904">
        <v>29.141608066079829</v>
      </c>
      <c r="W2904">
        <v>2.251851532378895</v>
      </c>
      <c r="X2904" t="s">
        <v>111</v>
      </c>
      <c r="Y2904">
        <v>23</v>
      </c>
      <c r="Z2904">
        <v>0.1218781971003525</v>
      </c>
      <c r="AA2904">
        <v>31.536000000000001</v>
      </c>
    </row>
    <row r="2905" spans="1:27" hidden="1" x14ac:dyDescent="0.25">
      <c r="A2905" t="s">
        <v>98</v>
      </c>
      <c r="B2905" t="s">
        <v>1199</v>
      </c>
      <c r="D2905" t="s">
        <v>100</v>
      </c>
      <c r="E2905" t="s">
        <v>101</v>
      </c>
      <c r="F2905" t="s">
        <v>3320</v>
      </c>
      <c r="G2905" t="s">
        <v>103</v>
      </c>
      <c r="H2905" t="s">
        <v>131</v>
      </c>
      <c r="I2905">
        <v>2020</v>
      </c>
      <c r="J2905" t="s">
        <v>3338</v>
      </c>
      <c r="K2905" t="s">
        <v>133</v>
      </c>
      <c r="L2905" t="s">
        <v>1200</v>
      </c>
      <c r="M2905" t="s">
        <v>3344</v>
      </c>
      <c r="N2905">
        <v>1</v>
      </c>
      <c r="O2905">
        <v>2020</v>
      </c>
      <c r="P2905">
        <v>8.5405602175340825</v>
      </c>
      <c r="Q2905">
        <v>0.65995238044581539</v>
      </c>
      <c r="R2905" t="s">
        <v>109</v>
      </c>
      <c r="S2905">
        <v>0.78525</v>
      </c>
      <c r="T2905" t="s">
        <v>110</v>
      </c>
      <c r="U2905">
        <v>0.78525</v>
      </c>
      <c r="V2905">
        <v>29.141608066079829</v>
      </c>
      <c r="W2905">
        <v>2.251851532378895</v>
      </c>
      <c r="X2905" t="s">
        <v>111</v>
      </c>
      <c r="Y2905">
        <v>23</v>
      </c>
      <c r="Z2905">
        <v>0.1218781971003525</v>
      </c>
      <c r="AA2905">
        <v>31.536000000000001</v>
      </c>
    </row>
    <row r="2906" spans="1:27" hidden="1" x14ac:dyDescent="0.25">
      <c r="A2906" t="s">
        <v>98</v>
      </c>
      <c r="B2906" t="s">
        <v>1374</v>
      </c>
      <c r="D2906" t="s">
        <v>100</v>
      </c>
      <c r="E2906" t="s">
        <v>101</v>
      </c>
      <c r="F2906" t="s">
        <v>3320</v>
      </c>
      <c r="G2906" t="s">
        <v>103</v>
      </c>
      <c r="H2906" t="s">
        <v>131</v>
      </c>
      <c r="I2906">
        <v>2020</v>
      </c>
      <c r="J2906" t="s">
        <v>3338</v>
      </c>
      <c r="K2906" t="s">
        <v>133</v>
      </c>
      <c r="L2906" t="s">
        <v>1375</v>
      </c>
      <c r="M2906" t="s">
        <v>3345</v>
      </c>
      <c r="N2906">
        <v>1</v>
      </c>
      <c r="O2906">
        <v>2020</v>
      </c>
      <c r="P2906">
        <v>8.5405602175340825</v>
      </c>
      <c r="Q2906">
        <v>0.65995238044581539</v>
      </c>
      <c r="R2906" t="s">
        <v>109</v>
      </c>
      <c r="S2906">
        <v>0.78525</v>
      </c>
      <c r="T2906" t="s">
        <v>110</v>
      </c>
      <c r="U2906">
        <v>0.78525</v>
      </c>
      <c r="V2906">
        <v>29.141608066079829</v>
      </c>
      <c r="W2906">
        <v>2.251851532378895</v>
      </c>
      <c r="X2906" t="s">
        <v>111</v>
      </c>
      <c r="Y2906">
        <v>23</v>
      </c>
      <c r="Z2906">
        <v>0.1218781971003525</v>
      </c>
      <c r="AA2906">
        <v>31.536000000000001</v>
      </c>
    </row>
    <row r="2907" spans="1:27" hidden="1" x14ac:dyDescent="0.25">
      <c r="A2907" t="s">
        <v>98</v>
      </c>
      <c r="B2907" t="s">
        <v>1548</v>
      </c>
      <c r="D2907" t="s">
        <v>100</v>
      </c>
      <c r="E2907" t="s">
        <v>101</v>
      </c>
      <c r="F2907" t="s">
        <v>3320</v>
      </c>
      <c r="G2907" t="s">
        <v>103</v>
      </c>
      <c r="H2907" t="s">
        <v>131</v>
      </c>
      <c r="I2907">
        <v>2020</v>
      </c>
      <c r="J2907" t="s">
        <v>3338</v>
      </c>
      <c r="K2907" t="s">
        <v>133</v>
      </c>
      <c r="L2907" t="s">
        <v>1549</v>
      </c>
      <c r="M2907" t="s">
        <v>3346</v>
      </c>
      <c r="N2907">
        <v>1</v>
      </c>
      <c r="O2907">
        <v>2020</v>
      </c>
      <c r="P2907">
        <v>8.5405602175340825</v>
      </c>
      <c r="Q2907">
        <v>0.65995238044581539</v>
      </c>
      <c r="R2907" t="s">
        <v>109</v>
      </c>
      <c r="S2907">
        <v>0.78525</v>
      </c>
      <c r="T2907" t="s">
        <v>110</v>
      </c>
      <c r="U2907">
        <v>0.78525</v>
      </c>
      <c r="V2907">
        <v>29.141608066079829</v>
      </c>
      <c r="W2907">
        <v>2.251851532378895</v>
      </c>
      <c r="X2907" t="s">
        <v>111</v>
      </c>
      <c r="Y2907">
        <v>23</v>
      </c>
      <c r="Z2907">
        <v>0.1218781971003525</v>
      </c>
      <c r="AA2907">
        <v>31.536000000000001</v>
      </c>
    </row>
    <row r="2908" spans="1:27" hidden="1" x14ac:dyDescent="0.25">
      <c r="A2908" t="s">
        <v>98</v>
      </c>
      <c r="B2908" t="s">
        <v>99</v>
      </c>
      <c r="D2908" t="s">
        <v>1722</v>
      </c>
      <c r="E2908" t="s">
        <v>101</v>
      </c>
      <c r="F2908" t="s">
        <v>3320</v>
      </c>
      <c r="G2908" t="s">
        <v>103</v>
      </c>
      <c r="H2908" t="s">
        <v>131</v>
      </c>
      <c r="I2908">
        <v>2020</v>
      </c>
      <c r="J2908" t="s">
        <v>3338</v>
      </c>
      <c r="K2908" t="s">
        <v>133</v>
      </c>
      <c r="L2908" t="s">
        <v>1723</v>
      </c>
      <c r="M2908" t="s">
        <v>3347</v>
      </c>
      <c r="N2908">
        <v>1</v>
      </c>
      <c r="O2908">
        <v>2020</v>
      </c>
      <c r="P2908">
        <v>8.5405602175340825</v>
      </c>
      <c r="Q2908">
        <v>0.65995238044581539</v>
      </c>
      <c r="R2908" t="s">
        <v>109</v>
      </c>
      <c r="S2908">
        <v>0.78525</v>
      </c>
      <c r="T2908" t="s">
        <v>110</v>
      </c>
      <c r="U2908">
        <v>0.78525</v>
      </c>
      <c r="V2908">
        <v>29.141608066079829</v>
      </c>
      <c r="W2908">
        <v>2.251851532378895</v>
      </c>
      <c r="X2908" t="s">
        <v>111</v>
      </c>
      <c r="Y2908">
        <v>23</v>
      </c>
      <c r="Z2908">
        <v>0.1218781971003525</v>
      </c>
      <c r="AA2908">
        <v>31.536000000000001</v>
      </c>
    </row>
    <row r="2909" spans="1:27" hidden="1" x14ac:dyDescent="0.25">
      <c r="A2909" t="s">
        <v>98</v>
      </c>
      <c r="B2909" t="s">
        <v>499</v>
      </c>
      <c r="D2909" t="s">
        <v>1722</v>
      </c>
      <c r="E2909" t="s">
        <v>101</v>
      </c>
      <c r="F2909" t="s">
        <v>3320</v>
      </c>
      <c r="G2909" t="s">
        <v>103</v>
      </c>
      <c r="H2909" t="s">
        <v>131</v>
      </c>
      <c r="I2909">
        <v>2020</v>
      </c>
      <c r="J2909" t="s">
        <v>3338</v>
      </c>
      <c r="K2909" t="s">
        <v>133</v>
      </c>
      <c r="L2909" t="s">
        <v>1898</v>
      </c>
      <c r="M2909" t="s">
        <v>3348</v>
      </c>
      <c r="N2909">
        <v>1</v>
      </c>
      <c r="O2909">
        <v>2020</v>
      </c>
      <c r="P2909">
        <v>8.5405602175340825</v>
      </c>
      <c r="Q2909">
        <v>0.65995238044581539</v>
      </c>
      <c r="R2909" t="s">
        <v>109</v>
      </c>
      <c r="S2909">
        <v>0.78525</v>
      </c>
      <c r="T2909" t="s">
        <v>110</v>
      </c>
      <c r="U2909">
        <v>0.78525</v>
      </c>
      <c r="V2909">
        <v>29.141608066079829</v>
      </c>
      <c r="W2909">
        <v>2.251851532378895</v>
      </c>
      <c r="X2909" t="s">
        <v>111</v>
      </c>
      <c r="Y2909">
        <v>23</v>
      </c>
      <c r="Z2909">
        <v>0.1218781971003525</v>
      </c>
      <c r="AA2909">
        <v>31.536000000000001</v>
      </c>
    </row>
    <row r="2910" spans="1:27" hidden="1" x14ac:dyDescent="0.25">
      <c r="A2910" t="s">
        <v>98</v>
      </c>
      <c r="B2910" t="s">
        <v>674</v>
      </c>
      <c r="D2910" t="s">
        <v>1722</v>
      </c>
      <c r="E2910" t="s">
        <v>101</v>
      </c>
      <c r="F2910" t="s">
        <v>3320</v>
      </c>
      <c r="G2910" t="s">
        <v>103</v>
      </c>
      <c r="H2910" t="s">
        <v>131</v>
      </c>
      <c r="I2910">
        <v>2020</v>
      </c>
      <c r="J2910" t="s">
        <v>3338</v>
      </c>
      <c r="K2910" t="s">
        <v>133</v>
      </c>
      <c r="L2910" t="s">
        <v>2072</v>
      </c>
      <c r="M2910" t="s">
        <v>3349</v>
      </c>
      <c r="N2910">
        <v>1</v>
      </c>
      <c r="O2910">
        <v>2020</v>
      </c>
      <c r="P2910">
        <v>8.5405602175340825</v>
      </c>
      <c r="Q2910">
        <v>0.65995238044581539</v>
      </c>
      <c r="R2910" t="s">
        <v>109</v>
      </c>
      <c r="S2910">
        <v>0.78525</v>
      </c>
      <c r="T2910" t="s">
        <v>110</v>
      </c>
      <c r="U2910">
        <v>0.78525</v>
      </c>
      <c r="V2910">
        <v>29.141608066079829</v>
      </c>
      <c r="W2910">
        <v>2.251851532378895</v>
      </c>
      <c r="X2910" t="s">
        <v>111</v>
      </c>
      <c r="Y2910">
        <v>23</v>
      </c>
      <c r="Z2910">
        <v>0.1218781971003525</v>
      </c>
      <c r="AA2910">
        <v>31.536000000000001</v>
      </c>
    </row>
    <row r="2911" spans="1:27" hidden="1" x14ac:dyDescent="0.25">
      <c r="A2911" t="s">
        <v>98</v>
      </c>
      <c r="B2911" t="s">
        <v>849</v>
      </c>
      <c r="D2911" t="s">
        <v>1722</v>
      </c>
      <c r="E2911" t="s">
        <v>101</v>
      </c>
      <c r="F2911" t="s">
        <v>3320</v>
      </c>
      <c r="G2911" t="s">
        <v>103</v>
      </c>
      <c r="H2911" t="s">
        <v>131</v>
      </c>
      <c r="I2911">
        <v>2020</v>
      </c>
      <c r="J2911" t="s">
        <v>3338</v>
      </c>
      <c r="K2911" t="s">
        <v>133</v>
      </c>
      <c r="L2911" t="s">
        <v>2246</v>
      </c>
      <c r="M2911" t="s">
        <v>3350</v>
      </c>
      <c r="N2911">
        <v>1</v>
      </c>
      <c r="O2911">
        <v>2020</v>
      </c>
      <c r="P2911">
        <v>8.5405602175340825</v>
      </c>
      <c r="Q2911">
        <v>0.65995238044581539</v>
      </c>
      <c r="R2911" t="s">
        <v>109</v>
      </c>
      <c r="S2911">
        <v>0.78525</v>
      </c>
      <c r="T2911" t="s">
        <v>110</v>
      </c>
      <c r="U2911">
        <v>0.78525</v>
      </c>
      <c r="V2911">
        <v>29.141608066079829</v>
      </c>
      <c r="W2911">
        <v>2.251851532378895</v>
      </c>
      <c r="X2911" t="s">
        <v>111</v>
      </c>
      <c r="Y2911">
        <v>23</v>
      </c>
      <c r="Z2911">
        <v>0.1218781971003525</v>
      </c>
      <c r="AA2911">
        <v>31.536000000000001</v>
      </c>
    </row>
    <row r="2912" spans="1:27" hidden="1" x14ac:dyDescent="0.25">
      <c r="A2912" t="s">
        <v>98</v>
      </c>
      <c r="B2912" t="s">
        <v>1024</v>
      </c>
      <c r="D2912" t="s">
        <v>1722</v>
      </c>
      <c r="E2912" t="s">
        <v>101</v>
      </c>
      <c r="F2912" t="s">
        <v>3320</v>
      </c>
      <c r="G2912" t="s">
        <v>103</v>
      </c>
      <c r="H2912" t="s">
        <v>131</v>
      </c>
      <c r="I2912">
        <v>2020</v>
      </c>
      <c r="J2912" t="s">
        <v>3338</v>
      </c>
      <c r="K2912" t="s">
        <v>133</v>
      </c>
      <c r="L2912" t="s">
        <v>2420</v>
      </c>
      <c r="M2912" t="s">
        <v>3351</v>
      </c>
      <c r="N2912">
        <v>1</v>
      </c>
      <c r="O2912">
        <v>2020</v>
      </c>
      <c r="P2912">
        <v>8.5405602175340825</v>
      </c>
      <c r="Q2912">
        <v>0.65995238044581539</v>
      </c>
      <c r="R2912" t="s">
        <v>109</v>
      </c>
      <c r="S2912">
        <v>0.78525</v>
      </c>
      <c r="T2912" t="s">
        <v>110</v>
      </c>
      <c r="U2912">
        <v>0.78525</v>
      </c>
      <c r="V2912">
        <v>29.141608066079829</v>
      </c>
      <c r="W2912">
        <v>2.251851532378895</v>
      </c>
      <c r="X2912" t="s">
        <v>111</v>
      </c>
      <c r="Y2912">
        <v>23</v>
      </c>
      <c r="Z2912">
        <v>0.1218781971003525</v>
      </c>
      <c r="AA2912">
        <v>31.536000000000001</v>
      </c>
    </row>
    <row r="2913" spans="1:27" hidden="1" x14ac:dyDescent="0.25">
      <c r="A2913" t="s">
        <v>98</v>
      </c>
      <c r="B2913" t="s">
        <v>1199</v>
      </c>
      <c r="D2913" t="s">
        <v>1722</v>
      </c>
      <c r="E2913" t="s">
        <v>101</v>
      </c>
      <c r="F2913" t="s">
        <v>3320</v>
      </c>
      <c r="G2913" t="s">
        <v>103</v>
      </c>
      <c r="H2913" t="s">
        <v>131</v>
      </c>
      <c r="I2913">
        <v>2020</v>
      </c>
      <c r="J2913" t="s">
        <v>3338</v>
      </c>
      <c r="K2913" t="s">
        <v>133</v>
      </c>
      <c r="L2913" t="s">
        <v>2594</v>
      </c>
      <c r="M2913" t="s">
        <v>3352</v>
      </c>
      <c r="N2913">
        <v>1</v>
      </c>
      <c r="O2913">
        <v>2020</v>
      </c>
      <c r="P2913">
        <v>8.5405602175340825</v>
      </c>
      <c r="Q2913">
        <v>0.65995238044581539</v>
      </c>
      <c r="R2913" t="s">
        <v>109</v>
      </c>
      <c r="S2913">
        <v>0.78525</v>
      </c>
      <c r="T2913" t="s">
        <v>110</v>
      </c>
      <c r="U2913">
        <v>0.78525</v>
      </c>
      <c r="V2913">
        <v>29.141608066079829</v>
      </c>
      <c r="W2913">
        <v>2.251851532378895</v>
      </c>
      <c r="X2913" t="s">
        <v>111</v>
      </c>
      <c r="Y2913">
        <v>23</v>
      </c>
      <c r="Z2913">
        <v>0.1218781971003525</v>
      </c>
      <c r="AA2913">
        <v>31.536000000000001</v>
      </c>
    </row>
    <row r="2914" spans="1:27" hidden="1" x14ac:dyDescent="0.25">
      <c r="A2914" t="s">
        <v>98</v>
      </c>
      <c r="B2914" t="s">
        <v>1374</v>
      </c>
      <c r="D2914" t="s">
        <v>1722</v>
      </c>
      <c r="E2914" t="s">
        <v>101</v>
      </c>
      <c r="F2914" t="s">
        <v>3320</v>
      </c>
      <c r="G2914" t="s">
        <v>103</v>
      </c>
      <c r="H2914" t="s">
        <v>131</v>
      </c>
      <c r="I2914">
        <v>2020</v>
      </c>
      <c r="J2914" t="s">
        <v>3338</v>
      </c>
      <c r="K2914" t="s">
        <v>133</v>
      </c>
      <c r="L2914" t="s">
        <v>2768</v>
      </c>
      <c r="M2914" t="s">
        <v>3353</v>
      </c>
      <c r="N2914">
        <v>1</v>
      </c>
      <c r="O2914">
        <v>2020</v>
      </c>
      <c r="P2914">
        <v>8.5405602175340825</v>
      </c>
      <c r="Q2914">
        <v>0.65995238044581539</v>
      </c>
      <c r="R2914" t="s">
        <v>109</v>
      </c>
      <c r="S2914">
        <v>0.78525</v>
      </c>
      <c r="T2914" t="s">
        <v>110</v>
      </c>
      <c r="U2914">
        <v>0.78525</v>
      </c>
      <c r="V2914">
        <v>29.141608066079829</v>
      </c>
      <c r="W2914">
        <v>2.251851532378895</v>
      </c>
      <c r="X2914" t="s">
        <v>111</v>
      </c>
      <c r="Y2914">
        <v>23</v>
      </c>
      <c r="Z2914">
        <v>0.1218781971003525</v>
      </c>
      <c r="AA2914">
        <v>31.536000000000001</v>
      </c>
    </row>
    <row r="2915" spans="1:27" hidden="1" x14ac:dyDescent="0.25">
      <c r="A2915" t="s">
        <v>98</v>
      </c>
      <c r="B2915" t="s">
        <v>1548</v>
      </c>
      <c r="D2915" t="s">
        <v>1722</v>
      </c>
      <c r="E2915" t="s">
        <v>101</v>
      </c>
      <c r="F2915" t="s">
        <v>3320</v>
      </c>
      <c r="G2915" t="s">
        <v>103</v>
      </c>
      <c r="H2915" t="s">
        <v>131</v>
      </c>
      <c r="I2915">
        <v>2020</v>
      </c>
      <c r="J2915" t="s">
        <v>3338</v>
      </c>
      <c r="K2915" t="s">
        <v>133</v>
      </c>
      <c r="L2915" t="s">
        <v>2941</v>
      </c>
      <c r="M2915" t="s">
        <v>3354</v>
      </c>
      <c r="N2915">
        <v>1</v>
      </c>
      <c r="O2915">
        <v>2020</v>
      </c>
      <c r="P2915">
        <v>8.5405602175340825</v>
      </c>
      <c r="Q2915">
        <v>0.65995238044581539</v>
      </c>
      <c r="R2915" t="s">
        <v>109</v>
      </c>
      <c r="S2915">
        <v>0.78525</v>
      </c>
      <c r="T2915" t="s">
        <v>110</v>
      </c>
      <c r="U2915">
        <v>0.78525</v>
      </c>
      <c r="V2915">
        <v>29.141608066079829</v>
      </c>
      <c r="W2915">
        <v>2.251851532378895</v>
      </c>
      <c r="X2915" t="s">
        <v>111</v>
      </c>
      <c r="Y2915">
        <v>23</v>
      </c>
      <c r="Z2915">
        <v>0.1218781971003525</v>
      </c>
      <c r="AA2915">
        <v>31.536000000000001</v>
      </c>
    </row>
    <row r="2916" spans="1:27" hidden="1" x14ac:dyDescent="0.25">
      <c r="A2916" t="s">
        <v>98</v>
      </c>
      <c r="B2916" t="s">
        <v>99</v>
      </c>
      <c r="D2916" t="s">
        <v>100</v>
      </c>
      <c r="E2916" t="s">
        <v>101</v>
      </c>
      <c r="F2916" t="s">
        <v>135</v>
      </c>
      <c r="G2916" t="s">
        <v>112</v>
      </c>
      <c r="H2916" t="s">
        <v>131</v>
      </c>
      <c r="I2916">
        <v>2013</v>
      </c>
      <c r="J2916" t="s">
        <v>3355</v>
      </c>
      <c r="K2916" t="s">
        <v>133</v>
      </c>
      <c r="L2916" t="s">
        <v>107</v>
      </c>
      <c r="M2916" t="s">
        <v>3356</v>
      </c>
      <c r="N2916">
        <v>1</v>
      </c>
      <c r="O2916">
        <v>2020</v>
      </c>
      <c r="P2916">
        <v>71.976056492371754</v>
      </c>
      <c r="Q2916">
        <v>2.771270624305223</v>
      </c>
      <c r="R2916" t="s">
        <v>109</v>
      </c>
      <c r="S2916">
        <v>0.99</v>
      </c>
      <c r="T2916" t="s">
        <v>110</v>
      </c>
      <c r="U2916">
        <v>0.99</v>
      </c>
      <c r="V2916">
        <v>245.59255775007341</v>
      </c>
      <c r="W2916">
        <v>9.4559701379707395</v>
      </c>
      <c r="X2916" t="s">
        <v>111</v>
      </c>
      <c r="Y2916">
        <v>25</v>
      </c>
      <c r="Z2916">
        <v>0.1218781971003525</v>
      </c>
      <c r="AA2916">
        <v>31.536000000000001</v>
      </c>
    </row>
    <row r="2917" spans="1:27" hidden="1" x14ac:dyDescent="0.25">
      <c r="A2917" t="s">
        <v>98</v>
      </c>
      <c r="B2917" t="s">
        <v>499</v>
      </c>
      <c r="D2917" t="s">
        <v>100</v>
      </c>
      <c r="E2917" t="s">
        <v>101</v>
      </c>
      <c r="F2917" t="s">
        <v>135</v>
      </c>
      <c r="G2917" t="s">
        <v>112</v>
      </c>
      <c r="H2917" t="s">
        <v>131</v>
      </c>
      <c r="I2917">
        <v>2013</v>
      </c>
      <c r="J2917" t="s">
        <v>3355</v>
      </c>
      <c r="K2917" t="s">
        <v>133</v>
      </c>
      <c r="L2917" t="s">
        <v>500</v>
      </c>
      <c r="M2917" t="s">
        <v>3357</v>
      </c>
      <c r="N2917">
        <v>1</v>
      </c>
      <c r="O2917">
        <v>2020</v>
      </c>
      <c r="P2917">
        <v>71.976056492371754</v>
      </c>
      <c r="Q2917">
        <v>2.771270624305223</v>
      </c>
      <c r="R2917" t="s">
        <v>109</v>
      </c>
      <c r="S2917">
        <v>0.99</v>
      </c>
      <c r="T2917" t="s">
        <v>110</v>
      </c>
      <c r="U2917">
        <v>0.99</v>
      </c>
      <c r="V2917">
        <v>245.59255775007341</v>
      </c>
      <c r="W2917">
        <v>9.4559701379707395</v>
      </c>
      <c r="X2917" t="s">
        <v>111</v>
      </c>
      <c r="Y2917">
        <v>25</v>
      </c>
      <c r="Z2917">
        <v>0.1218781971003525</v>
      </c>
      <c r="AA2917">
        <v>31.536000000000001</v>
      </c>
    </row>
    <row r="2918" spans="1:27" hidden="1" x14ac:dyDescent="0.25">
      <c r="A2918" t="s">
        <v>98</v>
      </c>
      <c r="B2918" t="s">
        <v>674</v>
      </c>
      <c r="D2918" t="s">
        <v>100</v>
      </c>
      <c r="E2918" t="s">
        <v>101</v>
      </c>
      <c r="F2918" t="s">
        <v>135</v>
      </c>
      <c r="G2918" t="s">
        <v>112</v>
      </c>
      <c r="H2918" t="s">
        <v>131</v>
      </c>
      <c r="I2918">
        <v>2013</v>
      </c>
      <c r="J2918" t="s">
        <v>3355</v>
      </c>
      <c r="K2918" t="s">
        <v>133</v>
      </c>
      <c r="L2918" t="s">
        <v>675</v>
      </c>
      <c r="M2918" t="s">
        <v>3358</v>
      </c>
      <c r="N2918">
        <v>1</v>
      </c>
      <c r="O2918">
        <v>2020</v>
      </c>
      <c r="P2918">
        <v>71.976056492371754</v>
      </c>
      <c r="Q2918">
        <v>2.771270624305223</v>
      </c>
      <c r="R2918" t="s">
        <v>109</v>
      </c>
      <c r="S2918">
        <v>0.99</v>
      </c>
      <c r="T2918" t="s">
        <v>110</v>
      </c>
      <c r="U2918">
        <v>0.99</v>
      </c>
      <c r="V2918">
        <v>245.59255775007341</v>
      </c>
      <c r="W2918">
        <v>9.4559701379707395</v>
      </c>
      <c r="X2918" t="s">
        <v>111</v>
      </c>
      <c r="Y2918">
        <v>25</v>
      </c>
      <c r="Z2918">
        <v>0.1218781971003525</v>
      </c>
      <c r="AA2918">
        <v>31.536000000000001</v>
      </c>
    </row>
    <row r="2919" spans="1:27" hidden="1" x14ac:dyDescent="0.25">
      <c r="A2919" t="s">
        <v>98</v>
      </c>
      <c r="B2919" t="s">
        <v>849</v>
      </c>
      <c r="D2919" t="s">
        <v>100</v>
      </c>
      <c r="E2919" t="s">
        <v>101</v>
      </c>
      <c r="F2919" t="s">
        <v>135</v>
      </c>
      <c r="G2919" t="s">
        <v>112</v>
      </c>
      <c r="H2919" t="s">
        <v>131</v>
      </c>
      <c r="I2919">
        <v>2013</v>
      </c>
      <c r="J2919" t="s">
        <v>3355</v>
      </c>
      <c r="K2919" t="s">
        <v>133</v>
      </c>
      <c r="L2919" t="s">
        <v>850</v>
      </c>
      <c r="M2919" t="s">
        <v>3359</v>
      </c>
      <c r="N2919">
        <v>1</v>
      </c>
      <c r="O2919">
        <v>2020</v>
      </c>
      <c r="P2919">
        <v>71.976056492371754</v>
      </c>
      <c r="Q2919">
        <v>2.771270624305223</v>
      </c>
      <c r="R2919" t="s">
        <v>109</v>
      </c>
      <c r="S2919">
        <v>0.99</v>
      </c>
      <c r="T2919" t="s">
        <v>110</v>
      </c>
      <c r="U2919">
        <v>0.99</v>
      </c>
      <c r="V2919">
        <v>245.59255775007341</v>
      </c>
      <c r="W2919">
        <v>9.4559701379707395</v>
      </c>
      <c r="X2919" t="s">
        <v>111</v>
      </c>
      <c r="Y2919">
        <v>25</v>
      </c>
      <c r="Z2919">
        <v>0.1218781971003525</v>
      </c>
      <c r="AA2919">
        <v>31.536000000000001</v>
      </c>
    </row>
    <row r="2920" spans="1:27" hidden="1" x14ac:dyDescent="0.25">
      <c r="A2920" t="s">
        <v>98</v>
      </c>
      <c r="B2920" t="s">
        <v>1024</v>
      </c>
      <c r="D2920" t="s">
        <v>100</v>
      </c>
      <c r="E2920" t="s">
        <v>101</v>
      </c>
      <c r="F2920" t="s">
        <v>135</v>
      </c>
      <c r="G2920" t="s">
        <v>112</v>
      </c>
      <c r="H2920" t="s">
        <v>131</v>
      </c>
      <c r="I2920">
        <v>2013</v>
      </c>
      <c r="J2920" t="s">
        <v>3355</v>
      </c>
      <c r="K2920" t="s">
        <v>133</v>
      </c>
      <c r="L2920" t="s">
        <v>1025</v>
      </c>
      <c r="M2920" t="s">
        <v>3360</v>
      </c>
      <c r="N2920">
        <v>1</v>
      </c>
      <c r="O2920">
        <v>2020</v>
      </c>
      <c r="P2920">
        <v>71.976056492371754</v>
      </c>
      <c r="Q2920">
        <v>2.771270624305223</v>
      </c>
      <c r="R2920" t="s">
        <v>109</v>
      </c>
      <c r="S2920">
        <v>0.99</v>
      </c>
      <c r="T2920" t="s">
        <v>110</v>
      </c>
      <c r="U2920">
        <v>0.99</v>
      </c>
      <c r="V2920">
        <v>245.59255775007341</v>
      </c>
      <c r="W2920">
        <v>9.4559701379707395</v>
      </c>
      <c r="X2920" t="s">
        <v>111</v>
      </c>
      <c r="Y2920">
        <v>25</v>
      </c>
      <c r="Z2920">
        <v>0.1218781971003525</v>
      </c>
      <c r="AA2920">
        <v>31.536000000000001</v>
      </c>
    </row>
    <row r="2921" spans="1:27" hidden="1" x14ac:dyDescent="0.25">
      <c r="A2921" t="s">
        <v>98</v>
      </c>
      <c r="B2921" t="s">
        <v>1199</v>
      </c>
      <c r="D2921" t="s">
        <v>100</v>
      </c>
      <c r="E2921" t="s">
        <v>101</v>
      </c>
      <c r="F2921" t="s">
        <v>135</v>
      </c>
      <c r="G2921" t="s">
        <v>112</v>
      </c>
      <c r="H2921" t="s">
        <v>131</v>
      </c>
      <c r="I2921">
        <v>2013</v>
      </c>
      <c r="J2921" t="s">
        <v>3355</v>
      </c>
      <c r="K2921" t="s">
        <v>133</v>
      </c>
      <c r="L2921" t="s">
        <v>1200</v>
      </c>
      <c r="M2921" t="s">
        <v>3361</v>
      </c>
      <c r="N2921">
        <v>1</v>
      </c>
      <c r="O2921">
        <v>2020</v>
      </c>
      <c r="P2921">
        <v>71.976056492371754</v>
      </c>
      <c r="Q2921">
        <v>2.771270624305223</v>
      </c>
      <c r="R2921" t="s">
        <v>109</v>
      </c>
      <c r="S2921">
        <v>0.99</v>
      </c>
      <c r="T2921" t="s">
        <v>110</v>
      </c>
      <c r="U2921">
        <v>0.99</v>
      </c>
      <c r="V2921">
        <v>245.59255775007341</v>
      </c>
      <c r="W2921">
        <v>9.4559701379707395</v>
      </c>
      <c r="X2921" t="s">
        <v>111</v>
      </c>
      <c r="Y2921">
        <v>25</v>
      </c>
      <c r="Z2921">
        <v>0.1218781971003525</v>
      </c>
      <c r="AA2921">
        <v>31.536000000000001</v>
      </c>
    </row>
    <row r="2922" spans="1:27" hidden="1" x14ac:dyDescent="0.25">
      <c r="A2922" t="s">
        <v>98</v>
      </c>
      <c r="B2922" t="s">
        <v>1374</v>
      </c>
      <c r="D2922" t="s">
        <v>100</v>
      </c>
      <c r="E2922" t="s">
        <v>101</v>
      </c>
      <c r="F2922" t="s">
        <v>135</v>
      </c>
      <c r="G2922" t="s">
        <v>112</v>
      </c>
      <c r="H2922" t="s">
        <v>131</v>
      </c>
      <c r="I2922">
        <v>2013</v>
      </c>
      <c r="J2922" t="s">
        <v>3355</v>
      </c>
      <c r="K2922" t="s">
        <v>133</v>
      </c>
      <c r="L2922" t="s">
        <v>1375</v>
      </c>
      <c r="M2922" t="s">
        <v>3362</v>
      </c>
      <c r="N2922">
        <v>1</v>
      </c>
      <c r="O2922">
        <v>2020</v>
      </c>
      <c r="P2922">
        <v>71.976056492371754</v>
      </c>
      <c r="Q2922">
        <v>2.771270624305223</v>
      </c>
      <c r="R2922" t="s">
        <v>109</v>
      </c>
      <c r="S2922">
        <v>0.99</v>
      </c>
      <c r="T2922" t="s">
        <v>110</v>
      </c>
      <c r="U2922">
        <v>0.99</v>
      </c>
      <c r="V2922">
        <v>245.59255775007341</v>
      </c>
      <c r="W2922">
        <v>9.4559701379707395</v>
      </c>
      <c r="X2922" t="s">
        <v>111</v>
      </c>
      <c r="Y2922">
        <v>25</v>
      </c>
      <c r="Z2922">
        <v>0.44</v>
      </c>
      <c r="AA2922">
        <v>31.536000000000001</v>
      </c>
    </row>
    <row r="2923" spans="1:27" hidden="1" x14ac:dyDescent="0.25">
      <c r="A2923" t="s">
        <v>98</v>
      </c>
      <c r="B2923" t="s">
        <v>1548</v>
      </c>
      <c r="D2923" t="s">
        <v>100</v>
      </c>
      <c r="E2923" t="s">
        <v>101</v>
      </c>
      <c r="F2923" t="s">
        <v>135</v>
      </c>
      <c r="G2923" t="s">
        <v>112</v>
      </c>
      <c r="H2923" t="s">
        <v>131</v>
      </c>
      <c r="I2923">
        <v>2013</v>
      </c>
      <c r="J2923" t="s">
        <v>3355</v>
      </c>
      <c r="K2923" t="s">
        <v>133</v>
      </c>
      <c r="L2923" t="s">
        <v>1549</v>
      </c>
      <c r="M2923" t="s">
        <v>3363</v>
      </c>
      <c r="N2923">
        <v>1</v>
      </c>
      <c r="O2923">
        <v>2020</v>
      </c>
      <c r="P2923">
        <v>71.976056492371754</v>
      </c>
      <c r="Q2923">
        <v>2.771270624305223</v>
      </c>
      <c r="R2923" t="s">
        <v>109</v>
      </c>
      <c r="S2923">
        <v>0.99</v>
      </c>
      <c r="T2923" t="s">
        <v>110</v>
      </c>
      <c r="U2923">
        <v>0.99</v>
      </c>
      <c r="V2923">
        <v>245.59255775007341</v>
      </c>
      <c r="W2923">
        <v>9.4559701379707395</v>
      </c>
      <c r="X2923" t="s">
        <v>111</v>
      </c>
      <c r="Y2923">
        <v>25</v>
      </c>
      <c r="Z2923">
        <v>0.44</v>
      </c>
      <c r="AA2923">
        <v>31.536000000000001</v>
      </c>
    </row>
    <row r="2924" spans="1:27" hidden="1" x14ac:dyDescent="0.25">
      <c r="A2924" t="s">
        <v>98</v>
      </c>
      <c r="B2924" t="s">
        <v>99</v>
      </c>
      <c r="D2924" t="s">
        <v>1722</v>
      </c>
      <c r="E2924" t="s">
        <v>101</v>
      </c>
      <c r="F2924" t="s">
        <v>135</v>
      </c>
      <c r="G2924" t="s">
        <v>112</v>
      </c>
      <c r="H2924" t="s">
        <v>131</v>
      </c>
      <c r="I2924">
        <v>2013</v>
      </c>
      <c r="J2924" t="s">
        <v>3355</v>
      </c>
      <c r="K2924" t="s">
        <v>133</v>
      </c>
      <c r="L2924" t="s">
        <v>1723</v>
      </c>
      <c r="M2924" t="s">
        <v>3364</v>
      </c>
      <c r="N2924">
        <v>1</v>
      </c>
      <c r="O2924">
        <v>2020</v>
      </c>
      <c r="P2924">
        <v>71.976056492371754</v>
      </c>
      <c r="Q2924">
        <v>2.771270624305223</v>
      </c>
      <c r="R2924" t="s">
        <v>109</v>
      </c>
      <c r="S2924">
        <v>0.99</v>
      </c>
      <c r="T2924" t="s">
        <v>110</v>
      </c>
      <c r="U2924">
        <v>0.99</v>
      </c>
      <c r="V2924">
        <v>245.59255775007341</v>
      </c>
      <c r="W2924">
        <v>9.4559701379707395</v>
      </c>
      <c r="X2924" t="s">
        <v>111</v>
      </c>
      <c r="Y2924">
        <v>25</v>
      </c>
      <c r="Z2924">
        <v>0.44</v>
      </c>
      <c r="AA2924">
        <v>31.536000000000001</v>
      </c>
    </row>
    <row r="2925" spans="1:27" hidden="1" x14ac:dyDescent="0.25">
      <c r="A2925" t="s">
        <v>98</v>
      </c>
      <c r="B2925" t="s">
        <v>499</v>
      </c>
      <c r="D2925" t="s">
        <v>1722</v>
      </c>
      <c r="E2925" t="s">
        <v>101</v>
      </c>
      <c r="F2925" t="s">
        <v>135</v>
      </c>
      <c r="G2925" t="s">
        <v>112</v>
      </c>
      <c r="H2925" t="s">
        <v>131</v>
      </c>
      <c r="I2925">
        <v>2013</v>
      </c>
      <c r="J2925" t="s">
        <v>3355</v>
      </c>
      <c r="K2925" t="s">
        <v>133</v>
      </c>
      <c r="L2925" t="s">
        <v>1898</v>
      </c>
      <c r="M2925" t="s">
        <v>3365</v>
      </c>
      <c r="N2925">
        <v>1</v>
      </c>
      <c r="O2925">
        <v>2020</v>
      </c>
      <c r="P2925">
        <v>71.976056492371754</v>
      </c>
      <c r="Q2925">
        <v>2.771270624305223</v>
      </c>
      <c r="R2925" t="s">
        <v>109</v>
      </c>
      <c r="S2925">
        <v>0.99</v>
      </c>
      <c r="T2925" t="s">
        <v>110</v>
      </c>
      <c r="U2925">
        <v>0.99</v>
      </c>
      <c r="V2925">
        <v>245.59255775007341</v>
      </c>
      <c r="W2925">
        <v>9.4559701379707395</v>
      </c>
      <c r="X2925" t="s">
        <v>111</v>
      </c>
      <c r="Y2925">
        <v>25</v>
      </c>
      <c r="Z2925">
        <v>0.44</v>
      </c>
      <c r="AA2925">
        <v>31.536000000000001</v>
      </c>
    </row>
    <row r="2926" spans="1:27" hidden="1" x14ac:dyDescent="0.25">
      <c r="A2926" t="s">
        <v>98</v>
      </c>
      <c r="B2926" t="s">
        <v>674</v>
      </c>
      <c r="D2926" t="s">
        <v>1722</v>
      </c>
      <c r="E2926" t="s">
        <v>101</v>
      </c>
      <c r="F2926" t="s">
        <v>135</v>
      </c>
      <c r="G2926" t="s">
        <v>112</v>
      </c>
      <c r="H2926" t="s">
        <v>131</v>
      </c>
      <c r="I2926">
        <v>2013</v>
      </c>
      <c r="J2926" t="s">
        <v>3355</v>
      </c>
      <c r="K2926" t="s">
        <v>133</v>
      </c>
      <c r="L2926" t="s">
        <v>2072</v>
      </c>
      <c r="M2926" t="s">
        <v>3366</v>
      </c>
      <c r="N2926">
        <v>1</v>
      </c>
      <c r="O2926">
        <v>2020</v>
      </c>
      <c r="P2926">
        <v>71.976056492371754</v>
      </c>
      <c r="Q2926">
        <v>2.771270624305223</v>
      </c>
      <c r="R2926" t="s">
        <v>109</v>
      </c>
      <c r="S2926">
        <v>0.99</v>
      </c>
      <c r="T2926" t="s">
        <v>110</v>
      </c>
      <c r="U2926">
        <v>0.99</v>
      </c>
      <c r="V2926">
        <v>245.59255775007341</v>
      </c>
      <c r="W2926">
        <v>9.4559701379707395</v>
      </c>
      <c r="X2926" t="s">
        <v>111</v>
      </c>
      <c r="Y2926">
        <v>25</v>
      </c>
      <c r="Z2926">
        <v>0.44</v>
      </c>
      <c r="AA2926">
        <v>31.536000000000001</v>
      </c>
    </row>
    <row r="2927" spans="1:27" hidden="1" x14ac:dyDescent="0.25">
      <c r="A2927" t="s">
        <v>98</v>
      </c>
      <c r="B2927" t="s">
        <v>849</v>
      </c>
      <c r="D2927" t="s">
        <v>1722</v>
      </c>
      <c r="E2927" t="s">
        <v>101</v>
      </c>
      <c r="F2927" t="s">
        <v>135</v>
      </c>
      <c r="G2927" t="s">
        <v>112</v>
      </c>
      <c r="H2927" t="s">
        <v>131</v>
      </c>
      <c r="I2927">
        <v>2013</v>
      </c>
      <c r="J2927" t="s">
        <v>3355</v>
      </c>
      <c r="K2927" t="s">
        <v>133</v>
      </c>
      <c r="L2927" t="s">
        <v>2246</v>
      </c>
      <c r="M2927" t="s">
        <v>3367</v>
      </c>
      <c r="N2927">
        <v>1</v>
      </c>
      <c r="O2927">
        <v>2020</v>
      </c>
      <c r="P2927">
        <v>71.976056492371754</v>
      </c>
      <c r="Q2927">
        <v>2.771270624305223</v>
      </c>
      <c r="R2927" t="s">
        <v>109</v>
      </c>
      <c r="S2927">
        <v>0.99</v>
      </c>
      <c r="T2927" t="s">
        <v>110</v>
      </c>
      <c r="U2927">
        <v>0.99</v>
      </c>
      <c r="V2927">
        <v>245.59255775007341</v>
      </c>
      <c r="W2927">
        <v>9.4559701379707395</v>
      </c>
      <c r="X2927" t="s">
        <v>111</v>
      </c>
      <c r="Y2927">
        <v>25</v>
      </c>
      <c r="Z2927">
        <v>0.44</v>
      </c>
      <c r="AA2927">
        <v>31.536000000000001</v>
      </c>
    </row>
    <row r="2928" spans="1:27" hidden="1" x14ac:dyDescent="0.25">
      <c r="A2928" t="s">
        <v>98</v>
      </c>
      <c r="B2928" t="s">
        <v>1024</v>
      </c>
      <c r="D2928" t="s">
        <v>1722</v>
      </c>
      <c r="E2928" t="s">
        <v>101</v>
      </c>
      <c r="F2928" t="s">
        <v>135</v>
      </c>
      <c r="G2928" t="s">
        <v>112</v>
      </c>
      <c r="H2928" t="s">
        <v>131</v>
      </c>
      <c r="I2928">
        <v>2013</v>
      </c>
      <c r="J2928" t="s">
        <v>3355</v>
      </c>
      <c r="K2928" t="s">
        <v>133</v>
      </c>
      <c r="L2928" t="s">
        <v>2420</v>
      </c>
      <c r="M2928" t="s">
        <v>3368</v>
      </c>
      <c r="N2928">
        <v>1</v>
      </c>
      <c r="O2928">
        <v>2020</v>
      </c>
      <c r="P2928">
        <v>71.976056492371754</v>
      </c>
      <c r="Q2928">
        <v>2.771270624305223</v>
      </c>
      <c r="R2928" t="s">
        <v>109</v>
      </c>
      <c r="S2928">
        <v>0.99</v>
      </c>
      <c r="T2928" t="s">
        <v>110</v>
      </c>
      <c r="U2928">
        <v>0.99</v>
      </c>
      <c r="V2928">
        <v>245.59255775007341</v>
      </c>
      <c r="W2928">
        <v>9.4559701379707395</v>
      </c>
      <c r="X2928" t="s">
        <v>111</v>
      </c>
      <c r="Y2928">
        <v>25</v>
      </c>
      <c r="Z2928">
        <v>0.44</v>
      </c>
      <c r="AA2928">
        <v>31.536000000000001</v>
      </c>
    </row>
    <row r="2929" spans="1:27" hidden="1" x14ac:dyDescent="0.25">
      <c r="A2929" t="s">
        <v>98</v>
      </c>
      <c r="B2929" t="s">
        <v>1199</v>
      </c>
      <c r="D2929" t="s">
        <v>1722</v>
      </c>
      <c r="E2929" t="s">
        <v>101</v>
      </c>
      <c r="F2929" t="s">
        <v>135</v>
      </c>
      <c r="G2929" t="s">
        <v>112</v>
      </c>
      <c r="H2929" t="s">
        <v>131</v>
      </c>
      <c r="I2929">
        <v>2013</v>
      </c>
      <c r="J2929" t="s">
        <v>3355</v>
      </c>
      <c r="K2929" t="s">
        <v>133</v>
      </c>
      <c r="L2929" t="s">
        <v>2594</v>
      </c>
      <c r="M2929" t="s">
        <v>3369</v>
      </c>
      <c r="N2929">
        <v>1</v>
      </c>
      <c r="O2929">
        <v>2020</v>
      </c>
      <c r="P2929">
        <v>71.976056492371754</v>
      </c>
      <c r="Q2929">
        <v>2.771270624305223</v>
      </c>
      <c r="R2929" t="s">
        <v>109</v>
      </c>
      <c r="S2929">
        <v>0.99</v>
      </c>
      <c r="T2929" t="s">
        <v>110</v>
      </c>
      <c r="U2929">
        <v>0.99</v>
      </c>
      <c r="V2929">
        <v>245.59255775007341</v>
      </c>
      <c r="W2929">
        <v>9.4559701379707395</v>
      </c>
      <c r="X2929" t="s">
        <v>111</v>
      </c>
      <c r="Y2929">
        <v>25</v>
      </c>
      <c r="Z2929">
        <v>0.44</v>
      </c>
      <c r="AA2929">
        <v>31.536000000000001</v>
      </c>
    </row>
    <row r="2930" spans="1:27" hidden="1" x14ac:dyDescent="0.25">
      <c r="A2930" t="s">
        <v>98</v>
      </c>
      <c r="B2930" t="s">
        <v>1374</v>
      </c>
      <c r="D2930" t="s">
        <v>1722</v>
      </c>
      <c r="E2930" t="s">
        <v>101</v>
      </c>
      <c r="F2930" t="s">
        <v>135</v>
      </c>
      <c r="G2930" t="s">
        <v>112</v>
      </c>
      <c r="H2930" t="s">
        <v>131</v>
      </c>
      <c r="I2930">
        <v>2013</v>
      </c>
      <c r="J2930" t="s">
        <v>3355</v>
      </c>
      <c r="K2930" t="s">
        <v>133</v>
      </c>
      <c r="L2930" t="s">
        <v>2768</v>
      </c>
      <c r="M2930" t="s">
        <v>3370</v>
      </c>
      <c r="N2930">
        <v>1</v>
      </c>
      <c r="O2930">
        <v>2020</v>
      </c>
      <c r="P2930">
        <v>71.976056492371754</v>
      </c>
      <c r="Q2930">
        <v>2.771270624305223</v>
      </c>
      <c r="R2930" t="s">
        <v>109</v>
      </c>
      <c r="S2930">
        <v>0.99</v>
      </c>
      <c r="T2930" t="s">
        <v>110</v>
      </c>
      <c r="U2930">
        <v>0.99</v>
      </c>
      <c r="V2930">
        <v>245.59255775007341</v>
      </c>
      <c r="W2930">
        <v>9.4559701379707395</v>
      </c>
      <c r="X2930" t="s">
        <v>111</v>
      </c>
      <c r="Y2930">
        <v>25</v>
      </c>
      <c r="Z2930">
        <v>0.44</v>
      </c>
      <c r="AA2930">
        <v>31.536000000000001</v>
      </c>
    </row>
    <row r="2931" spans="1:27" hidden="1" x14ac:dyDescent="0.25">
      <c r="A2931" t="s">
        <v>98</v>
      </c>
      <c r="B2931" t="s">
        <v>1548</v>
      </c>
      <c r="D2931" t="s">
        <v>1722</v>
      </c>
      <c r="E2931" t="s">
        <v>101</v>
      </c>
      <c r="F2931" t="s">
        <v>135</v>
      </c>
      <c r="G2931" t="s">
        <v>112</v>
      </c>
      <c r="H2931" t="s">
        <v>131</v>
      </c>
      <c r="I2931">
        <v>2013</v>
      </c>
      <c r="J2931" t="s">
        <v>3355</v>
      </c>
      <c r="K2931" t="s">
        <v>133</v>
      </c>
      <c r="L2931" t="s">
        <v>2941</v>
      </c>
      <c r="M2931" t="s">
        <v>3371</v>
      </c>
      <c r="N2931">
        <v>1</v>
      </c>
      <c r="O2931">
        <v>2020</v>
      </c>
      <c r="P2931">
        <v>71.976056492371754</v>
      </c>
      <c r="Q2931">
        <v>2.771270624305223</v>
      </c>
      <c r="R2931" t="s">
        <v>109</v>
      </c>
      <c r="S2931">
        <v>0.99</v>
      </c>
      <c r="T2931" t="s">
        <v>110</v>
      </c>
      <c r="U2931">
        <v>0.99</v>
      </c>
      <c r="V2931">
        <v>245.59255775007341</v>
      </c>
      <c r="W2931">
        <v>9.4559701379707395</v>
      </c>
      <c r="X2931" t="s">
        <v>111</v>
      </c>
      <c r="Y2931">
        <v>25</v>
      </c>
      <c r="Z2931">
        <v>0.44</v>
      </c>
      <c r="AA2931">
        <v>31.536000000000001</v>
      </c>
    </row>
    <row r="2932" spans="1:27" hidden="1" x14ac:dyDescent="0.25">
      <c r="A2932" t="s">
        <v>98</v>
      </c>
      <c r="B2932" t="s">
        <v>99</v>
      </c>
      <c r="D2932" t="s">
        <v>100</v>
      </c>
      <c r="E2932" t="s">
        <v>101</v>
      </c>
      <c r="F2932" t="s">
        <v>135</v>
      </c>
      <c r="G2932" t="s">
        <v>67</v>
      </c>
      <c r="H2932" t="s">
        <v>131</v>
      </c>
      <c r="I2932">
        <v>2013</v>
      </c>
      <c r="J2932" t="s">
        <v>3372</v>
      </c>
      <c r="K2932" t="s">
        <v>133</v>
      </c>
      <c r="L2932" t="s">
        <v>107</v>
      </c>
      <c r="M2932" t="s">
        <v>3373</v>
      </c>
      <c r="N2932">
        <v>1</v>
      </c>
      <c r="O2932">
        <v>2020</v>
      </c>
      <c r="P2932">
        <v>69.900086741548137</v>
      </c>
      <c r="Q2932">
        <v>2.9500622774862051</v>
      </c>
      <c r="R2932" t="s">
        <v>109</v>
      </c>
      <c r="S2932">
        <v>0.93</v>
      </c>
      <c r="T2932" t="s">
        <v>110</v>
      </c>
      <c r="U2932">
        <v>0.93</v>
      </c>
      <c r="V2932">
        <v>238.50905323811679</v>
      </c>
      <c r="W2932">
        <v>10.066032727517239</v>
      </c>
      <c r="X2932" t="s">
        <v>111</v>
      </c>
      <c r="Y2932">
        <v>25</v>
      </c>
      <c r="Z2932">
        <v>0.1218781971003525</v>
      </c>
      <c r="AA2932">
        <v>31.536000000000001</v>
      </c>
    </row>
    <row r="2933" spans="1:27" hidden="1" x14ac:dyDescent="0.25">
      <c r="A2933" t="s">
        <v>98</v>
      </c>
      <c r="B2933" t="s">
        <v>499</v>
      </c>
      <c r="D2933" t="s">
        <v>100</v>
      </c>
      <c r="E2933" t="s">
        <v>101</v>
      </c>
      <c r="F2933" t="s">
        <v>135</v>
      </c>
      <c r="G2933" t="s">
        <v>67</v>
      </c>
      <c r="H2933" t="s">
        <v>131</v>
      </c>
      <c r="I2933">
        <v>2013</v>
      </c>
      <c r="J2933" t="s">
        <v>3372</v>
      </c>
      <c r="K2933" t="s">
        <v>133</v>
      </c>
      <c r="L2933" t="s">
        <v>500</v>
      </c>
      <c r="M2933" t="s">
        <v>3374</v>
      </c>
      <c r="N2933">
        <v>1</v>
      </c>
      <c r="O2933">
        <v>2020</v>
      </c>
      <c r="P2933">
        <v>69.900086741548137</v>
      </c>
      <c r="Q2933">
        <v>2.9500622774862051</v>
      </c>
      <c r="R2933" t="s">
        <v>109</v>
      </c>
      <c r="S2933">
        <v>0.93</v>
      </c>
      <c r="T2933" t="s">
        <v>110</v>
      </c>
      <c r="U2933">
        <v>0.93</v>
      </c>
      <c r="V2933">
        <v>238.50905323811679</v>
      </c>
      <c r="W2933">
        <v>10.066032727517239</v>
      </c>
      <c r="X2933" t="s">
        <v>111</v>
      </c>
      <c r="Y2933">
        <v>25</v>
      </c>
      <c r="Z2933">
        <v>0.1218781971003525</v>
      </c>
      <c r="AA2933">
        <v>31.536000000000001</v>
      </c>
    </row>
    <row r="2934" spans="1:27" hidden="1" x14ac:dyDescent="0.25">
      <c r="A2934" t="s">
        <v>98</v>
      </c>
      <c r="B2934" t="s">
        <v>674</v>
      </c>
      <c r="D2934" t="s">
        <v>100</v>
      </c>
      <c r="E2934" t="s">
        <v>101</v>
      </c>
      <c r="F2934" t="s">
        <v>135</v>
      </c>
      <c r="G2934" t="s">
        <v>67</v>
      </c>
      <c r="H2934" t="s">
        <v>131</v>
      </c>
      <c r="I2934">
        <v>2013</v>
      </c>
      <c r="J2934" t="s">
        <v>3372</v>
      </c>
      <c r="K2934" t="s">
        <v>133</v>
      </c>
      <c r="L2934" t="s">
        <v>675</v>
      </c>
      <c r="M2934" t="s">
        <v>3375</v>
      </c>
      <c r="N2934">
        <v>1</v>
      </c>
      <c r="O2934">
        <v>2020</v>
      </c>
      <c r="P2934">
        <v>69.900086741548137</v>
      </c>
      <c r="Q2934">
        <v>2.9500622774862051</v>
      </c>
      <c r="R2934" t="s">
        <v>109</v>
      </c>
      <c r="S2934">
        <v>0.93</v>
      </c>
      <c r="T2934" t="s">
        <v>110</v>
      </c>
      <c r="U2934">
        <v>0.93</v>
      </c>
      <c r="V2934">
        <v>238.50905323811679</v>
      </c>
      <c r="W2934">
        <v>10.066032727517239</v>
      </c>
      <c r="X2934" t="s">
        <v>111</v>
      </c>
      <c r="Y2934">
        <v>25</v>
      </c>
      <c r="Z2934">
        <v>0.1218781971003525</v>
      </c>
      <c r="AA2934">
        <v>31.536000000000001</v>
      </c>
    </row>
    <row r="2935" spans="1:27" hidden="1" x14ac:dyDescent="0.25">
      <c r="A2935" t="s">
        <v>98</v>
      </c>
      <c r="B2935" t="s">
        <v>849</v>
      </c>
      <c r="D2935" t="s">
        <v>100</v>
      </c>
      <c r="E2935" t="s">
        <v>101</v>
      </c>
      <c r="F2935" t="s">
        <v>135</v>
      </c>
      <c r="G2935" t="s">
        <v>67</v>
      </c>
      <c r="H2935" t="s">
        <v>131</v>
      </c>
      <c r="I2935">
        <v>2013</v>
      </c>
      <c r="J2935" t="s">
        <v>3372</v>
      </c>
      <c r="K2935" t="s">
        <v>133</v>
      </c>
      <c r="L2935" t="s">
        <v>850</v>
      </c>
      <c r="M2935" t="s">
        <v>3376</v>
      </c>
      <c r="N2935">
        <v>1</v>
      </c>
      <c r="O2935">
        <v>2020</v>
      </c>
      <c r="P2935">
        <v>69.900086741548137</v>
      </c>
      <c r="Q2935">
        <v>2.9500622774862051</v>
      </c>
      <c r="R2935" t="s">
        <v>109</v>
      </c>
      <c r="S2935">
        <v>0.93</v>
      </c>
      <c r="T2935" t="s">
        <v>110</v>
      </c>
      <c r="U2935">
        <v>0.93</v>
      </c>
      <c r="V2935">
        <v>238.50905323811679</v>
      </c>
      <c r="W2935">
        <v>10.066032727517239</v>
      </c>
      <c r="X2935" t="s">
        <v>111</v>
      </c>
      <c r="Y2935">
        <v>25</v>
      </c>
      <c r="Z2935">
        <v>0.1218781971003525</v>
      </c>
      <c r="AA2935">
        <v>31.536000000000001</v>
      </c>
    </row>
    <row r="2936" spans="1:27" hidden="1" x14ac:dyDescent="0.25">
      <c r="A2936" t="s">
        <v>98</v>
      </c>
      <c r="B2936" t="s">
        <v>1024</v>
      </c>
      <c r="D2936" t="s">
        <v>100</v>
      </c>
      <c r="E2936" t="s">
        <v>101</v>
      </c>
      <c r="F2936" t="s">
        <v>135</v>
      </c>
      <c r="G2936" t="s">
        <v>67</v>
      </c>
      <c r="H2936" t="s">
        <v>131</v>
      </c>
      <c r="I2936">
        <v>2013</v>
      </c>
      <c r="J2936" t="s">
        <v>3372</v>
      </c>
      <c r="K2936" t="s">
        <v>133</v>
      </c>
      <c r="L2936" t="s">
        <v>1025</v>
      </c>
      <c r="M2936" t="s">
        <v>3377</v>
      </c>
      <c r="N2936">
        <v>1</v>
      </c>
      <c r="O2936">
        <v>2020</v>
      </c>
      <c r="P2936">
        <v>69.900086741548137</v>
      </c>
      <c r="Q2936">
        <v>2.9500622774862051</v>
      </c>
      <c r="R2936" t="s">
        <v>109</v>
      </c>
      <c r="S2936">
        <v>0.93</v>
      </c>
      <c r="T2936" t="s">
        <v>110</v>
      </c>
      <c r="U2936">
        <v>0.93</v>
      </c>
      <c r="V2936">
        <v>238.50905323811679</v>
      </c>
      <c r="W2936">
        <v>10.066032727517239</v>
      </c>
      <c r="X2936" t="s">
        <v>111</v>
      </c>
      <c r="Y2936">
        <v>25</v>
      </c>
      <c r="Z2936">
        <v>0.1218781971003525</v>
      </c>
      <c r="AA2936">
        <v>31.536000000000001</v>
      </c>
    </row>
    <row r="2937" spans="1:27" hidden="1" x14ac:dyDescent="0.25">
      <c r="A2937" t="s">
        <v>98</v>
      </c>
      <c r="B2937" t="s">
        <v>1199</v>
      </c>
      <c r="D2937" t="s">
        <v>100</v>
      </c>
      <c r="E2937" t="s">
        <v>101</v>
      </c>
      <c r="F2937" t="s">
        <v>135</v>
      </c>
      <c r="G2937" t="s">
        <v>67</v>
      </c>
      <c r="H2937" t="s">
        <v>131</v>
      </c>
      <c r="I2937">
        <v>2013</v>
      </c>
      <c r="J2937" t="s">
        <v>3372</v>
      </c>
      <c r="K2937" t="s">
        <v>133</v>
      </c>
      <c r="L2937" t="s">
        <v>1200</v>
      </c>
      <c r="M2937" t="s">
        <v>3378</v>
      </c>
      <c r="N2937">
        <v>1</v>
      </c>
      <c r="O2937">
        <v>2020</v>
      </c>
      <c r="P2937">
        <v>69.900086741548137</v>
      </c>
      <c r="Q2937">
        <v>2.9500622774862051</v>
      </c>
      <c r="R2937" t="s">
        <v>109</v>
      </c>
      <c r="S2937">
        <v>0.93</v>
      </c>
      <c r="T2937" t="s">
        <v>110</v>
      </c>
      <c r="U2937">
        <v>0.93</v>
      </c>
      <c r="V2937">
        <v>238.50905323811679</v>
      </c>
      <c r="W2937">
        <v>10.066032727517239</v>
      </c>
      <c r="X2937" t="s">
        <v>111</v>
      </c>
      <c r="Y2937">
        <v>25</v>
      </c>
      <c r="Z2937">
        <v>0.1218781971003525</v>
      </c>
      <c r="AA2937">
        <v>31.536000000000001</v>
      </c>
    </row>
    <row r="2938" spans="1:27" hidden="1" x14ac:dyDescent="0.25">
      <c r="A2938" t="s">
        <v>98</v>
      </c>
      <c r="B2938" t="s">
        <v>1374</v>
      </c>
      <c r="D2938" t="s">
        <v>100</v>
      </c>
      <c r="E2938" t="s">
        <v>101</v>
      </c>
      <c r="F2938" t="s">
        <v>135</v>
      </c>
      <c r="G2938" t="s">
        <v>67</v>
      </c>
      <c r="H2938" t="s">
        <v>131</v>
      </c>
      <c r="I2938">
        <v>2013</v>
      </c>
      <c r="J2938" t="s">
        <v>3372</v>
      </c>
      <c r="K2938" t="s">
        <v>133</v>
      </c>
      <c r="L2938" t="s">
        <v>1375</v>
      </c>
      <c r="M2938" t="s">
        <v>3379</v>
      </c>
      <c r="N2938">
        <v>1</v>
      </c>
      <c r="O2938">
        <v>2020</v>
      </c>
      <c r="P2938">
        <v>69.900086741548137</v>
      </c>
      <c r="Q2938">
        <v>2.9500622774862051</v>
      </c>
      <c r="R2938" t="s">
        <v>109</v>
      </c>
      <c r="S2938">
        <v>0.93</v>
      </c>
      <c r="T2938" t="s">
        <v>110</v>
      </c>
      <c r="U2938">
        <v>0.93</v>
      </c>
      <c r="V2938">
        <v>238.50905323811679</v>
      </c>
      <c r="W2938">
        <v>10.066032727517239</v>
      </c>
      <c r="X2938" t="s">
        <v>111</v>
      </c>
      <c r="Y2938">
        <v>25</v>
      </c>
      <c r="Z2938">
        <v>0.44</v>
      </c>
      <c r="AA2938">
        <v>31.536000000000001</v>
      </c>
    </row>
    <row r="2939" spans="1:27" hidden="1" x14ac:dyDescent="0.25">
      <c r="A2939" t="s">
        <v>98</v>
      </c>
      <c r="B2939" t="s">
        <v>1548</v>
      </c>
      <c r="D2939" t="s">
        <v>100</v>
      </c>
      <c r="E2939" t="s">
        <v>101</v>
      </c>
      <c r="F2939" t="s">
        <v>135</v>
      </c>
      <c r="G2939" t="s">
        <v>67</v>
      </c>
      <c r="H2939" t="s">
        <v>131</v>
      </c>
      <c r="I2939">
        <v>2013</v>
      </c>
      <c r="J2939" t="s">
        <v>3372</v>
      </c>
      <c r="K2939" t="s">
        <v>133</v>
      </c>
      <c r="L2939" t="s">
        <v>1549</v>
      </c>
      <c r="M2939" t="s">
        <v>3380</v>
      </c>
      <c r="N2939">
        <v>1</v>
      </c>
      <c r="O2939">
        <v>2020</v>
      </c>
      <c r="P2939">
        <v>69.900086741548137</v>
      </c>
      <c r="Q2939">
        <v>2.9500622774862051</v>
      </c>
      <c r="R2939" t="s">
        <v>109</v>
      </c>
      <c r="S2939">
        <v>0.93</v>
      </c>
      <c r="T2939" t="s">
        <v>110</v>
      </c>
      <c r="U2939">
        <v>0.93</v>
      </c>
      <c r="V2939">
        <v>238.50905323811679</v>
      </c>
      <c r="W2939">
        <v>10.066032727517239</v>
      </c>
      <c r="X2939" t="s">
        <v>111</v>
      </c>
      <c r="Y2939">
        <v>25</v>
      </c>
      <c r="Z2939">
        <v>0.44</v>
      </c>
      <c r="AA2939">
        <v>31.536000000000001</v>
      </c>
    </row>
    <row r="2940" spans="1:27" hidden="1" x14ac:dyDescent="0.25">
      <c r="A2940" t="s">
        <v>98</v>
      </c>
      <c r="B2940" t="s">
        <v>99</v>
      </c>
      <c r="D2940" t="s">
        <v>1722</v>
      </c>
      <c r="E2940" t="s">
        <v>101</v>
      </c>
      <c r="F2940" t="s">
        <v>135</v>
      </c>
      <c r="G2940" t="s">
        <v>67</v>
      </c>
      <c r="H2940" t="s">
        <v>131</v>
      </c>
      <c r="I2940">
        <v>2013</v>
      </c>
      <c r="J2940" t="s">
        <v>3372</v>
      </c>
      <c r="K2940" t="s">
        <v>133</v>
      </c>
      <c r="L2940" t="s">
        <v>1723</v>
      </c>
      <c r="M2940" t="s">
        <v>3381</v>
      </c>
      <c r="N2940">
        <v>1</v>
      </c>
      <c r="O2940">
        <v>2020</v>
      </c>
      <c r="P2940">
        <v>69.900086741548137</v>
      </c>
      <c r="Q2940">
        <v>2.9500622774862051</v>
      </c>
      <c r="R2940" t="s">
        <v>109</v>
      </c>
      <c r="S2940">
        <v>0.93</v>
      </c>
      <c r="T2940" t="s">
        <v>110</v>
      </c>
      <c r="U2940">
        <v>0.93</v>
      </c>
      <c r="V2940">
        <v>238.50905323811679</v>
      </c>
      <c r="W2940">
        <v>10.066032727517239</v>
      </c>
      <c r="X2940" t="s">
        <v>111</v>
      </c>
      <c r="Y2940">
        <v>25</v>
      </c>
      <c r="Z2940">
        <v>0.44</v>
      </c>
      <c r="AA2940">
        <v>31.536000000000001</v>
      </c>
    </row>
    <row r="2941" spans="1:27" hidden="1" x14ac:dyDescent="0.25">
      <c r="A2941" t="s">
        <v>98</v>
      </c>
      <c r="B2941" t="s">
        <v>499</v>
      </c>
      <c r="D2941" t="s">
        <v>1722</v>
      </c>
      <c r="E2941" t="s">
        <v>101</v>
      </c>
      <c r="F2941" t="s">
        <v>135</v>
      </c>
      <c r="G2941" t="s">
        <v>67</v>
      </c>
      <c r="H2941" t="s">
        <v>131</v>
      </c>
      <c r="I2941">
        <v>2013</v>
      </c>
      <c r="J2941" t="s">
        <v>3372</v>
      </c>
      <c r="K2941" t="s">
        <v>133</v>
      </c>
      <c r="L2941" t="s">
        <v>1898</v>
      </c>
      <c r="M2941" t="s">
        <v>3382</v>
      </c>
      <c r="N2941">
        <v>1</v>
      </c>
      <c r="O2941">
        <v>2020</v>
      </c>
      <c r="P2941">
        <v>69.900086741548137</v>
      </c>
      <c r="Q2941">
        <v>2.9500622774862051</v>
      </c>
      <c r="R2941" t="s">
        <v>109</v>
      </c>
      <c r="S2941">
        <v>0.93</v>
      </c>
      <c r="T2941" t="s">
        <v>110</v>
      </c>
      <c r="U2941">
        <v>0.93</v>
      </c>
      <c r="V2941">
        <v>238.50905323811679</v>
      </c>
      <c r="W2941">
        <v>10.066032727517239</v>
      </c>
      <c r="X2941" t="s">
        <v>111</v>
      </c>
      <c r="Y2941">
        <v>25</v>
      </c>
      <c r="Z2941">
        <v>0.44</v>
      </c>
      <c r="AA2941">
        <v>31.536000000000001</v>
      </c>
    </row>
    <row r="2942" spans="1:27" hidden="1" x14ac:dyDescent="0.25">
      <c r="A2942" t="s">
        <v>98</v>
      </c>
      <c r="B2942" t="s">
        <v>674</v>
      </c>
      <c r="D2942" t="s">
        <v>1722</v>
      </c>
      <c r="E2942" t="s">
        <v>101</v>
      </c>
      <c r="F2942" t="s">
        <v>135</v>
      </c>
      <c r="G2942" t="s">
        <v>67</v>
      </c>
      <c r="H2942" t="s">
        <v>131</v>
      </c>
      <c r="I2942">
        <v>2013</v>
      </c>
      <c r="J2942" t="s">
        <v>3372</v>
      </c>
      <c r="K2942" t="s">
        <v>133</v>
      </c>
      <c r="L2942" t="s">
        <v>2072</v>
      </c>
      <c r="M2942" t="s">
        <v>3383</v>
      </c>
      <c r="N2942">
        <v>1</v>
      </c>
      <c r="O2942">
        <v>2020</v>
      </c>
      <c r="P2942">
        <v>69.900086741548137</v>
      </c>
      <c r="Q2942">
        <v>2.9500622774862051</v>
      </c>
      <c r="R2942" t="s">
        <v>109</v>
      </c>
      <c r="S2942">
        <v>0.93</v>
      </c>
      <c r="T2942" t="s">
        <v>110</v>
      </c>
      <c r="U2942">
        <v>0.93</v>
      </c>
      <c r="V2942">
        <v>238.50905323811679</v>
      </c>
      <c r="W2942">
        <v>10.066032727517239</v>
      </c>
      <c r="X2942" t="s">
        <v>111</v>
      </c>
      <c r="Y2942">
        <v>25</v>
      </c>
      <c r="Z2942">
        <v>0.44</v>
      </c>
      <c r="AA2942">
        <v>31.536000000000001</v>
      </c>
    </row>
    <row r="2943" spans="1:27" hidden="1" x14ac:dyDescent="0.25">
      <c r="A2943" t="s">
        <v>98</v>
      </c>
      <c r="B2943" t="s">
        <v>849</v>
      </c>
      <c r="D2943" t="s">
        <v>1722</v>
      </c>
      <c r="E2943" t="s">
        <v>101</v>
      </c>
      <c r="F2943" t="s">
        <v>135</v>
      </c>
      <c r="G2943" t="s">
        <v>67</v>
      </c>
      <c r="H2943" t="s">
        <v>131</v>
      </c>
      <c r="I2943">
        <v>2013</v>
      </c>
      <c r="J2943" t="s">
        <v>3372</v>
      </c>
      <c r="K2943" t="s">
        <v>133</v>
      </c>
      <c r="L2943" t="s">
        <v>2246</v>
      </c>
      <c r="M2943" t="s">
        <v>3384</v>
      </c>
      <c r="N2943">
        <v>1</v>
      </c>
      <c r="O2943">
        <v>2020</v>
      </c>
      <c r="P2943">
        <v>69.900086741548137</v>
      </c>
      <c r="Q2943">
        <v>2.9500622774862051</v>
      </c>
      <c r="R2943" t="s">
        <v>109</v>
      </c>
      <c r="S2943">
        <v>0.93</v>
      </c>
      <c r="T2943" t="s">
        <v>110</v>
      </c>
      <c r="U2943">
        <v>0.93</v>
      </c>
      <c r="V2943">
        <v>238.50905323811679</v>
      </c>
      <c r="W2943">
        <v>10.066032727517239</v>
      </c>
      <c r="X2943" t="s">
        <v>111</v>
      </c>
      <c r="Y2943">
        <v>25</v>
      </c>
      <c r="Z2943">
        <v>0.44</v>
      </c>
      <c r="AA2943">
        <v>31.536000000000001</v>
      </c>
    </row>
    <row r="2944" spans="1:27" hidden="1" x14ac:dyDescent="0.25">
      <c r="A2944" t="s">
        <v>98</v>
      </c>
      <c r="B2944" t="s">
        <v>1024</v>
      </c>
      <c r="D2944" t="s">
        <v>1722</v>
      </c>
      <c r="E2944" t="s">
        <v>101</v>
      </c>
      <c r="F2944" t="s">
        <v>135</v>
      </c>
      <c r="G2944" t="s">
        <v>67</v>
      </c>
      <c r="H2944" t="s">
        <v>131</v>
      </c>
      <c r="I2944">
        <v>2013</v>
      </c>
      <c r="J2944" t="s">
        <v>3372</v>
      </c>
      <c r="K2944" t="s">
        <v>133</v>
      </c>
      <c r="L2944" t="s">
        <v>2420</v>
      </c>
      <c r="M2944" t="s">
        <v>3385</v>
      </c>
      <c r="N2944">
        <v>1</v>
      </c>
      <c r="O2944">
        <v>2020</v>
      </c>
      <c r="P2944">
        <v>69.900086741548137</v>
      </c>
      <c r="Q2944">
        <v>2.9500622774862051</v>
      </c>
      <c r="R2944" t="s">
        <v>109</v>
      </c>
      <c r="S2944">
        <v>0.93</v>
      </c>
      <c r="T2944" t="s">
        <v>110</v>
      </c>
      <c r="U2944">
        <v>0.93</v>
      </c>
      <c r="V2944">
        <v>238.50905323811679</v>
      </c>
      <c r="W2944">
        <v>10.066032727517239</v>
      </c>
      <c r="X2944" t="s">
        <v>111</v>
      </c>
      <c r="Y2944">
        <v>25</v>
      </c>
      <c r="Z2944">
        <v>0.44</v>
      </c>
      <c r="AA2944">
        <v>31.536000000000001</v>
      </c>
    </row>
    <row r="2945" spans="1:27" hidden="1" x14ac:dyDescent="0.25">
      <c r="A2945" t="s">
        <v>98</v>
      </c>
      <c r="B2945" t="s">
        <v>1199</v>
      </c>
      <c r="D2945" t="s">
        <v>1722</v>
      </c>
      <c r="E2945" t="s">
        <v>101</v>
      </c>
      <c r="F2945" t="s">
        <v>135</v>
      </c>
      <c r="G2945" t="s">
        <v>67</v>
      </c>
      <c r="H2945" t="s">
        <v>131</v>
      </c>
      <c r="I2945">
        <v>2013</v>
      </c>
      <c r="J2945" t="s">
        <v>3372</v>
      </c>
      <c r="K2945" t="s">
        <v>133</v>
      </c>
      <c r="L2945" t="s">
        <v>2594</v>
      </c>
      <c r="M2945" t="s">
        <v>3386</v>
      </c>
      <c r="N2945">
        <v>1</v>
      </c>
      <c r="O2945">
        <v>2020</v>
      </c>
      <c r="P2945">
        <v>69.900086741548137</v>
      </c>
      <c r="Q2945">
        <v>2.9500622774862051</v>
      </c>
      <c r="R2945" t="s">
        <v>109</v>
      </c>
      <c r="S2945">
        <v>0.93</v>
      </c>
      <c r="T2945" t="s">
        <v>110</v>
      </c>
      <c r="U2945">
        <v>0.93</v>
      </c>
      <c r="V2945">
        <v>238.50905323811679</v>
      </c>
      <c r="W2945">
        <v>10.066032727517239</v>
      </c>
      <c r="X2945" t="s">
        <v>111</v>
      </c>
      <c r="Y2945">
        <v>25</v>
      </c>
      <c r="Z2945">
        <v>0.44</v>
      </c>
      <c r="AA2945">
        <v>31.536000000000001</v>
      </c>
    </row>
    <row r="2946" spans="1:27" hidden="1" x14ac:dyDescent="0.25">
      <c r="A2946" t="s">
        <v>98</v>
      </c>
      <c r="B2946" t="s">
        <v>1374</v>
      </c>
      <c r="D2946" t="s">
        <v>1722</v>
      </c>
      <c r="E2946" t="s">
        <v>101</v>
      </c>
      <c r="F2946" t="s">
        <v>135</v>
      </c>
      <c r="G2946" t="s">
        <v>67</v>
      </c>
      <c r="H2946" t="s">
        <v>131</v>
      </c>
      <c r="I2946">
        <v>2013</v>
      </c>
      <c r="J2946" t="s">
        <v>3372</v>
      </c>
      <c r="K2946" t="s">
        <v>133</v>
      </c>
      <c r="L2946" t="s">
        <v>2768</v>
      </c>
      <c r="M2946" t="s">
        <v>3387</v>
      </c>
      <c r="N2946">
        <v>1</v>
      </c>
      <c r="O2946">
        <v>2020</v>
      </c>
      <c r="P2946">
        <v>69.900086741548137</v>
      </c>
      <c r="Q2946">
        <v>2.9500622774862051</v>
      </c>
      <c r="R2946" t="s">
        <v>109</v>
      </c>
      <c r="S2946">
        <v>0.93</v>
      </c>
      <c r="T2946" t="s">
        <v>110</v>
      </c>
      <c r="U2946">
        <v>0.93</v>
      </c>
      <c r="V2946">
        <v>238.50905323811679</v>
      </c>
      <c r="W2946">
        <v>10.066032727517239</v>
      </c>
      <c r="X2946" t="s">
        <v>111</v>
      </c>
      <c r="Y2946">
        <v>25</v>
      </c>
      <c r="Z2946">
        <v>0.44</v>
      </c>
      <c r="AA2946">
        <v>31.536000000000001</v>
      </c>
    </row>
    <row r="2947" spans="1:27" hidden="1" x14ac:dyDescent="0.25">
      <c r="A2947" t="s">
        <v>98</v>
      </c>
      <c r="B2947" t="s">
        <v>1548</v>
      </c>
      <c r="D2947" t="s">
        <v>1722</v>
      </c>
      <c r="E2947" t="s">
        <v>101</v>
      </c>
      <c r="F2947" t="s">
        <v>135</v>
      </c>
      <c r="G2947" t="s">
        <v>67</v>
      </c>
      <c r="H2947" t="s">
        <v>131</v>
      </c>
      <c r="I2947">
        <v>2013</v>
      </c>
      <c r="J2947" t="s">
        <v>3372</v>
      </c>
      <c r="K2947" t="s">
        <v>133</v>
      </c>
      <c r="L2947" t="s">
        <v>2941</v>
      </c>
      <c r="M2947" t="s">
        <v>3388</v>
      </c>
      <c r="N2947">
        <v>1</v>
      </c>
      <c r="O2947">
        <v>2020</v>
      </c>
      <c r="P2947">
        <v>69.900086741548137</v>
      </c>
      <c r="Q2947">
        <v>2.9500622774862051</v>
      </c>
      <c r="R2947" t="s">
        <v>109</v>
      </c>
      <c r="S2947">
        <v>0.93</v>
      </c>
      <c r="T2947" t="s">
        <v>110</v>
      </c>
      <c r="U2947">
        <v>0.93</v>
      </c>
      <c r="V2947">
        <v>238.50905323811679</v>
      </c>
      <c r="W2947">
        <v>10.066032727517239</v>
      </c>
      <c r="X2947" t="s">
        <v>111</v>
      </c>
      <c r="Y2947">
        <v>25</v>
      </c>
      <c r="Z2947">
        <v>0.44</v>
      </c>
      <c r="AA2947">
        <v>31.536000000000001</v>
      </c>
    </row>
    <row r="2948" spans="1:27" hidden="1" x14ac:dyDescent="0.25">
      <c r="A2948" t="s">
        <v>98</v>
      </c>
      <c r="B2948" t="s">
        <v>99</v>
      </c>
      <c r="D2948" t="s">
        <v>100</v>
      </c>
      <c r="E2948" t="s">
        <v>101</v>
      </c>
      <c r="F2948" t="s">
        <v>135</v>
      </c>
      <c r="G2948" t="s">
        <v>103</v>
      </c>
      <c r="H2948" t="s">
        <v>131</v>
      </c>
      <c r="I2948">
        <v>2013</v>
      </c>
      <c r="J2948" t="s">
        <v>3389</v>
      </c>
      <c r="K2948" t="s">
        <v>133</v>
      </c>
      <c r="L2948" t="s">
        <v>107</v>
      </c>
      <c r="M2948" t="s">
        <v>3390</v>
      </c>
      <c r="N2948">
        <v>1</v>
      </c>
      <c r="O2948">
        <v>2020</v>
      </c>
      <c r="P2948">
        <v>53.671972506534857</v>
      </c>
      <c r="Q2948">
        <v>3.3285812976489559</v>
      </c>
      <c r="R2948" t="s">
        <v>109</v>
      </c>
      <c r="S2948">
        <v>0.82499999999999996</v>
      </c>
      <c r="T2948" t="s">
        <v>110</v>
      </c>
      <c r="U2948">
        <v>0.82499999999999996</v>
      </c>
      <c r="V2948">
        <v>183.1364157713825</v>
      </c>
      <c r="W2948">
        <v>11.357593544393531</v>
      </c>
      <c r="X2948" t="s">
        <v>111</v>
      </c>
      <c r="Y2948">
        <v>25</v>
      </c>
      <c r="Z2948">
        <v>0.44</v>
      </c>
      <c r="AA2948">
        <v>31.536000000000001</v>
      </c>
    </row>
    <row r="2949" spans="1:27" hidden="1" x14ac:dyDescent="0.25">
      <c r="A2949" t="s">
        <v>98</v>
      </c>
      <c r="B2949" t="s">
        <v>499</v>
      </c>
      <c r="D2949" t="s">
        <v>100</v>
      </c>
      <c r="E2949" t="s">
        <v>101</v>
      </c>
      <c r="F2949" t="s">
        <v>135</v>
      </c>
      <c r="G2949" t="s">
        <v>103</v>
      </c>
      <c r="H2949" t="s">
        <v>131</v>
      </c>
      <c r="I2949">
        <v>2013</v>
      </c>
      <c r="J2949" t="s">
        <v>3389</v>
      </c>
      <c r="K2949" t="s">
        <v>133</v>
      </c>
      <c r="L2949" t="s">
        <v>500</v>
      </c>
      <c r="M2949" t="s">
        <v>3391</v>
      </c>
      <c r="N2949">
        <v>1</v>
      </c>
      <c r="O2949">
        <v>2020</v>
      </c>
      <c r="P2949">
        <v>53.671972506534857</v>
      </c>
      <c r="Q2949">
        <v>3.3285812976489559</v>
      </c>
      <c r="R2949" t="s">
        <v>109</v>
      </c>
      <c r="S2949">
        <v>0.82499999999999996</v>
      </c>
      <c r="T2949" t="s">
        <v>110</v>
      </c>
      <c r="U2949">
        <v>0.82499999999999996</v>
      </c>
      <c r="V2949">
        <v>183.1364157713825</v>
      </c>
      <c r="W2949">
        <v>11.357593544393531</v>
      </c>
      <c r="X2949" t="s">
        <v>111</v>
      </c>
      <c r="Y2949">
        <v>25</v>
      </c>
      <c r="Z2949">
        <v>0.44</v>
      </c>
      <c r="AA2949">
        <v>31.536000000000001</v>
      </c>
    </row>
    <row r="2950" spans="1:27" hidden="1" x14ac:dyDescent="0.25">
      <c r="A2950" t="s">
        <v>98</v>
      </c>
      <c r="B2950" t="s">
        <v>674</v>
      </c>
      <c r="D2950" t="s">
        <v>100</v>
      </c>
      <c r="E2950" t="s">
        <v>101</v>
      </c>
      <c r="F2950" t="s">
        <v>135</v>
      </c>
      <c r="G2950" t="s">
        <v>103</v>
      </c>
      <c r="H2950" t="s">
        <v>131</v>
      </c>
      <c r="I2950">
        <v>2013</v>
      </c>
      <c r="J2950" t="s">
        <v>3389</v>
      </c>
      <c r="K2950" t="s">
        <v>133</v>
      </c>
      <c r="L2950" t="s">
        <v>675</v>
      </c>
      <c r="M2950" t="s">
        <v>3392</v>
      </c>
      <c r="N2950">
        <v>1</v>
      </c>
      <c r="O2950">
        <v>2020</v>
      </c>
      <c r="P2950">
        <v>53.671972506534857</v>
      </c>
      <c r="Q2950">
        <v>3.3285812976489559</v>
      </c>
      <c r="R2950" t="s">
        <v>109</v>
      </c>
      <c r="S2950">
        <v>0.82499999999999996</v>
      </c>
      <c r="T2950" t="s">
        <v>110</v>
      </c>
      <c r="U2950">
        <v>0.82499999999999996</v>
      </c>
      <c r="V2950">
        <v>183.1364157713825</v>
      </c>
      <c r="W2950">
        <v>11.357593544393531</v>
      </c>
      <c r="X2950" t="s">
        <v>111</v>
      </c>
      <c r="Y2950">
        <v>25</v>
      </c>
      <c r="Z2950">
        <v>0.44</v>
      </c>
      <c r="AA2950">
        <v>31.536000000000001</v>
      </c>
    </row>
    <row r="2951" spans="1:27" hidden="1" x14ac:dyDescent="0.25">
      <c r="A2951" t="s">
        <v>98</v>
      </c>
      <c r="B2951" t="s">
        <v>849</v>
      </c>
      <c r="D2951" t="s">
        <v>100</v>
      </c>
      <c r="E2951" t="s">
        <v>101</v>
      </c>
      <c r="F2951" t="s">
        <v>135</v>
      </c>
      <c r="G2951" t="s">
        <v>103</v>
      </c>
      <c r="H2951" t="s">
        <v>131</v>
      </c>
      <c r="I2951">
        <v>2013</v>
      </c>
      <c r="J2951" t="s">
        <v>3389</v>
      </c>
      <c r="K2951" t="s">
        <v>133</v>
      </c>
      <c r="L2951" t="s">
        <v>850</v>
      </c>
      <c r="M2951" t="s">
        <v>3393</v>
      </c>
      <c r="N2951">
        <v>1</v>
      </c>
      <c r="O2951">
        <v>2020</v>
      </c>
      <c r="P2951">
        <v>53.671972506534857</v>
      </c>
      <c r="Q2951">
        <v>3.3285812976489559</v>
      </c>
      <c r="R2951" t="s">
        <v>109</v>
      </c>
      <c r="S2951">
        <v>0.82499999999999996</v>
      </c>
      <c r="T2951" t="s">
        <v>110</v>
      </c>
      <c r="U2951">
        <v>0.82499999999999996</v>
      </c>
      <c r="V2951">
        <v>183.1364157713825</v>
      </c>
      <c r="W2951">
        <v>11.357593544393531</v>
      </c>
      <c r="X2951" t="s">
        <v>111</v>
      </c>
      <c r="Y2951">
        <v>25</v>
      </c>
      <c r="Z2951">
        <v>0.44</v>
      </c>
      <c r="AA2951">
        <v>31.536000000000001</v>
      </c>
    </row>
    <row r="2952" spans="1:27" hidden="1" x14ac:dyDescent="0.25">
      <c r="A2952" t="s">
        <v>98</v>
      </c>
      <c r="B2952" t="s">
        <v>1024</v>
      </c>
      <c r="D2952" t="s">
        <v>100</v>
      </c>
      <c r="E2952" t="s">
        <v>101</v>
      </c>
      <c r="F2952" t="s">
        <v>135</v>
      </c>
      <c r="G2952" t="s">
        <v>103</v>
      </c>
      <c r="H2952" t="s">
        <v>131</v>
      </c>
      <c r="I2952">
        <v>2013</v>
      </c>
      <c r="J2952" t="s">
        <v>3389</v>
      </c>
      <c r="K2952" t="s">
        <v>133</v>
      </c>
      <c r="L2952" t="s">
        <v>1025</v>
      </c>
      <c r="M2952" t="s">
        <v>3394</v>
      </c>
      <c r="N2952">
        <v>1</v>
      </c>
      <c r="O2952">
        <v>2020</v>
      </c>
      <c r="P2952">
        <v>53.671972506534857</v>
      </c>
      <c r="Q2952">
        <v>3.3285812976489559</v>
      </c>
      <c r="R2952" t="s">
        <v>109</v>
      </c>
      <c r="S2952">
        <v>0.82499999999999996</v>
      </c>
      <c r="T2952" t="s">
        <v>110</v>
      </c>
      <c r="U2952">
        <v>0.82499999999999996</v>
      </c>
      <c r="V2952">
        <v>183.1364157713825</v>
      </c>
      <c r="W2952">
        <v>11.357593544393531</v>
      </c>
      <c r="X2952" t="s">
        <v>111</v>
      </c>
      <c r="Y2952">
        <v>25</v>
      </c>
      <c r="Z2952">
        <v>0.44</v>
      </c>
      <c r="AA2952">
        <v>31.536000000000001</v>
      </c>
    </row>
    <row r="2953" spans="1:27" hidden="1" x14ac:dyDescent="0.25">
      <c r="A2953" t="s">
        <v>98</v>
      </c>
      <c r="B2953" t="s">
        <v>1199</v>
      </c>
      <c r="D2953" t="s">
        <v>100</v>
      </c>
      <c r="E2953" t="s">
        <v>101</v>
      </c>
      <c r="F2953" t="s">
        <v>135</v>
      </c>
      <c r="G2953" t="s">
        <v>103</v>
      </c>
      <c r="H2953" t="s">
        <v>131</v>
      </c>
      <c r="I2953">
        <v>2013</v>
      </c>
      <c r="J2953" t="s">
        <v>3389</v>
      </c>
      <c r="K2953" t="s">
        <v>133</v>
      </c>
      <c r="L2953" t="s">
        <v>1200</v>
      </c>
      <c r="M2953" t="s">
        <v>3395</v>
      </c>
      <c r="N2953">
        <v>1</v>
      </c>
      <c r="O2953">
        <v>2020</v>
      </c>
      <c r="P2953">
        <v>53.671972506534857</v>
      </c>
      <c r="Q2953">
        <v>3.3285812976489559</v>
      </c>
      <c r="R2953" t="s">
        <v>109</v>
      </c>
      <c r="S2953">
        <v>0.82499999999999996</v>
      </c>
      <c r="T2953" t="s">
        <v>110</v>
      </c>
      <c r="U2953">
        <v>0.82499999999999996</v>
      </c>
      <c r="V2953">
        <v>183.1364157713825</v>
      </c>
      <c r="W2953">
        <v>11.357593544393531</v>
      </c>
      <c r="X2953" t="s">
        <v>111</v>
      </c>
      <c r="Y2953">
        <v>25</v>
      </c>
      <c r="Z2953">
        <v>0.44</v>
      </c>
      <c r="AA2953">
        <v>31.536000000000001</v>
      </c>
    </row>
    <row r="2954" spans="1:27" hidden="1" x14ac:dyDescent="0.25">
      <c r="A2954" t="s">
        <v>98</v>
      </c>
      <c r="B2954" t="s">
        <v>1374</v>
      </c>
      <c r="D2954" t="s">
        <v>100</v>
      </c>
      <c r="E2954" t="s">
        <v>101</v>
      </c>
      <c r="F2954" t="s">
        <v>135</v>
      </c>
      <c r="G2954" t="s">
        <v>103</v>
      </c>
      <c r="H2954" t="s">
        <v>131</v>
      </c>
      <c r="I2954">
        <v>2013</v>
      </c>
      <c r="J2954" t="s">
        <v>3389</v>
      </c>
      <c r="K2954" t="s">
        <v>133</v>
      </c>
      <c r="L2954" t="s">
        <v>1375</v>
      </c>
      <c r="M2954" t="s">
        <v>3396</v>
      </c>
      <c r="N2954">
        <v>1</v>
      </c>
      <c r="O2954">
        <v>2020</v>
      </c>
      <c r="P2954">
        <v>53.671972506534857</v>
      </c>
      <c r="Q2954">
        <v>3.3285812976489559</v>
      </c>
      <c r="R2954" t="s">
        <v>109</v>
      </c>
      <c r="S2954">
        <v>0.82499999999999996</v>
      </c>
      <c r="T2954" t="s">
        <v>110</v>
      </c>
      <c r="U2954">
        <v>0.82499999999999996</v>
      </c>
      <c r="V2954">
        <v>183.1364157713825</v>
      </c>
      <c r="W2954">
        <v>11.357593544393531</v>
      </c>
      <c r="X2954" t="s">
        <v>111</v>
      </c>
      <c r="Y2954">
        <v>25</v>
      </c>
      <c r="Z2954">
        <v>0.44</v>
      </c>
      <c r="AA2954">
        <v>31.536000000000001</v>
      </c>
    </row>
    <row r="2955" spans="1:27" hidden="1" x14ac:dyDescent="0.25">
      <c r="A2955" t="s">
        <v>98</v>
      </c>
      <c r="B2955" t="s">
        <v>1548</v>
      </c>
      <c r="D2955" t="s">
        <v>100</v>
      </c>
      <c r="E2955" t="s">
        <v>101</v>
      </c>
      <c r="F2955" t="s">
        <v>135</v>
      </c>
      <c r="G2955" t="s">
        <v>103</v>
      </c>
      <c r="H2955" t="s">
        <v>131</v>
      </c>
      <c r="I2955">
        <v>2013</v>
      </c>
      <c r="J2955" t="s">
        <v>3389</v>
      </c>
      <c r="K2955" t="s">
        <v>133</v>
      </c>
      <c r="L2955" t="s">
        <v>1549</v>
      </c>
      <c r="M2955" t="s">
        <v>3397</v>
      </c>
      <c r="N2955">
        <v>1</v>
      </c>
      <c r="O2955">
        <v>2020</v>
      </c>
      <c r="P2955">
        <v>53.671972506534857</v>
      </c>
      <c r="Q2955">
        <v>3.3285812976489559</v>
      </c>
      <c r="R2955" t="s">
        <v>109</v>
      </c>
      <c r="S2955">
        <v>0.82499999999999996</v>
      </c>
      <c r="T2955" t="s">
        <v>110</v>
      </c>
      <c r="U2955">
        <v>0.82499999999999996</v>
      </c>
      <c r="V2955">
        <v>183.1364157713825</v>
      </c>
      <c r="W2955">
        <v>11.357593544393531</v>
      </c>
      <c r="X2955" t="s">
        <v>111</v>
      </c>
      <c r="Y2955">
        <v>25</v>
      </c>
      <c r="Z2955">
        <v>0.44</v>
      </c>
      <c r="AA2955">
        <v>31.536000000000001</v>
      </c>
    </row>
    <row r="2956" spans="1:27" hidden="1" x14ac:dyDescent="0.25">
      <c r="A2956" t="s">
        <v>98</v>
      </c>
      <c r="B2956" t="s">
        <v>99</v>
      </c>
      <c r="D2956" t="s">
        <v>1722</v>
      </c>
      <c r="E2956" t="s">
        <v>101</v>
      </c>
      <c r="F2956" t="s">
        <v>135</v>
      </c>
      <c r="G2956" t="s">
        <v>103</v>
      </c>
      <c r="H2956" t="s">
        <v>131</v>
      </c>
      <c r="I2956">
        <v>2013</v>
      </c>
      <c r="J2956" t="s">
        <v>3389</v>
      </c>
      <c r="K2956" t="s">
        <v>133</v>
      </c>
      <c r="L2956" t="s">
        <v>1723</v>
      </c>
      <c r="M2956" t="s">
        <v>3398</v>
      </c>
      <c r="N2956">
        <v>1</v>
      </c>
      <c r="O2956">
        <v>2020</v>
      </c>
      <c r="P2956">
        <v>53.671972506534857</v>
      </c>
      <c r="Q2956">
        <v>3.3285812976489559</v>
      </c>
      <c r="R2956" t="s">
        <v>109</v>
      </c>
      <c r="S2956">
        <v>0.82499999999999996</v>
      </c>
      <c r="T2956" t="s">
        <v>110</v>
      </c>
      <c r="U2956">
        <v>0.82499999999999996</v>
      </c>
      <c r="V2956">
        <v>183.1364157713825</v>
      </c>
      <c r="W2956">
        <v>11.357593544393531</v>
      </c>
      <c r="X2956" t="s">
        <v>111</v>
      </c>
      <c r="Y2956">
        <v>25</v>
      </c>
      <c r="Z2956">
        <v>0.44</v>
      </c>
      <c r="AA2956">
        <v>31.536000000000001</v>
      </c>
    </row>
    <row r="2957" spans="1:27" hidden="1" x14ac:dyDescent="0.25">
      <c r="A2957" t="s">
        <v>98</v>
      </c>
      <c r="B2957" t="s">
        <v>499</v>
      </c>
      <c r="D2957" t="s">
        <v>1722</v>
      </c>
      <c r="E2957" t="s">
        <v>101</v>
      </c>
      <c r="F2957" t="s">
        <v>135</v>
      </c>
      <c r="G2957" t="s">
        <v>103</v>
      </c>
      <c r="H2957" t="s">
        <v>131</v>
      </c>
      <c r="I2957">
        <v>2013</v>
      </c>
      <c r="J2957" t="s">
        <v>3389</v>
      </c>
      <c r="K2957" t="s">
        <v>133</v>
      </c>
      <c r="L2957" t="s">
        <v>1898</v>
      </c>
      <c r="M2957" t="s">
        <v>3399</v>
      </c>
      <c r="N2957">
        <v>1</v>
      </c>
      <c r="O2957">
        <v>2020</v>
      </c>
      <c r="P2957">
        <v>53.671972506534857</v>
      </c>
      <c r="Q2957">
        <v>3.3285812976489559</v>
      </c>
      <c r="R2957" t="s">
        <v>109</v>
      </c>
      <c r="S2957">
        <v>0.82499999999999996</v>
      </c>
      <c r="T2957" t="s">
        <v>110</v>
      </c>
      <c r="U2957">
        <v>0.82499999999999996</v>
      </c>
      <c r="V2957">
        <v>183.1364157713825</v>
      </c>
      <c r="W2957">
        <v>11.357593544393531</v>
      </c>
      <c r="X2957" t="s">
        <v>111</v>
      </c>
      <c r="Y2957">
        <v>25</v>
      </c>
      <c r="Z2957">
        <v>0.44</v>
      </c>
      <c r="AA2957">
        <v>31.536000000000001</v>
      </c>
    </row>
    <row r="2958" spans="1:27" hidden="1" x14ac:dyDescent="0.25">
      <c r="A2958" t="s">
        <v>98</v>
      </c>
      <c r="B2958" t="s">
        <v>674</v>
      </c>
      <c r="D2958" t="s">
        <v>1722</v>
      </c>
      <c r="E2958" t="s">
        <v>101</v>
      </c>
      <c r="F2958" t="s">
        <v>135</v>
      </c>
      <c r="G2958" t="s">
        <v>103</v>
      </c>
      <c r="H2958" t="s">
        <v>131</v>
      </c>
      <c r="I2958">
        <v>2013</v>
      </c>
      <c r="J2958" t="s">
        <v>3389</v>
      </c>
      <c r="K2958" t="s">
        <v>133</v>
      </c>
      <c r="L2958" t="s">
        <v>2072</v>
      </c>
      <c r="M2958" t="s">
        <v>3400</v>
      </c>
      <c r="N2958">
        <v>1</v>
      </c>
      <c r="O2958">
        <v>2020</v>
      </c>
      <c r="P2958">
        <v>53.671972506534857</v>
      </c>
      <c r="Q2958">
        <v>3.3285812976489559</v>
      </c>
      <c r="R2958" t="s">
        <v>109</v>
      </c>
      <c r="S2958">
        <v>0.82499999999999996</v>
      </c>
      <c r="T2958" t="s">
        <v>110</v>
      </c>
      <c r="U2958">
        <v>0.82499999999999996</v>
      </c>
      <c r="V2958">
        <v>183.1364157713825</v>
      </c>
      <c r="W2958">
        <v>11.357593544393531</v>
      </c>
      <c r="X2958" t="s">
        <v>111</v>
      </c>
      <c r="Y2958">
        <v>25</v>
      </c>
      <c r="Z2958">
        <v>0.44</v>
      </c>
      <c r="AA2958">
        <v>31.536000000000001</v>
      </c>
    </row>
    <row r="2959" spans="1:27" hidden="1" x14ac:dyDescent="0.25">
      <c r="A2959" t="s">
        <v>98</v>
      </c>
      <c r="B2959" t="s">
        <v>849</v>
      </c>
      <c r="D2959" t="s">
        <v>1722</v>
      </c>
      <c r="E2959" t="s">
        <v>101</v>
      </c>
      <c r="F2959" t="s">
        <v>135</v>
      </c>
      <c r="G2959" t="s">
        <v>103</v>
      </c>
      <c r="H2959" t="s">
        <v>131</v>
      </c>
      <c r="I2959">
        <v>2013</v>
      </c>
      <c r="J2959" t="s">
        <v>3389</v>
      </c>
      <c r="K2959" t="s">
        <v>133</v>
      </c>
      <c r="L2959" t="s">
        <v>2246</v>
      </c>
      <c r="M2959" t="s">
        <v>3401</v>
      </c>
      <c r="N2959">
        <v>1</v>
      </c>
      <c r="O2959">
        <v>2020</v>
      </c>
      <c r="P2959">
        <v>53.671972506534857</v>
      </c>
      <c r="Q2959">
        <v>3.3285812976489559</v>
      </c>
      <c r="R2959" t="s">
        <v>109</v>
      </c>
      <c r="S2959">
        <v>0.82499999999999996</v>
      </c>
      <c r="T2959" t="s">
        <v>110</v>
      </c>
      <c r="U2959">
        <v>0.82499999999999996</v>
      </c>
      <c r="V2959">
        <v>183.1364157713825</v>
      </c>
      <c r="W2959">
        <v>11.357593544393531</v>
      </c>
      <c r="X2959" t="s">
        <v>111</v>
      </c>
      <c r="Y2959">
        <v>25</v>
      </c>
      <c r="Z2959">
        <v>0.44</v>
      </c>
      <c r="AA2959">
        <v>31.536000000000001</v>
      </c>
    </row>
    <row r="2960" spans="1:27" hidden="1" x14ac:dyDescent="0.25">
      <c r="A2960" t="s">
        <v>98</v>
      </c>
      <c r="B2960" t="s">
        <v>1024</v>
      </c>
      <c r="D2960" t="s">
        <v>1722</v>
      </c>
      <c r="E2960" t="s">
        <v>101</v>
      </c>
      <c r="F2960" t="s">
        <v>135</v>
      </c>
      <c r="G2960" t="s">
        <v>103</v>
      </c>
      <c r="H2960" t="s">
        <v>131</v>
      </c>
      <c r="I2960">
        <v>2013</v>
      </c>
      <c r="J2960" t="s">
        <v>3389</v>
      </c>
      <c r="K2960" t="s">
        <v>133</v>
      </c>
      <c r="L2960" t="s">
        <v>2420</v>
      </c>
      <c r="M2960" t="s">
        <v>3402</v>
      </c>
      <c r="N2960">
        <v>1</v>
      </c>
      <c r="O2960">
        <v>2020</v>
      </c>
      <c r="P2960">
        <v>53.671972506534857</v>
      </c>
      <c r="Q2960">
        <v>3.3285812976489559</v>
      </c>
      <c r="R2960" t="s">
        <v>109</v>
      </c>
      <c r="S2960">
        <v>0.82499999999999996</v>
      </c>
      <c r="T2960" t="s">
        <v>110</v>
      </c>
      <c r="U2960">
        <v>0.82499999999999996</v>
      </c>
      <c r="V2960">
        <v>183.1364157713825</v>
      </c>
      <c r="W2960">
        <v>11.357593544393531</v>
      </c>
      <c r="X2960" t="s">
        <v>111</v>
      </c>
      <c r="Y2960">
        <v>25</v>
      </c>
      <c r="Z2960">
        <v>0.44</v>
      </c>
      <c r="AA2960">
        <v>31.536000000000001</v>
      </c>
    </row>
    <row r="2961" spans="1:27" hidden="1" x14ac:dyDescent="0.25">
      <c r="A2961" t="s">
        <v>98</v>
      </c>
      <c r="B2961" t="s">
        <v>1199</v>
      </c>
      <c r="D2961" t="s">
        <v>1722</v>
      </c>
      <c r="E2961" t="s">
        <v>101</v>
      </c>
      <c r="F2961" t="s">
        <v>135</v>
      </c>
      <c r="G2961" t="s">
        <v>103</v>
      </c>
      <c r="H2961" t="s">
        <v>131</v>
      </c>
      <c r="I2961">
        <v>2013</v>
      </c>
      <c r="J2961" t="s">
        <v>3389</v>
      </c>
      <c r="K2961" t="s">
        <v>133</v>
      </c>
      <c r="L2961" t="s">
        <v>2594</v>
      </c>
      <c r="M2961" t="s">
        <v>3403</v>
      </c>
      <c r="N2961">
        <v>1</v>
      </c>
      <c r="O2961">
        <v>2020</v>
      </c>
      <c r="P2961">
        <v>53.671972506534857</v>
      </c>
      <c r="Q2961">
        <v>3.3285812976489559</v>
      </c>
      <c r="R2961" t="s">
        <v>109</v>
      </c>
      <c r="S2961">
        <v>0.82499999999999996</v>
      </c>
      <c r="T2961" t="s">
        <v>110</v>
      </c>
      <c r="U2961">
        <v>0.82499999999999996</v>
      </c>
      <c r="V2961">
        <v>183.1364157713825</v>
      </c>
      <c r="W2961">
        <v>11.357593544393531</v>
      </c>
      <c r="X2961" t="s">
        <v>111</v>
      </c>
      <c r="Y2961">
        <v>25</v>
      </c>
      <c r="Z2961">
        <v>0.31616344381119887</v>
      </c>
      <c r="AA2961">
        <v>1</v>
      </c>
    </row>
    <row r="2962" spans="1:27" hidden="1" x14ac:dyDescent="0.25">
      <c r="A2962" t="s">
        <v>98</v>
      </c>
      <c r="B2962" t="s">
        <v>1374</v>
      </c>
      <c r="D2962" t="s">
        <v>1722</v>
      </c>
      <c r="E2962" t="s">
        <v>101</v>
      </c>
      <c r="F2962" t="s">
        <v>135</v>
      </c>
      <c r="G2962" t="s">
        <v>103</v>
      </c>
      <c r="H2962" t="s">
        <v>131</v>
      </c>
      <c r="I2962">
        <v>2013</v>
      </c>
      <c r="J2962" t="s">
        <v>3389</v>
      </c>
      <c r="K2962" t="s">
        <v>133</v>
      </c>
      <c r="L2962" t="s">
        <v>2768</v>
      </c>
      <c r="M2962" t="s">
        <v>3404</v>
      </c>
      <c r="N2962">
        <v>1</v>
      </c>
      <c r="O2962">
        <v>2020</v>
      </c>
      <c r="P2962">
        <v>53.671972506534857</v>
      </c>
      <c r="Q2962">
        <v>3.3285812976489559</v>
      </c>
      <c r="R2962" t="s">
        <v>109</v>
      </c>
      <c r="S2962">
        <v>0.82499999999999996</v>
      </c>
      <c r="T2962" t="s">
        <v>110</v>
      </c>
      <c r="U2962">
        <v>0.82499999999999996</v>
      </c>
      <c r="V2962">
        <v>183.1364157713825</v>
      </c>
      <c r="W2962">
        <v>11.357593544393531</v>
      </c>
      <c r="X2962" t="s">
        <v>111</v>
      </c>
      <c r="Y2962">
        <v>25</v>
      </c>
      <c r="Z2962">
        <v>0.31616344381119887</v>
      </c>
      <c r="AA2962">
        <v>1</v>
      </c>
    </row>
    <row r="2963" spans="1:27" hidden="1" x14ac:dyDescent="0.25">
      <c r="A2963" t="s">
        <v>98</v>
      </c>
      <c r="B2963" t="s">
        <v>1548</v>
      </c>
      <c r="D2963" t="s">
        <v>1722</v>
      </c>
      <c r="E2963" t="s">
        <v>101</v>
      </c>
      <c r="F2963" t="s">
        <v>135</v>
      </c>
      <c r="G2963" t="s">
        <v>103</v>
      </c>
      <c r="H2963" t="s">
        <v>131</v>
      </c>
      <c r="I2963">
        <v>2013</v>
      </c>
      <c r="J2963" t="s">
        <v>3389</v>
      </c>
      <c r="K2963" t="s">
        <v>133</v>
      </c>
      <c r="L2963" t="s">
        <v>2941</v>
      </c>
      <c r="M2963" t="s">
        <v>3405</v>
      </c>
      <c r="N2963">
        <v>1</v>
      </c>
      <c r="O2963">
        <v>2020</v>
      </c>
      <c r="P2963">
        <v>53.671972506534857</v>
      </c>
      <c r="Q2963">
        <v>3.3285812976489559</v>
      </c>
      <c r="R2963" t="s">
        <v>109</v>
      </c>
      <c r="S2963">
        <v>0.82499999999999996</v>
      </c>
      <c r="T2963" t="s">
        <v>110</v>
      </c>
      <c r="U2963">
        <v>0.82499999999999996</v>
      </c>
      <c r="V2963">
        <v>183.1364157713825</v>
      </c>
      <c r="W2963">
        <v>11.357593544393531</v>
      </c>
      <c r="X2963" t="s">
        <v>111</v>
      </c>
      <c r="Y2963">
        <v>25</v>
      </c>
      <c r="Z2963">
        <v>0.31616344381119887</v>
      </c>
      <c r="AA2963">
        <v>1</v>
      </c>
    </row>
    <row r="2964" spans="1:27" hidden="1" x14ac:dyDescent="0.25">
      <c r="A2964" t="s">
        <v>98</v>
      </c>
      <c r="B2964" t="s">
        <v>99</v>
      </c>
      <c r="D2964" t="s">
        <v>100</v>
      </c>
      <c r="E2964" t="s">
        <v>101</v>
      </c>
      <c r="F2964" t="s">
        <v>135</v>
      </c>
      <c r="G2964" t="s">
        <v>103</v>
      </c>
      <c r="H2964" t="s">
        <v>136</v>
      </c>
      <c r="I2964">
        <v>2013</v>
      </c>
      <c r="J2964" t="s">
        <v>3406</v>
      </c>
      <c r="K2964" t="s">
        <v>138</v>
      </c>
      <c r="L2964" t="s">
        <v>107</v>
      </c>
      <c r="M2964" t="s">
        <v>3407</v>
      </c>
      <c r="N2964">
        <v>1</v>
      </c>
      <c r="O2964">
        <v>2020</v>
      </c>
      <c r="P2964">
        <v>54.265415061942257</v>
      </c>
      <c r="Q2964">
        <v>4.1997473151908169</v>
      </c>
      <c r="R2964" t="s">
        <v>109</v>
      </c>
      <c r="S2964">
        <v>0.83499999999999996</v>
      </c>
      <c r="T2964" t="s">
        <v>110</v>
      </c>
      <c r="U2964">
        <v>0.83499999999999996</v>
      </c>
      <c r="V2964">
        <v>185.1613263063976</v>
      </c>
      <c r="W2964">
        <v>14.330136093952721</v>
      </c>
      <c r="X2964" t="s">
        <v>111</v>
      </c>
      <c r="Y2964">
        <v>25</v>
      </c>
      <c r="Z2964">
        <v>0.31616344381119887</v>
      </c>
      <c r="AA2964">
        <v>1</v>
      </c>
    </row>
    <row r="2965" spans="1:27" hidden="1" x14ac:dyDescent="0.25">
      <c r="A2965" t="s">
        <v>98</v>
      </c>
      <c r="B2965" t="s">
        <v>499</v>
      </c>
      <c r="D2965" t="s">
        <v>100</v>
      </c>
      <c r="E2965" t="s">
        <v>101</v>
      </c>
      <c r="F2965" t="s">
        <v>135</v>
      </c>
      <c r="G2965" t="s">
        <v>103</v>
      </c>
      <c r="H2965" t="s">
        <v>136</v>
      </c>
      <c r="I2965">
        <v>2013</v>
      </c>
      <c r="J2965" t="s">
        <v>3406</v>
      </c>
      <c r="K2965" t="s">
        <v>138</v>
      </c>
      <c r="L2965" t="s">
        <v>500</v>
      </c>
      <c r="M2965" t="s">
        <v>3408</v>
      </c>
      <c r="N2965">
        <v>1</v>
      </c>
      <c r="O2965">
        <v>2020</v>
      </c>
      <c r="P2965">
        <v>54.265415061942257</v>
      </c>
      <c r="Q2965">
        <v>4.1997473151908169</v>
      </c>
      <c r="R2965" t="s">
        <v>109</v>
      </c>
      <c r="S2965">
        <v>0.83499999999999996</v>
      </c>
      <c r="T2965" t="s">
        <v>110</v>
      </c>
      <c r="U2965">
        <v>0.83499999999999996</v>
      </c>
      <c r="V2965">
        <v>185.1613263063976</v>
      </c>
      <c r="W2965">
        <v>14.330136093952721</v>
      </c>
      <c r="X2965" t="s">
        <v>111</v>
      </c>
      <c r="Y2965">
        <v>25</v>
      </c>
      <c r="Z2965">
        <v>0.31616344381119887</v>
      </c>
      <c r="AA2965">
        <v>1</v>
      </c>
    </row>
    <row r="2966" spans="1:27" hidden="1" x14ac:dyDescent="0.25">
      <c r="A2966" t="s">
        <v>98</v>
      </c>
      <c r="B2966" t="s">
        <v>674</v>
      </c>
      <c r="D2966" t="s">
        <v>100</v>
      </c>
      <c r="E2966" t="s">
        <v>101</v>
      </c>
      <c r="F2966" t="s">
        <v>135</v>
      </c>
      <c r="G2966" t="s">
        <v>103</v>
      </c>
      <c r="H2966" t="s">
        <v>136</v>
      </c>
      <c r="I2966">
        <v>2013</v>
      </c>
      <c r="J2966" t="s">
        <v>3406</v>
      </c>
      <c r="K2966" t="s">
        <v>138</v>
      </c>
      <c r="L2966" t="s">
        <v>675</v>
      </c>
      <c r="M2966" t="s">
        <v>3409</v>
      </c>
      <c r="N2966">
        <v>1</v>
      </c>
      <c r="O2966">
        <v>2020</v>
      </c>
      <c r="P2966">
        <v>54.265415061942257</v>
      </c>
      <c r="Q2966">
        <v>4.1997473151908169</v>
      </c>
      <c r="R2966" t="s">
        <v>109</v>
      </c>
      <c r="S2966">
        <v>0.83499999999999996</v>
      </c>
      <c r="T2966" t="s">
        <v>110</v>
      </c>
      <c r="U2966">
        <v>0.83499999999999996</v>
      </c>
      <c r="V2966">
        <v>185.1613263063976</v>
      </c>
      <c r="W2966">
        <v>14.330136093952721</v>
      </c>
      <c r="X2966" t="s">
        <v>111</v>
      </c>
      <c r="Y2966">
        <v>25</v>
      </c>
      <c r="Z2966">
        <v>0.31616344381119887</v>
      </c>
      <c r="AA2966">
        <v>1</v>
      </c>
    </row>
    <row r="2967" spans="1:27" hidden="1" x14ac:dyDescent="0.25">
      <c r="A2967" t="s">
        <v>98</v>
      </c>
      <c r="B2967" t="s">
        <v>849</v>
      </c>
      <c r="D2967" t="s">
        <v>100</v>
      </c>
      <c r="E2967" t="s">
        <v>101</v>
      </c>
      <c r="F2967" t="s">
        <v>135</v>
      </c>
      <c r="G2967" t="s">
        <v>103</v>
      </c>
      <c r="H2967" t="s">
        <v>136</v>
      </c>
      <c r="I2967">
        <v>2013</v>
      </c>
      <c r="J2967" t="s">
        <v>3406</v>
      </c>
      <c r="K2967" t="s">
        <v>138</v>
      </c>
      <c r="L2967" t="s">
        <v>850</v>
      </c>
      <c r="M2967" t="s">
        <v>3410</v>
      </c>
      <c r="N2967">
        <v>1</v>
      </c>
      <c r="O2967">
        <v>2020</v>
      </c>
      <c r="P2967">
        <v>54.265415061942257</v>
      </c>
      <c r="Q2967">
        <v>4.1997473151908169</v>
      </c>
      <c r="R2967" t="s">
        <v>109</v>
      </c>
      <c r="S2967">
        <v>0.83499999999999996</v>
      </c>
      <c r="T2967" t="s">
        <v>110</v>
      </c>
      <c r="U2967">
        <v>0.83499999999999996</v>
      </c>
      <c r="V2967">
        <v>185.1613263063976</v>
      </c>
      <c r="W2967">
        <v>14.330136093952721</v>
      </c>
      <c r="X2967" t="s">
        <v>111</v>
      </c>
      <c r="Y2967">
        <v>25</v>
      </c>
      <c r="Z2967">
        <v>0.31616344381119887</v>
      </c>
      <c r="AA2967">
        <v>1</v>
      </c>
    </row>
    <row r="2968" spans="1:27" hidden="1" x14ac:dyDescent="0.25">
      <c r="A2968" t="s">
        <v>98</v>
      </c>
      <c r="B2968" t="s">
        <v>1024</v>
      </c>
      <c r="D2968" t="s">
        <v>100</v>
      </c>
      <c r="E2968" t="s">
        <v>101</v>
      </c>
      <c r="F2968" t="s">
        <v>135</v>
      </c>
      <c r="G2968" t="s">
        <v>103</v>
      </c>
      <c r="H2968" t="s">
        <v>136</v>
      </c>
      <c r="I2968">
        <v>2013</v>
      </c>
      <c r="J2968" t="s">
        <v>3406</v>
      </c>
      <c r="K2968" t="s">
        <v>138</v>
      </c>
      <c r="L2968" t="s">
        <v>1025</v>
      </c>
      <c r="M2968" t="s">
        <v>3411</v>
      </c>
      <c r="N2968">
        <v>1</v>
      </c>
      <c r="O2968">
        <v>2020</v>
      </c>
      <c r="P2968">
        <v>54.265415061942257</v>
      </c>
      <c r="Q2968">
        <v>4.1997473151908169</v>
      </c>
      <c r="R2968" t="s">
        <v>109</v>
      </c>
      <c r="S2968">
        <v>0.83499999999999996</v>
      </c>
      <c r="T2968" t="s">
        <v>110</v>
      </c>
      <c r="U2968">
        <v>0.83499999999999996</v>
      </c>
      <c r="V2968">
        <v>185.1613263063976</v>
      </c>
      <c r="W2968">
        <v>14.330136093952721</v>
      </c>
      <c r="X2968" t="s">
        <v>111</v>
      </c>
      <c r="Y2968">
        <v>25</v>
      </c>
      <c r="Z2968">
        <v>0.31616344381119887</v>
      </c>
      <c r="AA2968">
        <v>1</v>
      </c>
    </row>
    <row r="2969" spans="1:27" hidden="1" x14ac:dyDescent="0.25">
      <c r="A2969" t="s">
        <v>98</v>
      </c>
      <c r="B2969" t="s">
        <v>1199</v>
      </c>
      <c r="D2969" t="s">
        <v>100</v>
      </c>
      <c r="E2969" t="s">
        <v>101</v>
      </c>
      <c r="F2969" t="s">
        <v>135</v>
      </c>
      <c r="G2969" t="s">
        <v>103</v>
      </c>
      <c r="H2969" t="s">
        <v>136</v>
      </c>
      <c r="I2969">
        <v>2013</v>
      </c>
      <c r="J2969" t="s">
        <v>3406</v>
      </c>
      <c r="K2969" t="s">
        <v>138</v>
      </c>
      <c r="L2969" t="s">
        <v>1200</v>
      </c>
      <c r="M2969" t="s">
        <v>3412</v>
      </c>
      <c r="N2969">
        <v>1</v>
      </c>
      <c r="O2969">
        <v>2020</v>
      </c>
      <c r="P2969">
        <v>54.265415061942257</v>
      </c>
      <c r="Q2969">
        <v>4.1997473151908169</v>
      </c>
      <c r="R2969" t="s">
        <v>109</v>
      </c>
      <c r="S2969">
        <v>0.83499999999999996</v>
      </c>
      <c r="T2969" t="s">
        <v>110</v>
      </c>
      <c r="U2969">
        <v>0.83499999999999996</v>
      </c>
      <c r="V2969">
        <v>185.1613263063976</v>
      </c>
      <c r="W2969">
        <v>14.330136093952721</v>
      </c>
      <c r="X2969" t="s">
        <v>111</v>
      </c>
      <c r="Y2969">
        <v>25</v>
      </c>
      <c r="Z2969">
        <v>0.31616344381119887</v>
      </c>
      <c r="AA2969">
        <v>1</v>
      </c>
    </row>
    <row r="2970" spans="1:27" hidden="1" x14ac:dyDescent="0.25">
      <c r="A2970" t="s">
        <v>98</v>
      </c>
      <c r="B2970" t="s">
        <v>1374</v>
      </c>
      <c r="D2970" t="s">
        <v>100</v>
      </c>
      <c r="E2970" t="s">
        <v>101</v>
      </c>
      <c r="F2970" t="s">
        <v>135</v>
      </c>
      <c r="G2970" t="s">
        <v>103</v>
      </c>
      <c r="H2970" t="s">
        <v>136</v>
      </c>
      <c r="I2970">
        <v>2013</v>
      </c>
      <c r="J2970" t="s">
        <v>3406</v>
      </c>
      <c r="K2970" t="s">
        <v>138</v>
      </c>
      <c r="L2970" t="s">
        <v>1375</v>
      </c>
      <c r="M2970" t="s">
        <v>3413</v>
      </c>
      <c r="N2970">
        <v>1</v>
      </c>
      <c r="O2970">
        <v>2020</v>
      </c>
      <c r="P2970">
        <v>54.265415061942257</v>
      </c>
      <c r="Q2970">
        <v>4.1997473151908169</v>
      </c>
      <c r="R2970" t="s">
        <v>109</v>
      </c>
      <c r="S2970">
        <v>0.83499999999999996</v>
      </c>
      <c r="T2970" t="s">
        <v>110</v>
      </c>
      <c r="U2970">
        <v>0.83499999999999996</v>
      </c>
      <c r="V2970">
        <v>185.1613263063976</v>
      </c>
      <c r="W2970">
        <v>14.330136093952721</v>
      </c>
      <c r="X2970" t="s">
        <v>111</v>
      </c>
      <c r="Y2970">
        <v>25</v>
      </c>
      <c r="Z2970">
        <v>0.31616344381119887</v>
      </c>
      <c r="AA2970">
        <v>1</v>
      </c>
    </row>
    <row r="2971" spans="1:27" hidden="1" x14ac:dyDescent="0.25">
      <c r="A2971" t="s">
        <v>98</v>
      </c>
      <c r="B2971" t="s">
        <v>1548</v>
      </c>
      <c r="D2971" t="s">
        <v>100</v>
      </c>
      <c r="E2971" t="s">
        <v>101</v>
      </c>
      <c r="F2971" t="s">
        <v>135</v>
      </c>
      <c r="G2971" t="s">
        <v>103</v>
      </c>
      <c r="H2971" t="s">
        <v>136</v>
      </c>
      <c r="I2971">
        <v>2013</v>
      </c>
      <c r="J2971" t="s">
        <v>3406</v>
      </c>
      <c r="K2971" t="s">
        <v>138</v>
      </c>
      <c r="L2971" t="s">
        <v>1549</v>
      </c>
      <c r="M2971" t="s">
        <v>3414</v>
      </c>
      <c r="N2971">
        <v>1</v>
      </c>
      <c r="O2971">
        <v>2020</v>
      </c>
      <c r="P2971">
        <v>54.265415061942257</v>
      </c>
      <c r="Q2971">
        <v>4.1997473151908169</v>
      </c>
      <c r="R2971" t="s">
        <v>109</v>
      </c>
      <c r="S2971">
        <v>0.83499999999999996</v>
      </c>
      <c r="T2971" t="s">
        <v>110</v>
      </c>
      <c r="U2971">
        <v>0.83499999999999996</v>
      </c>
      <c r="V2971">
        <v>185.1613263063976</v>
      </c>
      <c r="W2971">
        <v>14.330136093952721</v>
      </c>
      <c r="X2971" t="s">
        <v>111</v>
      </c>
      <c r="Y2971">
        <v>25</v>
      </c>
      <c r="Z2971">
        <v>0.31616344381119887</v>
      </c>
      <c r="AA2971">
        <v>1</v>
      </c>
    </row>
    <row r="2972" spans="1:27" hidden="1" x14ac:dyDescent="0.25">
      <c r="A2972" t="s">
        <v>98</v>
      </c>
      <c r="B2972" t="s">
        <v>99</v>
      </c>
      <c r="D2972" t="s">
        <v>1722</v>
      </c>
      <c r="E2972" t="s">
        <v>101</v>
      </c>
      <c r="F2972" t="s">
        <v>135</v>
      </c>
      <c r="G2972" t="s">
        <v>103</v>
      </c>
      <c r="H2972" t="s">
        <v>136</v>
      </c>
      <c r="I2972">
        <v>2013</v>
      </c>
      <c r="J2972" t="s">
        <v>3406</v>
      </c>
      <c r="K2972" t="s">
        <v>138</v>
      </c>
      <c r="L2972" t="s">
        <v>1723</v>
      </c>
      <c r="M2972" t="s">
        <v>3415</v>
      </c>
      <c r="N2972">
        <v>1</v>
      </c>
      <c r="O2972">
        <v>2020</v>
      </c>
      <c r="P2972">
        <v>54.265415061942257</v>
      </c>
      <c r="Q2972">
        <v>4.1997473151908169</v>
      </c>
      <c r="R2972" t="s">
        <v>109</v>
      </c>
      <c r="S2972">
        <v>0.83499999999999996</v>
      </c>
      <c r="T2972" t="s">
        <v>110</v>
      </c>
      <c r="U2972">
        <v>0.83499999999999996</v>
      </c>
      <c r="V2972">
        <v>185.1613263063976</v>
      </c>
      <c r="W2972">
        <v>14.330136093952721</v>
      </c>
      <c r="X2972" t="s">
        <v>111</v>
      </c>
      <c r="Y2972">
        <v>25</v>
      </c>
      <c r="Z2972">
        <v>0.31616344381119887</v>
      </c>
      <c r="AA2972">
        <v>1</v>
      </c>
    </row>
    <row r="2973" spans="1:27" hidden="1" x14ac:dyDescent="0.25">
      <c r="A2973" t="s">
        <v>98</v>
      </c>
      <c r="B2973" t="s">
        <v>499</v>
      </c>
      <c r="D2973" t="s">
        <v>1722</v>
      </c>
      <c r="E2973" t="s">
        <v>101</v>
      </c>
      <c r="F2973" t="s">
        <v>135</v>
      </c>
      <c r="G2973" t="s">
        <v>103</v>
      </c>
      <c r="H2973" t="s">
        <v>136</v>
      </c>
      <c r="I2973">
        <v>2013</v>
      </c>
      <c r="J2973" t="s">
        <v>3406</v>
      </c>
      <c r="K2973" t="s">
        <v>138</v>
      </c>
      <c r="L2973" t="s">
        <v>1898</v>
      </c>
      <c r="M2973" t="s">
        <v>3416</v>
      </c>
      <c r="N2973">
        <v>1</v>
      </c>
      <c r="O2973">
        <v>2020</v>
      </c>
      <c r="P2973">
        <v>54.265415061942257</v>
      </c>
      <c r="Q2973">
        <v>4.1997473151908169</v>
      </c>
      <c r="R2973" t="s">
        <v>109</v>
      </c>
      <c r="S2973">
        <v>0.83499999999999996</v>
      </c>
      <c r="T2973" t="s">
        <v>110</v>
      </c>
      <c r="U2973">
        <v>0.83499999999999996</v>
      </c>
      <c r="V2973">
        <v>185.1613263063976</v>
      </c>
      <c r="W2973">
        <v>14.330136093952721</v>
      </c>
      <c r="X2973" t="s">
        <v>111</v>
      </c>
      <c r="Y2973">
        <v>25</v>
      </c>
      <c r="Z2973">
        <v>0.31616344381119887</v>
      </c>
      <c r="AA2973">
        <v>1</v>
      </c>
    </row>
    <row r="2974" spans="1:27" hidden="1" x14ac:dyDescent="0.25">
      <c r="A2974" t="s">
        <v>98</v>
      </c>
      <c r="B2974" t="s">
        <v>674</v>
      </c>
      <c r="D2974" t="s">
        <v>1722</v>
      </c>
      <c r="E2974" t="s">
        <v>101</v>
      </c>
      <c r="F2974" t="s">
        <v>135</v>
      </c>
      <c r="G2974" t="s">
        <v>103</v>
      </c>
      <c r="H2974" t="s">
        <v>136</v>
      </c>
      <c r="I2974">
        <v>2013</v>
      </c>
      <c r="J2974" t="s">
        <v>3406</v>
      </c>
      <c r="K2974" t="s">
        <v>138</v>
      </c>
      <c r="L2974" t="s">
        <v>2072</v>
      </c>
      <c r="M2974" t="s">
        <v>3417</v>
      </c>
      <c r="N2974">
        <v>1</v>
      </c>
      <c r="O2974">
        <v>2020</v>
      </c>
      <c r="P2974">
        <v>54.265415061942257</v>
      </c>
      <c r="Q2974">
        <v>4.1997473151908169</v>
      </c>
      <c r="R2974" t="s">
        <v>109</v>
      </c>
      <c r="S2974">
        <v>0.83499999999999996</v>
      </c>
      <c r="T2974" t="s">
        <v>110</v>
      </c>
      <c r="U2974">
        <v>0.83499999999999996</v>
      </c>
      <c r="V2974">
        <v>185.1613263063976</v>
      </c>
      <c r="W2974">
        <v>14.330136093952721</v>
      </c>
      <c r="X2974" t="s">
        <v>111</v>
      </c>
      <c r="Y2974">
        <v>25</v>
      </c>
      <c r="Z2974">
        <v>0.31616344381119887</v>
      </c>
      <c r="AA2974">
        <v>1</v>
      </c>
    </row>
    <row r="2975" spans="1:27" hidden="1" x14ac:dyDescent="0.25">
      <c r="A2975" t="s">
        <v>98</v>
      </c>
      <c r="B2975" t="s">
        <v>849</v>
      </c>
      <c r="D2975" t="s">
        <v>1722</v>
      </c>
      <c r="E2975" t="s">
        <v>101</v>
      </c>
      <c r="F2975" t="s">
        <v>135</v>
      </c>
      <c r="G2975" t="s">
        <v>103</v>
      </c>
      <c r="H2975" t="s">
        <v>136</v>
      </c>
      <c r="I2975">
        <v>2013</v>
      </c>
      <c r="J2975" t="s">
        <v>3406</v>
      </c>
      <c r="K2975" t="s">
        <v>138</v>
      </c>
      <c r="L2975" t="s">
        <v>2246</v>
      </c>
      <c r="M2975" t="s">
        <v>3418</v>
      </c>
      <c r="N2975">
        <v>1</v>
      </c>
      <c r="O2975">
        <v>2020</v>
      </c>
      <c r="P2975">
        <v>54.265415061942257</v>
      </c>
      <c r="Q2975">
        <v>4.1997473151908169</v>
      </c>
      <c r="R2975" t="s">
        <v>109</v>
      </c>
      <c r="S2975">
        <v>0.83499999999999996</v>
      </c>
      <c r="T2975" t="s">
        <v>110</v>
      </c>
      <c r="U2975">
        <v>0.83499999999999996</v>
      </c>
      <c r="V2975">
        <v>185.1613263063976</v>
      </c>
      <c r="W2975">
        <v>14.330136093952721</v>
      </c>
      <c r="X2975" t="s">
        <v>111</v>
      </c>
      <c r="Y2975">
        <v>25</v>
      </c>
      <c r="Z2975">
        <v>0.31616344381119887</v>
      </c>
      <c r="AA2975">
        <v>1</v>
      </c>
    </row>
    <row r="2976" spans="1:27" hidden="1" x14ac:dyDescent="0.25">
      <c r="A2976" t="s">
        <v>98</v>
      </c>
      <c r="B2976" t="s">
        <v>1024</v>
      </c>
      <c r="D2976" t="s">
        <v>1722</v>
      </c>
      <c r="E2976" t="s">
        <v>101</v>
      </c>
      <c r="F2976" t="s">
        <v>135</v>
      </c>
      <c r="G2976" t="s">
        <v>103</v>
      </c>
      <c r="H2976" t="s">
        <v>136</v>
      </c>
      <c r="I2976">
        <v>2013</v>
      </c>
      <c r="J2976" t="s">
        <v>3406</v>
      </c>
      <c r="K2976" t="s">
        <v>138</v>
      </c>
      <c r="L2976" t="s">
        <v>2420</v>
      </c>
      <c r="M2976" t="s">
        <v>3419</v>
      </c>
      <c r="N2976">
        <v>1</v>
      </c>
      <c r="O2976">
        <v>2020</v>
      </c>
      <c r="P2976">
        <v>54.265415061942257</v>
      </c>
      <c r="Q2976">
        <v>4.1997473151908169</v>
      </c>
      <c r="R2976" t="s">
        <v>109</v>
      </c>
      <c r="S2976">
        <v>0.83499999999999996</v>
      </c>
      <c r="T2976" t="s">
        <v>110</v>
      </c>
      <c r="U2976">
        <v>0.83499999999999996</v>
      </c>
      <c r="V2976">
        <v>185.1613263063976</v>
      </c>
      <c r="W2976">
        <v>14.330136093952721</v>
      </c>
      <c r="X2976" t="s">
        <v>111</v>
      </c>
      <c r="Y2976">
        <v>25</v>
      </c>
      <c r="Z2976">
        <v>0.31616344381119887</v>
      </c>
      <c r="AA2976">
        <v>1</v>
      </c>
    </row>
    <row r="2977" spans="1:27" hidden="1" x14ac:dyDescent="0.25">
      <c r="A2977" t="s">
        <v>98</v>
      </c>
      <c r="B2977" t="s">
        <v>1199</v>
      </c>
      <c r="D2977" t="s">
        <v>1722</v>
      </c>
      <c r="E2977" t="s">
        <v>101</v>
      </c>
      <c r="F2977" t="s">
        <v>135</v>
      </c>
      <c r="G2977" t="s">
        <v>103</v>
      </c>
      <c r="H2977" t="s">
        <v>136</v>
      </c>
      <c r="I2977">
        <v>2013</v>
      </c>
      <c r="J2977" t="s">
        <v>3406</v>
      </c>
      <c r="K2977" t="s">
        <v>138</v>
      </c>
      <c r="L2977" t="s">
        <v>2594</v>
      </c>
      <c r="M2977" t="s">
        <v>3420</v>
      </c>
      <c r="N2977">
        <v>1</v>
      </c>
      <c r="O2977">
        <v>2020</v>
      </c>
      <c r="P2977">
        <v>54.265415061942257</v>
      </c>
      <c r="Q2977">
        <v>4.1997473151908169</v>
      </c>
      <c r="R2977" t="s">
        <v>109</v>
      </c>
      <c r="S2977">
        <v>0.83499999999999996</v>
      </c>
      <c r="T2977" t="s">
        <v>110</v>
      </c>
      <c r="U2977">
        <v>0.83499999999999996</v>
      </c>
      <c r="V2977">
        <v>185.1613263063976</v>
      </c>
      <c r="W2977">
        <v>14.330136093952721</v>
      </c>
      <c r="X2977" t="s">
        <v>111</v>
      </c>
      <c r="Y2977">
        <v>25</v>
      </c>
      <c r="Z2977">
        <v>0.31616344381119887</v>
      </c>
      <c r="AA2977">
        <v>1</v>
      </c>
    </row>
    <row r="2978" spans="1:27" hidden="1" x14ac:dyDescent="0.25">
      <c r="A2978" t="s">
        <v>98</v>
      </c>
      <c r="B2978" t="s">
        <v>1374</v>
      </c>
      <c r="D2978" t="s">
        <v>1722</v>
      </c>
      <c r="E2978" t="s">
        <v>101</v>
      </c>
      <c r="F2978" t="s">
        <v>135</v>
      </c>
      <c r="G2978" t="s">
        <v>103</v>
      </c>
      <c r="H2978" t="s">
        <v>136</v>
      </c>
      <c r="I2978">
        <v>2013</v>
      </c>
      <c r="J2978" t="s">
        <v>3406</v>
      </c>
      <c r="K2978" t="s">
        <v>138</v>
      </c>
      <c r="L2978" t="s">
        <v>2768</v>
      </c>
      <c r="M2978" t="s">
        <v>3421</v>
      </c>
      <c r="N2978">
        <v>1</v>
      </c>
      <c r="O2978">
        <v>2020</v>
      </c>
      <c r="P2978">
        <v>54.265415061942257</v>
      </c>
      <c r="Q2978">
        <v>4.1997473151908169</v>
      </c>
      <c r="R2978" t="s">
        <v>109</v>
      </c>
      <c r="S2978">
        <v>0.83499999999999996</v>
      </c>
      <c r="T2978" t="s">
        <v>110</v>
      </c>
      <c r="U2978">
        <v>0.83499999999999996</v>
      </c>
      <c r="V2978">
        <v>185.1613263063976</v>
      </c>
      <c r="W2978">
        <v>14.330136093952721</v>
      </c>
      <c r="X2978" t="s">
        <v>111</v>
      </c>
      <c r="Y2978">
        <v>25</v>
      </c>
      <c r="Z2978">
        <v>0.31616344381119887</v>
      </c>
      <c r="AA2978">
        <v>1</v>
      </c>
    </row>
    <row r="2979" spans="1:27" hidden="1" x14ac:dyDescent="0.25">
      <c r="A2979" t="s">
        <v>98</v>
      </c>
      <c r="B2979" t="s">
        <v>1548</v>
      </c>
      <c r="D2979" t="s">
        <v>1722</v>
      </c>
      <c r="E2979" t="s">
        <v>101</v>
      </c>
      <c r="F2979" t="s">
        <v>135</v>
      </c>
      <c r="G2979" t="s">
        <v>103</v>
      </c>
      <c r="H2979" t="s">
        <v>136</v>
      </c>
      <c r="I2979">
        <v>2013</v>
      </c>
      <c r="J2979" t="s">
        <v>3406</v>
      </c>
      <c r="K2979" t="s">
        <v>138</v>
      </c>
      <c r="L2979" t="s">
        <v>2941</v>
      </c>
      <c r="M2979" t="s">
        <v>3422</v>
      </c>
      <c r="N2979">
        <v>1</v>
      </c>
      <c r="O2979">
        <v>2020</v>
      </c>
      <c r="P2979">
        <v>54.265415061942257</v>
      </c>
      <c r="Q2979">
        <v>4.1997473151908169</v>
      </c>
      <c r="R2979" t="s">
        <v>109</v>
      </c>
      <c r="S2979">
        <v>0.83499999999999996</v>
      </c>
      <c r="T2979" t="s">
        <v>110</v>
      </c>
      <c r="U2979">
        <v>0.83499999999999996</v>
      </c>
      <c r="V2979">
        <v>185.1613263063976</v>
      </c>
      <c r="W2979">
        <v>14.330136093952721</v>
      </c>
      <c r="X2979" t="s">
        <v>111</v>
      </c>
      <c r="Y2979">
        <v>25</v>
      </c>
      <c r="Z2979">
        <v>0.31616344381119887</v>
      </c>
      <c r="AA2979">
        <v>1</v>
      </c>
    </row>
    <row r="2980" spans="1:27" hidden="1" x14ac:dyDescent="0.25">
      <c r="A2980" t="s">
        <v>98</v>
      </c>
      <c r="B2980" t="s">
        <v>99</v>
      </c>
      <c r="D2980" t="s">
        <v>100</v>
      </c>
      <c r="E2980" t="s">
        <v>101</v>
      </c>
      <c r="F2980" t="s">
        <v>135</v>
      </c>
      <c r="G2980" t="s">
        <v>112</v>
      </c>
      <c r="H2980" t="s">
        <v>136</v>
      </c>
      <c r="I2980">
        <v>2013</v>
      </c>
      <c r="J2980" t="s">
        <v>3423</v>
      </c>
      <c r="K2980" t="s">
        <v>138</v>
      </c>
      <c r="L2980" t="s">
        <v>107</v>
      </c>
      <c r="M2980" t="s">
        <v>3424</v>
      </c>
      <c r="N2980">
        <v>1</v>
      </c>
      <c r="O2980">
        <v>2020</v>
      </c>
      <c r="P2980">
        <v>83.673802483854857</v>
      </c>
      <c r="Q2980">
        <v>3.614079731697017</v>
      </c>
      <c r="R2980" t="s">
        <v>109</v>
      </c>
      <c r="S2980">
        <v>0.97</v>
      </c>
      <c r="T2980" t="s">
        <v>110</v>
      </c>
      <c r="U2980">
        <v>0.97</v>
      </c>
      <c r="V2980">
        <v>285.5069334183691</v>
      </c>
      <c r="W2980">
        <v>12.33175487065256</v>
      </c>
      <c r="X2980" t="s">
        <v>111</v>
      </c>
      <c r="Y2980">
        <v>25</v>
      </c>
      <c r="Z2980">
        <v>0.31616344381119887</v>
      </c>
      <c r="AA2980">
        <v>1</v>
      </c>
    </row>
    <row r="2981" spans="1:27" hidden="1" x14ac:dyDescent="0.25">
      <c r="A2981" t="s">
        <v>98</v>
      </c>
      <c r="B2981" t="s">
        <v>499</v>
      </c>
      <c r="D2981" t="s">
        <v>100</v>
      </c>
      <c r="E2981" t="s">
        <v>101</v>
      </c>
      <c r="F2981" t="s">
        <v>135</v>
      </c>
      <c r="G2981" t="s">
        <v>112</v>
      </c>
      <c r="H2981" t="s">
        <v>136</v>
      </c>
      <c r="I2981">
        <v>2013</v>
      </c>
      <c r="J2981" t="s">
        <v>3423</v>
      </c>
      <c r="K2981" t="s">
        <v>138</v>
      </c>
      <c r="L2981" t="s">
        <v>500</v>
      </c>
      <c r="M2981" t="s">
        <v>3425</v>
      </c>
      <c r="N2981">
        <v>1</v>
      </c>
      <c r="O2981">
        <v>2020</v>
      </c>
      <c r="P2981">
        <v>83.673802483854857</v>
      </c>
      <c r="Q2981">
        <v>3.614079731697017</v>
      </c>
      <c r="R2981" t="s">
        <v>109</v>
      </c>
      <c r="S2981">
        <v>0.97</v>
      </c>
      <c r="T2981" t="s">
        <v>110</v>
      </c>
      <c r="U2981">
        <v>0.97</v>
      </c>
      <c r="V2981">
        <v>285.5069334183691</v>
      </c>
      <c r="W2981">
        <v>12.33175487065256</v>
      </c>
      <c r="X2981" t="s">
        <v>111</v>
      </c>
      <c r="Y2981">
        <v>25</v>
      </c>
      <c r="Z2981">
        <v>0.31616344381119887</v>
      </c>
      <c r="AA2981">
        <v>1</v>
      </c>
    </row>
    <row r="2982" spans="1:27" hidden="1" x14ac:dyDescent="0.25">
      <c r="A2982" t="s">
        <v>98</v>
      </c>
      <c r="B2982" t="s">
        <v>674</v>
      </c>
      <c r="D2982" t="s">
        <v>100</v>
      </c>
      <c r="E2982" t="s">
        <v>101</v>
      </c>
      <c r="F2982" t="s">
        <v>135</v>
      </c>
      <c r="G2982" t="s">
        <v>112</v>
      </c>
      <c r="H2982" t="s">
        <v>136</v>
      </c>
      <c r="I2982">
        <v>2013</v>
      </c>
      <c r="J2982" t="s">
        <v>3423</v>
      </c>
      <c r="K2982" t="s">
        <v>138</v>
      </c>
      <c r="L2982" t="s">
        <v>675</v>
      </c>
      <c r="M2982" t="s">
        <v>3426</v>
      </c>
      <c r="N2982">
        <v>1</v>
      </c>
      <c r="O2982">
        <v>2020</v>
      </c>
      <c r="P2982">
        <v>83.673802483854857</v>
      </c>
      <c r="Q2982">
        <v>3.614079731697017</v>
      </c>
      <c r="R2982" t="s">
        <v>109</v>
      </c>
      <c r="S2982">
        <v>0.97</v>
      </c>
      <c r="T2982" t="s">
        <v>110</v>
      </c>
      <c r="U2982">
        <v>0.97</v>
      </c>
      <c r="V2982">
        <v>285.5069334183691</v>
      </c>
      <c r="W2982">
        <v>12.33175487065256</v>
      </c>
      <c r="X2982" t="s">
        <v>111</v>
      </c>
      <c r="Y2982">
        <v>25</v>
      </c>
      <c r="Z2982">
        <v>0.31616344381119887</v>
      </c>
      <c r="AA2982">
        <v>1</v>
      </c>
    </row>
    <row r="2983" spans="1:27" hidden="1" x14ac:dyDescent="0.25">
      <c r="A2983" t="s">
        <v>98</v>
      </c>
      <c r="B2983" t="s">
        <v>849</v>
      </c>
      <c r="D2983" t="s">
        <v>100</v>
      </c>
      <c r="E2983" t="s">
        <v>101</v>
      </c>
      <c r="F2983" t="s">
        <v>135</v>
      </c>
      <c r="G2983" t="s">
        <v>112</v>
      </c>
      <c r="H2983" t="s">
        <v>136</v>
      </c>
      <c r="I2983">
        <v>2013</v>
      </c>
      <c r="J2983" t="s">
        <v>3423</v>
      </c>
      <c r="K2983" t="s">
        <v>138</v>
      </c>
      <c r="L2983" t="s">
        <v>850</v>
      </c>
      <c r="M2983" t="s">
        <v>3427</v>
      </c>
      <c r="N2983">
        <v>1</v>
      </c>
      <c r="O2983">
        <v>2020</v>
      </c>
      <c r="P2983">
        <v>83.673802483854857</v>
      </c>
      <c r="Q2983">
        <v>3.614079731697017</v>
      </c>
      <c r="R2983" t="s">
        <v>109</v>
      </c>
      <c r="S2983">
        <v>0.97</v>
      </c>
      <c r="T2983" t="s">
        <v>110</v>
      </c>
      <c r="U2983">
        <v>0.97</v>
      </c>
      <c r="V2983">
        <v>285.5069334183691</v>
      </c>
      <c r="W2983">
        <v>12.33175487065256</v>
      </c>
      <c r="X2983" t="s">
        <v>111</v>
      </c>
      <c r="Y2983">
        <v>25</v>
      </c>
      <c r="Z2983">
        <v>0.31616344381119887</v>
      </c>
      <c r="AA2983">
        <v>1</v>
      </c>
    </row>
    <row r="2984" spans="1:27" hidden="1" x14ac:dyDescent="0.25">
      <c r="A2984" t="s">
        <v>98</v>
      </c>
      <c r="B2984" t="s">
        <v>1024</v>
      </c>
      <c r="D2984" t="s">
        <v>100</v>
      </c>
      <c r="E2984" t="s">
        <v>101</v>
      </c>
      <c r="F2984" t="s">
        <v>135</v>
      </c>
      <c r="G2984" t="s">
        <v>112</v>
      </c>
      <c r="H2984" t="s">
        <v>136</v>
      </c>
      <c r="I2984">
        <v>2013</v>
      </c>
      <c r="J2984" t="s">
        <v>3423</v>
      </c>
      <c r="K2984" t="s">
        <v>138</v>
      </c>
      <c r="L2984" t="s">
        <v>1025</v>
      </c>
      <c r="M2984" t="s">
        <v>3428</v>
      </c>
      <c r="N2984">
        <v>1</v>
      </c>
      <c r="O2984">
        <v>2020</v>
      </c>
      <c r="P2984">
        <v>83.673802483854857</v>
      </c>
      <c r="Q2984">
        <v>3.614079731697017</v>
      </c>
      <c r="R2984" t="s">
        <v>109</v>
      </c>
      <c r="S2984">
        <v>0.97</v>
      </c>
      <c r="T2984" t="s">
        <v>110</v>
      </c>
      <c r="U2984">
        <v>0.97</v>
      </c>
      <c r="V2984">
        <v>285.5069334183691</v>
      </c>
      <c r="W2984">
        <v>12.33175487065256</v>
      </c>
      <c r="X2984" t="s">
        <v>111</v>
      </c>
      <c r="Y2984">
        <v>25</v>
      </c>
      <c r="Z2984">
        <v>0.31616344381119887</v>
      </c>
      <c r="AA2984">
        <v>1</v>
      </c>
    </row>
    <row r="2985" spans="1:27" hidden="1" x14ac:dyDescent="0.25">
      <c r="A2985" t="s">
        <v>98</v>
      </c>
      <c r="B2985" t="s">
        <v>1199</v>
      </c>
      <c r="D2985" t="s">
        <v>100</v>
      </c>
      <c r="E2985" t="s">
        <v>101</v>
      </c>
      <c r="F2985" t="s">
        <v>135</v>
      </c>
      <c r="G2985" t="s">
        <v>112</v>
      </c>
      <c r="H2985" t="s">
        <v>136</v>
      </c>
      <c r="I2985">
        <v>2013</v>
      </c>
      <c r="J2985" t="s">
        <v>3423</v>
      </c>
      <c r="K2985" t="s">
        <v>138</v>
      </c>
      <c r="L2985" t="s">
        <v>1200</v>
      </c>
      <c r="M2985" t="s">
        <v>3429</v>
      </c>
      <c r="N2985">
        <v>1</v>
      </c>
      <c r="O2985">
        <v>2020</v>
      </c>
      <c r="P2985">
        <v>83.673802483854857</v>
      </c>
      <c r="Q2985">
        <v>3.614079731697017</v>
      </c>
      <c r="R2985" t="s">
        <v>109</v>
      </c>
      <c r="S2985">
        <v>0.97</v>
      </c>
      <c r="T2985" t="s">
        <v>110</v>
      </c>
      <c r="U2985">
        <v>0.97</v>
      </c>
      <c r="V2985">
        <v>285.5069334183691</v>
      </c>
      <c r="W2985">
        <v>12.33175487065256</v>
      </c>
      <c r="X2985" t="s">
        <v>111</v>
      </c>
      <c r="Y2985">
        <v>25</v>
      </c>
      <c r="Z2985">
        <v>0.31616344381119887</v>
      </c>
      <c r="AA2985">
        <v>1</v>
      </c>
    </row>
    <row r="2986" spans="1:27" hidden="1" x14ac:dyDescent="0.25">
      <c r="A2986" t="s">
        <v>98</v>
      </c>
      <c r="B2986" t="s">
        <v>1374</v>
      </c>
      <c r="D2986" t="s">
        <v>100</v>
      </c>
      <c r="E2986" t="s">
        <v>101</v>
      </c>
      <c r="F2986" t="s">
        <v>135</v>
      </c>
      <c r="G2986" t="s">
        <v>112</v>
      </c>
      <c r="H2986" t="s">
        <v>136</v>
      </c>
      <c r="I2986">
        <v>2013</v>
      </c>
      <c r="J2986" t="s">
        <v>3423</v>
      </c>
      <c r="K2986" t="s">
        <v>138</v>
      </c>
      <c r="L2986" t="s">
        <v>1375</v>
      </c>
      <c r="M2986" t="s">
        <v>3430</v>
      </c>
      <c r="N2986">
        <v>1</v>
      </c>
      <c r="O2986">
        <v>2020</v>
      </c>
      <c r="P2986">
        <v>83.673802483854857</v>
      </c>
      <c r="Q2986">
        <v>3.614079731697017</v>
      </c>
      <c r="R2986" t="s">
        <v>109</v>
      </c>
      <c r="S2986">
        <v>0.97</v>
      </c>
      <c r="T2986" t="s">
        <v>110</v>
      </c>
      <c r="U2986">
        <v>0.97</v>
      </c>
      <c r="V2986">
        <v>285.5069334183691</v>
      </c>
      <c r="W2986">
        <v>12.33175487065256</v>
      </c>
      <c r="X2986" t="s">
        <v>111</v>
      </c>
      <c r="Y2986">
        <v>25</v>
      </c>
      <c r="Z2986">
        <v>0.31616344381119887</v>
      </c>
      <c r="AA2986">
        <v>1</v>
      </c>
    </row>
    <row r="2987" spans="1:27" hidden="1" x14ac:dyDescent="0.25">
      <c r="A2987" t="s">
        <v>98</v>
      </c>
      <c r="B2987" t="s">
        <v>1548</v>
      </c>
      <c r="D2987" t="s">
        <v>100</v>
      </c>
      <c r="E2987" t="s">
        <v>101</v>
      </c>
      <c r="F2987" t="s">
        <v>135</v>
      </c>
      <c r="G2987" t="s">
        <v>112</v>
      </c>
      <c r="H2987" t="s">
        <v>136</v>
      </c>
      <c r="I2987">
        <v>2013</v>
      </c>
      <c r="J2987" t="s">
        <v>3423</v>
      </c>
      <c r="K2987" t="s">
        <v>138</v>
      </c>
      <c r="L2987" t="s">
        <v>1549</v>
      </c>
      <c r="M2987" t="s">
        <v>3431</v>
      </c>
      <c r="N2987">
        <v>1</v>
      </c>
      <c r="O2987">
        <v>2020</v>
      </c>
      <c r="P2987">
        <v>83.673802483854857</v>
      </c>
      <c r="Q2987">
        <v>3.614079731697017</v>
      </c>
      <c r="R2987" t="s">
        <v>109</v>
      </c>
      <c r="S2987">
        <v>0.97</v>
      </c>
      <c r="T2987" t="s">
        <v>110</v>
      </c>
      <c r="U2987">
        <v>0.97</v>
      </c>
      <c r="V2987">
        <v>285.5069334183691</v>
      </c>
      <c r="W2987">
        <v>12.33175487065256</v>
      </c>
      <c r="X2987" t="s">
        <v>111</v>
      </c>
      <c r="Y2987">
        <v>25</v>
      </c>
      <c r="Z2987">
        <v>0.31616344381119887</v>
      </c>
      <c r="AA2987">
        <v>1</v>
      </c>
    </row>
    <row r="2988" spans="1:27" hidden="1" x14ac:dyDescent="0.25">
      <c r="A2988" t="s">
        <v>98</v>
      </c>
      <c r="B2988" t="s">
        <v>99</v>
      </c>
      <c r="D2988" t="s">
        <v>1722</v>
      </c>
      <c r="E2988" t="s">
        <v>101</v>
      </c>
      <c r="F2988" t="s">
        <v>135</v>
      </c>
      <c r="G2988" t="s">
        <v>112</v>
      </c>
      <c r="H2988" t="s">
        <v>136</v>
      </c>
      <c r="I2988">
        <v>2013</v>
      </c>
      <c r="J2988" t="s">
        <v>3423</v>
      </c>
      <c r="K2988" t="s">
        <v>138</v>
      </c>
      <c r="L2988" t="s">
        <v>1723</v>
      </c>
      <c r="M2988" t="s">
        <v>3432</v>
      </c>
      <c r="N2988">
        <v>1</v>
      </c>
      <c r="O2988">
        <v>2020</v>
      </c>
      <c r="P2988">
        <v>83.673802483854857</v>
      </c>
      <c r="Q2988">
        <v>3.614079731697017</v>
      </c>
      <c r="R2988" t="s">
        <v>109</v>
      </c>
      <c r="S2988">
        <v>0.97</v>
      </c>
      <c r="T2988" t="s">
        <v>110</v>
      </c>
      <c r="U2988">
        <v>0.97</v>
      </c>
      <c r="V2988">
        <v>285.5069334183691</v>
      </c>
      <c r="W2988">
        <v>12.33175487065256</v>
      </c>
      <c r="X2988" t="s">
        <v>111</v>
      </c>
      <c r="Y2988">
        <v>25</v>
      </c>
      <c r="Z2988">
        <v>0.31616344381119887</v>
      </c>
      <c r="AA2988">
        <v>1</v>
      </c>
    </row>
    <row r="2989" spans="1:27" hidden="1" x14ac:dyDescent="0.25">
      <c r="A2989" t="s">
        <v>98</v>
      </c>
      <c r="B2989" t="s">
        <v>499</v>
      </c>
      <c r="D2989" t="s">
        <v>1722</v>
      </c>
      <c r="E2989" t="s">
        <v>101</v>
      </c>
      <c r="F2989" t="s">
        <v>135</v>
      </c>
      <c r="G2989" t="s">
        <v>112</v>
      </c>
      <c r="H2989" t="s">
        <v>136</v>
      </c>
      <c r="I2989">
        <v>2013</v>
      </c>
      <c r="J2989" t="s">
        <v>3423</v>
      </c>
      <c r="K2989" t="s">
        <v>138</v>
      </c>
      <c r="L2989" t="s">
        <v>1898</v>
      </c>
      <c r="M2989" t="s">
        <v>3433</v>
      </c>
      <c r="N2989">
        <v>1</v>
      </c>
      <c r="O2989">
        <v>2020</v>
      </c>
      <c r="P2989">
        <v>83.673802483854857</v>
      </c>
      <c r="Q2989">
        <v>3.614079731697017</v>
      </c>
      <c r="R2989" t="s">
        <v>109</v>
      </c>
      <c r="S2989">
        <v>0.97</v>
      </c>
      <c r="T2989" t="s">
        <v>110</v>
      </c>
      <c r="U2989">
        <v>0.97</v>
      </c>
      <c r="V2989">
        <v>285.5069334183691</v>
      </c>
      <c r="W2989">
        <v>12.33175487065256</v>
      </c>
      <c r="X2989" t="s">
        <v>111</v>
      </c>
      <c r="Y2989">
        <v>25</v>
      </c>
      <c r="Z2989">
        <v>0.31616344381119887</v>
      </c>
      <c r="AA2989">
        <v>1</v>
      </c>
    </row>
    <row r="2990" spans="1:27" hidden="1" x14ac:dyDescent="0.25">
      <c r="A2990" t="s">
        <v>98</v>
      </c>
      <c r="B2990" t="s">
        <v>674</v>
      </c>
      <c r="D2990" t="s">
        <v>1722</v>
      </c>
      <c r="E2990" t="s">
        <v>101</v>
      </c>
      <c r="F2990" t="s">
        <v>135</v>
      </c>
      <c r="G2990" t="s">
        <v>112</v>
      </c>
      <c r="H2990" t="s">
        <v>136</v>
      </c>
      <c r="I2990">
        <v>2013</v>
      </c>
      <c r="J2990" t="s">
        <v>3423</v>
      </c>
      <c r="K2990" t="s">
        <v>138</v>
      </c>
      <c r="L2990" t="s">
        <v>2072</v>
      </c>
      <c r="M2990" t="s">
        <v>3434</v>
      </c>
      <c r="N2990">
        <v>1</v>
      </c>
      <c r="O2990">
        <v>2020</v>
      </c>
      <c r="P2990">
        <v>83.673802483854857</v>
      </c>
      <c r="Q2990">
        <v>3.614079731697017</v>
      </c>
      <c r="R2990" t="s">
        <v>109</v>
      </c>
      <c r="S2990">
        <v>0.97</v>
      </c>
      <c r="T2990" t="s">
        <v>110</v>
      </c>
      <c r="U2990">
        <v>0.97</v>
      </c>
      <c r="V2990">
        <v>285.5069334183691</v>
      </c>
      <c r="W2990">
        <v>12.33175487065256</v>
      </c>
      <c r="X2990" t="s">
        <v>111</v>
      </c>
      <c r="Y2990">
        <v>25</v>
      </c>
      <c r="Z2990">
        <v>0.31616344381119887</v>
      </c>
      <c r="AA2990">
        <v>1</v>
      </c>
    </row>
    <row r="2991" spans="1:27" hidden="1" x14ac:dyDescent="0.25">
      <c r="A2991" t="s">
        <v>98</v>
      </c>
      <c r="B2991" t="s">
        <v>849</v>
      </c>
      <c r="D2991" t="s">
        <v>1722</v>
      </c>
      <c r="E2991" t="s">
        <v>101</v>
      </c>
      <c r="F2991" t="s">
        <v>135</v>
      </c>
      <c r="G2991" t="s">
        <v>112</v>
      </c>
      <c r="H2991" t="s">
        <v>136</v>
      </c>
      <c r="I2991">
        <v>2013</v>
      </c>
      <c r="J2991" t="s">
        <v>3423</v>
      </c>
      <c r="K2991" t="s">
        <v>138</v>
      </c>
      <c r="L2991" t="s">
        <v>2246</v>
      </c>
      <c r="M2991" t="s">
        <v>3435</v>
      </c>
      <c r="N2991">
        <v>1</v>
      </c>
      <c r="O2991">
        <v>2020</v>
      </c>
      <c r="P2991">
        <v>83.673802483854857</v>
      </c>
      <c r="Q2991">
        <v>3.614079731697017</v>
      </c>
      <c r="R2991" t="s">
        <v>109</v>
      </c>
      <c r="S2991">
        <v>0.97</v>
      </c>
      <c r="T2991" t="s">
        <v>110</v>
      </c>
      <c r="U2991">
        <v>0.97</v>
      </c>
      <c r="V2991">
        <v>285.5069334183691</v>
      </c>
      <c r="W2991">
        <v>12.33175487065256</v>
      </c>
      <c r="X2991" t="s">
        <v>111</v>
      </c>
      <c r="Y2991">
        <v>25</v>
      </c>
      <c r="Z2991">
        <v>0.31616344381119887</v>
      </c>
      <c r="AA2991">
        <v>1</v>
      </c>
    </row>
    <row r="2992" spans="1:27" hidden="1" x14ac:dyDescent="0.25">
      <c r="A2992" t="s">
        <v>98</v>
      </c>
      <c r="B2992" t="s">
        <v>1024</v>
      </c>
      <c r="D2992" t="s">
        <v>1722</v>
      </c>
      <c r="E2992" t="s">
        <v>101</v>
      </c>
      <c r="F2992" t="s">
        <v>135</v>
      </c>
      <c r="G2992" t="s">
        <v>112</v>
      </c>
      <c r="H2992" t="s">
        <v>136</v>
      </c>
      <c r="I2992">
        <v>2013</v>
      </c>
      <c r="J2992" t="s">
        <v>3423</v>
      </c>
      <c r="K2992" t="s">
        <v>138</v>
      </c>
      <c r="L2992" t="s">
        <v>2420</v>
      </c>
      <c r="M2992" t="s">
        <v>3436</v>
      </c>
      <c r="N2992">
        <v>1</v>
      </c>
      <c r="O2992">
        <v>2020</v>
      </c>
      <c r="P2992">
        <v>83.673802483854857</v>
      </c>
      <c r="Q2992">
        <v>3.614079731697017</v>
      </c>
      <c r="R2992" t="s">
        <v>109</v>
      </c>
      <c r="S2992">
        <v>0.97</v>
      </c>
      <c r="T2992" t="s">
        <v>110</v>
      </c>
      <c r="U2992">
        <v>0.97</v>
      </c>
      <c r="V2992">
        <v>285.5069334183691</v>
      </c>
      <c r="W2992">
        <v>12.33175487065256</v>
      </c>
      <c r="X2992" t="s">
        <v>111</v>
      </c>
      <c r="Y2992">
        <v>25</v>
      </c>
      <c r="Z2992">
        <v>0.31616344381119887</v>
      </c>
      <c r="AA2992">
        <v>1</v>
      </c>
    </row>
    <row r="2993" spans="1:27" hidden="1" x14ac:dyDescent="0.25">
      <c r="A2993" t="s">
        <v>98</v>
      </c>
      <c r="B2993" t="s">
        <v>1199</v>
      </c>
      <c r="D2993" t="s">
        <v>1722</v>
      </c>
      <c r="E2993" t="s">
        <v>101</v>
      </c>
      <c r="F2993" t="s">
        <v>135</v>
      </c>
      <c r="G2993" t="s">
        <v>112</v>
      </c>
      <c r="H2993" t="s">
        <v>136</v>
      </c>
      <c r="I2993">
        <v>2013</v>
      </c>
      <c r="J2993" t="s">
        <v>3423</v>
      </c>
      <c r="K2993" t="s">
        <v>138</v>
      </c>
      <c r="L2993" t="s">
        <v>2594</v>
      </c>
      <c r="M2993" t="s">
        <v>3437</v>
      </c>
      <c r="N2993">
        <v>1</v>
      </c>
      <c r="O2993">
        <v>2020</v>
      </c>
      <c r="P2993">
        <v>83.673802483854857</v>
      </c>
      <c r="Q2993">
        <v>3.614079731697017</v>
      </c>
      <c r="R2993" t="s">
        <v>109</v>
      </c>
      <c r="S2993">
        <v>0.97</v>
      </c>
      <c r="T2993" t="s">
        <v>110</v>
      </c>
      <c r="U2993">
        <v>0.97</v>
      </c>
      <c r="V2993">
        <v>285.5069334183691</v>
      </c>
      <c r="W2993">
        <v>12.33175487065256</v>
      </c>
      <c r="X2993" t="s">
        <v>111</v>
      </c>
      <c r="Y2993">
        <v>25</v>
      </c>
      <c r="Z2993">
        <v>0.31616344381119887</v>
      </c>
      <c r="AA2993">
        <v>1</v>
      </c>
    </row>
    <row r="2994" spans="1:27" hidden="1" x14ac:dyDescent="0.25">
      <c r="A2994" t="s">
        <v>98</v>
      </c>
      <c r="B2994" t="s">
        <v>1374</v>
      </c>
      <c r="D2994" t="s">
        <v>1722</v>
      </c>
      <c r="E2994" t="s">
        <v>101</v>
      </c>
      <c r="F2994" t="s">
        <v>135</v>
      </c>
      <c r="G2994" t="s">
        <v>112</v>
      </c>
      <c r="H2994" t="s">
        <v>136</v>
      </c>
      <c r="I2994">
        <v>2013</v>
      </c>
      <c r="J2994" t="s">
        <v>3423</v>
      </c>
      <c r="K2994" t="s">
        <v>138</v>
      </c>
      <c r="L2994" t="s">
        <v>2768</v>
      </c>
      <c r="M2994" t="s">
        <v>3438</v>
      </c>
      <c r="N2994">
        <v>1</v>
      </c>
      <c r="O2994">
        <v>2020</v>
      </c>
      <c r="P2994">
        <v>83.673802483854857</v>
      </c>
      <c r="Q2994">
        <v>3.614079731697017</v>
      </c>
      <c r="R2994" t="s">
        <v>109</v>
      </c>
      <c r="S2994">
        <v>0.97</v>
      </c>
      <c r="T2994" t="s">
        <v>110</v>
      </c>
      <c r="U2994">
        <v>0.97</v>
      </c>
      <c r="V2994">
        <v>285.5069334183691</v>
      </c>
      <c r="W2994">
        <v>12.33175487065256</v>
      </c>
      <c r="X2994" t="s">
        <v>111</v>
      </c>
      <c r="Y2994">
        <v>25</v>
      </c>
      <c r="Z2994">
        <v>0.31616344381119887</v>
      </c>
      <c r="AA2994">
        <v>1</v>
      </c>
    </row>
    <row r="2995" spans="1:27" hidden="1" x14ac:dyDescent="0.25">
      <c r="A2995" t="s">
        <v>98</v>
      </c>
      <c r="B2995" t="s">
        <v>1548</v>
      </c>
      <c r="D2995" t="s">
        <v>1722</v>
      </c>
      <c r="E2995" t="s">
        <v>101</v>
      </c>
      <c r="F2995" t="s">
        <v>135</v>
      </c>
      <c r="G2995" t="s">
        <v>112</v>
      </c>
      <c r="H2995" t="s">
        <v>136</v>
      </c>
      <c r="I2995">
        <v>2013</v>
      </c>
      <c r="J2995" t="s">
        <v>3423</v>
      </c>
      <c r="K2995" t="s">
        <v>138</v>
      </c>
      <c r="L2995" t="s">
        <v>2941</v>
      </c>
      <c r="M2995" t="s">
        <v>3439</v>
      </c>
      <c r="N2995">
        <v>1</v>
      </c>
      <c r="O2995">
        <v>2020</v>
      </c>
      <c r="P2995">
        <v>83.673802483854857</v>
      </c>
      <c r="Q2995">
        <v>3.614079731697017</v>
      </c>
      <c r="R2995" t="s">
        <v>109</v>
      </c>
      <c r="S2995">
        <v>0.97</v>
      </c>
      <c r="T2995" t="s">
        <v>110</v>
      </c>
      <c r="U2995">
        <v>0.97</v>
      </c>
      <c r="V2995">
        <v>285.5069334183691</v>
      </c>
      <c r="W2995">
        <v>12.33175487065256</v>
      </c>
      <c r="X2995" t="s">
        <v>111</v>
      </c>
      <c r="Y2995">
        <v>25</v>
      </c>
      <c r="Z2995">
        <v>0.31616344381119887</v>
      </c>
      <c r="AA2995">
        <v>1</v>
      </c>
    </row>
    <row r="2996" spans="1:27" hidden="1" x14ac:dyDescent="0.25">
      <c r="A2996" t="s">
        <v>98</v>
      </c>
      <c r="B2996" t="s">
        <v>99</v>
      </c>
      <c r="D2996" t="s">
        <v>100</v>
      </c>
      <c r="E2996" t="s">
        <v>101</v>
      </c>
      <c r="F2996" t="s">
        <v>3320</v>
      </c>
      <c r="G2996" t="s">
        <v>103</v>
      </c>
      <c r="H2996" t="s">
        <v>136</v>
      </c>
      <c r="I2996">
        <v>2020</v>
      </c>
      <c r="J2996" t="s">
        <v>3440</v>
      </c>
      <c r="K2996" t="s">
        <v>138</v>
      </c>
      <c r="L2996" t="s">
        <v>107</v>
      </c>
      <c r="M2996" t="s">
        <v>3441</v>
      </c>
      <c r="N2996">
        <v>1</v>
      </c>
      <c r="O2996">
        <v>2020</v>
      </c>
      <c r="P2996">
        <v>24.933879897565919</v>
      </c>
      <c r="Q2996">
        <v>1.1081724398918189</v>
      </c>
      <c r="R2996" t="s">
        <v>109</v>
      </c>
      <c r="S2996">
        <v>0.82525000000000004</v>
      </c>
      <c r="T2996" t="s">
        <v>110</v>
      </c>
      <c r="U2996">
        <v>0.82525000000000004</v>
      </c>
      <c r="V2996">
        <v>85.077950044753393</v>
      </c>
      <c r="W2996">
        <v>3.7812422242112609</v>
      </c>
      <c r="X2996" t="s">
        <v>111</v>
      </c>
      <c r="Y2996">
        <v>23</v>
      </c>
      <c r="Z2996">
        <v>0.31616344381119887</v>
      </c>
      <c r="AA2996">
        <v>1</v>
      </c>
    </row>
    <row r="2997" spans="1:27" hidden="1" x14ac:dyDescent="0.25">
      <c r="A2997" t="s">
        <v>98</v>
      </c>
      <c r="B2997" t="s">
        <v>499</v>
      </c>
      <c r="D2997" t="s">
        <v>100</v>
      </c>
      <c r="E2997" t="s">
        <v>101</v>
      </c>
      <c r="F2997" t="s">
        <v>3320</v>
      </c>
      <c r="G2997" t="s">
        <v>103</v>
      </c>
      <c r="H2997" t="s">
        <v>136</v>
      </c>
      <c r="I2997">
        <v>2020</v>
      </c>
      <c r="J2997" t="s">
        <v>3440</v>
      </c>
      <c r="K2997" t="s">
        <v>138</v>
      </c>
      <c r="L2997" t="s">
        <v>500</v>
      </c>
      <c r="M2997" t="s">
        <v>3442</v>
      </c>
      <c r="N2997">
        <v>1</v>
      </c>
      <c r="O2997">
        <v>2020</v>
      </c>
      <c r="P2997">
        <v>24.933879897565919</v>
      </c>
      <c r="Q2997">
        <v>1.1081724398918189</v>
      </c>
      <c r="R2997" t="s">
        <v>109</v>
      </c>
      <c r="S2997">
        <v>0.82525000000000004</v>
      </c>
      <c r="T2997" t="s">
        <v>110</v>
      </c>
      <c r="U2997">
        <v>0.82525000000000004</v>
      </c>
      <c r="V2997">
        <v>85.077950044753393</v>
      </c>
      <c r="W2997">
        <v>3.7812422242112609</v>
      </c>
      <c r="X2997" t="s">
        <v>111</v>
      </c>
      <c r="Y2997">
        <v>23</v>
      </c>
      <c r="Z2997">
        <v>0.31616344381119887</v>
      </c>
      <c r="AA2997">
        <v>1</v>
      </c>
    </row>
    <row r="2998" spans="1:27" hidden="1" x14ac:dyDescent="0.25">
      <c r="A2998" t="s">
        <v>98</v>
      </c>
      <c r="B2998" t="s">
        <v>674</v>
      </c>
      <c r="D2998" t="s">
        <v>100</v>
      </c>
      <c r="E2998" t="s">
        <v>101</v>
      </c>
      <c r="F2998" t="s">
        <v>3320</v>
      </c>
      <c r="G2998" t="s">
        <v>103</v>
      </c>
      <c r="H2998" t="s">
        <v>136</v>
      </c>
      <c r="I2998">
        <v>2020</v>
      </c>
      <c r="J2998" t="s">
        <v>3440</v>
      </c>
      <c r="K2998" t="s">
        <v>138</v>
      </c>
      <c r="L2998" t="s">
        <v>675</v>
      </c>
      <c r="M2998" t="s">
        <v>3443</v>
      </c>
      <c r="N2998">
        <v>1</v>
      </c>
      <c r="O2998">
        <v>2020</v>
      </c>
      <c r="P2998">
        <v>24.933879897565919</v>
      </c>
      <c r="Q2998">
        <v>1.1081724398918189</v>
      </c>
      <c r="R2998" t="s">
        <v>109</v>
      </c>
      <c r="S2998">
        <v>0.82525000000000004</v>
      </c>
      <c r="T2998" t="s">
        <v>110</v>
      </c>
      <c r="U2998">
        <v>0.82525000000000004</v>
      </c>
      <c r="V2998">
        <v>85.077950044753393</v>
      </c>
      <c r="W2998">
        <v>3.7812422242112609</v>
      </c>
      <c r="X2998" t="s">
        <v>111</v>
      </c>
      <c r="Y2998">
        <v>23</v>
      </c>
      <c r="Z2998">
        <v>0.31616344381119887</v>
      </c>
      <c r="AA2998">
        <v>1</v>
      </c>
    </row>
    <row r="2999" spans="1:27" hidden="1" x14ac:dyDescent="0.25">
      <c r="A2999" t="s">
        <v>98</v>
      </c>
      <c r="B2999" t="s">
        <v>849</v>
      </c>
      <c r="D2999" t="s">
        <v>100</v>
      </c>
      <c r="E2999" t="s">
        <v>101</v>
      </c>
      <c r="F2999" t="s">
        <v>3320</v>
      </c>
      <c r="G2999" t="s">
        <v>103</v>
      </c>
      <c r="H2999" t="s">
        <v>136</v>
      </c>
      <c r="I2999">
        <v>2020</v>
      </c>
      <c r="J2999" t="s">
        <v>3440</v>
      </c>
      <c r="K2999" t="s">
        <v>138</v>
      </c>
      <c r="L2999" t="s">
        <v>850</v>
      </c>
      <c r="M2999" t="s">
        <v>3444</v>
      </c>
      <c r="N2999">
        <v>1</v>
      </c>
      <c r="O2999">
        <v>2020</v>
      </c>
      <c r="P2999">
        <v>24.933879897565919</v>
      </c>
      <c r="Q2999">
        <v>1.1081724398918189</v>
      </c>
      <c r="R2999" t="s">
        <v>109</v>
      </c>
      <c r="S2999">
        <v>0.82525000000000004</v>
      </c>
      <c r="T2999" t="s">
        <v>110</v>
      </c>
      <c r="U2999">
        <v>0.82525000000000004</v>
      </c>
      <c r="V2999">
        <v>85.077950044753393</v>
      </c>
      <c r="W2999">
        <v>3.7812422242112609</v>
      </c>
      <c r="X2999" t="s">
        <v>111</v>
      </c>
      <c r="Y2999">
        <v>23</v>
      </c>
      <c r="Z2999">
        <v>0.31616344381119887</v>
      </c>
      <c r="AA2999">
        <v>1</v>
      </c>
    </row>
    <row r="3000" spans="1:27" hidden="1" x14ac:dyDescent="0.25">
      <c r="A3000" t="s">
        <v>98</v>
      </c>
      <c r="B3000" t="s">
        <v>1024</v>
      </c>
      <c r="D3000" t="s">
        <v>100</v>
      </c>
      <c r="E3000" t="s">
        <v>101</v>
      </c>
      <c r="F3000" t="s">
        <v>3320</v>
      </c>
      <c r="G3000" t="s">
        <v>103</v>
      </c>
      <c r="H3000" t="s">
        <v>136</v>
      </c>
      <c r="I3000">
        <v>2020</v>
      </c>
      <c r="J3000" t="s">
        <v>3440</v>
      </c>
      <c r="K3000" t="s">
        <v>138</v>
      </c>
      <c r="L3000" t="s">
        <v>1025</v>
      </c>
      <c r="M3000" t="s">
        <v>3445</v>
      </c>
      <c r="N3000">
        <v>1</v>
      </c>
      <c r="O3000">
        <v>2020</v>
      </c>
      <c r="P3000">
        <v>24.933879897565919</v>
      </c>
      <c r="Q3000">
        <v>1.1081724398918189</v>
      </c>
      <c r="R3000" t="s">
        <v>109</v>
      </c>
      <c r="S3000">
        <v>0.82525000000000004</v>
      </c>
      <c r="T3000" t="s">
        <v>110</v>
      </c>
      <c r="U3000">
        <v>0.82525000000000004</v>
      </c>
      <c r="V3000">
        <v>85.077950044753393</v>
      </c>
      <c r="W3000">
        <v>3.7812422242112609</v>
      </c>
      <c r="X3000" t="s">
        <v>111</v>
      </c>
      <c r="Y3000">
        <v>23</v>
      </c>
      <c r="Z3000">
        <v>0.31616344381119887</v>
      </c>
      <c r="AA3000">
        <v>1</v>
      </c>
    </row>
    <row r="3001" spans="1:27" hidden="1" x14ac:dyDescent="0.25">
      <c r="A3001" t="s">
        <v>98</v>
      </c>
      <c r="B3001" t="s">
        <v>1199</v>
      </c>
      <c r="D3001" t="s">
        <v>100</v>
      </c>
      <c r="E3001" t="s">
        <v>101</v>
      </c>
      <c r="F3001" t="s">
        <v>3320</v>
      </c>
      <c r="G3001" t="s">
        <v>103</v>
      </c>
      <c r="H3001" t="s">
        <v>136</v>
      </c>
      <c r="I3001">
        <v>2020</v>
      </c>
      <c r="J3001" t="s">
        <v>3440</v>
      </c>
      <c r="K3001" t="s">
        <v>138</v>
      </c>
      <c r="L3001" t="s">
        <v>1200</v>
      </c>
      <c r="M3001" t="s">
        <v>3446</v>
      </c>
      <c r="N3001">
        <v>1</v>
      </c>
      <c r="O3001">
        <v>2020</v>
      </c>
      <c r="P3001">
        <v>24.933879897565919</v>
      </c>
      <c r="Q3001">
        <v>1.1081724398918189</v>
      </c>
      <c r="R3001" t="s">
        <v>109</v>
      </c>
      <c r="S3001">
        <v>0.82525000000000004</v>
      </c>
      <c r="T3001" t="s">
        <v>110</v>
      </c>
      <c r="U3001">
        <v>0.82525000000000004</v>
      </c>
      <c r="V3001">
        <v>85.077950044753393</v>
      </c>
      <c r="W3001">
        <v>3.7812422242112609</v>
      </c>
      <c r="X3001" t="s">
        <v>111</v>
      </c>
      <c r="Y3001">
        <v>23</v>
      </c>
      <c r="Z3001">
        <v>0.31616344381119887</v>
      </c>
      <c r="AA3001">
        <v>1</v>
      </c>
    </row>
    <row r="3002" spans="1:27" hidden="1" x14ac:dyDescent="0.25">
      <c r="A3002" t="s">
        <v>98</v>
      </c>
      <c r="B3002" t="s">
        <v>1374</v>
      </c>
      <c r="D3002" t="s">
        <v>100</v>
      </c>
      <c r="E3002" t="s">
        <v>101</v>
      </c>
      <c r="F3002" t="s">
        <v>3320</v>
      </c>
      <c r="G3002" t="s">
        <v>103</v>
      </c>
      <c r="H3002" t="s">
        <v>136</v>
      </c>
      <c r="I3002">
        <v>2020</v>
      </c>
      <c r="J3002" t="s">
        <v>3440</v>
      </c>
      <c r="K3002" t="s">
        <v>138</v>
      </c>
      <c r="L3002" t="s">
        <v>1375</v>
      </c>
      <c r="M3002" t="s">
        <v>3447</v>
      </c>
      <c r="N3002">
        <v>1</v>
      </c>
      <c r="O3002">
        <v>2020</v>
      </c>
      <c r="P3002">
        <v>24.933879897565919</v>
      </c>
      <c r="Q3002">
        <v>1.1081724398918189</v>
      </c>
      <c r="R3002" t="s">
        <v>109</v>
      </c>
      <c r="S3002">
        <v>0.82525000000000004</v>
      </c>
      <c r="T3002" t="s">
        <v>110</v>
      </c>
      <c r="U3002">
        <v>0.82525000000000004</v>
      </c>
      <c r="V3002">
        <v>85.077950044753393</v>
      </c>
      <c r="W3002">
        <v>3.7812422242112609</v>
      </c>
      <c r="X3002" t="s">
        <v>111</v>
      </c>
      <c r="Y3002">
        <v>23</v>
      </c>
      <c r="Z3002">
        <v>0.31616344381119887</v>
      </c>
      <c r="AA3002">
        <v>1</v>
      </c>
    </row>
    <row r="3003" spans="1:27" hidden="1" x14ac:dyDescent="0.25">
      <c r="A3003" t="s">
        <v>98</v>
      </c>
      <c r="B3003" t="s">
        <v>1548</v>
      </c>
      <c r="D3003" t="s">
        <v>100</v>
      </c>
      <c r="E3003" t="s">
        <v>101</v>
      </c>
      <c r="F3003" t="s">
        <v>3320</v>
      </c>
      <c r="G3003" t="s">
        <v>103</v>
      </c>
      <c r="H3003" t="s">
        <v>136</v>
      </c>
      <c r="I3003">
        <v>2020</v>
      </c>
      <c r="J3003" t="s">
        <v>3440</v>
      </c>
      <c r="K3003" t="s">
        <v>138</v>
      </c>
      <c r="L3003" t="s">
        <v>1549</v>
      </c>
      <c r="M3003" t="s">
        <v>3448</v>
      </c>
      <c r="N3003">
        <v>1</v>
      </c>
      <c r="O3003">
        <v>2020</v>
      </c>
      <c r="P3003">
        <v>24.933879897565919</v>
      </c>
      <c r="Q3003">
        <v>1.1081724398918189</v>
      </c>
      <c r="R3003" t="s">
        <v>109</v>
      </c>
      <c r="S3003">
        <v>0.82525000000000004</v>
      </c>
      <c r="T3003" t="s">
        <v>110</v>
      </c>
      <c r="U3003">
        <v>0.82525000000000004</v>
      </c>
      <c r="V3003">
        <v>85.077950044753393</v>
      </c>
      <c r="W3003">
        <v>3.7812422242112609</v>
      </c>
      <c r="X3003" t="s">
        <v>111</v>
      </c>
      <c r="Y3003">
        <v>23</v>
      </c>
      <c r="Z3003">
        <v>0.31616344381119887</v>
      </c>
      <c r="AA3003">
        <v>1</v>
      </c>
    </row>
    <row r="3004" spans="1:27" hidden="1" x14ac:dyDescent="0.25">
      <c r="A3004" t="s">
        <v>98</v>
      </c>
      <c r="B3004" t="s">
        <v>99</v>
      </c>
      <c r="D3004" t="s">
        <v>1722</v>
      </c>
      <c r="E3004" t="s">
        <v>101</v>
      </c>
      <c r="F3004" t="s">
        <v>3320</v>
      </c>
      <c r="G3004" t="s">
        <v>103</v>
      </c>
      <c r="H3004" t="s">
        <v>136</v>
      </c>
      <c r="I3004">
        <v>2020</v>
      </c>
      <c r="J3004" t="s">
        <v>3440</v>
      </c>
      <c r="K3004" t="s">
        <v>138</v>
      </c>
      <c r="L3004" t="s">
        <v>1723</v>
      </c>
      <c r="M3004" t="s">
        <v>3449</v>
      </c>
      <c r="N3004">
        <v>1</v>
      </c>
      <c r="O3004">
        <v>2020</v>
      </c>
      <c r="P3004">
        <v>24.933879897565919</v>
      </c>
      <c r="Q3004">
        <v>1.1081724398918189</v>
      </c>
      <c r="R3004" t="s">
        <v>109</v>
      </c>
      <c r="S3004">
        <v>0.82525000000000004</v>
      </c>
      <c r="T3004" t="s">
        <v>110</v>
      </c>
      <c r="U3004">
        <v>0.82525000000000004</v>
      </c>
      <c r="V3004">
        <v>85.077950044753393</v>
      </c>
      <c r="W3004">
        <v>3.7812422242112609</v>
      </c>
      <c r="X3004" t="s">
        <v>111</v>
      </c>
      <c r="Y3004">
        <v>23</v>
      </c>
      <c r="Z3004">
        <v>0.31616344381119887</v>
      </c>
      <c r="AA3004">
        <v>1</v>
      </c>
    </row>
    <row r="3005" spans="1:27" hidden="1" x14ac:dyDescent="0.25">
      <c r="A3005" t="s">
        <v>98</v>
      </c>
      <c r="B3005" t="s">
        <v>499</v>
      </c>
      <c r="D3005" t="s">
        <v>1722</v>
      </c>
      <c r="E3005" t="s">
        <v>101</v>
      </c>
      <c r="F3005" t="s">
        <v>3320</v>
      </c>
      <c r="G3005" t="s">
        <v>103</v>
      </c>
      <c r="H3005" t="s">
        <v>136</v>
      </c>
      <c r="I3005">
        <v>2020</v>
      </c>
      <c r="J3005" t="s">
        <v>3440</v>
      </c>
      <c r="K3005" t="s">
        <v>138</v>
      </c>
      <c r="L3005" t="s">
        <v>1898</v>
      </c>
      <c r="M3005" t="s">
        <v>3450</v>
      </c>
      <c r="N3005">
        <v>1</v>
      </c>
      <c r="O3005">
        <v>2020</v>
      </c>
      <c r="P3005">
        <v>24.933879897565919</v>
      </c>
      <c r="Q3005">
        <v>1.1081724398918189</v>
      </c>
      <c r="R3005" t="s">
        <v>109</v>
      </c>
      <c r="S3005">
        <v>0.82525000000000004</v>
      </c>
      <c r="T3005" t="s">
        <v>110</v>
      </c>
      <c r="U3005">
        <v>0.82525000000000004</v>
      </c>
      <c r="V3005">
        <v>85.077950044753393</v>
      </c>
      <c r="W3005">
        <v>3.7812422242112609</v>
      </c>
      <c r="X3005" t="s">
        <v>111</v>
      </c>
      <c r="Y3005">
        <v>23</v>
      </c>
      <c r="Z3005">
        <v>0.31616344381119887</v>
      </c>
      <c r="AA3005">
        <v>1</v>
      </c>
    </row>
    <row r="3006" spans="1:27" hidden="1" x14ac:dyDescent="0.25">
      <c r="A3006" t="s">
        <v>98</v>
      </c>
      <c r="B3006" t="s">
        <v>674</v>
      </c>
      <c r="D3006" t="s">
        <v>1722</v>
      </c>
      <c r="E3006" t="s">
        <v>101</v>
      </c>
      <c r="F3006" t="s">
        <v>3320</v>
      </c>
      <c r="G3006" t="s">
        <v>103</v>
      </c>
      <c r="H3006" t="s">
        <v>136</v>
      </c>
      <c r="I3006">
        <v>2020</v>
      </c>
      <c r="J3006" t="s">
        <v>3440</v>
      </c>
      <c r="K3006" t="s">
        <v>138</v>
      </c>
      <c r="L3006" t="s">
        <v>2072</v>
      </c>
      <c r="M3006" t="s">
        <v>3451</v>
      </c>
      <c r="N3006">
        <v>1</v>
      </c>
      <c r="O3006">
        <v>2020</v>
      </c>
      <c r="P3006">
        <v>24.933879897565919</v>
      </c>
      <c r="Q3006">
        <v>1.1081724398918189</v>
      </c>
      <c r="R3006" t="s">
        <v>109</v>
      </c>
      <c r="S3006">
        <v>0.82525000000000004</v>
      </c>
      <c r="T3006" t="s">
        <v>110</v>
      </c>
      <c r="U3006">
        <v>0.82525000000000004</v>
      </c>
      <c r="V3006">
        <v>85.077950044753393</v>
      </c>
      <c r="W3006">
        <v>3.7812422242112609</v>
      </c>
      <c r="X3006" t="s">
        <v>111</v>
      </c>
      <c r="Y3006">
        <v>23</v>
      </c>
      <c r="Z3006">
        <v>0.31616344381119887</v>
      </c>
      <c r="AA3006">
        <v>1</v>
      </c>
    </row>
    <row r="3007" spans="1:27" hidden="1" x14ac:dyDescent="0.25">
      <c r="A3007" t="s">
        <v>98</v>
      </c>
      <c r="B3007" t="s">
        <v>849</v>
      </c>
      <c r="D3007" t="s">
        <v>1722</v>
      </c>
      <c r="E3007" t="s">
        <v>101</v>
      </c>
      <c r="F3007" t="s">
        <v>3320</v>
      </c>
      <c r="G3007" t="s">
        <v>103</v>
      </c>
      <c r="H3007" t="s">
        <v>136</v>
      </c>
      <c r="I3007">
        <v>2020</v>
      </c>
      <c r="J3007" t="s">
        <v>3440</v>
      </c>
      <c r="K3007" t="s">
        <v>138</v>
      </c>
      <c r="L3007" t="s">
        <v>2246</v>
      </c>
      <c r="M3007" t="s">
        <v>3452</v>
      </c>
      <c r="N3007">
        <v>1</v>
      </c>
      <c r="O3007">
        <v>2020</v>
      </c>
      <c r="P3007">
        <v>24.933879897565919</v>
      </c>
      <c r="Q3007">
        <v>1.1081724398918189</v>
      </c>
      <c r="R3007" t="s">
        <v>109</v>
      </c>
      <c r="S3007">
        <v>0.82525000000000004</v>
      </c>
      <c r="T3007" t="s">
        <v>110</v>
      </c>
      <c r="U3007">
        <v>0.82525000000000004</v>
      </c>
      <c r="V3007">
        <v>85.077950044753393</v>
      </c>
      <c r="W3007">
        <v>3.7812422242112609</v>
      </c>
      <c r="X3007" t="s">
        <v>111</v>
      </c>
      <c r="Y3007">
        <v>23</v>
      </c>
      <c r="Z3007">
        <v>0.31616344381119887</v>
      </c>
      <c r="AA3007">
        <v>1</v>
      </c>
    </row>
    <row r="3008" spans="1:27" hidden="1" x14ac:dyDescent="0.25">
      <c r="A3008" t="s">
        <v>98</v>
      </c>
      <c r="B3008" t="s">
        <v>1024</v>
      </c>
      <c r="D3008" t="s">
        <v>1722</v>
      </c>
      <c r="E3008" t="s">
        <v>101</v>
      </c>
      <c r="F3008" t="s">
        <v>3320</v>
      </c>
      <c r="G3008" t="s">
        <v>103</v>
      </c>
      <c r="H3008" t="s">
        <v>136</v>
      </c>
      <c r="I3008">
        <v>2020</v>
      </c>
      <c r="J3008" t="s">
        <v>3440</v>
      </c>
      <c r="K3008" t="s">
        <v>138</v>
      </c>
      <c r="L3008" t="s">
        <v>2420</v>
      </c>
      <c r="M3008" t="s">
        <v>3453</v>
      </c>
      <c r="N3008">
        <v>1</v>
      </c>
      <c r="O3008">
        <v>2020</v>
      </c>
      <c r="P3008">
        <v>24.933879897565919</v>
      </c>
      <c r="Q3008">
        <v>1.1081724398918189</v>
      </c>
      <c r="R3008" t="s">
        <v>109</v>
      </c>
      <c r="S3008">
        <v>0.82525000000000004</v>
      </c>
      <c r="T3008" t="s">
        <v>110</v>
      </c>
      <c r="U3008">
        <v>0.82525000000000004</v>
      </c>
      <c r="V3008">
        <v>85.077950044753393</v>
      </c>
      <c r="W3008">
        <v>3.7812422242112609</v>
      </c>
      <c r="X3008" t="s">
        <v>111</v>
      </c>
      <c r="Y3008">
        <v>23</v>
      </c>
      <c r="Z3008">
        <v>0.31616344381119887</v>
      </c>
      <c r="AA3008">
        <v>1</v>
      </c>
    </row>
    <row r="3009" spans="1:27" hidden="1" x14ac:dyDescent="0.25">
      <c r="A3009" t="s">
        <v>98</v>
      </c>
      <c r="B3009" t="s">
        <v>1199</v>
      </c>
      <c r="D3009" t="s">
        <v>1722</v>
      </c>
      <c r="E3009" t="s">
        <v>101</v>
      </c>
      <c r="F3009" t="s">
        <v>3320</v>
      </c>
      <c r="G3009" t="s">
        <v>103</v>
      </c>
      <c r="H3009" t="s">
        <v>136</v>
      </c>
      <c r="I3009">
        <v>2020</v>
      </c>
      <c r="J3009" t="s">
        <v>3440</v>
      </c>
      <c r="K3009" t="s">
        <v>138</v>
      </c>
      <c r="L3009" t="s">
        <v>2594</v>
      </c>
      <c r="M3009" t="s">
        <v>3454</v>
      </c>
      <c r="N3009">
        <v>1</v>
      </c>
      <c r="O3009">
        <v>2020</v>
      </c>
      <c r="P3009">
        <v>24.933879897565919</v>
      </c>
      <c r="Q3009">
        <v>1.1081724398918189</v>
      </c>
      <c r="R3009" t="s">
        <v>109</v>
      </c>
      <c r="S3009">
        <v>0.82525000000000004</v>
      </c>
      <c r="T3009" t="s">
        <v>110</v>
      </c>
      <c r="U3009">
        <v>0.82525000000000004</v>
      </c>
      <c r="V3009">
        <v>85.077950044753393</v>
      </c>
      <c r="W3009">
        <v>3.7812422242112609</v>
      </c>
      <c r="X3009" t="s">
        <v>111</v>
      </c>
      <c r="Y3009">
        <v>23</v>
      </c>
      <c r="Z3009">
        <v>0.31616344381119887</v>
      </c>
      <c r="AA3009">
        <v>1</v>
      </c>
    </row>
    <row r="3010" spans="1:27" hidden="1" x14ac:dyDescent="0.25">
      <c r="A3010" t="s">
        <v>98</v>
      </c>
      <c r="B3010" t="s">
        <v>1374</v>
      </c>
      <c r="D3010" t="s">
        <v>1722</v>
      </c>
      <c r="E3010" t="s">
        <v>101</v>
      </c>
      <c r="F3010" t="s">
        <v>3320</v>
      </c>
      <c r="G3010" t="s">
        <v>103</v>
      </c>
      <c r="H3010" t="s">
        <v>136</v>
      </c>
      <c r="I3010">
        <v>2020</v>
      </c>
      <c r="J3010" t="s">
        <v>3440</v>
      </c>
      <c r="K3010" t="s">
        <v>138</v>
      </c>
      <c r="L3010" t="s">
        <v>2768</v>
      </c>
      <c r="M3010" t="s">
        <v>3455</v>
      </c>
      <c r="N3010">
        <v>1</v>
      </c>
      <c r="O3010">
        <v>2020</v>
      </c>
      <c r="P3010">
        <v>24.933879897565919</v>
      </c>
      <c r="Q3010">
        <v>1.1081724398918189</v>
      </c>
      <c r="R3010" t="s">
        <v>109</v>
      </c>
      <c r="S3010">
        <v>0.82525000000000004</v>
      </c>
      <c r="T3010" t="s">
        <v>110</v>
      </c>
      <c r="U3010">
        <v>0.82525000000000004</v>
      </c>
      <c r="V3010">
        <v>85.077950044753393</v>
      </c>
      <c r="W3010">
        <v>3.7812422242112609</v>
      </c>
      <c r="X3010" t="s">
        <v>111</v>
      </c>
      <c r="Y3010">
        <v>23</v>
      </c>
      <c r="Z3010">
        <v>0.31616344381119887</v>
      </c>
      <c r="AA3010">
        <v>1</v>
      </c>
    </row>
    <row r="3011" spans="1:27" hidden="1" x14ac:dyDescent="0.25">
      <c r="A3011" t="s">
        <v>98</v>
      </c>
      <c r="B3011" t="s">
        <v>1548</v>
      </c>
      <c r="D3011" t="s">
        <v>1722</v>
      </c>
      <c r="E3011" t="s">
        <v>101</v>
      </c>
      <c r="F3011" t="s">
        <v>3320</v>
      </c>
      <c r="G3011" t="s">
        <v>103</v>
      </c>
      <c r="H3011" t="s">
        <v>136</v>
      </c>
      <c r="I3011">
        <v>2020</v>
      </c>
      <c r="J3011" t="s">
        <v>3440</v>
      </c>
      <c r="K3011" t="s">
        <v>138</v>
      </c>
      <c r="L3011" t="s">
        <v>2941</v>
      </c>
      <c r="M3011" t="s">
        <v>3456</v>
      </c>
      <c r="N3011">
        <v>1</v>
      </c>
      <c r="O3011">
        <v>2020</v>
      </c>
      <c r="P3011">
        <v>24.933879897565919</v>
      </c>
      <c r="Q3011">
        <v>1.1081724398918189</v>
      </c>
      <c r="R3011" t="s">
        <v>109</v>
      </c>
      <c r="S3011">
        <v>0.82525000000000004</v>
      </c>
      <c r="T3011" t="s">
        <v>110</v>
      </c>
      <c r="U3011">
        <v>0.82525000000000004</v>
      </c>
      <c r="V3011">
        <v>85.077950044753393</v>
      </c>
      <c r="W3011">
        <v>3.7812422242112609</v>
      </c>
      <c r="X3011" t="s">
        <v>111</v>
      </c>
      <c r="Y3011">
        <v>23</v>
      </c>
      <c r="Z3011">
        <v>0.31616344381119887</v>
      </c>
      <c r="AA3011">
        <v>1</v>
      </c>
    </row>
  </sheetData>
  <autoFilter ref="A2:AA3011" xr:uid="{00000000-0009-0000-0000-000004000000}">
    <filterColumn colId="4">
      <filters>
        <filter val="Water heating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37"/>
  <sheetViews>
    <sheetView workbookViewId="0">
      <selection activeCell="J2" sqref="J2:J299"/>
    </sheetView>
  </sheetViews>
  <sheetFormatPr defaultRowHeight="15" x14ac:dyDescent="0.25"/>
  <cols>
    <col min="1" max="1" width="11.5703125" bestFit="1" customWidth="1"/>
    <col min="2" max="2" width="12.42578125" bestFit="1" customWidth="1"/>
    <col min="3" max="3" width="10.140625" bestFit="1" customWidth="1"/>
    <col min="4" max="4" width="8.28515625" bestFit="1" customWidth="1"/>
    <col min="5" max="5" width="13.7109375" bestFit="1" customWidth="1"/>
    <col min="6" max="6" width="27.5703125" bestFit="1" customWidth="1"/>
    <col min="7" max="7" width="15.140625" bestFit="1" customWidth="1"/>
    <col min="8" max="8" width="10.85546875" bestFit="1" customWidth="1"/>
    <col min="9" max="9" width="19.5703125" bestFit="1" customWidth="1"/>
    <col min="10" max="10" width="25.28515625" bestFit="1" customWidth="1"/>
    <col min="11" max="11" width="15.42578125" bestFit="1" customWidth="1"/>
    <col min="12" max="12" width="17.28515625" bestFit="1" customWidth="1"/>
    <col min="13" max="13" width="23.42578125" bestFit="1" customWidth="1"/>
    <col min="14" max="14" width="20.140625" bestFit="1" customWidth="1"/>
    <col min="15" max="15" width="23.28515625" bestFit="1" customWidth="1"/>
    <col min="16" max="16" width="20.85546875" bestFit="1" customWidth="1"/>
    <col min="17" max="17" width="12.5703125" bestFit="1" customWidth="1"/>
    <col min="18" max="18" width="12" bestFit="1" customWidth="1"/>
    <col min="19" max="19" width="15.7109375" bestFit="1" customWidth="1"/>
    <col min="20" max="20" width="20.28515625" bestFit="1" customWidth="1"/>
    <col min="21" max="21" width="19.42578125" bestFit="1" customWidth="1"/>
    <col min="22" max="22" width="12" bestFit="1" customWidth="1"/>
    <col min="23" max="23" width="7" bestFit="1" customWidth="1"/>
  </cols>
  <sheetData>
    <row r="1" spans="1:2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79</v>
      </c>
      <c r="H1" t="s">
        <v>82</v>
      </c>
      <c r="I1" t="s">
        <v>83</v>
      </c>
      <c r="J1" t="s">
        <v>84</v>
      </c>
      <c r="K1" t="s">
        <v>3457</v>
      </c>
      <c r="L1" t="s">
        <v>3458</v>
      </c>
      <c r="M1" t="s">
        <v>3459</v>
      </c>
      <c r="N1" t="s">
        <v>3460</v>
      </c>
      <c r="O1" t="s">
        <v>3461</v>
      </c>
      <c r="P1" t="s">
        <v>3462</v>
      </c>
      <c r="Q1" t="s">
        <v>94</v>
      </c>
      <c r="R1" t="s">
        <v>3463</v>
      </c>
      <c r="S1" t="s">
        <v>3464</v>
      </c>
      <c r="T1" t="s">
        <v>3465</v>
      </c>
      <c r="U1" t="s">
        <v>3466</v>
      </c>
      <c r="V1" t="s">
        <v>96</v>
      </c>
      <c r="W1" t="s">
        <v>97</v>
      </c>
    </row>
    <row r="2" spans="1:25" x14ac:dyDescent="0.25">
      <c r="A2" t="s">
        <v>98</v>
      </c>
      <c r="B2" t="s">
        <v>99</v>
      </c>
      <c r="D2" t="s">
        <v>100</v>
      </c>
      <c r="E2" t="s">
        <v>101</v>
      </c>
      <c r="F2" t="s">
        <v>3467</v>
      </c>
      <c r="G2" t="s">
        <v>104</v>
      </c>
      <c r="H2" t="s">
        <v>106</v>
      </c>
      <c r="I2" t="s">
        <v>107</v>
      </c>
      <c r="J2" t="s">
        <v>3468</v>
      </c>
      <c r="K2">
        <v>11.97870118205155</v>
      </c>
      <c r="L2">
        <v>105.2394144605435</v>
      </c>
      <c r="M2">
        <v>0.79219173731012316</v>
      </c>
      <c r="N2">
        <v>83.369794574998068</v>
      </c>
      <c r="O2">
        <v>81.702398683498103</v>
      </c>
      <c r="P2">
        <v>37.362548459157473</v>
      </c>
      <c r="Q2" t="s">
        <v>111</v>
      </c>
      <c r="R2">
        <v>0.98</v>
      </c>
      <c r="S2">
        <v>15</v>
      </c>
      <c r="T2">
        <v>1</v>
      </c>
      <c r="V2">
        <v>6.9341256784461555E-2</v>
      </c>
      <c r="W2">
        <v>31.536000000000001</v>
      </c>
    </row>
    <row r="3" spans="1:25" x14ac:dyDescent="0.25">
      <c r="A3" t="s">
        <v>98</v>
      </c>
      <c r="B3" t="s">
        <v>99</v>
      </c>
      <c r="D3" t="s">
        <v>100</v>
      </c>
      <c r="E3" t="s">
        <v>101</v>
      </c>
      <c r="F3" t="s">
        <v>3469</v>
      </c>
      <c r="G3" t="s">
        <v>104</v>
      </c>
      <c r="H3" t="s">
        <v>106</v>
      </c>
      <c r="I3" t="s">
        <v>107</v>
      </c>
      <c r="J3" t="s">
        <v>3470</v>
      </c>
      <c r="K3">
        <v>11.97870118205155</v>
      </c>
      <c r="L3">
        <v>105.2394144605435</v>
      </c>
      <c r="M3">
        <v>6.6806316128497661E-2</v>
      </c>
      <c r="N3">
        <v>7.0306575916290583</v>
      </c>
      <c r="O3">
        <v>6.5884292291155901</v>
      </c>
      <c r="P3">
        <v>3.5269955744782209</v>
      </c>
      <c r="Q3" t="s">
        <v>111</v>
      </c>
      <c r="R3">
        <v>0.93709999999999993</v>
      </c>
      <c r="S3">
        <v>7.5</v>
      </c>
      <c r="T3">
        <v>1</v>
      </c>
      <c r="V3">
        <v>5.9233904875516281E-2</v>
      </c>
      <c r="W3">
        <v>31.536000000000001</v>
      </c>
    </row>
    <row r="4" spans="1:25" x14ac:dyDescent="0.25">
      <c r="A4" t="s">
        <v>98</v>
      </c>
      <c r="B4" t="s">
        <v>99</v>
      </c>
      <c r="D4" t="s">
        <v>100</v>
      </c>
      <c r="E4" t="s">
        <v>101</v>
      </c>
      <c r="F4" t="s">
        <v>3471</v>
      </c>
      <c r="G4" t="s">
        <v>104</v>
      </c>
      <c r="H4" t="s">
        <v>106</v>
      </c>
      <c r="I4" t="s">
        <v>107</v>
      </c>
      <c r="J4" t="s">
        <v>3472</v>
      </c>
      <c r="K4">
        <v>11.97870118205155</v>
      </c>
      <c r="L4">
        <v>105.2394144605435</v>
      </c>
      <c r="M4">
        <v>0.14100194656137921</v>
      </c>
      <c r="N4">
        <v>14.838962293916399</v>
      </c>
      <c r="O4">
        <v>46.000783111140827</v>
      </c>
      <c r="P4">
        <v>14.67450594805663</v>
      </c>
      <c r="Q4" t="s">
        <v>111</v>
      </c>
      <c r="R4">
        <v>3.1</v>
      </c>
      <c r="S4">
        <v>10.5</v>
      </c>
      <c r="T4">
        <v>14.33104807576899</v>
      </c>
      <c r="V4">
        <v>9.9402001587502994E-2</v>
      </c>
      <c r="W4">
        <v>31.536000000000001</v>
      </c>
    </row>
    <row r="5" spans="1:25" x14ac:dyDescent="0.25">
      <c r="A5" t="s">
        <v>98</v>
      </c>
      <c r="B5" t="s">
        <v>99</v>
      </c>
      <c r="D5" t="s">
        <v>100</v>
      </c>
      <c r="E5" t="s">
        <v>101</v>
      </c>
      <c r="F5" t="s">
        <v>3473</v>
      </c>
      <c r="G5" t="s">
        <v>104</v>
      </c>
      <c r="H5" t="s">
        <v>106</v>
      </c>
      <c r="I5" t="s">
        <v>107</v>
      </c>
      <c r="J5" t="s">
        <v>3474</v>
      </c>
      <c r="K5">
        <v>11.97870118205155</v>
      </c>
      <c r="L5">
        <v>105.2394144605435</v>
      </c>
      <c r="M5">
        <v>0</v>
      </c>
      <c r="N5">
        <v>0</v>
      </c>
      <c r="O5">
        <v>0</v>
      </c>
      <c r="P5">
        <v>0</v>
      </c>
      <c r="Q5" t="s">
        <v>111</v>
      </c>
      <c r="R5">
        <v>3.4</v>
      </c>
      <c r="S5">
        <v>7.2</v>
      </c>
      <c r="T5">
        <v>13.00195893970977</v>
      </c>
      <c r="V5">
        <v>0.1090215501282291</v>
      </c>
      <c r="W5">
        <v>31.536000000000001</v>
      </c>
    </row>
    <row r="6" spans="1:25" x14ac:dyDescent="0.25">
      <c r="A6" t="s">
        <v>98</v>
      </c>
      <c r="B6" t="s">
        <v>99</v>
      </c>
      <c r="D6" t="s">
        <v>100</v>
      </c>
      <c r="E6" t="s">
        <v>101</v>
      </c>
      <c r="F6" t="s">
        <v>3475</v>
      </c>
      <c r="G6" t="s">
        <v>131</v>
      </c>
      <c r="H6" t="s">
        <v>133</v>
      </c>
      <c r="I6" t="s">
        <v>107</v>
      </c>
      <c r="J6" t="s">
        <v>3476</v>
      </c>
      <c r="K6">
        <v>11.97870118205155</v>
      </c>
      <c r="L6">
        <v>1635.305472469759</v>
      </c>
      <c r="M6">
        <v>0.2440729034128053</v>
      </c>
      <c r="N6">
        <v>399.13375463254329</v>
      </c>
      <c r="O6">
        <v>283.58453266642198</v>
      </c>
      <c r="P6">
        <v>59.968429562402022</v>
      </c>
      <c r="Q6" t="s">
        <v>111</v>
      </c>
      <c r="R6">
        <v>0.71050000000000002</v>
      </c>
      <c r="S6">
        <v>11.5</v>
      </c>
      <c r="T6">
        <v>2.0235418398467511</v>
      </c>
      <c r="V6">
        <v>0.14995234336273569</v>
      </c>
      <c r="W6">
        <v>31.536000000000001</v>
      </c>
      <c r="Y6">
        <v>23</v>
      </c>
    </row>
    <row r="7" spans="1:25" x14ac:dyDescent="0.25">
      <c r="A7" t="s">
        <v>98</v>
      </c>
      <c r="B7" t="s">
        <v>99</v>
      </c>
      <c r="D7" t="s">
        <v>100</v>
      </c>
      <c r="E7" t="s">
        <v>101</v>
      </c>
      <c r="F7" t="s">
        <v>3477</v>
      </c>
      <c r="G7" t="s">
        <v>131</v>
      </c>
      <c r="H7" t="s">
        <v>133</v>
      </c>
      <c r="I7" t="s">
        <v>107</v>
      </c>
      <c r="J7" t="s">
        <v>3478</v>
      </c>
      <c r="K7">
        <v>11.97870118205155</v>
      </c>
      <c r="L7">
        <v>1635.305472469759</v>
      </c>
      <c r="M7">
        <v>0.73410948328387648</v>
      </c>
      <c r="N7">
        <v>1200.4932554060699</v>
      </c>
      <c r="O7">
        <v>912.3748741086132</v>
      </c>
      <c r="P7">
        <v>157.49913154228261</v>
      </c>
      <c r="Q7" t="s">
        <v>111</v>
      </c>
      <c r="R7">
        <v>0.76</v>
      </c>
      <c r="S7">
        <v>12.5</v>
      </c>
      <c r="T7">
        <v>11.357593544393531</v>
      </c>
      <c r="V7">
        <v>0.1836912825225997</v>
      </c>
      <c r="W7">
        <v>31.536000000000001</v>
      </c>
    </row>
    <row r="8" spans="1:25" x14ac:dyDescent="0.25">
      <c r="A8" t="s">
        <v>98</v>
      </c>
      <c r="B8" t="s">
        <v>99</v>
      </c>
      <c r="D8" t="s">
        <v>100</v>
      </c>
      <c r="E8" t="s">
        <v>101</v>
      </c>
      <c r="F8" t="s">
        <v>3479</v>
      </c>
      <c r="G8" t="s">
        <v>131</v>
      </c>
      <c r="H8" t="s">
        <v>133</v>
      </c>
      <c r="I8" t="s">
        <v>107</v>
      </c>
      <c r="J8" t="s">
        <v>3480</v>
      </c>
      <c r="K8">
        <v>11.97870118205155</v>
      </c>
      <c r="L8">
        <v>1635.305472469759</v>
      </c>
      <c r="M8">
        <v>2.1817613303318249E-2</v>
      </c>
      <c r="N8">
        <v>35.678462431145341</v>
      </c>
      <c r="O8">
        <v>46.382001160488947</v>
      </c>
      <c r="P8">
        <v>5.123457997452058</v>
      </c>
      <c r="Q8" t="s">
        <v>111</v>
      </c>
      <c r="R8">
        <v>1.3</v>
      </c>
      <c r="S8">
        <v>7.5</v>
      </c>
      <c r="T8">
        <v>12</v>
      </c>
      <c r="V8">
        <v>0.28706463668117438</v>
      </c>
      <c r="W8">
        <v>31.536000000000001</v>
      </c>
    </row>
    <row r="9" spans="1:25" x14ac:dyDescent="0.25">
      <c r="A9" t="s">
        <v>98</v>
      </c>
      <c r="B9" t="s">
        <v>99</v>
      </c>
      <c r="D9" t="s">
        <v>100</v>
      </c>
      <c r="E9" t="s">
        <v>101</v>
      </c>
      <c r="F9" t="s">
        <v>3481</v>
      </c>
      <c r="G9" t="s">
        <v>136</v>
      </c>
      <c r="H9" t="s">
        <v>138</v>
      </c>
      <c r="I9" t="s">
        <v>107</v>
      </c>
      <c r="J9" t="s">
        <v>3482</v>
      </c>
      <c r="K9">
        <v>11.97870118205155</v>
      </c>
      <c r="L9">
        <v>136.2464316064804</v>
      </c>
      <c r="M9">
        <v>0.96283872793830938</v>
      </c>
      <c r="N9">
        <v>131.18334089411749</v>
      </c>
      <c r="O9">
        <v>103.6348393063528</v>
      </c>
      <c r="P9">
        <v>21.245855283161589</v>
      </c>
      <c r="Q9" t="s">
        <v>111</v>
      </c>
      <c r="R9">
        <v>0.79</v>
      </c>
      <c r="S9">
        <v>12.5</v>
      </c>
      <c r="T9">
        <v>14</v>
      </c>
      <c r="V9">
        <v>0.1546767194295928</v>
      </c>
      <c r="W9">
        <v>31.536000000000001</v>
      </c>
    </row>
    <row r="10" spans="1:25" x14ac:dyDescent="0.25">
      <c r="A10" t="s">
        <v>98</v>
      </c>
      <c r="B10" t="s">
        <v>99</v>
      </c>
      <c r="D10" t="s">
        <v>100</v>
      </c>
      <c r="E10" t="s">
        <v>101</v>
      </c>
      <c r="F10" t="s">
        <v>3483</v>
      </c>
      <c r="G10" t="s">
        <v>136</v>
      </c>
      <c r="H10" t="s">
        <v>138</v>
      </c>
      <c r="I10" t="s">
        <v>107</v>
      </c>
      <c r="J10" t="s">
        <v>3484</v>
      </c>
      <c r="K10">
        <v>11.97870118205155</v>
      </c>
      <c r="L10">
        <v>136.2464316064804</v>
      </c>
      <c r="M10">
        <v>3.7161272061690592E-2</v>
      </c>
      <c r="N10">
        <v>5.0630907123629383</v>
      </c>
      <c r="O10">
        <v>3.8504804867520139</v>
      </c>
      <c r="P10">
        <v>0.8199950681787076</v>
      </c>
      <c r="Q10" t="s">
        <v>111</v>
      </c>
      <c r="R10">
        <v>0.76049999999999995</v>
      </c>
      <c r="S10">
        <v>11.5</v>
      </c>
      <c r="T10">
        <v>4</v>
      </c>
      <c r="V10">
        <v>0.14890081661544979</v>
      </c>
      <c r="W10">
        <v>31.536000000000001</v>
      </c>
    </row>
    <row r="11" spans="1:25" x14ac:dyDescent="0.25">
      <c r="A11" t="s">
        <v>98</v>
      </c>
      <c r="B11" t="s">
        <v>99</v>
      </c>
      <c r="D11" t="s">
        <v>100</v>
      </c>
      <c r="E11" t="s">
        <v>101</v>
      </c>
      <c r="F11" t="s">
        <v>3485</v>
      </c>
      <c r="G11" t="s">
        <v>3486</v>
      </c>
      <c r="H11" t="s">
        <v>3487</v>
      </c>
      <c r="I11" t="s">
        <v>107</v>
      </c>
      <c r="J11" t="s">
        <v>3488</v>
      </c>
      <c r="K11">
        <v>11.97870118205155</v>
      </c>
      <c r="L11">
        <v>0</v>
      </c>
      <c r="M11">
        <v>0.3203265438035573</v>
      </c>
      <c r="N11">
        <v>0</v>
      </c>
      <c r="O11">
        <v>0</v>
      </c>
      <c r="P11">
        <v>0</v>
      </c>
      <c r="Q11" t="s">
        <v>111</v>
      </c>
      <c r="R11">
        <v>0.71050000000000002</v>
      </c>
      <c r="S11">
        <v>11.5</v>
      </c>
      <c r="T11">
        <v>2.0235418398467511</v>
      </c>
      <c r="V11">
        <v>0.14995234336273569</v>
      </c>
      <c r="W11">
        <v>31.536000000000001</v>
      </c>
    </row>
    <row r="12" spans="1:25" x14ac:dyDescent="0.25">
      <c r="A12" t="s">
        <v>98</v>
      </c>
      <c r="B12" t="s">
        <v>99</v>
      </c>
      <c r="D12" t="s">
        <v>100</v>
      </c>
      <c r="E12" t="s">
        <v>101</v>
      </c>
      <c r="F12" t="s">
        <v>3489</v>
      </c>
      <c r="G12" t="s">
        <v>3486</v>
      </c>
      <c r="H12" t="s">
        <v>3487</v>
      </c>
      <c r="I12" t="s">
        <v>107</v>
      </c>
      <c r="J12" t="s">
        <v>3490</v>
      </c>
      <c r="K12">
        <v>11.97870118205155</v>
      </c>
      <c r="L12">
        <v>0</v>
      </c>
      <c r="M12">
        <v>0.302682216480814</v>
      </c>
      <c r="N12">
        <v>0</v>
      </c>
      <c r="O12">
        <v>0</v>
      </c>
      <c r="P12">
        <v>0</v>
      </c>
      <c r="Q12" t="s">
        <v>111</v>
      </c>
      <c r="R12">
        <v>0.76</v>
      </c>
      <c r="S12">
        <v>12.5</v>
      </c>
      <c r="T12">
        <v>11.357593544393531</v>
      </c>
      <c r="V12">
        <v>0.1836912825225997</v>
      </c>
      <c r="W12">
        <v>31.536000000000001</v>
      </c>
    </row>
    <row r="13" spans="1:25" x14ac:dyDescent="0.25">
      <c r="A13" t="s">
        <v>98</v>
      </c>
      <c r="B13" t="s">
        <v>99</v>
      </c>
      <c r="D13" t="s">
        <v>100</v>
      </c>
      <c r="E13" t="s">
        <v>101</v>
      </c>
      <c r="F13" t="s">
        <v>3491</v>
      </c>
      <c r="G13" t="s">
        <v>3486</v>
      </c>
      <c r="H13" t="s">
        <v>3487</v>
      </c>
      <c r="I13" t="s">
        <v>107</v>
      </c>
      <c r="J13" t="s">
        <v>3492</v>
      </c>
      <c r="K13">
        <v>11.97870118205155</v>
      </c>
      <c r="L13">
        <v>0</v>
      </c>
      <c r="M13">
        <v>0.37699123971562881</v>
      </c>
      <c r="N13">
        <v>0</v>
      </c>
      <c r="O13">
        <v>0</v>
      </c>
      <c r="P13">
        <v>0</v>
      </c>
      <c r="Q13" t="s">
        <v>111</v>
      </c>
      <c r="R13">
        <v>1.3</v>
      </c>
      <c r="S13">
        <v>7.5</v>
      </c>
      <c r="T13">
        <v>12</v>
      </c>
      <c r="V13">
        <v>0.28706463668117438</v>
      </c>
      <c r="W13">
        <v>31.536000000000001</v>
      </c>
    </row>
    <row r="14" spans="1:25" x14ac:dyDescent="0.25">
      <c r="A14" t="s">
        <v>98</v>
      </c>
      <c r="B14" t="s">
        <v>99</v>
      </c>
      <c r="D14" t="s">
        <v>100</v>
      </c>
      <c r="E14" t="s">
        <v>101</v>
      </c>
      <c r="F14" t="s">
        <v>3493</v>
      </c>
      <c r="G14" t="s">
        <v>3494</v>
      </c>
      <c r="H14" t="s">
        <v>3495</v>
      </c>
      <c r="I14" t="s">
        <v>107</v>
      </c>
      <c r="J14" t="s">
        <v>3496</v>
      </c>
      <c r="K14">
        <v>11.97870118205155</v>
      </c>
      <c r="L14">
        <v>68.80996788838479</v>
      </c>
      <c r="M14">
        <v>1</v>
      </c>
      <c r="N14">
        <v>68.80996788838479</v>
      </c>
      <c r="O14">
        <v>64.481820908205378</v>
      </c>
      <c r="P14">
        <v>4.991336298617207</v>
      </c>
      <c r="Q14" t="s">
        <v>111</v>
      </c>
      <c r="R14">
        <v>0.93709999999999993</v>
      </c>
      <c r="S14">
        <v>12.5</v>
      </c>
      <c r="T14">
        <v>1</v>
      </c>
      <c r="V14">
        <v>0.40965084406354613</v>
      </c>
      <c r="W14">
        <v>31.536000000000001</v>
      </c>
    </row>
    <row r="15" spans="1:25" x14ac:dyDescent="0.25">
      <c r="A15" t="s">
        <v>98</v>
      </c>
      <c r="B15" t="s">
        <v>99</v>
      </c>
      <c r="D15" t="s">
        <v>100</v>
      </c>
      <c r="E15" t="s">
        <v>142</v>
      </c>
      <c r="F15" t="s">
        <v>3497</v>
      </c>
      <c r="G15" t="s">
        <v>104</v>
      </c>
      <c r="H15" t="s">
        <v>106</v>
      </c>
      <c r="I15" t="s">
        <v>144</v>
      </c>
      <c r="J15" t="s">
        <v>3498</v>
      </c>
      <c r="K15">
        <v>11.97870118205155</v>
      </c>
      <c r="L15">
        <v>393.15303941497189</v>
      </c>
      <c r="M15">
        <v>1.5856173679604329E-2</v>
      </c>
      <c r="N15">
        <v>6.2339028756281234</v>
      </c>
      <c r="O15">
        <v>20.828397650105689</v>
      </c>
      <c r="P15">
        <v>3.282635977688209</v>
      </c>
      <c r="Q15" t="s">
        <v>111</v>
      </c>
      <c r="R15">
        <v>3.3411488862837051</v>
      </c>
      <c r="S15">
        <v>9</v>
      </c>
      <c r="T15">
        <v>8</v>
      </c>
      <c r="V15">
        <v>0.20119932923696079</v>
      </c>
      <c r="W15">
        <v>31.536000000000001</v>
      </c>
    </row>
    <row r="16" spans="1:25" x14ac:dyDescent="0.25">
      <c r="A16" t="s">
        <v>98</v>
      </c>
      <c r="B16" t="s">
        <v>99</v>
      </c>
      <c r="D16" t="s">
        <v>100</v>
      </c>
      <c r="E16" t="s">
        <v>142</v>
      </c>
      <c r="F16" t="s">
        <v>3499</v>
      </c>
      <c r="G16" t="s">
        <v>104</v>
      </c>
      <c r="H16" t="s">
        <v>106</v>
      </c>
      <c r="I16" t="s">
        <v>144</v>
      </c>
      <c r="J16" t="s">
        <v>3500</v>
      </c>
      <c r="K16">
        <v>11.97870118205155</v>
      </c>
      <c r="L16">
        <v>393.15303941497189</v>
      </c>
      <c r="M16">
        <v>0.5719281169195477</v>
      </c>
      <c r="N16">
        <v>224.85527749380159</v>
      </c>
      <c r="O16">
        <v>573.34141682182701</v>
      </c>
      <c r="P16">
        <v>57.718845869014267</v>
      </c>
      <c r="Q16" t="s">
        <v>111</v>
      </c>
      <c r="R16">
        <v>2.5498241500586158</v>
      </c>
      <c r="S16">
        <v>5</v>
      </c>
      <c r="T16">
        <v>0</v>
      </c>
      <c r="V16">
        <v>0.31498441781659092</v>
      </c>
      <c r="W16">
        <v>31.536000000000001</v>
      </c>
    </row>
    <row r="17" spans="1:23" x14ac:dyDescent="0.25">
      <c r="A17" t="s">
        <v>98</v>
      </c>
      <c r="B17" t="s">
        <v>99</v>
      </c>
      <c r="D17" t="s">
        <v>100</v>
      </c>
      <c r="E17" t="s">
        <v>142</v>
      </c>
      <c r="F17" t="s">
        <v>3501</v>
      </c>
      <c r="G17" t="s">
        <v>104</v>
      </c>
      <c r="H17" t="s">
        <v>106</v>
      </c>
      <c r="I17" t="s">
        <v>144</v>
      </c>
      <c r="J17" t="s">
        <v>3502</v>
      </c>
      <c r="K17">
        <v>11.97870118205155</v>
      </c>
      <c r="L17">
        <v>393.15303941497189</v>
      </c>
      <c r="M17">
        <v>0.27581488282654087</v>
      </c>
      <c r="N17">
        <v>108.4374594991389</v>
      </c>
      <c r="O17">
        <v>331.62992863797012</v>
      </c>
      <c r="P17">
        <v>76.852524632851996</v>
      </c>
      <c r="Q17" t="s">
        <v>111</v>
      </c>
      <c r="R17">
        <v>3.058259850145268</v>
      </c>
      <c r="S17">
        <v>9</v>
      </c>
      <c r="T17">
        <v>8</v>
      </c>
      <c r="V17">
        <v>0.13683240860256021</v>
      </c>
      <c r="W17">
        <v>31.536000000000001</v>
      </c>
    </row>
    <row r="18" spans="1:23" x14ac:dyDescent="0.25">
      <c r="A18" t="s">
        <v>98</v>
      </c>
      <c r="B18" t="s">
        <v>99</v>
      </c>
      <c r="D18" t="s">
        <v>100</v>
      </c>
      <c r="E18" t="s">
        <v>142</v>
      </c>
      <c r="F18" t="s">
        <v>3503</v>
      </c>
      <c r="G18" t="s">
        <v>104</v>
      </c>
      <c r="H18" t="s">
        <v>106</v>
      </c>
      <c r="I18" t="s">
        <v>144</v>
      </c>
      <c r="J18" t="s">
        <v>3504</v>
      </c>
      <c r="K18">
        <v>11.97870118205155</v>
      </c>
      <c r="L18">
        <v>393.15303941497189</v>
      </c>
      <c r="M18">
        <v>0.12372108408964259</v>
      </c>
      <c r="N18">
        <v>48.641320249558312</v>
      </c>
      <c r="O18">
        <v>132.58038637775269</v>
      </c>
      <c r="P18">
        <v>13.2756699379505</v>
      </c>
      <c r="Q18" t="s">
        <v>111</v>
      </c>
      <c r="R18">
        <v>2.7256740914419701</v>
      </c>
      <c r="S18">
        <v>10.5</v>
      </c>
      <c r="T18">
        <v>14</v>
      </c>
      <c r="V18">
        <v>0.31667678488658668</v>
      </c>
      <c r="W18">
        <v>31.536000000000001</v>
      </c>
    </row>
    <row r="19" spans="1:23" x14ac:dyDescent="0.25">
      <c r="A19" t="s">
        <v>98</v>
      </c>
      <c r="B19" t="s">
        <v>99</v>
      </c>
      <c r="D19" t="s">
        <v>100</v>
      </c>
      <c r="E19" t="s">
        <v>142</v>
      </c>
      <c r="F19" t="s">
        <v>3505</v>
      </c>
      <c r="G19" t="s">
        <v>104</v>
      </c>
      <c r="H19" t="s">
        <v>106</v>
      </c>
      <c r="I19" t="s">
        <v>144</v>
      </c>
      <c r="J19" t="s">
        <v>3506</v>
      </c>
      <c r="K19">
        <v>11.97870118205155</v>
      </c>
      <c r="L19">
        <v>393.15303941497189</v>
      </c>
      <c r="M19">
        <v>0</v>
      </c>
      <c r="N19">
        <v>0</v>
      </c>
      <c r="O19">
        <v>0</v>
      </c>
      <c r="P19">
        <v>0</v>
      </c>
      <c r="Q19" t="s">
        <v>111</v>
      </c>
      <c r="R19">
        <v>2.6963657678780768</v>
      </c>
      <c r="S19">
        <v>10.5</v>
      </c>
      <c r="T19">
        <v>14</v>
      </c>
      <c r="V19">
        <v>0.2095667041053263</v>
      </c>
      <c r="W19">
        <v>31.536000000000001</v>
      </c>
    </row>
    <row r="20" spans="1:23" x14ac:dyDescent="0.25">
      <c r="A20" t="s">
        <v>98</v>
      </c>
      <c r="B20" t="s">
        <v>99</v>
      </c>
      <c r="D20" t="s">
        <v>100</v>
      </c>
      <c r="E20" t="s">
        <v>142</v>
      </c>
      <c r="F20" t="s">
        <v>3507</v>
      </c>
      <c r="G20" t="s">
        <v>104</v>
      </c>
      <c r="H20" t="s">
        <v>106</v>
      </c>
      <c r="I20" t="s">
        <v>144</v>
      </c>
      <c r="J20" t="s">
        <v>3508</v>
      </c>
      <c r="K20">
        <v>11.97870118205155</v>
      </c>
      <c r="L20">
        <v>393.15303941497189</v>
      </c>
      <c r="M20">
        <v>1.2679742484664429E-2</v>
      </c>
      <c r="N20">
        <v>4.9850792968449671</v>
      </c>
      <c r="O20">
        <v>2.9910475781069801</v>
      </c>
      <c r="P20">
        <v>0.69800901805899351</v>
      </c>
      <c r="Q20" t="s">
        <v>111</v>
      </c>
      <c r="R20">
        <v>0.6</v>
      </c>
      <c r="S20">
        <v>7.5</v>
      </c>
      <c r="T20">
        <v>12</v>
      </c>
      <c r="V20">
        <v>0.13588004461469461</v>
      </c>
      <c r="W20">
        <v>31.536000000000001</v>
      </c>
    </row>
    <row r="21" spans="1:23" x14ac:dyDescent="0.25">
      <c r="A21" t="s">
        <v>98</v>
      </c>
      <c r="B21" t="s">
        <v>99</v>
      </c>
      <c r="D21" t="s">
        <v>100</v>
      </c>
      <c r="E21" t="s">
        <v>142</v>
      </c>
      <c r="F21" t="s">
        <v>3509</v>
      </c>
      <c r="G21" t="s">
        <v>104</v>
      </c>
      <c r="H21" t="s">
        <v>106</v>
      </c>
      <c r="I21" t="s">
        <v>144</v>
      </c>
      <c r="J21" t="s">
        <v>3510</v>
      </c>
      <c r="K21">
        <v>11.97870118205155</v>
      </c>
      <c r="L21">
        <v>393.15303941497189</v>
      </c>
      <c r="M21">
        <v>0</v>
      </c>
      <c r="N21">
        <v>0</v>
      </c>
      <c r="O21">
        <v>0</v>
      </c>
      <c r="P21">
        <v>0</v>
      </c>
      <c r="Q21" t="s">
        <v>111</v>
      </c>
      <c r="R21">
        <v>1</v>
      </c>
      <c r="S21">
        <v>11.5</v>
      </c>
      <c r="T21">
        <v>10</v>
      </c>
      <c r="V21">
        <v>0</v>
      </c>
      <c r="W21">
        <v>31.536000000000001</v>
      </c>
    </row>
    <row r="22" spans="1:23" x14ac:dyDescent="0.25">
      <c r="A22" t="s">
        <v>98</v>
      </c>
      <c r="B22" t="s">
        <v>99</v>
      </c>
      <c r="D22" t="s">
        <v>100</v>
      </c>
      <c r="E22" t="s">
        <v>142</v>
      </c>
      <c r="F22" t="s">
        <v>3511</v>
      </c>
      <c r="G22" t="s">
        <v>104</v>
      </c>
      <c r="H22" t="s">
        <v>106</v>
      </c>
      <c r="I22" t="s">
        <v>144</v>
      </c>
      <c r="J22" t="s">
        <v>3512</v>
      </c>
      <c r="K22">
        <v>11.97870118205155</v>
      </c>
      <c r="L22">
        <v>393.15303941497189</v>
      </c>
      <c r="M22">
        <v>0</v>
      </c>
      <c r="N22">
        <v>0</v>
      </c>
      <c r="O22">
        <v>0</v>
      </c>
      <c r="P22">
        <v>0</v>
      </c>
      <c r="Q22" t="s">
        <v>111</v>
      </c>
      <c r="R22">
        <v>1</v>
      </c>
      <c r="S22">
        <v>12.5</v>
      </c>
      <c r="T22">
        <v>1</v>
      </c>
      <c r="V22">
        <v>0</v>
      </c>
      <c r="W22">
        <v>31.536000000000001</v>
      </c>
    </row>
    <row r="23" spans="1:23" x14ac:dyDescent="0.25">
      <c r="A23" t="s">
        <v>98</v>
      </c>
      <c r="B23" t="s">
        <v>99</v>
      </c>
      <c r="D23" t="s">
        <v>100</v>
      </c>
      <c r="E23" t="s">
        <v>243</v>
      </c>
      <c r="F23" t="s">
        <v>104</v>
      </c>
      <c r="G23" t="s">
        <v>104</v>
      </c>
      <c r="H23" t="s">
        <v>106</v>
      </c>
      <c r="I23" t="s">
        <v>247</v>
      </c>
      <c r="J23" t="s">
        <v>3513</v>
      </c>
      <c r="K23">
        <v>11.97870118205155</v>
      </c>
      <c r="L23">
        <v>1270.722771772442</v>
      </c>
      <c r="M23">
        <v>1</v>
      </c>
      <c r="N23">
        <v>1270.722771772442</v>
      </c>
      <c r="O23">
        <v>1270.722771772442</v>
      </c>
      <c r="P23">
        <v>91.578079004402014</v>
      </c>
      <c r="Q23" t="s">
        <v>111</v>
      </c>
      <c r="R23">
        <v>1</v>
      </c>
      <c r="S23">
        <v>10</v>
      </c>
      <c r="T23">
        <v>97</v>
      </c>
      <c r="V23">
        <v>0.44</v>
      </c>
      <c r="W23">
        <v>31.536000000000001</v>
      </c>
    </row>
    <row r="24" spans="1:23" x14ac:dyDescent="0.25">
      <c r="A24" t="s">
        <v>98</v>
      </c>
      <c r="B24" t="s">
        <v>99</v>
      </c>
      <c r="D24" t="s">
        <v>100</v>
      </c>
      <c r="E24" t="s">
        <v>226</v>
      </c>
      <c r="F24" t="s">
        <v>136</v>
      </c>
      <c r="G24" t="s">
        <v>136</v>
      </c>
      <c r="H24" t="s">
        <v>138</v>
      </c>
      <c r="I24" t="s">
        <v>230</v>
      </c>
      <c r="J24" t="s">
        <v>3514</v>
      </c>
      <c r="K24">
        <v>11.97870118205155</v>
      </c>
      <c r="L24">
        <v>226.6521805173256</v>
      </c>
      <c r="M24">
        <v>1</v>
      </c>
      <c r="N24">
        <v>226.6521805173256</v>
      </c>
      <c r="O24">
        <v>176.78870080351399</v>
      </c>
      <c r="P24">
        <v>12.74075665354415</v>
      </c>
      <c r="Q24" t="s">
        <v>111</v>
      </c>
      <c r="R24">
        <v>0.78</v>
      </c>
      <c r="S24">
        <v>6.5</v>
      </c>
      <c r="T24">
        <v>6</v>
      </c>
      <c r="V24">
        <v>0.44</v>
      </c>
      <c r="W24">
        <v>31.536000000000001</v>
      </c>
    </row>
    <row r="25" spans="1:23" x14ac:dyDescent="0.25">
      <c r="A25" t="s">
        <v>98</v>
      </c>
      <c r="B25" t="s">
        <v>99</v>
      </c>
      <c r="D25" t="s">
        <v>100</v>
      </c>
      <c r="E25" t="s">
        <v>226</v>
      </c>
      <c r="F25" t="s">
        <v>131</v>
      </c>
      <c r="G25" t="s">
        <v>131</v>
      </c>
      <c r="H25" t="s">
        <v>133</v>
      </c>
      <c r="I25" t="s">
        <v>230</v>
      </c>
      <c r="J25" t="s">
        <v>3515</v>
      </c>
      <c r="K25">
        <v>11.97870118205155</v>
      </c>
      <c r="L25">
        <v>1577.4851295509079</v>
      </c>
      <c r="M25">
        <v>1</v>
      </c>
      <c r="N25">
        <v>1577.4851295509079</v>
      </c>
      <c r="O25">
        <v>1214.663549754199</v>
      </c>
      <c r="P25">
        <v>87.538019302197171</v>
      </c>
      <c r="Q25" t="s">
        <v>111</v>
      </c>
      <c r="R25">
        <v>0.77</v>
      </c>
      <c r="S25">
        <v>5</v>
      </c>
      <c r="T25">
        <v>7</v>
      </c>
      <c r="V25">
        <v>0.44</v>
      </c>
      <c r="W25">
        <v>31.536000000000001</v>
      </c>
    </row>
    <row r="26" spans="1:23" x14ac:dyDescent="0.25">
      <c r="A26" t="s">
        <v>98</v>
      </c>
      <c r="B26" t="s">
        <v>99</v>
      </c>
      <c r="D26" t="s">
        <v>100</v>
      </c>
      <c r="E26" t="s">
        <v>226</v>
      </c>
      <c r="F26" t="s">
        <v>3494</v>
      </c>
      <c r="G26" t="s">
        <v>3494</v>
      </c>
      <c r="H26" t="s">
        <v>3495</v>
      </c>
      <c r="I26" t="s">
        <v>230</v>
      </c>
      <c r="J26" t="s">
        <v>3516</v>
      </c>
      <c r="K26">
        <v>11.97870118205155</v>
      </c>
      <c r="L26">
        <v>55.457347435232663</v>
      </c>
      <c r="M26">
        <v>1</v>
      </c>
      <c r="N26">
        <v>55.457347435232663</v>
      </c>
      <c r="O26">
        <v>54.057049412493022</v>
      </c>
      <c r="P26">
        <v>3.8957677093778131</v>
      </c>
      <c r="Q26" t="s">
        <v>111</v>
      </c>
      <c r="R26">
        <v>0.97474999999999989</v>
      </c>
      <c r="S26">
        <v>12.5</v>
      </c>
      <c r="T26">
        <v>1</v>
      </c>
      <c r="V26">
        <v>0.44</v>
      </c>
      <c r="W26">
        <v>31.536000000000001</v>
      </c>
    </row>
    <row r="27" spans="1:23" x14ac:dyDescent="0.25">
      <c r="A27" t="s">
        <v>98</v>
      </c>
      <c r="B27" t="s">
        <v>99</v>
      </c>
      <c r="D27" t="s">
        <v>100</v>
      </c>
      <c r="E27" t="s">
        <v>226</v>
      </c>
      <c r="F27" t="s">
        <v>104</v>
      </c>
      <c r="G27" t="s">
        <v>104</v>
      </c>
      <c r="H27" t="s">
        <v>106</v>
      </c>
      <c r="I27" t="s">
        <v>230</v>
      </c>
      <c r="J27" t="s">
        <v>3517</v>
      </c>
      <c r="K27">
        <v>11.97870118205155</v>
      </c>
      <c r="L27">
        <v>113.5890034266563</v>
      </c>
      <c r="M27">
        <v>1</v>
      </c>
      <c r="N27">
        <v>113.5890034266563</v>
      </c>
      <c r="O27">
        <v>110.7208810901332</v>
      </c>
      <c r="P27">
        <v>7.9794002446074073</v>
      </c>
      <c r="Q27" t="s">
        <v>111</v>
      </c>
      <c r="R27">
        <v>0.97474999999999989</v>
      </c>
      <c r="S27">
        <v>7.5</v>
      </c>
      <c r="T27">
        <v>2</v>
      </c>
      <c r="V27">
        <v>0.44</v>
      </c>
      <c r="W27">
        <v>31.536000000000001</v>
      </c>
    </row>
    <row r="28" spans="1:23" x14ac:dyDescent="0.25">
      <c r="A28" t="s">
        <v>98</v>
      </c>
      <c r="B28" t="s">
        <v>99</v>
      </c>
      <c r="D28" t="s">
        <v>100</v>
      </c>
      <c r="E28" t="s">
        <v>284</v>
      </c>
      <c r="F28" t="s">
        <v>3518</v>
      </c>
      <c r="G28" t="s">
        <v>104</v>
      </c>
      <c r="H28" t="s">
        <v>106</v>
      </c>
      <c r="I28" t="s">
        <v>287</v>
      </c>
      <c r="J28" t="s">
        <v>3519</v>
      </c>
      <c r="K28">
        <v>11.97870118205155</v>
      </c>
      <c r="L28">
        <v>477.6463435327546</v>
      </c>
      <c r="M28">
        <v>0.25615101850229383</v>
      </c>
      <c r="N28">
        <v>122.3495973798116</v>
      </c>
      <c r="O28">
        <v>291.45354881428761</v>
      </c>
      <c r="P28">
        <v>505.96087513479392</v>
      </c>
      <c r="Q28" t="s">
        <v>291</v>
      </c>
      <c r="R28">
        <v>2.382137375650891</v>
      </c>
      <c r="S28">
        <v>5</v>
      </c>
      <c r="T28">
        <v>1</v>
      </c>
      <c r="V28">
        <v>0.57603969622481366</v>
      </c>
      <c r="W28">
        <v>1</v>
      </c>
    </row>
    <row r="29" spans="1:23" x14ac:dyDescent="0.25">
      <c r="A29" t="s">
        <v>98</v>
      </c>
      <c r="B29" t="s">
        <v>99</v>
      </c>
      <c r="D29" t="s">
        <v>100</v>
      </c>
      <c r="E29" t="s">
        <v>284</v>
      </c>
      <c r="F29" t="s">
        <v>3520</v>
      </c>
      <c r="G29" t="s">
        <v>104</v>
      </c>
      <c r="H29" t="s">
        <v>106</v>
      </c>
      <c r="I29" t="s">
        <v>287</v>
      </c>
      <c r="J29" t="s">
        <v>3521</v>
      </c>
      <c r="K29">
        <v>11.97870118205155</v>
      </c>
      <c r="L29">
        <v>477.6463435327546</v>
      </c>
      <c r="M29">
        <v>0.1839083861435645</v>
      </c>
      <c r="N29">
        <v>87.84316818648351</v>
      </c>
      <c r="O29">
        <v>120.79156894452611</v>
      </c>
      <c r="P29">
        <v>305.40394193044671</v>
      </c>
      <c r="Q29" t="s">
        <v>291</v>
      </c>
      <c r="R29">
        <v>1.3750821086973539</v>
      </c>
      <c r="S29">
        <v>5</v>
      </c>
      <c r="T29">
        <v>5</v>
      </c>
      <c r="V29">
        <v>0.39551411216570148</v>
      </c>
      <c r="W29">
        <v>1</v>
      </c>
    </row>
    <row r="30" spans="1:23" x14ac:dyDescent="0.25">
      <c r="A30" t="s">
        <v>98</v>
      </c>
      <c r="B30" t="s">
        <v>99</v>
      </c>
      <c r="D30" t="s">
        <v>100</v>
      </c>
      <c r="E30" t="s">
        <v>284</v>
      </c>
      <c r="F30" t="s">
        <v>3522</v>
      </c>
      <c r="G30" t="s">
        <v>104</v>
      </c>
      <c r="H30" t="s">
        <v>106</v>
      </c>
      <c r="I30" t="s">
        <v>287</v>
      </c>
      <c r="J30" t="s">
        <v>3523</v>
      </c>
      <c r="K30">
        <v>11.97870118205155</v>
      </c>
      <c r="L30">
        <v>477.6463435327546</v>
      </c>
      <c r="M30">
        <v>0.1146277558053765</v>
      </c>
      <c r="N30">
        <v>54.751528427803578</v>
      </c>
      <c r="O30">
        <v>18.31821098902854</v>
      </c>
      <c r="P30">
        <v>63.773581238575332</v>
      </c>
      <c r="Q30" t="s">
        <v>291</v>
      </c>
      <c r="R30">
        <v>0.33456985613074319</v>
      </c>
      <c r="S30">
        <v>0.5</v>
      </c>
      <c r="T30">
        <v>1</v>
      </c>
      <c r="V30">
        <v>0.28723823616711408</v>
      </c>
      <c r="W30">
        <v>1</v>
      </c>
    </row>
    <row r="31" spans="1:23" x14ac:dyDescent="0.25">
      <c r="A31" t="s">
        <v>98</v>
      </c>
      <c r="B31" t="s">
        <v>99</v>
      </c>
      <c r="D31" t="s">
        <v>100</v>
      </c>
      <c r="E31" t="s">
        <v>284</v>
      </c>
      <c r="F31" t="s">
        <v>285</v>
      </c>
      <c r="G31" t="s">
        <v>104</v>
      </c>
      <c r="H31" t="s">
        <v>106</v>
      </c>
      <c r="I31" t="s">
        <v>287</v>
      </c>
      <c r="J31" t="s">
        <v>3524</v>
      </c>
      <c r="K31">
        <v>11.97870118205155</v>
      </c>
      <c r="L31">
        <v>477.6463435327546</v>
      </c>
      <c r="M31">
        <v>3.4900365064600952E-2</v>
      </c>
      <c r="N31">
        <v>16.67003176106493</v>
      </c>
      <c r="O31">
        <v>7.529341672792456</v>
      </c>
      <c r="P31">
        <v>33.313501843189123</v>
      </c>
      <c r="Q31" t="s">
        <v>291</v>
      </c>
      <c r="R31">
        <v>0.45166930577650322</v>
      </c>
      <c r="S31">
        <v>5</v>
      </c>
      <c r="T31">
        <v>37</v>
      </c>
      <c r="V31">
        <v>0.22601471644242091</v>
      </c>
      <c r="W31">
        <v>1</v>
      </c>
    </row>
    <row r="32" spans="1:23" x14ac:dyDescent="0.25">
      <c r="A32" t="s">
        <v>98</v>
      </c>
      <c r="B32" t="s">
        <v>99</v>
      </c>
      <c r="D32" t="s">
        <v>100</v>
      </c>
      <c r="E32" t="s">
        <v>284</v>
      </c>
      <c r="F32" t="s">
        <v>3525</v>
      </c>
      <c r="G32" t="s">
        <v>104</v>
      </c>
      <c r="H32" t="s">
        <v>106</v>
      </c>
      <c r="I32" t="s">
        <v>287</v>
      </c>
      <c r="J32" t="s">
        <v>3526</v>
      </c>
      <c r="K32">
        <v>11.97870118205155</v>
      </c>
      <c r="L32">
        <v>477.6463435327546</v>
      </c>
      <c r="M32">
        <v>2.0880764685742279E-2</v>
      </c>
      <c r="N32">
        <v>9.9736209023126694</v>
      </c>
      <c r="O32">
        <v>18.875149253006029</v>
      </c>
      <c r="P32">
        <v>29.522884265579361</v>
      </c>
      <c r="Q32" t="s">
        <v>291</v>
      </c>
      <c r="R32">
        <v>1.892507188500546</v>
      </c>
      <c r="S32">
        <v>0.5</v>
      </c>
      <c r="T32">
        <v>1</v>
      </c>
      <c r="V32">
        <v>0.63933960798716749</v>
      </c>
      <c r="W32">
        <v>1</v>
      </c>
    </row>
    <row r="33" spans="1:23" x14ac:dyDescent="0.25">
      <c r="A33" t="s">
        <v>98</v>
      </c>
      <c r="B33" t="s">
        <v>99</v>
      </c>
      <c r="D33" t="s">
        <v>100</v>
      </c>
      <c r="E33" t="s">
        <v>284</v>
      </c>
      <c r="F33" t="s">
        <v>3527</v>
      </c>
      <c r="G33" t="s">
        <v>104</v>
      </c>
      <c r="H33" t="s">
        <v>106</v>
      </c>
      <c r="I33" t="s">
        <v>287</v>
      </c>
      <c r="J33" t="s">
        <v>3528</v>
      </c>
      <c r="K33">
        <v>11.97870118205155</v>
      </c>
      <c r="L33">
        <v>477.6463435327546</v>
      </c>
      <c r="M33">
        <v>0.38953170979842239</v>
      </c>
      <c r="N33">
        <v>186.0583968752785</v>
      </c>
      <c r="O33">
        <v>352.11685356735211</v>
      </c>
      <c r="P33">
        <v>942.3928948045733</v>
      </c>
      <c r="Q33" t="s">
        <v>291</v>
      </c>
      <c r="R33">
        <v>1.892507188500546</v>
      </c>
      <c r="S33">
        <v>5</v>
      </c>
      <c r="T33">
        <v>2</v>
      </c>
      <c r="V33">
        <v>0.37364124401677667</v>
      </c>
      <c r="W33">
        <v>1</v>
      </c>
    </row>
    <row r="34" spans="1:23" x14ac:dyDescent="0.25">
      <c r="A34" t="s">
        <v>98</v>
      </c>
      <c r="B34" t="s">
        <v>99</v>
      </c>
      <c r="D34" t="s">
        <v>100</v>
      </c>
      <c r="E34" t="s">
        <v>284</v>
      </c>
      <c r="F34" t="s">
        <v>3529</v>
      </c>
      <c r="G34" t="s">
        <v>104</v>
      </c>
      <c r="H34" t="s">
        <v>106</v>
      </c>
      <c r="I34" t="s">
        <v>287</v>
      </c>
      <c r="J34" t="s">
        <v>3530</v>
      </c>
      <c r="K34">
        <v>11.97870118205155</v>
      </c>
      <c r="L34">
        <v>477.6463435327546</v>
      </c>
      <c r="M34">
        <v>0</v>
      </c>
      <c r="N34">
        <v>0</v>
      </c>
      <c r="O34">
        <v>0</v>
      </c>
      <c r="P34">
        <v>0</v>
      </c>
      <c r="Q34" t="s">
        <v>291</v>
      </c>
      <c r="R34">
        <v>0.96356118565654036</v>
      </c>
      <c r="S34">
        <v>0.5</v>
      </c>
      <c r="T34">
        <v>1</v>
      </c>
      <c r="V34">
        <v>0</v>
      </c>
      <c r="W34">
        <v>1</v>
      </c>
    </row>
    <row r="35" spans="1:23" x14ac:dyDescent="0.25">
      <c r="A35" t="s">
        <v>98</v>
      </c>
      <c r="B35" t="s">
        <v>99</v>
      </c>
      <c r="D35" t="s">
        <v>100</v>
      </c>
      <c r="E35" t="s">
        <v>3114</v>
      </c>
      <c r="F35" t="s">
        <v>136</v>
      </c>
      <c r="G35" t="s">
        <v>136</v>
      </c>
      <c r="H35" t="s">
        <v>138</v>
      </c>
      <c r="I35" t="s">
        <v>3117</v>
      </c>
      <c r="J35" t="s">
        <v>3531</v>
      </c>
      <c r="K35">
        <v>11.97870118205155</v>
      </c>
      <c r="L35">
        <v>0</v>
      </c>
      <c r="M35">
        <v>1</v>
      </c>
      <c r="N35">
        <v>0</v>
      </c>
      <c r="O35">
        <v>0</v>
      </c>
      <c r="P35">
        <v>0</v>
      </c>
      <c r="Q35" t="s">
        <v>111</v>
      </c>
      <c r="R35">
        <v>0.45</v>
      </c>
      <c r="S35">
        <v>6</v>
      </c>
      <c r="T35">
        <v>8</v>
      </c>
      <c r="V35">
        <v>0.44</v>
      </c>
      <c r="W35">
        <v>31.536000000000001</v>
      </c>
    </row>
    <row r="36" spans="1:23" x14ac:dyDescent="0.25">
      <c r="A36" t="s">
        <v>98</v>
      </c>
      <c r="B36" t="s">
        <v>99</v>
      </c>
      <c r="D36" t="s">
        <v>100</v>
      </c>
      <c r="E36" t="s">
        <v>3114</v>
      </c>
      <c r="F36" t="s">
        <v>131</v>
      </c>
      <c r="G36" t="s">
        <v>131</v>
      </c>
      <c r="H36" t="s">
        <v>133</v>
      </c>
      <c r="I36" t="s">
        <v>3117</v>
      </c>
      <c r="J36" t="s">
        <v>3532</v>
      </c>
      <c r="K36">
        <v>11.97870118205155</v>
      </c>
      <c r="L36">
        <v>2326.6603646478229</v>
      </c>
      <c r="M36">
        <v>1</v>
      </c>
      <c r="N36">
        <v>2326.6603646478229</v>
      </c>
      <c r="O36">
        <v>1046.9971640915201</v>
      </c>
      <c r="P36">
        <v>75.454687002121702</v>
      </c>
      <c r="Q36" t="s">
        <v>111</v>
      </c>
      <c r="R36">
        <v>0.45</v>
      </c>
      <c r="S36">
        <v>6</v>
      </c>
      <c r="T36">
        <v>8</v>
      </c>
      <c r="V36">
        <v>0.44</v>
      </c>
      <c r="W36">
        <v>31.536000000000001</v>
      </c>
    </row>
    <row r="37" spans="1:23" x14ac:dyDescent="0.25">
      <c r="A37" t="s">
        <v>98</v>
      </c>
      <c r="B37" t="s">
        <v>99</v>
      </c>
      <c r="D37" t="s">
        <v>100</v>
      </c>
      <c r="E37" t="s">
        <v>3114</v>
      </c>
      <c r="F37" t="s">
        <v>3494</v>
      </c>
      <c r="G37" t="s">
        <v>3494</v>
      </c>
      <c r="H37" t="s">
        <v>3495</v>
      </c>
      <c r="I37" t="s">
        <v>3117</v>
      </c>
      <c r="J37" t="s">
        <v>3533</v>
      </c>
      <c r="K37">
        <v>11.97870118205155</v>
      </c>
      <c r="L37">
        <v>1.791541027850889</v>
      </c>
      <c r="M37">
        <v>1</v>
      </c>
      <c r="N37">
        <v>1.791541027850889</v>
      </c>
      <c r="O37">
        <v>1.254078719495622</v>
      </c>
      <c r="P37">
        <v>9.0378580287436477E-2</v>
      </c>
      <c r="Q37" t="s">
        <v>111</v>
      </c>
      <c r="R37">
        <v>0.7</v>
      </c>
      <c r="S37">
        <v>6</v>
      </c>
      <c r="T37">
        <v>8</v>
      </c>
      <c r="V37">
        <v>0.44</v>
      </c>
      <c r="W37">
        <v>31.536000000000001</v>
      </c>
    </row>
    <row r="38" spans="1:23" x14ac:dyDescent="0.25">
      <c r="A38" t="s">
        <v>98</v>
      </c>
      <c r="B38" t="s">
        <v>99</v>
      </c>
      <c r="D38" t="s">
        <v>100</v>
      </c>
      <c r="E38" t="s">
        <v>3114</v>
      </c>
      <c r="F38" t="s">
        <v>104</v>
      </c>
      <c r="G38" t="s">
        <v>104</v>
      </c>
      <c r="H38" t="s">
        <v>106</v>
      </c>
      <c r="I38" t="s">
        <v>3117</v>
      </c>
      <c r="J38" t="s">
        <v>3534</v>
      </c>
      <c r="K38">
        <v>11.97870118205155</v>
      </c>
      <c r="L38">
        <v>228.2483362996168</v>
      </c>
      <c r="M38">
        <v>1</v>
      </c>
      <c r="N38">
        <v>228.2483362996168</v>
      </c>
      <c r="O38">
        <v>159.77383540973179</v>
      </c>
      <c r="P38">
        <v>11.5145342847519</v>
      </c>
      <c r="Q38" t="s">
        <v>111</v>
      </c>
      <c r="R38">
        <v>0.7</v>
      </c>
      <c r="S38">
        <v>6</v>
      </c>
      <c r="T38">
        <v>8</v>
      </c>
      <c r="V38">
        <v>0.44</v>
      </c>
      <c r="W38">
        <v>31.536000000000001</v>
      </c>
    </row>
    <row r="39" spans="1:23" x14ac:dyDescent="0.25">
      <c r="A39" t="s">
        <v>98</v>
      </c>
      <c r="B39" t="s">
        <v>99</v>
      </c>
      <c r="D39" t="s">
        <v>100</v>
      </c>
      <c r="E39" t="s">
        <v>439</v>
      </c>
      <c r="F39" t="s">
        <v>104</v>
      </c>
      <c r="G39" t="s">
        <v>104</v>
      </c>
      <c r="H39" t="s">
        <v>106</v>
      </c>
      <c r="I39" t="s">
        <v>442</v>
      </c>
      <c r="J39" t="s">
        <v>3535</v>
      </c>
      <c r="K39">
        <v>11.97870118205155</v>
      </c>
      <c r="L39">
        <v>360.51088061433882</v>
      </c>
      <c r="M39">
        <v>1</v>
      </c>
      <c r="N39">
        <v>360.51088061433882</v>
      </c>
      <c r="O39">
        <v>360.51088061433882</v>
      </c>
      <c r="P39">
        <v>25.981193254919251</v>
      </c>
      <c r="Q39" t="s">
        <v>111</v>
      </c>
      <c r="R39">
        <v>1</v>
      </c>
      <c r="S39">
        <v>5</v>
      </c>
      <c r="T39">
        <v>500</v>
      </c>
      <c r="V39">
        <v>0.44</v>
      </c>
      <c r="W39">
        <v>31.536000000000001</v>
      </c>
    </row>
    <row r="40" spans="1:23" x14ac:dyDescent="0.25">
      <c r="A40" t="s">
        <v>98</v>
      </c>
      <c r="B40" t="s">
        <v>99</v>
      </c>
      <c r="D40" t="s">
        <v>100</v>
      </c>
      <c r="E40" t="s">
        <v>3149</v>
      </c>
      <c r="F40" t="s">
        <v>136</v>
      </c>
      <c r="G40" t="s">
        <v>136</v>
      </c>
      <c r="H40" t="s">
        <v>138</v>
      </c>
      <c r="I40" t="s">
        <v>3150</v>
      </c>
      <c r="J40" t="s">
        <v>3536</v>
      </c>
      <c r="K40">
        <v>11.97870118205155</v>
      </c>
      <c r="L40">
        <v>173.34412631293091</v>
      </c>
      <c r="M40">
        <v>1</v>
      </c>
      <c r="N40">
        <v>173.34412631293091</v>
      </c>
      <c r="O40">
        <v>173.34412631293091</v>
      </c>
      <c r="P40">
        <v>393.96392343847918</v>
      </c>
      <c r="Q40" t="s">
        <v>3152</v>
      </c>
      <c r="R40">
        <v>1</v>
      </c>
      <c r="S40">
        <v>12.5</v>
      </c>
      <c r="T40">
        <v>10</v>
      </c>
      <c r="V40">
        <v>0.44</v>
      </c>
      <c r="W40">
        <v>1</v>
      </c>
    </row>
    <row r="41" spans="1:23" x14ac:dyDescent="0.25">
      <c r="A41" t="s">
        <v>98</v>
      </c>
      <c r="B41" t="s">
        <v>99</v>
      </c>
      <c r="D41" t="s">
        <v>100</v>
      </c>
      <c r="E41" t="s">
        <v>3149</v>
      </c>
      <c r="F41" t="s">
        <v>131</v>
      </c>
      <c r="G41" t="s">
        <v>131</v>
      </c>
      <c r="H41" t="s">
        <v>133</v>
      </c>
      <c r="I41" t="s">
        <v>3150</v>
      </c>
      <c r="J41" t="s">
        <v>3537</v>
      </c>
      <c r="K41">
        <v>11.97870118205155</v>
      </c>
      <c r="L41">
        <v>1000.955807435619</v>
      </c>
      <c r="M41">
        <v>1</v>
      </c>
      <c r="N41">
        <v>1000.955807435619</v>
      </c>
      <c r="O41">
        <v>1000.955807435619</v>
      </c>
      <c r="P41">
        <v>2274.8995623536789</v>
      </c>
      <c r="Q41" t="s">
        <v>3152</v>
      </c>
      <c r="R41">
        <v>1</v>
      </c>
      <c r="S41">
        <v>12.5</v>
      </c>
      <c r="T41">
        <v>10</v>
      </c>
      <c r="V41">
        <v>0.44</v>
      </c>
      <c r="W41">
        <v>1</v>
      </c>
    </row>
    <row r="42" spans="1:23" x14ac:dyDescent="0.25">
      <c r="A42" t="s">
        <v>98</v>
      </c>
      <c r="B42" t="s">
        <v>99</v>
      </c>
      <c r="D42" t="s">
        <v>100</v>
      </c>
      <c r="E42" t="s">
        <v>3149</v>
      </c>
      <c r="F42" t="s">
        <v>3494</v>
      </c>
      <c r="G42" t="s">
        <v>3494</v>
      </c>
      <c r="H42" t="s">
        <v>3495</v>
      </c>
      <c r="I42" t="s">
        <v>3150</v>
      </c>
      <c r="J42" t="s">
        <v>3538</v>
      </c>
      <c r="K42">
        <v>11.97870118205155</v>
      </c>
      <c r="L42">
        <v>0</v>
      </c>
      <c r="M42">
        <v>1</v>
      </c>
      <c r="N42">
        <v>0</v>
      </c>
      <c r="O42">
        <v>0</v>
      </c>
      <c r="P42">
        <v>0</v>
      </c>
      <c r="Q42" t="s">
        <v>3152</v>
      </c>
      <c r="R42">
        <v>1</v>
      </c>
      <c r="S42">
        <v>12.5</v>
      </c>
      <c r="T42">
        <v>10</v>
      </c>
      <c r="V42">
        <v>0.44</v>
      </c>
      <c r="W42">
        <v>1</v>
      </c>
    </row>
    <row r="43" spans="1:23" x14ac:dyDescent="0.25">
      <c r="A43" t="s">
        <v>98</v>
      </c>
      <c r="B43" t="s">
        <v>99</v>
      </c>
      <c r="D43" t="s">
        <v>100</v>
      </c>
      <c r="E43" t="s">
        <v>3149</v>
      </c>
      <c r="F43" t="s">
        <v>104</v>
      </c>
      <c r="G43" t="s">
        <v>104</v>
      </c>
      <c r="H43" t="s">
        <v>106</v>
      </c>
      <c r="I43" t="s">
        <v>3150</v>
      </c>
      <c r="J43" t="s">
        <v>3539</v>
      </c>
      <c r="K43">
        <v>11.97870118205155</v>
      </c>
      <c r="L43">
        <v>1250.7511474349039</v>
      </c>
      <c r="M43">
        <v>1</v>
      </c>
      <c r="N43">
        <v>1250.7511474349039</v>
      </c>
      <c r="O43">
        <v>1250.7511474349039</v>
      </c>
      <c r="P43">
        <v>2842.6162441702359</v>
      </c>
      <c r="Q43" t="s">
        <v>3152</v>
      </c>
      <c r="R43">
        <v>1</v>
      </c>
      <c r="S43">
        <v>12.5</v>
      </c>
      <c r="T43">
        <v>10</v>
      </c>
      <c r="V43">
        <v>0.44</v>
      </c>
      <c r="W43">
        <v>1</v>
      </c>
    </row>
    <row r="44" spans="1:23" x14ac:dyDescent="0.25">
      <c r="A44" t="s">
        <v>98</v>
      </c>
      <c r="B44" t="s">
        <v>499</v>
      </c>
      <c r="D44" t="s">
        <v>100</v>
      </c>
      <c r="E44" t="s">
        <v>101</v>
      </c>
      <c r="F44" t="s">
        <v>3467</v>
      </c>
      <c r="G44" t="s">
        <v>104</v>
      </c>
      <c r="H44" t="s">
        <v>106</v>
      </c>
      <c r="I44" t="s">
        <v>500</v>
      </c>
      <c r="J44" t="s">
        <v>3540</v>
      </c>
      <c r="K44">
        <v>23.081056453704559</v>
      </c>
      <c r="L44">
        <v>530.99429919120132</v>
      </c>
      <c r="M44">
        <v>0.94625194157065773</v>
      </c>
      <c r="N44">
        <v>502.45438657262503</v>
      </c>
      <c r="O44">
        <v>492.40529884117251</v>
      </c>
      <c r="P44">
        <v>81.343005065551409</v>
      </c>
      <c r="Q44" t="s">
        <v>111</v>
      </c>
      <c r="R44">
        <v>0.98</v>
      </c>
      <c r="S44">
        <v>7.5</v>
      </c>
      <c r="T44">
        <v>1</v>
      </c>
      <c r="V44">
        <v>0.1919534394552328</v>
      </c>
      <c r="W44">
        <v>31.536000000000001</v>
      </c>
    </row>
    <row r="45" spans="1:23" x14ac:dyDescent="0.25">
      <c r="A45" t="s">
        <v>98</v>
      </c>
      <c r="B45" t="s">
        <v>499</v>
      </c>
      <c r="D45" t="s">
        <v>100</v>
      </c>
      <c r="E45" t="s">
        <v>101</v>
      </c>
      <c r="F45" t="s">
        <v>3469</v>
      </c>
      <c r="G45" t="s">
        <v>104</v>
      </c>
      <c r="H45" t="s">
        <v>106</v>
      </c>
      <c r="I45" t="s">
        <v>500</v>
      </c>
      <c r="J45" t="s">
        <v>3541</v>
      </c>
      <c r="K45">
        <v>23.081056453704559</v>
      </c>
      <c r="L45">
        <v>530.99429919120132</v>
      </c>
      <c r="M45">
        <v>9.3671585422016104E-3</v>
      </c>
      <c r="N45">
        <v>4.9739077855292191</v>
      </c>
      <c r="O45">
        <v>4.6610489858194306</v>
      </c>
      <c r="P45">
        <v>1.97352251127177</v>
      </c>
      <c r="Q45" t="s">
        <v>111</v>
      </c>
      <c r="R45">
        <v>0.93709999999999993</v>
      </c>
      <c r="S45">
        <v>7.5</v>
      </c>
      <c r="T45">
        <v>1</v>
      </c>
      <c r="V45">
        <v>7.4891921892102351E-2</v>
      </c>
      <c r="W45">
        <v>31.536000000000001</v>
      </c>
    </row>
    <row r="46" spans="1:23" x14ac:dyDescent="0.25">
      <c r="A46" t="s">
        <v>98</v>
      </c>
      <c r="B46" t="s">
        <v>499</v>
      </c>
      <c r="D46" t="s">
        <v>100</v>
      </c>
      <c r="E46" t="s">
        <v>101</v>
      </c>
      <c r="F46" t="s">
        <v>3471</v>
      </c>
      <c r="G46" t="s">
        <v>104</v>
      </c>
      <c r="H46" t="s">
        <v>106</v>
      </c>
      <c r="I46" t="s">
        <v>500</v>
      </c>
      <c r="J46" t="s">
        <v>3542</v>
      </c>
      <c r="K46">
        <v>23.081056453704559</v>
      </c>
      <c r="L46">
        <v>530.99429919120132</v>
      </c>
      <c r="M46">
        <v>4.438089988714071E-2</v>
      </c>
      <c r="N46">
        <v>23.566004833047149</v>
      </c>
      <c r="O46">
        <v>73.054614982446154</v>
      </c>
      <c r="P46">
        <v>7.8362916106052571</v>
      </c>
      <c r="Q46" t="s">
        <v>111</v>
      </c>
      <c r="R46">
        <v>3.1</v>
      </c>
      <c r="S46">
        <v>10.5</v>
      </c>
      <c r="T46">
        <v>14.33104807576899</v>
      </c>
      <c r="V46">
        <v>0.29561771813242349</v>
      </c>
      <c r="W46">
        <v>31.536000000000001</v>
      </c>
    </row>
    <row r="47" spans="1:23" x14ac:dyDescent="0.25">
      <c r="A47" t="s">
        <v>98</v>
      </c>
      <c r="B47" t="s">
        <v>499</v>
      </c>
      <c r="D47" t="s">
        <v>100</v>
      </c>
      <c r="E47" t="s">
        <v>101</v>
      </c>
      <c r="F47" t="s">
        <v>3473</v>
      </c>
      <c r="G47" t="s">
        <v>104</v>
      </c>
      <c r="H47" t="s">
        <v>106</v>
      </c>
      <c r="I47" t="s">
        <v>500</v>
      </c>
      <c r="J47" t="s">
        <v>3543</v>
      </c>
      <c r="K47">
        <v>23.081056453704559</v>
      </c>
      <c r="L47">
        <v>530.99429919120132</v>
      </c>
      <c r="M47">
        <v>0</v>
      </c>
      <c r="N47">
        <v>0</v>
      </c>
      <c r="O47">
        <v>0</v>
      </c>
      <c r="P47">
        <v>0</v>
      </c>
      <c r="Q47" t="s">
        <v>111</v>
      </c>
      <c r="R47">
        <v>3.4</v>
      </c>
      <c r="S47">
        <v>7.2</v>
      </c>
      <c r="T47">
        <v>13.00195893970977</v>
      </c>
      <c r="V47">
        <v>0.32422588440330319</v>
      </c>
      <c r="W47">
        <v>31.536000000000001</v>
      </c>
    </row>
    <row r="48" spans="1:23" x14ac:dyDescent="0.25">
      <c r="A48" t="s">
        <v>98</v>
      </c>
      <c r="B48" t="s">
        <v>499</v>
      </c>
      <c r="D48" t="s">
        <v>100</v>
      </c>
      <c r="E48" t="s">
        <v>101</v>
      </c>
      <c r="F48" t="s">
        <v>3475</v>
      </c>
      <c r="G48" t="s">
        <v>131</v>
      </c>
      <c r="H48" t="s">
        <v>133</v>
      </c>
      <c r="I48" t="s">
        <v>500</v>
      </c>
      <c r="J48" t="s">
        <v>3544</v>
      </c>
      <c r="K48">
        <v>23.081056453704559</v>
      </c>
      <c r="L48">
        <v>5114.4550901727353</v>
      </c>
      <c r="M48">
        <v>0.97362874993541615</v>
      </c>
      <c r="N48">
        <v>4979.5805160457066</v>
      </c>
      <c r="O48">
        <v>3537.991956650475</v>
      </c>
      <c r="P48">
        <v>421.90365676013352</v>
      </c>
      <c r="Q48" t="s">
        <v>111</v>
      </c>
      <c r="R48">
        <v>0.71050000000000002</v>
      </c>
      <c r="S48">
        <v>11.5</v>
      </c>
      <c r="T48">
        <v>2.0235418398467511</v>
      </c>
      <c r="V48">
        <v>0.26591139277420878</v>
      </c>
      <c r="W48">
        <v>31.536000000000001</v>
      </c>
    </row>
    <row r="49" spans="1:23" x14ac:dyDescent="0.25">
      <c r="A49" t="s">
        <v>98</v>
      </c>
      <c r="B49" t="s">
        <v>499</v>
      </c>
      <c r="D49" t="s">
        <v>100</v>
      </c>
      <c r="E49" t="s">
        <v>101</v>
      </c>
      <c r="F49" t="s">
        <v>3477</v>
      </c>
      <c r="G49" t="s">
        <v>131</v>
      </c>
      <c r="H49" t="s">
        <v>133</v>
      </c>
      <c r="I49" t="s">
        <v>500</v>
      </c>
      <c r="J49" t="s">
        <v>3545</v>
      </c>
      <c r="K49">
        <v>23.081056453704559</v>
      </c>
      <c r="L49">
        <v>5114.4550901727353</v>
      </c>
      <c r="M49">
        <v>1.400493715462596E-2</v>
      </c>
      <c r="N49">
        <v>71.627622118026011</v>
      </c>
      <c r="O49">
        <v>54.436992809699767</v>
      </c>
      <c r="P49">
        <v>24.679252557108789</v>
      </c>
      <c r="Q49" t="s">
        <v>111</v>
      </c>
      <c r="R49">
        <v>0.76</v>
      </c>
      <c r="S49">
        <v>12.5</v>
      </c>
      <c r="T49">
        <v>11.357593544393531</v>
      </c>
      <c r="V49">
        <v>6.9944813532046998E-2</v>
      </c>
      <c r="W49">
        <v>31.536000000000001</v>
      </c>
    </row>
    <row r="50" spans="1:23" x14ac:dyDescent="0.25">
      <c r="A50" t="s">
        <v>98</v>
      </c>
      <c r="B50" t="s">
        <v>499</v>
      </c>
      <c r="D50" t="s">
        <v>100</v>
      </c>
      <c r="E50" t="s">
        <v>101</v>
      </c>
      <c r="F50" t="s">
        <v>3479</v>
      </c>
      <c r="G50" t="s">
        <v>131</v>
      </c>
      <c r="H50" t="s">
        <v>133</v>
      </c>
      <c r="I50" t="s">
        <v>500</v>
      </c>
      <c r="J50" t="s">
        <v>3546</v>
      </c>
      <c r="K50">
        <v>23.081056453704559</v>
      </c>
      <c r="L50">
        <v>5114.4550901727353</v>
      </c>
      <c r="M50">
        <v>1.2366312909958011E-2</v>
      </c>
      <c r="N50">
        <v>63.246952009003557</v>
      </c>
      <c r="O50">
        <v>82.221037611704631</v>
      </c>
      <c r="P50">
        <v>7.18343289032829</v>
      </c>
      <c r="Q50" t="s">
        <v>111</v>
      </c>
      <c r="R50">
        <v>1.3</v>
      </c>
      <c r="S50">
        <v>7.5</v>
      </c>
      <c r="T50">
        <v>12</v>
      </c>
      <c r="V50">
        <v>0.36294791629038048</v>
      </c>
      <c r="W50">
        <v>31.536000000000001</v>
      </c>
    </row>
    <row r="51" spans="1:23" x14ac:dyDescent="0.25">
      <c r="A51" t="s">
        <v>98</v>
      </c>
      <c r="B51" t="s">
        <v>499</v>
      </c>
      <c r="D51" t="s">
        <v>100</v>
      </c>
      <c r="E51" t="s">
        <v>101</v>
      </c>
      <c r="F51" t="s">
        <v>3481</v>
      </c>
      <c r="G51" t="s">
        <v>136</v>
      </c>
      <c r="H51" t="s">
        <v>138</v>
      </c>
      <c r="I51" t="s">
        <v>500</v>
      </c>
      <c r="J51" t="s">
        <v>3547</v>
      </c>
      <c r="K51">
        <v>23.081056453704559</v>
      </c>
      <c r="L51">
        <v>575.28406525635808</v>
      </c>
      <c r="M51">
        <v>0.90015148631312036</v>
      </c>
      <c r="N51">
        <v>517.84280639276483</v>
      </c>
      <c r="O51">
        <v>409.09581705028421</v>
      </c>
      <c r="P51">
        <v>65.387661481012145</v>
      </c>
      <c r="Q51" t="s">
        <v>111</v>
      </c>
      <c r="R51">
        <v>0.79</v>
      </c>
      <c r="S51">
        <v>12.5</v>
      </c>
      <c r="T51">
        <v>14</v>
      </c>
      <c r="V51">
        <v>0.1983913014515705</v>
      </c>
      <c r="W51">
        <v>31.536000000000001</v>
      </c>
    </row>
    <row r="52" spans="1:23" x14ac:dyDescent="0.25">
      <c r="A52" t="s">
        <v>98</v>
      </c>
      <c r="B52" t="s">
        <v>499</v>
      </c>
      <c r="D52" t="s">
        <v>100</v>
      </c>
      <c r="E52" t="s">
        <v>101</v>
      </c>
      <c r="F52" t="s">
        <v>3483</v>
      </c>
      <c r="G52" t="s">
        <v>136</v>
      </c>
      <c r="H52" t="s">
        <v>138</v>
      </c>
      <c r="I52" t="s">
        <v>500</v>
      </c>
      <c r="J52" t="s">
        <v>3548</v>
      </c>
      <c r="K52">
        <v>23.081056453704559</v>
      </c>
      <c r="L52">
        <v>575.28406525635808</v>
      </c>
      <c r="M52">
        <v>9.9848513686879636E-2</v>
      </c>
      <c r="N52">
        <v>57.441258863593227</v>
      </c>
      <c r="O52">
        <v>43.684077365762647</v>
      </c>
      <c r="P52">
        <v>7.2530689685144942</v>
      </c>
      <c r="Q52" t="s">
        <v>111</v>
      </c>
      <c r="R52">
        <v>0.76049999999999995</v>
      </c>
      <c r="S52">
        <v>11.5</v>
      </c>
      <c r="T52">
        <v>4</v>
      </c>
      <c r="V52">
        <v>0.1909830186758473</v>
      </c>
      <c r="W52">
        <v>31.536000000000001</v>
      </c>
    </row>
    <row r="53" spans="1:23" x14ac:dyDescent="0.25">
      <c r="A53" t="s">
        <v>98</v>
      </c>
      <c r="B53" t="s">
        <v>499</v>
      </c>
      <c r="D53" t="s">
        <v>100</v>
      </c>
      <c r="E53" t="s">
        <v>101</v>
      </c>
      <c r="F53" t="s">
        <v>3485</v>
      </c>
      <c r="G53" t="s">
        <v>3486</v>
      </c>
      <c r="H53" t="s">
        <v>3487</v>
      </c>
      <c r="I53" t="s">
        <v>500</v>
      </c>
      <c r="J53" t="s">
        <v>3549</v>
      </c>
      <c r="K53">
        <v>23.081056453704559</v>
      </c>
      <c r="L53">
        <v>0</v>
      </c>
      <c r="M53">
        <v>0.27287262527562722</v>
      </c>
      <c r="N53">
        <v>0</v>
      </c>
      <c r="O53">
        <v>0</v>
      </c>
      <c r="P53">
        <v>0</v>
      </c>
      <c r="Q53" t="s">
        <v>111</v>
      </c>
      <c r="R53">
        <v>0.71050000000000002</v>
      </c>
      <c r="S53">
        <v>11.5</v>
      </c>
      <c r="T53">
        <v>2.0235418398467511</v>
      </c>
      <c r="V53">
        <v>0.26591139277420878</v>
      </c>
      <c r="W53">
        <v>31.536000000000001</v>
      </c>
    </row>
    <row r="54" spans="1:23" x14ac:dyDescent="0.25">
      <c r="A54" t="s">
        <v>98</v>
      </c>
      <c r="B54" t="s">
        <v>499</v>
      </c>
      <c r="D54" t="s">
        <v>100</v>
      </c>
      <c r="E54" t="s">
        <v>101</v>
      </c>
      <c r="F54" t="s">
        <v>3489</v>
      </c>
      <c r="G54" t="s">
        <v>3486</v>
      </c>
      <c r="H54" t="s">
        <v>3487</v>
      </c>
      <c r="I54" t="s">
        <v>500</v>
      </c>
      <c r="J54" t="s">
        <v>3550</v>
      </c>
      <c r="K54">
        <v>23.081056453704559</v>
      </c>
      <c r="L54">
        <v>0</v>
      </c>
      <c r="M54">
        <v>1.20827051493011E-2</v>
      </c>
      <c r="N54">
        <v>0</v>
      </c>
      <c r="O54">
        <v>0</v>
      </c>
      <c r="P54">
        <v>0</v>
      </c>
      <c r="Q54" t="s">
        <v>111</v>
      </c>
      <c r="R54">
        <v>0.76</v>
      </c>
      <c r="S54">
        <v>12.5</v>
      </c>
      <c r="T54">
        <v>11.357593544393531</v>
      </c>
      <c r="V54">
        <v>6.9944813532046998E-2</v>
      </c>
      <c r="W54">
        <v>31.536000000000001</v>
      </c>
    </row>
    <row r="55" spans="1:23" x14ac:dyDescent="0.25">
      <c r="A55" t="s">
        <v>98</v>
      </c>
      <c r="B55" t="s">
        <v>499</v>
      </c>
      <c r="D55" t="s">
        <v>100</v>
      </c>
      <c r="E55" t="s">
        <v>101</v>
      </c>
      <c r="F55" t="s">
        <v>3491</v>
      </c>
      <c r="G55" t="s">
        <v>3486</v>
      </c>
      <c r="H55" t="s">
        <v>3487</v>
      </c>
      <c r="I55" t="s">
        <v>500</v>
      </c>
      <c r="J55" t="s">
        <v>3551</v>
      </c>
      <c r="K55">
        <v>23.081056453704559</v>
      </c>
      <c r="L55">
        <v>0</v>
      </c>
      <c r="M55">
        <v>0.71504466957507173</v>
      </c>
      <c r="N55">
        <v>0</v>
      </c>
      <c r="O55">
        <v>0</v>
      </c>
      <c r="P55">
        <v>0</v>
      </c>
      <c r="Q55" t="s">
        <v>111</v>
      </c>
      <c r="R55">
        <v>1.3</v>
      </c>
      <c r="S55">
        <v>7.5</v>
      </c>
      <c r="T55">
        <v>12</v>
      </c>
      <c r="V55">
        <v>0.36294791629038048</v>
      </c>
      <c r="W55">
        <v>31.536000000000001</v>
      </c>
    </row>
    <row r="56" spans="1:23" x14ac:dyDescent="0.25">
      <c r="A56" t="s">
        <v>98</v>
      </c>
      <c r="B56" t="s">
        <v>499</v>
      </c>
      <c r="D56" t="s">
        <v>100</v>
      </c>
      <c r="E56" t="s">
        <v>101</v>
      </c>
      <c r="F56" t="s">
        <v>3493</v>
      </c>
      <c r="G56" t="s">
        <v>3494</v>
      </c>
      <c r="H56" t="s">
        <v>3495</v>
      </c>
      <c r="I56" t="s">
        <v>500</v>
      </c>
      <c r="J56" t="s">
        <v>3552</v>
      </c>
      <c r="K56">
        <v>23.081056453704559</v>
      </c>
      <c r="L56">
        <v>167.16628088246429</v>
      </c>
      <c r="M56">
        <v>1</v>
      </c>
      <c r="N56">
        <v>167.16628088246429</v>
      </c>
      <c r="O56">
        <v>156.65152181495719</v>
      </c>
      <c r="P56">
        <v>12.79649230407362</v>
      </c>
      <c r="Q56" t="s">
        <v>111</v>
      </c>
      <c r="R56">
        <v>0.93709999999999993</v>
      </c>
      <c r="S56">
        <v>12.5</v>
      </c>
      <c r="T56">
        <v>1</v>
      </c>
      <c r="V56">
        <v>0.38818350002923391</v>
      </c>
      <c r="W56">
        <v>31.536000000000001</v>
      </c>
    </row>
    <row r="57" spans="1:23" x14ac:dyDescent="0.25">
      <c r="A57" t="s">
        <v>98</v>
      </c>
      <c r="B57" t="s">
        <v>499</v>
      </c>
      <c r="D57" t="s">
        <v>100</v>
      </c>
      <c r="E57" t="s">
        <v>142</v>
      </c>
      <c r="F57" t="s">
        <v>3497</v>
      </c>
      <c r="G57" t="s">
        <v>104</v>
      </c>
      <c r="H57" t="s">
        <v>106</v>
      </c>
      <c r="I57" t="s">
        <v>513</v>
      </c>
      <c r="J57" t="s">
        <v>3553</v>
      </c>
      <c r="K57">
        <v>23.081056453704559</v>
      </c>
      <c r="L57">
        <v>372.26248731106728</v>
      </c>
      <c r="M57">
        <v>6.9537663024509203E-3</v>
      </c>
      <c r="N57">
        <v>2.5886263399302631</v>
      </c>
      <c r="O57">
        <v>8.648986012662661</v>
      </c>
      <c r="P57">
        <v>3.2317744025252169</v>
      </c>
      <c r="Q57" t="s">
        <v>111</v>
      </c>
      <c r="R57">
        <v>3.3411488862837051</v>
      </c>
      <c r="S57">
        <v>9</v>
      </c>
      <c r="T57">
        <v>8</v>
      </c>
      <c r="V57">
        <v>8.4862837925111803E-2</v>
      </c>
      <c r="W57">
        <v>31.536000000000001</v>
      </c>
    </row>
    <row r="58" spans="1:23" x14ac:dyDescent="0.25">
      <c r="A58" t="s">
        <v>98</v>
      </c>
      <c r="B58" t="s">
        <v>499</v>
      </c>
      <c r="D58" t="s">
        <v>100</v>
      </c>
      <c r="E58" t="s">
        <v>142</v>
      </c>
      <c r="F58" t="s">
        <v>3499</v>
      </c>
      <c r="G58" t="s">
        <v>104</v>
      </c>
      <c r="H58" t="s">
        <v>106</v>
      </c>
      <c r="I58" t="s">
        <v>513</v>
      </c>
      <c r="J58" t="s">
        <v>3554</v>
      </c>
      <c r="K58">
        <v>23.081056453704559</v>
      </c>
      <c r="L58">
        <v>372.26248731106728</v>
      </c>
      <c r="M58">
        <v>0.89904491842177059</v>
      </c>
      <c r="N58">
        <v>334.68069753606392</v>
      </c>
      <c r="O58">
        <v>853.37692513591901</v>
      </c>
      <c r="P58">
        <v>161.53905173614811</v>
      </c>
      <c r="Q58" t="s">
        <v>111</v>
      </c>
      <c r="R58">
        <v>2.5498241500586158</v>
      </c>
      <c r="S58">
        <v>5</v>
      </c>
      <c r="T58">
        <v>0</v>
      </c>
      <c r="V58">
        <v>0.16751617945612371</v>
      </c>
      <c r="W58">
        <v>31.536000000000001</v>
      </c>
    </row>
    <row r="59" spans="1:23" x14ac:dyDescent="0.25">
      <c r="A59" t="s">
        <v>98</v>
      </c>
      <c r="B59" t="s">
        <v>499</v>
      </c>
      <c r="D59" t="s">
        <v>100</v>
      </c>
      <c r="E59" t="s">
        <v>142</v>
      </c>
      <c r="F59" t="s">
        <v>3501</v>
      </c>
      <c r="G59" t="s">
        <v>104</v>
      </c>
      <c r="H59" t="s">
        <v>106</v>
      </c>
      <c r="I59" t="s">
        <v>513</v>
      </c>
      <c r="J59" t="s">
        <v>3555</v>
      </c>
      <c r="K59">
        <v>23.081056453704559</v>
      </c>
      <c r="L59">
        <v>372.26248731106728</v>
      </c>
      <c r="M59">
        <v>8.5859106084950523E-2</v>
      </c>
      <c r="N59">
        <v>31.96212438948848</v>
      </c>
      <c r="O59">
        <v>97.748481745721435</v>
      </c>
      <c r="P59">
        <v>15.69681264501628</v>
      </c>
      <c r="Q59" t="s">
        <v>111</v>
      </c>
      <c r="R59">
        <v>3.058259850145268</v>
      </c>
      <c r="S59">
        <v>9</v>
      </c>
      <c r="T59">
        <v>8</v>
      </c>
      <c r="V59">
        <v>0.1974658227108132</v>
      </c>
      <c r="W59">
        <v>31.536000000000001</v>
      </c>
    </row>
    <row r="60" spans="1:23" x14ac:dyDescent="0.25">
      <c r="A60" t="s">
        <v>98</v>
      </c>
      <c r="B60" t="s">
        <v>499</v>
      </c>
      <c r="D60" t="s">
        <v>100</v>
      </c>
      <c r="E60" t="s">
        <v>142</v>
      </c>
      <c r="F60" t="s">
        <v>3503</v>
      </c>
      <c r="G60" t="s">
        <v>104</v>
      </c>
      <c r="H60" t="s">
        <v>106</v>
      </c>
      <c r="I60" t="s">
        <v>513</v>
      </c>
      <c r="J60" t="s">
        <v>3556</v>
      </c>
      <c r="K60">
        <v>23.081056453704559</v>
      </c>
      <c r="L60">
        <v>372.26248731106728</v>
      </c>
      <c r="M60">
        <v>8.0230711015994612E-3</v>
      </c>
      <c r="N60">
        <v>2.9866884041549611</v>
      </c>
      <c r="O60">
        <v>8.1407392024153395</v>
      </c>
      <c r="P60">
        <v>1.4271842350343511</v>
      </c>
      <c r="Q60" t="s">
        <v>111</v>
      </c>
      <c r="R60">
        <v>2.7256740914419701</v>
      </c>
      <c r="S60">
        <v>10.5</v>
      </c>
      <c r="T60">
        <v>14</v>
      </c>
      <c r="V60">
        <v>0.18087443818804161</v>
      </c>
      <c r="W60">
        <v>31.536000000000001</v>
      </c>
    </row>
    <row r="61" spans="1:23" x14ac:dyDescent="0.25">
      <c r="A61" t="s">
        <v>98</v>
      </c>
      <c r="B61" t="s">
        <v>499</v>
      </c>
      <c r="D61" t="s">
        <v>100</v>
      </c>
      <c r="E61" t="s">
        <v>142</v>
      </c>
      <c r="F61" t="s">
        <v>3505</v>
      </c>
      <c r="G61" t="s">
        <v>104</v>
      </c>
      <c r="H61" t="s">
        <v>106</v>
      </c>
      <c r="I61" t="s">
        <v>513</v>
      </c>
      <c r="J61" t="s">
        <v>3557</v>
      </c>
      <c r="K61">
        <v>23.081056453704559</v>
      </c>
      <c r="L61">
        <v>372.26248731106728</v>
      </c>
      <c r="M61">
        <v>2.3150779598477751E-5</v>
      </c>
      <c r="N61">
        <v>8.6181667965196385E-3</v>
      </c>
      <c r="O61">
        <v>2.3237729931999029E-2</v>
      </c>
      <c r="P61">
        <v>4.9896370002925003E-3</v>
      </c>
      <c r="Q61" t="s">
        <v>111</v>
      </c>
      <c r="R61">
        <v>2.6963657678780768</v>
      </c>
      <c r="S61">
        <v>10.5</v>
      </c>
      <c r="T61">
        <v>14</v>
      </c>
      <c r="V61">
        <v>0.1476787955266872</v>
      </c>
      <c r="W61">
        <v>31.536000000000001</v>
      </c>
    </row>
    <row r="62" spans="1:23" x14ac:dyDescent="0.25">
      <c r="A62" t="s">
        <v>98</v>
      </c>
      <c r="B62" t="s">
        <v>499</v>
      </c>
      <c r="D62" t="s">
        <v>100</v>
      </c>
      <c r="E62" t="s">
        <v>142</v>
      </c>
      <c r="F62" t="s">
        <v>3507</v>
      </c>
      <c r="G62" t="s">
        <v>104</v>
      </c>
      <c r="H62" t="s">
        <v>106</v>
      </c>
      <c r="I62" t="s">
        <v>513</v>
      </c>
      <c r="J62" t="s">
        <v>3558</v>
      </c>
      <c r="K62">
        <v>23.081056453704559</v>
      </c>
      <c r="L62">
        <v>372.26248731106728</v>
      </c>
      <c r="M62">
        <v>9.5987309629687545E-5</v>
      </c>
      <c r="N62">
        <v>3.5732474633045047E-2</v>
      </c>
      <c r="O62">
        <v>2.1439484779827031E-2</v>
      </c>
      <c r="P62">
        <v>6.9999685369197132E-3</v>
      </c>
      <c r="Q62" t="s">
        <v>111</v>
      </c>
      <c r="R62">
        <v>0.6</v>
      </c>
      <c r="S62">
        <v>7.5</v>
      </c>
      <c r="T62">
        <v>12</v>
      </c>
      <c r="V62">
        <v>9.7120665474671061E-2</v>
      </c>
      <c r="W62">
        <v>31.536000000000001</v>
      </c>
    </row>
    <row r="63" spans="1:23" x14ac:dyDescent="0.25">
      <c r="A63" t="s">
        <v>98</v>
      </c>
      <c r="B63" t="s">
        <v>499</v>
      </c>
      <c r="D63" t="s">
        <v>100</v>
      </c>
      <c r="E63" t="s">
        <v>142</v>
      </c>
      <c r="F63" t="s">
        <v>3509</v>
      </c>
      <c r="G63" t="s">
        <v>104</v>
      </c>
      <c r="H63" t="s">
        <v>106</v>
      </c>
      <c r="I63" t="s">
        <v>513</v>
      </c>
      <c r="J63" t="s">
        <v>3559</v>
      </c>
      <c r="K63">
        <v>23.081056453704559</v>
      </c>
      <c r="L63">
        <v>372.26248731106728</v>
      </c>
      <c r="M63">
        <v>0</v>
      </c>
      <c r="N63">
        <v>0</v>
      </c>
      <c r="O63">
        <v>0</v>
      </c>
      <c r="P63">
        <v>0</v>
      </c>
      <c r="Q63" t="s">
        <v>111</v>
      </c>
      <c r="R63">
        <v>1</v>
      </c>
      <c r="S63">
        <v>11.5</v>
      </c>
      <c r="T63">
        <v>10</v>
      </c>
      <c r="V63">
        <v>9.9506837521371835E-2</v>
      </c>
      <c r="W63">
        <v>31.536000000000001</v>
      </c>
    </row>
    <row r="64" spans="1:23" x14ac:dyDescent="0.25">
      <c r="A64" t="s">
        <v>98</v>
      </c>
      <c r="B64" t="s">
        <v>499</v>
      </c>
      <c r="D64" t="s">
        <v>100</v>
      </c>
      <c r="E64" t="s">
        <v>142</v>
      </c>
      <c r="F64" t="s">
        <v>3511</v>
      </c>
      <c r="G64" t="s">
        <v>104</v>
      </c>
      <c r="H64" t="s">
        <v>106</v>
      </c>
      <c r="I64" t="s">
        <v>513</v>
      </c>
      <c r="J64" t="s">
        <v>3560</v>
      </c>
      <c r="K64">
        <v>23.081056453704559</v>
      </c>
      <c r="L64">
        <v>372.26248731106728</v>
      </c>
      <c r="M64">
        <v>0</v>
      </c>
      <c r="N64">
        <v>0</v>
      </c>
      <c r="O64">
        <v>0</v>
      </c>
      <c r="P64">
        <v>0</v>
      </c>
      <c r="Q64" t="s">
        <v>111</v>
      </c>
      <c r="R64">
        <v>1</v>
      </c>
      <c r="S64">
        <v>12.5</v>
      </c>
      <c r="T64">
        <v>1</v>
      </c>
      <c r="V64">
        <v>0</v>
      </c>
      <c r="W64">
        <v>31.536000000000001</v>
      </c>
    </row>
    <row r="65" spans="1:23" x14ac:dyDescent="0.25">
      <c r="A65" t="s">
        <v>98</v>
      </c>
      <c r="B65" t="s">
        <v>499</v>
      </c>
      <c r="D65" t="s">
        <v>100</v>
      </c>
      <c r="E65" t="s">
        <v>243</v>
      </c>
      <c r="F65" t="s">
        <v>104</v>
      </c>
      <c r="G65" t="s">
        <v>104</v>
      </c>
      <c r="H65" t="s">
        <v>106</v>
      </c>
      <c r="I65" t="s">
        <v>557</v>
      </c>
      <c r="J65" t="s">
        <v>3561</v>
      </c>
      <c r="K65">
        <v>23.081056453704559</v>
      </c>
      <c r="L65">
        <v>1119.584385378985</v>
      </c>
      <c r="M65">
        <v>1</v>
      </c>
      <c r="N65">
        <v>1119.584385378985</v>
      </c>
      <c r="O65">
        <v>1119.584385378985</v>
      </c>
      <c r="P65">
        <v>80.685881746905736</v>
      </c>
      <c r="Q65" t="s">
        <v>111</v>
      </c>
      <c r="R65">
        <v>1</v>
      </c>
      <c r="S65">
        <v>10</v>
      </c>
      <c r="T65">
        <v>97</v>
      </c>
      <c r="V65">
        <v>0.44</v>
      </c>
      <c r="W65">
        <v>31.536000000000001</v>
      </c>
    </row>
    <row r="66" spans="1:23" x14ac:dyDescent="0.25">
      <c r="A66" t="s">
        <v>98</v>
      </c>
      <c r="B66" t="s">
        <v>499</v>
      </c>
      <c r="D66" t="s">
        <v>100</v>
      </c>
      <c r="E66" t="s">
        <v>226</v>
      </c>
      <c r="F66" t="s">
        <v>136</v>
      </c>
      <c r="G66" t="s">
        <v>136</v>
      </c>
      <c r="H66" t="s">
        <v>138</v>
      </c>
      <c r="I66" t="s">
        <v>550</v>
      </c>
      <c r="J66" t="s">
        <v>3562</v>
      </c>
      <c r="K66">
        <v>23.081056453704559</v>
      </c>
      <c r="L66">
        <v>8.8747021699364304</v>
      </c>
      <c r="M66">
        <v>1</v>
      </c>
      <c r="N66">
        <v>8.8747021699364304</v>
      </c>
      <c r="O66">
        <v>6.9222676925504159</v>
      </c>
      <c r="P66">
        <v>0.4988719740606995</v>
      </c>
      <c r="Q66" t="s">
        <v>111</v>
      </c>
      <c r="R66">
        <v>0.78</v>
      </c>
      <c r="S66">
        <v>6.5</v>
      </c>
      <c r="T66">
        <v>6</v>
      </c>
      <c r="V66">
        <v>0.44</v>
      </c>
      <c r="W66">
        <v>31.536000000000001</v>
      </c>
    </row>
    <row r="67" spans="1:23" x14ac:dyDescent="0.25">
      <c r="A67" t="s">
        <v>98</v>
      </c>
      <c r="B67" t="s">
        <v>499</v>
      </c>
      <c r="D67" t="s">
        <v>100</v>
      </c>
      <c r="E67" t="s">
        <v>226</v>
      </c>
      <c r="F67" t="s">
        <v>131</v>
      </c>
      <c r="G67" t="s">
        <v>131</v>
      </c>
      <c r="H67" t="s">
        <v>133</v>
      </c>
      <c r="I67" t="s">
        <v>550</v>
      </c>
      <c r="J67" t="s">
        <v>3563</v>
      </c>
      <c r="K67">
        <v>23.081056453704559</v>
      </c>
      <c r="L67">
        <v>876.85853845768236</v>
      </c>
      <c r="M67">
        <v>1</v>
      </c>
      <c r="N67">
        <v>876.85853845768236</v>
      </c>
      <c r="O67">
        <v>675.18107461241539</v>
      </c>
      <c r="P67">
        <v>48.658753243941661</v>
      </c>
      <c r="Q67" t="s">
        <v>111</v>
      </c>
      <c r="R67">
        <v>0.77</v>
      </c>
      <c r="S67">
        <v>5</v>
      </c>
      <c r="T67">
        <v>7</v>
      </c>
      <c r="V67">
        <v>0.44</v>
      </c>
      <c r="W67">
        <v>31.536000000000001</v>
      </c>
    </row>
    <row r="68" spans="1:23" x14ac:dyDescent="0.25">
      <c r="A68" t="s">
        <v>98</v>
      </c>
      <c r="B68" t="s">
        <v>499</v>
      </c>
      <c r="D68" t="s">
        <v>100</v>
      </c>
      <c r="E68" t="s">
        <v>226</v>
      </c>
      <c r="F68" t="s">
        <v>3494</v>
      </c>
      <c r="G68" t="s">
        <v>3494</v>
      </c>
      <c r="H68" t="s">
        <v>3495</v>
      </c>
      <c r="I68" t="s">
        <v>550</v>
      </c>
      <c r="J68" t="s">
        <v>3564</v>
      </c>
      <c r="K68">
        <v>23.081056453704559</v>
      </c>
      <c r="L68">
        <v>0</v>
      </c>
      <c r="M68">
        <v>1</v>
      </c>
      <c r="N68">
        <v>0</v>
      </c>
      <c r="O68">
        <v>0</v>
      </c>
      <c r="P68">
        <v>0</v>
      </c>
      <c r="Q68" t="s">
        <v>111</v>
      </c>
      <c r="R68">
        <v>0.97474999999999989</v>
      </c>
      <c r="S68">
        <v>12.5</v>
      </c>
      <c r="T68">
        <v>1</v>
      </c>
      <c r="V68">
        <v>0.44</v>
      </c>
      <c r="W68">
        <v>31.536000000000001</v>
      </c>
    </row>
    <row r="69" spans="1:23" x14ac:dyDescent="0.25">
      <c r="A69" t="s">
        <v>98</v>
      </c>
      <c r="B69" t="s">
        <v>499</v>
      </c>
      <c r="D69" t="s">
        <v>100</v>
      </c>
      <c r="E69" t="s">
        <v>226</v>
      </c>
      <c r="F69" t="s">
        <v>104</v>
      </c>
      <c r="G69" t="s">
        <v>104</v>
      </c>
      <c r="H69" t="s">
        <v>106</v>
      </c>
      <c r="I69" t="s">
        <v>550</v>
      </c>
      <c r="J69" t="s">
        <v>3565</v>
      </c>
      <c r="K69">
        <v>23.081056453704559</v>
      </c>
      <c r="L69">
        <v>201.66281570593191</v>
      </c>
      <c r="M69">
        <v>1</v>
      </c>
      <c r="N69">
        <v>201.66281570593191</v>
      </c>
      <c r="O69">
        <v>196.57082960935711</v>
      </c>
      <c r="P69">
        <v>14.166409356792609</v>
      </c>
      <c r="Q69" t="s">
        <v>111</v>
      </c>
      <c r="R69">
        <v>0.97474999999999989</v>
      </c>
      <c r="S69">
        <v>7.5</v>
      </c>
      <c r="T69">
        <v>2</v>
      </c>
      <c r="V69">
        <v>0.44</v>
      </c>
      <c r="W69">
        <v>31.536000000000001</v>
      </c>
    </row>
    <row r="70" spans="1:23" x14ac:dyDescent="0.25">
      <c r="A70" t="s">
        <v>98</v>
      </c>
      <c r="B70" t="s">
        <v>499</v>
      </c>
      <c r="D70" t="s">
        <v>100</v>
      </c>
      <c r="E70" t="s">
        <v>284</v>
      </c>
      <c r="F70" t="s">
        <v>3518</v>
      </c>
      <c r="G70" t="s">
        <v>104</v>
      </c>
      <c r="H70" t="s">
        <v>106</v>
      </c>
      <c r="I70" t="s">
        <v>575</v>
      </c>
      <c r="J70" t="s">
        <v>3566</v>
      </c>
      <c r="K70">
        <v>23.081056453704559</v>
      </c>
      <c r="L70">
        <v>1534.2030339152971</v>
      </c>
      <c r="M70">
        <v>0.27390761072460762</v>
      </c>
      <c r="N70">
        <v>420.22988738618301</v>
      </c>
      <c r="O70">
        <v>1001.045321108192</v>
      </c>
      <c r="P70">
        <v>2234.7623684764831</v>
      </c>
      <c r="Q70" t="s">
        <v>291</v>
      </c>
      <c r="R70">
        <v>2.382137375650891</v>
      </c>
      <c r="S70">
        <v>5</v>
      </c>
      <c r="T70">
        <v>1</v>
      </c>
      <c r="V70">
        <v>0.44794262478593633</v>
      </c>
      <c r="W70">
        <v>1</v>
      </c>
    </row>
    <row r="71" spans="1:23" x14ac:dyDescent="0.25">
      <c r="A71" t="s">
        <v>98</v>
      </c>
      <c r="B71" t="s">
        <v>499</v>
      </c>
      <c r="D71" t="s">
        <v>100</v>
      </c>
      <c r="E71" t="s">
        <v>284</v>
      </c>
      <c r="F71" t="s">
        <v>3520</v>
      </c>
      <c r="G71" t="s">
        <v>104</v>
      </c>
      <c r="H71" t="s">
        <v>106</v>
      </c>
      <c r="I71" t="s">
        <v>575</v>
      </c>
      <c r="J71" t="s">
        <v>3567</v>
      </c>
      <c r="K71">
        <v>23.081056453704559</v>
      </c>
      <c r="L71">
        <v>1534.2030339152971</v>
      </c>
      <c r="M71">
        <v>0.17521168537899839</v>
      </c>
      <c r="N71">
        <v>268.81029928587179</v>
      </c>
      <c r="O71">
        <v>369.63623318158352</v>
      </c>
      <c r="P71">
        <v>818.46835103202159</v>
      </c>
      <c r="Q71" t="s">
        <v>291</v>
      </c>
      <c r="R71">
        <v>1.3750821086973539</v>
      </c>
      <c r="S71">
        <v>5</v>
      </c>
      <c r="T71">
        <v>5</v>
      </c>
      <c r="V71">
        <v>0.45161945812016119</v>
      </c>
      <c r="W71">
        <v>1</v>
      </c>
    </row>
    <row r="72" spans="1:23" x14ac:dyDescent="0.25">
      <c r="A72" t="s">
        <v>98</v>
      </c>
      <c r="B72" t="s">
        <v>499</v>
      </c>
      <c r="D72" t="s">
        <v>100</v>
      </c>
      <c r="E72" t="s">
        <v>284</v>
      </c>
      <c r="F72" t="s">
        <v>3522</v>
      </c>
      <c r="G72" t="s">
        <v>104</v>
      </c>
      <c r="H72" t="s">
        <v>106</v>
      </c>
      <c r="I72" t="s">
        <v>575</v>
      </c>
      <c r="J72" t="s">
        <v>3568</v>
      </c>
      <c r="K72">
        <v>23.081056453704559</v>
      </c>
      <c r="L72">
        <v>1534.2030339152971</v>
      </c>
      <c r="M72">
        <v>4.0524603080812273E-2</v>
      </c>
      <c r="N72">
        <v>62.172968994795347</v>
      </c>
      <c r="O72">
        <v>20.801201291809839</v>
      </c>
      <c r="P72">
        <v>192.70795738040189</v>
      </c>
      <c r="Q72" t="s">
        <v>291</v>
      </c>
      <c r="R72">
        <v>0.33456985613074319</v>
      </c>
      <c r="S72">
        <v>0.5</v>
      </c>
      <c r="T72">
        <v>1</v>
      </c>
      <c r="V72">
        <v>0.1079415794478516</v>
      </c>
      <c r="W72">
        <v>1</v>
      </c>
    </row>
    <row r="73" spans="1:23" x14ac:dyDescent="0.25">
      <c r="A73" t="s">
        <v>98</v>
      </c>
      <c r="B73" t="s">
        <v>499</v>
      </c>
      <c r="D73" t="s">
        <v>100</v>
      </c>
      <c r="E73" t="s">
        <v>284</v>
      </c>
      <c r="F73" t="s">
        <v>285</v>
      </c>
      <c r="G73" t="s">
        <v>104</v>
      </c>
      <c r="H73" t="s">
        <v>106</v>
      </c>
      <c r="I73" t="s">
        <v>575</v>
      </c>
      <c r="J73" t="s">
        <v>3569</v>
      </c>
      <c r="K73">
        <v>23.081056453704559</v>
      </c>
      <c r="L73">
        <v>1534.2030339152971</v>
      </c>
      <c r="M73">
        <v>4.3154755021793653E-2</v>
      </c>
      <c r="N73">
        <v>66.208156082307198</v>
      </c>
      <c r="O73">
        <v>29.90419189443806</v>
      </c>
      <c r="P73">
        <v>202.67319375426891</v>
      </c>
      <c r="Q73" t="s">
        <v>291</v>
      </c>
      <c r="R73">
        <v>0.45166930577650322</v>
      </c>
      <c r="S73">
        <v>5</v>
      </c>
      <c r="T73">
        <v>37</v>
      </c>
      <c r="V73">
        <v>0.14754882646540521</v>
      </c>
      <c r="W73">
        <v>1</v>
      </c>
    </row>
    <row r="74" spans="1:23" x14ac:dyDescent="0.25">
      <c r="A74" t="s">
        <v>98</v>
      </c>
      <c r="B74" t="s">
        <v>499</v>
      </c>
      <c r="D74" t="s">
        <v>100</v>
      </c>
      <c r="E74" t="s">
        <v>284</v>
      </c>
      <c r="F74" t="s">
        <v>3525</v>
      </c>
      <c r="G74" t="s">
        <v>104</v>
      </c>
      <c r="H74" t="s">
        <v>106</v>
      </c>
      <c r="I74" t="s">
        <v>575</v>
      </c>
      <c r="J74" t="s">
        <v>3570</v>
      </c>
      <c r="K74">
        <v>23.081056453704559</v>
      </c>
      <c r="L74">
        <v>1534.2030339152971</v>
      </c>
      <c r="M74">
        <v>8.1970462936877084E-2</v>
      </c>
      <c r="N74">
        <v>125.75933292919819</v>
      </c>
      <c r="O74">
        <v>238.000441589541</v>
      </c>
      <c r="P74">
        <v>360.5647295154663</v>
      </c>
      <c r="Q74" t="s">
        <v>291</v>
      </c>
      <c r="R74">
        <v>1.892507188500546</v>
      </c>
      <c r="S74">
        <v>0.5</v>
      </c>
      <c r="T74">
        <v>1</v>
      </c>
      <c r="V74">
        <v>0.66007687970304374</v>
      </c>
      <c r="W74">
        <v>1</v>
      </c>
    </row>
    <row r="75" spans="1:23" x14ac:dyDescent="0.25">
      <c r="A75" t="s">
        <v>98</v>
      </c>
      <c r="B75" t="s">
        <v>499</v>
      </c>
      <c r="D75" t="s">
        <v>100</v>
      </c>
      <c r="E75" t="s">
        <v>284</v>
      </c>
      <c r="F75" t="s">
        <v>3527</v>
      </c>
      <c r="G75" t="s">
        <v>104</v>
      </c>
      <c r="H75" t="s">
        <v>106</v>
      </c>
      <c r="I75" t="s">
        <v>575</v>
      </c>
      <c r="J75" t="s">
        <v>3571</v>
      </c>
      <c r="K75">
        <v>23.081056453704559</v>
      </c>
      <c r="L75">
        <v>1534.2030339152971</v>
      </c>
      <c r="M75">
        <v>0.38523088285691037</v>
      </c>
      <c r="N75">
        <v>591.02238923694017</v>
      </c>
      <c r="O75">
        <v>1118.5141201956769</v>
      </c>
      <c r="P75">
        <v>2810.2329209660988</v>
      </c>
      <c r="Q75" t="s">
        <v>291</v>
      </c>
      <c r="R75">
        <v>1.892507188500546</v>
      </c>
      <c r="S75">
        <v>5</v>
      </c>
      <c r="T75">
        <v>2</v>
      </c>
      <c r="V75">
        <v>0.39801473815599431</v>
      </c>
      <c r="W75">
        <v>1</v>
      </c>
    </row>
    <row r="76" spans="1:23" x14ac:dyDescent="0.25">
      <c r="A76" t="s">
        <v>98</v>
      </c>
      <c r="B76" t="s">
        <v>499</v>
      </c>
      <c r="D76" t="s">
        <v>100</v>
      </c>
      <c r="E76" t="s">
        <v>284</v>
      </c>
      <c r="F76" t="s">
        <v>3529</v>
      </c>
      <c r="G76" t="s">
        <v>104</v>
      </c>
      <c r="H76" t="s">
        <v>106</v>
      </c>
      <c r="I76" t="s">
        <v>575</v>
      </c>
      <c r="J76" t="s">
        <v>3572</v>
      </c>
      <c r="K76">
        <v>23.081056453704559</v>
      </c>
      <c r="L76">
        <v>1534.2030339152971</v>
      </c>
      <c r="M76">
        <v>0</v>
      </c>
      <c r="N76">
        <v>0</v>
      </c>
      <c r="O76">
        <v>0</v>
      </c>
      <c r="P76">
        <v>0</v>
      </c>
      <c r="Q76" t="s">
        <v>291</v>
      </c>
      <c r="R76">
        <v>0.96356118565654036</v>
      </c>
      <c r="S76">
        <v>0.5</v>
      </c>
      <c r="T76">
        <v>1</v>
      </c>
      <c r="V76">
        <v>0</v>
      </c>
      <c r="W76">
        <v>1</v>
      </c>
    </row>
    <row r="77" spans="1:23" x14ac:dyDescent="0.25">
      <c r="A77" t="s">
        <v>98</v>
      </c>
      <c r="B77" t="s">
        <v>499</v>
      </c>
      <c r="D77" t="s">
        <v>100</v>
      </c>
      <c r="E77" t="s">
        <v>3114</v>
      </c>
      <c r="F77" t="s">
        <v>136</v>
      </c>
      <c r="G77" t="s">
        <v>136</v>
      </c>
      <c r="H77" t="s">
        <v>138</v>
      </c>
      <c r="I77" t="s">
        <v>3119</v>
      </c>
      <c r="J77" t="s">
        <v>3573</v>
      </c>
      <c r="K77">
        <v>23.081056453704559</v>
      </c>
      <c r="L77">
        <v>0</v>
      </c>
      <c r="M77">
        <v>1</v>
      </c>
      <c r="N77">
        <v>0</v>
      </c>
      <c r="O77">
        <v>0</v>
      </c>
      <c r="P77">
        <v>0</v>
      </c>
      <c r="Q77" t="s">
        <v>111</v>
      </c>
      <c r="R77">
        <v>0.45</v>
      </c>
      <c r="S77">
        <v>6</v>
      </c>
      <c r="T77">
        <v>8</v>
      </c>
      <c r="V77">
        <v>0.44</v>
      </c>
      <c r="W77">
        <v>31.536000000000001</v>
      </c>
    </row>
    <row r="78" spans="1:23" x14ac:dyDescent="0.25">
      <c r="A78" t="s">
        <v>98</v>
      </c>
      <c r="B78" t="s">
        <v>499</v>
      </c>
      <c r="D78" t="s">
        <v>100</v>
      </c>
      <c r="E78" t="s">
        <v>3114</v>
      </c>
      <c r="F78" t="s">
        <v>131</v>
      </c>
      <c r="G78" t="s">
        <v>131</v>
      </c>
      <c r="H78" t="s">
        <v>133</v>
      </c>
      <c r="I78" t="s">
        <v>3119</v>
      </c>
      <c r="J78" t="s">
        <v>3574</v>
      </c>
      <c r="K78">
        <v>23.081056453704559</v>
      </c>
      <c r="L78">
        <v>2473.7043939131809</v>
      </c>
      <c r="M78">
        <v>1</v>
      </c>
      <c r="N78">
        <v>2473.7043939131809</v>
      </c>
      <c r="O78">
        <v>1113.1669772609309</v>
      </c>
      <c r="P78">
        <v>80.223393845773032</v>
      </c>
      <c r="Q78" t="s">
        <v>111</v>
      </c>
      <c r="R78">
        <v>0.45</v>
      </c>
      <c r="S78">
        <v>6</v>
      </c>
      <c r="T78">
        <v>8</v>
      </c>
      <c r="V78">
        <v>0.44</v>
      </c>
      <c r="W78">
        <v>31.536000000000001</v>
      </c>
    </row>
    <row r="79" spans="1:23" x14ac:dyDescent="0.25">
      <c r="A79" t="s">
        <v>98</v>
      </c>
      <c r="B79" t="s">
        <v>499</v>
      </c>
      <c r="D79" t="s">
        <v>100</v>
      </c>
      <c r="E79" t="s">
        <v>3114</v>
      </c>
      <c r="F79" t="s">
        <v>3494</v>
      </c>
      <c r="G79" t="s">
        <v>3494</v>
      </c>
      <c r="H79" t="s">
        <v>3495</v>
      </c>
      <c r="I79" t="s">
        <v>3119</v>
      </c>
      <c r="J79" t="s">
        <v>3575</v>
      </c>
      <c r="K79">
        <v>23.081056453704559</v>
      </c>
      <c r="L79">
        <v>0</v>
      </c>
      <c r="M79">
        <v>1</v>
      </c>
      <c r="N79">
        <v>0</v>
      </c>
      <c r="O79">
        <v>0</v>
      </c>
      <c r="P79">
        <v>0</v>
      </c>
      <c r="Q79" t="s">
        <v>111</v>
      </c>
      <c r="R79">
        <v>0.7</v>
      </c>
      <c r="S79">
        <v>6</v>
      </c>
      <c r="T79">
        <v>8</v>
      </c>
      <c r="V79">
        <v>0.44</v>
      </c>
      <c r="W79">
        <v>31.536000000000001</v>
      </c>
    </row>
    <row r="80" spans="1:23" x14ac:dyDescent="0.25">
      <c r="A80" t="s">
        <v>98</v>
      </c>
      <c r="B80" t="s">
        <v>499</v>
      </c>
      <c r="D80" t="s">
        <v>100</v>
      </c>
      <c r="E80" t="s">
        <v>3114</v>
      </c>
      <c r="F80" t="s">
        <v>104</v>
      </c>
      <c r="G80" t="s">
        <v>104</v>
      </c>
      <c r="H80" t="s">
        <v>106</v>
      </c>
      <c r="I80" t="s">
        <v>3119</v>
      </c>
      <c r="J80" t="s">
        <v>3576</v>
      </c>
      <c r="K80">
        <v>23.081056453704559</v>
      </c>
      <c r="L80">
        <v>132.28556526386839</v>
      </c>
      <c r="M80">
        <v>1</v>
      </c>
      <c r="N80">
        <v>132.28556526386839</v>
      </c>
      <c r="O80">
        <v>92.599895684707874</v>
      </c>
      <c r="P80">
        <v>6.6734623406372444</v>
      </c>
      <c r="Q80" t="s">
        <v>111</v>
      </c>
      <c r="R80">
        <v>0.7</v>
      </c>
      <c r="S80">
        <v>6</v>
      </c>
      <c r="T80">
        <v>8</v>
      </c>
      <c r="V80">
        <v>0.44</v>
      </c>
      <c r="W80">
        <v>31.536000000000001</v>
      </c>
    </row>
    <row r="81" spans="1:23" x14ac:dyDescent="0.25">
      <c r="A81" t="s">
        <v>98</v>
      </c>
      <c r="B81" t="s">
        <v>499</v>
      </c>
      <c r="D81" t="s">
        <v>100</v>
      </c>
      <c r="E81" t="s">
        <v>439</v>
      </c>
      <c r="F81" t="s">
        <v>104</v>
      </c>
      <c r="G81" t="s">
        <v>104</v>
      </c>
      <c r="H81" t="s">
        <v>106</v>
      </c>
      <c r="I81" t="s">
        <v>646</v>
      </c>
      <c r="J81" t="s">
        <v>3577</v>
      </c>
      <c r="K81">
        <v>23.081056453704559</v>
      </c>
      <c r="L81">
        <v>646.06574229598482</v>
      </c>
      <c r="M81">
        <v>1</v>
      </c>
      <c r="N81">
        <v>646.06574229598482</v>
      </c>
      <c r="O81">
        <v>646.06574229598482</v>
      </c>
      <c r="P81">
        <v>46.560477945550311</v>
      </c>
      <c r="Q81" t="s">
        <v>111</v>
      </c>
      <c r="R81">
        <v>1</v>
      </c>
      <c r="S81">
        <v>5</v>
      </c>
      <c r="T81">
        <v>500</v>
      </c>
      <c r="V81">
        <v>0.44</v>
      </c>
      <c r="W81">
        <v>31.536000000000001</v>
      </c>
    </row>
    <row r="82" spans="1:23" x14ac:dyDescent="0.25">
      <c r="A82" t="s">
        <v>98</v>
      </c>
      <c r="B82" t="s">
        <v>499</v>
      </c>
      <c r="D82" t="s">
        <v>100</v>
      </c>
      <c r="E82" t="s">
        <v>3149</v>
      </c>
      <c r="F82" t="s">
        <v>136</v>
      </c>
      <c r="G82" t="s">
        <v>136</v>
      </c>
      <c r="H82" t="s">
        <v>138</v>
      </c>
      <c r="I82" t="s">
        <v>3153</v>
      </c>
      <c r="J82" t="s">
        <v>3578</v>
      </c>
      <c r="K82">
        <v>23.081056453704559</v>
      </c>
      <c r="L82">
        <v>126.9511603424039</v>
      </c>
      <c r="M82">
        <v>1</v>
      </c>
      <c r="N82">
        <v>126.9511603424039</v>
      </c>
      <c r="O82">
        <v>126.9511603424039</v>
      </c>
      <c r="P82">
        <v>288.52536441455419</v>
      </c>
      <c r="Q82" t="s">
        <v>3152</v>
      </c>
      <c r="R82">
        <v>1</v>
      </c>
      <c r="S82">
        <v>12.5</v>
      </c>
      <c r="T82">
        <v>10</v>
      </c>
      <c r="V82">
        <v>0.44</v>
      </c>
      <c r="W82">
        <v>1</v>
      </c>
    </row>
    <row r="83" spans="1:23" x14ac:dyDescent="0.25">
      <c r="A83" t="s">
        <v>98</v>
      </c>
      <c r="B83" t="s">
        <v>499</v>
      </c>
      <c r="D83" t="s">
        <v>100</v>
      </c>
      <c r="E83" t="s">
        <v>3149</v>
      </c>
      <c r="F83" t="s">
        <v>131</v>
      </c>
      <c r="G83" t="s">
        <v>131</v>
      </c>
      <c r="H83" t="s">
        <v>133</v>
      </c>
      <c r="I83" t="s">
        <v>3153</v>
      </c>
      <c r="J83" t="s">
        <v>3579</v>
      </c>
      <c r="K83">
        <v>23.081056453704559</v>
      </c>
      <c r="L83">
        <v>304.8651537984054</v>
      </c>
      <c r="M83">
        <v>1</v>
      </c>
      <c r="N83">
        <v>304.8651537984054</v>
      </c>
      <c r="O83">
        <v>304.8651537984054</v>
      </c>
      <c r="P83">
        <v>692.87534954183047</v>
      </c>
      <c r="Q83" t="s">
        <v>3152</v>
      </c>
      <c r="R83">
        <v>1</v>
      </c>
      <c r="S83">
        <v>12.5</v>
      </c>
      <c r="T83">
        <v>10</v>
      </c>
      <c r="V83">
        <v>0.44</v>
      </c>
      <c r="W83">
        <v>1</v>
      </c>
    </row>
    <row r="84" spans="1:23" x14ac:dyDescent="0.25">
      <c r="A84" t="s">
        <v>98</v>
      </c>
      <c r="B84" t="s">
        <v>499</v>
      </c>
      <c r="D84" t="s">
        <v>100</v>
      </c>
      <c r="E84" t="s">
        <v>3149</v>
      </c>
      <c r="F84" t="s">
        <v>3494</v>
      </c>
      <c r="G84" t="s">
        <v>3494</v>
      </c>
      <c r="H84" t="s">
        <v>3495</v>
      </c>
      <c r="I84" t="s">
        <v>3153</v>
      </c>
      <c r="J84" t="s">
        <v>3580</v>
      </c>
      <c r="K84">
        <v>23.081056453704559</v>
      </c>
      <c r="L84">
        <v>0</v>
      </c>
      <c r="M84">
        <v>1</v>
      </c>
      <c r="N84">
        <v>0</v>
      </c>
      <c r="O84">
        <v>0</v>
      </c>
      <c r="P84">
        <v>0</v>
      </c>
      <c r="Q84" t="s">
        <v>3152</v>
      </c>
      <c r="R84">
        <v>1</v>
      </c>
      <c r="S84">
        <v>12.5</v>
      </c>
      <c r="T84">
        <v>10</v>
      </c>
      <c r="V84">
        <v>0.44</v>
      </c>
      <c r="W84">
        <v>1</v>
      </c>
    </row>
    <row r="85" spans="1:23" x14ac:dyDescent="0.25">
      <c r="A85" t="s">
        <v>98</v>
      </c>
      <c r="B85" t="s">
        <v>499</v>
      </c>
      <c r="D85" t="s">
        <v>100</v>
      </c>
      <c r="E85" t="s">
        <v>3149</v>
      </c>
      <c r="F85" t="s">
        <v>104</v>
      </c>
      <c r="G85" t="s">
        <v>104</v>
      </c>
      <c r="H85" t="s">
        <v>106</v>
      </c>
      <c r="I85" t="s">
        <v>3153</v>
      </c>
      <c r="J85" t="s">
        <v>3581</v>
      </c>
      <c r="K85">
        <v>23.081056453704559</v>
      </c>
      <c r="L85">
        <v>1032.3649814033611</v>
      </c>
      <c r="M85">
        <v>1</v>
      </c>
      <c r="N85">
        <v>1032.3649814033611</v>
      </c>
      <c r="O85">
        <v>1032.3649814033611</v>
      </c>
      <c r="P85">
        <v>2346.2840486440009</v>
      </c>
      <c r="Q85" t="s">
        <v>3152</v>
      </c>
      <c r="R85">
        <v>1</v>
      </c>
      <c r="S85">
        <v>12.5</v>
      </c>
      <c r="T85">
        <v>10</v>
      </c>
      <c r="V85">
        <v>0.44</v>
      </c>
      <c r="W85">
        <v>1</v>
      </c>
    </row>
    <row r="86" spans="1:23" x14ac:dyDescent="0.25">
      <c r="A86" t="s">
        <v>98</v>
      </c>
      <c r="B86" t="s">
        <v>674</v>
      </c>
      <c r="D86" t="s">
        <v>100</v>
      </c>
      <c r="E86" t="s">
        <v>101</v>
      </c>
      <c r="F86" t="s">
        <v>3467</v>
      </c>
      <c r="G86" t="s">
        <v>104</v>
      </c>
      <c r="H86" t="s">
        <v>106</v>
      </c>
      <c r="I86" t="s">
        <v>675</v>
      </c>
      <c r="J86" t="s">
        <v>3582</v>
      </c>
      <c r="K86">
        <v>73.164818964644439</v>
      </c>
      <c r="L86">
        <v>667.51401101438853</v>
      </c>
      <c r="M86">
        <v>0.76919736249036363</v>
      </c>
      <c r="N86">
        <v>513.45001669763121</v>
      </c>
      <c r="O86">
        <v>503.18101636367862</v>
      </c>
      <c r="P86">
        <v>204.8512964942544</v>
      </c>
      <c r="Q86" t="s">
        <v>111</v>
      </c>
      <c r="R86">
        <v>0.98</v>
      </c>
      <c r="S86">
        <v>7.5</v>
      </c>
      <c r="T86">
        <v>1</v>
      </c>
      <c r="V86">
        <v>7.7889501468295638E-2</v>
      </c>
      <c r="W86">
        <v>31.536000000000001</v>
      </c>
    </row>
    <row r="87" spans="1:23" x14ac:dyDescent="0.25">
      <c r="A87" t="s">
        <v>98</v>
      </c>
      <c r="B87" t="s">
        <v>674</v>
      </c>
      <c r="D87" t="s">
        <v>100</v>
      </c>
      <c r="E87" t="s">
        <v>101</v>
      </c>
      <c r="F87" t="s">
        <v>3469</v>
      </c>
      <c r="G87" t="s">
        <v>104</v>
      </c>
      <c r="H87" t="s">
        <v>106</v>
      </c>
      <c r="I87" t="s">
        <v>675</v>
      </c>
      <c r="J87" t="s">
        <v>3583</v>
      </c>
      <c r="K87">
        <v>73.164818964644439</v>
      </c>
      <c r="L87">
        <v>667.51401101438853</v>
      </c>
      <c r="M87">
        <v>6.2163766675420132E-2</v>
      </c>
      <c r="N87">
        <v>41.495185233272267</v>
      </c>
      <c r="O87">
        <v>38.885138082099452</v>
      </c>
      <c r="P87">
        <v>14.721705260191969</v>
      </c>
      <c r="Q87" t="s">
        <v>111</v>
      </c>
      <c r="R87">
        <v>0.93709999999999993</v>
      </c>
      <c r="S87">
        <v>7.5</v>
      </c>
      <c r="T87">
        <v>1</v>
      </c>
      <c r="V87">
        <v>8.3756576976005664E-2</v>
      </c>
      <c r="W87">
        <v>31.536000000000001</v>
      </c>
    </row>
    <row r="88" spans="1:23" x14ac:dyDescent="0.25">
      <c r="A88" t="s">
        <v>98</v>
      </c>
      <c r="B88" t="s">
        <v>674</v>
      </c>
      <c r="D88" t="s">
        <v>100</v>
      </c>
      <c r="E88" t="s">
        <v>101</v>
      </c>
      <c r="F88" t="s">
        <v>3471</v>
      </c>
      <c r="G88" t="s">
        <v>104</v>
      </c>
      <c r="H88" t="s">
        <v>106</v>
      </c>
      <c r="I88" t="s">
        <v>675</v>
      </c>
      <c r="J88" t="s">
        <v>3584</v>
      </c>
      <c r="K88">
        <v>73.164818964644439</v>
      </c>
      <c r="L88">
        <v>667.51401101438853</v>
      </c>
      <c r="M88">
        <v>0.1686388708342163</v>
      </c>
      <c r="N88">
        <v>112.56880908348511</v>
      </c>
      <c r="O88">
        <v>348.96330815880378</v>
      </c>
      <c r="P88">
        <v>39.105965353108793</v>
      </c>
      <c r="Q88" t="s">
        <v>111</v>
      </c>
      <c r="R88">
        <v>3.1</v>
      </c>
      <c r="S88">
        <v>10.5</v>
      </c>
      <c r="T88">
        <v>14.33104807576899</v>
      </c>
      <c r="V88">
        <v>0.28296332315965528</v>
      </c>
      <c r="W88">
        <v>31.536000000000001</v>
      </c>
    </row>
    <row r="89" spans="1:23" x14ac:dyDescent="0.25">
      <c r="A89" t="s">
        <v>98</v>
      </c>
      <c r="B89" t="s">
        <v>674</v>
      </c>
      <c r="D89" t="s">
        <v>100</v>
      </c>
      <c r="E89" t="s">
        <v>101</v>
      </c>
      <c r="F89" t="s">
        <v>3473</v>
      </c>
      <c r="G89" t="s">
        <v>104</v>
      </c>
      <c r="H89" t="s">
        <v>106</v>
      </c>
      <c r="I89" t="s">
        <v>675</v>
      </c>
      <c r="J89" t="s">
        <v>3585</v>
      </c>
      <c r="K89">
        <v>73.164818964644439</v>
      </c>
      <c r="L89">
        <v>667.51401101438853</v>
      </c>
      <c r="M89">
        <v>0</v>
      </c>
      <c r="N89">
        <v>0</v>
      </c>
      <c r="O89">
        <v>0</v>
      </c>
      <c r="P89">
        <v>0</v>
      </c>
      <c r="Q89" t="s">
        <v>111</v>
      </c>
      <c r="R89">
        <v>3.4</v>
      </c>
      <c r="S89">
        <v>7.2</v>
      </c>
      <c r="T89">
        <v>13.00195893970977</v>
      </c>
      <c r="V89">
        <v>0.31034687056220261</v>
      </c>
      <c r="W89">
        <v>31.536000000000001</v>
      </c>
    </row>
    <row r="90" spans="1:23" x14ac:dyDescent="0.25">
      <c r="A90" t="s">
        <v>98</v>
      </c>
      <c r="B90" t="s">
        <v>674</v>
      </c>
      <c r="D90" t="s">
        <v>100</v>
      </c>
      <c r="E90" t="s">
        <v>101</v>
      </c>
      <c r="F90" t="s">
        <v>3475</v>
      </c>
      <c r="G90" t="s">
        <v>131</v>
      </c>
      <c r="H90" t="s">
        <v>133</v>
      </c>
      <c r="I90" t="s">
        <v>675</v>
      </c>
      <c r="J90" t="s">
        <v>3586</v>
      </c>
      <c r="K90">
        <v>73.164818964644439</v>
      </c>
      <c r="L90">
        <v>25870.196294497779</v>
      </c>
      <c r="M90">
        <v>0.23746412145040691</v>
      </c>
      <c r="N90">
        <v>6143.2434348224879</v>
      </c>
      <c r="O90">
        <v>4364.7744604413774</v>
      </c>
      <c r="P90">
        <v>642.32022672076914</v>
      </c>
      <c r="Q90" t="s">
        <v>111</v>
      </c>
      <c r="R90">
        <v>0.71050000000000002</v>
      </c>
      <c r="S90">
        <v>11.5</v>
      </c>
      <c r="T90">
        <v>2.0235418398467511</v>
      </c>
      <c r="V90">
        <v>0.21547833065019231</v>
      </c>
      <c r="W90">
        <v>31.536000000000001</v>
      </c>
    </row>
    <row r="91" spans="1:23" x14ac:dyDescent="0.25">
      <c r="A91" t="s">
        <v>98</v>
      </c>
      <c r="B91" t="s">
        <v>674</v>
      </c>
      <c r="D91" t="s">
        <v>100</v>
      </c>
      <c r="E91" t="s">
        <v>101</v>
      </c>
      <c r="F91" t="s">
        <v>3477</v>
      </c>
      <c r="G91" t="s">
        <v>131</v>
      </c>
      <c r="H91" t="s">
        <v>133</v>
      </c>
      <c r="I91" t="s">
        <v>675</v>
      </c>
      <c r="J91" t="s">
        <v>3587</v>
      </c>
      <c r="K91">
        <v>73.164818964644439</v>
      </c>
      <c r="L91">
        <v>25870.196294497779</v>
      </c>
      <c r="M91">
        <v>0.72512970134267596</v>
      </c>
      <c r="N91">
        <v>18759.247712705579</v>
      </c>
      <c r="O91">
        <v>14257.02826165624</v>
      </c>
      <c r="P91">
        <v>2181.2271141426631</v>
      </c>
      <c r="Q91" t="s">
        <v>111</v>
      </c>
      <c r="R91">
        <v>0.76</v>
      </c>
      <c r="S91">
        <v>12.5</v>
      </c>
      <c r="T91">
        <v>11.357593544393531</v>
      </c>
      <c r="V91">
        <v>0.2072628739815873</v>
      </c>
      <c r="W91">
        <v>31.536000000000001</v>
      </c>
    </row>
    <row r="92" spans="1:23" x14ac:dyDescent="0.25">
      <c r="A92" t="s">
        <v>98</v>
      </c>
      <c r="B92" t="s">
        <v>674</v>
      </c>
      <c r="D92" t="s">
        <v>100</v>
      </c>
      <c r="E92" t="s">
        <v>101</v>
      </c>
      <c r="F92" t="s">
        <v>3479</v>
      </c>
      <c r="G92" t="s">
        <v>131</v>
      </c>
      <c r="H92" t="s">
        <v>133</v>
      </c>
      <c r="I92" t="s">
        <v>675</v>
      </c>
      <c r="J92" t="s">
        <v>3588</v>
      </c>
      <c r="K92">
        <v>73.164818964644439</v>
      </c>
      <c r="L92">
        <v>25870.196294497779</v>
      </c>
      <c r="M92">
        <v>3.7406177206917128E-2</v>
      </c>
      <c r="N92">
        <v>967.70514696971497</v>
      </c>
      <c r="O92">
        <v>1258.016691060629</v>
      </c>
      <c r="P92">
        <v>56.450865588016008</v>
      </c>
      <c r="Q92" t="s">
        <v>111</v>
      </c>
      <c r="R92">
        <v>1.3</v>
      </c>
      <c r="S92">
        <v>7.5</v>
      </c>
      <c r="T92">
        <v>12</v>
      </c>
      <c r="V92">
        <v>0.70665785493473421</v>
      </c>
      <c r="W92">
        <v>31.536000000000001</v>
      </c>
    </row>
    <row r="93" spans="1:23" x14ac:dyDescent="0.25">
      <c r="A93" t="s">
        <v>98</v>
      </c>
      <c r="B93" t="s">
        <v>674</v>
      </c>
      <c r="D93" t="s">
        <v>100</v>
      </c>
      <c r="E93" t="s">
        <v>101</v>
      </c>
      <c r="F93" t="s">
        <v>3481</v>
      </c>
      <c r="G93" t="s">
        <v>136</v>
      </c>
      <c r="H93" t="s">
        <v>138</v>
      </c>
      <c r="I93" t="s">
        <v>675</v>
      </c>
      <c r="J93" t="s">
        <v>3589</v>
      </c>
      <c r="K93">
        <v>73.164818964644439</v>
      </c>
      <c r="L93">
        <v>1607.0979559014249</v>
      </c>
      <c r="M93">
        <v>0.9704251153864496</v>
      </c>
      <c r="N93">
        <v>1559.568219292968</v>
      </c>
      <c r="O93">
        <v>1232.058893241445</v>
      </c>
      <c r="P93">
        <v>244.15669771212879</v>
      </c>
      <c r="Q93" t="s">
        <v>111</v>
      </c>
      <c r="R93">
        <v>0.79</v>
      </c>
      <c r="S93">
        <v>12.5</v>
      </c>
      <c r="T93">
        <v>14</v>
      </c>
      <c r="V93">
        <v>0.1600133503709846</v>
      </c>
      <c r="W93">
        <v>31.536000000000001</v>
      </c>
    </row>
    <row r="94" spans="1:23" x14ac:dyDescent="0.25">
      <c r="A94" t="s">
        <v>98</v>
      </c>
      <c r="B94" t="s">
        <v>674</v>
      </c>
      <c r="D94" t="s">
        <v>100</v>
      </c>
      <c r="E94" t="s">
        <v>101</v>
      </c>
      <c r="F94" t="s">
        <v>3483</v>
      </c>
      <c r="G94" t="s">
        <v>136</v>
      </c>
      <c r="H94" t="s">
        <v>138</v>
      </c>
      <c r="I94" t="s">
        <v>675</v>
      </c>
      <c r="J94" t="s">
        <v>3590</v>
      </c>
      <c r="K94">
        <v>73.164818964644439</v>
      </c>
      <c r="L94">
        <v>1607.0979559014249</v>
      </c>
      <c r="M94">
        <v>2.957488461355039E-2</v>
      </c>
      <c r="N94">
        <v>47.529736608457341</v>
      </c>
      <c r="O94">
        <v>36.146364690731808</v>
      </c>
      <c r="P94">
        <v>7.4409720523217837</v>
      </c>
      <c r="Q94" t="s">
        <v>111</v>
      </c>
      <c r="R94">
        <v>0.76049999999999995</v>
      </c>
      <c r="S94">
        <v>11.5</v>
      </c>
      <c r="T94">
        <v>4</v>
      </c>
      <c r="V94">
        <v>0.15403816830016931</v>
      </c>
      <c r="W94">
        <v>31.536000000000001</v>
      </c>
    </row>
    <row r="95" spans="1:23" x14ac:dyDescent="0.25">
      <c r="A95" t="s">
        <v>98</v>
      </c>
      <c r="B95" t="s">
        <v>674</v>
      </c>
      <c r="D95" t="s">
        <v>100</v>
      </c>
      <c r="E95" t="s">
        <v>101</v>
      </c>
      <c r="F95" t="s">
        <v>3485</v>
      </c>
      <c r="G95" t="s">
        <v>3486</v>
      </c>
      <c r="H95" t="s">
        <v>3487</v>
      </c>
      <c r="I95" t="s">
        <v>675</v>
      </c>
      <c r="J95" t="s">
        <v>3591</v>
      </c>
      <c r="K95">
        <v>73.164818964644439</v>
      </c>
      <c r="L95">
        <v>0</v>
      </c>
      <c r="M95">
        <v>6.2862386085440536E-2</v>
      </c>
      <c r="N95">
        <v>0</v>
      </c>
      <c r="O95">
        <v>0</v>
      </c>
      <c r="P95">
        <v>0</v>
      </c>
      <c r="Q95" t="s">
        <v>111</v>
      </c>
      <c r="R95">
        <v>0.71050000000000002</v>
      </c>
      <c r="S95">
        <v>11.5</v>
      </c>
      <c r="T95">
        <v>2.0235418398467511</v>
      </c>
      <c r="V95">
        <v>0.21547833065019231</v>
      </c>
      <c r="W95">
        <v>31.536000000000001</v>
      </c>
    </row>
    <row r="96" spans="1:23" x14ac:dyDescent="0.25">
      <c r="A96" t="s">
        <v>98</v>
      </c>
      <c r="B96" t="s">
        <v>674</v>
      </c>
      <c r="D96" t="s">
        <v>100</v>
      </c>
      <c r="E96" t="s">
        <v>101</v>
      </c>
      <c r="F96" t="s">
        <v>3489</v>
      </c>
      <c r="G96" t="s">
        <v>3486</v>
      </c>
      <c r="H96" t="s">
        <v>3487</v>
      </c>
      <c r="I96" t="s">
        <v>675</v>
      </c>
      <c r="J96" t="s">
        <v>3592</v>
      </c>
      <c r="K96">
        <v>73.164818964644439</v>
      </c>
      <c r="L96">
        <v>0</v>
      </c>
      <c r="M96">
        <v>1.4338595260368139E-2</v>
      </c>
      <c r="N96">
        <v>0</v>
      </c>
      <c r="O96">
        <v>0</v>
      </c>
      <c r="P96">
        <v>0</v>
      </c>
      <c r="Q96" t="s">
        <v>111</v>
      </c>
      <c r="R96">
        <v>0.76</v>
      </c>
      <c r="S96">
        <v>12.5</v>
      </c>
      <c r="T96">
        <v>11.357593544393531</v>
      </c>
      <c r="V96">
        <v>0.2072628739815873</v>
      </c>
      <c r="W96">
        <v>31.536000000000001</v>
      </c>
    </row>
    <row r="97" spans="1:23" x14ac:dyDescent="0.25">
      <c r="A97" t="s">
        <v>98</v>
      </c>
      <c r="B97" t="s">
        <v>674</v>
      </c>
      <c r="D97" t="s">
        <v>100</v>
      </c>
      <c r="E97" t="s">
        <v>101</v>
      </c>
      <c r="F97" t="s">
        <v>3491</v>
      </c>
      <c r="G97" t="s">
        <v>3486</v>
      </c>
      <c r="H97" t="s">
        <v>3487</v>
      </c>
      <c r="I97" t="s">
        <v>675</v>
      </c>
      <c r="J97" t="s">
        <v>3593</v>
      </c>
      <c r="K97">
        <v>73.164818964644439</v>
      </c>
      <c r="L97">
        <v>0</v>
      </c>
      <c r="M97">
        <v>0.92279901865419134</v>
      </c>
      <c r="N97">
        <v>0</v>
      </c>
      <c r="O97">
        <v>0</v>
      </c>
      <c r="P97">
        <v>0</v>
      </c>
      <c r="Q97" t="s">
        <v>111</v>
      </c>
      <c r="R97">
        <v>1.3</v>
      </c>
      <c r="S97">
        <v>7.5</v>
      </c>
      <c r="T97">
        <v>12</v>
      </c>
      <c r="V97">
        <v>0.70665785493473421</v>
      </c>
      <c r="W97">
        <v>31.536000000000001</v>
      </c>
    </row>
    <row r="98" spans="1:23" x14ac:dyDescent="0.25">
      <c r="A98" t="s">
        <v>98</v>
      </c>
      <c r="B98" t="s">
        <v>674</v>
      </c>
      <c r="D98" t="s">
        <v>100</v>
      </c>
      <c r="E98" t="s">
        <v>101</v>
      </c>
      <c r="F98" t="s">
        <v>3493</v>
      </c>
      <c r="G98" t="s">
        <v>3494</v>
      </c>
      <c r="H98" t="s">
        <v>3495</v>
      </c>
      <c r="I98" t="s">
        <v>675</v>
      </c>
      <c r="J98" t="s">
        <v>3594</v>
      </c>
      <c r="K98">
        <v>73.164818964644439</v>
      </c>
      <c r="L98">
        <v>493.94851258829033</v>
      </c>
      <c r="M98">
        <v>1</v>
      </c>
      <c r="N98">
        <v>493.94851258829033</v>
      </c>
      <c r="O98">
        <v>462.87915114648678</v>
      </c>
      <c r="P98">
        <v>46.586164029301401</v>
      </c>
      <c r="Q98" t="s">
        <v>111</v>
      </c>
      <c r="R98">
        <v>0.93709999999999993</v>
      </c>
      <c r="S98">
        <v>12.5</v>
      </c>
      <c r="T98">
        <v>1</v>
      </c>
      <c r="V98">
        <v>0.31506782973684411</v>
      </c>
      <c r="W98">
        <v>31.536000000000001</v>
      </c>
    </row>
    <row r="99" spans="1:23" x14ac:dyDescent="0.25">
      <c r="A99" t="s">
        <v>98</v>
      </c>
      <c r="B99" t="s">
        <v>674</v>
      </c>
      <c r="D99" t="s">
        <v>100</v>
      </c>
      <c r="E99" t="s">
        <v>142</v>
      </c>
      <c r="F99" t="s">
        <v>3497</v>
      </c>
      <c r="G99" t="s">
        <v>104</v>
      </c>
      <c r="H99" t="s">
        <v>106</v>
      </c>
      <c r="I99" t="s">
        <v>688</v>
      </c>
      <c r="J99" t="s">
        <v>3595</v>
      </c>
      <c r="K99">
        <v>73.164818964644439</v>
      </c>
      <c r="L99">
        <v>1262.296320729658</v>
      </c>
      <c r="M99">
        <v>1.877535675106486E-2</v>
      </c>
      <c r="N99">
        <v>23.700063747255921</v>
      </c>
      <c r="O99">
        <v>79.185441593996941</v>
      </c>
      <c r="P99">
        <v>12.26408426776154</v>
      </c>
      <c r="Q99" t="s">
        <v>111</v>
      </c>
      <c r="R99">
        <v>3.3411488862837051</v>
      </c>
      <c r="S99">
        <v>9</v>
      </c>
      <c r="T99">
        <v>8</v>
      </c>
      <c r="V99">
        <v>0.20474042955564961</v>
      </c>
      <c r="W99">
        <v>31.536000000000001</v>
      </c>
    </row>
    <row r="100" spans="1:23" x14ac:dyDescent="0.25">
      <c r="A100" t="s">
        <v>98</v>
      </c>
      <c r="B100" t="s">
        <v>674</v>
      </c>
      <c r="D100" t="s">
        <v>100</v>
      </c>
      <c r="E100" t="s">
        <v>142</v>
      </c>
      <c r="F100" t="s">
        <v>3499</v>
      </c>
      <c r="G100" t="s">
        <v>104</v>
      </c>
      <c r="H100" t="s">
        <v>106</v>
      </c>
      <c r="I100" t="s">
        <v>688</v>
      </c>
      <c r="J100" t="s">
        <v>3596</v>
      </c>
      <c r="K100">
        <v>73.164818964644439</v>
      </c>
      <c r="L100">
        <v>1262.296320729658</v>
      </c>
      <c r="M100">
        <v>0.31354536490665019</v>
      </c>
      <c r="N100">
        <v>395.78716050350278</v>
      </c>
      <c r="O100">
        <v>1009.187660134957</v>
      </c>
      <c r="P100">
        <v>186.65683448511061</v>
      </c>
      <c r="Q100" t="s">
        <v>111</v>
      </c>
      <c r="R100">
        <v>2.5498241500586158</v>
      </c>
      <c r="S100">
        <v>5</v>
      </c>
      <c r="T100">
        <v>0</v>
      </c>
      <c r="V100">
        <v>0.17144365950347401</v>
      </c>
      <c r="W100">
        <v>31.536000000000001</v>
      </c>
    </row>
    <row r="101" spans="1:23" x14ac:dyDescent="0.25">
      <c r="A101" t="s">
        <v>98</v>
      </c>
      <c r="B101" t="s">
        <v>674</v>
      </c>
      <c r="D101" t="s">
        <v>100</v>
      </c>
      <c r="E101" t="s">
        <v>142</v>
      </c>
      <c r="F101" t="s">
        <v>3501</v>
      </c>
      <c r="G101" t="s">
        <v>104</v>
      </c>
      <c r="H101" t="s">
        <v>106</v>
      </c>
      <c r="I101" t="s">
        <v>688</v>
      </c>
      <c r="J101" t="s">
        <v>3597</v>
      </c>
      <c r="K101">
        <v>73.164818964644439</v>
      </c>
      <c r="L101">
        <v>1262.296320729658</v>
      </c>
      <c r="M101">
        <v>0.54794207442142862</v>
      </c>
      <c r="N101">
        <v>691.66526451514596</v>
      </c>
      <c r="O101">
        <v>2115.2921082067769</v>
      </c>
      <c r="P101">
        <v>338.51470804542322</v>
      </c>
      <c r="Q101" t="s">
        <v>111</v>
      </c>
      <c r="R101">
        <v>3.058259850145268</v>
      </c>
      <c r="S101">
        <v>9</v>
      </c>
      <c r="T101">
        <v>8</v>
      </c>
      <c r="V101">
        <v>0.1981464058782797</v>
      </c>
      <c r="W101">
        <v>31.536000000000001</v>
      </c>
    </row>
    <row r="102" spans="1:23" x14ac:dyDescent="0.25">
      <c r="A102" t="s">
        <v>98</v>
      </c>
      <c r="B102" t="s">
        <v>674</v>
      </c>
      <c r="D102" t="s">
        <v>100</v>
      </c>
      <c r="E102" t="s">
        <v>142</v>
      </c>
      <c r="F102" t="s">
        <v>3503</v>
      </c>
      <c r="G102" t="s">
        <v>104</v>
      </c>
      <c r="H102" t="s">
        <v>106</v>
      </c>
      <c r="I102" t="s">
        <v>688</v>
      </c>
      <c r="J102" t="s">
        <v>3598</v>
      </c>
      <c r="K102">
        <v>73.164818964644439</v>
      </c>
      <c r="L102">
        <v>1262.296320729658</v>
      </c>
      <c r="M102">
        <v>4.6421553760468019E-2</v>
      </c>
      <c r="N102">
        <v>58.59775651439282</v>
      </c>
      <c r="O102">
        <v>159.71838674790541</v>
      </c>
      <c r="P102">
        <v>40.689909612160001</v>
      </c>
      <c r="Q102" t="s">
        <v>111</v>
      </c>
      <c r="R102">
        <v>2.7256740914419701</v>
      </c>
      <c r="S102">
        <v>10.5</v>
      </c>
      <c r="T102">
        <v>14</v>
      </c>
      <c r="V102">
        <v>0.1244691096154462</v>
      </c>
      <c r="W102">
        <v>31.536000000000001</v>
      </c>
    </row>
    <row r="103" spans="1:23" x14ac:dyDescent="0.25">
      <c r="A103" t="s">
        <v>98</v>
      </c>
      <c r="B103" t="s">
        <v>674</v>
      </c>
      <c r="D103" t="s">
        <v>100</v>
      </c>
      <c r="E103" t="s">
        <v>142</v>
      </c>
      <c r="F103" t="s">
        <v>3505</v>
      </c>
      <c r="G103" t="s">
        <v>104</v>
      </c>
      <c r="H103" t="s">
        <v>106</v>
      </c>
      <c r="I103" t="s">
        <v>688</v>
      </c>
      <c r="J103" t="s">
        <v>3599</v>
      </c>
      <c r="K103">
        <v>73.164818964644439</v>
      </c>
      <c r="L103">
        <v>1262.296320729658</v>
      </c>
      <c r="M103">
        <v>1.650287494239581E-3</v>
      </c>
      <c r="N103">
        <v>2.0831518321247899</v>
      </c>
      <c r="O103">
        <v>5.616939289433784</v>
      </c>
      <c r="P103">
        <v>0.90077240901215283</v>
      </c>
      <c r="Q103" t="s">
        <v>111</v>
      </c>
      <c r="R103">
        <v>2.6963657678780768</v>
      </c>
      <c r="S103">
        <v>10.5</v>
      </c>
      <c r="T103">
        <v>14</v>
      </c>
      <c r="V103">
        <v>0.19773249565748721</v>
      </c>
      <c r="W103">
        <v>31.536000000000001</v>
      </c>
    </row>
    <row r="104" spans="1:23" x14ac:dyDescent="0.25">
      <c r="A104" t="s">
        <v>98</v>
      </c>
      <c r="B104" t="s">
        <v>674</v>
      </c>
      <c r="D104" t="s">
        <v>100</v>
      </c>
      <c r="E104" t="s">
        <v>142</v>
      </c>
      <c r="F104" t="s">
        <v>3507</v>
      </c>
      <c r="G104" t="s">
        <v>104</v>
      </c>
      <c r="H104" t="s">
        <v>106</v>
      </c>
      <c r="I104" t="s">
        <v>688</v>
      </c>
      <c r="J104" t="s">
        <v>3600</v>
      </c>
      <c r="K104">
        <v>73.164818964644439</v>
      </c>
      <c r="L104">
        <v>1262.296320729658</v>
      </c>
      <c r="M104">
        <v>1.6192744052375451E-3</v>
      </c>
      <c r="N104">
        <v>2.04400412398306</v>
      </c>
      <c r="O104">
        <v>1.2264024743898361</v>
      </c>
      <c r="P104">
        <v>2.1132640207884519</v>
      </c>
      <c r="Q104" t="s">
        <v>111</v>
      </c>
      <c r="R104">
        <v>0.6</v>
      </c>
      <c r="S104">
        <v>7.5</v>
      </c>
      <c r="T104">
        <v>12</v>
      </c>
      <c r="V104">
        <v>1.8402323121351639E-2</v>
      </c>
      <c r="W104">
        <v>31.536000000000001</v>
      </c>
    </row>
    <row r="105" spans="1:23" x14ac:dyDescent="0.25">
      <c r="A105" t="s">
        <v>98</v>
      </c>
      <c r="B105" t="s">
        <v>674</v>
      </c>
      <c r="D105" t="s">
        <v>100</v>
      </c>
      <c r="E105" t="s">
        <v>142</v>
      </c>
      <c r="F105" t="s">
        <v>3509</v>
      </c>
      <c r="G105" t="s">
        <v>104</v>
      </c>
      <c r="H105" t="s">
        <v>106</v>
      </c>
      <c r="I105" t="s">
        <v>688</v>
      </c>
      <c r="J105" t="s">
        <v>3601</v>
      </c>
      <c r="K105">
        <v>73.164818964644439</v>
      </c>
      <c r="L105">
        <v>1262.296320729658</v>
      </c>
      <c r="M105">
        <v>7.0046088260911479E-2</v>
      </c>
      <c r="N105">
        <v>88.418919493253483</v>
      </c>
      <c r="O105">
        <v>88.418919493253483</v>
      </c>
      <c r="P105">
        <v>12.437227193317799</v>
      </c>
      <c r="Q105" t="s">
        <v>111</v>
      </c>
      <c r="R105">
        <v>1</v>
      </c>
      <c r="S105">
        <v>11.5</v>
      </c>
      <c r="T105">
        <v>10</v>
      </c>
      <c r="V105">
        <v>0.22543172211782669</v>
      </c>
      <c r="W105">
        <v>31.536000000000001</v>
      </c>
    </row>
    <row r="106" spans="1:23" x14ac:dyDescent="0.25">
      <c r="A106" t="s">
        <v>98</v>
      </c>
      <c r="B106" t="s">
        <v>674</v>
      </c>
      <c r="D106" t="s">
        <v>100</v>
      </c>
      <c r="E106" t="s">
        <v>142</v>
      </c>
      <c r="F106" t="s">
        <v>3511</v>
      </c>
      <c r="G106" t="s">
        <v>104</v>
      </c>
      <c r="H106" t="s">
        <v>106</v>
      </c>
      <c r="I106" t="s">
        <v>688</v>
      </c>
      <c r="J106" t="s">
        <v>3602</v>
      </c>
      <c r="K106">
        <v>73.164818964644439</v>
      </c>
      <c r="L106">
        <v>1262.296320729658</v>
      </c>
      <c r="M106">
        <v>0</v>
      </c>
      <c r="N106">
        <v>0</v>
      </c>
      <c r="O106">
        <v>0</v>
      </c>
      <c r="P106">
        <v>0</v>
      </c>
      <c r="Q106" t="s">
        <v>111</v>
      </c>
      <c r="R106">
        <v>1</v>
      </c>
      <c r="S106">
        <v>12.5</v>
      </c>
      <c r="T106">
        <v>1</v>
      </c>
      <c r="V106">
        <v>0</v>
      </c>
      <c r="W106">
        <v>31.536000000000001</v>
      </c>
    </row>
    <row r="107" spans="1:23" x14ac:dyDescent="0.25">
      <c r="A107" t="s">
        <v>98</v>
      </c>
      <c r="B107" t="s">
        <v>674</v>
      </c>
      <c r="D107" t="s">
        <v>100</v>
      </c>
      <c r="E107" t="s">
        <v>243</v>
      </c>
      <c r="F107" t="s">
        <v>104</v>
      </c>
      <c r="G107" t="s">
        <v>104</v>
      </c>
      <c r="H107" t="s">
        <v>106</v>
      </c>
      <c r="I107" t="s">
        <v>732</v>
      </c>
      <c r="J107" t="s">
        <v>3603</v>
      </c>
      <c r="K107">
        <v>73.164818964644439</v>
      </c>
      <c r="L107">
        <v>7433.5301477185694</v>
      </c>
      <c r="M107">
        <v>1</v>
      </c>
      <c r="N107">
        <v>7433.5301477185694</v>
      </c>
      <c r="O107">
        <v>7433.5301477185694</v>
      </c>
      <c r="P107">
        <v>535.71748792999699</v>
      </c>
      <c r="Q107" t="s">
        <v>111</v>
      </c>
      <c r="R107">
        <v>1</v>
      </c>
      <c r="S107">
        <v>10</v>
      </c>
      <c r="T107">
        <v>97</v>
      </c>
      <c r="V107">
        <v>0.44</v>
      </c>
      <c r="W107">
        <v>31.536000000000001</v>
      </c>
    </row>
    <row r="108" spans="1:23" x14ac:dyDescent="0.25">
      <c r="A108" t="s">
        <v>98</v>
      </c>
      <c r="B108" t="s">
        <v>674</v>
      </c>
      <c r="D108" t="s">
        <v>100</v>
      </c>
      <c r="E108" t="s">
        <v>226</v>
      </c>
      <c r="F108" t="s">
        <v>136</v>
      </c>
      <c r="G108" t="s">
        <v>136</v>
      </c>
      <c r="H108" t="s">
        <v>138</v>
      </c>
      <c r="I108" t="s">
        <v>725</v>
      </c>
      <c r="J108" t="s">
        <v>3604</v>
      </c>
      <c r="K108">
        <v>73.164818964644439</v>
      </c>
      <c r="L108">
        <v>61.493672703524339</v>
      </c>
      <c r="M108">
        <v>1</v>
      </c>
      <c r="N108">
        <v>61.493672703524339</v>
      </c>
      <c r="O108">
        <v>47.965064708748983</v>
      </c>
      <c r="P108">
        <v>3.4567323281869049</v>
      </c>
      <c r="Q108" t="s">
        <v>111</v>
      </c>
      <c r="R108">
        <v>0.78</v>
      </c>
      <c r="S108">
        <v>6.5</v>
      </c>
      <c r="T108">
        <v>6</v>
      </c>
      <c r="V108">
        <v>0.44</v>
      </c>
      <c r="W108">
        <v>31.536000000000001</v>
      </c>
    </row>
    <row r="109" spans="1:23" x14ac:dyDescent="0.25">
      <c r="A109" t="s">
        <v>98</v>
      </c>
      <c r="B109" t="s">
        <v>674</v>
      </c>
      <c r="D109" t="s">
        <v>100</v>
      </c>
      <c r="E109" t="s">
        <v>226</v>
      </c>
      <c r="F109" t="s">
        <v>131</v>
      </c>
      <c r="G109" t="s">
        <v>131</v>
      </c>
      <c r="H109" t="s">
        <v>133</v>
      </c>
      <c r="I109" t="s">
        <v>725</v>
      </c>
      <c r="J109" t="s">
        <v>3605</v>
      </c>
      <c r="K109">
        <v>73.164818964644439</v>
      </c>
      <c r="L109">
        <v>577.34570991565215</v>
      </c>
      <c r="M109">
        <v>1</v>
      </c>
      <c r="N109">
        <v>577.34570991565215</v>
      </c>
      <c r="O109">
        <v>444.55619663505217</v>
      </c>
      <c r="P109">
        <v>32.038146637252389</v>
      </c>
      <c r="Q109" t="s">
        <v>111</v>
      </c>
      <c r="R109">
        <v>0.77</v>
      </c>
      <c r="S109">
        <v>5</v>
      </c>
      <c r="T109">
        <v>7</v>
      </c>
      <c r="V109">
        <v>0.44</v>
      </c>
      <c r="W109">
        <v>31.536000000000001</v>
      </c>
    </row>
    <row r="110" spans="1:23" x14ac:dyDescent="0.25">
      <c r="A110" t="s">
        <v>98</v>
      </c>
      <c r="B110" t="s">
        <v>674</v>
      </c>
      <c r="D110" t="s">
        <v>100</v>
      </c>
      <c r="E110" t="s">
        <v>226</v>
      </c>
      <c r="F110" t="s">
        <v>3494</v>
      </c>
      <c r="G110" t="s">
        <v>3494</v>
      </c>
      <c r="H110" t="s">
        <v>3495</v>
      </c>
      <c r="I110" t="s">
        <v>725</v>
      </c>
      <c r="J110" t="s">
        <v>3606</v>
      </c>
      <c r="K110">
        <v>73.164818964644439</v>
      </c>
      <c r="L110">
        <v>23.52500148735869</v>
      </c>
      <c r="M110">
        <v>1</v>
      </c>
      <c r="N110">
        <v>23.52500148735869</v>
      </c>
      <c r="O110">
        <v>22.930995199802879</v>
      </c>
      <c r="P110">
        <v>1.652584290378303</v>
      </c>
      <c r="Q110" t="s">
        <v>111</v>
      </c>
      <c r="R110">
        <v>0.97474999999999989</v>
      </c>
      <c r="S110">
        <v>12.5</v>
      </c>
      <c r="T110">
        <v>1</v>
      </c>
      <c r="V110">
        <v>0.44</v>
      </c>
      <c r="W110">
        <v>31.536000000000001</v>
      </c>
    </row>
    <row r="111" spans="1:23" x14ac:dyDescent="0.25">
      <c r="A111" t="s">
        <v>98</v>
      </c>
      <c r="B111" t="s">
        <v>674</v>
      </c>
      <c r="D111" t="s">
        <v>100</v>
      </c>
      <c r="E111" t="s">
        <v>226</v>
      </c>
      <c r="F111" t="s">
        <v>104</v>
      </c>
      <c r="G111" t="s">
        <v>104</v>
      </c>
      <c r="H111" t="s">
        <v>106</v>
      </c>
      <c r="I111" t="s">
        <v>725</v>
      </c>
      <c r="J111" t="s">
        <v>3607</v>
      </c>
      <c r="K111">
        <v>73.164818964644439</v>
      </c>
      <c r="L111">
        <v>168.78248811619869</v>
      </c>
      <c r="M111">
        <v>1</v>
      </c>
      <c r="N111">
        <v>168.78248811619869</v>
      </c>
      <c r="O111">
        <v>164.5207302912647</v>
      </c>
      <c r="P111">
        <v>11.856632123984189</v>
      </c>
      <c r="Q111" t="s">
        <v>111</v>
      </c>
      <c r="R111">
        <v>0.97474999999999989</v>
      </c>
      <c r="S111">
        <v>7.5</v>
      </c>
      <c r="T111">
        <v>2</v>
      </c>
      <c r="V111">
        <v>0.44</v>
      </c>
      <c r="W111">
        <v>31.536000000000001</v>
      </c>
    </row>
    <row r="112" spans="1:23" x14ac:dyDescent="0.25">
      <c r="A112" t="s">
        <v>98</v>
      </c>
      <c r="B112" t="s">
        <v>674</v>
      </c>
      <c r="D112" t="s">
        <v>100</v>
      </c>
      <c r="E112" t="s">
        <v>284</v>
      </c>
      <c r="F112" t="s">
        <v>3518</v>
      </c>
      <c r="G112" t="s">
        <v>104</v>
      </c>
      <c r="H112" t="s">
        <v>106</v>
      </c>
      <c r="I112" t="s">
        <v>750</v>
      </c>
      <c r="J112" t="s">
        <v>3608</v>
      </c>
      <c r="K112">
        <v>73.164818964644439</v>
      </c>
      <c r="L112">
        <v>3276.1015495192501</v>
      </c>
      <c r="M112">
        <v>0.45907488437925142</v>
      </c>
      <c r="N112">
        <v>1503.9759400602361</v>
      </c>
      <c r="O112">
        <v>3582.6772988971729</v>
      </c>
      <c r="P112">
        <v>7254.3752533792349</v>
      </c>
      <c r="Q112" t="s">
        <v>291</v>
      </c>
      <c r="R112">
        <v>2.382137375650891</v>
      </c>
      <c r="S112">
        <v>5</v>
      </c>
      <c r="T112">
        <v>1</v>
      </c>
      <c r="V112">
        <v>0.4938643472059554</v>
      </c>
      <c r="W112">
        <v>1</v>
      </c>
    </row>
    <row r="113" spans="1:23" x14ac:dyDescent="0.25">
      <c r="A113" t="s">
        <v>98</v>
      </c>
      <c r="B113" t="s">
        <v>674</v>
      </c>
      <c r="D113" t="s">
        <v>100</v>
      </c>
      <c r="E113" t="s">
        <v>284</v>
      </c>
      <c r="F113" t="s">
        <v>3520</v>
      </c>
      <c r="G113" t="s">
        <v>104</v>
      </c>
      <c r="H113" t="s">
        <v>106</v>
      </c>
      <c r="I113" t="s">
        <v>750</v>
      </c>
      <c r="J113" t="s">
        <v>3609</v>
      </c>
      <c r="K113">
        <v>73.164818964644439</v>
      </c>
      <c r="L113">
        <v>3276.1015495192501</v>
      </c>
      <c r="M113">
        <v>0.14190911970836301</v>
      </c>
      <c r="N113">
        <v>464.90868696748072</v>
      </c>
      <c r="O113">
        <v>639.28761762696149</v>
      </c>
      <c r="P113">
        <v>1534.422519401304</v>
      </c>
      <c r="Q113" t="s">
        <v>291</v>
      </c>
      <c r="R113">
        <v>1.3750821086973539</v>
      </c>
      <c r="S113">
        <v>5</v>
      </c>
      <c r="T113">
        <v>5</v>
      </c>
      <c r="V113">
        <v>0.41663075818021528</v>
      </c>
      <c r="W113">
        <v>1</v>
      </c>
    </row>
    <row r="114" spans="1:23" x14ac:dyDescent="0.25">
      <c r="A114" t="s">
        <v>98</v>
      </c>
      <c r="B114" t="s">
        <v>674</v>
      </c>
      <c r="D114" t="s">
        <v>100</v>
      </c>
      <c r="E114" t="s">
        <v>284</v>
      </c>
      <c r="F114" t="s">
        <v>3522</v>
      </c>
      <c r="G114" t="s">
        <v>104</v>
      </c>
      <c r="H114" t="s">
        <v>106</v>
      </c>
      <c r="I114" t="s">
        <v>750</v>
      </c>
      <c r="J114" t="s">
        <v>3610</v>
      </c>
      <c r="K114">
        <v>73.164818964644439</v>
      </c>
      <c r="L114">
        <v>3276.1015495192501</v>
      </c>
      <c r="M114">
        <v>4.8955435437733591E-2</v>
      </c>
      <c r="N114">
        <v>160.3829778949486</v>
      </c>
      <c r="O114">
        <v>53.659309840133133</v>
      </c>
      <c r="P114">
        <v>355.76754219819952</v>
      </c>
      <c r="Q114" t="s">
        <v>291</v>
      </c>
      <c r="R114">
        <v>0.33456985613074319</v>
      </c>
      <c r="S114">
        <v>0.5</v>
      </c>
      <c r="T114">
        <v>1</v>
      </c>
      <c r="V114">
        <v>0.15082688406195111</v>
      </c>
      <c r="W114">
        <v>1</v>
      </c>
    </row>
    <row r="115" spans="1:23" x14ac:dyDescent="0.25">
      <c r="A115" t="s">
        <v>98</v>
      </c>
      <c r="B115" t="s">
        <v>674</v>
      </c>
      <c r="D115" t="s">
        <v>100</v>
      </c>
      <c r="E115" t="s">
        <v>284</v>
      </c>
      <c r="F115" t="s">
        <v>285</v>
      </c>
      <c r="G115" t="s">
        <v>104</v>
      </c>
      <c r="H115" t="s">
        <v>106</v>
      </c>
      <c r="I115" t="s">
        <v>750</v>
      </c>
      <c r="J115" t="s">
        <v>3611</v>
      </c>
      <c r="K115">
        <v>73.164818964644439</v>
      </c>
      <c r="L115">
        <v>3276.1015495192501</v>
      </c>
      <c r="M115">
        <v>2.7397987833850191E-3</v>
      </c>
      <c r="N115">
        <v>8.9758590396186175</v>
      </c>
      <c r="O115">
        <v>4.0541200211722916</v>
      </c>
      <c r="P115">
        <v>215.24064867842739</v>
      </c>
      <c r="Q115" t="s">
        <v>291</v>
      </c>
      <c r="R115">
        <v>0.45166930577650322</v>
      </c>
      <c r="S115">
        <v>5</v>
      </c>
      <c r="T115">
        <v>37</v>
      </c>
      <c r="V115">
        <v>1.8835289923462391E-2</v>
      </c>
      <c r="W115">
        <v>1</v>
      </c>
    </row>
    <row r="116" spans="1:23" x14ac:dyDescent="0.25">
      <c r="A116" t="s">
        <v>98</v>
      </c>
      <c r="B116" t="s">
        <v>674</v>
      </c>
      <c r="D116" t="s">
        <v>100</v>
      </c>
      <c r="E116" t="s">
        <v>284</v>
      </c>
      <c r="F116" t="s">
        <v>3525</v>
      </c>
      <c r="G116" t="s">
        <v>104</v>
      </c>
      <c r="H116" t="s">
        <v>106</v>
      </c>
      <c r="I116" t="s">
        <v>750</v>
      </c>
      <c r="J116" t="s">
        <v>3612</v>
      </c>
      <c r="K116">
        <v>73.164818964644439</v>
      </c>
      <c r="L116">
        <v>3276.1015495192501</v>
      </c>
      <c r="M116">
        <v>2.7726687459648961E-2</v>
      </c>
      <c r="N116">
        <v>90.835443749591903</v>
      </c>
      <c r="O116">
        <v>171.90673026673969</v>
      </c>
      <c r="P116">
        <v>295.17191400293069</v>
      </c>
      <c r="Q116" t="s">
        <v>291</v>
      </c>
      <c r="R116">
        <v>1.892507188500546</v>
      </c>
      <c r="S116">
        <v>0.5</v>
      </c>
      <c r="T116">
        <v>1</v>
      </c>
      <c r="V116">
        <v>0.58239528258448325</v>
      </c>
      <c r="W116">
        <v>1</v>
      </c>
    </row>
    <row r="117" spans="1:23" x14ac:dyDescent="0.25">
      <c r="A117" t="s">
        <v>98</v>
      </c>
      <c r="B117" t="s">
        <v>674</v>
      </c>
      <c r="D117" t="s">
        <v>100</v>
      </c>
      <c r="E117" t="s">
        <v>284</v>
      </c>
      <c r="F117" t="s">
        <v>3527</v>
      </c>
      <c r="G117" t="s">
        <v>104</v>
      </c>
      <c r="H117" t="s">
        <v>106</v>
      </c>
      <c r="I117" t="s">
        <v>750</v>
      </c>
      <c r="J117" t="s">
        <v>3613</v>
      </c>
      <c r="K117">
        <v>73.164818964644439</v>
      </c>
      <c r="L117">
        <v>3276.1015495192501</v>
      </c>
      <c r="M117">
        <v>0.3195940742316189</v>
      </c>
      <c r="N117">
        <v>1047.0226418073771</v>
      </c>
      <c r="O117">
        <v>1981.4978761432931</v>
      </c>
      <c r="P117">
        <v>5727.2487289908249</v>
      </c>
      <c r="Q117" t="s">
        <v>291</v>
      </c>
      <c r="R117">
        <v>1.892507188500546</v>
      </c>
      <c r="S117">
        <v>5</v>
      </c>
      <c r="T117">
        <v>2</v>
      </c>
      <c r="V117">
        <v>0.34597726934978862</v>
      </c>
      <c r="W117">
        <v>1</v>
      </c>
    </row>
    <row r="118" spans="1:23" x14ac:dyDescent="0.25">
      <c r="A118" t="s">
        <v>98</v>
      </c>
      <c r="B118" t="s">
        <v>674</v>
      </c>
      <c r="D118" t="s">
        <v>100</v>
      </c>
      <c r="E118" t="s">
        <v>284</v>
      </c>
      <c r="F118" t="s">
        <v>3529</v>
      </c>
      <c r="G118" t="s">
        <v>104</v>
      </c>
      <c r="H118" t="s">
        <v>106</v>
      </c>
      <c r="I118" t="s">
        <v>750</v>
      </c>
      <c r="J118" t="s">
        <v>3614</v>
      </c>
      <c r="K118">
        <v>73.164818964644439</v>
      </c>
      <c r="L118">
        <v>3276.1015495192501</v>
      </c>
      <c r="M118">
        <v>0</v>
      </c>
      <c r="N118">
        <v>0</v>
      </c>
      <c r="O118">
        <v>0</v>
      </c>
      <c r="P118">
        <v>0</v>
      </c>
      <c r="Q118" t="s">
        <v>291</v>
      </c>
      <c r="R118">
        <v>0.96356118565654036</v>
      </c>
      <c r="S118">
        <v>0.5</v>
      </c>
      <c r="T118">
        <v>1</v>
      </c>
      <c r="V118">
        <v>0</v>
      </c>
      <c r="W118">
        <v>1</v>
      </c>
    </row>
    <row r="119" spans="1:23" x14ac:dyDescent="0.25">
      <c r="A119" t="s">
        <v>98</v>
      </c>
      <c r="B119" t="s">
        <v>674</v>
      </c>
      <c r="D119" t="s">
        <v>100</v>
      </c>
      <c r="E119" t="s">
        <v>3114</v>
      </c>
      <c r="F119" t="s">
        <v>136</v>
      </c>
      <c r="G119" t="s">
        <v>136</v>
      </c>
      <c r="H119" t="s">
        <v>138</v>
      </c>
      <c r="I119" t="s">
        <v>3121</v>
      </c>
      <c r="J119" t="s">
        <v>3615</v>
      </c>
      <c r="K119">
        <v>73.164818964644439</v>
      </c>
      <c r="L119">
        <v>0</v>
      </c>
      <c r="M119">
        <v>1</v>
      </c>
      <c r="N119">
        <v>0</v>
      </c>
      <c r="O119">
        <v>0</v>
      </c>
      <c r="P119">
        <v>0</v>
      </c>
      <c r="Q119" t="s">
        <v>111</v>
      </c>
      <c r="R119">
        <v>0.45</v>
      </c>
      <c r="S119">
        <v>6</v>
      </c>
      <c r="T119">
        <v>8</v>
      </c>
      <c r="V119">
        <v>0.44</v>
      </c>
      <c r="W119">
        <v>31.536000000000001</v>
      </c>
    </row>
    <row r="120" spans="1:23" x14ac:dyDescent="0.25">
      <c r="A120" t="s">
        <v>98</v>
      </c>
      <c r="B120" t="s">
        <v>674</v>
      </c>
      <c r="D120" t="s">
        <v>100</v>
      </c>
      <c r="E120" t="s">
        <v>3114</v>
      </c>
      <c r="F120" t="s">
        <v>131</v>
      </c>
      <c r="G120" t="s">
        <v>131</v>
      </c>
      <c r="H120" t="s">
        <v>133</v>
      </c>
      <c r="I120" t="s">
        <v>3121</v>
      </c>
      <c r="J120" t="s">
        <v>3616</v>
      </c>
      <c r="K120">
        <v>73.164818964644439</v>
      </c>
      <c r="L120">
        <v>4226.161510731642</v>
      </c>
      <c r="M120">
        <v>1</v>
      </c>
      <c r="N120">
        <v>4226.161510731642</v>
      </c>
      <c r="O120">
        <v>1901.772679829239</v>
      </c>
      <c r="P120">
        <v>137.05640017679929</v>
      </c>
      <c r="Q120" t="s">
        <v>111</v>
      </c>
      <c r="R120">
        <v>0.45</v>
      </c>
      <c r="S120">
        <v>6</v>
      </c>
      <c r="T120">
        <v>8</v>
      </c>
      <c r="V120">
        <v>0.44</v>
      </c>
      <c r="W120">
        <v>31.536000000000001</v>
      </c>
    </row>
    <row r="121" spans="1:23" x14ac:dyDescent="0.25">
      <c r="A121" t="s">
        <v>98</v>
      </c>
      <c r="B121" t="s">
        <v>674</v>
      </c>
      <c r="D121" t="s">
        <v>100</v>
      </c>
      <c r="E121" t="s">
        <v>3114</v>
      </c>
      <c r="F121" t="s">
        <v>3494</v>
      </c>
      <c r="G121" t="s">
        <v>3494</v>
      </c>
      <c r="H121" t="s">
        <v>3495</v>
      </c>
      <c r="I121" t="s">
        <v>3121</v>
      </c>
      <c r="J121" t="s">
        <v>3617</v>
      </c>
      <c r="K121">
        <v>73.164818964644439</v>
      </c>
      <c r="L121">
        <v>1.158662188418472</v>
      </c>
      <c r="M121">
        <v>1</v>
      </c>
      <c r="N121">
        <v>1.158662188418472</v>
      </c>
      <c r="O121">
        <v>0.81106353189293023</v>
      </c>
      <c r="P121">
        <v>5.8451490640777808E-2</v>
      </c>
      <c r="Q121" t="s">
        <v>111</v>
      </c>
      <c r="R121">
        <v>0.7</v>
      </c>
      <c r="S121">
        <v>6</v>
      </c>
      <c r="T121">
        <v>8</v>
      </c>
      <c r="V121">
        <v>0.44</v>
      </c>
      <c r="W121">
        <v>31.536000000000001</v>
      </c>
    </row>
    <row r="122" spans="1:23" x14ac:dyDescent="0.25">
      <c r="A122" t="s">
        <v>98</v>
      </c>
      <c r="B122" t="s">
        <v>674</v>
      </c>
      <c r="D122" t="s">
        <v>100</v>
      </c>
      <c r="E122" t="s">
        <v>3114</v>
      </c>
      <c r="F122" t="s">
        <v>104</v>
      </c>
      <c r="G122" t="s">
        <v>104</v>
      </c>
      <c r="H122" t="s">
        <v>106</v>
      </c>
      <c r="I122" t="s">
        <v>3121</v>
      </c>
      <c r="J122" t="s">
        <v>3618</v>
      </c>
      <c r="K122">
        <v>73.164818964644439</v>
      </c>
      <c r="L122">
        <v>99.20640034031058</v>
      </c>
      <c r="M122">
        <v>1</v>
      </c>
      <c r="N122">
        <v>99.20640034031058</v>
      </c>
      <c r="O122">
        <v>69.444480238217395</v>
      </c>
      <c r="P122">
        <v>5.0047045972148281</v>
      </c>
      <c r="Q122" t="s">
        <v>111</v>
      </c>
      <c r="R122">
        <v>0.7</v>
      </c>
      <c r="S122">
        <v>6</v>
      </c>
      <c r="T122">
        <v>8</v>
      </c>
      <c r="V122">
        <v>0.44</v>
      </c>
      <c r="W122">
        <v>31.536000000000001</v>
      </c>
    </row>
    <row r="123" spans="1:23" x14ac:dyDescent="0.25">
      <c r="A123" t="s">
        <v>98</v>
      </c>
      <c r="B123" t="s">
        <v>674</v>
      </c>
      <c r="D123" t="s">
        <v>100</v>
      </c>
      <c r="E123" t="s">
        <v>439</v>
      </c>
      <c r="F123" t="s">
        <v>104</v>
      </c>
      <c r="G123" t="s">
        <v>104</v>
      </c>
      <c r="H123" t="s">
        <v>106</v>
      </c>
      <c r="I123" t="s">
        <v>821</v>
      </c>
      <c r="J123" t="s">
        <v>3619</v>
      </c>
      <c r="K123">
        <v>73.164818964644439</v>
      </c>
      <c r="L123">
        <v>327.88518318428112</v>
      </c>
      <c r="M123">
        <v>1</v>
      </c>
      <c r="N123">
        <v>327.88518318428112</v>
      </c>
      <c r="O123">
        <v>327.88518318428112</v>
      </c>
      <c r="P123">
        <v>23.629933984845682</v>
      </c>
      <c r="Q123" t="s">
        <v>111</v>
      </c>
      <c r="R123">
        <v>1</v>
      </c>
      <c r="S123">
        <v>5</v>
      </c>
      <c r="T123">
        <v>500</v>
      </c>
      <c r="V123">
        <v>0.44</v>
      </c>
      <c r="W123">
        <v>31.536000000000001</v>
      </c>
    </row>
    <row r="124" spans="1:23" x14ac:dyDescent="0.25">
      <c r="A124" t="s">
        <v>98</v>
      </c>
      <c r="B124" t="s">
        <v>674</v>
      </c>
      <c r="D124" t="s">
        <v>100</v>
      </c>
      <c r="E124" t="s">
        <v>3149</v>
      </c>
      <c r="F124" t="s">
        <v>136</v>
      </c>
      <c r="G124" t="s">
        <v>136</v>
      </c>
      <c r="H124" t="s">
        <v>138</v>
      </c>
      <c r="I124" t="s">
        <v>3155</v>
      </c>
      <c r="J124" t="s">
        <v>3620</v>
      </c>
      <c r="K124">
        <v>73.164818964644439</v>
      </c>
      <c r="L124">
        <v>894.43104585516392</v>
      </c>
      <c r="M124">
        <v>1</v>
      </c>
      <c r="N124">
        <v>894.43104585516392</v>
      </c>
      <c r="O124">
        <v>894.43104585516392</v>
      </c>
      <c r="P124">
        <v>2032.797831489009</v>
      </c>
      <c r="Q124" t="s">
        <v>3152</v>
      </c>
      <c r="R124">
        <v>1</v>
      </c>
      <c r="S124">
        <v>12.5</v>
      </c>
      <c r="T124">
        <v>10</v>
      </c>
      <c r="V124">
        <v>0.44</v>
      </c>
      <c r="W124">
        <v>1</v>
      </c>
    </row>
    <row r="125" spans="1:23" x14ac:dyDescent="0.25">
      <c r="A125" t="s">
        <v>98</v>
      </c>
      <c r="B125" t="s">
        <v>674</v>
      </c>
      <c r="D125" t="s">
        <v>100</v>
      </c>
      <c r="E125" t="s">
        <v>3149</v>
      </c>
      <c r="F125" t="s">
        <v>131</v>
      </c>
      <c r="G125" t="s">
        <v>131</v>
      </c>
      <c r="H125" t="s">
        <v>133</v>
      </c>
      <c r="I125" t="s">
        <v>3155</v>
      </c>
      <c r="J125" t="s">
        <v>3621</v>
      </c>
      <c r="K125">
        <v>73.164818964644439</v>
      </c>
      <c r="L125">
        <v>836.98687512624031</v>
      </c>
      <c r="M125">
        <v>1</v>
      </c>
      <c r="N125">
        <v>836.98687512624031</v>
      </c>
      <c r="O125">
        <v>836.98687512624031</v>
      </c>
      <c r="P125">
        <v>1902.2428980141819</v>
      </c>
      <c r="Q125" t="s">
        <v>3152</v>
      </c>
      <c r="R125">
        <v>1</v>
      </c>
      <c r="S125">
        <v>12.5</v>
      </c>
      <c r="T125">
        <v>10</v>
      </c>
      <c r="V125">
        <v>0.44</v>
      </c>
      <c r="W125">
        <v>1</v>
      </c>
    </row>
    <row r="126" spans="1:23" x14ac:dyDescent="0.25">
      <c r="A126" t="s">
        <v>98</v>
      </c>
      <c r="B126" t="s">
        <v>674</v>
      </c>
      <c r="D126" t="s">
        <v>100</v>
      </c>
      <c r="E126" t="s">
        <v>3149</v>
      </c>
      <c r="F126" t="s">
        <v>3494</v>
      </c>
      <c r="G126" t="s">
        <v>3494</v>
      </c>
      <c r="H126" t="s">
        <v>3495</v>
      </c>
      <c r="I126" t="s">
        <v>3155</v>
      </c>
      <c r="J126" t="s">
        <v>3622</v>
      </c>
      <c r="K126">
        <v>73.164818964644439</v>
      </c>
      <c r="L126">
        <v>0</v>
      </c>
      <c r="M126">
        <v>1</v>
      </c>
      <c r="N126">
        <v>0</v>
      </c>
      <c r="O126">
        <v>0</v>
      </c>
      <c r="P126">
        <v>0</v>
      </c>
      <c r="Q126" t="s">
        <v>3152</v>
      </c>
      <c r="R126">
        <v>1</v>
      </c>
      <c r="S126">
        <v>12.5</v>
      </c>
      <c r="T126">
        <v>10</v>
      </c>
      <c r="V126">
        <v>0.44</v>
      </c>
      <c r="W126">
        <v>1</v>
      </c>
    </row>
    <row r="127" spans="1:23" x14ac:dyDescent="0.25">
      <c r="A127" t="s">
        <v>98</v>
      </c>
      <c r="B127" t="s">
        <v>674</v>
      </c>
      <c r="D127" t="s">
        <v>100</v>
      </c>
      <c r="E127" t="s">
        <v>3149</v>
      </c>
      <c r="F127" t="s">
        <v>104</v>
      </c>
      <c r="G127" t="s">
        <v>104</v>
      </c>
      <c r="H127" t="s">
        <v>106</v>
      </c>
      <c r="I127" t="s">
        <v>3155</v>
      </c>
      <c r="J127" t="s">
        <v>3623</v>
      </c>
      <c r="K127">
        <v>73.164818964644439</v>
      </c>
      <c r="L127">
        <v>6838.3148120839178</v>
      </c>
      <c r="M127">
        <v>1</v>
      </c>
      <c r="N127">
        <v>6838.3148120839178</v>
      </c>
      <c r="O127">
        <v>6838.3148120839178</v>
      </c>
      <c r="P127">
        <v>15541.624572917999</v>
      </c>
      <c r="Q127" t="s">
        <v>3152</v>
      </c>
      <c r="R127">
        <v>1</v>
      </c>
      <c r="S127">
        <v>12.5</v>
      </c>
      <c r="T127">
        <v>10</v>
      </c>
      <c r="V127">
        <v>0.44</v>
      </c>
      <c r="W127">
        <v>1</v>
      </c>
    </row>
    <row r="128" spans="1:23" x14ac:dyDescent="0.25">
      <c r="A128" t="s">
        <v>98</v>
      </c>
      <c r="B128" t="s">
        <v>849</v>
      </c>
      <c r="D128" t="s">
        <v>100</v>
      </c>
      <c r="E128" t="s">
        <v>101</v>
      </c>
      <c r="F128" t="s">
        <v>3467</v>
      </c>
      <c r="G128" t="s">
        <v>104</v>
      </c>
      <c r="H128" t="s">
        <v>106</v>
      </c>
      <c r="I128" t="s">
        <v>850</v>
      </c>
      <c r="J128" t="s">
        <v>3624</v>
      </c>
      <c r="K128">
        <v>44.382259283666471</v>
      </c>
      <c r="L128">
        <v>491.33022832199327</v>
      </c>
      <c r="M128">
        <v>0.963724061014823</v>
      </c>
      <c r="N128">
        <v>473.50676293781157</v>
      </c>
      <c r="O128">
        <v>464.03662767905541</v>
      </c>
      <c r="P128">
        <v>35.667849835229489</v>
      </c>
      <c r="Q128" t="s">
        <v>111</v>
      </c>
      <c r="R128">
        <v>0.98</v>
      </c>
      <c r="S128">
        <v>7.5</v>
      </c>
      <c r="T128">
        <v>1</v>
      </c>
      <c r="V128">
        <v>0.41254252792151208</v>
      </c>
      <c r="W128">
        <v>31.536000000000001</v>
      </c>
    </row>
    <row r="129" spans="1:23" x14ac:dyDescent="0.25">
      <c r="A129" t="s">
        <v>98</v>
      </c>
      <c r="B129" t="s">
        <v>849</v>
      </c>
      <c r="D129" t="s">
        <v>100</v>
      </c>
      <c r="E129" t="s">
        <v>101</v>
      </c>
      <c r="F129" t="s">
        <v>3469</v>
      </c>
      <c r="G129" t="s">
        <v>104</v>
      </c>
      <c r="H129" t="s">
        <v>106</v>
      </c>
      <c r="I129" t="s">
        <v>850</v>
      </c>
      <c r="J129" t="s">
        <v>3625</v>
      </c>
      <c r="K129">
        <v>44.382259283666471</v>
      </c>
      <c r="L129">
        <v>491.33022832199327</v>
      </c>
      <c r="M129">
        <v>1.9389587829161899E-2</v>
      </c>
      <c r="N129">
        <v>9.526690615171459</v>
      </c>
      <c r="O129">
        <v>8.9274617754771732</v>
      </c>
      <c r="P129">
        <v>3.724854081583596</v>
      </c>
      <c r="Q129" t="s">
        <v>111</v>
      </c>
      <c r="R129">
        <v>0.93709999999999993</v>
      </c>
      <c r="S129">
        <v>7.5</v>
      </c>
      <c r="T129">
        <v>1</v>
      </c>
      <c r="V129">
        <v>7.5999743786752047E-2</v>
      </c>
      <c r="W129">
        <v>31.536000000000001</v>
      </c>
    </row>
    <row r="130" spans="1:23" x14ac:dyDescent="0.25">
      <c r="A130" t="s">
        <v>98</v>
      </c>
      <c r="B130" t="s">
        <v>849</v>
      </c>
      <c r="D130" t="s">
        <v>100</v>
      </c>
      <c r="E130" t="s">
        <v>101</v>
      </c>
      <c r="F130" t="s">
        <v>3471</v>
      </c>
      <c r="G130" t="s">
        <v>104</v>
      </c>
      <c r="H130" t="s">
        <v>106</v>
      </c>
      <c r="I130" t="s">
        <v>850</v>
      </c>
      <c r="J130" t="s">
        <v>3626</v>
      </c>
      <c r="K130">
        <v>44.382259283666471</v>
      </c>
      <c r="L130">
        <v>491.33022832199327</v>
      </c>
      <c r="M130">
        <v>1.6886351156015091E-2</v>
      </c>
      <c r="N130">
        <v>8.2967747690102485</v>
      </c>
      <c r="O130">
        <v>25.720001783931771</v>
      </c>
      <c r="P130">
        <v>12.26035212672244</v>
      </c>
      <c r="Q130" t="s">
        <v>111</v>
      </c>
      <c r="R130">
        <v>3.1</v>
      </c>
      <c r="S130">
        <v>10.5</v>
      </c>
      <c r="T130">
        <v>14.33104807576899</v>
      </c>
      <c r="V130">
        <v>6.6521409659427003E-2</v>
      </c>
      <c r="W130">
        <v>31.536000000000001</v>
      </c>
    </row>
    <row r="131" spans="1:23" x14ac:dyDescent="0.25">
      <c r="A131" t="s">
        <v>98</v>
      </c>
      <c r="B131" t="s">
        <v>849</v>
      </c>
      <c r="D131" t="s">
        <v>100</v>
      </c>
      <c r="E131" t="s">
        <v>101</v>
      </c>
      <c r="F131" t="s">
        <v>3473</v>
      </c>
      <c r="G131" t="s">
        <v>104</v>
      </c>
      <c r="H131" t="s">
        <v>106</v>
      </c>
      <c r="I131" t="s">
        <v>850</v>
      </c>
      <c r="J131" t="s">
        <v>3627</v>
      </c>
      <c r="K131">
        <v>44.382259283666471</v>
      </c>
      <c r="L131">
        <v>491.33022832199327</v>
      </c>
      <c r="M131">
        <v>0</v>
      </c>
      <c r="N131">
        <v>0</v>
      </c>
      <c r="O131">
        <v>0</v>
      </c>
      <c r="P131">
        <v>0</v>
      </c>
      <c r="Q131" t="s">
        <v>111</v>
      </c>
      <c r="R131">
        <v>3.4</v>
      </c>
      <c r="S131">
        <v>7.2</v>
      </c>
      <c r="T131">
        <v>13.00195893970977</v>
      </c>
      <c r="V131">
        <v>7.2958965432919923E-2</v>
      </c>
      <c r="W131">
        <v>31.536000000000001</v>
      </c>
    </row>
    <row r="132" spans="1:23" x14ac:dyDescent="0.25">
      <c r="A132" t="s">
        <v>98</v>
      </c>
      <c r="B132" t="s">
        <v>849</v>
      </c>
      <c r="D132" t="s">
        <v>100</v>
      </c>
      <c r="E132" t="s">
        <v>101</v>
      </c>
      <c r="F132" t="s">
        <v>3475</v>
      </c>
      <c r="G132" t="s">
        <v>131</v>
      </c>
      <c r="H132" t="s">
        <v>133</v>
      </c>
      <c r="I132" t="s">
        <v>850</v>
      </c>
      <c r="J132" t="s">
        <v>3628</v>
      </c>
      <c r="K132">
        <v>44.382259283666471</v>
      </c>
      <c r="L132">
        <v>25197.169040349519</v>
      </c>
      <c r="M132">
        <v>0.15771088355313129</v>
      </c>
      <c r="N132">
        <v>3973.86779239113</v>
      </c>
      <c r="O132">
        <v>2823.433066493898</v>
      </c>
      <c r="P132">
        <v>438.56060454604199</v>
      </c>
      <c r="Q132" t="s">
        <v>111</v>
      </c>
      <c r="R132">
        <v>0.71050000000000002</v>
      </c>
      <c r="S132">
        <v>11.5</v>
      </c>
      <c r="T132">
        <v>2.0235418398467511</v>
      </c>
      <c r="V132">
        <v>0.2041461870732276</v>
      </c>
      <c r="W132">
        <v>31.536000000000001</v>
      </c>
    </row>
    <row r="133" spans="1:23" x14ac:dyDescent="0.25">
      <c r="A133" t="s">
        <v>98</v>
      </c>
      <c r="B133" t="s">
        <v>849</v>
      </c>
      <c r="D133" t="s">
        <v>100</v>
      </c>
      <c r="E133" t="s">
        <v>101</v>
      </c>
      <c r="F133" t="s">
        <v>3477</v>
      </c>
      <c r="G133" t="s">
        <v>131</v>
      </c>
      <c r="H133" t="s">
        <v>133</v>
      </c>
      <c r="I133" t="s">
        <v>850</v>
      </c>
      <c r="J133" t="s">
        <v>3629</v>
      </c>
      <c r="K133">
        <v>44.382259283666471</v>
      </c>
      <c r="L133">
        <v>25197.169040349519</v>
      </c>
      <c r="M133">
        <v>0.83469417447623306</v>
      </c>
      <c r="N133">
        <v>21031.93021127264</v>
      </c>
      <c r="O133">
        <v>15984.266960567211</v>
      </c>
      <c r="P133">
        <v>2155.237567382761</v>
      </c>
      <c r="Q133" t="s">
        <v>111</v>
      </c>
      <c r="R133">
        <v>0.76</v>
      </c>
      <c r="S133">
        <v>12.5</v>
      </c>
      <c r="T133">
        <v>11.357593544393531</v>
      </c>
      <c r="V133">
        <v>0.23517490043942399</v>
      </c>
      <c r="W133">
        <v>31.536000000000001</v>
      </c>
    </row>
    <row r="134" spans="1:23" x14ac:dyDescent="0.25">
      <c r="A134" t="s">
        <v>98</v>
      </c>
      <c r="B134" t="s">
        <v>849</v>
      </c>
      <c r="D134" t="s">
        <v>100</v>
      </c>
      <c r="E134" t="s">
        <v>101</v>
      </c>
      <c r="F134" t="s">
        <v>3479</v>
      </c>
      <c r="G134" t="s">
        <v>131</v>
      </c>
      <c r="H134" t="s">
        <v>133</v>
      </c>
      <c r="I134" t="s">
        <v>850</v>
      </c>
      <c r="J134" t="s">
        <v>3630</v>
      </c>
      <c r="K134">
        <v>44.382259283666471</v>
      </c>
      <c r="L134">
        <v>25197.169040349519</v>
      </c>
      <c r="M134">
        <v>7.5949419706356804E-3</v>
      </c>
      <c r="N134">
        <v>191.37103668575261</v>
      </c>
      <c r="O134">
        <v>248.78234769147829</v>
      </c>
      <c r="P134">
        <v>21.418620450246511</v>
      </c>
      <c r="Q134" t="s">
        <v>111</v>
      </c>
      <c r="R134">
        <v>1.3</v>
      </c>
      <c r="S134">
        <v>7.5</v>
      </c>
      <c r="T134">
        <v>12</v>
      </c>
      <c r="V134">
        <v>0.36831674163396372</v>
      </c>
      <c r="W134">
        <v>31.536000000000001</v>
      </c>
    </row>
    <row r="135" spans="1:23" x14ac:dyDescent="0.25">
      <c r="A135" t="s">
        <v>98</v>
      </c>
      <c r="B135" t="s">
        <v>849</v>
      </c>
      <c r="D135" t="s">
        <v>100</v>
      </c>
      <c r="E135" t="s">
        <v>101</v>
      </c>
      <c r="F135" t="s">
        <v>3481</v>
      </c>
      <c r="G135" t="s">
        <v>136</v>
      </c>
      <c r="H135" t="s">
        <v>138</v>
      </c>
      <c r="I135" t="s">
        <v>850</v>
      </c>
      <c r="J135" t="s">
        <v>3631</v>
      </c>
      <c r="K135">
        <v>44.382259283666471</v>
      </c>
      <c r="L135">
        <v>1044.115828039038</v>
      </c>
      <c r="M135">
        <v>0.99432079043856869</v>
      </c>
      <c r="N135">
        <v>1038.186075445197</v>
      </c>
      <c r="O135">
        <v>820.1669996017057</v>
      </c>
      <c r="P135">
        <v>86.307665020473934</v>
      </c>
      <c r="Q135" t="s">
        <v>111</v>
      </c>
      <c r="R135">
        <v>0.79</v>
      </c>
      <c r="S135">
        <v>12.5</v>
      </c>
      <c r="T135">
        <v>14</v>
      </c>
      <c r="V135">
        <v>0.30133273728525678</v>
      </c>
      <c r="W135">
        <v>31.536000000000001</v>
      </c>
    </row>
    <row r="136" spans="1:23" x14ac:dyDescent="0.25">
      <c r="A136" t="s">
        <v>98</v>
      </c>
      <c r="B136" t="s">
        <v>849</v>
      </c>
      <c r="D136" t="s">
        <v>100</v>
      </c>
      <c r="E136" t="s">
        <v>101</v>
      </c>
      <c r="F136" t="s">
        <v>3483</v>
      </c>
      <c r="G136" t="s">
        <v>136</v>
      </c>
      <c r="H136" t="s">
        <v>138</v>
      </c>
      <c r="I136" t="s">
        <v>850</v>
      </c>
      <c r="J136" t="s">
        <v>3632</v>
      </c>
      <c r="K136">
        <v>44.382259283666471</v>
      </c>
      <c r="L136">
        <v>1044.115828039038</v>
      </c>
      <c r="M136">
        <v>5.6792095614312827E-3</v>
      </c>
      <c r="N136">
        <v>5.9297525938410471</v>
      </c>
      <c r="O136">
        <v>4.509576847616116</v>
      </c>
      <c r="P136">
        <v>0.49295893349759651</v>
      </c>
      <c r="Q136" t="s">
        <v>111</v>
      </c>
      <c r="R136">
        <v>0.76049999999999995</v>
      </c>
      <c r="S136">
        <v>11.5</v>
      </c>
      <c r="T136">
        <v>4</v>
      </c>
      <c r="V136">
        <v>0.29008043886764279</v>
      </c>
      <c r="W136">
        <v>31.536000000000001</v>
      </c>
    </row>
    <row r="137" spans="1:23" x14ac:dyDescent="0.25">
      <c r="A137" t="s">
        <v>98</v>
      </c>
      <c r="B137" t="s">
        <v>849</v>
      </c>
      <c r="D137" t="s">
        <v>100</v>
      </c>
      <c r="E137" t="s">
        <v>101</v>
      </c>
      <c r="F137" t="s">
        <v>3485</v>
      </c>
      <c r="G137" t="s">
        <v>3486</v>
      </c>
      <c r="H137" t="s">
        <v>3487</v>
      </c>
      <c r="I137" t="s">
        <v>850</v>
      </c>
      <c r="J137" t="s">
        <v>3633</v>
      </c>
      <c r="K137">
        <v>44.382259283666471</v>
      </c>
      <c r="L137">
        <v>0</v>
      </c>
      <c r="M137">
        <v>2.0791530818853911E-2</v>
      </c>
      <c r="N137">
        <v>0</v>
      </c>
      <c r="O137">
        <v>0</v>
      </c>
      <c r="P137">
        <v>0</v>
      </c>
      <c r="Q137" t="s">
        <v>111</v>
      </c>
      <c r="R137">
        <v>0.71050000000000002</v>
      </c>
      <c r="S137">
        <v>11.5</v>
      </c>
      <c r="T137">
        <v>2.0235418398467511</v>
      </c>
      <c r="V137">
        <v>0.2041461870732276</v>
      </c>
      <c r="W137">
        <v>31.536000000000001</v>
      </c>
    </row>
    <row r="138" spans="1:23" x14ac:dyDescent="0.25">
      <c r="A138" t="s">
        <v>98</v>
      </c>
      <c r="B138" t="s">
        <v>849</v>
      </c>
      <c r="D138" t="s">
        <v>100</v>
      </c>
      <c r="E138" t="s">
        <v>101</v>
      </c>
      <c r="F138" t="s">
        <v>3489</v>
      </c>
      <c r="G138" t="s">
        <v>3486</v>
      </c>
      <c r="H138" t="s">
        <v>3487</v>
      </c>
      <c r="I138" t="s">
        <v>850</v>
      </c>
      <c r="J138" t="s">
        <v>3634</v>
      </c>
      <c r="K138">
        <v>44.382259283666471</v>
      </c>
      <c r="L138">
        <v>0</v>
      </c>
      <c r="M138">
        <v>0.25420881125765271</v>
      </c>
      <c r="N138">
        <v>0</v>
      </c>
      <c r="O138">
        <v>0</v>
      </c>
      <c r="P138">
        <v>0</v>
      </c>
      <c r="Q138" t="s">
        <v>111</v>
      </c>
      <c r="R138">
        <v>0.76</v>
      </c>
      <c r="S138">
        <v>12.5</v>
      </c>
      <c r="T138">
        <v>11.357593544393531</v>
      </c>
      <c r="V138">
        <v>0.23517490043942399</v>
      </c>
      <c r="W138">
        <v>31.536000000000001</v>
      </c>
    </row>
    <row r="139" spans="1:23" x14ac:dyDescent="0.25">
      <c r="A139" t="s">
        <v>98</v>
      </c>
      <c r="B139" t="s">
        <v>849</v>
      </c>
      <c r="D139" t="s">
        <v>100</v>
      </c>
      <c r="E139" t="s">
        <v>101</v>
      </c>
      <c r="F139" t="s">
        <v>3491</v>
      </c>
      <c r="G139" t="s">
        <v>3486</v>
      </c>
      <c r="H139" t="s">
        <v>3487</v>
      </c>
      <c r="I139" t="s">
        <v>850</v>
      </c>
      <c r="J139" t="s">
        <v>3635</v>
      </c>
      <c r="K139">
        <v>44.382259283666471</v>
      </c>
      <c r="L139">
        <v>0</v>
      </c>
      <c r="M139">
        <v>0.72499965792349341</v>
      </c>
      <c r="N139">
        <v>0</v>
      </c>
      <c r="O139">
        <v>0</v>
      </c>
      <c r="P139">
        <v>0</v>
      </c>
      <c r="Q139" t="s">
        <v>111</v>
      </c>
      <c r="R139">
        <v>1.3</v>
      </c>
      <c r="S139">
        <v>7.5</v>
      </c>
      <c r="T139">
        <v>12</v>
      </c>
      <c r="V139">
        <v>0.36831674163396372</v>
      </c>
      <c r="W139">
        <v>31.536000000000001</v>
      </c>
    </row>
    <row r="140" spans="1:23" x14ac:dyDescent="0.25">
      <c r="A140" t="s">
        <v>98</v>
      </c>
      <c r="B140" t="s">
        <v>849</v>
      </c>
      <c r="D140" t="s">
        <v>100</v>
      </c>
      <c r="E140" t="s">
        <v>101</v>
      </c>
      <c r="F140" t="s">
        <v>3493</v>
      </c>
      <c r="G140" t="s">
        <v>3494</v>
      </c>
      <c r="H140" t="s">
        <v>3495</v>
      </c>
      <c r="I140" t="s">
        <v>850</v>
      </c>
      <c r="J140" t="s">
        <v>3636</v>
      </c>
      <c r="K140">
        <v>44.382259283666471</v>
      </c>
      <c r="L140">
        <v>626.82493553646464</v>
      </c>
      <c r="M140">
        <v>1</v>
      </c>
      <c r="N140">
        <v>626.82493553646464</v>
      </c>
      <c r="O140">
        <v>587.39764709122096</v>
      </c>
      <c r="P140">
        <v>83.23360246751183</v>
      </c>
      <c r="Q140" t="s">
        <v>111</v>
      </c>
      <c r="R140">
        <v>0.93709999999999993</v>
      </c>
      <c r="S140">
        <v>12.5</v>
      </c>
      <c r="T140">
        <v>1</v>
      </c>
      <c r="V140">
        <v>0.22378290316444821</v>
      </c>
      <c r="W140">
        <v>31.536000000000001</v>
      </c>
    </row>
    <row r="141" spans="1:23" x14ac:dyDescent="0.25">
      <c r="A141" t="s">
        <v>98</v>
      </c>
      <c r="B141" t="s">
        <v>849</v>
      </c>
      <c r="D141" t="s">
        <v>100</v>
      </c>
      <c r="E141" t="s">
        <v>142</v>
      </c>
      <c r="F141" t="s">
        <v>3497</v>
      </c>
      <c r="G141" t="s">
        <v>104</v>
      </c>
      <c r="H141" t="s">
        <v>106</v>
      </c>
      <c r="I141" t="s">
        <v>863</v>
      </c>
      <c r="J141" t="s">
        <v>3637</v>
      </c>
      <c r="K141">
        <v>44.382259283666471</v>
      </c>
      <c r="L141">
        <v>2318.2745670815239</v>
      </c>
      <c r="M141">
        <v>1.1445626964961819E-2</v>
      </c>
      <c r="N141">
        <v>26.53410589717349</v>
      </c>
      <c r="O141">
        <v>88.654398366875071</v>
      </c>
      <c r="P141">
        <v>22.86316693053822</v>
      </c>
      <c r="Q141" t="s">
        <v>111</v>
      </c>
      <c r="R141">
        <v>3.3411488862837051</v>
      </c>
      <c r="S141">
        <v>9</v>
      </c>
      <c r="T141">
        <v>8</v>
      </c>
      <c r="V141">
        <v>0.1229581422031471</v>
      </c>
      <c r="W141">
        <v>31.536000000000001</v>
      </c>
    </row>
    <row r="142" spans="1:23" x14ac:dyDescent="0.25">
      <c r="A142" t="s">
        <v>98</v>
      </c>
      <c r="B142" t="s">
        <v>849</v>
      </c>
      <c r="D142" t="s">
        <v>100</v>
      </c>
      <c r="E142" t="s">
        <v>142</v>
      </c>
      <c r="F142" t="s">
        <v>3499</v>
      </c>
      <c r="G142" t="s">
        <v>104</v>
      </c>
      <c r="H142" t="s">
        <v>106</v>
      </c>
      <c r="I142" t="s">
        <v>863</v>
      </c>
      <c r="J142" t="s">
        <v>3638</v>
      </c>
      <c r="K142">
        <v>44.382259283666471</v>
      </c>
      <c r="L142">
        <v>2318.2745670815239</v>
      </c>
      <c r="M142">
        <v>8.0678564920634396E-2</v>
      </c>
      <c r="N142">
        <v>187.0350651641424</v>
      </c>
      <c r="O142">
        <v>476.90652606331719</v>
      </c>
      <c r="P142">
        <v>170.5519826742285</v>
      </c>
      <c r="Q142" t="s">
        <v>111</v>
      </c>
      <c r="R142">
        <v>2.5498241500586158</v>
      </c>
      <c r="S142">
        <v>5</v>
      </c>
      <c r="T142">
        <v>0</v>
      </c>
      <c r="V142">
        <v>8.8668607072444908E-2</v>
      </c>
      <c r="W142">
        <v>31.536000000000001</v>
      </c>
    </row>
    <row r="143" spans="1:23" x14ac:dyDescent="0.25">
      <c r="A143" t="s">
        <v>98</v>
      </c>
      <c r="B143" t="s">
        <v>849</v>
      </c>
      <c r="D143" t="s">
        <v>100</v>
      </c>
      <c r="E143" t="s">
        <v>142</v>
      </c>
      <c r="F143" t="s">
        <v>3501</v>
      </c>
      <c r="G143" t="s">
        <v>104</v>
      </c>
      <c r="H143" t="s">
        <v>106</v>
      </c>
      <c r="I143" t="s">
        <v>863</v>
      </c>
      <c r="J143" t="s">
        <v>3639</v>
      </c>
      <c r="K143">
        <v>44.382259283666471</v>
      </c>
      <c r="L143">
        <v>2318.2745670815239</v>
      </c>
      <c r="M143">
        <v>0.66466721058843492</v>
      </c>
      <c r="N143">
        <v>1540.881089880188</v>
      </c>
      <c r="O143">
        <v>4712.4147710286616</v>
      </c>
      <c r="P143">
        <v>649.85990031629558</v>
      </c>
      <c r="Q143" t="s">
        <v>111</v>
      </c>
      <c r="R143">
        <v>3.058259850145268</v>
      </c>
      <c r="S143">
        <v>9</v>
      </c>
      <c r="T143">
        <v>8</v>
      </c>
      <c r="V143">
        <v>0.2299413951496454</v>
      </c>
      <c r="W143">
        <v>31.536000000000001</v>
      </c>
    </row>
    <row r="144" spans="1:23" x14ac:dyDescent="0.25">
      <c r="A144" t="s">
        <v>98</v>
      </c>
      <c r="B144" t="s">
        <v>849</v>
      </c>
      <c r="D144" t="s">
        <v>100</v>
      </c>
      <c r="E144" t="s">
        <v>142</v>
      </c>
      <c r="F144" t="s">
        <v>3503</v>
      </c>
      <c r="G144" t="s">
        <v>104</v>
      </c>
      <c r="H144" t="s">
        <v>106</v>
      </c>
      <c r="I144" t="s">
        <v>863</v>
      </c>
      <c r="J144" t="s">
        <v>3640</v>
      </c>
      <c r="K144">
        <v>44.382259283666471</v>
      </c>
      <c r="L144">
        <v>2318.2745670815239</v>
      </c>
      <c r="M144">
        <v>2.7952075283572759E-2</v>
      </c>
      <c r="N144">
        <v>64.80058522705481</v>
      </c>
      <c r="O144">
        <v>176.62527626366051</v>
      </c>
      <c r="P144">
        <v>32.421126763403443</v>
      </c>
      <c r="Q144" t="s">
        <v>111</v>
      </c>
      <c r="R144">
        <v>2.7256740914419701</v>
      </c>
      <c r="S144">
        <v>10.5</v>
      </c>
      <c r="T144">
        <v>14</v>
      </c>
      <c r="V144">
        <v>0.1727500345767651</v>
      </c>
      <c r="W144">
        <v>31.536000000000001</v>
      </c>
    </row>
    <row r="145" spans="1:23" x14ac:dyDescent="0.25">
      <c r="A145" t="s">
        <v>98</v>
      </c>
      <c r="B145" t="s">
        <v>849</v>
      </c>
      <c r="D145" t="s">
        <v>100</v>
      </c>
      <c r="E145" t="s">
        <v>142</v>
      </c>
      <c r="F145" t="s">
        <v>3505</v>
      </c>
      <c r="G145" t="s">
        <v>104</v>
      </c>
      <c r="H145" t="s">
        <v>106</v>
      </c>
      <c r="I145" t="s">
        <v>863</v>
      </c>
      <c r="J145" t="s">
        <v>3641</v>
      </c>
      <c r="K145">
        <v>44.382259283666471</v>
      </c>
      <c r="L145">
        <v>2318.2745670815239</v>
      </c>
      <c r="M145">
        <v>8.1209758367342029E-5</v>
      </c>
      <c r="N145">
        <v>0.188266517421845</v>
      </c>
      <c r="O145">
        <v>0.50763539281388459</v>
      </c>
      <c r="P145">
        <v>7.1405628722312944E-2</v>
      </c>
      <c r="Q145" t="s">
        <v>111</v>
      </c>
      <c r="R145">
        <v>2.6963657678780768</v>
      </c>
      <c r="S145">
        <v>10.5</v>
      </c>
      <c r="T145">
        <v>14</v>
      </c>
      <c r="V145">
        <v>0.22543058576410069</v>
      </c>
      <c r="W145">
        <v>31.536000000000001</v>
      </c>
    </row>
    <row r="146" spans="1:23" x14ac:dyDescent="0.25">
      <c r="A146" t="s">
        <v>98</v>
      </c>
      <c r="B146" t="s">
        <v>849</v>
      </c>
      <c r="D146" t="s">
        <v>100</v>
      </c>
      <c r="E146" t="s">
        <v>142</v>
      </c>
      <c r="F146" t="s">
        <v>3507</v>
      </c>
      <c r="G146" t="s">
        <v>104</v>
      </c>
      <c r="H146" t="s">
        <v>106</v>
      </c>
      <c r="I146" t="s">
        <v>863</v>
      </c>
      <c r="J146" t="s">
        <v>3642</v>
      </c>
      <c r="K146">
        <v>44.382259283666471</v>
      </c>
      <c r="L146">
        <v>2318.2745670815239</v>
      </c>
      <c r="M146">
        <v>0.21485989936651531</v>
      </c>
      <c r="N146">
        <v>498.10424018708801</v>
      </c>
      <c r="O146">
        <v>298.86254411225281</v>
      </c>
      <c r="P146">
        <v>16.833100607235881</v>
      </c>
      <c r="Q146" t="s">
        <v>111</v>
      </c>
      <c r="R146">
        <v>0.6</v>
      </c>
      <c r="S146">
        <v>7.5</v>
      </c>
      <c r="T146">
        <v>12</v>
      </c>
      <c r="V146">
        <v>0.5629901066155617</v>
      </c>
      <c r="W146">
        <v>31.536000000000001</v>
      </c>
    </row>
    <row r="147" spans="1:23" x14ac:dyDescent="0.25">
      <c r="A147" t="s">
        <v>98</v>
      </c>
      <c r="B147" t="s">
        <v>849</v>
      </c>
      <c r="D147" t="s">
        <v>100</v>
      </c>
      <c r="E147" t="s">
        <v>142</v>
      </c>
      <c r="F147" t="s">
        <v>3509</v>
      </c>
      <c r="G147" t="s">
        <v>104</v>
      </c>
      <c r="H147" t="s">
        <v>106</v>
      </c>
      <c r="I147" t="s">
        <v>863</v>
      </c>
      <c r="J147" t="s">
        <v>3643</v>
      </c>
      <c r="K147">
        <v>44.382259283666471</v>
      </c>
      <c r="L147">
        <v>2318.2745670815239</v>
      </c>
      <c r="M147">
        <v>3.1541311751506128E-4</v>
      </c>
      <c r="N147">
        <v>0.7312142084590626</v>
      </c>
      <c r="O147">
        <v>0.7312142084590626</v>
      </c>
      <c r="P147">
        <v>1.719998579937847</v>
      </c>
      <c r="Q147" t="s">
        <v>111</v>
      </c>
      <c r="R147">
        <v>1</v>
      </c>
      <c r="S147">
        <v>11.5</v>
      </c>
      <c r="T147">
        <v>10</v>
      </c>
      <c r="V147">
        <v>1.3480621854145841E-2</v>
      </c>
      <c r="W147">
        <v>31.536000000000001</v>
      </c>
    </row>
    <row r="148" spans="1:23" x14ac:dyDescent="0.25">
      <c r="A148" t="s">
        <v>98</v>
      </c>
      <c r="B148" t="s">
        <v>849</v>
      </c>
      <c r="D148" t="s">
        <v>100</v>
      </c>
      <c r="E148" t="s">
        <v>142</v>
      </c>
      <c r="F148" t="s">
        <v>3511</v>
      </c>
      <c r="G148" t="s">
        <v>104</v>
      </c>
      <c r="H148" t="s">
        <v>106</v>
      </c>
      <c r="I148" t="s">
        <v>863</v>
      </c>
      <c r="J148" t="s">
        <v>3644</v>
      </c>
      <c r="K148">
        <v>44.382259283666471</v>
      </c>
      <c r="L148">
        <v>2318.2745670815239</v>
      </c>
      <c r="M148">
        <v>0</v>
      </c>
      <c r="N148">
        <v>0</v>
      </c>
      <c r="O148">
        <v>0</v>
      </c>
      <c r="P148">
        <v>0</v>
      </c>
      <c r="Q148" t="s">
        <v>111</v>
      </c>
      <c r="R148">
        <v>1</v>
      </c>
      <c r="S148">
        <v>12.5</v>
      </c>
      <c r="T148">
        <v>1</v>
      </c>
      <c r="V148">
        <v>0</v>
      </c>
      <c r="W148">
        <v>31.536000000000001</v>
      </c>
    </row>
    <row r="149" spans="1:23" x14ac:dyDescent="0.25">
      <c r="A149" t="s">
        <v>98</v>
      </c>
      <c r="B149" t="s">
        <v>849</v>
      </c>
      <c r="D149" t="s">
        <v>100</v>
      </c>
      <c r="E149" t="s">
        <v>243</v>
      </c>
      <c r="F149" t="s">
        <v>104</v>
      </c>
      <c r="G149" t="s">
        <v>104</v>
      </c>
      <c r="H149" t="s">
        <v>106</v>
      </c>
      <c r="I149" t="s">
        <v>907</v>
      </c>
      <c r="J149" t="s">
        <v>3645</v>
      </c>
      <c r="K149">
        <v>44.382259283666471</v>
      </c>
      <c r="L149">
        <v>7887.6706728168892</v>
      </c>
      <c r="M149">
        <v>1</v>
      </c>
      <c r="N149">
        <v>7887.6706728168892</v>
      </c>
      <c r="O149">
        <v>7887.6706728168892</v>
      </c>
      <c r="P149">
        <v>568.44635516241829</v>
      </c>
      <c r="Q149" t="s">
        <v>111</v>
      </c>
      <c r="R149">
        <v>1</v>
      </c>
      <c r="S149">
        <v>10</v>
      </c>
      <c r="T149">
        <v>97</v>
      </c>
      <c r="V149">
        <v>0.44</v>
      </c>
      <c r="W149">
        <v>31.536000000000001</v>
      </c>
    </row>
    <row r="150" spans="1:23" x14ac:dyDescent="0.25">
      <c r="A150" t="s">
        <v>98</v>
      </c>
      <c r="B150" t="s">
        <v>849</v>
      </c>
      <c r="D150" t="s">
        <v>100</v>
      </c>
      <c r="E150" t="s">
        <v>226</v>
      </c>
      <c r="F150" t="s">
        <v>136</v>
      </c>
      <c r="G150" t="s">
        <v>136</v>
      </c>
      <c r="H150" t="s">
        <v>138</v>
      </c>
      <c r="I150" t="s">
        <v>900</v>
      </c>
      <c r="J150" t="s">
        <v>3646</v>
      </c>
      <c r="K150">
        <v>44.382259283666471</v>
      </c>
      <c r="L150">
        <v>197.15831183081181</v>
      </c>
      <c r="M150">
        <v>1</v>
      </c>
      <c r="N150">
        <v>197.15831183081181</v>
      </c>
      <c r="O150">
        <v>153.78348322803319</v>
      </c>
      <c r="P150">
        <v>11.082823326590191</v>
      </c>
      <c r="Q150" t="s">
        <v>111</v>
      </c>
      <c r="R150">
        <v>0.78</v>
      </c>
      <c r="S150">
        <v>6.5</v>
      </c>
      <c r="T150">
        <v>6</v>
      </c>
      <c r="V150">
        <v>0.44</v>
      </c>
      <c r="W150">
        <v>31.536000000000001</v>
      </c>
    </row>
    <row r="151" spans="1:23" x14ac:dyDescent="0.25">
      <c r="A151" t="s">
        <v>98</v>
      </c>
      <c r="B151" t="s">
        <v>849</v>
      </c>
      <c r="D151" t="s">
        <v>100</v>
      </c>
      <c r="E151" t="s">
        <v>226</v>
      </c>
      <c r="F151" t="s">
        <v>131</v>
      </c>
      <c r="G151" t="s">
        <v>131</v>
      </c>
      <c r="H151" t="s">
        <v>133</v>
      </c>
      <c r="I151" t="s">
        <v>900</v>
      </c>
      <c r="J151" t="s">
        <v>3647</v>
      </c>
      <c r="K151">
        <v>44.382259283666471</v>
      </c>
      <c r="L151">
        <v>3336.50228334229</v>
      </c>
      <c r="M151">
        <v>1</v>
      </c>
      <c r="N151">
        <v>3336.50228334229</v>
      </c>
      <c r="O151">
        <v>2569.1067581735629</v>
      </c>
      <c r="P151">
        <v>185.14963837674429</v>
      </c>
      <c r="Q151" t="s">
        <v>111</v>
      </c>
      <c r="R151">
        <v>0.77</v>
      </c>
      <c r="S151">
        <v>5</v>
      </c>
      <c r="T151">
        <v>7</v>
      </c>
      <c r="V151">
        <v>0.44</v>
      </c>
      <c r="W151">
        <v>31.536000000000001</v>
      </c>
    </row>
    <row r="152" spans="1:23" x14ac:dyDescent="0.25">
      <c r="A152" t="s">
        <v>98</v>
      </c>
      <c r="B152" t="s">
        <v>849</v>
      </c>
      <c r="D152" t="s">
        <v>100</v>
      </c>
      <c r="E152" t="s">
        <v>226</v>
      </c>
      <c r="F152" t="s">
        <v>3494</v>
      </c>
      <c r="G152" t="s">
        <v>3494</v>
      </c>
      <c r="H152" t="s">
        <v>3495</v>
      </c>
      <c r="I152" t="s">
        <v>900</v>
      </c>
      <c r="J152" t="s">
        <v>3648</v>
      </c>
      <c r="K152">
        <v>44.382259283666471</v>
      </c>
      <c r="L152">
        <v>118.86343269537289</v>
      </c>
      <c r="M152">
        <v>1</v>
      </c>
      <c r="N152">
        <v>118.86343269537289</v>
      </c>
      <c r="O152">
        <v>115.8621310198147</v>
      </c>
      <c r="P152">
        <v>8.3499183487136452</v>
      </c>
      <c r="Q152" t="s">
        <v>111</v>
      </c>
      <c r="R152">
        <v>0.97474999999999989</v>
      </c>
      <c r="S152">
        <v>12.5</v>
      </c>
      <c r="T152">
        <v>1</v>
      </c>
      <c r="V152">
        <v>0.44</v>
      </c>
      <c r="W152">
        <v>31.536000000000001</v>
      </c>
    </row>
    <row r="153" spans="1:23" x14ac:dyDescent="0.25">
      <c r="A153" t="s">
        <v>98</v>
      </c>
      <c r="B153" t="s">
        <v>849</v>
      </c>
      <c r="D153" t="s">
        <v>100</v>
      </c>
      <c r="E153" t="s">
        <v>226</v>
      </c>
      <c r="F153" t="s">
        <v>104</v>
      </c>
      <c r="G153" t="s">
        <v>104</v>
      </c>
      <c r="H153" t="s">
        <v>106</v>
      </c>
      <c r="I153" t="s">
        <v>900</v>
      </c>
      <c r="J153" t="s">
        <v>3649</v>
      </c>
      <c r="K153">
        <v>44.382259283666471</v>
      </c>
      <c r="L153">
        <v>332.95814278119138</v>
      </c>
      <c r="M153">
        <v>1</v>
      </c>
      <c r="N153">
        <v>332.95814278119138</v>
      </c>
      <c r="O153">
        <v>324.55094967596631</v>
      </c>
      <c r="P153">
        <v>23.389643414450319</v>
      </c>
      <c r="Q153" t="s">
        <v>111</v>
      </c>
      <c r="R153">
        <v>0.97474999999999989</v>
      </c>
      <c r="S153">
        <v>7.5</v>
      </c>
      <c r="T153">
        <v>2</v>
      </c>
      <c r="V153">
        <v>0.44</v>
      </c>
      <c r="W153">
        <v>31.536000000000001</v>
      </c>
    </row>
    <row r="154" spans="1:23" x14ac:dyDescent="0.25">
      <c r="A154" t="s">
        <v>98</v>
      </c>
      <c r="B154" t="s">
        <v>849</v>
      </c>
      <c r="D154" t="s">
        <v>100</v>
      </c>
      <c r="E154" t="s">
        <v>284</v>
      </c>
      <c r="F154" t="s">
        <v>3518</v>
      </c>
      <c r="G154" t="s">
        <v>104</v>
      </c>
      <c r="H154" t="s">
        <v>106</v>
      </c>
      <c r="I154" t="s">
        <v>925</v>
      </c>
      <c r="J154" t="s">
        <v>3650</v>
      </c>
      <c r="K154">
        <v>44.382259283666471</v>
      </c>
      <c r="L154">
        <v>3796.7342794835172</v>
      </c>
      <c r="M154">
        <v>0.46563417779611782</v>
      </c>
      <c r="N154">
        <v>1767.889244537643</v>
      </c>
      <c r="O154">
        <v>4211.3550454243386</v>
      </c>
      <c r="P154">
        <v>8672.3860221469604</v>
      </c>
      <c r="Q154" t="s">
        <v>291</v>
      </c>
      <c r="R154">
        <v>2.382137375650891</v>
      </c>
      <c r="S154">
        <v>5</v>
      </c>
      <c r="T154">
        <v>1</v>
      </c>
      <c r="V154">
        <v>0.48560511889918889</v>
      </c>
      <c r="W154">
        <v>1</v>
      </c>
    </row>
    <row r="155" spans="1:23" x14ac:dyDescent="0.25">
      <c r="A155" t="s">
        <v>98</v>
      </c>
      <c r="B155" t="s">
        <v>849</v>
      </c>
      <c r="D155" t="s">
        <v>100</v>
      </c>
      <c r="E155" t="s">
        <v>284</v>
      </c>
      <c r="F155" t="s">
        <v>3520</v>
      </c>
      <c r="G155" t="s">
        <v>104</v>
      </c>
      <c r="H155" t="s">
        <v>106</v>
      </c>
      <c r="I155" t="s">
        <v>925</v>
      </c>
      <c r="J155" t="s">
        <v>3651</v>
      </c>
      <c r="K155">
        <v>44.382259283666471</v>
      </c>
      <c r="L155">
        <v>3796.7342794835172</v>
      </c>
      <c r="M155">
        <v>0.13218245983488139</v>
      </c>
      <c r="N155">
        <v>501.86167640154753</v>
      </c>
      <c r="O155">
        <v>690.10101226062909</v>
      </c>
      <c r="P155">
        <v>1936.2807095710341</v>
      </c>
      <c r="Q155" t="s">
        <v>291</v>
      </c>
      <c r="R155">
        <v>1.3750821086973539</v>
      </c>
      <c r="S155">
        <v>5</v>
      </c>
      <c r="T155">
        <v>5</v>
      </c>
      <c r="V155">
        <v>0.35640545756070408</v>
      </c>
      <c r="W155">
        <v>1</v>
      </c>
    </row>
    <row r="156" spans="1:23" x14ac:dyDescent="0.25">
      <c r="A156" t="s">
        <v>98</v>
      </c>
      <c r="B156" t="s">
        <v>849</v>
      </c>
      <c r="D156" t="s">
        <v>100</v>
      </c>
      <c r="E156" t="s">
        <v>284</v>
      </c>
      <c r="F156" t="s">
        <v>3522</v>
      </c>
      <c r="G156" t="s">
        <v>104</v>
      </c>
      <c r="H156" t="s">
        <v>106</v>
      </c>
      <c r="I156" t="s">
        <v>925</v>
      </c>
      <c r="J156" t="s">
        <v>3652</v>
      </c>
      <c r="K156">
        <v>44.382259283666471</v>
      </c>
      <c r="L156">
        <v>3796.7342794835172</v>
      </c>
      <c r="M156">
        <v>6.052657944008475E-2</v>
      </c>
      <c r="N156">
        <v>229.80333898005199</v>
      </c>
      <c r="O156">
        <v>76.885270060920419</v>
      </c>
      <c r="P156">
        <v>384.40736420266899</v>
      </c>
      <c r="Q156" t="s">
        <v>291</v>
      </c>
      <c r="R156">
        <v>0.33456985613074319</v>
      </c>
      <c r="S156">
        <v>0.5</v>
      </c>
      <c r="T156">
        <v>1</v>
      </c>
      <c r="V156">
        <v>0.20000987811561441</v>
      </c>
      <c r="W156">
        <v>1</v>
      </c>
    </row>
    <row r="157" spans="1:23" x14ac:dyDescent="0.25">
      <c r="A157" t="s">
        <v>98</v>
      </c>
      <c r="B157" t="s">
        <v>849</v>
      </c>
      <c r="D157" t="s">
        <v>100</v>
      </c>
      <c r="E157" t="s">
        <v>284</v>
      </c>
      <c r="F157" t="s">
        <v>285</v>
      </c>
      <c r="G157" t="s">
        <v>104</v>
      </c>
      <c r="H157" t="s">
        <v>106</v>
      </c>
      <c r="I157" t="s">
        <v>925</v>
      </c>
      <c r="J157" t="s">
        <v>3653</v>
      </c>
      <c r="K157">
        <v>44.382259283666471</v>
      </c>
      <c r="L157">
        <v>3796.7342794835172</v>
      </c>
      <c r="M157">
        <v>2.0124570476615641E-2</v>
      </c>
      <c r="N157">
        <v>76.407646588448557</v>
      </c>
      <c r="O157">
        <v>34.510988690620962</v>
      </c>
      <c r="P157">
        <v>271.20838831387482</v>
      </c>
      <c r="Q157" t="s">
        <v>291</v>
      </c>
      <c r="R157">
        <v>0.45166930577650322</v>
      </c>
      <c r="S157">
        <v>5</v>
      </c>
      <c r="T157">
        <v>37</v>
      </c>
      <c r="V157">
        <v>0.12724897229462059</v>
      </c>
      <c r="W157">
        <v>1</v>
      </c>
    </row>
    <row r="158" spans="1:23" x14ac:dyDescent="0.25">
      <c r="A158" t="s">
        <v>98</v>
      </c>
      <c r="B158" t="s">
        <v>849</v>
      </c>
      <c r="D158" t="s">
        <v>100</v>
      </c>
      <c r="E158" t="s">
        <v>284</v>
      </c>
      <c r="F158" t="s">
        <v>3525</v>
      </c>
      <c r="G158" t="s">
        <v>104</v>
      </c>
      <c r="H158" t="s">
        <v>106</v>
      </c>
      <c r="I158" t="s">
        <v>925</v>
      </c>
      <c r="J158" t="s">
        <v>3654</v>
      </c>
      <c r="K158">
        <v>44.382259283666471</v>
      </c>
      <c r="L158">
        <v>3796.7342794835172</v>
      </c>
      <c r="M158">
        <v>7.3537136400470956E-3</v>
      </c>
      <c r="N158">
        <v>27.920096658672321</v>
      </c>
      <c r="O158">
        <v>52.838983630167426</v>
      </c>
      <c r="P158">
        <v>365.15743049229133</v>
      </c>
      <c r="Q158" t="s">
        <v>291</v>
      </c>
      <c r="R158">
        <v>1.892507188500546</v>
      </c>
      <c r="S158">
        <v>0.5</v>
      </c>
      <c r="T158">
        <v>1</v>
      </c>
      <c r="V158">
        <v>0.14470192639632701</v>
      </c>
      <c r="W158">
        <v>1</v>
      </c>
    </row>
    <row r="159" spans="1:23" x14ac:dyDescent="0.25">
      <c r="A159" t="s">
        <v>98</v>
      </c>
      <c r="B159" t="s">
        <v>849</v>
      </c>
      <c r="D159" t="s">
        <v>100</v>
      </c>
      <c r="E159" t="s">
        <v>284</v>
      </c>
      <c r="F159" t="s">
        <v>3527</v>
      </c>
      <c r="G159" t="s">
        <v>104</v>
      </c>
      <c r="H159" t="s">
        <v>106</v>
      </c>
      <c r="I159" t="s">
        <v>925</v>
      </c>
      <c r="J159" t="s">
        <v>3655</v>
      </c>
      <c r="K159">
        <v>44.382259283666471</v>
      </c>
      <c r="L159">
        <v>3796.7342794835172</v>
      </c>
      <c r="M159">
        <v>0.31417849881225218</v>
      </c>
      <c r="N159">
        <v>1192.85227631715</v>
      </c>
      <c r="O159">
        <v>2257.481507749445</v>
      </c>
      <c r="P159">
        <v>5412.309593475873</v>
      </c>
      <c r="Q159" t="s">
        <v>291</v>
      </c>
      <c r="R159">
        <v>1.892507188500546</v>
      </c>
      <c r="S159">
        <v>5</v>
      </c>
      <c r="T159">
        <v>2</v>
      </c>
      <c r="V159">
        <v>0.41710132592390259</v>
      </c>
      <c r="W159">
        <v>1</v>
      </c>
    </row>
    <row r="160" spans="1:23" x14ac:dyDescent="0.25">
      <c r="A160" t="s">
        <v>98</v>
      </c>
      <c r="B160" t="s">
        <v>849</v>
      </c>
      <c r="D160" t="s">
        <v>100</v>
      </c>
      <c r="E160" t="s">
        <v>284</v>
      </c>
      <c r="F160" t="s">
        <v>3529</v>
      </c>
      <c r="G160" t="s">
        <v>104</v>
      </c>
      <c r="H160" t="s">
        <v>106</v>
      </c>
      <c r="I160" t="s">
        <v>925</v>
      </c>
      <c r="J160" t="s">
        <v>3656</v>
      </c>
      <c r="K160">
        <v>44.382259283666471</v>
      </c>
      <c r="L160">
        <v>3796.7342794835172</v>
      </c>
      <c r="M160">
        <v>0</v>
      </c>
      <c r="N160">
        <v>0</v>
      </c>
      <c r="O160">
        <v>0</v>
      </c>
      <c r="P160">
        <v>0</v>
      </c>
      <c r="Q160" t="s">
        <v>291</v>
      </c>
      <c r="R160">
        <v>0.96356118565654036</v>
      </c>
      <c r="S160">
        <v>0.5</v>
      </c>
      <c r="T160">
        <v>1</v>
      </c>
      <c r="V160">
        <v>0</v>
      </c>
      <c r="W160">
        <v>1</v>
      </c>
    </row>
    <row r="161" spans="1:23" x14ac:dyDescent="0.25">
      <c r="A161" t="s">
        <v>98</v>
      </c>
      <c r="B161" t="s">
        <v>849</v>
      </c>
      <c r="D161" t="s">
        <v>100</v>
      </c>
      <c r="E161" t="s">
        <v>3114</v>
      </c>
      <c r="F161" t="s">
        <v>136</v>
      </c>
      <c r="G161" t="s">
        <v>136</v>
      </c>
      <c r="H161" t="s">
        <v>138</v>
      </c>
      <c r="I161" t="s">
        <v>3123</v>
      </c>
      <c r="J161" t="s">
        <v>3657</v>
      </c>
      <c r="K161">
        <v>44.382259283666471</v>
      </c>
      <c r="L161">
        <v>3.6650403747459741</v>
      </c>
      <c r="M161">
        <v>1</v>
      </c>
      <c r="N161">
        <v>3.6650403747459741</v>
      </c>
      <c r="O161">
        <v>1.649268168635688</v>
      </c>
      <c r="P161">
        <v>0.1188589785292774</v>
      </c>
      <c r="Q161" t="s">
        <v>111</v>
      </c>
      <c r="R161">
        <v>0.45</v>
      </c>
      <c r="S161">
        <v>6</v>
      </c>
      <c r="T161">
        <v>8</v>
      </c>
      <c r="V161">
        <v>0.44</v>
      </c>
      <c r="W161">
        <v>31.536000000000001</v>
      </c>
    </row>
    <row r="162" spans="1:23" x14ac:dyDescent="0.25">
      <c r="A162" t="s">
        <v>98</v>
      </c>
      <c r="B162" t="s">
        <v>849</v>
      </c>
      <c r="D162" t="s">
        <v>100</v>
      </c>
      <c r="E162" t="s">
        <v>3114</v>
      </c>
      <c r="F162" t="s">
        <v>131</v>
      </c>
      <c r="G162" t="s">
        <v>131</v>
      </c>
      <c r="H162" t="s">
        <v>133</v>
      </c>
      <c r="I162" t="s">
        <v>3123</v>
      </c>
      <c r="J162" t="s">
        <v>3658</v>
      </c>
      <c r="K162">
        <v>44.382259283666471</v>
      </c>
      <c r="L162">
        <v>7365.3375383353432</v>
      </c>
      <c r="M162">
        <v>1</v>
      </c>
      <c r="N162">
        <v>7365.3375383353432</v>
      </c>
      <c r="O162">
        <v>3314.401892250904</v>
      </c>
      <c r="P162">
        <v>238.8613512587998</v>
      </c>
      <c r="Q162" t="s">
        <v>111</v>
      </c>
      <c r="R162">
        <v>0.45</v>
      </c>
      <c r="S162">
        <v>6</v>
      </c>
      <c r="T162">
        <v>8</v>
      </c>
      <c r="V162">
        <v>0.44</v>
      </c>
      <c r="W162">
        <v>31.536000000000001</v>
      </c>
    </row>
    <row r="163" spans="1:23" x14ac:dyDescent="0.25">
      <c r="A163" t="s">
        <v>98</v>
      </c>
      <c r="B163" t="s">
        <v>849</v>
      </c>
      <c r="D163" t="s">
        <v>100</v>
      </c>
      <c r="E163" t="s">
        <v>3114</v>
      </c>
      <c r="F163" t="s">
        <v>3494</v>
      </c>
      <c r="G163" t="s">
        <v>3494</v>
      </c>
      <c r="H163" t="s">
        <v>3495</v>
      </c>
      <c r="I163" t="s">
        <v>3123</v>
      </c>
      <c r="J163" t="s">
        <v>3659</v>
      </c>
      <c r="K163">
        <v>44.382259283666471</v>
      </c>
      <c r="L163">
        <v>3.4481645575112481</v>
      </c>
      <c r="M163">
        <v>1</v>
      </c>
      <c r="N163">
        <v>3.4481645575112481</v>
      </c>
      <c r="O163">
        <v>2.4137151902578728</v>
      </c>
      <c r="P163">
        <v>0.1739509240707498</v>
      </c>
      <c r="Q163" t="s">
        <v>111</v>
      </c>
      <c r="R163">
        <v>0.7</v>
      </c>
      <c r="S163">
        <v>6</v>
      </c>
      <c r="T163">
        <v>8</v>
      </c>
      <c r="V163">
        <v>0.44</v>
      </c>
      <c r="W163">
        <v>31.536000000000001</v>
      </c>
    </row>
    <row r="164" spans="1:23" x14ac:dyDescent="0.25">
      <c r="A164" t="s">
        <v>98</v>
      </c>
      <c r="B164" t="s">
        <v>849</v>
      </c>
      <c r="D164" t="s">
        <v>100</v>
      </c>
      <c r="E164" t="s">
        <v>3114</v>
      </c>
      <c r="F164" t="s">
        <v>104</v>
      </c>
      <c r="G164" t="s">
        <v>104</v>
      </c>
      <c r="H164" t="s">
        <v>106</v>
      </c>
      <c r="I164" t="s">
        <v>3123</v>
      </c>
      <c r="J164" t="s">
        <v>3660</v>
      </c>
      <c r="K164">
        <v>44.382259283666471</v>
      </c>
      <c r="L164">
        <v>635.99921930187691</v>
      </c>
      <c r="M164">
        <v>1</v>
      </c>
      <c r="N164">
        <v>635.99921930187691</v>
      </c>
      <c r="O164">
        <v>445.19945351131378</v>
      </c>
      <c r="P164">
        <v>32.084504686657809</v>
      </c>
      <c r="Q164" t="s">
        <v>111</v>
      </c>
      <c r="R164">
        <v>0.7</v>
      </c>
      <c r="S164">
        <v>6</v>
      </c>
      <c r="T164">
        <v>8</v>
      </c>
      <c r="V164">
        <v>0.44</v>
      </c>
      <c r="W164">
        <v>31.536000000000001</v>
      </c>
    </row>
    <row r="165" spans="1:23" x14ac:dyDescent="0.25">
      <c r="A165" t="s">
        <v>98</v>
      </c>
      <c r="B165" t="s">
        <v>849</v>
      </c>
      <c r="D165" t="s">
        <v>100</v>
      </c>
      <c r="E165" t="s">
        <v>439</v>
      </c>
      <c r="F165" t="s">
        <v>104</v>
      </c>
      <c r="G165" t="s">
        <v>104</v>
      </c>
      <c r="H165" t="s">
        <v>106</v>
      </c>
      <c r="I165" t="s">
        <v>996</v>
      </c>
      <c r="J165" t="s">
        <v>3661</v>
      </c>
      <c r="K165">
        <v>44.382259283666471</v>
      </c>
      <c r="L165">
        <v>975.04143820942772</v>
      </c>
      <c r="M165">
        <v>1</v>
      </c>
      <c r="N165">
        <v>975.04143820942772</v>
      </c>
      <c r="O165">
        <v>975.04143820942772</v>
      </c>
      <c r="P165">
        <v>70.269002684480924</v>
      </c>
      <c r="Q165" t="s">
        <v>111</v>
      </c>
      <c r="R165">
        <v>1</v>
      </c>
      <c r="S165">
        <v>5</v>
      </c>
      <c r="T165">
        <v>500</v>
      </c>
      <c r="V165">
        <v>0.44</v>
      </c>
      <c r="W165">
        <v>31.536000000000001</v>
      </c>
    </row>
    <row r="166" spans="1:23" x14ac:dyDescent="0.25">
      <c r="A166" t="s">
        <v>98</v>
      </c>
      <c r="B166" t="s">
        <v>849</v>
      </c>
      <c r="D166" t="s">
        <v>100</v>
      </c>
      <c r="E166" t="s">
        <v>3149</v>
      </c>
      <c r="F166" t="s">
        <v>136</v>
      </c>
      <c r="G166" t="s">
        <v>136</v>
      </c>
      <c r="H166" t="s">
        <v>138</v>
      </c>
      <c r="I166" t="s">
        <v>3157</v>
      </c>
      <c r="J166" t="s">
        <v>3662</v>
      </c>
      <c r="K166">
        <v>44.382259283666471</v>
      </c>
      <c r="L166">
        <v>1965.9488188733501</v>
      </c>
      <c r="M166">
        <v>1</v>
      </c>
      <c r="N166">
        <v>1965.9488188733501</v>
      </c>
      <c r="O166">
        <v>1965.9488188733501</v>
      </c>
      <c r="P166">
        <v>4468.0654974394311</v>
      </c>
      <c r="Q166" t="s">
        <v>3152</v>
      </c>
      <c r="R166">
        <v>1</v>
      </c>
      <c r="S166">
        <v>12.5</v>
      </c>
      <c r="T166">
        <v>10</v>
      </c>
      <c r="V166">
        <v>0.44</v>
      </c>
      <c r="W166">
        <v>1</v>
      </c>
    </row>
    <row r="167" spans="1:23" x14ac:dyDescent="0.25">
      <c r="A167" t="s">
        <v>98</v>
      </c>
      <c r="B167" t="s">
        <v>849</v>
      </c>
      <c r="D167" t="s">
        <v>100</v>
      </c>
      <c r="E167" t="s">
        <v>3149</v>
      </c>
      <c r="F167" t="s">
        <v>131</v>
      </c>
      <c r="G167" t="s">
        <v>131</v>
      </c>
      <c r="H167" t="s">
        <v>133</v>
      </c>
      <c r="I167" t="s">
        <v>3157</v>
      </c>
      <c r="J167" t="s">
        <v>3663</v>
      </c>
      <c r="K167">
        <v>44.382259283666471</v>
      </c>
      <c r="L167">
        <v>2994.9196112801869</v>
      </c>
      <c r="M167">
        <v>1</v>
      </c>
      <c r="N167">
        <v>2994.9196112801869</v>
      </c>
      <c r="O167">
        <v>2994.9196112801869</v>
      </c>
      <c r="P167">
        <v>6806.6354801822436</v>
      </c>
      <c r="Q167" t="s">
        <v>3152</v>
      </c>
      <c r="R167">
        <v>1</v>
      </c>
      <c r="S167">
        <v>12.5</v>
      </c>
      <c r="T167">
        <v>10</v>
      </c>
      <c r="V167">
        <v>0.44</v>
      </c>
      <c r="W167">
        <v>1</v>
      </c>
    </row>
    <row r="168" spans="1:23" x14ac:dyDescent="0.25">
      <c r="A168" t="s">
        <v>98</v>
      </c>
      <c r="B168" t="s">
        <v>849</v>
      </c>
      <c r="D168" t="s">
        <v>100</v>
      </c>
      <c r="E168" t="s">
        <v>3149</v>
      </c>
      <c r="F168" t="s">
        <v>3494</v>
      </c>
      <c r="G168" t="s">
        <v>3494</v>
      </c>
      <c r="H168" t="s">
        <v>3495</v>
      </c>
      <c r="I168" t="s">
        <v>3157</v>
      </c>
      <c r="J168" t="s">
        <v>3664</v>
      </c>
      <c r="K168">
        <v>44.382259283666471</v>
      </c>
      <c r="L168">
        <v>0.28873078357743742</v>
      </c>
      <c r="M168">
        <v>1</v>
      </c>
      <c r="N168">
        <v>0.28873078357743742</v>
      </c>
      <c r="O168">
        <v>0.28873078357743742</v>
      </c>
      <c r="P168">
        <v>0.65620632631235776</v>
      </c>
      <c r="Q168" t="s">
        <v>3152</v>
      </c>
      <c r="R168">
        <v>1</v>
      </c>
      <c r="S168">
        <v>12.5</v>
      </c>
      <c r="T168">
        <v>10</v>
      </c>
      <c r="V168">
        <v>0.44</v>
      </c>
      <c r="W168">
        <v>1</v>
      </c>
    </row>
    <row r="169" spans="1:23" x14ac:dyDescent="0.25">
      <c r="A169" t="s">
        <v>98</v>
      </c>
      <c r="B169" t="s">
        <v>849</v>
      </c>
      <c r="D169" t="s">
        <v>100</v>
      </c>
      <c r="E169" t="s">
        <v>3149</v>
      </c>
      <c r="F169" t="s">
        <v>104</v>
      </c>
      <c r="G169" t="s">
        <v>104</v>
      </c>
      <c r="H169" t="s">
        <v>106</v>
      </c>
      <c r="I169" t="s">
        <v>3157</v>
      </c>
      <c r="J169" t="s">
        <v>3665</v>
      </c>
      <c r="K169">
        <v>44.382259283666471</v>
      </c>
      <c r="L169">
        <v>8709.7130225548426</v>
      </c>
      <c r="M169">
        <v>1</v>
      </c>
      <c r="N169">
        <v>8709.7130225548426</v>
      </c>
      <c r="O169">
        <v>8709.7130225548426</v>
      </c>
      <c r="P169">
        <v>19794.802323988279</v>
      </c>
      <c r="Q169" t="s">
        <v>3152</v>
      </c>
      <c r="R169">
        <v>1</v>
      </c>
      <c r="S169">
        <v>12.5</v>
      </c>
      <c r="T169">
        <v>10</v>
      </c>
      <c r="V169">
        <v>0.44</v>
      </c>
      <c r="W169">
        <v>1</v>
      </c>
    </row>
    <row r="170" spans="1:23" x14ac:dyDescent="0.25">
      <c r="A170" t="s">
        <v>98</v>
      </c>
      <c r="B170" t="s">
        <v>1024</v>
      </c>
      <c r="D170" t="s">
        <v>100</v>
      </c>
      <c r="E170" t="s">
        <v>101</v>
      </c>
      <c r="F170" t="s">
        <v>3467</v>
      </c>
      <c r="G170" t="s">
        <v>104</v>
      </c>
      <c r="H170" t="s">
        <v>106</v>
      </c>
      <c r="I170" t="s">
        <v>1025</v>
      </c>
      <c r="J170" t="s">
        <v>3666</v>
      </c>
      <c r="K170">
        <v>48.565496275889338</v>
      </c>
      <c r="L170">
        <v>425.95954956621421</v>
      </c>
      <c r="M170">
        <v>0.54064051688723502</v>
      </c>
      <c r="N170">
        <v>230.2909910505318</v>
      </c>
      <c r="O170">
        <v>225.68517122952119</v>
      </c>
      <c r="P170">
        <v>54.097417859462873</v>
      </c>
      <c r="Q170" t="s">
        <v>111</v>
      </c>
      <c r="R170">
        <v>0.98</v>
      </c>
      <c r="S170">
        <v>7.5</v>
      </c>
      <c r="T170">
        <v>1</v>
      </c>
      <c r="V170">
        <v>0.13228782660384569</v>
      </c>
      <c r="W170">
        <v>31.536000000000001</v>
      </c>
    </row>
    <row r="171" spans="1:23" x14ac:dyDescent="0.25">
      <c r="A171" t="s">
        <v>98</v>
      </c>
      <c r="B171" t="s">
        <v>1024</v>
      </c>
      <c r="D171" t="s">
        <v>100</v>
      </c>
      <c r="E171" t="s">
        <v>101</v>
      </c>
      <c r="F171" t="s">
        <v>3469</v>
      </c>
      <c r="G171" t="s">
        <v>104</v>
      </c>
      <c r="H171" t="s">
        <v>106</v>
      </c>
      <c r="I171" t="s">
        <v>1025</v>
      </c>
      <c r="J171" t="s">
        <v>3667</v>
      </c>
      <c r="K171">
        <v>48.565496275889338</v>
      </c>
      <c r="L171">
        <v>425.95954956621421</v>
      </c>
      <c r="M171">
        <v>5.5518035106688422E-2</v>
      </c>
      <c r="N171">
        <v>23.648437226846259</v>
      </c>
      <c r="O171">
        <v>22.160950525277631</v>
      </c>
      <c r="P171">
        <v>13.14235237016573</v>
      </c>
      <c r="Q171" t="s">
        <v>111</v>
      </c>
      <c r="R171">
        <v>0.93709999999999993</v>
      </c>
      <c r="S171">
        <v>7.5</v>
      </c>
      <c r="T171">
        <v>1</v>
      </c>
      <c r="V171">
        <v>5.3469813586362588E-2</v>
      </c>
      <c r="W171">
        <v>31.536000000000001</v>
      </c>
    </row>
    <row r="172" spans="1:23" x14ac:dyDescent="0.25">
      <c r="A172" t="s">
        <v>98</v>
      </c>
      <c r="B172" t="s">
        <v>1024</v>
      </c>
      <c r="D172" t="s">
        <v>100</v>
      </c>
      <c r="E172" t="s">
        <v>101</v>
      </c>
      <c r="F172" t="s">
        <v>3471</v>
      </c>
      <c r="G172" t="s">
        <v>104</v>
      </c>
      <c r="H172" t="s">
        <v>106</v>
      </c>
      <c r="I172" t="s">
        <v>1025</v>
      </c>
      <c r="J172" t="s">
        <v>3668</v>
      </c>
      <c r="K172">
        <v>48.565496275889338</v>
      </c>
      <c r="L172">
        <v>425.95954956621421</v>
      </c>
      <c r="M172">
        <v>0.40384144800607652</v>
      </c>
      <c r="N172">
        <v>172.02012128883601</v>
      </c>
      <c r="O172">
        <v>533.26237599539172</v>
      </c>
      <c r="P172">
        <v>44.466701411680283</v>
      </c>
      <c r="Q172" t="s">
        <v>111</v>
      </c>
      <c r="R172">
        <v>3.1</v>
      </c>
      <c r="S172">
        <v>10.5</v>
      </c>
      <c r="T172">
        <v>14.33104807576899</v>
      </c>
      <c r="V172">
        <v>0.38027644234344299</v>
      </c>
      <c r="W172">
        <v>31.536000000000001</v>
      </c>
    </row>
    <row r="173" spans="1:23" x14ac:dyDescent="0.25">
      <c r="A173" t="s">
        <v>98</v>
      </c>
      <c r="B173" t="s">
        <v>1024</v>
      </c>
      <c r="D173" t="s">
        <v>100</v>
      </c>
      <c r="E173" t="s">
        <v>101</v>
      </c>
      <c r="F173" t="s">
        <v>3473</v>
      </c>
      <c r="G173" t="s">
        <v>104</v>
      </c>
      <c r="H173" t="s">
        <v>106</v>
      </c>
      <c r="I173" t="s">
        <v>1025</v>
      </c>
      <c r="J173" t="s">
        <v>3669</v>
      </c>
      <c r="K173">
        <v>48.565496275889338</v>
      </c>
      <c r="L173">
        <v>425.95954956621421</v>
      </c>
      <c r="M173">
        <v>0</v>
      </c>
      <c r="N173">
        <v>0</v>
      </c>
      <c r="O173">
        <v>0</v>
      </c>
      <c r="P173">
        <v>0</v>
      </c>
      <c r="Q173" t="s">
        <v>111</v>
      </c>
      <c r="R173">
        <v>3.4</v>
      </c>
      <c r="S173">
        <v>7.2</v>
      </c>
      <c r="T173">
        <v>13.00195893970977</v>
      </c>
      <c r="V173">
        <v>0.41707738837667929</v>
      </c>
      <c r="W173">
        <v>31.536000000000001</v>
      </c>
    </row>
    <row r="174" spans="1:23" x14ac:dyDescent="0.25">
      <c r="A174" t="s">
        <v>98</v>
      </c>
      <c r="B174" t="s">
        <v>1024</v>
      </c>
      <c r="D174" t="s">
        <v>100</v>
      </c>
      <c r="E174" t="s">
        <v>101</v>
      </c>
      <c r="F174" t="s">
        <v>3475</v>
      </c>
      <c r="G174" t="s">
        <v>131</v>
      </c>
      <c r="H174" t="s">
        <v>133</v>
      </c>
      <c r="I174" t="s">
        <v>1025</v>
      </c>
      <c r="J174" t="s">
        <v>3670</v>
      </c>
      <c r="K174">
        <v>48.565496275889338</v>
      </c>
      <c r="L174">
        <v>15095.37172991895</v>
      </c>
      <c r="M174">
        <v>0.25431542540321239</v>
      </c>
      <c r="N174">
        <v>3838.9858831139632</v>
      </c>
      <c r="O174">
        <v>2727.5994699524708</v>
      </c>
      <c r="P174">
        <v>393.7531437503481</v>
      </c>
      <c r="Q174" t="s">
        <v>111</v>
      </c>
      <c r="R174">
        <v>0.71050000000000002</v>
      </c>
      <c r="S174">
        <v>11.5</v>
      </c>
      <c r="T174">
        <v>2.0235418398467511</v>
      </c>
      <c r="V174">
        <v>0.21965948254639919</v>
      </c>
      <c r="W174">
        <v>31.536000000000001</v>
      </c>
    </row>
    <row r="175" spans="1:23" x14ac:dyDescent="0.25">
      <c r="A175" t="s">
        <v>98</v>
      </c>
      <c r="B175" t="s">
        <v>1024</v>
      </c>
      <c r="D175" t="s">
        <v>100</v>
      </c>
      <c r="E175" t="s">
        <v>101</v>
      </c>
      <c r="F175" t="s">
        <v>3477</v>
      </c>
      <c r="G175" t="s">
        <v>131</v>
      </c>
      <c r="H175" t="s">
        <v>133</v>
      </c>
      <c r="I175" t="s">
        <v>1025</v>
      </c>
      <c r="J175" t="s">
        <v>3671</v>
      </c>
      <c r="K175">
        <v>48.565496275889338</v>
      </c>
      <c r="L175">
        <v>15095.37172991895</v>
      </c>
      <c r="M175">
        <v>0.7383391785532385</v>
      </c>
      <c r="N175">
        <v>11145.504363024131</v>
      </c>
      <c r="O175">
        <v>8470.5833158983423</v>
      </c>
      <c r="P175">
        <v>1190.306913094598</v>
      </c>
      <c r="Q175" t="s">
        <v>111</v>
      </c>
      <c r="R175">
        <v>0.76</v>
      </c>
      <c r="S175">
        <v>12.5</v>
      </c>
      <c r="T175">
        <v>11.357593544393531</v>
      </c>
      <c r="V175">
        <v>0.22565645210777391</v>
      </c>
      <c r="W175">
        <v>31.536000000000001</v>
      </c>
    </row>
    <row r="176" spans="1:23" x14ac:dyDescent="0.25">
      <c r="A176" t="s">
        <v>98</v>
      </c>
      <c r="B176" t="s">
        <v>1024</v>
      </c>
      <c r="D176" t="s">
        <v>100</v>
      </c>
      <c r="E176" t="s">
        <v>101</v>
      </c>
      <c r="F176" t="s">
        <v>3479</v>
      </c>
      <c r="G176" t="s">
        <v>131</v>
      </c>
      <c r="H176" t="s">
        <v>133</v>
      </c>
      <c r="I176" t="s">
        <v>1025</v>
      </c>
      <c r="J176" t="s">
        <v>3672</v>
      </c>
      <c r="K176">
        <v>48.565496275889338</v>
      </c>
      <c r="L176">
        <v>15095.37172991895</v>
      </c>
      <c r="M176">
        <v>7.3453960435491917E-3</v>
      </c>
      <c r="N176">
        <v>110.8814837808509</v>
      </c>
      <c r="O176">
        <v>144.1459289151062</v>
      </c>
      <c r="P176">
        <v>15.08440605799229</v>
      </c>
      <c r="Q176" t="s">
        <v>111</v>
      </c>
      <c r="R176">
        <v>1.3</v>
      </c>
      <c r="S176">
        <v>7.5</v>
      </c>
      <c r="T176">
        <v>12</v>
      </c>
      <c r="V176">
        <v>0.30301739449547183</v>
      </c>
      <c r="W176">
        <v>31.536000000000001</v>
      </c>
    </row>
    <row r="177" spans="1:23" x14ac:dyDescent="0.25">
      <c r="A177" t="s">
        <v>98</v>
      </c>
      <c r="B177" t="s">
        <v>1024</v>
      </c>
      <c r="D177" t="s">
        <v>100</v>
      </c>
      <c r="E177" t="s">
        <v>101</v>
      </c>
      <c r="F177" t="s">
        <v>3481</v>
      </c>
      <c r="G177" t="s">
        <v>136</v>
      </c>
      <c r="H177" t="s">
        <v>138</v>
      </c>
      <c r="I177" t="s">
        <v>1025</v>
      </c>
      <c r="J177" t="s">
        <v>3673</v>
      </c>
      <c r="K177">
        <v>48.565496275889338</v>
      </c>
      <c r="L177">
        <v>1287.1306239741191</v>
      </c>
      <c r="M177">
        <v>0.99973216758192951</v>
      </c>
      <c r="N177">
        <v>1286.785888666727</v>
      </c>
      <c r="O177">
        <v>1016.560852046715</v>
      </c>
      <c r="P177">
        <v>179.50660056723041</v>
      </c>
      <c r="Q177" t="s">
        <v>111</v>
      </c>
      <c r="R177">
        <v>0.79</v>
      </c>
      <c r="S177">
        <v>12.5</v>
      </c>
      <c r="T177">
        <v>14</v>
      </c>
      <c r="V177">
        <v>0.17957519698651361</v>
      </c>
      <c r="W177">
        <v>31.536000000000001</v>
      </c>
    </row>
    <row r="178" spans="1:23" x14ac:dyDescent="0.25">
      <c r="A178" t="s">
        <v>98</v>
      </c>
      <c r="B178" t="s">
        <v>1024</v>
      </c>
      <c r="D178" t="s">
        <v>100</v>
      </c>
      <c r="E178" t="s">
        <v>101</v>
      </c>
      <c r="F178" t="s">
        <v>3483</v>
      </c>
      <c r="G178" t="s">
        <v>136</v>
      </c>
      <c r="H178" t="s">
        <v>138</v>
      </c>
      <c r="I178" t="s">
        <v>1025</v>
      </c>
      <c r="J178" t="s">
        <v>3674</v>
      </c>
      <c r="K178">
        <v>48.565496275889338</v>
      </c>
      <c r="L178">
        <v>1287.1306239741191</v>
      </c>
      <c r="M178">
        <v>2.6783241807037147E-4</v>
      </c>
      <c r="N178">
        <v>0.34473530739141439</v>
      </c>
      <c r="O178">
        <v>0.26217120127117061</v>
      </c>
      <c r="P178">
        <v>4.8090567102387051E-2</v>
      </c>
      <c r="Q178" t="s">
        <v>111</v>
      </c>
      <c r="R178">
        <v>0.76049999999999995</v>
      </c>
      <c r="S178">
        <v>11.5</v>
      </c>
      <c r="T178">
        <v>4</v>
      </c>
      <c r="V178">
        <v>0.17286954089651091</v>
      </c>
      <c r="W178">
        <v>31.536000000000001</v>
      </c>
    </row>
    <row r="179" spans="1:23" x14ac:dyDescent="0.25">
      <c r="A179" t="s">
        <v>98</v>
      </c>
      <c r="B179" t="s">
        <v>1024</v>
      </c>
      <c r="D179" t="s">
        <v>100</v>
      </c>
      <c r="E179" t="s">
        <v>101</v>
      </c>
      <c r="F179" t="s">
        <v>3485</v>
      </c>
      <c r="G179" t="s">
        <v>3486</v>
      </c>
      <c r="H179" t="s">
        <v>3487</v>
      </c>
      <c r="I179" t="s">
        <v>1025</v>
      </c>
      <c r="J179" t="s">
        <v>3675</v>
      </c>
      <c r="K179">
        <v>48.565496275889338</v>
      </c>
      <c r="L179">
        <v>0</v>
      </c>
      <c r="M179">
        <v>0.25229348399087131</v>
      </c>
      <c r="N179">
        <v>0</v>
      </c>
      <c r="O179">
        <v>0</v>
      </c>
      <c r="P179">
        <v>0</v>
      </c>
      <c r="Q179" t="s">
        <v>111</v>
      </c>
      <c r="R179">
        <v>0.71050000000000002</v>
      </c>
      <c r="S179">
        <v>11.5</v>
      </c>
      <c r="T179">
        <v>2.0235418398467511</v>
      </c>
      <c r="V179">
        <v>0.21965948254639919</v>
      </c>
      <c r="W179">
        <v>31.536000000000001</v>
      </c>
    </row>
    <row r="180" spans="1:23" x14ac:dyDescent="0.25">
      <c r="A180" t="s">
        <v>98</v>
      </c>
      <c r="B180" t="s">
        <v>1024</v>
      </c>
      <c r="D180" t="s">
        <v>100</v>
      </c>
      <c r="E180" t="s">
        <v>101</v>
      </c>
      <c r="F180" t="s">
        <v>3489</v>
      </c>
      <c r="G180" t="s">
        <v>3486</v>
      </c>
      <c r="H180" t="s">
        <v>3487</v>
      </c>
      <c r="I180" t="s">
        <v>1025</v>
      </c>
      <c r="J180" t="s">
        <v>3676</v>
      </c>
      <c r="K180">
        <v>48.565496275889338</v>
      </c>
      <c r="L180">
        <v>0</v>
      </c>
      <c r="M180">
        <v>0.43231978373775759</v>
      </c>
      <c r="N180">
        <v>0</v>
      </c>
      <c r="O180">
        <v>0</v>
      </c>
      <c r="P180">
        <v>0</v>
      </c>
      <c r="Q180" t="s">
        <v>111</v>
      </c>
      <c r="R180">
        <v>0.76</v>
      </c>
      <c r="S180">
        <v>12.5</v>
      </c>
      <c r="T180">
        <v>11.357593544393531</v>
      </c>
      <c r="V180">
        <v>0.22565645210777391</v>
      </c>
      <c r="W180">
        <v>31.536000000000001</v>
      </c>
    </row>
    <row r="181" spans="1:23" x14ac:dyDescent="0.25">
      <c r="A181" t="s">
        <v>98</v>
      </c>
      <c r="B181" t="s">
        <v>1024</v>
      </c>
      <c r="D181" t="s">
        <v>100</v>
      </c>
      <c r="E181" t="s">
        <v>101</v>
      </c>
      <c r="F181" t="s">
        <v>3491</v>
      </c>
      <c r="G181" t="s">
        <v>3486</v>
      </c>
      <c r="H181" t="s">
        <v>3487</v>
      </c>
      <c r="I181" t="s">
        <v>1025</v>
      </c>
      <c r="J181" t="s">
        <v>3677</v>
      </c>
      <c r="K181">
        <v>48.565496275889338</v>
      </c>
      <c r="L181">
        <v>0</v>
      </c>
      <c r="M181">
        <v>0.31538673227137098</v>
      </c>
      <c r="N181">
        <v>0</v>
      </c>
      <c r="O181">
        <v>0</v>
      </c>
      <c r="P181">
        <v>0</v>
      </c>
      <c r="Q181" t="s">
        <v>111</v>
      </c>
      <c r="R181">
        <v>1.3</v>
      </c>
      <c r="S181">
        <v>7.5</v>
      </c>
      <c r="T181">
        <v>12</v>
      </c>
      <c r="V181">
        <v>0.30301739449547183</v>
      </c>
      <c r="W181">
        <v>31.536000000000001</v>
      </c>
    </row>
    <row r="182" spans="1:23" x14ac:dyDescent="0.25">
      <c r="A182" t="s">
        <v>98</v>
      </c>
      <c r="B182" t="s">
        <v>1024</v>
      </c>
      <c r="D182" t="s">
        <v>100</v>
      </c>
      <c r="E182" t="s">
        <v>101</v>
      </c>
      <c r="F182" t="s">
        <v>3493</v>
      </c>
      <c r="G182" t="s">
        <v>3494</v>
      </c>
      <c r="H182" t="s">
        <v>3495</v>
      </c>
      <c r="I182" t="s">
        <v>1025</v>
      </c>
      <c r="J182" t="s">
        <v>3678</v>
      </c>
      <c r="K182">
        <v>48.565496275889338</v>
      </c>
      <c r="L182">
        <v>262.48158041851832</v>
      </c>
      <c r="M182">
        <v>1</v>
      </c>
      <c r="N182">
        <v>262.48158041851832</v>
      </c>
      <c r="O182">
        <v>245.97148901019349</v>
      </c>
      <c r="P182">
        <v>23.890253911352751</v>
      </c>
      <c r="Q182" t="s">
        <v>111</v>
      </c>
      <c r="R182">
        <v>0.93709999999999993</v>
      </c>
      <c r="S182">
        <v>12.5</v>
      </c>
      <c r="T182">
        <v>1</v>
      </c>
      <c r="V182">
        <v>0.32648061336608991</v>
      </c>
      <c r="W182">
        <v>31.536000000000001</v>
      </c>
    </row>
    <row r="183" spans="1:23" x14ac:dyDescent="0.25">
      <c r="A183" t="s">
        <v>98</v>
      </c>
      <c r="B183" t="s">
        <v>1024</v>
      </c>
      <c r="D183" t="s">
        <v>100</v>
      </c>
      <c r="E183" t="s">
        <v>142</v>
      </c>
      <c r="F183" t="s">
        <v>3497</v>
      </c>
      <c r="G183" t="s">
        <v>104</v>
      </c>
      <c r="H183" t="s">
        <v>106</v>
      </c>
      <c r="I183" t="s">
        <v>1038</v>
      </c>
      <c r="J183" t="s">
        <v>3679</v>
      </c>
      <c r="K183">
        <v>48.565496275889338</v>
      </c>
      <c r="L183">
        <v>1597.6808128316809</v>
      </c>
      <c r="M183">
        <v>1.049789243627265E-2</v>
      </c>
      <c r="N183">
        <v>16.77228132060365</v>
      </c>
      <c r="O183">
        <v>56.038689054771858</v>
      </c>
      <c r="P183">
        <v>21.198182419281888</v>
      </c>
      <c r="Q183" t="s">
        <v>111</v>
      </c>
      <c r="R183">
        <v>3.3411488862837051</v>
      </c>
      <c r="S183">
        <v>9</v>
      </c>
      <c r="T183">
        <v>8</v>
      </c>
      <c r="V183">
        <v>8.3826770513746623E-2</v>
      </c>
      <c r="W183">
        <v>31.536000000000001</v>
      </c>
    </row>
    <row r="184" spans="1:23" x14ac:dyDescent="0.25">
      <c r="A184" t="s">
        <v>98</v>
      </c>
      <c r="B184" t="s">
        <v>1024</v>
      </c>
      <c r="D184" t="s">
        <v>100</v>
      </c>
      <c r="E184" t="s">
        <v>142</v>
      </c>
      <c r="F184" t="s">
        <v>3499</v>
      </c>
      <c r="G184" t="s">
        <v>104</v>
      </c>
      <c r="H184" t="s">
        <v>106</v>
      </c>
      <c r="I184" t="s">
        <v>1038</v>
      </c>
      <c r="J184" t="s">
        <v>3680</v>
      </c>
      <c r="K184">
        <v>48.565496275889338</v>
      </c>
      <c r="L184">
        <v>1597.6808128316809</v>
      </c>
      <c r="M184">
        <v>0.25834194221676893</v>
      </c>
      <c r="N184">
        <v>412.74796422940238</v>
      </c>
      <c r="O184">
        <v>1052.43472707966</v>
      </c>
      <c r="P184">
        <v>269.07646310091872</v>
      </c>
      <c r="Q184" t="s">
        <v>111</v>
      </c>
      <c r="R184">
        <v>2.5498241500586158</v>
      </c>
      <c r="S184">
        <v>5</v>
      </c>
      <c r="T184">
        <v>0</v>
      </c>
      <c r="V184">
        <v>0.124026032926074</v>
      </c>
      <c r="W184">
        <v>31.536000000000001</v>
      </c>
    </row>
    <row r="185" spans="1:23" x14ac:dyDescent="0.25">
      <c r="A185" t="s">
        <v>98</v>
      </c>
      <c r="B185" t="s">
        <v>1024</v>
      </c>
      <c r="D185" t="s">
        <v>100</v>
      </c>
      <c r="E185" t="s">
        <v>142</v>
      </c>
      <c r="F185" t="s">
        <v>3501</v>
      </c>
      <c r="G185" t="s">
        <v>104</v>
      </c>
      <c r="H185" t="s">
        <v>106</v>
      </c>
      <c r="I185" t="s">
        <v>1038</v>
      </c>
      <c r="J185" t="s">
        <v>3681</v>
      </c>
      <c r="K185">
        <v>48.565496275889338</v>
      </c>
      <c r="L185">
        <v>1597.6808128316809</v>
      </c>
      <c r="M185">
        <v>0.62943562870761716</v>
      </c>
      <c r="N185">
        <v>1005.637226898806</v>
      </c>
      <c r="O185">
        <v>3075.4999548360438</v>
      </c>
      <c r="P185">
        <v>289.05628327182637</v>
      </c>
      <c r="Q185" t="s">
        <v>111</v>
      </c>
      <c r="R185">
        <v>3.058259850145268</v>
      </c>
      <c r="S185">
        <v>9</v>
      </c>
      <c r="T185">
        <v>8</v>
      </c>
      <c r="V185">
        <v>0.33738572540288969</v>
      </c>
      <c r="W185">
        <v>31.536000000000001</v>
      </c>
    </row>
    <row r="186" spans="1:23" x14ac:dyDescent="0.25">
      <c r="A186" t="s">
        <v>98</v>
      </c>
      <c r="B186" t="s">
        <v>1024</v>
      </c>
      <c r="D186" t="s">
        <v>100</v>
      </c>
      <c r="E186" t="s">
        <v>142</v>
      </c>
      <c r="F186" t="s">
        <v>3503</v>
      </c>
      <c r="G186" t="s">
        <v>104</v>
      </c>
      <c r="H186" t="s">
        <v>106</v>
      </c>
      <c r="I186" t="s">
        <v>1038</v>
      </c>
      <c r="J186" t="s">
        <v>3682</v>
      </c>
      <c r="K186">
        <v>48.565496275889338</v>
      </c>
      <c r="L186">
        <v>1597.6808128316809</v>
      </c>
      <c r="M186">
        <v>7.6759075808337227E-2</v>
      </c>
      <c r="N186">
        <v>122.6365026296728</v>
      </c>
      <c r="O186">
        <v>334.26713788275418</v>
      </c>
      <c r="P186">
        <v>51.343425407791138</v>
      </c>
      <c r="Q186" t="s">
        <v>111</v>
      </c>
      <c r="R186">
        <v>2.7256740914419701</v>
      </c>
      <c r="S186">
        <v>10.5</v>
      </c>
      <c r="T186">
        <v>14</v>
      </c>
      <c r="V186">
        <v>0.20644398625694449</v>
      </c>
      <c r="W186">
        <v>31.536000000000001</v>
      </c>
    </row>
    <row r="187" spans="1:23" x14ac:dyDescent="0.25">
      <c r="A187" t="s">
        <v>98</v>
      </c>
      <c r="B187" t="s">
        <v>1024</v>
      </c>
      <c r="D187" t="s">
        <v>100</v>
      </c>
      <c r="E187" t="s">
        <v>142</v>
      </c>
      <c r="F187" t="s">
        <v>3505</v>
      </c>
      <c r="G187" t="s">
        <v>104</v>
      </c>
      <c r="H187" t="s">
        <v>106</v>
      </c>
      <c r="I187" t="s">
        <v>1038</v>
      </c>
      <c r="J187" t="s">
        <v>3683</v>
      </c>
      <c r="K187">
        <v>48.565496275889338</v>
      </c>
      <c r="L187">
        <v>1597.6808128316809</v>
      </c>
      <c r="M187">
        <v>0</v>
      </c>
      <c r="N187">
        <v>0</v>
      </c>
      <c r="O187">
        <v>0</v>
      </c>
      <c r="P187">
        <v>0</v>
      </c>
      <c r="Q187" t="s">
        <v>111</v>
      </c>
      <c r="R187">
        <v>2.6963657678780768</v>
      </c>
      <c r="S187">
        <v>10.5</v>
      </c>
      <c r="T187">
        <v>14</v>
      </c>
      <c r="V187">
        <v>0.16469105791270869</v>
      </c>
      <c r="W187">
        <v>31.536000000000001</v>
      </c>
    </row>
    <row r="188" spans="1:23" x14ac:dyDescent="0.25">
      <c r="A188" t="s">
        <v>98</v>
      </c>
      <c r="B188" t="s">
        <v>1024</v>
      </c>
      <c r="D188" t="s">
        <v>100</v>
      </c>
      <c r="E188" t="s">
        <v>142</v>
      </c>
      <c r="F188" t="s">
        <v>3507</v>
      </c>
      <c r="G188" t="s">
        <v>104</v>
      </c>
      <c r="H188" t="s">
        <v>106</v>
      </c>
      <c r="I188" t="s">
        <v>1038</v>
      </c>
      <c r="J188" t="s">
        <v>3684</v>
      </c>
      <c r="K188">
        <v>48.565496275889338</v>
      </c>
      <c r="L188">
        <v>1597.6808128316809</v>
      </c>
      <c r="M188">
        <v>1.6629257379353061E-2</v>
      </c>
      <c r="N188">
        <v>26.56824544663203</v>
      </c>
      <c r="O188">
        <v>15.940947267979221</v>
      </c>
      <c r="P188">
        <v>4.6670665199412271</v>
      </c>
      <c r="Q188" t="s">
        <v>111</v>
      </c>
      <c r="R188">
        <v>0.6</v>
      </c>
      <c r="S188">
        <v>7.5</v>
      </c>
      <c r="T188">
        <v>12</v>
      </c>
      <c r="V188">
        <v>0.1083087459182277</v>
      </c>
      <c r="W188">
        <v>31.536000000000001</v>
      </c>
    </row>
    <row r="189" spans="1:23" x14ac:dyDescent="0.25">
      <c r="A189" t="s">
        <v>98</v>
      </c>
      <c r="B189" t="s">
        <v>1024</v>
      </c>
      <c r="D189" t="s">
        <v>100</v>
      </c>
      <c r="E189" t="s">
        <v>142</v>
      </c>
      <c r="F189" t="s">
        <v>3509</v>
      </c>
      <c r="G189" t="s">
        <v>104</v>
      </c>
      <c r="H189" t="s">
        <v>106</v>
      </c>
      <c r="I189" t="s">
        <v>1038</v>
      </c>
      <c r="J189" t="s">
        <v>3685</v>
      </c>
      <c r="K189">
        <v>48.565496275889338</v>
      </c>
      <c r="L189">
        <v>1597.6808128316809</v>
      </c>
      <c r="M189">
        <v>8.3362034516508803E-3</v>
      </c>
      <c r="N189">
        <v>13.31859230656384</v>
      </c>
      <c r="O189">
        <v>13.31859230656384</v>
      </c>
      <c r="P189">
        <v>7.0953793929370939</v>
      </c>
      <c r="Q189" t="s">
        <v>111</v>
      </c>
      <c r="R189">
        <v>1</v>
      </c>
      <c r="S189">
        <v>11.5</v>
      </c>
      <c r="T189">
        <v>10</v>
      </c>
      <c r="V189">
        <v>5.9521805412985213E-2</v>
      </c>
      <c r="W189">
        <v>31.536000000000001</v>
      </c>
    </row>
    <row r="190" spans="1:23" x14ac:dyDescent="0.25">
      <c r="A190" t="s">
        <v>98</v>
      </c>
      <c r="B190" t="s">
        <v>1024</v>
      </c>
      <c r="D190" t="s">
        <v>100</v>
      </c>
      <c r="E190" t="s">
        <v>142</v>
      </c>
      <c r="F190" t="s">
        <v>3511</v>
      </c>
      <c r="G190" t="s">
        <v>104</v>
      </c>
      <c r="H190" t="s">
        <v>106</v>
      </c>
      <c r="I190" t="s">
        <v>1038</v>
      </c>
      <c r="J190" t="s">
        <v>3686</v>
      </c>
      <c r="K190">
        <v>48.565496275889338</v>
      </c>
      <c r="L190">
        <v>1597.6808128316809</v>
      </c>
      <c r="M190">
        <v>0</v>
      </c>
      <c r="N190">
        <v>0</v>
      </c>
      <c r="O190">
        <v>0</v>
      </c>
      <c r="P190">
        <v>0</v>
      </c>
      <c r="Q190" t="s">
        <v>111</v>
      </c>
      <c r="R190">
        <v>1</v>
      </c>
      <c r="S190">
        <v>12.5</v>
      </c>
      <c r="T190">
        <v>1</v>
      </c>
      <c r="V190">
        <v>0</v>
      </c>
      <c r="W190">
        <v>31.536000000000001</v>
      </c>
    </row>
    <row r="191" spans="1:23" x14ac:dyDescent="0.25">
      <c r="A191" t="s">
        <v>98</v>
      </c>
      <c r="B191" t="s">
        <v>1024</v>
      </c>
      <c r="D191" t="s">
        <v>100</v>
      </c>
      <c r="E191" t="s">
        <v>243</v>
      </c>
      <c r="F191" t="s">
        <v>104</v>
      </c>
      <c r="G191" t="s">
        <v>104</v>
      </c>
      <c r="H191" t="s">
        <v>106</v>
      </c>
      <c r="I191" t="s">
        <v>1082</v>
      </c>
      <c r="J191" t="s">
        <v>3687</v>
      </c>
      <c r="K191">
        <v>48.565496275889338</v>
      </c>
      <c r="L191">
        <v>2633.368502163089</v>
      </c>
      <c r="M191">
        <v>1</v>
      </c>
      <c r="N191">
        <v>2633.368502163089</v>
      </c>
      <c r="O191">
        <v>2633.368502163089</v>
      </c>
      <c r="P191">
        <v>189.7808350458848</v>
      </c>
      <c r="Q191" t="s">
        <v>111</v>
      </c>
      <c r="R191">
        <v>1</v>
      </c>
      <c r="S191">
        <v>10</v>
      </c>
      <c r="T191">
        <v>97</v>
      </c>
      <c r="V191">
        <v>0.44</v>
      </c>
      <c r="W191">
        <v>31.536000000000001</v>
      </c>
    </row>
    <row r="192" spans="1:23" x14ac:dyDescent="0.25">
      <c r="A192" t="s">
        <v>98</v>
      </c>
      <c r="B192" t="s">
        <v>1024</v>
      </c>
      <c r="D192" t="s">
        <v>100</v>
      </c>
      <c r="E192" t="s">
        <v>226</v>
      </c>
      <c r="F192" t="s">
        <v>136</v>
      </c>
      <c r="G192" t="s">
        <v>136</v>
      </c>
      <c r="H192" t="s">
        <v>138</v>
      </c>
      <c r="I192" t="s">
        <v>1075</v>
      </c>
      <c r="J192" t="s">
        <v>3688</v>
      </c>
      <c r="K192">
        <v>48.565496275889338</v>
      </c>
      <c r="L192">
        <v>95.845620264469147</v>
      </c>
      <c r="M192">
        <v>1</v>
      </c>
      <c r="N192">
        <v>95.845620264469147</v>
      </c>
      <c r="O192">
        <v>74.759583806285931</v>
      </c>
      <c r="P192">
        <v>5.387751934750324</v>
      </c>
      <c r="Q192" t="s">
        <v>111</v>
      </c>
      <c r="R192">
        <v>0.78</v>
      </c>
      <c r="S192">
        <v>6.5</v>
      </c>
      <c r="T192">
        <v>6</v>
      </c>
      <c r="V192">
        <v>0.44</v>
      </c>
      <c r="W192">
        <v>31.536000000000001</v>
      </c>
    </row>
    <row r="193" spans="1:23" x14ac:dyDescent="0.25">
      <c r="A193" t="s">
        <v>98</v>
      </c>
      <c r="B193" t="s">
        <v>1024</v>
      </c>
      <c r="D193" t="s">
        <v>100</v>
      </c>
      <c r="E193" t="s">
        <v>226</v>
      </c>
      <c r="F193" t="s">
        <v>131</v>
      </c>
      <c r="G193" t="s">
        <v>131</v>
      </c>
      <c r="H193" t="s">
        <v>133</v>
      </c>
      <c r="I193" t="s">
        <v>1075</v>
      </c>
      <c r="J193" t="s">
        <v>3689</v>
      </c>
      <c r="K193">
        <v>48.565496275889338</v>
      </c>
      <c r="L193">
        <v>1319.870131634641</v>
      </c>
      <c r="M193">
        <v>1</v>
      </c>
      <c r="N193">
        <v>1319.870131634641</v>
      </c>
      <c r="O193">
        <v>1016.300001358674</v>
      </c>
      <c r="P193">
        <v>73.242412809507314</v>
      </c>
      <c r="Q193" t="s">
        <v>111</v>
      </c>
      <c r="R193">
        <v>0.77</v>
      </c>
      <c r="S193">
        <v>5</v>
      </c>
      <c r="T193">
        <v>7</v>
      </c>
      <c r="V193">
        <v>0.44</v>
      </c>
      <c r="W193">
        <v>31.536000000000001</v>
      </c>
    </row>
    <row r="194" spans="1:23" x14ac:dyDescent="0.25">
      <c r="A194" t="s">
        <v>98</v>
      </c>
      <c r="B194" t="s">
        <v>1024</v>
      </c>
      <c r="D194" t="s">
        <v>100</v>
      </c>
      <c r="E194" t="s">
        <v>226</v>
      </c>
      <c r="F194" t="s">
        <v>3494</v>
      </c>
      <c r="G194" t="s">
        <v>3494</v>
      </c>
      <c r="H194" t="s">
        <v>3495</v>
      </c>
      <c r="I194" t="s">
        <v>1075</v>
      </c>
      <c r="J194" t="s">
        <v>3690</v>
      </c>
      <c r="K194">
        <v>48.565496275889338</v>
      </c>
      <c r="L194">
        <v>43.159517588482792</v>
      </c>
      <c r="M194">
        <v>1</v>
      </c>
      <c r="N194">
        <v>43.159517588482792</v>
      </c>
      <c r="O194">
        <v>42.069739769373591</v>
      </c>
      <c r="P194">
        <v>3.0318697656771469</v>
      </c>
      <c r="Q194" t="s">
        <v>111</v>
      </c>
      <c r="R194">
        <v>0.97474999999999989</v>
      </c>
      <c r="S194">
        <v>12.5</v>
      </c>
      <c r="T194">
        <v>1</v>
      </c>
      <c r="V194">
        <v>0.44</v>
      </c>
      <c r="W194">
        <v>31.536000000000001</v>
      </c>
    </row>
    <row r="195" spans="1:23" x14ac:dyDescent="0.25">
      <c r="A195" t="s">
        <v>98</v>
      </c>
      <c r="B195" t="s">
        <v>1024</v>
      </c>
      <c r="D195" t="s">
        <v>100</v>
      </c>
      <c r="E195" t="s">
        <v>226</v>
      </c>
      <c r="F195" t="s">
        <v>104</v>
      </c>
      <c r="G195" t="s">
        <v>104</v>
      </c>
      <c r="H195" t="s">
        <v>106</v>
      </c>
      <c r="I195" t="s">
        <v>1075</v>
      </c>
      <c r="J195" t="s">
        <v>3691</v>
      </c>
      <c r="K195">
        <v>48.565496275889338</v>
      </c>
      <c r="L195">
        <v>81.083448765428017</v>
      </c>
      <c r="M195">
        <v>1</v>
      </c>
      <c r="N195">
        <v>81.083448765428017</v>
      </c>
      <c r="O195">
        <v>79.036091684100953</v>
      </c>
      <c r="P195">
        <v>5.6959500602558801</v>
      </c>
      <c r="Q195" t="s">
        <v>111</v>
      </c>
      <c r="R195">
        <v>0.97474999999999989</v>
      </c>
      <c r="S195">
        <v>7.5</v>
      </c>
      <c r="T195">
        <v>2</v>
      </c>
      <c r="V195">
        <v>0.44</v>
      </c>
      <c r="W195">
        <v>31.536000000000001</v>
      </c>
    </row>
    <row r="196" spans="1:23" x14ac:dyDescent="0.25">
      <c r="A196" t="s">
        <v>98</v>
      </c>
      <c r="B196" t="s">
        <v>1024</v>
      </c>
      <c r="D196" t="s">
        <v>100</v>
      </c>
      <c r="E196" t="s">
        <v>284</v>
      </c>
      <c r="F196" t="s">
        <v>3518</v>
      </c>
      <c r="G196" t="s">
        <v>104</v>
      </c>
      <c r="H196" t="s">
        <v>106</v>
      </c>
      <c r="I196" t="s">
        <v>1100</v>
      </c>
      <c r="J196" t="s">
        <v>3692</v>
      </c>
      <c r="K196">
        <v>48.565496275889338</v>
      </c>
      <c r="L196">
        <v>2363.9645247335961</v>
      </c>
      <c r="M196">
        <v>0.49323603005758332</v>
      </c>
      <c r="N196">
        <v>1165.9924773765599</v>
      </c>
      <c r="O196">
        <v>2777.554260086481</v>
      </c>
      <c r="P196">
        <v>6011.1109030013413</v>
      </c>
      <c r="Q196" t="s">
        <v>291</v>
      </c>
      <c r="R196">
        <v>2.382137375650891</v>
      </c>
      <c r="S196">
        <v>5</v>
      </c>
      <c r="T196">
        <v>1</v>
      </c>
      <c r="V196">
        <v>0.46207004078059027</v>
      </c>
      <c r="W196">
        <v>1</v>
      </c>
    </row>
    <row r="197" spans="1:23" x14ac:dyDescent="0.25">
      <c r="A197" t="s">
        <v>98</v>
      </c>
      <c r="B197" t="s">
        <v>1024</v>
      </c>
      <c r="D197" t="s">
        <v>100</v>
      </c>
      <c r="E197" t="s">
        <v>284</v>
      </c>
      <c r="F197" t="s">
        <v>3520</v>
      </c>
      <c r="G197" t="s">
        <v>104</v>
      </c>
      <c r="H197" t="s">
        <v>106</v>
      </c>
      <c r="I197" t="s">
        <v>1100</v>
      </c>
      <c r="J197" t="s">
        <v>3693</v>
      </c>
      <c r="K197">
        <v>48.565496275889338</v>
      </c>
      <c r="L197">
        <v>2363.9645247335961</v>
      </c>
      <c r="M197">
        <v>9.340677700140676E-2</v>
      </c>
      <c r="N197">
        <v>220.81030720102751</v>
      </c>
      <c r="O197">
        <v>303.63230284809941</v>
      </c>
      <c r="P197">
        <v>773.77319616771751</v>
      </c>
      <c r="Q197" t="s">
        <v>291</v>
      </c>
      <c r="R197">
        <v>1.3750821086973539</v>
      </c>
      <c r="S197">
        <v>5</v>
      </c>
      <c r="T197">
        <v>5</v>
      </c>
      <c r="V197">
        <v>0.3924047826312741</v>
      </c>
      <c r="W197">
        <v>1</v>
      </c>
    </row>
    <row r="198" spans="1:23" x14ac:dyDescent="0.25">
      <c r="A198" t="s">
        <v>98</v>
      </c>
      <c r="B198" t="s">
        <v>1024</v>
      </c>
      <c r="D198" t="s">
        <v>100</v>
      </c>
      <c r="E198" t="s">
        <v>284</v>
      </c>
      <c r="F198" t="s">
        <v>3522</v>
      </c>
      <c r="G198" t="s">
        <v>104</v>
      </c>
      <c r="H198" t="s">
        <v>106</v>
      </c>
      <c r="I198" t="s">
        <v>1100</v>
      </c>
      <c r="J198" t="s">
        <v>3694</v>
      </c>
      <c r="K198">
        <v>48.565496275889338</v>
      </c>
      <c r="L198">
        <v>2363.9645247335961</v>
      </c>
      <c r="M198">
        <v>8.3761294822561824E-2</v>
      </c>
      <c r="N198">
        <v>198.00872950628789</v>
      </c>
      <c r="O198">
        <v>66.247752143550002</v>
      </c>
      <c r="P198">
        <v>183.3710817721601</v>
      </c>
      <c r="Q198" t="s">
        <v>291</v>
      </c>
      <c r="R198">
        <v>0.33456985613074319</v>
      </c>
      <c r="S198">
        <v>0.5</v>
      </c>
      <c r="T198">
        <v>1</v>
      </c>
      <c r="V198">
        <v>0.36127698818870091</v>
      </c>
      <c r="W198">
        <v>1</v>
      </c>
    </row>
    <row r="199" spans="1:23" x14ac:dyDescent="0.25">
      <c r="A199" t="s">
        <v>98</v>
      </c>
      <c r="B199" t="s">
        <v>1024</v>
      </c>
      <c r="D199" t="s">
        <v>100</v>
      </c>
      <c r="E199" t="s">
        <v>284</v>
      </c>
      <c r="F199" t="s">
        <v>285</v>
      </c>
      <c r="G199" t="s">
        <v>104</v>
      </c>
      <c r="H199" t="s">
        <v>106</v>
      </c>
      <c r="I199" t="s">
        <v>1100</v>
      </c>
      <c r="J199" t="s">
        <v>3695</v>
      </c>
      <c r="K199">
        <v>48.565496275889338</v>
      </c>
      <c r="L199">
        <v>2363.9645247335961</v>
      </c>
      <c r="M199">
        <v>4.4175667327008943E-2</v>
      </c>
      <c r="N199">
        <v>104.4297104174821</v>
      </c>
      <c r="O199">
        <v>47.167694806705413</v>
      </c>
      <c r="P199">
        <v>191.1825322798756</v>
      </c>
      <c r="Q199" t="s">
        <v>291</v>
      </c>
      <c r="R199">
        <v>0.45166930577650322</v>
      </c>
      <c r="S199">
        <v>5</v>
      </c>
      <c r="T199">
        <v>37</v>
      </c>
      <c r="V199">
        <v>0.2467155039962321</v>
      </c>
      <c r="W199">
        <v>1</v>
      </c>
    </row>
    <row r="200" spans="1:23" x14ac:dyDescent="0.25">
      <c r="A200" t="s">
        <v>98</v>
      </c>
      <c r="B200" t="s">
        <v>1024</v>
      </c>
      <c r="D200" t="s">
        <v>100</v>
      </c>
      <c r="E200" t="s">
        <v>284</v>
      </c>
      <c r="F200" t="s">
        <v>3525</v>
      </c>
      <c r="G200" t="s">
        <v>104</v>
      </c>
      <c r="H200" t="s">
        <v>106</v>
      </c>
      <c r="I200" t="s">
        <v>1100</v>
      </c>
      <c r="J200" t="s">
        <v>3696</v>
      </c>
      <c r="K200">
        <v>48.565496275889338</v>
      </c>
      <c r="L200">
        <v>2363.9645247335961</v>
      </c>
      <c r="M200">
        <v>3.3050710332218673E-2</v>
      </c>
      <c r="N200">
        <v>78.130706742611054</v>
      </c>
      <c r="O200">
        <v>147.86292415301949</v>
      </c>
      <c r="P200">
        <v>260.74578324144937</v>
      </c>
      <c r="Q200" t="s">
        <v>291</v>
      </c>
      <c r="R200">
        <v>1.892507188500546</v>
      </c>
      <c r="S200">
        <v>0.5</v>
      </c>
      <c r="T200">
        <v>1</v>
      </c>
      <c r="V200">
        <v>0.56707695255842017</v>
      </c>
      <c r="W200">
        <v>1</v>
      </c>
    </row>
    <row r="201" spans="1:23" x14ac:dyDescent="0.25">
      <c r="A201" t="s">
        <v>98</v>
      </c>
      <c r="B201" t="s">
        <v>1024</v>
      </c>
      <c r="D201" t="s">
        <v>100</v>
      </c>
      <c r="E201" t="s">
        <v>284</v>
      </c>
      <c r="F201" t="s">
        <v>3527</v>
      </c>
      <c r="G201" t="s">
        <v>104</v>
      </c>
      <c r="H201" t="s">
        <v>106</v>
      </c>
      <c r="I201" t="s">
        <v>1100</v>
      </c>
      <c r="J201" t="s">
        <v>3697</v>
      </c>
      <c r="K201">
        <v>48.565496275889338</v>
      </c>
      <c r="L201">
        <v>2363.9645247335961</v>
      </c>
      <c r="M201">
        <v>0.2523695204592214</v>
      </c>
      <c r="N201">
        <v>596.59259348962871</v>
      </c>
      <c r="O201">
        <v>1129.055771785306</v>
      </c>
      <c r="P201">
        <v>2982.5642810398558</v>
      </c>
      <c r="Q201" t="s">
        <v>291</v>
      </c>
      <c r="R201">
        <v>1.892507188500546</v>
      </c>
      <c r="S201">
        <v>5</v>
      </c>
      <c r="T201">
        <v>2</v>
      </c>
      <c r="V201">
        <v>0.3785520328808023</v>
      </c>
      <c r="W201">
        <v>1</v>
      </c>
    </row>
    <row r="202" spans="1:23" x14ac:dyDescent="0.25">
      <c r="A202" t="s">
        <v>98</v>
      </c>
      <c r="B202" t="s">
        <v>1024</v>
      </c>
      <c r="D202" t="s">
        <v>100</v>
      </c>
      <c r="E202" t="s">
        <v>284</v>
      </c>
      <c r="F202" t="s">
        <v>3529</v>
      </c>
      <c r="G202" t="s">
        <v>104</v>
      </c>
      <c r="H202" t="s">
        <v>106</v>
      </c>
      <c r="I202" t="s">
        <v>1100</v>
      </c>
      <c r="J202" t="s">
        <v>3698</v>
      </c>
      <c r="K202">
        <v>48.565496275889338</v>
      </c>
      <c r="L202">
        <v>2363.9645247335961</v>
      </c>
      <c r="M202">
        <v>0</v>
      </c>
      <c r="N202">
        <v>0</v>
      </c>
      <c r="O202">
        <v>0</v>
      </c>
      <c r="P202">
        <v>0</v>
      </c>
      <c r="Q202" t="s">
        <v>291</v>
      </c>
      <c r="R202">
        <v>0.96356118565654036</v>
      </c>
      <c r="S202">
        <v>0.5</v>
      </c>
      <c r="T202">
        <v>1</v>
      </c>
      <c r="V202">
        <v>0</v>
      </c>
      <c r="W202">
        <v>1</v>
      </c>
    </row>
    <row r="203" spans="1:23" x14ac:dyDescent="0.25">
      <c r="A203" t="s">
        <v>98</v>
      </c>
      <c r="B203" t="s">
        <v>1024</v>
      </c>
      <c r="D203" t="s">
        <v>100</v>
      </c>
      <c r="E203" t="s">
        <v>3114</v>
      </c>
      <c r="F203" t="s">
        <v>136</v>
      </c>
      <c r="G203" t="s">
        <v>136</v>
      </c>
      <c r="H203" t="s">
        <v>138</v>
      </c>
      <c r="I203" t="s">
        <v>3125</v>
      </c>
      <c r="J203" t="s">
        <v>3699</v>
      </c>
      <c r="K203">
        <v>48.565496275889338</v>
      </c>
      <c r="L203">
        <v>8.9332611802723279E-3</v>
      </c>
      <c r="M203">
        <v>1</v>
      </c>
      <c r="N203">
        <v>8.9332611802723279E-3</v>
      </c>
      <c r="O203">
        <v>4.019967531122548E-3</v>
      </c>
      <c r="P203">
        <v>2.8970985043950839E-4</v>
      </c>
      <c r="Q203" t="s">
        <v>111</v>
      </c>
      <c r="R203">
        <v>0.45</v>
      </c>
      <c r="S203">
        <v>6</v>
      </c>
      <c r="T203">
        <v>8</v>
      </c>
      <c r="V203">
        <v>0.44</v>
      </c>
      <c r="W203">
        <v>31.536000000000001</v>
      </c>
    </row>
    <row r="204" spans="1:23" x14ac:dyDescent="0.25">
      <c r="A204" t="s">
        <v>98</v>
      </c>
      <c r="B204" t="s">
        <v>1024</v>
      </c>
      <c r="D204" t="s">
        <v>100</v>
      </c>
      <c r="E204" t="s">
        <v>3114</v>
      </c>
      <c r="F204" t="s">
        <v>131</v>
      </c>
      <c r="G204" t="s">
        <v>131</v>
      </c>
      <c r="H204" t="s">
        <v>133</v>
      </c>
      <c r="I204" t="s">
        <v>3125</v>
      </c>
      <c r="J204" t="s">
        <v>3700</v>
      </c>
      <c r="K204">
        <v>48.565496275889338</v>
      </c>
      <c r="L204">
        <v>1747.447376541086</v>
      </c>
      <c r="M204">
        <v>1</v>
      </c>
      <c r="N204">
        <v>1747.447376541086</v>
      </c>
      <c r="O204">
        <v>786.35131944348859</v>
      </c>
      <c r="P204">
        <v>56.67053810389055</v>
      </c>
      <c r="Q204" t="s">
        <v>111</v>
      </c>
      <c r="R204">
        <v>0.45</v>
      </c>
      <c r="S204">
        <v>6</v>
      </c>
      <c r="T204">
        <v>8</v>
      </c>
      <c r="V204">
        <v>0.44</v>
      </c>
      <c r="W204">
        <v>31.536000000000001</v>
      </c>
    </row>
    <row r="205" spans="1:23" x14ac:dyDescent="0.25">
      <c r="A205" t="s">
        <v>98</v>
      </c>
      <c r="B205" t="s">
        <v>1024</v>
      </c>
      <c r="D205" t="s">
        <v>100</v>
      </c>
      <c r="E205" t="s">
        <v>3114</v>
      </c>
      <c r="F205" t="s">
        <v>3494</v>
      </c>
      <c r="G205" t="s">
        <v>3494</v>
      </c>
      <c r="H205" t="s">
        <v>3495</v>
      </c>
      <c r="I205" t="s">
        <v>3125</v>
      </c>
      <c r="J205" t="s">
        <v>3701</v>
      </c>
      <c r="K205">
        <v>48.565496275889338</v>
      </c>
      <c r="L205">
        <v>1.112641386451434</v>
      </c>
      <c r="M205">
        <v>1</v>
      </c>
      <c r="N205">
        <v>1.112641386451434</v>
      </c>
      <c r="O205">
        <v>0.77884897051600344</v>
      </c>
      <c r="P205">
        <v>5.6129861004162881E-2</v>
      </c>
      <c r="Q205" t="s">
        <v>111</v>
      </c>
      <c r="R205">
        <v>0.7</v>
      </c>
      <c r="S205">
        <v>6</v>
      </c>
      <c r="T205">
        <v>8</v>
      </c>
      <c r="V205">
        <v>0.44</v>
      </c>
      <c r="W205">
        <v>31.536000000000001</v>
      </c>
    </row>
    <row r="206" spans="1:23" x14ac:dyDescent="0.25">
      <c r="A206" t="s">
        <v>98</v>
      </c>
      <c r="B206" t="s">
        <v>1024</v>
      </c>
      <c r="D206" t="s">
        <v>100</v>
      </c>
      <c r="E206" t="s">
        <v>3114</v>
      </c>
      <c r="F206" t="s">
        <v>104</v>
      </c>
      <c r="G206" t="s">
        <v>104</v>
      </c>
      <c r="H206" t="s">
        <v>106</v>
      </c>
      <c r="I206" t="s">
        <v>3125</v>
      </c>
      <c r="J206" t="s">
        <v>3702</v>
      </c>
      <c r="K206">
        <v>48.565496275889338</v>
      </c>
      <c r="L206">
        <v>271.41279391708701</v>
      </c>
      <c r="M206">
        <v>1</v>
      </c>
      <c r="N206">
        <v>271.41279391708701</v>
      </c>
      <c r="O206">
        <v>189.98895574196089</v>
      </c>
      <c r="P206">
        <v>13.692068785886899</v>
      </c>
      <c r="Q206" t="s">
        <v>111</v>
      </c>
      <c r="R206">
        <v>0.7</v>
      </c>
      <c r="S206">
        <v>6</v>
      </c>
      <c r="T206">
        <v>8</v>
      </c>
      <c r="V206">
        <v>0.44</v>
      </c>
      <c r="W206">
        <v>31.536000000000001</v>
      </c>
    </row>
    <row r="207" spans="1:23" x14ac:dyDescent="0.25">
      <c r="A207" t="s">
        <v>98</v>
      </c>
      <c r="B207" t="s">
        <v>1024</v>
      </c>
      <c r="D207" t="s">
        <v>100</v>
      </c>
      <c r="E207" t="s">
        <v>439</v>
      </c>
      <c r="F207" t="s">
        <v>104</v>
      </c>
      <c r="G207" t="s">
        <v>104</v>
      </c>
      <c r="H207" t="s">
        <v>106</v>
      </c>
      <c r="I207" t="s">
        <v>1171</v>
      </c>
      <c r="J207" t="s">
        <v>3703</v>
      </c>
      <c r="K207">
        <v>48.565496275889338</v>
      </c>
      <c r="L207">
        <v>571.42026005711239</v>
      </c>
      <c r="M207">
        <v>1</v>
      </c>
      <c r="N207">
        <v>571.42026005711239</v>
      </c>
      <c r="O207">
        <v>571.42026005711239</v>
      </c>
      <c r="P207">
        <v>41.180949049362951</v>
      </c>
      <c r="Q207" t="s">
        <v>111</v>
      </c>
      <c r="R207">
        <v>1</v>
      </c>
      <c r="S207">
        <v>5</v>
      </c>
      <c r="T207">
        <v>500</v>
      </c>
      <c r="V207">
        <v>0.44</v>
      </c>
      <c r="W207">
        <v>31.536000000000001</v>
      </c>
    </row>
    <row r="208" spans="1:23" x14ac:dyDescent="0.25">
      <c r="A208" t="s">
        <v>98</v>
      </c>
      <c r="B208" t="s">
        <v>1024</v>
      </c>
      <c r="D208" t="s">
        <v>100</v>
      </c>
      <c r="E208" t="s">
        <v>3149</v>
      </c>
      <c r="F208" t="s">
        <v>136</v>
      </c>
      <c r="G208" t="s">
        <v>136</v>
      </c>
      <c r="H208" t="s">
        <v>138</v>
      </c>
      <c r="I208" t="s">
        <v>3159</v>
      </c>
      <c r="J208" t="s">
        <v>3704</v>
      </c>
      <c r="K208">
        <v>48.565496275889338</v>
      </c>
      <c r="L208">
        <v>143.40556132756109</v>
      </c>
      <c r="M208">
        <v>1</v>
      </c>
      <c r="N208">
        <v>143.40556132756109</v>
      </c>
      <c r="O208">
        <v>143.40556132756109</v>
      </c>
      <c r="P208">
        <v>325.92173028991152</v>
      </c>
      <c r="Q208" t="s">
        <v>3152</v>
      </c>
      <c r="R208">
        <v>1</v>
      </c>
      <c r="S208">
        <v>12.5</v>
      </c>
      <c r="T208">
        <v>10</v>
      </c>
      <c r="V208">
        <v>0.44</v>
      </c>
      <c r="W208">
        <v>1</v>
      </c>
    </row>
    <row r="209" spans="1:23" x14ac:dyDescent="0.25">
      <c r="A209" t="s">
        <v>98</v>
      </c>
      <c r="B209" t="s">
        <v>1024</v>
      </c>
      <c r="D209" t="s">
        <v>100</v>
      </c>
      <c r="E209" t="s">
        <v>3149</v>
      </c>
      <c r="F209" t="s">
        <v>131</v>
      </c>
      <c r="G209" t="s">
        <v>131</v>
      </c>
      <c r="H209" t="s">
        <v>133</v>
      </c>
      <c r="I209" t="s">
        <v>3159</v>
      </c>
      <c r="J209" t="s">
        <v>3705</v>
      </c>
      <c r="K209">
        <v>48.565496275889338</v>
      </c>
      <c r="L209">
        <v>669.3799146103164</v>
      </c>
      <c r="M209">
        <v>1</v>
      </c>
      <c r="N209">
        <v>669.3799146103164</v>
      </c>
      <c r="O209">
        <v>669.3799146103164</v>
      </c>
      <c r="P209">
        <v>1521.3179877507191</v>
      </c>
      <c r="Q209" t="s">
        <v>3152</v>
      </c>
      <c r="R209">
        <v>1</v>
      </c>
      <c r="S209">
        <v>12.5</v>
      </c>
      <c r="T209">
        <v>10</v>
      </c>
      <c r="V209">
        <v>0.44</v>
      </c>
      <c r="W209">
        <v>1</v>
      </c>
    </row>
    <row r="210" spans="1:23" x14ac:dyDescent="0.25">
      <c r="A210" t="s">
        <v>98</v>
      </c>
      <c r="B210" t="s">
        <v>1024</v>
      </c>
      <c r="D210" t="s">
        <v>100</v>
      </c>
      <c r="E210" t="s">
        <v>3149</v>
      </c>
      <c r="F210" t="s">
        <v>3494</v>
      </c>
      <c r="G210" t="s">
        <v>3494</v>
      </c>
      <c r="H210" t="s">
        <v>3495</v>
      </c>
      <c r="I210" t="s">
        <v>3159</v>
      </c>
      <c r="J210" t="s">
        <v>3706</v>
      </c>
      <c r="K210">
        <v>48.565496275889338</v>
      </c>
      <c r="L210">
        <v>0</v>
      </c>
      <c r="M210">
        <v>1</v>
      </c>
      <c r="N210">
        <v>0</v>
      </c>
      <c r="O210">
        <v>0</v>
      </c>
      <c r="P210">
        <v>0</v>
      </c>
      <c r="Q210" t="s">
        <v>3152</v>
      </c>
      <c r="R210">
        <v>1</v>
      </c>
      <c r="S210">
        <v>12.5</v>
      </c>
      <c r="T210">
        <v>10</v>
      </c>
      <c r="V210">
        <v>0.44</v>
      </c>
      <c r="W210">
        <v>1</v>
      </c>
    </row>
    <row r="211" spans="1:23" x14ac:dyDescent="0.25">
      <c r="A211" t="s">
        <v>98</v>
      </c>
      <c r="B211" t="s">
        <v>1024</v>
      </c>
      <c r="D211" t="s">
        <v>100</v>
      </c>
      <c r="E211" t="s">
        <v>3149</v>
      </c>
      <c r="F211" t="s">
        <v>104</v>
      </c>
      <c r="G211" t="s">
        <v>104</v>
      </c>
      <c r="H211" t="s">
        <v>106</v>
      </c>
      <c r="I211" t="s">
        <v>3159</v>
      </c>
      <c r="J211" t="s">
        <v>3707</v>
      </c>
      <c r="K211">
        <v>48.565496275889338</v>
      </c>
      <c r="L211">
        <v>4147.2627388325036</v>
      </c>
      <c r="M211">
        <v>1</v>
      </c>
      <c r="N211">
        <v>4147.2627388325036</v>
      </c>
      <c r="O211">
        <v>4147.2627388325036</v>
      </c>
      <c r="P211">
        <v>9425.5971337102346</v>
      </c>
      <c r="Q211" t="s">
        <v>3152</v>
      </c>
      <c r="R211">
        <v>1</v>
      </c>
      <c r="S211">
        <v>12.5</v>
      </c>
      <c r="T211">
        <v>10</v>
      </c>
      <c r="V211">
        <v>0.44</v>
      </c>
      <c r="W211">
        <v>1</v>
      </c>
    </row>
    <row r="212" spans="1:23" x14ac:dyDescent="0.25">
      <c r="A212" t="s">
        <v>98</v>
      </c>
      <c r="B212" t="s">
        <v>1199</v>
      </c>
      <c r="D212" t="s">
        <v>100</v>
      </c>
      <c r="E212" t="s">
        <v>101</v>
      </c>
      <c r="F212" t="s">
        <v>3467</v>
      </c>
      <c r="G212" t="s">
        <v>104</v>
      </c>
      <c r="H212" t="s">
        <v>106</v>
      </c>
      <c r="I212" t="s">
        <v>1200</v>
      </c>
      <c r="J212" t="s">
        <v>3708</v>
      </c>
      <c r="K212">
        <v>32.733586523867501</v>
      </c>
      <c r="L212">
        <v>261.57226197634623</v>
      </c>
      <c r="M212">
        <v>0.82379099050403792</v>
      </c>
      <c r="N212">
        <v>215.48087278187589</v>
      </c>
      <c r="O212">
        <v>211.17125532623839</v>
      </c>
      <c r="P212">
        <v>50.819504027773853</v>
      </c>
      <c r="Q212" t="s">
        <v>111</v>
      </c>
      <c r="R212">
        <v>0.98</v>
      </c>
      <c r="S212">
        <v>7.5</v>
      </c>
      <c r="T212">
        <v>1</v>
      </c>
      <c r="V212">
        <v>0.13176430402952891</v>
      </c>
      <c r="W212">
        <v>31.536000000000001</v>
      </c>
    </row>
    <row r="213" spans="1:23" x14ac:dyDescent="0.25">
      <c r="A213" t="s">
        <v>98</v>
      </c>
      <c r="B213" t="s">
        <v>1199</v>
      </c>
      <c r="D213" t="s">
        <v>100</v>
      </c>
      <c r="E213" t="s">
        <v>101</v>
      </c>
      <c r="F213" t="s">
        <v>3469</v>
      </c>
      <c r="G213" t="s">
        <v>104</v>
      </c>
      <c r="H213" t="s">
        <v>106</v>
      </c>
      <c r="I213" t="s">
        <v>1200</v>
      </c>
      <c r="J213" t="s">
        <v>3709</v>
      </c>
      <c r="K213">
        <v>32.733586523867501</v>
      </c>
      <c r="L213">
        <v>261.57226197634623</v>
      </c>
      <c r="M213">
        <v>5.4963035376729627E-2</v>
      </c>
      <c r="N213">
        <v>14.37680548857711</v>
      </c>
      <c r="O213">
        <v>13.472504423345599</v>
      </c>
      <c r="P213">
        <v>1.741382325263571</v>
      </c>
      <c r="Q213" t="s">
        <v>111</v>
      </c>
      <c r="R213">
        <v>0.93709999999999993</v>
      </c>
      <c r="S213">
        <v>7.5</v>
      </c>
      <c r="T213">
        <v>1</v>
      </c>
      <c r="V213">
        <v>0.24532826971238261</v>
      </c>
      <c r="W213">
        <v>31.536000000000001</v>
      </c>
    </row>
    <row r="214" spans="1:23" x14ac:dyDescent="0.25">
      <c r="A214" t="s">
        <v>98</v>
      </c>
      <c r="B214" t="s">
        <v>1199</v>
      </c>
      <c r="D214" t="s">
        <v>100</v>
      </c>
      <c r="E214" t="s">
        <v>101</v>
      </c>
      <c r="F214" t="s">
        <v>3471</v>
      </c>
      <c r="G214" t="s">
        <v>104</v>
      </c>
      <c r="H214" t="s">
        <v>106</v>
      </c>
      <c r="I214" t="s">
        <v>1200</v>
      </c>
      <c r="J214" t="s">
        <v>3710</v>
      </c>
      <c r="K214">
        <v>32.733586523867501</v>
      </c>
      <c r="L214">
        <v>261.57226197634623</v>
      </c>
      <c r="M214">
        <v>0.12124597411923251</v>
      </c>
      <c r="N214">
        <v>31.714583705893158</v>
      </c>
      <c r="O214">
        <v>98.315209488268806</v>
      </c>
      <c r="P214">
        <v>11.07005583769574</v>
      </c>
      <c r="Q214" t="s">
        <v>111</v>
      </c>
      <c r="R214">
        <v>3.1</v>
      </c>
      <c r="S214">
        <v>10.5</v>
      </c>
      <c r="T214">
        <v>14.33104807576899</v>
      </c>
      <c r="V214">
        <v>0.28162051641124958</v>
      </c>
      <c r="W214">
        <v>31.536000000000001</v>
      </c>
    </row>
    <row r="215" spans="1:23" x14ac:dyDescent="0.25">
      <c r="A215" t="s">
        <v>98</v>
      </c>
      <c r="B215" t="s">
        <v>1199</v>
      </c>
      <c r="D215" t="s">
        <v>100</v>
      </c>
      <c r="E215" t="s">
        <v>101</v>
      </c>
      <c r="F215" t="s">
        <v>3473</v>
      </c>
      <c r="G215" t="s">
        <v>104</v>
      </c>
      <c r="H215" t="s">
        <v>106</v>
      </c>
      <c r="I215" t="s">
        <v>1200</v>
      </c>
      <c r="J215" t="s">
        <v>3711</v>
      </c>
      <c r="K215">
        <v>32.733586523867501</v>
      </c>
      <c r="L215">
        <v>261.57226197634623</v>
      </c>
      <c r="M215">
        <v>0</v>
      </c>
      <c r="N215">
        <v>0</v>
      </c>
      <c r="O215">
        <v>0</v>
      </c>
      <c r="P215">
        <v>0</v>
      </c>
      <c r="Q215" t="s">
        <v>111</v>
      </c>
      <c r="R215">
        <v>3.4</v>
      </c>
      <c r="S215">
        <v>7.2</v>
      </c>
      <c r="T215">
        <v>13.00195893970977</v>
      </c>
      <c r="V215">
        <v>0.30887411477362853</v>
      </c>
      <c r="W215">
        <v>31.536000000000001</v>
      </c>
    </row>
    <row r="216" spans="1:23" x14ac:dyDescent="0.25">
      <c r="A216" t="s">
        <v>98</v>
      </c>
      <c r="B216" t="s">
        <v>1199</v>
      </c>
      <c r="D216" t="s">
        <v>100</v>
      </c>
      <c r="E216" t="s">
        <v>101</v>
      </c>
      <c r="F216" t="s">
        <v>3475</v>
      </c>
      <c r="G216" t="s">
        <v>131</v>
      </c>
      <c r="H216" t="s">
        <v>133</v>
      </c>
      <c r="I216" t="s">
        <v>1200</v>
      </c>
      <c r="J216" t="s">
        <v>3712</v>
      </c>
      <c r="K216">
        <v>32.733586523867501</v>
      </c>
      <c r="L216">
        <v>5171.2859284078022</v>
      </c>
      <c r="M216">
        <v>0.79884311878371428</v>
      </c>
      <c r="N216">
        <v>4131.0461791716243</v>
      </c>
      <c r="O216">
        <v>2935.1083103014389</v>
      </c>
      <c r="P216">
        <v>393.94420432766339</v>
      </c>
      <c r="Q216" t="s">
        <v>111</v>
      </c>
      <c r="R216">
        <v>0.71050000000000002</v>
      </c>
      <c r="S216">
        <v>11.5</v>
      </c>
      <c r="T216">
        <v>2.0235418398467511</v>
      </c>
      <c r="V216">
        <v>0.2362559797733817</v>
      </c>
      <c r="W216">
        <v>31.536000000000001</v>
      </c>
    </row>
    <row r="217" spans="1:23" x14ac:dyDescent="0.25">
      <c r="A217" t="s">
        <v>98</v>
      </c>
      <c r="B217" t="s">
        <v>1199</v>
      </c>
      <c r="D217" t="s">
        <v>100</v>
      </c>
      <c r="E217" t="s">
        <v>101</v>
      </c>
      <c r="F217" t="s">
        <v>3477</v>
      </c>
      <c r="G217" t="s">
        <v>131</v>
      </c>
      <c r="H217" t="s">
        <v>133</v>
      </c>
      <c r="I217" t="s">
        <v>1200</v>
      </c>
      <c r="J217" t="s">
        <v>3713</v>
      </c>
      <c r="K217">
        <v>32.733586523867501</v>
      </c>
      <c r="L217">
        <v>5171.2859284078022</v>
      </c>
      <c r="M217">
        <v>0.1712306383820571</v>
      </c>
      <c r="N217">
        <v>885.4825907774167</v>
      </c>
      <c r="O217">
        <v>672.96676899083673</v>
      </c>
      <c r="P217">
        <v>82.002890337423693</v>
      </c>
      <c r="Q217" t="s">
        <v>111</v>
      </c>
      <c r="R217">
        <v>0.76</v>
      </c>
      <c r="S217">
        <v>12.5</v>
      </c>
      <c r="T217">
        <v>11.357593544393531</v>
      </c>
      <c r="V217">
        <v>0.26023029394302721</v>
      </c>
      <c r="W217">
        <v>31.536000000000001</v>
      </c>
    </row>
    <row r="218" spans="1:23" x14ac:dyDescent="0.25">
      <c r="A218" t="s">
        <v>98</v>
      </c>
      <c r="B218" t="s">
        <v>1199</v>
      </c>
      <c r="D218" t="s">
        <v>100</v>
      </c>
      <c r="E218" t="s">
        <v>101</v>
      </c>
      <c r="F218" t="s">
        <v>3479</v>
      </c>
      <c r="G218" t="s">
        <v>131</v>
      </c>
      <c r="H218" t="s">
        <v>133</v>
      </c>
      <c r="I218" t="s">
        <v>1200</v>
      </c>
      <c r="J218" t="s">
        <v>3714</v>
      </c>
      <c r="K218">
        <v>32.733586523867501</v>
      </c>
      <c r="L218">
        <v>5171.2859284078022</v>
      </c>
      <c r="M218">
        <v>2.9926242834228619E-2</v>
      </c>
      <c r="N218">
        <v>154.7571584587613</v>
      </c>
      <c r="O218">
        <v>201.1843059963897</v>
      </c>
      <c r="P218">
        <v>7.5261105113482216</v>
      </c>
      <c r="Q218" t="s">
        <v>111</v>
      </c>
      <c r="R218">
        <v>1.3</v>
      </c>
      <c r="S218">
        <v>7.5</v>
      </c>
      <c r="T218">
        <v>12</v>
      </c>
      <c r="V218">
        <v>0.84765065353800362</v>
      </c>
      <c r="W218">
        <v>31.536000000000001</v>
      </c>
    </row>
    <row r="219" spans="1:23" x14ac:dyDescent="0.25">
      <c r="A219" t="s">
        <v>98</v>
      </c>
      <c r="B219" t="s">
        <v>1199</v>
      </c>
      <c r="D219" t="s">
        <v>100</v>
      </c>
      <c r="E219" t="s">
        <v>101</v>
      </c>
      <c r="F219" t="s">
        <v>3481</v>
      </c>
      <c r="G219" t="s">
        <v>136</v>
      </c>
      <c r="H219" t="s">
        <v>138</v>
      </c>
      <c r="I219" t="s">
        <v>1200</v>
      </c>
      <c r="J219" t="s">
        <v>3715</v>
      </c>
      <c r="K219">
        <v>32.733586523867501</v>
      </c>
      <c r="L219">
        <v>365.80305382854038</v>
      </c>
      <c r="M219">
        <v>0.80931597759039753</v>
      </c>
      <c r="N219">
        <v>296.050256114798</v>
      </c>
      <c r="O219">
        <v>233.87970233069041</v>
      </c>
      <c r="P219">
        <v>23.451917263556378</v>
      </c>
      <c r="Q219" t="s">
        <v>111</v>
      </c>
      <c r="R219">
        <v>0.79</v>
      </c>
      <c r="S219">
        <v>12.5</v>
      </c>
      <c r="T219">
        <v>14</v>
      </c>
      <c r="V219">
        <v>0.3162332796413051</v>
      </c>
      <c r="W219">
        <v>31.536000000000001</v>
      </c>
    </row>
    <row r="220" spans="1:23" x14ac:dyDescent="0.25">
      <c r="A220" t="s">
        <v>98</v>
      </c>
      <c r="B220" t="s">
        <v>1199</v>
      </c>
      <c r="D220" t="s">
        <v>100</v>
      </c>
      <c r="E220" t="s">
        <v>101</v>
      </c>
      <c r="F220" t="s">
        <v>3483</v>
      </c>
      <c r="G220" t="s">
        <v>136</v>
      </c>
      <c r="H220" t="s">
        <v>138</v>
      </c>
      <c r="I220" t="s">
        <v>1200</v>
      </c>
      <c r="J220" t="s">
        <v>3716</v>
      </c>
      <c r="K220">
        <v>32.733586523867501</v>
      </c>
      <c r="L220">
        <v>365.80305382854038</v>
      </c>
      <c r="M220">
        <v>0.19068402240960261</v>
      </c>
      <c r="N220">
        <v>69.752797713742453</v>
      </c>
      <c r="O220">
        <v>53.047002661301143</v>
      </c>
      <c r="P220">
        <v>5.5255376649630472</v>
      </c>
      <c r="Q220" t="s">
        <v>111</v>
      </c>
      <c r="R220">
        <v>0.76049999999999995</v>
      </c>
      <c r="S220">
        <v>11.5</v>
      </c>
      <c r="T220">
        <v>4</v>
      </c>
      <c r="V220">
        <v>0.30442456856609168</v>
      </c>
      <c r="W220">
        <v>31.536000000000001</v>
      </c>
    </row>
    <row r="221" spans="1:23" x14ac:dyDescent="0.25">
      <c r="A221" t="s">
        <v>98</v>
      </c>
      <c r="B221" t="s">
        <v>1199</v>
      </c>
      <c r="D221" t="s">
        <v>100</v>
      </c>
      <c r="E221" t="s">
        <v>101</v>
      </c>
      <c r="F221" t="s">
        <v>3485</v>
      </c>
      <c r="G221" t="s">
        <v>3486</v>
      </c>
      <c r="H221" t="s">
        <v>3487</v>
      </c>
      <c r="I221" t="s">
        <v>1200</v>
      </c>
      <c r="J221" t="s">
        <v>3717</v>
      </c>
      <c r="K221">
        <v>32.733586523867501</v>
      </c>
      <c r="L221">
        <v>0</v>
      </c>
      <c r="M221">
        <v>0.40400259660463039</v>
      </c>
      <c r="N221">
        <v>0</v>
      </c>
      <c r="O221">
        <v>0</v>
      </c>
      <c r="P221">
        <v>0</v>
      </c>
      <c r="Q221" t="s">
        <v>111</v>
      </c>
      <c r="R221">
        <v>0.71050000000000002</v>
      </c>
      <c r="S221">
        <v>11.5</v>
      </c>
      <c r="T221">
        <v>2.0235418398467511</v>
      </c>
      <c r="V221">
        <v>0.2362559797733817</v>
      </c>
      <c r="W221">
        <v>31.536000000000001</v>
      </c>
    </row>
    <row r="222" spans="1:23" x14ac:dyDescent="0.25">
      <c r="A222" t="s">
        <v>98</v>
      </c>
      <c r="B222" t="s">
        <v>1199</v>
      </c>
      <c r="D222" t="s">
        <v>100</v>
      </c>
      <c r="E222" t="s">
        <v>101</v>
      </c>
      <c r="F222" t="s">
        <v>3489</v>
      </c>
      <c r="G222" t="s">
        <v>3486</v>
      </c>
      <c r="H222" t="s">
        <v>3487</v>
      </c>
      <c r="I222" t="s">
        <v>1200</v>
      </c>
      <c r="J222" t="s">
        <v>3718</v>
      </c>
      <c r="K222">
        <v>32.733586523867501</v>
      </c>
      <c r="L222">
        <v>0</v>
      </c>
      <c r="M222">
        <v>2.2450599376542962E-2</v>
      </c>
      <c r="N222">
        <v>0</v>
      </c>
      <c r="O222">
        <v>0</v>
      </c>
      <c r="P222">
        <v>0</v>
      </c>
      <c r="Q222" t="s">
        <v>111</v>
      </c>
      <c r="R222">
        <v>0.76</v>
      </c>
      <c r="S222">
        <v>12.5</v>
      </c>
      <c r="T222">
        <v>11.357593544393531</v>
      </c>
      <c r="V222">
        <v>0.26023029394302721</v>
      </c>
      <c r="W222">
        <v>31.536000000000001</v>
      </c>
    </row>
    <row r="223" spans="1:23" x14ac:dyDescent="0.25">
      <c r="A223" t="s">
        <v>98</v>
      </c>
      <c r="B223" t="s">
        <v>1199</v>
      </c>
      <c r="D223" t="s">
        <v>100</v>
      </c>
      <c r="E223" t="s">
        <v>101</v>
      </c>
      <c r="F223" t="s">
        <v>3491</v>
      </c>
      <c r="G223" t="s">
        <v>3486</v>
      </c>
      <c r="H223" t="s">
        <v>3487</v>
      </c>
      <c r="I223" t="s">
        <v>1200</v>
      </c>
      <c r="J223" t="s">
        <v>3719</v>
      </c>
      <c r="K223">
        <v>32.733586523867501</v>
      </c>
      <c r="L223">
        <v>0</v>
      </c>
      <c r="M223">
        <v>0.57354680401882652</v>
      </c>
      <c r="N223">
        <v>0</v>
      </c>
      <c r="O223">
        <v>0</v>
      </c>
      <c r="P223">
        <v>0</v>
      </c>
      <c r="Q223" t="s">
        <v>111</v>
      </c>
      <c r="R223">
        <v>1.3</v>
      </c>
      <c r="S223">
        <v>7.5</v>
      </c>
      <c r="T223">
        <v>12</v>
      </c>
      <c r="V223">
        <v>0.84765065353800362</v>
      </c>
      <c r="W223">
        <v>31.536000000000001</v>
      </c>
    </row>
    <row r="224" spans="1:23" x14ac:dyDescent="0.25">
      <c r="A224" t="s">
        <v>98</v>
      </c>
      <c r="B224" t="s">
        <v>1199</v>
      </c>
      <c r="D224" t="s">
        <v>100</v>
      </c>
      <c r="E224" t="s">
        <v>101</v>
      </c>
      <c r="F224" t="s">
        <v>3493</v>
      </c>
      <c r="G224" t="s">
        <v>3494</v>
      </c>
      <c r="H224" t="s">
        <v>3495</v>
      </c>
      <c r="I224" t="s">
        <v>1200</v>
      </c>
      <c r="J224" t="s">
        <v>3720</v>
      </c>
      <c r="K224">
        <v>32.733586523867501</v>
      </c>
      <c r="L224">
        <v>111.09024871056241</v>
      </c>
      <c r="M224">
        <v>1</v>
      </c>
      <c r="N224">
        <v>111.09024871056241</v>
      </c>
      <c r="O224">
        <v>104.10267206666811</v>
      </c>
      <c r="P224">
        <v>5.1760245320399116</v>
      </c>
      <c r="Q224" t="s">
        <v>111</v>
      </c>
      <c r="R224">
        <v>0.93709999999999993</v>
      </c>
      <c r="S224">
        <v>12.5</v>
      </c>
      <c r="T224">
        <v>1</v>
      </c>
      <c r="V224">
        <v>0.63776244794711701</v>
      </c>
      <c r="W224">
        <v>31.536000000000001</v>
      </c>
    </row>
    <row r="225" spans="1:23" x14ac:dyDescent="0.25">
      <c r="A225" t="s">
        <v>98</v>
      </c>
      <c r="B225" t="s">
        <v>1199</v>
      </c>
      <c r="D225" t="s">
        <v>100</v>
      </c>
      <c r="E225" t="s">
        <v>142</v>
      </c>
      <c r="F225" t="s">
        <v>3497</v>
      </c>
      <c r="G225" t="s">
        <v>104</v>
      </c>
      <c r="H225" t="s">
        <v>106</v>
      </c>
      <c r="I225" t="s">
        <v>1213</v>
      </c>
      <c r="J225" t="s">
        <v>3721</v>
      </c>
      <c r="K225">
        <v>32.733586523867501</v>
      </c>
      <c r="L225">
        <v>334.30043900639203</v>
      </c>
      <c r="M225">
        <v>2.6079383966911659E-2</v>
      </c>
      <c r="N225">
        <v>8.7183495091548284</v>
      </c>
      <c r="O225">
        <v>29.12930375274474</v>
      </c>
      <c r="P225">
        <v>7.6920029262977367</v>
      </c>
      <c r="Q225" t="s">
        <v>111</v>
      </c>
      <c r="R225">
        <v>3.3411488862837051</v>
      </c>
      <c r="S225">
        <v>9</v>
      </c>
      <c r="T225">
        <v>8</v>
      </c>
      <c r="V225">
        <v>0.1200836988079528</v>
      </c>
      <c r="W225">
        <v>31.536000000000001</v>
      </c>
    </row>
    <row r="226" spans="1:23" x14ac:dyDescent="0.25">
      <c r="A226" t="s">
        <v>98</v>
      </c>
      <c r="B226" t="s">
        <v>1199</v>
      </c>
      <c r="D226" t="s">
        <v>100</v>
      </c>
      <c r="E226" t="s">
        <v>142</v>
      </c>
      <c r="F226" t="s">
        <v>3499</v>
      </c>
      <c r="G226" t="s">
        <v>104</v>
      </c>
      <c r="H226" t="s">
        <v>106</v>
      </c>
      <c r="I226" t="s">
        <v>1213</v>
      </c>
      <c r="J226" t="s">
        <v>3722</v>
      </c>
      <c r="K226">
        <v>32.733586523867501</v>
      </c>
      <c r="L226">
        <v>334.30043900639203</v>
      </c>
      <c r="M226">
        <v>0.75013238323814235</v>
      </c>
      <c r="N226">
        <v>250.7695850294221</v>
      </c>
      <c r="O226">
        <v>639.41834400819812</v>
      </c>
      <c r="P226">
        <v>111.1535375357788</v>
      </c>
      <c r="Q226" t="s">
        <v>111</v>
      </c>
      <c r="R226">
        <v>2.5498241500586158</v>
      </c>
      <c r="S226">
        <v>5</v>
      </c>
      <c r="T226">
        <v>0</v>
      </c>
      <c r="V226">
        <v>0.18241275202398921</v>
      </c>
      <c r="W226">
        <v>31.536000000000001</v>
      </c>
    </row>
    <row r="227" spans="1:23" x14ac:dyDescent="0.25">
      <c r="A227" t="s">
        <v>98</v>
      </c>
      <c r="B227" t="s">
        <v>1199</v>
      </c>
      <c r="D227" t="s">
        <v>100</v>
      </c>
      <c r="E227" t="s">
        <v>142</v>
      </c>
      <c r="F227" t="s">
        <v>3501</v>
      </c>
      <c r="G227" t="s">
        <v>104</v>
      </c>
      <c r="H227" t="s">
        <v>106</v>
      </c>
      <c r="I227" t="s">
        <v>1213</v>
      </c>
      <c r="J227" t="s">
        <v>3723</v>
      </c>
      <c r="K227">
        <v>32.733586523867501</v>
      </c>
      <c r="L227">
        <v>334.30043900639203</v>
      </c>
      <c r="M227">
        <v>8.0905409106812529E-2</v>
      </c>
      <c r="N227">
        <v>27.046713782399181</v>
      </c>
      <c r="O227">
        <v>82.715878839082052</v>
      </c>
      <c r="P227">
        <v>11.76754957317709</v>
      </c>
      <c r="Q227" t="s">
        <v>111</v>
      </c>
      <c r="R227">
        <v>3.058259850145268</v>
      </c>
      <c r="S227">
        <v>9</v>
      </c>
      <c r="T227">
        <v>8</v>
      </c>
      <c r="V227">
        <v>0.22289290522473809</v>
      </c>
      <c r="W227">
        <v>31.536000000000001</v>
      </c>
    </row>
    <row r="228" spans="1:23" x14ac:dyDescent="0.25">
      <c r="A228" t="s">
        <v>98</v>
      </c>
      <c r="B228" t="s">
        <v>1199</v>
      </c>
      <c r="D228" t="s">
        <v>100</v>
      </c>
      <c r="E228" t="s">
        <v>142</v>
      </c>
      <c r="F228" t="s">
        <v>3503</v>
      </c>
      <c r="G228" t="s">
        <v>104</v>
      </c>
      <c r="H228" t="s">
        <v>106</v>
      </c>
      <c r="I228" t="s">
        <v>1213</v>
      </c>
      <c r="J228" t="s">
        <v>3724</v>
      </c>
      <c r="K228">
        <v>32.733586523867501</v>
      </c>
      <c r="L228">
        <v>334.30043900639203</v>
      </c>
      <c r="M228">
        <v>0.1241774939109369</v>
      </c>
      <c r="N228">
        <v>41.512590729139767</v>
      </c>
      <c r="O228">
        <v>113.14979301905041</v>
      </c>
      <c r="P228">
        <v>9.2050846326701024</v>
      </c>
      <c r="Q228" t="s">
        <v>111</v>
      </c>
      <c r="R228">
        <v>2.7256740914419701</v>
      </c>
      <c r="S228">
        <v>10.5</v>
      </c>
      <c r="T228">
        <v>14</v>
      </c>
      <c r="V228">
        <v>0.38977983829784241</v>
      </c>
      <c r="W228">
        <v>31.536000000000001</v>
      </c>
    </row>
    <row r="229" spans="1:23" x14ac:dyDescent="0.25">
      <c r="A229" t="s">
        <v>98</v>
      </c>
      <c r="B229" t="s">
        <v>1199</v>
      </c>
      <c r="D229" t="s">
        <v>100</v>
      </c>
      <c r="E229" t="s">
        <v>142</v>
      </c>
      <c r="F229" t="s">
        <v>3505</v>
      </c>
      <c r="G229" t="s">
        <v>104</v>
      </c>
      <c r="H229" t="s">
        <v>106</v>
      </c>
      <c r="I229" t="s">
        <v>1213</v>
      </c>
      <c r="J229" t="s">
        <v>3725</v>
      </c>
      <c r="K229">
        <v>32.733586523867501</v>
      </c>
      <c r="L229">
        <v>334.30043900639203</v>
      </c>
      <c r="M229">
        <v>6.2799770421084885E-4</v>
      </c>
      <c r="N229">
        <v>0.20993990821269309</v>
      </c>
      <c r="O229">
        <v>0.56607478181617132</v>
      </c>
      <c r="P229">
        <v>9.1044451706119536E-2</v>
      </c>
      <c r="Q229" t="s">
        <v>111</v>
      </c>
      <c r="R229">
        <v>2.6963657678780768</v>
      </c>
      <c r="S229">
        <v>10.5</v>
      </c>
      <c r="T229">
        <v>14</v>
      </c>
      <c r="V229">
        <v>0.19715768772584311</v>
      </c>
      <c r="W229">
        <v>31.536000000000001</v>
      </c>
    </row>
    <row r="230" spans="1:23" x14ac:dyDescent="0.25">
      <c r="A230" t="s">
        <v>98</v>
      </c>
      <c r="B230" t="s">
        <v>1199</v>
      </c>
      <c r="D230" t="s">
        <v>100</v>
      </c>
      <c r="E230" t="s">
        <v>142</v>
      </c>
      <c r="F230" t="s">
        <v>3507</v>
      </c>
      <c r="G230" t="s">
        <v>104</v>
      </c>
      <c r="H230" t="s">
        <v>106</v>
      </c>
      <c r="I230" t="s">
        <v>1213</v>
      </c>
      <c r="J230" t="s">
        <v>3726</v>
      </c>
      <c r="K230">
        <v>32.733586523867501</v>
      </c>
      <c r="L230">
        <v>334.30043900639203</v>
      </c>
      <c r="M230">
        <v>1.8077332072986192E-2</v>
      </c>
      <c r="N230">
        <v>6.0432600480636154</v>
      </c>
      <c r="O230">
        <v>3.6259560288381691</v>
      </c>
      <c r="P230">
        <v>0.88676532410048814</v>
      </c>
      <c r="Q230" t="s">
        <v>111</v>
      </c>
      <c r="R230">
        <v>0.6</v>
      </c>
      <c r="S230">
        <v>7.5</v>
      </c>
      <c r="T230">
        <v>12</v>
      </c>
      <c r="V230">
        <v>0.12966036029133921</v>
      </c>
      <c r="W230">
        <v>31.536000000000001</v>
      </c>
    </row>
    <row r="231" spans="1:23" x14ac:dyDescent="0.25">
      <c r="A231" t="s">
        <v>98</v>
      </c>
      <c r="B231" t="s">
        <v>1199</v>
      </c>
      <c r="D231" t="s">
        <v>100</v>
      </c>
      <c r="E231" t="s">
        <v>142</v>
      </c>
      <c r="F231" t="s">
        <v>3509</v>
      </c>
      <c r="G231" t="s">
        <v>104</v>
      </c>
      <c r="H231" t="s">
        <v>106</v>
      </c>
      <c r="I231" t="s">
        <v>1213</v>
      </c>
      <c r="J231" t="s">
        <v>3727</v>
      </c>
      <c r="K231">
        <v>32.733586523867501</v>
      </c>
      <c r="L231">
        <v>334.30043900639203</v>
      </c>
      <c r="M231">
        <v>0</v>
      </c>
      <c r="N231">
        <v>0</v>
      </c>
      <c r="O231">
        <v>0</v>
      </c>
      <c r="P231">
        <v>0</v>
      </c>
      <c r="Q231" t="s">
        <v>111</v>
      </c>
      <c r="R231">
        <v>1</v>
      </c>
      <c r="S231">
        <v>11.5</v>
      </c>
      <c r="T231">
        <v>10</v>
      </c>
      <c r="V231">
        <v>0.13284600493020371</v>
      </c>
      <c r="W231">
        <v>31.536000000000001</v>
      </c>
    </row>
    <row r="232" spans="1:23" x14ac:dyDescent="0.25">
      <c r="A232" t="s">
        <v>98</v>
      </c>
      <c r="B232" t="s">
        <v>1199</v>
      </c>
      <c r="D232" t="s">
        <v>100</v>
      </c>
      <c r="E232" t="s">
        <v>142</v>
      </c>
      <c r="F232" t="s">
        <v>3511</v>
      </c>
      <c r="G232" t="s">
        <v>104</v>
      </c>
      <c r="H232" t="s">
        <v>106</v>
      </c>
      <c r="I232" t="s">
        <v>1213</v>
      </c>
      <c r="J232" t="s">
        <v>3728</v>
      </c>
      <c r="K232">
        <v>32.733586523867501</v>
      </c>
      <c r="L232">
        <v>334.30043900639203</v>
      </c>
      <c r="M232">
        <v>0</v>
      </c>
      <c r="N232">
        <v>0</v>
      </c>
      <c r="O232">
        <v>0</v>
      </c>
      <c r="P232">
        <v>0</v>
      </c>
      <c r="Q232" t="s">
        <v>111</v>
      </c>
      <c r="R232">
        <v>1</v>
      </c>
      <c r="S232">
        <v>12.5</v>
      </c>
      <c r="T232">
        <v>1</v>
      </c>
      <c r="V232">
        <v>0</v>
      </c>
      <c r="W232">
        <v>31.536000000000001</v>
      </c>
    </row>
    <row r="233" spans="1:23" x14ac:dyDescent="0.25">
      <c r="A233" t="s">
        <v>98</v>
      </c>
      <c r="B233" t="s">
        <v>1199</v>
      </c>
      <c r="D233" t="s">
        <v>100</v>
      </c>
      <c r="E233" t="s">
        <v>243</v>
      </c>
      <c r="F233" t="s">
        <v>104</v>
      </c>
      <c r="G233" t="s">
        <v>104</v>
      </c>
      <c r="H233" t="s">
        <v>106</v>
      </c>
      <c r="I233" t="s">
        <v>1257</v>
      </c>
      <c r="J233" t="s">
        <v>3729</v>
      </c>
      <c r="K233">
        <v>32.733586523867501</v>
      </c>
      <c r="L233">
        <v>370.56986495671151</v>
      </c>
      <c r="M233">
        <v>1</v>
      </c>
      <c r="N233">
        <v>370.56986495671151</v>
      </c>
      <c r="O233">
        <v>370.56986495671151</v>
      </c>
      <c r="P233">
        <v>26.70612121188422</v>
      </c>
      <c r="Q233" t="s">
        <v>111</v>
      </c>
      <c r="R233">
        <v>1</v>
      </c>
      <c r="S233">
        <v>10</v>
      </c>
      <c r="T233">
        <v>97</v>
      </c>
      <c r="V233">
        <v>0.44</v>
      </c>
      <c r="W233">
        <v>31.536000000000001</v>
      </c>
    </row>
    <row r="234" spans="1:23" x14ac:dyDescent="0.25">
      <c r="A234" t="s">
        <v>98</v>
      </c>
      <c r="B234" t="s">
        <v>1199</v>
      </c>
      <c r="D234" t="s">
        <v>100</v>
      </c>
      <c r="E234" t="s">
        <v>226</v>
      </c>
      <c r="F234" t="s">
        <v>136</v>
      </c>
      <c r="G234" t="s">
        <v>136</v>
      </c>
      <c r="H234" t="s">
        <v>138</v>
      </c>
      <c r="I234" t="s">
        <v>1250</v>
      </c>
      <c r="J234" t="s">
        <v>3730</v>
      </c>
      <c r="K234">
        <v>32.733586523867501</v>
      </c>
      <c r="L234">
        <v>15.307075533051529</v>
      </c>
      <c r="M234">
        <v>1</v>
      </c>
      <c r="N234">
        <v>15.307075533051529</v>
      </c>
      <c r="O234">
        <v>11.939518915780191</v>
      </c>
      <c r="P234">
        <v>0.86045377546730117</v>
      </c>
      <c r="Q234" t="s">
        <v>111</v>
      </c>
      <c r="R234">
        <v>0.78</v>
      </c>
      <c r="S234">
        <v>6.5</v>
      </c>
      <c r="T234">
        <v>6</v>
      </c>
      <c r="V234">
        <v>0.44</v>
      </c>
      <c r="W234">
        <v>31.536000000000001</v>
      </c>
    </row>
    <row r="235" spans="1:23" x14ac:dyDescent="0.25">
      <c r="A235" t="s">
        <v>98</v>
      </c>
      <c r="B235" t="s">
        <v>1199</v>
      </c>
      <c r="D235" t="s">
        <v>100</v>
      </c>
      <c r="E235" t="s">
        <v>226</v>
      </c>
      <c r="F235" t="s">
        <v>131</v>
      </c>
      <c r="G235" t="s">
        <v>131</v>
      </c>
      <c r="H235" t="s">
        <v>133</v>
      </c>
      <c r="I235" t="s">
        <v>1250</v>
      </c>
      <c r="J235" t="s">
        <v>3731</v>
      </c>
      <c r="K235">
        <v>32.733586523867501</v>
      </c>
      <c r="L235">
        <v>30.31048762299249</v>
      </c>
      <c r="M235">
        <v>1</v>
      </c>
      <c r="N235">
        <v>30.31048762299249</v>
      </c>
      <c r="O235">
        <v>23.33907546970422</v>
      </c>
      <c r="P235">
        <v>1.681993700540235</v>
      </c>
      <c r="Q235" t="s">
        <v>111</v>
      </c>
      <c r="R235">
        <v>0.77</v>
      </c>
      <c r="S235">
        <v>5</v>
      </c>
      <c r="T235">
        <v>7</v>
      </c>
      <c r="V235">
        <v>0.44</v>
      </c>
      <c r="W235">
        <v>31.536000000000001</v>
      </c>
    </row>
    <row r="236" spans="1:23" x14ac:dyDescent="0.25">
      <c r="A236" t="s">
        <v>98</v>
      </c>
      <c r="B236" t="s">
        <v>1199</v>
      </c>
      <c r="D236" t="s">
        <v>100</v>
      </c>
      <c r="E236" t="s">
        <v>226</v>
      </c>
      <c r="F236" t="s">
        <v>3494</v>
      </c>
      <c r="G236" t="s">
        <v>3494</v>
      </c>
      <c r="H236" t="s">
        <v>3495</v>
      </c>
      <c r="I236" t="s">
        <v>1250</v>
      </c>
      <c r="J236" t="s">
        <v>3732</v>
      </c>
      <c r="K236">
        <v>32.733586523867501</v>
      </c>
      <c r="L236">
        <v>0</v>
      </c>
      <c r="M236">
        <v>1</v>
      </c>
      <c r="N236">
        <v>0</v>
      </c>
      <c r="O236">
        <v>0</v>
      </c>
      <c r="P236">
        <v>0</v>
      </c>
      <c r="Q236" t="s">
        <v>111</v>
      </c>
      <c r="R236">
        <v>0.97474999999999989</v>
      </c>
      <c r="S236">
        <v>12.5</v>
      </c>
      <c r="T236">
        <v>1</v>
      </c>
      <c r="V236">
        <v>0.44</v>
      </c>
      <c r="W236">
        <v>31.536000000000001</v>
      </c>
    </row>
    <row r="237" spans="1:23" x14ac:dyDescent="0.25">
      <c r="A237" t="s">
        <v>98</v>
      </c>
      <c r="B237" t="s">
        <v>1199</v>
      </c>
      <c r="D237" t="s">
        <v>100</v>
      </c>
      <c r="E237" t="s">
        <v>226</v>
      </c>
      <c r="F237" t="s">
        <v>104</v>
      </c>
      <c r="G237" t="s">
        <v>104</v>
      </c>
      <c r="H237" t="s">
        <v>106</v>
      </c>
      <c r="I237" t="s">
        <v>1250</v>
      </c>
      <c r="J237" t="s">
        <v>3733</v>
      </c>
      <c r="K237">
        <v>32.733586523867501</v>
      </c>
      <c r="L237">
        <v>48.231176584787868</v>
      </c>
      <c r="M237">
        <v>1</v>
      </c>
      <c r="N237">
        <v>48.231176584787868</v>
      </c>
      <c r="O237">
        <v>47.013339376021968</v>
      </c>
      <c r="P237">
        <v>3.388143663808604</v>
      </c>
      <c r="Q237" t="s">
        <v>111</v>
      </c>
      <c r="R237">
        <v>0.97474999999999989</v>
      </c>
      <c r="S237">
        <v>7.5</v>
      </c>
      <c r="T237">
        <v>2</v>
      </c>
      <c r="V237">
        <v>0.44</v>
      </c>
      <c r="W237">
        <v>31.536000000000001</v>
      </c>
    </row>
    <row r="238" spans="1:23" x14ac:dyDescent="0.25">
      <c r="A238" t="s">
        <v>98</v>
      </c>
      <c r="B238" t="s">
        <v>1199</v>
      </c>
      <c r="D238" t="s">
        <v>100</v>
      </c>
      <c r="E238" t="s">
        <v>284</v>
      </c>
      <c r="F238" t="s">
        <v>3518</v>
      </c>
      <c r="G238" t="s">
        <v>104</v>
      </c>
      <c r="H238" t="s">
        <v>106</v>
      </c>
      <c r="I238" t="s">
        <v>1275</v>
      </c>
      <c r="J238" t="s">
        <v>3734</v>
      </c>
      <c r="K238">
        <v>32.733586523867501</v>
      </c>
      <c r="L238">
        <v>1116.267094970827</v>
      </c>
      <c r="M238">
        <v>0.48096960534637551</v>
      </c>
      <c r="N238">
        <v>536.89054412926362</v>
      </c>
      <c r="O238">
        <v>1278.947031803863</v>
      </c>
      <c r="P238">
        <v>2862.80698932325</v>
      </c>
      <c r="Q238" t="s">
        <v>291</v>
      </c>
      <c r="R238">
        <v>2.382137375650891</v>
      </c>
      <c r="S238">
        <v>5</v>
      </c>
      <c r="T238">
        <v>1</v>
      </c>
      <c r="V238">
        <v>0.44674581156663962</v>
      </c>
      <c r="W238">
        <v>1</v>
      </c>
    </row>
    <row r="239" spans="1:23" x14ac:dyDescent="0.25">
      <c r="A239" t="s">
        <v>98</v>
      </c>
      <c r="B239" t="s">
        <v>1199</v>
      </c>
      <c r="D239" t="s">
        <v>100</v>
      </c>
      <c r="E239" t="s">
        <v>284</v>
      </c>
      <c r="F239" t="s">
        <v>3520</v>
      </c>
      <c r="G239" t="s">
        <v>104</v>
      </c>
      <c r="H239" t="s">
        <v>106</v>
      </c>
      <c r="I239" t="s">
        <v>1275</v>
      </c>
      <c r="J239" t="s">
        <v>3735</v>
      </c>
      <c r="K239">
        <v>32.733586523867501</v>
      </c>
      <c r="L239">
        <v>1116.267094970827</v>
      </c>
      <c r="M239">
        <v>5.6549037657679248E-2</v>
      </c>
      <c r="N239">
        <v>63.123829989533512</v>
      </c>
      <c r="O239">
        <v>86.800449251061025</v>
      </c>
      <c r="P239">
        <v>282.57891095346758</v>
      </c>
      <c r="Q239" t="s">
        <v>291</v>
      </c>
      <c r="R239">
        <v>1.3750821086973539</v>
      </c>
      <c r="S239">
        <v>5</v>
      </c>
      <c r="T239">
        <v>5</v>
      </c>
      <c r="V239">
        <v>0.30717242471556733</v>
      </c>
      <c r="W239">
        <v>1</v>
      </c>
    </row>
    <row r="240" spans="1:23" x14ac:dyDescent="0.25">
      <c r="A240" t="s">
        <v>98</v>
      </c>
      <c r="B240" t="s">
        <v>1199</v>
      </c>
      <c r="D240" t="s">
        <v>100</v>
      </c>
      <c r="E240" t="s">
        <v>284</v>
      </c>
      <c r="F240" t="s">
        <v>3522</v>
      </c>
      <c r="G240" t="s">
        <v>104</v>
      </c>
      <c r="H240" t="s">
        <v>106</v>
      </c>
      <c r="I240" t="s">
        <v>1275</v>
      </c>
      <c r="J240" t="s">
        <v>3736</v>
      </c>
      <c r="K240">
        <v>32.733586523867501</v>
      </c>
      <c r="L240">
        <v>1116.267094970827</v>
      </c>
      <c r="M240">
        <v>5.4102700516856929E-2</v>
      </c>
      <c r="N240">
        <v>60.393064336028537</v>
      </c>
      <c r="O240">
        <v>20.205698846199791</v>
      </c>
      <c r="P240">
        <v>85.88166652450542</v>
      </c>
      <c r="Q240" t="s">
        <v>291</v>
      </c>
      <c r="R240">
        <v>0.33456985613074319</v>
      </c>
      <c r="S240">
        <v>0.5</v>
      </c>
      <c r="T240">
        <v>1</v>
      </c>
      <c r="V240">
        <v>0.23527371631096969</v>
      </c>
      <c r="W240">
        <v>1</v>
      </c>
    </row>
    <row r="241" spans="1:23" x14ac:dyDescent="0.25">
      <c r="A241" t="s">
        <v>98</v>
      </c>
      <c r="B241" t="s">
        <v>1199</v>
      </c>
      <c r="D241" t="s">
        <v>100</v>
      </c>
      <c r="E241" t="s">
        <v>284</v>
      </c>
      <c r="F241" t="s">
        <v>285</v>
      </c>
      <c r="G241" t="s">
        <v>104</v>
      </c>
      <c r="H241" t="s">
        <v>106</v>
      </c>
      <c r="I241" t="s">
        <v>1275</v>
      </c>
      <c r="J241" t="s">
        <v>3737</v>
      </c>
      <c r="K241">
        <v>32.733586523867501</v>
      </c>
      <c r="L241">
        <v>1116.267094970827</v>
      </c>
      <c r="M241">
        <v>1.444583317597845E-2</v>
      </c>
      <c r="N241">
        <v>16.125408233782661</v>
      </c>
      <c r="O241">
        <v>7.2833519423153206</v>
      </c>
      <c r="P241">
        <v>102.6746771192977</v>
      </c>
      <c r="Q241" t="s">
        <v>291</v>
      </c>
      <c r="R241">
        <v>0.45166930577650322</v>
      </c>
      <c r="S241">
        <v>5</v>
      </c>
      <c r="T241">
        <v>37</v>
      </c>
      <c r="V241">
        <v>7.0936204979274414E-2</v>
      </c>
      <c r="W241">
        <v>1</v>
      </c>
    </row>
    <row r="242" spans="1:23" x14ac:dyDescent="0.25">
      <c r="A242" t="s">
        <v>98</v>
      </c>
      <c r="B242" t="s">
        <v>1199</v>
      </c>
      <c r="D242" t="s">
        <v>100</v>
      </c>
      <c r="E242" t="s">
        <v>284</v>
      </c>
      <c r="F242" t="s">
        <v>3525</v>
      </c>
      <c r="G242" t="s">
        <v>104</v>
      </c>
      <c r="H242" t="s">
        <v>106</v>
      </c>
      <c r="I242" t="s">
        <v>1275</v>
      </c>
      <c r="J242" t="s">
        <v>3738</v>
      </c>
      <c r="K242">
        <v>32.733586523867501</v>
      </c>
      <c r="L242">
        <v>1116.267094970827</v>
      </c>
      <c r="M242">
        <v>9.1377764044621432E-2</v>
      </c>
      <c r="N242">
        <v>102.0019912150192</v>
      </c>
      <c r="O242">
        <v>193.03950161579351</v>
      </c>
      <c r="P242">
        <v>253.18430867956619</v>
      </c>
      <c r="Q242" t="s">
        <v>291</v>
      </c>
      <c r="R242">
        <v>1.892507188500546</v>
      </c>
      <c r="S242">
        <v>0.5</v>
      </c>
      <c r="T242">
        <v>1</v>
      </c>
      <c r="V242">
        <v>0.7624465458485703</v>
      </c>
      <c r="W242">
        <v>1</v>
      </c>
    </row>
    <row r="243" spans="1:23" x14ac:dyDescent="0.25">
      <c r="A243" t="s">
        <v>98</v>
      </c>
      <c r="B243" t="s">
        <v>1199</v>
      </c>
      <c r="D243" t="s">
        <v>100</v>
      </c>
      <c r="E243" t="s">
        <v>284</v>
      </c>
      <c r="F243" t="s">
        <v>3527</v>
      </c>
      <c r="G243" t="s">
        <v>104</v>
      </c>
      <c r="H243" t="s">
        <v>106</v>
      </c>
      <c r="I243" t="s">
        <v>1275</v>
      </c>
      <c r="J243" t="s">
        <v>3739</v>
      </c>
      <c r="K243">
        <v>32.733586523867501</v>
      </c>
      <c r="L243">
        <v>1116.267094970827</v>
      </c>
      <c r="M243">
        <v>0.30255505925848802</v>
      </c>
      <c r="N243">
        <v>337.73225706719882</v>
      </c>
      <c r="O243">
        <v>639.16072428818802</v>
      </c>
      <c r="P243">
        <v>1853.4795644373489</v>
      </c>
      <c r="Q243" t="s">
        <v>291</v>
      </c>
      <c r="R243">
        <v>1.892507188500546</v>
      </c>
      <c r="S243">
        <v>5</v>
      </c>
      <c r="T243">
        <v>2</v>
      </c>
      <c r="V243">
        <v>0.34484368565574908</v>
      </c>
      <c r="W243">
        <v>1</v>
      </c>
    </row>
    <row r="244" spans="1:23" x14ac:dyDescent="0.25">
      <c r="A244" t="s">
        <v>98</v>
      </c>
      <c r="B244" t="s">
        <v>1199</v>
      </c>
      <c r="D244" t="s">
        <v>100</v>
      </c>
      <c r="E244" t="s">
        <v>284</v>
      </c>
      <c r="F244" t="s">
        <v>3529</v>
      </c>
      <c r="G244" t="s">
        <v>104</v>
      </c>
      <c r="H244" t="s">
        <v>106</v>
      </c>
      <c r="I244" t="s">
        <v>1275</v>
      </c>
      <c r="J244" t="s">
        <v>3740</v>
      </c>
      <c r="K244">
        <v>32.733586523867501</v>
      </c>
      <c r="L244">
        <v>1116.267094970827</v>
      </c>
      <c r="M244">
        <v>0</v>
      </c>
      <c r="N244">
        <v>0</v>
      </c>
      <c r="O244">
        <v>0</v>
      </c>
      <c r="P244">
        <v>0</v>
      </c>
      <c r="Q244" t="s">
        <v>291</v>
      </c>
      <c r="R244">
        <v>0.96356118565654036</v>
      </c>
      <c r="S244">
        <v>0.5</v>
      </c>
      <c r="T244">
        <v>1</v>
      </c>
      <c r="V244">
        <v>0</v>
      </c>
      <c r="W244">
        <v>1</v>
      </c>
    </row>
    <row r="245" spans="1:23" x14ac:dyDescent="0.25">
      <c r="A245" t="s">
        <v>98</v>
      </c>
      <c r="B245" t="s">
        <v>1199</v>
      </c>
      <c r="D245" t="s">
        <v>100</v>
      </c>
      <c r="E245" t="s">
        <v>3114</v>
      </c>
      <c r="F245" t="s">
        <v>136</v>
      </c>
      <c r="G245" t="s">
        <v>136</v>
      </c>
      <c r="H245" t="s">
        <v>138</v>
      </c>
      <c r="I245" t="s">
        <v>3127</v>
      </c>
      <c r="J245" t="s">
        <v>3741</v>
      </c>
      <c r="K245">
        <v>32.733586523867501</v>
      </c>
      <c r="L245">
        <v>0</v>
      </c>
      <c r="M245">
        <v>1</v>
      </c>
      <c r="N245">
        <v>0</v>
      </c>
      <c r="O245">
        <v>0</v>
      </c>
      <c r="P245">
        <v>0</v>
      </c>
      <c r="Q245" t="s">
        <v>111</v>
      </c>
      <c r="R245">
        <v>0.45</v>
      </c>
      <c r="S245">
        <v>6</v>
      </c>
      <c r="T245">
        <v>8</v>
      </c>
      <c r="V245">
        <v>0.44</v>
      </c>
      <c r="W245">
        <v>31.536000000000001</v>
      </c>
    </row>
    <row r="246" spans="1:23" x14ac:dyDescent="0.25">
      <c r="A246" t="s">
        <v>98</v>
      </c>
      <c r="B246" t="s">
        <v>1199</v>
      </c>
      <c r="D246" t="s">
        <v>100</v>
      </c>
      <c r="E246" t="s">
        <v>3114</v>
      </c>
      <c r="F246" t="s">
        <v>131</v>
      </c>
      <c r="G246" t="s">
        <v>131</v>
      </c>
      <c r="H246" t="s">
        <v>133</v>
      </c>
      <c r="I246" t="s">
        <v>3127</v>
      </c>
      <c r="J246" t="s">
        <v>3742</v>
      </c>
      <c r="K246">
        <v>32.733586523867501</v>
      </c>
      <c r="L246">
        <v>45.458360085189497</v>
      </c>
      <c r="M246">
        <v>1</v>
      </c>
      <c r="N246">
        <v>45.458360085189497</v>
      </c>
      <c r="O246">
        <v>20.456262038335279</v>
      </c>
      <c r="P246">
        <v>1.474235940911345</v>
      </c>
      <c r="Q246" t="s">
        <v>111</v>
      </c>
      <c r="R246">
        <v>0.45</v>
      </c>
      <c r="S246">
        <v>6</v>
      </c>
      <c r="T246">
        <v>8</v>
      </c>
      <c r="V246">
        <v>0.44</v>
      </c>
      <c r="W246">
        <v>31.536000000000001</v>
      </c>
    </row>
    <row r="247" spans="1:23" x14ac:dyDescent="0.25">
      <c r="A247" t="s">
        <v>98</v>
      </c>
      <c r="B247" t="s">
        <v>1199</v>
      </c>
      <c r="D247" t="s">
        <v>100</v>
      </c>
      <c r="E247" t="s">
        <v>3114</v>
      </c>
      <c r="F247" t="s">
        <v>3494</v>
      </c>
      <c r="G247" t="s">
        <v>3494</v>
      </c>
      <c r="H247" t="s">
        <v>3495</v>
      </c>
      <c r="I247" t="s">
        <v>3127</v>
      </c>
      <c r="J247" t="s">
        <v>3743</v>
      </c>
      <c r="K247">
        <v>32.733586523867501</v>
      </c>
      <c r="L247">
        <v>0</v>
      </c>
      <c r="M247">
        <v>1</v>
      </c>
      <c r="N247">
        <v>0</v>
      </c>
      <c r="O247">
        <v>0</v>
      </c>
      <c r="P247">
        <v>0</v>
      </c>
      <c r="Q247" t="s">
        <v>111</v>
      </c>
      <c r="R247">
        <v>0.7</v>
      </c>
      <c r="S247">
        <v>6</v>
      </c>
      <c r="T247">
        <v>8</v>
      </c>
      <c r="V247">
        <v>0.44</v>
      </c>
      <c r="W247">
        <v>31.536000000000001</v>
      </c>
    </row>
    <row r="248" spans="1:23" x14ac:dyDescent="0.25">
      <c r="A248" t="s">
        <v>98</v>
      </c>
      <c r="B248" t="s">
        <v>1199</v>
      </c>
      <c r="D248" t="s">
        <v>100</v>
      </c>
      <c r="E248" t="s">
        <v>3114</v>
      </c>
      <c r="F248" t="s">
        <v>104</v>
      </c>
      <c r="G248" t="s">
        <v>104</v>
      </c>
      <c r="H248" t="s">
        <v>106</v>
      </c>
      <c r="I248" t="s">
        <v>3127</v>
      </c>
      <c r="J248" t="s">
        <v>3744</v>
      </c>
      <c r="K248">
        <v>32.733586523867501</v>
      </c>
      <c r="L248">
        <v>1.6247935260810811</v>
      </c>
      <c r="M248">
        <v>1</v>
      </c>
      <c r="N248">
        <v>1.6247935260810811</v>
      </c>
      <c r="O248">
        <v>1.1373554682567559</v>
      </c>
      <c r="P248">
        <v>8.1966602977315714E-2</v>
      </c>
      <c r="Q248" t="s">
        <v>111</v>
      </c>
      <c r="R248">
        <v>0.7</v>
      </c>
      <c r="S248">
        <v>6</v>
      </c>
      <c r="T248">
        <v>8</v>
      </c>
      <c r="V248">
        <v>0.44</v>
      </c>
      <c r="W248">
        <v>31.536000000000001</v>
      </c>
    </row>
    <row r="249" spans="1:23" x14ac:dyDescent="0.25">
      <c r="A249" t="s">
        <v>98</v>
      </c>
      <c r="B249" t="s">
        <v>1199</v>
      </c>
      <c r="D249" t="s">
        <v>100</v>
      </c>
      <c r="E249" t="s">
        <v>439</v>
      </c>
      <c r="F249" t="s">
        <v>104</v>
      </c>
      <c r="G249" t="s">
        <v>104</v>
      </c>
      <c r="H249" t="s">
        <v>106</v>
      </c>
      <c r="I249" t="s">
        <v>1346</v>
      </c>
      <c r="J249" t="s">
        <v>3745</v>
      </c>
      <c r="K249">
        <v>32.733586523867501</v>
      </c>
      <c r="L249">
        <v>429.18715453192777</v>
      </c>
      <c r="M249">
        <v>1</v>
      </c>
      <c r="N249">
        <v>429.18715453192777</v>
      </c>
      <c r="O249">
        <v>429.18715453192777</v>
      </c>
      <c r="P249">
        <v>30.930534982525579</v>
      </c>
      <c r="Q249" t="s">
        <v>111</v>
      </c>
      <c r="R249">
        <v>1</v>
      </c>
      <c r="S249">
        <v>5</v>
      </c>
      <c r="T249">
        <v>500</v>
      </c>
      <c r="V249">
        <v>0.44</v>
      </c>
      <c r="W249">
        <v>31.536000000000001</v>
      </c>
    </row>
    <row r="250" spans="1:23" x14ac:dyDescent="0.25">
      <c r="A250" t="s">
        <v>98</v>
      </c>
      <c r="B250" t="s">
        <v>1199</v>
      </c>
      <c r="D250" t="s">
        <v>100</v>
      </c>
      <c r="E250" t="s">
        <v>3149</v>
      </c>
      <c r="F250" t="s">
        <v>136</v>
      </c>
      <c r="G250" t="s">
        <v>136</v>
      </c>
      <c r="H250" t="s">
        <v>138</v>
      </c>
      <c r="I250" t="s">
        <v>3161</v>
      </c>
      <c r="J250" t="s">
        <v>3746</v>
      </c>
      <c r="K250">
        <v>32.733586523867501</v>
      </c>
      <c r="L250">
        <v>91.457533921641527</v>
      </c>
      <c r="M250">
        <v>1</v>
      </c>
      <c r="N250">
        <v>91.457533921641527</v>
      </c>
      <c r="O250">
        <v>91.457533921641527</v>
      </c>
      <c r="P250">
        <v>207.8580316400944</v>
      </c>
      <c r="Q250" t="s">
        <v>3152</v>
      </c>
      <c r="R250">
        <v>1</v>
      </c>
      <c r="S250">
        <v>12.5</v>
      </c>
      <c r="T250">
        <v>10</v>
      </c>
      <c r="V250">
        <v>0.44</v>
      </c>
      <c r="W250">
        <v>1</v>
      </c>
    </row>
    <row r="251" spans="1:23" x14ac:dyDescent="0.25">
      <c r="A251" t="s">
        <v>98</v>
      </c>
      <c r="B251" t="s">
        <v>1199</v>
      </c>
      <c r="D251" t="s">
        <v>100</v>
      </c>
      <c r="E251" t="s">
        <v>3149</v>
      </c>
      <c r="F251" t="s">
        <v>131</v>
      </c>
      <c r="G251" t="s">
        <v>131</v>
      </c>
      <c r="H251" t="s">
        <v>133</v>
      </c>
      <c r="I251" t="s">
        <v>3161</v>
      </c>
      <c r="J251" t="s">
        <v>3747</v>
      </c>
      <c r="K251">
        <v>32.733586523867501</v>
      </c>
      <c r="L251">
        <v>386.34797541912241</v>
      </c>
      <c r="M251">
        <v>1</v>
      </c>
      <c r="N251">
        <v>386.34797541912241</v>
      </c>
      <c r="O251">
        <v>386.34797541912241</v>
      </c>
      <c r="P251">
        <v>878.06358049800542</v>
      </c>
      <c r="Q251" t="s">
        <v>3152</v>
      </c>
      <c r="R251">
        <v>1</v>
      </c>
      <c r="S251">
        <v>12.5</v>
      </c>
      <c r="T251">
        <v>10</v>
      </c>
      <c r="V251">
        <v>0.44</v>
      </c>
      <c r="W251">
        <v>1</v>
      </c>
    </row>
    <row r="252" spans="1:23" x14ac:dyDescent="0.25">
      <c r="A252" t="s">
        <v>98</v>
      </c>
      <c r="B252" t="s">
        <v>1199</v>
      </c>
      <c r="D252" t="s">
        <v>100</v>
      </c>
      <c r="E252" t="s">
        <v>3149</v>
      </c>
      <c r="F252" t="s">
        <v>3494</v>
      </c>
      <c r="G252" t="s">
        <v>3494</v>
      </c>
      <c r="H252" t="s">
        <v>3495</v>
      </c>
      <c r="I252" t="s">
        <v>3161</v>
      </c>
      <c r="J252" t="s">
        <v>3748</v>
      </c>
      <c r="K252">
        <v>32.733586523867501</v>
      </c>
      <c r="L252">
        <v>0</v>
      </c>
      <c r="M252">
        <v>1</v>
      </c>
      <c r="N252">
        <v>0</v>
      </c>
      <c r="O252">
        <v>0</v>
      </c>
      <c r="P252">
        <v>0</v>
      </c>
      <c r="Q252" t="s">
        <v>3152</v>
      </c>
      <c r="R252">
        <v>1</v>
      </c>
      <c r="S252">
        <v>12.5</v>
      </c>
      <c r="T252">
        <v>10</v>
      </c>
      <c r="V252">
        <v>0.44</v>
      </c>
      <c r="W252">
        <v>1</v>
      </c>
    </row>
    <row r="253" spans="1:23" x14ac:dyDescent="0.25">
      <c r="A253" t="s">
        <v>98</v>
      </c>
      <c r="B253" t="s">
        <v>1199</v>
      </c>
      <c r="D253" t="s">
        <v>100</v>
      </c>
      <c r="E253" t="s">
        <v>3149</v>
      </c>
      <c r="F253" t="s">
        <v>104</v>
      </c>
      <c r="G253" t="s">
        <v>104</v>
      </c>
      <c r="H253" t="s">
        <v>106</v>
      </c>
      <c r="I253" t="s">
        <v>3161</v>
      </c>
      <c r="J253" t="s">
        <v>3749</v>
      </c>
      <c r="K253">
        <v>32.733586523867501</v>
      </c>
      <c r="L253">
        <v>1139.4040354750639</v>
      </c>
      <c r="M253">
        <v>1</v>
      </c>
      <c r="N253">
        <v>1139.4040354750639</v>
      </c>
      <c r="O253">
        <v>1139.4040354750639</v>
      </c>
      <c r="P253">
        <v>2589.55462607969</v>
      </c>
      <c r="Q253" t="s">
        <v>3152</v>
      </c>
      <c r="R253">
        <v>1</v>
      </c>
      <c r="S253">
        <v>12.5</v>
      </c>
      <c r="T253">
        <v>10</v>
      </c>
      <c r="V253">
        <v>0.44</v>
      </c>
      <c r="W253">
        <v>1</v>
      </c>
    </row>
    <row r="254" spans="1:23" x14ac:dyDescent="0.25">
      <c r="A254" t="s">
        <v>98</v>
      </c>
      <c r="B254" t="s">
        <v>1374</v>
      </c>
      <c r="D254" t="s">
        <v>100</v>
      </c>
      <c r="E254" t="s">
        <v>101</v>
      </c>
      <c r="F254" t="s">
        <v>3467</v>
      </c>
      <c r="G254" t="s">
        <v>104</v>
      </c>
      <c r="H254" t="s">
        <v>106</v>
      </c>
      <c r="I254" t="s">
        <v>1375</v>
      </c>
      <c r="J254" t="s">
        <v>3750</v>
      </c>
      <c r="K254">
        <v>16.841332845916298</v>
      </c>
      <c r="L254">
        <v>542.16701739857729</v>
      </c>
      <c r="M254">
        <v>0.86237109003216739</v>
      </c>
      <c r="N254">
        <v>467.54916177350009</v>
      </c>
      <c r="O254">
        <v>458.19817853803011</v>
      </c>
      <c r="P254">
        <v>69.291216319440849</v>
      </c>
      <c r="Q254" t="s">
        <v>111</v>
      </c>
      <c r="R254">
        <v>0.98</v>
      </c>
      <c r="S254">
        <v>7.5</v>
      </c>
      <c r="T254">
        <v>1</v>
      </c>
      <c r="V254">
        <v>0.2096855806629028</v>
      </c>
      <c r="W254">
        <v>31.536000000000001</v>
      </c>
    </row>
    <row r="255" spans="1:23" x14ac:dyDescent="0.25">
      <c r="A255" t="s">
        <v>98</v>
      </c>
      <c r="B255" t="s">
        <v>1374</v>
      </c>
      <c r="D255" t="s">
        <v>100</v>
      </c>
      <c r="E255" t="s">
        <v>101</v>
      </c>
      <c r="F255" t="s">
        <v>3469</v>
      </c>
      <c r="G255" t="s">
        <v>104</v>
      </c>
      <c r="H255" t="s">
        <v>106</v>
      </c>
      <c r="I255" t="s">
        <v>1375</v>
      </c>
      <c r="J255" t="s">
        <v>3751</v>
      </c>
      <c r="K255">
        <v>16.841332845916298</v>
      </c>
      <c r="L255">
        <v>542.16701739857729</v>
      </c>
      <c r="M255">
        <v>6.2735252097737518E-2</v>
      </c>
      <c r="N255">
        <v>34.012984515578189</v>
      </c>
      <c r="O255">
        <v>31.873567789548321</v>
      </c>
      <c r="P255">
        <v>15.54106596745028</v>
      </c>
      <c r="Q255" t="s">
        <v>111</v>
      </c>
      <c r="R255">
        <v>0.93709999999999993</v>
      </c>
      <c r="S255">
        <v>7.5</v>
      </c>
      <c r="T255">
        <v>1</v>
      </c>
      <c r="V255">
        <v>6.5034419550360864E-2</v>
      </c>
      <c r="W255">
        <v>31.536000000000001</v>
      </c>
    </row>
    <row r="256" spans="1:23" x14ac:dyDescent="0.25">
      <c r="A256" t="s">
        <v>98</v>
      </c>
      <c r="B256" t="s">
        <v>1374</v>
      </c>
      <c r="D256" t="s">
        <v>100</v>
      </c>
      <c r="E256" t="s">
        <v>101</v>
      </c>
      <c r="F256" t="s">
        <v>3471</v>
      </c>
      <c r="G256" t="s">
        <v>104</v>
      </c>
      <c r="H256" t="s">
        <v>106</v>
      </c>
      <c r="I256" t="s">
        <v>1375</v>
      </c>
      <c r="J256" t="s">
        <v>3752</v>
      </c>
      <c r="K256">
        <v>16.841332845916298</v>
      </c>
      <c r="L256">
        <v>542.16701739857729</v>
      </c>
      <c r="M256">
        <v>7.4893657870095109E-2</v>
      </c>
      <c r="N256">
        <v>40.604871109498951</v>
      </c>
      <c r="O256">
        <v>125.8751004394468</v>
      </c>
      <c r="P256">
        <v>15.548713813081349</v>
      </c>
      <c r="Q256" t="s">
        <v>111</v>
      </c>
      <c r="R256">
        <v>3.1</v>
      </c>
      <c r="S256">
        <v>10.5</v>
      </c>
      <c r="T256">
        <v>14.33104807576899</v>
      </c>
      <c r="V256">
        <v>0.25670761574582768</v>
      </c>
      <c r="W256">
        <v>31.536000000000001</v>
      </c>
    </row>
    <row r="257" spans="1:23" x14ac:dyDescent="0.25">
      <c r="A257" t="s">
        <v>98</v>
      </c>
      <c r="B257" t="s">
        <v>1374</v>
      </c>
      <c r="D257" t="s">
        <v>100</v>
      </c>
      <c r="E257" t="s">
        <v>101</v>
      </c>
      <c r="F257" t="s">
        <v>3473</v>
      </c>
      <c r="G257" t="s">
        <v>104</v>
      </c>
      <c r="H257" t="s">
        <v>106</v>
      </c>
      <c r="I257" t="s">
        <v>1375</v>
      </c>
      <c r="J257" t="s">
        <v>3753</v>
      </c>
      <c r="K257">
        <v>16.841332845916298</v>
      </c>
      <c r="L257">
        <v>542.16701739857729</v>
      </c>
      <c r="M257">
        <v>0</v>
      </c>
      <c r="N257">
        <v>0</v>
      </c>
      <c r="O257">
        <v>0</v>
      </c>
      <c r="P257">
        <v>0</v>
      </c>
      <c r="Q257" t="s">
        <v>111</v>
      </c>
      <c r="R257">
        <v>3.4</v>
      </c>
      <c r="S257">
        <v>7.2</v>
      </c>
      <c r="T257">
        <v>13.00195893970977</v>
      </c>
      <c r="V257">
        <v>0.28155028823735939</v>
      </c>
      <c r="W257">
        <v>31.536000000000001</v>
      </c>
    </row>
    <row r="258" spans="1:23" x14ac:dyDescent="0.25">
      <c r="A258" t="s">
        <v>98</v>
      </c>
      <c r="B258" t="s">
        <v>1374</v>
      </c>
      <c r="D258" t="s">
        <v>100</v>
      </c>
      <c r="E258" t="s">
        <v>101</v>
      </c>
      <c r="F258" t="s">
        <v>3475</v>
      </c>
      <c r="G258" t="s">
        <v>131</v>
      </c>
      <c r="H258" t="s">
        <v>133</v>
      </c>
      <c r="I258" t="s">
        <v>1375</v>
      </c>
      <c r="J258" t="s">
        <v>3754</v>
      </c>
      <c r="K258">
        <v>16.841332845916298</v>
      </c>
      <c r="L258">
        <v>10204.90341706753</v>
      </c>
      <c r="M258">
        <v>0.51228454876727181</v>
      </c>
      <c r="N258">
        <v>5227.8143422260327</v>
      </c>
      <c r="O258">
        <v>3714.362090151596</v>
      </c>
      <c r="P258">
        <v>366.77812414987062</v>
      </c>
      <c r="Q258" t="s">
        <v>111</v>
      </c>
      <c r="R258">
        <v>0.71050000000000002</v>
      </c>
      <c r="S258">
        <v>11.5</v>
      </c>
      <c r="T258">
        <v>2.0235418398467511</v>
      </c>
      <c r="V258">
        <v>0.32112506574400002</v>
      </c>
      <c r="W258">
        <v>31.536000000000001</v>
      </c>
    </row>
    <row r="259" spans="1:23" x14ac:dyDescent="0.25">
      <c r="A259" t="s">
        <v>98</v>
      </c>
      <c r="B259" t="s">
        <v>1374</v>
      </c>
      <c r="D259" t="s">
        <v>100</v>
      </c>
      <c r="E259" t="s">
        <v>101</v>
      </c>
      <c r="F259" t="s">
        <v>3477</v>
      </c>
      <c r="G259" t="s">
        <v>131</v>
      </c>
      <c r="H259" t="s">
        <v>133</v>
      </c>
      <c r="I259" t="s">
        <v>1375</v>
      </c>
      <c r="J259" t="s">
        <v>3755</v>
      </c>
      <c r="K259">
        <v>16.841332845916298</v>
      </c>
      <c r="L259">
        <v>10204.90341706753</v>
      </c>
      <c r="M259">
        <v>0.47392892349836552</v>
      </c>
      <c r="N259">
        <v>4836.3988908556084</v>
      </c>
      <c r="O259">
        <v>3675.6631570502618</v>
      </c>
      <c r="P259">
        <v>734.68065859703256</v>
      </c>
      <c r="Q259" t="s">
        <v>111</v>
      </c>
      <c r="R259">
        <v>0.76</v>
      </c>
      <c r="S259">
        <v>12.5</v>
      </c>
      <c r="T259">
        <v>11.357593544393531</v>
      </c>
      <c r="V259">
        <v>0.15864649865021241</v>
      </c>
      <c r="W259">
        <v>31.536000000000001</v>
      </c>
    </row>
    <row r="260" spans="1:23" x14ac:dyDescent="0.25">
      <c r="A260" t="s">
        <v>98</v>
      </c>
      <c r="B260" t="s">
        <v>1374</v>
      </c>
      <c r="D260" t="s">
        <v>100</v>
      </c>
      <c r="E260" t="s">
        <v>101</v>
      </c>
      <c r="F260" t="s">
        <v>3479</v>
      </c>
      <c r="G260" t="s">
        <v>131</v>
      </c>
      <c r="H260" t="s">
        <v>133</v>
      </c>
      <c r="I260" t="s">
        <v>1375</v>
      </c>
      <c r="J260" t="s">
        <v>3756</v>
      </c>
      <c r="K260">
        <v>16.841332845916298</v>
      </c>
      <c r="L260">
        <v>10204.90341706753</v>
      </c>
      <c r="M260">
        <v>1.378652773436265E-2</v>
      </c>
      <c r="N260">
        <v>140.6901839858937</v>
      </c>
      <c r="O260">
        <v>182.89723918166189</v>
      </c>
      <c r="P260">
        <v>18.401276146575508</v>
      </c>
      <c r="Q260" t="s">
        <v>111</v>
      </c>
      <c r="R260">
        <v>1.3</v>
      </c>
      <c r="S260">
        <v>7.5</v>
      </c>
      <c r="T260">
        <v>12</v>
      </c>
      <c r="V260">
        <v>0.31517560861857141</v>
      </c>
      <c r="W260">
        <v>31.536000000000001</v>
      </c>
    </row>
    <row r="261" spans="1:23" x14ac:dyDescent="0.25">
      <c r="A261" t="s">
        <v>98</v>
      </c>
      <c r="B261" t="s">
        <v>1374</v>
      </c>
      <c r="D261" t="s">
        <v>100</v>
      </c>
      <c r="E261" t="s">
        <v>101</v>
      </c>
      <c r="F261" t="s">
        <v>3481</v>
      </c>
      <c r="G261" t="s">
        <v>136</v>
      </c>
      <c r="H261" t="s">
        <v>138</v>
      </c>
      <c r="I261" t="s">
        <v>1375</v>
      </c>
      <c r="J261" t="s">
        <v>3757</v>
      </c>
      <c r="K261">
        <v>16.841332845916298</v>
      </c>
      <c r="L261">
        <v>2676.0621545250769</v>
      </c>
      <c r="M261">
        <v>0.99283235951346527</v>
      </c>
      <c r="N261">
        <v>2656.8811030818201</v>
      </c>
      <c r="O261">
        <v>2098.9360714346381</v>
      </c>
      <c r="P261">
        <v>402.15951155972141</v>
      </c>
      <c r="Q261" t="s">
        <v>111</v>
      </c>
      <c r="R261">
        <v>0.79</v>
      </c>
      <c r="S261">
        <v>12.5</v>
      </c>
      <c r="T261">
        <v>14</v>
      </c>
      <c r="V261">
        <v>0.1654985753147569</v>
      </c>
      <c r="W261">
        <v>31.536000000000001</v>
      </c>
    </row>
    <row r="262" spans="1:23" x14ac:dyDescent="0.25">
      <c r="A262" t="s">
        <v>98</v>
      </c>
      <c r="B262" t="s">
        <v>1374</v>
      </c>
      <c r="D262" t="s">
        <v>100</v>
      </c>
      <c r="E262" t="s">
        <v>101</v>
      </c>
      <c r="F262" t="s">
        <v>3483</v>
      </c>
      <c r="G262" t="s">
        <v>136</v>
      </c>
      <c r="H262" t="s">
        <v>138</v>
      </c>
      <c r="I262" t="s">
        <v>1375</v>
      </c>
      <c r="J262" t="s">
        <v>3758</v>
      </c>
      <c r="K262">
        <v>16.841332845916298</v>
      </c>
      <c r="L262">
        <v>2676.0621545250769</v>
      </c>
      <c r="M262">
        <v>7.1676404865347572E-3</v>
      </c>
      <c r="N262">
        <v>19.18105144325737</v>
      </c>
      <c r="O262">
        <v>14.587189622597229</v>
      </c>
      <c r="P262">
        <v>2.9033449297654639</v>
      </c>
      <c r="Q262" t="s">
        <v>111</v>
      </c>
      <c r="R262">
        <v>0.76049999999999995</v>
      </c>
      <c r="S262">
        <v>11.5</v>
      </c>
      <c r="T262">
        <v>4</v>
      </c>
      <c r="V262">
        <v>0.1593185652238894</v>
      </c>
      <c r="W262">
        <v>31.536000000000001</v>
      </c>
    </row>
    <row r="263" spans="1:23" x14ac:dyDescent="0.25">
      <c r="A263" t="s">
        <v>98</v>
      </c>
      <c r="B263" t="s">
        <v>1374</v>
      </c>
      <c r="D263" t="s">
        <v>100</v>
      </c>
      <c r="E263" t="s">
        <v>101</v>
      </c>
      <c r="F263" t="s">
        <v>3485</v>
      </c>
      <c r="G263" t="s">
        <v>3486</v>
      </c>
      <c r="H263" t="s">
        <v>3487</v>
      </c>
      <c r="I263" t="s">
        <v>1375</v>
      </c>
      <c r="J263" t="s">
        <v>3759</v>
      </c>
      <c r="K263">
        <v>16.841332845916298</v>
      </c>
      <c r="L263">
        <v>0</v>
      </c>
      <c r="M263">
        <v>0.43190544293729111</v>
      </c>
      <c r="N263">
        <v>0</v>
      </c>
      <c r="O263">
        <v>0</v>
      </c>
      <c r="P263">
        <v>0</v>
      </c>
      <c r="Q263" t="s">
        <v>111</v>
      </c>
      <c r="R263">
        <v>0.71050000000000002</v>
      </c>
      <c r="S263">
        <v>11.5</v>
      </c>
      <c r="T263">
        <v>2.0235418398467511</v>
      </c>
      <c r="V263">
        <v>0.32112506574400002</v>
      </c>
      <c r="W263">
        <v>31.536000000000001</v>
      </c>
    </row>
    <row r="264" spans="1:23" x14ac:dyDescent="0.25">
      <c r="A264" t="s">
        <v>98</v>
      </c>
      <c r="B264" t="s">
        <v>1374</v>
      </c>
      <c r="D264" t="s">
        <v>100</v>
      </c>
      <c r="E264" t="s">
        <v>101</v>
      </c>
      <c r="F264" t="s">
        <v>3489</v>
      </c>
      <c r="G264" t="s">
        <v>3486</v>
      </c>
      <c r="H264" t="s">
        <v>3487</v>
      </c>
      <c r="I264" t="s">
        <v>1375</v>
      </c>
      <c r="J264" t="s">
        <v>3760</v>
      </c>
      <c r="K264">
        <v>16.841332845916298</v>
      </c>
      <c r="L264">
        <v>0</v>
      </c>
      <c r="M264">
        <v>7.8313114481898413E-2</v>
      </c>
      <c r="N264">
        <v>0</v>
      </c>
      <c r="O264">
        <v>0</v>
      </c>
      <c r="P264">
        <v>0</v>
      </c>
      <c r="Q264" t="s">
        <v>111</v>
      </c>
      <c r="R264">
        <v>0.76</v>
      </c>
      <c r="S264">
        <v>12.5</v>
      </c>
      <c r="T264">
        <v>11.357593544393531</v>
      </c>
      <c r="V264">
        <v>0.15864649865021241</v>
      </c>
      <c r="W264">
        <v>31.536000000000001</v>
      </c>
    </row>
    <row r="265" spans="1:23" x14ac:dyDescent="0.25">
      <c r="A265" t="s">
        <v>98</v>
      </c>
      <c r="B265" t="s">
        <v>1374</v>
      </c>
      <c r="D265" t="s">
        <v>100</v>
      </c>
      <c r="E265" t="s">
        <v>101</v>
      </c>
      <c r="F265" t="s">
        <v>3491</v>
      </c>
      <c r="G265" t="s">
        <v>3486</v>
      </c>
      <c r="H265" t="s">
        <v>3487</v>
      </c>
      <c r="I265" t="s">
        <v>1375</v>
      </c>
      <c r="J265" t="s">
        <v>3761</v>
      </c>
      <c r="K265">
        <v>16.841332845916298</v>
      </c>
      <c r="L265">
        <v>0</v>
      </c>
      <c r="M265">
        <v>0.48978144258081052</v>
      </c>
      <c r="N265">
        <v>0</v>
      </c>
      <c r="O265">
        <v>0</v>
      </c>
      <c r="P265">
        <v>0</v>
      </c>
      <c r="Q265" t="s">
        <v>111</v>
      </c>
      <c r="R265">
        <v>1.3</v>
      </c>
      <c r="S265">
        <v>7.5</v>
      </c>
      <c r="T265">
        <v>12</v>
      </c>
      <c r="V265">
        <v>0.31517560861857141</v>
      </c>
      <c r="W265">
        <v>31.536000000000001</v>
      </c>
    </row>
    <row r="266" spans="1:23" x14ac:dyDescent="0.25">
      <c r="A266" t="s">
        <v>98</v>
      </c>
      <c r="B266" t="s">
        <v>1374</v>
      </c>
      <c r="D266" t="s">
        <v>100</v>
      </c>
      <c r="E266" t="s">
        <v>101</v>
      </c>
      <c r="F266" t="s">
        <v>3493</v>
      </c>
      <c r="G266" t="s">
        <v>3494</v>
      </c>
      <c r="H266" t="s">
        <v>3495</v>
      </c>
      <c r="I266" t="s">
        <v>1375</v>
      </c>
      <c r="J266" t="s">
        <v>3762</v>
      </c>
      <c r="K266">
        <v>16.841332845916298</v>
      </c>
      <c r="L266">
        <v>460.80364685523051</v>
      </c>
      <c r="M266">
        <v>1</v>
      </c>
      <c r="N266">
        <v>460.80364685523051</v>
      </c>
      <c r="O266">
        <v>431.81909746803638</v>
      </c>
      <c r="P266">
        <v>58.604599921269603</v>
      </c>
      <c r="Q266" t="s">
        <v>111</v>
      </c>
      <c r="R266">
        <v>0.93709999999999993</v>
      </c>
      <c r="S266">
        <v>12.5</v>
      </c>
      <c r="T266">
        <v>1</v>
      </c>
      <c r="V266">
        <v>0.23364878821327439</v>
      </c>
      <c r="W266">
        <v>31.536000000000001</v>
      </c>
    </row>
    <row r="267" spans="1:23" x14ac:dyDescent="0.25">
      <c r="A267" t="s">
        <v>98</v>
      </c>
      <c r="B267" t="s">
        <v>1374</v>
      </c>
      <c r="D267" t="s">
        <v>100</v>
      </c>
      <c r="E267" t="s">
        <v>142</v>
      </c>
      <c r="F267" t="s">
        <v>3497</v>
      </c>
      <c r="G267" t="s">
        <v>104</v>
      </c>
      <c r="H267" t="s">
        <v>106</v>
      </c>
      <c r="I267" t="s">
        <v>1387</v>
      </c>
      <c r="J267" t="s">
        <v>3763</v>
      </c>
      <c r="K267">
        <v>16.841332845916298</v>
      </c>
      <c r="L267">
        <v>3009.6992809182011</v>
      </c>
      <c r="M267">
        <v>1.416603023636518E-2</v>
      </c>
      <c r="N267">
        <v>42.635491015853759</v>
      </c>
      <c r="O267">
        <v>142.4515233237787</v>
      </c>
      <c r="P267">
        <v>38.757117528002652</v>
      </c>
      <c r="Q267" t="s">
        <v>111</v>
      </c>
      <c r="R267">
        <v>3.3411488862837051</v>
      </c>
      <c r="S267">
        <v>9</v>
      </c>
      <c r="T267">
        <v>8</v>
      </c>
      <c r="V267">
        <v>0.116549125953542</v>
      </c>
      <c r="W267">
        <v>31.536000000000001</v>
      </c>
    </row>
    <row r="268" spans="1:23" x14ac:dyDescent="0.25">
      <c r="A268" t="s">
        <v>98</v>
      </c>
      <c r="B268" t="s">
        <v>1374</v>
      </c>
      <c r="D268" t="s">
        <v>100</v>
      </c>
      <c r="E268" t="s">
        <v>142</v>
      </c>
      <c r="F268" t="s">
        <v>3499</v>
      </c>
      <c r="G268" t="s">
        <v>104</v>
      </c>
      <c r="H268" t="s">
        <v>106</v>
      </c>
      <c r="I268" t="s">
        <v>1387</v>
      </c>
      <c r="J268" t="s">
        <v>3764</v>
      </c>
      <c r="K268">
        <v>16.841332845916298</v>
      </c>
      <c r="L268">
        <v>3009.6992809182011</v>
      </c>
      <c r="M268">
        <v>0.27980361553526129</v>
      </c>
      <c r="N268">
        <v>842.12474047478872</v>
      </c>
      <c r="O268">
        <v>2147.2700006244609</v>
      </c>
      <c r="P268">
        <v>411.24324083742101</v>
      </c>
      <c r="Q268" t="s">
        <v>111</v>
      </c>
      <c r="R268">
        <v>2.5498241500586158</v>
      </c>
      <c r="S268">
        <v>5</v>
      </c>
      <c r="T268">
        <v>0</v>
      </c>
      <c r="V268">
        <v>0.16556985815530489</v>
      </c>
      <c r="W268">
        <v>31.536000000000001</v>
      </c>
    </row>
    <row r="269" spans="1:23" x14ac:dyDescent="0.25">
      <c r="A269" t="s">
        <v>98</v>
      </c>
      <c r="B269" t="s">
        <v>1374</v>
      </c>
      <c r="D269" t="s">
        <v>100</v>
      </c>
      <c r="E269" t="s">
        <v>142</v>
      </c>
      <c r="F269" t="s">
        <v>3501</v>
      </c>
      <c r="G269" t="s">
        <v>104</v>
      </c>
      <c r="H269" t="s">
        <v>106</v>
      </c>
      <c r="I269" t="s">
        <v>1387</v>
      </c>
      <c r="J269" t="s">
        <v>3765</v>
      </c>
      <c r="K269">
        <v>16.841332845916298</v>
      </c>
      <c r="L269">
        <v>3009.6992809182011</v>
      </c>
      <c r="M269">
        <v>0.6602856027473194</v>
      </c>
      <c r="N269">
        <v>1987.261103789248</v>
      </c>
      <c r="O269">
        <v>6077.5608454740241</v>
      </c>
      <c r="P269">
        <v>777.74747647478557</v>
      </c>
      <c r="Q269" t="s">
        <v>111</v>
      </c>
      <c r="R269">
        <v>3.058259850145268</v>
      </c>
      <c r="S269">
        <v>9</v>
      </c>
      <c r="T269">
        <v>8</v>
      </c>
      <c r="V269">
        <v>0.24779018384240509</v>
      </c>
      <c r="W269">
        <v>31.536000000000001</v>
      </c>
    </row>
    <row r="270" spans="1:23" x14ac:dyDescent="0.25">
      <c r="A270" t="s">
        <v>98</v>
      </c>
      <c r="B270" t="s">
        <v>1374</v>
      </c>
      <c r="D270" t="s">
        <v>100</v>
      </c>
      <c r="E270" t="s">
        <v>142</v>
      </c>
      <c r="F270" t="s">
        <v>3503</v>
      </c>
      <c r="G270" t="s">
        <v>104</v>
      </c>
      <c r="H270" t="s">
        <v>106</v>
      </c>
      <c r="I270" t="s">
        <v>1387</v>
      </c>
      <c r="J270" t="s">
        <v>3766</v>
      </c>
      <c r="K270">
        <v>16.841332845916298</v>
      </c>
      <c r="L270">
        <v>3009.6992809182011</v>
      </c>
      <c r="M270">
        <v>3.6277826053827247E-2</v>
      </c>
      <c r="N270">
        <v>109.18534698747941</v>
      </c>
      <c r="O270">
        <v>297.60367144887419</v>
      </c>
      <c r="P270">
        <v>50.04246250674624</v>
      </c>
      <c r="Q270" t="s">
        <v>111</v>
      </c>
      <c r="R270">
        <v>2.7256740914419701</v>
      </c>
      <c r="S270">
        <v>10.5</v>
      </c>
      <c r="T270">
        <v>14</v>
      </c>
      <c r="V270">
        <v>0.18857885968293869</v>
      </c>
      <c r="W270">
        <v>31.536000000000001</v>
      </c>
    </row>
    <row r="271" spans="1:23" x14ac:dyDescent="0.25">
      <c r="A271" t="s">
        <v>98</v>
      </c>
      <c r="B271" t="s">
        <v>1374</v>
      </c>
      <c r="D271" t="s">
        <v>100</v>
      </c>
      <c r="E271" t="s">
        <v>142</v>
      </c>
      <c r="F271" t="s">
        <v>3505</v>
      </c>
      <c r="G271" t="s">
        <v>104</v>
      </c>
      <c r="H271" t="s">
        <v>106</v>
      </c>
      <c r="I271" t="s">
        <v>1387</v>
      </c>
      <c r="J271" t="s">
        <v>3767</v>
      </c>
      <c r="K271">
        <v>16.841332845916298</v>
      </c>
      <c r="L271">
        <v>3009.6992809182011</v>
      </c>
      <c r="M271">
        <v>0</v>
      </c>
      <c r="N271">
        <v>0</v>
      </c>
      <c r="O271">
        <v>0</v>
      </c>
      <c r="P271">
        <v>0</v>
      </c>
      <c r="Q271" t="s">
        <v>111</v>
      </c>
      <c r="R271">
        <v>2.6963657678780768</v>
      </c>
      <c r="S271">
        <v>10.5</v>
      </c>
      <c r="T271">
        <v>14</v>
      </c>
      <c r="V271">
        <v>0.1159432860673217</v>
      </c>
      <c r="W271">
        <v>31.536000000000001</v>
      </c>
    </row>
    <row r="272" spans="1:23" x14ac:dyDescent="0.25">
      <c r="A272" t="s">
        <v>98</v>
      </c>
      <c r="B272" t="s">
        <v>1374</v>
      </c>
      <c r="D272" t="s">
        <v>100</v>
      </c>
      <c r="E272" t="s">
        <v>142</v>
      </c>
      <c r="F272" t="s">
        <v>3507</v>
      </c>
      <c r="G272" t="s">
        <v>104</v>
      </c>
      <c r="H272" t="s">
        <v>106</v>
      </c>
      <c r="I272" t="s">
        <v>1387</v>
      </c>
      <c r="J272" t="s">
        <v>3768</v>
      </c>
      <c r="K272">
        <v>16.841332845916298</v>
      </c>
      <c r="L272">
        <v>3009.6992809182011</v>
      </c>
      <c r="M272">
        <v>9.4669254272271974E-3</v>
      </c>
      <c r="N272">
        <v>28.49259865083193</v>
      </c>
      <c r="O272">
        <v>17.095559190499159</v>
      </c>
      <c r="P272">
        <v>31.838656354806609</v>
      </c>
      <c r="Q272" t="s">
        <v>111</v>
      </c>
      <c r="R272">
        <v>0.6</v>
      </c>
      <c r="S272">
        <v>7.5</v>
      </c>
      <c r="T272">
        <v>12</v>
      </c>
      <c r="V272">
        <v>1.7026366305656741E-2</v>
      </c>
      <c r="W272">
        <v>31.536000000000001</v>
      </c>
    </row>
    <row r="273" spans="1:23" x14ac:dyDescent="0.25">
      <c r="A273" t="s">
        <v>98</v>
      </c>
      <c r="B273" t="s">
        <v>1374</v>
      </c>
      <c r="D273" t="s">
        <v>100</v>
      </c>
      <c r="E273" t="s">
        <v>142</v>
      </c>
      <c r="F273" t="s">
        <v>3509</v>
      </c>
      <c r="G273" t="s">
        <v>104</v>
      </c>
      <c r="H273" t="s">
        <v>106</v>
      </c>
      <c r="I273" t="s">
        <v>1387</v>
      </c>
      <c r="J273" t="s">
        <v>3769</v>
      </c>
      <c r="K273">
        <v>16.841332845916298</v>
      </c>
      <c r="L273">
        <v>3009.6992809182011</v>
      </c>
      <c r="M273">
        <v>0</v>
      </c>
      <c r="N273">
        <v>0</v>
      </c>
      <c r="O273">
        <v>0</v>
      </c>
      <c r="P273">
        <v>0</v>
      </c>
      <c r="Q273" t="s">
        <v>111</v>
      </c>
      <c r="R273">
        <v>1</v>
      </c>
      <c r="S273">
        <v>11.5</v>
      </c>
      <c r="T273">
        <v>10</v>
      </c>
      <c r="V273">
        <v>0</v>
      </c>
      <c r="W273">
        <v>31.536000000000001</v>
      </c>
    </row>
    <row r="274" spans="1:23" x14ac:dyDescent="0.25">
      <c r="A274" t="s">
        <v>98</v>
      </c>
      <c r="B274" t="s">
        <v>1374</v>
      </c>
      <c r="D274" t="s">
        <v>100</v>
      </c>
      <c r="E274" t="s">
        <v>142</v>
      </c>
      <c r="F274" t="s">
        <v>3511</v>
      </c>
      <c r="G274" t="s">
        <v>104</v>
      </c>
      <c r="H274" t="s">
        <v>106</v>
      </c>
      <c r="I274" t="s">
        <v>1387</v>
      </c>
      <c r="J274" t="s">
        <v>3770</v>
      </c>
      <c r="K274">
        <v>16.841332845916298</v>
      </c>
      <c r="L274">
        <v>3009.6992809182011</v>
      </c>
      <c r="M274">
        <v>0</v>
      </c>
      <c r="N274">
        <v>0</v>
      </c>
      <c r="O274">
        <v>0</v>
      </c>
      <c r="P274">
        <v>0</v>
      </c>
      <c r="Q274" t="s">
        <v>111</v>
      </c>
      <c r="R274">
        <v>1</v>
      </c>
      <c r="S274">
        <v>12.5</v>
      </c>
      <c r="T274">
        <v>1</v>
      </c>
      <c r="V274">
        <v>0</v>
      </c>
      <c r="W274">
        <v>31.536000000000001</v>
      </c>
    </row>
    <row r="275" spans="1:23" x14ac:dyDescent="0.25">
      <c r="A275" t="s">
        <v>98</v>
      </c>
      <c r="B275" t="s">
        <v>1374</v>
      </c>
      <c r="D275" t="s">
        <v>100</v>
      </c>
      <c r="E275" t="s">
        <v>243</v>
      </c>
      <c r="F275" t="s">
        <v>104</v>
      </c>
      <c r="G275" t="s">
        <v>104</v>
      </c>
      <c r="H275" t="s">
        <v>106</v>
      </c>
      <c r="I275" t="s">
        <v>1431</v>
      </c>
      <c r="J275" t="s">
        <v>3771</v>
      </c>
      <c r="K275">
        <v>16.841332845916298</v>
      </c>
      <c r="L275">
        <v>1616.3990231322871</v>
      </c>
      <c r="M275">
        <v>1</v>
      </c>
      <c r="N275">
        <v>1616.3990231322871</v>
      </c>
      <c r="O275">
        <v>1616.3990231322871</v>
      </c>
      <c r="P275">
        <v>116.49017451428431</v>
      </c>
      <c r="Q275" t="s">
        <v>111</v>
      </c>
      <c r="R275">
        <v>1</v>
      </c>
      <c r="S275">
        <v>10</v>
      </c>
      <c r="T275">
        <v>97</v>
      </c>
      <c r="V275">
        <v>0.44</v>
      </c>
      <c r="W275">
        <v>31.536000000000001</v>
      </c>
    </row>
    <row r="276" spans="1:23" x14ac:dyDescent="0.25">
      <c r="A276" t="s">
        <v>98</v>
      </c>
      <c r="B276" t="s">
        <v>1374</v>
      </c>
      <c r="D276" t="s">
        <v>100</v>
      </c>
      <c r="E276" t="s">
        <v>226</v>
      </c>
      <c r="F276" t="s">
        <v>136</v>
      </c>
      <c r="G276" t="s">
        <v>136</v>
      </c>
      <c r="H276" t="s">
        <v>138</v>
      </c>
      <c r="I276" t="s">
        <v>1424</v>
      </c>
      <c r="J276" t="s">
        <v>3772</v>
      </c>
      <c r="K276">
        <v>16.841332845916298</v>
      </c>
      <c r="L276">
        <v>0.83933350647274196</v>
      </c>
      <c r="M276">
        <v>1</v>
      </c>
      <c r="N276">
        <v>0.83933350647274196</v>
      </c>
      <c r="O276">
        <v>0.65468013504873879</v>
      </c>
      <c r="P276">
        <v>4.7181297496132757E-2</v>
      </c>
      <c r="Q276" t="s">
        <v>111</v>
      </c>
      <c r="R276">
        <v>0.78</v>
      </c>
      <c r="S276">
        <v>6.5</v>
      </c>
      <c r="T276">
        <v>6</v>
      </c>
      <c r="V276">
        <v>0.44</v>
      </c>
      <c r="W276">
        <v>31.536000000000001</v>
      </c>
    </row>
    <row r="277" spans="1:23" x14ac:dyDescent="0.25">
      <c r="A277" t="s">
        <v>98</v>
      </c>
      <c r="B277" t="s">
        <v>1374</v>
      </c>
      <c r="D277" t="s">
        <v>100</v>
      </c>
      <c r="E277" t="s">
        <v>226</v>
      </c>
      <c r="F277" t="s">
        <v>131</v>
      </c>
      <c r="G277" t="s">
        <v>131</v>
      </c>
      <c r="H277" t="s">
        <v>133</v>
      </c>
      <c r="I277" t="s">
        <v>1424</v>
      </c>
      <c r="J277" t="s">
        <v>3773</v>
      </c>
      <c r="K277">
        <v>16.841332845916298</v>
      </c>
      <c r="L277">
        <v>363.06098023657012</v>
      </c>
      <c r="M277">
        <v>1</v>
      </c>
      <c r="N277">
        <v>363.06098023657012</v>
      </c>
      <c r="O277">
        <v>279.55695478215898</v>
      </c>
      <c r="P277">
        <v>20.14702928126578</v>
      </c>
      <c r="Q277" t="s">
        <v>111</v>
      </c>
      <c r="R277">
        <v>0.77</v>
      </c>
      <c r="S277">
        <v>5</v>
      </c>
      <c r="T277">
        <v>7</v>
      </c>
      <c r="V277">
        <v>0.44</v>
      </c>
      <c r="W277">
        <v>31.536000000000001</v>
      </c>
    </row>
    <row r="278" spans="1:23" x14ac:dyDescent="0.25">
      <c r="A278" t="s">
        <v>98</v>
      </c>
      <c r="B278" t="s">
        <v>1374</v>
      </c>
      <c r="D278" t="s">
        <v>100</v>
      </c>
      <c r="E278" t="s">
        <v>226</v>
      </c>
      <c r="F278" t="s">
        <v>3494</v>
      </c>
      <c r="G278" t="s">
        <v>3494</v>
      </c>
      <c r="H278" t="s">
        <v>3495</v>
      </c>
      <c r="I278" t="s">
        <v>1424</v>
      </c>
      <c r="J278" t="s">
        <v>3774</v>
      </c>
      <c r="K278">
        <v>16.841332845916298</v>
      </c>
      <c r="L278">
        <v>11.139760947669259</v>
      </c>
      <c r="M278">
        <v>1</v>
      </c>
      <c r="N278">
        <v>11.139760947669259</v>
      </c>
      <c r="O278">
        <v>10.85848198374061</v>
      </c>
      <c r="P278">
        <v>0.7825459203724322</v>
      </c>
      <c r="Q278" t="s">
        <v>111</v>
      </c>
      <c r="R278">
        <v>0.97474999999999989</v>
      </c>
      <c r="S278">
        <v>12.5</v>
      </c>
      <c r="T278">
        <v>1</v>
      </c>
      <c r="V278">
        <v>0.44</v>
      </c>
      <c r="W278">
        <v>31.536000000000001</v>
      </c>
    </row>
    <row r="279" spans="1:23" x14ac:dyDescent="0.25">
      <c r="A279" t="s">
        <v>98</v>
      </c>
      <c r="B279" t="s">
        <v>1374</v>
      </c>
      <c r="D279" t="s">
        <v>100</v>
      </c>
      <c r="E279" t="s">
        <v>226</v>
      </c>
      <c r="F279" t="s">
        <v>104</v>
      </c>
      <c r="G279" t="s">
        <v>104</v>
      </c>
      <c r="H279" t="s">
        <v>106</v>
      </c>
      <c r="I279" t="s">
        <v>1424</v>
      </c>
      <c r="J279" t="s">
        <v>3775</v>
      </c>
      <c r="K279">
        <v>16.841332845916298</v>
      </c>
      <c r="L279">
        <v>175.13862244147461</v>
      </c>
      <c r="M279">
        <v>1</v>
      </c>
      <c r="N279">
        <v>175.13862244147461</v>
      </c>
      <c r="O279">
        <v>170.7163722248273</v>
      </c>
      <c r="P279">
        <v>12.303137844255</v>
      </c>
      <c r="Q279" t="s">
        <v>111</v>
      </c>
      <c r="R279">
        <v>0.97474999999999989</v>
      </c>
      <c r="S279">
        <v>7.5</v>
      </c>
      <c r="T279">
        <v>2</v>
      </c>
      <c r="V279">
        <v>0.44</v>
      </c>
      <c r="W279">
        <v>31.536000000000001</v>
      </c>
    </row>
    <row r="280" spans="1:23" x14ac:dyDescent="0.25">
      <c r="A280" t="s">
        <v>98</v>
      </c>
      <c r="B280" t="s">
        <v>1374</v>
      </c>
      <c r="D280" t="s">
        <v>100</v>
      </c>
      <c r="E280" t="s">
        <v>284</v>
      </c>
      <c r="F280" t="s">
        <v>3518</v>
      </c>
      <c r="G280" t="s">
        <v>104</v>
      </c>
      <c r="H280" t="s">
        <v>106</v>
      </c>
      <c r="I280" t="s">
        <v>1449</v>
      </c>
      <c r="J280" t="s">
        <v>3776</v>
      </c>
      <c r="K280">
        <v>16.841332845916298</v>
      </c>
      <c r="L280">
        <v>1807.312098692172</v>
      </c>
      <c r="M280">
        <v>0.42822573649696699</v>
      </c>
      <c r="N280">
        <v>773.93755454233462</v>
      </c>
      <c r="O280">
        <v>1843.6255750951459</v>
      </c>
      <c r="P280">
        <v>3440.699425523042</v>
      </c>
      <c r="Q280" t="s">
        <v>291</v>
      </c>
      <c r="R280">
        <v>2.382137375650891</v>
      </c>
      <c r="S280">
        <v>5</v>
      </c>
      <c r="T280">
        <v>1</v>
      </c>
      <c r="V280">
        <v>0.53582872174743512</v>
      </c>
      <c r="W280">
        <v>1</v>
      </c>
    </row>
    <row r="281" spans="1:23" x14ac:dyDescent="0.25">
      <c r="A281" t="s">
        <v>98</v>
      </c>
      <c r="B281" t="s">
        <v>1374</v>
      </c>
      <c r="D281" t="s">
        <v>100</v>
      </c>
      <c r="E281" t="s">
        <v>284</v>
      </c>
      <c r="F281" t="s">
        <v>3520</v>
      </c>
      <c r="G281" t="s">
        <v>104</v>
      </c>
      <c r="H281" t="s">
        <v>106</v>
      </c>
      <c r="I281" t="s">
        <v>1449</v>
      </c>
      <c r="J281" t="s">
        <v>3777</v>
      </c>
      <c r="K281">
        <v>16.841332845916298</v>
      </c>
      <c r="L281">
        <v>1807.312098692172</v>
      </c>
      <c r="M281">
        <v>7.3301838231969729E-2</v>
      </c>
      <c r="N281">
        <v>132.4792990930153</v>
      </c>
      <c r="O281">
        <v>182.16991395557099</v>
      </c>
      <c r="P281">
        <v>856.34647995332068</v>
      </c>
      <c r="Q281" t="s">
        <v>291</v>
      </c>
      <c r="R281">
        <v>1.3750821086973539</v>
      </c>
      <c r="S281">
        <v>5</v>
      </c>
      <c r="T281">
        <v>5</v>
      </c>
      <c r="V281">
        <v>0.21272921442440099</v>
      </c>
      <c r="W281">
        <v>1</v>
      </c>
    </row>
    <row r="282" spans="1:23" x14ac:dyDescent="0.25">
      <c r="A282" t="s">
        <v>98</v>
      </c>
      <c r="B282" t="s">
        <v>1374</v>
      </c>
      <c r="D282" t="s">
        <v>100</v>
      </c>
      <c r="E282" t="s">
        <v>284</v>
      </c>
      <c r="F282" t="s">
        <v>3522</v>
      </c>
      <c r="G282" t="s">
        <v>104</v>
      </c>
      <c r="H282" t="s">
        <v>106</v>
      </c>
      <c r="I282" t="s">
        <v>1449</v>
      </c>
      <c r="J282" t="s">
        <v>3778</v>
      </c>
      <c r="K282">
        <v>16.841332845916298</v>
      </c>
      <c r="L282">
        <v>1807.312098692172</v>
      </c>
      <c r="M282">
        <v>3.5477383890091752E-2</v>
      </c>
      <c r="N282">
        <v>64.118705134509582</v>
      </c>
      <c r="O282">
        <v>21.452185952142411</v>
      </c>
      <c r="P282">
        <v>392.27744115997689</v>
      </c>
      <c r="Q282" t="s">
        <v>291</v>
      </c>
      <c r="R282">
        <v>0.33456985613074319</v>
      </c>
      <c r="S282">
        <v>0.5</v>
      </c>
      <c r="T282">
        <v>1</v>
      </c>
      <c r="V282">
        <v>5.4686259522616479E-2</v>
      </c>
      <c r="W282">
        <v>1</v>
      </c>
    </row>
    <row r="283" spans="1:23" x14ac:dyDescent="0.25">
      <c r="A283" t="s">
        <v>98</v>
      </c>
      <c r="B283" t="s">
        <v>1374</v>
      </c>
      <c r="D283" t="s">
        <v>100</v>
      </c>
      <c r="E283" t="s">
        <v>284</v>
      </c>
      <c r="F283" t="s">
        <v>285</v>
      </c>
      <c r="G283" t="s">
        <v>104</v>
      </c>
      <c r="H283" t="s">
        <v>106</v>
      </c>
      <c r="I283" t="s">
        <v>1449</v>
      </c>
      <c r="J283" t="s">
        <v>3779</v>
      </c>
      <c r="K283">
        <v>16.841332845916298</v>
      </c>
      <c r="L283">
        <v>1807.312098692172</v>
      </c>
      <c r="M283">
        <v>7.3866426722362932E-2</v>
      </c>
      <c r="N283">
        <v>133.49968670248529</v>
      </c>
      <c r="O283">
        <v>60.297710814292209</v>
      </c>
      <c r="P283">
        <v>235.23652868113169</v>
      </c>
      <c r="Q283" t="s">
        <v>291</v>
      </c>
      <c r="R283">
        <v>0.45166930577650322</v>
      </c>
      <c r="S283">
        <v>5</v>
      </c>
      <c r="T283">
        <v>37</v>
      </c>
      <c r="V283">
        <v>0.25632800803665612</v>
      </c>
      <c r="W283">
        <v>1</v>
      </c>
    </row>
    <row r="284" spans="1:23" x14ac:dyDescent="0.25">
      <c r="A284" t="s">
        <v>98</v>
      </c>
      <c r="B284" t="s">
        <v>1374</v>
      </c>
      <c r="D284" t="s">
        <v>100</v>
      </c>
      <c r="E284" t="s">
        <v>284</v>
      </c>
      <c r="F284" t="s">
        <v>3525</v>
      </c>
      <c r="G284" t="s">
        <v>104</v>
      </c>
      <c r="H284" t="s">
        <v>106</v>
      </c>
      <c r="I284" t="s">
        <v>1449</v>
      </c>
      <c r="J284" t="s">
        <v>3780</v>
      </c>
      <c r="K284">
        <v>16.841332845916298</v>
      </c>
      <c r="L284">
        <v>1807.312098692172</v>
      </c>
      <c r="M284">
        <v>5.5789597695444892E-2</v>
      </c>
      <c r="N284">
        <v>100.8292148961465</v>
      </c>
      <c r="O284">
        <v>190.82001400182349</v>
      </c>
      <c r="P284">
        <v>467.72623324350201</v>
      </c>
      <c r="Q284" t="s">
        <v>291</v>
      </c>
      <c r="R284">
        <v>1.892507188500546</v>
      </c>
      <c r="S284">
        <v>0.5</v>
      </c>
      <c r="T284">
        <v>1</v>
      </c>
      <c r="V284">
        <v>0.40797372573815222</v>
      </c>
      <c r="W284">
        <v>1</v>
      </c>
    </row>
    <row r="285" spans="1:23" x14ac:dyDescent="0.25">
      <c r="A285" t="s">
        <v>98</v>
      </c>
      <c r="B285" t="s">
        <v>1374</v>
      </c>
      <c r="D285" t="s">
        <v>100</v>
      </c>
      <c r="E285" t="s">
        <v>284</v>
      </c>
      <c r="F285" t="s">
        <v>3527</v>
      </c>
      <c r="G285" t="s">
        <v>104</v>
      </c>
      <c r="H285" t="s">
        <v>106</v>
      </c>
      <c r="I285" t="s">
        <v>1449</v>
      </c>
      <c r="J285" t="s">
        <v>3781</v>
      </c>
      <c r="K285">
        <v>16.841332845916298</v>
      </c>
      <c r="L285">
        <v>1807.312098692172</v>
      </c>
      <c r="M285">
        <v>0.33333901696316409</v>
      </c>
      <c r="N285">
        <v>602.44763832368164</v>
      </c>
      <c r="O285">
        <v>1140.136486222744</v>
      </c>
      <c r="P285">
        <v>2894.1774391721719</v>
      </c>
      <c r="Q285" t="s">
        <v>291</v>
      </c>
      <c r="R285">
        <v>1.892507188500546</v>
      </c>
      <c r="S285">
        <v>5</v>
      </c>
      <c r="T285">
        <v>2</v>
      </c>
      <c r="V285">
        <v>0.39394146011616349</v>
      </c>
      <c r="W285">
        <v>1</v>
      </c>
    </row>
    <row r="286" spans="1:23" x14ac:dyDescent="0.25">
      <c r="A286" t="s">
        <v>98</v>
      </c>
      <c r="B286" t="s">
        <v>1374</v>
      </c>
      <c r="D286" t="s">
        <v>100</v>
      </c>
      <c r="E286" t="s">
        <v>284</v>
      </c>
      <c r="F286" t="s">
        <v>3529</v>
      </c>
      <c r="G286" t="s">
        <v>104</v>
      </c>
      <c r="H286" t="s">
        <v>106</v>
      </c>
      <c r="I286" t="s">
        <v>1449</v>
      </c>
      <c r="J286" t="s">
        <v>3782</v>
      </c>
      <c r="K286">
        <v>16.841332845916298</v>
      </c>
      <c r="L286">
        <v>1807.312098692172</v>
      </c>
      <c r="M286">
        <v>0</v>
      </c>
      <c r="N286">
        <v>0</v>
      </c>
      <c r="O286">
        <v>0</v>
      </c>
      <c r="P286">
        <v>0</v>
      </c>
      <c r="Q286" t="s">
        <v>291</v>
      </c>
      <c r="R286">
        <v>0.96356118565654036</v>
      </c>
      <c r="S286">
        <v>0.5</v>
      </c>
      <c r="T286">
        <v>1</v>
      </c>
      <c r="V286">
        <v>0</v>
      </c>
      <c r="W286">
        <v>1</v>
      </c>
    </row>
    <row r="287" spans="1:23" x14ac:dyDescent="0.25">
      <c r="A287" t="s">
        <v>98</v>
      </c>
      <c r="B287" t="s">
        <v>1374</v>
      </c>
      <c r="D287" t="s">
        <v>100</v>
      </c>
      <c r="E287" t="s">
        <v>3114</v>
      </c>
      <c r="F287" t="s">
        <v>136</v>
      </c>
      <c r="G287" t="s">
        <v>136</v>
      </c>
      <c r="H287" t="s">
        <v>138</v>
      </c>
      <c r="I287" t="s">
        <v>3129</v>
      </c>
      <c r="J287" t="s">
        <v>3783</v>
      </c>
      <c r="K287">
        <v>16.841332845916298</v>
      </c>
      <c r="L287">
        <v>0</v>
      </c>
      <c r="M287">
        <v>1</v>
      </c>
      <c r="N287">
        <v>0</v>
      </c>
      <c r="O287">
        <v>0</v>
      </c>
      <c r="P287">
        <v>0</v>
      </c>
      <c r="Q287" t="s">
        <v>111</v>
      </c>
      <c r="R287">
        <v>0.45</v>
      </c>
      <c r="S287">
        <v>6</v>
      </c>
      <c r="T287">
        <v>8</v>
      </c>
      <c r="V287">
        <v>0.44</v>
      </c>
      <c r="W287">
        <v>31.536000000000001</v>
      </c>
    </row>
    <row r="288" spans="1:23" x14ac:dyDescent="0.25">
      <c r="A288" t="s">
        <v>98</v>
      </c>
      <c r="B288" t="s">
        <v>1374</v>
      </c>
      <c r="D288" t="s">
        <v>100</v>
      </c>
      <c r="E288" t="s">
        <v>3114</v>
      </c>
      <c r="F288" t="s">
        <v>131</v>
      </c>
      <c r="G288" t="s">
        <v>131</v>
      </c>
      <c r="H288" t="s">
        <v>133</v>
      </c>
      <c r="I288" t="s">
        <v>3129</v>
      </c>
      <c r="J288" t="s">
        <v>3784</v>
      </c>
      <c r="K288">
        <v>16.841332845916298</v>
      </c>
      <c r="L288">
        <v>1277.280767417669</v>
      </c>
      <c r="M288">
        <v>1</v>
      </c>
      <c r="N288">
        <v>1277.280767417669</v>
      </c>
      <c r="O288">
        <v>574.77634533795083</v>
      </c>
      <c r="P288">
        <v>41.422814426942857</v>
      </c>
      <c r="Q288" t="s">
        <v>111</v>
      </c>
      <c r="R288">
        <v>0.45</v>
      </c>
      <c r="S288">
        <v>6</v>
      </c>
      <c r="T288">
        <v>8</v>
      </c>
      <c r="V288">
        <v>0.44</v>
      </c>
      <c r="W288">
        <v>31.536000000000001</v>
      </c>
    </row>
    <row r="289" spans="1:23" x14ac:dyDescent="0.25">
      <c r="A289" t="s">
        <v>98</v>
      </c>
      <c r="B289" t="s">
        <v>1374</v>
      </c>
      <c r="D289" t="s">
        <v>100</v>
      </c>
      <c r="E289" t="s">
        <v>3114</v>
      </c>
      <c r="F289" t="s">
        <v>3494</v>
      </c>
      <c r="G289" t="s">
        <v>3494</v>
      </c>
      <c r="H289" t="s">
        <v>3495</v>
      </c>
      <c r="I289" t="s">
        <v>3129</v>
      </c>
      <c r="J289" t="s">
        <v>3785</v>
      </c>
      <c r="K289">
        <v>16.841332845916298</v>
      </c>
      <c r="L289">
        <v>0.79309123978940832</v>
      </c>
      <c r="M289">
        <v>1</v>
      </c>
      <c r="N289">
        <v>0.79309123978940832</v>
      </c>
      <c r="O289">
        <v>0.55516386785258576</v>
      </c>
      <c r="P289">
        <v>4.0009388105699248E-2</v>
      </c>
      <c r="Q289" t="s">
        <v>111</v>
      </c>
      <c r="R289">
        <v>0.7</v>
      </c>
      <c r="S289">
        <v>6</v>
      </c>
      <c r="T289">
        <v>8</v>
      </c>
      <c r="V289">
        <v>0.44</v>
      </c>
      <c r="W289">
        <v>31.536000000000001</v>
      </c>
    </row>
    <row r="290" spans="1:23" x14ac:dyDescent="0.25">
      <c r="A290" t="s">
        <v>98</v>
      </c>
      <c r="B290" t="s">
        <v>1374</v>
      </c>
      <c r="D290" t="s">
        <v>100</v>
      </c>
      <c r="E290" t="s">
        <v>3114</v>
      </c>
      <c r="F290" t="s">
        <v>104</v>
      </c>
      <c r="G290" t="s">
        <v>104</v>
      </c>
      <c r="H290" t="s">
        <v>106</v>
      </c>
      <c r="I290" t="s">
        <v>3129</v>
      </c>
      <c r="J290" t="s">
        <v>3786</v>
      </c>
      <c r="K290">
        <v>16.841332845916298</v>
      </c>
      <c r="L290">
        <v>266.12132856158968</v>
      </c>
      <c r="M290">
        <v>1</v>
      </c>
      <c r="N290">
        <v>266.12132856158968</v>
      </c>
      <c r="O290">
        <v>186.2849299931128</v>
      </c>
      <c r="P290">
        <v>13.42512813589035</v>
      </c>
      <c r="Q290" t="s">
        <v>111</v>
      </c>
      <c r="R290">
        <v>0.7</v>
      </c>
      <c r="S290">
        <v>6</v>
      </c>
      <c r="T290">
        <v>8</v>
      </c>
      <c r="V290">
        <v>0.44</v>
      </c>
      <c r="W290">
        <v>31.536000000000001</v>
      </c>
    </row>
    <row r="291" spans="1:23" x14ac:dyDescent="0.25">
      <c r="A291" t="s">
        <v>98</v>
      </c>
      <c r="B291" t="s">
        <v>1374</v>
      </c>
      <c r="D291" t="s">
        <v>100</v>
      </c>
      <c r="E291" t="s">
        <v>439</v>
      </c>
      <c r="F291" t="s">
        <v>104</v>
      </c>
      <c r="G291" t="s">
        <v>104</v>
      </c>
      <c r="H291" t="s">
        <v>106</v>
      </c>
      <c r="I291" t="s">
        <v>1520</v>
      </c>
      <c r="J291" t="s">
        <v>3787</v>
      </c>
      <c r="K291">
        <v>16.841332845916298</v>
      </c>
      <c r="L291">
        <v>535.94664418797049</v>
      </c>
      <c r="M291">
        <v>1</v>
      </c>
      <c r="N291">
        <v>535.94664418797049</v>
      </c>
      <c r="O291">
        <v>535.94664418797049</v>
      </c>
      <c r="P291">
        <v>38.624446821811908</v>
      </c>
      <c r="Q291" t="s">
        <v>111</v>
      </c>
      <c r="R291">
        <v>1</v>
      </c>
      <c r="S291">
        <v>5</v>
      </c>
      <c r="T291">
        <v>500</v>
      </c>
      <c r="V291">
        <v>0.44</v>
      </c>
      <c r="W291">
        <v>31.536000000000001</v>
      </c>
    </row>
    <row r="292" spans="1:23" x14ac:dyDescent="0.25">
      <c r="A292" t="s">
        <v>98</v>
      </c>
      <c r="B292" t="s">
        <v>1374</v>
      </c>
      <c r="D292" t="s">
        <v>100</v>
      </c>
      <c r="E292" t="s">
        <v>3149</v>
      </c>
      <c r="F292" t="s">
        <v>136</v>
      </c>
      <c r="G292" t="s">
        <v>136</v>
      </c>
      <c r="H292" t="s">
        <v>138</v>
      </c>
      <c r="I292" t="s">
        <v>3163</v>
      </c>
      <c r="J292" t="s">
        <v>3788</v>
      </c>
      <c r="K292">
        <v>16.841332845916298</v>
      </c>
      <c r="L292">
        <v>601.43713999696865</v>
      </c>
      <c r="M292">
        <v>1</v>
      </c>
      <c r="N292">
        <v>601.43713999696865</v>
      </c>
      <c r="O292">
        <v>601.43713999696865</v>
      </c>
      <c r="P292">
        <v>1366.9025909022009</v>
      </c>
      <c r="Q292" t="s">
        <v>3152</v>
      </c>
      <c r="R292">
        <v>1</v>
      </c>
      <c r="S292">
        <v>12.5</v>
      </c>
      <c r="T292">
        <v>10</v>
      </c>
      <c r="V292">
        <v>0.44</v>
      </c>
      <c r="W292">
        <v>1</v>
      </c>
    </row>
    <row r="293" spans="1:23" x14ac:dyDescent="0.25">
      <c r="A293" t="s">
        <v>98</v>
      </c>
      <c r="B293" t="s">
        <v>1374</v>
      </c>
      <c r="D293" t="s">
        <v>100</v>
      </c>
      <c r="E293" t="s">
        <v>3149</v>
      </c>
      <c r="F293" t="s">
        <v>131</v>
      </c>
      <c r="G293" t="s">
        <v>131</v>
      </c>
      <c r="H293" t="s">
        <v>133</v>
      </c>
      <c r="I293" t="s">
        <v>3163</v>
      </c>
      <c r="J293" t="s">
        <v>3789</v>
      </c>
      <c r="K293">
        <v>16.841332845916298</v>
      </c>
      <c r="L293">
        <v>1578.336552063166</v>
      </c>
      <c r="M293">
        <v>1</v>
      </c>
      <c r="N293">
        <v>1578.336552063166</v>
      </c>
      <c r="O293">
        <v>1578.336552063166</v>
      </c>
      <c r="P293">
        <v>3587.128527416286</v>
      </c>
      <c r="Q293" t="s">
        <v>3152</v>
      </c>
      <c r="R293">
        <v>1</v>
      </c>
      <c r="S293">
        <v>12.5</v>
      </c>
      <c r="T293">
        <v>10</v>
      </c>
      <c r="V293">
        <v>0.44</v>
      </c>
      <c r="W293">
        <v>1</v>
      </c>
    </row>
    <row r="294" spans="1:23" x14ac:dyDescent="0.25">
      <c r="A294" t="s">
        <v>98</v>
      </c>
      <c r="B294" t="s">
        <v>1374</v>
      </c>
      <c r="D294" t="s">
        <v>100</v>
      </c>
      <c r="E294" t="s">
        <v>3149</v>
      </c>
      <c r="F294" t="s">
        <v>3494</v>
      </c>
      <c r="G294" t="s">
        <v>3494</v>
      </c>
      <c r="H294" t="s">
        <v>3495</v>
      </c>
      <c r="I294" t="s">
        <v>3163</v>
      </c>
      <c r="J294" t="s">
        <v>3790</v>
      </c>
      <c r="K294">
        <v>16.841332845916298</v>
      </c>
      <c r="L294">
        <v>0</v>
      </c>
      <c r="M294">
        <v>1</v>
      </c>
      <c r="N294">
        <v>0</v>
      </c>
      <c r="O294">
        <v>0</v>
      </c>
      <c r="P294">
        <v>0</v>
      </c>
      <c r="Q294" t="s">
        <v>3152</v>
      </c>
      <c r="R294">
        <v>1</v>
      </c>
      <c r="S294">
        <v>12.5</v>
      </c>
      <c r="T294">
        <v>10</v>
      </c>
      <c r="V294">
        <v>0.44</v>
      </c>
      <c r="W294">
        <v>1</v>
      </c>
    </row>
    <row r="295" spans="1:23" x14ac:dyDescent="0.25">
      <c r="A295" t="s">
        <v>98</v>
      </c>
      <c r="B295" t="s">
        <v>1374</v>
      </c>
      <c r="D295" t="s">
        <v>100</v>
      </c>
      <c r="E295" t="s">
        <v>3149</v>
      </c>
      <c r="F295" t="s">
        <v>104</v>
      </c>
      <c r="G295" t="s">
        <v>104</v>
      </c>
      <c r="H295" t="s">
        <v>106</v>
      </c>
      <c r="I295" t="s">
        <v>3163</v>
      </c>
      <c r="J295" t="s">
        <v>3791</v>
      </c>
      <c r="K295">
        <v>16.841332845916298</v>
      </c>
      <c r="L295">
        <v>3396.8626160699719</v>
      </c>
      <c r="M295">
        <v>1</v>
      </c>
      <c r="N295">
        <v>3396.8626160699719</v>
      </c>
      <c r="O295">
        <v>3396.8626160699719</v>
      </c>
      <c r="P295">
        <v>7720.1423092499372</v>
      </c>
      <c r="Q295" t="s">
        <v>3152</v>
      </c>
      <c r="R295">
        <v>1</v>
      </c>
      <c r="S295">
        <v>12.5</v>
      </c>
      <c r="T295">
        <v>10</v>
      </c>
      <c r="V295">
        <v>0.44</v>
      </c>
      <c r="W295">
        <v>1</v>
      </c>
    </row>
    <row r="296" spans="1:23" x14ac:dyDescent="0.25">
      <c r="A296" t="s">
        <v>98</v>
      </c>
      <c r="B296" t="s">
        <v>1548</v>
      </c>
      <c r="D296" t="s">
        <v>100</v>
      </c>
      <c r="E296" t="s">
        <v>101</v>
      </c>
      <c r="F296" t="s">
        <v>3467</v>
      </c>
      <c r="G296" t="s">
        <v>104</v>
      </c>
      <c r="H296" t="s">
        <v>106</v>
      </c>
      <c r="I296" t="s">
        <v>1549</v>
      </c>
      <c r="J296" t="s">
        <v>3792</v>
      </c>
      <c r="K296">
        <v>8.7602804457077657</v>
      </c>
      <c r="L296">
        <v>313.63296467979143</v>
      </c>
      <c r="M296">
        <v>0.51592724865659789</v>
      </c>
      <c r="N296">
        <v>161.81179255525669</v>
      </c>
      <c r="O296">
        <v>158.57555670415161</v>
      </c>
      <c r="P296">
        <v>119.6728538311831</v>
      </c>
      <c r="Q296" t="s">
        <v>111</v>
      </c>
      <c r="R296">
        <v>0.98</v>
      </c>
      <c r="S296">
        <v>7.5</v>
      </c>
      <c r="T296">
        <v>1</v>
      </c>
      <c r="V296">
        <v>4.201786583857723E-2</v>
      </c>
      <c r="W296">
        <v>31.536000000000001</v>
      </c>
    </row>
    <row r="297" spans="1:23" x14ac:dyDescent="0.25">
      <c r="A297" t="s">
        <v>98</v>
      </c>
      <c r="B297" t="s">
        <v>1548</v>
      </c>
      <c r="D297" t="s">
        <v>100</v>
      </c>
      <c r="E297" t="s">
        <v>101</v>
      </c>
      <c r="F297" t="s">
        <v>3469</v>
      </c>
      <c r="G297" t="s">
        <v>104</v>
      </c>
      <c r="H297" t="s">
        <v>106</v>
      </c>
      <c r="I297" t="s">
        <v>1549</v>
      </c>
      <c r="J297" t="s">
        <v>3793</v>
      </c>
      <c r="K297">
        <v>8.7602804457077657</v>
      </c>
      <c r="L297">
        <v>313.63296467979143</v>
      </c>
      <c r="M297">
        <v>0.23113383266243709</v>
      </c>
      <c r="N297">
        <v>72.491189175722951</v>
      </c>
      <c r="O297">
        <v>67.931493376569975</v>
      </c>
      <c r="P297">
        <v>27.816261321925118</v>
      </c>
      <c r="Q297" t="s">
        <v>111</v>
      </c>
      <c r="R297">
        <v>0.93709999999999993</v>
      </c>
      <c r="S297">
        <v>7.5</v>
      </c>
      <c r="T297">
        <v>1</v>
      </c>
      <c r="V297">
        <v>7.7440080792584173E-2</v>
      </c>
      <c r="W297">
        <v>31.536000000000001</v>
      </c>
    </row>
    <row r="298" spans="1:23" x14ac:dyDescent="0.25">
      <c r="A298" t="s">
        <v>98</v>
      </c>
      <c r="B298" t="s">
        <v>1548</v>
      </c>
      <c r="D298" t="s">
        <v>100</v>
      </c>
      <c r="E298" t="s">
        <v>101</v>
      </c>
      <c r="F298" t="s">
        <v>3471</v>
      </c>
      <c r="G298" t="s">
        <v>104</v>
      </c>
      <c r="H298" t="s">
        <v>106</v>
      </c>
      <c r="I298" t="s">
        <v>1549</v>
      </c>
      <c r="J298" t="s">
        <v>3794</v>
      </c>
      <c r="K298">
        <v>8.7602804457077657</v>
      </c>
      <c r="L298">
        <v>313.63296467979143</v>
      </c>
      <c r="M298">
        <v>0.25293891868096491</v>
      </c>
      <c r="N298">
        <v>79.329982948811676</v>
      </c>
      <c r="O298">
        <v>245.9229471413162</v>
      </c>
      <c r="P298">
        <v>46.633917908530272</v>
      </c>
      <c r="Q298" t="s">
        <v>111</v>
      </c>
      <c r="R298">
        <v>3.1</v>
      </c>
      <c r="S298">
        <v>10.5</v>
      </c>
      <c r="T298">
        <v>14.33104807576899</v>
      </c>
      <c r="V298">
        <v>0.16722089516864361</v>
      </c>
      <c r="W298">
        <v>31.536000000000001</v>
      </c>
    </row>
    <row r="299" spans="1:23" x14ac:dyDescent="0.25">
      <c r="A299" t="s">
        <v>98</v>
      </c>
      <c r="B299" t="s">
        <v>1548</v>
      </c>
      <c r="D299" t="s">
        <v>100</v>
      </c>
      <c r="E299" t="s">
        <v>101</v>
      </c>
      <c r="F299" t="s">
        <v>3473</v>
      </c>
      <c r="G299" t="s">
        <v>104</v>
      </c>
      <c r="H299" t="s">
        <v>106</v>
      </c>
      <c r="I299" t="s">
        <v>1549</v>
      </c>
      <c r="J299" t="s">
        <v>3795</v>
      </c>
      <c r="K299">
        <v>8.7602804457077657</v>
      </c>
      <c r="L299">
        <v>313.63296467979143</v>
      </c>
      <c r="M299">
        <v>0</v>
      </c>
      <c r="N299">
        <v>0</v>
      </c>
      <c r="O299">
        <v>0</v>
      </c>
      <c r="P299">
        <v>0</v>
      </c>
      <c r="Q299" t="s">
        <v>111</v>
      </c>
      <c r="R299">
        <v>3.4</v>
      </c>
      <c r="S299">
        <v>7.2</v>
      </c>
      <c r="T299">
        <v>13.00195893970977</v>
      </c>
      <c r="V299">
        <v>0.18340356244302841</v>
      </c>
      <c r="W299">
        <v>31.536000000000001</v>
      </c>
    </row>
    <row r="300" spans="1:23" x14ac:dyDescent="0.25">
      <c r="A300" t="s">
        <v>98</v>
      </c>
      <c r="B300" t="s">
        <v>1548</v>
      </c>
      <c r="D300" t="s">
        <v>100</v>
      </c>
      <c r="E300" t="s">
        <v>101</v>
      </c>
      <c r="F300" t="s">
        <v>3475</v>
      </c>
      <c r="G300" t="s">
        <v>131</v>
      </c>
      <c r="H300" t="s">
        <v>133</v>
      </c>
      <c r="I300" t="s">
        <v>1549</v>
      </c>
      <c r="J300" t="s">
        <v>3796</v>
      </c>
      <c r="K300">
        <v>8.7602804457077657</v>
      </c>
      <c r="L300">
        <v>5002.7572410083694</v>
      </c>
      <c r="M300">
        <v>0.49281124231538231</v>
      </c>
      <c r="N300">
        <v>2465.4150109436091</v>
      </c>
      <c r="O300">
        <v>1751.6773652754341</v>
      </c>
      <c r="P300">
        <v>299.5171473852759</v>
      </c>
      <c r="Q300" t="s">
        <v>111</v>
      </c>
      <c r="R300">
        <v>0.71050000000000002</v>
      </c>
      <c r="S300">
        <v>11.5</v>
      </c>
      <c r="T300">
        <v>2.0235418398467511</v>
      </c>
      <c r="V300">
        <v>0.1854495656106914</v>
      </c>
      <c r="W300">
        <v>31.536000000000001</v>
      </c>
    </row>
    <row r="301" spans="1:23" x14ac:dyDescent="0.25">
      <c r="A301" t="s">
        <v>98</v>
      </c>
      <c r="B301" t="s">
        <v>1548</v>
      </c>
      <c r="D301" t="s">
        <v>100</v>
      </c>
      <c r="E301" t="s">
        <v>101</v>
      </c>
      <c r="F301" t="s">
        <v>3477</v>
      </c>
      <c r="G301" t="s">
        <v>131</v>
      </c>
      <c r="H301" t="s">
        <v>133</v>
      </c>
      <c r="I301" t="s">
        <v>1549</v>
      </c>
      <c r="J301" t="s">
        <v>3797</v>
      </c>
      <c r="K301">
        <v>8.7602804457077657</v>
      </c>
      <c r="L301">
        <v>5002.7572410083694</v>
      </c>
      <c r="M301">
        <v>0.47294065759483978</v>
      </c>
      <c r="N301">
        <v>2366.0072993498452</v>
      </c>
      <c r="O301">
        <v>1798.1655475058819</v>
      </c>
      <c r="P301">
        <v>512.55054184144376</v>
      </c>
      <c r="Q301" t="s">
        <v>111</v>
      </c>
      <c r="R301">
        <v>0.76</v>
      </c>
      <c r="S301">
        <v>12.5</v>
      </c>
      <c r="T301">
        <v>11.357593544393531</v>
      </c>
      <c r="V301">
        <v>0.1112465031427525</v>
      </c>
      <c r="W301">
        <v>31.536000000000001</v>
      </c>
    </row>
    <row r="302" spans="1:23" x14ac:dyDescent="0.25">
      <c r="A302" t="s">
        <v>98</v>
      </c>
      <c r="B302" t="s">
        <v>1548</v>
      </c>
      <c r="D302" t="s">
        <v>100</v>
      </c>
      <c r="E302" t="s">
        <v>101</v>
      </c>
      <c r="F302" t="s">
        <v>3479</v>
      </c>
      <c r="G302" t="s">
        <v>131</v>
      </c>
      <c r="H302" t="s">
        <v>133</v>
      </c>
      <c r="I302" t="s">
        <v>1549</v>
      </c>
      <c r="J302" t="s">
        <v>3798</v>
      </c>
      <c r="K302">
        <v>8.7602804457077657</v>
      </c>
      <c r="L302">
        <v>5002.7572410083694</v>
      </c>
      <c r="M302">
        <v>3.4248100089777862E-2</v>
      </c>
      <c r="N302">
        <v>171.33493071491549</v>
      </c>
      <c r="O302">
        <v>222.73540992939019</v>
      </c>
      <c r="P302">
        <v>18.819476109798419</v>
      </c>
      <c r="Q302" t="s">
        <v>111</v>
      </c>
      <c r="R302">
        <v>1.3</v>
      </c>
      <c r="S302">
        <v>7.5</v>
      </c>
      <c r="T302">
        <v>12</v>
      </c>
      <c r="V302">
        <v>0.37529703138772191</v>
      </c>
      <c r="W302">
        <v>31.536000000000001</v>
      </c>
    </row>
    <row r="303" spans="1:23" x14ac:dyDescent="0.25">
      <c r="A303" t="s">
        <v>98</v>
      </c>
      <c r="B303" t="s">
        <v>1548</v>
      </c>
      <c r="D303" t="s">
        <v>100</v>
      </c>
      <c r="E303" t="s">
        <v>101</v>
      </c>
      <c r="F303" t="s">
        <v>3481</v>
      </c>
      <c r="G303" t="s">
        <v>136</v>
      </c>
      <c r="H303" t="s">
        <v>138</v>
      </c>
      <c r="I303" t="s">
        <v>1549</v>
      </c>
      <c r="J303" t="s">
        <v>3799</v>
      </c>
      <c r="K303">
        <v>8.7602804457077657</v>
      </c>
      <c r="L303">
        <v>165.27560789915469</v>
      </c>
      <c r="M303">
        <v>0.78819473194106859</v>
      </c>
      <c r="N303">
        <v>130.26936346447141</v>
      </c>
      <c r="O303">
        <v>102.9127971369324</v>
      </c>
      <c r="P303">
        <v>154.66731423788451</v>
      </c>
      <c r="Q303" t="s">
        <v>111</v>
      </c>
      <c r="R303">
        <v>0.79</v>
      </c>
      <c r="S303">
        <v>12.5</v>
      </c>
      <c r="T303">
        <v>14</v>
      </c>
      <c r="V303">
        <v>2.1099114610992328E-2</v>
      </c>
      <c r="W303">
        <v>31.536000000000001</v>
      </c>
    </row>
    <row r="304" spans="1:23" x14ac:dyDescent="0.25">
      <c r="A304" t="s">
        <v>98</v>
      </c>
      <c r="B304" t="s">
        <v>1548</v>
      </c>
      <c r="D304" t="s">
        <v>100</v>
      </c>
      <c r="E304" t="s">
        <v>101</v>
      </c>
      <c r="F304" t="s">
        <v>3483</v>
      </c>
      <c r="G304" t="s">
        <v>136</v>
      </c>
      <c r="H304" t="s">
        <v>138</v>
      </c>
      <c r="I304" t="s">
        <v>1549</v>
      </c>
      <c r="J304" t="s">
        <v>3800</v>
      </c>
      <c r="K304">
        <v>8.7602804457077657</v>
      </c>
      <c r="L304">
        <v>165.27560789915469</v>
      </c>
      <c r="M304">
        <v>0.21180526805893141</v>
      </c>
      <c r="N304">
        <v>35.00624443468331</v>
      </c>
      <c r="O304">
        <v>26.62224889257666</v>
      </c>
      <c r="P304">
        <v>41.562510664635397</v>
      </c>
      <c r="Q304" t="s">
        <v>111</v>
      </c>
      <c r="R304">
        <v>0.76049999999999995</v>
      </c>
      <c r="S304">
        <v>11.5</v>
      </c>
      <c r="T304">
        <v>4</v>
      </c>
      <c r="V304">
        <v>2.031123628058186E-2</v>
      </c>
      <c r="W304">
        <v>31.536000000000001</v>
      </c>
    </row>
    <row r="305" spans="1:23" x14ac:dyDescent="0.25">
      <c r="A305" t="s">
        <v>98</v>
      </c>
      <c r="B305" t="s">
        <v>1548</v>
      </c>
      <c r="D305" t="s">
        <v>100</v>
      </c>
      <c r="E305" t="s">
        <v>101</v>
      </c>
      <c r="F305" t="s">
        <v>3485</v>
      </c>
      <c r="G305" t="s">
        <v>3486</v>
      </c>
      <c r="H305" t="s">
        <v>3487</v>
      </c>
      <c r="I305" t="s">
        <v>1549</v>
      </c>
      <c r="J305" t="s">
        <v>3801</v>
      </c>
      <c r="K305">
        <v>8.7602804457077657</v>
      </c>
      <c r="L305">
        <v>0</v>
      </c>
      <c r="M305">
        <v>0.63147894496513302</v>
      </c>
      <c r="N305">
        <v>0</v>
      </c>
      <c r="O305">
        <v>0</v>
      </c>
      <c r="P305">
        <v>0</v>
      </c>
      <c r="Q305" t="s">
        <v>111</v>
      </c>
      <c r="R305">
        <v>0.71050000000000002</v>
      </c>
      <c r="S305">
        <v>11.5</v>
      </c>
      <c r="T305">
        <v>2.0235418398467511</v>
      </c>
      <c r="V305">
        <v>0.1854495656106914</v>
      </c>
      <c r="W305">
        <v>31.536000000000001</v>
      </c>
    </row>
    <row r="306" spans="1:23" x14ac:dyDescent="0.25">
      <c r="A306" t="s">
        <v>98</v>
      </c>
      <c r="B306" t="s">
        <v>1548</v>
      </c>
      <c r="D306" t="s">
        <v>100</v>
      </c>
      <c r="E306" t="s">
        <v>101</v>
      </c>
      <c r="F306" t="s">
        <v>3489</v>
      </c>
      <c r="G306" t="s">
        <v>3486</v>
      </c>
      <c r="H306" t="s">
        <v>3487</v>
      </c>
      <c r="I306" t="s">
        <v>1549</v>
      </c>
      <c r="J306" t="s">
        <v>3802</v>
      </c>
      <c r="K306">
        <v>8.7602804457077657</v>
      </c>
      <c r="L306">
        <v>0</v>
      </c>
      <c r="M306">
        <v>2.4557284500139592E-2</v>
      </c>
      <c r="N306">
        <v>0</v>
      </c>
      <c r="O306">
        <v>0</v>
      </c>
      <c r="P306">
        <v>0</v>
      </c>
      <c r="Q306" t="s">
        <v>111</v>
      </c>
      <c r="R306">
        <v>0.76</v>
      </c>
      <c r="S306">
        <v>12.5</v>
      </c>
      <c r="T306">
        <v>11.357593544393531</v>
      </c>
      <c r="V306">
        <v>0.1112465031427525</v>
      </c>
      <c r="W306">
        <v>31.536000000000001</v>
      </c>
    </row>
    <row r="307" spans="1:23" x14ac:dyDescent="0.25">
      <c r="A307" t="s">
        <v>98</v>
      </c>
      <c r="B307" t="s">
        <v>1548</v>
      </c>
      <c r="D307" t="s">
        <v>100</v>
      </c>
      <c r="E307" t="s">
        <v>101</v>
      </c>
      <c r="F307" t="s">
        <v>3491</v>
      </c>
      <c r="G307" t="s">
        <v>3486</v>
      </c>
      <c r="H307" t="s">
        <v>3487</v>
      </c>
      <c r="I307" t="s">
        <v>1549</v>
      </c>
      <c r="J307" t="s">
        <v>3803</v>
      </c>
      <c r="K307">
        <v>8.7602804457077657</v>
      </c>
      <c r="L307">
        <v>0</v>
      </c>
      <c r="M307">
        <v>0.34396377053472738</v>
      </c>
      <c r="N307">
        <v>0</v>
      </c>
      <c r="O307">
        <v>0</v>
      </c>
      <c r="P307">
        <v>0</v>
      </c>
      <c r="Q307" t="s">
        <v>111</v>
      </c>
      <c r="R307">
        <v>1.3</v>
      </c>
      <c r="S307">
        <v>7.5</v>
      </c>
      <c r="T307">
        <v>12</v>
      </c>
      <c r="V307">
        <v>0.37529703138772191</v>
      </c>
      <c r="W307">
        <v>31.536000000000001</v>
      </c>
    </row>
    <row r="308" spans="1:23" x14ac:dyDescent="0.25">
      <c r="A308" t="s">
        <v>98</v>
      </c>
      <c r="B308" t="s">
        <v>1548</v>
      </c>
      <c r="D308" t="s">
        <v>100</v>
      </c>
      <c r="E308" t="s">
        <v>101</v>
      </c>
      <c r="F308" t="s">
        <v>3493</v>
      </c>
      <c r="G308" t="s">
        <v>3494</v>
      </c>
      <c r="H308" t="s">
        <v>3495</v>
      </c>
      <c r="I308" t="s">
        <v>1549</v>
      </c>
      <c r="J308" t="s">
        <v>3804</v>
      </c>
      <c r="K308">
        <v>8.7602804457077657</v>
      </c>
      <c r="L308">
        <v>121.2240398850029</v>
      </c>
      <c r="M308">
        <v>1</v>
      </c>
      <c r="N308">
        <v>121.2240398850029</v>
      </c>
      <c r="O308">
        <v>113.5990477762362</v>
      </c>
      <c r="P308">
        <v>5.9555277101760797</v>
      </c>
      <c r="Q308" t="s">
        <v>111</v>
      </c>
      <c r="R308">
        <v>0.93709999999999993</v>
      </c>
      <c r="S308">
        <v>12.5</v>
      </c>
      <c r="T308">
        <v>1</v>
      </c>
      <c r="V308">
        <v>0.60485020804842882</v>
      </c>
      <c r="W308">
        <v>31.536000000000001</v>
      </c>
    </row>
    <row r="309" spans="1:23" x14ac:dyDescent="0.25">
      <c r="A309" t="s">
        <v>98</v>
      </c>
      <c r="B309" t="s">
        <v>1548</v>
      </c>
      <c r="D309" t="s">
        <v>100</v>
      </c>
      <c r="E309" t="s">
        <v>142</v>
      </c>
      <c r="F309" t="s">
        <v>3497</v>
      </c>
      <c r="G309" t="s">
        <v>104</v>
      </c>
      <c r="H309" t="s">
        <v>106</v>
      </c>
      <c r="I309" t="s">
        <v>1561</v>
      </c>
      <c r="J309" t="s">
        <v>3805</v>
      </c>
      <c r="K309">
        <v>8.7602804457077657</v>
      </c>
      <c r="L309">
        <v>197.8814095229944</v>
      </c>
      <c r="M309">
        <v>2.628174314741627E-2</v>
      </c>
      <c r="N309">
        <v>5.2006683787320309</v>
      </c>
      <c r="O309">
        <v>17.37620736153141</v>
      </c>
      <c r="P309">
        <v>3.4806413910727541</v>
      </c>
      <c r="Q309" t="s">
        <v>111</v>
      </c>
      <c r="R309">
        <v>3.3411488862837051</v>
      </c>
      <c r="S309">
        <v>9</v>
      </c>
      <c r="T309">
        <v>8</v>
      </c>
      <c r="V309">
        <v>0.15830298470682139</v>
      </c>
      <c r="W309">
        <v>31.536000000000001</v>
      </c>
    </row>
    <row r="310" spans="1:23" x14ac:dyDescent="0.25">
      <c r="A310" t="s">
        <v>98</v>
      </c>
      <c r="B310" t="s">
        <v>1548</v>
      </c>
      <c r="D310" t="s">
        <v>100</v>
      </c>
      <c r="E310" t="s">
        <v>142</v>
      </c>
      <c r="F310" t="s">
        <v>3499</v>
      </c>
      <c r="G310" t="s">
        <v>104</v>
      </c>
      <c r="H310" t="s">
        <v>106</v>
      </c>
      <c r="I310" t="s">
        <v>1561</v>
      </c>
      <c r="J310" t="s">
        <v>3806</v>
      </c>
      <c r="K310">
        <v>8.7602804457077657</v>
      </c>
      <c r="L310">
        <v>197.8814095229944</v>
      </c>
      <c r="M310">
        <v>0.54063463705129433</v>
      </c>
      <c r="N310">
        <v>106.9815440166626</v>
      </c>
      <c r="O310">
        <v>272.78412454424517</v>
      </c>
      <c r="P310">
        <v>31.448106963909389</v>
      </c>
      <c r="Q310" t="s">
        <v>111</v>
      </c>
      <c r="R310">
        <v>2.5498241500586158</v>
      </c>
      <c r="S310">
        <v>5</v>
      </c>
      <c r="T310">
        <v>0</v>
      </c>
      <c r="V310">
        <v>0.27505400740649388</v>
      </c>
      <c r="W310">
        <v>31.536000000000001</v>
      </c>
    </row>
    <row r="311" spans="1:23" x14ac:dyDescent="0.25">
      <c r="A311" t="s">
        <v>98</v>
      </c>
      <c r="B311" t="s">
        <v>1548</v>
      </c>
      <c r="D311" t="s">
        <v>100</v>
      </c>
      <c r="E311" t="s">
        <v>142</v>
      </c>
      <c r="F311" t="s">
        <v>3501</v>
      </c>
      <c r="G311" t="s">
        <v>104</v>
      </c>
      <c r="H311" t="s">
        <v>106</v>
      </c>
      <c r="I311" t="s">
        <v>1561</v>
      </c>
      <c r="J311" t="s">
        <v>3807</v>
      </c>
      <c r="K311">
        <v>8.7602804457077657</v>
      </c>
      <c r="L311">
        <v>197.8814095229944</v>
      </c>
      <c r="M311">
        <v>0.3072330269622805</v>
      </c>
      <c r="N311">
        <v>60.795704427312209</v>
      </c>
      <c r="O311">
        <v>185.92906191134779</v>
      </c>
      <c r="P311">
        <v>37.899633759077112</v>
      </c>
      <c r="Q311" t="s">
        <v>111</v>
      </c>
      <c r="R311">
        <v>3.058259850145268</v>
      </c>
      <c r="S311">
        <v>9</v>
      </c>
      <c r="T311">
        <v>8</v>
      </c>
      <c r="V311">
        <v>0.15556276650122691</v>
      </c>
      <c r="W311">
        <v>31.536000000000001</v>
      </c>
    </row>
    <row r="312" spans="1:23" x14ac:dyDescent="0.25">
      <c r="A312" t="s">
        <v>98</v>
      </c>
      <c r="B312" t="s">
        <v>1548</v>
      </c>
      <c r="D312" t="s">
        <v>100</v>
      </c>
      <c r="E312" t="s">
        <v>142</v>
      </c>
      <c r="F312" t="s">
        <v>3503</v>
      </c>
      <c r="G312" t="s">
        <v>104</v>
      </c>
      <c r="H312" t="s">
        <v>106</v>
      </c>
      <c r="I312" t="s">
        <v>1561</v>
      </c>
      <c r="J312" t="s">
        <v>3808</v>
      </c>
      <c r="K312">
        <v>8.7602804457077657</v>
      </c>
      <c r="L312">
        <v>197.8814095229944</v>
      </c>
      <c r="M312">
        <v>9.5285841193995746E-2</v>
      </c>
      <c r="N312">
        <v>18.855296563052079</v>
      </c>
      <c r="O312">
        <v>51.393393328365882</v>
      </c>
      <c r="P312">
        <v>2.8233584149834159</v>
      </c>
      <c r="Q312" t="s">
        <v>111</v>
      </c>
      <c r="R312">
        <v>2.7256740914419701</v>
      </c>
      <c r="S312">
        <v>10.5</v>
      </c>
      <c r="T312">
        <v>14</v>
      </c>
      <c r="V312">
        <v>0.57721109836203677</v>
      </c>
      <c r="W312">
        <v>31.536000000000001</v>
      </c>
    </row>
    <row r="313" spans="1:23" x14ac:dyDescent="0.25">
      <c r="A313" t="s">
        <v>98</v>
      </c>
      <c r="B313" t="s">
        <v>1548</v>
      </c>
      <c r="D313" t="s">
        <v>100</v>
      </c>
      <c r="E313" t="s">
        <v>142</v>
      </c>
      <c r="F313" t="s">
        <v>3505</v>
      </c>
      <c r="G313" t="s">
        <v>104</v>
      </c>
      <c r="H313" t="s">
        <v>106</v>
      </c>
      <c r="I313" t="s">
        <v>1561</v>
      </c>
      <c r="J313" t="s">
        <v>3809</v>
      </c>
      <c r="K313">
        <v>8.7602804457077657</v>
      </c>
      <c r="L313">
        <v>197.8814095229944</v>
      </c>
      <c r="M313">
        <v>2.4113397172966511E-3</v>
      </c>
      <c r="N313">
        <v>0.47715930209744017</v>
      </c>
      <c r="O313">
        <v>1.286596008000132</v>
      </c>
      <c r="P313">
        <v>0.20913888252180771</v>
      </c>
      <c r="Q313" t="s">
        <v>111</v>
      </c>
      <c r="R313">
        <v>2.6963657678780768</v>
      </c>
      <c r="S313">
        <v>10.5</v>
      </c>
      <c r="T313">
        <v>14</v>
      </c>
      <c r="V313">
        <v>0.195074637909916</v>
      </c>
      <c r="W313">
        <v>31.536000000000001</v>
      </c>
    </row>
    <row r="314" spans="1:23" x14ac:dyDescent="0.25">
      <c r="A314" t="s">
        <v>98</v>
      </c>
      <c r="B314" t="s">
        <v>1548</v>
      </c>
      <c r="D314" t="s">
        <v>100</v>
      </c>
      <c r="E314" t="s">
        <v>142</v>
      </c>
      <c r="F314" t="s">
        <v>3507</v>
      </c>
      <c r="G314" t="s">
        <v>104</v>
      </c>
      <c r="H314" t="s">
        <v>106</v>
      </c>
      <c r="I314" t="s">
        <v>1561</v>
      </c>
      <c r="J314" t="s">
        <v>3810</v>
      </c>
      <c r="K314">
        <v>8.7602804457077657</v>
      </c>
      <c r="L314">
        <v>197.8814095229944</v>
      </c>
      <c r="M314">
        <v>1.2721084245000821E-2</v>
      </c>
      <c r="N314">
        <v>2.5172660810615199</v>
      </c>
      <c r="O314">
        <v>1.510359648636912</v>
      </c>
      <c r="P314">
        <v>0.28523382492452343</v>
      </c>
      <c r="Q314" t="s">
        <v>111</v>
      </c>
      <c r="R314">
        <v>0.6</v>
      </c>
      <c r="S314">
        <v>7.5</v>
      </c>
      <c r="T314">
        <v>12</v>
      </c>
      <c r="V314">
        <v>0.16790852309196291</v>
      </c>
      <c r="W314">
        <v>31.536000000000001</v>
      </c>
    </row>
    <row r="315" spans="1:23" x14ac:dyDescent="0.25">
      <c r="A315" t="s">
        <v>98</v>
      </c>
      <c r="B315" t="s">
        <v>1548</v>
      </c>
      <c r="D315" t="s">
        <v>100</v>
      </c>
      <c r="E315" t="s">
        <v>142</v>
      </c>
      <c r="F315" t="s">
        <v>3509</v>
      </c>
      <c r="G315" t="s">
        <v>104</v>
      </c>
      <c r="H315" t="s">
        <v>106</v>
      </c>
      <c r="I315" t="s">
        <v>1561</v>
      </c>
      <c r="J315" t="s">
        <v>3811</v>
      </c>
      <c r="K315">
        <v>8.7602804457077657</v>
      </c>
      <c r="L315">
        <v>197.8814095229944</v>
      </c>
      <c r="M315">
        <v>1.5432327682716259E-2</v>
      </c>
      <c r="N315">
        <v>3.053770754076619</v>
      </c>
      <c r="O315">
        <v>3.053770754076619</v>
      </c>
      <c r="P315">
        <v>0.51967432595839247</v>
      </c>
      <c r="Q315" t="s">
        <v>111</v>
      </c>
      <c r="R315">
        <v>1</v>
      </c>
      <c r="S315">
        <v>11.5</v>
      </c>
      <c r="T315">
        <v>10</v>
      </c>
      <c r="V315">
        <v>0.18633677005168531</v>
      </c>
      <c r="W315">
        <v>31.536000000000001</v>
      </c>
    </row>
    <row r="316" spans="1:23" x14ac:dyDescent="0.25">
      <c r="A316" t="s">
        <v>98</v>
      </c>
      <c r="B316" t="s">
        <v>1548</v>
      </c>
      <c r="D316" t="s">
        <v>100</v>
      </c>
      <c r="E316" t="s">
        <v>142</v>
      </c>
      <c r="F316" t="s">
        <v>3511</v>
      </c>
      <c r="G316" t="s">
        <v>104</v>
      </c>
      <c r="H316" t="s">
        <v>106</v>
      </c>
      <c r="I316" t="s">
        <v>1561</v>
      </c>
      <c r="J316" t="s">
        <v>3812</v>
      </c>
      <c r="K316">
        <v>8.7602804457077657</v>
      </c>
      <c r="L316">
        <v>197.8814095229944</v>
      </c>
      <c r="M316">
        <v>0</v>
      </c>
      <c r="N316">
        <v>0</v>
      </c>
      <c r="O316">
        <v>0</v>
      </c>
      <c r="P316">
        <v>0</v>
      </c>
      <c r="Q316" t="s">
        <v>111</v>
      </c>
      <c r="R316">
        <v>1</v>
      </c>
      <c r="S316">
        <v>12.5</v>
      </c>
      <c r="T316">
        <v>1</v>
      </c>
      <c r="V316">
        <v>0</v>
      </c>
      <c r="W316">
        <v>31.536000000000001</v>
      </c>
    </row>
    <row r="317" spans="1:23" x14ac:dyDescent="0.25">
      <c r="A317" t="s">
        <v>98</v>
      </c>
      <c r="B317" t="s">
        <v>1548</v>
      </c>
      <c r="D317" t="s">
        <v>100</v>
      </c>
      <c r="E317" t="s">
        <v>243</v>
      </c>
      <c r="F317" t="s">
        <v>104</v>
      </c>
      <c r="G317" t="s">
        <v>104</v>
      </c>
      <c r="H317" t="s">
        <v>106</v>
      </c>
      <c r="I317" t="s">
        <v>1605</v>
      </c>
      <c r="J317" t="s">
        <v>3813</v>
      </c>
      <c r="K317">
        <v>8.7602804457077657</v>
      </c>
      <c r="L317">
        <v>448.84615922965742</v>
      </c>
      <c r="M317">
        <v>1</v>
      </c>
      <c r="N317">
        <v>448.84615922965742</v>
      </c>
      <c r="O317">
        <v>448.84615922965742</v>
      </c>
      <c r="P317">
        <v>32.347314413372992</v>
      </c>
      <c r="Q317" t="s">
        <v>111</v>
      </c>
      <c r="R317">
        <v>1</v>
      </c>
      <c r="S317">
        <v>10</v>
      </c>
      <c r="T317">
        <v>97</v>
      </c>
      <c r="V317">
        <v>0.44</v>
      </c>
      <c r="W317">
        <v>31.536000000000001</v>
      </c>
    </row>
    <row r="318" spans="1:23" x14ac:dyDescent="0.25">
      <c r="A318" t="s">
        <v>98</v>
      </c>
      <c r="B318" t="s">
        <v>1548</v>
      </c>
      <c r="D318" t="s">
        <v>100</v>
      </c>
      <c r="E318" t="s">
        <v>226</v>
      </c>
      <c r="F318" t="s">
        <v>136</v>
      </c>
      <c r="G318" t="s">
        <v>136</v>
      </c>
      <c r="H318" t="s">
        <v>138</v>
      </c>
      <c r="I318" t="s">
        <v>1598</v>
      </c>
      <c r="J318" t="s">
        <v>3814</v>
      </c>
      <c r="K318">
        <v>8.7602804457077657</v>
      </c>
      <c r="L318">
        <v>3.7707063907954619</v>
      </c>
      <c r="M318">
        <v>1</v>
      </c>
      <c r="N318">
        <v>3.7707063907954619</v>
      </c>
      <c r="O318">
        <v>2.9411509848204598</v>
      </c>
      <c r="P318">
        <v>0.2119620134579572</v>
      </c>
      <c r="Q318" t="s">
        <v>111</v>
      </c>
      <c r="R318">
        <v>0.78</v>
      </c>
      <c r="S318">
        <v>6.5</v>
      </c>
      <c r="T318">
        <v>6</v>
      </c>
      <c r="V318">
        <v>0.44</v>
      </c>
      <c r="W318">
        <v>31.536000000000001</v>
      </c>
    </row>
    <row r="319" spans="1:23" x14ac:dyDescent="0.25">
      <c r="A319" t="s">
        <v>98</v>
      </c>
      <c r="B319" t="s">
        <v>1548</v>
      </c>
      <c r="D319" t="s">
        <v>100</v>
      </c>
      <c r="E319" t="s">
        <v>226</v>
      </c>
      <c r="F319" t="s">
        <v>131</v>
      </c>
      <c r="G319" t="s">
        <v>131</v>
      </c>
      <c r="H319" t="s">
        <v>133</v>
      </c>
      <c r="I319" t="s">
        <v>1598</v>
      </c>
      <c r="J319" t="s">
        <v>3815</v>
      </c>
      <c r="K319">
        <v>8.7602804457077657</v>
      </c>
      <c r="L319">
        <v>45.070335216475037</v>
      </c>
      <c r="M319">
        <v>1</v>
      </c>
      <c r="N319">
        <v>45.070335216475037</v>
      </c>
      <c r="O319">
        <v>34.704158116685782</v>
      </c>
      <c r="P319">
        <v>2.5010491701176849</v>
      </c>
      <c r="Q319" t="s">
        <v>111</v>
      </c>
      <c r="R319">
        <v>0.77</v>
      </c>
      <c r="S319">
        <v>5</v>
      </c>
      <c r="T319">
        <v>7</v>
      </c>
      <c r="V319">
        <v>0.44</v>
      </c>
      <c r="W319">
        <v>31.536000000000001</v>
      </c>
    </row>
    <row r="320" spans="1:23" x14ac:dyDescent="0.25">
      <c r="A320" t="s">
        <v>98</v>
      </c>
      <c r="B320" t="s">
        <v>1548</v>
      </c>
      <c r="D320" t="s">
        <v>100</v>
      </c>
      <c r="E320" t="s">
        <v>226</v>
      </c>
      <c r="F320" t="s">
        <v>3494</v>
      </c>
      <c r="G320" t="s">
        <v>3494</v>
      </c>
      <c r="H320" t="s">
        <v>3495</v>
      </c>
      <c r="I320" t="s">
        <v>1598</v>
      </c>
      <c r="J320" t="s">
        <v>3816</v>
      </c>
      <c r="K320">
        <v>8.7602804457077657</v>
      </c>
      <c r="L320">
        <v>0.84231411391765909</v>
      </c>
      <c r="M320">
        <v>1</v>
      </c>
      <c r="N320">
        <v>0.84231411391765909</v>
      </c>
      <c r="O320">
        <v>0.82104568254123811</v>
      </c>
      <c r="P320">
        <v>5.9170881369433347E-2</v>
      </c>
      <c r="Q320" t="s">
        <v>111</v>
      </c>
      <c r="R320">
        <v>0.97474999999999989</v>
      </c>
      <c r="S320">
        <v>12.5</v>
      </c>
      <c r="T320">
        <v>1</v>
      </c>
      <c r="V320">
        <v>0.44</v>
      </c>
      <c r="W320">
        <v>31.536000000000001</v>
      </c>
    </row>
    <row r="321" spans="1:23" x14ac:dyDescent="0.25">
      <c r="A321" t="s">
        <v>98</v>
      </c>
      <c r="B321" t="s">
        <v>1548</v>
      </c>
      <c r="D321" t="s">
        <v>100</v>
      </c>
      <c r="E321" t="s">
        <v>226</v>
      </c>
      <c r="F321" t="s">
        <v>104</v>
      </c>
      <c r="G321" t="s">
        <v>104</v>
      </c>
      <c r="H321" t="s">
        <v>106</v>
      </c>
      <c r="I321" t="s">
        <v>1598</v>
      </c>
      <c r="J321" t="s">
        <v>3817</v>
      </c>
      <c r="K321">
        <v>8.7602804457077657</v>
      </c>
      <c r="L321">
        <v>2.126861505032398</v>
      </c>
      <c r="M321">
        <v>1</v>
      </c>
      <c r="N321">
        <v>2.126861505032398</v>
      </c>
      <c r="O321">
        <v>2.0731582520303302</v>
      </c>
      <c r="P321">
        <v>0.1494077657302427</v>
      </c>
      <c r="Q321" t="s">
        <v>111</v>
      </c>
      <c r="R321">
        <v>0.97474999999999989</v>
      </c>
      <c r="S321">
        <v>7.5</v>
      </c>
      <c r="T321">
        <v>2</v>
      </c>
      <c r="V321">
        <v>0.44</v>
      </c>
      <c r="W321">
        <v>31.536000000000001</v>
      </c>
    </row>
    <row r="322" spans="1:23" x14ac:dyDescent="0.25">
      <c r="A322" t="s">
        <v>98</v>
      </c>
      <c r="B322" t="s">
        <v>1548</v>
      </c>
      <c r="D322" t="s">
        <v>100</v>
      </c>
      <c r="E322" t="s">
        <v>284</v>
      </c>
      <c r="F322" t="s">
        <v>3518</v>
      </c>
      <c r="G322" t="s">
        <v>104</v>
      </c>
      <c r="H322" t="s">
        <v>106</v>
      </c>
      <c r="I322" t="s">
        <v>1623</v>
      </c>
      <c r="J322" t="s">
        <v>3818</v>
      </c>
      <c r="K322">
        <v>8.7602804457077657</v>
      </c>
      <c r="L322">
        <v>587.75370411424547</v>
      </c>
      <c r="M322">
        <v>0.43102708632515208</v>
      </c>
      <c r="N322">
        <v>253.3377665611788</v>
      </c>
      <c r="O322">
        <v>603.48536238930456</v>
      </c>
      <c r="P322">
        <v>1434.8095264280871</v>
      </c>
      <c r="Q322" t="s">
        <v>291</v>
      </c>
      <c r="R322">
        <v>2.382137375650891</v>
      </c>
      <c r="S322">
        <v>5</v>
      </c>
      <c r="T322">
        <v>1</v>
      </c>
      <c r="V322">
        <v>0.420603119280691</v>
      </c>
      <c r="W322">
        <v>1</v>
      </c>
    </row>
    <row r="323" spans="1:23" x14ac:dyDescent="0.25">
      <c r="A323" t="s">
        <v>98</v>
      </c>
      <c r="B323" t="s">
        <v>1548</v>
      </c>
      <c r="D323" t="s">
        <v>100</v>
      </c>
      <c r="E323" t="s">
        <v>284</v>
      </c>
      <c r="F323" t="s">
        <v>3520</v>
      </c>
      <c r="G323" t="s">
        <v>104</v>
      </c>
      <c r="H323" t="s">
        <v>106</v>
      </c>
      <c r="I323" t="s">
        <v>1623</v>
      </c>
      <c r="J323" t="s">
        <v>3819</v>
      </c>
      <c r="K323">
        <v>8.7602804457077657</v>
      </c>
      <c r="L323">
        <v>587.75370411424547</v>
      </c>
      <c r="M323">
        <v>0.24999751920922511</v>
      </c>
      <c r="N323">
        <v>146.93696793459429</v>
      </c>
      <c r="O323">
        <v>202.0503957130974</v>
      </c>
      <c r="P323">
        <v>332.70318844145203</v>
      </c>
      <c r="Q323" t="s">
        <v>291</v>
      </c>
      <c r="R323">
        <v>1.3750821086973539</v>
      </c>
      <c r="S323">
        <v>5</v>
      </c>
      <c r="T323">
        <v>5</v>
      </c>
      <c r="V323">
        <v>0.60729924669373447</v>
      </c>
      <c r="W323">
        <v>1</v>
      </c>
    </row>
    <row r="324" spans="1:23" x14ac:dyDescent="0.25">
      <c r="A324" t="s">
        <v>98</v>
      </c>
      <c r="B324" t="s">
        <v>1548</v>
      </c>
      <c r="D324" t="s">
        <v>100</v>
      </c>
      <c r="E324" t="s">
        <v>284</v>
      </c>
      <c r="F324" t="s">
        <v>3522</v>
      </c>
      <c r="G324" t="s">
        <v>104</v>
      </c>
      <c r="H324" t="s">
        <v>106</v>
      </c>
      <c r="I324" t="s">
        <v>1623</v>
      </c>
      <c r="J324" t="s">
        <v>3820</v>
      </c>
      <c r="K324">
        <v>8.7602804457077657</v>
      </c>
      <c r="L324">
        <v>587.75370411424547</v>
      </c>
      <c r="M324">
        <v>1.24423235076943E-2</v>
      </c>
      <c r="N324">
        <v>7.3130217294350741</v>
      </c>
      <c r="O324">
        <v>2.4467166278980921</v>
      </c>
      <c r="P324">
        <v>97.220998746441239</v>
      </c>
      <c r="Q324" t="s">
        <v>291</v>
      </c>
      <c r="R324">
        <v>0.33456985613074319</v>
      </c>
      <c r="S324">
        <v>0.5</v>
      </c>
      <c r="T324">
        <v>1</v>
      </c>
      <c r="V324">
        <v>2.5166544876578462E-2</v>
      </c>
      <c r="W324">
        <v>1</v>
      </c>
    </row>
    <row r="325" spans="1:23" x14ac:dyDescent="0.25">
      <c r="A325" t="s">
        <v>98</v>
      </c>
      <c r="B325" t="s">
        <v>1548</v>
      </c>
      <c r="D325" t="s">
        <v>100</v>
      </c>
      <c r="E325" t="s">
        <v>284</v>
      </c>
      <c r="F325" t="s">
        <v>285</v>
      </c>
      <c r="G325" t="s">
        <v>104</v>
      </c>
      <c r="H325" t="s">
        <v>106</v>
      </c>
      <c r="I325" t="s">
        <v>1623</v>
      </c>
      <c r="J325" t="s">
        <v>3821</v>
      </c>
      <c r="K325">
        <v>8.7602804457077657</v>
      </c>
      <c r="L325">
        <v>587.75370411424547</v>
      </c>
      <c r="M325">
        <v>8.9857240508486244E-2</v>
      </c>
      <c r="N325">
        <v>52.813925950347418</v>
      </c>
      <c r="O325">
        <v>23.85442926932507</v>
      </c>
      <c r="P325">
        <v>88.096659374524222</v>
      </c>
      <c r="Q325" t="s">
        <v>291</v>
      </c>
      <c r="R325">
        <v>0.45166930577650322</v>
      </c>
      <c r="S325">
        <v>5</v>
      </c>
      <c r="T325">
        <v>37</v>
      </c>
      <c r="V325">
        <v>0.27077563937938931</v>
      </c>
      <c r="W325">
        <v>1</v>
      </c>
    </row>
    <row r="326" spans="1:23" x14ac:dyDescent="0.25">
      <c r="A326" t="s">
        <v>98</v>
      </c>
      <c r="B326" t="s">
        <v>1548</v>
      </c>
      <c r="D326" t="s">
        <v>100</v>
      </c>
      <c r="E326" t="s">
        <v>284</v>
      </c>
      <c r="F326" t="s">
        <v>3525</v>
      </c>
      <c r="G326" t="s">
        <v>104</v>
      </c>
      <c r="H326" t="s">
        <v>106</v>
      </c>
      <c r="I326" t="s">
        <v>1623</v>
      </c>
      <c r="J326" t="s">
        <v>3822</v>
      </c>
      <c r="K326">
        <v>8.7602804457077657</v>
      </c>
      <c r="L326">
        <v>587.75370411424547</v>
      </c>
      <c r="M326">
        <v>5.545140707082704E-2</v>
      </c>
      <c r="N326">
        <v>32.591769904225458</v>
      </c>
      <c r="O326">
        <v>61.680158829702421</v>
      </c>
      <c r="P326">
        <v>155.9511565647737</v>
      </c>
      <c r="Q326" t="s">
        <v>291</v>
      </c>
      <c r="R326">
        <v>1.892507188500546</v>
      </c>
      <c r="S326">
        <v>0.5</v>
      </c>
      <c r="T326">
        <v>1</v>
      </c>
      <c r="V326">
        <v>0.39550946712013518</v>
      </c>
      <c r="W326">
        <v>1</v>
      </c>
    </row>
    <row r="327" spans="1:23" x14ac:dyDescent="0.25">
      <c r="A327" t="s">
        <v>98</v>
      </c>
      <c r="B327" t="s">
        <v>1548</v>
      </c>
      <c r="D327" t="s">
        <v>100</v>
      </c>
      <c r="E327" t="s">
        <v>284</v>
      </c>
      <c r="F327" t="s">
        <v>3527</v>
      </c>
      <c r="G327" t="s">
        <v>104</v>
      </c>
      <c r="H327" t="s">
        <v>106</v>
      </c>
      <c r="I327" t="s">
        <v>1623</v>
      </c>
      <c r="J327" t="s">
        <v>3823</v>
      </c>
      <c r="K327">
        <v>8.7602804457077657</v>
      </c>
      <c r="L327">
        <v>587.75370411424547</v>
      </c>
      <c r="M327">
        <v>0.16122442337861551</v>
      </c>
      <c r="N327">
        <v>94.760252034464585</v>
      </c>
      <c r="O327">
        <v>179.33445815934769</v>
      </c>
      <c r="P327">
        <v>717.27708588526161</v>
      </c>
      <c r="Q327" t="s">
        <v>291</v>
      </c>
      <c r="R327">
        <v>1.892507188500546</v>
      </c>
      <c r="S327">
        <v>5</v>
      </c>
      <c r="T327">
        <v>2</v>
      </c>
      <c r="V327">
        <v>0.25002117269369278</v>
      </c>
      <c r="W327">
        <v>1</v>
      </c>
    </row>
    <row r="328" spans="1:23" x14ac:dyDescent="0.25">
      <c r="A328" t="s">
        <v>98</v>
      </c>
      <c r="B328" t="s">
        <v>1548</v>
      </c>
      <c r="D328" t="s">
        <v>100</v>
      </c>
      <c r="E328" t="s">
        <v>284</v>
      </c>
      <c r="F328" t="s">
        <v>3529</v>
      </c>
      <c r="G328" t="s">
        <v>104</v>
      </c>
      <c r="H328" t="s">
        <v>106</v>
      </c>
      <c r="I328" t="s">
        <v>1623</v>
      </c>
      <c r="J328" t="s">
        <v>3824</v>
      </c>
      <c r="K328">
        <v>8.7602804457077657</v>
      </c>
      <c r="L328">
        <v>587.75370411424547</v>
      </c>
      <c r="M328">
        <v>0</v>
      </c>
      <c r="N328">
        <v>0</v>
      </c>
      <c r="O328">
        <v>0</v>
      </c>
      <c r="P328">
        <v>0</v>
      </c>
      <c r="Q328" t="s">
        <v>291</v>
      </c>
      <c r="R328">
        <v>0.96356118565654036</v>
      </c>
      <c r="S328">
        <v>0.5</v>
      </c>
      <c r="T328">
        <v>1</v>
      </c>
      <c r="V328">
        <v>0</v>
      </c>
      <c r="W328">
        <v>1</v>
      </c>
    </row>
    <row r="329" spans="1:23" x14ac:dyDescent="0.25">
      <c r="A329" t="s">
        <v>98</v>
      </c>
      <c r="B329" t="s">
        <v>1548</v>
      </c>
      <c r="D329" t="s">
        <v>100</v>
      </c>
      <c r="E329" t="s">
        <v>3114</v>
      </c>
      <c r="F329" t="s">
        <v>136</v>
      </c>
      <c r="G329" t="s">
        <v>136</v>
      </c>
      <c r="H329" t="s">
        <v>138</v>
      </c>
      <c r="I329" t="s">
        <v>3131</v>
      </c>
      <c r="J329" t="s">
        <v>3825</v>
      </c>
      <c r="K329">
        <v>8.7602804457077657</v>
      </c>
      <c r="L329">
        <v>0</v>
      </c>
      <c r="M329">
        <v>1</v>
      </c>
      <c r="N329">
        <v>0</v>
      </c>
      <c r="O329">
        <v>0</v>
      </c>
      <c r="P329">
        <v>0</v>
      </c>
      <c r="Q329" t="s">
        <v>111</v>
      </c>
      <c r="R329">
        <v>0.45</v>
      </c>
      <c r="S329">
        <v>6</v>
      </c>
      <c r="T329">
        <v>8</v>
      </c>
      <c r="V329">
        <v>0.44</v>
      </c>
      <c r="W329">
        <v>31.536000000000001</v>
      </c>
    </row>
    <row r="330" spans="1:23" x14ac:dyDescent="0.25">
      <c r="A330" t="s">
        <v>98</v>
      </c>
      <c r="B330" t="s">
        <v>1548</v>
      </c>
      <c r="D330" t="s">
        <v>100</v>
      </c>
      <c r="E330" t="s">
        <v>3114</v>
      </c>
      <c r="F330" t="s">
        <v>131</v>
      </c>
      <c r="G330" t="s">
        <v>131</v>
      </c>
      <c r="H330" t="s">
        <v>133</v>
      </c>
      <c r="I330" t="s">
        <v>3131</v>
      </c>
      <c r="J330" t="s">
        <v>3826</v>
      </c>
      <c r="K330">
        <v>8.7602804457077657</v>
      </c>
      <c r="L330">
        <v>249.95291016241299</v>
      </c>
      <c r="M330">
        <v>1</v>
      </c>
      <c r="N330">
        <v>249.95291016241299</v>
      </c>
      <c r="O330">
        <v>112.4788095730859</v>
      </c>
      <c r="P330">
        <v>8.1060901230545941</v>
      </c>
      <c r="Q330" t="s">
        <v>111</v>
      </c>
      <c r="R330">
        <v>0.45</v>
      </c>
      <c r="S330">
        <v>6</v>
      </c>
      <c r="T330">
        <v>8</v>
      </c>
      <c r="V330">
        <v>0.44</v>
      </c>
      <c r="W330">
        <v>31.536000000000001</v>
      </c>
    </row>
    <row r="331" spans="1:23" x14ac:dyDescent="0.25">
      <c r="A331" t="s">
        <v>98</v>
      </c>
      <c r="B331" t="s">
        <v>1548</v>
      </c>
      <c r="D331" t="s">
        <v>100</v>
      </c>
      <c r="E331" t="s">
        <v>3114</v>
      </c>
      <c r="F331" t="s">
        <v>3494</v>
      </c>
      <c r="G331" t="s">
        <v>3494</v>
      </c>
      <c r="H331" t="s">
        <v>3495</v>
      </c>
      <c r="I331" t="s">
        <v>3131</v>
      </c>
      <c r="J331" t="s">
        <v>3827</v>
      </c>
      <c r="K331">
        <v>8.7602804457077657</v>
      </c>
      <c r="L331">
        <v>0</v>
      </c>
      <c r="M331">
        <v>1</v>
      </c>
      <c r="N331">
        <v>0</v>
      </c>
      <c r="O331">
        <v>0</v>
      </c>
      <c r="P331">
        <v>0</v>
      </c>
      <c r="Q331" t="s">
        <v>111</v>
      </c>
      <c r="R331">
        <v>0.7</v>
      </c>
      <c r="S331">
        <v>6</v>
      </c>
      <c r="T331">
        <v>8</v>
      </c>
      <c r="V331">
        <v>0.44</v>
      </c>
      <c r="W331">
        <v>31.536000000000001</v>
      </c>
    </row>
    <row r="332" spans="1:23" x14ac:dyDescent="0.25">
      <c r="A332" t="s">
        <v>98</v>
      </c>
      <c r="B332" t="s">
        <v>1548</v>
      </c>
      <c r="D332" t="s">
        <v>100</v>
      </c>
      <c r="E332" t="s">
        <v>3114</v>
      </c>
      <c r="F332" t="s">
        <v>104</v>
      </c>
      <c r="G332" t="s">
        <v>104</v>
      </c>
      <c r="H332" t="s">
        <v>106</v>
      </c>
      <c r="I332" t="s">
        <v>3131</v>
      </c>
      <c r="J332" t="s">
        <v>3828</v>
      </c>
      <c r="K332">
        <v>8.7602804457077657</v>
      </c>
      <c r="L332">
        <v>26.493834752379819</v>
      </c>
      <c r="M332">
        <v>1</v>
      </c>
      <c r="N332">
        <v>26.493834752379819</v>
      </c>
      <c r="O332">
        <v>18.545684326665871</v>
      </c>
      <c r="P332">
        <v>1.3365449822616779</v>
      </c>
      <c r="Q332" t="s">
        <v>111</v>
      </c>
      <c r="R332">
        <v>0.7</v>
      </c>
      <c r="S332">
        <v>6</v>
      </c>
      <c r="T332">
        <v>8</v>
      </c>
      <c r="V332">
        <v>0.44</v>
      </c>
      <c r="W332">
        <v>31.536000000000001</v>
      </c>
    </row>
    <row r="333" spans="1:23" x14ac:dyDescent="0.25">
      <c r="A333" t="s">
        <v>98</v>
      </c>
      <c r="B333" t="s">
        <v>1548</v>
      </c>
      <c r="D333" t="s">
        <v>100</v>
      </c>
      <c r="E333" t="s">
        <v>439</v>
      </c>
      <c r="F333" t="s">
        <v>104</v>
      </c>
      <c r="G333" t="s">
        <v>104</v>
      </c>
      <c r="H333" t="s">
        <v>106</v>
      </c>
      <c r="I333" t="s">
        <v>1694</v>
      </c>
      <c r="J333" t="s">
        <v>3829</v>
      </c>
      <c r="K333">
        <v>8.7602804457077657</v>
      </c>
      <c r="L333">
        <v>96.220037085685405</v>
      </c>
      <c r="M333">
        <v>1</v>
      </c>
      <c r="N333">
        <v>96.220037085685405</v>
      </c>
      <c r="O333">
        <v>96.220037085685405</v>
      </c>
      <c r="P333">
        <v>6.9343576378572687</v>
      </c>
      <c r="Q333" t="s">
        <v>111</v>
      </c>
      <c r="R333">
        <v>1</v>
      </c>
      <c r="S333">
        <v>5</v>
      </c>
      <c r="T333">
        <v>500</v>
      </c>
      <c r="V333">
        <v>0.44</v>
      </c>
      <c r="W333">
        <v>31.536000000000001</v>
      </c>
    </row>
    <row r="334" spans="1:23" x14ac:dyDescent="0.25">
      <c r="A334" t="s">
        <v>98</v>
      </c>
      <c r="B334" t="s">
        <v>1548</v>
      </c>
      <c r="D334" t="s">
        <v>100</v>
      </c>
      <c r="E334" t="s">
        <v>3149</v>
      </c>
      <c r="F334" t="s">
        <v>136</v>
      </c>
      <c r="G334" t="s">
        <v>136</v>
      </c>
      <c r="H334" t="s">
        <v>138</v>
      </c>
      <c r="I334" t="s">
        <v>3165</v>
      </c>
      <c r="J334" t="s">
        <v>3830</v>
      </c>
      <c r="K334">
        <v>8.7602804457077657</v>
      </c>
      <c r="L334">
        <v>410.27220889506088</v>
      </c>
      <c r="M334">
        <v>1</v>
      </c>
      <c r="N334">
        <v>410.27220889506088</v>
      </c>
      <c r="O334">
        <v>410.27220889506088</v>
      </c>
      <c r="P334">
        <v>932.4368383978657</v>
      </c>
      <c r="Q334" t="s">
        <v>3152</v>
      </c>
      <c r="R334">
        <v>1</v>
      </c>
      <c r="S334">
        <v>12.5</v>
      </c>
      <c r="T334">
        <v>10</v>
      </c>
      <c r="V334">
        <v>0.44</v>
      </c>
      <c r="W334">
        <v>1</v>
      </c>
    </row>
    <row r="335" spans="1:23" x14ac:dyDescent="0.25">
      <c r="A335" t="s">
        <v>98</v>
      </c>
      <c r="B335" t="s">
        <v>1548</v>
      </c>
      <c r="D335" t="s">
        <v>100</v>
      </c>
      <c r="E335" t="s">
        <v>3149</v>
      </c>
      <c r="F335" t="s">
        <v>131</v>
      </c>
      <c r="G335" t="s">
        <v>131</v>
      </c>
      <c r="H335" t="s">
        <v>133</v>
      </c>
      <c r="I335" t="s">
        <v>3165</v>
      </c>
      <c r="J335" t="s">
        <v>3831</v>
      </c>
      <c r="K335">
        <v>8.7602804457077657</v>
      </c>
      <c r="L335">
        <v>1846.7629545476141</v>
      </c>
      <c r="M335">
        <v>1</v>
      </c>
      <c r="N335">
        <v>1846.7629545476141</v>
      </c>
      <c r="O335">
        <v>1846.7629545476141</v>
      </c>
      <c r="P335">
        <v>4197.1885330627592</v>
      </c>
      <c r="Q335" t="s">
        <v>3152</v>
      </c>
      <c r="R335">
        <v>1</v>
      </c>
      <c r="S335">
        <v>12.5</v>
      </c>
      <c r="T335">
        <v>10</v>
      </c>
      <c r="V335">
        <v>0.44</v>
      </c>
      <c r="W335">
        <v>1</v>
      </c>
    </row>
    <row r="336" spans="1:23" x14ac:dyDescent="0.25">
      <c r="A336" t="s">
        <v>98</v>
      </c>
      <c r="B336" t="s">
        <v>1548</v>
      </c>
      <c r="D336" t="s">
        <v>100</v>
      </c>
      <c r="E336" t="s">
        <v>3149</v>
      </c>
      <c r="F336" t="s">
        <v>3494</v>
      </c>
      <c r="G336" t="s">
        <v>3494</v>
      </c>
      <c r="H336" t="s">
        <v>3495</v>
      </c>
      <c r="I336" t="s">
        <v>3165</v>
      </c>
      <c r="J336" t="s">
        <v>3832</v>
      </c>
      <c r="K336">
        <v>8.7602804457077657</v>
      </c>
      <c r="L336">
        <v>0</v>
      </c>
      <c r="M336">
        <v>1</v>
      </c>
      <c r="N336">
        <v>0</v>
      </c>
      <c r="O336">
        <v>0</v>
      </c>
      <c r="P336">
        <v>0</v>
      </c>
      <c r="Q336" t="s">
        <v>3152</v>
      </c>
      <c r="R336">
        <v>1</v>
      </c>
      <c r="S336">
        <v>12.5</v>
      </c>
      <c r="T336">
        <v>10</v>
      </c>
      <c r="V336">
        <v>0.44</v>
      </c>
      <c r="W336">
        <v>1</v>
      </c>
    </row>
    <row r="337" spans="1:23" x14ac:dyDescent="0.25">
      <c r="A337" t="s">
        <v>98</v>
      </c>
      <c r="B337" t="s">
        <v>1548</v>
      </c>
      <c r="D337" t="s">
        <v>100</v>
      </c>
      <c r="E337" t="s">
        <v>3149</v>
      </c>
      <c r="F337" t="s">
        <v>104</v>
      </c>
      <c r="G337" t="s">
        <v>104</v>
      </c>
      <c r="H337" t="s">
        <v>106</v>
      </c>
      <c r="I337" t="s">
        <v>3165</v>
      </c>
      <c r="J337" t="s">
        <v>3833</v>
      </c>
      <c r="K337">
        <v>8.7602804457077657</v>
      </c>
      <c r="L337">
        <v>2864.2761395449852</v>
      </c>
      <c r="M337">
        <v>1</v>
      </c>
      <c r="N337">
        <v>2864.2761395449852</v>
      </c>
      <c r="O337">
        <v>2864.2761395449852</v>
      </c>
      <c r="P337">
        <v>6509.7184989658736</v>
      </c>
      <c r="Q337" t="s">
        <v>3152</v>
      </c>
      <c r="R337">
        <v>1</v>
      </c>
      <c r="S337">
        <v>12.5</v>
      </c>
      <c r="T337">
        <v>10</v>
      </c>
      <c r="V337">
        <v>0.44</v>
      </c>
      <c r="W337">
        <v>1</v>
      </c>
    </row>
  </sheetData>
  <autoFilter ref="A1:W33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</sheetPr>
  <dimension ref="A1:L169"/>
  <sheetViews>
    <sheetView topLeftCell="A139" workbookViewId="0">
      <selection activeCell="C2" sqref="C2"/>
    </sheetView>
  </sheetViews>
  <sheetFormatPr defaultRowHeight="15" x14ac:dyDescent="0.25"/>
  <cols>
    <col min="1" max="1" width="17.85546875" bestFit="1" customWidth="1"/>
    <col min="2" max="2" width="10.85546875" bestFit="1" customWidth="1"/>
    <col min="3" max="3" width="19.5703125" bestFit="1" customWidth="1"/>
    <col min="4" max="4" width="6.28515625" bestFit="1" customWidth="1"/>
    <col min="10" max="10" width="10.85546875" bestFit="1" customWidth="1"/>
    <col min="11" max="11" width="19.5703125" bestFit="1" customWidth="1"/>
  </cols>
  <sheetData>
    <row r="1" spans="1:12" x14ac:dyDescent="0.25">
      <c r="A1" t="s">
        <v>3834</v>
      </c>
      <c r="B1" t="str">
        <f t="array" ref="B1:C169">_xlfn.UNIQUE(_xlfn._xlws.FILTER('COM RESID'!$H:$I,'COM RESID'!$H:$H&lt;&gt;""))</f>
        <v>Input Label</v>
      </c>
      <c r="C1" t="str">
        <v>Output Label</v>
      </c>
      <c r="D1" t="s">
        <v>3835</v>
      </c>
      <c r="I1" t="s">
        <v>3834</v>
      </c>
      <c r="J1" t="s">
        <v>82</v>
      </c>
      <c r="K1" t="s">
        <v>83</v>
      </c>
      <c r="L1" t="s">
        <v>3835</v>
      </c>
    </row>
    <row r="2" spans="1:12" x14ac:dyDescent="0.25">
      <c r="A2">
        <f>COUNTA($B$2:B2)</f>
        <v>1</v>
      </c>
      <c r="B2" t="str">
        <v>COMELC</v>
      </c>
      <c r="C2" t="str">
        <v>COMHOTOldSHEUE</v>
      </c>
      <c r="D2">
        <f t="array" ref="D2">COUNTA(_xlfn.UNIQUE(_xlfn._xlws.FILTER('COM TECH'!$K:$K,('COM TECH'!$L:$L=C2)*('COM TECH'!$N:$N=1))))</f>
        <v>3</v>
      </c>
      <c r="I2">
        <v>1</v>
      </c>
      <c r="J2" t="s">
        <v>106</v>
      </c>
      <c r="K2" t="s">
        <v>107</v>
      </c>
      <c r="L2">
        <v>3</v>
      </c>
    </row>
    <row r="3" spans="1:12" x14ac:dyDescent="0.25">
      <c r="A3">
        <f>COUNTA($B$2:B3)</f>
        <v>2</v>
      </c>
      <c r="B3" t="str">
        <v>COMNGA</v>
      </c>
      <c r="C3" t="str">
        <v>COMHOTOldSHEUE</v>
      </c>
      <c r="D3">
        <f t="array" ref="D3">COUNTA(_xlfn.UNIQUE(_xlfn._xlws.FILTER('COM TECH'!$K:$K,('COM TECH'!$L:$L=C3)*('COM TECH'!$N:$N=1))))</f>
        <v>3</v>
      </c>
      <c r="I3">
        <v>2</v>
      </c>
      <c r="J3" t="s">
        <v>133</v>
      </c>
      <c r="K3" t="s">
        <v>107</v>
      </c>
      <c r="L3">
        <v>3</v>
      </c>
    </row>
    <row r="4" spans="1:12" x14ac:dyDescent="0.25">
      <c r="A4">
        <f>COUNTA($B$2:B4)</f>
        <v>3</v>
      </c>
      <c r="B4" t="str">
        <v>COMFOI</v>
      </c>
      <c r="C4" t="str">
        <v>COMHOTOldSHEUE</v>
      </c>
      <c r="D4">
        <f t="array" ref="D4">COUNTA(_xlfn.UNIQUE(_xlfn._xlws.FILTER('COM TECH'!$K:$K,('COM TECH'!$L:$L=C4)*('COM TECH'!$N:$N=1))))</f>
        <v>3</v>
      </c>
      <c r="I4">
        <v>3</v>
      </c>
      <c r="J4" t="s">
        <v>138</v>
      </c>
      <c r="K4" t="s">
        <v>107</v>
      </c>
      <c r="L4">
        <v>3</v>
      </c>
    </row>
    <row r="5" spans="1:12" x14ac:dyDescent="0.25">
      <c r="A5">
        <f>COUNTA($B$2:B5)</f>
        <v>4</v>
      </c>
      <c r="B5" t="str">
        <v>COMLPG</v>
      </c>
      <c r="C5" t="str">
        <v>COMHOTOldSHEUE</v>
      </c>
      <c r="D5">
        <f t="array" ref="D5">COUNTA(_xlfn.UNIQUE(_xlfn._xlws.FILTER('COM TECH'!$K:$K,('COM TECH'!$L:$L=C5)*('COM TECH'!$N:$N=1))))</f>
        <v>3</v>
      </c>
      <c r="I5">
        <v>4</v>
      </c>
      <c r="J5" t="s">
        <v>3487</v>
      </c>
      <c r="K5" t="s">
        <v>107</v>
      </c>
      <c r="L5">
        <v>3</v>
      </c>
    </row>
    <row r="6" spans="1:12" x14ac:dyDescent="0.25">
      <c r="A6">
        <f>COUNTA($B$2:B6)</f>
        <v>5</v>
      </c>
      <c r="B6" t="str">
        <v>COMSTM</v>
      </c>
      <c r="C6" t="str">
        <v>COMHOTOldSHEUE</v>
      </c>
      <c r="D6">
        <f t="array" ref="D6">COUNTA(_xlfn.UNIQUE(_xlfn._xlws.FILTER('COM TECH'!$K:$K,('COM TECH'!$L:$L=C6)*('COM TECH'!$N:$N=1))))</f>
        <v>3</v>
      </c>
      <c r="I6">
        <v>5</v>
      </c>
      <c r="J6" t="s">
        <v>3495</v>
      </c>
      <c r="K6" t="s">
        <v>107</v>
      </c>
      <c r="L6">
        <v>3</v>
      </c>
    </row>
    <row r="7" spans="1:12" x14ac:dyDescent="0.25">
      <c r="A7">
        <f>COUNTA($B$2:B7)</f>
        <v>6</v>
      </c>
      <c r="B7" t="str">
        <v>COMELC</v>
      </c>
      <c r="C7" t="str">
        <v>COMHOTOldSCEUE</v>
      </c>
      <c r="D7">
        <f t="array" ref="D7">COUNTA(_xlfn.UNIQUE(_xlfn._xlws.FILTER('COM TECH'!$K:$K,('COM TECH'!$L:$L=C7)*('COM TECH'!$N:$N=1))))</f>
        <v>2</v>
      </c>
      <c r="I7">
        <v>6</v>
      </c>
      <c r="J7" t="s">
        <v>106</v>
      </c>
      <c r="K7" t="s">
        <v>144</v>
      </c>
      <c r="L7">
        <v>2</v>
      </c>
    </row>
    <row r="8" spans="1:12" x14ac:dyDescent="0.25">
      <c r="A8">
        <f>COUNTA($B$2:B8)</f>
        <v>7</v>
      </c>
      <c r="B8" t="str">
        <v>COMELC</v>
      </c>
      <c r="C8" t="str">
        <v>COMHOTOldVTEUE</v>
      </c>
      <c r="D8">
        <f t="array" ref="D8">COUNTA(_xlfn.UNIQUE(_xlfn._xlws.FILTER('COM TECH'!$K:$K,('COM TECH'!$L:$L=C8)*('COM TECH'!$N:$N=1))))</f>
        <v>1</v>
      </c>
      <c r="I8">
        <v>7</v>
      </c>
      <c r="J8" t="s">
        <v>106</v>
      </c>
      <c r="K8" t="s">
        <v>247</v>
      </c>
      <c r="L8">
        <v>1</v>
      </c>
    </row>
    <row r="9" spans="1:12" x14ac:dyDescent="0.25">
      <c r="A9">
        <f>COUNTA($B$2:B9)</f>
        <v>8</v>
      </c>
      <c r="B9" t="str">
        <v>COMFOI</v>
      </c>
      <c r="C9" t="str">
        <v>COMHOTOldWHEUE</v>
      </c>
      <c r="D9">
        <f t="array" ref="D9">COUNTA(_xlfn.UNIQUE(_xlfn._xlws.FILTER('COM TECH'!$K:$K,('COM TECH'!$L:$L=C9)*('COM TECH'!$N:$N=1))))</f>
        <v>3</v>
      </c>
      <c r="I9">
        <v>8</v>
      </c>
      <c r="J9" t="s">
        <v>138</v>
      </c>
      <c r="K9" t="s">
        <v>230</v>
      </c>
      <c r="L9">
        <v>3</v>
      </c>
    </row>
    <row r="10" spans="1:12" x14ac:dyDescent="0.25">
      <c r="A10">
        <f>COUNTA($B$2:B10)</f>
        <v>9</v>
      </c>
      <c r="B10" t="str">
        <v>COMNGA</v>
      </c>
      <c r="C10" t="str">
        <v>COMHOTOldWHEUE</v>
      </c>
      <c r="D10">
        <f t="array" ref="D10">COUNTA(_xlfn.UNIQUE(_xlfn._xlws.FILTER('COM TECH'!$K:$K,('COM TECH'!$L:$L=C10)*('COM TECH'!$N:$N=1))))</f>
        <v>3</v>
      </c>
      <c r="I10">
        <v>9</v>
      </c>
      <c r="J10" t="s">
        <v>133</v>
      </c>
      <c r="K10" t="s">
        <v>230</v>
      </c>
      <c r="L10">
        <v>3</v>
      </c>
    </row>
    <row r="11" spans="1:12" x14ac:dyDescent="0.25">
      <c r="A11">
        <f>COUNTA($B$2:B11)</f>
        <v>10</v>
      </c>
      <c r="B11" t="str">
        <v>COMSTM</v>
      </c>
      <c r="C11" t="str">
        <v>COMHOTOldWHEUE</v>
      </c>
      <c r="D11">
        <f t="array" ref="D11">COUNTA(_xlfn.UNIQUE(_xlfn._xlws.FILTER('COM TECH'!$K:$K,('COM TECH'!$L:$L=C11)*('COM TECH'!$N:$N=1))))</f>
        <v>3</v>
      </c>
      <c r="I11">
        <v>10</v>
      </c>
      <c r="J11" t="s">
        <v>3495</v>
      </c>
      <c r="K11" t="s">
        <v>230</v>
      </c>
      <c r="L11">
        <v>3</v>
      </c>
    </row>
    <row r="12" spans="1:12" x14ac:dyDescent="0.25">
      <c r="A12">
        <f>COUNTA($B$2:B12)</f>
        <v>11</v>
      </c>
      <c r="B12" t="str">
        <v>COMELC</v>
      </c>
      <c r="C12" t="str">
        <v>COMHOTOldWHEUE</v>
      </c>
      <c r="D12">
        <f t="array" ref="D12">COUNTA(_xlfn.UNIQUE(_xlfn._xlws.FILTER('COM TECH'!$K:$K,('COM TECH'!$L:$L=C12)*('COM TECH'!$N:$N=1))))</f>
        <v>3</v>
      </c>
      <c r="I12">
        <v>11</v>
      </c>
      <c r="J12" t="s">
        <v>106</v>
      </c>
      <c r="K12" t="s">
        <v>230</v>
      </c>
      <c r="L12">
        <v>3</v>
      </c>
    </row>
    <row r="13" spans="1:12" x14ac:dyDescent="0.25">
      <c r="A13">
        <f>COUNTA($B$2:B13)</f>
        <v>12</v>
      </c>
      <c r="B13" t="str">
        <v>COMELC</v>
      </c>
      <c r="C13" t="str">
        <v>COMHOTOldLTEUE</v>
      </c>
      <c r="D13">
        <f t="array" ref="D13">COUNTA(_xlfn.UNIQUE(_xlfn._xlws.FILTER('COM TECH'!$K:$K,('COM TECH'!$L:$L=C13)*('COM TECH'!$N:$N=1))))</f>
        <v>1</v>
      </c>
      <c r="I13">
        <v>12</v>
      </c>
      <c r="J13" t="s">
        <v>106</v>
      </c>
      <c r="K13" t="s">
        <v>287</v>
      </c>
      <c r="L13">
        <v>1</v>
      </c>
    </row>
    <row r="14" spans="1:12" x14ac:dyDescent="0.25">
      <c r="A14">
        <f>COUNTA($B$2:B14)</f>
        <v>13</v>
      </c>
      <c r="B14" t="str">
        <v>COMFOI</v>
      </c>
      <c r="C14" t="str">
        <v>COMHOTOldCKEUE</v>
      </c>
      <c r="D14">
        <f t="array" ref="D14">COUNTA(_xlfn.UNIQUE(_xlfn._xlws.FILTER('COM TECH'!$K:$K,('COM TECH'!$L:$L=C14)*('COM TECH'!$N:$N=1))))</f>
        <v>1</v>
      </c>
      <c r="I14">
        <v>13</v>
      </c>
      <c r="J14" t="s">
        <v>138</v>
      </c>
      <c r="K14" t="s">
        <v>3117</v>
      </c>
      <c r="L14">
        <v>1</v>
      </c>
    </row>
    <row r="15" spans="1:12" x14ac:dyDescent="0.25">
      <c r="A15">
        <f>COUNTA($B$2:B15)</f>
        <v>14</v>
      </c>
      <c r="B15" t="str">
        <v>COMNGA</v>
      </c>
      <c r="C15" t="str">
        <v>COMHOTOldCKEUE</v>
      </c>
      <c r="D15">
        <f t="array" ref="D15">COUNTA(_xlfn.UNIQUE(_xlfn._xlws.FILTER('COM TECH'!$K:$K,('COM TECH'!$L:$L=C15)*('COM TECH'!$N:$N=1))))</f>
        <v>1</v>
      </c>
      <c r="I15">
        <v>14</v>
      </c>
      <c r="J15" t="s">
        <v>133</v>
      </c>
      <c r="K15" t="s">
        <v>3117</v>
      </c>
      <c r="L15">
        <v>1</v>
      </c>
    </row>
    <row r="16" spans="1:12" x14ac:dyDescent="0.25">
      <c r="A16">
        <f>COUNTA($B$2:B16)</f>
        <v>15</v>
      </c>
      <c r="B16" t="str">
        <v>COMSTM</v>
      </c>
      <c r="C16" t="str">
        <v>COMHOTOldCKEUE</v>
      </c>
      <c r="D16">
        <f t="array" ref="D16">COUNTA(_xlfn.UNIQUE(_xlfn._xlws.FILTER('COM TECH'!$K:$K,('COM TECH'!$L:$L=C16)*('COM TECH'!$N:$N=1))))</f>
        <v>1</v>
      </c>
      <c r="I16">
        <v>15</v>
      </c>
      <c r="J16" t="s">
        <v>3495</v>
      </c>
      <c r="K16" t="s">
        <v>3117</v>
      </c>
      <c r="L16">
        <v>1</v>
      </c>
    </row>
    <row r="17" spans="1:12" x14ac:dyDescent="0.25">
      <c r="A17">
        <f>COUNTA($B$2:B17)</f>
        <v>16</v>
      </c>
      <c r="B17" t="str">
        <v>COMELC</v>
      </c>
      <c r="C17" t="str">
        <v>COMHOTOldCKEUE</v>
      </c>
      <c r="D17">
        <f t="array" ref="D17">COUNTA(_xlfn.UNIQUE(_xlfn._xlws.FILTER('COM TECH'!$K:$K,('COM TECH'!$L:$L=C17)*('COM TECH'!$N:$N=1))))</f>
        <v>1</v>
      </c>
      <c r="I17">
        <v>16</v>
      </c>
      <c r="J17" t="s">
        <v>106</v>
      </c>
      <c r="K17" t="s">
        <v>3117</v>
      </c>
      <c r="L17">
        <v>1</v>
      </c>
    </row>
    <row r="18" spans="1:12" x14ac:dyDescent="0.25">
      <c r="A18">
        <f>COUNTA($B$2:B18)</f>
        <v>17</v>
      </c>
      <c r="B18" t="str">
        <v>COMELC</v>
      </c>
      <c r="C18" t="str">
        <v>COMHOTOldREEUE</v>
      </c>
      <c r="D18">
        <f t="array" ref="D18">COUNTA(_xlfn.UNIQUE(_xlfn._xlws.FILTER('COM TECH'!$K:$K,('COM TECH'!$L:$L=C18)*('COM TECH'!$N:$N=1))))</f>
        <v>1</v>
      </c>
      <c r="I18">
        <v>17</v>
      </c>
      <c r="J18" t="s">
        <v>106</v>
      </c>
      <c r="K18" t="s">
        <v>442</v>
      </c>
      <c r="L18">
        <v>1</v>
      </c>
    </row>
    <row r="19" spans="1:12" x14ac:dyDescent="0.25">
      <c r="A19">
        <f>COUNTA($B$2:B19)</f>
        <v>18</v>
      </c>
      <c r="B19" t="str">
        <v>COMFOI</v>
      </c>
      <c r="C19" t="str">
        <v>COMHOTOldOEEUE</v>
      </c>
      <c r="D19">
        <f t="array" ref="D19">COUNTA(_xlfn.UNIQUE(_xlfn._xlws.FILTER('COM TECH'!$K:$K,('COM TECH'!$L:$L=C19)*('COM TECH'!$N:$N=1))))</f>
        <v>2</v>
      </c>
      <c r="I19">
        <v>18</v>
      </c>
      <c r="J19" t="s">
        <v>138</v>
      </c>
      <c r="K19" t="s">
        <v>3150</v>
      </c>
      <c r="L19">
        <v>2</v>
      </c>
    </row>
    <row r="20" spans="1:12" x14ac:dyDescent="0.25">
      <c r="A20">
        <f>COUNTA($B$2:B20)</f>
        <v>19</v>
      </c>
      <c r="B20" t="str">
        <v>COMNGA</v>
      </c>
      <c r="C20" t="str">
        <v>COMHOTOldOEEUE</v>
      </c>
      <c r="D20">
        <f t="array" ref="D20">COUNTA(_xlfn.UNIQUE(_xlfn._xlws.FILTER('COM TECH'!$K:$K,('COM TECH'!$L:$L=C20)*('COM TECH'!$N:$N=1))))</f>
        <v>2</v>
      </c>
      <c r="I20">
        <v>19</v>
      </c>
      <c r="J20" t="s">
        <v>133</v>
      </c>
      <c r="K20" t="s">
        <v>3150</v>
      </c>
      <c r="L20">
        <v>2</v>
      </c>
    </row>
    <row r="21" spans="1:12" x14ac:dyDescent="0.25">
      <c r="A21">
        <f>COUNTA($B$2:B21)</f>
        <v>20</v>
      </c>
      <c r="B21" t="str">
        <v>COMSTM</v>
      </c>
      <c r="C21" t="str">
        <v>COMHOTOldOEEUE</v>
      </c>
      <c r="D21">
        <f t="array" ref="D21">COUNTA(_xlfn.UNIQUE(_xlfn._xlws.FILTER('COM TECH'!$K:$K,('COM TECH'!$L:$L=C21)*('COM TECH'!$N:$N=1))))</f>
        <v>2</v>
      </c>
      <c r="I21">
        <v>20</v>
      </c>
      <c r="J21" t="s">
        <v>3495</v>
      </c>
      <c r="K21" t="s">
        <v>3150</v>
      </c>
      <c r="L21">
        <v>2</v>
      </c>
    </row>
    <row r="22" spans="1:12" x14ac:dyDescent="0.25">
      <c r="A22">
        <f>COUNTA($B$2:B22)</f>
        <v>21</v>
      </c>
      <c r="B22" t="str">
        <v>COMELC</v>
      </c>
      <c r="C22" t="str">
        <v>COMHOTOldOEEUE</v>
      </c>
      <c r="D22">
        <f t="array" ref="D22">COUNTA(_xlfn.UNIQUE(_xlfn._xlws.FILTER('COM TECH'!$K:$K,('COM TECH'!$L:$L=C22)*('COM TECH'!$N:$N=1))))</f>
        <v>2</v>
      </c>
      <c r="I22">
        <v>21</v>
      </c>
      <c r="J22" t="s">
        <v>106</v>
      </c>
      <c r="K22" t="s">
        <v>3150</v>
      </c>
      <c r="L22">
        <v>2</v>
      </c>
    </row>
    <row r="23" spans="1:12" x14ac:dyDescent="0.25">
      <c r="A23">
        <f>COUNTA($B$2:B23)</f>
        <v>22</v>
      </c>
      <c r="B23" t="str">
        <v>COMELC</v>
      </c>
      <c r="C23" t="str">
        <v>COMRETOldSHEUE</v>
      </c>
      <c r="D23">
        <f t="array" ref="D23">COUNTA(_xlfn.UNIQUE(_xlfn._xlws.FILTER('COM TECH'!$K:$K,('COM TECH'!$L:$L=C23)*('COM TECH'!$N:$N=1))))</f>
        <v>3</v>
      </c>
      <c r="I23">
        <v>22</v>
      </c>
      <c r="J23" t="s">
        <v>106</v>
      </c>
      <c r="K23" t="s">
        <v>500</v>
      </c>
      <c r="L23">
        <v>3</v>
      </c>
    </row>
    <row r="24" spans="1:12" x14ac:dyDescent="0.25">
      <c r="A24">
        <f>COUNTA($B$2:B24)</f>
        <v>23</v>
      </c>
      <c r="B24" t="str">
        <v>COMNGA</v>
      </c>
      <c r="C24" t="str">
        <v>COMRETOldSHEUE</v>
      </c>
      <c r="D24">
        <f t="array" ref="D24">COUNTA(_xlfn.UNIQUE(_xlfn._xlws.FILTER('COM TECH'!$K:$K,('COM TECH'!$L:$L=C24)*('COM TECH'!$N:$N=1))))</f>
        <v>3</v>
      </c>
      <c r="I24">
        <v>23</v>
      </c>
      <c r="J24" t="s">
        <v>133</v>
      </c>
      <c r="K24" t="s">
        <v>500</v>
      </c>
      <c r="L24">
        <v>3</v>
      </c>
    </row>
    <row r="25" spans="1:12" x14ac:dyDescent="0.25">
      <c r="A25">
        <f>COUNTA($B$2:B25)</f>
        <v>24</v>
      </c>
      <c r="B25" t="str">
        <v>COMFOI</v>
      </c>
      <c r="C25" t="str">
        <v>COMRETOldSHEUE</v>
      </c>
      <c r="D25">
        <f t="array" ref="D25">COUNTA(_xlfn.UNIQUE(_xlfn._xlws.FILTER('COM TECH'!$K:$K,('COM TECH'!$L:$L=C25)*('COM TECH'!$N:$N=1))))</f>
        <v>3</v>
      </c>
      <c r="I25">
        <v>24</v>
      </c>
      <c r="J25" t="s">
        <v>138</v>
      </c>
      <c r="K25" t="s">
        <v>500</v>
      </c>
      <c r="L25">
        <v>3</v>
      </c>
    </row>
    <row r="26" spans="1:12" x14ac:dyDescent="0.25">
      <c r="A26">
        <f>COUNTA($B$2:B26)</f>
        <v>25</v>
      </c>
      <c r="B26" t="str">
        <v>COMLPG</v>
      </c>
      <c r="C26" t="str">
        <v>COMRETOldSHEUE</v>
      </c>
      <c r="D26">
        <f t="array" ref="D26">COUNTA(_xlfn.UNIQUE(_xlfn._xlws.FILTER('COM TECH'!$K:$K,('COM TECH'!$L:$L=C26)*('COM TECH'!$N:$N=1))))</f>
        <v>3</v>
      </c>
      <c r="I26">
        <v>25</v>
      </c>
      <c r="J26" t="s">
        <v>3487</v>
      </c>
      <c r="K26" t="s">
        <v>500</v>
      </c>
      <c r="L26">
        <v>3</v>
      </c>
    </row>
    <row r="27" spans="1:12" x14ac:dyDescent="0.25">
      <c r="A27">
        <f>COUNTA($B$2:B27)</f>
        <v>26</v>
      </c>
      <c r="B27" t="str">
        <v>COMSTM</v>
      </c>
      <c r="C27" t="str">
        <v>COMRETOldSHEUE</v>
      </c>
      <c r="D27">
        <f t="array" ref="D27">COUNTA(_xlfn.UNIQUE(_xlfn._xlws.FILTER('COM TECH'!$K:$K,('COM TECH'!$L:$L=C27)*('COM TECH'!$N:$N=1))))</f>
        <v>3</v>
      </c>
      <c r="I27">
        <v>26</v>
      </c>
      <c r="J27" t="s">
        <v>3495</v>
      </c>
      <c r="K27" t="s">
        <v>500</v>
      </c>
      <c r="L27">
        <v>3</v>
      </c>
    </row>
    <row r="28" spans="1:12" x14ac:dyDescent="0.25">
      <c r="A28">
        <f>COUNTA($B$2:B28)</f>
        <v>27</v>
      </c>
      <c r="B28" t="str">
        <v>COMELC</v>
      </c>
      <c r="C28" t="str">
        <v>COMRETOldSCEUE</v>
      </c>
      <c r="D28">
        <f t="array" ref="D28">COUNTA(_xlfn.UNIQUE(_xlfn._xlws.FILTER('COM TECH'!$K:$K,('COM TECH'!$L:$L=C28)*('COM TECH'!$N:$N=1))))</f>
        <v>2</v>
      </c>
      <c r="I28">
        <v>27</v>
      </c>
      <c r="J28" t="s">
        <v>106</v>
      </c>
      <c r="K28" t="s">
        <v>513</v>
      </c>
      <c r="L28">
        <v>2</v>
      </c>
    </row>
    <row r="29" spans="1:12" x14ac:dyDescent="0.25">
      <c r="A29">
        <f>COUNTA($B$2:B29)</f>
        <v>28</v>
      </c>
      <c r="B29" t="str">
        <v>COMELC</v>
      </c>
      <c r="C29" t="str">
        <v>COMRETOldVTEUE</v>
      </c>
      <c r="D29">
        <f t="array" ref="D29">COUNTA(_xlfn.UNIQUE(_xlfn._xlws.FILTER('COM TECH'!$K:$K,('COM TECH'!$L:$L=C29)*('COM TECH'!$N:$N=1))))</f>
        <v>1</v>
      </c>
      <c r="I29">
        <v>28</v>
      </c>
      <c r="J29" t="s">
        <v>106</v>
      </c>
      <c r="K29" t="s">
        <v>557</v>
      </c>
      <c r="L29">
        <v>1</v>
      </c>
    </row>
    <row r="30" spans="1:12" x14ac:dyDescent="0.25">
      <c r="A30">
        <f>COUNTA($B$2:B30)</f>
        <v>29</v>
      </c>
      <c r="B30" t="str">
        <v>COMFOI</v>
      </c>
      <c r="C30" t="str">
        <v>COMRETOldWHEUE</v>
      </c>
      <c r="D30">
        <f t="array" ref="D30">COUNTA(_xlfn.UNIQUE(_xlfn._xlws.FILTER('COM TECH'!$K:$K,('COM TECH'!$L:$L=C30)*('COM TECH'!$N:$N=1))))</f>
        <v>3</v>
      </c>
      <c r="I30">
        <v>29</v>
      </c>
      <c r="J30" t="s">
        <v>138</v>
      </c>
      <c r="K30" t="s">
        <v>550</v>
      </c>
      <c r="L30">
        <v>3</v>
      </c>
    </row>
    <row r="31" spans="1:12" x14ac:dyDescent="0.25">
      <c r="A31">
        <f>COUNTA($B$2:B31)</f>
        <v>30</v>
      </c>
      <c r="B31" t="str">
        <v>COMNGA</v>
      </c>
      <c r="C31" t="str">
        <v>COMRETOldWHEUE</v>
      </c>
      <c r="D31">
        <f t="array" ref="D31">COUNTA(_xlfn.UNIQUE(_xlfn._xlws.FILTER('COM TECH'!$K:$K,('COM TECH'!$L:$L=C31)*('COM TECH'!$N:$N=1))))</f>
        <v>3</v>
      </c>
      <c r="I31">
        <v>30</v>
      </c>
      <c r="J31" t="s">
        <v>133</v>
      </c>
      <c r="K31" t="s">
        <v>550</v>
      </c>
      <c r="L31">
        <v>3</v>
      </c>
    </row>
    <row r="32" spans="1:12" x14ac:dyDescent="0.25">
      <c r="A32">
        <f>COUNTA($B$2:B32)</f>
        <v>31</v>
      </c>
      <c r="B32" t="str">
        <v>COMSTM</v>
      </c>
      <c r="C32" t="str">
        <v>COMRETOldWHEUE</v>
      </c>
      <c r="D32">
        <f t="array" ref="D32">COUNTA(_xlfn.UNIQUE(_xlfn._xlws.FILTER('COM TECH'!$K:$K,('COM TECH'!$L:$L=C32)*('COM TECH'!$N:$N=1))))</f>
        <v>3</v>
      </c>
      <c r="I32">
        <v>31</v>
      </c>
      <c r="J32" t="s">
        <v>3495</v>
      </c>
      <c r="K32" t="s">
        <v>550</v>
      </c>
      <c r="L32">
        <v>3</v>
      </c>
    </row>
    <row r="33" spans="1:12" x14ac:dyDescent="0.25">
      <c r="A33">
        <f>COUNTA($B$2:B33)</f>
        <v>32</v>
      </c>
      <c r="B33" t="str">
        <v>COMELC</v>
      </c>
      <c r="C33" t="str">
        <v>COMRETOldWHEUE</v>
      </c>
      <c r="D33">
        <f t="array" ref="D33">COUNTA(_xlfn.UNIQUE(_xlfn._xlws.FILTER('COM TECH'!$K:$K,('COM TECH'!$L:$L=C33)*('COM TECH'!$N:$N=1))))</f>
        <v>3</v>
      </c>
      <c r="I33">
        <v>32</v>
      </c>
      <c r="J33" t="s">
        <v>106</v>
      </c>
      <c r="K33" t="s">
        <v>550</v>
      </c>
      <c r="L33">
        <v>3</v>
      </c>
    </row>
    <row r="34" spans="1:12" x14ac:dyDescent="0.25">
      <c r="A34">
        <f>COUNTA($B$2:B34)</f>
        <v>33</v>
      </c>
      <c r="B34" t="str">
        <v>COMELC</v>
      </c>
      <c r="C34" t="str">
        <v>COMRETOldLTEUE</v>
      </c>
      <c r="D34">
        <f t="array" ref="D34">COUNTA(_xlfn.UNIQUE(_xlfn._xlws.FILTER('COM TECH'!$K:$K,('COM TECH'!$L:$L=C34)*('COM TECH'!$N:$N=1))))</f>
        <v>1</v>
      </c>
      <c r="I34">
        <v>33</v>
      </c>
      <c r="J34" t="s">
        <v>106</v>
      </c>
      <c r="K34" t="s">
        <v>575</v>
      </c>
      <c r="L34">
        <v>1</v>
      </c>
    </row>
    <row r="35" spans="1:12" x14ac:dyDescent="0.25">
      <c r="A35">
        <f>COUNTA($B$2:B35)</f>
        <v>34</v>
      </c>
      <c r="B35" t="str">
        <v>COMFOI</v>
      </c>
      <c r="C35" t="str">
        <v>COMRETOldCKEUE</v>
      </c>
      <c r="D35">
        <f t="array" ref="D35">COUNTA(_xlfn.UNIQUE(_xlfn._xlws.FILTER('COM TECH'!$K:$K,('COM TECH'!$L:$L=C35)*('COM TECH'!$N:$N=1))))</f>
        <v>1</v>
      </c>
      <c r="I35">
        <v>34</v>
      </c>
      <c r="J35" t="s">
        <v>138</v>
      </c>
      <c r="K35" t="s">
        <v>3119</v>
      </c>
      <c r="L35">
        <v>1</v>
      </c>
    </row>
    <row r="36" spans="1:12" x14ac:dyDescent="0.25">
      <c r="A36">
        <f>COUNTA($B$2:B36)</f>
        <v>35</v>
      </c>
      <c r="B36" t="str">
        <v>COMNGA</v>
      </c>
      <c r="C36" t="str">
        <v>COMRETOldCKEUE</v>
      </c>
      <c r="D36">
        <f t="array" ref="D36">COUNTA(_xlfn.UNIQUE(_xlfn._xlws.FILTER('COM TECH'!$K:$K,('COM TECH'!$L:$L=C36)*('COM TECH'!$N:$N=1))))</f>
        <v>1</v>
      </c>
      <c r="I36">
        <v>35</v>
      </c>
      <c r="J36" t="s">
        <v>133</v>
      </c>
      <c r="K36" t="s">
        <v>3119</v>
      </c>
      <c r="L36">
        <v>1</v>
      </c>
    </row>
    <row r="37" spans="1:12" x14ac:dyDescent="0.25">
      <c r="A37">
        <f>COUNTA($B$2:B37)</f>
        <v>36</v>
      </c>
      <c r="B37" t="str">
        <v>COMSTM</v>
      </c>
      <c r="C37" t="str">
        <v>COMRETOldCKEUE</v>
      </c>
      <c r="D37">
        <f t="array" ref="D37">COUNTA(_xlfn.UNIQUE(_xlfn._xlws.FILTER('COM TECH'!$K:$K,('COM TECH'!$L:$L=C37)*('COM TECH'!$N:$N=1))))</f>
        <v>1</v>
      </c>
      <c r="I37">
        <v>36</v>
      </c>
      <c r="J37" t="s">
        <v>3495</v>
      </c>
      <c r="K37" t="s">
        <v>3119</v>
      </c>
      <c r="L37">
        <v>1</v>
      </c>
    </row>
    <row r="38" spans="1:12" x14ac:dyDescent="0.25">
      <c r="A38">
        <f>COUNTA($B$2:B38)</f>
        <v>37</v>
      </c>
      <c r="B38" t="str">
        <v>COMELC</v>
      </c>
      <c r="C38" t="str">
        <v>COMRETOldCKEUE</v>
      </c>
      <c r="D38">
        <f t="array" ref="D38">COUNTA(_xlfn.UNIQUE(_xlfn._xlws.FILTER('COM TECH'!$K:$K,('COM TECH'!$L:$L=C38)*('COM TECH'!$N:$N=1))))</f>
        <v>1</v>
      </c>
      <c r="I38">
        <v>37</v>
      </c>
      <c r="J38" t="s">
        <v>106</v>
      </c>
      <c r="K38" t="s">
        <v>3119</v>
      </c>
      <c r="L38">
        <v>1</v>
      </c>
    </row>
    <row r="39" spans="1:12" x14ac:dyDescent="0.25">
      <c r="A39">
        <f>COUNTA($B$2:B39)</f>
        <v>38</v>
      </c>
      <c r="B39" t="str">
        <v>COMELC</v>
      </c>
      <c r="C39" t="str">
        <v>COMRETOldREEUE</v>
      </c>
      <c r="D39">
        <f t="array" ref="D39">COUNTA(_xlfn.UNIQUE(_xlfn._xlws.FILTER('COM TECH'!$K:$K,('COM TECH'!$L:$L=C39)*('COM TECH'!$N:$N=1))))</f>
        <v>1</v>
      </c>
      <c r="I39">
        <v>38</v>
      </c>
      <c r="J39" t="s">
        <v>106</v>
      </c>
      <c r="K39" t="s">
        <v>646</v>
      </c>
      <c r="L39">
        <v>1</v>
      </c>
    </row>
    <row r="40" spans="1:12" x14ac:dyDescent="0.25">
      <c r="A40">
        <f>COUNTA($B$2:B40)</f>
        <v>39</v>
      </c>
      <c r="B40" t="str">
        <v>COMFOI</v>
      </c>
      <c r="C40" t="str">
        <v>COMRETOldOEEUE</v>
      </c>
      <c r="D40">
        <f t="array" ref="D40">COUNTA(_xlfn.UNIQUE(_xlfn._xlws.FILTER('COM TECH'!$K:$K,('COM TECH'!$L:$L=C40)*('COM TECH'!$N:$N=1))))</f>
        <v>2</v>
      </c>
      <c r="I40">
        <v>39</v>
      </c>
      <c r="J40" t="s">
        <v>138</v>
      </c>
      <c r="K40" t="s">
        <v>3153</v>
      </c>
      <c r="L40">
        <v>2</v>
      </c>
    </row>
    <row r="41" spans="1:12" x14ac:dyDescent="0.25">
      <c r="A41">
        <f>COUNTA($B$2:B41)</f>
        <v>40</v>
      </c>
      <c r="B41" t="str">
        <v>COMNGA</v>
      </c>
      <c r="C41" t="str">
        <v>COMRETOldOEEUE</v>
      </c>
      <c r="D41">
        <f t="array" ref="D41">COUNTA(_xlfn.UNIQUE(_xlfn._xlws.FILTER('COM TECH'!$K:$K,('COM TECH'!$L:$L=C41)*('COM TECH'!$N:$N=1))))</f>
        <v>2</v>
      </c>
      <c r="I41">
        <v>40</v>
      </c>
      <c r="J41" t="s">
        <v>133</v>
      </c>
      <c r="K41" t="s">
        <v>3153</v>
      </c>
      <c r="L41">
        <v>2</v>
      </c>
    </row>
    <row r="42" spans="1:12" x14ac:dyDescent="0.25">
      <c r="A42">
        <f>COUNTA($B$2:B42)</f>
        <v>41</v>
      </c>
      <c r="B42" t="str">
        <v>COMSTM</v>
      </c>
      <c r="C42" t="str">
        <v>COMRETOldOEEUE</v>
      </c>
      <c r="D42">
        <f t="array" ref="D42">COUNTA(_xlfn.UNIQUE(_xlfn._xlws.FILTER('COM TECH'!$K:$K,('COM TECH'!$L:$L=C42)*('COM TECH'!$N:$N=1))))</f>
        <v>2</v>
      </c>
      <c r="I42">
        <v>41</v>
      </c>
      <c r="J42" t="s">
        <v>3495</v>
      </c>
      <c r="K42" t="s">
        <v>3153</v>
      </c>
      <c r="L42">
        <v>2</v>
      </c>
    </row>
    <row r="43" spans="1:12" x14ac:dyDescent="0.25">
      <c r="A43">
        <f>COUNTA($B$2:B43)</f>
        <v>42</v>
      </c>
      <c r="B43" t="str">
        <v>COMELC</v>
      </c>
      <c r="C43" t="str">
        <v>COMRETOldOEEUE</v>
      </c>
      <c r="D43">
        <f t="array" ref="D43">COUNTA(_xlfn.UNIQUE(_xlfn._xlws.FILTER('COM TECH'!$K:$K,('COM TECH'!$L:$L=C43)*('COM TECH'!$N:$N=1))))</f>
        <v>2</v>
      </c>
      <c r="I43">
        <v>42</v>
      </c>
      <c r="J43" t="s">
        <v>106</v>
      </c>
      <c r="K43" t="s">
        <v>3153</v>
      </c>
      <c r="L43">
        <v>2</v>
      </c>
    </row>
    <row r="44" spans="1:12" x14ac:dyDescent="0.25">
      <c r="A44">
        <f>COUNTA($B$2:B44)</f>
        <v>43</v>
      </c>
      <c r="B44" t="str">
        <v>COMELC</v>
      </c>
      <c r="C44" t="str">
        <v>COMOFFOldSHEUE</v>
      </c>
      <c r="D44">
        <f t="array" ref="D44">COUNTA(_xlfn.UNIQUE(_xlfn._xlws.FILTER('COM TECH'!$K:$K,('COM TECH'!$L:$L=C44)*('COM TECH'!$N:$N=1))))</f>
        <v>3</v>
      </c>
      <c r="I44">
        <v>43</v>
      </c>
      <c r="J44" t="s">
        <v>106</v>
      </c>
      <c r="K44" t="s">
        <v>675</v>
      </c>
      <c r="L44">
        <v>3</v>
      </c>
    </row>
    <row r="45" spans="1:12" x14ac:dyDescent="0.25">
      <c r="A45">
        <f>COUNTA($B$2:B45)</f>
        <v>44</v>
      </c>
      <c r="B45" t="str">
        <v>COMNGA</v>
      </c>
      <c r="C45" t="str">
        <v>COMOFFOldSHEUE</v>
      </c>
      <c r="D45">
        <f t="array" ref="D45">COUNTA(_xlfn.UNIQUE(_xlfn._xlws.FILTER('COM TECH'!$K:$K,('COM TECH'!$L:$L=C45)*('COM TECH'!$N:$N=1))))</f>
        <v>3</v>
      </c>
      <c r="I45">
        <v>44</v>
      </c>
      <c r="J45" t="s">
        <v>133</v>
      </c>
      <c r="K45" t="s">
        <v>675</v>
      </c>
      <c r="L45">
        <v>3</v>
      </c>
    </row>
    <row r="46" spans="1:12" x14ac:dyDescent="0.25">
      <c r="A46">
        <f>COUNTA($B$2:B46)</f>
        <v>45</v>
      </c>
      <c r="B46" t="str">
        <v>COMFOI</v>
      </c>
      <c r="C46" t="str">
        <v>COMOFFOldSHEUE</v>
      </c>
      <c r="D46">
        <f t="array" ref="D46">COUNTA(_xlfn.UNIQUE(_xlfn._xlws.FILTER('COM TECH'!$K:$K,('COM TECH'!$L:$L=C46)*('COM TECH'!$N:$N=1))))</f>
        <v>3</v>
      </c>
      <c r="I46">
        <v>45</v>
      </c>
      <c r="J46" t="s">
        <v>138</v>
      </c>
      <c r="K46" t="s">
        <v>675</v>
      </c>
      <c r="L46">
        <v>3</v>
      </c>
    </row>
    <row r="47" spans="1:12" x14ac:dyDescent="0.25">
      <c r="A47">
        <f>COUNTA($B$2:B47)</f>
        <v>46</v>
      </c>
      <c r="B47" t="str">
        <v>COMLPG</v>
      </c>
      <c r="C47" t="str">
        <v>COMOFFOldSHEUE</v>
      </c>
      <c r="D47">
        <f t="array" ref="D47">COUNTA(_xlfn.UNIQUE(_xlfn._xlws.FILTER('COM TECH'!$K:$K,('COM TECH'!$L:$L=C47)*('COM TECH'!$N:$N=1))))</f>
        <v>3</v>
      </c>
      <c r="I47">
        <v>46</v>
      </c>
      <c r="J47" t="s">
        <v>3487</v>
      </c>
      <c r="K47" t="s">
        <v>675</v>
      </c>
      <c r="L47">
        <v>3</v>
      </c>
    </row>
    <row r="48" spans="1:12" x14ac:dyDescent="0.25">
      <c r="A48">
        <f>COUNTA($B$2:B48)</f>
        <v>47</v>
      </c>
      <c r="B48" t="str">
        <v>COMSTM</v>
      </c>
      <c r="C48" t="str">
        <v>COMOFFOldSHEUE</v>
      </c>
      <c r="D48">
        <f t="array" ref="D48">COUNTA(_xlfn.UNIQUE(_xlfn._xlws.FILTER('COM TECH'!$K:$K,('COM TECH'!$L:$L=C48)*('COM TECH'!$N:$N=1))))</f>
        <v>3</v>
      </c>
      <c r="I48">
        <v>47</v>
      </c>
      <c r="J48" t="s">
        <v>3495</v>
      </c>
      <c r="K48" t="s">
        <v>675</v>
      </c>
      <c r="L48">
        <v>3</v>
      </c>
    </row>
    <row r="49" spans="1:12" x14ac:dyDescent="0.25">
      <c r="A49">
        <f>COUNTA($B$2:B49)</f>
        <v>48</v>
      </c>
      <c r="B49" t="str">
        <v>COMELC</v>
      </c>
      <c r="C49" t="str">
        <v>COMOFFOldSCEUE</v>
      </c>
      <c r="D49">
        <f t="array" ref="D49">COUNTA(_xlfn.UNIQUE(_xlfn._xlws.FILTER('COM TECH'!$K:$K,('COM TECH'!$L:$L=C49)*('COM TECH'!$N:$N=1))))</f>
        <v>2</v>
      </c>
      <c r="I49">
        <v>48</v>
      </c>
      <c r="J49" t="s">
        <v>106</v>
      </c>
      <c r="K49" t="s">
        <v>688</v>
      </c>
      <c r="L49">
        <v>2</v>
      </c>
    </row>
    <row r="50" spans="1:12" x14ac:dyDescent="0.25">
      <c r="A50">
        <f>COUNTA($B$2:B50)</f>
        <v>49</v>
      </c>
      <c r="B50" t="str">
        <v>COMELC</v>
      </c>
      <c r="C50" t="str">
        <v>COMOFFOldVTEUE</v>
      </c>
      <c r="D50">
        <f t="array" ref="D50">COUNTA(_xlfn.UNIQUE(_xlfn._xlws.FILTER('COM TECH'!$K:$K,('COM TECH'!$L:$L=C50)*('COM TECH'!$N:$N=1))))</f>
        <v>1</v>
      </c>
      <c r="I50">
        <v>49</v>
      </c>
      <c r="J50" t="s">
        <v>106</v>
      </c>
      <c r="K50" t="s">
        <v>732</v>
      </c>
      <c r="L50">
        <v>1</v>
      </c>
    </row>
    <row r="51" spans="1:12" x14ac:dyDescent="0.25">
      <c r="A51">
        <f>COUNTA($B$2:B51)</f>
        <v>50</v>
      </c>
      <c r="B51" t="str">
        <v>COMFOI</v>
      </c>
      <c r="C51" t="str">
        <v>COMOFFOldWHEUE</v>
      </c>
      <c r="D51">
        <f t="array" ref="D51">COUNTA(_xlfn.UNIQUE(_xlfn._xlws.FILTER('COM TECH'!$K:$K,('COM TECH'!$L:$L=C51)*('COM TECH'!$N:$N=1))))</f>
        <v>3</v>
      </c>
      <c r="I51">
        <v>50</v>
      </c>
      <c r="J51" t="s">
        <v>138</v>
      </c>
      <c r="K51" t="s">
        <v>725</v>
      </c>
      <c r="L51">
        <v>3</v>
      </c>
    </row>
    <row r="52" spans="1:12" x14ac:dyDescent="0.25">
      <c r="A52">
        <f>COUNTA($B$2:B52)</f>
        <v>51</v>
      </c>
      <c r="B52" t="str">
        <v>COMNGA</v>
      </c>
      <c r="C52" t="str">
        <v>COMOFFOldWHEUE</v>
      </c>
      <c r="D52">
        <f t="array" ref="D52">COUNTA(_xlfn.UNIQUE(_xlfn._xlws.FILTER('COM TECH'!$K:$K,('COM TECH'!$L:$L=C52)*('COM TECH'!$N:$N=1))))</f>
        <v>3</v>
      </c>
      <c r="I52">
        <v>51</v>
      </c>
      <c r="J52" t="s">
        <v>133</v>
      </c>
      <c r="K52" t="s">
        <v>725</v>
      </c>
      <c r="L52">
        <v>3</v>
      </c>
    </row>
    <row r="53" spans="1:12" x14ac:dyDescent="0.25">
      <c r="A53">
        <f>COUNTA($B$2:B53)</f>
        <v>52</v>
      </c>
      <c r="B53" t="str">
        <v>COMSTM</v>
      </c>
      <c r="C53" t="str">
        <v>COMOFFOldWHEUE</v>
      </c>
      <c r="D53">
        <f t="array" ref="D53">COUNTA(_xlfn.UNIQUE(_xlfn._xlws.FILTER('COM TECH'!$K:$K,('COM TECH'!$L:$L=C53)*('COM TECH'!$N:$N=1))))</f>
        <v>3</v>
      </c>
      <c r="I53">
        <v>52</v>
      </c>
      <c r="J53" t="s">
        <v>3495</v>
      </c>
      <c r="K53" t="s">
        <v>725</v>
      </c>
      <c r="L53">
        <v>3</v>
      </c>
    </row>
    <row r="54" spans="1:12" x14ac:dyDescent="0.25">
      <c r="A54">
        <f>COUNTA($B$2:B54)</f>
        <v>53</v>
      </c>
      <c r="B54" t="str">
        <v>COMELC</v>
      </c>
      <c r="C54" t="str">
        <v>COMOFFOldWHEUE</v>
      </c>
      <c r="D54">
        <f t="array" ref="D54">COUNTA(_xlfn.UNIQUE(_xlfn._xlws.FILTER('COM TECH'!$K:$K,('COM TECH'!$L:$L=C54)*('COM TECH'!$N:$N=1))))</f>
        <v>3</v>
      </c>
      <c r="I54">
        <v>53</v>
      </c>
      <c r="J54" t="s">
        <v>106</v>
      </c>
      <c r="K54" t="s">
        <v>725</v>
      </c>
      <c r="L54">
        <v>3</v>
      </c>
    </row>
    <row r="55" spans="1:12" x14ac:dyDescent="0.25">
      <c r="A55">
        <f>COUNTA($B$2:B55)</f>
        <v>54</v>
      </c>
      <c r="B55" t="str">
        <v>COMELC</v>
      </c>
      <c r="C55" t="str">
        <v>COMOFFOldLTEUE</v>
      </c>
      <c r="D55">
        <f t="array" ref="D55">COUNTA(_xlfn.UNIQUE(_xlfn._xlws.FILTER('COM TECH'!$K:$K,('COM TECH'!$L:$L=C55)*('COM TECH'!$N:$N=1))))</f>
        <v>1</v>
      </c>
      <c r="I55">
        <v>54</v>
      </c>
      <c r="J55" t="s">
        <v>106</v>
      </c>
      <c r="K55" t="s">
        <v>750</v>
      </c>
      <c r="L55">
        <v>1</v>
      </c>
    </row>
    <row r="56" spans="1:12" x14ac:dyDescent="0.25">
      <c r="A56">
        <f>COUNTA($B$2:B56)</f>
        <v>55</v>
      </c>
      <c r="B56" t="str">
        <v>COMFOI</v>
      </c>
      <c r="C56" t="str">
        <v>COMOFFOldCKEUE</v>
      </c>
      <c r="D56">
        <f t="array" ref="D56">COUNTA(_xlfn.UNIQUE(_xlfn._xlws.FILTER('COM TECH'!$K:$K,('COM TECH'!$L:$L=C56)*('COM TECH'!$N:$N=1))))</f>
        <v>1</v>
      </c>
      <c r="I56">
        <v>55</v>
      </c>
      <c r="J56" t="s">
        <v>138</v>
      </c>
      <c r="K56" t="s">
        <v>3121</v>
      </c>
      <c r="L56">
        <v>1</v>
      </c>
    </row>
    <row r="57" spans="1:12" x14ac:dyDescent="0.25">
      <c r="A57">
        <f>COUNTA($B$2:B57)</f>
        <v>56</v>
      </c>
      <c r="B57" t="str">
        <v>COMNGA</v>
      </c>
      <c r="C57" t="str">
        <v>COMOFFOldCKEUE</v>
      </c>
      <c r="D57">
        <f t="array" ref="D57">COUNTA(_xlfn.UNIQUE(_xlfn._xlws.FILTER('COM TECH'!$K:$K,('COM TECH'!$L:$L=C57)*('COM TECH'!$N:$N=1))))</f>
        <v>1</v>
      </c>
      <c r="I57">
        <v>56</v>
      </c>
      <c r="J57" t="s">
        <v>133</v>
      </c>
      <c r="K57" t="s">
        <v>3121</v>
      </c>
      <c r="L57">
        <v>1</v>
      </c>
    </row>
    <row r="58" spans="1:12" x14ac:dyDescent="0.25">
      <c r="A58">
        <f>COUNTA($B$2:B58)</f>
        <v>57</v>
      </c>
      <c r="B58" t="str">
        <v>COMSTM</v>
      </c>
      <c r="C58" t="str">
        <v>COMOFFOldCKEUE</v>
      </c>
      <c r="D58">
        <f t="array" ref="D58">COUNTA(_xlfn.UNIQUE(_xlfn._xlws.FILTER('COM TECH'!$K:$K,('COM TECH'!$L:$L=C58)*('COM TECH'!$N:$N=1))))</f>
        <v>1</v>
      </c>
      <c r="I58">
        <v>57</v>
      </c>
      <c r="J58" t="s">
        <v>3495</v>
      </c>
      <c r="K58" t="s">
        <v>3121</v>
      </c>
      <c r="L58">
        <v>1</v>
      </c>
    </row>
    <row r="59" spans="1:12" x14ac:dyDescent="0.25">
      <c r="A59">
        <f>COUNTA($B$2:B59)</f>
        <v>58</v>
      </c>
      <c r="B59" t="str">
        <v>COMELC</v>
      </c>
      <c r="C59" t="str">
        <v>COMOFFOldCKEUE</v>
      </c>
      <c r="D59">
        <f t="array" ref="D59">COUNTA(_xlfn.UNIQUE(_xlfn._xlws.FILTER('COM TECH'!$K:$K,('COM TECH'!$L:$L=C59)*('COM TECH'!$N:$N=1))))</f>
        <v>1</v>
      </c>
      <c r="I59">
        <v>58</v>
      </c>
      <c r="J59" t="s">
        <v>106</v>
      </c>
      <c r="K59" t="s">
        <v>3121</v>
      </c>
      <c r="L59">
        <v>1</v>
      </c>
    </row>
    <row r="60" spans="1:12" x14ac:dyDescent="0.25">
      <c r="A60">
        <f>COUNTA($B$2:B60)</f>
        <v>59</v>
      </c>
      <c r="B60" t="str">
        <v>COMELC</v>
      </c>
      <c r="C60" t="str">
        <v>COMOFFOldREEUE</v>
      </c>
      <c r="D60">
        <f t="array" ref="D60">COUNTA(_xlfn.UNIQUE(_xlfn._xlws.FILTER('COM TECH'!$K:$K,('COM TECH'!$L:$L=C60)*('COM TECH'!$N:$N=1))))</f>
        <v>1</v>
      </c>
      <c r="I60">
        <v>59</v>
      </c>
      <c r="J60" t="s">
        <v>106</v>
      </c>
      <c r="K60" t="s">
        <v>821</v>
      </c>
      <c r="L60">
        <v>1</v>
      </c>
    </row>
    <row r="61" spans="1:12" x14ac:dyDescent="0.25">
      <c r="A61">
        <f>COUNTA($B$2:B61)</f>
        <v>60</v>
      </c>
      <c r="B61" t="str">
        <v>COMFOI</v>
      </c>
      <c r="C61" t="str">
        <v>COMOFFOldOEEUE</v>
      </c>
      <c r="D61">
        <f t="array" ref="D61">COUNTA(_xlfn.UNIQUE(_xlfn._xlws.FILTER('COM TECH'!$K:$K,('COM TECH'!$L:$L=C61)*('COM TECH'!$N:$N=1))))</f>
        <v>2</v>
      </c>
      <c r="I61">
        <v>60</v>
      </c>
      <c r="J61" t="s">
        <v>138</v>
      </c>
      <c r="K61" t="s">
        <v>3155</v>
      </c>
      <c r="L61">
        <v>2</v>
      </c>
    </row>
    <row r="62" spans="1:12" x14ac:dyDescent="0.25">
      <c r="A62">
        <f>COUNTA($B$2:B62)</f>
        <v>61</v>
      </c>
      <c r="B62" t="str">
        <v>COMNGA</v>
      </c>
      <c r="C62" t="str">
        <v>COMOFFOldOEEUE</v>
      </c>
      <c r="D62">
        <f t="array" ref="D62">COUNTA(_xlfn.UNIQUE(_xlfn._xlws.FILTER('COM TECH'!$K:$K,('COM TECH'!$L:$L=C62)*('COM TECH'!$N:$N=1))))</f>
        <v>2</v>
      </c>
      <c r="I62">
        <v>61</v>
      </c>
      <c r="J62" t="s">
        <v>133</v>
      </c>
      <c r="K62" t="s">
        <v>3155</v>
      </c>
      <c r="L62">
        <v>2</v>
      </c>
    </row>
    <row r="63" spans="1:12" x14ac:dyDescent="0.25">
      <c r="A63">
        <f>COUNTA($B$2:B63)</f>
        <v>62</v>
      </c>
      <c r="B63" t="str">
        <v>COMSTM</v>
      </c>
      <c r="C63" t="str">
        <v>COMOFFOldOEEUE</v>
      </c>
      <c r="D63">
        <f t="array" ref="D63">COUNTA(_xlfn.UNIQUE(_xlfn._xlws.FILTER('COM TECH'!$K:$K,('COM TECH'!$L:$L=C63)*('COM TECH'!$N:$N=1))))</f>
        <v>2</v>
      </c>
      <c r="I63">
        <v>62</v>
      </c>
      <c r="J63" t="s">
        <v>3495</v>
      </c>
      <c r="K63" t="s">
        <v>3155</v>
      </c>
      <c r="L63">
        <v>2</v>
      </c>
    </row>
    <row r="64" spans="1:12" x14ac:dyDescent="0.25">
      <c r="A64">
        <f>COUNTA($B$2:B64)</f>
        <v>63</v>
      </c>
      <c r="B64" t="str">
        <v>COMELC</v>
      </c>
      <c r="C64" t="str">
        <v>COMOFFOldOEEUE</v>
      </c>
      <c r="D64">
        <f t="array" ref="D64">COUNTA(_xlfn.UNIQUE(_xlfn._xlws.FILTER('COM TECH'!$K:$K,('COM TECH'!$L:$L=C64)*('COM TECH'!$N:$N=1))))</f>
        <v>2</v>
      </c>
      <c r="I64">
        <v>63</v>
      </c>
      <c r="J64" t="s">
        <v>106</v>
      </c>
      <c r="K64" t="s">
        <v>3155</v>
      </c>
      <c r="L64">
        <v>2</v>
      </c>
    </row>
    <row r="65" spans="1:12" x14ac:dyDescent="0.25">
      <c r="A65">
        <f>COUNTA($B$2:B65)</f>
        <v>64</v>
      </c>
      <c r="B65" t="str">
        <v>COMELC</v>
      </c>
      <c r="C65" t="str">
        <v>COMHOPOldSHEUE</v>
      </c>
      <c r="D65">
        <f t="array" ref="D65">COUNTA(_xlfn.UNIQUE(_xlfn._xlws.FILTER('COM TECH'!$K:$K,('COM TECH'!$L:$L=C65)*('COM TECH'!$N:$N=1))))</f>
        <v>3</v>
      </c>
      <c r="I65">
        <v>64</v>
      </c>
      <c r="J65" t="s">
        <v>106</v>
      </c>
      <c r="K65" t="s">
        <v>850</v>
      </c>
      <c r="L65">
        <v>3</v>
      </c>
    </row>
    <row r="66" spans="1:12" x14ac:dyDescent="0.25">
      <c r="A66">
        <f>COUNTA($B$2:B66)</f>
        <v>65</v>
      </c>
      <c r="B66" t="str">
        <v>COMNGA</v>
      </c>
      <c r="C66" t="str">
        <v>COMHOPOldSHEUE</v>
      </c>
      <c r="D66">
        <f t="array" ref="D66">COUNTA(_xlfn.UNIQUE(_xlfn._xlws.FILTER('COM TECH'!$K:$K,('COM TECH'!$L:$L=C66)*('COM TECH'!$N:$N=1))))</f>
        <v>3</v>
      </c>
      <c r="I66">
        <v>65</v>
      </c>
      <c r="J66" t="s">
        <v>133</v>
      </c>
      <c r="K66" t="s">
        <v>850</v>
      </c>
      <c r="L66">
        <v>3</v>
      </c>
    </row>
    <row r="67" spans="1:12" x14ac:dyDescent="0.25">
      <c r="A67">
        <f>COUNTA($B$2:B67)</f>
        <v>66</v>
      </c>
      <c r="B67" t="str">
        <v>COMFOI</v>
      </c>
      <c r="C67" t="str">
        <v>COMHOPOldSHEUE</v>
      </c>
      <c r="D67">
        <f t="array" ref="D67">COUNTA(_xlfn.UNIQUE(_xlfn._xlws.FILTER('COM TECH'!$K:$K,('COM TECH'!$L:$L=C67)*('COM TECH'!$N:$N=1))))</f>
        <v>3</v>
      </c>
      <c r="I67">
        <v>66</v>
      </c>
      <c r="J67" t="s">
        <v>138</v>
      </c>
      <c r="K67" t="s">
        <v>850</v>
      </c>
      <c r="L67">
        <v>3</v>
      </c>
    </row>
    <row r="68" spans="1:12" x14ac:dyDescent="0.25">
      <c r="A68">
        <f>COUNTA($B$2:B68)</f>
        <v>67</v>
      </c>
      <c r="B68" t="str">
        <v>COMLPG</v>
      </c>
      <c r="C68" t="str">
        <v>COMHOPOldSHEUE</v>
      </c>
      <c r="D68">
        <f t="array" ref="D68">COUNTA(_xlfn.UNIQUE(_xlfn._xlws.FILTER('COM TECH'!$K:$K,('COM TECH'!$L:$L=C68)*('COM TECH'!$N:$N=1))))</f>
        <v>3</v>
      </c>
      <c r="I68">
        <v>67</v>
      </c>
      <c r="J68" t="s">
        <v>3487</v>
      </c>
      <c r="K68" t="s">
        <v>850</v>
      </c>
      <c r="L68">
        <v>3</v>
      </c>
    </row>
    <row r="69" spans="1:12" x14ac:dyDescent="0.25">
      <c r="A69">
        <f>COUNTA($B$2:B69)</f>
        <v>68</v>
      </c>
      <c r="B69" t="str">
        <v>COMSTM</v>
      </c>
      <c r="C69" t="str">
        <v>COMHOPOldSHEUE</v>
      </c>
      <c r="D69">
        <f t="array" ref="D69">COUNTA(_xlfn.UNIQUE(_xlfn._xlws.FILTER('COM TECH'!$K:$K,('COM TECH'!$L:$L=C69)*('COM TECH'!$N:$N=1))))</f>
        <v>3</v>
      </c>
      <c r="I69">
        <v>68</v>
      </c>
      <c r="J69" t="s">
        <v>3495</v>
      </c>
      <c r="K69" t="s">
        <v>850</v>
      </c>
      <c r="L69">
        <v>3</v>
      </c>
    </row>
    <row r="70" spans="1:12" x14ac:dyDescent="0.25">
      <c r="A70">
        <f>COUNTA($B$2:B70)</f>
        <v>69</v>
      </c>
      <c r="B70" t="str">
        <v>COMELC</v>
      </c>
      <c r="C70" t="str">
        <v>COMHOPOldSCEUE</v>
      </c>
      <c r="D70">
        <f t="array" ref="D70">COUNTA(_xlfn.UNIQUE(_xlfn._xlws.FILTER('COM TECH'!$K:$K,('COM TECH'!$L:$L=C70)*('COM TECH'!$N:$N=1))))</f>
        <v>2</v>
      </c>
      <c r="I70">
        <v>69</v>
      </c>
      <c r="J70" t="s">
        <v>106</v>
      </c>
      <c r="K70" t="s">
        <v>863</v>
      </c>
      <c r="L70">
        <v>2</v>
      </c>
    </row>
    <row r="71" spans="1:12" x14ac:dyDescent="0.25">
      <c r="A71">
        <f>COUNTA($B$2:B71)</f>
        <v>70</v>
      </c>
      <c r="B71" t="str">
        <v>COMELC</v>
      </c>
      <c r="C71" t="str">
        <v>COMHOPOldVTEUE</v>
      </c>
      <c r="D71">
        <f t="array" ref="D71">COUNTA(_xlfn.UNIQUE(_xlfn._xlws.FILTER('COM TECH'!$K:$K,('COM TECH'!$L:$L=C71)*('COM TECH'!$N:$N=1))))</f>
        <v>1</v>
      </c>
      <c r="I71">
        <v>70</v>
      </c>
      <c r="J71" t="s">
        <v>106</v>
      </c>
      <c r="K71" t="s">
        <v>907</v>
      </c>
      <c r="L71">
        <v>1</v>
      </c>
    </row>
    <row r="72" spans="1:12" x14ac:dyDescent="0.25">
      <c r="A72">
        <f>COUNTA($B$2:B72)</f>
        <v>71</v>
      </c>
      <c r="B72" t="str">
        <v>COMFOI</v>
      </c>
      <c r="C72" t="str">
        <v>COMHOPOldWHEUE</v>
      </c>
      <c r="D72">
        <f t="array" ref="D72">COUNTA(_xlfn.UNIQUE(_xlfn._xlws.FILTER('COM TECH'!$K:$K,('COM TECH'!$L:$L=C72)*('COM TECH'!$N:$N=1))))</f>
        <v>3</v>
      </c>
      <c r="I72">
        <v>71</v>
      </c>
      <c r="J72" t="s">
        <v>138</v>
      </c>
      <c r="K72" t="s">
        <v>900</v>
      </c>
      <c r="L72">
        <v>3</v>
      </c>
    </row>
    <row r="73" spans="1:12" x14ac:dyDescent="0.25">
      <c r="A73">
        <f>COUNTA($B$2:B73)</f>
        <v>72</v>
      </c>
      <c r="B73" t="str">
        <v>COMNGA</v>
      </c>
      <c r="C73" t="str">
        <v>COMHOPOldWHEUE</v>
      </c>
      <c r="D73">
        <f t="array" ref="D73">COUNTA(_xlfn.UNIQUE(_xlfn._xlws.FILTER('COM TECH'!$K:$K,('COM TECH'!$L:$L=C73)*('COM TECH'!$N:$N=1))))</f>
        <v>3</v>
      </c>
      <c r="I73">
        <v>72</v>
      </c>
      <c r="J73" t="s">
        <v>133</v>
      </c>
      <c r="K73" t="s">
        <v>900</v>
      </c>
      <c r="L73">
        <v>3</v>
      </c>
    </row>
    <row r="74" spans="1:12" x14ac:dyDescent="0.25">
      <c r="A74">
        <f>COUNTA($B$2:B74)</f>
        <v>73</v>
      </c>
      <c r="B74" t="str">
        <v>COMSTM</v>
      </c>
      <c r="C74" t="str">
        <v>COMHOPOldWHEUE</v>
      </c>
      <c r="D74">
        <f t="array" ref="D74">COUNTA(_xlfn.UNIQUE(_xlfn._xlws.FILTER('COM TECH'!$K:$K,('COM TECH'!$L:$L=C74)*('COM TECH'!$N:$N=1))))</f>
        <v>3</v>
      </c>
      <c r="I74">
        <v>73</v>
      </c>
      <c r="J74" t="s">
        <v>3495</v>
      </c>
      <c r="K74" t="s">
        <v>900</v>
      </c>
      <c r="L74">
        <v>3</v>
      </c>
    </row>
    <row r="75" spans="1:12" x14ac:dyDescent="0.25">
      <c r="A75">
        <f>COUNTA($B$2:B75)</f>
        <v>74</v>
      </c>
      <c r="B75" t="str">
        <v>COMELC</v>
      </c>
      <c r="C75" t="str">
        <v>COMHOPOldWHEUE</v>
      </c>
      <c r="D75">
        <f t="array" ref="D75">COUNTA(_xlfn.UNIQUE(_xlfn._xlws.FILTER('COM TECH'!$K:$K,('COM TECH'!$L:$L=C75)*('COM TECH'!$N:$N=1))))</f>
        <v>3</v>
      </c>
      <c r="I75">
        <v>74</v>
      </c>
      <c r="J75" t="s">
        <v>106</v>
      </c>
      <c r="K75" t="s">
        <v>900</v>
      </c>
      <c r="L75">
        <v>3</v>
      </c>
    </row>
    <row r="76" spans="1:12" x14ac:dyDescent="0.25">
      <c r="A76">
        <f>COUNTA($B$2:B76)</f>
        <v>75</v>
      </c>
      <c r="B76" t="str">
        <v>COMELC</v>
      </c>
      <c r="C76" t="str">
        <v>COMHOPOldLTEUE</v>
      </c>
      <c r="D76">
        <f t="array" ref="D76">COUNTA(_xlfn.UNIQUE(_xlfn._xlws.FILTER('COM TECH'!$K:$K,('COM TECH'!$L:$L=C76)*('COM TECH'!$N:$N=1))))</f>
        <v>1</v>
      </c>
      <c r="I76">
        <v>75</v>
      </c>
      <c r="J76" t="s">
        <v>106</v>
      </c>
      <c r="K76" t="s">
        <v>925</v>
      </c>
      <c r="L76">
        <v>1</v>
      </c>
    </row>
    <row r="77" spans="1:12" x14ac:dyDescent="0.25">
      <c r="A77">
        <f>COUNTA($B$2:B77)</f>
        <v>76</v>
      </c>
      <c r="B77" t="str">
        <v>COMFOI</v>
      </c>
      <c r="C77" t="str">
        <v>COMHOPOldCKEUE</v>
      </c>
      <c r="D77">
        <f t="array" ref="D77">COUNTA(_xlfn.UNIQUE(_xlfn._xlws.FILTER('COM TECH'!$K:$K,('COM TECH'!$L:$L=C77)*('COM TECH'!$N:$N=1))))</f>
        <v>1</v>
      </c>
      <c r="I77">
        <v>76</v>
      </c>
      <c r="J77" t="s">
        <v>138</v>
      </c>
      <c r="K77" t="s">
        <v>3123</v>
      </c>
      <c r="L77">
        <v>1</v>
      </c>
    </row>
    <row r="78" spans="1:12" x14ac:dyDescent="0.25">
      <c r="A78">
        <f>COUNTA($B$2:B78)</f>
        <v>77</v>
      </c>
      <c r="B78" t="str">
        <v>COMNGA</v>
      </c>
      <c r="C78" t="str">
        <v>COMHOPOldCKEUE</v>
      </c>
      <c r="D78">
        <f t="array" ref="D78">COUNTA(_xlfn.UNIQUE(_xlfn._xlws.FILTER('COM TECH'!$K:$K,('COM TECH'!$L:$L=C78)*('COM TECH'!$N:$N=1))))</f>
        <v>1</v>
      </c>
      <c r="I78">
        <v>77</v>
      </c>
      <c r="J78" t="s">
        <v>133</v>
      </c>
      <c r="K78" t="s">
        <v>3123</v>
      </c>
      <c r="L78">
        <v>1</v>
      </c>
    </row>
    <row r="79" spans="1:12" x14ac:dyDescent="0.25">
      <c r="A79">
        <f>COUNTA($B$2:B79)</f>
        <v>78</v>
      </c>
      <c r="B79" t="str">
        <v>COMSTM</v>
      </c>
      <c r="C79" t="str">
        <v>COMHOPOldCKEUE</v>
      </c>
      <c r="D79">
        <f t="array" ref="D79">COUNTA(_xlfn.UNIQUE(_xlfn._xlws.FILTER('COM TECH'!$K:$K,('COM TECH'!$L:$L=C79)*('COM TECH'!$N:$N=1))))</f>
        <v>1</v>
      </c>
      <c r="I79">
        <v>78</v>
      </c>
      <c r="J79" t="s">
        <v>3495</v>
      </c>
      <c r="K79" t="s">
        <v>3123</v>
      </c>
      <c r="L79">
        <v>1</v>
      </c>
    </row>
    <row r="80" spans="1:12" x14ac:dyDescent="0.25">
      <c r="A80">
        <f>COUNTA($B$2:B80)</f>
        <v>79</v>
      </c>
      <c r="B80" t="str">
        <v>COMELC</v>
      </c>
      <c r="C80" t="str">
        <v>COMHOPOldCKEUE</v>
      </c>
      <c r="D80">
        <f t="array" ref="D80">COUNTA(_xlfn.UNIQUE(_xlfn._xlws.FILTER('COM TECH'!$K:$K,('COM TECH'!$L:$L=C80)*('COM TECH'!$N:$N=1))))</f>
        <v>1</v>
      </c>
      <c r="I80">
        <v>79</v>
      </c>
      <c r="J80" t="s">
        <v>106</v>
      </c>
      <c r="K80" t="s">
        <v>3123</v>
      </c>
      <c r="L80">
        <v>1</v>
      </c>
    </row>
    <row r="81" spans="1:12" x14ac:dyDescent="0.25">
      <c r="A81">
        <f>COUNTA($B$2:B81)</f>
        <v>80</v>
      </c>
      <c r="B81" t="str">
        <v>COMELC</v>
      </c>
      <c r="C81" t="str">
        <v>COMHOPOldREEUE</v>
      </c>
      <c r="D81">
        <f t="array" ref="D81">COUNTA(_xlfn.UNIQUE(_xlfn._xlws.FILTER('COM TECH'!$K:$K,('COM TECH'!$L:$L=C81)*('COM TECH'!$N:$N=1))))</f>
        <v>1</v>
      </c>
      <c r="I81">
        <v>80</v>
      </c>
      <c r="J81" t="s">
        <v>106</v>
      </c>
      <c r="K81" t="s">
        <v>996</v>
      </c>
      <c r="L81">
        <v>1</v>
      </c>
    </row>
    <row r="82" spans="1:12" x14ac:dyDescent="0.25">
      <c r="A82">
        <f>COUNTA($B$2:B82)</f>
        <v>81</v>
      </c>
      <c r="B82" t="str">
        <v>COMFOI</v>
      </c>
      <c r="C82" t="str">
        <v>COMHOPOldOEEUE</v>
      </c>
      <c r="D82">
        <f t="array" ref="D82">COUNTA(_xlfn.UNIQUE(_xlfn._xlws.FILTER('COM TECH'!$K:$K,('COM TECH'!$L:$L=C82)*('COM TECH'!$N:$N=1))))</f>
        <v>2</v>
      </c>
      <c r="I82">
        <v>81</v>
      </c>
      <c r="J82" t="s">
        <v>138</v>
      </c>
      <c r="K82" t="s">
        <v>3157</v>
      </c>
      <c r="L82">
        <v>2</v>
      </c>
    </row>
    <row r="83" spans="1:12" x14ac:dyDescent="0.25">
      <c r="A83">
        <f>COUNTA($B$2:B83)</f>
        <v>82</v>
      </c>
      <c r="B83" t="str">
        <v>COMNGA</v>
      </c>
      <c r="C83" t="str">
        <v>COMHOPOldOEEUE</v>
      </c>
      <c r="D83">
        <f t="array" ref="D83">COUNTA(_xlfn.UNIQUE(_xlfn._xlws.FILTER('COM TECH'!$K:$K,('COM TECH'!$L:$L=C83)*('COM TECH'!$N:$N=1))))</f>
        <v>2</v>
      </c>
      <c r="I83">
        <v>82</v>
      </c>
      <c r="J83" t="s">
        <v>133</v>
      </c>
      <c r="K83" t="s">
        <v>3157</v>
      </c>
      <c r="L83">
        <v>2</v>
      </c>
    </row>
    <row r="84" spans="1:12" x14ac:dyDescent="0.25">
      <c r="A84">
        <f>COUNTA($B$2:B84)</f>
        <v>83</v>
      </c>
      <c r="B84" t="str">
        <v>COMSTM</v>
      </c>
      <c r="C84" t="str">
        <v>COMHOPOldOEEUE</v>
      </c>
      <c r="D84">
        <f t="array" ref="D84">COUNTA(_xlfn.UNIQUE(_xlfn._xlws.FILTER('COM TECH'!$K:$K,('COM TECH'!$L:$L=C84)*('COM TECH'!$N:$N=1))))</f>
        <v>2</v>
      </c>
      <c r="I84">
        <v>83</v>
      </c>
      <c r="J84" t="s">
        <v>3495</v>
      </c>
      <c r="K84" t="s">
        <v>3157</v>
      </c>
      <c r="L84">
        <v>2</v>
      </c>
    </row>
    <row r="85" spans="1:12" x14ac:dyDescent="0.25">
      <c r="A85">
        <f>COUNTA($B$2:B85)</f>
        <v>84</v>
      </c>
      <c r="B85" t="str">
        <v>COMELC</v>
      </c>
      <c r="C85" t="str">
        <v>COMHOPOldOEEUE</v>
      </c>
      <c r="D85">
        <f t="array" ref="D85">COUNTA(_xlfn.UNIQUE(_xlfn._xlws.FILTER('COM TECH'!$K:$K,('COM TECH'!$L:$L=C85)*('COM TECH'!$N:$N=1))))</f>
        <v>2</v>
      </c>
      <c r="I85">
        <v>84</v>
      </c>
      <c r="J85" t="s">
        <v>106</v>
      </c>
      <c r="K85" t="s">
        <v>3157</v>
      </c>
      <c r="L85">
        <v>2</v>
      </c>
    </row>
    <row r="86" spans="1:12" x14ac:dyDescent="0.25">
      <c r="A86">
        <f>COUNTA($B$2:B86)</f>
        <v>85</v>
      </c>
      <c r="B86" t="str">
        <v>COMELC</v>
      </c>
      <c r="C86" t="str">
        <v>COMEDUOldSHEUE</v>
      </c>
      <c r="D86">
        <f t="array" ref="D86">COUNTA(_xlfn.UNIQUE(_xlfn._xlws.FILTER('COM TECH'!$K:$K,('COM TECH'!$L:$L=C86)*('COM TECH'!$N:$N=1))))</f>
        <v>3</v>
      </c>
      <c r="I86">
        <v>85</v>
      </c>
      <c r="J86" t="s">
        <v>106</v>
      </c>
      <c r="K86" t="s">
        <v>1025</v>
      </c>
      <c r="L86">
        <v>3</v>
      </c>
    </row>
    <row r="87" spans="1:12" x14ac:dyDescent="0.25">
      <c r="A87">
        <f>COUNTA($B$2:B87)</f>
        <v>86</v>
      </c>
      <c r="B87" t="str">
        <v>COMNGA</v>
      </c>
      <c r="C87" t="str">
        <v>COMEDUOldSHEUE</v>
      </c>
      <c r="D87">
        <f t="array" ref="D87">COUNTA(_xlfn.UNIQUE(_xlfn._xlws.FILTER('COM TECH'!$K:$K,('COM TECH'!$L:$L=C87)*('COM TECH'!$N:$N=1))))</f>
        <v>3</v>
      </c>
      <c r="I87">
        <v>86</v>
      </c>
      <c r="J87" t="s">
        <v>133</v>
      </c>
      <c r="K87" t="s">
        <v>1025</v>
      </c>
      <c r="L87">
        <v>3</v>
      </c>
    </row>
    <row r="88" spans="1:12" x14ac:dyDescent="0.25">
      <c r="A88">
        <f>COUNTA($B$2:B88)</f>
        <v>87</v>
      </c>
      <c r="B88" t="str">
        <v>COMFOI</v>
      </c>
      <c r="C88" t="str">
        <v>COMEDUOldSHEUE</v>
      </c>
      <c r="D88">
        <f t="array" ref="D88">COUNTA(_xlfn.UNIQUE(_xlfn._xlws.FILTER('COM TECH'!$K:$K,('COM TECH'!$L:$L=C88)*('COM TECH'!$N:$N=1))))</f>
        <v>3</v>
      </c>
      <c r="I88">
        <v>87</v>
      </c>
      <c r="J88" t="s">
        <v>138</v>
      </c>
      <c r="K88" t="s">
        <v>1025</v>
      </c>
      <c r="L88">
        <v>3</v>
      </c>
    </row>
    <row r="89" spans="1:12" x14ac:dyDescent="0.25">
      <c r="A89">
        <f>COUNTA($B$2:B89)</f>
        <v>88</v>
      </c>
      <c r="B89" t="str">
        <v>COMLPG</v>
      </c>
      <c r="C89" t="str">
        <v>COMEDUOldSHEUE</v>
      </c>
      <c r="D89">
        <f t="array" ref="D89">COUNTA(_xlfn.UNIQUE(_xlfn._xlws.FILTER('COM TECH'!$K:$K,('COM TECH'!$L:$L=C89)*('COM TECH'!$N:$N=1))))</f>
        <v>3</v>
      </c>
      <c r="I89">
        <v>88</v>
      </c>
      <c r="J89" t="s">
        <v>3487</v>
      </c>
      <c r="K89" t="s">
        <v>1025</v>
      </c>
      <c r="L89">
        <v>3</v>
      </c>
    </row>
    <row r="90" spans="1:12" x14ac:dyDescent="0.25">
      <c r="A90">
        <f>COUNTA($B$2:B90)</f>
        <v>89</v>
      </c>
      <c r="B90" t="str">
        <v>COMSTM</v>
      </c>
      <c r="C90" t="str">
        <v>COMEDUOldSHEUE</v>
      </c>
      <c r="D90">
        <f t="array" ref="D90">COUNTA(_xlfn.UNIQUE(_xlfn._xlws.FILTER('COM TECH'!$K:$K,('COM TECH'!$L:$L=C90)*('COM TECH'!$N:$N=1))))</f>
        <v>3</v>
      </c>
      <c r="I90">
        <v>89</v>
      </c>
      <c r="J90" t="s">
        <v>3495</v>
      </c>
      <c r="K90" t="s">
        <v>1025</v>
      </c>
      <c r="L90">
        <v>3</v>
      </c>
    </row>
    <row r="91" spans="1:12" x14ac:dyDescent="0.25">
      <c r="A91">
        <f>COUNTA($B$2:B91)</f>
        <v>90</v>
      </c>
      <c r="B91" t="str">
        <v>COMELC</v>
      </c>
      <c r="C91" t="str">
        <v>COMEDUOldSCEUE</v>
      </c>
      <c r="D91">
        <f t="array" ref="D91">COUNTA(_xlfn.UNIQUE(_xlfn._xlws.FILTER('COM TECH'!$K:$K,('COM TECH'!$L:$L=C91)*('COM TECH'!$N:$N=1))))</f>
        <v>2</v>
      </c>
      <c r="I91">
        <v>90</v>
      </c>
      <c r="J91" t="s">
        <v>106</v>
      </c>
      <c r="K91" t="s">
        <v>1038</v>
      </c>
      <c r="L91">
        <v>2</v>
      </c>
    </row>
    <row r="92" spans="1:12" x14ac:dyDescent="0.25">
      <c r="A92">
        <f>COUNTA($B$2:B92)</f>
        <v>91</v>
      </c>
      <c r="B92" t="str">
        <v>COMELC</v>
      </c>
      <c r="C92" t="str">
        <v>COMEDUOldVTEUE</v>
      </c>
      <c r="D92">
        <f t="array" ref="D92">COUNTA(_xlfn.UNIQUE(_xlfn._xlws.FILTER('COM TECH'!$K:$K,('COM TECH'!$L:$L=C92)*('COM TECH'!$N:$N=1))))</f>
        <v>1</v>
      </c>
      <c r="I92">
        <v>91</v>
      </c>
      <c r="J92" t="s">
        <v>106</v>
      </c>
      <c r="K92" t="s">
        <v>1082</v>
      </c>
      <c r="L92">
        <v>1</v>
      </c>
    </row>
    <row r="93" spans="1:12" x14ac:dyDescent="0.25">
      <c r="A93">
        <f>COUNTA($B$2:B93)</f>
        <v>92</v>
      </c>
      <c r="B93" t="str">
        <v>COMFOI</v>
      </c>
      <c r="C93" t="str">
        <v>COMEDUOldWHEUE</v>
      </c>
      <c r="D93">
        <f t="array" ref="D93">COUNTA(_xlfn.UNIQUE(_xlfn._xlws.FILTER('COM TECH'!$K:$K,('COM TECH'!$L:$L=C93)*('COM TECH'!$N:$N=1))))</f>
        <v>3</v>
      </c>
      <c r="I93">
        <v>92</v>
      </c>
      <c r="J93" t="s">
        <v>138</v>
      </c>
      <c r="K93" t="s">
        <v>1075</v>
      </c>
      <c r="L93">
        <v>3</v>
      </c>
    </row>
    <row r="94" spans="1:12" x14ac:dyDescent="0.25">
      <c r="A94">
        <f>COUNTA($B$2:B94)</f>
        <v>93</v>
      </c>
      <c r="B94" t="str">
        <v>COMNGA</v>
      </c>
      <c r="C94" t="str">
        <v>COMEDUOldWHEUE</v>
      </c>
      <c r="D94">
        <f t="array" ref="D94">COUNTA(_xlfn.UNIQUE(_xlfn._xlws.FILTER('COM TECH'!$K:$K,('COM TECH'!$L:$L=C94)*('COM TECH'!$N:$N=1))))</f>
        <v>3</v>
      </c>
      <c r="I94">
        <v>93</v>
      </c>
      <c r="J94" t="s">
        <v>133</v>
      </c>
      <c r="K94" t="s">
        <v>1075</v>
      </c>
      <c r="L94">
        <v>3</v>
      </c>
    </row>
    <row r="95" spans="1:12" x14ac:dyDescent="0.25">
      <c r="A95">
        <f>COUNTA($B$2:B95)</f>
        <v>94</v>
      </c>
      <c r="B95" t="str">
        <v>COMSTM</v>
      </c>
      <c r="C95" t="str">
        <v>COMEDUOldWHEUE</v>
      </c>
      <c r="D95">
        <f t="array" ref="D95">COUNTA(_xlfn.UNIQUE(_xlfn._xlws.FILTER('COM TECH'!$K:$K,('COM TECH'!$L:$L=C95)*('COM TECH'!$N:$N=1))))</f>
        <v>3</v>
      </c>
      <c r="I95">
        <v>94</v>
      </c>
      <c r="J95" t="s">
        <v>3495</v>
      </c>
      <c r="K95" t="s">
        <v>1075</v>
      </c>
      <c r="L95">
        <v>3</v>
      </c>
    </row>
    <row r="96" spans="1:12" x14ac:dyDescent="0.25">
      <c r="A96">
        <f>COUNTA($B$2:B96)</f>
        <v>95</v>
      </c>
      <c r="B96" t="str">
        <v>COMELC</v>
      </c>
      <c r="C96" t="str">
        <v>COMEDUOldWHEUE</v>
      </c>
      <c r="D96">
        <f t="array" ref="D96">COUNTA(_xlfn.UNIQUE(_xlfn._xlws.FILTER('COM TECH'!$K:$K,('COM TECH'!$L:$L=C96)*('COM TECH'!$N:$N=1))))</f>
        <v>3</v>
      </c>
      <c r="I96">
        <v>95</v>
      </c>
      <c r="J96" t="s">
        <v>106</v>
      </c>
      <c r="K96" t="s">
        <v>1075</v>
      </c>
      <c r="L96">
        <v>3</v>
      </c>
    </row>
    <row r="97" spans="1:12" x14ac:dyDescent="0.25">
      <c r="A97">
        <f>COUNTA($B$2:B97)</f>
        <v>96</v>
      </c>
      <c r="B97" t="str">
        <v>COMELC</v>
      </c>
      <c r="C97" t="str">
        <v>COMEDUOldLTEUE</v>
      </c>
      <c r="D97">
        <f t="array" ref="D97">COUNTA(_xlfn.UNIQUE(_xlfn._xlws.FILTER('COM TECH'!$K:$K,('COM TECH'!$L:$L=C97)*('COM TECH'!$N:$N=1))))</f>
        <v>1</v>
      </c>
      <c r="I97">
        <v>96</v>
      </c>
      <c r="J97" t="s">
        <v>106</v>
      </c>
      <c r="K97" t="s">
        <v>1100</v>
      </c>
      <c r="L97">
        <v>1</v>
      </c>
    </row>
    <row r="98" spans="1:12" x14ac:dyDescent="0.25">
      <c r="A98">
        <f>COUNTA($B$2:B98)</f>
        <v>97</v>
      </c>
      <c r="B98" t="str">
        <v>COMFOI</v>
      </c>
      <c r="C98" t="str">
        <v>COMEDUOldCKEUE</v>
      </c>
      <c r="D98">
        <f t="array" ref="D98">COUNTA(_xlfn.UNIQUE(_xlfn._xlws.FILTER('COM TECH'!$K:$K,('COM TECH'!$L:$L=C98)*('COM TECH'!$N:$N=1))))</f>
        <v>1</v>
      </c>
      <c r="I98">
        <v>97</v>
      </c>
      <c r="J98" t="s">
        <v>138</v>
      </c>
      <c r="K98" t="s">
        <v>3125</v>
      </c>
      <c r="L98">
        <v>1</v>
      </c>
    </row>
    <row r="99" spans="1:12" x14ac:dyDescent="0.25">
      <c r="A99">
        <f>COUNTA($B$2:B99)</f>
        <v>98</v>
      </c>
      <c r="B99" t="str">
        <v>COMNGA</v>
      </c>
      <c r="C99" t="str">
        <v>COMEDUOldCKEUE</v>
      </c>
      <c r="D99">
        <f t="array" ref="D99">COUNTA(_xlfn.UNIQUE(_xlfn._xlws.FILTER('COM TECH'!$K:$K,('COM TECH'!$L:$L=C99)*('COM TECH'!$N:$N=1))))</f>
        <v>1</v>
      </c>
      <c r="I99">
        <v>98</v>
      </c>
      <c r="J99" t="s">
        <v>133</v>
      </c>
      <c r="K99" t="s">
        <v>3125</v>
      </c>
      <c r="L99">
        <v>1</v>
      </c>
    </row>
    <row r="100" spans="1:12" x14ac:dyDescent="0.25">
      <c r="A100">
        <f>COUNTA($B$2:B100)</f>
        <v>99</v>
      </c>
      <c r="B100" t="str">
        <v>COMSTM</v>
      </c>
      <c r="C100" t="str">
        <v>COMEDUOldCKEUE</v>
      </c>
      <c r="D100">
        <f t="array" ref="D100">COUNTA(_xlfn.UNIQUE(_xlfn._xlws.FILTER('COM TECH'!$K:$K,('COM TECH'!$L:$L=C100)*('COM TECH'!$N:$N=1))))</f>
        <v>1</v>
      </c>
      <c r="I100">
        <v>99</v>
      </c>
      <c r="J100" t="s">
        <v>3495</v>
      </c>
      <c r="K100" t="s">
        <v>3125</v>
      </c>
      <c r="L100">
        <v>1</v>
      </c>
    </row>
    <row r="101" spans="1:12" x14ac:dyDescent="0.25">
      <c r="A101">
        <f>COUNTA($B$2:B101)</f>
        <v>100</v>
      </c>
      <c r="B101" t="str">
        <v>COMELC</v>
      </c>
      <c r="C101" t="str">
        <v>COMEDUOldCKEUE</v>
      </c>
      <c r="D101">
        <f t="array" ref="D101">COUNTA(_xlfn.UNIQUE(_xlfn._xlws.FILTER('COM TECH'!$K:$K,('COM TECH'!$L:$L=C101)*('COM TECH'!$N:$N=1))))</f>
        <v>1</v>
      </c>
      <c r="I101">
        <v>100</v>
      </c>
      <c r="J101" t="s">
        <v>106</v>
      </c>
      <c r="K101" t="s">
        <v>3125</v>
      </c>
      <c r="L101">
        <v>1</v>
      </c>
    </row>
    <row r="102" spans="1:12" x14ac:dyDescent="0.25">
      <c r="A102">
        <f>COUNTA($B$2:B102)</f>
        <v>101</v>
      </c>
      <c r="B102" t="str">
        <v>COMELC</v>
      </c>
      <c r="C102" t="str">
        <v>COMEDUOldREEUE</v>
      </c>
      <c r="D102">
        <f t="array" ref="D102">COUNTA(_xlfn.UNIQUE(_xlfn._xlws.FILTER('COM TECH'!$K:$K,('COM TECH'!$L:$L=C102)*('COM TECH'!$N:$N=1))))</f>
        <v>1</v>
      </c>
      <c r="I102">
        <v>101</v>
      </c>
      <c r="J102" t="s">
        <v>106</v>
      </c>
      <c r="K102" t="s">
        <v>1171</v>
      </c>
      <c r="L102">
        <v>1</v>
      </c>
    </row>
    <row r="103" spans="1:12" x14ac:dyDescent="0.25">
      <c r="A103">
        <f>COUNTA($B$2:B103)</f>
        <v>102</v>
      </c>
      <c r="B103" t="str">
        <v>COMFOI</v>
      </c>
      <c r="C103" t="str">
        <v>COMEDUOldOEEUE</v>
      </c>
      <c r="D103">
        <f t="array" ref="D103">COUNTA(_xlfn.UNIQUE(_xlfn._xlws.FILTER('COM TECH'!$K:$K,('COM TECH'!$L:$L=C103)*('COM TECH'!$N:$N=1))))</f>
        <v>2</v>
      </c>
      <c r="I103">
        <v>102</v>
      </c>
      <c r="J103" t="s">
        <v>138</v>
      </c>
      <c r="K103" t="s">
        <v>3159</v>
      </c>
      <c r="L103">
        <v>2</v>
      </c>
    </row>
    <row r="104" spans="1:12" x14ac:dyDescent="0.25">
      <c r="A104">
        <f>COUNTA($B$2:B104)</f>
        <v>103</v>
      </c>
      <c r="B104" t="str">
        <v>COMNGA</v>
      </c>
      <c r="C104" t="str">
        <v>COMEDUOldOEEUE</v>
      </c>
      <c r="D104">
        <f t="array" ref="D104">COUNTA(_xlfn.UNIQUE(_xlfn._xlws.FILTER('COM TECH'!$K:$K,('COM TECH'!$L:$L=C104)*('COM TECH'!$N:$N=1))))</f>
        <v>2</v>
      </c>
      <c r="I104">
        <v>103</v>
      </c>
      <c r="J104" t="s">
        <v>133</v>
      </c>
      <c r="K104" t="s">
        <v>3159</v>
      </c>
      <c r="L104">
        <v>2</v>
      </c>
    </row>
    <row r="105" spans="1:12" x14ac:dyDescent="0.25">
      <c r="A105">
        <f>COUNTA($B$2:B105)</f>
        <v>104</v>
      </c>
      <c r="B105" t="str">
        <v>COMSTM</v>
      </c>
      <c r="C105" t="str">
        <v>COMEDUOldOEEUE</v>
      </c>
      <c r="D105">
        <f t="array" ref="D105">COUNTA(_xlfn.UNIQUE(_xlfn._xlws.FILTER('COM TECH'!$K:$K,('COM TECH'!$L:$L=C105)*('COM TECH'!$N:$N=1))))</f>
        <v>2</v>
      </c>
      <c r="I105">
        <v>104</v>
      </c>
      <c r="J105" t="s">
        <v>3495</v>
      </c>
      <c r="K105" t="s">
        <v>3159</v>
      </c>
      <c r="L105">
        <v>2</v>
      </c>
    </row>
    <row r="106" spans="1:12" x14ac:dyDescent="0.25">
      <c r="A106">
        <f>COUNTA($B$2:B106)</f>
        <v>105</v>
      </c>
      <c r="B106" t="str">
        <v>COMELC</v>
      </c>
      <c r="C106" t="str">
        <v>COMEDUOldOEEUE</v>
      </c>
      <c r="D106">
        <f t="array" ref="D106">COUNTA(_xlfn.UNIQUE(_xlfn._xlws.FILTER('COM TECH'!$K:$K,('COM TECH'!$L:$L=C106)*('COM TECH'!$N:$N=1))))</f>
        <v>2</v>
      </c>
      <c r="I106">
        <v>105</v>
      </c>
      <c r="J106" t="s">
        <v>106</v>
      </c>
      <c r="K106" t="s">
        <v>3159</v>
      </c>
      <c r="L106">
        <v>2</v>
      </c>
    </row>
    <row r="107" spans="1:12" x14ac:dyDescent="0.25">
      <c r="A107">
        <f>COUNTA($B$2:B107)</f>
        <v>106</v>
      </c>
      <c r="B107" t="str">
        <v>COMELC</v>
      </c>
      <c r="C107" t="str">
        <v>COMWAROldSHEUE</v>
      </c>
      <c r="D107">
        <f t="array" ref="D107">COUNTA(_xlfn.UNIQUE(_xlfn._xlws.FILTER('COM TECH'!$K:$K,('COM TECH'!$L:$L=C107)*('COM TECH'!$N:$N=1))))</f>
        <v>3</v>
      </c>
      <c r="I107">
        <v>106</v>
      </c>
      <c r="J107" t="s">
        <v>106</v>
      </c>
      <c r="K107" t="s">
        <v>1200</v>
      </c>
      <c r="L107">
        <v>3</v>
      </c>
    </row>
    <row r="108" spans="1:12" x14ac:dyDescent="0.25">
      <c r="A108">
        <f>COUNTA($B$2:B108)</f>
        <v>107</v>
      </c>
      <c r="B108" t="str">
        <v>COMNGA</v>
      </c>
      <c r="C108" t="str">
        <v>COMWAROldSHEUE</v>
      </c>
      <c r="D108">
        <f t="array" ref="D108">COUNTA(_xlfn.UNIQUE(_xlfn._xlws.FILTER('COM TECH'!$K:$K,('COM TECH'!$L:$L=C108)*('COM TECH'!$N:$N=1))))</f>
        <v>3</v>
      </c>
      <c r="I108">
        <v>107</v>
      </c>
      <c r="J108" t="s">
        <v>133</v>
      </c>
      <c r="K108" t="s">
        <v>1200</v>
      </c>
      <c r="L108">
        <v>3</v>
      </c>
    </row>
    <row r="109" spans="1:12" x14ac:dyDescent="0.25">
      <c r="A109">
        <f>COUNTA($B$2:B109)</f>
        <v>108</v>
      </c>
      <c r="B109" t="str">
        <v>COMFOI</v>
      </c>
      <c r="C109" t="str">
        <v>COMWAROldSHEUE</v>
      </c>
      <c r="D109">
        <f t="array" ref="D109">COUNTA(_xlfn.UNIQUE(_xlfn._xlws.FILTER('COM TECH'!$K:$K,('COM TECH'!$L:$L=C109)*('COM TECH'!$N:$N=1))))</f>
        <v>3</v>
      </c>
      <c r="I109">
        <v>108</v>
      </c>
      <c r="J109" t="s">
        <v>138</v>
      </c>
      <c r="K109" t="s">
        <v>1200</v>
      </c>
      <c r="L109">
        <v>3</v>
      </c>
    </row>
    <row r="110" spans="1:12" x14ac:dyDescent="0.25">
      <c r="A110">
        <f>COUNTA($B$2:B110)</f>
        <v>109</v>
      </c>
      <c r="B110" t="str">
        <v>COMLPG</v>
      </c>
      <c r="C110" t="str">
        <v>COMWAROldSHEUE</v>
      </c>
      <c r="D110">
        <f t="array" ref="D110">COUNTA(_xlfn.UNIQUE(_xlfn._xlws.FILTER('COM TECH'!$K:$K,('COM TECH'!$L:$L=C110)*('COM TECH'!$N:$N=1))))</f>
        <v>3</v>
      </c>
      <c r="I110">
        <v>109</v>
      </c>
      <c r="J110" t="s">
        <v>3487</v>
      </c>
      <c r="K110" t="s">
        <v>1200</v>
      </c>
      <c r="L110">
        <v>3</v>
      </c>
    </row>
    <row r="111" spans="1:12" x14ac:dyDescent="0.25">
      <c r="A111">
        <f>COUNTA($B$2:B111)</f>
        <v>110</v>
      </c>
      <c r="B111" t="str">
        <v>COMSTM</v>
      </c>
      <c r="C111" t="str">
        <v>COMWAROldSHEUE</v>
      </c>
      <c r="D111">
        <f t="array" ref="D111">COUNTA(_xlfn.UNIQUE(_xlfn._xlws.FILTER('COM TECH'!$K:$K,('COM TECH'!$L:$L=C111)*('COM TECH'!$N:$N=1))))</f>
        <v>3</v>
      </c>
      <c r="I111">
        <v>110</v>
      </c>
      <c r="J111" t="s">
        <v>3495</v>
      </c>
      <c r="K111" t="s">
        <v>1200</v>
      </c>
      <c r="L111">
        <v>3</v>
      </c>
    </row>
    <row r="112" spans="1:12" x14ac:dyDescent="0.25">
      <c r="A112">
        <f>COUNTA($B$2:B112)</f>
        <v>111</v>
      </c>
      <c r="B112" t="str">
        <v>COMELC</v>
      </c>
      <c r="C112" t="str">
        <v>COMWAROldSCEUE</v>
      </c>
      <c r="D112">
        <f t="array" ref="D112">COUNTA(_xlfn.UNIQUE(_xlfn._xlws.FILTER('COM TECH'!$K:$K,('COM TECH'!$L:$L=C112)*('COM TECH'!$N:$N=1))))</f>
        <v>2</v>
      </c>
      <c r="I112">
        <v>111</v>
      </c>
      <c r="J112" t="s">
        <v>106</v>
      </c>
      <c r="K112" t="s">
        <v>1213</v>
      </c>
      <c r="L112">
        <v>2</v>
      </c>
    </row>
    <row r="113" spans="1:12" x14ac:dyDescent="0.25">
      <c r="A113">
        <f>COUNTA($B$2:B113)</f>
        <v>112</v>
      </c>
      <c r="B113" t="str">
        <v>COMELC</v>
      </c>
      <c r="C113" t="str">
        <v>COMWAROldVTEUE</v>
      </c>
      <c r="D113">
        <f t="array" ref="D113">COUNTA(_xlfn.UNIQUE(_xlfn._xlws.FILTER('COM TECH'!$K:$K,('COM TECH'!$L:$L=C113)*('COM TECH'!$N:$N=1))))</f>
        <v>1</v>
      </c>
      <c r="I113">
        <v>112</v>
      </c>
      <c r="J113" t="s">
        <v>106</v>
      </c>
      <c r="K113" t="s">
        <v>1257</v>
      </c>
      <c r="L113">
        <v>1</v>
      </c>
    </row>
    <row r="114" spans="1:12" x14ac:dyDescent="0.25">
      <c r="A114">
        <f>COUNTA($B$2:B114)</f>
        <v>113</v>
      </c>
      <c r="B114" t="str">
        <v>COMFOI</v>
      </c>
      <c r="C114" t="str">
        <v>COMWAROldWHEUE</v>
      </c>
      <c r="D114">
        <f t="array" ref="D114">COUNTA(_xlfn.UNIQUE(_xlfn._xlws.FILTER('COM TECH'!$K:$K,('COM TECH'!$L:$L=C114)*('COM TECH'!$N:$N=1))))</f>
        <v>3</v>
      </c>
      <c r="I114">
        <v>113</v>
      </c>
      <c r="J114" t="s">
        <v>138</v>
      </c>
      <c r="K114" t="s">
        <v>1250</v>
      </c>
      <c r="L114">
        <v>3</v>
      </c>
    </row>
    <row r="115" spans="1:12" x14ac:dyDescent="0.25">
      <c r="A115">
        <f>COUNTA($B$2:B115)</f>
        <v>114</v>
      </c>
      <c r="B115" t="str">
        <v>COMNGA</v>
      </c>
      <c r="C115" t="str">
        <v>COMWAROldWHEUE</v>
      </c>
      <c r="D115">
        <f t="array" ref="D115">COUNTA(_xlfn.UNIQUE(_xlfn._xlws.FILTER('COM TECH'!$K:$K,('COM TECH'!$L:$L=C115)*('COM TECH'!$N:$N=1))))</f>
        <v>3</v>
      </c>
      <c r="I115">
        <v>114</v>
      </c>
      <c r="J115" t="s">
        <v>133</v>
      </c>
      <c r="K115" t="s">
        <v>1250</v>
      </c>
      <c r="L115">
        <v>3</v>
      </c>
    </row>
    <row r="116" spans="1:12" x14ac:dyDescent="0.25">
      <c r="A116">
        <f>COUNTA($B$2:B116)</f>
        <v>115</v>
      </c>
      <c r="B116" t="str">
        <v>COMSTM</v>
      </c>
      <c r="C116" t="str">
        <v>COMWAROldWHEUE</v>
      </c>
      <c r="D116">
        <f t="array" ref="D116">COUNTA(_xlfn.UNIQUE(_xlfn._xlws.FILTER('COM TECH'!$K:$K,('COM TECH'!$L:$L=C116)*('COM TECH'!$N:$N=1))))</f>
        <v>3</v>
      </c>
      <c r="I116">
        <v>115</v>
      </c>
      <c r="J116" t="s">
        <v>3495</v>
      </c>
      <c r="K116" t="s">
        <v>1250</v>
      </c>
      <c r="L116">
        <v>3</v>
      </c>
    </row>
    <row r="117" spans="1:12" x14ac:dyDescent="0.25">
      <c r="A117">
        <f>COUNTA($B$2:B117)</f>
        <v>116</v>
      </c>
      <c r="B117" t="str">
        <v>COMELC</v>
      </c>
      <c r="C117" t="str">
        <v>COMWAROldWHEUE</v>
      </c>
      <c r="D117">
        <f t="array" ref="D117">COUNTA(_xlfn.UNIQUE(_xlfn._xlws.FILTER('COM TECH'!$K:$K,('COM TECH'!$L:$L=C117)*('COM TECH'!$N:$N=1))))</f>
        <v>3</v>
      </c>
      <c r="I117">
        <v>116</v>
      </c>
      <c r="J117" t="s">
        <v>106</v>
      </c>
      <c r="K117" t="s">
        <v>1250</v>
      </c>
      <c r="L117">
        <v>3</v>
      </c>
    </row>
    <row r="118" spans="1:12" x14ac:dyDescent="0.25">
      <c r="A118">
        <f>COUNTA($B$2:B118)</f>
        <v>117</v>
      </c>
      <c r="B118" t="str">
        <v>COMELC</v>
      </c>
      <c r="C118" t="str">
        <v>COMWAROldLTEUE</v>
      </c>
      <c r="D118">
        <f t="array" ref="D118">COUNTA(_xlfn.UNIQUE(_xlfn._xlws.FILTER('COM TECH'!$K:$K,('COM TECH'!$L:$L=C118)*('COM TECH'!$N:$N=1))))</f>
        <v>1</v>
      </c>
      <c r="I118">
        <v>117</v>
      </c>
      <c r="J118" t="s">
        <v>106</v>
      </c>
      <c r="K118" t="s">
        <v>1275</v>
      </c>
      <c r="L118">
        <v>1</v>
      </c>
    </row>
    <row r="119" spans="1:12" x14ac:dyDescent="0.25">
      <c r="A119">
        <f>COUNTA($B$2:B119)</f>
        <v>118</v>
      </c>
      <c r="B119" t="str">
        <v>COMFOI</v>
      </c>
      <c r="C119" t="str">
        <v>COMWAROldCKEUE</v>
      </c>
      <c r="D119">
        <f t="array" ref="D119">COUNTA(_xlfn.UNIQUE(_xlfn._xlws.FILTER('COM TECH'!$K:$K,('COM TECH'!$L:$L=C119)*('COM TECH'!$N:$N=1))))</f>
        <v>1</v>
      </c>
      <c r="I119">
        <v>118</v>
      </c>
      <c r="J119" t="s">
        <v>138</v>
      </c>
      <c r="K119" t="s">
        <v>3127</v>
      </c>
      <c r="L119">
        <v>1</v>
      </c>
    </row>
    <row r="120" spans="1:12" x14ac:dyDescent="0.25">
      <c r="A120">
        <f>COUNTA($B$2:B120)</f>
        <v>119</v>
      </c>
      <c r="B120" t="str">
        <v>COMNGA</v>
      </c>
      <c r="C120" t="str">
        <v>COMWAROldCKEUE</v>
      </c>
      <c r="D120">
        <f t="array" ref="D120">COUNTA(_xlfn.UNIQUE(_xlfn._xlws.FILTER('COM TECH'!$K:$K,('COM TECH'!$L:$L=C120)*('COM TECH'!$N:$N=1))))</f>
        <v>1</v>
      </c>
      <c r="I120">
        <v>119</v>
      </c>
      <c r="J120" t="s">
        <v>133</v>
      </c>
      <c r="K120" t="s">
        <v>3127</v>
      </c>
      <c r="L120">
        <v>1</v>
      </c>
    </row>
    <row r="121" spans="1:12" x14ac:dyDescent="0.25">
      <c r="A121">
        <f>COUNTA($B$2:B121)</f>
        <v>120</v>
      </c>
      <c r="B121" t="str">
        <v>COMSTM</v>
      </c>
      <c r="C121" t="str">
        <v>COMWAROldCKEUE</v>
      </c>
      <c r="D121">
        <f t="array" ref="D121">COUNTA(_xlfn.UNIQUE(_xlfn._xlws.FILTER('COM TECH'!$K:$K,('COM TECH'!$L:$L=C121)*('COM TECH'!$N:$N=1))))</f>
        <v>1</v>
      </c>
      <c r="I121">
        <v>120</v>
      </c>
      <c r="J121" t="s">
        <v>3495</v>
      </c>
      <c r="K121" t="s">
        <v>3127</v>
      </c>
      <c r="L121">
        <v>1</v>
      </c>
    </row>
    <row r="122" spans="1:12" x14ac:dyDescent="0.25">
      <c r="A122">
        <f>COUNTA($B$2:B122)</f>
        <v>121</v>
      </c>
      <c r="B122" t="str">
        <v>COMELC</v>
      </c>
      <c r="C122" t="str">
        <v>COMWAROldCKEUE</v>
      </c>
      <c r="D122">
        <f t="array" ref="D122">COUNTA(_xlfn.UNIQUE(_xlfn._xlws.FILTER('COM TECH'!$K:$K,('COM TECH'!$L:$L=C122)*('COM TECH'!$N:$N=1))))</f>
        <v>1</v>
      </c>
      <c r="I122">
        <v>121</v>
      </c>
      <c r="J122" t="s">
        <v>106</v>
      </c>
      <c r="K122" t="s">
        <v>3127</v>
      </c>
      <c r="L122">
        <v>1</v>
      </c>
    </row>
    <row r="123" spans="1:12" x14ac:dyDescent="0.25">
      <c r="A123">
        <f>COUNTA($B$2:B123)</f>
        <v>122</v>
      </c>
      <c r="B123" t="str">
        <v>COMELC</v>
      </c>
      <c r="C123" t="str">
        <v>COMWAROldREEUE</v>
      </c>
      <c r="D123">
        <f t="array" ref="D123">COUNTA(_xlfn.UNIQUE(_xlfn._xlws.FILTER('COM TECH'!$K:$K,('COM TECH'!$L:$L=C123)*('COM TECH'!$N:$N=1))))</f>
        <v>1</v>
      </c>
      <c r="I123">
        <v>122</v>
      </c>
      <c r="J123" t="s">
        <v>106</v>
      </c>
      <c r="K123" t="s">
        <v>1346</v>
      </c>
      <c r="L123">
        <v>1</v>
      </c>
    </row>
    <row r="124" spans="1:12" x14ac:dyDescent="0.25">
      <c r="A124">
        <f>COUNTA($B$2:B124)</f>
        <v>123</v>
      </c>
      <c r="B124" t="str">
        <v>COMFOI</v>
      </c>
      <c r="C124" t="str">
        <v>COMWAROldOEEUE</v>
      </c>
      <c r="D124">
        <f t="array" ref="D124">COUNTA(_xlfn.UNIQUE(_xlfn._xlws.FILTER('COM TECH'!$K:$K,('COM TECH'!$L:$L=C124)*('COM TECH'!$N:$N=1))))</f>
        <v>2</v>
      </c>
      <c r="I124">
        <v>123</v>
      </c>
      <c r="J124" t="s">
        <v>138</v>
      </c>
      <c r="K124" t="s">
        <v>3161</v>
      </c>
      <c r="L124">
        <v>2</v>
      </c>
    </row>
    <row r="125" spans="1:12" x14ac:dyDescent="0.25">
      <c r="A125">
        <f>COUNTA($B$2:B125)</f>
        <v>124</v>
      </c>
      <c r="B125" t="str">
        <v>COMNGA</v>
      </c>
      <c r="C125" t="str">
        <v>COMWAROldOEEUE</v>
      </c>
      <c r="D125">
        <f t="array" ref="D125">COUNTA(_xlfn.UNIQUE(_xlfn._xlws.FILTER('COM TECH'!$K:$K,('COM TECH'!$L:$L=C125)*('COM TECH'!$N:$N=1))))</f>
        <v>2</v>
      </c>
      <c r="I125">
        <v>124</v>
      </c>
      <c r="J125" t="s">
        <v>133</v>
      </c>
      <c r="K125" t="s">
        <v>3161</v>
      </c>
      <c r="L125">
        <v>2</v>
      </c>
    </row>
    <row r="126" spans="1:12" x14ac:dyDescent="0.25">
      <c r="A126">
        <f>COUNTA($B$2:B126)</f>
        <v>125</v>
      </c>
      <c r="B126" t="str">
        <v>COMSTM</v>
      </c>
      <c r="C126" t="str">
        <v>COMWAROldOEEUE</v>
      </c>
      <c r="D126">
        <f t="array" ref="D126">COUNTA(_xlfn.UNIQUE(_xlfn._xlws.FILTER('COM TECH'!$K:$K,('COM TECH'!$L:$L=C126)*('COM TECH'!$N:$N=1))))</f>
        <v>2</v>
      </c>
      <c r="I126">
        <v>125</v>
      </c>
      <c r="J126" t="s">
        <v>3495</v>
      </c>
      <c r="K126" t="s">
        <v>3161</v>
      </c>
      <c r="L126">
        <v>2</v>
      </c>
    </row>
    <row r="127" spans="1:12" x14ac:dyDescent="0.25">
      <c r="A127">
        <f>COUNTA($B$2:B127)</f>
        <v>126</v>
      </c>
      <c r="B127" t="str">
        <v>COMELC</v>
      </c>
      <c r="C127" t="str">
        <v>COMWAROldOEEUE</v>
      </c>
      <c r="D127">
        <f t="array" ref="D127">COUNTA(_xlfn.UNIQUE(_xlfn._xlws.FILTER('COM TECH'!$K:$K,('COM TECH'!$L:$L=C127)*('COM TECH'!$N:$N=1))))</f>
        <v>2</v>
      </c>
      <c r="I127">
        <v>126</v>
      </c>
      <c r="J127" t="s">
        <v>106</v>
      </c>
      <c r="K127" t="s">
        <v>3161</v>
      </c>
      <c r="L127">
        <v>2</v>
      </c>
    </row>
    <row r="128" spans="1:12" x14ac:dyDescent="0.25">
      <c r="A128">
        <f>COUNTA($B$2:B128)</f>
        <v>127</v>
      </c>
      <c r="B128" t="str">
        <v>COMELC</v>
      </c>
      <c r="C128" t="str">
        <v>COMMUNOldSHEUE</v>
      </c>
      <c r="D128">
        <f t="array" ref="D128">COUNTA(_xlfn.UNIQUE(_xlfn._xlws.FILTER('COM TECH'!$K:$K,('COM TECH'!$L:$L=C128)*('COM TECH'!$N:$N=1))))</f>
        <v>3</v>
      </c>
      <c r="I128">
        <v>127</v>
      </c>
      <c r="J128" t="s">
        <v>106</v>
      </c>
      <c r="K128" t="s">
        <v>1375</v>
      </c>
      <c r="L128">
        <v>3</v>
      </c>
    </row>
    <row r="129" spans="1:12" x14ac:dyDescent="0.25">
      <c r="A129">
        <f>COUNTA($B$2:B129)</f>
        <v>128</v>
      </c>
      <c r="B129" t="str">
        <v>COMNGA</v>
      </c>
      <c r="C129" t="str">
        <v>COMMUNOldSHEUE</v>
      </c>
      <c r="D129">
        <f t="array" ref="D129">COUNTA(_xlfn.UNIQUE(_xlfn._xlws.FILTER('COM TECH'!$K:$K,('COM TECH'!$L:$L=C129)*('COM TECH'!$N:$N=1))))</f>
        <v>3</v>
      </c>
      <c r="I129">
        <v>128</v>
      </c>
      <c r="J129" t="s">
        <v>133</v>
      </c>
      <c r="K129" t="s">
        <v>1375</v>
      </c>
      <c r="L129">
        <v>3</v>
      </c>
    </row>
    <row r="130" spans="1:12" x14ac:dyDescent="0.25">
      <c r="A130">
        <f>COUNTA($B$2:B130)</f>
        <v>129</v>
      </c>
      <c r="B130" t="str">
        <v>COMFOI</v>
      </c>
      <c r="C130" t="str">
        <v>COMMUNOldSHEUE</v>
      </c>
      <c r="D130">
        <f t="array" ref="D130">COUNTA(_xlfn.UNIQUE(_xlfn._xlws.FILTER('COM TECH'!$K:$K,('COM TECH'!$L:$L=C130)*('COM TECH'!$N:$N=1))))</f>
        <v>3</v>
      </c>
      <c r="I130">
        <v>129</v>
      </c>
      <c r="J130" t="s">
        <v>138</v>
      </c>
      <c r="K130" t="s">
        <v>1375</v>
      </c>
      <c r="L130">
        <v>3</v>
      </c>
    </row>
    <row r="131" spans="1:12" x14ac:dyDescent="0.25">
      <c r="A131">
        <f>COUNTA($B$2:B131)</f>
        <v>130</v>
      </c>
      <c r="B131" t="str">
        <v>COMLPG</v>
      </c>
      <c r="C131" t="str">
        <v>COMMUNOldSHEUE</v>
      </c>
      <c r="D131">
        <f t="array" ref="D131">COUNTA(_xlfn.UNIQUE(_xlfn._xlws.FILTER('COM TECH'!$K:$K,('COM TECH'!$L:$L=C131)*('COM TECH'!$N:$N=1))))</f>
        <v>3</v>
      </c>
      <c r="I131">
        <v>130</v>
      </c>
      <c r="J131" t="s">
        <v>3487</v>
      </c>
      <c r="K131" t="s">
        <v>1375</v>
      </c>
      <c r="L131">
        <v>3</v>
      </c>
    </row>
    <row r="132" spans="1:12" x14ac:dyDescent="0.25">
      <c r="A132">
        <f>COUNTA($B$2:B132)</f>
        <v>131</v>
      </c>
      <c r="B132" t="str">
        <v>COMSTM</v>
      </c>
      <c r="C132" t="str">
        <v>COMMUNOldSHEUE</v>
      </c>
      <c r="D132">
        <f t="array" ref="D132">COUNTA(_xlfn.UNIQUE(_xlfn._xlws.FILTER('COM TECH'!$K:$K,('COM TECH'!$L:$L=C132)*('COM TECH'!$N:$N=1))))</f>
        <v>3</v>
      </c>
      <c r="I132">
        <v>131</v>
      </c>
      <c r="J132" t="s">
        <v>3495</v>
      </c>
      <c r="K132" t="s">
        <v>1375</v>
      </c>
      <c r="L132">
        <v>3</v>
      </c>
    </row>
    <row r="133" spans="1:12" x14ac:dyDescent="0.25">
      <c r="A133">
        <f>COUNTA($B$2:B133)</f>
        <v>132</v>
      </c>
      <c r="B133" t="str">
        <v>COMELC</v>
      </c>
      <c r="C133" t="str">
        <v>COMMUNOldSCEUE</v>
      </c>
      <c r="D133">
        <f t="array" ref="D133">COUNTA(_xlfn.UNIQUE(_xlfn._xlws.FILTER('COM TECH'!$K:$K,('COM TECH'!$L:$L=C133)*('COM TECH'!$N:$N=1))))</f>
        <v>2</v>
      </c>
      <c r="I133">
        <v>132</v>
      </c>
      <c r="J133" t="s">
        <v>106</v>
      </c>
      <c r="K133" t="s">
        <v>1387</v>
      </c>
      <c r="L133">
        <v>2</v>
      </c>
    </row>
    <row r="134" spans="1:12" x14ac:dyDescent="0.25">
      <c r="A134">
        <f>COUNTA($B$2:B134)</f>
        <v>133</v>
      </c>
      <c r="B134" t="str">
        <v>COMELC</v>
      </c>
      <c r="C134" t="str">
        <v>COMMUNOldVTEUE</v>
      </c>
      <c r="D134">
        <f t="array" ref="D134">COUNTA(_xlfn.UNIQUE(_xlfn._xlws.FILTER('COM TECH'!$K:$K,('COM TECH'!$L:$L=C134)*('COM TECH'!$N:$N=1))))</f>
        <v>1</v>
      </c>
      <c r="I134">
        <v>133</v>
      </c>
      <c r="J134" t="s">
        <v>106</v>
      </c>
      <c r="K134" t="s">
        <v>1431</v>
      </c>
      <c r="L134">
        <v>1</v>
      </c>
    </row>
    <row r="135" spans="1:12" x14ac:dyDescent="0.25">
      <c r="A135">
        <f>COUNTA($B$2:B135)</f>
        <v>134</v>
      </c>
      <c r="B135" t="str">
        <v>COMFOI</v>
      </c>
      <c r="C135" t="str">
        <v>COMMUNOldWHEUE</v>
      </c>
      <c r="D135">
        <f t="array" ref="D135">COUNTA(_xlfn.UNIQUE(_xlfn._xlws.FILTER('COM TECH'!$K:$K,('COM TECH'!$L:$L=C135)*('COM TECH'!$N:$N=1))))</f>
        <v>3</v>
      </c>
      <c r="I135">
        <v>134</v>
      </c>
      <c r="J135" t="s">
        <v>138</v>
      </c>
      <c r="K135" t="s">
        <v>1424</v>
      </c>
      <c r="L135">
        <v>3</v>
      </c>
    </row>
    <row r="136" spans="1:12" x14ac:dyDescent="0.25">
      <c r="A136">
        <f>COUNTA($B$2:B136)</f>
        <v>135</v>
      </c>
      <c r="B136" t="str">
        <v>COMNGA</v>
      </c>
      <c r="C136" t="str">
        <v>COMMUNOldWHEUE</v>
      </c>
      <c r="D136">
        <f t="array" ref="D136">COUNTA(_xlfn.UNIQUE(_xlfn._xlws.FILTER('COM TECH'!$K:$K,('COM TECH'!$L:$L=C136)*('COM TECH'!$N:$N=1))))</f>
        <v>3</v>
      </c>
      <c r="I136">
        <v>135</v>
      </c>
      <c r="J136" t="s">
        <v>133</v>
      </c>
      <c r="K136" t="s">
        <v>1424</v>
      </c>
      <c r="L136">
        <v>3</v>
      </c>
    </row>
    <row r="137" spans="1:12" x14ac:dyDescent="0.25">
      <c r="A137">
        <f>COUNTA($B$2:B137)</f>
        <v>136</v>
      </c>
      <c r="B137" t="str">
        <v>COMSTM</v>
      </c>
      <c r="C137" t="str">
        <v>COMMUNOldWHEUE</v>
      </c>
      <c r="D137">
        <f t="array" ref="D137">COUNTA(_xlfn.UNIQUE(_xlfn._xlws.FILTER('COM TECH'!$K:$K,('COM TECH'!$L:$L=C137)*('COM TECH'!$N:$N=1))))</f>
        <v>3</v>
      </c>
      <c r="I137">
        <v>136</v>
      </c>
      <c r="J137" t="s">
        <v>3495</v>
      </c>
      <c r="K137" t="s">
        <v>1424</v>
      </c>
      <c r="L137">
        <v>3</v>
      </c>
    </row>
    <row r="138" spans="1:12" x14ac:dyDescent="0.25">
      <c r="A138">
        <f>COUNTA($B$2:B138)</f>
        <v>137</v>
      </c>
      <c r="B138" t="str">
        <v>COMELC</v>
      </c>
      <c r="C138" t="str">
        <v>COMMUNOldWHEUE</v>
      </c>
      <c r="D138">
        <f t="array" ref="D138">COUNTA(_xlfn.UNIQUE(_xlfn._xlws.FILTER('COM TECH'!$K:$K,('COM TECH'!$L:$L=C138)*('COM TECH'!$N:$N=1))))</f>
        <v>3</v>
      </c>
      <c r="I138">
        <v>137</v>
      </c>
      <c r="J138" t="s">
        <v>106</v>
      </c>
      <c r="K138" t="s">
        <v>1424</v>
      </c>
      <c r="L138">
        <v>3</v>
      </c>
    </row>
    <row r="139" spans="1:12" x14ac:dyDescent="0.25">
      <c r="A139">
        <f>COUNTA($B$2:B139)</f>
        <v>138</v>
      </c>
      <c r="B139" t="str">
        <v>COMELC</v>
      </c>
      <c r="C139" t="str">
        <v>COMMUNOldLTEUE</v>
      </c>
      <c r="D139">
        <f t="array" ref="D139">COUNTA(_xlfn.UNIQUE(_xlfn._xlws.FILTER('COM TECH'!$K:$K,('COM TECH'!$L:$L=C139)*('COM TECH'!$N:$N=1))))</f>
        <v>1</v>
      </c>
      <c r="I139">
        <v>138</v>
      </c>
      <c r="J139" t="s">
        <v>106</v>
      </c>
      <c r="K139" t="s">
        <v>1449</v>
      </c>
      <c r="L139">
        <v>1</v>
      </c>
    </row>
    <row r="140" spans="1:12" x14ac:dyDescent="0.25">
      <c r="A140">
        <f>COUNTA($B$2:B140)</f>
        <v>139</v>
      </c>
      <c r="B140" t="str">
        <v>COMFOI</v>
      </c>
      <c r="C140" t="str">
        <v>COMMUNOldCKEUE</v>
      </c>
      <c r="D140">
        <f t="array" ref="D140">COUNTA(_xlfn.UNIQUE(_xlfn._xlws.FILTER('COM TECH'!$K:$K,('COM TECH'!$L:$L=C140)*('COM TECH'!$N:$N=1))))</f>
        <v>1</v>
      </c>
      <c r="I140">
        <v>139</v>
      </c>
      <c r="J140" t="s">
        <v>138</v>
      </c>
      <c r="K140" t="s">
        <v>3129</v>
      </c>
      <c r="L140">
        <v>1</v>
      </c>
    </row>
    <row r="141" spans="1:12" x14ac:dyDescent="0.25">
      <c r="A141">
        <f>COUNTA($B$2:B141)</f>
        <v>140</v>
      </c>
      <c r="B141" t="str">
        <v>COMNGA</v>
      </c>
      <c r="C141" t="str">
        <v>COMMUNOldCKEUE</v>
      </c>
      <c r="D141">
        <f t="array" ref="D141">COUNTA(_xlfn.UNIQUE(_xlfn._xlws.FILTER('COM TECH'!$K:$K,('COM TECH'!$L:$L=C141)*('COM TECH'!$N:$N=1))))</f>
        <v>1</v>
      </c>
      <c r="I141">
        <v>140</v>
      </c>
      <c r="J141" t="s">
        <v>133</v>
      </c>
      <c r="K141" t="s">
        <v>3129</v>
      </c>
      <c r="L141">
        <v>1</v>
      </c>
    </row>
    <row r="142" spans="1:12" x14ac:dyDescent="0.25">
      <c r="A142">
        <f>COUNTA($B$2:B142)</f>
        <v>141</v>
      </c>
      <c r="B142" t="str">
        <v>COMSTM</v>
      </c>
      <c r="C142" t="str">
        <v>COMMUNOldCKEUE</v>
      </c>
      <c r="D142">
        <f t="array" ref="D142">COUNTA(_xlfn.UNIQUE(_xlfn._xlws.FILTER('COM TECH'!$K:$K,('COM TECH'!$L:$L=C142)*('COM TECH'!$N:$N=1))))</f>
        <v>1</v>
      </c>
      <c r="I142">
        <v>141</v>
      </c>
      <c r="J142" t="s">
        <v>3495</v>
      </c>
      <c r="K142" t="s">
        <v>3129</v>
      </c>
      <c r="L142">
        <v>1</v>
      </c>
    </row>
    <row r="143" spans="1:12" x14ac:dyDescent="0.25">
      <c r="A143">
        <f>COUNTA($B$2:B143)</f>
        <v>142</v>
      </c>
      <c r="B143" t="str">
        <v>COMELC</v>
      </c>
      <c r="C143" t="str">
        <v>COMMUNOldCKEUE</v>
      </c>
      <c r="D143">
        <f t="array" ref="D143">COUNTA(_xlfn.UNIQUE(_xlfn._xlws.FILTER('COM TECH'!$K:$K,('COM TECH'!$L:$L=C143)*('COM TECH'!$N:$N=1))))</f>
        <v>1</v>
      </c>
      <c r="I143">
        <v>142</v>
      </c>
      <c r="J143" t="s">
        <v>106</v>
      </c>
      <c r="K143" t="s">
        <v>3129</v>
      </c>
      <c r="L143">
        <v>1</v>
      </c>
    </row>
    <row r="144" spans="1:12" x14ac:dyDescent="0.25">
      <c r="A144">
        <f>COUNTA($B$2:B144)</f>
        <v>143</v>
      </c>
      <c r="B144" t="str">
        <v>COMELC</v>
      </c>
      <c r="C144" t="str">
        <v>COMMUNOldREEUE</v>
      </c>
      <c r="D144">
        <f t="array" ref="D144">COUNTA(_xlfn.UNIQUE(_xlfn._xlws.FILTER('COM TECH'!$K:$K,('COM TECH'!$L:$L=C144)*('COM TECH'!$N:$N=1))))</f>
        <v>1</v>
      </c>
      <c r="I144">
        <v>143</v>
      </c>
      <c r="J144" t="s">
        <v>106</v>
      </c>
      <c r="K144" t="s">
        <v>1520</v>
      </c>
      <c r="L144">
        <v>1</v>
      </c>
    </row>
    <row r="145" spans="1:12" x14ac:dyDescent="0.25">
      <c r="A145">
        <f>COUNTA($B$2:B145)</f>
        <v>144</v>
      </c>
      <c r="B145" t="str">
        <v>COMFOI</v>
      </c>
      <c r="C145" t="str">
        <v>COMMUNOldOEEUE</v>
      </c>
      <c r="D145">
        <f t="array" ref="D145">COUNTA(_xlfn.UNIQUE(_xlfn._xlws.FILTER('COM TECH'!$K:$K,('COM TECH'!$L:$L=C145)*('COM TECH'!$N:$N=1))))</f>
        <v>2</v>
      </c>
      <c r="I145">
        <v>144</v>
      </c>
      <c r="J145" t="s">
        <v>138</v>
      </c>
      <c r="K145" t="s">
        <v>3163</v>
      </c>
      <c r="L145">
        <v>2</v>
      </c>
    </row>
    <row r="146" spans="1:12" x14ac:dyDescent="0.25">
      <c r="A146">
        <f>COUNTA($B$2:B146)</f>
        <v>145</v>
      </c>
      <c r="B146" t="str">
        <v>COMNGA</v>
      </c>
      <c r="C146" t="str">
        <v>COMMUNOldOEEUE</v>
      </c>
      <c r="D146">
        <f t="array" ref="D146">COUNTA(_xlfn.UNIQUE(_xlfn._xlws.FILTER('COM TECH'!$K:$K,('COM TECH'!$L:$L=C146)*('COM TECH'!$N:$N=1))))</f>
        <v>2</v>
      </c>
      <c r="I146">
        <v>145</v>
      </c>
      <c r="J146" t="s">
        <v>133</v>
      </c>
      <c r="K146" t="s">
        <v>3163</v>
      </c>
      <c r="L146">
        <v>2</v>
      </c>
    </row>
    <row r="147" spans="1:12" x14ac:dyDescent="0.25">
      <c r="A147">
        <f>COUNTA($B$2:B147)</f>
        <v>146</v>
      </c>
      <c r="B147" t="str">
        <v>COMSTM</v>
      </c>
      <c r="C147" t="str">
        <v>COMMUNOldOEEUE</v>
      </c>
      <c r="D147">
        <f t="array" ref="D147">COUNTA(_xlfn.UNIQUE(_xlfn._xlws.FILTER('COM TECH'!$K:$K,('COM TECH'!$L:$L=C147)*('COM TECH'!$N:$N=1))))</f>
        <v>2</v>
      </c>
      <c r="I147">
        <v>146</v>
      </c>
      <c r="J147" t="s">
        <v>3495</v>
      </c>
      <c r="K147" t="s">
        <v>3163</v>
      </c>
      <c r="L147">
        <v>2</v>
      </c>
    </row>
    <row r="148" spans="1:12" x14ac:dyDescent="0.25">
      <c r="A148">
        <f>COUNTA($B$2:B148)</f>
        <v>147</v>
      </c>
      <c r="B148" t="str">
        <v>COMELC</v>
      </c>
      <c r="C148" t="str">
        <v>COMMUNOldOEEUE</v>
      </c>
      <c r="D148">
        <f t="array" ref="D148">COUNTA(_xlfn.UNIQUE(_xlfn._xlws.FILTER('COM TECH'!$K:$K,('COM TECH'!$L:$L=C148)*('COM TECH'!$N:$N=1))))</f>
        <v>2</v>
      </c>
      <c r="I148">
        <v>147</v>
      </c>
      <c r="J148" t="s">
        <v>106</v>
      </c>
      <c r="K148" t="s">
        <v>3163</v>
      </c>
      <c r="L148">
        <v>2</v>
      </c>
    </row>
    <row r="149" spans="1:12" x14ac:dyDescent="0.25">
      <c r="A149">
        <f>COUNTA($B$2:B149)</f>
        <v>148</v>
      </c>
      <c r="B149" t="str">
        <v>COMELC</v>
      </c>
      <c r="C149" t="str">
        <v>COMOTHOldSHEUE</v>
      </c>
      <c r="D149">
        <f t="array" ref="D149">COUNTA(_xlfn.UNIQUE(_xlfn._xlws.FILTER('COM TECH'!$K:$K,('COM TECH'!$L:$L=C149)*('COM TECH'!$N:$N=1))))</f>
        <v>3</v>
      </c>
      <c r="I149">
        <v>148</v>
      </c>
      <c r="J149" t="s">
        <v>106</v>
      </c>
      <c r="K149" t="s">
        <v>1549</v>
      </c>
      <c r="L149">
        <v>3</v>
      </c>
    </row>
    <row r="150" spans="1:12" x14ac:dyDescent="0.25">
      <c r="A150">
        <f>COUNTA($B$2:B150)</f>
        <v>149</v>
      </c>
      <c r="B150" t="str">
        <v>COMNGA</v>
      </c>
      <c r="C150" t="str">
        <v>COMOTHOldSHEUE</v>
      </c>
      <c r="D150">
        <f t="array" ref="D150">COUNTA(_xlfn.UNIQUE(_xlfn._xlws.FILTER('COM TECH'!$K:$K,('COM TECH'!$L:$L=C150)*('COM TECH'!$N:$N=1))))</f>
        <v>3</v>
      </c>
      <c r="I150">
        <v>149</v>
      </c>
      <c r="J150" t="s">
        <v>133</v>
      </c>
      <c r="K150" t="s">
        <v>1549</v>
      </c>
      <c r="L150">
        <v>3</v>
      </c>
    </row>
    <row r="151" spans="1:12" x14ac:dyDescent="0.25">
      <c r="A151">
        <f>COUNTA($B$2:B151)</f>
        <v>150</v>
      </c>
      <c r="B151" t="str">
        <v>COMFOI</v>
      </c>
      <c r="C151" t="str">
        <v>COMOTHOldSHEUE</v>
      </c>
      <c r="D151">
        <f t="array" ref="D151">COUNTA(_xlfn.UNIQUE(_xlfn._xlws.FILTER('COM TECH'!$K:$K,('COM TECH'!$L:$L=C151)*('COM TECH'!$N:$N=1))))</f>
        <v>3</v>
      </c>
      <c r="I151">
        <v>150</v>
      </c>
      <c r="J151" t="s">
        <v>138</v>
      </c>
      <c r="K151" t="s">
        <v>1549</v>
      </c>
      <c r="L151">
        <v>3</v>
      </c>
    </row>
    <row r="152" spans="1:12" x14ac:dyDescent="0.25">
      <c r="A152">
        <f>COUNTA($B$2:B152)</f>
        <v>151</v>
      </c>
      <c r="B152" t="str">
        <v>COMLPG</v>
      </c>
      <c r="C152" t="str">
        <v>COMOTHOldSHEUE</v>
      </c>
      <c r="D152">
        <f t="array" ref="D152">COUNTA(_xlfn.UNIQUE(_xlfn._xlws.FILTER('COM TECH'!$K:$K,('COM TECH'!$L:$L=C152)*('COM TECH'!$N:$N=1))))</f>
        <v>3</v>
      </c>
      <c r="I152">
        <v>151</v>
      </c>
      <c r="J152" t="s">
        <v>3487</v>
      </c>
      <c r="K152" t="s">
        <v>1549</v>
      </c>
      <c r="L152">
        <v>3</v>
      </c>
    </row>
    <row r="153" spans="1:12" x14ac:dyDescent="0.25">
      <c r="A153">
        <f>COUNTA($B$2:B153)</f>
        <v>152</v>
      </c>
      <c r="B153" t="str">
        <v>COMSTM</v>
      </c>
      <c r="C153" t="str">
        <v>COMOTHOldSHEUE</v>
      </c>
      <c r="D153">
        <f t="array" ref="D153">COUNTA(_xlfn.UNIQUE(_xlfn._xlws.FILTER('COM TECH'!$K:$K,('COM TECH'!$L:$L=C153)*('COM TECH'!$N:$N=1))))</f>
        <v>3</v>
      </c>
      <c r="I153">
        <v>152</v>
      </c>
      <c r="J153" t="s">
        <v>3495</v>
      </c>
      <c r="K153" t="s">
        <v>1549</v>
      </c>
      <c r="L153">
        <v>3</v>
      </c>
    </row>
    <row r="154" spans="1:12" x14ac:dyDescent="0.25">
      <c r="A154">
        <f>COUNTA($B$2:B154)</f>
        <v>153</v>
      </c>
      <c r="B154" t="str">
        <v>COMELC</v>
      </c>
      <c r="C154" t="str">
        <v>COMOTHOldSCEUE</v>
      </c>
      <c r="D154">
        <f t="array" ref="D154">COUNTA(_xlfn.UNIQUE(_xlfn._xlws.FILTER('COM TECH'!$K:$K,('COM TECH'!$L:$L=C154)*('COM TECH'!$N:$N=1))))</f>
        <v>2</v>
      </c>
      <c r="I154">
        <v>153</v>
      </c>
      <c r="J154" t="s">
        <v>106</v>
      </c>
      <c r="K154" t="s">
        <v>1561</v>
      </c>
      <c r="L154">
        <v>2</v>
      </c>
    </row>
    <row r="155" spans="1:12" x14ac:dyDescent="0.25">
      <c r="A155">
        <f>COUNTA($B$2:B155)</f>
        <v>154</v>
      </c>
      <c r="B155" t="str">
        <v>COMELC</v>
      </c>
      <c r="C155" t="str">
        <v>COMOTHOldVTEUE</v>
      </c>
      <c r="D155">
        <f t="array" ref="D155">COUNTA(_xlfn.UNIQUE(_xlfn._xlws.FILTER('COM TECH'!$K:$K,('COM TECH'!$L:$L=C155)*('COM TECH'!$N:$N=1))))</f>
        <v>1</v>
      </c>
      <c r="I155">
        <v>154</v>
      </c>
      <c r="J155" t="s">
        <v>106</v>
      </c>
      <c r="K155" t="s">
        <v>1605</v>
      </c>
      <c r="L155">
        <v>1</v>
      </c>
    </row>
    <row r="156" spans="1:12" x14ac:dyDescent="0.25">
      <c r="A156">
        <f>COUNTA($B$2:B156)</f>
        <v>155</v>
      </c>
      <c r="B156" t="str">
        <v>COMFOI</v>
      </c>
      <c r="C156" t="str">
        <v>COMOTHOldWHEUE</v>
      </c>
      <c r="D156">
        <f t="array" ref="D156">COUNTA(_xlfn.UNIQUE(_xlfn._xlws.FILTER('COM TECH'!$K:$K,('COM TECH'!$L:$L=C156)*('COM TECH'!$N:$N=1))))</f>
        <v>3</v>
      </c>
      <c r="I156">
        <v>155</v>
      </c>
      <c r="J156" t="s">
        <v>138</v>
      </c>
      <c r="K156" t="s">
        <v>1598</v>
      </c>
      <c r="L156">
        <v>3</v>
      </c>
    </row>
    <row r="157" spans="1:12" x14ac:dyDescent="0.25">
      <c r="A157">
        <f>COUNTA($B$2:B157)</f>
        <v>156</v>
      </c>
      <c r="B157" t="str">
        <v>COMNGA</v>
      </c>
      <c r="C157" t="str">
        <v>COMOTHOldWHEUE</v>
      </c>
      <c r="D157">
        <f t="array" ref="D157">COUNTA(_xlfn.UNIQUE(_xlfn._xlws.FILTER('COM TECH'!$K:$K,('COM TECH'!$L:$L=C157)*('COM TECH'!$N:$N=1))))</f>
        <v>3</v>
      </c>
      <c r="I157">
        <v>156</v>
      </c>
      <c r="J157" t="s">
        <v>133</v>
      </c>
      <c r="K157" t="s">
        <v>1598</v>
      </c>
      <c r="L157">
        <v>3</v>
      </c>
    </row>
    <row r="158" spans="1:12" x14ac:dyDescent="0.25">
      <c r="A158">
        <f>COUNTA($B$2:B158)</f>
        <v>157</v>
      </c>
      <c r="B158" t="str">
        <v>COMSTM</v>
      </c>
      <c r="C158" t="str">
        <v>COMOTHOldWHEUE</v>
      </c>
      <c r="D158">
        <f t="array" ref="D158">COUNTA(_xlfn.UNIQUE(_xlfn._xlws.FILTER('COM TECH'!$K:$K,('COM TECH'!$L:$L=C158)*('COM TECH'!$N:$N=1))))</f>
        <v>3</v>
      </c>
      <c r="I158">
        <v>157</v>
      </c>
      <c r="J158" t="s">
        <v>3495</v>
      </c>
      <c r="K158" t="s">
        <v>1598</v>
      </c>
      <c r="L158">
        <v>3</v>
      </c>
    </row>
    <row r="159" spans="1:12" x14ac:dyDescent="0.25">
      <c r="A159">
        <f>COUNTA($B$2:B159)</f>
        <v>158</v>
      </c>
      <c r="B159" t="str">
        <v>COMELC</v>
      </c>
      <c r="C159" t="str">
        <v>COMOTHOldWHEUE</v>
      </c>
      <c r="D159">
        <f t="array" ref="D159">COUNTA(_xlfn.UNIQUE(_xlfn._xlws.FILTER('COM TECH'!$K:$K,('COM TECH'!$L:$L=C159)*('COM TECH'!$N:$N=1))))</f>
        <v>3</v>
      </c>
      <c r="I159">
        <v>158</v>
      </c>
      <c r="J159" t="s">
        <v>106</v>
      </c>
      <c r="K159" t="s">
        <v>1598</v>
      </c>
      <c r="L159">
        <v>3</v>
      </c>
    </row>
    <row r="160" spans="1:12" x14ac:dyDescent="0.25">
      <c r="A160">
        <f>COUNTA($B$2:B160)</f>
        <v>159</v>
      </c>
      <c r="B160" t="str">
        <v>COMELC</v>
      </c>
      <c r="C160" t="str">
        <v>COMOTHOldLTEUE</v>
      </c>
      <c r="D160">
        <f t="array" ref="D160">COUNTA(_xlfn.UNIQUE(_xlfn._xlws.FILTER('COM TECH'!$K:$K,('COM TECH'!$L:$L=C160)*('COM TECH'!$N:$N=1))))</f>
        <v>1</v>
      </c>
      <c r="I160">
        <v>159</v>
      </c>
      <c r="J160" t="s">
        <v>106</v>
      </c>
      <c r="K160" t="s">
        <v>1623</v>
      </c>
      <c r="L160">
        <v>1</v>
      </c>
    </row>
    <row r="161" spans="1:12" x14ac:dyDescent="0.25">
      <c r="A161">
        <f>COUNTA($B$2:B161)</f>
        <v>160</v>
      </c>
      <c r="B161" t="str">
        <v>COMFOI</v>
      </c>
      <c r="C161" t="str">
        <v>COMOTHOldCKEUE</v>
      </c>
      <c r="D161">
        <f t="array" ref="D161">COUNTA(_xlfn.UNIQUE(_xlfn._xlws.FILTER('COM TECH'!$K:$K,('COM TECH'!$L:$L=C161)*('COM TECH'!$N:$N=1))))</f>
        <v>1</v>
      </c>
      <c r="I161">
        <v>160</v>
      </c>
      <c r="J161" t="s">
        <v>138</v>
      </c>
      <c r="K161" t="s">
        <v>3131</v>
      </c>
      <c r="L161">
        <v>1</v>
      </c>
    </row>
    <row r="162" spans="1:12" x14ac:dyDescent="0.25">
      <c r="A162">
        <f>COUNTA($B$2:B162)</f>
        <v>161</v>
      </c>
      <c r="B162" t="str">
        <v>COMNGA</v>
      </c>
      <c r="C162" t="str">
        <v>COMOTHOldCKEUE</v>
      </c>
      <c r="D162">
        <f t="array" ref="D162">COUNTA(_xlfn.UNIQUE(_xlfn._xlws.FILTER('COM TECH'!$K:$K,('COM TECH'!$L:$L=C162)*('COM TECH'!$N:$N=1))))</f>
        <v>1</v>
      </c>
      <c r="I162">
        <v>161</v>
      </c>
      <c r="J162" t="s">
        <v>133</v>
      </c>
      <c r="K162" t="s">
        <v>3131</v>
      </c>
      <c r="L162">
        <v>1</v>
      </c>
    </row>
    <row r="163" spans="1:12" x14ac:dyDescent="0.25">
      <c r="A163">
        <f>COUNTA($B$2:B163)</f>
        <v>162</v>
      </c>
      <c r="B163" t="str">
        <v>COMSTM</v>
      </c>
      <c r="C163" t="str">
        <v>COMOTHOldCKEUE</v>
      </c>
      <c r="D163">
        <f t="array" ref="D163">COUNTA(_xlfn.UNIQUE(_xlfn._xlws.FILTER('COM TECH'!$K:$K,('COM TECH'!$L:$L=C163)*('COM TECH'!$N:$N=1))))</f>
        <v>1</v>
      </c>
      <c r="I163">
        <v>162</v>
      </c>
      <c r="J163" t="s">
        <v>3495</v>
      </c>
      <c r="K163" t="s">
        <v>3131</v>
      </c>
      <c r="L163">
        <v>1</v>
      </c>
    </row>
    <row r="164" spans="1:12" x14ac:dyDescent="0.25">
      <c r="A164">
        <f>COUNTA($B$2:B164)</f>
        <v>163</v>
      </c>
      <c r="B164" t="str">
        <v>COMELC</v>
      </c>
      <c r="C164" t="str">
        <v>COMOTHOldCKEUE</v>
      </c>
      <c r="D164">
        <f t="array" ref="D164">COUNTA(_xlfn.UNIQUE(_xlfn._xlws.FILTER('COM TECH'!$K:$K,('COM TECH'!$L:$L=C164)*('COM TECH'!$N:$N=1))))</f>
        <v>1</v>
      </c>
      <c r="I164">
        <v>163</v>
      </c>
      <c r="J164" t="s">
        <v>106</v>
      </c>
      <c r="K164" t="s">
        <v>3131</v>
      </c>
      <c r="L164">
        <v>1</v>
      </c>
    </row>
    <row r="165" spans="1:12" x14ac:dyDescent="0.25">
      <c r="A165">
        <f>COUNTA($B$2:B165)</f>
        <v>164</v>
      </c>
      <c r="B165" t="str">
        <v>COMELC</v>
      </c>
      <c r="C165" t="str">
        <v>COMOTHOldREEUE</v>
      </c>
      <c r="D165">
        <f t="array" ref="D165">COUNTA(_xlfn.UNIQUE(_xlfn._xlws.FILTER('COM TECH'!$K:$K,('COM TECH'!$L:$L=C165)*('COM TECH'!$N:$N=1))))</f>
        <v>1</v>
      </c>
      <c r="I165">
        <v>164</v>
      </c>
      <c r="J165" t="s">
        <v>106</v>
      </c>
      <c r="K165" t="s">
        <v>1694</v>
      </c>
      <c r="L165">
        <v>1</v>
      </c>
    </row>
    <row r="166" spans="1:12" x14ac:dyDescent="0.25">
      <c r="A166">
        <f>COUNTA($B$2:B166)</f>
        <v>165</v>
      </c>
      <c r="B166" t="str">
        <v>COMFOI</v>
      </c>
      <c r="C166" t="str">
        <v>COMOTHOldOEEUE</v>
      </c>
      <c r="D166">
        <f t="array" ref="D166">COUNTA(_xlfn.UNIQUE(_xlfn._xlws.FILTER('COM TECH'!$K:$K,('COM TECH'!$L:$L=C166)*('COM TECH'!$N:$N=1))))</f>
        <v>2</v>
      </c>
      <c r="I166">
        <v>165</v>
      </c>
      <c r="J166" t="s">
        <v>138</v>
      </c>
      <c r="K166" t="s">
        <v>3165</v>
      </c>
      <c r="L166">
        <v>2</v>
      </c>
    </row>
    <row r="167" spans="1:12" x14ac:dyDescent="0.25">
      <c r="A167">
        <f>COUNTA($B$2:B167)</f>
        <v>166</v>
      </c>
      <c r="B167" t="str">
        <v>COMNGA</v>
      </c>
      <c r="C167" t="str">
        <v>COMOTHOldOEEUE</v>
      </c>
      <c r="D167">
        <f t="array" ref="D167">COUNTA(_xlfn.UNIQUE(_xlfn._xlws.FILTER('COM TECH'!$K:$K,('COM TECH'!$L:$L=C167)*('COM TECH'!$N:$N=1))))</f>
        <v>2</v>
      </c>
      <c r="I167">
        <v>166</v>
      </c>
      <c r="J167" t="s">
        <v>133</v>
      </c>
      <c r="K167" t="s">
        <v>3165</v>
      </c>
      <c r="L167">
        <v>2</v>
      </c>
    </row>
    <row r="168" spans="1:12" x14ac:dyDescent="0.25">
      <c r="A168">
        <f>COUNTA($B$2:B168)</f>
        <v>167</v>
      </c>
      <c r="B168" t="str">
        <v>COMSTM</v>
      </c>
      <c r="C168" t="str">
        <v>COMOTHOldOEEUE</v>
      </c>
      <c r="D168">
        <f t="array" ref="D168">COUNTA(_xlfn.UNIQUE(_xlfn._xlws.FILTER('COM TECH'!$K:$K,('COM TECH'!$L:$L=C168)*('COM TECH'!$N:$N=1))))</f>
        <v>2</v>
      </c>
      <c r="I168">
        <v>167</v>
      </c>
      <c r="J168" t="s">
        <v>3495</v>
      </c>
      <c r="K168" t="s">
        <v>3165</v>
      </c>
      <c r="L168">
        <v>2</v>
      </c>
    </row>
    <row r="169" spans="1:12" x14ac:dyDescent="0.25">
      <c r="A169">
        <f>COUNTA($B$2:B169)</f>
        <v>168</v>
      </c>
      <c r="B169" t="str">
        <v>COMELC</v>
      </c>
      <c r="C169" t="str">
        <v>COMOTHOldOEEUE</v>
      </c>
      <c r="D169">
        <f t="array" ref="D169">COUNTA(_xlfn.UNIQUE(_xlfn._xlws.FILTER('COM TECH'!$K:$K,('COM TECH'!$L:$L=C169)*('COM TECH'!$N:$N=1))))</f>
        <v>2</v>
      </c>
      <c r="I169">
        <v>168</v>
      </c>
      <c r="J169" t="s">
        <v>106</v>
      </c>
      <c r="K169" t="s">
        <v>3165</v>
      </c>
      <c r="L16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/>
  </sheetPr>
  <dimension ref="A1"/>
  <sheetViews>
    <sheetView workbookViewId="0">
      <selection activeCell="B42" sqref="B42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C676"/>
  <sheetViews>
    <sheetView tabSelected="1" topLeftCell="Q1" workbookViewId="0">
      <selection activeCell="AE14" sqref="AE14"/>
    </sheetView>
  </sheetViews>
  <sheetFormatPr defaultColWidth="9.28515625" defaultRowHeight="15" x14ac:dyDescent="0.25"/>
  <cols>
    <col min="3" max="3" width="37.140625" bestFit="1" customWidth="1"/>
    <col min="4" max="4" width="12.28515625" bestFit="1" customWidth="1"/>
    <col min="5" max="5" width="28.5703125" bestFit="1" customWidth="1"/>
    <col min="6" max="6" width="28.5703125" customWidth="1"/>
    <col min="7" max="7" width="18.5703125" bestFit="1" customWidth="1"/>
    <col min="8" max="8" width="18" bestFit="1" customWidth="1"/>
    <col min="9" max="9" width="18" customWidth="1"/>
    <col min="10" max="10" width="7.42578125" bestFit="1" customWidth="1"/>
    <col min="11" max="11" width="11.5703125" bestFit="1" customWidth="1"/>
    <col min="12" max="12" width="14.42578125" bestFit="1" customWidth="1"/>
    <col min="13" max="13" width="16.42578125" bestFit="1" customWidth="1"/>
    <col min="16" max="16" width="9.28515625" bestFit="1" customWidth="1"/>
    <col min="17" max="17" width="37.140625" bestFit="1" customWidth="1"/>
    <col min="18" max="18" width="12.28515625" bestFit="1" customWidth="1"/>
    <col min="19" max="19" width="28.5703125" bestFit="1" customWidth="1"/>
    <col min="20" max="20" width="28.5703125" customWidth="1"/>
    <col min="21" max="21" width="18.5703125" bestFit="1" customWidth="1"/>
    <col min="22" max="22" width="18" bestFit="1" customWidth="1"/>
    <col min="23" max="23" width="18" customWidth="1"/>
    <col min="24" max="24" width="7.42578125" bestFit="1" customWidth="1"/>
    <col min="25" max="25" width="11.5703125" bestFit="1" customWidth="1"/>
    <col min="26" max="26" width="14.42578125" bestFit="1" customWidth="1"/>
    <col min="27" max="27" width="16.42578125" bestFit="1" customWidth="1"/>
    <col min="30" max="30" width="12.140625" bestFit="1" customWidth="1"/>
  </cols>
  <sheetData>
    <row r="2" spans="1:29" s="10" customFormat="1" ht="12" customHeight="1" x14ac:dyDescent="0.2">
      <c r="C2" s="9" t="s">
        <v>3836</v>
      </c>
      <c r="Q2" s="9" t="s">
        <v>3836</v>
      </c>
    </row>
    <row r="3" spans="1:29" s="10" customFormat="1" ht="12" customHeight="1" x14ac:dyDescent="0.2">
      <c r="H3" s="9" t="s">
        <v>3837</v>
      </c>
      <c r="I3" s="9"/>
      <c r="V3" s="9" t="s">
        <v>3837</v>
      </c>
      <c r="W3" s="9"/>
    </row>
    <row r="4" spans="1:29" s="10" customFormat="1" ht="15.75" customHeight="1" thickBot="1" x14ac:dyDescent="0.25">
      <c r="C4" s="16" t="s">
        <v>3838</v>
      </c>
      <c r="D4" s="17" t="s">
        <v>3839</v>
      </c>
      <c r="E4" s="16" t="s">
        <v>3840</v>
      </c>
      <c r="F4" s="16" t="s">
        <v>3841</v>
      </c>
      <c r="G4" s="16" t="s">
        <v>3842</v>
      </c>
      <c r="H4" s="16" t="s">
        <v>30</v>
      </c>
      <c r="I4" s="16" t="s">
        <v>3843</v>
      </c>
      <c r="J4" s="16" t="s">
        <v>3844</v>
      </c>
      <c r="K4" s="18" t="s">
        <v>3845</v>
      </c>
      <c r="L4" s="18" t="s">
        <v>3846</v>
      </c>
      <c r="M4" s="18" t="s">
        <v>3847</v>
      </c>
      <c r="Q4" s="16" t="s">
        <v>3838</v>
      </c>
      <c r="R4" s="17" t="s">
        <v>3839</v>
      </c>
      <c r="S4" s="16" t="s">
        <v>3840</v>
      </c>
      <c r="T4" s="16" t="s">
        <v>3841</v>
      </c>
      <c r="U4" s="16" t="s">
        <v>3842</v>
      </c>
      <c r="V4" s="16" t="s">
        <v>30</v>
      </c>
      <c r="W4" s="16" t="s">
        <v>3843</v>
      </c>
      <c r="X4" s="16" t="s">
        <v>3844</v>
      </c>
      <c r="Y4" s="18" t="s">
        <v>3845</v>
      </c>
      <c r="Z4" s="18" t="s">
        <v>3846</v>
      </c>
      <c r="AA4" s="18" t="s">
        <v>3847</v>
      </c>
    </row>
    <row r="5" spans="1:29" s="10" customFormat="1" x14ac:dyDescent="0.25">
      <c r="A5" s="19">
        <v>1</v>
      </c>
      <c r="C5" s="11" t="str">
        <f>IF(E5="","",IF(_xlfn.XLOOKUP($A5,Selected_constraint_UC!$A:$A,Selected_constraint_UC!$D:$D)=1,"*",IF(SUMIFS('COM TECH'!$N:$N,'COM TECH'!$K:$K,E5,'COM TECH'!$L:$L,F5)=0,"*",IF(SUMIFS('COM RESID'!$O:$O,'COM RESID'!$H:$H,$E5,'COM RESID'!$I:$I,$F5)=0,"*","UC_MarketShare_"&amp;LEFT(F5,LEN(F5)-3)&amp;"_"&amp;RIGHT(E5,3)&amp;"_MIN"))))</f>
        <v>UC_MarketShare_COMHOTOldSH_ELC_MIN</v>
      </c>
      <c r="D5" s="12"/>
      <c r="E5" s="13" t="str">
        <f>_xlfn.XLOOKUP($A5,Selected_constraint_UC!$A:$A,Selected_constraint_UC!$B:$B)</f>
        <v>COMELC</v>
      </c>
      <c r="F5" s="13" t="str">
        <f>_xlfn.XLOOKUP($A5,Selected_constraint_UC!$A:$A,Selected_constraint_UC!$C:$C)</f>
        <v>COMHOTOldSHEUE</v>
      </c>
      <c r="G5" s="13" t="str">
        <f>F5</f>
        <v>COMHOTOldSHEUE</v>
      </c>
      <c r="H5" s="14">
        <v>2019</v>
      </c>
      <c r="I5" s="28" t="s">
        <v>3848</v>
      </c>
      <c r="J5" s="14">
        <v>1</v>
      </c>
      <c r="K5" s="15">
        <f>-ROUNDDOWN(SUMIFS('COM RESID'!$O:$O,'COM RESID'!$H:$H,$E5,'COM RESID'!$I:$I,$F5)/SUMIFS('COM RESID'!$O:$O,'COM RESID'!$I:$I,$F5),3)*O5</f>
        <v>-8.4279999999999994E-2</v>
      </c>
      <c r="L5" s="14">
        <v>0</v>
      </c>
      <c r="M5" s="14">
        <v>5</v>
      </c>
      <c r="O5" s="20">
        <v>0.98</v>
      </c>
      <c r="Q5" s="11" t="str">
        <f t="shared" ref="Q5:Q68" si="0">SUBSTITUTE(C5,"MIN","MAX")</f>
        <v>UC_MarketShare_COMHOTOldSH_ELC_MAX</v>
      </c>
      <c r="R5" s="12"/>
      <c r="S5" s="13" t="str">
        <f>E5</f>
        <v>COMELC</v>
      </c>
      <c r="T5" s="13" t="str">
        <f>F5</f>
        <v>COMHOTOldSHEUE</v>
      </c>
      <c r="U5" s="13" t="str">
        <f>G5</f>
        <v>COMHOTOldSHEUE</v>
      </c>
      <c r="V5" s="14">
        <f>H5</f>
        <v>2019</v>
      </c>
      <c r="W5" s="28" t="s">
        <v>3849</v>
      </c>
      <c r="X5" s="14">
        <v>1</v>
      </c>
      <c r="Y5" s="15">
        <f>-ROUNDUP(MIN(SUMIFS('COM RESID'!$O:$O,'COM RESID'!$H:$H,$E5,'COM RESID'!$I:$I,$F5)/SUMIFS('COM RESID'!$O:$O,'COM RESID'!$I:$I,$F5)*AC5,1),3)</f>
        <v>-8.8999999999999996E-2</v>
      </c>
      <c r="Z5" s="14">
        <v>0</v>
      </c>
      <c r="AA5" s="14">
        <v>5</v>
      </c>
      <c r="AC5" s="20">
        <v>1.02</v>
      </c>
    </row>
    <row r="6" spans="1:29" s="10" customFormat="1" x14ac:dyDescent="0.25">
      <c r="A6" s="10">
        <f>A5</f>
        <v>1</v>
      </c>
      <c r="C6" s="11" t="str">
        <f>IF(C5="*",C5,"")</f>
        <v/>
      </c>
      <c r="D6" s="12"/>
      <c r="E6" s="13" t="str">
        <f t="shared" ref="E6:G8" si="1">E5</f>
        <v>COMELC</v>
      </c>
      <c r="F6" s="13" t="str">
        <f t="shared" si="1"/>
        <v>COMHOTOldSHEUE</v>
      </c>
      <c r="G6" s="13" t="str">
        <f t="shared" si="1"/>
        <v>COMHOTOldSHEUE</v>
      </c>
      <c r="H6" s="14">
        <v>2025</v>
      </c>
      <c r="I6" s="14" t="str">
        <f>I5</f>
        <v>LO</v>
      </c>
      <c r="J6" s="14"/>
      <c r="K6" s="15">
        <f>-ROUNDDOWN(SUMIFS('COM RESID'!$O:$O,'COM RESID'!$H:$H,$E6,'COM RESID'!$I:$I,$F6)/SUMIFS('COM RESID'!$O:$O,'COM RESID'!$I:$I,$F6),3)*O6</f>
        <v>-6.88E-2</v>
      </c>
      <c r="L6" s="14"/>
      <c r="M6" s="14"/>
      <c r="O6" s="20">
        <v>0.8</v>
      </c>
      <c r="Q6" s="11" t="str">
        <f t="shared" si="0"/>
        <v/>
      </c>
      <c r="R6" s="12"/>
      <c r="S6" s="13" t="str">
        <f t="shared" ref="S6:S69" si="2">E6</f>
        <v>COMELC</v>
      </c>
      <c r="T6" s="13" t="str">
        <f t="shared" ref="T6:T69" si="3">F6</f>
        <v>COMHOTOldSHEUE</v>
      </c>
      <c r="U6" s="13" t="str">
        <f t="shared" ref="U6:U69" si="4">G6</f>
        <v>COMHOTOldSHEUE</v>
      </c>
      <c r="V6" s="14">
        <v>2025</v>
      </c>
      <c r="W6" s="14" t="str">
        <f>W5</f>
        <v>UP</v>
      </c>
      <c r="X6" s="14"/>
      <c r="Y6" s="15">
        <f>-ROUNDUP(MIN(SUMIFS('COM RESID'!$O:$O,'COM RESID'!$H:$H,$E6,'COM RESID'!$I:$I,$F6)/SUMIFS('COM RESID'!$O:$O,'COM RESID'!$I:$I,$F6)*AC6,1),3)</f>
        <v>-0.25</v>
      </c>
      <c r="Z6" s="14"/>
      <c r="AA6" s="14"/>
      <c r="AC6" s="20">
        <f>IF(S6="COMELC",IF(SUMIFS('COM RESID'!$O:$O,'COM RESID'!$H:$H,$E6,'COM RESID'!$I:$I,$F6)/SUMIFS('COM RESID'!$O:$O,'COM RESID'!$I:$I,$F6)*1.2&lt;0.25,0.25/(SUMIFS('COM RESID'!$O:$O,'COM RESID'!$H:$H,$E6,'COM RESID'!$I:$I,$F6)/SUMIFS('COM RESID'!$O:$O,'COM RESID'!$I:$I,$F6)),1.2),IF(ISNUMBER(SEARCH("WHEUE",T6)),IF(OR(S6="COMNGA",S6="COMFOI"),1,1.2),1.2))</f>
        <v>2.8829056183313284</v>
      </c>
    </row>
    <row r="7" spans="1:29" s="10" customFormat="1" x14ac:dyDescent="0.25">
      <c r="A7" s="10">
        <f>A6</f>
        <v>1</v>
      </c>
      <c r="C7" s="11" t="str">
        <f>IF(C6="*",C6,"")</f>
        <v/>
      </c>
      <c r="D7" s="12"/>
      <c r="E7" s="13" t="str">
        <f t="shared" si="1"/>
        <v>COMELC</v>
      </c>
      <c r="F7" s="13" t="str">
        <f t="shared" si="1"/>
        <v>COMHOTOldSHEUE</v>
      </c>
      <c r="G7" s="13" t="str">
        <f t="shared" si="1"/>
        <v>COMHOTOldSHEUE</v>
      </c>
      <c r="H7" s="14">
        <v>2030</v>
      </c>
      <c r="I7" s="14" t="str">
        <f>I6</f>
        <v>LO</v>
      </c>
      <c r="J7" s="14"/>
      <c r="K7" s="15">
        <f>-ROUNDDOWN(SUMIFS('COM RESID'!$O:$O,'COM RESID'!$H:$H,$E7,'COM RESID'!$I:$I,$F7)/SUMIFS('COM RESID'!$O:$O,'COM RESID'!$I:$I,$F7),3)*O7</f>
        <v>-6.4500000000000002E-2</v>
      </c>
      <c r="L7" s="14"/>
      <c r="M7" s="14"/>
      <c r="O7" s="20">
        <v>0.75</v>
      </c>
      <c r="Q7" s="11" t="str">
        <f t="shared" si="0"/>
        <v/>
      </c>
      <c r="R7" s="12"/>
      <c r="S7" s="13" t="str">
        <f t="shared" si="2"/>
        <v>COMELC</v>
      </c>
      <c r="T7" s="13" t="str">
        <f t="shared" si="3"/>
        <v>COMHOTOldSHEUE</v>
      </c>
      <c r="U7" s="13" t="str">
        <f t="shared" si="4"/>
        <v>COMHOTOldSHEUE</v>
      </c>
      <c r="V7" s="14">
        <v>2030</v>
      </c>
      <c r="W7" s="14" t="str">
        <f>W6</f>
        <v>UP</v>
      </c>
      <c r="X7" s="14"/>
      <c r="Y7" s="15">
        <f>-ROUNDUP(MIN(SUMIFS('COM RESID'!$O:$O,'COM RESID'!$H:$H,$E7,'COM RESID'!$I:$I,$F7)/SUMIFS('COM RESID'!$O:$O,'COM RESID'!$I:$I,$F7)*AC7,1),3)</f>
        <v>-0.5</v>
      </c>
      <c r="Z7" s="14"/>
      <c r="AA7" s="14"/>
      <c r="AC7" s="20">
        <f>IF(S7="COMELC",IF(SUMIFS('COM RESID'!$O:$O,'COM RESID'!$H:$H,$E7,'COM RESID'!$I:$I,$F7)/SUMIFS('COM RESID'!$O:$O,'COM RESID'!$I:$I,$F7)*1.5&lt;0.5,0.5/(SUMIFS('COM RESID'!$O:$O,'COM RESID'!$H:$H,$E7,'COM RESID'!$I:$I,$F7)/SUMIFS('COM RESID'!$O:$O,'COM RESID'!$I:$I,$F7)),1.5),IF(ISNUMBER(SEARCH("WHEUE",T6)),IF(OR(S6="COMNGA",S6="COMFOI"),0.9,1.5),1.5))</f>
        <v>5.7658112366626568</v>
      </c>
    </row>
    <row r="8" spans="1:29" s="10" customFormat="1" x14ac:dyDescent="0.25">
      <c r="A8" s="26">
        <f>A7</f>
        <v>1</v>
      </c>
      <c r="B8" s="26"/>
      <c r="C8" s="21" t="str">
        <f>IF(C7="*",C7,"")</f>
        <v/>
      </c>
      <c r="D8" s="22"/>
      <c r="E8" s="23" t="str">
        <f t="shared" si="1"/>
        <v>COMELC</v>
      </c>
      <c r="F8" s="23" t="str">
        <f t="shared" si="1"/>
        <v>COMHOTOldSHEUE</v>
      </c>
      <c r="G8" s="23" t="str">
        <f t="shared" si="1"/>
        <v>COMHOTOldSHEUE</v>
      </c>
      <c r="H8" s="24">
        <v>2050</v>
      </c>
      <c r="I8" s="24" t="str">
        <f>I7</f>
        <v>LO</v>
      </c>
      <c r="J8" s="24"/>
      <c r="K8" s="25">
        <f>-ROUNDDOWN(SUMIFS('COM RESID'!$O:$O,'COM RESID'!$H:$H,$E8,'COM RESID'!$I:$I,$F8)/SUMIFS('COM RESID'!$O:$O,'COM RESID'!$I:$I,$F8),3)*O8</f>
        <v>-6.4500000000000002E-2</v>
      </c>
      <c r="L8" s="24"/>
      <c r="M8" s="24"/>
      <c r="N8" s="26"/>
      <c r="O8" s="27">
        <v>0.75</v>
      </c>
      <c r="Q8" s="21" t="str">
        <f t="shared" si="0"/>
        <v/>
      </c>
      <c r="R8" s="22"/>
      <c r="S8" s="23" t="str">
        <f t="shared" si="2"/>
        <v>COMELC</v>
      </c>
      <c r="T8" s="23" t="str">
        <f t="shared" si="3"/>
        <v>COMHOTOldSHEUE</v>
      </c>
      <c r="U8" s="23" t="str">
        <f t="shared" si="4"/>
        <v>COMHOTOldSHEUE</v>
      </c>
      <c r="V8" s="24">
        <v>2050</v>
      </c>
      <c r="W8" s="24" t="str">
        <f>W7</f>
        <v>UP</v>
      </c>
      <c r="X8" s="24"/>
      <c r="Y8" s="25">
        <f>-ROUNDUP(MIN(SUMIFS('COM RESID'!$O:$O,'COM RESID'!$H:$H,$E8,'COM RESID'!$I:$I,$F8)/SUMIFS('COM RESID'!$O:$O,'COM RESID'!$I:$I,$F8)*AC8,1),3)</f>
        <v>-1</v>
      </c>
      <c r="Z8" s="24"/>
      <c r="AA8" s="24"/>
      <c r="AB8" s="26"/>
      <c r="AC8" s="27">
        <f>IF(S8="COMELC",IF(SUMIFS('COM RESID'!$O:$O,'COM RESID'!$H:$H,$E8,'COM RESID'!$I:$I,$F8)/SUMIFS('COM RESID'!$O:$O,'COM RESID'!$I:$I,$F8)*3&lt;1,1/(SUMIFS('COM RESID'!$O:$O,'COM RESID'!$H:$H,$E8,'COM RESID'!$I:$I,$F8)/SUMIFS('COM RESID'!$O:$O,'COM RESID'!$I:$I,$F8)),3),IF(ISNUMBER(SEARCH("WHEUE",T6)),IF(OR(S6="COMNGA",S6="COMFOI"),0.75,3),3))</f>
        <v>11.531622473325314</v>
      </c>
    </row>
    <row r="9" spans="1:29" x14ac:dyDescent="0.25">
      <c r="A9" s="19">
        <f>A5+1</f>
        <v>2</v>
      </c>
      <c r="B9" s="10"/>
      <c r="C9" s="11" t="str">
        <f>IF(E9="","",IF(_xlfn.XLOOKUP($A9,Selected_constraint_UC!$A:$A,Selected_constraint_UC!$D:$D)=1,"*",IF(SUMIFS('COM TECH'!$N:$N,'COM TECH'!$K:$K,E9,'COM TECH'!$L:$L,F9)=0,"*",IF(SUMIFS('COM RESID'!$O:$O,'COM RESID'!$H:$H,$E9,'COM RESID'!$I:$I,$F9)=0,"*","UC_MarketShare_"&amp;LEFT(F9,LEN(F9)-3)&amp;"_"&amp;RIGHT(E9,3)&amp;"_MIN"))))</f>
        <v>UC_MarketShare_COMHOTOldSH_NGA_MIN</v>
      </c>
      <c r="D9" s="12"/>
      <c r="E9" s="13" t="str">
        <f>_xlfn.XLOOKUP($A9,Selected_constraint_UC!$A:$A,Selected_constraint_UC!$B:$B)</f>
        <v>COMNGA</v>
      </c>
      <c r="F9" s="13" t="str">
        <f>_xlfn.XLOOKUP($A9,Selected_constraint_UC!$A:$A,Selected_constraint_UC!$C:$C)</f>
        <v>COMHOTOldSHEUE</v>
      </c>
      <c r="G9" s="13" t="str">
        <f>F9</f>
        <v>COMHOTOldSHEUE</v>
      </c>
      <c r="H9" s="14">
        <v>2019</v>
      </c>
      <c r="I9" s="14" t="s">
        <v>3848</v>
      </c>
      <c r="J9" s="14">
        <v>1</v>
      </c>
      <c r="K9" s="15">
        <f>-ROUNDDOWN(SUMIFS('COM RESID'!$O:$O,'COM RESID'!$H:$H,$E9,'COM RESID'!$I:$I,$F9)/SUMIFS('COM RESID'!$O:$O,'COM RESID'!$I:$I,$F9),3)*O9</f>
        <v>-0.78595999999999999</v>
      </c>
      <c r="L9" s="14">
        <v>0</v>
      </c>
      <c r="M9" s="14">
        <v>5</v>
      </c>
      <c r="N9" s="10"/>
      <c r="O9" s="20">
        <v>0.98</v>
      </c>
      <c r="Q9" s="11" t="str">
        <f t="shared" si="0"/>
        <v>UC_MarketShare_COMHOTOldSH_NGA_MAX</v>
      </c>
      <c r="R9" s="12"/>
      <c r="S9" s="13" t="str">
        <f t="shared" si="2"/>
        <v>COMNGA</v>
      </c>
      <c r="T9" s="13" t="str">
        <f t="shared" si="3"/>
        <v>COMHOTOldSHEUE</v>
      </c>
      <c r="U9" s="13" t="str">
        <f t="shared" si="4"/>
        <v>COMHOTOldSHEUE</v>
      </c>
      <c r="V9" s="14">
        <v>2019</v>
      </c>
      <c r="W9" s="14" t="s">
        <v>3849</v>
      </c>
      <c r="X9" s="14">
        <v>1</v>
      </c>
      <c r="Y9" s="15">
        <f>-ROUNDUP(MIN(SUMIFS('COM RESID'!$O:$O,'COM RESID'!$H:$H,$E9,'COM RESID'!$I:$I,$F9)/SUMIFS('COM RESID'!$O:$O,'COM RESID'!$I:$I,$F9)*AC9,1),3)</f>
        <v>-0.81899999999999995</v>
      </c>
      <c r="Z9" s="14">
        <v>0</v>
      </c>
      <c r="AA9" s="14">
        <v>5</v>
      </c>
      <c r="AB9" s="10"/>
      <c r="AC9" s="20">
        <v>1.02</v>
      </c>
    </row>
    <row r="10" spans="1:29" x14ac:dyDescent="0.25">
      <c r="A10" s="10">
        <f>A9</f>
        <v>2</v>
      </c>
      <c r="B10" s="10"/>
      <c r="C10" s="11" t="str">
        <f>IF(C9="*",C9,"")</f>
        <v/>
      </c>
      <c r="D10" s="12"/>
      <c r="E10" s="13" t="str">
        <f t="shared" ref="E10:G12" si="5">E9</f>
        <v>COMNGA</v>
      </c>
      <c r="F10" s="13" t="str">
        <f t="shared" si="5"/>
        <v>COMHOTOldSHEUE</v>
      </c>
      <c r="G10" s="13" t="str">
        <f t="shared" si="5"/>
        <v>COMHOTOldSHEUE</v>
      </c>
      <c r="H10" s="14">
        <v>2025</v>
      </c>
      <c r="I10" s="14" t="str">
        <f>I9</f>
        <v>LO</v>
      </c>
      <c r="J10" s="14"/>
      <c r="K10" s="15">
        <f>-ROUNDDOWN(SUMIFS('COM RESID'!$O:$O,'COM RESID'!$H:$H,$E10,'COM RESID'!$I:$I,$F10)/SUMIFS('COM RESID'!$O:$O,'COM RESID'!$I:$I,$F10),3)*O10</f>
        <v>-0.64160000000000006</v>
      </c>
      <c r="L10" s="14"/>
      <c r="M10" s="14"/>
      <c r="N10" s="10"/>
      <c r="O10" s="20">
        <v>0.8</v>
      </c>
      <c r="Q10" s="11" t="str">
        <f t="shared" si="0"/>
        <v/>
      </c>
      <c r="R10" s="12"/>
      <c r="S10" s="13" t="str">
        <f t="shared" si="2"/>
        <v>COMNGA</v>
      </c>
      <c r="T10" s="13" t="str">
        <f t="shared" si="3"/>
        <v>COMHOTOldSHEUE</v>
      </c>
      <c r="U10" s="13" t="str">
        <f t="shared" si="4"/>
        <v>COMHOTOldSHEUE</v>
      </c>
      <c r="V10" s="14">
        <v>2025</v>
      </c>
      <c r="W10" s="14" t="str">
        <f>W9</f>
        <v>UP</v>
      </c>
      <c r="X10" s="14"/>
      <c r="Y10" s="15">
        <f>-ROUNDUP(MIN(SUMIFS('COM RESID'!$O:$O,'COM RESID'!$H:$H,$E10,'COM RESID'!$I:$I,$F10)/SUMIFS('COM RESID'!$O:$O,'COM RESID'!$I:$I,$F10)*AC10,1),3)</f>
        <v>-0.96299999999999997</v>
      </c>
      <c r="Z10" s="14"/>
      <c r="AA10" s="14"/>
      <c r="AB10" s="10"/>
      <c r="AC10" s="20">
        <f>IF(S10="COMELC",IF(SUMIFS('COM RESID'!$O:$O,'COM RESID'!$H:$H,$E10,'COM RESID'!$I:$I,$F10)/SUMIFS('COM RESID'!$O:$O,'COM RESID'!$I:$I,$F10)*1.2&lt;0.25,0.25/(SUMIFS('COM RESID'!$O:$O,'COM RESID'!$H:$H,$E10,'COM RESID'!$I:$I,$F10)/SUMIFS('COM RESID'!$O:$O,'COM RESID'!$I:$I,$F10)),1.2),IF(ISNUMBER(SEARCH("WHEUE",T10)),IF(OR(S10="COMNGA",S10="COMFOI"),1,1.2),1.2))</f>
        <v>1.2</v>
      </c>
    </row>
    <row r="11" spans="1:29" x14ac:dyDescent="0.25">
      <c r="A11" s="10">
        <f>A10</f>
        <v>2</v>
      </c>
      <c r="B11" s="10"/>
      <c r="C11" s="11" t="str">
        <f>IF(C10="*",C10,"")</f>
        <v/>
      </c>
      <c r="D11" s="12"/>
      <c r="E11" s="13" t="str">
        <f t="shared" si="5"/>
        <v>COMNGA</v>
      </c>
      <c r="F11" s="13" t="str">
        <f t="shared" si="5"/>
        <v>COMHOTOldSHEUE</v>
      </c>
      <c r="G11" s="13" t="str">
        <f t="shared" si="5"/>
        <v>COMHOTOldSHEUE</v>
      </c>
      <c r="H11" s="14">
        <v>2030</v>
      </c>
      <c r="I11" s="14" t="str">
        <f>I10</f>
        <v>LO</v>
      </c>
      <c r="J11" s="14"/>
      <c r="K11" s="15">
        <f>-ROUNDDOWN(SUMIFS('COM RESID'!$O:$O,'COM RESID'!$H:$H,$E11,'COM RESID'!$I:$I,$F11)/SUMIFS('COM RESID'!$O:$O,'COM RESID'!$I:$I,$F11),3)*O11</f>
        <v>-0.16040000000000001</v>
      </c>
      <c r="L11" s="14"/>
      <c r="M11" s="14"/>
      <c r="N11" s="10"/>
      <c r="O11" s="20">
        <v>0.2</v>
      </c>
      <c r="Q11" s="11" t="str">
        <f t="shared" si="0"/>
        <v/>
      </c>
      <c r="R11" s="12"/>
      <c r="S11" s="13" t="str">
        <f t="shared" si="2"/>
        <v>COMNGA</v>
      </c>
      <c r="T11" s="13" t="str">
        <f t="shared" si="3"/>
        <v>COMHOTOldSHEUE</v>
      </c>
      <c r="U11" s="13" t="str">
        <f t="shared" si="4"/>
        <v>COMHOTOldSHEUE</v>
      </c>
      <c r="V11" s="14">
        <v>2030</v>
      </c>
      <c r="W11" s="14" t="str">
        <f>W10</f>
        <v>UP</v>
      </c>
      <c r="X11" s="14"/>
      <c r="Y11" s="15">
        <f>-ROUNDUP(MIN(SUMIFS('COM RESID'!$O:$O,'COM RESID'!$H:$H,$E11,'COM RESID'!$I:$I,$F11)/SUMIFS('COM RESID'!$O:$O,'COM RESID'!$I:$I,$F11)*AC11,1),3)</f>
        <v>-1</v>
      </c>
      <c r="Z11" s="14"/>
      <c r="AA11" s="14"/>
      <c r="AB11" s="10"/>
      <c r="AC11" s="20">
        <f>IF(S11="COMELC",IF(SUMIFS('COM RESID'!$O:$O,'COM RESID'!$H:$H,$E11,'COM RESID'!$I:$I,$F11)/SUMIFS('COM RESID'!$O:$O,'COM RESID'!$I:$I,$F11)*1.5&lt;0.5,0.5/(SUMIFS('COM RESID'!$O:$O,'COM RESID'!$H:$H,$E11,'COM RESID'!$I:$I,$F11)/SUMIFS('COM RESID'!$O:$O,'COM RESID'!$I:$I,$F11)),1.5),IF(ISNUMBER(SEARCH("WHEUE",T10)),IF(OR(S10="COMNGA",S10="COMFOI"),0.9,1.5),1.5))</f>
        <v>1.5</v>
      </c>
    </row>
    <row r="12" spans="1:29" x14ac:dyDescent="0.25">
      <c r="A12" s="26">
        <f>A11</f>
        <v>2</v>
      </c>
      <c r="B12" s="26"/>
      <c r="C12" s="21" t="str">
        <f>IF(C11="*",C11,"")</f>
        <v/>
      </c>
      <c r="D12" s="22"/>
      <c r="E12" s="23" t="str">
        <f t="shared" si="5"/>
        <v>COMNGA</v>
      </c>
      <c r="F12" s="23" t="str">
        <f t="shared" si="5"/>
        <v>COMHOTOldSHEUE</v>
      </c>
      <c r="G12" s="23" t="str">
        <f t="shared" si="5"/>
        <v>COMHOTOldSHEUE</v>
      </c>
      <c r="H12" s="24">
        <v>2050</v>
      </c>
      <c r="I12" s="24" t="str">
        <f>I11</f>
        <v>LO</v>
      </c>
      <c r="J12" s="24"/>
      <c r="K12" s="25">
        <f>-ROUNDDOWN(SUMIFS('COM RESID'!$O:$O,'COM RESID'!$H:$H,$E12,'COM RESID'!$I:$I,$F12)/SUMIFS('COM RESID'!$O:$O,'COM RESID'!$I:$I,$F12),3)*O12</f>
        <v>0</v>
      </c>
      <c r="L12" s="24"/>
      <c r="M12" s="24"/>
      <c r="N12" s="26"/>
      <c r="O12" s="27">
        <v>0</v>
      </c>
      <c r="Q12" s="21" t="str">
        <f t="shared" si="0"/>
        <v/>
      </c>
      <c r="R12" s="22"/>
      <c r="S12" s="23" t="str">
        <f t="shared" si="2"/>
        <v>COMNGA</v>
      </c>
      <c r="T12" s="23" t="str">
        <f t="shared" si="3"/>
        <v>COMHOTOldSHEUE</v>
      </c>
      <c r="U12" s="23" t="str">
        <f t="shared" si="4"/>
        <v>COMHOTOldSHEUE</v>
      </c>
      <c r="V12" s="24">
        <v>2050</v>
      </c>
      <c r="W12" s="24" t="str">
        <f>W11</f>
        <v>UP</v>
      </c>
      <c r="X12" s="24"/>
      <c r="Y12" s="25">
        <f>-ROUNDUP(MIN(SUMIFS('COM RESID'!$O:$O,'COM RESID'!$H:$H,$E12,'COM RESID'!$I:$I,$F12)/SUMIFS('COM RESID'!$O:$O,'COM RESID'!$I:$I,$F12)*AC12,1),3)</f>
        <v>-1</v>
      </c>
      <c r="Z12" s="24"/>
      <c r="AA12" s="24"/>
      <c r="AB12" s="26"/>
      <c r="AC12" s="27">
        <f>IF(S12="COMELC",IF(SUMIFS('COM RESID'!$O:$O,'COM RESID'!$H:$H,$E12,'COM RESID'!$I:$I,$F12)/SUMIFS('COM RESID'!$O:$O,'COM RESID'!$I:$I,$F12)*3&lt;1,1/(SUMIFS('COM RESID'!$O:$O,'COM RESID'!$H:$H,$E12,'COM RESID'!$I:$I,$F12)/SUMIFS('COM RESID'!$O:$O,'COM RESID'!$I:$I,$F12)),3),IF(ISNUMBER(SEARCH("WHEUE",T10)),IF(OR(S10="COMNGA",S10="COMFOI"),0.75,3),3))</f>
        <v>3</v>
      </c>
    </row>
    <row r="13" spans="1:29" x14ac:dyDescent="0.25">
      <c r="A13" s="19">
        <f>A9+1</f>
        <v>3</v>
      </c>
      <c r="B13" s="10"/>
      <c r="C13" s="11" t="str">
        <f>IF(E13="","",IF(_xlfn.XLOOKUP($A13,Selected_constraint_UC!$A:$A,Selected_constraint_UC!$D:$D)=1,"*",IF(SUMIFS('COM TECH'!$N:$N,'COM TECH'!$K:$K,E13,'COM TECH'!$L:$L,F13)=0,"*",IF(SUMIFS('COM RESID'!$O:$O,'COM RESID'!$H:$H,$E13,'COM RESID'!$I:$I,$F13)=0,"*","UC_MarketShare_"&amp;LEFT(F13,LEN(F13)-3)&amp;"_"&amp;RIGHT(E13,3)&amp;"_MIN"))))</f>
        <v>UC_MarketShare_COMHOTOldSH_FOI_MIN</v>
      </c>
      <c r="D13" s="12"/>
      <c r="E13" s="13" t="str">
        <f>_xlfn.XLOOKUP($A13,Selected_constraint_UC!$A:$A,Selected_constraint_UC!$B:$B)</f>
        <v>COMFOI</v>
      </c>
      <c r="F13" s="13" t="str">
        <f>_xlfn.XLOOKUP($A13,Selected_constraint_UC!$A:$A,Selected_constraint_UC!$C:$C)</f>
        <v>COMHOTOldSHEUE</v>
      </c>
      <c r="G13" s="13" t="str">
        <f>F13</f>
        <v>COMHOTOldSHEUE</v>
      </c>
      <c r="H13" s="14">
        <v>2019</v>
      </c>
      <c r="I13" s="14" t="s">
        <v>3848</v>
      </c>
      <c r="J13" s="14">
        <v>1</v>
      </c>
      <c r="K13" s="15">
        <f>-ROUNDDOWN(SUMIFS('COM RESID'!$O:$O,'COM RESID'!$H:$H,$E13,'COM RESID'!$I:$I,$F13)/SUMIFS('COM RESID'!$O:$O,'COM RESID'!$I:$I,$F13),3)*O13</f>
        <v>-6.762E-2</v>
      </c>
      <c r="L13" s="14">
        <v>0</v>
      </c>
      <c r="M13" s="14">
        <v>5</v>
      </c>
      <c r="N13" s="10"/>
      <c r="O13" s="20">
        <v>0.98</v>
      </c>
      <c r="Q13" s="11" t="str">
        <f t="shared" si="0"/>
        <v>UC_MarketShare_COMHOTOldSH_FOI_MAX</v>
      </c>
      <c r="R13" s="12"/>
      <c r="S13" s="13" t="str">
        <f t="shared" si="2"/>
        <v>COMFOI</v>
      </c>
      <c r="T13" s="13" t="str">
        <f t="shared" si="3"/>
        <v>COMHOTOldSHEUE</v>
      </c>
      <c r="U13" s="13" t="str">
        <f t="shared" si="4"/>
        <v>COMHOTOldSHEUE</v>
      </c>
      <c r="V13" s="14">
        <v>2019</v>
      </c>
      <c r="W13" s="14" t="s">
        <v>3849</v>
      </c>
      <c r="X13" s="14">
        <v>1</v>
      </c>
      <c r="Y13" s="15">
        <f>-ROUNDUP(MIN(SUMIFS('COM RESID'!$O:$O,'COM RESID'!$H:$H,$E13,'COM RESID'!$I:$I,$F13)/SUMIFS('COM RESID'!$O:$O,'COM RESID'!$I:$I,$F13)*AC13,1),3)</f>
        <v>-7.1000000000000008E-2</v>
      </c>
      <c r="Z13" s="14">
        <v>0</v>
      </c>
      <c r="AA13" s="14">
        <v>5</v>
      </c>
      <c r="AB13" s="10"/>
      <c r="AC13" s="20">
        <v>1.02</v>
      </c>
    </row>
    <row r="14" spans="1:29" x14ac:dyDescent="0.25">
      <c r="A14" s="10">
        <f>A13</f>
        <v>3</v>
      </c>
      <c r="B14" s="10"/>
      <c r="C14" s="11" t="str">
        <f>IF(C13="*",C13,"")</f>
        <v/>
      </c>
      <c r="D14" s="12"/>
      <c r="E14" s="13" t="str">
        <f t="shared" ref="E14:G16" si="6">E13</f>
        <v>COMFOI</v>
      </c>
      <c r="F14" s="13" t="str">
        <f t="shared" si="6"/>
        <v>COMHOTOldSHEUE</v>
      </c>
      <c r="G14" s="13" t="str">
        <f t="shared" si="6"/>
        <v>COMHOTOldSHEUE</v>
      </c>
      <c r="H14" s="14">
        <v>2025</v>
      </c>
      <c r="I14" s="14" t="str">
        <f>I13</f>
        <v>LO</v>
      </c>
      <c r="J14" s="14"/>
      <c r="K14" s="15">
        <f>-ROUNDDOWN(SUMIFS('COM RESID'!$O:$O,'COM RESID'!$H:$H,$E14,'COM RESID'!$I:$I,$F14)/SUMIFS('COM RESID'!$O:$O,'COM RESID'!$I:$I,$F14),3)*O14</f>
        <v>-5.5200000000000006E-2</v>
      </c>
      <c r="L14" s="14"/>
      <c r="M14" s="14"/>
      <c r="N14" s="10"/>
      <c r="O14" s="20">
        <v>0.8</v>
      </c>
      <c r="Q14" s="11" t="str">
        <f t="shared" si="0"/>
        <v/>
      </c>
      <c r="R14" s="12"/>
      <c r="S14" s="13" t="str">
        <f t="shared" si="2"/>
        <v>COMFOI</v>
      </c>
      <c r="T14" s="13" t="str">
        <f t="shared" si="3"/>
        <v>COMHOTOldSHEUE</v>
      </c>
      <c r="U14" s="13" t="str">
        <f t="shared" si="4"/>
        <v>COMHOTOldSHEUE</v>
      </c>
      <c r="V14" s="14">
        <v>2025</v>
      </c>
      <c r="W14" s="14" t="str">
        <f>W13</f>
        <v>UP</v>
      </c>
      <c r="X14" s="14"/>
      <c r="Y14" s="15">
        <f>-ROUNDUP(MIN(SUMIFS('COM RESID'!$O:$O,'COM RESID'!$H:$H,$E14,'COM RESID'!$I:$I,$F14)/SUMIFS('COM RESID'!$O:$O,'COM RESID'!$I:$I,$F14)*AC14,1),3)</f>
        <v>-8.4000000000000005E-2</v>
      </c>
      <c r="Z14" s="14"/>
      <c r="AA14" s="14"/>
      <c r="AB14" s="10"/>
      <c r="AC14" s="20">
        <f>IF(S14="COMELC",IF(SUMIFS('COM RESID'!$O:$O,'COM RESID'!$H:$H,$E14,'COM RESID'!$I:$I,$F14)/SUMIFS('COM RESID'!$O:$O,'COM RESID'!$I:$I,$F14)*1.2&lt;0.25,0.25/(SUMIFS('COM RESID'!$O:$O,'COM RESID'!$H:$H,$E14,'COM RESID'!$I:$I,$F14)/SUMIFS('COM RESID'!$O:$O,'COM RESID'!$I:$I,$F14)),1.2),IF(ISNUMBER(SEARCH("WHEUE",T14)),IF(OR(S14="COMNGA",S14="COMFOI"),1,1.2),1.2))</f>
        <v>1.2</v>
      </c>
    </row>
    <row r="15" spans="1:29" x14ac:dyDescent="0.25">
      <c r="A15" s="10">
        <f>A14</f>
        <v>3</v>
      </c>
      <c r="B15" s="10"/>
      <c r="C15" s="11" t="str">
        <f>IF(C14="*",C14,"")</f>
        <v/>
      </c>
      <c r="D15" s="12"/>
      <c r="E15" s="13" t="str">
        <f t="shared" si="6"/>
        <v>COMFOI</v>
      </c>
      <c r="F15" s="13" t="str">
        <f t="shared" si="6"/>
        <v>COMHOTOldSHEUE</v>
      </c>
      <c r="G15" s="13" t="str">
        <f t="shared" si="6"/>
        <v>COMHOTOldSHEUE</v>
      </c>
      <c r="H15" s="14">
        <v>2030</v>
      </c>
      <c r="I15" s="14" t="str">
        <f>I14</f>
        <v>LO</v>
      </c>
      <c r="J15" s="14"/>
      <c r="K15" s="15">
        <f>-ROUNDDOWN(SUMIFS('COM RESID'!$O:$O,'COM RESID'!$H:$H,$E15,'COM RESID'!$I:$I,$F15)/SUMIFS('COM RESID'!$O:$O,'COM RESID'!$I:$I,$F15),3)*O15</f>
        <v>-1.3800000000000002E-2</v>
      </c>
      <c r="L15" s="14"/>
      <c r="M15" s="14"/>
      <c r="N15" s="10"/>
      <c r="O15" s="20">
        <v>0.2</v>
      </c>
      <c r="Q15" s="11" t="str">
        <f t="shared" si="0"/>
        <v/>
      </c>
      <c r="R15" s="12"/>
      <c r="S15" s="13" t="str">
        <f t="shared" si="2"/>
        <v>COMFOI</v>
      </c>
      <c r="T15" s="13" t="str">
        <f t="shared" si="3"/>
        <v>COMHOTOldSHEUE</v>
      </c>
      <c r="U15" s="13" t="str">
        <f t="shared" si="4"/>
        <v>COMHOTOldSHEUE</v>
      </c>
      <c r="V15" s="14">
        <v>2030</v>
      </c>
      <c r="W15" s="14" t="str">
        <f>W14</f>
        <v>UP</v>
      </c>
      <c r="X15" s="14"/>
      <c r="Y15" s="15">
        <f>-ROUNDUP(MIN(SUMIFS('COM RESID'!$O:$O,'COM RESID'!$H:$H,$E15,'COM RESID'!$I:$I,$F15)/SUMIFS('COM RESID'!$O:$O,'COM RESID'!$I:$I,$F15)*AC15,1),3)</f>
        <v>-0.105</v>
      </c>
      <c r="Z15" s="14"/>
      <c r="AA15" s="14"/>
      <c r="AB15" s="10"/>
      <c r="AC15" s="20">
        <f>IF(S15="COMELC",IF(SUMIFS('COM RESID'!$O:$O,'COM RESID'!$H:$H,$E15,'COM RESID'!$I:$I,$F15)/SUMIFS('COM RESID'!$O:$O,'COM RESID'!$I:$I,$F15)*1.5&lt;0.5,0.5/(SUMIFS('COM RESID'!$O:$O,'COM RESID'!$H:$H,$E15,'COM RESID'!$I:$I,$F15)/SUMIFS('COM RESID'!$O:$O,'COM RESID'!$I:$I,$F15)),1.5),IF(ISNUMBER(SEARCH("WHEUE",T14)),IF(OR(S14="COMNGA",S14="COMFOI"),0.9,1.5),1.5))</f>
        <v>1.5</v>
      </c>
    </row>
    <row r="16" spans="1:29" x14ac:dyDescent="0.25">
      <c r="A16" s="26">
        <f>A15</f>
        <v>3</v>
      </c>
      <c r="B16" s="26"/>
      <c r="C16" s="21" t="str">
        <f>IF(C15="*",C15,"")</f>
        <v/>
      </c>
      <c r="D16" s="22"/>
      <c r="E16" s="23" t="str">
        <f t="shared" si="6"/>
        <v>COMFOI</v>
      </c>
      <c r="F16" s="23" t="str">
        <f t="shared" si="6"/>
        <v>COMHOTOldSHEUE</v>
      </c>
      <c r="G16" s="23" t="str">
        <f t="shared" si="6"/>
        <v>COMHOTOldSHEUE</v>
      </c>
      <c r="H16" s="24">
        <v>2050</v>
      </c>
      <c r="I16" s="24" t="str">
        <f>I15</f>
        <v>LO</v>
      </c>
      <c r="J16" s="24"/>
      <c r="K16" s="25">
        <f>-ROUNDDOWN(SUMIFS('COM RESID'!$O:$O,'COM RESID'!$H:$H,$E16,'COM RESID'!$I:$I,$F16)/SUMIFS('COM RESID'!$O:$O,'COM RESID'!$I:$I,$F16),3)*O16</f>
        <v>0</v>
      </c>
      <c r="L16" s="24"/>
      <c r="M16" s="24"/>
      <c r="N16" s="26"/>
      <c r="O16" s="27">
        <v>0</v>
      </c>
      <c r="Q16" s="21" t="str">
        <f t="shared" si="0"/>
        <v/>
      </c>
      <c r="R16" s="22"/>
      <c r="S16" s="23" t="str">
        <f t="shared" si="2"/>
        <v>COMFOI</v>
      </c>
      <c r="T16" s="23" t="str">
        <f t="shared" si="3"/>
        <v>COMHOTOldSHEUE</v>
      </c>
      <c r="U16" s="23" t="str">
        <f t="shared" si="4"/>
        <v>COMHOTOldSHEUE</v>
      </c>
      <c r="V16" s="24">
        <v>2050</v>
      </c>
      <c r="W16" s="24" t="str">
        <f>W15</f>
        <v>UP</v>
      </c>
      <c r="X16" s="24"/>
      <c r="Y16" s="25">
        <f>-ROUNDUP(MIN(SUMIFS('COM RESID'!$O:$O,'COM RESID'!$H:$H,$E16,'COM RESID'!$I:$I,$F16)/SUMIFS('COM RESID'!$O:$O,'COM RESID'!$I:$I,$F16)*AC16,1),3)</f>
        <v>-0.20899999999999999</v>
      </c>
      <c r="Z16" s="24"/>
      <c r="AA16" s="24"/>
      <c r="AB16" s="26"/>
      <c r="AC16" s="27">
        <f>IF(S16="COMELC",IF(SUMIFS('COM RESID'!$O:$O,'COM RESID'!$H:$H,$E16,'COM RESID'!$I:$I,$F16)/SUMIFS('COM RESID'!$O:$O,'COM RESID'!$I:$I,$F16)*3&lt;1,1/(SUMIFS('COM RESID'!$O:$O,'COM RESID'!$H:$H,$E16,'COM RESID'!$I:$I,$F16)/SUMIFS('COM RESID'!$O:$O,'COM RESID'!$I:$I,$F16)),3),IF(ISNUMBER(SEARCH("WHEUE",T14)),IF(OR(S14="COMNGA",S14="COMFOI"),0.75,3),3))</f>
        <v>3</v>
      </c>
    </row>
    <row r="17" spans="1:29" x14ac:dyDescent="0.25">
      <c r="A17" s="19">
        <f>A13+1</f>
        <v>4</v>
      </c>
      <c r="B17" s="10"/>
      <c r="C17" s="11" t="str">
        <f>IF(E17="","",IF(_xlfn.XLOOKUP($A17,Selected_constraint_UC!$A:$A,Selected_constraint_UC!$D:$D)=1,"*",IF(SUMIFS('COM TECH'!$N:$N,'COM TECH'!$K:$K,E17,'COM TECH'!$L:$L,F17)=0,"*",IF(SUMIFS('COM RESID'!$O:$O,'COM RESID'!$H:$H,$E17,'COM RESID'!$I:$I,$F17)=0,"*","UC_MarketShare_"&amp;LEFT(F17,LEN(F17)-3)&amp;"_"&amp;RIGHT(E17,3)&amp;"_MIN"))))</f>
        <v>*</v>
      </c>
      <c r="D17" s="12"/>
      <c r="E17" s="13" t="str">
        <f>_xlfn.XLOOKUP($A17,Selected_constraint_UC!$A:$A,Selected_constraint_UC!$B:$B)</f>
        <v>COMLPG</v>
      </c>
      <c r="F17" s="13" t="str">
        <f>_xlfn.XLOOKUP($A17,Selected_constraint_UC!$A:$A,Selected_constraint_UC!$C:$C)</f>
        <v>COMHOTOldSHEUE</v>
      </c>
      <c r="G17" s="13" t="str">
        <f>F17</f>
        <v>COMHOTOldSHEUE</v>
      </c>
      <c r="H17" s="14">
        <v>2019</v>
      </c>
      <c r="I17" s="14" t="s">
        <v>3848</v>
      </c>
      <c r="J17" s="14">
        <v>1</v>
      </c>
      <c r="K17" s="15">
        <f>-ROUNDDOWN(SUMIFS('COM RESID'!$O:$O,'COM RESID'!$H:$H,$E17,'COM RESID'!$I:$I,$F17)/SUMIFS('COM RESID'!$O:$O,'COM RESID'!$I:$I,$F17),3)*O17</f>
        <v>0</v>
      </c>
      <c r="L17" s="14">
        <v>0</v>
      </c>
      <c r="M17" s="14">
        <v>5</v>
      </c>
      <c r="N17" s="10"/>
      <c r="O17" s="20">
        <v>0.98</v>
      </c>
      <c r="Q17" s="11" t="str">
        <f t="shared" si="0"/>
        <v>*</v>
      </c>
      <c r="R17" s="12"/>
      <c r="S17" s="13" t="str">
        <f t="shared" si="2"/>
        <v>COMLPG</v>
      </c>
      <c r="T17" s="13" t="str">
        <f t="shared" si="3"/>
        <v>COMHOTOldSHEUE</v>
      </c>
      <c r="U17" s="13" t="str">
        <f t="shared" si="4"/>
        <v>COMHOTOldSHEUE</v>
      </c>
      <c r="V17" s="14">
        <v>2019</v>
      </c>
      <c r="W17" s="14" t="s">
        <v>3849</v>
      </c>
      <c r="X17" s="14">
        <v>1</v>
      </c>
      <c r="Y17" s="15">
        <f>-ROUNDUP(MIN(SUMIFS('COM RESID'!$O:$O,'COM RESID'!$H:$H,$E17,'COM RESID'!$I:$I,$F17)/SUMIFS('COM RESID'!$O:$O,'COM RESID'!$I:$I,$F17)*AC17,1),3)</f>
        <v>0</v>
      </c>
      <c r="Z17" s="14">
        <v>0</v>
      </c>
      <c r="AA17" s="14">
        <v>5</v>
      </c>
      <c r="AB17" s="10"/>
      <c r="AC17" s="20">
        <v>1.02</v>
      </c>
    </row>
    <row r="18" spans="1:29" x14ac:dyDescent="0.25">
      <c r="A18" s="10">
        <f>A17</f>
        <v>4</v>
      </c>
      <c r="B18" s="10"/>
      <c r="C18" s="11" t="str">
        <f>IF(C17="*",C17,"")</f>
        <v>*</v>
      </c>
      <c r="D18" s="12"/>
      <c r="E18" s="13" t="str">
        <f t="shared" ref="E18:G20" si="7">E17</f>
        <v>COMLPG</v>
      </c>
      <c r="F18" s="13" t="str">
        <f t="shared" si="7"/>
        <v>COMHOTOldSHEUE</v>
      </c>
      <c r="G18" s="13" t="str">
        <f t="shared" si="7"/>
        <v>COMHOTOldSHEUE</v>
      </c>
      <c r="H18" s="14">
        <v>2025</v>
      </c>
      <c r="I18" s="14" t="str">
        <f>I17</f>
        <v>LO</v>
      </c>
      <c r="J18" s="14"/>
      <c r="K18" s="15">
        <f>-ROUNDDOWN(SUMIFS('COM RESID'!$O:$O,'COM RESID'!$H:$H,$E18,'COM RESID'!$I:$I,$F18)/SUMIFS('COM RESID'!$O:$O,'COM RESID'!$I:$I,$F18),3)*O18</f>
        <v>0</v>
      </c>
      <c r="L18" s="14"/>
      <c r="M18" s="14"/>
      <c r="N18" s="10"/>
      <c r="O18" s="20">
        <v>0.8</v>
      </c>
      <c r="Q18" s="11" t="str">
        <f t="shared" si="0"/>
        <v>*</v>
      </c>
      <c r="R18" s="12"/>
      <c r="S18" s="13" t="str">
        <f t="shared" si="2"/>
        <v>COMLPG</v>
      </c>
      <c r="T18" s="13" t="str">
        <f t="shared" si="3"/>
        <v>COMHOTOldSHEUE</v>
      </c>
      <c r="U18" s="13" t="str">
        <f t="shared" si="4"/>
        <v>COMHOTOldSHEUE</v>
      </c>
      <c r="V18" s="14">
        <v>2025</v>
      </c>
      <c r="W18" s="14" t="str">
        <f>W17</f>
        <v>UP</v>
      </c>
      <c r="X18" s="14"/>
      <c r="Y18" s="15">
        <f>-ROUNDUP(MIN(SUMIFS('COM RESID'!$O:$O,'COM RESID'!$H:$H,$E18,'COM RESID'!$I:$I,$F18)/SUMIFS('COM RESID'!$O:$O,'COM RESID'!$I:$I,$F18)*AC18,1),3)</f>
        <v>0</v>
      </c>
      <c r="Z18" s="14"/>
      <c r="AA18" s="14"/>
      <c r="AB18" s="10"/>
      <c r="AC18" s="20">
        <f>IF(S18="COMELC",IF(SUMIFS('COM RESID'!$O:$O,'COM RESID'!$H:$H,$E18,'COM RESID'!$I:$I,$F18)/SUMIFS('COM RESID'!$O:$O,'COM RESID'!$I:$I,$F18)*1.2&lt;0.25,0.25/(SUMIFS('COM RESID'!$O:$O,'COM RESID'!$H:$H,$E18,'COM RESID'!$I:$I,$F18)/SUMIFS('COM RESID'!$O:$O,'COM RESID'!$I:$I,$F18)),1.2),IF(ISNUMBER(SEARCH("WHEUE",T18)),IF(OR(S18="COMNGA",S18="COMFOI"),1,1.2),1.2))</f>
        <v>1.2</v>
      </c>
    </row>
    <row r="19" spans="1:29" x14ac:dyDescent="0.25">
      <c r="A19" s="10">
        <f>A18</f>
        <v>4</v>
      </c>
      <c r="B19" s="10"/>
      <c r="C19" s="11" t="str">
        <f>IF(C18="*",C18,"")</f>
        <v>*</v>
      </c>
      <c r="D19" s="12"/>
      <c r="E19" s="13" t="str">
        <f t="shared" si="7"/>
        <v>COMLPG</v>
      </c>
      <c r="F19" s="13" t="str">
        <f t="shared" si="7"/>
        <v>COMHOTOldSHEUE</v>
      </c>
      <c r="G19" s="13" t="str">
        <f t="shared" si="7"/>
        <v>COMHOTOldSHEUE</v>
      </c>
      <c r="H19" s="14">
        <v>2030</v>
      </c>
      <c r="I19" s="14" t="str">
        <f>I18</f>
        <v>LO</v>
      </c>
      <c r="J19" s="14"/>
      <c r="K19" s="15">
        <f>-ROUNDDOWN(SUMIFS('COM RESID'!$O:$O,'COM RESID'!$H:$H,$E19,'COM RESID'!$I:$I,$F19)/SUMIFS('COM RESID'!$O:$O,'COM RESID'!$I:$I,$F19),3)*O19</f>
        <v>0</v>
      </c>
      <c r="L19" s="14"/>
      <c r="M19" s="14"/>
      <c r="N19" s="10"/>
      <c r="O19" s="20">
        <v>0.2</v>
      </c>
      <c r="Q19" s="11" t="str">
        <f t="shared" si="0"/>
        <v>*</v>
      </c>
      <c r="R19" s="12"/>
      <c r="S19" s="13" t="str">
        <f t="shared" si="2"/>
        <v>COMLPG</v>
      </c>
      <c r="T19" s="13" t="str">
        <f t="shared" si="3"/>
        <v>COMHOTOldSHEUE</v>
      </c>
      <c r="U19" s="13" t="str">
        <f t="shared" si="4"/>
        <v>COMHOTOldSHEUE</v>
      </c>
      <c r="V19" s="14">
        <v>2030</v>
      </c>
      <c r="W19" s="14" t="str">
        <f>W18</f>
        <v>UP</v>
      </c>
      <c r="X19" s="14"/>
      <c r="Y19" s="15">
        <f>-ROUNDUP(MIN(SUMIFS('COM RESID'!$O:$O,'COM RESID'!$H:$H,$E19,'COM RESID'!$I:$I,$F19)/SUMIFS('COM RESID'!$O:$O,'COM RESID'!$I:$I,$F19)*AC19,1),3)</f>
        <v>0</v>
      </c>
      <c r="Z19" s="14"/>
      <c r="AA19" s="14"/>
      <c r="AB19" s="10"/>
      <c r="AC19" s="20">
        <f>IF(S19="COMELC",IF(SUMIFS('COM RESID'!$O:$O,'COM RESID'!$H:$H,$E19,'COM RESID'!$I:$I,$F19)/SUMIFS('COM RESID'!$O:$O,'COM RESID'!$I:$I,$F19)*1.5&lt;0.5,0.5/(SUMIFS('COM RESID'!$O:$O,'COM RESID'!$H:$H,$E19,'COM RESID'!$I:$I,$F19)/SUMIFS('COM RESID'!$O:$O,'COM RESID'!$I:$I,$F19)),1.5),IF(ISNUMBER(SEARCH("WHEUE",T18)),IF(OR(S18="COMNGA",S18="COMFOI"),0.9,1.5),1.5))</f>
        <v>1.5</v>
      </c>
    </row>
    <row r="20" spans="1:29" x14ac:dyDescent="0.25">
      <c r="A20" s="26">
        <f>A19</f>
        <v>4</v>
      </c>
      <c r="B20" s="26"/>
      <c r="C20" s="21" t="str">
        <f>IF(C19="*",C19,"")</f>
        <v>*</v>
      </c>
      <c r="D20" s="22"/>
      <c r="E20" s="23" t="str">
        <f t="shared" si="7"/>
        <v>COMLPG</v>
      </c>
      <c r="F20" s="23" t="str">
        <f t="shared" si="7"/>
        <v>COMHOTOldSHEUE</v>
      </c>
      <c r="G20" s="23" t="str">
        <f t="shared" si="7"/>
        <v>COMHOTOldSHEUE</v>
      </c>
      <c r="H20" s="24">
        <v>2050</v>
      </c>
      <c r="I20" s="24" t="str">
        <f>I19</f>
        <v>LO</v>
      </c>
      <c r="J20" s="24"/>
      <c r="K20" s="25">
        <f>-ROUNDDOWN(SUMIFS('COM RESID'!$O:$O,'COM RESID'!$H:$H,$E20,'COM RESID'!$I:$I,$F20)/SUMIFS('COM RESID'!$O:$O,'COM RESID'!$I:$I,$F20),3)*O20</f>
        <v>0</v>
      </c>
      <c r="L20" s="24"/>
      <c r="M20" s="24"/>
      <c r="N20" s="26"/>
      <c r="O20" s="27">
        <v>0</v>
      </c>
      <c r="Q20" s="21" t="str">
        <f t="shared" si="0"/>
        <v>*</v>
      </c>
      <c r="R20" s="22"/>
      <c r="S20" s="23" t="str">
        <f t="shared" si="2"/>
        <v>COMLPG</v>
      </c>
      <c r="T20" s="23" t="str">
        <f t="shared" si="3"/>
        <v>COMHOTOldSHEUE</v>
      </c>
      <c r="U20" s="23" t="str">
        <f t="shared" si="4"/>
        <v>COMHOTOldSHEUE</v>
      </c>
      <c r="V20" s="24">
        <v>2050</v>
      </c>
      <c r="W20" s="24" t="str">
        <f>W19</f>
        <v>UP</v>
      </c>
      <c r="X20" s="24"/>
      <c r="Y20" s="25">
        <f>-ROUNDUP(MIN(SUMIFS('COM RESID'!$O:$O,'COM RESID'!$H:$H,$E20,'COM RESID'!$I:$I,$F20)/SUMIFS('COM RESID'!$O:$O,'COM RESID'!$I:$I,$F20)*AC20,1),3)</f>
        <v>0</v>
      </c>
      <c r="Z20" s="24"/>
      <c r="AA20" s="24"/>
      <c r="AB20" s="26"/>
      <c r="AC20" s="27">
        <f>IF(S20="COMELC",IF(SUMIFS('COM RESID'!$O:$O,'COM RESID'!$H:$H,$E20,'COM RESID'!$I:$I,$F20)/SUMIFS('COM RESID'!$O:$O,'COM RESID'!$I:$I,$F20)*3&lt;1,1/(SUMIFS('COM RESID'!$O:$O,'COM RESID'!$H:$H,$E20,'COM RESID'!$I:$I,$F20)/SUMIFS('COM RESID'!$O:$O,'COM RESID'!$I:$I,$F20)),3),IF(ISNUMBER(SEARCH("WHEUE",T18)),IF(OR(S18="COMNGA",S18="COMFOI"),0.75,3),3))</f>
        <v>3</v>
      </c>
    </row>
    <row r="21" spans="1:29" x14ac:dyDescent="0.25">
      <c r="A21" s="19">
        <f>A17+1</f>
        <v>5</v>
      </c>
      <c r="B21" s="10"/>
      <c r="C21" s="11" t="str">
        <f>IF(E21="","",IF(_xlfn.XLOOKUP($A21,Selected_constraint_UC!$A:$A,Selected_constraint_UC!$D:$D)=1,"*",IF(SUMIFS('COM TECH'!$N:$N,'COM TECH'!$K:$K,E21,'COM TECH'!$L:$L,F21)=0,"*",IF(SUMIFS('COM RESID'!$O:$O,'COM RESID'!$H:$H,$E21,'COM RESID'!$I:$I,$F21)=0,"*","UC_MarketShare_"&amp;LEFT(F21,LEN(F21)-3)&amp;"_"&amp;RIGHT(E21,3)&amp;"_MIN"))))</f>
        <v>*</v>
      </c>
      <c r="D21" s="12"/>
      <c r="E21" s="13" t="str">
        <f>_xlfn.XLOOKUP($A21,Selected_constraint_UC!$A:$A,Selected_constraint_UC!$B:$B)</f>
        <v>COMSTM</v>
      </c>
      <c r="F21" s="13" t="str">
        <f>_xlfn.XLOOKUP($A21,Selected_constraint_UC!$A:$A,Selected_constraint_UC!$C:$C)</f>
        <v>COMHOTOldSHEUE</v>
      </c>
      <c r="G21" s="13" t="str">
        <f>F21</f>
        <v>COMHOTOldSHEUE</v>
      </c>
      <c r="H21" s="14">
        <v>2019</v>
      </c>
      <c r="I21" s="14" t="s">
        <v>3848</v>
      </c>
      <c r="J21" s="14">
        <v>1</v>
      </c>
      <c r="K21" s="15">
        <f>-ROUNDDOWN(SUMIFS('COM RESID'!$O:$O,'COM RESID'!$H:$H,$E21,'COM RESID'!$I:$I,$F21)/SUMIFS('COM RESID'!$O:$O,'COM RESID'!$I:$I,$F21),3)*O21</f>
        <v>-4.018E-2</v>
      </c>
      <c r="L21" s="14">
        <v>0</v>
      </c>
      <c r="M21" s="14">
        <v>5</v>
      </c>
      <c r="N21" s="10"/>
      <c r="O21" s="20">
        <v>0.98</v>
      </c>
      <c r="Q21" s="11" t="str">
        <f t="shared" si="0"/>
        <v>*</v>
      </c>
      <c r="R21" s="12"/>
      <c r="S21" s="13" t="str">
        <f t="shared" si="2"/>
        <v>COMSTM</v>
      </c>
      <c r="T21" s="13" t="str">
        <f t="shared" si="3"/>
        <v>COMHOTOldSHEUE</v>
      </c>
      <c r="U21" s="13" t="str">
        <f t="shared" si="4"/>
        <v>COMHOTOldSHEUE</v>
      </c>
      <c r="V21" s="14">
        <v>2019</v>
      </c>
      <c r="W21" s="14" t="s">
        <v>3849</v>
      </c>
      <c r="X21" s="14">
        <v>1</v>
      </c>
      <c r="Y21" s="15">
        <f>-ROUNDUP(MIN(SUMIFS('COM RESID'!$O:$O,'COM RESID'!$H:$H,$E21,'COM RESID'!$I:$I,$F21)/SUMIFS('COM RESID'!$O:$O,'COM RESID'!$I:$I,$F21)*AC21,1),3)</f>
        <v>-4.3000000000000003E-2</v>
      </c>
      <c r="Z21" s="14">
        <v>0</v>
      </c>
      <c r="AA21" s="14">
        <v>5</v>
      </c>
      <c r="AB21" s="10"/>
      <c r="AC21" s="20">
        <v>1.02</v>
      </c>
    </row>
    <row r="22" spans="1:29" x14ac:dyDescent="0.25">
      <c r="A22" s="10">
        <f>A21</f>
        <v>5</v>
      </c>
      <c r="B22" s="10"/>
      <c r="C22" s="11" t="str">
        <f>IF(C21="*",C21,"")</f>
        <v>*</v>
      </c>
      <c r="D22" s="12"/>
      <c r="E22" s="13" t="str">
        <f t="shared" ref="E22:G24" si="8">E21</f>
        <v>COMSTM</v>
      </c>
      <c r="F22" s="13" t="str">
        <f t="shared" si="8"/>
        <v>COMHOTOldSHEUE</v>
      </c>
      <c r="G22" s="13" t="str">
        <f t="shared" si="8"/>
        <v>COMHOTOldSHEUE</v>
      </c>
      <c r="H22" s="14">
        <v>2025</v>
      </c>
      <c r="I22" s="14" t="str">
        <f>I21</f>
        <v>LO</v>
      </c>
      <c r="J22" s="14"/>
      <c r="K22" s="15">
        <f>-ROUNDDOWN(SUMIFS('COM RESID'!$O:$O,'COM RESID'!$H:$H,$E22,'COM RESID'!$I:$I,$F22)/SUMIFS('COM RESID'!$O:$O,'COM RESID'!$I:$I,$F22),3)*O22</f>
        <v>-3.2800000000000003E-2</v>
      </c>
      <c r="L22" s="14"/>
      <c r="M22" s="14"/>
      <c r="N22" s="10"/>
      <c r="O22" s="20">
        <v>0.8</v>
      </c>
      <c r="Q22" s="11" t="str">
        <f t="shared" si="0"/>
        <v>*</v>
      </c>
      <c r="R22" s="12"/>
      <c r="S22" s="13" t="str">
        <f t="shared" si="2"/>
        <v>COMSTM</v>
      </c>
      <c r="T22" s="13" t="str">
        <f t="shared" si="3"/>
        <v>COMHOTOldSHEUE</v>
      </c>
      <c r="U22" s="13" t="str">
        <f t="shared" si="4"/>
        <v>COMHOTOldSHEUE</v>
      </c>
      <c r="V22" s="14">
        <v>2025</v>
      </c>
      <c r="W22" s="14" t="str">
        <f>W21</f>
        <v>UP</v>
      </c>
      <c r="X22" s="14"/>
      <c r="Y22" s="15">
        <f>-ROUNDUP(MIN(SUMIFS('COM RESID'!$O:$O,'COM RESID'!$H:$H,$E22,'COM RESID'!$I:$I,$F22)/SUMIFS('COM RESID'!$O:$O,'COM RESID'!$I:$I,$F22)*AC22,1),3)</f>
        <v>-0.05</v>
      </c>
      <c r="Z22" s="14"/>
      <c r="AA22" s="14"/>
      <c r="AB22" s="10"/>
      <c r="AC22" s="20">
        <f>IF(S22="COMELC",IF(SUMIFS('COM RESID'!$O:$O,'COM RESID'!$H:$H,$E22,'COM RESID'!$I:$I,$F22)/SUMIFS('COM RESID'!$O:$O,'COM RESID'!$I:$I,$F22)*1.2&lt;0.25,0.25/(SUMIFS('COM RESID'!$O:$O,'COM RESID'!$H:$H,$E22,'COM RESID'!$I:$I,$F22)/SUMIFS('COM RESID'!$O:$O,'COM RESID'!$I:$I,$F22)),1.2),IF(ISNUMBER(SEARCH("WHEUE",T22)),IF(OR(S22="COMNGA",S22="COMFOI"),1,1.2),1.2))</f>
        <v>1.2</v>
      </c>
    </row>
    <row r="23" spans="1:29" x14ac:dyDescent="0.25">
      <c r="A23" s="10">
        <f>A22</f>
        <v>5</v>
      </c>
      <c r="B23" s="10"/>
      <c r="C23" s="11" t="str">
        <f>IF(C22="*",C22,"")</f>
        <v>*</v>
      </c>
      <c r="D23" s="12"/>
      <c r="E23" s="13" t="str">
        <f t="shared" si="8"/>
        <v>COMSTM</v>
      </c>
      <c r="F23" s="13" t="str">
        <f t="shared" si="8"/>
        <v>COMHOTOldSHEUE</v>
      </c>
      <c r="G23" s="13" t="str">
        <f t="shared" si="8"/>
        <v>COMHOTOldSHEUE</v>
      </c>
      <c r="H23" s="14">
        <v>2030</v>
      </c>
      <c r="I23" s="14" t="str">
        <f>I22</f>
        <v>LO</v>
      </c>
      <c r="J23" s="14"/>
      <c r="K23" s="15">
        <f>-ROUNDDOWN(SUMIFS('COM RESID'!$O:$O,'COM RESID'!$H:$H,$E23,'COM RESID'!$I:$I,$F23)/SUMIFS('COM RESID'!$O:$O,'COM RESID'!$I:$I,$F23),3)*O23</f>
        <v>-8.2000000000000007E-3</v>
      </c>
      <c r="L23" s="14"/>
      <c r="M23" s="14"/>
      <c r="N23" s="10"/>
      <c r="O23" s="20">
        <v>0.2</v>
      </c>
      <c r="Q23" s="11" t="str">
        <f t="shared" si="0"/>
        <v>*</v>
      </c>
      <c r="R23" s="12"/>
      <c r="S23" s="13" t="str">
        <f t="shared" si="2"/>
        <v>COMSTM</v>
      </c>
      <c r="T23" s="13" t="str">
        <f t="shared" si="3"/>
        <v>COMHOTOldSHEUE</v>
      </c>
      <c r="U23" s="13" t="str">
        <f t="shared" si="4"/>
        <v>COMHOTOldSHEUE</v>
      </c>
      <c r="V23" s="14">
        <v>2030</v>
      </c>
      <c r="W23" s="14" t="str">
        <f>W22</f>
        <v>UP</v>
      </c>
      <c r="X23" s="14"/>
      <c r="Y23" s="15">
        <f>-ROUNDUP(MIN(SUMIFS('COM RESID'!$O:$O,'COM RESID'!$H:$H,$E23,'COM RESID'!$I:$I,$F23)/SUMIFS('COM RESID'!$O:$O,'COM RESID'!$I:$I,$F23)*AC23,1),3)</f>
        <v>-6.3E-2</v>
      </c>
      <c r="Z23" s="14"/>
      <c r="AA23" s="14"/>
      <c r="AB23" s="10"/>
      <c r="AC23" s="20">
        <f>IF(S23="COMELC",IF(SUMIFS('COM RESID'!$O:$O,'COM RESID'!$H:$H,$E23,'COM RESID'!$I:$I,$F23)/SUMIFS('COM RESID'!$O:$O,'COM RESID'!$I:$I,$F23)*1.5&lt;0.5,0.5/(SUMIFS('COM RESID'!$O:$O,'COM RESID'!$H:$H,$E23,'COM RESID'!$I:$I,$F23)/SUMIFS('COM RESID'!$O:$O,'COM RESID'!$I:$I,$F23)),1.5),IF(ISNUMBER(SEARCH("WHEUE",T22)),IF(OR(S22="COMNGA",S22="COMFOI"),0.9,1.5),1.5))</f>
        <v>1.5</v>
      </c>
    </row>
    <row r="24" spans="1:29" x14ac:dyDescent="0.25">
      <c r="A24" s="26">
        <f>A23</f>
        <v>5</v>
      </c>
      <c r="B24" s="26"/>
      <c r="C24" s="21" t="str">
        <f>IF(C23="*",C23,"")</f>
        <v>*</v>
      </c>
      <c r="D24" s="22"/>
      <c r="E24" s="23" t="str">
        <f t="shared" si="8"/>
        <v>COMSTM</v>
      </c>
      <c r="F24" s="23" t="str">
        <f t="shared" si="8"/>
        <v>COMHOTOldSHEUE</v>
      </c>
      <c r="G24" s="23" t="str">
        <f t="shared" si="8"/>
        <v>COMHOTOldSHEUE</v>
      </c>
      <c r="H24" s="24">
        <v>2050</v>
      </c>
      <c r="I24" s="24" t="str">
        <f>I23</f>
        <v>LO</v>
      </c>
      <c r="J24" s="24"/>
      <c r="K24" s="25">
        <f>-ROUNDDOWN(SUMIFS('COM RESID'!$O:$O,'COM RESID'!$H:$H,$E24,'COM RESID'!$I:$I,$F24)/SUMIFS('COM RESID'!$O:$O,'COM RESID'!$I:$I,$F24),3)*O24</f>
        <v>0</v>
      </c>
      <c r="L24" s="24"/>
      <c r="M24" s="24"/>
      <c r="N24" s="26"/>
      <c r="O24" s="27">
        <v>0</v>
      </c>
      <c r="Q24" s="21" t="str">
        <f t="shared" si="0"/>
        <v>*</v>
      </c>
      <c r="R24" s="22"/>
      <c r="S24" s="23" t="str">
        <f t="shared" si="2"/>
        <v>COMSTM</v>
      </c>
      <c r="T24" s="23" t="str">
        <f t="shared" si="3"/>
        <v>COMHOTOldSHEUE</v>
      </c>
      <c r="U24" s="23" t="str">
        <f t="shared" si="4"/>
        <v>COMHOTOldSHEUE</v>
      </c>
      <c r="V24" s="24">
        <v>2050</v>
      </c>
      <c r="W24" s="24" t="str">
        <f>W23</f>
        <v>UP</v>
      </c>
      <c r="X24" s="24"/>
      <c r="Y24" s="25">
        <f>-ROUNDUP(MIN(SUMIFS('COM RESID'!$O:$O,'COM RESID'!$H:$H,$E24,'COM RESID'!$I:$I,$F24)/SUMIFS('COM RESID'!$O:$O,'COM RESID'!$I:$I,$F24)*AC24,1),3)</f>
        <v>-0.125</v>
      </c>
      <c r="Z24" s="24"/>
      <c r="AA24" s="24"/>
      <c r="AB24" s="26"/>
      <c r="AC24" s="27">
        <f>IF(S24="COMELC",IF(SUMIFS('COM RESID'!$O:$O,'COM RESID'!$H:$H,$E24,'COM RESID'!$I:$I,$F24)/SUMIFS('COM RESID'!$O:$O,'COM RESID'!$I:$I,$F24)*3&lt;1,1/(SUMIFS('COM RESID'!$O:$O,'COM RESID'!$H:$H,$E24,'COM RESID'!$I:$I,$F24)/SUMIFS('COM RESID'!$O:$O,'COM RESID'!$I:$I,$F24)),3),IF(ISNUMBER(SEARCH("WHEUE",T22)),IF(OR(S22="COMNGA",S22="COMFOI"),0.75,3),3))</f>
        <v>3</v>
      </c>
    </row>
    <row r="25" spans="1:29" x14ac:dyDescent="0.25">
      <c r="A25" s="19">
        <f>A21+1</f>
        <v>6</v>
      </c>
      <c r="B25" s="10"/>
      <c r="C25" s="11" t="str">
        <f>IF(E25="","",IF(_xlfn.XLOOKUP($A25,Selected_constraint_UC!$A:$A,Selected_constraint_UC!$D:$D)=1,"*",IF(SUMIFS('COM TECH'!$N:$N,'COM TECH'!$K:$K,E25,'COM TECH'!$L:$L,F25)=0,"*",IF(SUMIFS('COM RESID'!$O:$O,'COM RESID'!$H:$H,$E25,'COM RESID'!$I:$I,$F25)=0,"*","UC_MarketShare_"&amp;LEFT(F25,LEN(F25)-3)&amp;"_"&amp;RIGHT(E25,3)&amp;"_MIN"))))</f>
        <v>UC_MarketShare_COMHOTOldSC_ELC_MIN</v>
      </c>
      <c r="D25" s="12"/>
      <c r="E25" s="13" t="str">
        <f>_xlfn.XLOOKUP($A25,Selected_constraint_UC!$A:$A,Selected_constraint_UC!$B:$B)</f>
        <v>COMELC</v>
      </c>
      <c r="F25" s="13" t="str">
        <f>_xlfn.XLOOKUP($A25,Selected_constraint_UC!$A:$A,Selected_constraint_UC!$C:$C)</f>
        <v>COMHOTOldSCEUE</v>
      </c>
      <c r="G25" s="13" t="str">
        <f>F25</f>
        <v>COMHOTOldSCEUE</v>
      </c>
      <c r="H25" s="14">
        <v>2019</v>
      </c>
      <c r="I25" s="14" t="s">
        <v>3848</v>
      </c>
      <c r="J25" s="14">
        <v>1</v>
      </c>
      <c r="K25" s="15">
        <f>-ROUNDDOWN(SUMIFS('COM RESID'!$O:$O,'COM RESID'!$H:$H,$E25,'COM RESID'!$I:$I,$F25)/SUMIFS('COM RESID'!$O:$O,'COM RESID'!$I:$I,$F25),3)*O25</f>
        <v>-0.98</v>
      </c>
      <c r="L25" s="14">
        <v>0</v>
      </c>
      <c r="M25" s="14">
        <v>5</v>
      </c>
      <c r="N25" s="10"/>
      <c r="O25" s="20">
        <v>0.98</v>
      </c>
      <c r="Q25" s="11" t="str">
        <f t="shared" si="0"/>
        <v>UC_MarketShare_COMHOTOldSC_ELC_MAX</v>
      </c>
      <c r="R25" s="12"/>
      <c r="S25" s="13" t="str">
        <f t="shared" si="2"/>
        <v>COMELC</v>
      </c>
      <c r="T25" s="13" t="str">
        <f t="shared" si="3"/>
        <v>COMHOTOldSCEUE</v>
      </c>
      <c r="U25" s="13" t="str">
        <f t="shared" si="4"/>
        <v>COMHOTOldSCEUE</v>
      </c>
      <c r="V25" s="14">
        <v>2019</v>
      </c>
      <c r="W25" s="14" t="s">
        <v>3849</v>
      </c>
      <c r="X25" s="14">
        <v>1</v>
      </c>
      <c r="Y25" s="15">
        <f>-ROUNDUP(MIN(SUMIFS('COM RESID'!$O:$O,'COM RESID'!$H:$H,$E25,'COM RESID'!$I:$I,$F25)/SUMIFS('COM RESID'!$O:$O,'COM RESID'!$I:$I,$F25)*AC25,1),3)</f>
        <v>-1</v>
      </c>
      <c r="Z25" s="14">
        <v>0</v>
      </c>
      <c r="AA25" s="14">
        <v>5</v>
      </c>
      <c r="AB25" s="10"/>
      <c r="AC25" s="20">
        <v>1.02</v>
      </c>
    </row>
    <row r="26" spans="1:29" x14ac:dyDescent="0.25">
      <c r="A26" s="10">
        <f>A25</f>
        <v>6</v>
      </c>
      <c r="B26" s="10"/>
      <c r="C26" s="11" t="str">
        <f>IF(C25="*",C25,"")</f>
        <v/>
      </c>
      <c r="D26" s="12"/>
      <c r="E26" s="13" t="str">
        <f t="shared" ref="E26:G28" si="9">E25</f>
        <v>COMELC</v>
      </c>
      <c r="F26" s="13" t="str">
        <f t="shared" si="9"/>
        <v>COMHOTOldSCEUE</v>
      </c>
      <c r="G26" s="13" t="str">
        <f t="shared" si="9"/>
        <v>COMHOTOldSCEUE</v>
      </c>
      <c r="H26" s="14">
        <v>2025</v>
      </c>
      <c r="I26" s="14" t="str">
        <f>I25</f>
        <v>LO</v>
      </c>
      <c r="J26" s="14"/>
      <c r="K26" s="15">
        <f>-ROUNDDOWN(SUMIFS('COM RESID'!$O:$O,'COM RESID'!$H:$H,$E26,'COM RESID'!$I:$I,$F26)/SUMIFS('COM RESID'!$O:$O,'COM RESID'!$I:$I,$F26),3)*O26</f>
        <v>-0.8</v>
      </c>
      <c r="L26" s="14"/>
      <c r="M26" s="14"/>
      <c r="N26" s="10"/>
      <c r="O26" s="20">
        <v>0.8</v>
      </c>
      <c r="Q26" s="11" t="str">
        <f t="shared" si="0"/>
        <v/>
      </c>
      <c r="R26" s="12"/>
      <c r="S26" s="13" t="str">
        <f t="shared" si="2"/>
        <v>COMELC</v>
      </c>
      <c r="T26" s="13" t="str">
        <f t="shared" si="3"/>
        <v>COMHOTOldSCEUE</v>
      </c>
      <c r="U26" s="13" t="str">
        <f t="shared" si="4"/>
        <v>COMHOTOldSCEUE</v>
      </c>
      <c r="V26" s="14">
        <v>2025</v>
      </c>
      <c r="W26" s="14" t="str">
        <f>W25</f>
        <v>UP</v>
      </c>
      <c r="X26" s="14"/>
      <c r="Y26" s="15">
        <f>-ROUNDUP(MIN(SUMIFS('COM RESID'!$O:$O,'COM RESID'!$H:$H,$E26,'COM RESID'!$I:$I,$F26)/SUMIFS('COM RESID'!$O:$O,'COM RESID'!$I:$I,$F26)*AC26,1),3)</f>
        <v>-1</v>
      </c>
      <c r="Z26" s="14"/>
      <c r="AA26" s="14"/>
      <c r="AB26" s="10"/>
      <c r="AC26" s="20">
        <f>IF(S26="COMELC",IF(SUMIFS('COM RESID'!$O:$O,'COM RESID'!$H:$H,$E26,'COM RESID'!$I:$I,$F26)/SUMIFS('COM RESID'!$O:$O,'COM RESID'!$I:$I,$F26)*1.2&lt;0.25,0.25/(SUMIFS('COM RESID'!$O:$O,'COM RESID'!$H:$H,$E26,'COM RESID'!$I:$I,$F26)/SUMIFS('COM RESID'!$O:$O,'COM RESID'!$I:$I,$F26)),1.2),IF(ISNUMBER(SEARCH("WHEUE",T26)),IF(OR(S26="COMNGA",S26="COMFOI"),1,1.2),1.2))</f>
        <v>1.2</v>
      </c>
    </row>
    <row r="27" spans="1:29" x14ac:dyDescent="0.25">
      <c r="A27" s="10">
        <f>A26</f>
        <v>6</v>
      </c>
      <c r="B27" s="10"/>
      <c r="C27" s="11" t="str">
        <f>IF(C26="*",C26,"")</f>
        <v/>
      </c>
      <c r="D27" s="12"/>
      <c r="E27" s="13" t="str">
        <f t="shared" si="9"/>
        <v>COMELC</v>
      </c>
      <c r="F27" s="13" t="str">
        <f t="shared" si="9"/>
        <v>COMHOTOldSCEUE</v>
      </c>
      <c r="G27" s="13" t="str">
        <f t="shared" si="9"/>
        <v>COMHOTOldSCEUE</v>
      </c>
      <c r="H27" s="14">
        <v>2030</v>
      </c>
      <c r="I27" s="14" t="str">
        <f>I26</f>
        <v>LO</v>
      </c>
      <c r="J27" s="14"/>
      <c r="K27" s="15">
        <f>-ROUNDDOWN(SUMIFS('COM RESID'!$O:$O,'COM RESID'!$H:$H,$E27,'COM RESID'!$I:$I,$F27)/SUMIFS('COM RESID'!$O:$O,'COM RESID'!$I:$I,$F27),3)*O27</f>
        <v>-0.75</v>
      </c>
      <c r="L27" s="14"/>
      <c r="M27" s="14"/>
      <c r="N27" s="10"/>
      <c r="O27" s="20">
        <v>0.75</v>
      </c>
      <c r="Q27" s="11" t="str">
        <f t="shared" si="0"/>
        <v/>
      </c>
      <c r="R27" s="12"/>
      <c r="S27" s="13" t="str">
        <f t="shared" si="2"/>
        <v>COMELC</v>
      </c>
      <c r="T27" s="13" t="str">
        <f t="shared" si="3"/>
        <v>COMHOTOldSCEUE</v>
      </c>
      <c r="U27" s="13" t="str">
        <f t="shared" si="4"/>
        <v>COMHOTOldSCEUE</v>
      </c>
      <c r="V27" s="14">
        <v>2030</v>
      </c>
      <c r="W27" s="14" t="str">
        <f>W26</f>
        <v>UP</v>
      </c>
      <c r="X27" s="14"/>
      <c r="Y27" s="15">
        <f>-ROUNDUP(MIN(SUMIFS('COM RESID'!$O:$O,'COM RESID'!$H:$H,$E27,'COM RESID'!$I:$I,$F27)/SUMIFS('COM RESID'!$O:$O,'COM RESID'!$I:$I,$F27)*AC27,1),3)</f>
        <v>-1</v>
      </c>
      <c r="Z27" s="14"/>
      <c r="AA27" s="14"/>
      <c r="AB27" s="10"/>
      <c r="AC27" s="20">
        <f>IF(S27="COMELC",IF(SUMIFS('COM RESID'!$O:$O,'COM RESID'!$H:$H,$E27,'COM RESID'!$I:$I,$F27)/SUMIFS('COM RESID'!$O:$O,'COM RESID'!$I:$I,$F27)*1.5&lt;0.5,0.5/(SUMIFS('COM RESID'!$O:$O,'COM RESID'!$H:$H,$E27,'COM RESID'!$I:$I,$F27)/SUMIFS('COM RESID'!$O:$O,'COM RESID'!$I:$I,$F27)),1.5),IF(ISNUMBER(SEARCH("WHEUE",T26)),IF(OR(S26="COMNGA",S26="COMFOI"),0.9,1.5),1.5))</f>
        <v>1.5</v>
      </c>
    </row>
    <row r="28" spans="1:29" x14ac:dyDescent="0.25">
      <c r="A28" s="26">
        <f>A27</f>
        <v>6</v>
      </c>
      <c r="B28" s="26"/>
      <c r="C28" s="21" t="str">
        <f>IF(C27="*",C27,"")</f>
        <v/>
      </c>
      <c r="D28" s="22"/>
      <c r="E28" s="23" t="str">
        <f t="shared" si="9"/>
        <v>COMELC</v>
      </c>
      <c r="F28" s="23" t="str">
        <f t="shared" si="9"/>
        <v>COMHOTOldSCEUE</v>
      </c>
      <c r="G28" s="23" t="str">
        <f t="shared" si="9"/>
        <v>COMHOTOldSCEUE</v>
      </c>
      <c r="H28" s="24">
        <v>2050</v>
      </c>
      <c r="I28" s="24" t="str">
        <f>I27</f>
        <v>LO</v>
      </c>
      <c r="J28" s="24"/>
      <c r="K28" s="25">
        <f>-ROUNDDOWN(SUMIFS('COM RESID'!$O:$O,'COM RESID'!$H:$H,$E28,'COM RESID'!$I:$I,$F28)/SUMIFS('COM RESID'!$O:$O,'COM RESID'!$I:$I,$F28),3)*O28</f>
        <v>-0.75</v>
      </c>
      <c r="L28" s="24"/>
      <c r="M28" s="24"/>
      <c r="N28" s="26"/>
      <c r="O28" s="27">
        <v>0.75</v>
      </c>
      <c r="Q28" s="21" t="str">
        <f t="shared" si="0"/>
        <v/>
      </c>
      <c r="R28" s="22"/>
      <c r="S28" s="23" t="str">
        <f t="shared" si="2"/>
        <v>COMELC</v>
      </c>
      <c r="T28" s="23" t="str">
        <f t="shared" si="3"/>
        <v>COMHOTOldSCEUE</v>
      </c>
      <c r="U28" s="23" t="str">
        <f t="shared" si="4"/>
        <v>COMHOTOldSCEUE</v>
      </c>
      <c r="V28" s="24">
        <v>2050</v>
      </c>
      <c r="W28" s="24" t="str">
        <f>W27</f>
        <v>UP</v>
      </c>
      <c r="X28" s="24"/>
      <c r="Y28" s="25">
        <f>-ROUNDUP(MIN(SUMIFS('COM RESID'!$O:$O,'COM RESID'!$H:$H,$E28,'COM RESID'!$I:$I,$F28)/SUMIFS('COM RESID'!$O:$O,'COM RESID'!$I:$I,$F28)*AC28,1),3)</f>
        <v>-1</v>
      </c>
      <c r="Z28" s="24"/>
      <c r="AA28" s="24"/>
      <c r="AB28" s="26"/>
      <c r="AC28" s="27">
        <f>IF(S28="COMELC",IF(SUMIFS('COM RESID'!$O:$O,'COM RESID'!$H:$H,$E28,'COM RESID'!$I:$I,$F28)/SUMIFS('COM RESID'!$O:$O,'COM RESID'!$I:$I,$F28)*3&lt;1,1/(SUMIFS('COM RESID'!$O:$O,'COM RESID'!$H:$H,$E28,'COM RESID'!$I:$I,$F28)/SUMIFS('COM RESID'!$O:$O,'COM RESID'!$I:$I,$F28)),3),IF(ISNUMBER(SEARCH("WHEUE",T26)),IF(OR(S26="COMNGA",S26="COMFOI"),0.75,3),3))</f>
        <v>3</v>
      </c>
    </row>
    <row r="29" spans="1:29" x14ac:dyDescent="0.25">
      <c r="A29" s="19">
        <f>A25+1</f>
        <v>7</v>
      </c>
      <c r="B29" s="10"/>
      <c r="C29" s="11" t="str">
        <f>IF(E29="","",IF(_xlfn.XLOOKUP($A29,Selected_constraint_UC!$A:$A,Selected_constraint_UC!$D:$D)=1,"*",IF(SUMIFS('COM TECH'!$N:$N,'COM TECH'!$K:$K,E29,'COM TECH'!$L:$L,F29)=0,"*",IF(SUMIFS('COM RESID'!$O:$O,'COM RESID'!$H:$H,$E29,'COM RESID'!$I:$I,$F29)=0,"*","UC_MarketShare_"&amp;LEFT(F29,LEN(F29)-3)&amp;"_"&amp;RIGHT(E29,3)&amp;"_MIN"))))</f>
        <v>*</v>
      </c>
      <c r="D29" s="12"/>
      <c r="E29" s="13" t="str">
        <f>_xlfn.XLOOKUP($A29,Selected_constraint_UC!$A:$A,Selected_constraint_UC!$B:$B)</f>
        <v>COMELC</v>
      </c>
      <c r="F29" s="13" t="str">
        <f>_xlfn.XLOOKUP($A29,Selected_constraint_UC!$A:$A,Selected_constraint_UC!$C:$C)</f>
        <v>COMHOTOldVTEUE</v>
      </c>
      <c r="G29" s="13" t="str">
        <f>F29</f>
        <v>COMHOTOldVTEUE</v>
      </c>
      <c r="H29" s="14">
        <v>2019</v>
      </c>
      <c r="I29" s="14" t="s">
        <v>3848</v>
      </c>
      <c r="J29" s="14">
        <v>1</v>
      </c>
      <c r="K29" s="15">
        <f>-ROUNDDOWN(SUMIFS('COM RESID'!$O:$O,'COM RESID'!$H:$H,$E29,'COM RESID'!$I:$I,$F29)/SUMIFS('COM RESID'!$O:$O,'COM RESID'!$I:$I,$F29),3)*O29</f>
        <v>-0.98</v>
      </c>
      <c r="L29" s="14">
        <v>0</v>
      </c>
      <c r="M29" s="14">
        <v>5</v>
      </c>
      <c r="N29" s="10"/>
      <c r="O29" s="20">
        <v>0.98</v>
      </c>
      <c r="Q29" s="11" t="str">
        <f t="shared" si="0"/>
        <v>*</v>
      </c>
      <c r="R29" s="12"/>
      <c r="S29" s="13" t="str">
        <f t="shared" si="2"/>
        <v>COMELC</v>
      </c>
      <c r="T29" s="13" t="str">
        <f t="shared" si="3"/>
        <v>COMHOTOldVTEUE</v>
      </c>
      <c r="U29" s="13" t="str">
        <f t="shared" si="4"/>
        <v>COMHOTOldVTEUE</v>
      </c>
      <c r="V29" s="14">
        <v>2019</v>
      </c>
      <c r="W29" s="14" t="s">
        <v>3849</v>
      </c>
      <c r="X29" s="14">
        <v>1</v>
      </c>
      <c r="Y29" s="15">
        <f>-ROUNDUP(MIN(SUMIFS('COM RESID'!$O:$O,'COM RESID'!$H:$H,$E29,'COM RESID'!$I:$I,$F29)/SUMIFS('COM RESID'!$O:$O,'COM RESID'!$I:$I,$F29)*AC29,1),3)</f>
        <v>-1</v>
      </c>
      <c r="Z29" s="14">
        <v>0</v>
      </c>
      <c r="AA29" s="14">
        <v>5</v>
      </c>
      <c r="AB29" s="10"/>
      <c r="AC29" s="20">
        <v>1.02</v>
      </c>
    </row>
    <row r="30" spans="1:29" x14ac:dyDescent="0.25">
      <c r="A30" s="10">
        <f>A29</f>
        <v>7</v>
      </c>
      <c r="B30" s="10"/>
      <c r="C30" s="11" t="str">
        <f>IF(C29="*",C29,"")</f>
        <v>*</v>
      </c>
      <c r="D30" s="12"/>
      <c r="E30" s="13" t="str">
        <f t="shared" ref="E30:G32" si="10">E29</f>
        <v>COMELC</v>
      </c>
      <c r="F30" s="13" t="str">
        <f t="shared" si="10"/>
        <v>COMHOTOldVTEUE</v>
      </c>
      <c r="G30" s="13" t="str">
        <f t="shared" si="10"/>
        <v>COMHOTOldVTEUE</v>
      </c>
      <c r="H30" s="14">
        <v>2025</v>
      </c>
      <c r="I30" s="14" t="str">
        <f>I29</f>
        <v>LO</v>
      </c>
      <c r="J30" s="14"/>
      <c r="K30" s="15">
        <f>-ROUNDDOWN(SUMIFS('COM RESID'!$O:$O,'COM RESID'!$H:$H,$E30,'COM RESID'!$I:$I,$F30)/SUMIFS('COM RESID'!$O:$O,'COM RESID'!$I:$I,$F30),3)*O30</f>
        <v>-0.8</v>
      </c>
      <c r="L30" s="14"/>
      <c r="M30" s="14"/>
      <c r="N30" s="10"/>
      <c r="O30" s="20">
        <v>0.8</v>
      </c>
      <c r="Q30" s="11" t="str">
        <f t="shared" si="0"/>
        <v>*</v>
      </c>
      <c r="R30" s="12"/>
      <c r="S30" s="13" t="str">
        <f t="shared" si="2"/>
        <v>COMELC</v>
      </c>
      <c r="T30" s="13" t="str">
        <f t="shared" si="3"/>
        <v>COMHOTOldVTEUE</v>
      </c>
      <c r="U30" s="13" t="str">
        <f t="shared" si="4"/>
        <v>COMHOTOldVTEUE</v>
      </c>
      <c r="V30" s="14">
        <v>2025</v>
      </c>
      <c r="W30" s="14" t="str">
        <f>W29</f>
        <v>UP</v>
      </c>
      <c r="X30" s="14"/>
      <c r="Y30" s="15">
        <f>-ROUNDUP(MIN(SUMIFS('COM RESID'!$O:$O,'COM RESID'!$H:$H,$E30,'COM RESID'!$I:$I,$F30)/SUMIFS('COM RESID'!$O:$O,'COM RESID'!$I:$I,$F30)*AC30,1),3)</f>
        <v>-1</v>
      </c>
      <c r="Z30" s="14"/>
      <c r="AA30" s="14"/>
      <c r="AB30" s="10"/>
      <c r="AC30" s="20">
        <f>IF(S30="COMELC",IF(SUMIFS('COM RESID'!$O:$O,'COM RESID'!$H:$H,$E30,'COM RESID'!$I:$I,$F30)/SUMIFS('COM RESID'!$O:$O,'COM RESID'!$I:$I,$F30)*1.2&lt;0.25,0.25/(SUMIFS('COM RESID'!$O:$O,'COM RESID'!$H:$H,$E30,'COM RESID'!$I:$I,$F30)/SUMIFS('COM RESID'!$O:$O,'COM RESID'!$I:$I,$F30)),1.2),IF(ISNUMBER(SEARCH("WHEUE",T30)),IF(OR(S30="COMNGA",S30="COMFOI"),1,1.2),1.2))</f>
        <v>1.2</v>
      </c>
    </row>
    <row r="31" spans="1:29" x14ac:dyDescent="0.25">
      <c r="A31" s="10">
        <f>A30</f>
        <v>7</v>
      </c>
      <c r="B31" s="10"/>
      <c r="C31" s="11" t="str">
        <f>IF(C30="*",C30,"")</f>
        <v>*</v>
      </c>
      <c r="D31" s="12"/>
      <c r="E31" s="13" t="str">
        <f t="shared" si="10"/>
        <v>COMELC</v>
      </c>
      <c r="F31" s="13" t="str">
        <f t="shared" si="10"/>
        <v>COMHOTOldVTEUE</v>
      </c>
      <c r="G31" s="13" t="str">
        <f t="shared" si="10"/>
        <v>COMHOTOldVTEUE</v>
      </c>
      <c r="H31" s="14">
        <v>2030</v>
      </c>
      <c r="I31" s="14" t="str">
        <f>I30</f>
        <v>LO</v>
      </c>
      <c r="J31" s="14"/>
      <c r="K31" s="15">
        <f>-ROUNDDOWN(SUMIFS('COM RESID'!$O:$O,'COM RESID'!$H:$H,$E31,'COM RESID'!$I:$I,$F31)/SUMIFS('COM RESID'!$O:$O,'COM RESID'!$I:$I,$F31),3)*O31</f>
        <v>-0.2</v>
      </c>
      <c r="L31" s="14"/>
      <c r="M31" s="14"/>
      <c r="N31" s="10"/>
      <c r="O31" s="20">
        <v>0.2</v>
      </c>
      <c r="Q31" s="11" t="str">
        <f t="shared" si="0"/>
        <v>*</v>
      </c>
      <c r="R31" s="12"/>
      <c r="S31" s="13" t="str">
        <f t="shared" si="2"/>
        <v>COMELC</v>
      </c>
      <c r="T31" s="13" t="str">
        <f t="shared" si="3"/>
        <v>COMHOTOldVTEUE</v>
      </c>
      <c r="U31" s="13" t="str">
        <f t="shared" si="4"/>
        <v>COMHOTOldVTEUE</v>
      </c>
      <c r="V31" s="14">
        <v>2030</v>
      </c>
      <c r="W31" s="14" t="str">
        <f>W30</f>
        <v>UP</v>
      </c>
      <c r="X31" s="14"/>
      <c r="Y31" s="15">
        <f>-ROUNDUP(MIN(SUMIFS('COM RESID'!$O:$O,'COM RESID'!$H:$H,$E31,'COM RESID'!$I:$I,$F31)/SUMIFS('COM RESID'!$O:$O,'COM RESID'!$I:$I,$F31)*AC31,1),3)</f>
        <v>-1</v>
      </c>
      <c r="Z31" s="14"/>
      <c r="AA31" s="14"/>
      <c r="AB31" s="10"/>
      <c r="AC31" s="20">
        <f>IF(S31="COMELC",IF(SUMIFS('COM RESID'!$O:$O,'COM RESID'!$H:$H,$E31,'COM RESID'!$I:$I,$F31)/SUMIFS('COM RESID'!$O:$O,'COM RESID'!$I:$I,$F31)*1.5&lt;0.5,0.5/(SUMIFS('COM RESID'!$O:$O,'COM RESID'!$H:$H,$E31,'COM RESID'!$I:$I,$F31)/SUMIFS('COM RESID'!$O:$O,'COM RESID'!$I:$I,$F31)),1.5),IF(ISNUMBER(SEARCH("WHEUE",T30)),IF(OR(S30="COMNGA",S30="COMFOI"),0.9,1.5),1.5))</f>
        <v>1.5</v>
      </c>
    </row>
    <row r="32" spans="1:29" x14ac:dyDescent="0.25">
      <c r="A32" s="26">
        <f>A31</f>
        <v>7</v>
      </c>
      <c r="B32" s="26"/>
      <c r="C32" s="21" t="str">
        <f>IF(C31="*",C31,"")</f>
        <v>*</v>
      </c>
      <c r="D32" s="22"/>
      <c r="E32" s="23" t="str">
        <f t="shared" si="10"/>
        <v>COMELC</v>
      </c>
      <c r="F32" s="23" t="str">
        <f t="shared" si="10"/>
        <v>COMHOTOldVTEUE</v>
      </c>
      <c r="G32" s="23" t="str">
        <f t="shared" si="10"/>
        <v>COMHOTOldVTEUE</v>
      </c>
      <c r="H32" s="24">
        <v>2050</v>
      </c>
      <c r="I32" s="24" t="str">
        <f>I31</f>
        <v>LO</v>
      </c>
      <c r="J32" s="24"/>
      <c r="K32" s="25">
        <f>-ROUNDDOWN(SUMIFS('COM RESID'!$O:$O,'COM RESID'!$H:$H,$E32,'COM RESID'!$I:$I,$F32)/SUMIFS('COM RESID'!$O:$O,'COM RESID'!$I:$I,$F32),3)*O32</f>
        <v>0</v>
      </c>
      <c r="L32" s="24"/>
      <c r="M32" s="24"/>
      <c r="N32" s="26"/>
      <c r="O32" s="27">
        <v>0</v>
      </c>
      <c r="Q32" s="21" t="str">
        <f t="shared" si="0"/>
        <v>*</v>
      </c>
      <c r="R32" s="22"/>
      <c r="S32" s="23" t="str">
        <f t="shared" si="2"/>
        <v>COMELC</v>
      </c>
      <c r="T32" s="23" t="str">
        <f t="shared" si="3"/>
        <v>COMHOTOldVTEUE</v>
      </c>
      <c r="U32" s="23" t="str">
        <f t="shared" si="4"/>
        <v>COMHOTOldVTEUE</v>
      </c>
      <c r="V32" s="24">
        <v>2050</v>
      </c>
      <c r="W32" s="24" t="str">
        <f>W31</f>
        <v>UP</v>
      </c>
      <c r="X32" s="24"/>
      <c r="Y32" s="25">
        <f>-ROUNDUP(MIN(SUMIFS('COM RESID'!$O:$O,'COM RESID'!$H:$H,$E32,'COM RESID'!$I:$I,$F32)/SUMIFS('COM RESID'!$O:$O,'COM RESID'!$I:$I,$F32)*AC32,1),3)</f>
        <v>-1</v>
      </c>
      <c r="Z32" s="24"/>
      <c r="AA32" s="24"/>
      <c r="AB32" s="26"/>
      <c r="AC32" s="27">
        <f>IF(S32="COMELC",IF(SUMIFS('COM RESID'!$O:$O,'COM RESID'!$H:$H,$E32,'COM RESID'!$I:$I,$F32)/SUMIFS('COM RESID'!$O:$O,'COM RESID'!$I:$I,$F32)*3&lt;1,1/(SUMIFS('COM RESID'!$O:$O,'COM RESID'!$H:$H,$E32,'COM RESID'!$I:$I,$F32)/SUMIFS('COM RESID'!$O:$O,'COM RESID'!$I:$I,$F32)),3),IF(ISNUMBER(SEARCH("WHEUE",T30)),IF(OR(S30="COMNGA",S30="COMFOI"),0.75,3),3))</f>
        <v>3</v>
      </c>
    </row>
    <row r="33" spans="1:29" x14ac:dyDescent="0.25">
      <c r="A33" s="19">
        <f>A29+1</f>
        <v>8</v>
      </c>
      <c r="B33" s="10"/>
      <c r="C33" s="11" t="str">
        <f>IF(E33="","",IF(_xlfn.XLOOKUP($A33,Selected_constraint_UC!$A:$A,Selected_constraint_UC!$D:$D)=1,"*",IF(SUMIFS('COM TECH'!$N:$N,'COM TECH'!$K:$K,E33,'COM TECH'!$L:$L,F33)=0,"*",IF(SUMIFS('COM RESID'!$O:$O,'COM RESID'!$H:$H,$E33,'COM RESID'!$I:$I,$F33)=0,"*","UC_MarketShare_"&amp;LEFT(F33,LEN(F33)-3)&amp;"_"&amp;RIGHT(E33,3)&amp;"_MIN"))))</f>
        <v>UC_MarketShare_COMHOTOldWH_FOI_MIN</v>
      </c>
      <c r="D33" s="12"/>
      <c r="E33" s="13" t="str">
        <f>_xlfn.XLOOKUP($A33,Selected_constraint_UC!$A:$A,Selected_constraint_UC!$B:$B)</f>
        <v>COMFOI</v>
      </c>
      <c r="F33" s="13" t="str">
        <f>_xlfn.XLOOKUP($A33,Selected_constraint_UC!$A:$A,Selected_constraint_UC!$C:$C)</f>
        <v>COMHOTOldWHEUE</v>
      </c>
      <c r="G33" s="13" t="str">
        <f>F33</f>
        <v>COMHOTOldWHEUE</v>
      </c>
      <c r="H33" s="14">
        <v>2019</v>
      </c>
      <c r="I33" s="14" t="s">
        <v>3848</v>
      </c>
      <c r="J33" s="14">
        <v>1</v>
      </c>
      <c r="K33" s="15">
        <f>-ROUNDDOWN(SUMIFS('COM RESID'!$O:$O,'COM RESID'!$H:$H,$E33,'COM RESID'!$I:$I,$F33)/SUMIFS('COM RESID'!$O:$O,'COM RESID'!$I:$I,$F33),3)*O33</f>
        <v>-0.11074000000000001</v>
      </c>
      <c r="L33" s="14">
        <v>0</v>
      </c>
      <c r="M33" s="14">
        <v>5</v>
      </c>
      <c r="N33" s="10"/>
      <c r="O33" s="20">
        <v>0.98</v>
      </c>
      <c r="Q33" s="11" t="str">
        <f t="shared" si="0"/>
        <v>UC_MarketShare_COMHOTOldWH_FOI_MAX</v>
      </c>
      <c r="R33" s="12"/>
      <c r="S33" s="13" t="str">
        <f t="shared" si="2"/>
        <v>COMFOI</v>
      </c>
      <c r="T33" s="13" t="str">
        <f t="shared" si="3"/>
        <v>COMHOTOldWHEUE</v>
      </c>
      <c r="U33" s="13" t="str">
        <f t="shared" si="4"/>
        <v>COMHOTOldWHEUE</v>
      </c>
      <c r="V33" s="14">
        <v>2019</v>
      </c>
      <c r="W33" s="14" t="s">
        <v>3849</v>
      </c>
      <c r="X33" s="14">
        <v>1</v>
      </c>
      <c r="Y33" s="15">
        <f>-ROUNDUP(MIN(SUMIFS('COM RESID'!$O:$O,'COM RESID'!$H:$H,$E33,'COM RESID'!$I:$I,$F33)/SUMIFS('COM RESID'!$O:$O,'COM RESID'!$I:$I,$F33)*AC33,1),3)</f>
        <v>-0.11600000000000001</v>
      </c>
      <c r="Z33" s="14">
        <v>0</v>
      </c>
      <c r="AA33" s="14">
        <v>5</v>
      </c>
      <c r="AB33" s="10"/>
      <c r="AC33" s="20">
        <v>1.02</v>
      </c>
    </row>
    <row r="34" spans="1:29" x14ac:dyDescent="0.25">
      <c r="A34" s="10">
        <f>A33</f>
        <v>8</v>
      </c>
      <c r="B34" s="10"/>
      <c r="C34" s="11" t="str">
        <f>IF(C33="*",C33,"")</f>
        <v/>
      </c>
      <c r="D34" s="12"/>
      <c r="E34" s="13" t="str">
        <f t="shared" ref="E34:G36" si="11">E33</f>
        <v>COMFOI</v>
      </c>
      <c r="F34" s="13" t="str">
        <f t="shared" si="11"/>
        <v>COMHOTOldWHEUE</v>
      </c>
      <c r="G34" s="13" t="str">
        <f t="shared" si="11"/>
        <v>COMHOTOldWHEUE</v>
      </c>
      <c r="H34" s="14">
        <v>2025</v>
      </c>
      <c r="I34" s="14" t="str">
        <f>I33</f>
        <v>LO</v>
      </c>
      <c r="J34" s="14"/>
      <c r="K34" s="15">
        <f>-ROUNDDOWN(SUMIFS('COM RESID'!$O:$O,'COM RESID'!$H:$H,$E34,'COM RESID'!$I:$I,$F34)/SUMIFS('COM RESID'!$O:$O,'COM RESID'!$I:$I,$F34),3)*O34</f>
        <v>-9.0400000000000008E-2</v>
      </c>
      <c r="L34" s="14"/>
      <c r="M34" s="14"/>
      <c r="N34" s="10"/>
      <c r="O34" s="20">
        <v>0.8</v>
      </c>
      <c r="Q34" s="11" t="str">
        <f t="shared" si="0"/>
        <v/>
      </c>
      <c r="R34" s="12"/>
      <c r="S34" s="13" t="str">
        <f t="shared" si="2"/>
        <v>COMFOI</v>
      </c>
      <c r="T34" s="13" t="str">
        <f t="shared" si="3"/>
        <v>COMHOTOldWHEUE</v>
      </c>
      <c r="U34" s="13" t="str">
        <f t="shared" si="4"/>
        <v>COMHOTOldWHEUE</v>
      </c>
      <c r="V34" s="14">
        <v>2025</v>
      </c>
      <c r="W34" s="14" t="str">
        <f>W33</f>
        <v>UP</v>
      </c>
      <c r="X34" s="14"/>
      <c r="Y34" s="15">
        <f>-ROUNDUP(MIN(SUMIFS('COM RESID'!$O:$O,'COM RESID'!$H:$H,$E34,'COM RESID'!$I:$I,$F34)/SUMIFS('COM RESID'!$O:$O,'COM RESID'!$I:$I,$F34)*AC34,1),3)</f>
        <v>-0.114</v>
      </c>
      <c r="Z34" s="14"/>
      <c r="AA34" s="14"/>
      <c r="AB34" s="10"/>
      <c r="AC34" s="20">
        <f>IF(S34="COMELC",IF(SUMIFS('COM RESID'!$O:$O,'COM RESID'!$H:$H,$E34,'COM RESID'!$I:$I,$F34)/SUMIFS('COM RESID'!$O:$O,'COM RESID'!$I:$I,$F34)*1.2&lt;0.25,0.25/(SUMIFS('COM RESID'!$O:$O,'COM RESID'!$H:$H,$E34,'COM RESID'!$I:$I,$F34)/SUMIFS('COM RESID'!$O:$O,'COM RESID'!$I:$I,$F34)),1.2),IF(ISNUMBER(SEARCH("WHEUE",T34)),IF(OR(S34="COMNGA",S34="COMFOI"),1,1.2),1.2))</f>
        <v>1</v>
      </c>
    </row>
    <row r="35" spans="1:29" x14ac:dyDescent="0.25">
      <c r="A35" s="10">
        <f>A34</f>
        <v>8</v>
      </c>
      <c r="B35" s="10"/>
      <c r="C35" s="11" t="str">
        <f>IF(C34="*",C34,"")</f>
        <v/>
      </c>
      <c r="D35" s="12"/>
      <c r="E35" s="13" t="str">
        <f t="shared" si="11"/>
        <v>COMFOI</v>
      </c>
      <c r="F35" s="13" t="str">
        <f t="shared" si="11"/>
        <v>COMHOTOldWHEUE</v>
      </c>
      <c r="G35" s="13" t="str">
        <f t="shared" si="11"/>
        <v>COMHOTOldWHEUE</v>
      </c>
      <c r="H35" s="14">
        <v>2030</v>
      </c>
      <c r="I35" s="14" t="str">
        <f>I34</f>
        <v>LO</v>
      </c>
      <c r="J35" s="14"/>
      <c r="K35" s="15">
        <f>-ROUNDDOWN(SUMIFS('COM RESID'!$O:$O,'COM RESID'!$H:$H,$E35,'COM RESID'!$I:$I,$F35)/SUMIFS('COM RESID'!$O:$O,'COM RESID'!$I:$I,$F35),3)*O35</f>
        <v>-2.2600000000000002E-2</v>
      </c>
      <c r="L35" s="14"/>
      <c r="M35" s="14"/>
      <c r="N35" s="10"/>
      <c r="O35" s="20">
        <v>0.2</v>
      </c>
      <c r="Q35" s="11" t="str">
        <f t="shared" si="0"/>
        <v/>
      </c>
      <c r="R35" s="12"/>
      <c r="S35" s="13" t="str">
        <f t="shared" si="2"/>
        <v>COMFOI</v>
      </c>
      <c r="T35" s="13" t="str">
        <f t="shared" si="3"/>
        <v>COMHOTOldWHEUE</v>
      </c>
      <c r="U35" s="13" t="str">
        <f t="shared" si="4"/>
        <v>COMHOTOldWHEUE</v>
      </c>
      <c r="V35" s="14">
        <v>2030</v>
      </c>
      <c r="W35" s="14" t="str">
        <f>W34</f>
        <v>UP</v>
      </c>
      <c r="X35" s="14"/>
      <c r="Y35" s="15">
        <f>-ROUNDUP(MIN(SUMIFS('COM RESID'!$O:$O,'COM RESID'!$H:$H,$E35,'COM RESID'!$I:$I,$F35)/SUMIFS('COM RESID'!$O:$O,'COM RESID'!$I:$I,$F35)*AC35,1),3)</f>
        <v>-0.10299999999999999</v>
      </c>
      <c r="Z35" s="14"/>
      <c r="AA35" s="14"/>
      <c r="AB35" s="10"/>
      <c r="AC35" s="20">
        <f>IF(S35="COMELC",IF(SUMIFS('COM RESID'!$O:$O,'COM RESID'!$H:$H,$E35,'COM RESID'!$I:$I,$F35)/SUMIFS('COM RESID'!$O:$O,'COM RESID'!$I:$I,$F35)*1.5&lt;0.5,0.5/(SUMIFS('COM RESID'!$O:$O,'COM RESID'!$H:$H,$E35,'COM RESID'!$I:$I,$F35)/SUMIFS('COM RESID'!$O:$O,'COM RESID'!$I:$I,$F35)),1.5),IF(ISNUMBER(SEARCH("WHEUE",T34)),IF(OR(S34="COMNGA",S34="COMFOI"),0.9,1.5),1.5))</f>
        <v>0.9</v>
      </c>
    </row>
    <row r="36" spans="1:29" x14ac:dyDescent="0.25">
      <c r="A36" s="26">
        <f>A35</f>
        <v>8</v>
      </c>
      <c r="B36" s="26"/>
      <c r="C36" s="21" t="str">
        <f>IF(C35="*",C35,"")</f>
        <v/>
      </c>
      <c r="D36" s="22"/>
      <c r="E36" s="23" t="str">
        <f t="shared" si="11"/>
        <v>COMFOI</v>
      </c>
      <c r="F36" s="23" t="str">
        <f t="shared" si="11"/>
        <v>COMHOTOldWHEUE</v>
      </c>
      <c r="G36" s="23" t="str">
        <f t="shared" si="11"/>
        <v>COMHOTOldWHEUE</v>
      </c>
      <c r="H36" s="24">
        <v>2050</v>
      </c>
      <c r="I36" s="24" t="str">
        <f>I35</f>
        <v>LO</v>
      </c>
      <c r="J36" s="24"/>
      <c r="K36" s="25">
        <f>-ROUNDDOWN(SUMIFS('COM RESID'!$O:$O,'COM RESID'!$H:$H,$E36,'COM RESID'!$I:$I,$F36)/SUMIFS('COM RESID'!$O:$O,'COM RESID'!$I:$I,$F36),3)*O36</f>
        <v>0</v>
      </c>
      <c r="L36" s="24"/>
      <c r="M36" s="24"/>
      <c r="N36" s="26"/>
      <c r="O36" s="27">
        <v>0</v>
      </c>
      <c r="Q36" s="21" t="str">
        <f t="shared" si="0"/>
        <v/>
      </c>
      <c r="R36" s="22"/>
      <c r="S36" s="23" t="str">
        <f t="shared" si="2"/>
        <v>COMFOI</v>
      </c>
      <c r="T36" s="23" t="str">
        <f t="shared" si="3"/>
        <v>COMHOTOldWHEUE</v>
      </c>
      <c r="U36" s="23" t="str">
        <f t="shared" si="4"/>
        <v>COMHOTOldWHEUE</v>
      </c>
      <c r="V36" s="24">
        <v>2050</v>
      </c>
      <c r="W36" s="24" t="str">
        <f>W35</f>
        <v>UP</v>
      </c>
      <c r="X36" s="24"/>
      <c r="Y36" s="25">
        <f>-ROUNDUP(MIN(SUMIFS('COM RESID'!$O:$O,'COM RESID'!$H:$H,$E36,'COM RESID'!$I:$I,$F36)/SUMIFS('COM RESID'!$O:$O,'COM RESID'!$I:$I,$F36)*AC36,1),3)</f>
        <v>-8.6000000000000007E-2</v>
      </c>
      <c r="Z36" s="24"/>
      <c r="AA36" s="24"/>
      <c r="AB36" s="26"/>
      <c r="AC36" s="27">
        <f>IF(S36="COMELC",IF(SUMIFS('COM RESID'!$O:$O,'COM RESID'!$H:$H,$E36,'COM RESID'!$I:$I,$F36)/SUMIFS('COM RESID'!$O:$O,'COM RESID'!$I:$I,$F36)*3&lt;1,1/(SUMIFS('COM RESID'!$O:$O,'COM RESID'!$H:$H,$E36,'COM RESID'!$I:$I,$F36)/SUMIFS('COM RESID'!$O:$O,'COM RESID'!$I:$I,$F36)),3),IF(ISNUMBER(SEARCH("WHEUE",T34)),IF(OR(S34="COMNGA",S34="COMFOI"),0.75,3),3))</f>
        <v>0.75</v>
      </c>
    </row>
    <row r="37" spans="1:29" x14ac:dyDescent="0.25">
      <c r="A37" s="19">
        <f>A33+1</f>
        <v>9</v>
      </c>
      <c r="B37" s="10"/>
      <c r="C37" s="11" t="str">
        <f>IF(E37="","",IF(_xlfn.XLOOKUP($A37,Selected_constraint_UC!$A:$A,Selected_constraint_UC!$D:$D)=1,"*",IF(SUMIFS('COM TECH'!$N:$N,'COM TECH'!$K:$K,E37,'COM TECH'!$L:$L,F37)=0,"*",IF(SUMIFS('COM RESID'!$O:$O,'COM RESID'!$H:$H,$E37,'COM RESID'!$I:$I,$F37)=0,"*","UC_MarketShare_"&amp;LEFT(F37,LEN(F37)-3)&amp;"_"&amp;RIGHT(E37,3)&amp;"_MIN"))))</f>
        <v>UC_MarketShare_COMHOTOldWH_NGA_MIN</v>
      </c>
      <c r="D37" s="12"/>
      <c r="E37" s="13" t="str">
        <f>_xlfn.XLOOKUP($A37,Selected_constraint_UC!$A:$A,Selected_constraint_UC!$B:$B)</f>
        <v>COMNGA</v>
      </c>
      <c r="F37" s="13" t="str">
        <f>_xlfn.XLOOKUP($A37,Selected_constraint_UC!$A:$A,Selected_constraint_UC!$C:$C)</f>
        <v>COMHOTOldWHEUE</v>
      </c>
      <c r="G37" s="13" t="str">
        <f>F37</f>
        <v>COMHOTOldWHEUE</v>
      </c>
      <c r="H37" s="14">
        <v>2019</v>
      </c>
      <c r="I37" s="14" t="s">
        <v>3848</v>
      </c>
      <c r="J37" s="14">
        <v>1</v>
      </c>
      <c r="K37" s="15">
        <f>-ROUNDDOWN(SUMIFS('COM RESID'!$O:$O,'COM RESID'!$H:$H,$E37,'COM RESID'!$I:$I,$F37)/SUMIFS('COM RESID'!$O:$O,'COM RESID'!$I:$I,$F37),3)*O37</f>
        <v>-0.76439999999999997</v>
      </c>
      <c r="L37" s="14">
        <v>0</v>
      </c>
      <c r="M37" s="14">
        <v>5</v>
      </c>
      <c r="N37" s="10"/>
      <c r="O37" s="20">
        <v>0.98</v>
      </c>
      <c r="Q37" s="11" t="str">
        <f t="shared" si="0"/>
        <v>UC_MarketShare_COMHOTOldWH_NGA_MAX</v>
      </c>
      <c r="R37" s="12"/>
      <c r="S37" s="13" t="str">
        <f t="shared" si="2"/>
        <v>COMNGA</v>
      </c>
      <c r="T37" s="13" t="str">
        <f t="shared" si="3"/>
        <v>COMHOTOldWHEUE</v>
      </c>
      <c r="U37" s="13" t="str">
        <f t="shared" si="4"/>
        <v>COMHOTOldWHEUE</v>
      </c>
      <c r="V37" s="14">
        <v>2019</v>
      </c>
      <c r="W37" s="14" t="s">
        <v>3849</v>
      </c>
      <c r="X37" s="14">
        <v>1</v>
      </c>
      <c r="Y37" s="15">
        <f>-ROUNDUP(MIN(SUMIFS('COM RESID'!$O:$O,'COM RESID'!$H:$H,$E37,'COM RESID'!$I:$I,$F37)/SUMIFS('COM RESID'!$O:$O,'COM RESID'!$I:$I,$F37)*AC37,1),3)</f>
        <v>-0.79700000000000004</v>
      </c>
      <c r="Z37" s="14">
        <v>0</v>
      </c>
      <c r="AA37" s="14">
        <v>5</v>
      </c>
      <c r="AB37" s="10"/>
      <c r="AC37" s="20">
        <v>1.02</v>
      </c>
    </row>
    <row r="38" spans="1:29" x14ac:dyDescent="0.25">
      <c r="A38" s="10">
        <f>A37</f>
        <v>9</v>
      </c>
      <c r="B38" s="10"/>
      <c r="C38" s="11" t="str">
        <f>IF(C37="*",C37,"")</f>
        <v/>
      </c>
      <c r="D38" s="12"/>
      <c r="E38" s="13" t="str">
        <f t="shared" ref="E38:G40" si="12">E37</f>
        <v>COMNGA</v>
      </c>
      <c r="F38" s="13" t="str">
        <f t="shared" si="12"/>
        <v>COMHOTOldWHEUE</v>
      </c>
      <c r="G38" s="13" t="str">
        <f t="shared" si="12"/>
        <v>COMHOTOldWHEUE</v>
      </c>
      <c r="H38" s="14">
        <v>2025</v>
      </c>
      <c r="I38" s="14" t="str">
        <f>I37</f>
        <v>LO</v>
      </c>
      <c r="J38" s="14"/>
      <c r="K38" s="15">
        <f>-ROUNDDOWN(SUMIFS('COM RESID'!$O:$O,'COM RESID'!$H:$H,$E38,'COM RESID'!$I:$I,$F38)/SUMIFS('COM RESID'!$O:$O,'COM RESID'!$I:$I,$F38),3)*O38</f>
        <v>-0.62400000000000011</v>
      </c>
      <c r="L38" s="14"/>
      <c r="M38" s="14"/>
      <c r="N38" s="10"/>
      <c r="O38" s="20">
        <v>0.8</v>
      </c>
      <c r="Q38" s="11" t="str">
        <f t="shared" si="0"/>
        <v/>
      </c>
      <c r="R38" s="12"/>
      <c r="S38" s="13" t="str">
        <f t="shared" si="2"/>
        <v>COMNGA</v>
      </c>
      <c r="T38" s="13" t="str">
        <f t="shared" si="3"/>
        <v>COMHOTOldWHEUE</v>
      </c>
      <c r="U38" s="13" t="str">
        <f t="shared" si="4"/>
        <v>COMHOTOldWHEUE</v>
      </c>
      <c r="V38" s="14">
        <v>2025</v>
      </c>
      <c r="W38" s="14" t="str">
        <f>W37</f>
        <v>UP</v>
      </c>
      <c r="X38" s="14"/>
      <c r="Y38" s="15">
        <f>-ROUNDUP(MIN(SUMIFS('COM RESID'!$O:$O,'COM RESID'!$H:$H,$E38,'COM RESID'!$I:$I,$F38)/SUMIFS('COM RESID'!$O:$O,'COM RESID'!$I:$I,$F38)*AC38,1),3)</f>
        <v>-0.78100000000000003</v>
      </c>
      <c r="Z38" s="14"/>
      <c r="AA38" s="14"/>
      <c r="AB38" s="10"/>
      <c r="AC38" s="20">
        <f>IF(S38="COMELC",IF(SUMIFS('COM RESID'!$O:$O,'COM RESID'!$H:$H,$E38,'COM RESID'!$I:$I,$F38)/SUMIFS('COM RESID'!$O:$O,'COM RESID'!$I:$I,$F38)*1.2&lt;0.25,0.25/(SUMIFS('COM RESID'!$O:$O,'COM RESID'!$H:$H,$E38,'COM RESID'!$I:$I,$F38)/SUMIFS('COM RESID'!$O:$O,'COM RESID'!$I:$I,$F38)),1.2),IF(ISNUMBER(SEARCH("WHEUE",T38)),IF(OR(S38="COMNGA",S38="COMFOI"),1,1.2),1.2))</f>
        <v>1</v>
      </c>
    </row>
    <row r="39" spans="1:29" x14ac:dyDescent="0.25">
      <c r="A39" s="10">
        <f>A38</f>
        <v>9</v>
      </c>
      <c r="B39" s="10"/>
      <c r="C39" s="11" t="str">
        <f>IF(C38="*",C38,"")</f>
        <v/>
      </c>
      <c r="D39" s="12"/>
      <c r="E39" s="13" t="str">
        <f t="shared" si="12"/>
        <v>COMNGA</v>
      </c>
      <c r="F39" s="13" t="str">
        <f t="shared" si="12"/>
        <v>COMHOTOldWHEUE</v>
      </c>
      <c r="G39" s="13" t="str">
        <f t="shared" si="12"/>
        <v>COMHOTOldWHEUE</v>
      </c>
      <c r="H39" s="14">
        <v>2030</v>
      </c>
      <c r="I39" s="14" t="str">
        <f>I38</f>
        <v>LO</v>
      </c>
      <c r="J39" s="14"/>
      <c r="K39" s="15">
        <f>-ROUNDDOWN(SUMIFS('COM RESID'!$O:$O,'COM RESID'!$H:$H,$E39,'COM RESID'!$I:$I,$F39)/SUMIFS('COM RESID'!$O:$O,'COM RESID'!$I:$I,$F39),3)*O39</f>
        <v>-0.15600000000000003</v>
      </c>
      <c r="L39" s="14"/>
      <c r="M39" s="14"/>
      <c r="N39" s="10"/>
      <c r="O39" s="20">
        <v>0.2</v>
      </c>
      <c r="Q39" s="11" t="str">
        <f t="shared" si="0"/>
        <v/>
      </c>
      <c r="R39" s="12"/>
      <c r="S39" s="13" t="str">
        <f t="shared" si="2"/>
        <v>COMNGA</v>
      </c>
      <c r="T39" s="13" t="str">
        <f t="shared" si="3"/>
        <v>COMHOTOldWHEUE</v>
      </c>
      <c r="U39" s="13" t="str">
        <f t="shared" si="4"/>
        <v>COMHOTOldWHEUE</v>
      </c>
      <c r="V39" s="14">
        <v>2030</v>
      </c>
      <c r="W39" s="14" t="str">
        <f>W38</f>
        <v>UP</v>
      </c>
      <c r="X39" s="14"/>
      <c r="Y39" s="15">
        <f>-ROUNDUP(MIN(SUMIFS('COM RESID'!$O:$O,'COM RESID'!$H:$H,$E39,'COM RESID'!$I:$I,$F39)/SUMIFS('COM RESID'!$O:$O,'COM RESID'!$I:$I,$F39)*AC39,1),3)</f>
        <v>-0.70299999999999996</v>
      </c>
      <c r="Z39" s="14"/>
      <c r="AA39" s="14"/>
      <c r="AB39" s="10"/>
      <c r="AC39" s="20">
        <f>IF(S39="COMELC",IF(SUMIFS('COM RESID'!$O:$O,'COM RESID'!$H:$H,$E39,'COM RESID'!$I:$I,$F39)/SUMIFS('COM RESID'!$O:$O,'COM RESID'!$I:$I,$F39)*1.5&lt;0.5,0.5/(SUMIFS('COM RESID'!$O:$O,'COM RESID'!$H:$H,$E39,'COM RESID'!$I:$I,$F39)/SUMIFS('COM RESID'!$O:$O,'COM RESID'!$I:$I,$F39)),1.5),IF(ISNUMBER(SEARCH("WHEUE",T38)),IF(OR(S38="COMNGA",S38="COMFOI"),0.9,1.5),1.5))</f>
        <v>0.9</v>
      </c>
    </row>
    <row r="40" spans="1:29" x14ac:dyDescent="0.25">
      <c r="A40" s="26">
        <f>A39</f>
        <v>9</v>
      </c>
      <c r="B40" s="26"/>
      <c r="C40" s="21" t="str">
        <f>IF(C39="*",C39,"")</f>
        <v/>
      </c>
      <c r="D40" s="22"/>
      <c r="E40" s="23" t="str">
        <f t="shared" si="12"/>
        <v>COMNGA</v>
      </c>
      <c r="F40" s="23" t="str">
        <f t="shared" si="12"/>
        <v>COMHOTOldWHEUE</v>
      </c>
      <c r="G40" s="23" t="str">
        <f t="shared" si="12"/>
        <v>COMHOTOldWHEUE</v>
      </c>
      <c r="H40" s="24">
        <v>2050</v>
      </c>
      <c r="I40" s="24" t="str">
        <f>I39</f>
        <v>LO</v>
      </c>
      <c r="J40" s="24"/>
      <c r="K40" s="25">
        <f>-ROUNDDOWN(SUMIFS('COM RESID'!$O:$O,'COM RESID'!$H:$H,$E40,'COM RESID'!$I:$I,$F40)/SUMIFS('COM RESID'!$O:$O,'COM RESID'!$I:$I,$F40),3)*O40</f>
        <v>0</v>
      </c>
      <c r="L40" s="24"/>
      <c r="M40" s="24"/>
      <c r="N40" s="26"/>
      <c r="O40" s="27">
        <v>0</v>
      </c>
      <c r="Q40" s="21" t="str">
        <f t="shared" si="0"/>
        <v/>
      </c>
      <c r="R40" s="22"/>
      <c r="S40" s="23" t="str">
        <f t="shared" si="2"/>
        <v>COMNGA</v>
      </c>
      <c r="T40" s="23" t="str">
        <f t="shared" si="3"/>
        <v>COMHOTOldWHEUE</v>
      </c>
      <c r="U40" s="23" t="str">
        <f t="shared" si="4"/>
        <v>COMHOTOldWHEUE</v>
      </c>
      <c r="V40" s="24">
        <v>2050</v>
      </c>
      <c r="W40" s="24" t="str">
        <f>W39</f>
        <v>UP</v>
      </c>
      <c r="X40" s="24"/>
      <c r="Y40" s="25">
        <f>-ROUNDUP(MIN(SUMIFS('COM RESID'!$O:$O,'COM RESID'!$H:$H,$E40,'COM RESID'!$I:$I,$F40)/SUMIFS('COM RESID'!$O:$O,'COM RESID'!$I:$I,$F40)*AC40,1),3)</f>
        <v>-0.58599999999999997</v>
      </c>
      <c r="Z40" s="24"/>
      <c r="AA40" s="24"/>
      <c r="AB40" s="26"/>
      <c r="AC40" s="27">
        <f>IF(S40="COMELC",IF(SUMIFS('COM RESID'!$O:$O,'COM RESID'!$H:$H,$E40,'COM RESID'!$I:$I,$F40)/SUMIFS('COM RESID'!$O:$O,'COM RESID'!$I:$I,$F40)*3&lt;1,1/(SUMIFS('COM RESID'!$O:$O,'COM RESID'!$H:$H,$E40,'COM RESID'!$I:$I,$F40)/SUMIFS('COM RESID'!$O:$O,'COM RESID'!$I:$I,$F40)),3),IF(ISNUMBER(SEARCH("WHEUE",T38)),IF(OR(S38="COMNGA",S38="COMFOI"),0.75,3),3))</f>
        <v>0.75</v>
      </c>
    </row>
    <row r="41" spans="1:29" x14ac:dyDescent="0.25">
      <c r="A41" s="19">
        <f>A37+1</f>
        <v>10</v>
      </c>
      <c r="B41" s="10"/>
      <c r="C41" s="11" t="str">
        <f>IF(E41="","",IF(_xlfn.XLOOKUP($A41,Selected_constraint_UC!$A:$A,Selected_constraint_UC!$D:$D)=1,"*",IF(SUMIFS('COM TECH'!$N:$N,'COM TECH'!$K:$K,E41,'COM TECH'!$L:$L,F41)=0,"*",IF(SUMIFS('COM RESID'!$O:$O,'COM RESID'!$H:$H,$E41,'COM RESID'!$I:$I,$F41)=0,"*","UC_MarketShare_"&amp;LEFT(F41,LEN(F41)-3)&amp;"_"&amp;RIGHT(E41,3)&amp;"_MIN"))))</f>
        <v>*</v>
      </c>
      <c r="D41" s="12"/>
      <c r="E41" s="13" t="str">
        <f>_xlfn.XLOOKUP($A41,Selected_constraint_UC!$A:$A,Selected_constraint_UC!$B:$B)</f>
        <v>COMSTM</v>
      </c>
      <c r="F41" s="13" t="str">
        <f>_xlfn.XLOOKUP($A41,Selected_constraint_UC!$A:$A,Selected_constraint_UC!$C:$C)</f>
        <v>COMHOTOldWHEUE</v>
      </c>
      <c r="G41" s="13" t="str">
        <f>F41</f>
        <v>COMHOTOldWHEUE</v>
      </c>
      <c r="H41" s="14">
        <v>2019</v>
      </c>
      <c r="I41" s="14" t="s">
        <v>3848</v>
      </c>
      <c r="J41" s="14">
        <v>1</v>
      </c>
      <c r="K41" s="15">
        <f>-ROUNDDOWN(SUMIFS('COM RESID'!$O:$O,'COM RESID'!$H:$H,$E41,'COM RESID'!$I:$I,$F41)/SUMIFS('COM RESID'!$O:$O,'COM RESID'!$I:$I,$F41),3)*O41</f>
        <v>-3.3320000000000002E-2</v>
      </c>
      <c r="L41" s="14">
        <v>0</v>
      </c>
      <c r="M41" s="14">
        <v>5</v>
      </c>
      <c r="N41" s="10"/>
      <c r="O41" s="20">
        <v>0.98</v>
      </c>
      <c r="Q41" s="11" t="str">
        <f t="shared" si="0"/>
        <v>*</v>
      </c>
      <c r="R41" s="12"/>
      <c r="S41" s="13" t="str">
        <f t="shared" si="2"/>
        <v>COMSTM</v>
      </c>
      <c r="T41" s="13" t="str">
        <f t="shared" si="3"/>
        <v>COMHOTOldWHEUE</v>
      </c>
      <c r="U41" s="13" t="str">
        <f t="shared" si="4"/>
        <v>COMHOTOldWHEUE</v>
      </c>
      <c r="V41" s="14">
        <v>2019</v>
      </c>
      <c r="W41" s="14" t="s">
        <v>3849</v>
      </c>
      <c r="X41" s="14">
        <v>1</v>
      </c>
      <c r="Y41" s="15">
        <f>-ROUNDUP(MIN(SUMIFS('COM RESID'!$O:$O,'COM RESID'!$H:$H,$E41,'COM RESID'!$I:$I,$F41)/SUMIFS('COM RESID'!$O:$O,'COM RESID'!$I:$I,$F41)*AC41,1),3)</f>
        <v>-3.6000000000000004E-2</v>
      </c>
      <c r="Z41" s="14">
        <v>0</v>
      </c>
      <c r="AA41" s="14">
        <v>5</v>
      </c>
      <c r="AB41" s="10"/>
      <c r="AC41" s="20">
        <v>1.02</v>
      </c>
    </row>
    <row r="42" spans="1:29" x14ac:dyDescent="0.25">
      <c r="A42" s="10">
        <f>A41</f>
        <v>10</v>
      </c>
      <c r="B42" s="10"/>
      <c r="C42" s="11" t="str">
        <f>IF(C41="*",C41,"")</f>
        <v>*</v>
      </c>
      <c r="D42" s="12"/>
      <c r="E42" s="13" t="str">
        <f t="shared" ref="E42:G44" si="13">E41</f>
        <v>COMSTM</v>
      </c>
      <c r="F42" s="13" t="str">
        <f t="shared" si="13"/>
        <v>COMHOTOldWHEUE</v>
      </c>
      <c r="G42" s="13" t="str">
        <f t="shared" si="13"/>
        <v>COMHOTOldWHEUE</v>
      </c>
      <c r="H42" s="14">
        <v>2025</v>
      </c>
      <c r="I42" s="14" t="str">
        <f>I41</f>
        <v>LO</v>
      </c>
      <c r="J42" s="14"/>
      <c r="K42" s="15">
        <f>-ROUNDDOWN(SUMIFS('COM RESID'!$O:$O,'COM RESID'!$H:$H,$E42,'COM RESID'!$I:$I,$F42)/SUMIFS('COM RESID'!$O:$O,'COM RESID'!$I:$I,$F42),3)*O42</f>
        <v>-2.7200000000000002E-2</v>
      </c>
      <c r="L42" s="14"/>
      <c r="M42" s="14"/>
      <c r="N42" s="10"/>
      <c r="O42" s="20">
        <v>0.8</v>
      </c>
      <c r="Q42" s="11" t="str">
        <f t="shared" si="0"/>
        <v>*</v>
      </c>
      <c r="R42" s="12"/>
      <c r="S42" s="13" t="str">
        <f t="shared" si="2"/>
        <v>COMSTM</v>
      </c>
      <c r="T42" s="13" t="str">
        <f t="shared" si="3"/>
        <v>COMHOTOldWHEUE</v>
      </c>
      <c r="U42" s="13" t="str">
        <f t="shared" si="4"/>
        <v>COMHOTOldWHEUE</v>
      </c>
      <c r="V42" s="14">
        <v>2025</v>
      </c>
      <c r="W42" s="14" t="str">
        <f>W41</f>
        <v>UP</v>
      </c>
      <c r="X42" s="14"/>
      <c r="Y42" s="15">
        <f>-ROUNDUP(MIN(SUMIFS('COM RESID'!$O:$O,'COM RESID'!$H:$H,$E42,'COM RESID'!$I:$I,$F42)/SUMIFS('COM RESID'!$O:$O,'COM RESID'!$I:$I,$F42)*AC42,1),3)</f>
        <v>-4.2000000000000003E-2</v>
      </c>
      <c r="Z42" s="14"/>
      <c r="AA42" s="14"/>
      <c r="AB42" s="10"/>
      <c r="AC42" s="20">
        <f>IF(S42="COMELC",IF(SUMIFS('COM RESID'!$O:$O,'COM RESID'!$H:$H,$E42,'COM RESID'!$I:$I,$F42)/SUMIFS('COM RESID'!$O:$O,'COM RESID'!$I:$I,$F42)*1.2&lt;0.25,0.25/(SUMIFS('COM RESID'!$O:$O,'COM RESID'!$H:$H,$E42,'COM RESID'!$I:$I,$F42)/SUMIFS('COM RESID'!$O:$O,'COM RESID'!$I:$I,$F42)),1.2),IF(ISNUMBER(SEARCH("WHEUE",T42)),IF(OR(S42="COMNGA",S42="COMFOI"),1,1.2),1.2))</f>
        <v>1.2</v>
      </c>
    </row>
    <row r="43" spans="1:29" x14ac:dyDescent="0.25">
      <c r="A43" s="10">
        <f>A42</f>
        <v>10</v>
      </c>
      <c r="B43" s="10"/>
      <c r="C43" s="11" t="str">
        <f>IF(C42="*",C42,"")</f>
        <v>*</v>
      </c>
      <c r="D43" s="12"/>
      <c r="E43" s="13" t="str">
        <f t="shared" si="13"/>
        <v>COMSTM</v>
      </c>
      <c r="F43" s="13" t="str">
        <f t="shared" si="13"/>
        <v>COMHOTOldWHEUE</v>
      </c>
      <c r="G43" s="13" t="str">
        <f t="shared" si="13"/>
        <v>COMHOTOldWHEUE</v>
      </c>
      <c r="H43" s="14">
        <v>2030</v>
      </c>
      <c r="I43" s="14" t="str">
        <f>I42</f>
        <v>LO</v>
      </c>
      <c r="J43" s="14"/>
      <c r="K43" s="15">
        <f>-ROUNDDOWN(SUMIFS('COM RESID'!$O:$O,'COM RESID'!$H:$H,$E43,'COM RESID'!$I:$I,$F43)/SUMIFS('COM RESID'!$O:$O,'COM RESID'!$I:$I,$F43),3)*O43</f>
        <v>-6.8000000000000005E-3</v>
      </c>
      <c r="L43" s="14"/>
      <c r="M43" s="14"/>
      <c r="N43" s="10"/>
      <c r="O43" s="20">
        <v>0.2</v>
      </c>
      <c r="Q43" s="11" t="str">
        <f t="shared" si="0"/>
        <v>*</v>
      </c>
      <c r="R43" s="12"/>
      <c r="S43" s="13" t="str">
        <f t="shared" si="2"/>
        <v>COMSTM</v>
      </c>
      <c r="T43" s="13" t="str">
        <f t="shared" si="3"/>
        <v>COMHOTOldWHEUE</v>
      </c>
      <c r="U43" s="13" t="str">
        <f t="shared" si="4"/>
        <v>COMHOTOldWHEUE</v>
      </c>
      <c r="V43" s="14">
        <v>2030</v>
      </c>
      <c r="W43" s="14" t="str">
        <f>W42</f>
        <v>UP</v>
      </c>
      <c r="X43" s="14"/>
      <c r="Y43" s="15">
        <f>-ROUNDUP(MIN(SUMIFS('COM RESID'!$O:$O,'COM RESID'!$H:$H,$E43,'COM RESID'!$I:$I,$F43)/SUMIFS('COM RESID'!$O:$O,'COM RESID'!$I:$I,$F43)*AC43,1),3)</f>
        <v>-5.2999999999999999E-2</v>
      </c>
      <c r="Z43" s="14"/>
      <c r="AA43" s="14"/>
      <c r="AB43" s="10"/>
      <c r="AC43" s="20">
        <f>IF(S43="COMELC",IF(SUMIFS('COM RESID'!$O:$O,'COM RESID'!$H:$H,$E43,'COM RESID'!$I:$I,$F43)/SUMIFS('COM RESID'!$O:$O,'COM RESID'!$I:$I,$F43)*1.5&lt;0.5,0.5/(SUMIFS('COM RESID'!$O:$O,'COM RESID'!$H:$H,$E43,'COM RESID'!$I:$I,$F43)/SUMIFS('COM RESID'!$O:$O,'COM RESID'!$I:$I,$F43)),1.5),IF(ISNUMBER(SEARCH("WHEUE",T42)),IF(OR(S42="COMNGA",S42="COMFOI"),0.9,1.5),1.5))</f>
        <v>1.5</v>
      </c>
    </row>
    <row r="44" spans="1:29" x14ac:dyDescent="0.25">
      <c r="A44" s="26">
        <f>A43</f>
        <v>10</v>
      </c>
      <c r="B44" s="26"/>
      <c r="C44" s="21" t="str">
        <f>IF(C43="*",C43,"")</f>
        <v>*</v>
      </c>
      <c r="D44" s="22"/>
      <c r="E44" s="23" t="str">
        <f t="shared" si="13"/>
        <v>COMSTM</v>
      </c>
      <c r="F44" s="23" t="str">
        <f t="shared" si="13"/>
        <v>COMHOTOldWHEUE</v>
      </c>
      <c r="G44" s="23" t="str">
        <f t="shared" si="13"/>
        <v>COMHOTOldWHEUE</v>
      </c>
      <c r="H44" s="24">
        <v>2050</v>
      </c>
      <c r="I44" s="24" t="str">
        <f>I43</f>
        <v>LO</v>
      </c>
      <c r="J44" s="24"/>
      <c r="K44" s="25">
        <f>-ROUNDDOWN(SUMIFS('COM RESID'!$O:$O,'COM RESID'!$H:$H,$E44,'COM RESID'!$I:$I,$F44)/SUMIFS('COM RESID'!$O:$O,'COM RESID'!$I:$I,$F44),3)*O44</f>
        <v>0</v>
      </c>
      <c r="L44" s="24"/>
      <c r="M44" s="24"/>
      <c r="N44" s="26"/>
      <c r="O44" s="27">
        <v>0</v>
      </c>
      <c r="Q44" s="21" t="str">
        <f t="shared" si="0"/>
        <v>*</v>
      </c>
      <c r="R44" s="22"/>
      <c r="S44" s="23" t="str">
        <f t="shared" si="2"/>
        <v>COMSTM</v>
      </c>
      <c r="T44" s="23" t="str">
        <f t="shared" si="3"/>
        <v>COMHOTOldWHEUE</v>
      </c>
      <c r="U44" s="23" t="str">
        <f t="shared" si="4"/>
        <v>COMHOTOldWHEUE</v>
      </c>
      <c r="V44" s="24">
        <v>2050</v>
      </c>
      <c r="W44" s="24" t="str">
        <f>W43</f>
        <v>UP</v>
      </c>
      <c r="X44" s="24"/>
      <c r="Y44" s="25">
        <f>-ROUNDUP(MIN(SUMIFS('COM RESID'!$O:$O,'COM RESID'!$H:$H,$E44,'COM RESID'!$I:$I,$F44)/SUMIFS('COM RESID'!$O:$O,'COM RESID'!$I:$I,$F44)*AC44,1),3)</f>
        <v>-0.105</v>
      </c>
      <c r="Z44" s="24"/>
      <c r="AA44" s="24"/>
      <c r="AB44" s="26"/>
      <c r="AC44" s="27">
        <f>IF(S44="COMELC",IF(SUMIFS('COM RESID'!$O:$O,'COM RESID'!$H:$H,$E44,'COM RESID'!$I:$I,$F44)/SUMIFS('COM RESID'!$O:$O,'COM RESID'!$I:$I,$F44)*3&lt;1,1/(SUMIFS('COM RESID'!$O:$O,'COM RESID'!$H:$H,$E44,'COM RESID'!$I:$I,$F44)/SUMIFS('COM RESID'!$O:$O,'COM RESID'!$I:$I,$F44)),3),IF(ISNUMBER(SEARCH("WHEUE",T42)),IF(OR(S42="COMNGA",S42="COMFOI"),0.75,3),3))</f>
        <v>3</v>
      </c>
    </row>
    <row r="45" spans="1:29" x14ac:dyDescent="0.25">
      <c r="A45" s="19">
        <f>A41+1</f>
        <v>11</v>
      </c>
      <c r="B45" s="10"/>
      <c r="C45" s="11" t="str">
        <f>IF(E45="","",IF(_xlfn.XLOOKUP($A45,Selected_constraint_UC!$A:$A,Selected_constraint_UC!$D:$D)=1,"*",IF(SUMIFS('COM TECH'!$N:$N,'COM TECH'!$K:$K,E45,'COM TECH'!$L:$L,F45)=0,"*",IF(SUMIFS('COM RESID'!$O:$O,'COM RESID'!$H:$H,$E45,'COM RESID'!$I:$I,$F45)=0,"*","UC_MarketShare_"&amp;LEFT(F45,LEN(F45)-3)&amp;"_"&amp;RIGHT(E45,3)&amp;"_MIN"))))</f>
        <v>UC_MarketShare_COMHOTOldWH_ELC_MIN</v>
      </c>
      <c r="D45" s="12"/>
      <c r="E45" s="13" t="str">
        <f>_xlfn.XLOOKUP($A45,Selected_constraint_UC!$A:$A,Selected_constraint_UC!$B:$B)</f>
        <v>COMELC</v>
      </c>
      <c r="F45" s="13" t="str">
        <f>_xlfn.XLOOKUP($A45,Selected_constraint_UC!$A:$A,Selected_constraint_UC!$C:$C)</f>
        <v>COMHOTOldWHEUE</v>
      </c>
      <c r="G45" s="13" t="str">
        <f>F45</f>
        <v>COMHOTOldWHEUE</v>
      </c>
      <c r="H45" s="14">
        <v>2019</v>
      </c>
      <c r="I45" s="14" t="s">
        <v>3848</v>
      </c>
      <c r="J45" s="14">
        <v>1</v>
      </c>
      <c r="K45" s="15">
        <f>-ROUNDDOWN(SUMIFS('COM RESID'!$O:$O,'COM RESID'!$H:$H,$E45,'COM RESID'!$I:$I,$F45)/SUMIFS('COM RESID'!$O:$O,'COM RESID'!$I:$I,$F45),3)*O45</f>
        <v>-6.9579999999999989E-2</v>
      </c>
      <c r="L45" s="14">
        <v>0</v>
      </c>
      <c r="M45" s="14">
        <v>5</v>
      </c>
      <c r="N45" s="10"/>
      <c r="O45" s="20">
        <v>0.98</v>
      </c>
      <c r="Q45" s="11" t="str">
        <f t="shared" si="0"/>
        <v>UC_MarketShare_COMHOTOldWH_ELC_MAX</v>
      </c>
      <c r="R45" s="12"/>
      <c r="S45" s="13" t="str">
        <f t="shared" si="2"/>
        <v>COMELC</v>
      </c>
      <c r="T45" s="13" t="str">
        <f t="shared" si="3"/>
        <v>COMHOTOldWHEUE</v>
      </c>
      <c r="U45" s="13" t="str">
        <f t="shared" si="4"/>
        <v>COMHOTOldWHEUE</v>
      </c>
      <c r="V45" s="14">
        <v>2019</v>
      </c>
      <c r="W45" s="14" t="s">
        <v>3849</v>
      </c>
      <c r="X45" s="14">
        <v>1</v>
      </c>
      <c r="Y45" s="15">
        <f>-ROUNDUP(MIN(SUMIFS('COM RESID'!$O:$O,'COM RESID'!$H:$H,$E45,'COM RESID'!$I:$I,$F45)/SUMIFS('COM RESID'!$O:$O,'COM RESID'!$I:$I,$F45)*AC45,1),3)</f>
        <v>-7.2999999999999995E-2</v>
      </c>
      <c r="Z45" s="14">
        <v>0</v>
      </c>
      <c r="AA45" s="14">
        <v>5</v>
      </c>
      <c r="AB45" s="10"/>
      <c r="AC45" s="20">
        <v>1.02</v>
      </c>
    </row>
    <row r="46" spans="1:29" x14ac:dyDescent="0.25">
      <c r="A46" s="10">
        <f>A45</f>
        <v>11</v>
      </c>
      <c r="B46" s="10"/>
      <c r="C46" s="11" t="str">
        <f>IF(C45="*",C45,"")</f>
        <v/>
      </c>
      <c r="D46" s="12"/>
      <c r="E46" s="13" t="str">
        <f t="shared" ref="E46:G48" si="14">E45</f>
        <v>COMELC</v>
      </c>
      <c r="F46" s="13" t="str">
        <f t="shared" si="14"/>
        <v>COMHOTOldWHEUE</v>
      </c>
      <c r="G46" s="13" t="str">
        <f t="shared" si="14"/>
        <v>COMHOTOldWHEUE</v>
      </c>
      <c r="H46" s="14">
        <v>2025</v>
      </c>
      <c r="I46" s="14" t="str">
        <f>I45</f>
        <v>LO</v>
      </c>
      <c r="J46" s="14"/>
      <c r="K46" s="15">
        <f>-ROUNDDOWN(SUMIFS('COM RESID'!$O:$O,'COM RESID'!$H:$H,$E46,'COM RESID'!$I:$I,$F46)/SUMIFS('COM RESID'!$O:$O,'COM RESID'!$I:$I,$F46),3)*O46</f>
        <v>-5.6799999999999996E-2</v>
      </c>
      <c r="L46" s="14"/>
      <c r="M46" s="14"/>
      <c r="N46" s="10"/>
      <c r="O46" s="20">
        <v>0.8</v>
      </c>
      <c r="Q46" s="11" t="str">
        <f t="shared" si="0"/>
        <v/>
      </c>
      <c r="R46" s="12"/>
      <c r="S46" s="13" t="str">
        <f t="shared" si="2"/>
        <v>COMELC</v>
      </c>
      <c r="T46" s="13" t="str">
        <f t="shared" si="3"/>
        <v>COMHOTOldWHEUE</v>
      </c>
      <c r="U46" s="13" t="str">
        <f t="shared" si="4"/>
        <v>COMHOTOldWHEUE</v>
      </c>
      <c r="V46" s="14">
        <v>2025</v>
      </c>
      <c r="W46" s="14" t="str">
        <f>W45</f>
        <v>UP</v>
      </c>
      <c r="X46" s="14"/>
      <c r="Y46" s="15">
        <f>-ROUNDUP(MIN(SUMIFS('COM RESID'!$O:$O,'COM RESID'!$H:$H,$E46,'COM RESID'!$I:$I,$F46)/SUMIFS('COM RESID'!$O:$O,'COM RESID'!$I:$I,$F46)*AC46,1),3)</f>
        <v>-0.25</v>
      </c>
      <c r="Z46" s="14"/>
      <c r="AA46" s="14"/>
      <c r="AB46" s="10"/>
      <c r="AC46" s="20">
        <f>IF(S46="COMELC",IF(SUMIFS('COM RESID'!$O:$O,'COM RESID'!$H:$H,$E46,'COM RESID'!$I:$I,$F46)/SUMIFS('COM RESID'!$O:$O,'COM RESID'!$I:$I,$F46)*1.2&lt;0.25,0.25/(SUMIFS('COM RESID'!$O:$O,'COM RESID'!$H:$H,$E46,'COM RESID'!$I:$I,$F46)/SUMIFS('COM RESID'!$O:$O,'COM RESID'!$I:$I,$F46)),1.2),IF(ISNUMBER(SEARCH("WHEUE",T46)),IF(OR(S46="COMNGA",S46="COMFOI"),1,1.2),1.2))</f>
        <v>3.5138588262169761</v>
      </c>
    </row>
    <row r="47" spans="1:29" x14ac:dyDescent="0.25">
      <c r="A47" s="10">
        <f>A46</f>
        <v>11</v>
      </c>
      <c r="B47" s="10"/>
      <c r="C47" s="11" t="str">
        <f>IF(C46="*",C46,"")</f>
        <v/>
      </c>
      <c r="D47" s="12"/>
      <c r="E47" s="13" t="str">
        <f t="shared" si="14"/>
        <v>COMELC</v>
      </c>
      <c r="F47" s="13" t="str">
        <f t="shared" si="14"/>
        <v>COMHOTOldWHEUE</v>
      </c>
      <c r="G47" s="13" t="str">
        <f t="shared" si="14"/>
        <v>COMHOTOldWHEUE</v>
      </c>
      <c r="H47" s="14">
        <v>2030</v>
      </c>
      <c r="I47" s="14" t="str">
        <f>I46</f>
        <v>LO</v>
      </c>
      <c r="J47" s="14"/>
      <c r="K47" s="15">
        <f>-ROUNDDOWN(SUMIFS('COM RESID'!$O:$O,'COM RESID'!$H:$H,$E47,'COM RESID'!$I:$I,$F47)/SUMIFS('COM RESID'!$O:$O,'COM RESID'!$I:$I,$F47),3)*O47</f>
        <v>-5.3249999999999992E-2</v>
      </c>
      <c r="L47" s="14"/>
      <c r="M47" s="14"/>
      <c r="N47" s="10"/>
      <c r="O47" s="20">
        <v>0.75</v>
      </c>
      <c r="Q47" s="11" t="str">
        <f t="shared" si="0"/>
        <v/>
      </c>
      <c r="R47" s="12"/>
      <c r="S47" s="13" t="str">
        <f t="shared" si="2"/>
        <v>COMELC</v>
      </c>
      <c r="T47" s="13" t="str">
        <f t="shared" si="3"/>
        <v>COMHOTOldWHEUE</v>
      </c>
      <c r="U47" s="13" t="str">
        <f t="shared" si="4"/>
        <v>COMHOTOldWHEUE</v>
      </c>
      <c r="V47" s="14">
        <v>2030</v>
      </c>
      <c r="W47" s="14" t="str">
        <f>W46</f>
        <v>UP</v>
      </c>
      <c r="X47" s="14"/>
      <c r="Y47" s="15">
        <f>-ROUNDUP(MIN(SUMIFS('COM RESID'!$O:$O,'COM RESID'!$H:$H,$E47,'COM RESID'!$I:$I,$F47)/SUMIFS('COM RESID'!$O:$O,'COM RESID'!$I:$I,$F47)*AC47,1),3)</f>
        <v>-0.5</v>
      </c>
      <c r="Z47" s="14"/>
      <c r="AA47" s="14"/>
      <c r="AB47" s="10"/>
      <c r="AC47" s="20">
        <f>IF(S47="COMELC",IF(SUMIFS('COM RESID'!$O:$O,'COM RESID'!$H:$H,$E47,'COM RESID'!$I:$I,$F47)/SUMIFS('COM RESID'!$O:$O,'COM RESID'!$I:$I,$F47)*1.5&lt;0.5,0.5/(SUMIFS('COM RESID'!$O:$O,'COM RESID'!$H:$H,$E47,'COM RESID'!$I:$I,$F47)/SUMIFS('COM RESID'!$O:$O,'COM RESID'!$I:$I,$F47)),1.5),IF(ISNUMBER(SEARCH("WHEUE",T46)),IF(OR(S46="COMNGA",S46="COMFOI"),0.9,1.5),1.5))</f>
        <v>7.0277176524339522</v>
      </c>
    </row>
    <row r="48" spans="1:29" x14ac:dyDescent="0.25">
      <c r="A48" s="26">
        <f>A47</f>
        <v>11</v>
      </c>
      <c r="B48" s="26"/>
      <c r="C48" s="21" t="str">
        <f>IF(C47="*",C47,"")</f>
        <v/>
      </c>
      <c r="D48" s="22"/>
      <c r="E48" s="23" t="str">
        <f t="shared" si="14"/>
        <v>COMELC</v>
      </c>
      <c r="F48" s="23" t="str">
        <f t="shared" si="14"/>
        <v>COMHOTOldWHEUE</v>
      </c>
      <c r="G48" s="23" t="str">
        <f t="shared" si="14"/>
        <v>COMHOTOldWHEUE</v>
      </c>
      <c r="H48" s="24">
        <v>2050</v>
      </c>
      <c r="I48" s="24" t="str">
        <f>I47</f>
        <v>LO</v>
      </c>
      <c r="J48" s="24"/>
      <c r="K48" s="25">
        <f>-ROUNDDOWN(SUMIFS('COM RESID'!$O:$O,'COM RESID'!$H:$H,$E48,'COM RESID'!$I:$I,$F48)/SUMIFS('COM RESID'!$O:$O,'COM RESID'!$I:$I,$F48),3)*O48</f>
        <v>-5.3249999999999992E-2</v>
      </c>
      <c r="L48" s="24"/>
      <c r="M48" s="24"/>
      <c r="N48" s="26"/>
      <c r="O48" s="27">
        <v>0.75</v>
      </c>
      <c r="Q48" s="21" t="str">
        <f t="shared" si="0"/>
        <v/>
      </c>
      <c r="R48" s="22"/>
      <c r="S48" s="23" t="str">
        <f t="shared" si="2"/>
        <v>COMELC</v>
      </c>
      <c r="T48" s="23" t="str">
        <f t="shared" si="3"/>
        <v>COMHOTOldWHEUE</v>
      </c>
      <c r="U48" s="23" t="str">
        <f t="shared" si="4"/>
        <v>COMHOTOldWHEUE</v>
      </c>
      <c r="V48" s="24">
        <v>2050</v>
      </c>
      <c r="W48" s="24" t="str">
        <f>W47</f>
        <v>UP</v>
      </c>
      <c r="X48" s="24"/>
      <c r="Y48" s="25">
        <f>-ROUNDUP(MIN(SUMIFS('COM RESID'!$O:$O,'COM RESID'!$H:$H,$E48,'COM RESID'!$I:$I,$F48)/SUMIFS('COM RESID'!$O:$O,'COM RESID'!$I:$I,$F48)*AC48,1),3)</f>
        <v>-1</v>
      </c>
      <c r="Z48" s="24"/>
      <c r="AA48" s="24"/>
      <c r="AB48" s="26"/>
      <c r="AC48" s="27">
        <f>IF(S48="COMELC",IF(SUMIFS('COM RESID'!$O:$O,'COM RESID'!$H:$H,$E48,'COM RESID'!$I:$I,$F48)/SUMIFS('COM RESID'!$O:$O,'COM RESID'!$I:$I,$F48)*3&lt;1,1/(SUMIFS('COM RESID'!$O:$O,'COM RESID'!$H:$H,$E48,'COM RESID'!$I:$I,$F48)/SUMIFS('COM RESID'!$O:$O,'COM RESID'!$I:$I,$F48)),3),IF(ISNUMBER(SEARCH("WHEUE",T46)),IF(OR(S46="COMNGA",S46="COMFOI"),0.75,3),3))</f>
        <v>14.055435304867904</v>
      </c>
    </row>
    <row r="49" spans="1:29" x14ac:dyDescent="0.25">
      <c r="A49" s="19">
        <f>A45+1</f>
        <v>12</v>
      </c>
      <c r="B49" s="10"/>
      <c r="C49" s="11" t="str">
        <f>IF(E49="","",IF(_xlfn.XLOOKUP($A49,Selected_constraint_UC!$A:$A,Selected_constraint_UC!$D:$D)=1,"*",IF(SUMIFS('COM TECH'!$N:$N,'COM TECH'!$K:$K,E49,'COM TECH'!$L:$L,F49)=0,"*",IF(SUMIFS('COM RESID'!$O:$O,'COM RESID'!$H:$H,$E49,'COM RESID'!$I:$I,$F49)=0,"*","UC_MarketShare_"&amp;LEFT(F49,LEN(F49)-3)&amp;"_"&amp;RIGHT(E49,3)&amp;"_MIN"))))</f>
        <v>*</v>
      </c>
      <c r="D49" s="12"/>
      <c r="E49" s="13" t="str">
        <f>_xlfn.XLOOKUP($A49,Selected_constraint_UC!$A:$A,Selected_constraint_UC!$B:$B)</f>
        <v>COMELC</v>
      </c>
      <c r="F49" s="13" t="str">
        <f>_xlfn.XLOOKUP($A49,Selected_constraint_UC!$A:$A,Selected_constraint_UC!$C:$C)</f>
        <v>COMHOTOldLTEUE</v>
      </c>
      <c r="G49" s="13" t="str">
        <f>F49</f>
        <v>COMHOTOldLTEUE</v>
      </c>
      <c r="H49" s="14">
        <v>2019</v>
      </c>
      <c r="I49" s="14" t="s">
        <v>3848</v>
      </c>
      <c r="J49" s="14">
        <v>1</v>
      </c>
      <c r="K49" s="15">
        <f>-ROUNDDOWN(SUMIFS('COM RESID'!$O:$O,'COM RESID'!$H:$H,$E49,'COM RESID'!$I:$I,$F49)/SUMIFS('COM RESID'!$O:$O,'COM RESID'!$I:$I,$F49),3)*O49</f>
        <v>-0.98</v>
      </c>
      <c r="L49" s="14">
        <v>0</v>
      </c>
      <c r="M49" s="14">
        <v>5</v>
      </c>
      <c r="N49" s="10"/>
      <c r="O49" s="20">
        <v>0.98</v>
      </c>
      <c r="Q49" s="11" t="str">
        <f t="shared" si="0"/>
        <v>*</v>
      </c>
      <c r="R49" s="12"/>
      <c r="S49" s="13" t="str">
        <f t="shared" si="2"/>
        <v>COMELC</v>
      </c>
      <c r="T49" s="13" t="str">
        <f t="shared" si="3"/>
        <v>COMHOTOldLTEUE</v>
      </c>
      <c r="U49" s="13" t="str">
        <f t="shared" si="4"/>
        <v>COMHOTOldLTEUE</v>
      </c>
      <c r="V49" s="14">
        <v>2019</v>
      </c>
      <c r="W49" s="14" t="s">
        <v>3849</v>
      </c>
      <c r="X49" s="14">
        <v>1</v>
      </c>
      <c r="Y49" s="15">
        <f>-ROUNDUP(MIN(SUMIFS('COM RESID'!$O:$O,'COM RESID'!$H:$H,$E49,'COM RESID'!$I:$I,$F49)/SUMIFS('COM RESID'!$O:$O,'COM RESID'!$I:$I,$F49)*AC49,1),3)</f>
        <v>-1</v>
      </c>
      <c r="Z49" s="14">
        <v>0</v>
      </c>
      <c r="AA49" s="14">
        <v>5</v>
      </c>
      <c r="AB49" s="10"/>
      <c r="AC49" s="20">
        <v>1.02</v>
      </c>
    </row>
    <row r="50" spans="1:29" x14ac:dyDescent="0.25">
      <c r="A50" s="10">
        <f>A49</f>
        <v>12</v>
      </c>
      <c r="B50" s="10"/>
      <c r="C50" s="11" t="str">
        <f>IF(C49="*",C49,"")</f>
        <v>*</v>
      </c>
      <c r="D50" s="12"/>
      <c r="E50" s="13" t="str">
        <f t="shared" ref="E50:G52" si="15">E49</f>
        <v>COMELC</v>
      </c>
      <c r="F50" s="13" t="str">
        <f t="shared" si="15"/>
        <v>COMHOTOldLTEUE</v>
      </c>
      <c r="G50" s="13" t="str">
        <f t="shared" si="15"/>
        <v>COMHOTOldLTEUE</v>
      </c>
      <c r="H50" s="14">
        <v>2025</v>
      </c>
      <c r="I50" s="14" t="str">
        <f>I49</f>
        <v>LO</v>
      </c>
      <c r="J50" s="14"/>
      <c r="K50" s="15">
        <f>-ROUNDDOWN(SUMIFS('COM RESID'!$O:$O,'COM RESID'!$H:$H,$E50,'COM RESID'!$I:$I,$F50)/SUMIFS('COM RESID'!$O:$O,'COM RESID'!$I:$I,$F50),3)*O50</f>
        <v>-0.8</v>
      </c>
      <c r="L50" s="14"/>
      <c r="M50" s="14"/>
      <c r="N50" s="10"/>
      <c r="O50" s="20">
        <v>0.8</v>
      </c>
      <c r="Q50" s="11" t="str">
        <f t="shared" si="0"/>
        <v>*</v>
      </c>
      <c r="R50" s="12"/>
      <c r="S50" s="13" t="str">
        <f t="shared" si="2"/>
        <v>COMELC</v>
      </c>
      <c r="T50" s="13" t="str">
        <f t="shared" si="3"/>
        <v>COMHOTOldLTEUE</v>
      </c>
      <c r="U50" s="13" t="str">
        <f t="shared" si="4"/>
        <v>COMHOTOldLTEUE</v>
      </c>
      <c r="V50" s="14">
        <v>2025</v>
      </c>
      <c r="W50" s="14" t="str">
        <f>W49</f>
        <v>UP</v>
      </c>
      <c r="X50" s="14"/>
      <c r="Y50" s="15">
        <f>-ROUNDUP(MIN(SUMIFS('COM RESID'!$O:$O,'COM RESID'!$H:$H,$E50,'COM RESID'!$I:$I,$F50)/SUMIFS('COM RESID'!$O:$O,'COM RESID'!$I:$I,$F50)*AC50,1),3)</f>
        <v>-1</v>
      </c>
      <c r="Z50" s="14"/>
      <c r="AA50" s="14"/>
      <c r="AB50" s="10"/>
      <c r="AC50" s="20">
        <f>IF(S50="COMELC",IF(SUMIFS('COM RESID'!$O:$O,'COM RESID'!$H:$H,$E50,'COM RESID'!$I:$I,$F50)/SUMIFS('COM RESID'!$O:$O,'COM RESID'!$I:$I,$F50)*1.2&lt;0.25,0.25/(SUMIFS('COM RESID'!$O:$O,'COM RESID'!$H:$H,$E50,'COM RESID'!$I:$I,$F50)/SUMIFS('COM RESID'!$O:$O,'COM RESID'!$I:$I,$F50)),1.2),IF(ISNUMBER(SEARCH("WHEUE",T50)),IF(OR(S50="COMNGA",S50="COMFOI"),1,1.2),1.2))</f>
        <v>1.2</v>
      </c>
    </row>
    <row r="51" spans="1:29" x14ac:dyDescent="0.25">
      <c r="A51" s="10">
        <f>A50</f>
        <v>12</v>
      </c>
      <c r="B51" s="10"/>
      <c r="C51" s="11" t="str">
        <f>IF(C50="*",C50,"")</f>
        <v>*</v>
      </c>
      <c r="D51" s="12"/>
      <c r="E51" s="13" t="str">
        <f t="shared" si="15"/>
        <v>COMELC</v>
      </c>
      <c r="F51" s="13" t="str">
        <f t="shared" si="15"/>
        <v>COMHOTOldLTEUE</v>
      </c>
      <c r="G51" s="13" t="str">
        <f t="shared" si="15"/>
        <v>COMHOTOldLTEUE</v>
      </c>
      <c r="H51" s="14">
        <v>2030</v>
      </c>
      <c r="I51" s="14" t="str">
        <f>I50</f>
        <v>LO</v>
      </c>
      <c r="J51" s="14"/>
      <c r="K51" s="15">
        <f>-ROUNDDOWN(SUMIFS('COM RESID'!$O:$O,'COM RESID'!$H:$H,$E51,'COM RESID'!$I:$I,$F51)/SUMIFS('COM RESID'!$O:$O,'COM RESID'!$I:$I,$F51),3)*O51</f>
        <v>-0.2</v>
      </c>
      <c r="L51" s="14"/>
      <c r="M51" s="14"/>
      <c r="N51" s="10"/>
      <c r="O51" s="20">
        <v>0.2</v>
      </c>
      <c r="Q51" s="11" t="str">
        <f t="shared" si="0"/>
        <v>*</v>
      </c>
      <c r="R51" s="12"/>
      <c r="S51" s="13" t="str">
        <f t="shared" si="2"/>
        <v>COMELC</v>
      </c>
      <c r="T51" s="13" t="str">
        <f t="shared" si="3"/>
        <v>COMHOTOldLTEUE</v>
      </c>
      <c r="U51" s="13" t="str">
        <f t="shared" si="4"/>
        <v>COMHOTOldLTEUE</v>
      </c>
      <c r="V51" s="14">
        <v>2030</v>
      </c>
      <c r="W51" s="14" t="str">
        <f>W50</f>
        <v>UP</v>
      </c>
      <c r="X51" s="14"/>
      <c r="Y51" s="15">
        <f>-ROUNDUP(MIN(SUMIFS('COM RESID'!$O:$O,'COM RESID'!$H:$H,$E51,'COM RESID'!$I:$I,$F51)/SUMIFS('COM RESID'!$O:$O,'COM RESID'!$I:$I,$F51)*AC51,1),3)</f>
        <v>-1</v>
      </c>
      <c r="Z51" s="14"/>
      <c r="AA51" s="14"/>
      <c r="AB51" s="10"/>
      <c r="AC51" s="20">
        <f>IF(S51="COMELC",IF(SUMIFS('COM RESID'!$O:$O,'COM RESID'!$H:$H,$E51,'COM RESID'!$I:$I,$F51)/SUMIFS('COM RESID'!$O:$O,'COM RESID'!$I:$I,$F51)*1.5&lt;0.5,0.5/(SUMIFS('COM RESID'!$O:$O,'COM RESID'!$H:$H,$E51,'COM RESID'!$I:$I,$F51)/SUMIFS('COM RESID'!$O:$O,'COM RESID'!$I:$I,$F51)),1.5),IF(ISNUMBER(SEARCH("WHEUE",T50)),IF(OR(S50="COMNGA",S50="COMFOI"),0.9,1.5),1.5))</f>
        <v>1.5</v>
      </c>
    </row>
    <row r="52" spans="1:29" x14ac:dyDescent="0.25">
      <c r="A52" s="26">
        <f>A51</f>
        <v>12</v>
      </c>
      <c r="B52" s="26"/>
      <c r="C52" s="21" t="str">
        <f>IF(C51="*",C51,"")</f>
        <v>*</v>
      </c>
      <c r="D52" s="22"/>
      <c r="E52" s="23" t="str">
        <f t="shared" si="15"/>
        <v>COMELC</v>
      </c>
      <c r="F52" s="23" t="str">
        <f t="shared" si="15"/>
        <v>COMHOTOldLTEUE</v>
      </c>
      <c r="G52" s="23" t="str">
        <f t="shared" si="15"/>
        <v>COMHOTOldLTEUE</v>
      </c>
      <c r="H52" s="24">
        <v>2050</v>
      </c>
      <c r="I52" s="24" t="str">
        <f>I51</f>
        <v>LO</v>
      </c>
      <c r="J52" s="24"/>
      <c r="K52" s="25">
        <f>-ROUNDDOWN(SUMIFS('COM RESID'!$O:$O,'COM RESID'!$H:$H,$E52,'COM RESID'!$I:$I,$F52)/SUMIFS('COM RESID'!$O:$O,'COM RESID'!$I:$I,$F52),3)*O52</f>
        <v>0</v>
      </c>
      <c r="L52" s="24"/>
      <c r="M52" s="24"/>
      <c r="N52" s="26"/>
      <c r="O52" s="27">
        <v>0</v>
      </c>
      <c r="Q52" s="21" t="str">
        <f t="shared" si="0"/>
        <v>*</v>
      </c>
      <c r="R52" s="22"/>
      <c r="S52" s="23" t="str">
        <f t="shared" si="2"/>
        <v>COMELC</v>
      </c>
      <c r="T52" s="23" t="str">
        <f t="shared" si="3"/>
        <v>COMHOTOldLTEUE</v>
      </c>
      <c r="U52" s="23" t="str">
        <f t="shared" si="4"/>
        <v>COMHOTOldLTEUE</v>
      </c>
      <c r="V52" s="24">
        <v>2050</v>
      </c>
      <c r="W52" s="24" t="str">
        <f>W51</f>
        <v>UP</v>
      </c>
      <c r="X52" s="24"/>
      <c r="Y52" s="25">
        <f>-ROUNDUP(MIN(SUMIFS('COM RESID'!$O:$O,'COM RESID'!$H:$H,$E52,'COM RESID'!$I:$I,$F52)/SUMIFS('COM RESID'!$O:$O,'COM RESID'!$I:$I,$F52)*AC52,1),3)</f>
        <v>-1</v>
      </c>
      <c r="Z52" s="24"/>
      <c r="AA52" s="24"/>
      <c r="AB52" s="26"/>
      <c r="AC52" s="27">
        <f>IF(S52="COMELC",IF(SUMIFS('COM RESID'!$O:$O,'COM RESID'!$H:$H,$E52,'COM RESID'!$I:$I,$F52)/SUMIFS('COM RESID'!$O:$O,'COM RESID'!$I:$I,$F52)*3&lt;1,1/(SUMIFS('COM RESID'!$O:$O,'COM RESID'!$H:$H,$E52,'COM RESID'!$I:$I,$F52)/SUMIFS('COM RESID'!$O:$O,'COM RESID'!$I:$I,$F52)),3),IF(ISNUMBER(SEARCH("WHEUE",T50)),IF(OR(S50="COMNGA",S50="COMFOI"),0.75,3),3))</f>
        <v>3</v>
      </c>
    </row>
    <row r="53" spans="1:29" x14ac:dyDescent="0.25">
      <c r="A53" s="19">
        <f>A49+1</f>
        <v>13</v>
      </c>
      <c r="B53" s="10"/>
      <c r="C53" s="11" t="str">
        <f>IF(E53="","",IF(_xlfn.XLOOKUP($A53,Selected_constraint_UC!$A:$A,Selected_constraint_UC!$D:$D)=1,"*",IF(SUMIFS('COM TECH'!$N:$N,'COM TECH'!$K:$K,E53,'COM TECH'!$L:$L,F53)=0,"*",IF(SUMIFS('COM RESID'!$O:$O,'COM RESID'!$H:$H,$E53,'COM RESID'!$I:$I,$F53)=0,"*","UC_MarketShare_"&amp;LEFT(F53,LEN(F53)-3)&amp;"_"&amp;RIGHT(E53,3)&amp;"_MIN"))))</f>
        <v>*</v>
      </c>
      <c r="D53" s="12"/>
      <c r="E53" s="13" t="str">
        <f>_xlfn.XLOOKUP($A53,Selected_constraint_UC!$A:$A,Selected_constraint_UC!$B:$B)</f>
        <v>COMFOI</v>
      </c>
      <c r="F53" s="13" t="str">
        <f>_xlfn.XLOOKUP($A53,Selected_constraint_UC!$A:$A,Selected_constraint_UC!$C:$C)</f>
        <v>COMHOTOldCKEUE</v>
      </c>
      <c r="G53" s="13" t="str">
        <f>F53</f>
        <v>COMHOTOldCKEUE</v>
      </c>
      <c r="H53" s="14">
        <v>2019</v>
      </c>
      <c r="I53" s="14" t="s">
        <v>3848</v>
      </c>
      <c r="J53" s="14">
        <v>1</v>
      </c>
      <c r="K53" s="15">
        <f>-ROUNDDOWN(SUMIFS('COM RESID'!$O:$O,'COM RESID'!$H:$H,$E53,'COM RESID'!$I:$I,$F53)/SUMIFS('COM RESID'!$O:$O,'COM RESID'!$I:$I,$F53),3)*O53</f>
        <v>0</v>
      </c>
      <c r="L53" s="14">
        <v>0</v>
      </c>
      <c r="M53" s="14">
        <v>5</v>
      </c>
      <c r="N53" s="10"/>
      <c r="O53" s="20">
        <v>0.98</v>
      </c>
      <c r="Q53" s="11" t="str">
        <f t="shared" si="0"/>
        <v>*</v>
      </c>
      <c r="R53" s="12"/>
      <c r="S53" s="13" t="str">
        <f t="shared" si="2"/>
        <v>COMFOI</v>
      </c>
      <c r="T53" s="13" t="str">
        <f t="shared" si="3"/>
        <v>COMHOTOldCKEUE</v>
      </c>
      <c r="U53" s="13" t="str">
        <f t="shared" si="4"/>
        <v>COMHOTOldCKEUE</v>
      </c>
      <c r="V53" s="14">
        <v>2019</v>
      </c>
      <c r="W53" s="14" t="s">
        <v>3849</v>
      </c>
      <c r="X53" s="14">
        <v>1</v>
      </c>
      <c r="Y53" s="15">
        <f>-ROUNDUP(MIN(SUMIFS('COM RESID'!$O:$O,'COM RESID'!$H:$H,$E53,'COM RESID'!$I:$I,$F53)/SUMIFS('COM RESID'!$O:$O,'COM RESID'!$I:$I,$F53)*AC53,1),3)</f>
        <v>0</v>
      </c>
      <c r="Z53" s="14">
        <v>0</v>
      </c>
      <c r="AA53" s="14">
        <v>5</v>
      </c>
      <c r="AB53" s="10"/>
      <c r="AC53" s="20">
        <v>1.02</v>
      </c>
    </row>
    <row r="54" spans="1:29" x14ac:dyDescent="0.25">
      <c r="A54" s="10">
        <f>A53</f>
        <v>13</v>
      </c>
      <c r="B54" s="10"/>
      <c r="C54" s="11" t="str">
        <f>IF(C53="*",C53,"")</f>
        <v>*</v>
      </c>
      <c r="D54" s="12"/>
      <c r="E54" s="13" t="str">
        <f t="shared" ref="E54:G56" si="16">E53</f>
        <v>COMFOI</v>
      </c>
      <c r="F54" s="13" t="str">
        <f t="shared" si="16"/>
        <v>COMHOTOldCKEUE</v>
      </c>
      <c r="G54" s="13" t="str">
        <f t="shared" si="16"/>
        <v>COMHOTOldCKEUE</v>
      </c>
      <c r="H54" s="14">
        <v>2025</v>
      </c>
      <c r="I54" s="14" t="str">
        <f>I53</f>
        <v>LO</v>
      </c>
      <c r="J54" s="14"/>
      <c r="K54" s="15">
        <f>-ROUNDDOWN(SUMIFS('COM RESID'!$O:$O,'COM RESID'!$H:$H,$E54,'COM RESID'!$I:$I,$F54)/SUMIFS('COM RESID'!$O:$O,'COM RESID'!$I:$I,$F54),3)*O54</f>
        <v>0</v>
      </c>
      <c r="L54" s="14"/>
      <c r="M54" s="14"/>
      <c r="N54" s="10"/>
      <c r="O54" s="20">
        <v>0.8</v>
      </c>
      <c r="Q54" s="11" t="str">
        <f t="shared" si="0"/>
        <v>*</v>
      </c>
      <c r="R54" s="12"/>
      <c r="S54" s="13" t="str">
        <f t="shared" si="2"/>
        <v>COMFOI</v>
      </c>
      <c r="T54" s="13" t="str">
        <f t="shared" si="3"/>
        <v>COMHOTOldCKEUE</v>
      </c>
      <c r="U54" s="13" t="str">
        <f t="shared" si="4"/>
        <v>COMHOTOldCKEUE</v>
      </c>
      <c r="V54" s="14">
        <v>2025</v>
      </c>
      <c r="W54" s="14" t="str">
        <f>W53</f>
        <v>UP</v>
      </c>
      <c r="X54" s="14"/>
      <c r="Y54" s="15">
        <f>-ROUNDUP(MIN(SUMIFS('COM RESID'!$O:$O,'COM RESID'!$H:$H,$E54,'COM RESID'!$I:$I,$F54)/SUMIFS('COM RESID'!$O:$O,'COM RESID'!$I:$I,$F54)*AC54,1),3)</f>
        <v>0</v>
      </c>
      <c r="Z54" s="14"/>
      <c r="AA54" s="14"/>
      <c r="AB54" s="10"/>
      <c r="AC54" s="20">
        <f>IF(S54="COMELC",IF(SUMIFS('COM RESID'!$O:$O,'COM RESID'!$H:$H,$E54,'COM RESID'!$I:$I,$F54)/SUMIFS('COM RESID'!$O:$O,'COM RESID'!$I:$I,$F54)*1.2&lt;0.25,0.25/(SUMIFS('COM RESID'!$O:$O,'COM RESID'!$H:$H,$E54,'COM RESID'!$I:$I,$F54)/SUMIFS('COM RESID'!$O:$O,'COM RESID'!$I:$I,$F54)),1.2),IF(ISNUMBER(SEARCH("WHEUE",T54)),IF(OR(S54="COMNGA",S54="COMFOI"),1,1.2),1.2))</f>
        <v>1.2</v>
      </c>
    </row>
    <row r="55" spans="1:29" x14ac:dyDescent="0.25">
      <c r="A55" s="10">
        <f>A54</f>
        <v>13</v>
      </c>
      <c r="B55" s="10"/>
      <c r="C55" s="11" t="str">
        <f>IF(C54="*",C54,"")</f>
        <v>*</v>
      </c>
      <c r="D55" s="12"/>
      <c r="E55" s="13" t="str">
        <f t="shared" si="16"/>
        <v>COMFOI</v>
      </c>
      <c r="F55" s="13" t="str">
        <f t="shared" si="16"/>
        <v>COMHOTOldCKEUE</v>
      </c>
      <c r="G55" s="13" t="str">
        <f t="shared" si="16"/>
        <v>COMHOTOldCKEUE</v>
      </c>
      <c r="H55" s="14">
        <v>2030</v>
      </c>
      <c r="I55" s="14" t="str">
        <f>I54</f>
        <v>LO</v>
      </c>
      <c r="J55" s="14"/>
      <c r="K55" s="15">
        <f>-ROUNDDOWN(SUMIFS('COM RESID'!$O:$O,'COM RESID'!$H:$H,$E55,'COM RESID'!$I:$I,$F55)/SUMIFS('COM RESID'!$O:$O,'COM RESID'!$I:$I,$F55),3)*O55</f>
        <v>0</v>
      </c>
      <c r="L55" s="14"/>
      <c r="M55" s="14"/>
      <c r="N55" s="10"/>
      <c r="O55" s="20">
        <v>0.2</v>
      </c>
      <c r="Q55" s="11" t="str">
        <f t="shared" si="0"/>
        <v>*</v>
      </c>
      <c r="R55" s="12"/>
      <c r="S55" s="13" t="str">
        <f t="shared" si="2"/>
        <v>COMFOI</v>
      </c>
      <c r="T55" s="13" t="str">
        <f t="shared" si="3"/>
        <v>COMHOTOldCKEUE</v>
      </c>
      <c r="U55" s="13" t="str">
        <f t="shared" si="4"/>
        <v>COMHOTOldCKEUE</v>
      </c>
      <c r="V55" s="14">
        <v>2030</v>
      </c>
      <c r="W55" s="14" t="str">
        <f>W54</f>
        <v>UP</v>
      </c>
      <c r="X55" s="14"/>
      <c r="Y55" s="15">
        <f>-ROUNDUP(MIN(SUMIFS('COM RESID'!$O:$O,'COM RESID'!$H:$H,$E55,'COM RESID'!$I:$I,$F55)/SUMIFS('COM RESID'!$O:$O,'COM RESID'!$I:$I,$F55)*AC55,1),3)</f>
        <v>0</v>
      </c>
      <c r="Z55" s="14"/>
      <c r="AA55" s="14"/>
      <c r="AB55" s="10"/>
      <c r="AC55" s="20">
        <f>IF(S55="COMELC",IF(SUMIFS('COM RESID'!$O:$O,'COM RESID'!$H:$H,$E55,'COM RESID'!$I:$I,$F55)/SUMIFS('COM RESID'!$O:$O,'COM RESID'!$I:$I,$F55)*1.5&lt;0.5,0.5/(SUMIFS('COM RESID'!$O:$O,'COM RESID'!$H:$H,$E55,'COM RESID'!$I:$I,$F55)/SUMIFS('COM RESID'!$O:$O,'COM RESID'!$I:$I,$F55)),1.5),IF(ISNUMBER(SEARCH("WHEUE",T54)),IF(OR(S54="COMNGA",S54="COMFOI"),0.9,1.5),1.5))</f>
        <v>1.5</v>
      </c>
    </row>
    <row r="56" spans="1:29" x14ac:dyDescent="0.25">
      <c r="A56" s="26">
        <f>A55</f>
        <v>13</v>
      </c>
      <c r="B56" s="26"/>
      <c r="C56" s="21" t="str">
        <f>IF(C55="*",C55,"")</f>
        <v>*</v>
      </c>
      <c r="D56" s="22"/>
      <c r="E56" s="23" t="str">
        <f t="shared" si="16"/>
        <v>COMFOI</v>
      </c>
      <c r="F56" s="23" t="str">
        <f t="shared" si="16"/>
        <v>COMHOTOldCKEUE</v>
      </c>
      <c r="G56" s="23" t="str">
        <f t="shared" si="16"/>
        <v>COMHOTOldCKEUE</v>
      </c>
      <c r="H56" s="24">
        <v>2050</v>
      </c>
      <c r="I56" s="24" t="str">
        <f>I55</f>
        <v>LO</v>
      </c>
      <c r="J56" s="24"/>
      <c r="K56" s="25">
        <f>-ROUNDDOWN(SUMIFS('COM RESID'!$O:$O,'COM RESID'!$H:$H,$E56,'COM RESID'!$I:$I,$F56)/SUMIFS('COM RESID'!$O:$O,'COM RESID'!$I:$I,$F56),3)*O56</f>
        <v>0</v>
      </c>
      <c r="L56" s="24"/>
      <c r="M56" s="24"/>
      <c r="N56" s="26"/>
      <c r="O56" s="27">
        <v>0</v>
      </c>
      <c r="Q56" s="21" t="str">
        <f t="shared" si="0"/>
        <v>*</v>
      </c>
      <c r="R56" s="22"/>
      <c r="S56" s="23" t="str">
        <f t="shared" si="2"/>
        <v>COMFOI</v>
      </c>
      <c r="T56" s="23" t="str">
        <f t="shared" si="3"/>
        <v>COMHOTOldCKEUE</v>
      </c>
      <c r="U56" s="23" t="str">
        <f t="shared" si="4"/>
        <v>COMHOTOldCKEUE</v>
      </c>
      <c r="V56" s="24">
        <v>2050</v>
      </c>
      <c r="W56" s="24" t="str">
        <f>W55</f>
        <v>UP</v>
      </c>
      <c r="X56" s="24"/>
      <c r="Y56" s="25">
        <f>-ROUNDUP(MIN(SUMIFS('COM RESID'!$O:$O,'COM RESID'!$H:$H,$E56,'COM RESID'!$I:$I,$F56)/SUMIFS('COM RESID'!$O:$O,'COM RESID'!$I:$I,$F56)*AC56,1),3)</f>
        <v>0</v>
      </c>
      <c r="Z56" s="24"/>
      <c r="AA56" s="24"/>
      <c r="AB56" s="26"/>
      <c r="AC56" s="27">
        <f>IF(S56="COMELC",IF(SUMIFS('COM RESID'!$O:$O,'COM RESID'!$H:$H,$E56,'COM RESID'!$I:$I,$F56)/SUMIFS('COM RESID'!$O:$O,'COM RESID'!$I:$I,$F56)*3&lt;1,1/(SUMIFS('COM RESID'!$O:$O,'COM RESID'!$H:$H,$E56,'COM RESID'!$I:$I,$F56)/SUMIFS('COM RESID'!$O:$O,'COM RESID'!$I:$I,$F56)),3),IF(ISNUMBER(SEARCH("WHEUE",T54)),IF(OR(S54="COMNGA",S54="COMFOI"),0.75,3),3))</f>
        <v>3</v>
      </c>
    </row>
    <row r="57" spans="1:29" x14ac:dyDescent="0.25">
      <c r="A57" s="19">
        <f>A53+1</f>
        <v>14</v>
      </c>
      <c r="B57" s="10"/>
      <c r="C57" s="11" t="str">
        <f>IF(E57="","",IF(_xlfn.XLOOKUP($A57,Selected_constraint_UC!$A:$A,Selected_constraint_UC!$D:$D)=1,"*",IF(SUMIFS('COM TECH'!$N:$N,'COM TECH'!$K:$K,E57,'COM TECH'!$L:$L,F57)=0,"*",IF(SUMIFS('COM RESID'!$O:$O,'COM RESID'!$H:$H,$E57,'COM RESID'!$I:$I,$F57)=0,"*","UC_MarketShare_"&amp;LEFT(F57,LEN(F57)-3)&amp;"_"&amp;RIGHT(E57,3)&amp;"_MIN"))))</f>
        <v>*</v>
      </c>
      <c r="D57" s="12"/>
      <c r="E57" s="13" t="str">
        <f>_xlfn.XLOOKUP($A57,Selected_constraint_UC!$A:$A,Selected_constraint_UC!$B:$B)</f>
        <v>COMNGA</v>
      </c>
      <c r="F57" s="13" t="str">
        <f>_xlfn.XLOOKUP($A57,Selected_constraint_UC!$A:$A,Selected_constraint_UC!$C:$C)</f>
        <v>COMHOTOldCKEUE</v>
      </c>
      <c r="G57" s="13" t="str">
        <f>F57</f>
        <v>COMHOTOldCKEUE</v>
      </c>
      <c r="H57" s="14">
        <v>2019</v>
      </c>
      <c r="I57" s="14" t="s">
        <v>3848</v>
      </c>
      <c r="J57" s="14">
        <v>1</v>
      </c>
      <c r="K57" s="15">
        <f>-ROUNDDOWN(SUMIFS('COM RESID'!$O:$O,'COM RESID'!$H:$H,$E57,'COM RESID'!$I:$I,$F57)/SUMIFS('COM RESID'!$O:$O,'COM RESID'!$I:$I,$F57),3)*O57</f>
        <v>-0.84867999999999999</v>
      </c>
      <c r="L57" s="14">
        <v>0</v>
      </c>
      <c r="M57" s="14">
        <v>5</v>
      </c>
      <c r="N57" s="10"/>
      <c r="O57" s="20">
        <v>0.98</v>
      </c>
      <c r="Q57" s="11" t="str">
        <f t="shared" si="0"/>
        <v>*</v>
      </c>
      <c r="R57" s="12"/>
      <c r="S57" s="13" t="str">
        <f t="shared" si="2"/>
        <v>COMNGA</v>
      </c>
      <c r="T57" s="13" t="str">
        <f t="shared" si="3"/>
        <v>COMHOTOldCKEUE</v>
      </c>
      <c r="U57" s="13" t="str">
        <f t="shared" si="4"/>
        <v>COMHOTOldCKEUE</v>
      </c>
      <c r="V57" s="14">
        <v>2019</v>
      </c>
      <c r="W57" s="14" t="s">
        <v>3849</v>
      </c>
      <c r="X57" s="14">
        <v>1</v>
      </c>
      <c r="Y57" s="15">
        <f>-ROUNDUP(MIN(SUMIFS('COM RESID'!$O:$O,'COM RESID'!$H:$H,$E57,'COM RESID'!$I:$I,$F57)/SUMIFS('COM RESID'!$O:$O,'COM RESID'!$I:$I,$F57)*AC57,1),3)</f>
        <v>-0.88500000000000001</v>
      </c>
      <c r="Z57" s="14">
        <v>0</v>
      </c>
      <c r="AA57" s="14">
        <v>5</v>
      </c>
      <c r="AB57" s="10"/>
      <c r="AC57" s="20">
        <v>1.02</v>
      </c>
    </row>
    <row r="58" spans="1:29" x14ac:dyDescent="0.25">
      <c r="A58" s="10">
        <f>A57</f>
        <v>14</v>
      </c>
      <c r="B58" s="10"/>
      <c r="C58" s="11" t="str">
        <f>IF(C57="*",C57,"")</f>
        <v>*</v>
      </c>
      <c r="D58" s="12"/>
      <c r="E58" s="13" t="str">
        <f t="shared" ref="E58:G60" si="17">E57</f>
        <v>COMNGA</v>
      </c>
      <c r="F58" s="13" t="str">
        <f t="shared" si="17"/>
        <v>COMHOTOldCKEUE</v>
      </c>
      <c r="G58" s="13" t="str">
        <f t="shared" si="17"/>
        <v>COMHOTOldCKEUE</v>
      </c>
      <c r="H58" s="14">
        <v>2025</v>
      </c>
      <c r="I58" s="14" t="str">
        <f>I57</f>
        <v>LO</v>
      </c>
      <c r="J58" s="14"/>
      <c r="K58" s="15">
        <f>-ROUNDDOWN(SUMIFS('COM RESID'!$O:$O,'COM RESID'!$H:$H,$E58,'COM RESID'!$I:$I,$F58)/SUMIFS('COM RESID'!$O:$O,'COM RESID'!$I:$I,$F58),3)*O58</f>
        <v>-0.69280000000000008</v>
      </c>
      <c r="L58" s="14"/>
      <c r="M58" s="14"/>
      <c r="N58" s="10"/>
      <c r="O58" s="20">
        <v>0.8</v>
      </c>
      <c r="Q58" s="11" t="str">
        <f t="shared" si="0"/>
        <v>*</v>
      </c>
      <c r="R58" s="12"/>
      <c r="S58" s="13" t="str">
        <f t="shared" si="2"/>
        <v>COMNGA</v>
      </c>
      <c r="T58" s="13" t="str">
        <f t="shared" si="3"/>
        <v>COMHOTOldCKEUE</v>
      </c>
      <c r="U58" s="13" t="str">
        <f t="shared" si="4"/>
        <v>COMHOTOldCKEUE</v>
      </c>
      <c r="V58" s="14">
        <v>2025</v>
      </c>
      <c r="W58" s="14" t="str">
        <f>W57</f>
        <v>UP</v>
      </c>
      <c r="X58" s="14"/>
      <c r="Y58" s="15">
        <f>-ROUNDUP(MIN(SUMIFS('COM RESID'!$O:$O,'COM RESID'!$H:$H,$E58,'COM RESID'!$I:$I,$F58)/SUMIFS('COM RESID'!$O:$O,'COM RESID'!$I:$I,$F58)*AC58,1),3)</f>
        <v>-1</v>
      </c>
      <c r="Z58" s="14"/>
      <c r="AA58" s="14"/>
      <c r="AB58" s="10"/>
      <c r="AC58" s="20">
        <f>IF(S58="COMELC",IF(SUMIFS('COM RESID'!$O:$O,'COM RESID'!$H:$H,$E58,'COM RESID'!$I:$I,$F58)/SUMIFS('COM RESID'!$O:$O,'COM RESID'!$I:$I,$F58)*1.2&lt;0.25,0.25/(SUMIFS('COM RESID'!$O:$O,'COM RESID'!$H:$H,$E58,'COM RESID'!$I:$I,$F58)/SUMIFS('COM RESID'!$O:$O,'COM RESID'!$I:$I,$F58)),1.2),IF(ISNUMBER(SEARCH("WHEUE",T58)),IF(OR(S58="COMNGA",S58="COMFOI"),1,1.2),1.2))</f>
        <v>1.2</v>
      </c>
    </row>
    <row r="59" spans="1:29" x14ac:dyDescent="0.25">
      <c r="A59" s="10">
        <f>A58</f>
        <v>14</v>
      </c>
      <c r="B59" s="10"/>
      <c r="C59" s="11" t="str">
        <f>IF(C58="*",C58,"")</f>
        <v>*</v>
      </c>
      <c r="D59" s="12"/>
      <c r="E59" s="13" t="str">
        <f t="shared" si="17"/>
        <v>COMNGA</v>
      </c>
      <c r="F59" s="13" t="str">
        <f t="shared" si="17"/>
        <v>COMHOTOldCKEUE</v>
      </c>
      <c r="G59" s="13" t="str">
        <f t="shared" si="17"/>
        <v>COMHOTOldCKEUE</v>
      </c>
      <c r="H59" s="14">
        <v>2030</v>
      </c>
      <c r="I59" s="14" t="str">
        <f>I58</f>
        <v>LO</v>
      </c>
      <c r="J59" s="14"/>
      <c r="K59" s="15">
        <f>-ROUNDDOWN(SUMIFS('COM RESID'!$O:$O,'COM RESID'!$H:$H,$E59,'COM RESID'!$I:$I,$F59)/SUMIFS('COM RESID'!$O:$O,'COM RESID'!$I:$I,$F59),3)*O59</f>
        <v>-0.17320000000000002</v>
      </c>
      <c r="L59" s="14"/>
      <c r="M59" s="14"/>
      <c r="N59" s="10"/>
      <c r="O59" s="20">
        <v>0.2</v>
      </c>
      <c r="Q59" s="11" t="str">
        <f t="shared" si="0"/>
        <v>*</v>
      </c>
      <c r="R59" s="12"/>
      <c r="S59" s="13" t="str">
        <f t="shared" si="2"/>
        <v>COMNGA</v>
      </c>
      <c r="T59" s="13" t="str">
        <f t="shared" si="3"/>
        <v>COMHOTOldCKEUE</v>
      </c>
      <c r="U59" s="13" t="str">
        <f t="shared" si="4"/>
        <v>COMHOTOldCKEUE</v>
      </c>
      <c r="V59" s="14">
        <v>2030</v>
      </c>
      <c r="W59" s="14" t="str">
        <f>W58</f>
        <v>UP</v>
      </c>
      <c r="X59" s="14"/>
      <c r="Y59" s="15">
        <f>-ROUNDUP(MIN(SUMIFS('COM RESID'!$O:$O,'COM RESID'!$H:$H,$E59,'COM RESID'!$I:$I,$F59)/SUMIFS('COM RESID'!$O:$O,'COM RESID'!$I:$I,$F59)*AC59,1),3)</f>
        <v>-1</v>
      </c>
      <c r="Z59" s="14"/>
      <c r="AA59" s="14"/>
      <c r="AB59" s="10"/>
      <c r="AC59" s="20">
        <f>IF(S59="COMELC",IF(SUMIFS('COM RESID'!$O:$O,'COM RESID'!$H:$H,$E59,'COM RESID'!$I:$I,$F59)/SUMIFS('COM RESID'!$O:$O,'COM RESID'!$I:$I,$F59)*1.5&lt;0.5,0.5/(SUMIFS('COM RESID'!$O:$O,'COM RESID'!$H:$H,$E59,'COM RESID'!$I:$I,$F59)/SUMIFS('COM RESID'!$O:$O,'COM RESID'!$I:$I,$F59)),1.5),IF(ISNUMBER(SEARCH("WHEUE",T58)),IF(OR(S58="COMNGA",S58="COMFOI"),0.9,1.5),1.5))</f>
        <v>1.5</v>
      </c>
    </row>
    <row r="60" spans="1:29" x14ac:dyDescent="0.25">
      <c r="A60" s="26">
        <f>A59</f>
        <v>14</v>
      </c>
      <c r="B60" s="26"/>
      <c r="C60" s="21" t="str">
        <f>IF(C59="*",C59,"")</f>
        <v>*</v>
      </c>
      <c r="D60" s="22"/>
      <c r="E60" s="23" t="str">
        <f t="shared" si="17"/>
        <v>COMNGA</v>
      </c>
      <c r="F60" s="23" t="str">
        <f t="shared" si="17"/>
        <v>COMHOTOldCKEUE</v>
      </c>
      <c r="G60" s="23" t="str">
        <f t="shared" si="17"/>
        <v>COMHOTOldCKEUE</v>
      </c>
      <c r="H60" s="24">
        <v>2050</v>
      </c>
      <c r="I60" s="24" t="str">
        <f>I59</f>
        <v>LO</v>
      </c>
      <c r="J60" s="24"/>
      <c r="K60" s="25">
        <f>-ROUNDDOWN(SUMIFS('COM RESID'!$O:$O,'COM RESID'!$H:$H,$E60,'COM RESID'!$I:$I,$F60)/SUMIFS('COM RESID'!$O:$O,'COM RESID'!$I:$I,$F60),3)*O60</f>
        <v>0</v>
      </c>
      <c r="L60" s="24"/>
      <c r="M60" s="24"/>
      <c r="N60" s="26"/>
      <c r="O60" s="27">
        <v>0</v>
      </c>
      <c r="Q60" s="21" t="str">
        <f t="shared" si="0"/>
        <v>*</v>
      </c>
      <c r="R60" s="22"/>
      <c r="S60" s="23" t="str">
        <f t="shared" si="2"/>
        <v>COMNGA</v>
      </c>
      <c r="T60" s="23" t="str">
        <f t="shared" si="3"/>
        <v>COMHOTOldCKEUE</v>
      </c>
      <c r="U60" s="23" t="str">
        <f t="shared" si="4"/>
        <v>COMHOTOldCKEUE</v>
      </c>
      <c r="V60" s="24">
        <v>2050</v>
      </c>
      <c r="W60" s="24" t="str">
        <f>W59</f>
        <v>UP</v>
      </c>
      <c r="X60" s="24"/>
      <c r="Y60" s="25">
        <f>-ROUNDUP(MIN(SUMIFS('COM RESID'!$O:$O,'COM RESID'!$H:$H,$E60,'COM RESID'!$I:$I,$F60)/SUMIFS('COM RESID'!$O:$O,'COM RESID'!$I:$I,$F60)*AC60,1),3)</f>
        <v>-1</v>
      </c>
      <c r="Z60" s="24"/>
      <c r="AA60" s="24"/>
      <c r="AB60" s="26"/>
      <c r="AC60" s="27">
        <f>IF(S60="COMELC",IF(SUMIFS('COM RESID'!$O:$O,'COM RESID'!$H:$H,$E60,'COM RESID'!$I:$I,$F60)/SUMIFS('COM RESID'!$O:$O,'COM RESID'!$I:$I,$F60)*3&lt;1,1/(SUMIFS('COM RESID'!$O:$O,'COM RESID'!$H:$H,$E60,'COM RESID'!$I:$I,$F60)/SUMIFS('COM RESID'!$O:$O,'COM RESID'!$I:$I,$F60)),3),IF(ISNUMBER(SEARCH("WHEUE",T58)),IF(OR(S58="COMNGA",S58="COMFOI"),0.75,3),3))</f>
        <v>3</v>
      </c>
    </row>
    <row r="61" spans="1:29" x14ac:dyDescent="0.25">
      <c r="A61" s="19">
        <f>A57+1</f>
        <v>15</v>
      </c>
      <c r="B61" s="10"/>
      <c r="C61" s="11" t="str">
        <f>IF(E61="","",IF(_xlfn.XLOOKUP($A61,Selected_constraint_UC!$A:$A,Selected_constraint_UC!$D:$D)=1,"*",IF(SUMIFS('COM TECH'!$N:$N,'COM TECH'!$K:$K,E61,'COM TECH'!$L:$L,F61)=0,"*",IF(SUMIFS('COM RESID'!$O:$O,'COM RESID'!$H:$H,$E61,'COM RESID'!$I:$I,$F61)=0,"*","UC_MarketShare_"&amp;LEFT(F61,LEN(F61)-3)&amp;"_"&amp;RIGHT(E61,3)&amp;"_MIN"))))</f>
        <v>*</v>
      </c>
      <c r="D61" s="12"/>
      <c r="E61" s="13" t="str">
        <f>_xlfn.XLOOKUP($A61,Selected_constraint_UC!$A:$A,Selected_constraint_UC!$B:$B)</f>
        <v>COMSTM</v>
      </c>
      <c r="F61" s="13" t="str">
        <f>_xlfn.XLOOKUP($A61,Selected_constraint_UC!$A:$A,Selected_constraint_UC!$C:$C)</f>
        <v>COMHOTOldCKEUE</v>
      </c>
      <c r="G61" s="13" t="str">
        <f>F61</f>
        <v>COMHOTOldCKEUE</v>
      </c>
      <c r="H61" s="14">
        <v>2019</v>
      </c>
      <c r="I61" s="14" t="s">
        <v>3848</v>
      </c>
      <c r="J61" s="14">
        <v>1</v>
      </c>
      <c r="K61" s="15">
        <f>-ROUNDDOWN(SUMIFS('COM RESID'!$O:$O,'COM RESID'!$H:$H,$E61,'COM RESID'!$I:$I,$F61)/SUMIFS('COM RESID'!$O:$O,'COM RESID'!$I:$I,$F61),3)*O61</f>
        <v>-9.7999999999999997E-4</v>
      </c>
      <c r="L61" s="14">
        <v>0</v>
      </c>
      <c r="M61" s="14">
        <v>5</v>
      </c>
      <c r="N61" s="10"/>
      <c r="O61" s="20">
        <v>0.98</v>
      </c>
      <c r="Q61" s="11" t="str">
        <f t="shared" si="0"/>
        <v>*</v>
      </c>
      <c r="R61" s="12"/>
      <c r="S61" s="13" t="str">
        <f t="shared" si="2"/>
        <v>COMSTM</v>
      </c>
      <c r="T61" s="13" t="str">
        <f t="shared" si="3"/>
        <v>COMHOTOldCKEUE</v>
      </c>
      <c r="U61" s="13" t="str">
        <f t="shared" si="4"/>
        <v>COMHOTOldCKEUE</v>
      </c>
      <c r="V61" s="14">
        <v>2019</v>
      </c>
      <c r="W61" s="14" t="s">
        <v>3849</v>
      </c>
      <c r="X61" s="14">
        <v>1</v>
      </c>
      <c r="Y61" s="15">
        <f>-ROUNDUP(MIN(SUMIFS('COM RESID'!$O:$O,'COM RESID'!$H:$H,$E61,'COM RESID'!$I:$I,$F61)/SUMIFS('COM RESID'!$O:$O,'COM RESID'!$I:$I,$F61)*AC61,1),3)</f>
        <v>-2E-3</v>
      </c>
      <c r="Z61" s="14">
        <v>0</v>
      </c>
      <c r="AA61" s="14">
        <v>5</v>
      </c>
      <c r="AB61" s="10"/>
      <c r="AC61" s="20">
        <v>1.02</v>
      </c>
    </row>
    <row r="62" spans="1:29" x14ac:dyDescent="0.25">
      <c r="A62" s="10">
        <f>A61</f>
        <v>15</v>
      </c>
      <c r="B62" s="10"/>
      <c r="C62" s="11" t="str">
        <f>IF(C61="*",C61,"")</f>
        <v>*</v>
      </c>
      <c r="D62" s="12"/>
      <c r="E62" s="13" t="str">
        <f t="shared" ref="E62:G64" si="18">E61</f>
        <v>COMSTM</v>
      </c>
      <c r="F62" s="13" t="str">
        <f t="shared" si="18"/>
        <v>COMHOTOldCKEUE</v>
      </c>
      <c r="G62" s="13" t="str">
        <f t="shared" si="18"/>
        <v>COMHOTOldCKEUE</v>
      </c>
      <c r="H62" s="14">
        <v>2025</v>
      </c>
      <c r="I62" s="14" t="str">
        <f>I61</f>
        <v>LO</v>
      </c>
      <c r="J62" s="14"/>
      <c r="K62" s="15">
        <f>-ROUNDDOWN(SUMIFS('COM RESID'!$O:$O,'COM RESID'!$H:$H,$E62,'COM RESID'!$I:$I,$F62)/SUMIFS('COM RESID'!$O:$O,'COM RESID'!$I:$I,$F62),3)*O62</f>
        <v>-8.0000000000000004E-4</v>
      </c>
      <c r="L62" s="14"/>
      <c r="M62" s="14"/>
      <c r="N62" s="10"/>
      <c r="O62" s="20">
        <v>0.8</v>
      </c>
      <c r="Q62" s="11" t="str">
        <f t="shared" si="0"/>
        <v>*</v>
      </c>
      <c r="R62" s="12"/>
      <c r="S62" s="13" t="str">
        <f t="shared" si="2"/>
        <v>COMSTM</v>
      </c>
      <c r="T62" s="13" t="str">
        <f t="shared" si="3"/>
        <v>COMHOTOldCKEUE</v>
      </c>
      <c r="U62" s="13" t="str">
        <f t="shared" si="4"/>
        <v>COMHOTOldCKEUE</v>
      </c>
      <c r="V62" s="14">
        <v>2025</v>
      </c>
      <c r="W62" s="14" t="str">
        <f>W61</f>
        <v>UP</v>
      </c>
      <c r="X62" s="14"/>
      <c r="Y62" s="15">
        <f>-ROUNDUP(MIN(SUMIFS('COM RESID'!$O:$O,'COM RESID'!$H:$H,$E62,'COM RESID'!$I:$I,$F62)/SUMIFS('COM RESID'!$O:$O,'COM RESID'!$I:$I,$F62)*AC62,1),3)</f>
        <v>-2E-3</v>
      </c>
      <c r="Z62" s="14"/>
      <c r="AA62" s="14"/>
      <c r="AB62" s="10"/>
      <c r="AC62" s="20">
        <f>IF(S62="COMELC",IF(SUMIFS('COM RESID'!$O:$O,'COM RESID'!$H:$H,$E62,'COM RESID'!$I:$I,$F62)/SUMIFS('COM RESID'!$O:$O,'COM RESID'!$I:$I,$F62)*1.2&lt;0.25,0.25/(SUMIFS('COM RESID'!$O:$O,'COM RESID'!$H:$H,$E62,'COM RESID'!$I:$I,$F62)/SUMIFS('COM RESID'!$O:$O,'COM RESID'!$I:$I,$F62)),1.2),IF(ISNUMBER(SEARCH("WHEUE",T62)),IF(OR(S62="COMNGA",S62="COMFOI"),1,1.2),1.2))</f>
        <v>1.2</v>
      </c>
    </row>
    <row r="63" spans="1:29" x14ac:dyDescent="0.25">
      <c r="A63" s="10">
        <f>A62</f>
        <v>15</v>
      </c>
      <c r="B63" s="10"/>
      <c r="C63" s="11" t="str">
        <f>IF(C62="*",C62,"")</f>
        <v>*</v>
      </c>
      <c r="D63" s="12"/>
      <c r="E63" s="13" t="str">
        <f t="shared" si="18"/>
        <v>COMSTM</v>
      </c>
      <c r="F63" s="13" t="str">
        <f t="shared" si="18"/>
        <v>COMHOTOldCKEUE</v>
      </c>
      <c r="G63" s="13" t="str">
        <f t="shared" si="18"/>
        <v>COMHOTOldCKEUE</v>
      </c>
      <c r="H63" s="14">
        <v>2030</v>
      </c>
      <c r="I63" s="14" t="str">
        <f>I62</f>
        <v>LO</v>
      </c>
      <c r="J63" s="14"/>
      <c r="K63" s="15">
        <f>-ROUNDDOWN(SUMIFS('COM RESID'!$O:$O,'COM RESID'!$H:$H,$E63,'COM RESID'!$I:$I,$F63)/SUMIFS('COM RESID'!$O:$O,'COM RESID'!$I:$I,$F63),3)*O63</f>
        <v>-2.0000000000000001E-4</v>
      </c>
      <c r="L63" s="14"/>
      <c r="M63" s="14"/>
      <c r="N63" s="10"/>
      <c r="O63" s="20">
        <v>0.2</v>
      </c>
      <c r="Q63" s="11" t="str">
        <f t="shared" si="0"/>
        <v>*</v>
      </c>
      <c r="R63" s="12"/>
      <c r="S63" s="13" t="str">
        <f t="shared" si="2"/>
        <v>COMSTM</v>
      </c>
      <c r="T63" s="13" t="str">
        <f t="shared" si="3"/>
        <v>COMHOTOldCKEUE</v>
      </c>
      <c r="U63" s="13" t="str">
        <f t="shared" si="4"/>
        <v>COMHOTOldCKEUE</v>
      </c>
      <c r="V63" s="14">
        <v>2030</v>
      </c>
      <c r="W63" s="14" t="str">
        <f>W62</f>
        <v>UP</v>
      </c>
      <c r="X63" s="14"/>
      <c r="Y63" s="15">
        <f>-ROUNDUP(MIN(SUMIFS('COM RESID'!$O:$O,'COM RESID'!$H:$H,$E63,'COM RESID'!$I:$I,$F63)/SUMIFS('COM RESID'!$O:$O,'COM RESID'!$I:$I,$F63)*AC63,1),3)</f>
        <v>-2E-3</v>
      </c>
      <c r="Z63" s="14"/>
      <c r="AA63" s="14"/>
      <c r="AB63" s="10"/>
      <c r="AC63" s="20">
        <f>IF(S63="COMELC",IF(SUMIFS('COM RESID'!$O:$O,'COM RESID'!$H:$H,$E63,'COM RESID'!$I:$I,$F63)/SUMIFS('COM RESID'!$O:$O,'COM RESID'!$I:$I,$F63)*1.5&lt;0.5,0.5/(SUMIFS('COM RESID'!$O:$O,'COM RESID'!$H:$H,$E63,'COM RESID'!$I:$I,$F63)/SUMIFS('COM RESID'!$O:$O,'COM RESID'!$I:$I,$F63)),1.5),IF(ISNUMBER(SEARCH("WHEUE",T62)),IF(OR(S62="COMNGA",S62="COMFOI"),0.9,1.5),1.5))</f>
        <v>1.5</v>
      </c>
    </row>
    <row r="64" spans="1:29" x14ac:dyDescent="0.25">
      <c r="A64" s="26">
        <f>A63</f>
        <v>15</v>
      </c>
      <c r="B64" s="26"/>
      <c r="C64" s="21" t="str">
        <f>IF(C63="*",C63,"")</f>
        <v>*</v>
      </c>
      <c r="D64" s="22"/>
      <c r="E64" s="23" t="str">
        <f t="shared" si="18"/>
        <v>COMSTM</v>
      </c>
      <c r="F64" s="23" t="str">
        <f t="shared" si="18"/>
        <v>COMHOTOldCKEUE</v>
      </c>
      <c r="G64" s="23" t="str">
        <f t="shared" si="18"/>
        <v>COMHOTOldCKEUE</v>
      </c>
      <c r="H64" s="24">
        <v>2050</v>
      </c>
      <c r="I64" s="24" t="str">
        <f>I63</f>
        <v>LO</v>
      </c>
      <c r="J64" s="24"/>
      <c r="K64" s="25">
        <f>-ROUNDDOWN(SUMIFS('COM RESID'!$O:$O,'COM RESID'!$H:$H,$E64,'COM RESID'!$I:$I,$F64)/SUMIFS('COM RESID'!$O:$O,'COM RESID'!$I:$I,$F64),3)*O64</f>
        <v>0</v>
      </c>
      <c r="L64" s="24"/>
      <c r="M64" s="24"/>
      <c r="N64" s="26"/>
      <c r="O64" s="27">
        <v>0</v>
      </c>
      <c r="Q64" s="21" t="str">
        <f t="shared" si="0"/>
        <v>*</v>
      </c>
      <c r="R64" s="22"/>
      <c r="S64" s="23" t="str">
        <f t="shared" si="2"/>
        <v>COMSTM</v>
      </c>
      <c r="T64" s="23" t="str">
        <f t="shared" si="3"/>
        <v>COMHOTOldCKEUE</v>
      </c>
      <c r="U64" s="23" t="str">
        <f t="shared" si="4"/>
        <v>COMHOTOldCKEUE</v>
      </c>
      <c r="V64" s="24">
        <v>2050</v>
      </c>
      <c r="W64" s="24" t="str">
        <f>W63</f>
        <v>UP</v>
      </c>
      <c r="X64" s="24"/>
      <c r="Y64" s="25">
        <f>-ROUNDUP(MIN(SUMIFS('COM RESID'!$O:$O,'COM RESID'!$H:$H,$E64,'COM RESID'!$I:$I,$F64)/SUMIFS('COM RESID'!$O:$O,'COM RESID'!$I:$I,$F64)*AC64,1),3)</f>
        <v>-4.0000000000000001E-3</v>
      </c>
      <c r="Z64" s="24"/>
      <c r="AA64" s="24"/>
      <c r="AB64" s="26"/>
      <c r="AC64" s="27">
        <f>IF(S64="COMELC",IF(SUMIFS('COM RESID'!$O:$O,'COM RESID'!$H:$H,$E64,'COM RESID'!$I:$I,$F64)/SUMIFS('COM RESID'!$O:$O,'COM RESID'!$I:$I,$F64)*3&lt;1,1/(SUMIFS('COM RESID'!$O:$O,'COM RESID'!$H:$H,$E64,'COM RESID'!$I:$I,$F64)/SUMIFS('COM RESID'!$O:$O,'COM RESID'!$I:$I,$F64)),3),IF(ISNUMBER(SEARCH("WHEUE",T62)),IF(OR(S62="COMNGA",S62="COMFOI"),0.75,3),3))</f>
        <v>3</v>
      </c>
    </row>
    <row r="65" spans="1:29" x14ac:dyDescent="0.25">
      <c r="A65" s="19">
        <f>A61+1</f>
        <v>16</v>
      </c>
      <c r="B65" s="10"/>
      <c r="C65" s="11" t="str">
        <f>IF(E65="","",IF(_xlfn.XLOOKUP($A65,Selected_constraint_UC!$A:$A,Selected_constraint_UC!$D:$D)=1,"*",IF(SUMIFS('COM TECH'!$N:$N,'COM TECH'!$K:$K,E65,'COM TECH'!$L:$L,F65)=0,"*",IF(SUMIFS('COM RESID'!$O:$O,'COM RESID'!$H:$H,$E65,'COM RESID'!$I:$I,$F65)=0,"*","UC_MarketShare_"&amp;LEFT(F65,LEN(F65)-3)&amp;"_"&amp;RIGHT(E65,3)&amp;"_MIN"))))</f>
        <v>*</v>
      </c>
      <c r="D65" s="12"/>
      <c r="E65" s="13" t="str">
        <f>_xlfn.XLOOKUP($A65,Selected_constraint_UC!$A:$A,Selected_constraint_UC!$B:$B)</f>
        <v>COMELC</v>
      </c>
      <c r="F65" s="13" t="str">
        <f>_xlfn.XLOOKUP($A65,Selected_constraint_UC!$A:$A,Selected_constraint_UC!$C:$C)</f>
        <v>COMHOTOldCKEUE</v>
      </c>
      <c r="G65" s="13" t="str">
        <f>F65</f>
        <v>COMHOTOldCKEUE</v>
      </c>
      <c r="H65" s="14">
        <v>2019</v>
      </c>
      <c r="I65" s="14" t="s">
        <v>3848</v>
      </c>
      <c r="J65" s="14">
        <v>1</v>
      </c>
      <c r="K65" s="15">
        <f>-ROUNDDOWN(SUMIFS('COM RESID'!$O:$O,'COM RESID'!$H:$H,$E65,'COM RESID'!$I:$I,$F65)/SUMIFS('COM RESID'!$O:$O,'COM RESID'!$I:$I,$F65),3)*O65</f>
        <v>-0.12936</v>
      </c>
      <c r="L65" s="14">
        <v>0</v>
      </c>
      <c r="M65" s="14">
        <v>5</v>
      </c>
      <c r="N65" s="10"/>
      <c r="O65" s="20">
        <v>0.98</v>
      </c>
      <c r="Q65" s="11" t="str">
        <f t="shared" si="0"/>
        <v>*</v>
      </c>
      <c r="R65" s="12"/>
      <c r="S65" s="13" t="str">
        <f t="shared" si="2"/>
        <v>COMELC</v>
      </c>
      <c r="T65" s="13" t="str">
        <f t="shared" si="3"/>
        <v>COMHOTOldCKEUE</v>
      </c>
      <c r="U65" s="13" t="str">
        <f t="shared" si="4"/>
        <v>COMHOTOldCKEUE</v>
      </c>
      <c r="V65" s="14">
        <v>2019</v>
      </c>
      <c r="W65" s="14" t="s">
        <v>3849</v>
      </c>
      <c r="X65" s="14">
        <v>1</v>
      </c>
      <c r="Y65" s="15">
        <f>-ROUNDUP(MIN(SUMIFS('COM RESID'!$O:$O,'COM RESID'!$H:$H,$E65,'COM RESID'!$I:$I,$F65)/SUMIFS('COM RESID'!$O:$O,'COM RESID'!$I:$I,$F65)*AC65,1),3)</f>
        <v>-0.13500000000000001</v>
      </c>
      <c r="Z65" s="14">
        <v>0</v>
      </c>
      <c r="AA65" s="14">
        <v>5</v>
      </c>
      <c r="AB65" s="10"/>
      <c r="AC65" s="20">
        <v>1.02</v>
      </c>
    </row>
    <row r="66" spans="1:29" x14ac:dyDescent="0.25">
      <c r="A66" s="10">
        <f>A65</f>
        <v>16</v>
      </c>
      <c r="B66" s="10"/>
      <c r="C66" s="11" t="str">
        <f>IF(C65="*",C65,"")</f>
        <v>*</v>
      </c>
      <c r="D66" s="12"/>
      <c r="E66" s="13" t="str">
        <f t="shared" ref="E66:G68" si="19">E65</f>
        <v>COMELC</v>
      </c>
      <c r="F66" s="13" t="str">
        <f t="shared" si="19"/>
        <v>COMHOTOldCKEUE</v>
      </c>
      <c r="G66" s="13" t="str">
        <f t="shared" si="19"/>
        <v>COMHOTOldCKEUE</v>
      </c>
      <c r="H66" s="14">
        <v>2025</v>
      </c>
      <c r="I66" s="14" t="str">
        <f>I65</f>
        <v>LO</v>
      </c>
      <c r="J66" s="14"/>
      <c r="K66" s="15">
        <f>-ROUNDDOWN(SUMIFS('COM RESID'!$O:$O,'COM RESID'!$H:$H,$E66,'COM RESID'!$I:$I,$F66)/SUMIFS('COM RESID'!$O:$O,'COM RESID'!$I:$I,$F66),3)*O66</f>
        <v>-0.10560000000000001</v>
      </c>
      <c r="L66" s="14"/>
      <c r="M66" s="14"/>
      <c r="N66" s="10"/>
      <c r="O66" s="20">
        <v>0.8</v>
      </c>
      <c r="Q66" s="11" t="str">
        <f t="shared" si="0"/>
        <v>*</v>
      </c>
      <c r="R66" s="12"/>
      <c r="S66" s="13" t="str">
        <f t="shared" si="2"/>
        <v>COMELC</v>
      </c>
      <c r="T66" s="13" t="str">
        <f t="shared" si="3"/>
        <v>COMHOTOldCKEUE</v>
      </c>
      <c r="U66" s="13" t="str">
        <f t="shared" si="4"/>
        <v>COMHOTOldCKEUE</v>
      </c>
      <c r="V66" s="14">
        <v>2025</v>
      </c>
      <c r="W66" s="14" t="str">
        <f>W65</f>
        <v>UP</v>
      </c>
      <c r="X66" s="14"/>
      <c r="Y66" s="15">
        <f>-ROUNDUP(MIN(SUMIFS('COM RESID'!$O:$O,'COM RESID'!$H:$H,$E66,'COM RESID'!$I:$I,$F66)/SUMIFS('COM RESID'!$O:$O,'COM RESID'!$I:$I,$F66)*AC66,1),3)</f>
        <v>-0.25</v>
      </c>
      <c r="Z66" s="14"/>
      <c r="AA66" s="14"/>
      <c r="AB66" s="10"/>
      <c r="AC66" s="20">
        <f>IF(S66="COMELC",IF(SUMIFS('COM RESID'!$O:$O,'COM RESID'!$H:$H,$E66,'COM RESID'!$I:$I,$F66)/SUMIFS('COM RESID'!$O:$O,'COM RESID'!$I:$I,$F66)*1.2&lt;0.25,0.25/(SUMIFS('COM RESID'!$O:$O,'COM RESID'!$H:$H,$E66,'COM RESID'!$I:$I,$F66)/SUMIFS('COM RESID'!$O:$O,'COM RESID'!$I:$I,$F66)),1.2),IF(ISNUMBER(SEARCH("WHEUE",T66)),IF(OR(S66="COMNGA",S66="COMFOI"),1,1.2),1.2))</f>
        <v>1.890211052270901</v>
      </c>
    </row>
    <row r="67" spans="1:29" x14ac:dyDescent="0.25">
      <c r="A67" s="10">
        <f>A66</f>
        <v>16</v>
      </c>
      <c r="B67" s="10"/>
      <c r="C67" s="11" t="str">
        <f>IF(C66="*",C66,"")</f>
        <v>*</v>
      </c>
      <c r="D67" s="12"/>
      <c r="E67" s="13" t="str">
        <f t="shared" si="19"/>
        <v>COMELC</v>
      </c>
      <c r="F67" s="13" t="str">
        <f t="shared" si="19"/>
        <v>COMHOTOldCKEUE</v>
      </c>
      <c r="G67" s="13" t="str">
        <f t="shared" si="19"/>
        <v>COMHOTOldCKEUE</v>
      </c>
      <c r="H67" s="14">
        <v>2030</v>
      </c>
      <c r="I67" s="14" t="str">
        <f>I66</f>
        <v>LO</v>
      </c>
      <c r="J67" s="14"/>
      <c r="K67" s="15">
        <f>-ROUNDDOWN(SUMIFS('COM RESID'!$O:$O,'COM RESID'!$H:$H,$E67,'COM RESID'!$I:$I,$F67)/SUMIFS('COM RESID'!$O:$O,'COM RESID'!$I:$I,$F67),3)*O67</f>
        <v>-2.6400000000000003E-2</v>
      </c>
      <c r="L67" s="14"/>
      <c r="M67" s="14"/>
      <c r="N67" s="10"/>
      <c r="O67" s="20">
        <v>0.2</v>
      </c>
      <c r="Q67" s="11" t="str">
        <f t="shared" si="0"/>
        <v>*</v>
      </c>
      <c r="R67" s="12"/>
      <c r="S67" s="13" t="str">
        <f t="shared" si="2"/>
        <v>COMELC</v>
      </c>
      <c r="T67" s="13" t="str">
        <f t="shared" si="3"/>
        <v>COMHOTOldCKEUE</v>
      </c>
      <c r="U67" s="13" t="str">
        <f t="shared" si="4"/>
        <v>COMHOTOldCKEUE</v>
      </c>
      <c r="V67" s="14">
        <v>2030</v>
      </c>
      <c r="W67" s="14" t="str">
        <f>W66</f>
        <v>UP</v>
      </c>
      <c r="X67" s="14"/>
      <c r="Y67" s="15">
        <f>-ROUNDUP(MIN(SUMIFS('COM RESID'!$O:$O,'COM RESID'!$H:$H,$E67,'COM RESID'!$I:$I,$F67)/SUMIFS('COM RESID'!$O:$O,'COM RESID'!$I:$I,$F67)*AC67,1),3)</f>
        <v>-0.5</v>
      </c>
      <c r="Z67" s="14"/>
      <c r="AA67" s="14"/>
      <c r="AB67" s="10"/>
      <c r="AC67" s="20">
        <f>IF(S67="COMELC",IF(SUMIFS('COM RESID'!$O:$O,'COM RESID'!$H:$H,$E67,'COM RESID'!$I:$I,$F67)/SUMIFS('COM RESID'!$O:$O,'COM RESID'!$I:$I,$F67)*1.5&lt;0.5,0.5/(SUMIFS('COM RESID'!$O:$O,'COM RESID'!$H:$H,$E67,'COM RESID'!$I:$I,$F67)/SUMIFS('COM RESID'!$O:$O,'COM RESID'!$I:$I,$F67)),1.5),IF(ISNUMBER(SEARCH("WHEUE",T66)),IF(OR(S66="COMNGA",S66="COMFOI"),0.9,1.5),1.5))</f>
        <v>3.7804221045418021</v>
      </c>
    </row>
    <row r="68" spans="1:29" x14ac:dyDescent="0.25">
      <c r="A68" s="26">
        <f>A67</f>
        <v>16</v>
      </c>
      <c r="B68" s="26"/>
      <c r="C68" s="21" t="str">
        <f>IF(C67="*",C67,"")</f>
        <v>*</v>
      </c>
      <c r="D68" s="22"/>
      <c r="E68" s="23" t="str">
        <f t="shared" si="19"/>
        <v>COMELC</v>
      </c>
      <c r="F68" s="23" t="str">
        <f t="shared" si="19"/>
        <v>COMHOTOldCKEUE</v>
      </c>
      <c r="G68" s="23" t="str">
        <f t="shared" si="19"/>
        <v>COMHOTOldCKEUE</v>
      </c>
      <c r="H68" s="24">
        <v>2050</v>
      </c>
      <c r="I68" s="24" t="str">
        <f>I67</f>
        <v>LO</v>
      </c>
      <c r="J68" s="24"/>
      <c r="K68" s="25">
        <f>-ROUNDDOWN(SUMIFS('COM RESID'!$O:$O,'COM RESID'!$H:$H,$E68,'COM RESID'!$I:$I,$F68)/SUMIFS('COM RESID'!$O:$O,'COM RESID'!$I:$I,$F68),3)*O68</f>
        <v>0</v>
      </c>
      <c r="L68" s="24"/>
      <c r="M68" s="24"/>
      <c r="N68" s="26"/>
      <c r="O68" s="27">
        <v>0</v>
      </c>
      <c r="Q68" s="21" t="str">
        <f t="shared" si="0"/>
        <v>*</v>
      </c>
      <c r="R68" s="22"/>
      <c r="S68" s="23" t="str">
        <f t="shared" si="2"/>
        <v>COMELC</v>
      </c>
      <c r="T68" s="23" t="str">
        <f t="shared" si="3"/>
        <v>COMHOTOldCKEUE</v>
      </c>
      <c r="U68" s="23" t="str">
        <f t="shared" si="4"/>
        <v>COMHOTOldCKEUE</v>
      </c>
      <c r="V68" s="24">
        <v>2050</v>
      </c>
      <c r="W68" s="24" t="str">
        <f>W67</f>
        <v>UP</v>
      </c>
      <c r="X68" s="24"/>
      <c r="Y68" s="25">
        <f>-ROUNDUP(MIN(SUMIFS('COM RESID'!$O:$O,'COM RESID'!$H:$H,$E68,'COM RESID'!$I:$I,$F68)/SUMIFS('COM RESID'!$O:$O,'COM RESID'!$I:$I,$F68)*AC68,1),3)</f>
        <v>-1</v>
      </c>
      <c r="Z68" s="24"/>
      <c r="AA68" s="24"/>
      <c r="AB68" s="26"/>
      <c r="AC68" s="27">
        <f>IF(S68="COMELC",IF(SUMIFS('COM RESID'!$O:$O,'COM RESID'!$H:$H,$E68,'COM RESID'!$I:$I,$F68)/SUMIFS('COM RESID'!$O:$O,'COM RESID'!$I:$I,$F68)*3&lt;1,1/(SUMIFS('COM RESID'!$O:$O,'COM RESID'!$H:$H,$E68,'COM RESID'!$I:$I,$F68)/SUMIFS('COM RESID'!$O:$O,'COM RESID'!$I:$I,$F68)),3),IF(ISNUMBER(SEARCH("WHEUE",T66)),IF(OR(S66="COMNGA",S66="COMFOI"),0.75,3),3))</f>
        <v>7.5608442090836041</v>
      </c>
    </row>
    <row r="69" spans="1:29" x14ac:dyDescent="0.25">
      <c r="A69" s="19">
        <f>A65+1</f>
        <v>17</v>
      </c>
      <c r="B69" s="10"/>
      <c r="C69" s="11" t="str">
        <f>IF(E69="","",IF(_xlfn.XLOOKUP($A69,Selected_constraint_UC!$A:$A,Selected_constraint_UC!$D:$D)=1,"*",IF(SUMIFS('COM TECH'!$N:$N,'COM TECH'!$K:$K,E69,'COM TECH'!$L:$L,F69)=0,"*",IF(SUMIFS('COM RESID'!$O:$O,'COM RESID'!$H:$H,$E69,'COM RESID'!$I:$I,$F69)=0,"*","UC_MarketShare_"&amp;LEFT(F69,LEN(F69)-3)&amp;"_"&amp;RIGHT(E69,3)&amp;"_MIN"))))</f>
        <v>*</v>
      </c>
      <c r="D69" s="12"/>
      <c r="E69" s="13" t="str">
        <f>_xlfn.XLOOKUP($A69,Selected_constraint_UC!$A:$A,Selected_constraint_UC!$B:$B)</f>
        <v>COMELC</v>
      </c>
      <c r="F69" s="13" t="str">
        <f>_xlfn.XLOOKUP($A69,Selected_constraint_UC!$A:$A,Selected_constraint_UC!$C:$C)</f>
        <v>COMHOTOldREEUE</v>
      </c>
      <c r="G69" s="13" t="str">
        <f>F69</f>
        <v>COMHOTOldREEUE</v>
      </c>
      <c r="H69" s="14">
        <v>2019</v>
      </c>
      <c r="I69" s="14" t="s">
        <v>3848</v>
      </c>
      <c r="J69" s="14">
        <v>1</v>
      </c>
      <c r="K69" s="15">
        <f>-ROUNDDOWN(SUMIFS('COM RESID'!$O:$O,'COM RESID'!$H:$H,$E69,'COM RESID'!$I:$I,$F69)/SUMIFS('COM RESID'!$O:$O,'COM RESID'!$I:$I,$F69),3)*O69</f>
        <v>-0.98</v>
      </c>
      <c r="L69" s="14">
        <v>0</v>
      </c>
      <c r="M69" s="14">
        <v>5</v>
      </c>
      <c r="N69" s="10"/>
      <c r="O69" s="20">
        <v>0.98</v>
      </c>
      <c r="Q69" s="11" t="str">
        <f t="shared" ref="Q69:Q132" si="20">SUBSTITUTE(C69,"MIN","MAX")</f>
        <v>*</v>
      </c>
      <c r="R69" s="12"/>
      <c r="S69" s="13" t="str">
        <f t="shared" si="2"/>
        <v>COMELC</v>
      </c>
      <c r="T69" s="13" t="str">
        <f t="shared" si="3"/>
        <v>COMHOTOldREEUE</v>
      </c>
      <c r="U69" s="13" t="str">
        <f t="shared" si="4"/>
        <v>COMHOTOldREEUE</v>
      </c>
      <c r="V69" s="14">
        <v>2019</v>
      </c>
      <c r="W69" s="14" t="s">
        <v>3849</v>
      </c>
      <c r="X69" s="14">
        <v>1</v>
      </c>
      <c r="Y69" s="15">
        <f>-ROUNDUP(MIN(SUMIFS('COM RESID'!$O:$O,'COM RESID'!$H:$H,$E69,'COM RESID'!$I:$I,$F69)/SUMIFS('COM RESID'!$O:$O,'COM RESID'!$I:$I,$F69)*AC69,1),3)</f>
        <v>-1</v>
      </c>
      <c r="Z69" s="14">
        <v>0</v>
      </c>
      <c r="AA69" s="14">
        <v>5</v>
      </c>
      <c r="AB69" s="10"/>
      <c r="AC69" s="20">
        <v>1.02</v>
      </c>
    </row>
    <row r="70" spans="1:29" x14ac:dyDescent="0.25">
      <c r="A70" s="10">
        <f>A69</f>
        <v>17</v>
      </c>
      <c r="B70" s="10"/>
      <c r="C70" s="11" t="str">
        <f>IF(C69="*",C69,"")</f>
        <v>*</v>
      </c>
      <c r="D70" s="12"/>
      <c r="E70" s="13" t="str">
        <f t="shared" ref="E70:G72" si="21">E69</f>
        <v>COMELC</v>
      </c>
      <c r="F70" s="13" t="str">
        <f t="shared" si="21"/>
        <v>COMHOTOldREEUE</v>
      </c>
      <c r="G70" s="13" t="str">
        <f t="shared" si="21"/>
        <v>COMHOTOldREEUE</v>
      </c>
      <c r="H70" s="14">
        <v>2025</v>
      </c>
      <c r="I70" s="14" t="str">
        <f>I69</f>
        <v>LO</v>
      </c>
      <c r="J70" s="14"/>
      <c r="K70" s="15">
        <f>-ROUNDDOWN(SUMIFS('COM RESID'!$O:$O,'COM RESID'!$H:$H,$E70,'COM RESID'!$I:$I,$F70)/SUMIFS('COM RESID'!$O:$O,'COM RESID'!$I:$I,$F70),3)*O70</f>
        <v>-0.8</v>
      </c>
      <c r="L70" s="14"/>
      <c r="M70" s="14"/>
      <c r="N70" s="10"/>
      <c r="O70" s="20">
        <v>0.8</v>
      </c>
      <c r="Q70" s="11" t="str">
        <f t="shared" si="20"/>
        <v>*</v>
      </c>
      <c r="R70" s="12"/>
      <c r="S70" s="13" t="str">
        <f t="shared" ref="S70:S133" si="22">E70</f>
        <v>COMELC</v>
      </c>
      <c r="T70" s="13" t="str">
        <f t="shared" ref="T70:T133" si="23">F70</f>
        <v>COMHOTOldREEUE</v>
      </c>
      <c r="U70" s="13" t="str">
        <f t="shared" ref="U70:U133" si="24">G70</f>
        <v>COMHOTOldREEUE</v>
      </c>
      <c r="V70" s="14">
        <v>2025</v>
      </c>
      <c r="W70" s="14" t="str">
        <f>W69</f>
        <v>UP</v>
      </c>
      <c r="X70" s="14"/>
      <c r="Y70" s="15">
        <f>-ROUNDUP(MIN(SUMIFS('COM RESID'!$O:$O,'COM RESID'!$H:$H,$E70,'COM RESID'!$I:$I,$F70)/SUMIFS('COM RESID'!$O:$O,'COM RESID'!$I:$I,$F70)*AC70,1),3)</f>
        <v>-1</v>
      </c>
      <c r="Z70" s="14"/>
      <c r="AA70" s="14"/>
      <c r="AB70" s="10"/>
      <c r="AC70" s="20">
        <f>IF(S70="COMELC",IF(SUMIFS('COM RESID'!$O:$O,'COM RESID'!$H:$H,$E70,'COM RESID'!$I:$I,$F70)/SUMIFS('COM RESID'!$O:$O,'COM RESID'!$I:$I,$F70)*1.2&lt;0.25,0.25/(SUMIFS('COM RESID'!$O:$O,'COM RESID'!$H:$H,$E70,'COM RESID'!$I:$I,$F70)/SUMIFS('COM RESID'!$O:$O,'COM RESID'!$I:$I,$F70)),1.2),IF(ISNUMBER(SEARCH("WHEUE",T70)),IF(OR(S70="COMNGA",S70="COMFOI"),1,1.2),1.2))</f>
        <v>1.2</v>
      </c>
    </row>
    <row r="71" spans="1:29" x14ac:dyDescent="0.25">
      <c r="A71" s="10">
        <f>A70</f>
        <v>17</v>
      </c>
      <c r="B71" s="10"/>
      <c r="C71" s="11" t="str">
        <f>IF(C70="*",C70,"")</f>
        <v>*</v>
      </c>
      <c r="D71" s="12"/>
      <c r="E71" s="13" t="str">
        <f t="shared" si="21"/>
        <v>COMELC</v>
      </c>
      <c r="F71" s="13" t="str">
        <f t="shared" si="21"/>
        <v>COMHOTOldREEUE</v>
      </c>
      <c r="G71" s="13" t="str">
        <f t="shared" si="21"/>
        <v>COMHOTOldREEUE</v>
      </c>
      <c r="H71" s="14">
        <v>2030</v>
      </c>
      <c r="I71" s="14" t="str">
        <f>I70</f>
        <v>LO</v>
      </c>
      <c r="J71" s="14"/>
      <c r="K71" s="15">
        <f>-ROUNDDOWN(SUMIFS('COM RESID'!$O:$O,'COM RESID'!$H:$H,$E71,'COM RESID'!$I:$I,$F71)/SUMIFS('COM RESID'!$O:$O,'COM RESID'!$I:$I,$F71),3)*O71</f>
        <v>-0.2</v>
      </c>
      <c r="L71" s="14"/>
      <c r="M71" s="14"/>
      <c r="N71" s="10"/>
      <c r="O71" s="20">
        <v>0.2</v>
      </c>
      <c r="Q71" s="11" t="str">
        <f t="shared" si="20"/>
        <v>*</v>
      </c>
      <c r="R71" s="12"/>
      <c r="S71" s="13" t="str">
        <f t="shared" si="22"/>
        <v>COMELC</v>
      </c>
      <c r="T71" s="13" t="str">
        <f t="shared" si="23"/>
        <v>COMHOTOldREEUE</v>
      </c>
      <c r="U71" s="13" t="str">
        <f t="shared" si="24"/>
        <v>COMHOTOldREEUE</v>
      </c>
      <c r="V71" s="14">
        <v>2030</v>
      </c>
      <c r="W71" s="14" t="str">
        <f>W70</f>
        <v>UP</v>
      </c>
      <c r="X71" s="14"/>
      <c r="Y71" s="15">
        <f>-ROUNDUP(MIN(SUMIFS('COM RESID'!$O:$O,'COM RESID'!$H:$H,$E71,'COM RESID'!$I:$I,$F71)/SUMIFS('COM RESID'!$O:$O,'COM RESID'!$I:$I,$F71)*AC71,1),3)</f>
        <v>-1</v>
      </c>
      <c r="Z71" s="14"/>
      <c r="AA71" s="14"/>
      <c r="AB71" s="10"/>
      <c r="AC71" s="20">
        <f>IF(S71="COMELC",IF(SUMIFS('COM RESID'!$O:$O,'COM RESID'!$H:$H,$E71,'COM RESID'!$I:$I,$F71)/SUMIFS('COM RESID'!$O:$O,'COM RESID'!$I:$I,$F71)*1.5&lt;0.5,0.5/(SUMIFS('COM RESID'!$O:$O,'COM RESID'!$H:$H,$E71,'COM RESID'!$I:$I,$F71)/SUMIFS('COM RESID'!$O:$O,'COM RESID'!$I:$I,$F71)),1.5),IF(ISNUMBER(SEARCH("WHEUE",T70)),IF(OR(S70="COMNGA",S70="COMFOI"),0.9,1.5),1.5))</f>
        <v>1.5</v>
      </c>
    </row>
    <row r="72" spans="1:29" x14ac:dyDescent="0.25">
      <c r="A72" s="26">
        <f>A71</f>
        <v>17</v>
      </c>
      <c r="B72" s="26"/>
      <c r="C72" s="21" t="str">
        <f>IF(C71="*",C71,"")</f>
        <v>*</v>
      </c>
      <c r="D72" s="22"/>
      <c r="E72" s="23" t="str">
        <f t="shared" si="21"/>
        <v>COMELC</v>
      </c>
      <c r="F72" s="23" t="str">
        <f t="shared" si="21"/>
        <v>COMHOTOldREEUE</v>
      </c>
      <c r="G72" s="23" t="str">
        <f t="shared" si="21"/>
        <v>COMHOTOldREEUE</v>
      </c>
      <c r="H72" s="24">
        <v>2050</v>
      </c>
      <c r="I72" s="24" t="str">
        <f>I71</f>
        <v>LO</v>
      </c>
      <c r="J72" s="24"/>
      <c r="K72" s="25">
        <f>-ROUNDDOWN(SUMIFS('COM RESID'!$O:$O,'COM RESID'!$H:$H,$E72,'COM RESID'!$I:$I,$F72)/SUMIFS('COM RESID'!$O:$O,'COM RESID'!$I:$I,$F72),3)*O72</f>
        <v>0</v>
      </c>
      <c r="L72" s="24"/>
      <c r="M72" s="24"/>
      <c r="N72" s="26"/>
      <c r="O72" s="27">
        <v>0</v>
      </c>
      <c r="Q72" s="21" t="str">
        <f t="shared" si="20"/>
        <v>*</v>
      </c>
      <c r="R72" s="22"/>
      <c r="S72" s="23" t="str">
        <f t="shared" si="22"/>
        <v>COMELC</v>
      </c>
      <c r="T72" s="23" t="str">
        <f t="shared" si="23"/>
        <v>COMHOTOldREEUE</v>
      </c>
      <c r="U72" s="23" t="str">
        <f t="shared" si="24"/>
        <v>COMHOTOldREEUE</v>
      </c>
      <c r="V72" s="24">
        <v>2050</v>
      </c>
      <c r="W72" s="24" t="str">
        <f>W71</f>
        <v>UP</v>
      </c>
      <c r="X72" s="24"/>
      <c r="Y72" s="25">
        <f>-ROUNDUP(MIN(SUMIFS('COM RESID'!$O:$O,'COM RESID'!$H:$H,$E72,'COM RESID'!$I:$I,$F72)/SUMIFS('COM RESID'!$O:$O,'COM RESID'!$I:$I,$F72)*AC72,1),3)</f>
        <v>-1</v>
      </c>
      <c r="Z72" s="24"/>
      <c r="AA72" s="24"/>
      <c r="AB72" s="26"/>
      <c r="AC72" s="27">
        <f>IF(S72="COMELC",IF(SUMIFS('COM RESID'!$O:$O,'COM RESID'!$H:$H,$E72,'COM RESID'!$I:$I,$F72)/SUMIFS('COM RESID'!$O:$O,'COM RESID'!$I:$I,$F72)*3&lt;1,1/(SUMIFS('COM RESID'!$O:$O,'COM RESID'!$H:$H,$E72,'COM RESID'!$I:$I,$F72)/SUMIFS('COM RESID'!$O:$O,'COM RESID'!$I:$I,$F72)),3),IF(ISNUMBER(SEARCH("WHEUE",T70)),IF(OR(S70="COMNGA",S70="COMFOI"),0.75,3),3))</f>
        <v>3</v>
      </c>
    </row>
    <row r="73" spans="1:29" x14ac:dyDescent="0.25">
      <c r="A73" s="19">
        <f>A69+1</f>
        <v>18</v>
      </c>
      <c r="B73" s="10"/>
      <c r="C73" s="11" t="str">
        <f>IF(E73="","",IF(_xlfn.XLOOKUP($A73,Selected_constraint_UC!$A:$A,Selected_constraint_UC!$D:$D)=1,"*",IF(SUMIFS('COM TECH'!$N:$N,'COM TECH'!$K:$K,E73,'COM TECH'!$L:$L,F73)=0,"*",IF(SUMIFS('COM RESID'!$O:$O,'COM RESID'!$H:$H,$E73,'COM RESID'!$I:$I,$F73)=0,"*","UC_MarketShare_"&amp;LEFT(F73,LEN(F73)-3)&amp;"_"&amp;RIGHT(E73,3)&amp;"_MIN"))))</f>
        <v>*</v>
      </c>
      <c r="D73" s="12"/>
      <c r="E73" s="13" t="str">
        <f>_xlfn.XLOOKUP($A73,Selected_constraint_UC!$A:$A,Selected_constraint_UC!$B:$B)</f>
        <v>COMFOI</v>
      </c>
      <c r="F73" s="13" t="str">
        <f>_xlfn.XLOOKUP($A73,Selected_constraint_UC!$A:$A,Selected_constraint_UC!$C:$C)</f>
        <v>COMHOTOldOEEUE</v>
      </c>
      <c r="G73" s="13" t="str">
        <f>F73</f>
        <v>COMHOTOldOEEUE</v>
      </c>
      <c r="H73" s="14">
        <v>2019</v>
      </c>
      <c r="I73" s="14" t="s">
        <v>3848</v>
      </c>
      <c r="J73" s="14">
        <v>1</v>
      </c>
      <c r="K73" s="15">
        <f>-ROUNDDOWN(SUMIFS('COM RESID'!$O:$O,'COM RESID'!$H:$H,$E73,'COM RESID'!$I:$I,$F73)/SUMIFS('COM RESID'!$O:$O,'COM RESID'!$I:$I,$F73),3)*O73</f>
        <v>-6.9579999999999989E-2</v>
      </c>
      <c r="L73" s="14">
        <v>0</v>
      </c>
      <c r="M73" s="14">
        <v>5</v>
      </c>
      <c r="N73" s="10"/>
      <c r="O73" s="20">
        <v>0.98</v>
      </c>
      <c r="Q73" s="11" t="str">
        <f t="shared" si="20"/>
        <v>*</v>
      </c>
      <c r="R73" s="12"/>
      <c r="S73" s="13" t="str">
        <f t="shared" si="22"/>
        <v>COMFOI</v>
      </c>
      <c r="T73" s="13" t="str">
        <f t="shared" si="23"/>
        <v>COMHOTOldOEEUE</v>
      </c>
      <c r="U73" s="13" t="str">
        <f t="shared" si="24"/>
        <v>COMHOTOldOEEUE</v>
      </c>
      <c r="V73" s="14">
        <v>2019</v>
      </c>
      <c r="W73" s="14" t="s">
        <v>3849</v>
      </c>
      <c r="X73" s="14">
        <v>1</v>
      </c>
      <c r="Y73" s="15">
        <f>-ROUNDUP(MIN(SUMIFS('COM RESID'!$O:$O,'COM RESID'!$H:$H,$E73,'COM RESID'!$I:$I,$F73)/SUMIFS('COM RESID'!$O:$O,'COM RESID'!$I:$I,$F73)*AC73,1),3)</f>
        <v>-7.2999999999999995E-2</v>
      </c>
      <c r="Z73" s="14">
        <v>0</v>
      </c>
      <c r="AA73" s="14">
        <v>5</v>
      </c>
      <c r="AB73" s="10"/>
      <c r="AC73" s="20">
        <v>1.02</v>
      </c>
    </row>
    <row r="74" spans="1:29" x14ac:dyDescent="0.25">
      <c r="A74" s="10">
        <f>A73</f>
        <v>18</v>
      </c>
      <c r="B74" s="10"/>
      <c r="C74" s="11" t="str">
        <f>IF(C73="*",C73,"")</f>
        <v>*</v>
      </c>
      <c r="D74" s="12"/>
      <c r="E74" s="13" t="str">
        <f t="shared" ref="E74:G76" si="25">E73</f>
        <v>COMFOI</v>
      </c>
      <c r="F74" s="13" t="str">
        <f t="shared" si="25"/>
        <v>COMHOTOldOEEUE</v>
      </c>
      <c r="G74" s="13" t="str">
        <f t="shared" si="25"/>
        <v>COMHOTOldOEEUE</v>
      </c>
      <c r="H74" s="14">
        <v>2025</v>
      </c>
      <c r="I74" s="14" t="str">
        <f>I73</f>
        <v>LO</v>
      </c>
      <c r="J74" s="14"/>
      <c r="K74" s="15">
        <f>-ROUNDDOWN(SUMIFS('COM RESID'!$O:$O,'COM RESID'!$H:$H,$E74,'COM RESID'!$I:$I,$F74)/SUMIFS('COM RESID'!$O:$O,'COM RESID'!$I:$I,$F74),3)*O74</f>
        <v>-5.6799999999999996E-2</v>
      </c>
      <c r="L74" s="14"/>
      <c r="M74" s="14"/>
      <c r="N74" s="10"/>
      <c r="O74" s="20">
        <v>0.8</v>
      </c>
      <c r="Q74" s="11" t="str">
        <f t="shared" si="20"/>
        <v>*</v>
      </c>
      <c r="R74" s="12"/>
      <c r="S74" s="13" t="str">
        <f t="shared" si="22"/>
        <v>COMFOI</v>
      </c>
      <c r="T74" s="13" t="str">
        <f t="shared" si="23"/>
        <v>COMHOTOldOEEUE</v>
      </c>
      <c r="U74" s="13" t="str">
        <f t="shared" si="24"/>
        <v>COMHOTOldOEEUE</v>
      </c>
      <c r="V74" s="14">
        <v>2025</v>
      </c>
      <c r="W74" s="14" t="str">
        <f>W73</f>
        <v>UP</v>
      </c>
      <c r="X74" s="14"/>
      <c r="Y74" s="15">
        <f>-ROUNDUP(MIN(SUMIFS('COM RESID'!$O:$O,'COM RESID'!$H:$H,$E74,'COM RESID'!$I:$I,$F74)/SUMIFS('COM RESID'!$O:$O,'COM RESID'!$I:$I,$F74)*AC74,1),3)</f>
        <v>-8.6000000000000007E-2</v>
      </c>
      <c r="Z74" s="14"/>
      <c r="AA74" s="14"/>
      <c r="AB74" s="10"/>
      <c r="AC74" s="20">
        <f>IF(S74="COMELC",IF(SUMIFS('COM RESID'!$O:$O,'COM RESID'!$H:$H,$E74,'COM RESID'!$I:$I,$F74)/SUMIFS('COM RESID'!$O:$O,'COM RESID'!$I:$I,$F74)*1.2&lt;0.25,0.25/(SUMIFS('COM RESID'!$O:$O,'COM RESID'!$H:$H,$E74,'COM RESID'!$I:$I,$F74)/SUMIFS('COM RESID'!$O:$O,'COM RESID'!$I:$I,$F74)),1.2),IF(ISNUMBER(SEARCH("WHEUE",T74)),IF(OR(S74="COMNGA",S74="COMFOI"),1,1.2),1.2))</f>
        <v>1.2</v>
      </c>
    </row>
    <row r="75" spans="1:29" x14ac:dyDescent="0.25">
      <c r="A75" s="10">
        <f>A74</f>
        <v>18</v>
      </c>
      <c r="B75" s="10"/>
      <c r="C75" s="11" t="str">
        <f>IF(C74="*",C74,"")</f>
        <v>*</v>
      </c>
      <c r="D75" s="12"/>
      <c r="E75" s="13" t="str">
        <f t="shared" si="25"/>
        <v>COMFOI</v>
      </c>
      <c r="F75" s="13" t="str">
        <f t="shared" si="25"/>
        <v>COMHOTOldOEEUE</v>
      </c>
      <c r="G75" s="13" t="str">
        <f t="shared" si="25"/>
        <v>COMHOTOldOEEUE</v>
      </c>
      <c r="H75" s="14">
        <v>2030</v>
      </c>
      <c r="I75" s="14" t="str">
        <f>I74</f>
        <v>LO</v>
      </c>
      <c r="J75" s="14"/>
      <c r="K75" s="15">
        <f>-ROUNDDOWN(SUMIFS('COM RESID'!$O:$O,'COM RESID'!$H:$H,$E75,'COM RESID'!$I:$I,$F75)/SUMIFS('COM RESID'!$O:$O,'COM RESID'!$I:$I,$F75),3)*O75</f>
        <v>-1.4199999999999999E-2</v>
      </c>
      <c r="L75" s="14"/>
      <c r="M75" s="14"/>
      <c r="N75" s="10"/>
      <c r="O75" s="20">
        <v>0.2</v>
      </c>
      <c r="Q75" s="11" t="str">
        <f t="shared" si="20"/>
        <v>*</v>
      </c>
      <c r="R75" s="12"/>
      <c r="S75" s="13" t="str">
        <f t="shared" si="22"/>
        <v>COMFOI</v>
      </c>
      <c r="T75" s="13" t="str">
        <f t="shared" si="23"/>
        <v>COMHOTOldOEEUE</v>
      </c>
      <c r="U75" s="13" t="str">
        <f t="shared" si="24"/>
        <v>COMHOTOldOEEUE</v>
      </c>
      <c r="V75" s="14">
        <v>2030</v>
      </c>
      <c r="W75" s="14" t="str">
        <f>W74</f>
        <v>UP</v>
      </c>
      <c r="X75" s="14"/>
      <c r="Y75" s="15">
        <f>-ROUNDUP(MIN(SUMIFS('COM RESID'!$O:$O,'COM RESID'!$H:$H,$E75,'COM RESID'!$I:$I,$F75)/SUMIFS('COM RESID'!$O:$O,'COM RESID'!$I:$I,$F75)*AC75,1),3)</f>
        <v>-0.108</v>
      </c>
      <c r="Z75" s="14"/>
      <c r="AA75" s="14"/>
      <c r="AB75" s="10"/>
      <c r="AC75" s="20">
        <f>IF(S75="COMELC",IF(SUMIFS('COM RESID'!$O:$O,'COM RESID'!$H:$H,$E75,'COM RESID'!$I:$I,$F75)/SUMIFS('COM RESID'!$O:$O,'COM RESID'!$I:$I,$F75)*1.5&lt;0.5,0.5/(SUMIFS('COM RESID'!$O:$O,'COM RESID'!$H:$H,$E75,'COM RESID'!$I:$I,$F75)/SUMIFS('COM RESID'!$O:$O,'COM RESID'!$I:$I,$F75)),1.5),IF(ISNUMBER(SEARCH("WHEUE",T74)),IF(OR(S74="COMNGA",S74="COMFOI"),0.9,1.5),1.5))</f>
        <v>1.5</v>
      </c>
    </row>
    <row r="76" spans="1:29" x14ac:dyDescent="0.25">
      <c r="A76" s="26">
        <f>A75</f>
        <v>18</v>
      </c>
      <c r="B76" s="26"/>
      <c r="C76" s="21" t="str">
        <f>IF(C75="*",C75,"")</f>
        <v>*</v>
      </c>
      <c r="D76" s="22"/>
      <c r="E76" s="23" t="str">
        <f t="shared" si="25"/>
        <v>COMFOI</v>
      </c>
      <c r="F76" s="23" t="str">
        <f t="shared" si="25"/>
        <v>COMHOTOldOEEUE</v>
      </c>
      <c r="G76" s="23" t="str">
        <f t="shared" si="25"/>
        <v>COMHOTOldOEEUE</v>
      </c>
      <c r="H76" s="24">
        <v>2050</v>
      </c>
      <c r="I76" s="24" t="str">
        <f>I75</f>
        <v>LO</v>
      </c>
      <c r="J76" s="24"/>
      <c r="K76" s="25">
        <f>-ROUNDDOWN(SUMIFS('COM RESID'!$O:$O,'COM RESID'!$H:$H,$E76,'COM RESID'!$I:$I,$F76)/SUMIFS('COM RESID'!$O:$O,'COM RESID'!$I:$I,$F76),3)*O76</f>
        <v>0</v>
      </c>
      <c r="L76" s="24"/>
      <c r="M76" s="24"/>
      <c r="N76" s="26"/>
      <c r="O76" s="27">
        <v>0</v>
      </c>
      <c r="Q76" s="21" t="str">
        <f t="shared" si="20"/>
        <v>*</v>
      </c>
      <c r="R76" s="22"/>
      <c r="S76" s="23" t="str">
        <f t="shared" si="22"/>
        <v>COMFOI</v>
      </c>
      <c r="T76" s="23" t="str">
        <f t="shared" si="23"/>
        <v>COMHOTOldOEEUE</v>
      </c>
      <c r="U76" s="23" t="str">
        <f t="shared" si="24"/>
        <v>COMHOTOldOEEUE</v>
      </c>
      <c r="V76" s="24">
        <v>2050</v>
      </c>
      <c r="W76" s="24" t="str">
        <f>W75</f>
        <v>UP</v>
      </c>
      <c r="X76" s="24"/>
      <c r="Y76" s="25">
        <f>-ROUNDUP(MIN(SUMIFS('COM RESID'!$O:$O,'COM RESID'!$H:$H,$E76,'COM RESID'!$I:$I,$F76)/SUMIFS('COM RESID'!$O:$O,'COM RESID'!$I:$I,$F76)*AC76,1),3)</f>
        <v>-0.215</v>
      </c>
      <c r="Z76" s="24"/>
      <c r="AA76" s="24"/>
      <c r="AB76" s="26"/>
      <c r="AC76" s="27">
        <f>IF(S76="COMELC",IF(SUMIFS('COM RESID'!$O:$O,'COM RESID'!$H:$H,$E76,'COM RESID'!$I:$I,$F76)/SUMIFS('COM RESID'!$O:$O,'COM RESID'!$I:$I,$F76)*3&lt;1,1/(SUMIFS('COM RESID'!$O:$O,'COM RESID'!$H:$H,$E76,'COM RESID'!$I:$I,$F76)/SUMIFS('COM RESID'!$O:$O,'COM RESID'!$I:$I,$F76)),3),IF(ISNUMBER(SEARCH("WHEUE",T74)),IF(OR(S74="COMNGA",S74="COMFOI"),0.75,3),3))</f>
        <v>3</v>
      </c>
    </row>
    <row r="77" spans="1:29" x14ac:dyDescent="0.25">
      <c r="A77" s="19">
        <f>A73+1</f>
        <v>19</v>
      </c>
      <c r="B77" s="10"/>
      <c r="C77" s="11" t="str">
        <f>IF(E77="","",IF(_xlfn.XLOOKUP($A77,Selected_constraint_UC!$A:$A,Selected_constraint_UC!$D:$D)=1,"*",IF(SUMIFS('COM TECH'!$N:$N,'COM TECH'!$K:$K,E77,'COM TECH'!$L:$L,F77)=0,"*",IF(SUMIFS('COM RESID'!$O:$O,'COM RESID'!$H:$H,$E77,'COM RESID'!$I:$I,$F77)=0,"*","UC_MarketShare_"&amp;LEFT(F77,LEN(F77)-3)&amp;"_"&amp;RIGHT(E77,3)&amp;"_MIN"))))</f>
        <v>UC_MarketShare_COMHOTOldOE_NGA_MIN</v>
      </c>
      <c r="D77" s="12"/>
      <c r="E77" s="13" t="str">
        <f>_xlfn.XLOOKUP($A77,Selected_constraint_UC!$A:$A,Selected_constraint_UC!$B:$B)</f>
        <v>COMNGA</v>
      </c>
      <c r="F77" s="13" t="str">
        <f>_xlfn.XLOOKUP($A77,Selected_constraint_UC!$A:$A,Selected_constraint_UC!$C:$C)</f>
        <v>COMHOTOldOEEUE</v>
      </c>
      <c r="G77" s="13" t="str">
        <f>F77</f>
        <v>COMHOTOldOEEUE</v>
      </c>
      <c r="H77" s="14">
        <v>2019</v>
      </c>
      <c r="I77" s="14" t="s">
        <v>3848</v>
      </c>
      <c r="J77" s="14">
        <v>1</v>
      </c>
      <c r="K77" s="15">
        <f>-ROUNDDOWN(SUMIFS('COM RESID'!$O:$O,'COM RESID'!$H:$H,$E77,'COM RESID'!$I:$I,$F77)/SUMIFS('COM RESID'!$O:$O,'COM RESID'!$I:$I,$F77),3)*O77</f>
        <v>-0.40375999999999995</v>
      </c>
      <c r="L77" s="14">
        <v>0</v>
      </c>
      <c r="M77" s="14">
        <v>5</v>
      </c>
      <c r="N77" s="10"/>
      <c r="O77" s="20">
        <v>0.98</v>
      </c>
      <c r="Q77" s="11" t="str">
        <f t="shared" si="20"/>
        <v>UC_MarketShare_COMHOTOldOE_NGA_MAX</v>
      </c>
      <c r="R77" s="12"/>
      <c r="S77" s="13" t="str">
        <f t="shared" si="22"/>
        <v>COMNGA</v>
      </c>
      <c r="T77" s="13" t="str">
        <f t="shared" si="23"/>
        <v>COMHOTOldOEEUE</v>
      </c>
      <c r="U77" s="13" t="str">
        <f t="shared" si="24"/>
        <v>COMHOTOldOEEUE</v>
      </c>
      <c r="V77" s="14">
        <v>2019</v>
      </c>
      <c r="W77" s="14" t="s">
        <v>3849</v>
      </c>
      <c r="X77" s="14">
        <v>1</v>
      </c>
      <c r="Y77" s="15">
        <f>-ROUNDUP(MIN(SUMIFS('COM RESID'!$O:$O,'COM RESID'!$H:$H,$E77,'COM RESID'!$I:$I,$F77)/SUMIFS('COM RESID'!$O:$O,'COM RESID'!$I:$I,$F77)*AC77,1),3)</f>
        <v>-0.42199999999999999</v>
      </c>
      <c r="Z77" s="14">
        <v>0</v>
      </c>
      <c r="AA77" s="14">
        <v>5</v>
      </c>
      <c r="AB77" s="10"/>
      <c r="AC77" s="20">
        <v>1.02</v>
      </c>
    </row>
    <row r="78" spans="1:29" x14ac:dyDescent="0.25">
      <c r="A78" s="10">
        <f>A77</f>
        <v>19</v>
      </c>
      <c r="B78" s="10"/>
      <c r="C78" s="11" t="str">
        <f>IF(C77="*",C77,"")</f>
        <v/>
      </c>
      <c r="D78" s="12"/>
      <c r="E78" s="13" t="str">
        <f t="shared" ref="E78:G80" si="26">E77</f>
        <v>COMNGA</v>
      </c>
      <c r="F78" s="13" t="str">
        <f t="shared" si="26"/>
        <v>COMHOTOldOEEUE</v>
      </c>
      <c r="G78" s="13" t="str">
        <f t="shared" si="26"/>
        <v>COMHOTOldOEEUE</v>
      </c>
      <c r="H78" s="14">
        <v>2025</v>
      </c>
      <c r="I78" s="14" t="str">
        <f>I77</f>
        <v>LO</v>
      </c>
      <c r="J78" s="14"/>
      <c r="K78" s="15">
        <f>-ROUNDDOWN(SUMIFS('COM RESID'!$O:$O,'COM RESID'!$H:$H,$E78,'COM RESID'!$I:$I,$F78)/SUMIFS('COM RESID'!$O:$O,'COM RESID'!$I:$I,$F78),3)*O78</f>
        <v>-0.3296</v>
      </c>
      <c r="L78" s="14"/>
      <c r="M78" s="14"/>
      <c r="N78" s="10"/>
      <c r="O78" s="20">
        <v>0.8</v>
      </c>
      <c r="Q78" s="11" t="str">
        <f t="shared" si="20"/>
        <v/>
      </c>
      <c r="R78" s="12"/>
      <c r="S78" s="13" t="str">
        <f t="shared" si="22"/>
        <v>COMNGA</v>
      </c>
      <c r="T78" s="13" t="str">
        <f t="shared" si="23"/>
        <v>COMHOTOldOEEUE</v>
      </c>
      <c r="U78" s="13" t="str">
        <f t="shared" si="24"/>
        <v>COMHOTOldOEEUE</v>
      </c>
      <c r="V78" s="14">
        <v>2025</v>
      </c>
      <c r="W78" s="14" t="str">
        <f>W77</f>
        <v>UP</v>
      </c>
      <c r="X78" s="14"/>
      <c r="Y78" s="15">
        <f>-ROUNDUP(MIN(SUMIFS('COM RESID'!$O:$O,'COM RESID'!$H:$H,$E78,'COM RESID'!$I:$I,$F78)/SUMIFS('COM RESID'!$O:$O,'COM RESID'!$I:$I,$F78)*AC78,1),3)</f>
        <v>-0.496</v>
      </c>
      <c r="Z78" s="14"/>
      <c r="AA78" s="14"/>
      <c r="AB78" s="10"/>
      <c r="AC78" s="20">
        <f>IF(S78="COMELC",IF(SUMIFS('COM RESID'!$O:$O,'COM RESID'!$H:$H,$E78,'COM RESID'!$I:$I,$F78)/SUMIFS('COM RESID'!$O:$O,'COM RESID'!$I:$I,$F78)*1.2&lt;0.25,0.25/(SUMIFS('COM RESID'!$O:$O,'COM RESID'!$H:$H,$E78,'COM RESID'!$I:$I,$F78)/SUMIFS('COM RESID'!$O:$O,'COM RESID'!$I:$I,$F78)),1.2),IF(ISNUMBER(SEARCH("WHEUE",T78)),IF(OR(S78="COMNGA",S78="COMFOI"),1,1.2),1.2))</f>
        <v>1.2</v>
      </c>
    </row>
    <row r="79" spans="1:29" x14ac:dyDescent="0.25">
      <c r="A79" s="10">
        <f>A78</f>
        <v>19</v>
      </c>
      <c r="B79" s="10"/>
      <c r="C79" s="11" t="str">
        <f>IF(C78="*",C78,"")</f>
        <v/>
      </c>
      <c r="D79" s="12"/>
      <c r="E79" s="13" t="str">
        <f t="shared" si="26"/>
        <v>COMNGA</v>
      </c>
      <c r="F79" s="13" t="str">
        <f t="shared" si="26"/>
        <v>COMHOTOldOEEUE</v>
      </c>
      <c r="G79" s="13" t="str">
        <f t="shared" si="26"/>
        <v>COMHOTOldOEEUE</v>
      </c>
      <c r="H79" s="14">
        <v>2030</v>
      </c>
      <c r="I79" s="14" t="str">
        <f>I78</f>
        <v>LO</v>
      </c>
      <c r="J79" s="14"/>
      <c r="K79" s="15">
        <f>-ROUNDDOWN(SUMIFS('COM RESID'!$O:$O,'COM RESID'!$H:$H,$E79,'COM RESID'!$I:$I,$F79)/SUMIFS('COM RESID'!$O:$O,'COM RESID'!$I:$I,$F79),3)*O79</f>
        <v>-8.2400000000000001E-2</v>
      </c>
      <c r="L79" s="14"/>
      <c r="M79" s="14"/>
      <c r="N79" s="10"/>
      <c r="O79" s="20">
        <v>0.2</v>
      </c>
      <c r="Q79" s="11" t="str">
        <f t="shared" si="20"/>
        <v/>
      </c>
      <c r="R79" s="12"/>
      <c r="S79" s="13" t="str">
        <f t="shared" si="22"/>
        <v>COMNGA</v>
      </c>
      <c r="T79" s="13" t="str">
        <f t="shared" si="23"/>
        <v>COMHOTOldOEEUE</v>
      </c>
      <c r="U79" s="13" t="str">
        <f t="shared" si="24"/>
        <v>COMHOTOldOEEUE</v>
      </c>
      <c r="V79" s="14">
        <v>2030</v>
      </c>
      <c r="W79" s="14" t="str">
        <f>W78</f>
        <v>UP</v>
      </c>
      <c r="X79" s="14"/>
      <c r="Y79" s="15">
        <f>-ROUNDUP(MIN(SUMIFS('COM RESID'!$O:$O,'COM RESID'!$H:$H,$E79,'COM RESID'!$I:$I,$F79)/SUMIFS('COM RESID'!$O:$O,'COM RESID'!$I:$I,$F79)*AC79,1),3)</f>
        <v>-0.62</v>
      </c>
      <c r="Z79" s="14"/>
      <c r="AA79" s="14"/>
      <c r="AB79" s="10"/>
      <c r="AC79" s="20">
        <f>IF(S79="COMELC",IF(SUMIFS('COM RESID'!$O:$O,'COM RESID'!$H:$H,$E79,'COM RESID'!$I:$I,$F79)/SUMIFS('COM RESID'!$O:$O,'COM RESID'!$I:$I,$F79)*1.5&lt;0.5,0.5/(SUMIFS('COM RESID'!$O:$O,'COM RESID'!$H:$H,$E79,'COM RESID'!$I:$I,$F79)/SUMIFS('COM RESID'!$O:$O,'COM RESID'!$I:$I,$F79)),1.5),IF(ISNUMBER(SEARCH("WHEUE",T78)),IF(OR(S78="COMNGA",S78="COMFOI"),0.9,1.5),1.5))</f>
        <v>1.5</v>
      </c>
    </row>
    <row r="80" spans="1:29" x14ac:dyDescent="0.25">
      <c r="A80" s="26">
        <f>A79</f>
        <v>19</v>
      </c>
      <c r="B80" s="26"/>
      <c r="C80" s="21" t="str">
        <f>IF(C79="*",C79,"")</f>
        <v/>
      </c>
      <c r="D80" s="22"/>
      <c r="E80" s="23" t="str">
        <f t="shared" si="26"/>
        <v>COMNGA</v>
      </c>
      <c r="F80" s="23" t="str">
        <f t="shared" si="26"/>
        <v>COMHOTOldOEEUE</v>
      </c>
      <c r="G80" s="23" t="str">
        <f t="shared" si="26"/>
        <v>COMHOTOldOEEUE</v>
      </c>
      <c r="H80" s="24">
        <v>2050</v>
      </c>
      <c r="I80" s="24" t="str">
        <f>I79</f>
        <v>LO</v>
      </c>
      <c r="J80" s="24"/>
      <c r="K80" s="25">
        <f>-ROUNDDOWN(SUMIFS('COM RESID'!$O:$O,'COM RESID'!$H:$H,$E80,'COM RESID'!$I:$I,$F80)/SUMIFS('COM RESID'!$O:$O,'COM RESID'!$I:$I,$F80),3)*O80</f>
        <v>0</v>
      </c>
      <c r="L80" s="24"/>
      <c r="M80" s="24"/>
      <c r="N80" s="26"/>
      <c r="O80" s="27">
        <v>0</v>
      </c>
      <c r="Q80" s="21" t="str">
        <f t="shared" si="20"/>
        <v/>
      </c>
      <c r="R80" s="22"/>
      <c r="S80" s="23" t="str">
        <f t="shared" si="22"/>
        <v>COMNGA</v>
      </c>
      <c r="T80" s="23" t="str">
        <f t="shared" si="23"/>
        <v>COMHOTOldOEEUE</v>
      </c>
      <c r="U80" s="23" t="str">
        <f t="shared" si="24"/>
        <v>COMHOTOldOEEUE</v>
      </c>
      <c r="V80" s="24">
        <v>2050</v>
      </c>
      <c r="W80" s="24" t="str">
        <f>W79</f>
        <v>UP</v>
      </c>
      <c r="X80" s="24"/>
      <c r="Y80" s="25">
        <f>-ROUNDUP(MIN(SUMIFS('COM RESID'!$O:$O,'COM RESID'!$H:$H,$E80,'COM RESID'!$I:$I,$F80)/SUMIFS('COM RESID'!$O:$O,'COM RESID'!$I:$I,$F80)*AC80,1),3)</f>
        <v>-1</v>
      </c>
      <c r="Z80" s="24"/>
      <c r="AA80" s="24"/>
      <c r="AB80" s="26"/>
      <c r="AC80" s="27">
        <f>IF(S80="COMELC",IF(SUMIFS('COM RESID'!$O:$O,'COM RESID'!$H:$H,$E80,'COM RESID'!$I:$I,$F80)/SUMIFS('COM RESID'!$O:$O,'COM RESID'!$I:$I,$F80)*3&lt;1,1/(SUMIFS('COM RESID'!$O:$O,'COM RESID'!$H:$H,$E80,'COM RESID'!$I:$I,$F80)/SUMIFS('COM RESID'!$O:$O,'COM RESID'!$I:$I,$F80)),3),IF(ISNUMBER(SEARCH("WHEUE",T78)),IF(OR(S78="COMNGA",S78="COMFOI"),0.75,3),3))</f>
        <v>3</v>
      </c>
    </row>
    <row r="81" spans="1:29" x14ac:dyDescent="0.25">
      <c r="A81" s="19">
        <f>A77+1</f>
        <v>20</v>
      </c>
      <c r="B81" s="10"/>
      <c r="C81" s="11" t="str">
        <f>IF(E81="","",IF(_xlfn.XLOOKUP($A81,Selected_constraint_UC!$A:$A,Selected_constraint_UC!$D:$D)=1,"*",IF(SUMIFS('COM TECH'!$N:$N,'COM TECH'!$K:$K,E81,'COM TECH'!$L:$L,F81)=0,"*",IF(SUMIFS('COM RESID'!$O:$O,'COM RESID'!$H:$H,$E81,'COM RESID'!$I:$I,$F81)=0,"*","UC_MarketShare_"&amp;LEFT(F81,LEN(F81)-3)&amp;"_"&amp;RIGHT(E81,3)&amp;"_MIN"))))</f>
        <v>*</v>
      </c>
      <c r="D81" s="12"/>
      <c r="E81" s="13" t="str">
        <f>_xlfn.XLOOKUP($A81,Selected_constraint_UC!$A:$A,Selected_constraint_UC!$B:$B)</f>
        <v>COMSTM</v>
      </c>
      <c r="F81" s="13" t="str">
        <f>_xlfn.XLOOKUP($A81,Selected_constraint_UC!$A:$A,Selected_constraint_UC!$C:$C)</f>
        <v>COMHOTOldOEEUE</v>
      </c>
      <c r="G81" s="13" t="str">
        <f>F81</f>
        <v>COMHOTOldOEEUE</v>
      </c>
      <c r="H81" s="14">
        <v>2019</v>
      </c>
      <c r="I81" s="14" t="s">
        <v>3848</v>
      </c>
      <c r="J81" s="14">
        <v>1</v>
      </c>
      <c r="K81" s="15">
        <f>-ROUNDDOWN(SUMIFS('COM RESID'!$O:$O,'COM RESID'!$H:$H,$E81,'COM RESID'!$I:$I,$F81)/SUMIFS('COM RESID'!$O:$O,'COM RESID'!$I:$I,$F81),3)*O81</f>
        <v>0</v>
      </c>
      <c r="L81" s="14">
        <v>0</v>
      </c>
      <c r="M81" s="14">
        <v>5</v>
      </c>
      <c r="N81" s="10"/>
      <c r="O81" s="20">
        <v>0.98</v>
      </c>
      <c r="Q81" s="11" t="str">
        <f t="shared" si="20"/>
        <v>*</v>
      </c>
      <c r="R81" s="12"/>
      <c r="S81" s="13" t="str">
        <f t="shared" si="22"/>
        <v>COMSTM</v>
      </c>
      <c r="T81" s="13" t="str">
        <f t="shared" si="23"/>
        <v>COMHOTOldOEEUE</v>
      </c>
      <c r="U81" s="13" t="str">
        <f t="shared" si="24"/>
        <v>COMHOTOldOEEUE</v>
      </c>
      <c r="V81" s="14">
        <v>2019</v>
      </c>
      <c r="W81" s="14" t="s">
        <v>3849</v>
      </c>
      <c r="X81" s="14">
        <v>1</v>
      </c>
      <c r="Y81" s="15">
        <f>-ROUNDUP(MIN(SUMIFS('COM RESID'!$O:$O,'COM RESID'!$H:$H,$E81,'COM RESID'!$I:$I,$F81)/SUMIFS('COM RESID'!$O:$O,'COM RESID'!$I:$I,$F81)*AC81,1),3)</f>
        <v>0</v>
      </c>
      <c r="Z81" s="14">
        <v>0</v>
      </c>
      <c r="AA81" s="14">
        <v>5</v>
      </c>
      <c r="AB81" s="10"/>
      <c r="AC81" s="20">
        <v>1.02</v>
      </c>
    </row>
    <row r="82" spans="1:29" x14ac:dyDescent="0.25">
      <c r="A82" s="10">
        <f>A81</f>
        <v>20</v>
      </c>
      <c r="B82" s="10"/>
      <c r="C82" s="11" t="str">
        <f>IF(C81="*",C81,"")</f>
        <v>*</v>
      </c>
      <c r="D82" s="12"/>
      <c r="E82" s="13" t="str">
        <f t="shared" ref="E82:G84" si="27">E81</f>
        <v>COMSTM</v>
      </c>
      <c r="F82" s="13" t="str">
        <f t="shared" si="27"/>
        <v>COMHOTOldOEEUE</v>
      </c>
      <c r="G82" s="13" t="str">
        <f t="shared" si="27"/>
        <v>COMHOTOldOEEUE</v>
      </c>
      <c r="H82" s="14">
        <v>2025</v>
      </c>
      <c r="I82" s="14" t="str">
        <f>I81</f>
        <v>LO</v>
      </c>
      <c r="J82" s="14"/>
      <c r="K82" s="15">
        <f>-ROUNDDOWN(SUMIFS('COM RESID'!$O:$O,'COM RESID'!$H:$H,$E82,'COM RESID'!$I:$I,$F82)/SUMIFS('COM RESID'!$O:$O,'COM RESID'!$I:$I,$F82),3)*O82</f>
        <v>0</v>
      </c>
      <c r="L82" s="14"/>
      <c r="M82" s="14"/>
      <c r="N82" s="10"/>
      <c r="O82" s="20">
        <v>0.8</v>
      </c>
      <c r="Q82" s="11" t="str">
        <f t="shared" si="20"/>
        <v>*</v>
      </c>
      <c r="R82" s="12"/>
      <c r="S82" s="13" t="str">
        <f t="shared" si="22"/>
        <v>COMSTM</v>
      </c>
      <c r="T82" s="13" t="str">
        <f t="shared" si="23"/>
        <v>COMHOTOldOEEUE</v>
      </c>
      <c r="U82" s="13" t="str">
        <f t="shared" si="24"/>
        <v>COMHOTOldOEEUE</v>
      </c>
      <c r="V82" s="14">
        <v>2025</v>
      </c>
      <c r="W82" s="14" t="str">
        <f>W81</f>
        <v>UP</v>
      </c>
      <c r="X82" s="14"/>
      <c r="Y82" s="15">
        <f>-ROUNDUP(MIN(SUMIFS('COM RESID'!$O:$O,'COM RESID'!$H:$H,$E82,'COM RESID'!$I:$I,$F82)/SUMIFS('COM RESID'!$O:$O,'COM RESID'!$I:$I,$F82)*AC82,1),3)</f>
        <v>0</v>
      </c>
      <c r="Z82" s="14"/>
      <c r="AA82" s="14"/>
      <c r="AB82" s="10"/>
      <c r="AC82" s="20">
        <f>IF(S82="COMELC",IF(SUMIFS('COM RESID'!$O:$O,'COM RESID'!$H:$H,$E82,'COM RESID'!$I:$I,$F82)/SUMIFS('COM RESID'!$O:$O,'COM RESID'!$I:$I,$F82)*1.2&lt;0.25,0.25/(SUMIFS('COM RESID'!$O:$O,'COM RESID'!$H:$H,$E82,'COM RESID'!$I:$I,$F82)/SUMIFS('COM RESID'!$O:$O,'COM RESID'!$I:$I,$F82)),1.2),IF(ISNUMBER(SEARCH("WHEUE",T82)),IF(OR(S82="COMNGA",S82="COMFOI"),1,1.2),1.2))</f>
        <v>1.2</v>
      </c>
    </row>
    <row r="83" spans="1:29" x14ac:dyDescent="0.25">
      <c r="A83" s="10">
        <f>A82</f>
        <v>20</v>
      </c>
      <c r="B83" s="10"/>
      <c r="C83" s="11" t="str">
        <f>IF(C82="*",C82,"")</f>
        <v>*</v>
      </c>
      <c r="D83" s="12"/>
      <c r="E83" s="13" t="str">
        <f t="shared" si="27"/>
        <v>COMSTM</v>
      </c>
      <c r="F83" s="13" t="str">
        <f t="shared" si="27"/>
        <v>COMHOTOldOEEUE</v>
      </c>
      <c r="G83" s="13" t="str">
        <f t="shared" si="27"/>
        <v>COMHOTOldOEEUE</v>
      </c>
      <c r="H83" s="14">
        <v>2030</v>
      </c>
      <c r="I83" s="14" t="str">
        <f>I82</f>
        <v>LO</v>
      </c>
      <c r="J83" s="14"/>
      <c r="K83" s="15">
        <f>-ROUNDDOWN(SUMIFS('COM RESID'!$O:$O,'COM RESID'!$H:$H,$E83,'COM RESID'!$I:$I,$F83)/SUMIFS('COM RESID'!$O:$O,'COM RESID'!$I:$I,$F83),3)*O83</f>
        <v>0</v>
      </c>
      <c r="L83" s="14"/>
      <c r="M83" s="14"/>
      <c r="N83" s="10"/>
      <c r="O83" s="20">
        <v>0.2</v>
      </c>
      <c r="Q83" s="11" t="str">
        <f t="shared" si="20"/>
        <v>*</v>
      </c>
      <c r="R83" s="12"/>
      <c r="S83" s="13" t="str">
        <f t="shared" si="22"/>
        <v>COMSTM</v>
      </c>
      <c r="T83" s="13" t="str">
        <f t="shared" si="23"/>
        <v>COMHOTOldOEEUE</v>
      </c>
      <c r="U83" s="13" t="str">
        <f t="shared" si="24"/>
        <v>COMHOTOldOEEUE</v>
      </c>
      <c r="V83" s="14">
        <v>2030</v>
      </c>
      <c r="W83" s="14" t="str">
        <f>W82</f>
        <v>UP</v>
      </c>
      <c r="X83" s="14"/>
      <c r="Y83" s="15">
        <f>-ROUNDUP(MIN(SUMIFS('COM RESID'!$O:$O,'COM RESID'!$H:$H,$E83,'COM RESID'!$I:$I,$F83)/SUMIFS('COM RESID'!$O:$O,'COM RESID'!$I:$I,$F83)*AC83,1),3)</f>
        <v>0</v>
      </c>
      <c r="Z83" s="14"/>
      <c r="AA83" s="14"/>
      <c r="AB83" s="10"/>
      <c r="AC83" s="20">
        <f>IF(S83="COMELC",IF(SUMIFS('COM RESID'!$O:$O,'COM RESID'!$H:$H,$E83,'COM RESID'!$I:$I,$F83)/SUMIFS('COM RESID'!$O:$O,'COM RESID'!$I:$I,$F83)*1.5&lt;0.5,0.5/(SUMIFS('COM RESID'!$O:$O,'COM RESID'!$H:$H,$E83,'COM RESID'!$I:$I,$F83)/SUMIFS('COM RESID'!$O:$O,'COM RESID'!$I:$I,$F83)),1.5),IF(ISNUMBER(SEARCH("WHEUE",T82)),IF(OR(S82="COMNGA",S82="COMFOI"),0.9,1.5),1.5))</f>
        <v>1.5</v>
      </c>
    </row>
    <row r="84" spans="1:29" x14ac:dyDescent="0.25">
      <c r="A84" s="26">
        <f>A83</f>
        <v>20</v>
      </c>
      <c r="B84" s="26"/>
      <c r="C84" s="21" t="str">
        <f>IF(C83="*",C83,"")</f>
        <v>*</v>
      </c>
      <c r="D84" s="22"/>
      <c r="E84" s="23" t="str">
        <f t="shared" si="27"/>
        <v>COMSTM</v>
      </c>
      <c r="F84" s="23" t="str">
        <f t="shared" si="27"/>
        <v>COMHOTOldOEEUE</v>
      </c>
      <c r="G84" s="23" t="str">
        <f t="shared" si="27"/>
        <v>COMHOTOldOEEUE</v>
      </c>
      <c r="H84" s="24">
        <v>2050</v>
      </c>
      <c r="I84" s="24" t="str">
        <f>I83</f>
        <v>LO</v>
      </c>
      <c r="J84" s="24"/>
      <c r="K84" s="25">
        <f>-ROUNDDOWN(SUMIFS('COM RESID'!$O:$O,'COM RESID'!$H:$H,$E84,'COM RESID'!$I:$I,$F84)/SUMIFS('COM RESID'!$O:$O,'COM RESID'!$I:$I,$F84),3)*O84</f>
        <v>0</v>
      </c>
      <c r="L84" s="24"/>
      <c r="M84" s="24"/>
      <c r="N84" s="26"/>
      <c r="O84" s="27">
        <v>0</v>
      </c>
      <c r="Q84" s="21" t="str">
        <f t="shared" si="20"/>
        <v>*</v>
      </c>
      <c r="R84" s="22"/>
      <c r="S84" s="23" t="str">
        <f t="shared" si="22"/>
        <v>COMSTM</v>
      </c>
      <c r="T84" s="23" t="str">
        <f t="shared" si="23"/>
        <v>COMHOTOldOEEUE</v>
      </c>
      <c r="U84" s="23" t="str">
        <f t="shared" si="24"/>
        <v>COMHOTOldOEEUE</v>
      </c>
      <c r="V84" s="24">
        <v>2050</v>
      </c>
      <c r="W84" s="24" t="str">
        <f>W83</f>
        <v>UP</v>
      </c>
      <c r="X84" s="24"/>
      <c r="Y84" s="25">
        <f>-ROUNDUP(MIN(SUMIFS('COM RESID'!$O:$O,'COM RESID'!$H:$H,$E84,'COM RESID'!$I:$I,$F84)/SUMIFS('COM RESID'!$O:$O,'COM RESID'!$I:$I,$F84)*AC84,1),3)</f>
        <v>0</v>
      </c>
      <c r="Z84" s="24"/>
      <c r="AA84" s="24"/>
      <c r="AB84" s="26"/>
      <c r="AC84" s="27">
        <f>IF(S84="COMELC",IF(SUMIFS('COM RESID'!$O:$O,'COM RESID'!$H:$H,$E84,'COM RESID'!$I:$I,$F84)/SUMIFS('COM RESID'!$O:$O,'COM RESID'!$I:$I,$F84)*3&lt;1,1/(SUMIFS('COM RESID'!$O:$O,'COM RESID'!$H:$H,$E84,'COM RESID'!$I:$I,$F84)/SUMIFS('COM RESID'!$O:$O,'COM RESID'!$I:$I,$F84)),3),IF(ISNUMBER(SEARCH("WHEUE",T82)),IF(OR(S82="COMNGA",S82="COMFOI"),0.75,3),3))</f>
        <v>3</v>
      </c>
    </row>
    <row r="85" spans="1:29" x14ac:dyDescent="0.25">
      <c r="A85" s="19">
        <f>A81+1</f>
        <v>21</v>
      </c>
      <c r="B85" s="10"/>
      <c r="C85" s="11" t="str">
        <f>IF(E85="","",IF(_xlfn.XLOOKUP($A85,Selected_constraint_UC!$A:$A,Selected_constraint_UC!$D:$D)=1,"*",IF(SUMIFS('COM TECH'!$N:$N,'COM TECH'!$K:$K,E85,'COM TECH'!$L:$L,F85)=0,"*",IF(SUMIFS('COM RESID'!$O:$O,'COM RESID'!$H:$H,$E85,'COM RESID'!$I:$I,$F85)=0,"*","UC_MarketShare_"&amp;LEFT(F85,LEN(F85)-3)&amp;"_"&amp;RIGHT(E85,3)&amp;"_MIN"))))</f>
        <v>UC_MarketShare_COMHOTOldOE_ELC_MIN</v>
      </c>
      <c r="D85" s="12"/>
      <c r="E85" s="13" t="str">
        <f>_xlfn.XLOOKUP($A85,Selected_constraint_UC!$A:$A,Selected_constraint_UC!$B:$B)</f>
        <v>COMELC</v>
      </c>
      <c r="F85" s="13" t="str">
        <f>_xlfn.XLOOKUP($A85,Selected_constraint_UC!$A:$A,Selected_constraint_UC!$C:$C)</f>
        <v>COMHOTOldOEEUE</v>
      </c>
      <c r="G85" s="13" t="str">
        <f>F85</f>
        <v>COMHOTOldOEEUE</v>
      </c>
      <c r="H85" s="14">
        <v>2019</v>
      </c>
      <c r="I85" s="14" t="s">
        <v>3848</v>
      </c>
      <c r="J85" s="14">
        <v>1</v>
      </c>
      <c r="K85" s="15">
        <f>-ROUNDDOWN(SUMIFS('COM RESID'!$O:$O,'COM RESID'!$H:$H,$E85,'COM RESID'!$I:$I,$F85)/SUMIFS('COM RESID'!$O:$O,'COM RESID'!$I:$I,$F85),3)*O85</f>
        <v>-0.50470000000000004</v>
      </c>
      <c r="L85" s="14">
        <v>0</v>
      </c>
      <c r="M85" s="14">
        <v>5</v>
      </c>
      <c r="N85" s="10"/>
      <c r="O85" s="20">
        <v>0.98</v>
      </c>
      <c r="Q85" s="11" t="str">
        <f t="shared" si="20"/>
        <v>UC_MarketShare_COMHOTOldOE_ELC_MAX</v>
      </c>
      <c r="R85" s="12"/>
      <c r="S85" s="13" t="str">
        <f t="shared" si="22"/>
        <v>COMELC</v>
      </c>
      <c r="T85" s="13" t="str">
        <f t="shared" si="23"/>
        <v>COMHOTOldOEEUE</v>
      </c>
      <c r="U85" s="13" t="str">
        <f t="shared" si="24"/>
        <v>COMHOTOldOEEUE</v>
      </c>
      <c r="V85" s="14">
        <v>2019</v>
      </c>
      <c r="W85" s="14" t="s">
        <v>3849</v>
      </c>
      <c r="X85" s="14">
        <v>1</v>
      </c>
      <c r="Y85" s="15">
        <f>-ROUNDUP(MIN(SUMIFS('COM RESID'!$O:$O,'COM RESID'!$H:$H,$E85,'COM RESID'!$I:$I,$F85)/SUMIFS('COM RESID'!$O:$O,'COM RESID'!$I:$I,$F85)*AC85,1),3)</f>
        <v>-0.52700000000000002</v>
      </c>
      <c r="Z85" s="14">
        <v>0</v>
      </c>
      <c r="AA85" s="14">
        <v>5</v>
      </c>
      <c r="AB85" s="10"/>
      <c r="AC85" s="20">
        <v>1.02</v>
      </c>
    </row>
    <row r="86" spans="1:29" x14ac:dyDescent="0.25">
      <c r="A86" s="10">
        <f>A85</f>
        <v>21</v>
      </c>
      <c r="B86" s="10"/>
      <c r="C86" s="11" t="str">
        <f>IF(C85="*",C85,"")</f>
        <v/>
      </c>
      <c r="D86" s="12"/>
      <c r="E86" s="13" t="str">
        <f t="shared" ref="E86:G88" si="28">E85</f>
        <v>COMELC</v>
      </c>
      <c r="F86" s="13" t="str">
        <f t="shared" si="28"/>
        <v>COMHOTOldOEEUE</v>
      </c>
      <c r="G86" s="13" t="str">
        <f t="shared" si="28"/>
        <v>COMHOTOldOEEUE</v>
      </c>
      <c r="H86" s="14">
        <v>2025</v>
      </c>
      <c r="I86" s="14" t="str">
        <f>I85</f>
        <v>LO</v>
      </c>
      <c r="J86" s="14"/>
      <c r="K86" s="15">
        <f>-ROUNDDOWN(SUMIFS('COM RESID'!$O:$O,'COM RESID'!$H:$H,$E86,'COM RESID'!$I:$I,$F86)/SUMIFS('COM RESID'!$O:$O,'COM RESID'!$I:$I,$F86),3)*O86</f>
        <v>-0.41200000000000003</v>
      </c>
      <c r="L86" s="14"/>
      <c r="M86" s="14"/>
      <c r="N86" s="10"/>
      <c r="O86" s="20">
        <v>0.8</v>
      </c>
      <c r="Q86" s="11" t="str">
        <f t="shared" si="20"/>
        <v/>
      </c>
      <c r="R86" s="12"/>
      <c r="S86" s="13" t="str">
        <f t="shared" si="22"/>
        <v>COMELC</v>
      </c>
      <c r="T86" s="13" t="str">
        <f t="shared" si="23"/>
        <v>COMHOTOldOEEUE</v>
      </c>
      <c r="U86" s="13" t="str">
        <f t="shared" si="24"/>
        <v>COMHOTOldOEEUE</v>
      </c>
      <c r="V86" s="14">
        <v>2025</v>
      </c>
      <c r="W86" s="14" t="str">
        <f>W85</f>
        <v>UP</v>
      </c>
      <c r="X86" s="14"/>
      <c r="Y86" s="15">
        <f>-ROUNDUP(MIN(SUMIFS('COM RESID'!$O:$O,'COM RESID'!$H:$H,$E86,'COM RESID'!$I:$I,$F86)/SUMIFS('COM RESID'!$O:$O,'COM RESID'!$I:$I,$F86)*AC86,1),3)</f>
        <v>-0.61899999999999999</v>
      </c>
      <c r="Z86" s="14"/>
      <c r="AA86" s="14"/>
      <c r="AB86" s="10"/>
      <c r="AC86" s="20">
        <f>IF(S86="COMELC",IF(SUMIFS('COM RESID'!$O:$O,'COM RESID'!$H:$H,$E86,'COM RESID'!$I:$I,$F86)/SUMIFS('COM RESID'!$O:$O,'COM RESID'!$I:$I,$F86)*1.2&lt;0.25,0.25/(SUMIFS('COM RESID'!$O:$O,'COM RESID'!$H:$H,$E86,'COM RESID'!$I:$I,$F86)/SUMIFS('COM RESID'!$O:$O,'COM RESID'!$I:$I,$F86)),1.2),IF(ISNUMBER(SEARCH("WHEUE",T86)),IF(OR(S86="COMNGA",S86="COMFOI"),1,1.2),1.2))</f>
        <v>1.2</v>
      </c>
    </row>
    <row r="87" spans="1:29" x14ac:dyDescent="0.25">
      <c r="A87" s="10">
        <f>A86</f>
        <v>21</v>
      </c>
      <c r="B87" s="10"/>
      <c r="C87" s="11" t="str">
        <f>IF(C86="*",C86,"")</f>
        <v/>
      </c>
      <c r="D87" s="12"/>
      <c r="E87" s="13" t="str">
        <f t="shared" si="28"/>
        <v>COMELC</v>
      </c>
      <c r="F87" s="13" t="str">
        <f t="shared" si="28"/>
        <v>COMHOTOldOEEUE</v>
      </c>
      <c r="G87" s="13" t="str">
        <f t="shared" si="28"/>
        <v>COMHOTOldOEEUE</v>
      </c>
      <c r="H87" s="14">
        <v>2030</v>
      </c>
      <c r="I87" s="14" t="str">
        <f>I86</f>
        <v>LO</v>
      </c>
      <c r="J87" s="14"/>
      <c r="K87" s="15">
        <f>-ROUNDDOWN(SUMIFS('COM RESID'!$O:$O,'COM RESID'!$H:$H,$E87,'COM RESID'!$I:$I,$F87)/SUMIFS('COM RESID'!$O:$O,'COM RESID'!$I:$I,$F87),3)*O87</f>
        <v>-0.10300000000000001</v>
      </c>
      <c r="L87" s="14"/>
      <c r="M87" s="14"/>
      <c r="N87" s="10"/>
      <c r="O87" s="20">
        <v>0.2</v>
      </c>
      <c r="Q87" s="11" t="str">
        <f t="shared" si="20"/>
        <v/>
      </c>
      <c r="R87" s="12"/>
      <c r="S87" s="13" t="str">
        <f t="shared" si="22"/>
        <v>COMELC</v>
      </c>
      <c r="T87" s="13" t="str">
        <f t="shared" si="23"/>
        <v>COMHOTOldOEEUE</v>
      </c>
      <c r="U87" s="13" t="str">
        <f t="shared" si="24"/>
        <v>COMHOTOldOEEUE</v>
      </c>
      <c r="V87" s="14">
        <v>2030</v>
      </c>
      <c r="W87" s="14" t="str">
        <f>W86</f>
        <v>UP</v>
      </c>
      <c r="X87" s="14"/>
      <c r="Y87" s="15">
        <f>-ROUNDUP(MIN(SUMIFS('COM RESID'!$O:$O,'COM RESID'!$H:$H,$E87,'COM RESID'!$I:$I,$F87)/SUMIFS('COM RESID'!$O:$O,'COM RESID'!$I:$I,$F87)*AC87,1),3)</f>
        <v>-0.77400000000000002</v>
      </c>
      <c r="Z87" s="14"/>
      <c r="AA87" s="14"/>
      <c r="AB87" s="10"/>
      <c r="AC87" s="20">
        <f>IF(S87="COMELC",IF(SUMIFS('COM RESID'!$O:$O,'COM RESID'!$H:$H,$E87,'COM RESID'!$I:$I,$F87)/SUMIFS('COM RESID'!$O:$O,'COM RESID'!$I:$I,$F87)*1.5&lt;0.5,0.5/(SUMIFS('COM RESID'!$O:$O,'COM RESID'!$H:$H,$E87,'COM RESID'!$I:$I,$F87)/SUMIFS('COM RESID'!$O:$O,'COM RESID'!$I:$I,$F87)),1.5),IF(ISNUMBER(SEARCH("WHEUE",T86)),IF(OR(S86="COMNGA",S86="COMFOI"),0.9,1.5),1.5))</f>
        <v>1.5</v>
      </c>
    </row>
    <row r="88" spans="1:29" x14ac:dyDescent="0.25">
      <c r="A88" s="26">
        <f>A87</f>
        <v>21</v>
      </c>
      <c r="B88" s="26"/>
      <c r="C88" s="21" t="str">
        <f>IF(C87="*",C87,"")</f>
        <v/>
      </c>
      <c r="D88" s="22"/>
      <c r="E88" s="23" t="str">
        <f t="shared" si="28"/>
        <v>COMELC</v>
      </c>
      <c r="F88" s="23" t="str">
        <f t="shared" si="28"/>
        <v>COMHOTOldOEEUE</v>
      </c>
      <c r="G88" s="23" t="str">
        <f t="shared" si="28"/>
        <v>COMHOTOldOEEUE</v>
      </c>
      <c r="H88" s="24">
        <v>2050</v>
      </c>
      <c r="I88" s="24" t="str">
        <f>I87</f>
        <v>LO</v>
      </c>
      <c r="J88" s="24"/>
      <c r="K88" s="25">
        <f>-ROUNDDOWN(SUMIFS('COM RESID'!$O:$O,'COM RESID'!$H:$H,$E88,'COM RESID'!$I:$I,$F88)/SUMIFS('COM RESID'!$O:$O,'COM RESID'!$I:$I,$F88),3)*O88</f>
        <v>0</v>
      </c>
      <c r="L88" s="24"/>
      <c r="M88" s="24"/>
      <c r="N88" s="26"/>
      <c r="O88" s="27">
        <v>0</v>
      </c>
      <c r="Q88" s="21" t="str">
        <f t="shared" si="20"/>
        <v/>
      </c>
      <c r="R88" s="22"/>
      <c r="S88" s="23" t="str">
        <f t="shared" si="22"/>
        <v>COMELC</v>
      </c>
      <c r="T88" s="23" t="str">
        <f t="shared" si="23"/>
        <v>COMHOTOldOEEUE</v>
      </c>
      <c r="U88" s="23" t="str">
        <f t="shared" si="24"/>
        <v>COMHOTOldOEEUE</v>
      </c>
      <c r="V88" s="24">
        <v>2050</v>
      </c>
      <c r="W88" s="24" t="str">
        <f>W87</f>
        <v>UP</v>
      </c>
      <c r="X88" s="24"/>
      <c r="Y88" s="25">
        <f>-ROUNDUP(MIN(SUMIFS('COM RESID'!$O:$O,'COM RESID'!$H:$H,$E88,'COM RESID'!$I:$I,$F88)/SUMIFS('COM RESID'!$O:$O,'COM RESID'!$I:$I,$F88)*AC88,1),3)</f>
        <v>-1</v>
      </c>
      <c r="Z88" s="24"/>
      <c r="AA88" s="24"/>
      <c r="AB88" s="26"/>
      <c r="AC88" s="27">
        <f>IF(S88="COMELC",IF(SUMIFS('COM RESID'!$O:$O,'COM RESID'!$H:$H,$E88,'COM RESID'!$I:$I,$F88)/SUMIFS('COM RESID'!$O:$O,'COM RESID'!$I:$I,$F88)*3&lt;1,1/(SUMIFS('COM RESID'!$O:$O,'COM RESID'!$H:$H,$E88,'COM RESID'!$I:$I,$F88)/SUMIFS('COM RESID'!$O:$O,'COM RESID'!$I:$I,$F88)),3),IF(ISNUMBER(SEARCH("WHEUE",T86)),IF(OR(S86="COMNGA",S86="COMFOI"),0.75,3),3))</f>
        <v>3</v>
      </c>
    </row>
    <row r="89" spans="1:29" x14ac:dyDescent="0.25">
      <c r="A89" s="19">
        <f>A85+1</f>
        <v>22</v>
      </c>
      <c r="B89" s="10"/>
      <c r="C89" s="11" t="str">
        <f>IF(E89="","",IF(_xlfn.XLOOKUP($A89,Selected_constraint_UC!$A:$A,Selected_constraint_UC!$D:$D)=1,"*",IF(SUMIFS('COM TECH'!$N:$N,'COM TECH'!$K:$K,E89,'COM TECH'!$L:$L,F89)=0,"*",IF(SUMIFS('COM RESID'!$O:$O,'COM RESID'!$H:$H,$E89,'COM RESID'!$I:$I,$F89)=0,"*","UC_MarketShare_"&amp;LEFT(F89,LEN(F89)-3)&amp;"_"&amp;RIGHT(E89,3)&amp;"_MIN"))))</f>
        <v>UC_MarketShare_COMRETOldSH_ELC_MIN</v>
      </c>
      <c r="D89" s="12"/>
      <c r="E89" s="13" t="str">
        <f>_xlfn.XLOOKUP($A89,Selected_constraint_UC!$A:$A,Selected_constraint_UC!$B:$B)</f>
        <v>COMELC</v>
      </c>
      <c r="F89" s="13" t="str">
        <f>_xlfn.XLOOKUP($A89,Selected_constraint_UC!$A:$A,Selected_constraint_UC!$C:$C)</f>
        <v>COMRETOldSHEUE</v>
      </c>
      <c r="G89" s="13" t="str">
        <f>F89</f>
        <v>COMRETOldSHEUE</v>
      </c>
      <c r="H89" s="14">
        <v>2019</v>
      </c>
      <c r="I89" s="14" t="s">
        <v>3848</v>
      </c>
      <c r="J89" s="14">
        <v>1</v>
      </c>
      <c r="K89" s="15">
        <f>-ROUNDDOWN(SUMIFS('COM RESID'!$O:$O,'COM RESID'!$H:$H,$E89,'COM RESID'!$I:$I,$F89)/SUMIFS('COM RESID'!$O:$O,'COM RESID'!$I:$I,$F89),3)*O89</f>
        <v>-0.11466</v>
      </c>
      <c r="L89" s="14">
        <v>0</v>
      </c>
      <c r="M89" s="14">
        <v>5</v>
      </c>
      <c r="N89" s="10"/>
      <c r="O89" s="20">
        <v>0.98</v>
      </c>
      <c r="Q89" s="11" t="str">
        <f t="shared" si="20"/>
        <v>UC_MarketShare_COMRETOldSH_ELC_MAX</v>
      </c>
      <c r="R89" s="12"/>
      <c r="S89" s="13" t="str">
        <f t="shared" si="22"/>
        <v>COMELC</v>
      </c>
      <c r="T89" s="13" t="str">
        <f t="shared" si="23"/>
        <v>COMRETOldSHEUE</v>
      </c>
      <c r="U89" s="13" t="str">
        <f t="shared" si="24"/>
        <v>COMRETOldSHEUE</v>
      </c>
      <c r="V89" s="14">
        <v>2019</v>
      </c>
      <c r="W89" s="14" t="s">
        <v>3849</v>
      </c>
      <c r="X89" s="14">
        <v>1</v>
      </c>
      <c r="Y89" s="15">
        <f>-ROUNDUP(MIN(SUMIFS('COM RESID'!$O:$O,'COM RESID'!$H:$H,$E89,'COM RESID'!$I:$I,$F89)/SUMIFS('COM RESID'!$O:$O,'COM RESID'!$I:$I,$F89)*AC89,1),3)</f>
        <v>-0.12</v>
      </c>
      <c r="Z89" s="14">
        <v>0</v>
      </c>
      <c r="AA89" s="14">
        <v>5</v>
      </c>
      <c r="AB89" s="10"/>
      <c r="AC89" s="20">
        <v>1.02</v>
      </c>
    </row>
    <row r="90" spans="1:29" x14ac:dyDescent="0.25">
      <c r="A90" s="10">
        <f>A89</f>
        <v>22</v>
      </c>
      <c r="B90" s="10"/>
      <c r="C90" s="11" t="str">
        <f>IF(C89="*",C89,"")</f>
        <v/>
      </c>
      <c r="D90" s="12"/>
      <c r="E90" s="13" t="str">
        <f t="shared" ref="E90:G92" si="29">E89</f>
        <v>COMELC</v>
      </c>
      <c r="F90" s="13" t="str">
        <f t="shared" si="29"/>
        <v>COMRETOldSHEUE</v>
      </c>
      <c r="G90" s="13" t="str">
        <f t="shared" si="29"/>
        <v>COMRETOldSHEUE</v>
      </c>
      <c r="H90" s="14">
        <v>2025</v>
      </c>
      <c r="I90" s="14" t="str">
        <f>I89</f>
        <v>LO</v>
      </c>
      <c r="J90" s="14"/>
      <c r="K90" s="15">
        <f>-ROUNDDOWN(SUMIFS('COM RESID'!$O:$O,'COM RESID'!$H:$H,$E90,'COM RESID'!$I:$I,$F90)/SUMIFS('COM RESID'!$O:$O,'COM RESID'!$I:$I,$F90),3)*O90</f>
        <v>-9.3600000000000017E-2</v>
      </c>
      <c r="L90" s="14"/>
      <c r="M90" s="14"/>
      <c r="N90" s="10"/>
      <c r="O90" s="20">
        <v>0.8</v>
      </c>
      <c r="Q90" s="11" t="str">
        <f t="shared" si="20"/>
        <v/>
      </c>
      <c r="R90" s="12"/>
      <c r="S90" s="13" t="str">
        <f t="shared" si="22"/>
        <v>COMELC</v>
      </c>
      <c r="T90" s="13" t="str">
        <f t="shared" si="23"/>
        <v>COMRETOldSHEUE</v>
      </c>
      <c r="U90" s="13" t="str">
        <f t="shared" si="24"/>
        <v>COMRETOldSHEUE</v>
      </c>
      <c r="V90" s="14">
        <v>2025</v>
      </c>
      <c r="W90" s="14" t="str">
        <f>W89</f>
        <v>UP</v>
      </c>
      <c r="X90" s="14"/>
      <c r="Y90" s="15">
        <f>-ROUNDUP(MIN(SUMIFS('COM RESID'!$O:$O,'COM RESID'!$H:$H,$E90,'COM RESID'!$I:$I,$F90)/SUMIFS('COM RESID'!$O:$O,'COM RESID'!$I:$I,$F90)*AC90,1),3)</f>
        <v>-0.25</v>
      </c>
      <c r="Z90" s="14"/>
      <c r="AA90" s="14"/>
      <c r="AB90" s="10"/>
      <c r="AC90" s="20">
        <f>IF(S90="COMELC",IF(SUMIFS('COM RESID'!$O:$O,'COM RESID'!$H:$H,$E90,'COM RESID'!$I:$I,$F90)/SUMIFS('COM RESID'!$O:$O,'COM RESID'!$I:$I,$F90)*1.2&lt;0.25,0.25/(SUMIFS('COM RESID'!$O:$O,'COM RESID'!$H:$H,$E90,'COM RESID'!$I:$I,$F90)/SUMIFS('COM RESID'!$O:$O,'COM RESID'!$I:$I,$F90)),1.2),IF(ISNUMBER(SEARCH("WHEUE",T90)),IF(OR(S90="COMNGA",S90="COMFOI"),1,1.2),1.2))</f>
        <v>2.1285844069790985</v>
      </c>
    </row>
    <row r="91" spans="1:29" x14ac:dyDescent="0.25">
      <c r="A91" s="10">
        <f>A90</f>
        <v>22</v>
      </c>
      <c r="B91" s="10"/>
      <c r="C91" s="11" t="str">
        <f>IF(C90="*",C90,"")</f>
        <v/>
      </c>
      <c r="D91" s="12"/>
      <c r="E91" s="13" t="str">
        <f t="shared" si="29"/>
        <v>COMELC</v>
      </c>
      <c r="F91" s="13" t="str">
        <f t="shared" si="29"/>
        <v>COMRETOldSHEUE</v>
      </c>
      <c r="G91" s="13" t="str">
        <f t="shared" si="29"/>
        <v>COMRETOldSHEUE</v>
      </c>
      <c r="H91" s="14">
        <v>2030</v>
      </c>
      <c r="I91" s="14" t="str">
        <f>I90</f>
        <v>LO</v>
      </c>
      <c r="J91" s="14"/>
      <c r="K91" s="15">
        <f>-ROUNDDOWN(SUMIFS('COM RESID'!$O:$O,'COM RESID'!$H:$H,$E91,'COM RESID'!$I:$I,$F91)/SUMIFS('COM RESID'!$O:$O,'COM RESID'!$I:$I,$F91),3)*O91</f>
        <v>-8.7750000000000009E-2</v>
      </c>
      <c r="L91" s="14"/>
      <c r="M91" s="14"/>
      <c r="N91" s="10"/>
      <c r="O91" s="20">
        <v>0.75</v>
      </c>
      <c r="Q91" s="11" t="str">
        <f t="shared" si="20"/>
        <v/>
      </c>
      <c r="R91" s="12"/>
      <c r="S91" s="13" t="str">
        <f t="shared" si="22"/>
        <v>COMELC</v>
      </c>
      <c r="T91" s="13" t="str">
        <f t="shared" si="23"/>
        <v>COMRETOldSHEUE</v>
      </c>
      <c r="U91" s="13" t="str">
        <f t="shared" si="24"/>
        <v>COMRETOldSHEUE</v>
      </c>
      <c r="V91" s="14">
        <v>2030</v>
      </c>
      <c r="W91" s="14" t="str">
        <f>W90</f>
        <v>UP</v>
      </c>
      <c r="X91" s="14"/>
      <c r="Y91" s="15">
        <f>-ROUNDUP(MIN(SUMIFS('COM RESID'!$O:$O,'COM RESID'!$H:$H,$E91,'COM RESID'!$I:$I,$F91)/SUMIFS('COM RESID'!$O:$O,'COM RESID'!$I:$I,$F91)*AC91,1),3)</f>
        <v>-0.5</v>
      </c>
      <c r="Z91" s="14"/>
      <c r="AA91" s="14"/>
      <c r="AB91" s="10"/>
      <c r="AC91" s="20">
        <f>IF(S91="COMELC",IF(SUMIFS('COM RESID'!$O:$O,'COM RESID'!$H:$H,$E91,'COM RESID'!$I:$I,$F91)/SUMIFS('COM RESID'!$O:$O,'COM RESID'!$I:$I,$F91)*1.5&lt;0.5,0.5/(SUMIFS('COM RESID'!$O:$O,'COM RESID'!$H:$H,$E91,'COM RESID'!$I:$I,$F91)/SUMIFS('COM RESID'!$O:$O,'COM RESID'!$I:$I,$F91)),1.5),IF(ISNUMBER(SEARCH("WHEUE",T90)),IF(OR(S90="COMNGA",S90="COMFOI"),0.9,1.5),1.5))</f>
        <v>4.2571688139581969</v>
      </c>
    </row>
    <row r="92" spans="1:29" x14ac:dyDescent="0.25">
      <c r="A92" s="26">
        <f>A91</f>
        <v>22</v>
      </c>
      <c r="B92" s="26"/>
      <c r="C92" s="21" t="str">
        <f>IF(C91="*",C91,"")</f>
        <v/>
      </c>
      <c r="D92" s="22"/>
      <c r="E92" s="23" t="str">
        <f t="shared" si="29"/>
        <v>COMELC</v>
      </c>
      <c r="F92" s="23" t="str">
        <f t="shared" si="29"/>
        <v>COMRETOldSHEUE</v>
      </c>
      <c r="G92" s="23" t="str">
        <f t="shared" si="29"/>
        <v>COMRETOldSHEUE</v>
      </c>
      <c r="H92" s="24">
        <v>2050</v>
      </c>
      <c r="I92" s="24" t="str">
        <f>I91</f>
        <v>LO</v>
      </c>
      <c r="J92" s="24"/>
      <c r="K92" s="25">
        <f>-ROUNDDOWN(SUMIFS('COM RESID'!$O:$O,'COM RESID'!$H:$H,$E92,'COM RESID'!$I:$I,$F92)/SUMIFS('COM RESID'!$O:$O,'COM RESID'!$I:$I,$F92),3)*O92</f>
        <v>-8.7750000000000009E-2</v>
      </c>
      <c r="L92" s="24"/>
      <c r="M92" s="24"/>
      <c r="N92" s="26"/>
      <c r="O92" s="27">
        <v>0.75</v>
      </c>
      <c r="Q92" s="21" t="str">
        <f t="shared" si="20"/>
        <v/>
      </c>
      <c r="R92" s="22"/>
      <c r="S92" s="23" t="str">
        <f t="shared" si="22"/>
        <v>COMELC</v>
      </c>
      <c r="T92" s="23" t="str">
        <f t="shared" si="23"/>
        <v>COMRETOldSHEUE</v>
      </c>
      <c r="U92" s="23" t="str">
        <f t="shared" si="24"/>
        <v>COMRETOldSHEUE</v>
      </c>
      <c r="V92" s="24">
        <v>2050</v>
      </c>
      <c r="W92" s="24" t="str">
        <f>W91</f>
        <v>UP</v>
      </c>
      <c r="X92" s="24"/>
      <c r="Y92" s="25">
        <f>-ROUNDUP(MIN(SUMIFS('COM RESID'!$O:$O,'COM RESID'!$H:$H,$E92,'COM RESID'!$I:$I,$F92)/SUMIFS('COM RESID'!$O:$O,'COM RESID'!$I:$I,$F92)*AC92,1),3)</f>
        <v>-1</v>
      </c>
      <c r="Z92" s="24"/>
      <c r="AA92" s="24"/>
      <c r="AB92" s="26"/>
      <c r="AC92" s="27">
        <f>IF(S92="COMELC",IF(SUMIFS('COM RESID'!$O:$O,'COM RESID'!$H:$H,$E92,'COM RESID'!$I:$I,$F92)/SUMIFS('COM RESID'!$O:$O,'COM RESID'!$I:$I,$F92)*3&lt;1,1/(SUMIFS('COM RESID'!$O:$O,'COM RESID'!$H:$H,$E92,'COM RESID'!$I:$I,$F92)/SUMIFS('COM RESID'!$O:$O,'COM RESID'!$I:$I,$F92)),3),IF(ISNUMBER(SEARCH("WHEUE",T90)),IF(OR(S90="COMNGA",S90="COMFOI"),0.75,3),3))</f>
        <v>8.5143376279163938</v>
      </c>
    </row>
    <row r="93" spans="1:29" x14ac:dyDescent="0.25">
      <c r="A93" s="19">
        <f>A89+1</f>
        <v>23</v>
      </c>
      <c r="B93" s="10"/>
      <c r="C93" s="11" t="str">
        <f>IF(E93="","",IF(_xlfn.XLOOKUP($A93,Selected_constraint_UC!$A:$A,Selected_constraint_UC!$D:$D)=1,"*",IF(SUMIFS('COM TECH'!$N:$N,'COM TECH'!$K:$K,E93,'COM TECH'!$L:$L,F93)=0,"*",IF(SUMIFS('COM RESID'!$O:$O,'COM RESID'!$H:$H,$E93,'COM RESID'!$I:$I,$F93)=0,"*","UC_MarketShare_"&amp;LEFT(F93,LEN(F93)-3)&amp;"_"&amp;RIGHT(E93,3)&amp;"_MIN"))))</f>
        <v>UC_MarketShare_COMRETOldSH_NGA_MIN</v>
      </c>
      <c r="D93" s="12"/>
      <c r="E93" s="13" t="str">
        <f>_xlfn.XLOOKUP($A93,Selected_constraint_UC!$A:$A,Selected_constraint_UC!$B:$B)</f>
        <v>COMNGA</v>
      </c>
      <c r="F93" s="13" t="str">
        <f>_xlfn.XLOOKUP($A93,Selected_constraint_UC!$A:$A,Selected_constraint_UC!$C:$C)</f>
        <v>COMRETOldSHEUE</v>
      </c>
      <c r="G93" s="13" t="str">
        <f>F93</f>
        <v>COMRETOldSHEUE</v>
      </c>
      <c r="H93" s="14">
        <v>2019</v>
      </c>
      <c r="I93" s="14" t="s">
        <v>3848</v>
      </c>
      <c r="J93" s="14">
        <v>1</v>
      </c>
      <c r="K93" s="15">
        <f>-ROUNDDOWN(SUMIFS('COM RESID'!$O:$O,'COM RESID'!$H:$H,$E93,'COM RESID'!$I:$I,$F93)/SUMIFS('COM RESID'!$O:$O,'COM RESID'!$I:$I,$F93),3)*O93</f>
        <v>-0.74185999999999996</v>
      </c>
      <c r="L93" s="14">
        <v>0</v>
      </c>
      <c r="M93" s="14">
        <v>5</v>
      </c>
      <c r="N93" s="10"/>
      <c r="O93" s="20">
        <v>0.98</v>
      </c>
      <c r="Q93" s="11" t="str">
        <f t="shared" si="20"/>
        <v>UC_MarketShare_COMRETOldSH_NGA_MAX</v>
      </c>
      <c r="R93" s="12"/>
      <c r="S93" s="13" t="str">
        <f t="shared" si="22"/>
        <v>COMNGA</v>
      </c>
      <c r="T93" s="13" t="str">
        <f t="shared" si="23"/>
        <v>COMRETOldSHEUE</v>
      </c>
      <c r="U93" s="13" t="str">
        <f t="shared" si="24"/>
        <v>COMRETOldSHEUE</v>
      </c>
      <c r="V93" s="14">
        <v>2019</v>
      </c>
      <c r="W93" s="14" t="s">
        <v>3849</v>
      </c>
      <c r="X93" s="14">
        <v>1</v>
      </c>
      <c r="Y93" s="15">
        <f>-ROUNDUP(MIN(SUMIFS('COM RESID'!$O:$O,'COM RESID'!$H:$H,$E93,'COM RESID'!$I:$I,$F93)/SUMIFS('COM RESID'!$O:$O,'COM RESID'!$I:$I,$F93)*AC93,1),3)</f>
        <v>-0.77300000000000002</v>
      </c>
      <c r="Z93" s="14">
        <v>0</v>
      </c>
      <c r="AA93" s="14">
        <v>5</v>
      </c>
      <c r="AB93" s="10"/>
      <c r="AC93" s="20">
        <v>1.02</v>
      </c>
    </row>
    <row r="94" spans="1:29" x14ac:dyDescent="0.25">
      <c r="A94" s="10">
        <f>A93</f>
        <v>23</v>
      </c>
      <c r="B94" s="10"/>
      <c r="C94" s="11" t="str">
        <f>IF(C93="*",C93,"")</f>
        <v/>
      </c>
      <c r="D94" s="12"/>
      <c r="E94" s="13" t="str">
        <f t="shared" ref="E94:G96" si="30">E93</f>
        <v>COMNGA</v>
      </c>
      <c r="F94" s="13" t="str">
        <f t="shared" si="30"/>
        <v>COMRETOldSHEUE</v>
      </c>
      <c r="G94" s="13" t="str">
        <f t="shared" si="30"/>
        <v>COMRETOldSHEUE</v>
      </c>
      <c r="H94" s="14">
        <v>2025</v>
      </c>
      <c r="I94" s="14" t="str">
        <f>I93</f>
        <v>LO</v>
      </c>
      <c r="J94" s="14"/>
      <c r="K94" s="15">
        <f>-ROUNDDOWN(SUMIFS('COM RESID'!$O:$O,'COM RESID'!$H:$H,$E94,'COM RESID'!$I:$I,$F94)/SUMIFS('COM RESID'!$O:$O,'COM RESID'!$I:$I,$F94),3)*O94</f>
        <v>-0.60560000000000003</v>
      </c>
      <c r="L94" s="14"/>
      <c r="M94" s="14"/>
      <c r="N94" s="10"/>
      <c r="O94" s="20">
        <v>0.8</v>
      </c>
      <c r="Q94" s="11" t="str">
        <f t="shared" si="20"/>
        <v/>
      </c>
      <c r="R94" s="12"/>
      <c r="S94" s="13" t="str">
        <f t="shared" si="22"/>
        <v>COMNGA</v>
      </c>
      <c r="T94" s="13" t="str">
        <f t="shared" si="23"/>
        <v>COMRETOldSHEUE</v>
      </c>
      <c r="U94" s="13" t="str">
        <f t="shared" si="24"/>
        <v>COMRETOldSHEUE</v>
      </c>
      <c r="V94" s="14">
        <v>2025</v>
      </c>
      <c r="W94" s="14" t="str">
        <f>W93</f>
        <v>UP</v>
      </c>
      <c r="X94" s="14"/>
      <c r="Y94" s="15">
        <f>-ROUNDUP(MIN(SUMIFS('COM RESID'!$O:$O,'COM RESID'!$H:$H,$E94,'COM RESID'!$I:$I,$F94)/SUMIFS('COM RESID'!$O:$O,'COM RESID'!$I:$I,$F94)*AC94,1),3)</f>
        <v>-0.90900000000000003</v>
      </c>
      <c r="Z94" s="14"/>
      <c r="AA94" s="14"/>
      <c r="AB94" s="10"/>
      <c r="AC94" s="20">
        <f>IF(S94="COMELC",IF(SUMIFS('COM RESID'!$O:$O,'COM RESID'!$H:$H,$E94,'COM RESID'!$I:$I,$F94)/SUMIFS('COM RESID'!$O:$O,'COM RESID'!$I:$I,$F94)*1.2&lt;0.25,0.25/(SUMIFS('COM RESID'!$O:$O,'COM RESID'!$H:$H,$E94,'COM RESID'!$I:$I,$F94)/SUMIFS('COM RESID'!$O:$O,'COM RESID'!$I:$I,$F94)),1.2),IF(ISNUMBER(SEARCH("WHEUE",T94)),IF(OR(S94="COMNGA",S94="COMFOI"),1,1.2),1.2))</f>
        <v>1.2</v>
      </c>
    </row>
    <row r="95" spans="1:29" x14ac:dyDescent="0.25">
      <c r="A95" s="10">
        <f>A94</f>
        <v>23</v>
      </c>
      <c r="B95" s="10"/>
      <c r="C95" s="11" t="str">
        <f>IF(C94="*",C94,"")</f>
        <v/>
      </c>
      <c r="D95" s="12"/>
      <c r="E95" s="13" t="str">
        <f t="shared" si="30"/>
        <v>COMNGA</v>
      </c>
      <c r="F95" s="13" t="str">
        <f t="shared" si="30"/>
        <v>COMRETOldSHEUE</v>
      </c>
      <c r="G95" s="13" t="str">
        <f t="shared" si="30"/>
        <v>COMRETOldSHEUE</v>
      </c>
      <c r="H95" s="14">
        <v>2030</v>
      </c>
      <c r="I95" s="14" t="str">
        <f>I94</f>
        <v>LO</v>
      </c>
      <c r="J95" s="14"/>
      <c r="K95" s="15">
        <f>-ROUNDDOWN(SUMIFS('COM RESID'!$O:$O,'COM RESID'!$H:$H,$E95,'COM RESID'!$I:$I,$F95)/SUMIFS('COM RESID'!$O:$O,'COM RESID'!$I:$I,$F95),3)*O95</f>
        <v>-0.15140000000000001</v>
      </c>
      <c r="L95" s="14"/>
      <c r="M95" s="14"/>
      <c r="N95" s="10"/>
      <c r="O95" s="20">
        <v>0.2</v>
      </c>
      <c r="Q95" s="11" t="str">
        <f t="shared" si="20"/>
        <v/>
      </c>
      <c r="R95" s="12"/>
      <c r="S95" s="13" t="str">
        <f t="shared" si="22"/>
        <v>COMNGA</v>
      </c>
      <c r="T95" s="13" t="str">
        <f t="shared" si="23"/>
        <v>COMRETOldSHEUE</v>
      </c>
      <c r="U95" s="13" t="str">
        <f t="shared" si="24"/>
        <v>COMRETOldSHEUE</v>
      </c>
      <c r="V95" s="14">
        <v>2030</v>
      </c>
      <c r="W95" s="14" t="str">
        <f>W94</f>
        <v>UP</v>
      </c>
      <c r="X95" s="14"/>
      <c r="Y95" s="15">
        <f>-ROUNDUP(MIN(SUMIFS('COM RESID'!$O:$O,'COM RESID'!$H:$H,$E95,'COM RESID'!$I:$I,$F95)/SUMIFS('COM RESID'!$O:$O,'COM RESID'!$I:$I,$F95)*AC95,1),3)</f>
        <v>-1</v>
      </c>
      <c r="Z95" s="14"/>
      <c r="AA95" s="14"/>
      <c r="AB95" s="10"/>
      <c r="AC95" s="20">
        <f>IF(S95="COMELC",IF(SUMIFS('COM RESID'!$O:$O,'COM RESID'!$H:$H,$E95,'COM RESID'!$I:$I,$F95)/SUMIFS('COM RESID'!$O:$O,'COM RESID'!$I:$I,$F95)*1.5&lt;0.5,0.5/(SUMIFS('COM RESID'!$O:$O,'COM RESID'!$H:$H,$E95,'COM RESID'!$I:$I,$F95)/SUMIFS('COM RESID'!$O:$O,'COM RESID'!$I:$I,$F95)),1.5),IF(ISNUMBER(SEARCH("WHEUE",T94)),IF(OR(S94="COMNGA",S94="COMFOI"),0.9,1.5),1.5))</f>
        <v>1.5</v>
      </c>
    </row>
    <row r="96" spans="1:29" x14ac:dyDescent="0.25">
      <c r="A96" s="26">
        <f>A95</f>
        <v>23</v>
      </c>
      <c r="B96" s="26"/>
      <c r="C96" s="21" t="str">
        <f>IF(C95="*",C95,"")</f>
        <v/>
      </c>
      <c r="D96" s="22"/>
      <c r="E96" s="23" t="str">
        <f t="shared" si="30"/>
        <v>COMNGA</v>
      </c>
      <c r="F96" s="23" t="str">
        <f t="shared" si="30"/>
        <v>COMRETOldSHEUE</v>
      </c>
      <c r="G96" s="23" t="str">
        <f t="shared" si="30"/>
        <v>COMRETOldSHEUE</v>
      </c>
      <c r="H96" s="24">
        <v>2050</v>
      </c>
      <c r="I96" s="24" t="str">
        <f>I95</f>
        <v>LO</v>
      </c>
      <c r="J96" s="24"/>
      <c r="K96" s="25">
        <f>-ROUNDDOWN(SUMIFS('COM RESID'!$O:$O,'COM RESID'!$H:$H,$E96,'COM RESID'!$I:$I,$F96)/SUMIFS('COM RESID'!$O:$O,'COM RESID'!$I:$I,$F96),3)*O96</f>
        <v>0</v>
      </c>
      <c r="L96" s="24"/>
      <c r="M96" s="24"/>
      <c r="N96" s="26"/>
      <c r="O96" s="27">
        <v>0</v>
      </c>
      <c r="Q96" s="21" t="str">
        <f t="shared" si="20"/>
        <v/>
      </c>
      <c r="R96" s="22"/>
      <c r="S96" s="23" t="str">
        <f t="shared" si="22"/>
        <v>COMNGA</v>
      </c>
      <c r="T96" s="23" t="str">
        <f t="shared" si="23"/>
        <v>COMRETOldSHEUE</v>
      </c>
      <c r="U96" s="23" t="str">
        <f t="shared" si="24"/>
        <v>COMRETOldSHEUE</v>
      </c>
      <c r="V96" s="24">
        <v>2050</v>
      </c>
      <c r="W96" s="24" t="str">
        <f>W95</f>
        <v>UP</v>
      </c>
      <c r="X96" s="24"/>
      <c r="Y96" s="25">
        <f>-ROUNDUP(MIN(SUMIFS('COM RESID'!$O:$O,'COM RESID'!$H:$H,$E96,'COM RESID'!$I:$I,$F96)/SUMIFS('COM RESID'!$O:$O,'COM RESID'!$I:$I,$F96)*AC96,1),3)</f>
        <v>-1</v>
      </c>
      <c r="Z96" s="24"/>
      <c r="AA96" s="24"/>
      <c r="AB96" s="26"/>
      <c r="AC96" s="27">
        <f>IF(S96="COMELC",IF(SUMIFS('COM RESID'!$O:$O,'COM RESID'!$H:$H,$E96,'COM RESID'!$I:$I,$F96)/SUMIFS('COM RESID'!$O:$O,'COM RESID'!$I:$I,$F96)*3&lt;1,1/(SUMIFS('COM RESID'!$O:$O,'COM RESID'!$H:$H,$E96,'COM RESID'!$I:$I,$F96)/SUMIFS('COM RESID'!$O:$O,'COM RESID'!$I:$I,$F96)),3),IF(ISNUMBER(SEARCH("WHEUE",T94)),IF(OR(S94="COMNGA",S94="COMFOI"),0.75,3),3))</f>
        <v>3</v>
      </c>
    </row>
    <row r="97" spans="1:29" x14ac:dyDescent="0.25">
      <c r="A97" s="19">
        <f>A93+1</f>
        <v>24</v>
      </c>
      <c r="B97" s="10"/>
      <c r="C97" s="11" t="str">
        <f>IF(E97="","",IF(_xlfn.XLOOKUP($A97,Selected_constraint_UC!$A:$A,Selected_constraint_UC!$D:$D)=1,"*",IF(SUMIFS('COM TECH'!$N:$N,'COM TECH'!$K:$K,E97,'COM TECH'!$L:$L,F97)=0,"*",IF(SUMIFS('COM RESID'!$O:$O,'COM RESID'!$H:$H,$E97,'COM RESID'!$I:$I,$F97)=0,"*","UC_MarketShare_"&amp;LEFT(F97,LEN(F97)-3)&amp;"_"&amp;RIGHT(E97,3)&amp;"_MIN"))))</f>
        <v>UC_MarketShare_COMRETOldSH_FOI_MIN</v>
      </c>
      <c r="D97" s="12"/>
      <c r="E97" s="13" t="str">
        <f>_xlfn.XLOOKUP($A97,Selected_constraint_UC!$A:$A,Selected_constraint_UC!$B:$B)</f>
        <v>COMFOI</v>
      </c>
      <c r="F97" s="13" t="str">
        <f>_xlfn.XLOOKUP($A97,Selected_constraint_UC!$A:$A,Selected_constraint_UC!$C:$C)</f>
        <v>COMRETOldSHEUE</v>
      </c>
      <c r="G97" s="13" t="str">
        <f>F97</f>
        <v>COMRETOldSHEUE</v>
      </c>
      <c r="H97" s="14">
        <v>2019</v>
      </c>
      <c r="I97" s="14" t="s">
        <v>3848</v>
      </c>
      <c r="J97" s="14">
        <v>1</v>
      </c>
      <c r="K97" s="15">
        <f>-ROUNDDOWN(SUMIFS('COM RESID'!$O:$O,'COM RESID'!$H:$H,$E97,'COM RESID'!$I:$I,$F97)/SUMIFS('COM RESID'!$O:$O,'COM RESID'!$I:$I,$F97),3)*O97</f>
        <v>-9.1139999999999999E-2</v>
      </c>
      <c r="L97" s="14">
        <v>0</v>
      </c>
      <c r="M97" s="14">
        <v>5</v>
      </c>
      <c r="N97" s="10"/>
      <c r="O97" s="20">
        <v>0.98</v>
      </c>
      <c r="Q97" s="11" t="str">
        <f t="shared" si="20"/>
        <v>UC_MarketShare_COMRETOldSH_FOI_MAX</v>
      </c>
      <c r="R97" s="12"/>
      <c r="S97" s="13" t="str">
        <f t="shared" si="22"/>
        <v>COMFOI</v>
      </c>
      <c r="T97" s="13" t="str">
        <f t="shared" si="23"/>
        <v>COMRETOldSHEUE</v>
      </c>
      <c r="U97" s="13" t="str">
        <f t="shared" si="24"/>
        <v>COMRETOldSHEUE</v>
      </c>
      <c r="V97" s="14">
        <v>2019</v>
      </c>
      <c r="W97" s="14" t="s">
        <v>3849</v>
      </c>
      <c r="X97" s="14">
        <v>1</v>
      </c>
      <c r="Y97" s="15">
        <f>-ROUNDUP(MIN(SUMIFS('COM RESID'!$O:$O,'COM RESID'!$H:$H,$E97,'COM RESID'!$I:$I,$F97)/SUMIFS('COM RESID'!$O:$O,'COM RESID'!$I:$I,$F97)*AC97,1),3)</f>
        <v>-9.6000000000000002E-2</v>
      </c>
      <c r="Z97" s="14">
        <v>0</v>
      </c>
      <c r="AA97" s="14">
        <v>5</v>
      </c>
      <c r="AB97" s="10"/>
      <c r="AC97" s="20">
        <v>1.02</v>
      </c>
    </row>
    <row r="98" spans="1:29" x14ac:dyDescent="0.25">
      <c r="A98" s="10">
        <f>A97</f>
        <v>24</v>
      </c>
      <c r="B98" s="10"/>
      <c r="C98" s="11" t="str">
        <f>IF(C97="*",C97,"")</f>
        <v/>
      </c>
      <c r="D98" s="12"/>
      <c r="E98" s="13" t="str">
        <f t="shared" ref="E98:G100" si="31">E97</f>
        <v>COMFOI</v>
      </c>
      <c r="F98" s="13" t="str">
        <f t="shared" si="31"/>
        <v>COMRETOldSHEUE</v>
      </c>
      <c r="G98" s="13" t="str">
        <f t="shared" si="31"/>
        <v>COMRETOldSHEUE</v>
      </c>
      <c r="H98" s="14">
        <v>2025</v>
      </c>
      <c r="I98" s="14" t="str">
        <f>I97</f>
        <v>LO</v>
      </c>
      <c r="J98" s="14"/>
      <c r="K98" s="15">
        <f>-ROUNDDOWN(SUMIFS('COM RESID'!$O:$O,'COM RESID'!$H:$H,$E98,'COM RESID'!$I:$I,$F98)/SUMIFS('COM RESID'!$O:$O,'COM RESID'!$I:$I,$F98),3)*O98</f>
        <v>-7.4400000000000008E-2</v>
      </c>
      <c r="L98" s="14"/>
      <c r="M98" s="14"/>
      <c r="N98" s="10"/>
      <c r="O98" s="20">
        <v>0.8</v>
      </c>
      <c r="Q98" s="11" t="str">
        <f t="shared" si="20"/>
        <v/>
      </c>
      <c r="R98" s="12"/>
      <c r="S98" s="13" t="str">
        <f t="shared" si="22"/>
        <v>COMFOI</v>
      </c>
      <c r="T98" s="13" t="str">
        <f t="shared" si="23"/>
        <v>COMRETOldSHEUE</v>
      </c>
      <c r="U98" s="13" t="str">
        <f t="shared" si="24"/>
        <v>COMRETOldSHEUE</v>
      </c>
      <c r="V98" s="14">
        <v>2025</v>
      </c>
      <c r="W98" s="14" t="str">
        <f>W97</f>
        <v>UP</v>
      </c>
      <c r="X98" s="14"/>
      <c r="Y98" s="15">
        <f>-ROUNDUP(MIN(SUMIFS('COM RESID'!$O:$O,'COM RESID'!$H:$H,$E98,'COM RESID'!$I:$I,$F98)/SUMIFS('COM RESID'!$O:$O,'COM RESID'!$I:$I,$F98)*AC98,1),3)</f>
        <v>-0.112</v>
      </c>
      <c r="Z98" s="14"/>
      <c r="AA98" s="14"/>
      <c r="AB98" s="10"/>
      <c r="AC98" s="20">
        <f>IF(S98="COMELC",IF(SUMIFS('COM RESID'!$O:$O,'COM RESID'!$H:$H,$E98,'COM RESID'!$I:$I,$F98)/SUMIFS('COM RESID'!$O:$O,'COM RESID'!$I:$I,$F98)*1.2&lt;0.25,0.25/(SUMIFS('COM RESID'!$O:$O,'COM RESID'!$H:$H,$E98,'COM RESID'!$I:$I,$F98)/SUMIFS('COM RESID'!$O:$O,'COM RESID'!$I:$I,$F98)),1.2),IF(ISNUMBER(SEARCH("WHEUE",T98)),IF(OR(S98="COMNGA",S98="COMFOI"),1,1.2),1.2))</f>
        <v>1.2</v>
      </c>
    </row>
    <row r="99" spans="1:29" x14ac:dyDescent="0.25">
      <c r="A99" s="10">
        <f>A98</f>
        <v>24</v>
      </c>
      <c r="B99" s="10"/>
      <c r="C99" s="11" t="str">
        <f>IF(C98="*",C98,"")</f>
        <v/>
      </c>
      <c r="D99" s="12"/>
      <c r="E99" s="13" t="str">
        <f t="shared" si="31"/>
        <v>COMFOI</v>
      </c>
      <c r="F99" s="13" t="str">
        <f t="shared" si="31"/>
        <v>COMRETOldSHEUE</v>
      </c>
      <c r="G99" s="13" t="str">
        <f t="shared" si="31"/>
        <v>COMRETOldSHEUE</v>
      </c>
      <c r="H99" s="14">
        <v>2030</v>
      </c>
      <c r="I99" s="14" t="str">
        <f>I98</f>
        <v>LO</v>
      </c>
      <c r="J99" s="14"/>
      <c r="K99" s="15">
        <f>-ROUNDDOWN(SUMIFS('COM RESID'!$O:$O,'COM RESID'!$H:$H,$E99,'COM RESID'!$I:$I,$F99)/SUMIFS('COM RESID'!$O:$O,'COM RESID'!$I:$I,$F99),3)*O99</f>
        <v>-1.8600000000000002E-2</v>
      </c>
      <c r="L99" s="14"/>
      <c r="M99" s="14"/>
      <c r="N99" s="10"/>
      <c r="O99" s="20">
        <v>0.2</v>
      </c>
      <c r="Q99" s="11" t="str">
        <f t="shared" si="20"/>
        <v/>
      </c>
      <c r="R99" s="12"/>
      <c r="S99" s="13" t="str">
        <f t="shared" si="22"/>
        <v>COMFOI</v>
      </c>
      <c r="T99" s="13" t="str">
        <f t="shared" si="23"/>
        <v>COMRETOldSHEUE</v>
      </c>
      <c r="U99" s="13" t="str">
        <f t="shared" si="24"/>
        <v>COMRETOldSHEUE</v>
      </c>
      <c r="V99" s="14">
        <v>2030</v>
      </c>
      <c r="W99" s="14" t="str">
        <f>W98</f>
        <v>UP</v>
      </c>
      <c r="X99" s="14"/>
      <c r="Y99" s="15">
        <f>-ROUNDUP(MIN(SUMIFS('COM RESID'!$O:$O,'COM RESID'!$H:$H,$E99,'COM RESID'!$I:$I,$F99)/SUMIFS('COM RESID'!$O:$O,'COM RESID'!$I:$I,$F99)*AC99,1),3)</f>
        <v>-0.14000000000000001</v>
      </c>
      <c r="Z99" s="14"/>
      <c r="AA99" s="14"/>
      <c r="AB99" s="10"/>
      <c r="AC99" s="20">
        <f>IF(S99="COMELC",IF(SUMIFS('COM RESID'!$O:$O,'COM RESID'!$H:$H,$E99,'COM RESID'!$I:$I,$F99)/SUMIFS('COM RESID'!$O:$O,'COM RESID'!$I:$I,$F99)*1.5&lt;0.5,0.5/(SUMIFS('COM RESID'!$O:$O,'COM RESID'!$H:$H,$E99,'COM RESID'!$I:$I,$F99)/SUMIFS('COM RESID'!$O:$O,'COM RESID'!$I:$I,$F99)),1.5),IF(ISNUMBER(SEARCH("WHEUE",T98)),IF(OR(S98="COMNGA",S98="COMFOI"),0.9,1.5),1.5))</f>
        <v>1.5</v>
      </c>
    </row>
    <row r="100" spans="1:29" x14ac:dyDescent="0.25">
      <c r="A100" s="26">
        <f>A99</f>
        <v>24</v>
      </c>
      <c r="B100" s="26"/>
      <c r="C100" s="21" t="str">
        <f>IF(C99="*",C99,"")</f>
        <v/>
      </c>
      <c r="D100" s="22"/>
      <c r="E100" s="23" t="str">
        <f t="shared" si="31"/>
        <v>COMFOI</v>
      </c>
      <c r="F100" s="23" t="str">
        <f t="shared" si="31"/>
        <v>COMRETOldSHEUE</v>
      </c>
      <c r="G100" s="23" t="str">
        <f t="shared" si="31"/>
        <v>COMRETOldSHEUE</v>
      </c>
      <c r="H100" s="24">
        <v>2050</v>
      </c>
      <c r="I100" s="24" t="str">
        <f>I99</f>
        <v>LO</v>
      </c>
      <c r="J100" s="24"/>
      <c r="K100" s="25">
        <f>-ROUNDDOWN(SUMIFS('COM RESID'!$O:$O,'COM RESID'!$H:$H,$E100,'COM RESID'!$I:$I,$F100)/SUMIFS('COM RESID'!$O:$O,'COM RESID'!$I:$I,$F100),3)*O100</f>
        <v>0</v>
      </c>
      <c r="L100" s="24"/>
      <c r="M100" s="24"/>
      <c r="N100" s="26"/>
      <c r="O100" s="27">
        <v>0</v>
      </c>
      <c r="Q100" s="21" t="str">
        <f t="shared" si="20"/>
        <v/>
      </c>
      <c r="R100" s="22"/>
      <c r="S100" s="23" t="str">
        <f t="shared" si="22"/>
        <v>COMFOI</v>
      </c>
      <c r="T100" s="23" t="str">
        <f t="shared" si="23"/>
        <v>COMRETOldSHEUE</v>
      </c>
      <c r="U100" s="23" t="str">
        <f t="shared" si="24"/>
        <v>COMRETOldSHEUE</v>
      </c>
      <c r="V100" s="24">
        <v>2050</v>
      </c>
      <c r="W100" s="24" t="str">
        <f>W99</f>
        <v>UP</v>
      </c>
      <c r="X100" s="24"/>
      <c r="Y100" s="25">
        <f>-ROUNDUP(MIN(SUMIFS('COM RESID'!$O:$O,'COM RESID'!$H:$H,$E100,'COM RESID'!$I:$I,$F100)/SUMIFS('COM RESID'!$O:$O,'COM RESID'!$I:$I,$F100)*AC100,1),3)</f>
        <v>-0.28000000000000003</v>
      </c>
      <c r="Z100" s="24"/>
      <c r="AA100" s="24"/>
      <c r="AB100" s="26"/>
      <c r="AC100" s="27">
        <f>IF(S100="COMELC",IF(SUMIFS('COM RESID'!$O:$O,'COM RESID'!$H:$H,$E100,'COM RESID'!$I:$I,$F100)/SUMIFS('COM RESID'!$O:$O,'COM RESID'!$I:$I,$F100)*3&lt;1,1/(SUMIFS('COM RESID'!$O:$O,'COM RESID'!$H:$H,$E100,'COM RESID'!$I:$I,$F100)/SUMIFS('COM RESID'!$O:$O,'COM RESID'!$I:$I,$F100)),3),IF(ISNUMBER(SEARCH("WHEUE",T98)),IF(OR(S98="COMNGA",S98="COMFOI"),0.75,3),3))</f>
        <v>3</v>
      </c>
    </row>
    <row r="101" spans="1:29" x14ac:dyDescent="0.25">
      <c r="A101" s="19">
        <f>A97+1</f>
        <v>25</v>
      </c>
      <c r="B101" s="10"/>
      <c r="C101" s="11" t="str">
        <f>IF(E101="","",IF(_xlfn.XLOOKUP($A101,Selected_constraint_UC!$A:$A,Selected_constraint_UC!$D:$D)=1,"*",IF(SUMIFS('COM TECH'!$N:$N,'COM TECH'!$K:$K,E101,'COM TECH'!$L:$L,F101)=0,"*",IF(SUMIFS('COM RESID'!$O:$O,'COM RESID'!$H:$H,$E101,'COM RESID'!$I:$I,$F101)=0,"*","UC_MarketShare_"&amp;LEFT(F101,LEN(F101)-3)&amp;"_"&amp;RIGHT(E101,3)&amp;"_MIN"))))</f>
        <v>*</v>
      </c>
      <c r="D101" s="12"/>
      <c r="E101" s="13" t="str">
        <f>_xlfn.XLOOKUP($A101,Selected_constraint_UC!$A:$A,Selected_constraint_UC!$B:$B)</f>
        <v>COMLPG</v>
      </c>
      <c r="F101" s="13" t="str">
        <f>_xlfn.XLOOKUP($A101,Selected_constraint_UC!$A:$A,Selected_constraint_UC!$C:$C)</f>
        <v>COMRETOldSHEUE</v>
      </c>
      <c r="G101" s="13" t="str">
        <f>F101</f>
        <v>COMRETOldSHEUE</v>
      </c>
      <c r="H101" s="14">
        <v>2019</v>
      </c>
      <c r="I101" s="14" t="s">
        <v>3848</v>
      </c>
      <c r="J101" s="14">
        <v>1</v>
      </c>
      <c r="K101" s="15">
        <f>-ROUNDDOWN(SUMIFS('COM RESID'!$O:$O,'COM RESID'!$H:$H,$E101,'COM RESID'!$I:$I,$F101)/SUMIFS('COM RESID'!$O:$O,'COM RESID'!$I:$I,$F101),3)*O101</f>
        <v>0</v>
      </c>
      <c r="L101" s="14">
        <v>0</v>
      </c>
      <c r="M101" s="14">
        <v>5</v>
      </c>
      <c r="N101" s="10"/>
      <c r="O101" s="20">
        <v>0.98</v>
      </c>
      <c r="Q101" s="11" t="str">
        <f t="shared" si="20"/>
        <v>*</v>
      </c>
      <c r="R101" s="12"/>
      <c r="S101" s="13" t="str">
        <f t="shared" si="22"/>
        <v>COMLPG</v>
      </c>
      <c r="T101" s="13" t="str">
        <f t="shared" si="23"/>
        <v>COMRETOldSHEUE</v>
      </c>
      <c r="U101" s="13" t="str">
        <f t="shared" si="24"/>
        <v>COMRETOldSHEUE</v>
      </c>
      <c r="V101" s="14">
        <v>2019</v>
      </c>
      <c r="W101" s="14" t="s">
        <v>3849</v>
      </c>
      <c r="X101" s="14">
        <v>1</v>
      </c>
      <c r="Y101" s="15">
        <f>-ROUNDUP(MIN(SUMIFS('COM RESID'!$O:$O,'COM RESID'!$H:$H,$E101,'COM RESID'!$I:$I,$F101)/SUMIFS('COM RESID'!$O:$O,'COM RESID'!$I:$I,$F101)*AC101,1),3)</f>
        <v>0</v>
      </c>
      <c r="Z101" s="14">
        <v>0</v>
      </c>
      <c r="AA101" s="14">
        <v>5</v>
      </c>
      <c r="AB101" s="10"/>
      <c r="AC101" s="20">
        <v>1.02</v>
      </c>
    </row>
    <row r="102" spans="1:29" x14ac:dyDescent="0.25">
      <c r="A102" s="10">
        <f>A101</f>
        <v>25</v>
      </c>
      <c r="B102" s="10"/>
      <c r="C102" s="11" t="str">
        <f>IF(C101="*",C101,"")</f>
        <v>*</v>
      </c>
      <c r="D102" s="12"/>
      <c r="E102" s="13" t="str">
        <f t="shared" ref="E102:G104" si="32">E101</f>
        <v>COMLPG</v>
      </c>
      <c r="F102" s="13" t="str">
        <f t="shared" si="32"/>
        <v>COMRETOldSHEUE</v>
      </c>
      <c r="G102" s="13" t="str">
        <f t="shared" si="32"/>
        <v>COMRETOldSHEUE</v>
      </c>
      <c r="H102" s="14">
        <v>2025</v>
      </c>
      <c r="I102" s="14" t="str">
        <f>I101</f>
        <v>LO</v>
      </c>
      <c r="J102" s="14"/>
      <c r="K102" s="15">
        <f>-ROUNDDOWN(SUMIFS('COM RESID'!$O:$O,'COM RESID'!$H:$H,$E102,'COM RESID'!$I:$I,$F102)/SUMIFS('COM RESID'!$O:$O,'COM RESID'!$I:$I,$F102),3)*O102</f>
        <v>0</v>
      </c>
      <c r="L102" s="14"/>
      <c r="M102" s="14"/>
      <c r="N102" s="10"/>
      <c r="O102" s="20">
        <v>0.8</v>
      </c>
      <c r="Q102" s="11" t="str">
        <f t="shared" si="20"/>
        <v>*</v>
      </c>
      <c r="R102" s="12"/>
      <c r="S102" s="13" t="str">
        <f t="shared" si="22"/>
        <v>COMLPG</v>
      </c>
      <c r="T102" s="13" t="str">
        <f t="shared" si="23"/>
        <v>COMRETOldSHEUE</v>
      </c>
      <c r="U102" s="13" t="str">
        <f t="shared" si="24"/>
        <v>COMRETOldSHEUE</v>
      </c>
      <c r="V102" s="14">
        <v>2025</v>
      </c>
      <c r="W102" s="14" t="str">
        <f>W101</f>
        <v>UP</v>
      </c>
      <c r="X102" s="14"/>
      <c r="Y102" s="15">
        <f>-ROUNDUP(MIN(SUMIFS('COM RESID'!$O:$O,'COM RESID'!$H:$H,$E102,'COM RESID'!$I:$I,$F102)/SUMIFS('COM RESID'!$O:$O,'COM RESID'!$I:$I,$F102)*AC102,1),3)</f>
        <v>0</v>
      </c>
      <c r="Z102" s="14"/>
      <c r="AA102" s="14"/>
      <c r="AB102" s="10"/>
      <c r="AC102" s="20">
        <f>IF(S102="COMELC",IF(SUMIFS('COM RESID'!$O:$O,'COM RESID'!$H:$H,$E102,'COM RESID'!$I:$I,$F102)/SUMIFS('COM RESID'!$O:$O,'COM RESID'!$I:$I,$F102)*1.2&lt;0.25,0.25/(SUMIFS('COM RESID'!$O:$O,'COM RESID'!$H:$H,$E102,'COM RESID'!$I:$I,$F102)/SUMIFS('COM RESID'!$O:$O,'COM RESID'!$I:$I,$F102)),1.2),IF(ISNUMBER(SEARCH("WHEUE",T102)),IF(OR(S102="COMNGA",S102="COMFOI"),1,1.2),1.2))</f>
        <v>1.2</v>
      </c>
    </row>
    <row r="103" spans="1:29" x14ac:dyDescent="0.25">
      <c r="A103" s="10">
        <f>A102</f>
        <v>25</v>
      </c>
      <c r="B103" s="10"/>
      <c r="C103" s="11" t="str">
        <f>IF(C102="*",C102,"")</f>
        <v>*</v>
      </c>
      <c r="D103" s="12"/>
      <c r="E103" s="13" t="str">
        <f t="shared" si="32"/>
        <v>COMLPG</v>
      </c>
      <c r="F103" s="13" t="str">
        <f t="shared" si="32"/>
        <v>COMRETOldSHEUE</v>
      </c>
      <c r="G103" s="13" t="str">
        <f t="shared" si="32"/>
        <v>COMRETOldSHEUE</v>
      </c>
      <c r="H103" s="14">
        <v>2030</v>
      </c>
      <c r="I103" s="14" t="str">
        <f>I102</f>
        <v>LO</v>
      </c>
      <c r="J103" s="14"/>
      <c r="K103" s="15">
        <f>-ROUNDDOWN(SUMIFS('COM RESID'!$O:$O,'COM RESID'!$H:$H,$E103,'COM RESID'!$I:$I,$F103)/SUMIFS('COM RESID'!$O:$O,'COM RESID'!$I:$I,$F103),3)*O103</f>
        <v>0</v>
      </c>
      <c r="L103" s="14"/>
      <c r="M103" s="14"/>
      <c r="N103" s="10"/>
      <c r="O103" s="20">
        <v>0.2</v>
      </c>
      <c r="Q103" s="11" t="str">
        <f t="shared" si="20"/>
        <v>*</v>
      </c>
      <c r="R103" s="12"/>
      <c r="S103" s="13" t="str">
        <f t="shared" si="22"/>
        <v>COMLPG</v>
      </c>
      <c r="T103" s="13" t="str">
        <f t="shared" si="23"/>
        <v>COMRETOldSHEUE</v>
      </c>
      <c r="U103" s="13" t="str">
        <f t="shared" si="24"/>
        <v>COMRETOldSHEUE</v>
      </c>
      <c r="V103" s="14">
        <v>2030</v>
      </c>
      <c r="W103" s="14" t="str">
        <f>W102</f>
        <v>UP</v>
      </c>
      <c r="X103" s="14"/>
      <c r="Y103" s="15">
        <f>-ROUNDUP(MIN(SUMIFS('COM RESID'!$O:$O,'COM RESID'!$H:$H,$E103,'COM RESID'!$I:$I,$F103)/SUMIFS('COM RESID'!$O:$O,'COM RESID'!$I:$I,$F103)*AC103,1),3)</f>
        <v>0</v>
      </c>
      <c r="Z103" s="14"/>
      <c r="AA103" s="14"/>
      <c r="AB103" s="10"/>
      <c r="AC103" s="20">
        <f>IF(S103="COMELC",IF(SUMIFS('COM RESID'!$O:$O,'COM RESID'!$H:$H,$E103,'COM RESID'!$I:$I,$F103)/SUMIFS('COM RESID'!$O:$O,'COM RESID'!$I:$I,$F103)*1.5&lt;0.5,0.5/(SUMIFS('COM RESID'!$O:$O,'COM RESID'!$H:$H,$E103,'COM RESID'!$I:$I,$F103)/SUMIFS('COM RESID'!$O:$O,'COM RESID'!$I:$I,$F103)),1.5),IF(ISNUMBER(SEARCH("WHEUE",T102)),IF(OR(S102="COMNGA",S102="COMFOI"),0.9,1.5),1.5))</f>
        <v>1.5</v>
      </c>
    </row>
    <row r="104" spans="1:29" x14ac:dyDescent="0.25">
      <c r="A104" s="26">
        <f>A103</f>
        <v>25</v>
      </c>
      <c r="B104" s="26"/>
      <c r="C104" s="21" t="str">
        <f>IF(C103="*",C103,"")</f>
        <v>*</v>
      </c>
      <c r="D104" s="22"/>
      <c r="E104" s="23" t="str">
        <f t="shared" si="32"/>
        <v>COMLPG</v>
      </c>
      <c r="F104" s="23" t="str">
        <f t="shared" si="32"/>
        <v>COMRETOldSHEUE</v>
      </c>
      <c r="G104" s="23" t="str">
        <f t="shared" si="32"/>
        <v>COMRETOldSHEUE</v>
      </c>
      <c r="H104" s="24">
        <v>2050</v>
      </c>
      <c r="I104" s="24" t="str">
        <f>I103</f>
        <v>LO</v>
      </c>
      <c r="J104" s="24"/>
      <c r="K104" s="25">
        <f>-ROUNDDOWN(SUMIFS('COM RESID'!$O:$O,'COM RESID'!$H:$H,$E104,'COM RESID'!$I:$I,$F104)/SUMIFS('COM RESID'!$O:$O,'COM RESID'!$I:$I,$F104),3)*O104</f>
        <v>0</v>
      </c>
      <c r="L104" s="24"/>
      <c r="M104" s="24"/>
      <c r="N104" s="26"/>
      <c r="O104" s="27">
        <v>0</v>
      </c>
      <c r="Q104" s="21" t="str">
        <f t="shared" si="20"/>
        <v>*</v>
      </c>
      <c r="R104" s="22"/>
      <c r="S104" s="23" t="str">
        <f t="shared" si="22"/>
        <v>COMLPG</v>
      </c>
      <c r="T104" s="23" t="str">
        <f t="shared" si="23"/>
        <v>COMRETOldSHEUE</v>
      </c>
      <c r="U104" s="23" t="str">
        <f t="shared" si="24"/>
        <v>COMRETOldSHEUE</v>
      </c>
      <c r="V104" s="24">
        <v>2050</v>
      </c>
      <c r="W104" s="24" t="str">
        <f>W103</f>
        <v>UP</v>
      </c>
      <c r="X104" s="24"/>
      <c r="Y104" s="25">
        <f>-ROUNDUP(MIN(SUMIFS('COM RESID'!$O:$O,'COM RESID'!$H:$H,$E104,'COM RESID'!$I:$I,$F104)/SUMIFS('COM RESID'!$O:$O,'COM RESID'!$I:$I,$F104)*AC104,1),3)</f>
        <v>0</v>
      </c>
      <c r="Z104" s="24"/>
      <c r="AA104" s="24"/>
      <c r="AB104" s="26"/>
      <c r="AC104" s="27">
        <f>IF(S104="COMELC",IF(SUMIFS('COM RESID'!$O:$O,'COM RESID'!$H:$H,$E104,'COM RESID'!$I:$I,$F104)/SUMIFS('COM RESID'!$O:$O,'COM RESID'!$I:$I,$F104)*3&lt;1,1/(SUMIFS('COM RESID'!$O:$O,'COM RESID'!$H:$H,$E104,'COM RESID'!$I:$I,$F104)/SUMIFS('COM RESID'!$O:$O,'COM RESID'!$I:$I,$F104)),3),IF(ISNUMBER(SEARCH("WHEUE",T102)),IF(OR(S102="COMNGA",S102="COMFOI"),0.75,3),3))</f>
        <v>3</v>
      </c>
    </row>
    <row r="105" spans="1:29" x14ac:dyDescent="0.25">
      <c r="A105" s="19">
        <f>A101+1</f>
        <v>26</v>
      </c>
      <c r="B105" s="10"/>
      <c r="C105" s="11" t="str">
        <f>IF(E105="","",IF(_xlfn.XLOOKUP($A105,Selected_constraint_UC!$A:$A,Selected_constraint_UC!$D:$D)=1,"*",IF(SUMIFS('COM TECH'!$N:$N,'COM TECH'!$K:$K,E105,'COM TECH'!$L:$L,F105)=0,"*",IF(SUMIFS('COM RESID'!$O:$O,'COM RESID'!$H:$H,$E105,'COM RESID'!$I:$I,$F105)=0,"*","UC_MarketShare_"&amp;LEFT(F105,LEN(F105)-3)&amp;"_"&amp;RIGHT(E105,3)&amp;"_MIN"))))</f>
        <v>*</v>
      </c>
      <c r="D105" s="12"/>
      <c r="E105" s="13" t="str">
        <f>_xlfn.XLOOKUP($A105,Selected_constraint_UC!$A:$A,Selected_constraint_UC!$B:$B)</f>
        <v>COMSTM</v>
      </c>
      <c r="F105" s="13" t="str">
        <f>_xlfn.XLOOKUP($A105,Selected_constraint_UC!$A:$A,Selected_constraint_UC!$C:$C)</f>
        <v>COMRETOldSHEUE</v>
      </c>
      <c r="G105" s="13" t="str">
        <f>F105</f>
        <v>COMRETOldSHEUE</v>
      </c>
      <c r="H105" s="14">
        <v>2019</v>
      </c>
      <c r="I105" s="14" t="s">
        <v>3848</v>
      </c>
      <c r="J105" s="14">
        <v>1</v>
      </c>
      <c r="K105" s="15">
        <f>-ROUNDDOWN(SUMIFS('COM RESID'!$O:$O,'COM RESID'!$H:$H,$E105,'COM RESID'!$I:$I,$F105)/SUMIFS('COM RESID'!$O:$O,'COM RESID'!$I:$I,$F105),3)*O105</f>
        <v>-3.1359999999999999E-2</v>
      </c>
      <c r="L105" s="14">
        <v>0</v>
      </c>
      <c r="M105" s="14">
        <v>5</v>
      </c>
      <c r="N105" s="10"/>
      <c r="O105" s="20">
        <v>0.98</v>
      </c>
      <c r="Q105" s="11" t="str">
        <f t="shared" si="20"/>
        <v>*</v>
      </c>
      <c r="R105" s="12"/>
      <c r="S105" s="13" t="str">
        <f t="shared" si="22"/>
        <v>COMSTM</v>
      </c>
      <c r="T105" s="13" t="str">
        <f t="shared" si="23"/>
        <v>COMRETOldSHEUE</v>
      </c>
      <c r="U105" s="13" t="str">
        <f t="shared" si="24"/>
        <v>COMRETOldSHEUE</v>
      </c>
      <c r="V105" s="14">
        <v>2019</v>
      </c>
      <c r="W105" s="14" t="s">
        <v>3849</v>
      </c>
      <c r="X105" s="14">
        <v>1</v>
      </c>
      <c r="Y105" s="15">
        <f>-ROUNDUP(MIN(SUMIFS('COM RESID'!$O:$O,'COM RESID'!$H:$H,$E105,'COM RESID'!$I:$I,$F105)/SUMIFS('COM RESID'!$O:$O,'COM RESID'!$I:$I,$F105)*AC105,1),3)</f>
        <v>-3.3000000000000002E-2</v>
      </c>
      <c r="Z105" s="14">
        <v>0</v>
      </c>
      <c r="AA105" s="14">
        <v>5</v>
      </c>
      <c r="AB105" s="10"/>
      <c r="AC105" s="20">
        <v>1.02</v>
      </c>
    </row>
    <row r="106" spans="1:29" x14ac:dyDescent="0.25">
      <c r="A106" s="10">
        <f>A105</f>
        <v>26</v>
      </c>
      <c r="B106" s="10"/>
      <c r="C106" s="11" t="str">
        <f>IF(C105="*",C105,"")</f>
        <v>*</v>
      </c>
      <c r="D106" s="12"/>
      <c r="E106" s="13" t="str">
        <f t="shared" ref="E106:G108" si="33">E105</f>
        <v>COMSTM</v>
      </c>
      <c r="F106" s="13" t="str">
        <f t="shared" si="33"/>
        <v>COMRETOldSHEUE</v>
      </c>
      <c r="G106" s="13" t="str">
        <f t="shared" si="33"/>
        <v>COMRETOldSHEUE</v>
      </c>
      <c r="H106" s="14">
        <v>2025</v>
      </c>
      <c r="I106" s="14" t="str">
        <f>I105</f>
        <v>LO</v>
      </c>
      <c r="J106" s="14"/>
      <c r="K106" s="15">
        <f>-ROUNDDOWN(SUMIFS('COM RESID'!$O:$O,'COM RESID'!$H:$H,$E106,'COM RESID'!$I:$I,$F106)/SUMIFS('COM RESID'!$O:$O,'COM RESID'!$I:$I,$F106),3)*O106</f>
        <v>-2.5600000000000001E-2</v>
      </c>
      <c r="L106" s="14"/>
      <c r="M106" s="14"/>
      <c r="N106" s="10"/>
      <c r="O106" s="20">
        <v>0.8</v>
      </c>
      <c r="Q106" s="11" t="str">
        <f t="shared" si="20"/>
        <v>*</v>
      </c>
      <c r="R106" s="12"/>
      <c r="S106" s="13" t="str">
        <f t="shared" si="22"/>
        <v>COMSTM</v>
      </c>
      <c r="T106" s="13" t="str">
        <f t="shared" si="23"/>
        <v>COMRETOldSHEUE</v>
      </c>
      <c r="U106" s="13" t="str">
        <f t="shared" si="24"/>
        <v>COMRETOldSHEUE</v>
      </c>
      <c r="V106" s="14">
        <v>2025</v>
      </c>
      <c r="W106" s="14" t="str">
        <f>W105</f>
        <v>UP</v>
      </c>
      <c r="X106" s="14"/>
      <c r="Y106" s="15">
        <f>-ROUNDUP(MIN(SUMIFS('COM RESID'!$O:$O,'COM RESID'!$H:$H,$E106,'COM RESID'!$I:$I,$F106)/SUMIFS('COM RESID'!$O:$O,'COM RESID'!$I:$I,$F106)*AC106,1),3)</f>
        <v>-3.9E-2</v>
      </c>
      <c r="Z106" s="14"/>
      <c r="AA106" s="14"/>
      <c r="AB106" s="10"/>
      <c r="AC106" s="20">
        <f>IF(S106="COMELC",IF(SUMIFS('COM RESID'!$O:$O,'COM RESID'!$H:$H,$E106,'COM RESID'!$I:$I,$F106)/SUMIFS('COM RESID'!$O:$O,'COM RESID'!$I:$I,$F106)*1.2&lt;0.25,0.25/(SUMIFS('COM RESID'!$O:$O,'COM RESID'!$H:$H,$E106,'COM RESID'!$I:$I,$F106)/SUMIFS('COM RESID'!$O:$O,'COM RESID'!$I:$I,$F106)),1.2),IF(ISNUMBER(SEARCH("WHEUE",T106)),IF(OR(S106="COMNGA",S106="COMFOI"),1,1.2),1.2))</f>
        <v>1.2</v>
      </c>
    </row>
    <row r="107" spans="1:29" x14ac:dyDescent="0.25">
      <c r="A107" s="10">
        <f>A106</f>
        <v>26</v>
      </c>
      <c r="B107" s="10"/>
      <c r="C107" s="11" t="str">
        <f>IF(C106="*",C106,"")</f>
        <v>*</v>
      </c>
      <c r="D107" s="12"/>
      <c r="E107" s="13" t="str">
        <f t="shared" si="33"/>
        <v>COMSTM</v>
      </c>
      <c r="F107" s="13" t="str">
        <f t="shared" si="33"/>
        <v>COMRETOldSHEUE</v>
      </c>
      <c r="G107" s="13" t="str">
        <f t="shared" si="33"/>
        <v>COMRETOldSHEUE</v>
      </c>
      <c r="H107" s="14">
        <v>2030</v>
      </c>
      <c r="I107" s="14" t="str">
        <f>I106</f>
        <v>LO</v>
      </c>
      <c r="J107" s="14"/>
      <c r="K107" s="15">
        <f>-ROUNDDOWN(SUMIFS('COM RESID'!$O:$O,'COM RESID'!$H:$H,$E107,'COM RESID'!$I:$I,$F107)/SUMIFS('COM RESID'!$O:$O,'COM RESID'!$I:$I,$F107),3)*O107</f>
        <v>-6.4000000000000003E-3</v>
      </c>
      <c r="L107" s="14"/>
      <c r="M107" s="14"/>
      <c r="N107" s="10"/>
      <c r="O107" s="20">
        <v>0.2</v>
      </c>
      <c r="Q107" s="11" t="str">
        <f t="shared" si="20"/>
        <v>*</v>
      </c>
      <c r="R107" s="12"/>
      <c r="S107" s="13" t="str">
        <f t="shared" si="22"/>
        <v>COMSTM</v>
      </c>
      <c r="T107" s="13" t="str">
        <f t="shared" si="23"/>
        <v>COMRETOldSHEUE</v>
      </c>
      <c r="U107" s="13" t="str">
        <f t="shared" si="24"/>
        <v>COMRETOldSHEUE</v>
      </c>
      <c r="V107" s="14">
        <v>2030</v>
      </c>
      <c r="W107" s="14" t="str">
        <f>W106</f>
        <v>UP</v>
      </c>
      <c r="X107" s="14"/>
      <c r="Y107" s="15">
        <f>-ROUNDUP(MIN(SUMIFS('COM RESID'!$O:$O,'COM RESID'!$H:$H,$E107,'COM RESID'!$I:$I,$F107)/SUMIFS('COM RESID'!$O:$O,'COM RESID'!$I:$I,$F107)*AC107,1),3)</f>
        <v>-4.9000000000000002E-2</v>
      </c>
      <c r="Z107" s="14"/>
      <c r="AA107" s="14"/>
      <c r="AB107" s="10"/>
      <c r="AC107" s="20">
        <f>IF(S107="COMELC",IF(SUMIFS('COM RESID'!$O:$O,'COM RESID'!$H:$H,$E107,'COM RESID'!$I:$I,$F107)/SUMIFS('COM RESID'!$O:$O,'COM RESID'!$I:$I,$F107)*1.5&lt;0.5,0.5/(SUMIFS('COM RESID'!$O:$O,'COM RESID'!$H:$H,$E107,'COM RESID'!$I:$I,$F107)/SUMIFS('COM RESID'!$O:$O,'COM RESID'!$I:$I,$F107)),1.5),IF(ISNUMBER(SEARCH("WHEUE",T106)),IF(OR(S106="COMNGA",S106="COMFOI"),0.9,1.5),1.5))</f>
        <v>1.5</v>
      </c>
    </row>
    <row r="108" spans="1:29" x14ac:dyDescent="0.25">
      <c r="A108" s="26">
        <f>A107</f>
        <v>26</v>
      </c>
      <c r="B108" s="26"/>
      <c r="C108" s="21" t="str">
        <f>IF(C107="*",C107,"")</f>
        <v>*</v>
      </c>
      <c r="D108" s="22"/>
      <c r="E108" s="23" t="str">
        <f t="shared" si="33"/>
        <v>COMSTM</v>
      </c>
      <c r="F108" s="23" t="str">
        <f t="shared" si="33"/>
        <v>COMRETOldSHEUE</v>
      </c>
      <c r="G108" s="23" t="str">
        <f t="shared" si="33"/>
        <v>COMRETOldSHEUE</v>
      </c>
      <c r="H108" s="24">
        <v>2050</v>
      </c>
      <c r="I108" s="24" t="str">
        <f>I107</f>
        <v>LO</v>
      </c>
      <c r="J108" s="24"/>
      <c r="K108" s="25">
        <f>-ROUNDDOWN(SUMIFS('COM RESID'!$O:$O,'COM RESID'!$H:$H,$E108,'COM RESID'!$I:$I,$F108)/SUMIFS('COM RESID'!$O:$O,'COM RESID'!$I:$I,$F108),3)*O108</f>
        <v>0</v>
      </c>
      <c r="L108" s="24"/>
      <c r="M108" s="24"/>
      <c r="N108" s="26"/>
      <c r="O108" s="27">
        <v>0</v>
      </c>
      <c r="Q108" s="21" t="str">
        <f t="shared" si="20"/>
        <v>*</v>
      </c>
      <c r="R108" s="22"/>
      <c r="S108" s="23" t="str">
        <f t="shared" si="22"/>
        <v>COMSTM</v>
      </c>
      <c r="T108" s="23" t="str">
        <f t="shared" si="23"/>
        <v>COMRETOldSHEUE</v>
      </c>
      <c r="U108" s="23" t="str">
        <f t="shared" si="24"/>
        <v>COMRETOldSHEUE</v>
      </c>
      <c r="V108" s="24">
        <v>2050</v>
      </c>
      <c r="W108" s="24" t="str">
        <f>W107</f>
        <v>UP</v>
      </c>
      <c r="X108" s="24"/>
      <c r="Y108" s="25">
        <f>-ROUNDUP(MIN(SUMIFS('COM RESID'!$O:$O,'COM RESID'!$H:$H,$E108,'COM RESID'!$I:$I,$F108)/SUMIFS('COM RESID'!$O:$O,'COM RESID'!$I:$I,$F108)*AC108,1),3)</f>
        <v>-9.7000000000000003E-2</v>
      </c>
      <c r="Z108" s="24"/>
      <c r="AA108" s="24"/>
      <c r="AB108" s="26"/>
      <c r="AC108" s="27">
        <f>IF(S108="COMELC",IF(SUMIFS('COM RESID'!$O:$O,'COM RESID'!$H:$H,$E108,'COM RESID'!$I:$I,$F108)/SUMIFS('COM RESID'!$O:$O,'COM RESID'!$I:$I,$F108)*3&lt;1,1/(SUMIFS('COM RESID'!$O:$O,'COM RESID'!$H:$H,$E108,'COM RESID'!$I:$I,$F108)/SUMIFS('COM RESID'!$O:$O,'COM RESID'!$I:$I,$F108)),3),IF(ISNUMBER(SEARCH("WHEUE",T106)),IF(OR(S106="COMNGA",S106="COMFOI"),0.75,3),3))</f>
        <v>3</v>
      </c>
    </row>
    <row r="109" spans="1:29" x14ac:dyDescent="0.25">
      <c r="A109" s="19">
        <f>A105+1</f>
        <v>27</v>
      </c>
      <c r="B109" s="10"/>
      <c r="C109" s="11" t="str">
        <f>IF(E109="","",IF(_xlfn.XLOOKUP($A109,Selected_constraint_UC!$A:$A,Selected_constraint_UC!$D:$D)=1,"*",IF(SUMIFS('COM TECH'!$N:$N,'COM TECH'!$K:$K,E109,'COM TECH'!$L:$L,F109)=0,"*",IF(SUMIFS('COM RESID'!$O:$O,'COM RESID'!$H:$H,$E109,'COM RESID'!$I:$I,$F109)=0,"*","UC_MarketShare_"&amp;LEFT(F109,LEN(F109)-3)&amp;"_"&amp;RIGHT(E109,3)&amp;"_MIN"))))</f>
        <v>UC_MarketShare_COMRETOldSC_ELC_MIN</v>
      </c>
      <c r="D109" s="12"/>
      <c r="E109" s="13" t="str">
        <f>_xlfn.XLOOKUP($A109,Selected_constraint_UC!$A:$A,Selected_constraint_UC!$B:$B)</f>
        <v>COMELC</v>
      </c>
      <c r="F109" s="13" t="str">
        <f>_xlfn.XLOOKUP($A109,Selected_constraint_UC!$A:$A,Selected_constraint_UC!$C:$C)</f>
        <v>COMRETOldSCEUE</v>
      </c>
      <c r="G109" s="13" t="str">
        <f>F109</f>
        <v>COMRETOldSCEUE</v>
      </c>
      <c r="H109" s="14">
        <v>2019</v>
      </c>
      <c r="I109" s="14" t="s">
        <v>3848</v>
      </c>
      <c r="J109" s="14">
        <v>1</v>
      </c>
      <c r="K109" s="15">
        <f>-ROUNDDOWN(SUMIFS('COM RESID'!$O:$O,'COM RESID'!$H:$H,$E109,'COM RESID'!$I:$I,$F109)/SUMIFS('COM RESID'!$O:$O,'COM RESID'!$I:$I,$F109),3)*O109</f>
        <v>-0.98</v>
      </c>
      <c r="L109" s="14">
        <v>0</v>
      </c>
      <c r="M109" s="14">
        <v>5</v>
      </c>
      <c r="N109" s="10"/>
      <c r="O109" s="20">
        <v>0.98</v>
      </c>
      <c r="Q109" s="11" t="str">
        <f t="shared" si="20"/>
        <v>UC_MarketShare_COMRETOldSC_ELC_MAX</v>
      </c>
      <c r="R109" s="12"/>
      <c r="S109" s="13" t="str">
        <f t="shared" si="22"/>
        <v>COMELC</v>
      </c>
      <c r="T109" s="13" t="str">
        <f t="shared" si="23"/>
        <v>COMRETOldSCEUE</v>
      </c>
      <c r="U109" s="13" t="str">
        <f t="shared" si="24"/>
        <v>COMRETOldSCEUE</v>
      </c>
      <c r="V109" s="14">
        <v>2019</v>
      </c>
      <c r="W109" s="14" t="s">
        <v>3849</v>
      </c>
      <c r="X109" s="14">
        <v>1</v>
      </c>
      <c r="Y109" s="15">
        <f>-ROUNDUP(MIN(SUMIFS('COM RESID'!$O:$O,'COM RESID'!$H:$H,$E109,'COM RESID'!$I:$I,$F109)/SUMIFS('COM RESID'!$O:$O,'COM RESID'!$I:$I,$F109)*AC109,1),3)</f>
        <v>-1</v>
      </c>
      <c r="Z109" s="14">
        <v>0</v>
      </c>
      <c r="AA109" s="14">
        <v>5</v>
      </c>
      <c r="AB109" s="10"/>
      <c r="AC109" s="20">
        <v>1.02</v>
      </c>
    </row>
    <row r="110" spans="1:29" x14ac:dyDescent="0.25">
      <c r="A110" s="10">
        <f>A109</f>
        <v>27</v>
      </c>
      <c r="B110" s="10"/>
      <c r="C110" s="11" t="str">
        <f>IF(C109="*",C109,"")</f>
        <v/>
      </c>
      <c r="D110" s="12"/>
      <c r="E110" s="13" t="str">
        <f t="shared" ref="E110:G112" si="34">E109</f>
        <v>COMELC</v>
      </c>
      <c r="F110" s="13" t="str">
        <f t="shared" si="34"/>
        <v>COMRETOldSCEUE</v>
      </c>
      <c r="G110" s="13" t="str">
        <f t="shared" si="34"/>
        <v>COMRETOldSCEUE</v>
      </c>
      <c r="H110" s="14">
        <v>2025</v>
      </c>
      <c r="I110" s="14" t="str">
        <f>I109</f>
        <v>LO</v>
      </c>
      <c r="J110" s="14"/>
      <c r="K110" s="15">
        <f>-ROUNDDOWN(SUMIFS('COM RESID'!$O:$O,'COM RESID'!$H:$H,$E110,'COM RESID'!$I:$I,$F110)/SUMIFS('COM RESID'!$O:$O,'COM RESID'!$I:$I,$F110),3)*O110</f>
        <v>-0.8</v>
      </c>
      <c r="L110" s="14"/>
      <c r="M110" s="14"/>
      <c r="N110" s="10"/>
      <c r="O110" s="20">
        <v>0.8</v>
      </c>
      <c r="Q110" s="11" t="str">
        <f t="shared" si="20"/>
        <v/>
      </c>
      <c r="R110" s="12"/>
      <c r="S110" s="13" t="str">
        <f t="shared" si="22"/>
        <v>COMELC</v>
      </c>
      <c r="T110" s="13" t="str">
        <f t="shared" si="23"/>
        <v>COMRETOldSCEUE</v>
      </c>
      <c r="U110" s="13" t="str">
        <f t="shared" si="24"/>
        <v>COMRETOldSCEUE</v>
      </c>
      <c r="V110" s="14">
        <v>2025</v>
      </c>
      <c r="W110" s="14" t="str">
        <f>W109</f>
        <v>UP</v>
      </c>
      <c r="X110" s="14"/>
      <c r="Y110" s="15">
        <f>-ROUNDUP(MIN(SUMIFS('COM RESID'!$O:$O,'COM RESID'!$H:$H,$E110,'COM RESID'!$I:$I,$F110)/SUMIFS('COM RESID'!$O:$O,'COM RESID'!$I:$I,$F110)*AC110,1),3)</f>
        <v>-1</v>
      </c>
      <c r="Z110" s="14"/>
      <c r="AA110" s="14"/>
      <c r="AB110" s="10"/>
      <c r="AC110" s="20">
        <f>IF(S110="COMELC",IF(SUMIFS('COM RESID'!$O:$O,'COM RESID'!$H:$H,$E110,'COM RESID'!$I:$I,$F110)/SUMIFS('COM RESID'!$O:$O,'COM RESID'!$I:$I,$F110)*1.2&lt;0.25,0.25/(SUMIFS('COM RESID'!$O:$O,'COM RESID'!$H:$H,$E110,'COM RESID'!$I:$I,$F110)/SUMIFS('COM RESID'!$O:$O,'COM RESID'!$I:$I,$F110)),1.2),IF(ISNUMBER(SEARCH("WHEUE",T110)),IF(OR(S110="COMNGA",S110="COMFOI"),1,1.2),1.2))</f>
        <v>1.2</v>
      </c>
    </row>
    <row r="111" spans="1:29" x14ac:dyDescent="0.25">
      <c r="A111" s="10">
        <f>A110</f>
        <v>27</v>
      </c>
      <c r="B111" s="10"/>
      <c r="C111" s="11" t="str">
        <f>IF(C110="*",C110,"")</f>
        <v/>
      </c>
      <c r="D111" s="12"/>
      <c r="E111" s="13" t="str">
        <f t="shared" si="34"/>
        <v>COMELC</v>
      </c>
      <c r="F111" s="13" t="str">
        <f t="shared" si="34"/>
        <v>COMRETOldSCEUE</v>
      </c>
      <c r="G111" s="13" t="str">
        <f t="shared" si="34"/>
        <v>COMRETOldSCEUE</v>
      </c>
      <c r="H111" s="14">
        <v>2030</v>
      </c>
      <c r="I111" s="14" t="str">
        <f>I110</f>
        <v>LO</v>
      </c>
      <c r="J111" s="14"/>
      <c r="K111" s="15">
        <f>-ROUNDDOWN(SUMIFS('COM RESID'!$O:$O,'COM RESID'!$H:$H,$E111,'COM RESID'!$I:$I,$F111)/SUMIFS('COM RESID'!$O:$O,'COM RESID'!$I:$I,$F111),3)*O111</f>
        <v>-0.75</v>
      </c>
      <c r="L111" s="14"/>
      <c r="M111" s="14"/>
      <c r="N111" s="10"/>
      <c r="O111" s="20">
        <v>0.75</v>
      </c>
      <c r="Q111" s="11" t="str">
        <f t="shared" si="20"/>
        <v/>
      </c>
      <c r="R111" s="12"/>
      <c r="S111" s="13" t="str">
        <f t="shared" si="22"/>
        <v>COMELC</v>
      </c>
      <c r="T111" s="13" t="str">
        <f t="shared" si="23"/>
        <v>COMRETOldSCEUE</v>
      </c>
      <c r="U111" s="13" t="str">
        <f t="shared" si="24"/>
        <v>COMRETOldSCEUE</v>
      </c>
      <c r="V111" s="14">
        <v>2030</v>
      </c>
      <c r="W111" s="14" t="str">
        <f>W110</f>
        <v>UP</v>
      </c>
      <c r="X111" s="14"/>
      <c r="Y111" s="15">
        <f>-ROUNDUP(MIN(SUMIFS('COM RESID'!$O:$O,'COM RESID'!$H:$H,$E111,'COM RESID'!$I:$I,$F111)/SUMIFS('COM RESID'!$O:$O,'COM RESID'!$I:$I,$F111)*AC111,1),3)</f>
        <v>-1</v>
      </c>
      <c r="Z111" s="14"/>
      <c r="AA111" s="14"/>
      <c r="AB111" s="10"/>
      <c r="AC111" s="20">
        <f>IF(S111="COMELC",IF(SUMIFS('COM RESID'!$O:$O,'COM RESID'!$H:$H,$E111,'COM RESID'!$I:$I,$F111)/SUMIFS('COM RESID'!$O:$O,'COM RESID'!$I:$I,$F111)*1.5&lt;0.5,0.5/(SUMIFS('COM RESID'!$O:$O,'COM RESID'!$H:$H,$E111,'COM RESID'!$I:$I,$F111)/SUMIFS('COM RESID'!$O:$O,'COM RESID'!$I:$I,$F111)),1.5),IF(ISNUMBER(SEARCH("WHEUE",T110)),IF(OR(S110="COMNGA",S110="COMFOI"),0.9,1.5),1.5))</f>
        <v>1.5</v>
      </c>
    </row>
    <row r="112" spans="1:29" x14ac:dyDescent="0.25">
      <c r="A112" s="26">
        <f>A111</f>
        <v>27</v>
      </c>
      <c r="B112" s="26"/>
      <c r="C112" s="21" t="str">
        <f>IF(C111="*",C111,"")</f>
        <v/>
      </c>
      <c r="D112" s="22"/>
      <c r="E112" s="23" t="str">
        <f t="shared" si="34"/>
        <v>COMELC</v>
      </c>
      <c r="F112" s="23" t="str">
        <f t="shared" si="34"/>
        <v>COMRETOldSCEUE</v>
      </c>
      <c r="G112" s="23" t="str">
        <f t="shared" si="34"/>
        <v>COMRETOldSCEUE</v>
      </c>
      <c r="H112" s="24">
        <v>2050</v>
      </c>
      <c r="I112" s="24" t="str">
        <f>I111</f>
        <v>LO</v>
      </c>
      <c r="J112" s="24"/>
      <c r="K112" s="25">
        <f>-ROUNDDOWN(SUMIFS('COM RESID'!$O:$O,'COM RESID'!$H:$H,$E112,'COM RESID'!$I:$I,$F112)/SUMIFS('COM RESID'!$O:$O,'COM RESID'!$I:$I,$F112),3)*O112</f>
        <v>-0.75</v>
      </c>
      <c r="L112" s="24"/>
      <c r="M112" s="24"/>
      <c r="N112" s="26"/>
      <c r="O112" s="27">
        <v>0.75</v>
      </c>
      <c r="Q112" s="21" t="str">
        <f t="shared" si="20"/>
        <v/>
      </c>
      <c r="R112" s="22"/>
      <c r="S112" s="23" t="str">
        <f t="shared" si="22"/>
        <v>COMELC</v>
      </c>
      <c r="T112" s="23" t="str">
        <f t="shared" si="23"/>
        <v>COMRETOldSCEUE</v>
      </c>
      <c r="U112" s="23" t="str">
        <f t="shared" si="24"/>
        <v>COMRETOldSCEUE</v>
      </c>
      <c r="V112" s="24">
        <v>2050</v>
      </c>
      <c r="W112" s="24" t="str">
        <f>W111</f>
        <v>UP</v>
      </c>
      <c r="X112" s="24"/>
      <c r="Y112" s="25">
        <f>-ROUNDUP(MIN(SUMIFS('COM RESID'!$O:$O,'COM RESID'!$H:$H,$E112,'COM RESID'!$I:$I,$F112)/SUMIFS('COM RESID'!$O:$O,'COM RESID'!$I:$I,$F112)*AC112,1),3)</f>
        <v>-1</v>
      </c>
      <c r="Z112" s="24"/>
      <c r="AA112" s="24"/>
      <c r="AB112" s="26"/>
      <c r="AC112" s="27">
        <f>IF(S112="COMELC",IF(SUMIFS('COM RESID'!$O:$O,'COM RESID'!$H:$H,$E112,'COM RESID'!$I:$I,$F112)/SUMIFS('COM RESID'!$O:$O,'COM RESID'!$I:$I,$F112)*3&lt;1,1/(SUMIFS('COM RESID'!$O:$O,'COM RESID'!$H:$H,$E112,'COM RESID'!$I:$I,$F112)/SUMIFS('COM RESID'!$O:$O,'COM RESID'!$I:$I,$F112)),3),IF(ISNUMBER(SEARCH("WHEUE",T110)),IF(OR(S110="COMNGA",S110="COMFOI"),0.75,3),3))</f>
        <v>3</v>
      </c>
    </row>
    <row r="113" spans="1:29" x14ac:dyDescent="0.25">
      <c r="A113" s="19">
        <f>A109+1</f>
        <v>28</v>
      </c>
      <c r="B113" s="10"/>
      <c r="C113" s="11" t="str">
        <f>IF(E113="","",IF(_xlfn.XLOOKUP($A113,Selected_constraint_UC!$A:$A,Selected_constraint_UC!$D:$D)=1,"*",IF(SUMIFS('COM TECH'!$N:$N,'COM TECH'!$K:$K,E113,'COM TECH'!$L:$L,F113)=0,"*",IF(SUMIFS('COM RESID'!$O:$O,'COM RESID'!$H:$H,$E113,'COM RESID'!$I:$I,$F113)=0,"*","UC_MarketShare_"&amp;LEFT(F113,LEN(F113)-3)&amp;"_"&amp;RIGHT(E113,3)&amp;"_MIN"))))</f>
        <v>*</v>
      </c>
      <c r="D113" s="12"/>
      <c r="E113" s="13" t="str">
        <f>_xlfn.XLOOKUP($A113,Selected_constraint_UC!$A:$A,Selected_constraint_UC!$B:$B)</f>
        <v>COMELC</v>
      </c>
      <c r="F113" s="13" t="str">
        <f>_xlfn.XLOOKUP($A113,Selected_constraint_UC!$A:$A,Selected_constraint_UC!$C:$C)</f>
        <v>COMRETOldVTEUE</v>
      </c>
      <c r="G113" s="13" t="str">
        <f>F113</f>
        <v>COMRETOldVTEUE</v>
      </c>
      <c r="H113" s="14">
        <v>2019</v>
      </c>
      <c r="I113" s="14" t="s">
        <v>3848</v>
      </c>
      <c r="J113" s="14">
        <v>1</v>
      </c>
      <c r="K113" s="15">
        <f>-ROUNDDOWN(SUMIFS('COM RESID'!$O:$O,'COM RESID'!$H:$H,$E113,'COM RESID'!$I:$I,$F113)/SUMIFS('COM RESID'!$O:$O,'COM RESID'!$I:$I,$F113),3)*O113</f>
        <v>-0.98</v>
      </c>
      <c r="L113" s="14">
        <v>0</v>
      </c>
      <c r="M113" s="14">
        <v>5</v>
      </c>
      <c r="N113" s="10"/>
      <c r="O113" s="20">
        <v>0.98</v>
      </c>
      <c r="Q113" s="11" t="str">
        <f t="shared" si="20"/>
        <v>*</v>
      </c>
      <c r="R113" s="12"/>
      <c r="S113" s="13" t="str">
        <f t="shared" si="22"/>
        <v>COMELC</v>
      </c>
      <c r="T113" s="13" t="str">
        <f t="shared" si="23"/>
        <v>COMRETOldVTEUE</v>
      </c>
      <c r="U113" s="13" t="str">
        <f t="shared" si="24"/>
        <v>COMRETOldVTEUE</v>
      </c>
      <c r="V113" s="14">
        <v>2019</v>
      </c>
      <c r="W113" s="14" t="s">
        <v>3849</v>
      </c>
      <c r="X113" s="14">
        <v>1</v>
      </c>
      <c r="Y113" s="15">
        <f>-ROUNDUP(MIN(SUMIFS('COM RESID'!$O:$O,'COM RESID'!$H:$H,$E113,'COM RESID'!$I:$I,$F113)/SUMIFS('COM RESID'!$O:$O,'COM RESID'!$I:$I,$F113)*AC113,1),3)</f>
        <v>-1</v>
      </c>
      <c r="Z113" s="14">
        <v>0</v>
      </c>
      <c r="AA113" s="14">
        <v>5</v>
      </c>
      <c r="AB113" s="10"/>
      <c r="AC113" s="20">
        <v>1.02</v>
      </c>
    </row>
    <row r="114" spans="1:29" x14ac:dyDescent="0.25">
      <c r="A114" s="10">
        <f>A113</f>
        <v>28</v>
      </c>
      <c r="B114" s="10"/>
      <c r="C114" s="11" t="str">
        <f>IF(C113="*",C113,"")</f>
        <v>*</v>
      </c>
      <c r="D114" s="12"/>
      <c r="E114" s="13" t="str">
        <f t="shared" ref="E114:G116" si="35">E113</f>
        <v>COMELC</v>
      </c>
      <c r="F114" s="13" t="str">
        <f t="shared" si="35"/>
        <v>COMRETOldVTEUE</v>
      </c>
      <c r="G114" s="13" t="str">
        <f t="shared" si="35"/>
        <v>COMRETOldVTEUE</v>
      </c>
      <c r="H114" s="14">
        <v>2025</v>
      </c>
      <c r="I114" s="14" t="str">
        <f>I113</f>
        <v>LO</v>
      </c>
      <c r="J114" s="14"/>
      <c r="K114" s="15">
        <f>-ROUNDDOWN(SUMIFS('COM RESID'!$O:$O,'COM RESID'!$H:$H,$E114,'COM RESID'!$I:$I,$F114)/SUMIFS('COM RESID'!$O:$O,'COM RESID'!$I:$I,$F114),3)*O114</f>
        <v>-0.8</v>
      </c>
      <c r="L114" s="14"/>
      <c r="M114" s="14"/>
      <c r="N114" s="10"/>
      <c r="O114" s="20">
        <v>0.8</v>
      </c>
      <c r="Q114" s="11" t="str">
        <f t="shared" si="20"/>
        <v>*</v>
      </c>
      <c r="R114" s="12"/>
      <c r="S114" s="13" t="str">
        <f t="shared" si="22"/>
        <v>COMELC</v>
      </c>
      <c r="T114" s="13" t="str">
        <f t="shared" si="23"/>
        <v>COMRETOldVTEUE</v>
      </c>
      <c r="U114" s="13" t="str">
        <f t="shared" si="24"/>
        <v>COMRETOldVTEUE</v>
      </c>
      <c r="V114" s="14">
        <v>2025</v>
      </c>
      <c r="W114" s="14" t="str">
        <f>W113</f>
        <v>UP</v>
      </c>
      <c r="X114" s="14"/>
      <c r="Y114" s="15">
        <f>-ROUNDUP(MIN(SUMIFS('COM RESID'!$O:$O,'COM RESID'!$H:$H,$E114,'COM RESID'!$I:$I,$F114)/SUMIFS('COM RESID'!$O:$O,'COM RESID'!$I:$I,$F114)*AC114,1),3)</f>
        <v>-1</v>
      </c>
      <c r="Z114" s="14"/>
      <c r="AA114" s="14"/>
      <c r="AB114" s="10"/>
      <c r="AC114" s="20">
        <f>IF(S114="COMELC",IF(SUMIFS('COM RESID'!$O:$O,'COM RESID'!$H:$H,$E114,'COM RESID'!$I:$I,$F114)/SUMIFS('COM RESID'!$O:$O,'COM RESID'!$I:$I,$F114)*1.2&lt;0.25,0.25/(SUMIFS('COM RESID'!$O:$O,'COM RESID'!$H:$H,$E114,'COM RESID'!$I:$I,$F114)/SUMIFS('COM RESID'!$O:$O,'COM RESID'!$I:$I,$F114)),1.2),IF(ISNUMBER(SEARCH("WHEUE",T114)),IF(OR(S114="COMNGA",S114="COMFOI"),1,1.2),1.2))</f>
        <v>1.2</v>
      </c>
    </row>
    <row r="115" spans="1:29" x14ac:dyDescent="0.25">
      <c r="A115" s="10">
        <f>A114</f>
        <v>28</v>
      </c>
      <c r="B115" s="10"/>
      <c r="C115" s="11" t="str">
        <f>IF(C114="*",C114,"")</f>
        <v>*</v>
      </c>
      <c r="D115" s="12"/>
      <c r="E115" s="13" t="str">
        <f t="shared" si="35"/>
        <v>COMELC</v>
      </c>
      <c r="F115" s="13" t="str">
        <f t="shared" si="35"/>
        <v>COMRETOldVTEUE</v>
      </c>
      <c r="G115" s="13" t="str">
        <f t="shared" si="35"/>
        <v>COMRETOldVTEUE</v>
      </c>
      <c r="H115" s="14">
        <v>2030</v>
      </c>
      <c r="I115" s="14" t="str">
        <f>I114</f>
        <v>LO</v>
      </c>
      <c r="J115" s="14"/>
      <c r="K115" s="15">
        <f>-ROUNDDOWN(SUMIFS('COM RESID'!$O:$O,'COM RESID'!$H:$H,$E115,'COM RESID'!$I:$I,$F115)/SUMIFS('COM RESID'!$O:$O,'COM RESID'!$I:$I,$F115),3)*O115</f>
        <v>-0.2</v>
      </c>
      <c r="L115" s="14"/>
      <c r="M115" s="14"/>
      <c r="N115" s="10"/>
      <c r="O115" s="20">
        <v>0.2</v>
      </c>
      <c r="Q115" s="11" t="str">
        <f t="shared" si="20"/>
        <v>*</v>
      </c>
      <c r="R115" s="12"/>
      <c r="S115" s="13" t="str">
        <f t="shared" si="22"/>
        <v>COMELC</v>
      </c>
      <c r="T115" s="13" t="str">
        <f t="shared" si="23"/>
        <v>COMRETOldVTEUE</v>
      </c>
      <c r="U115" s="13" t="str">
        <f t="shared" si="24"/>
        <v>COMRETOldVTEUE</v>
      </c>
      <c r="V115" s="14">
        <v>2030</v>
      </c>
      <c r="W115" s="14" t="str">
        <f>W114</f>
        <v>UP</v>
      </c>
      <c r="X115" s="14"/>
      <c r="Y115" s="15">
        <f>-ROUNDUP(MIN(SUMIFS('COM RESID'!$O:$O,'COM RESID'!$H:$H,$E115,'COM RESID'!$I:$I,$F115)/SUMIFS('COM RESID'!$O:$O,'COM RESID'!$I:$I,$F115)*AC115,1),3)</f>
        <v>-1</v>
      </c>
      <c r="Z115" s="14"/>
      <c r="AA115" s="14"/>
      <c r="AB115" s="10"/>
      <c r="AC115" s="20">
        <f>IF(S115="COMELC",IF(SUMIFS('COM RESID'!$O:$O,'COM RESID'!$H:$H,$E115,'COM RESID'!$I:$I,$F115)/SUMIFS('COM RESID'!$O:$O,'COM RESID'!$I:$I,$F115)*1.5&lt;0.5,0.5/(SUMIFS('COM RESID'!$O:$O,'COM RESID'!$H:$H,$E115,'COM RESID'!$I:$I,$F115)/SUMIFS('COM RESID'!$O:$O,'COM RESID'!$I:$I,$F115)),1.5),IF(ISNUMBER(SEARCH("WHEUE",T114)),IF(OR(S114="COMNGA",S114="COMFOI"),0.9,1.5),1.5))</f>
        <v>1.5</v>
      </c>
    </row>
    <row r="116" spans="1:29" x14ac:dyDescent="0.25">
      <c r="A116" s="26">
        <f>A115</f>
        <v>28</v>
      </c>
      <c r="B116" s="26"/>
      <c r="C116" s="21" t="str">
        <f>IF(C115="*",C115,"")</f>
        <v>*</v>
      </c>
      <c r="D116" s="22"/>
      <c r="E116" s="23" t="str">
        <f t="shared" si="35"/>
        <v>COMELC</v>
      </c>
      <c r="F116" s="23" t="str">
        <f t="shared" si="35"/>
        <v>COMRETOldVTEUE</v>
      </c>
      <c r="G116" s="23" t="str">
        <f t="shared" si="35"/>
        <v>COMRETOldVTEUE</v>
      </c>
      <c r="H116" s="24">
        <v>2050</v>
      </c>
      <c r="I116" s="24" t="str">
        <f>I115</f>
        <v>LO</v>
      </c>
      <c r="J116" s="24"/>
      <c r="K116" s="25">
        <f>-ROUNDDOWN(SUMIFS('COM RESID'!$O:$O,'COM RESID'!$H:$H,$E116,'COM RESID'!$I:$I,$F116)/SUMIFS('COM RESID'!$O:$O,'COM RESID'!$I:$I,$F116),3)*O116</f>
        <v>0</v>
      </c>
      <c r="L116" s="24"/>
      <c r="M116" s="24"/>
      <c r="N116" s="26"/>
      <c r="O116" s="27">
        <v>0</v>
      </c>
      <c r="Q116" s="21" t="str">
        <f t="shared" si="20"/>
        <v>*</v>
      </c>
      <c r="R116" s="22"/>
      <c r="S116" s="23" t="str">
        <f t="shared" si="22"/>
        <v>COMELC</v>
      </c>
      <c r="T116" s="23" t="str">
        <f t="shared" si="23"/>
        <v>COMRETOldVTEUE</v>
      </c>
      <c r="U116" s="23" t="str">
        <f t="shared" si="24"/>
        <v>COMRETOldVTEUE</v>
      </c>
      <c r="V116" s="24">
        <v>2050</v>
      </c>
      <c r="W116" s="24" t="str">
        <f>W115</f>
        <v>UP</v>
      </c>
      <c r="X116" s="24"/>
      <c r="Y116" s="25">
        <f>-ROUNDUP(MIN(SUMIFS('COM RESID'!$O:$O,'COM RESID'!$H:$H,$E116,'COM RESID'!$I:$I,$F116)/SUMIFS('COM RESID'!$O:$O,'COM RESID'!$I:$I,$F116)*AC116,1),3)</f>
        <v>-1</v>
      </c>
      <c r="Z116" s="24"/>
      <c r="AA116" s="24"/>
      <c r="AB116" s="26"/>
      <c r="AC116" s="27">
        <f>IF(S116="COMELC",IF(SUMIFS('COM RESID'!$O:$O,'COM RESID'!$H:$H,$E116,'COM RESID'!$I:$I,$F116)/SUMIFS('COM RESID'!$O:$O,'COM RESID'!$I:$I,$F116)*3&lt;1,1/(SUMIFS('COM RESID'!$O:$O,'COM RESID'!$H:$H,$E116,'COM RESID'!$I:$I,$F116)/SUMIFS('COM RESID'!$O:$O,'COM RESID'!$I:$I,$F116)),3),IF(ISNUMBER(SEARCH("WHEUE",T114)),IF(OR(S114="COMNGA",S114="COMFOI"),0.75,3),3))</f>
        <v>3</v>
      </c>
    </row>
    <row r="117" spans="1:29" x14ac:dyDescent="0.25">
      <c r="A117" s="19">
        <f>A113+1</f>
        <v>29</v>
      </c>
      <c r="B117" s="10"/>
      <c r="C117" s="11" t="str">
        <f>IF(E117="","",IF(_xlfn.XLOOKUP($A117,Selected_constraint_UC!$A:$A,Selected_constraint_UC!$D:$D)=1,"*",IF(SUMIFS('COM TECH'!$N:$N,'COM TECH'!$K:$K,E117,'COM TECH'!$L:$L,F117)=0,"*",IF(SUMIFS('COM RESID'!$O:$O,'COM RESID'!$H:$H,$E117,'COM RESID'!$I:$I,$F117)=0,"*","UC_MarketShare_"&amp;LEFT(F117,LEN(F117)-3)&amp;"_"&amp;RIGHT(E117,3)&amp;"_MIN"))))</f>
        <v>UC_MarketShare_COMRETOldWH_FOI_MIN</v>
      </c>
      <c r="D117" s="12"/>
      <c r="E117" s="13" t="str">
        <f>_xlfn.XLOOKUP($A117,Selected_constraint_UC!$A:$A,Selected_constraint_UC!$B:$B)</f>
        <v>COMFOI</v>
      </c>
      <c r="F117" s="13" t="str">
        <f>_xlfn.XLOOKUP($A117,Selected_constraint_UC!$A:$A,Selected_constraint_UC!$C:$C)</f>
        <v>COMRETOldWHEUE</v>
      </c>
      <c r="G117" s="13" t="str">
        <f>F117</f>
        <v>COMRETOldWHEUE</v>
      </c>
      <c r="H117" s="14">
        <v>2019</v>
      </c>
      <c r="I117" s="14" t="s">
        <v>3848</v>
      </c>
      <c r="J117" s="14">
        <v>1</v>
      </c>
      <c r="K117" s="15">
        <f>-ROUNDDOWN(SUMIFS('COM RESID'!$O:$O,'COM RESID'!$H:$H,$E117,'COM RESID'!$I:$I,$F117)/SUMIFS('COM RESID'!$O:$O,'COM RESID'!$I:$I,$F117),3)*O117</f>
        <v>-6.8599999999999998E-3</v>
      </c>
      <c r="L117" s="14">
        <v>0</v>
      </c>
      <c r="M117" s="14">
        <v>5</v>
      </c>
      <c r="N117" s="10"/>
      <c r="O117" s="20">
        <v>0.98</v>
      </c>
      <c r="Q117" s="11" t="str">
        <f t="shared" si="20"/>
        <v>UC_MarketShare_COMRETOldWH_FOI_MAX</v>
      </c>
      <c r="R117" s="12"/>
      <c r="S117" s="13" t="str">
        <f t="shared" si="22"/>
        <v>COMFOI</v>
      </c>
      <c r="T117" s="13" t="str">
        <f t="shared" si="23"/>
        <v>COMRETOldWHEUE</v>
      </c>
      <c r="U117" s="13" t="str">
        <f t="shared" si="24"/>
        <v>COMRETOldWHEUE</v>
      </c>
      <c r="V117" s="14">
        <v>2019</v>
      </c>
      <c r="W117" s="14" t="s">
        <v>3849</v>
      </c>
      <c r="X117" s="14">
        <v>1</v>
      </c>
      <c r="Y117" s="15">
        <f>-ROUNDUP(MIN(SUMIFS('COM RESID'!$O:$O,'COM RESID'!$H:$H,$E117,'COM RESID'!$I:$I,$F117)/SUMIFS('COM RESID'!$O:$O,'COM RESID'!$I:$I,$F117)*AC117,1),3)</f>
        <v>-9.0000000000000011E-3</v>
      </c>
      <c r="Z117" s="14">
        <v>0</v>
      </c>
      <c r="AA117" s="14">
        <v>5</v>
      </c>
      <c r="AB117" s="10"/>
      <c r="AC117" s="20">
        <v>1.02</v>
      </c>
    </row>
    <row r="118" spans="1:29" x14ac:dyDescent="0.25">
      <c r="A118" s="10">
        <f>A117</f>
        <v>29</v>
      </c>
      <c r="B118" s="10"/>
      <c r="C118" s="11" t="str">
        <f>IF(C117="*",C117,"")</f>
        <v/>
      </c>
      <c r="D118" s="12"/>
      <c r="E118" s="13" t="str">
        <f t="shared" ref="E118:G120" si="36">E117</f>
        <v>COMFOI</v>
      </c>
      <c r="F118" s="13" t="str">
        <f t="shared" si="36"/>
        <v>COMRETOldWHEUE</v>
      </c>
      <c r="G118" s="13" t="str">
        <f t="shared" si="36"/>
        <v>COMRETOldWHEUE</v>
      </c>
      <c r="H118" s="14">
        <v>2025</v>
      </c>
      <c r="I118" s="14" t="str">
        <f>I117</f>
        <v>LO</v>
      </c>
      <c r="J118" s="14"/>
      <c r="K118" s="15">
        <f>-ROUNDDOWN(SUMIFS('COM RESID'!$O:$O,'COM RESID'!$H:$H,$E118,'COM RESID'!$I:$I,$F118)/SUMIFS('COM RESID'!$O:$O,'COM RESID'!$I:$I,$F118),3)*O118</f>
        <v>-5.6000000000000008E-3</v>
      </c>
      <c r="L118" s="14"/>
      <c r="M118" s="14"/>
      <c r="N118" s="10"/>
      <c r="O118" s="20">
        <v>0.8</v>
      </c>
      <c r="Q118" s="11" t="str">
        <f t="shared" si="20"/>
        <v/>
      </c>
      <c r="R118" s="12"/>
      <c r="S118" s="13" t="str">
        <f t="shared" si="22"/>
        <v>COMFOI</v>
      </c>
      <c r="T118" s="13" t="str">
        <f t="shared" si="23"/>
        <v>COMRETOldWHEUE</v>
      </c>
      <c r="U118" s="13" t="str">
        <f t="shared" si="24"/>
        <v>COMRETOldWHEUE</v>
      </c>
      <c r="V118" s="14">
        <v>2025</v>
      </c>
      <c r="W118" s="14" t="str">
        <f>W117</f>
        <v>UP</v>
      </c>
      <c r="X118" s="14"/>
      <c r="Y118" s="15">
        <f>-ROUNDUP(MIN(SUMIFS('COM RESID'!$O:$O,'COM RESID'!$H:$H,$E118,'COM RESID'!$I:$I,$F118)/SUMIFS('COM RESID'!$O:$O,'COM RESID'!$I:$I,$F118)*AC118,1),3)</f>
        <v>-8.0000000000000002E-3</v>
      </c>
      <c r="Z118" s="14"/>
      <c r="AA118" s="14"/>
      <c r="AB118" s="10"/>
      <c r="AC118" s="20">
        <f>IF(S118="COMELC",IF(SUMIFS('COM RESID'!$O:$O,'COM RESID'!$H:$H,$E118,'COM RESID'!$I:$I,$F118)/SUMIFS('COM RESID'!$O:$O,'COM RESID'!$I:$I,$F118)*1.2&lt;0.25,0.25/(SUMIFS('COM RESID'!$O:$O,'COM RESID'!$H:$H,$E118,'COM RESID'!$I:$I,$F118)/SUMIFS('COM RESID'!$O:$O,'COM RESID'!$I:$I,$F118)),1.2),IF(ISNUMBER(SEARCH("WHEUE",T118)),IF(OR(S118="COMNGA",S118="COMFOI"),1,1.2),1.2))</f>
        <v>1</v>
      </c>
    </row>
    <row r="119" spans="1:29" x14ac:dyDescent="0.25">
      <c r="A119" s="10">
        <f>A118</f>
        <v>29</v>
      </c>
      <c r="B119" s="10"/>
      <c r="C119" s="11" t="str">
        <f>IF(C118="*",C118,"")</f>
        <v/>
      </c>
      <c r="D119" s="12"/>
      <c r="E119" s="13" t="str">
        <f t="shared" si="36"/>
        <v>COMFOI</v>
      </c>
      <c r="F119" s="13" t="str">
        <f t="shared" si="36"/>
        <v>COMRETOldWHEUE</v>
      </c>
      <c r="G119" s="13" t="str">
        <f t="shared" si="36"/>
        <v>COMRETOldWHEUE</v>
      </c>
      <c r="H119" s="14">
        <v>2030</v>
      </c>
      <c r="I119" s="14" t="str">
        <f>I118</f>
        <v>LO</v>
      </c>
      <c r="J119" s="14"/>
      <c r="K119" s="15">
        <f>-ROUNDDOWN(SUMIFS('COM RESID'!$O:$O,'COM RESID'!$H:$H,$E119,'COM RESID'!$I:$I,$F119)/SUMIFS('COM RESID'!$O:$O,'COM RESID'!$I:$I,$F119),3)*O119</f>
        <v>-1.4000000000000002E-3</v>
      </c>
      <c r="L119" s="14"/>
      <c r="M119" s="14"/>
      <c r="N119" s="10"/>
      <c r="O119" s="20">
        <v>0.2</v>
      </c>
      <c r="Q119" s="11" t="str">
        <f t="shared" si="20"/>
        <v/>
      </c>
      <c r="R119" s="12"/>
      <c r="S119" s="13" t="str">
        <f t="shared" si="22"/>
        <v>COMFOI</v>
      </c>
      <c r="T119" s="13" t="str">
        <f t="shared" si="23"/>
        <v>COMRETOldWHEUE</v>
      </c>
      <c r="U119" s="13" t="str">
        <f t="shared" si="24"/>
        <v>COMRETOldWHEUE</v>
      </c>
      <c r="V119" s="14">
        <v>2030</v>
      </c>
      <c r="W119" s="14" t="str">
        <f>W118</f>
        <v>UP</v>
      </c>
      <c r="X119" s="14"/>
      <c r="Y119" s="15">
        <f>-ROUNDUP(MIN(SUMIFS('COM RESID'!$O:$O,'COM RESID'!$H:$H,$E119,'COM RESID'!$I:$I,$F119)/SUMIFS('COM RESID'!$O:$O,'COM RESID'!$I:$I,$F119)*AC119,1),3)</f>
        <v>-8.0000000000000002E-3</v>
      </c>
      <c r="Z119" s="14"/>
      <c r="AA119" s="14"/>
      <c r="AB119" s="10"/>
      <c r="AC119" s="20">
        <f>IF(S119="COMELC",IF(SUMIFS('COM RESID'!$O:$O,'COM RESID'!$H:$H,$E119,'COM RESID'!$I:$I,$F119)/SUMIFS('COM RESID'!$O:$O,'COM RESID'!$I:$I,$F119)*1.5&lt;0.5,0.5/(SUMIFS('COM RESID'!$O:$O,'COM RESID'!$H:$H,$E119,'COM RESID'!$I:$I,$F119)/SUMIFS('COM RESID'!$O:$O,'COM RESID'!$I:$I,$F119)),1.5),IF(ISNUMBER(SEARCH("WHEUE",T118)),IF(OR(S118="COMNGA",S118="COMFOI"),0.9,1.5),1.5))</f>
        <v>0.9</v>
      </c>
    </row>
    <row r="120" spans="1:29" x14ac:dyDescent="0.25">
      <c r="A120" s="26">
        <f>A119</f>
        <v>29</v>
      </c>
      <c r="B120" s="26"/>
      <c r="C120" s="21" t="str">
        <f>IF(C119="*",C119,"")</f>
        <v/>
      </c>
      <c r="D120" s="22"/>
      <c r="E120" s="23" t="str">
        <f t="shared" si="36"/>
        <v>COMFOI</v>
      </c>
      <c r="F120" s="23" t="str">
        <f t="shared" si="36"/>
        <v>COMRETOldWHEUE</v>
      </c>
      <c r="G120" s="23" t="str">
        <f t="shared" si="36"/>
        <v>COMRETOldWHEUE</v>
      </c>
      <c r="H120" s="24">
        <v>2050</v>
      </c>
      <c r="I120" s="24" t="str">
        <f>I119</f>
        <v>LO</v>
      </c>
      <c r="J120" s="24"/>
      <c r="K120" s="25">
        <f>-ROUNDDOWN(SUMIFS('COM RESID'!$O:$O,'COM RESID'!$H:$H,$E120,'COM RESID'!$I:$I,$F120)/SUMIFS('COM RESID'!$O:$O,'COM RESID'!$I:$I,$F120),3)*O120</f>
        <v>0</v>
      </c>
      <c r="L120" s="24"/>
      <c r="M120" s="24"/>
      <c r="N120" s="26"/>
      <c r="O120" s="27">
        <v>0</v>
      </c>
      <c r="Q120" s="21" t="str">
        <f t="shared" si="20"/>
        <v/>
      </c>
      <c r="R120" s="22"/>
      <c r="S120" s="23" t="str">
        <f t="shared" si="22"/>
        <v>COMFOI</v>
      </c>
      <c r="T120" s="23" t="str">
        <f t="shared" si="23"/>
        <v>COMRETOldWHEUE</v>
      </c>
      <c r="U120" s="23" t="str">
        <f t="shared" si="24"/>
        <v>COMRETOldWHEUE</v>
      </c>
      <c r="V120" s="24">
        <v>2050</v>
      </c>
      <c r="W120" s="24" t="str">
        <f>W119</f>
        <v>UP</v>
      </c>
      <c r="X120" s="24"/>
      <c r="Y120" s="25">
        <f>-ROUNDUP(MIN(SUMIFS('COM RESID'!$O:$O,'COM RESID'!$H:$H,$E120,'COM RESID'!$I:$I,$F120)/SUMIFS('COM RESID'!$O:$O,'COM RESID'!$I:$I,$F120)*AC120,1),3)</f>
        <v>-6.0000000000000001E-3</v>
      </c>
      <c r="Z120" s="24"/>
      <c r="AA120" s="24"/>
      <c r="AB120" s="26"/>
      <c r="AC120" s="27">
        <f>IF(S120="COMELC",IF(SUMIFS('COM RESID'!$O:$O,'COM RESID'!$H:$H,$E120,'COM RESID'!$I:$I,$F120)/SUMIFS('COM RESID'!$O:$O,'COM RESID'!$I:$I,$F120)*3&lt;1,1/(SUMIFS('COM RESID'!$O:$O,'COM RESID'!$H:$H,$E120,'COM RESID'!$I:$I,$F120)/SUMIFS('COM RESID'!$O:$O,'COM RESID'!$I:$I,$F120)),3),IF(ISNUMBER(SEARCH("WHEUE",T118)),IF(OR(S118="COMNGA",S118="COMFOI"),0.75,3),3))</f>
        <v>0.75</v>
      </c>
    </row>
    <row r="121" spans="1:29" x14ac:dyDescent="0.25">
      <c r="A121" s="19">
        <f>A117+1</f>
        <v>30</v>
      </c>
      <c r="B121" s="10"/>
      <c r="C121" s="11" t="str">
        <f>IF(E121="","",IF(_xlfn.XLOOKUP($A121,Selected_constraint_UC!$A:$A,Selected_constraint_UC!$D:$D)=1,"*",IF(SUMIFS('COM TECH'!$N:$N,'COM TECH'!$K:$K,E121,'COM TECH'!$L:$L,F121)=0,"*",IF(SUMIFS('COM RESID'!$O:$O,'COM RESID'!$H:$H,$E121,'COM RESID'!$I:$I,$F121)=0,"*","UC_MarketShare_"&amp;LEFT(F121,LEN(F121)-3)&amp;"_"&amp;RIGHT(E121,3)&amp;"_MIN"))))</f>
        <v>UC_MarketShare_COMRETOldWH_NGA_MIN</v>
      </c>
      <c r="D121" s="12"/>
      <c r="E121" s="13" t="str">
        <f>_xlfn.XLOOKUP($A121,Selected_constraint_UC!$A:$A,Selected_constraint_UC!$B:$B)</f>
        <v>COMNGA</v>
      </c>
      <c r="F121" s="13" t="str">
        <f>_xlfn.XLOOKUP($A121,Selected_constraint_UC!$A:$A,Selected_constraint_UC!$C:$C)</f>
        <v>COMRETOldWHEUE</v>
      </c>
      <c r="G121" s="13" t="str">
        <f>F121</f>
        <v>COMRETOldWHEUE</v>
      </c>
      <c r="H121" s="14">
        <v>2019</v>
      </c>
      <c r="I121" s="14" t="s">
        <v>3848</v>
      </c>
      <c r="J121" s="14">
        <v>1</v>
      </c>
      <c r="K121" s="15">
        <f>-ROUNDDOWN(SUMIFS('COM RESID'!$O:$O,'COM RESID'!$H:$H,$E121,'COM RESID'!$I:$I,$F121)/SUMIFS('COM RESID'!$O:$O,'COM RESID'!$I:$I,$F121),3)*O121</f>
        <v>-0.75263999999999998</v>
      </c>
      <c r="L121" s="14">
        <v>0</v>
      </c>
      <c r="M121" s="14">
        <v>5</v>
      </c>
      <c r="N121" s="10"/>
      <c r="O121" s="20">
        <v>0.98</v>
      </c>
      <c r="Q121" s="11" t="str">
        <f t="shared" si="20"/>
        <v>UC_MarketShare_COMRETOldWH_NGA_MAX</v>
      </c>
      <c r="R121" s="12"/>
      <c r="S121" s="13" t="str">
        <f t="shared" si="22"/>
        <v>COMNGA</v>
      </c>
      <c r="T121" s="13" t="str">
        <f t="shared" si="23"/>
        <v>COMRETOldWHEUE</v>
      </c>
      <c r="U121" s="13" t="str">
        <f t="shared" si="24"/>
        <v>COMRETOldWHEUE</v>
      </c>
      <c r="V121" s="14">
        <v>2019</v>
      </c>
      <c r="W121" s="14" t="s">
        <v>3849</v>
      </c>
      <c r="X121" s="14">
        <v>1</v>
      </c>
      <c r="Y121" s="15">
        <f>-ROUNDUP(MIN(SUMIFS('COM RESID'!$O:$O,'COM RESID'!$H:$H,$E121,'COM RESID'!$I:$I,$F121)/SUMIFS('COM RESID'!$O:$O,'COM RESID'!$I:$I,$F121)*AC121,1),3)</f>
        <v>-0.78400000000000003</v>
      </c>
      <c r="Z121" s="14">
        <v>0</v>
      </c>
      <c r="AA121" s="14">
        <v>5</v>
      </c>
      <c r="AB121" s="10"/>
      <c r="AC121" s="20">
        <v>1.02</v>
      </c>
    </row>
    <row r="122" spans="1:29" x14ac:dyDescent="0.25">
      <c r="A122" s="10">
        <f>A121</f>
        <v>30</v>
      </c>
      <c r="B122" s="10"/>
      <c r="C122" s="11" t="str">
        <f>IF(C121="*",C121,"")</f>
        <v/>
      </c>
      <c r="D122" s="12"/>
      <c r="E122" s="13" t="str">
        <f t="shared" ref="E122:G124" si="37">E121</f>
        <v>COMNGA</v>
      </c>
      <c r="F122" s="13" t="str">
        <f t="shared" si="37"/>
        <v>COMRETOldWHEUE</v>
      </c>
      <c r="G122" s="13" t="str">
        <f t="shared" si="37"/>
        <v>COMRETOldWHEUE</v>
      </c>
      <c r="H122" s="14">
        <v>2025</v>
      </c>
      <c r="I122" s="14" t="str">
        <f>I121</f>
        <v>LO</v>
      </c>
      <c r="J122" s="14"/>
      <c r="K122" s="15">
        <f>-ROUNDDOWN(SUMIFS('COM RESID'!$O:$O,'COM RESID'!$H:$H,$E122,'COM RESID'!$I:$I,$F122)/SUMIFS('COM RESID'!$O:$O,'COM RESID'!$I:$I,$F122),3)*O122</f>
        <v>-0.61440000000000006</v>
      </c>
      <c r="L122" s="14"/>
      <c r="M122" s="14"/>
      <c r="N122" s="10"/>
      <c r="O122" s="20">
        <v>0.8</v>
      </c>
      <c r="Q122" s="11" t="str">
        <f t="shared" si="20"/>
        <v/>
      </c>
      <c r="R122" s="12"/>
      <c r="S122" s="13" t="str">
        <f t="shared" si="22"/>
        <v>COMNGA</v>
      </c>
      <c r="T122" s="13" t="str">
        <f t="shared" si="23"/>
        <v>COMRETOldWHEUE</v>
      </c>
      <c r="U122" s="13" t="str">
        <f t="shared" si="24"/>
        <v>COMRETOldWHEUE</v>
      </c>
      <c r="V122" s="14">
        <v>2025</v>
      </c>
      <c r="W122" s="14" t="str">
        <f>W121</f>
        <v>UP</v>
      </c>
      <c r="X122" s="14"/>
      <c r="Y122" s="15">
        <f>-ROUNDUP(MIN(SUMIFS('COM RESID'!$O:$O,'COM RESID'!$H:$H,$E122,'COM RESID'!$I:$I,$F122)/SUMIFS('COM RESID'!$O:$O,'COM RESID'!$I:$I,$F122)*AC122,1),3)</f>
        <v>-0.76900000000000002</v>
      </c>
      <c r="Z122" s="14"/>
      <c r="AA122" s="14"/>
      <c r="AB122" s="10"/>
      <c r="AC122" s="20">
        <f>IF(S122="COMELC",IF(SUMIFS('COM RESID'!$O:$O,'COM RESID'!$H:$H,$E122,'COM RESID'!$I:$I,$F122)/SUMIFS('COM RESID'!$O:$O,'COM RESID'!$I:$I,$F122)*1.2&lt;0.25,0.25/(SUMIFS('COM RESID'!$O:$O,'COM RESID'!$H:$H,$E122,'COM RESID'!$I:$I,$F122)/SUMIFS('COM RESID'!$O:$O,'COM RESID'!$I:$I,$F122)),1.2),IF(ISNUMBER(SEARCH("WHEUE",T122)),IF(OR(S122="COMNGA",S122="COMFOI"),1,1.2),1.2))</f>
        <v>1</v>
      </c>
    </row>
    <row r="123" spans="1:29" x14ac:dyDescent="0.25">
      <c r="A123" s="10">
        <f>A122</f>
        <v>30</v>
      </c>
      <c r="B123" s="10"/>
      <c r="C123" s="11" t="str">
        <f>IF(C122="*",C122,"")</f>
        <v/>
      </c>
      <c r="D123" s="12"/>
      <c r="E123" s="13" t="str">
        <f t="shared" si="37"/>
        <v>COMNGA</v>
      </c>
      <c r="F123" s="13" t="str">
        <f t="shared" si="37"/>
        <v>COMRETOldWHEUE</v>
      </c>
      <c r="G123" s="13" t="str">
        <f t="shared" si="37"/>
        <v>COMRETOldWHEUE</v>
      </c>
      <c r="H123" s="14">
        <v>2030</v>
      </c>
      <c r="I123" s="14" t="str">
        <f>I122</f>
        <v>LO</v>
      </c>
      <c r="J123" s="14"/>
      <c r="K123" s="15">
        <f>-ROUNDDOWN(SUMIFS('COM RESID'!$O:$O,'COM RESID'!$H:$H,$E123,'COM RESID'!$I:$I,$F123)/SUMIFS('COM RESID'!$O:$O,'COM RESID'!$I:$I,$F123),3)*O123</f>
        <v>-0.15360000000000001</v>
      </c>
      <c r="L123" s="14"/>
      <c r="M123" s="14"/>
      <c r="N123" s="10"/>
      <c r="O123" s="20">
        <v>0.2</v>
      </c>
      <c r="Q123" s="11" t="str">
        <f t="shared" si="20"/>
        <v/>
      </c>
      <c r="R123" s="12"/>
      <c r="S123" s="13" t="str">
        <f t="shared" si="22"/>
        <v>COMNGA</v>
      </c>
      <c r="T123" s="13" t="str">
        <f t="shared" si="23"/>
        <v>COMRETOldWHEUE</v>
      </c>
      <c r="U123" s="13" t="str">
        <f t="shared" si="24"/>
        <v>COMRETOldWHEUE</v>
      </c>
      <c r="V123" s="14">
        <v>2030</v>
      </c>
      <c r="W123" s="14" t="str">
        <f>W122</f>
        <v>UP</v>
      </c>
      <c r="X123" s="14"/>
      <c r="Y123" s="15">
        <f>-ROUNDUP(MIN(SUMIFS('COM RESID'!$O:$O,'COM RESID'!$H:$H,$E123,'COM RESID'!$I:$I,$F123)/SUMIFS('COM RESID'!$O:$O,'COM RESID'!$I:$I,$F123)*AC123,1),3)</f>
        <v>-0.69199999999999995</v>
      </c>
      <c r="Z123" s="14"/>
      <c r="AA123" s="14"/>
      <c r="AB123" s="10"/>
      <c r="AC123" s="20">
        <f>IF(S123="COMELC",IF(SUMIFS('COM RESID'!$O:$O,'COM RESID'!$H:$H,$E123,'COM RESID'!$I:$I,$F123)/SUMIFS('COM RESID'!$O:$O,'COM RESID'!$I:$I,$F123)*1.5&lt;0.5,0.5/(SUMIFS('COM RESID'!$O:$O,'COM RESID'!$H:$H,$E123,'COM RESID'!$I:$I,$F123)/SUMIFS('COM RESID'!$O:$O,'COM RESID'!$I:$I,$F123)),1.5),IF(ISNUMBER(SEARCH("WHEUE",T122)),IF(OR(S122="COMNGA",S122="COMFOI"),0.9,1.5),1.5))</f>
        <v>0.9</v>
      </c>
    </row>
    <row r="124" spans="1:29" x14ac:dyDescent="0.25">
      <c r="A124" s="26">
        <f>A123</f>
        <v>30</v>
      </c>
      <c r="B124" s="26"/>
      <c r="C124" s="21" t="str">
        <f>IF(C123="*",C123,"")</f>
        <v/>
      </c>
      <c r="D124" s="22"/>
      <c r="E124" s="23" t="str">
        <f t="shared" si="37"/>
        <v>COMNGA</v>
      </c>
      <c r="F124" s="23" t="str">
        <f t="shared" si="37"/>
        <v>COMRETOldWHEUE</v>
      </c>
      <c r="G124" s="23" t="str">
        <f t="shared" si="37"/>
        <v>COMRETOldWHEUE</v>
      </c>
      <c r="H124" s="24">
        <v>2050</v>
      </c>
      <c r="I124" s="24" t="str">
        <f>I123</f>
        <v>LO</v>
      </c>
      <c r="J124" s="24"/>
      <c r="K124" s="25">
        <f>-ROUNDDOWN(SUMIFS('COM RESID'!$O:$O,'COM RESID'!$H:$H,$E124,'COM RESID'!$I:$I,$F124)/SUMIFS('COM RESID'!$O:$O,'COM RESID'!$I:$I,$F124),3)*O124</f>
        <v>0</v>
      </c>
      <c r="L124" s="24"/>
      <c r="M124" s="24"/>
      <c r="N124" s="26"/>
      <c r="O124" s="27">
        <v>0</v>
      </c>
      <c r="Q124" s="21" t="str">
        <f t="shared" si="20"/>
        <v/>
      </c>
      <c r="R124" s="22"/>
      <c r="S124" s="23" t="str">
        <f t="shared" si="22"/>
        <v>COMNGA</v>
      </c>
      <c r="T124" s="23" t="str">
        <f t="shared" si="23"/>
        <v>COMRETOldWHEUE</v>
      </c>
      <c r="U124" s="23" t="str">
        <f t="shared" si="24"/>
        <v>COMRETOldWHEUE</v>
      </c>
      <c r="V124" s="24">
        <v>2050</v>
      </c>
      <c r="W124" s="24" t="str">
        <f>W123</f>
        <v>UP</v>
      </c>
      <c r="X124" s="24"/>
      <c r="Y124" s="25">
        <f>-ROUNDUP(MIN(SUMIFS('COM RESID'!$O:$O,'COM RESID'!$H:$H,$E124,'COM RESID'!$I:$I,$F124)/SUMIFS('COM RESID'!$O:$O,'COM RESID'!$I:$I,$F124)*AC124,1),3)</f>
        <v>-0.57699999999999996</v>
      </c>
      <c r="Z124" s="24"/>
      <c r="AA124" s="24"/>
      <c r="AB124" s="26"/>
      <c r="AC124" s="27">
        <f>IF(S124="COMELC",IF(SUMIFS('COM RESID'!$O:$O,'COM RESID'!$H:$H,$E124,'COM RESID'!$I:$I,$F124)/SUMIFS('COM RESID'!$O:$O,'COM RESID'!$I:$I,$F124)*3&lt;1,1/(SUMIFS('COM RESID'!$O:$O,'COM RESID'!$H:$H,$E124,'COM RESID'!$I:$I,$F124)/SUMIFS('COM RESID'!$O:$O,'COM RESID'!$I:$I,$F124)),3),IF(ISNUMBER(SEARCH("WHEUE",T122)),IF(OR(S122="COMNGA",S122="COMFOI"),0.75,3),3))</f>
        <v>0.75</v>
      </c>
    </row>
    <row r="125" spans="1:29" x14ac:dyDescent="0.25">
      <c r="A125" s="19">
        <f>A121+1</f>
        <v>31</v>
      </c>
      <c r="B125" s="10"/>
      <c r="C125" s="11" t="str">
        <f>IF(E125="","",IF(_xlfn.XLOOKUP($A125,Selected_constraint_UC!$A:$A,Selected_constraint_UC!$D:$D)=1,"*",IF(SUMIFS('COM TECH'!$N:$N,'COM TECH'!$K:$K,E125,'COM TECH'!$L:$L,F125)=0,"*",IF(SUMIFS('COM RESID'!$O:$O,'COM RESID'!$H:$H,$E125,'COM RESID'!$I:$I,$F125)=0,"*","UC_MarketShare_"&amp;LEFT(F125,LEN(F125)-3)&amp;"_"&amp;RIGHT(E125,3)&amp;"_MIN"))))</f>
        <v>*</v>
      </c>
      <c r="D125" s="12"/>
      <c r="E125" s="13" t="str">
        <f>_xlfn.XLOOKUP($A125,Selected_constraint_UC!$A:$A,Selected_constraint_UC!$B:$B)</f>
        <v>COMSTM</v>
      </c>
      <c r="F125" s="13" t="str">
        <f>_xlfn.XLOOKUP($A125,Selected_constraint_UC!$A:$A,Selected_constraint_UC!$C:$C)</f>
        <v>COMRETOldWHEUE</v>
      </c>
      <c r="G125" s="13" t="str">
        <f>F125</f>
        <v>COMRETOldWHEUE</v>
      </c>
      <c r="H125" s="14">
        <v>2019</v>
      </c>
      <c r="I125" s="14" t="s">
        <v>3848</v>
      </c>
      <c r="J125" s="14">
        <v>1</v>
      </c>
      <c r="K125" s="15">
        <f>-ROUNDDOWN(SUMIFS('COM RESID'!$O:$O,'COM RESID'!$H:$H,$E125,'COM RESID'!$I:$I,$F125)/SUMIFS('COM RESID'!$O:$O,'COM RESID'!$I:$I,$F125),3)*O125</f>
        <v>0</v>
      </c>
      <c r="L125" s="14">
        <v>0</v>
      </c>
      <c r="M125" s="14">
        <v>5</v>
      </c>
      <c r="N125" s="10"/>
      <c r="O125" s="20">
        <v>0.98</v>
      </c>
      <c r="Q125" s="11" t="str">
        <f t="shared" si="20"/>
        <v>*</v>
      </c>
      <c r="R125" s="12"/>
      <c r="S125" s="13" t="str">
        <f t="shared" si="22"/>
        <v>COMSTM</v>
      </c>
      <c r="T125" s="13" t="str">
        <f t="shared" si="23"/>
        <v>COMRETOldWHEUE</v>
      </c>
      <c r="U125" s="13" t="str">
        <f t="shared" si="24"/>
        <v>COMRETOldWHEUE</v>
      </c>
      <c r="V125" s="14">
        <v>2019</v>
      </c>
      <c r="W125" s="14" t="s">
        <v>3849</v>
      </c>
      <c r="X125" s="14">
        <v>1</v>
      </c>
      <c r="Y125" s="15">
        <f>-ROUNDUP(MIN(SUMIFS('COM RESID'!$O:$O,'COM RESID'!$H:$H,$E125,'COM RESID'!$I:$I,$F125)/SUMIFS('COM RESID'!$O:$O,'COM RESID'!$I:$I,$F125)*AC125,1),3)</f>
        <v>0</v>
      </c>
      <c r="Z125" s="14">
        <v>0</v>
      </c>
      <c r="AA125" s="14">
        <v>5</v>
      </c>
      <c r="AB125" s="10"/>
      <c r="AC125" s="20">
        <v>1.02</v>
      </c>
    </row>
    <row r="126" spans="1:29" x14ac:dyDescent="0.25">
      <c r="A126" s="10">
        <f>A125</f>
        <v>31</v>
      </c>
      <c r="B126" s="10"/>
      <c r="C126" s="11" t="str">
        <f>IF(C125="*",C125,"")</f>
        <v>*</v>
      </c>
      <c r="D126" s="12"/>
      <c r="E126" s="13" t="str">
        <f t="shared" ref="E126:G128" si="38">E125</f>
        <v>COMSTM</v>
      </c>
      <c r="F126" s="13" t="str">
        <f t="shared" si="38"/>
        <v>COMRETOldWHEUE</v>
      </c>
      <c r="G126" s="13" t="str">
        <f t="shared" si="38"/>
        <v>COMRETOldWHEUE</v>
      </c>
      <c r="H126" s="14">
        <v>2025</v>
      </c>
      <c r="I126" s="14" t="str">
        <f>I125</f>
        <v>LO</v>
      </c>
      <c r="J126" s="14"/>
      <c r="K126" s="15">
        <f>-ROUNDDOWN(SUMIFS('COM RESID'!$O:$O,'COM RESID'!$H:$H,$E126,'COM RESID'!$I:$I,$F126)/SUMIFS('COM RESID'!$O:$O,'COM RESID'!$I:$I,$F126),3)*O126</f>
        <v>0</v>
      </c>
      <c r="L126" s="14"/>
      <c r="M126" s="14"/>
      <c r="N126" s="10"/>
      <c r="O126" s="20">
        <v>0.8</v>
      </c>
      <c r="Q126" s="11" t="str">
        <f t="shared" si="20"/>
        <v>*</v>
      </c>
      <c r="R126" s="12"/>
      <c r="S126" s="13" t="str">
        <f t="shared" si="22"/>
        <v>COMSTM</v>
      </c>
      <c r="T126" s="13" t="str">
        <f t="shared" si="23"/>
        <v>COMRETOldWHEUE</v>
      </c>
      <c r="U126" s="13" t="str">
        <f t="shared" si="24"/>
        <v>COMRETOldWHEUE</v>
      </c>
      <c r="V126" s="14">
        <v>2025</v>
      </c>
      <c r="W126" s="14" t="str">
        <f>W125</f>
        <v>UP</v>
      </c>
      <c r="X126" s="14"/>
      <c r="Y126" s="15">
        <f>-ROUNDUP(MIN(SUMIFS('COM RESID'!$O:$O,'COM RESID'!$H:$H,$E126,'COM RESID'!$I:$I,$F126)/SUMIFS('COM RESID'!$O:$O,'COM RESID'!$I:$I,$F126)*AC126,1),3)</f>
        <v>0</v>
      </c>
      <c r="Z126" s="14"/>
      <c r="AA126" s="14"/>
      <c r="AB126" s="10"/>
      <c r="AC126" s="20">
        <f>IF(S126="COMELC",IF(SUMIFS('COM RESID'!$O:$O,'COM RESID'!$H:$H,$E126,'COM RESID'!$I:$I,$F126)/SUMIFS('COM RESID'!$O:$O,'COM RESID'!$I:$I,$F126)*1.2&lt;0.25,0.25/(SUMIFS('COM RESID'!$O:$O,'COM RESID'!$H:$H,$E126,'COM RESID'!$I:$I,$F126)/SUMIFS('COM RESID'!$O:$O,'COM RESID'!$I:$I,$F126)),1.2),IF(ISNUMBER(SEARCH("WHEUE",T126)),IF(OR(S126="COMNGA",S126="COMFOI"),1,1.2),1.2))</f>
        <v>1.2</v>
      </c>
    </row>
    <row r="127" spans="1:29" x14ac:dyDescent="0.25">
      <c r="A127" s="10">
        <f>A126</f>
        <v>31</v>
      </c>
      <c r="B127" s="10"/>
      <c r="C127" s="11" t="str">
        <f>IF(C126="*",C126,"")</f>
        <v>*</v>
      </c>
      <c r="D127" s="12"/>
      <c r="E127" s="13" t="str">
        <f t="shared" si="38"/>
        <v>COMSTM</v>
      </c>
      <c r="F127" s="13" t="str">
        <f t="shared" si="38"/>
        <v>COMRETOldWHEUE</v>
      </c>
      <c r="G127" s="13" t="str">
        <f t="shared" si="38"/>
        <v>COMRETOldWHEUE</v>
      </c>
      <c r="H127" s="14">
        <v>2030</v>
      </c>
      <c r="I127" s="14" t="str">
        <f>I126</f>
        <v>LO</v>
      </c>
      <c r="J127" s="14"/>
      <c r="K127" s="15">
        <f>-ROUNDDOWN(SUMIFS('COM RESID'!$O:$O,'COM RESID'!$H:$H,$E127,'COM RESID'!$I:$I,$F127)/SUMIFS('COM RESID'!$O:$O,'COM RESID'!$I:$I,$F127),3)*O127</f>
        <v>0</v>
      </c>
      <c r="L127" s="14"/>
      <c r="M127" s="14"/>
      <c r="N127" s="10"/>
      <c r="O127" s="20">
        <v>0.2</v>
      </c>
      <c r="Q127" s="11" t="str">
        <f t="shared" si="20"/>
        <v>*</v>
      </c>
      <c r="R127" s="12"/>
      <c r="S127" s="13" t="str">
        <f t="shared" si="22"/>
        <v>COMSTM</v>
      </c>
      <c r="T127" s="13" t="str">
        <f t="shared" si="23"/>
        <v>COMRETOldWHEUE</v>
      </c>
      <c r="U127" s="13" t="str">
        <f t="shared" si="24"/>
        <v>COMRETOldWHEUE</v>
      </c>
      <c r="V127" s="14">
        <v>2030</v>
      </c>
      <c r="W127" s="14" t="str">
        <f>W126</f>
        <v>UP</v>
      </c>
      <c r="X127" s="14"/>
      <c r="Y127" s="15">
        <f>-ROUNDUP(MIN(SUMIFS('COM RESID'!$O:$O,'COM RESID'!$H:$H,$E127,'COM RESID'!$I:$I,$F127)/SUMIFS('COM RESID'!$O:$O,'COM RESID'!$I:$I,$F127)*AC127,1),3)</f>
        <v>0</v>
      </c>
      <c r="Z127" s="14"/>
      <c r="AA127" s="14"/>
      <c r="AB127" s="10"/>
      <c r="AC127" s="20">
        <f>IF(S127="COMELC",IF(SUMIFS('COM RESID'!$O:$O,'COM RESID'!$H:$H,$E127,'COM RESID'!$I:$I,$F127)/SUMIFS('COM RESID'!$O:$O,'COM RESID'!$I:$I,$F127)*1.5&lt;0.5,0.5/(SUMIFS('COM RESID'!$O:$O,'COM RESID'!$H:$H,$E127,'COM RESID'!$I:$I,$F127)/SUMIFS('COM RESID'!$O:$O,'COM RESID'!$I:$I,$F127)),1.5),IF(ISNUMBER(SEARCH("WHEUE",T126)),IF(OR(S126="COMNGA",S126="COMFOI"),0.9,1.5),1.5))</f>
        <v>1.5</v>
      </c>
    </row>
    <row r="128" spans="1:29" x14ac:dyDescent="0.25">
      <c r="A128" s="26">
        <f>A127</f>
        <v>31</v>
      </c>
      <c r="B128" s="26"/>
      <c r="C128" s="21" t="str">
        <f>IF(C127="*",C127,"")</f>
        <v>*</v>
      </c>
      <c r="D128" s="22"/>
      <c r="E128" s="23" t="str">
        <f t="shared" si="38"/>
        <v>COMSTM</v>
      </c>
      <c r="F128" s="23" t="str">
        <f t="shared" si="38"/>
        <v>COMRETOldWHEUE</v>
      </c>
      <c r="G128" s="23" t="str">
        <f t="shared" si="38"/>
        <v>COMRETOldWHEUE</v>
      </c>
      <c r="H128" s="24">
        <v>2050</v>
      </c>
      <c r="I128" s="24" t="str">
        <f>I127</f>
        <v>LO</v>
      </c>
      <c r="J128" s="24"/>
      <c r="K128" s="25">
        <f>-ROUNDDOWN(SUMIFS('COM RESID'!$O:$O,'COM RESID'!$H:$H,$E128,'COM RESID'!$I:$I,$F128)/SUMIFS('COM RESID'!$O:$O,'COM RESID'!$I:$I,$F128),3)*O128</f>
        <v>0</v>
      </c>
      <c r="L128" s="24"/>
      <c r="M128" s="24"/>
      <c r="N128" s="26"/>
      <c r="O128" s="27">
        <v>0</v>
      </c>
      <c r="Q128" s="21" t="str">
        <f t="shared" si="20"/>
        <v>*</v>
      </c>
      <c r="R128" s="22"/>
      <c r="S128" s="23" t="str">
        <f t="shared" si="22"/>
        <v>COMSTM</v>
      </c>
      <c r="T128" s="23" t="str">
        <f t="shared" si="23"/>
        <v>COMRETOldWHEUE</v>
      </c>
      <c r="U128" s="23" t="str">
        <f t="shared" si="24"/>
        <v>COMRETOldWHEUE</v>
      </c>
      <c r="V128" s="24">
        <v>2050</v>
      </c>
      <c r="W128" s="24" t="str">
        <f>W127</f>
        <v>UP</v>
      </c>
      <c r="X128" s="24"/>
      <c r="Y128" s="25">
        <f>-ROUNDUP(MIN(SUMIFS('COM RESID'!$O:$O,'COM RESID'!$H:$H,$E128,'COM RESID'!$I:$I,$F128)/SUMIFS('COM RESID'!$O:$O,'COM RESID'!$I:$I,$F128)*AC128,1),3)</f>
        <v>0</v>
      </c>
      <c r="Z128" s="24"/>
      <c r="AA128" s="24"/>
      <c r="AB128" s="26"/>
      <c r="AC128" s="27">
        <f>IF(S128="COMELC",IF(SUMIFS('COM RESID'!$O:$O,'COM RESID'!$H:$H,$E128,'COM RESID'!$I:$I,$F128)/SUMIFS('COM RESID'!$O:$O,'COM RESID'!$I:$I,$F128)*3&lt;1,1/(SUMIFS('COM RESID'!$O:$O,'COM RESID'!$H:$H,$E128,'COM RESID'!$I:$I,$F128)/SUMIFS('COM RESID'!$O:$O,'COM RESID'!$I:$I,$F128)),3),IF(ISNUMBER(SEARCH("WHEUE",T126)),IF(OR(S126="COMNGA",S126="COMFOI"),0.75,3),3))</f>
        <v>3</v>
      </c>
    </row>
    <row r="129" spans="1:29" x14ac:dyDescent="0.25">
      <c r="A129" s="19">
        <f>A125+1</f>
        <v>32</v>
      </c>
      <c r="B129" s="10"/>
      <c r="C129" s="11" t="str">
        <f>IF(E129="","",IF(_xlfn.XLOOKUP($A129,Selected_constraint_UC!$A:$A,Selected_constraint_UC!$D:$D)=1,"*",IF(SUMIFS('COM TECH'!$N:$N,'COM TECH'!$K:$K,E129,'COM TECH'!$L:$L,F129)=0,"*",IF(SUMIFS('COM RESID'!$O:$O,'COM RESID'!$H:$H,$E129,'COM RESID'!$I:$I,$F129)=0,"*","UC_MarketShare_"&amp;LEFT(F129,LEN(F129)-3)&amp;"_"&amp;RIGHT(E129,3)&amp;"_MIN"))))</f>
        <v>UC_MarketShare_COMRETOldWH_ELC_MIN</v>
      </c>
      <c r="D129" s="12"/>
      <c r="E129" s="13" t="str">
        <f>_xlfn.XLOOKUP($A129,Selected_constraint_UC!$A:$A,Selected_constraint_UC!$B:$B)</f>
        <v>COMELC</v>
      </c>
      <c r="F129" s="13" t="str">
        <f>_xlfn.XLOOKUP($A129,Selected_constraint_UC!$A:$A,Selected_constraint_UC!$C:$C)</f>
        <v>COMRETOldWHEUE</v>
      </c>
      <c r="G129" s="13" t="str">
        <f>F129</f>
        <v>COMRETOldWHEUE</v>
      </c>
      <c r="H129" s="14">
        <v>2019</v>
      </c>
      <c r="I129" s="14" t="s">
        <v>3848</v>
      </c>
      <c r="J129" s="14">
        <v>1</v>
      </c>
      <c r="K129" s="15">
        <f>-ROUNDDOWN(SUMIFS('COM RESID'!$O:$O,'COM RESID'!$H:$H,$E129,'COM RESID'!$I:$I,$F129)/SUMIFS('COM RESID'!$O:$O,'COM RESID'!$I:$I,$F129),3)*O129</f>
        <v>-0.21854000000000001</v>
      </c>
      <c r="L129" s="14">
        <v>0</v>
      </c>
      <c r="M129" s="14">
        <v>5</v>
      </c>
      <c r="N129" s="10"/>
      <c r="O129" s="20">
        <v>0.98</v>
      </c>
      <c r="Q129" s="11" t="str">
        <f t="shared" si="20"/>
        <v>UC_MarketShare_COMRETOldWH_ELC_MAX</v>
      </c>
      <c r="R129" s="12"/>
      <c r="S129" s="13" t="str">
        <f t="shared" si="22"/>
        <v>COMELC</v>
      </c>
      <c r="T129" s="13" t="str">
        <f t="shared" si="23"/>
        <v>COMRETOldWHEUE</v>
      </c>
      <c r="U129" s="13" t="str">
        <f t="shared" si="24"/>
        <v>COMRETOldWHEUE</v>
      </c>
      <c r="V129" s="14">
        <v>2019</v>
      </c>
      <c r="W129" s="14" t="s">
        <v>3849</v>
      </c>
      <c r="X129" s="14">
        <v>1</v>
      </c>
      <c r="Y129" s="15">
        <f>-ROUNDUP(MIN(SUMIFS('COM RESID'!$O:$O,'COM RESID'!$H:$H,$E129,'COM RESID'!$I:$I,$F129)/SUMIFS('COM RESID'!$O:$O,'COM RESID'!$I:$I,$F129)*AC129,1),3)</f>
        <v>-0.22900000000000001</v>
      </c>
      <c r="Z129" s="14">
        <v>0</v>
      </c>
      <c r="AA129" s="14">
        <v>5</v>
      </c>
      <c r="AB129" s="10"/>
      <c r="AC129" s="20">
        <v>1.02</v>
      </c>
    </row>
    <row r="130" spans="1:29" x14ac:dyDescent="0.25">
      <c r="A130" s="10">
        <f>A129</f>
        <v>32</v>
      </c>
      <c r="B130" s="10"/>
      <c r="C130" s="11" t="str">
        <f>IF(C129="*",C129,"")</f>
        <v/>
      </c>
      <c r="D130" s="12"/>
      <c r="E130" s="13" t="str">
        <f t="shared" ref="E130:G132" si="39">E129</f>
        <v>COMELC</v>
      </c>
      <c r="F130" s="13" t="str">
        <f t="shared" si="39"/>
        <v>COMRETOldWHEUE</v>
      </c>
      <c r="G130" s="13" t="str">
        <f t="shared" si="39"/>
        <v>COMRETOldWHEUE</v>
      </c>
      <c r="H130" s="14">
        <v>2025</v>
      </c>
      <c r="I130" s="14" t="str">
        <f>I129</f>
        <v>LO</v>
      </c>
      <c r="J130" s="14"/>
      <c r="K130" s="15">
        <f>-ROUNDDOWN(SUMIFS('COM RESID'!$O:$O,'COM RESID'!$H:$H,$E130,'COM RESID'!$I:$I,$F130)/SUMIFS('COM RESID'!$O:$O,'COM RESID'!$I:$I,$F130),3)*O130</f>
        <v>-0.1784</v>
      </c>
      <c r="L130" s="14"/>
      <c r="M130" s="14"/>
      <c r="N130" s="10"/>
      <c r="O130" s="20">
        <v>0.8</v>
      </c>
      <c r="Q130" s="11" t="str">
        <f t="shared" si="20"/>
        <v/>
      </c>
      <c r="R130" s="12"/>
      <c r="S130" s="13" t="str">
        <f t="shared" si="22"/>
        <v>COMELC</v>
      </c>
      <c r="T130" s="13" t="str">
        <f t="shared" si="23"/>
        <v>COMRETOldWHEUE</v>
      </c>
      <c r="U130" s="13" t="str">
        <f t="shared" si="24"/>
        <v>COMRETOldWHEUE</v>
      </c>
      <c r="V130" s="14">
        <v>2025</v>
      </c>
      <c r="W130" s="14" t="str">
        <f>W129</f>
        <v>UP</v>
      </c>
      <c r="X130" s="14"/>
      <c r="Y130" s="15">
        <f>-ROUNDUP(MIN(SUMIFS('COM RESID'!$O:$O,'COM RESID'!$H:$H,$E130,'COM RESID'!$I:$I,$F130)/SUMIFS('COM RESID'!$O:$O,'COM RESID'!$I:$I,$F130)*AC130,1),3)</f>
        <v>-0.26900000000000002</v>
      </c>
      <c r="Z130" s="14"/>
      <c r="AA130" s="14"/>
      <c r="AB130" s="10"/>
      <c r="AC130" s="20">
        <f>IF(S130="COMELC",IF(SUMIFS('COM RESID'!$O:$O,'COM RESID'!$H:$H,$E130,'COM RESID'!$I:$I,$F130)/SUMIFS('COM RESID'!$O:$O,'COM RESID'!$I:$I,$F130)*1.2&lt;0.25,0.25/(SUMIFS('COM RESID'!$O:$O,'COM RESID'!$H:$H,$E130,'COM RESID'!$I:$I,$F130)/SUMIFS('COM RESID'!$O:$O,'COM RESID'!$I:$I,$F130)),1.2),IF(ISNUMBER(SEARCH("WHEUE",T130)),IF(OR(S130="COMNGA",S130="COMFOI"),1,1.2),1.2))</f>
        <v>1.2</v>
      </c>
    </row>
    <row r="131" spans="1:29" x14ac:dyDescent="0.25">
      <c r="A131" s="10">
        <f>A130</f>
        <v>32</v>
      </c>
      <c r="B131" s="10"/>
      <c r="C131" s="11" t="str">
        <f>IF(C130="*",C130,"")</f>
        <v/>
      </c>
      <c r="D131" s="12"/>
      <c r="E131" s="13" t="str">
        <f t="shared" si="39"/>
        <v>COMELC</v>
      </c>
      <c r="F131" s="13" t="str">
        <f t="shared" si="39"/>
        <v>COMRETOldWHEUE</v>
      </c>
      <c r="G131" s="13" t="str">
        <f t="shared" si="39"/>
        <v>COMRETOldWHEUE</v>
      </c>
      <c r="H131" s="14">
        <v>2030</v>
      </c>
      <c r="I131" s="14" t="str">
        <f>I130</f>
        <v>LO</v>
      </c>
      <c r="J131" s="14"/>
      <c r="K131" s="15">
        <f>-ROUNDDOWN(SUMIFS('COM RESID'!$O:$O,'COM RESID'!$H:$H,$E131,'COM RESID'!$I:$I,$F131)/SUMIFS('COM RESID'!$O:$O,'COM RESID'!$I:$I,$F131),3)*O131</f>
        <v>-0.16725000000000001</v>
      </c>
      <c r="L131" s="14"/>
      <c r="M131" s="14"/>
      <c r="N131" s="10"/>
      <c r="O131" s="20">
        <v>0.75</v>
      </c>
      <c r="Q131" s="11" t="str">
        <f t="shared" si="20"/>
        <v/>
      </c>
      <c r="R131" s="12"/>
      <c r="S131" s="13" t="str">
        <f t="shared" si="22"/>
        <v>COMELC</v>
      </c>
      <c r="T131" s="13" t="str">
        <f t="shared" si="23"/>
        <v>COMRETOldWHEUE</v>
      </c>
      <c r="U131" s="13" t="str">
        <f t="shared" si="24"/>
        <v>COMRETOldWHEUE</v>
      </c>
      <c r="V131" s="14">
        <v>2030</v>
      </c>
      <c r="W131" s="14" t="str">
        <f>W130</f>
        <v>UP</v>
      </c>
      <c r="X131" s="14"/>
      <c r="Y131" s="15">
        <f>-ROUNDUP(MIN(SUMIFS('COM RESID'!$O:$O,'COM RESID'!$H:$H,$E131,'COM RESID'!$I:$I,$F131)/SUMIFS('COM RESID'!$O:$O,'COM RESID'!$I:$I,$F131)*AC131,1),3)</f>
        <v>-0.5</v>
      </c>
      <c r="Z131" s="14"/>
      <c r="AA131" s="14"/>
      <c r="AB131" s="10"/>
      <c r="AC131" s="20">
        <f>IF(S131="COMELC",IF(SUMIFS('COM RESID'!$O:$O,'COM RESID'!$H:$H,$E131,'COM RESID'!$I:$I,$F131)/SUMIFS('COM RESID'!$O:$O,'COM RESID'!$I:$I,$F131)*1.5&lt;0.5,0.5/(SUMIFS('COM RESID'!$O:$O,'COM RESID'!$H:$H,$E131,'COM RESID'!$I:$I,$F131)/SUMIFS('COM RESID'!$O:$O,'COM RESID'!$I:$I,$F131)),1.5),IF(ISNUMBER(SEARCH("WHEUE",T130)),IF(OR(S130="COMNGA",S130="COMFOI"),0.9,1.5),1.5))</f>
        <v>2.235006520704272</v>
      </c>
    </row>
    <row r="132" spans="1:29" x14ac:dyDescent="0.25">
      <c r="A132" s="26">
        <f>A131</f>
        <v>32</v>
      </c>
      <c r="B132" s="26"/>
      <c r="C132" s="21" t="str">
        <f>IF(C131="*",C131,"")</f>
        <v/>
      </c>
      <c r="D132" s="22"/>
      <c r="E132" s="23" t="str">
        <f t="shared" si="39"/>
        <v>COMELC</v>
      </c>
      <c r="F132" s="23" t="str">
        <f t="shared" si="39"/>
        <v>COMRETOldWHEUE</v>
      </c>
      <c r="G132" s="23" t="str">
        <f t="shared" si="39"/>
        <v>COMRETOldWHEUE</v>
      </c>
      <c r="H132" s="24">
        <v>2050</v>
      </c>
      <c r="I132" s="24" t="str">
        <f>I131</f>
        <v>LO</v>
      </c>
      <c r="J132" s="24"/>
      <c r="K132" s="25">
        <f>-ROUNDDOWN(SUMIFS('COM RESID'!$O:$O,'COM RESID'!$H:$H,$E132,'COM RESID'!$I:$I,$F132)/SUMIFS('COM RESID'!$O:$O,'COM RESID'!$I:$I,$F132),3)*O132</f>
        <v>-0.16725000000000001</v>
      </c>
      <c r="L132" s="24"/>
      <c r="M132" s="24"/>
      <c r="N132" s="26"/>
      <c r="O132" s="27">
        <v>0.75</v>
      </c>
      <c r="Q132" s="21" t="str">
        <f t="shared" si="20"/>
        <v/>
      </c>
      <c r="R132" s="22"/>
      <c r="S132" s="23" t="str">
        <f t="shared" si="22"/>
        <v>COMELC</v>
      </c>
      <c r="T132" s="23" t="str">
        <f t="shared" si="23"/>
        <v>COMRETOldWHEUE</v>
      </c>
      <c r="U132" s="23" t="str">
        <f t="shared" si="24"/>
        <v>COMRETOldWHEUE</v>
      </c>
      <c r="V132" s="24">
        <v>2050</v>
      </c>
      <c r="W132" s="24" t="str">
        <f>W131</f>
        <v>UP</v>
      </c>
      <c r="X132" s="24"/>
      <c r="Y132" s="25">
        <f>-ROUNDUP(MIN(SUMIFS('COM RESID'!$O:$O,'COM RESID'!$H:$H,$E132,'COM RESID'!$I:$I,$F132)/SUMIFS('COM RESID'!$O:$O,'COM RESID'!$I:$I,$F132)*AC132,1),3)</f>
        <v>-1</v>
      </c>
      <c r="Z132" s="24"/>
      <c r="AA132" s="24"/>
      <c r="AB132" s="26"/>
      <c r="AC132" s="27">
        <f>IF(S132="COMELC",IF(SUMIFS('COM RESID'!$O:$O,'COM RESID'!$H:$H,$E132,'COM RESID'!$I:$I,$F132)/SUMIFS('COM RESID'!$O:$O,'COM RESID'!$I:$I,$F132)*3&lt;1,1/(SUMIFS('COM RESID'!$O:$O,'COM RESID'!$H:$H,$E132,'COM RESID'!$I:$I,$F132)/SUMIFS('COM RESID'!$O:$O,'COM RESID'!$I:$I,$F132)),3),IF(ISNUMBER(SEARCH("WHEUE",T130)),IF(OR(S130="COMNGA",S130="COMFOI"),0.75,3),3))</f>
        <v>4.4700130414085439</v>
      </c>
    </row>
    <row r="133" spans="1:29" x14ac:dyDescent="0.25">
      <c r="A133" s="19">
        <f>A129+1</f>
        <v>33</v>
      </c>
      <c r="B133" s="10"/>
      <c r="C133" s="11" t="str">
        <f>IF(E133="","",IF(_xlfn.XLOOKUP($A133,Selected_constraint_UC!$A:$A,Selected_constraint_UC!$D:$D)=1,"*",IF(SUMIFS('COM TECH'!$N:$N,'COM TECH'!$K:$K,E133,'COM TECH'!$L:$L,F133)=0,"*",IF(SUMIFS('COM RESID'!$O:$O,'COM RESID'!$H:$H,$E133,'COM RESID'!$I:$I,$F133)=0,"*","UC_MarketShare_"&amp;LEFT(F133,LEN(F133)-3)&amp;"_"&amp;RIGHT(E133,3)&amp;"_MIN"))))</f>
        <v>*</v>
      </c>
      <c r="D133" s="12"/>
      <c r="E133" s="13" t="str">
        <f>_xlfn.XLOOKUP($A133,Selected_constraint_UC!$A:$A,Selected_constraint_UC!$B:$B)</f>
        <v>COMELC</v>
      </c>
      <c r="F133" s="13" t="str">
        <f>_xlfn.XLOOKUP($A133,Selected_constraint_UC!$A:$A,Selected_constraint_UC!$C:$C)</f>
        <v>COMRETOldLTEUE</v>
      </c>
      <c r="G133" s="13" t="str">
        <f>F133</f>
        <v>COMRETOldLTEUE</v>
      </c>
      <c r="H133" s="14">
        <v>2019</v>
      </c>
      <c r="I133" s="14" t="s">
        <v>3848</v>
      </c>
      <c r="J133" s="14">
        <v>1</v>
      </c>
      <c r="K133" s="15">
        <f>-ROUNDDOWN(SUMIFS('COM RESID'!$O:$O,'COM RESID'!$H:$H,$E133,'COM RESID'!$I:$I,$F133)/SUMIFS('COM RESID'!$O:$O,'COM RESID'!$I:$I,$F133),3)*O133</f>
        <v>-0.98</v>
      </c>
      <c r="L133" s="14">
        <v>0</v>
      </c>
      <c r="M133" s="14">
        <v>5</v>
      </c>
      <c r="N133" s="10"/>
      <c r="O133" s="20">
        <v>0.98</v>
      </c>
      <c r="Q133" s="11" t="str">
        <f t="shared" ref="Q133:Q196" si="40">SUBSTITUTE(C133,"MIN","MAX")</f>
        <v>*</v>
      </c>
      <c r="R133" s="12"/>
      <c r="S133" s="13" t="str">
        <f t="shared" si="22"/>
        <v>COMELC</v>
      </c>
      <c r="T133" s="13" t="str">
        <f t="shared" si="23"/>
        <v>COMRETOldLTEUE</v>
      </c>
      <c r="U133" s="13" t="str">
        <f t="shared" si="24"/>
        <v>COMRETOldLTEUE</v>
      </c>
      <c r="V133" s="14">
        <v>2019</v>
      </c>
      <c r="W133" s="14" t="s">
        <v>3849</v>
      </c>
      <c r="X133" s="14">
        <v>1</v>
      </c>
      <c r="Y133" s="15">
        <f>-ROUNDUP(MIN(SUMIFS('COM RESID'!$O:$O,'COM RESID'!$H:$H,$E133,'COM RESID'!$I:$I,$F133)/SUMIFS('COM RESID'!$O:$O,'COM RESID'!$I:$I,$F133)*AC133,1),3)</f>
        <v>-1</v>
      </c>
      <c r="Z133" s="14">
        <v>0</v>
      </c>
      <c r="AA133" s="14">
        <v>5</v>
      </c>
      <c r="AB133" s="10"/>
      <c r="AC133" s="20">
        <v>1.02</v>
      </c>
    </row>
    <row r="134" spans="1:29" x14ac:dyDescent="0.25">
      <c r="A134" s="10">
        <f>A133</f>
        <v>33</v>
      </c>
      <c r="B134" s="10"/>
      <c r="C134" s="11" t="str">
        <f>IF(C133="*",C133,"")</f>
        <v>*</v>
      </c>
      <c r="D134" s="12"/>
      <c r="E134" s="13" t="str">
        <f t="shared" ref="E134:G136" si="41">E133</f>
        <v>COMELC</v>
      </c>
      <c r="F134" s="13" t="str">
        <f t="shared" si="41"/>
        <v>COMRETOldLTEUE</v>
      </c>
      <c r="G134" s="13" t="str">
        <f t="shared" si="41"/>
        <v>COMRETOldLTEUE</v>
      </c>
      <c r="H134" s="14">
        <v>2025</v>
      </c>
      <c r="I134" s="14" t="str">
        <f>I133</f>
        <v>LO</v>
      </c>
      <c r="J134" s="14"/>
      <c r="K134" s="15">
        <f>-ROUNDDOWN(SUMIFS('COM RESID'!$O:$O,'COM RESID'!$H:$H,$E134,'COM RESID'!$I:$I,$F134)/SUMIFS('COM RESID'!$O:$O,'COM RESID'!$I:$I,$F134),3)*O134</f>
        <v>-0.8</v>
      </c>
      <c r="L134" s="14"/>
      <c r="M134" s="14"/>
      <c r="N134" s="10"/>
      <c r="O134" s="20">
        <v>0.8</v>
      </c>
      <c r="Q134" s="11" t="str">
        <f t="shared" si="40"/>
        <v>*</v>
      </c>
      <c r="R134" s="12"/>
      <c r="S134" s="13" t="str">
        <f t="shared" ref="S134:S197" si="42">E134</f>
        <v>COMELC</v>
      </c>
      <c r="T134" s="13" t="str">
        <f t="shared" ref="T134:T197" si="43">F134</f>
        <v>COMRETOldLTEUE</v>
      </c>
      <c r="U134" s="13" t="str">
        <f t="shared" ref="U134:U197" si="44">G134</f>
        <v>COMRETOldLTEUE</v>
      </c>
      <c r="V134" s="14">
        <v>2025</v>
      </c>
      <c r="W134" s="14" t="str">
        <f>W133</f>
        <v>UP</v>
      </c>
      <c r="X134" s="14"/>
      <c r="Y134" s="15">
        <f>-ROUNDUP(MIN(SUMIFS('COM RESID'!$O:$O,'COM RESID'!$H:$H,$E134,'COM RESID'!$I:$I,$F134)/SUMIFS('COM RESID'!$O:$O,'COM RESID'!$I:$I,$F134)*AC134,1),3)</f>
        <v>-1</v>
      </c>
      <c r="Z134" s="14"/>
      <c r="AA134" s="14"/>
      <c r="AB134" s="10"/>
      <c r="AC134" s="20">
        <f>IF(S134="COMELC",IF(SUMIFS('COM RESID'!$O:$O,'COM RESID'!$H:$H,$E134,'COM RESID'!$I:$I,$F134)/SUMIFS('COM RESID'!$O:$O,'COM RESID'!$I:$I,$F134)*1.2&lt;0.25,0.25/(SUMIFS('COM RESID'!$O:$O,'COM RESID'!$H:$H,$E134,'COM RESID'!$I:$I,$F134)/SUMIFS('COM RESID'!$O:$O,'COM RESID'!$I:$I,$F134)),1.2),IF(ISNUMBER(SEARCH("WHEUE",T134)),IF(OR(S134="COMNGA",S134="COMFOI"),1,1.2),1.2))</f>
        <v>1.2</v>
      </c>
    </row>
    <row r="135" spans="1:29" x14ac:dyDescent="0.25">
      <c r="A135" s="10">
        <f>A134</f>
        <v>33</v>
      </c>
      <c r="B135" s="10"/>
      <c r="C135" s="11" t="str">
        <f>IF(C134="*",C134,"")</f>
        <v>*</v>
      </c>
      <c r="D135" s="12"/>
      <c r="E135" s="13" t="str">
        <f t="shared" si="41"/>
        <v>COMELC</v>
      </c>
      <c r="F135" s="13" t="str">
        <f t="shared" si="41"/>
        <v>COMRETOldLTEUE</v>
      </c>
      <c r="G135" s="13" t="str">
        <f t="shared" si="41"/>
        <v>COMRETOldLTEUE</v>
      </c>
      <c r="H135" s="14">
        <v>2030</v>
      </c>
      <c r="I135" s="14" t="str">
        <f>I134</f>
        <v>LO</v>
      </c>
      <c r="J135" s="14"/>
      <c r="K135" s="15">
        <f>-ROUNDDOWN(SUMIFS('COM RESID'!$O:$O,'COM RESID'!$H:$H,$E135,'COM RESID'!$I:$I,$F135)/SUMIFS('COM RESID'!$O:$O,'COM RESID'!$I:$I,$F135),3)*O135</f>
        <v>-0.2</v>
      </c>
      <c r="L135" s="14"/>
      <c r="M135" s="14"/>
      <c r="N135" s="10"/>
      <c r="O135" s="20">
        <v>0.2</v>
      </c>
      <c r="Q135" s="11" t="str">
        <f t="shared" si="40"/>
        <v>*</v>
      </c>
      <c r="R135" s="12"/>
      <c r="S135" s="13" t="str">
        <f t="shared" si="42"/>
        <v>COMELC</v>
      </c>
      <c r="T135" s="13" t="str">
        <f t="shared" si="43"/>
        <v>COMRETOldLTEUE</v>
      </c>
      <c r="U135" s="13" t="str">
        <f t="shared" si="44"/>
        <v>COMRETOldLTEUE</v>
      </c>
      <c r="V135" s="14">
        <v>2030</v>
      </c>
      <c r="W135" s="14" t="str">
        <f>W134</f>
        <v>UP</v>
      </c>
      <c r="X135" s="14"/>
      <c r="Y135" s="15">
        <f>-ROUNDUP(MIN(SUMIFS('COM RESID'!$O:$O,'COM RESID'!$H:$H,$E135,'COM RESID'!$I:$I,$F135)/SUMIFS('COM RESID'!$O:$O,'COM RESID'!$I:$I,$F135)*AC135,1),3)</f>
        <v>-1</v>
      </c>
      <c r="Z135" s="14"/>
      <c r="AA135" s="14"/>
      <c r="AB135" s="10"/>
      <c r="AC135" s="20">
        <f>IF(S135="COMELC",IF(SUMIFS('COM RESID'!$O:$O,'COM RESID'!$H:$H,$E135,'COM RESID'!$I:$I,$F135)/SUMIFS('COM RESID'!$O:$O,'COM RESID'!$I:$I,$F135)*1.5&lt;0.5,0.5/(SUMIFS('COM RESID'!$O:$O,'COM RESID'!$H:$H,$E135,'COM RESID'!$I:$I,$F135)/SUMIFS('COM RESID'!$O:$O,'COM RESID'!$I:$I,$F135)),1.5),IF(ISNUMBER(SEARCH("WHEUE",T134)),IF(OR(S134="COMNGA",S134="COMFOI"),0.9,1.5),1.5))</f>
        <v>1.5</v>
      </c>
    </row>
    <row r="136" spans="1:29" x14ac:dyDescent="0.25">
      <c r="A136" s="26">
        <f>A135</f>
        <v>33</v>
      </c>
      <c r="B136" s="26"/>
      <c r="C136" s="21" t="str">
        <f>IF(C135="*",C135,"")</f>
        <v>*</v>
      </c>
      <c r="D136" s="22"/>
      <c r="E136" s="23" t="str">
        <f t="shared" si="41"/>
        <v>COMELC</v>
      </c>
      <c r="F136" s="23" t="str">
        <f t="shared" si="41"/>
        <v>COMRETOldLTEUE</v>
      </c>
      <c r="G136" s="23" t="str">
        <f t="shared" si="41"/>
        <v>COMRETOldLTEUE</v>
      </c>
      <c r="H136" s="24">
        <v>2050</v>
      </c>
      <c r="I136" s="24" t="str">
        <f>I135</f>
        <v>LO</v>
      </c>
      <c r="J136" s="24"/>
      <c r="K136" s="25">
        <f>-ROUNDDOWN(SUMIFS('COM RESID'!$O:$O,'COM RESID'!$H:$H,$E136,'COM RESID'!$I:$I,$F136)/SUMIFS('COM RESID'!$O:$O,'COM RESID'!$I:$I,$F136),3)*O136</f>
        <v>0</v>
      </c>
      <c r="L136" s="24"/>
      <c r="M136" s="24"/>
      <c r="N136" s="26"/>
      <c r="O136" s="27">
        <v>0</v>
      </c>
      <c r="Q136" s="21" t="str">
        <f t="shared" si="40"/>
        <v>*</v>
      </c>
      <c r="R136" s="22"/>
      <c r="S136" s="23" t="str">
        <f t="shared" si="42"/>
        <v>COMELC</v>
      </c>
      <c r="T136" s="23" t="str">
        <f t="shared" si="43"/>
        <v>COMRETOldLTEUE</v>
      </c>
      <c r="U136" s="23" t="str">
        <f t="shared" si="44"/>
        <v>COMRETOldLTEUE</v>
      </c>
      <c r="V136" s="24">
        <v>2050</v>
      </c>
      <c r="W136" s="24" t="str">
        <f>W135</f>
        <v>UP</v>
      </c>
      <c r="X136" s="24"/>
      <c r="Y136" s="25">
        <f>-ROUNDUP(MIN(SUMIFS('COM RESID'!$O:$O,'COM RESID'!$H:$H,$E136,'COM RESID'!$I:$I,$F136)/SUMIFS('COM RESID'!$O:$O,'COM RESID'!$I:$I,$F136)*AC136,1),3)</f>
        <v>-1</v>
      </c>
      <c r="Z136" s="24"/>
      <c r="AA136" s="24"/>
      <c r="AB136" s="26"/>
      <c r="AC136" s="27">
        <f>IF(S136="COMELC",IF(SUMIFS('COM RESID'!$O:$O,'COM RESID'!$H:$H,$E136,'COM RESID'!$I:$I,$F136)/SUMIFS('COM RESID'!$O:$O,'COM RESID'!$I:$I,$F136)*3&lt;1,1/(SUMIFS('COM RESID'!$O:$O,'COM RESID'!$H:$H,$E136,'COM RESID'!$I:$I,$F136)/SUMIFS('COM RESID'!$O:$O,'COM RESID'!$I:$I,$F136)),3),IF(ISNUMBER(SEARCH("WHEUE",T134)),IF(OR(S134="COMNGA",S134="COMFOI"),0.75,3),3))</f>
        <v>3</v>
      </c>
    </row>
    <row r="137" spans="1:29" x14ac:dyDescent="0.25">
      <c r="A137" s="19">
        <f>A133+1</f>
        <v>34</v>
      </c>
      <c r="B137" s="10"/>
      <c r="C137" s="11" t="str">
        <f>IF(E137="","",IF(_xlfn.XLOOKUP($A137,Selected_constraint_UC!$A:$A,Selected_constraint_UC!$D:$D)=1,"*",IF(SUMIFS('COM TECH'!$N:$N,'COM TECH'!$K:$K,E137,'COM TECH'!$L:$L,F137)=0,"*",IF(SUMIFS('COM RESID'!$O:$O,'COM RESID'!$H:$H,$E137,'COM RESID'!$I:$I,$F137)=0,"*","UC_MarketShare_"&amp;LEFT(F137,LEN(F137)-3)&amp;"_"&amp;RIGHT(E137,3)&amp;"_MIN"))))</f>
        <v>*</v>
      </c>
      <c r="D137" s="12"/>
      <c r="E137" s="13" t="str">
        <f>_xlfn.XLOOKUP($A137,Selected_constraint_UC!$A:$A,Selected_constraint_UC!$B:$B)</f>
        <v>COMFOI</v>
      </c>
      <c r="F137" s="13" t="str">
        <f>_xlfn.XLOOKUP($A137,Selected_constraint_UC!$A:$A,Selected_constraint_UC!$C:$C)</f>
        <v>COMRETOldCKEUE</v>
      </c>
      <c r="G137" s="13" t="str">
        <f>F137</f>
        <v>COMRETOldCKEUE</v>
      </c>
      <c r="H137" s="14">
        <v>2019</v>
      </c>
      <c r="I137" s="14" t="s">
        <v>3848</v>
      </c>
      <c r="J137" s="14">
        <v>1</v>
      </c>
      <c r="K137" s="15">
        <f>-ROUNDDOWN(SUMIFS('COM RESID'!$O:$O,'COM RESID'!$H:$H,$E137,'COM RESID'!$I:$I,$F137)/SUMIFS('COM RESID'!$O:$O,'COM RESID'!$I:$I,$F137),3)*O137</f>
        <v>0</v>
      </c>
      <c r="L137" s="14">
        <v>0</v>
      </c>
      <c r="M137" s="14">
        <v>5</v>
      </c>
      <c r="N137" s="10"/>
      <c r="O137" s="20">
        <v>0.98</v>
      </c>
      <c r="Q137" s="11" t="str">
        <f t="shared" si="40"/>
        <v>*</v>
      </c>
      <c r="R137" s="12"/>
      <c r="S137" s="13" t="str">
        <f t="shared" si="42"/>
        <v>COMFOI</v>
      </c>
      <c r="T137" s="13" t="str">
        <f t="shared" si="43"/>
        <v>COMRETOldCKEUE</v>
      </c>
      <c r="U137" s="13" t="str">
        <f t="shared" si="44"/>
        <v>COMRETOldCKEUE</v>
      </c>
      <c r="V137" s="14">
        <v>2019</v>
      </c>
      <c r="W137" s="14" t="s">
        <v>3849</v>
      </c>
      <c r="X137" s="14">
        <v>1</v>
      </c>
      <c r="Y137" s="15">
        <f>-ROUNDUP(MIN(SUMIFS('COM RESID'!$O:$O,'COM RESID'!$H:$H,$E137,'COM RESID'!$I:$I,$F137)/SUMIFS('COM RESID'!$O:$O,'COM RESID'!$I:$I,$F137)*AC137,1),3)</f>
        <v>0</v>
      </c>
      <c r="Z137" s="14">
        <v>0</v>
      </c>
      <c r="AA137" s="14">
        <v>5</v>
      </c>
      <c r="AB137" s="10"/>
      <c r="AC137" s="20">
        <v>1.02</v>
      </c>
    </row>
    <row r="138" spans="1:29" x14ac:dyDescent="0.25">
      <c r="A138" s="10">
        <f>A137</f>
        <v>34</v>
      </c>
      <c r="B138" s="10"/>
      <c r="C138" s="11" t="str">
        <f>IF(C137="*",C137,"")</f>
        <v>*</v>
      </c>
      <c r="D138" s="12"/>
      <c r="E138" s="13" t="str">
        <f t="shared" ref="E138:G140" si="45">E137</f>
        <v>COMFOI</v>
      </c>
      <c r="F138" s="13" t="str">
        <f t="shared" si="45"/>
        <v>COMRETOldCKEUE</v>
      </c>
      <c r="G138" s="13" t="str">
        <f t="shared" si="45"/>
        <v>COMRETOldCKEUE</v>
      </c>
      <c r="H138" s="14">
        <v>2025</v>
      </c>
      <c r="I138" s="14" t="str">
        <f>I137</f>
        <v>LO</v>
      </c>
      <c r="J138" s="14"/>
      <c r="K138" s="15">
        <f>-ROUNDDOWN(SUMIFS('COM RESID'!$O:$O,'COM RESID'!$H:$H,$E138,'COM RESID'!$I:$I,$F138)/SUMIFS('COM RESID'!$O:$O,'COM RESID'!$I:$I,$F138),3)*O138</f>
        <v>0</v>
      </c>
      <c r="L138" s="14"/>
      <c r="M138" s="14"/>
      <c r="N138" s="10"/>
      <c r="O138" s="20">
        <v>0.8</v>
      </c>
      <c r="Q138" s="11" t="str">
        <f t="shared" si="40"/>
        <v>*</v>
      </c>
      <c r="R138" s="12"/>
      <c r="S138" s="13" t="str">
        <f t="shared" si="42"/>
        <v>COMFOI</v>
      </c>
      <c r="T138" s="13" t="str">
        <f t="shared" si="43"/>
        <v>COMRETOldCKEUE</v>
      </c>
      <c r="U138" s="13" t="str">
        <f t="shared" si="44"/>
        <v>COMRETOldCKEUE</v>
      </c>
      <c r="V138" s="14">
        <v>2025</v>
      </c>
      <c r="W138" s="14" t="str">
        <f>W137</f>
        <v>UP</v>
      </c>
      <c r="X138" s="14"/>
      <c r="Y138" s="15">
        <f>-ROUNDUP(MIN(SUMIFS('COM RESID'!$O:$O,'COM RESID'!$H:$H,$E138,'COM RESID'!$I:$I,$F138)/SUMIFS('COM RESID'!$O:$O,'COM RESID'!$I:$I,$F138)*AC138,1),3)</f>
        <v>0</v>
      </c>
      <c r="Z138" s="14"/>
      <c r="AA138" s="14"/>
      <c r="AB138" s="10"/>
      <c r="AC138" s="20">
        <f>IF(S138="COMELC",IF(SUMIFS('COM RESID'!$O:$O,'COM RESID'!$H:$H,$E138,'COM RESID'!$I:$I,$F138)/SUMIFS('COM RESID'!$O:$O,'COM RESID'!$I:$I,$F138)*1.2&lt;0.25,0.25/(SUMIFS('COM RESID'!$O:$O,'COM RESID'!$H:$H,$E138,'COM RESID'!$I:$I,$F138)/SUMIFS('COM RESID'!$O:$O,'COM RESID'!$I:$I,$F138)),1.2),IF(ISNUMBER(SEARCH("WHEUE",T138)),IF(OR(S138="COMNGA",S138="COMFOI"),1,1.2),1.2))</f>
        <v>1.2</v>
      </c>
    </row>
    <row r="139" spans="1:29" x14ac:dyDescent="0.25">
      <c r="A139" s="10">
        <f>A138</f>
        <v>34</v>
      </c>
      <c r="B139" s="10"/>
      <c r="C139" s="11" t="str">
        <f>IF(C138="*",C138,"")</f>
        <v>*</v>
      </c>
      <c r="D139" s="12"/>
      <c r="E139" s="13" t="str">
        <f t="shared" si="45"/>
        <v>COMFOI</v>
      </c>
      <c r="F139" s="13" t="str">
        <f t="shared" si="45"/>
        <v>COMRETOldCKEUE</v>
      </c>
      <c r="G139" s="13" t="str">
        <f t="shared" si="45"/>
        <v>COMRETOldCKEUE</v>
      </c>
      <c r="H139" s="14">
        <v>2030</v>
      </c>
      <c r="I139" s="14" t="str">
        <f>I138</f>
        <v>LO</v>
      </c>
      <c r="J139" s="14"/>
      <c r="K139" s="15">
        <f>-ROUNDDOWN(SUMIFS('COM RESID'!$O:$O,'COM RESID'!$H:$H,$E139,'COM RESID'!$I:$I,$F139)/SUMIFS('COM RESID'!$O:$O,'COM RESID'!$I:$I,$F139),3)*O139</f>
        <v>0</v>
      </c>
      <c r="L139" s="14"/>
      <c r="M139" s="14"/>
      <c r="N139" s="10"/>
      <c r="O139" s="20">
        <v>0.2</v>
      </c>
      <c r="Q139" s="11" t="str">
        <f t="shared" si="40"/>
        <v>*</v>
      </c>
      <c r="R139" s="12"/>
      <c r="S139" s="13" t="str">
        <f t="shared" si="42"/>
        <v>COMFOI</v>
      </c>
      <c r="T139" s="13" t="str">
        <f t="shared" si="43"/>
        <v>COMRETOldCKEUE</v>
      </c>
      <c r="U139" s="13" t="str">
        <f t="shared" si="44"/>
        <v>COMRETOldCKEUE</v>
      </c>
      <c r="V139" s="14">
        <v>2030</v>
      </c>
      <c r="W139" s="14" t="str">
        <f>W138</f>
        <v>UP</v>
      </c>
      <c r="X139" s="14"/>
      <c r="Y139" s="15">
        <f>-ROUNDUP(MIN(SUMIFS('COM RESID'!$O:$O,'COM RESID'!$H:$H,$E139,'COM RESID'!$I:$I,$F139)/SUMIFS('COM RESID'!$O:$O,'COM RESID'!$I:$I,$F139)*AC139,1),3)</f>
        <v>0</v>
      </c>
      <c r="Z139" s="14"/>
      <c r="AA139" s="14"/>
      <c r="AB139" s="10"/>
      <c r="AC139" s="20">
        <f>IF(S139="COMELC",IF(SUMIFS('COM RESID'!$O:$O,'COM RESID'!$H:$H,$E139,'COM RESID'!$I:$I,$F139)/SUMIFS('COM RESID'!$O:$O,'COM RESID'!$I:$I,$F139)*1.5&lt;0.5,0.5/(SUMIFS('COM RESID'!$O:$O,'COM RESID'!$H:$H,$E139,'COM RESID'!$I:$I,$F139)/SUMIFS('COM RESID'!$O:$O,'COM RESID'!$I:$I,$F139)),1.5),IF(ISNUMBER(SEARCH("WHEUE",T138)),IF(OR(S138="COMNGA",S138="COMFOI"),0.9,1.5),1.5))</f>
        <v>1.5</v>
      </c>
    </row>
    <row r="140" spans="1:29" x14ac:dyDescent="0.25">
      <c r="A140" s="26">
        <f>A139</f>
        <v>34</v>
      </c>
      <c r="B140" s="26"/>
      <c r="C140" s="21" t="str">
        <f>IF(C139="*",C139,"")</f>
        <v>*</v>
      </c>
      <c r="D140" s="22"/>
      <c r="E140" s="23" t="str">
        <f t="shared" si="45"/>
        <v>COMFOI</v>
      </c>
      <c r="F140" s="23" t="str">
        <f t="shared" si="45"/>
        <v>COMRETOldCKEUE</v>
      </c>
      <c r="G140" s="23" t="str">
        <f t="shared" si="45"/>
        <v>COMRETOldCKEUE</v>
      </c>
      <c r="H140" s="24">
        <v>2050</v>
      </c>
      <c r="I140" s="24" t="str">
        <f>I139</f>
        <v>LO</v>
      </c>
      <c r="J140" s="24"/>
      <c r="K140" s="25">
        <f>-ROUNDDOWN(SUMIFS('COM RESID'!$O:$O,'COM RESID'!$H:$H,$E140,'COM RESID'!$I:$I,$F140)/SUMIFS('COM RESID'!$O:$O,'COM RESID'!$I:$I,$F140),3)*O140</f>
        <v>0</v>
      </c>
      <c r="L140" s="24"/>
      <c r="M140" s="24"/>
      <c r="N140" s="26"/>
      <c r="O140" s="27">
        <v>0</v>
      </c>
      <c r="Q140" s="21" t="str">
        <f t="shared" si="40"/>
        <v>*</v>
      </c>
      <c r="R140" s="22"/>
      <c r="S140" s="23" t="str">
        <f t="shared" si="42"/>
        <v>COMFOI</v>
      </c>
      <c r="T140" s="23" t="str">
        <f t="shared" si="43"/>
        <v>COMRETOldCKEUE</v>
      </c>
      <c r="U140" s="23" t="str">
        <f t="shared" si="44"/>
        <v>COMRETOldCKEUE</v>
      </c>
      <c r="V140" s="24">
        <v>2050</v>
      </c>
      <c r="W140" s="24" t="str">
        <f>W139</f>
        <v>UP</v>
      </c>
      <c r="X140" s="24"/>
      <c r="Y140" s="25">
        <f>-ROUNDUP(MIN(SUMIFS('COM RESID'!$O:$O,'COM RESID'!$H:$H,$E140,'COM RESID'!$I:$I,$F140)/SUMIFS('COM RESID'!$O:$O,'COM RESID'!$I:$I,$F140)*AC140,1),3)</f>
        <v>0</v>
      </c>
      <c r="Z140" s="24"/>
      <c r="AA140" s="24"/>
      <c r="AB140" s="26"/>
      <c r="AC140" s="27">
        <f>IF(S140="COMELC",IF(SUMIFS('COM RESID'!$O:$O,'COM RESID'!$H:$H,$E140,'COM RESID'!$I:$I,$F140)/SUMIFS('COM RESID'!$O:$O,'COM RESID'!$I:$I,$F140)*3&lt;1,1/(SUMIFS('COM RESID'!$O:$O,'COM RESID'!$H:$H,$E140,'COM RESID'!$I:$I,$F140)/SUMIFS('COM RESID'!$O:$O,'COM RESID'!$I:$I,$F140)),3),IF(ISNUMBER(SEARCH("WHEUE",T138)),IF(OR(S138="COMNGA",S138="COMFOI"),0.75,3),3))</f>
        <v>3</v>
      </c>
    </row>
    <row r="141" spans="1:29" x14ac:dyDescent="0.25">
      <c r="A141" s="19">
        <f>A137+1</f>
        <v>35</v>
      </c>
      <c r="B141" s="10"/>
      <c r="C141" s="11" t="str">
        <f>IF(E141="","",IF(_xlfn.XLOOKUP($A141,Selected_constraint_UC!$A:$A,Selected_constraint_UC!$D:$D)=1,"*",IF(SUMIFS('COM TECH'!$N:$N,'COM TECH'!$K:$K,E141,'COM TECH'!$L:$L,F141)=0,"*",IF(SUMIFS('COM RESID'!$O:$O,'COM RESID'!$H:$H,$E141,'COM RESID'!$I:$I,$F141)=0,"*","UC_MarketShare_"&amp;LEFT(F141,LEN(F141)-3)&amp;"_"&amp;RIGHT(E141,3)&amp;"_MIN"))))</f>
        <v>*</v>
      </c>
      <c r="D141" s="12"/>
      <c r="E141" s="13" t="str">
        <f>_xlfn.XLOOKUP($A141,Selected_constraint_UC!$A:$A,Selected_constraint_UC!$B:$B)</f>
        <v>COMNGA</v>
      </c>
      <c r="F141" s="13" t="str">
        <f>_xlfn.XLOOKUP($A141,Selected_constraint_UC!$A:$A,Selected_constraint_UC!$C:$C)</f>
        <v>COMRETOldCKEUE</v>
      </c>
      <c r="G141" s="13" t="str">
        <f>F141</f>
        <v>COMRETOldCKEUE</v>
      </c>
      <c r="H141" s="14">
        <v>2019</v>
      </c>
      <c r="I141" s="14" t="s">
        <v>3848</v>
      </c>
      <c r="J141" s="14">
        <v>1</v>
      </c>
      <c r="K141" s="15">
        <f>-ROUNDDOWN(SUMIFS('COM RESID'!$O:$O,'COM RESID'!$H:$H,$E141,'COM RESID'!$I:$I,$F141)/SUMIFS('COM RESID'!$O:$O,'COM RESID'!$I:$I,$F141),3)*O141</f>
        <v>-0.90454000000000001</v>
      </c>
      <c r="L141" s="14">
        <v>0</v>
      </c>
      <c r="M141" s="14">
        <v>5</v>
      </c>
      <c r="N141" s="10"/>
      <c r="O141" s="20">
        <v>0.98</v>
      </c>
      <c r="Q141" s="11" t="str">
        <f t="shared" si="40"/>
        <v>*</v>
      </c>
      <c r="R141" s="12"/>
      <c r="S141" s="13" t="str">
        <f t="shared" si="42"/>
        <v>COMNGA</v>
      </c>
      <c r="T141" s="13" t="str">
        <f t="shared" si="43"/>
        <v>COMRETOldCKEUE</v>
      </c>
      <c r="U141" s="13" t="str">
        <f t="shared" si="44"/>
        <v>COMRETOldCKEUE</v>
      </c>
      <c r="V141" s="14">
        <v>2019</v>
      </c>
      <c r="W141" s="14" t="s">
        <v>3849</v>
      </c>
      <c r="X141" s="14">
        <v>1</v>
      </c>
      <c r="Y141" s="15">
        <f>-ROUNDUP(MIN(SUMIFS('COM RESID'!$O:$O,'COM RESID'!$H:$H,$E141,'COM RESID'!$I:$I,$F141)/SUMIFS('COM RESID'!$O:$O,'COM RESID'!$I:$I,$F141)*AC141,1),3)</f>
        <v>-0.94199999999999995</v>
      </c>
      <c r="Z141" s="14">
        <v>0</v>
      </c>
      <c r="AA141" s="14">
        <v>5</v>
      </c>
      <c r="AB141" s="10"/>
      <c r="AC141" s="20">
        <v>1.02</v>
      </c>
    </row>
    <row r="142" spans="1:29" x14ac:dyDescent="0.25">
      <c r="A142" s="10">
        <f>A141</f>
        <v>35</v>
      </c>
      <c r="B142" s="10"/>
      <c r="C142" s="11" t="str">
        <f>IF(C141="*",C141,"")</f>
        <v>*</v>
      </c>
      <c r="D142" s="12"/>
      <c r="E142" s="13" t="str">
        <f t="shared" ref="E142:G144" si="46">E141</f>
        <v>COMNGA</v>
      </c>
      <c r="F142" s="13" t="str">
        <f t="shared" si="46"/>
        <v>COMRETOldCKEUE</v>
      </c>
      <c r="G142" s="13" t="str">
        <f t="shared" si="46"/>
        <v>COMRETOldCKEUE</v>
      </c>
      <c r="H142" s="14">
        <v>2025</v>
      </c>
      <c r="I142" s="14" t="str">
        <f>I141</f>
        <v>LO</v>
      </c>
      <c r="J142" s="14"/>
      <c r="K142" s="15">
        <f>-ROUNDDOWN(SUMIFS('COM RESID'!$O:$O,'COM RESID'!$H:$H,$E142,'COM RESID'!$I:$I,$F142)/SUMIFS('COM RESID'!$O:$O,'COM RESID'!$I:$I,$F142),3)*O142</f>
        <v>-0.73840000000000006</v>
      </c>
      <c r="L142" s="14"/>
      <c r="M142" s="14"/>
      <c r="N142" s="10"/>
      <c r="O142" s="20">
        <v>0.8</v>
      </c>
      <c r="Q142" s="11" t="str">
        <f t="shared" si="40"/>
        <v>*</v>
      </c>
      <c r="R142" s="12"/>
      <c r="S142" s="13" t="str">
        <f t="shared" si="42"/>
        <v>COMNGA</v>
      </c>
      <c r="T142" s="13" t="str">
        <f t="shared" si="43"/>
        <v>COMRETOldCKEUE</v>
      </c>
      <c r="U142" s="13" t="str">
        <f t="shared" si="44"/>
        <v>COMRETOldCKEUE</v>
      </c>
      <c r="V142" s="14">
        <v>2025</v>
      </c>
      <c r="W142" s="14" t="str">
        <f>W141</f>
        <v>UP</v>
      </c>
      <c r="X142" s="14"/>
      <c r="Y142" s="15">
        <f>-ROUNDUP(MIN(SUMIFS('COM RESID'!$O:$O,'COM RESID'!$H:$H,$E142,'COM RESID'!$I:$I,$F142)/SUMIFS('COM RESID'!$O:$O,'COM RESID'!$I:$I,$F142)*AC142,1),3)</f>
        <v>-1</v>
      </c>
      <c r="Z142" s="14"/>
      <c r="AA142" s="14"/>
      <c r="AB142" s="10"/>
      <c r="AC142" s="20">
        <f>IF(S142="COMELC",IF(SUMIFS('COM RESID'!$O:$O,'COM RESID'!$H:$H,$E142,'COM RESID'!$I:$I,$F142)/SUMIFS('COM RESID'!$O:$O,'COM RESID'!$I:$I,$F142)*1.2&lt;0.25,0.25/(SUMIFS('COM RESID'!$O:$O,'COM RESID'!$H:$H,$E142,'COM RESID'!$I:$I,$F142)/SUMIFS('COM RESID'!$O:$O,'COM RESID'!$I:$I,$F142)),1.2),IF(ISNUMBER(SEARCH("WHEUE",T142)),IF(OR(S142="COMNGA",S142="COMFOI"),1,1.2),1.2))</f>
        <v>1.2</v>
      </c>
    </row>
    <row r="143" spans="1:29" x14ac:dyDescent="0.25">
      <c r="A143" s="10">
        <f>A142</f>
        <v>35</v>
      </c>
      <c r="B143" s="10"/>
      <c r="C143" s="11" t="str">
        <f>IF(C142="*",C142,"")</f>
        <v>*</v>
      </c>
      <c r="D143" s="12"/>
      <c r="E143" s="13" t="str">
        <f t="shared" si="46"/>
        <v>COMNGA</v>
      </c>
      <c r="F143" s="13" t="str">
        <f t="shared" si="46"/>
        <v>COMRETOldCKEUE</v>
      </c>
      <c r="G143" s="13" t="str">
        <f t="shared" si="46"/>
        <v>COMRETOldCKEUE</v>
      </c>
      <c r="H143" s="14">
        <v>2030</v>
      </c>
      <c r="I143" s="14" t="str">
        <f>I142</f>
        <v>LO</v>
      </c>
      <c r="J143" s="14"/>
      <c r="K143" s="15">
        <f>-ROUNDDOWN(SUMIFS('COM RESID'!$O:$O,'COM RESID'!$H:$H,$E143,'COM RESID'!$I:$I,$F143)/SUMIFS('COM RESID'!$O:$O,'COM RESID'!$I:$I,$F143),3)*O143</f>
        <v>-0.18460000000000001</v>
      </c>
      <c r="L143" s="14"/>
      <c r="M143" s="14"/>
      <c r="N143" s="10"/>
      <c r="O143" s="20">
        <v>0.2</v>
      </c>
      <c r="Q143" s="11" t="str">
        <f t="shared" si="40"/>
        <v>*</v>
      </c>
      <c r="R143" s="12"/>
      <c r="S143" s="13" t="str">
        <f t="shared" si="42"/>
        <v>COMNGA</v>
      </c>
      <c r="T143" s="13" t="str">
        <f t="shared" si="43"/>
        <v>COMRETOldCKEUE</v>
      </c>
      <c r="U143" s="13" t="str">
        <f t="shared" si="44"/>
        <v>COMRETOldCKEUE</v>
      </c>
      <c r="V143" s="14">
        <v>2030</v>
      </c>
      <c r="W143" s="14" t="str">
        <f>W142</f>
        <v>UP</v>
      </c>
      <c r="X143" s="14"/>
      <c r="Y143" s="15">
        <f>-ROUNDUP(MIN(SUMIFS('COM RESID'!$O:$O,'COM RESID'!$H:$H,$E143,'COM RESID'!$I:$I,$F143)/SUMIFS('COM RESID'!$O:$O,'COM RESID'!$I:$I,$F143)*AC143,1),3)</f>
        <v>-1</v>
      </c>
      <c r="Z143" s="14"/>
      <c r="AA143" s="14"/>
      <c r="AB143" s="10"/>
      <c r="AC143" s="20">
        <f>IF(S143="COMELC",IF(SUMIFS('COM RESID'!$O:$O,'COM RESID'!$H:$H,$E143,'COM RESID'!$I:$I,$F143)/SUMIFS('COM RESID'!$O:$O,'COM RESID'!$I:$I,$F143)*1.5&lt;0.5,0.5/(SUMIFS('COM RESID'!$O:$O,'COM RESID'!$H:$H,$E143,'COM RESID'!$I:$I,$F143)/SUMIFS('COM RESID'!$O:$O,'COM RESID'!$I:$I,$F143)),1.5),IF(ISNUMBER(SEARCH("WHEUE",T142)),IF(OR(S142="COMNGA",S142="COMFOI"),0.9,1.5),1.5))</f>
        <v>1.5</v>
      </c>
    </row>
    <row r="144" spans="1:29" x14ac:dyDescent="0.25">
      <c r="A144" s="26">
        <f>A143</f>
        <v>35</v>
      </c>
      <c r="B144" s="26"/>
      <c r="C144" s="21" t="str">
        <f>IF(C143="*",C143,"")</f>
        <v>*</v>
      </c>
      <c r="D144" s="22"/>
      <c r="E144" s="23" t="str">
        <f t="shared" si="46"/>
        <v>COMNGA</v>
      </c>
      <c r="F144" s="23" t="str">
        <f t="shared" si="46"/>
        <v>COMRETOldCKEUE</v>
      </c>
      <c r="G144" s="23" t="str">
        <f t="shared" si="46"/>
        <v>COMRETOldCKEUE</v>
      </c>
      <c r="H144" s="24">
        <v>2050</v>
      </c>
      <c r="I144" s="24" t="str">
        <f>I143</f>
        <v>LO</v>
      </c>
      <c r="J144" s="24"/>
      <c r="K144" s="25">
        <f>-ROUNDDOWN(SUMIFS('COM RESID'!$O:$O,'COM RESID'!$H:$H,$E144,'COM RESID'!$I:$I,$F144)/SUMIFS('COM RESID'!$O:$O,'COM RESID'!$I:$I,$F144),3)*O144</f>
        <v>0</v>
      </c>
      <c r="L144" s="24"/>
      <c r="M144" s="24"/>
      <c r="N144" s="26"/>
      <c r="O144" s="27">
        <v>0</v>
      </c>
      <c r="Q144" s="21" t="str">
        <f t="shared" si="40"/>
        <v>*</v>
      </c>
      <c r="R144" s="22"/>
      <c r="S144" s="23" t="str">
        <f t="shared" si="42"/>
        <v>COMNGA</v>
      </c>
      <c r="T144" s="23" t="str">
        <f t="shared" si="43"/>
        <v>COMRETOldCKEUE</v>
      </c>
      <c r="U144" s="23" t="str">
        <f t="shared" si="44"/>
        <v>COMRETOldCKEUE</v>
      </c>
      <c r="V144" s="24">
        <v>2050</v>
      </c>
      <c r="W144" s="24" t="str">
        <f>W143</f>
        <v>UP</v>
      </c>
      <c r="X144" s="24"/>
      <c r="Y144" s="25">
        <f>-ROUNDUP(MIN(SUMIFS('COM RESID'!$O:$O,'COM RESID'!$H:$H,$E144,'COM RESID'!$I:$I,$F144)/SUMIFS('COM RESID'!$O:$O,'COM RESID'!$I:$I,$F144)*AC144,1),3)</f>
        <v>-1</v>
      </c>
      <c r="Z144" s="24"/>
      <c r="AA144" s="24"/>
      <c r="AB144" s="26"/>
      <c r="AC144" s="27">
        <f>IF(S144="COMELC",IF(SUMIFS('COM RESID'!$O:$O,'COM RESID'!$H:$H,$E144,'COM RESID'!$I:$I,$F144)/SUMIFS('COM RESID'!$O:$O,'COM RESID'!$I:$I,$F144)*3&lt;1,1/(SUMIFS('COM RESID'!$O:$O,'COM RESID'!$H:$H,$E144,'COM RESID'!$I:$I,$F144)/SUMIFS('COM RESID'!$O:$O,'COM RESID'!$I:$I,$F144)),3),IF(ISNUMBER(SEARCH("WHEUE",T142)),IF(OR(S142="COMNGA",S142="COMFOI"),0.75,3),3))</f>
        <v>3</v>
      </c>
    </row>
    <row r="145" spans="1:29" x14ac:dyDescent="0.25">
      <c r="A145" s="19">
        <f>A141+1</f>
        <v>36</v>
      </c>
      <c r="B145" s="10"/>
      <c r="C145" s="11" t="str">
        <f>IF(E145="","",IF(_xlfn.XLOOKUP($A145,Selected_constraint_UC!$A:$A,Selected_constraint_UC!$D:$D)=1,"*",IF(SUMIFS('COM TECH'!$N:$N,'COM TECH'!$K:$K,E145,'COM TECH'!$L:$L,F145)=0,"*",IF(SUMIFS('COM RESID'!$O:$O,'COM RESID'!$H:$H,$E145,'COM RESID'!$I:$I,$F145)=0,"*","UC_MarketShare_"&amp;LEFT(F145,LEN(F145)-3)&amp;"_"&amp;RIGHT(E145,3)&amp;"_MIN"))))</f>
        <v>*</v>
      </c>
      <c r="D145" s="12"/>
      <c r="E145" s="13" t="str">
        <f>_xlfn.XLOOKUP($A145,Selected_constraint_UC!$A:$A,Selected_constraint_UC!$B:$B)</f>
        <v>COMSTM</v>
      </c>
      <c r="F145" s="13" t="str">
        <f>_xlfn.XLOOKUP($A145,Selected_constraint_UC!$A:$A,Selected_constraint_UC!$C:$C)</f>
        <v>COMRETOldCKEUE</v>
      </c>
      <c r="G145" s="13" t="str">
        <f>F145</f>
        <v>COMRETOldCKEUE</v>
      </c>
      <c r="H145" s="14">
        <v>2019</v>
      </c>
      <c r="I145" s="14" t="s">
        <v>3848</v>
      </c>
      <c r="J145" s="14">
        <v>1</v>
      </c>
      <c r="K145" s="15">
        <f>-ROUNDDOWN(SUMIFS('COM RESID'!$O:$O,'COM RESID'!$H:$H,$E145,'COM RESID'!$I:$I,$F145)/SUMIFS('COM RESID'!$O:$O,'COM RESID'!$I:$I,$F145),3)*O145</f>
        <v>0</v>
      </c>
      <c r="L145" s="14">
        <v>0</v>
      </c>
      <c r="M145" s="14">
        <v>5</v>
      </c>
      <c r="N145" s="10"/>
      <c r="O145" s="20">
        <v>0.98</v>
      </c>
      <c r="Q145" s="11" t="str">
        <f t="shared" si="40"/>
        <v>*</v>
      </c>
      <c r="R145" s="12"/>
      <c r="S145" s="13" t="str">
        <f t="shared" si="42"/>
        <v>COMSTM</v>
      </c>
      <c r="T145" s="13" t="str">
        <f t="shared" si="43"/>
        <v>COMRETOldCKEUE</v>
      </c>
      <c r="U145" s="13" t="str">
        <f t="shared" si="44"/>
        <v>COMRETOldCKEUE</v>
      </c>
      <c r="V145" s="14">
        <v>2019</v>
      </c>
      <c r="W145" s="14" t="s">
        <v>3849</v>
      </c>
      <c r="X145" s="14">
        <v>1</v>
      </c>
      <c r="Y145" s="15">
        <f>-ROUNDUP(MIN(SUMIFS('COM RESID'!$O:$O,'COM RESID'!$H:$H,$E145,'COM RESID'!$I:$I,$F145)/SUMIFS('COM RESID'!$O:$O,'COM RESID'!$I:$I,$F145)*AC145,1),3)</f>
        <v>0</v>
      </c>
      <c r="Z145" s="14">
        <v>0</v>
      </c>
      <c r="AA145" s="14">
        <v>5</v>
      </c>
      <c r="AB145" s="10"/>
      <c r="AC145" s="20">
        <v>1.02</v>
      </c>
    </row>
    <row r="146" spans="1:29" x14ac:dyDescent="0.25">
      <c r="A146" s="10">
        <f>A145</f>
        <v>36</v>
      </c>
      <c r="B146" s="10"/>
      <c r="C146" s="11" t="str">
        <f>IF(C145="*",C145,"")</f>
        <v>*</v>
      </c>
      <c r="D146" s="12"/>
      <c r="E146" s="13" t="str">
        <f t="shared" ref="E146:G148" si="47">E145</f>
        <v>COMSTM</v>
      </c>
      <c r="F146" s="13" t="str">
        <f t="shared" si="47"/>
        <v>COMRETOldCKEUE</v>
      </c>
      <c r="G146" s="13" t="str">
        <f t="shared" si="47"/>
        <v>COMRETOldCKEUE</v>
      </c>
      <c r="H146" s="14">
        <v>2025</v>
      </c>
      <c r="I146" s="14" t="str">
        <f>I145</f>
        <v>LO</v>
      </c>
      <c r="J146" s="14"/>
      <c r="K146" s="15">
        <f>-ROUNDDOWN(SUMIFS('COM RESID'!$O:$O,'COM RESID'!$H:$H,$E146,'COM RESID'!$I:$I,$F146)/SUMIFS('COM RESID'!$O:$O,'COM RESID'!$I:$I,$F146),3)*O146</f>
        <v>0</v>
      </c>
      <c r="L146" s="14"/>
      <c r="M146" s="14"/>
      <c r="N146" s="10"/>
      <c r="O146" s="20">
        <v>0.8</v>
      </c>
      <c r="Q146" s="11" t="str">
        <f t="shared" si="40"/>
        <v>*</v>
      </c>
      <c r="R146" s="12"/>
      <c r="S146" s="13" t="str">
        <f t="shared" si="42"/>
        <v>COMSTM</v>
      </c>
      <c r="T146" s="13" t="str">
        <f t="shared" si="43"/>
        <v>COMRETOldCKEUE</v>
      </c>
      <c r="U146" s="13" t="str">
        <f t="shared" si="44"/>
        <v>COMRETOldCKEUE</v>
      </c>
      <c r="V146" s="14">
        <v>2025</v>
      </c>
      <c r="W146" s="14" t="str">
        <f>W145</f>
        <v>UP</v>
      </c>
      <c r="X146" s="14"/>
      <c r="Y146" s="15">
        <f>-ROUNDUP(MIN(SUMIFS('COM RESID'!$O:$O,'COM RESID'!$H:$H,$E146,'COM RESID'!$I:$I,$F146)/SUMIFS('COM RESID'!$O:$O,'COM RESID'!$I:$I,$F146)*AC146,1),3)</f>
        <v>0</v>
      </c>
      <c r="Z146" s="14"/>
      <c r="AA146" s="14"/>
      <c r="AB146" s="10"/>
      <c r="AC146" s="20">
        <f>IF(S146="COMELC",IF(SUMIFS('COM RESID'!$O:$O,'COM RESID'!$H:$H,$E146,'COM RESID'!$I:$I,$F146)/SUMIFS('COM RESID'!$O:$O,'COM RESID'!$I:$I,$F146)*1.2&lt;0.25,0.25/(SUMIFS('COM RESID'!$O:$O,'COM RESID'!$H:$H,$E146,'COM RESID'!$I:$I,$F146)/SUMIFS('COM RESID'!$O:$O,'COM RESID'!$I:$I,$F146)),1.2),IF(ISNUMBER(SEARCH("WHEUE",T146)),IF(OR(S146="COMNGA",S146="COMFOI"),1,1.2),1.2))</f>
        <v>1.2</v>
      </c>
    </row>
    <row r="147" spans="1:29" x14ac:dyDescent="0.25">
      <c r="A147" s="10">
        <f>A146</f>
        <v>36</v>
      </c>
      <c r="B147" s="10"/>
      <c r="C147" s="11" t="str">
        <f>IF(C146="*",C146,"")</f>
        <v>*</v>
      </c>
      <c r="D147" s="12"/>
      <c r="E147" s="13" t="str">
        <f t="shared" si="47"/>
        <v>COMSTM</v>
      </c>
      <c r="F147" s="13" t="str">
        <f t="shared" si="47"/>
        <v>COMRETOldCKEUE</v>
      </c>
      <c r="G147" s="13" t="str">
        <f t="shared" si="47"/>
        <v>COMRETOldCKEUE</v>
      </c>
      <c r="H147" s="14">
        <v>2030</v>
      </c>
      <c r="I147" s="14" t="str">
        <f>I146</f>
        <v>LO</v>
      </c>
      <c r="J147" s="14"/>
      <c r="K147" s="15">
        <f>-ROUNDDOWN(SUMIFS('COM RESID'!$O:$O,'COM RESID'!$H:$H,$E147,'COM RESID'!$I:$I,$F147)/SUMIFS('COM RESID'!$O:$O,'COM RESID'!$I:$I,$F147),3)*O147</f>
        <v>0</v>
      </c>
      <c r="L147" s="14"/>
      <c r="M147" s="14"/>
      <c r="N147" s="10"/>
      <c r="O147" s="20">
        <v>0.2</v>
      </c>
      <c r="Q147" s="11" t="str">
        <f t="shared" si="40"/>
        <v>*</v>
      </c>
      <c r="R147" s="12"/>
      <c r="S147" s="13" t="str">
        <f t="shared" si="42"/>
        <v>COMSTM</v>
      </c>
      <c r="T147" s="13" t="str">
        <f t="shared" si="43"/>
        <v>COMRETOldCKEUE</v>
      </c>
      <c r="U147" s="13" t="str">
        <f t="shared" si="44"/>
        <v>COMRETOldCKEUE</v>
      </c>
      <c r="V147" s="14">
        <v>2030</v>
      </c>
      <c r="W147" s="14" t="str">
        <f>W146</f>
        <v>UP</v>
      </c>
      <c r="X147" s="14"/>
      <c r="Y147" s="15">
        <f>-ROUNDUP(MIN(SUMIFS('COM RESID'!$O:$O,'COM RESID'!$H:$H,$E147,'COM RESID'!$I:$I,$F147)/SUMIFS('COM RESID'!$O:$O,'COM RESID'!$I:$I,$F147)*AC147,1),3)</f>
        <v>0</v>
      </c>
      <c r="Z147" s="14"/>
      <c r="AA147" s="14"/>
      <c r="AB147" s="10"/>
      <c r="AC147" s="20">
        <f>IF(S147="COMELC",IF(SUMIFS('COM RESID'!$O:$O,'COM RESID'!$H:$H,$E147,'COM RESID'!$I:$I,$F147)/SUMIFS('COM RESID'!$O:$O,'COM RESID'!$I:$I,$F147)*1.5&lt;0.5,0.5/(SUMIFS('COM RESID'!$O:$O,'COM RESID'!$H:$H,$E147,'COM RESID'!$I:$I,$F147)/SUMIFS('COM RESID'!$O:$O,'COM RESID'!$I:$I,$F147)),1.5),IF(ISNUMBER(SEARCH("WHEUE",T146)),IF(OR(S146="COMNGA",S146="COMFOI"),0.9,1.5),1.5))</f>
        <v>1.5</v>
      </c>
    </row>
    <row r="148" spans="1:29" x14ac:dyDescent="0.25">
      <c r="A148" s="26">
        <f>A147</f>
        <v>36</v>
      </c>
      <c r="B148" s="26"/>
      <c r="C148" s="21" t="str">
        <f>IF(C147="*",C147,"")</f>
        <v>*</v>
      </c>
      <c r="D148" s="22"/>
      <c r="E148" s="23" t="str">
        <f t="shared" si="47"/>
        <v>COMSTM</v>
      </c>
      <c r="F148" s="23" t="str">
        <f t="shared" si="47"/>
        <v>COMRETOldCKEUE</v>
      </c>
      <c r="G148" s="23" t="str">
        <f t="shared" si="47"/>
        <v>COMRETOldCKEUE</v>
      </c>
      <c r="H148" s="24">
        <v>2050</v>
      </c>
      <c r="I148" s="24" t="str">
        <f>I147</f>
        <v>LO</v>
      </c>
      <c r="J148" s="24"/>
      <c r="K148" s="25">
        <f>-ROUNDDOWN(SUMIFS('COM RESID'!$O:$O,'COM RESID'!$H:$H,$E148,'COM RESID'!$I:$I,$F148)/SUMIFS('COM RESID'!$O:$O,'COM RESID'!$I:$I,$F148),3)*O148</f>
        <v>0</v>
      </c>
      <c r="L148" s="24"/>
      <c r="M148" s="24"/>
      <c r="N148" s="26"/>
      <c r="O148" s="27">
        <v>0</v>
      </c>
      <c r="Q148" s="21" t="str">
        <f t="shared" si="40"/>
        <v>*</v>
      </c>
      <c r="R148" s="22"/>
      <c r="S148" s="23" t="str">
        <f t="shared" si="42"/>
        <v>COMSTM</v>
      </c>
      <c r="T148" s="23" t="str">
        <f t="shared" si="43"/>
        <v>COMRETOldCKEUE</v>
      </c>
      <c r="U148" s="23" t="str">
        <f t="shared" si="44"/>
        <v>COMRETOldCKEUE</v>
      </c>
      <c r="V148" s="24">
        <v>2050</v>
      </c>
      <c r="W148" s="24" t="str">
        <f>W147</f>
        <v>UP</v>
      </c>
      <c r="X148" s="24"/>
      <c r="Y148" s="25">
        <f>-ROUNDUP(MIN(SUMIFS('COM RESID'!$O:$O,'COM RESID'!$H:$H,$E148,'COM RESID'!$I:$I,$F148)/SUMIFS('COM RESID'!$O:$O,'COM RESID'!$I:$I,$F148)*AC148,1),3)</f>
        <v>0</v>
      </c>
      <c r="Z148" s="24"/>
      <c r="AA148" s="24"/>
      <c r="AB148" s="26"/>
      <c r="AC148" s="27">
        <f>IF(S148="COMELC",IF(SUMIFS('COM RESID'!$O:$O,'COM RESID'!$H:$H,$E148,'COM RESID'!$I:$I,$F148)/SUMIFS('COM RESID'!$O:$O,'COM RESID'!$I:$I,$F148)*3&lt;1,1/(SUMIFS('COM RESID'!$O:$O,'COM RESID'!$H:$H,$E148,'COM RESID'!$I:$I,$F148)/SUMIFS('COM RESID'!$O:$O,'COM RESID'!$I:$I,$F148)),3),IF(ISNUMBER(SEARCH("WHEUE",T146)),IF(OR(S146="COMNGA",S146="COMFOI"),0.75,3),3))</f>
        <v>3</v>
      </c>
    </row>
    <row r="149" spans="1:29" x14ac:dyDescent="0.25">
      <c r="A149" s="19">
        <f>A145+1</f>
        <v>37</v>
      </c>
      <c r="B149" s="10"/>
      <c r="C149" s="11" t="str">
        <f>IF(E149="","",IF(_xlfn.XLOOKUP($A149,Selected_constraint_UC!$A:$A,Selected_constraint_UC!$D:$D)=1,"*",IF(SUMIFS('COM TECH'!$N:$N,'COM TECH'!$K:$K,E149,'COM TECH'!$L:$L,F149)=0,"*",IF(SUMIFS('COM RESID'!$O:$O,'COM RESID'!$H:$H,$E149,'COM RESID'!$I:$I,$F149)=0,"*","UC_MarketShare_"&amp;LEFT(F149,LEN(F149)-3)&amp;"_"&amp;RIGHT(E149,3)&amp;"_MIN"))))</f>
        <v>*</v>
      </c>
      <c r="D149" s="12"/>
      <c r="E149" s="13" t="str">
        <f>_xlfn.XLOOKUP($A149,Selected_constraint_UC!$A:$A,Selected_constraint_UC!$B:$B)</f>
        <v>COMELC</v>
      </c>
      <c r="F149" s="13" t="str">
        <f>_xlfn.XLOOKUP($A149,Selected_constraint_UC!$A:$A,Selected_constraint_UC!$C:$C)</f>
        <v>COMRETOldCKEUE</v>
      </c>
      <c r="G149" s="13" t="str">
        <f>F149</f>
        <v>COMRETOldCKEUE</v>
      </c>
      <c r="H149" s="14">
        <v>2019</v>
      </c>
      <c r="I149" s="14" t="s">
        <v>3848</v>
      </c>
      <c r="J149" s="14">
        <v>1</v>
      </c>
      <c r="K149" s="15">
        <f>-ROUNDDOWN(SUMIFS('COM RESID'!$O:$O,'COM RESID'!$H:$H,$E149,'COM RESID'!$I:$I,$F149)/SUMIFS('COM RESID'!$O:$O,'COM RESID'!$I:$I,$F149),3)*O149</f>
        <v>-7.4479999999999991E-2</v>
      </c>
      <c r="L149" s="14">
        <v>0</v>
      </c>
      <c r="M149" s="14">
        <v>5</v>
      </c>
      <c r="N149" s="10"/>
      <c r="O149" s="20">
        <v>0.98</v>
      </c>
      <c r="Q149" s="11" t="str">
        <f t="shared" si="40"/>
        <v>*</v>
      </c>
      <c r="R149" s="12"/>
      <c r="S149" s="13" t="str">
        <f t="shared" si="42"/>
        <v>COMELC</v>
      </c>
      <c r="T149" s="13" t="str">
        <f t="shared" si="43"/>
        <v>COMRETOldCKEUE</v>
      </c>
      <c r="U149" s="13" t="str">
        <f t="shared" si="44"/>
        <v>COMRETOldCKEUE</v>
      </c>
      <c r="V149" s="14">
        <v>2019</v>
      </c>
      <c r="W149" s="14" t="s">
        <v>3849</v>
      </c>
      <c r="X149" s="14">
        <v>1</v>
      </c>
      <c r="Y149" s="15">
        <f>-ROUNDUP(MIN(SUMIFS('COM RESID'!$O:$O,'COM RESID'!$H:$H,$E149,'COM RESID'!$I:$I,$F149)/SUMIFS('COM RESID'!$O:$O,'COM RESID'!$I:$I,$F149)*AC149,1),3)</f>
        <v>-7.9000000000000001E-2</v>
      </c>
      <c r="Z149" s="14">
        <v>0</v>
      </c>
      <c r="AA149" s="14">
        <v>5</v>
      </c>
      <c r="AB149" s="10"/>
      <c r="AC149" s="20">
        <v>1.02</v>
      </c>
    </row>
    <row r="150" spans="1:29" x14ac:dyDescent="0.25">
      <c r="A150" s="10">
        <f>A149</f>
        <v>37</v>
      </c>
      <c r="B150" s="10"/>
      <c r="C150" s="11" t="str">
        <f>IF(C149="*",C149,"")</f>
        <v>*</v>
      </c>
      <c r="D150" s="12"/>
      <c r="E150" s="13" t="str">
        <f t="shared" ref="E150:G152" si="48">E149</f>
        <v>COMELC</v>
      </c>
      <c r="F150" s="13" t="str">
        <f t="shared" si="48"/>
        <v>COMRETOldCKEUE</v>
      </c>
      <c r="G150" s="13" t="str">
        <f t="shared" si="48"/>
        <v>COMRETOldCKEUE</v>
      </c>
      <c r="H150" s="14">
        <v>2025</v>
      </c>
      <c r="I150" s="14" t="str">
        <f>I149</f>
        <v>LO</v>
      </c>
      <c r="J150" s="14"/>
      <c r="K150" s="15">
        <f>-ROUNDDOWN(SUMIFS('COM RESID'!$O:$O,'COM RESID'!$H:$H,$E150,'COM RESID'!$I:$I,$F150)/SUMIFS('COM RESID'!$O:$O,'COM RESID'!$I:$I,$F150),3)*O150</f>
        <v>-6.08E-2</v>
      </c>
      <c r="L150" s="14"/>
      <c r="M150" s="14"/>
      <c r="N150" s="10"/>
      <c r="O150" s="20">
        <v>0.8</v>
      </c>
      <c r="Q150" s="11" t="str">
        <f t="shared" si="40"/>
        <v>*</v>
      </c>
      <c r="R150" s="12"/>
      <c r="S150" s="13" t="str">
        <f t="shared" si="42"/>
        <v>COMELC</v>
      </c>
      <c r="T150" s="13" t="str">
        <f t="shared" si="43"/>
        <v>COMRETOldCKEUE</v>
      </c>
      <c r="U150" s="13" t="str">
        <f t="shared" si="44"/>
        <v>COMRETOldCKEUE</v>
      </c>
      <c r="V150" s="14">
        <v>2025</v>
      </c>
      <c r="W150" s="14" t="str">
        <f>W149</f>
        <v>UP</v>
      </c>
      <c r="X150" s="14"/>
      <c r="Y150" s="15">
        <f>-ROUNDUP(MIN(SUMIFS('COM RESID'!$O:$O,'COM RESID'!$H:$H,$E150,'COM RESID'!$I:$I,$F150)/SUMIFS('COM RESID'!$O:$O,'COM RESID'!$I:$I,$F150)*AC150,1),3)</f>
        <v>-0.25</v>
      </c>
      <c r="Z150" s="14"/>
      <c r="AA150" s="14"/>
      <c r="AB150" s="10"/>
      <c r="AC150" s="20">
        <f>IF(S150="COMELC",IF(SUMIFS('COM RESID'!$O:$O,'COM RESID'!$H:$H,$E150,'COM RESID'!$I:$I,$F150)/SUMIFS('COM RESID'!$O:$O,'COM RESID'!$I:$I,$F150)*1.2&lt;0.25,0.25/(SUMIFS('COM RESID'!$O:$O,'COM RESID'!$H:$H,$E150,'COM RESID'!$I:$I,$F150)/SUMIFS('COM RESID'!$O:$O,'COM RESID'!$I:$I,$F150)),1.2),IF(ISNUMBER(SEARCH("WHEUE",T150)),IF(OR(S150="COMNGA",S150="COMFOI"),1,1.2),1.2))</f>
        <v>3.2553137993025882</v>
      </c>
    </row>
    <row r="151" spans="1:29" x14ac:dyDescent="0.25">
      <c r="A151" s="10">
        <f>A150</f>
        <v>37</v>
      </c>
      <c r="B151" s="10"/>
      <c r="C151" s="11" t="str">
        <f>IF(C150="*",C150,"")</f>
        <v>*</v>
      </c>
      <c r="D151" s="12"/>
      <c r="E151" s="13" t="str">
        <f t="shared" si="48"/>
        <v>COMELC</v>
      </c>
      <c r="F151" s="13" t="str">
        <f t="shared" si="48"/>
        <v>COMRETOldCKEUE</v>
      </c>
      <c r="G151" s="13" t="str">
        <f t="shared" si="48"/>
        <v>COMRETOldCKEUE</v>
      </c>
      <c r="H151" s="14">
        <v>2030</v>
      </c>
      <c r="I151" s="14" t="str">
        <f>I150</f>
        <v>LO</v>
      </c>
      <c r="J151" s="14"/>
      <c r="K151" s="15">
        <f>-ROUNDDOWN(SUMIFS('COM RESID'!$O:$O,'COM RESID'!$H:$H,$E151,'COM RESID'!$I:$I,$F151)/SUMIFS('COM RESID'!$O:$O,'COM RESID'!$I:$I,$F151),3)*O151</f>
        <v>-1.52E-2</v>
      </c>
      <c r="L151" s="14"/>
      <c r="M151" s="14"/>
      <c r="N151" s="10"/>
      <c r="O151" s="20">
        <v>0.2</v>
      </c>
      <c r="Q151" s="11" t="str">
        <f t="shared" si="40"/>
        <v>*</v>
      </c>
      <c r="R151" s="12"/>
      <c r="S151" s="13" t="str">
        <f t="shared" si="42"/>
        <v>COMELC</v>
      </c>
      <c r="T151" s="13" t="str">
        <f t="shared" si="43"/>
        <v>COMRETOldCKEUE</v>
      </c>
      <c r="U151" s="13" t="str">
        <f t="shared" si="44"/>
        <v>COMRETOldCKEUE</v>
      </c>
      <c r="V151" s="14">
        <v>2030</v>
      </c>
      <c r="W151" s="14" t="str">
        <f>W150</f>
        <v>UP</v>
      </c>
      <c r="X151" s="14"/>
      <c r="Y151" s="15">
        <f>-ROUNDUP(MIN(SUMIFS('COM RESID'!$O:$O,'COM RESID'!$H:$H,$E151,'COM RESID'!$I:$I,$F151)/SUMIFS('COM RESID'!$O:$O,'COM RESID'!$I:$I,$F151)*AC151,1),3)</f>
        <v>-0.5</v>
      </c>
      <c r="Z151" s="14"/>
      <c r="AA151" s="14"/>
      <c r="AB151" s="10"/>
      <c r="AC151" s="20">
        <f>IF(S151="COMELC",IF(SUMIFS('COM RESID'!$O:$O,'COM RESID'!$H:$H,$E151,'COM RESID'!$I:$I,$F151)/SUMIFS('COM RESID'!$O:$O,'COM RESID'!$I:$I,$F151)*1.5&lt;0.5,0.5/(SUMIFS('COM RESID'!$O:$O,'COM RESID'!$H:$H,$E151,'COM RESID'!$I:$I,$F151)/SUMIFS('COM RESID'!$O:$O,'COM RESID'!$I:$I,$F151)),1.5),IF(ISNUMBER(SEARCH("WHEUE",T150)),IF(OR(S150="COMNGA",S150="COMFOI"),0.9,1.5),1.5))</f>
        <v>6.5106275986051765</v>
      </c>
    </row>
    <row r="152" spans="1:29" x14ac:dyDescent="0.25">
      <c r="A152" s="26">
        <f>A151</f>
        <v>37</v>
      </c>
      <c r="B152" s="26"/>
      <c r="C152" s="21" t="str">
        <f>IF(C151="*",C151,"")</f>
        <v>*</v>
      </c>
      <c r="D152" s="22"/>
      <c r="E152" s="23" t="str">
        <f t="shared" si="48"/>
        <v>COMELC</v>
      </c>
      <c r="F152" s="23" t="str">
        <f t="shared" si="48"/>
        <v>COMRETOldCKEUE</v>
      </c>
      <c r="G152" s="23" t="str">
        <f t="shared" si="48"/>
        <v>COMRETOldCKEUE</v>
      </c>
      <c r="H152" s="24">
        <v>2050</v>
      </c>
      <c r="I152" s="24" t="str">
        <f>I151</f>
        <v>LO</v>
      </c>
      <c r="J152" s="24"/>
      <c r="K152" s="25">
        <f>-ROUNDDOWN(SUMIFS('COM RESID'!$O:$O,'COM RESID'!$H:$H,$E152,'COM RESID'!$I:$I,$F152)/SUMIFS('COM RESID'!$O:$O,'COM RESID'!$I:$I,$F152),3)*O152</f>
        <v>0</v>
      </c>
      <c r="L152" s="24"/>
      <c r="M152" s="24"/>
      <c r="N152" s="26"/>
      <c r="O152" s="27">
        <v>0</v>
      </c>
      <c r="Q152" s="21" t="str">
        <f t="shared" si="40"/>
        <v>*</v>
      </c>
      <c r="R152" s="22"/>
      <c r="S152" s="23" t="str">
        <f t="shared" si="42"/>
        <v>COMELC</v>
      </c>
      <c r="T152" s="23" t="str">
        <f t="shared" si="43"/>
        <v>COMRETOldCKEUE</v>
      </c>
      <c r="U152" s="23" t="str">
        <f t="shared" si="44"/>
        <v>COMRETOldCKEUE</v>
      </c>
      <c r="V152" s="24">
        <v>2050</v>
      </c>
      <c r="W152" s="24" t="str">
        <f>W151</f>
        <v>UP</v>
      </c>
      <c r="X152" s="24"/>
      <c r="Y152" s="25">
        <f>-ROUNDUP(MIN(SUMIFS('COM RESID'!$O:$O,'COM RESID'!$H:$H,$E152,'COM RESID'!$I:$I,$F152)/SUMIFS('COM RESID'!$O:$O,'COM RESID'!$I:$I,$F152)*AC152,1),3)</f>
        <v>-1</v>
      </c>
      <c r="Z152" s="24"/>
      <c r="AA152" s="24"/>
      <c r="AB152" s="26"/>
      <c r="AC152" s="27">
        <f>IF(S152="COMELC",IF(SUMIFS('COM RESID'!$O:$O,'COM RESID'!$H:$H,$E152,'COM RESID'!$I:$I,$F152)/SUMIFS('COM RESID'!$O:$O,'COM RESID'!$I:$I,$F152)*3&lt;1,1/(SUMIFS('COM RESID'!$O:$O,'COM RESID'!$H:$H,$E152,'COM RESID'!$I:$I,$F152)/SUMIFS('COM RESID'!$O:$O,'COM RESID'!$I:$I,$F152)),3),IF(ISNUMBER(SEARCH("WHEUE",T150)),IF(OR(S150="COMNGA",S150="COMFOI"),0.75,3),3))</f>
        <v>13.021255197210353</v>
      </c>
    </row>
    <row r="153" spans="1:29" x14ac:dyDescent="0.25">
      <c r="A153" s="19">
        <f>A149+1</f>
        <v>38</v>
      </c>
      <c r="B153" s="10"/>
      <c r="C153" s="11" t="str">
        <f>IF(E153="","",IF(_xlfn.XLOOKUP($A153,Selected_constraint_UC!$A:$A,Selected_constraint_UC!$D:$D)=1,"*",IF(SUMIFS('COM TECH'!$N:$N,'COM TECH'!$K:$K,E153,'COM TECH'!$L:$L,F153)=0,"*",IF(SUMIFS('COM RESID'!$O:$O,'COM RESID'!$H:$H,$E153,'COM RESID'!$I:$I,$F153)=0,"*","UC_MarketShare_"&amp;LEFT(F153,LEN(F153)-3)&amp;"_"&amp;RIGHT(E153,3)&amp;"_MIN"))))</f>
        <v>*</v>
      </c>
      <c r="D153" s="12"/>
      <c r="E153" s="13" t="str">
        <f>_xlfn.XLOOKUP($A153,Selected_constraint_UC!$A:$A,Selected_constraint_UC!$B:$B)</f>
        <v>COMELC</v>
      </c>
      <c r="F153" s="13" t="str">
        <f>_xlfn.XLOOKUP($A153,Selected_constraint_UC!$A:$A,Selected_constraint_UC!$C:$C)</f>
        <v>COMRETOldREEUE</v>
      </c>
      <c r="G153" s="13" t="str">
        <f>F153</f>
        <v>COMRETOldREEUE</v>
      </c>
      <c r="H153" s="14">
        <v>2019</v>
      </c>
      <c r="I153" s="14" t="s">
        <v>3848</v>
      </c>
      <c r="J153" s="14">
        <v>1</v>
      </c>
      <c r="K153" s="15">
        <f>-ROUNDDOWN(SUMIFS('COM RESID'!$O:$O,'COM RESID'!$H:$H,$E153,'COM RESID'!$I:$I,$F153)/SUMIFS('COM RESID'!$O:$O,'COM RESID'!$I:$I,$F153),3)*O153</f>
        <v>-0.98</v>
      </c>
      <c r="L153" s="14">
        <v>0</v>
      </c>
      <c r="M153" s="14">
        <v>5</v>
      </c>
      <c r="N153" s="10"/>
      <c r="O153" s="20">
        <v>0.98</v>
      </c>
      <c r="Q153" s="11" t="str">
        <f t="shared" si="40"/>
        <v>*</v>
      </c>
      <c r="R153" s="12"/>
      <c r="S153" s="13" t="str">
        <f t="shared" si="42"/>
        <v>COMELC</v>
      </c>
      <c r="T153" s="13" t="str">
        <f t="shared" si="43"/>
        <v>COMRETOldREEUE</v>
      </c>
      <c r="U153" s="13" t="str">
        <f t="shared" si="44"/>
        <v>COMRETOldREEUE</v>
      </c>
      <c r="V153" s="14">
        <v>2019</v>
      </c>
      <c r="W153" s="14" t="s">
        <v>3849</v>
      </c>
      <c r="X153" s="14">
        <v>1</v>
      </c>
      <c r="Y153" s="15">
        <f>-ROUNDUP(MIN(SUMIFS('COM RESID'!$O:$O,'COM RESID'!$H:$H,$E153,'COM RESID'!$I:$I,$F153)/SUMIFS('COM RESID'!$O:$O,'COM RESID'!$I:$I,$F153)*AC153,1),3)</f>
        <v>-1</v>
      </c>
      <c r="Z153" s="14">
        <v>0</v>
      </c>
      <c r="AA153" s="14">
        <v>5</v>
      </c>
      <c r="AB153" s="10"/>
      <c r="AC153" s="20">
        <v>1.02</v>
      </c>
    </row>
    <row r="154" spans="1:29" x14ac:dyDescent="0.25">
      <c r="A154" s="10">
        <f>A153</f>
        <v>38</v>
      </c>
      <c r="B154" s="10"/>
      <c r="C154" s="11" t="str">
        <f>IF(C153="*",C153,"")</f>
        <v>*</v>
      </c>
      <c r="D154" s="12"/>
      <c r="E154" s="13" t="str">
        <f t="shared" ref="E154:G156" si="49">E153</f>
        <v>COMELC</v>
      </c>
      <c r="F154" s="13" t="str">
        <f t="shared" si="49"/>
        <v>COMRETOldREEUE</v>
      </c>
      <c r="G154" s="13" t="str">
        <f t="shared" si="49"/>
        <v>COMRETOldREEUE</v>
      </c>
      <c r="H154" s="14">
        <v>2025</v>
      </c>
      <c r="I154" s="14" t="str">
        <f>I153</f>
        <v>LO</v>
      </c>
      <c r="J154" s="14"/>
      <c r="K154" s="15">
        <f>-ROUNDDOWN(SUMIFS('COM RESID'!$O:$O,'COM RESID'!$H:$H,$E154,'COM RESID'!$I:$I,$F154)/SUMIFS('COM RESID'!$O:$O,'COM RESID'!$I:$I,$F154),3)*O154</f>
        <v>-0.8</v>
      </c>
      <c r="L154" s="14"/>
      <c r="M154" s="14"/>
      <c r="N154" s="10"/>
      <c r="O154" s="20">
        <v>0.8</v>
      </c>
      <c r="Q154" s="11" t="str">
        <f t="shared" si="40"/>
        <v>*</v>
      </c>
      <c r="R154" s="12"/>
      <c r="S154" s="13" t="str">
        <f t="shared" si="42"/>
        <v>COMELC</v>
      </c>
      <c r="T154" s="13" t="str">
        <f t="shared" si="43"/>
        <v>COMRETOldREEUE</v>
      </c>
      <c r="U154" s="13" t="str">
        <f t="shared" si="44"/>
        <v>COMRETOldREEUE</v>
      </c>
      <c r="V154" s="14">
        <v>2025</v>
      </c>
      <c r="W154" s="14" t="str">
        <f>W153</f>
        <v>UP</v>
      </c>
      <c r="X154" s="14"/>
      <c r="Y154" s="15">
        <f>-ROUNDUP(MIN(SUMIFS('COM RESID'!$O:$O,'COM RESID'!$H:$H,$E154,'COM RESID'!$I:$I,$F154)/SUMIFS('COM RESID'!$O:$O,'COM RESID'!$I:$I,$F154)*AC154,1),3)</f>
        <v>-1</v>
      </c>
      <c r="Z154" s="14"/>
      <c r="AA154" s="14"/>
      <c r="AB154" s="10"/>
      <c r="AC154" s="20">
        <f>IF(S154="COMELC",IF(SUMIFS('COM RESID'!$O:$O,'COM RESID'!$H:$H,$E154,'COM RESID'!$I:$I,$F154)/SUMIFS('COM RESID'!$O:$O,'COM RESID'!$I:$I,$F154)*1.2&lt;0.25,0.25/(SUMIFS('COM RESID'!$O:$O,'COM RESID'!$H:$H,$E154,'COM RESID'!$I:$I,$F154)/SUMIFS('COM RESID'!$O:$O,'COM RESID'!$I:$I,$F154)),1.2),IF(ISNUMBER(SEARCH("WHEUE",T154)),IF(OR(S154="COMNGA",S154="COMFOI"),1,1.2),1.2))</f>
        <v>1.2</v>
      </c>
    </row>
    <row r="155" spans="1:29" x14ac:dyDescent="0.25">
      <c r="A155" s="10">
        <f>A154</f>
        <v>38</v>
      </c>
      <c r="B155" s="10"/>
      <c r="C155" s="11" t="str">
        <f>IF(C154="*",C154,"")</f>
        <v>*</v>
      </c>
      <c r="D155" s="12"/>
      <c r="E155" s="13" t="str">
        <f t="shared" si="49"/>
        <v>COMELC</v>
      </c>
      <c r="F155" s="13" t="str">
        <f t="shared" si="49"/>
        <v>COMRETOldREEUE</v>
      </c>
      <c r="G155" s="13" t="str">
        <f t="shared" si="49"/>
        <v>COMRETOldREEUE</v>
      </c>
      <c r="H155" s="14">
        <v>2030</v>
      </c>
      <c r="I155" s="14" t="str">
        <f>I154</f>
        <v>LO</v>
      </c>
      <c r="J155" s="14"/>
      <c r="K155" s="15">
        <f>-ROUNDDOWN(SUMIFS('COM RESID'!$O:$O,'COM RESID'!$H:$H,$E155,'COM RESID'!$I:$I,$F155)/SUMIFS('COM RESID'!$O:$O,'COM RESID'!$I:$I,$F155),3)*O155</f>
        <v>-0.2</v>
      </c>
      <c r="L155" s="14"/>
      <c r="M155" s="14"/>
      <c r="N155" s="10"/>
      <c r="O155" s="20">
        <v>0.2</v>
      </c>
      <c r="Q155" s="11" t="str">
        <f t="shared" si="40"/>
        <v>*</v>
      </c>
      <c r="R155" s="12"/>
      <c r="S155" s="13" t="str">
        <f t="shared" si="42"/>
        <v>COMELC</v>
      </c>
      <c r="T155" s="13" t="str">
        <f t="shared" si="43"/>
        <v>COMRETOldREEUE</v>
      </c>
      <c r="U155" s="13" t="str">
        <f t="shared" si="44"/>
        <v>COMRETOldREEUE</v>
      </c>
      <c r="V155" s="14">
        <v>2030</v>
      </c>
      <c r="W155" s="14" t="str">
        <f>W154</f>
        <v>UP</v>
      </c>
      <c r="X155" s="14"/>
      <c r="Y155" s="15">
        <f>-ROUNDUP(MIN(SUMIFS('COM RESID'!$O:$O,'COM RESID'!$H:$H,$E155,'COM RESID'!$I:$I,$F155)/SUMIFS('COM RESID'!$O:$O,'COM RESID'!$I:$I,$F155)*AC155,1),3)</f>
        <v>-1</v>
      </c>
      <c r="Z155" s="14"/>
      <c r="AA155" s="14"/>
      <c r="AB155" s="10"/>
      <c r="AC155" s="20">
        <f>IF(S155="COMELC",IF(SUMIFS('COM RESID'!$O:$O,'COM RESID'!$H:$H,$E155,'COM RESID'!$I:$I,$F155)/SUMIFS('COM RESID'!$O:$O,'COM RESID'!$I:$I,$F155)*1.5&lt;0.5,0.5/(SUMIFS('COM RESID'!$O:$O,'COM RESID'!$H:$H,$E155,'COM RESID'!$I:$I,$F155)/SUMIFS('COM RESID'!$O:$O,'COM RESID'!$I:$I,$F155)),1.5),IF(ISNUMBER(SEARCH("WHEUE",T154)),IF(OR(S154="COMNGA",S154="COMFOI"),0.9,1.5),1.5))</f>
        <v>1.5</v>
      </c>
    </row>
    <row r="156" spans="1:29" x14ac:dyDescent="0.25">
      <c r="A156" s="26">
        <f>A155</f>
        <v>38</v>
      </c>
      <c r="B156" s="26"/>
      <c r="C156" s="21" t="str">
        <f>IF(C155="*",C155,"")</f>
        <v>*</v>
      </c>
      <c r="D156" s="22"/>
      <c r="E156" s="23" t="str">
        <f t="shared" si="49"/>
        <v>COMELC</v>
      </c>
      <c r="F156" s="23" t="str">
        <f t="shared" si="49"/>
        <v>COMRETOldREEUE</v>
      </c>
      <c r="G156" s="23" t="str">
        <f t="shared" si="49"/>
        <v>COMRETOldREEUE</v>
      </c>
      <c r="H156" s="24">
        <v>2050</v>
      </c>
      <c r="I156" s="24" t="str">
        <f>I155</f>
        <v>LO</v>
      </c>
      <c r="J156" s="24"/>
      <c r="K156" s="25">
        <f>-ROUNDDOWN(SUMIFS('COM RESID'!$O:$O,'COM RESID'!$H:$H,$E156,'COM RESID'!$I:$I,$F156)/SUMIFS('COM RESID'!$O:$O,'COM RESID'!$I:$I,$F156),3)*O156</f>
        <v>0</v>
      </c>
      <c r="L156" s="24"/>
      <c r="M156" s="24"/>
      <c r="N156" s="26"/>
      <c r="O156" s="27">
        <v>0</v>
      </c>
      <c r="Q156" s="21" t="str">
        <f t="shared" si="40"/>
        <v>*</v>
      </c>
      <c r="R156" s="22"/>
      <c r="S156" s="23" t="str">
        <f t="shared" si="42"/>
        <v>COMELC</v>
      </c>
      <c r="T156" s="23" t="str">
        <f t="shared" si="43"/>
        <v>COMRETOldREEUE</v>
      </c>
      <c r="U156" s="23" t="str">
        <f t="shared" si="44"/>
        <v>COMRETOldREEUE</v>
      </c>
      <c r="V156" s="24">
        <v>2050</v>
      </c>
      <c r="W156" s="24" t="str">
        <f>W155</f>
        <v>UP</v>
      </c>
      <c r="X156" s="24"/>
      <c r="Y156" s="25">
        <f>-ROUNDUP(MIN(SUMIFS('COM RESID'!$O:$O,'COM RESID'!$H:$H,$E156,'COM RESID'!$I:$I,$F156)/SUMIFS('COM RESID'!$O:$O,'COM RESID'!$I:$I,$F156)*AC156,1),3)</f>
        <v>-1</v>
      </c>
      <c r="Z156" s="24"/>
      <c r="AA156" s="24"/>
      <c r="AB156" s="26"/>
      <c r="AC156" s="27">
        <f>IF(S156="COMELC",IF(SUMIFS('COM RESID'!$O:$O,'COM RESID'!$H:$H,$E156,'COM RESID'!$I:$I,$F156)/SUMIFS('COM RESID'!$O:$O,'COM RESID'!$I:$I,$F156)*3&lt;1,1/(SUMIFS('COM RESID'!$O:$O,'COM RESID'!$H:$H,$E156,'COM RESID'!$I:$I,$F156)/SUMIFS('COM RESID'!$O:$O,'COM RESID'!$I:$I,$F156)),3),IF(ISNUMBER(SEARCH("WHEUE",T154)),IF(OR(S154="COMNGA",S154="COMFOI"),0.75,3),3))</f>
        <v>3</v>
      </c>
    </row>
    <row r="157" spans="1:29" x14ac:dyDescent="0.25">
      <c r="A157" s="19">
        <f>A153+1</f>
        <v>39</v>
      </c>
      <c r="B157" s="10"/>
      <c r="C157" s="11" t="str">
        <f>IF(E157="","",IF(_xlfn.XLOOKUP($A157,Selected_constraint_UC!$A:$A,Selected_constraint_UC!$D:$D)=1,"*",IF(SUMIFS('COM TECH'!$N:$N,'COM TECH'!$K:$K,E157,'COM TECH'!$L:$L,F157)=0,"*",IF(SUMIFS('COM RESID'!$O:$O,'COM RESID'!$H:$H,$E157,'COM RESID'!$I:$I,$F157)=0,"*","UC_MarketShare_"&amp;LEFT(F157,LEN(F157)-3)&amp;"_"&amp;RIGHT(E157,3)&amp;"_MIN"))))</f>
        <v>*</v>
      </c>
      <c r="D157" s="12"/>
      <c r="E157" s="13" t="str">
        <f>_xlfn.XLOOKUP($A157,Selected_constraint_UC!$A:$A,Selected_constraint_UC!$B:$B)</f>
        <v>COMFOI</v>
      </c>
      <c r="F157" s="13" t="str">
        <f>_xlfn.XLOOKUP($A157,Selected_constraint_UC!$A:$A,Selected_constraint_UC!$C:$C)</f>
        <v>COMRETOldOEEUE</v>
      </c>
      <c r="G157" s="13" t="str">
        <f>F157</f>
        <v>COMRETOldOEEUE</v>
      </c>
      <c r="H157" s="14">
        <v>2019</v>
      </c>
      <c r="I157" s="14" t="s">
        <v>3848</v>
      </c>
      <c r="J157" s="14">
        <v>1</v>
      </c>
      <c r="K157" s="15">
        <f>-ROUNDDOWN(SUMIFS('COM RESID'!$O:$O,'COM RESID'!$H:$H,$E157,'COM RESID'!$I:$I,$F157)/SUMIFS('COM RESID'!$O:$O,'COM RESID'!$I:$I,$F157),3)*O157</f>
        <v>-8.4279999999999994E-2</v>
      </c>
      <c r="L157" s="14">
        <v>0</v>
      </c>
      <c r="M157" s="14">
        <v>5</v>
      </c>
      <c r="N157" s="10"/>
      <c r="O157" s="20">
        <v>0.98</v>
      </c>
      <c r="Q157" s="11" t="str">
        <f t="shared" si="40"/>
        <v>*</v>
      </c>
      <c r="R157" s="12"/>
      <c r="S157" s="13" t="str">
        <f t="shared" si="42"/>
        <v>COMFOI</v>
      </c>
      <c r="T157" s="13" t="str">
        <f t="shared" si="43"/>
        <v>COMRETOldOEEUE</v>
      </c>
      <c r="U157" s="13" t="str">
        <f t="shared" si="44"/>
        <v>COMRETOldOEEUE</v>
      </c>
      <c r="V157" s="14">
        <v>2019</v>
      </c>
      <c r="W157" s="14" t="s">
        <v>3849</v>
      </c>
      <c r="X157" s="14">
        <v>1</v>
      </c>
      <c r="Y157" s="15">
        <f>-ROUNDUP(MIN(SUMIFS('COM RESID'!$O:$O,'COM RESID'!$H:$H,$E157,'COM RESID'!$I:$I,$F157)/SUMIFS('COM RESID'!$O:$O,'COM RESID'!$I:$I,$F157)*AC157,1),3)</f>
        <v>-8.8999999999999996E-2</v>
      </c>
      <c r="Z157" s="14">
        <v>0</v>
      </c>
      <c r="AA157" s="14">
        <v>5</v>
      </c>
      <c r="AB157" s="10"/>
      <c r="AC157" s="20">
        <v>1.02</v>
      </c>
    </row>
    <row r="158" spans="1:29" x14ac:dyDescent="0.25">
      <c r="A158" s="10">
        <f>A157</f>
        <v>39</v>
      </c>
      <c r="B158" s="10"/>
      <c r="C158" s="11" t="str">
        <f>IF(C157="*",C157,"")</f>
        <v>*</v>
      </c>
      <c r="D158" s="12"/>
      <c r="E158" s="13" t="str">
        <f t="shared" ref="E158:G160" si="50">E157</f>
        <v>COMFOI</v>
      </c>
      <c r="F158" s="13" t="str">
        <f t="shared" si="50"/>
        <v>COMRETOldOEEUE</v>
      </c>
      <c r="G158" s="13" t="str">
        <f t="shared" si="50"/>
        <v>COMRETOldOEEUE</v>
      </c>
      <c r="H158" s="14">
        <v>2025</v>
      </c>
      <c r="I158" s="14" t="str">
        <f>I157</f>
        <v>LO</v>
      </c>
      <c r="J158" s="14"/>
      <c r="K158" s="15">
        <f>-ROUNDDOWN(SUMIFS('COM RESID'!$O:$O,'COM RESID'!$H:$H,$E158,'COM RESID'!$I:$I,$F158)/SUMIFS('COM RESID'!$O:$O,'COM RESID'!$I:$I,$F158),3)*O158</f>
        <v>-6.88E-2</v>
      </c>
      <c r="L158" s="14"/>
      <c r="M158" s="14"/>
      <c r="N158" s="10"/>
      <c r="O158" s="20">
        <v>0.8</v>
      </c>
      <c r="Q158" s="11" t="str">
        <f t="shared" si="40"/>
        <v>*</v>
      </c>
      <c r="R158" s="12"/>
      <c r="S158" s="13" t="str">
        <f t="shared" si="42"/>
        <v>COMFOI</v>
      </c>
      <c r="T158" s="13" t="str">
        <f t="shared" si="43"/>
        <v>COMRETOldOEEUE</v>
      </c>
      <c r="U158" s="13" t="str">
        <f t="shared" si="44"/>
        <v>COMRETOldOEEUE</v>
      </c>
      <c r="V158" s="14">
        <v>2025</v>
      </c>
      <c r="W158" s="14" t="str">
        <f>W157</f>
        <v>UP</v>
      </c>
      <c r="X158" s="14"/>
      <c r="Y158" s="15">
        <f>-ROUNDUP(MIN(SUMIFS('COM RESID'!$O:$O,'COM RESID'!$H:$H,$E158,'COM RESID'!$I:$I,$F158)/SUMIFS('COM RESID'!$O:$O,'COM RESID'!$I:$I,$F158)*AC158,1),3)</f>
        <v>-0.105</v>
      </c>
      <c r="Z158" s="14"/>
      <c r="AA158" s="14"/>
      <c r="AB158" s="10"/>
      <c r="AC158" s="20">
        <f>IF(S158="COMELC",IF(SUMIFS('COM RESID'!$O:$O,'COM RESID'!$H:$H,$E158,'COM RESID'!$I:$I,$F158)/SUMIFS('COM RESID'!$O:$O,'COM RESID'!$I:$I,$F158)*1.2&lt;0.25,0.25/(SUMIFS('COM RESID'!$O:$O,'COM RESID'!$H:$H,$E158,'COM RESID'!$I:$I,$F158)/SUMIFS('COM RESID'!$O:$O,'COM RESID'!$I:$I,$F158)),1.2),IF(ISNUMBER(SEARCH("WHEUE",T158)),IF(OR(S158="COMNGA",S158="COMFOI"),1,1.2),1.2))</f>
        <v>1.2</v>
      </c>
    </row>
    <row r="159" spans="1:29" x14ac:dyDescent="0.25">
      <c r="A159" s="10">
        <f>A158</f>
        <v>39</v>
      </c>
      <c r="B159" s="10"/>
      <c r="C159" s="11" t="str">
        <f>IF(C158="*",C158,"")</f>
        <v>*</v>
      </c>
      <c r="D159" s="12"/>
      <c r="E159" s="13" t="str">
        <f t="shared" si="50"/>
        <v>COMFOI</v>
      </c>
      <c r="F159" s="13" t="str">
        <f t="shared" si="50"/>
        <v>COMRETOldOEEUE</v>
      </c>
      <c r="G159" s="13" t="str">
        <f t="shared" si="50"/>
        <v>COMRETOldOEEUE</v>
      </c>
      <c r="H159" s="14">
        <v>2030</v>
      </c>
      <c r="I159" s="14" t="str">
        <f>I158</f>
        <v>LO</v>
      </c>
      <c r="J159" s="14"/>
      <c r="K159" s="15">
        <f>-ROUNDDOWN(SUMIFS('COM RESID'!$O:$O,'COM RESID'!$H:$H,$E159,'COM RESID'!$I:$I,$F159)/SUMIFS('COM RESID'!$O:$O,'COM RESID'!$I:$I,$F159),3)*O159</f>
        <v>-1.72E-2</v>
      </c>
      <c r="L159" s="14"/>
      <c r="M159" s="14"/>
      <c r="N159" s="10"/>
      <c r="O159" s="20">
        <v>0.2</v>
      </c>
      <c r="Q159" s="11" t="str">
        <f t="shared" si="40"/>
        <v>*</v>
      </c>
      <c r="R159" s="12"/>
      <c r="S159" s="13" t="str">
        <f t="shared" si="42"/>
        <v>COMFOI</v>
      </c>
      <c r="T159" s="13" t="str">
        <f t="shared" si="43"/>
        <v>COMRETOldOEEUE</v>
      </c>
      <c r="U159" s="13" t="str">
        <f t="shared" si="44"/>
        <v>COMRETOldOEEUE</v>
      </c>
      <c r="V159" s="14">
        <v>2030</v>
      </c>
      <c r="W159" s="14" t="str">
        <f>W158</f>
        <v>UP</v>
      </c>
      <c r="X159" s="14"/>
      <c r="Y159" s="15">
        <f>-ROUNDUP(MIN(SUMIFS('COM RESID'!$O:$O,'COM RESID'!$H:$H,$E159,'COM RESID'!$I:$I,$F159)/SUMIFS('COM RESID'!$O:$O,'COM RESID'!$I:$I,$F159)*AC159,1),3)</f>
        <v>-0.13100000000000001</v>
      </c>
      <c r="Z159" s="14"/>
      <c r="AA159" s="14"/>
      <c r="AB159" s="10"/>
      <c r="AC159" s="20">
        <f>IF(S159="COMELC",IF(SUMIFS('COM RESID'!$O:$O,'COM RESID'!$H:$H,$E159,'COM RESID'!$I:$I,$F159)/SUMIFS('COM RESID'!$O:$O,'COM RESID'!$I:$I,$F159)*1.5&lt;0.5,0.5/(SUMIFS('COM RESID'!$O:$O,'COM RESID'!$H:$H,$E159,'COM RESID'!$I:$I,$F159)/SUMIFS('COM RESID'!$O:$O,'COM RESID'!$I:$I,$F159)),1.5),IF(ISNUMBER(SEARCH("WHEUE",T158)),IF(OR(S158="COMNGA",S158="COMFOI"),0.9,1.5),1.5))</f>
        <v>1.5</v>
      </c>
    </row>
    <row r="160" spans="1:29" x14ac:dyDescent="0.25">
      <c r="A160" s="26">
        <f>A159</f>
        <v>39</v>
      </c>
      <c r="B160" s="26"/>
      <c r="C160" s="21" t="str">
        <f>IF(C159="*",C159,"")</f>
        <v>*</v>
      </c>
      <c r="D160" s="22"/>
      <c r="E160" s="23" t="str">
        <f t="shared" si="50"/>
        <v>COMFOI</v>
      </c>
      <c r="F160" s="23" t="str">
        <f t="shared" si="50"/>
        <v>COMRETOldOEEUE</v>
      </c>
      <c r="G160" s="23" t="str">
        <f t="shared" si="50"/>
        <v>COMRETOldOEEUE</v>
      </c>
      <c r="H160" s="24">
        <v>2050</v>
      </c>
      <c r="I160" s="24" t="str">
        <f>I159</f>
        <v>LO</v>
      </c>
      <c r="J160" s="24"/>
      <c r="K160" s="25">
        <f>-ROUNDDOWN(SUMIFS('COM RESID'!$O:$O,'COM RESID'!$H:$H,$E160,'COM RESID'!$I:$I,$F160)/SUMIFS('COM RESID'!$O:$O,'COM RESID'!$I:$I,$F160),3)*O160</f>
        <v>0</v>
      </c>
      <c r="L160" s="24"/>
      <c r="M160" s="24"/>
      <c r="N160" s="26"/>
      <c r="O160" s="27">
        <v>0</v>
      </c>
      <c r="Q160" s="21" t="str">
        <f t="shared" si="40"/>
        <v>*</v>
      </c>
      <c r="R160" s="22"/>
      <c r="S160" s="23" t="str">
        <f t="shared" si="42"/>
        <v>COMFOI</v>
      </c>
      <c r="T160" s="23" t="str">
        <f t="shared" si="43"/>
        <v>COMRETOldOEEUE</v>
      </c>
      <c r="U160" s="23" t="str">
        <f t="shared" si="44"/>
        <v>COMRETOldOEEUE</v>
      </c>
      <c r="V160" s="24">
        <v>2050</v>
      </c>
      <c r="W160" s="24" t="str">
        <f>W159</f>
        <v>UP</v>
      </c>
      <c r="X160" s="24"/>
      <c r="Y160" s="25">
        <f>-ROUNDUP(MIN(SUMIFS('COM RESID'!$O:$O,'COM RESID'!$H:$H,$E160,'COM RESID'!$I:$I,$F160)/SUMIFS('COM RESID'!$O:$O,'COM RESID'!$I:$I,$F160)*AC160,1),3)</f>
        <v>-0.26100000000000001</v>
      </c>
      <c r="Z160" s="24"/>
      <c r="AA160" s="24"/>
      <c r="AB160" s="26"/>
      <c r="AC160" s="27">
        <f>IF(S160="COMELC",IF(SUMIFS('COM RESID'!$O:$O,'COM RESID'!$H:$H,$E160,'COM RESID'!$I:$I,$F160)/SUMIFS('COM RESID'!$O:$O,'COM RESID'!$I:$I,$F160)*3&lt;1,1/(SUMIFS('COM RESID'!$O:$O,'COM RESID'!$H:$H,$E160,'COM RESID'!$I:$I,$F160)/SUMIFS('COM RESID'!$O:$O,'COM RESID'!$I:$I,$F160)),3),IF(ISNUMBER(SEARCH("WHEUE",T158)),IF(OR(S158="COMNGA",S158="COMFOI"),0.75,3),3))</f>
        <v>3</v>
      </c>
    </row>
    <row r="161" spans="1:29" x14ac:dyDescent="0.25">
      <c r="A161" s="19">
        <f>A157+1</f>
        <v>40</v>
      </c>
      <c r="B161" s="10"/>
      <c r="C161" s="11" t="str">
        <f>IF(E161="","",IF(_xlfn.XLOOKUP($A161,Selected_constraint_UC!$A:$A,Selected_constraint_UC!$D:$D)=1,"*",IF(SUMIFS('COM TECH'!$N:$N,'COM TECH'!$K:$K,E161,'COM TECH'!$L:$L,F161)=0,"*",IF(SUMIFS('COM RESID'!$O:$O,'COM RESID'!$H:$H,$E161,'COM RESID'!$I:$I,$F161)=0,"*","UC_MarketShare_"&amp;LEFT(F161,LEN(F161)-3)&amp;"_"&amp;RIGHT(E161,3)&amp;"_MIN"))))</f>
        <v>UC_MarketShare_COMRETOldOE_NGA_MIN</v>
      </c>
      <c r="D161" s="12"/>
      <c r="E161" s="13" t="str">
        <f>_xlfn.XLOOKUP($A161,Selected_constraint_UC!$A:$A,Selected_constraint_UC!$B:$B)</f>
        <v>COMNGA</v>
      </c>
      <c r="F161" s="13" t="str">
        <f>_xlfn.XLOOKUP($A161,Selected_constraint_UC!$A:$A,Selected_constraint_UC!$C:$C)</f>
        <v>COMRETOldOEEUE</v>
      </c>
      <c r="G161" s="13" t="str">
        <f>F161</f>
        <v>COMRETOldOEEUE</v>
      </c>
      <c r="H161" s="14">
        <v>2019</v>
      </c>
      <c r="I161" s="14" t="s">
        <v>3848</v>
      </c>
      <c r="J161" s="14">
        <v>1</v>
      </c>
      <c r="K161" s="15">
        <f>-ROUNDDOWN(SUMIFS('COM RESID'!$O:$O,'COM RESID'!$H:$H,$E161,'COM RESID'!$I:$I,$F161)/SUMIFS('COM RESID'!$O:$O,'COM RESID'!$I:$I,$F161),3)*O161</f>
        <v>-0.20383999999999999</v>
      </c>
      <c r="L161" s="14">
        <v>0</v>
      </c>
      <c r="M161" s="14">
        <v>5</v>
      </c>
      <c r="N161" s="10"/>
      <c r="O161" s="20">
        <v>0.98</v>
      </c>
      <c r="Q161" s="11" t="str">
        <f t="shared" si="40"/>
        <v>UC_MarketShare_COMRETOldOE_NGA_MAX</v>
      </c>
      <c r="R161" s="12"/>
      <c r="S161" s="13" t="str">
        <f t="shared" si="42"/>
        <v>COMNGA</v>
      </c>
      <c r="T161" s="13" t="str">
        <f t="shared" si="43"/>
        <v>COMRETOldOEEUE</v>
      </c>
      <c r="U161" s="13" t="str">
        <f t="shared" si="44"/>
        <v>COMRETOldOEEUE</v>
      </c>
      <c r="V161" s="14">
        <v>2019</v>
      </c>
      <c r="W161" s="14" t="s">
        <v>3849</v>
      </c>
      <c r="X161" s="14">
        <v>1</v>
      </c>
      <c r="Y161" s="15">
        <f>-ROUNDUP(MIN(SUMIFS('COM RESID'!$O:$O,'COM RESID'!$H:$H,$E161,'COM RESID'!$I:$I,$F161)/SUMIFS('COM RESID'!$O:$O,'COM RESID'!$I:$I,$F161)*AC161,1),3)</f>
        <v>-0.21299999999999999</v>
      </c>
      <c r="Z161" s="14">
        <v>0</v>
      </c>
      <c r="AA161" s="14">
        <v>5</v>
      </c>
      <c r="AB161" s="10"/>
      <c r="AC161" s="20">
        <v>1.02</v>
      </c>
    </row>
    <row r="162" spans="1:29" x14ac:dyDescent="0.25">
      <c r="A162" s="10">
        <f>A161</f>
        <v>40</v>
      </c>
      <c r="B162" s="10"/>
      <c r="C162" s="11" t="str">
        <f>IF(C161="*",C161,"")</f>
        <v/>
      </c>
      <c r="D162" s="12"/>
      <c r="E162" s="13" t="str">
        <f t="shared" ref="E162:G164" si="51">E161</f>
        <v>COMNGA</v>
      </c>
      <c r="F162" s="13" t="str">
        <f t="shared" si="51"/>
        <v>COMRETOldOEEUE</v>
      </c>
      <c r="G162" s="13" t="str">
        <f t="shared" si="51"/>
        <v>COMRETOldOEEUE</v>
      </c>
      <c r="H162" s="14">
        <v>2025</v>
      </c>
      <c r="I162" s="14" t="str">
        <f>I161</f>
        <v>LO</v>
      </c>
      <c r="J162" s="14"/>
      <c r="K162" s="15">
        <f>-ROUNDDOWN(SUMIFS('COM RESID'!$O:$O,'COM RESID'!$H:$H,$E162,'COM RESID'!$I:$I,$F162)/SUMIFS('COM RESID'!$O:$O,'COM RESID'!$I:$I,$F162),3)*O162</f>
        <v>-0.16639999999999999</v>
      </c>
      <c r="L162" s="14"/>
      <c r="M162" s="14"/>
      <c r="N162" s="10"/>
      <c r="O162" s="20">
        <v>0.8</v>
      </c>
      <c r="Q162" s="11" t="str">
        <f t="shared" si="40"/>
        <v/>
      </c>
      <c r="R162" s="12"/>
      <c r="S162" s="13" t="str">
        <f t="shared" si="42"/>
        <v>COMNGA</v>
      </c>
      <c r="T162" s="13" t="str">
        <f t="shared" si="43"/>
        <v>COMRETOldOEEUE</v>
      </c>
      <c r="U162" s="13" t="str">
        <f t="shared" si="44"/>
        <v>COMRETOldOEEUE</v>
      </c>
      <c r="V162" s="14">
        <v>2025</v>
      </c>
      <c r="W162" s="14" t="str">
        <f>W161</f>
        <v>UP</v>
      </c>
      <c r="X162" s="14"/>
      <c r="Y162" s="15">
        <f>-ROUNDUP(MIN(SUMIFS('COM RESID'!$O:$O,'COM RESID'!$H:$H,$E162,'COM RESID'!$I:$I,$F162)/SUMIFS('COM RESID'!$O:$O,'COM RESID'!$I:$I,$F162)*AC162,1),3)</f>
        <v>-0.25</v>
      </c>
      <c r="Z162" s="14"/>
      <c r="AA162" s="14"/>
      <c r="AB162" s="10"/>
      <c r="AC162" s="20">
        <f>IF(S162="COMELC",IF(SUMIFS('COM RESID'!$O:$O,'COM RESID'!$H:$H,$E162,'COM RESID'!$I:$I,$F162)/SUMIFS('COM RESID'!$O:$O,'COM RESID'!$I:$I,$F162)*1.2&lt;0.25,0.25/(SUMIFS('COM RESID'!$O:$O,'COM RESID'!$H:$H,$E162,'COM RESID'!$I:$I,$F162)/SUMIFS('COM RESID'!$O:$O,'COM RESID'!$I:$I,$F162)),1.2),IF(ISNUMBER(SEARCH("WHEUE",T162)),IF(OR(S162="COMNGA",S162="COMFOI"),1,1.2),1.2))</f>
        <v>1.2</v>
      </c>
    </row>
    <row r="163" spans="1:29" x14ac:dyDescent="0.25">
      <c r="A163" s="10">
        <f>A162</f>
        <v>40</v>
      </c>
      <c r="B163" s="10"/>
      <c r="C163" s="11" t="str">
        <f>IF(C162="*",C162,"")</f>
        <v/>
      </c>
      <c r="D163" s="12"/>
      <c r="E163" s="13" t="str">
        <f t="shared" si="51"/>
        <v>COMNGA</v>
      </c>
      <c r="F163" s="13" t="str">
        <f t="shared" si="51"/>
        <v>COMRETOldOEEUE</v>
      </c>
      <c r="G163" s="13" t="str">
        <f t="shared" si="51"/>
        <v>COMRETOldOEEUE</v>
      </c>
      <c r="H163" s="14">
        <v>2030</v>
      </c>
      <c r="I163" s="14" t="str">
        <f>I162</f>
        <v>LO</v>
      </c>
      <c r="J163" s="14"/>
      <c r="K163" s="15">
        <f>-ROUNDDOWN(SUMIFS('COM RESID'!$O:$O,'COM RESID'!$H:$H,$E163,'COM RESID'!$I:$I,$F163)/SUMIFS('COM RESID'!$O:$O,'COM RESID'!$I:$I,$F163),3)*O163</f>
        <v>-4.1599999999999998E-2</v>
      </c>
      <c r="L163" s="14"/>
      <c r="M163" s="14"/>
      <c r="N163" s="10"/>
      <c r="O163" s="20">
        <v>0.2</v>
      </c>
      <c r="Q163" s="11" t="str">
        <f t="shared" si="40"/>
        <v/>
      </c>
      <c r="R163" s="12"/>
      <c r="S163" s="13" t="str">
        <f t="shared" si="42"/>
        <v>COMNGA</v>
      </c>
      <c r="T163" s="13" t="str">
        <f t="shared" si="43"/>
        <v>COMRETOldOEEUE</v>
      </c>
      <c r="U163" s="13" t="str">
        <f t="shared" si="44"/>
        <v>COMRETOldOEEUE</v>
      </c>
      <c r="V163" s="14">
        <v>2030</v>
      </c>
      <c r="W163" s="14" t="str">
        <f>W162</f>
        <v>UP</v>
      </c>
      <c r="X163" s="14"/>
      <c r="Y163" s="15">
        <f>-ROUNDUP(MIN(SUMIFS('COM RESID'!$O:$O,'COM RESID'!$H:$H,$E163,'COM RESID'!$I:$I,$F163)/SUMIFS('COM RESID'!$O:$O,'COM RESID'!$I:$I,$F163)*AC163,1),3)</f>
        <v>-0.313</v>
      </c>
      <c r="Z163" s="14"/>
      <c r="AA163" s="14"/>
      <c r="AB163" s="10"/>
      <c r="AC163" s="20">
        <f>IF(S163="COMELC",IF(SUMIFS('COM RESID'!$O:$O,'COM RESID'!$H:$H,$E163,'COM RESID'!$I:$I,$F163)/SUMIFS('COM RESID'!$O:$O,'COM RESID'!$I:$I,$F163)*1.5&lt;0.5,0.5/(SUMIFS('COM RESID'!$O:$O,'COM RESID'!$H:$H,$E163,'COM RESID'!$I:$I,$F163)/SUMIFS('COM RESID'!$O:$O,'COM RESID'!$I:$I,$F163)),1.5),IF(ISNUMBER(SEARCH("WHEUE",T162)),IF(OR(S162="COMNGA",S162="COMFOI"),0.9,1.5),1.5))</f>
        <v>1.5</v>
      </c>
    </row>
    <row r="164" spans="1:29" x14ac:dyDescent="0.25">
      <c r="A164" s="26">
        <f>A163</f>
        <v>40</v>
      </c>
      <c r="B164" s="26"/>
      <c r="C164" s="21" t="str">
        <f>IF(C163="*",C163,"")</f>
        <v/>
      </c>
      <c r="D164" s="22"/>
      <c r="E164" s="23" t="str">
        <f t="shared" si="51"/>
        <v>COMNGA</v>
      </c>
      <c r="F164" s="23" t="str">
        <f t="shared" si="51"/>
        <v>COMRETOldOEEUE</v>
      </c>
      <c r="G164" s="23" t="str">
        <f t="shared" si="51"/>
        <v>COMRETOldOEEUE</v>
      </c>
      <c r="H164" s="24">
        <v>2050</v>
      </c>
      <c r="I164" s="24" t="str">
        <f>I163</f>
        <v>LO</v>
      </c>
      <c r="J164" s="24"/>
      <c r="K164" s="25">
        <f>-ROUNDDOWN(SUMIFS('COM RESID'!$O:$O,'COM RESID'!$H:$H,$E164,'COM RESID'!$I:$I,$F164)/SUMIFS('COM RESID'!$O:$O,'COM RESID'!$I:$I,$F164),3)*O164</f>
        <v>0</v>
      </c>
      <c r="L164" s="24"/>
      <c r="M164" s="24"/>
      <c r="N164" s="26"/>
      <c r="O164" s="27">
        <v>0</v>
      </c>
      <c r="Q164" s="21" t="str">
        <f t="shared" si="40"/>
        <v/>
      </c>
      <c r="R164" s="22"/>
      <c r="S164" s="23" t="str">
        <f t="shared" si="42"/>
        <v>COMNGA</v>
      </c>
      <c r="T164" s="23" t="str">
        <f t="shared" si="43"/>
        <v>COMRETOldOEEUE</v>
      </c>
      <c r="U164" s="23" t="str">
        <f t="shared" si="44"/>
        <v>COMRETOldOEEUE</v>
      </c>
      <c r="V164" s="24">
        <v>2050</v>
      </c>
      <c r="W164" s="24" t="str">
        <f>W163</f>
        <v>UP</v>
      </c>
      <c r="X164" s="24"/>
      <c r="Y164" s="25">
        <f>-ROUNDUP(MIN(SUMIFS('COM RESID'!$O:$O,'COM RESID'!$H:$H,$E164,'COM RESID'!$I:$I,$F164)/SUMIFS('COM RESID'!$O:$O,'COM RESID'!$I:$I,$F164)*AC164,1),3)</f>
        <v>-0.625</v>
      </c>
      <c r="Z164" s="24"/>
      <c r="AA164" s="24"/>
      <c r="AB164" s="26"/>
      <c r="AC164" s="27">
        <f>IF(S164="COMELC",IF(SUMIFS('COM RESID'!$O:$O,'COM RESID'!$H:$H,$E164,'COM RESID'!$I:$I,$F164)/SUMIFS('COM RESID'!$O:$O,'COM RESID'!$I:$I,$F164)*3&lt;1,1/(SUMIFS('COM RESID'!$O:$O,'COM RESID'!$H:$H,$E164,'COM RESID'!$I:$I,$F164)/SUMIFS('COM RESID'!$O:$O,'COM RESID'!$I:$I,$F164)),3),IF(ISNUMBER(SEARCH("WHEUE",T162)),IF(OR(S162="COMNGA",S162="COMFOI"),0.75,3),3))</f>
        <v>3</v>
      </c>
    </row>
    <row r="165" spans="1:29" x14ac:dyDescent="0.25">
      <c r="A165" s="19">
        <f>A161+1</f>
        <v>41</v>
      </c>
      <c r="B165" s="10"/>
      <c r="C165" s="11" t="str">
        <f>IF(E165="","",IF(_xlfn.XLOOKUP($A165,Selected_constraint_UC!$A:$A,Selected_constraint_UC!$D:$D)=1,"*",IF(SUMIFS('COM TECH'!$N:$N,'COM TECH'!$K:$K,E165,'COM TECH'!$L:$L,F165)=0,"*",IF(SUMIFS('COM RESID'!$O:$O,'COM RESID'!$H:$H,$E165,'COM RESID'!$I:$I,$F165)=0,"*","UC_MarketShare_"&amp;LEFT(F165,LEN(F165)-3)&amp;"_"&amp;RIGHT(E165,3)&amp;"_MIN"))))</f>
        <v>*</v>
      </c>
      <c r="D165" s="12"/>
      <c r="E165" s="13" t="str">
        <f>_xlfn.XLOOKUP($A165,Selected_constraint_UC!$A:$A,Selected_constraint_UC!$B:$B)</f>
        <v>COMSTM</v>
      </c>
      <c r="F165" s="13" t="str">
        <f>_xlfn.XLOOKUP($A165,Selected_constraint_UC!$A:$A,Selected_constraint_UC!$C:$C)</f>
        <v>COMRETOldOEEUE</v>
      </c>
      <c r="G165" s="13" t="str">
        <f>F165</f>
        <v>COMRETOldOEEUE</v>
      </c>
      <c r="H165" s="14">
        <v>2019</v>
      </c>
      <c r="I165" s="14" t="s">
        <v>3848</v>
      </c>
      <c r="J165" s="14">
        <v>1</v>
      </c>
      <c r="K165" s="15">
        <f>-ROUNDDOWN(SUMIFS('COM RESID'!$O:$O,'COM RESID'!$H:$H,$E165,'COM RESID'!$I:$I,$F165)/SUMIFS('COM RESID'!$O:$O,'COM RESID'!$I:$I,$F165),3)*O165</f>
        <v>0</v>
      </c>
      <c r="L165" s="14">
        <v>0</v>
      </c>
      <c r="M165" s="14">
        <v>5</v>
      </c>
      <c r="N165" s="10"/>
      <c r="O165" s="20">
        <v>0.98</v>
      </c>
      <c r="Q165" s="11" t="str">
        <f t="shared" si="40"/>
        <v>*</v>
      </c>
      <c r="R165" s="12"/>
      <c r="S165" s="13" t="str">
        <f t="shared" si="42"/>
        <v>COMSTM</v>
      </c>
      <c r="T165" s="13" t="str">
        <f t="shared" si="43"/>
        <v>COMRETOldOEEUE</v>
      </c>
      <c r="U165" s="13" t="str">
        <f t="shared" si="44"/>
        <v>COMRETOldOEEUE</v>
      </c>
      <c r="V165" s="14">
        <v>2019</v>
      </c>
      <c r="W165" s="14" t="s">
        <v>3849</v>
      </c>
      <c r="X165" s="14">
        <v>1</v>
      </c>
      <c r="Y165" s="15">
        <f>-ROUNDUP(MIN(SUMIFS('COM RESID'!$O:$O,'COM RESID'!$H:$H,$E165,'COM RESID'!$I:$I,$F165)/SUMIFS('COM RESID'!$O:$O,'COM RESID'!$I:$I,$F165)*AC165,1),3)</f>
        <v>0</v>
      </c>
      <c r="Z165" s="14">
        <v>0</v>
      </c>
      <c r="AA165" s="14">
        <v>5</v>
      </c>
      <c r="AB165" s="10"/>
      <c r="AC165" s="20">
        <v>1.02</v>
      </c>
    </row>
    <row r="166" spans="1:29" x14ac:dyDescent="0.25">
      <c r="A166" s="10">
        <f>A165</f>
        <v>41</v>
      </c>
      <c r="B166" s="10"/>
      <c r="C166" s="11" t="str">
        <f>IF(C165="*",C165,"")</f>
        <v>*</v>
      </c>
      <c r="D166" s="12"/>
      <c r="E166" s="13" t="str">
        <f t="shared" ref="E166:G168" si="52">E165</f>
        <v>COMSTM</v>
      </c>
      <c r="F166" s="13" t="str">
        <f t="shared" si="52"/>
        <v>COMRETOldOEEUE</v>
      </c>
      <c r="G166" s="13" t="str">
        <f t="shared" si="52"/>
        <v>COMRETOldOEEUE</v>
      </c>
      <c r="H166" s="14">
        <v>2025</v>
      </c>
      <c r="I166" s="14" t="str">
        <f>I165</f>
        <v>LO</v>
      </c>
      <c r="J166" s="14"/>
      <c r="K166" s="15">
        <f>-ROUNDDOWN(SUMIFS('COM RESID'!$O:$O,'COM RESID'!$H:$H,$E166,'COM RESID'!$I:$I,$F166)/SUMIFS('COM RESID'!$O:$O,'COM RESID'!$I:$I,$F166),3)*O166</f>
        <v>0</v>
      </c>
      <c r="L166" s="14"/>
      <c r="M166" s="14"/>
      <c r="N166" s="10"/>
      <c r="O166" s="20">
        <v>0.8</v>
      </c>
      <c r="Q166" s="11" t="str">
        <f t="shared" si="40"/>
        <v>*</v>
      </c>
      <c r="R166" s="12"/>
      <c r="S166" s="13" t="str">
        <f t="shared" si="42"/>
        <v>COMSTM</v>
      </c>
      <c r="T166" s="13" t="str">
        <f t="shared" si="43"/>
        <v>COMRETOldOEEUE</v>
      </c>
      <c r="U166" s="13" t="str">
        <f t="shared" si="44"/>
        <v>COMRETOldOEEUE</v>
      </c>
      <c r="V166" s="14">
        <v>2025</v>
      </c>
      <c r="W166" s="14" t="str">
        <f>W165</f>
        <v>UP</v>
      </c>
      <c r="X166" s="14"/>
      <c r="Y166" s="15">
        <f>-ROUNDUP(MIN(SUMIFS('COM RESID'!$O:$O,'COM RESID'!$H:$H,$E166,'COM RESID'!$I:$I,$F166)/SUMIFS('COM RESID'!$O:$O,'COM RESID'!$I:$I,$F166)*AC166,1),3)</f>
        <v>0</v>
      </c>
      <c r="Z166" s="14"/>
      <c r="AA166" s="14"/>
      <c r="AB166" s="10"/>
      <c r="AC166" s="20">
        <f>IF(S166="COMELC",IF(SUMIFS('COM RESID'!$O:$O,'COM RESID'!$H:$H,$E166,'COM RESID'!$I:$I,$F166)/SUMIFS('COM RESID'!$O:$O,'COM RESID'!$I:$I,$F166)*1.2&lt;0.25,0.25/(SUMIFS('COM RESID'!$O:$O,'COM RESID'!$H:$H,$E166,'COM RESID'!$I:$I,$F166)/SUMIFS('COM RESID'!$O:$O,'COM RESID'!$I:$I,$F166)),1.2),IF(ISNUMBER(SEARCH("WHEUE",T166)),IF(OR(S166="COMNGA",S166="COMFOI"),1,1.2),1.2))</f>
        <v>1.2</v>
      </c>
    </row>
    <row r="167" spans="1:29" x14ac:dyDescent="0.25">
      <c r="A167" s="10">
        <f>A166</f>
        <v>41</v>
      </c>
      <c r="B167" s="10"/>
      <c r="C167" s="11" t="str">
        <f>IF(C166="*",C166,"")</f>
        <v>*</v>
      </c>
      <c r="D167" s="12"/>
      <c r="E167" s="13" t="str">
        <f t="shared" si="52"/>
        <v>COMSTM</v>
      </c>
      <c r="F167" s="13" t="str">
        <f t="shared" si="52"/>
        <v>COMRETOldOEEUE</v>
      </c>
      <c r="G167" s="13" t="str">
        <f t="shared" si="52"/>
        <v>COMRETOldOEEUE</v>
      </c>
      <c r="H167" s="14">
        <v>2030</v>
      </c>
      <c r="I167" s="14" t="str">
        <f>I166</f>
        <v>LO</v>
      </c>
      <c r="J167" s="14"/>
      <c r="K167" s="15">
        <f>-ROUNDDOWN(SUMIFS('COM RESID'!$O:$O,'COM RESID'!$H:$H,$E167,'COM RESID'!$I:$I,$F167)/SUMIFS('COM RESID'!$O:$O,'COM RESID'!$I:$I,$F167),3)*O167</f>
        <v>0</v>
      </c>
      <c r="L167" s="14"/>
      <c r="M167" s="14"/>
      <c r="N167" s="10"/>
      <c r="O167" s="20">
        <v>0.2</v>
      </c>
      <c r="Q167" s="11" t="str">
        <f t="shared" si="40"/>
        <v>*</v>
      </c>
      <c r="R167" s="12"/>
      <c r="S167" s="13" t="str">
        <f t="shared" si="42"/>
        <v>COMSTM</v>
      </c>
      <c r="T167" s="13" t="str">
        <f t="shared" si="43"/>
        <v>COMRETOldOEEUE</v>
      </c>
      <c r="U167" s="13" t="str">
        <f t="shared" si="44"/>
        <v>COMRETOldOEEUE</v>
      </c>
      <c r="V167" s="14">
        <v>2030</v>
      </c>
      <c r="W167" s="14" t="str">
        <f>W166</f>
        <v>UP</v>
      </c>
      <c r="X167" s="14"/>
      <c r="Y167" s="15">
        <f>-ROUNDUP(MIN(SUMIFS('COM RESID'!$O:$O,'COM RESID'!$H:$H,$E167,'COM RESID'!$I:$I,$F167)/SUMIFS('COM RESID'!$O:$O,'COM RESID'!$I:$I,$F167)*AC167,1),3)</f>
        <v>0</v>
      </c>
      <c r="Z167" s="14"/>
      <c r="AA167" s="14"/>
      <c r="AB167" s="10"/>
      <c r="AC167" s="20">
        <f>IF(S167="COMELC",IF(SUMIFS('COM RESID'!$O:$O,'COM RESID'!$H:$H,$E167,'COM RESID'!$I:$I,$F167)/SUMIFS('COM RESID'!$O:$O,'COM RESID'!$I:$I,$F167)*1.5&lt;0.5,0.5/(SUMIFS('COM RESID'!$O:$O,'COM RESID'!$H:$H,$E167,'COM RESID'!$I:$I,$F167)/SUMIFS('COM RESID'!$O:$O,'COM RESID'!$I:$I,$F167)),1.5),IF(ISNUMBER(SEARCH("WHEUE",T166)),IF(OR(S166="COMNGA",S166="COMFOI"),0.9,1.5),1.5))</f>
        <v>1.5</v>
      </c>
    </row>
    <row r="168" spans="1:29" x14ac:dyDescent="0.25">
      <c r="A168" s="26">
        <f>A167</f>
        <v>41</v>
      </c>
      <c r="B168" s="26"/>
      <c r="C168" s="21" t="str">
        <f>IF(C167="*",C167,"")</f>
        <v>*</v>
      </c>
      <c r="D168" s="22"/>
      <c r="E168" s="23" t="str">
        <f t="shared" si="52"/>
        <v>COMSTM</v>
      </c>
      <c r="F168" s="23" t="str">
        <f t="shared" si="52"/>
        <v>COMRETOldOEEUE</v>
      </c>
      <c r="G168" s="23" t="str">
        <f t="shared" si="52"/>
        <v>COMRETOldOEEUE</v>
      </c>
      <c r="H168" s="24">
        <v>2050</v>
      </c>
      <c r="I168" s="24" t="str">
        <f>I167</f>
        <v>LO</v>
      </c>
      <c r="J168" s="24"/>
      <c r="K168" s="25">
        <f>-ROUNDDOWN(SUMIFS('COM RESID'!$O:$O,'COM RESID'!$H:$H,$E168,'COM RESID'!$I:$I,$F168)/SUMIFS('COM RESID'!$O:$O,'COM RESID'!$I:$I,$F168),3)*O168</f>
        <v>0</v>
      </c>
      <c r="L168" s="24"/>
      <c r="M168" s="24"/>
      <c r="N168" s="26"/>
      <c r="O168" s="27">
        <v>0</v>
      </c>
      <c r="Q168" s="21" t="str">
        <f t="shared" si="40"/>
        <v>*</v>
      </c>
      <c r="R168" s="22"/>
      <c r="S168" s="23" t="str">
        <f t="shared" si="42"/>
        <v>COMSTM</v>
      </c>
      <c r="T168" s="23" t="str">
        <f t="shared" si="43"/>
        <v>COMRETOldOEEUE</v>
      </c>
      <c r="U168" s="23" t="str">
        <f t="shared" si="44"/>
        <v>COMRETOldOEEUE</v>
      </c>
      <c r="V168" s="24">
        <v>2050</v>
      </c>
      <c r="W168" s="24" t="str">
        <f>W167</f>
        <v>UP</v>
      </c>
      <c r="X168" s="24"/>
      <c r="Y168" s="25">
        <f>-ROUNDUP(MIN(SUMIFS('COM RESID'!$O:$O,'COM RESID'!$H:$H,$E168,'COM RESID'!$I:$I,$F168)/SUMIFS('COM RESID'!$O:$O,'COM RESID'!$I:$I,$F168)*AC168,1),3)</f>
        <v>0</v>
      </c>
      <c r="Z168" s="24"/>
      <c r="AA168" s="24"/>
      <c r="AB168" s="26"/>
      <c r="AC168" s="27">
        <f>IF(S168="COMELC",IF(SUMIFS('COM RESID'!$O:$O,'COM RESID'!$H:$H,$E168,'COM RESID'!$I:$I,$F168)/SUMIFS('COM RESID'!$O:$O,'COM RESID'!$I:$I,$F168)*3&lt;1,1/(SUMIFS('COM RESID'!$O:$O,'COM RESID'!$H:$H,$E168,'COM RESID'!$I:$I,$F168)/SUMIFS('COM RESID'!$O:$O,'COM RESID'!$I:$I,$F168)),3),IF(ISNUMBER(SEARCH("WHEUE",T166)),IF(OR(S166="COMNGA",S166="COMFOI"),0.75,3),3))</f>
        <v>3</v>
      </c>
    </row>
    <row r="169" spans="1:29" x14ac:dyDescent="0.25">
      <c r="A169" s="19">
        <f>A165+1</f>
        <v>42</v>
      </c>
      <c r="B169" s="10"/>
      <c r="C169" s="11" t="str">
        <f>IF(E169="","",IF(_xlfn.XLOOKUP($A169,Selected_constraint_UC!$A:$A,Selected_constraint_UC!$D:$D)=1,"*",IF(SUMIFS('COM TECH'!$N:$N,'COM TECH'!$K:$K,E169,'COM TECH'!$L:$L,F169)=0,"*",IF(SUMIFS('COM RESID'!$O:$O,'COM RESID'!$H:$H,$E169,'COM RESID'!$I:$I,$F169)=0,"*","UC_MarketShare_"&amp;LEFT(F169,LEN(F169)-3)&amp;"_"&amp;RIGHT(E169,3)&amp;"_MIN"))))</f>
        <v>UC_MarketShare_COMRETOldOE_ELC_MIN</v>
      </c>
      <c r="D169" s="12"/>
      <c r="E169" s="13" t="str">
        <f>_xlfn.XLOOKUP($A169,Selected_constraint_UC!$A:$A,Selected_constraint_UC!$B:$B)</f>
        <v>COMELC</v>
      </c>
      <c r="F169" s="13" t="str">
        <f>_xlfn.XLOOKUP($A169,Selected_constraint_UC!$A:$A,Selected_constraint_UC!$C:$C)</f>
        <v>COMRETOldOEEUE</v>
      </c>
      <c r="G169" s="13" t="str">
        <f>F169</f>
        <v>COMRETOldOEEUE</v>
      </c>
      <c r="H169" s="14">
        <v>2019</v>
      </c>
      <c r="I169" s="14" t="s">
        <v>3848</v>
      </c>
      <c r="J169" s="14">
        <v>1</v>
      </c>
      <c r="K169" s="15">
        <f>-ROUNDDOWN(SUMIFS('COM RESID'!$O:$O,'COM RESID'!$H:$H,$E169,'COM RESID'!$I:$I,$F169)/SUMIFS('COM RESID'!$O:$O,'COM RESID'!$I:$I,$F169),3)*O169</f>
        <v>-0.69089999999999996</v>
      </c>
      <c r="L169" s="14">
        <v>0</v>
      </c>
      <c r="M169" s="14">
        <v>5</v>
      </c>
      <c r="N169" s="10"/>
      <c r="O169" s="20">
        <v>0.98</v>
      </c>
      <c r="Q169" s="11" t="str">
        <f t="shared" si="40"/>
        <v>UC_MarketShare_COMRETOldOE_ELC_MAX</v>
      </c>
      <c r="R169" s="12"/>
      <c r="S169" s="13" t="str">
        <f t="shared" si="42"/>
        <v>COMELC</v>
      </c>
      <c r="T169" s="13" t="str">
        <f t="shared" si="43"/>
        <v>COMRETOldOEEUE</v>
      </c>
      <c r="U169" s="13" t="str">
        <f t="shared" si="44"/>
        <v>COMRETOldOEEUE</v>
      </c>
      <c r="V169" s="14">
        <v>2019</v>
      </c>
      <c r="W169" s="14" t="s">
        <v>3849</v>
      </c>
      <c r="X169" s="14">
        <v>1</v>
      </c>
      <c r="Y169" s="15">
        <f>-ROUNDUP(MIN(SUMIFS('COM RESID'!$O:$O,'COM RESID'!$H:$H,$E169,'COM RESID'!$I:$I,$F169)/SUMIFS('COM RESID'!$O:$O,'COM RESID'!$I:$I,$F169)*AC169,1),3)</f>
        <v>-0.72</v>
      </c>
      <c r="Z169" s="14">
        <v>0</v>
      </c>
      <c r="AA169" s="14">
        <v>5</v>
      </c>
      <c r="AB169" s="10"/>
      <c r="AC169" s="20">
        <v>1.02</v>
      </c>
    </row>
    <row r="170" spans="1:29" x14ac:dyDescent="0.25">
      <c r="A170" s="10">
        <f>A169</f>
        <v>42</v>
      </c>
      <c r="B170" s="10"/>
      <c r="C170" s="11" t="str">
        <f>IF(C169="*",C169,"")</f>
        <v/>
      </c>
      <c r="D170" s="12"/>
      <c r="E170" s="13" t="str">
        <f t="shared" ref="E170:G172" si="53">E169</f>
        <v>COMELC</v>
      </c>
      <c r="F170" s="13" t="str">
        <f t="shared" si="53"/>
        <v>COMRETOldOEEUE</v>
      </c>
      <c r="G170" s="13" t="str">
        <f t="shared" si="53"/>
        <v>COMRETOldOEEUE</v>
      </c>
      <c r="H170" s="14">
        <v>2025</v>
      </c>
      <c r="I170" s="14" t="str">
        <f>I169</f>
        <v>LO</v>
      </c>
      <c r="J170" s="14"/>
      <c r="K170" s="15">
        <f>-ROUNDDOWN(SUMIFS('COM RESID'!$O:$O,'COM RESID'!$H:$H,$E170,'COM RESID'!$I:$I,$F170)/SUMIFS('COM RESID'!$O:$O,'COM RESID'!$I:$I,$F170),3)*O170</f>
        <v>-0.56399999999999995</v>
      </c>
      <c r="L170" s="14"/>
      <c r="M170" s="14"/>
      <c r="N170" s="10"/>
      <c r="O170" s="20">
        <v>0.8</v>
      </c>
      <c r="Q170" s="11" t="str">
        <f t="shared" si="40"/>
        <v/>
      </c>
      <c r="R170" s="12"/>
      <c r="S170" s="13" t="str">
        <f t="shared" si="42"/>
        <v>COMELC</v>
      </c>
      <c r="T170" s="13" t="str">
        <f t="shared" si="43"/>
        <v>COMRETOldOEEUE</v>
      </c>
      <c r="U170" s="13" t="str">
        <f t="shared" si="44"/>
        <v>COMRETOldOEEUE</v>
      </c>
      <c r="V170" s="14">
        <v>2025</v>
      </c>
      <c r="W170" s="14" t="str">
        <f>W169</f>
        <v>UP</v>
      </c>
      <c r="X170" s="14"/>
      <c r="Y170" s="15">
        <f>-ROUNDUP(MIN(SUMIFS('COM RESID'!$O:$O,'COM RESID'!$H:$H,$E170,'COM RESID'!$I:$I,$F170)/SUMIFS('COM RESID'!$O:$O,'COM RESID'!$I:$I,$F170)*AC170,1),3)</f>
        <v>-0.84699999999999998</v>
      </c>
      <c r="Z170" s="14"/>
      <c r="AA170" s="14"/>
      <c r="AB170" s="10"/>
      <c r="AC170" s="20">
        <f>IF(S170="COMELC",IF(SUMIFS('COM RESID'!$O:$O,'COM RESID'!$H:$H,$E170,'COM RESID'!$I:$I,$F170)/SUMIFS('COM RESID'!$O:$O,'COM RESID'!$I:$I,$F170)*1.2&lt;0.25,0.25/(SUMIFS('COM RESID'!$O:$O,'COM RESID'!$H:$H,$E170,'COM RESID'!$I:$I,$F170)/SUMIFS('COM RESID'!$O:$O,'COM RESID'!$I:$I,$F170)),1.2),IF(ISNUMBER(SEARCH("WHEUE",T170)),IF(OR(S170="COMNGA",S170="COMFOI"),1,1.2),1.2))</f>
        <v>1.2</v>
      </c>
    </row>
    <row r="171" spans="1:29" x14ac:dyDescent="0.25">
      <c r="A171" s="10">
        <f>A170</f>
        <v>42</v>
      </c>
      <c r="B171" s="10"/>
      <c r="C171" s="11" t="str">
        <f>IF(C170="*",C170,"")</f>
        <v/>
      </c>
      <c r="D171" s="12"/>
      <c r="E171" s="13" t="str">
        <f t="shared" si="53"/>
        <v>COMELC</v>
      </c>
      <c r="F171" s="13" t="str">
        <f t="shared" si="53"/>
        <v>COMRETOldOEEUE</v>
      </c>
      <c r="G171" s="13" t="str">
        <f t="shared" si="53"/>
        <v>COMRETOldOEEUE</v>
      </c>
      <c r="H171" s="14">
        <v>2030</v>
      </c>
      <c r="I171" s="14" t="str">
        <f>I170</f>
        <v>LO</v>
      </c>
      <c r="J171" s="14"/>
      <c r="K171" s="15">
        <f>-ROUNDDOWN(SUMIFS('COM RESID'!$O:$O,'COM RESID'!$H:$H,$E171,'COM RESID'!$I:$I,$F171)/SUMIFS('COM RESID'!$O:$O,'COM RESID'!$I:$I,$F171),3)*O171</f>
        <v>-0.14099999999999999</v>
      </c>
      <c r="L171" s="14"/>
      <c r="M171" s="14"/>
      <c r="N171" s="10"/>
      <c r="O171" s="20">
        <v>0.2</v>
      </c>
      <c r="Q171" s="11" t="str">
        <f t="shared" si="40"/>
        <v/>
      </c>
      <c r="R171" s="12"/>
      <c r="S171" s="13" t="str">
        <f t="shared" si="42"/>
        <v>COMELC</v>
      </c>
      <c r="T171" s="13" t="str">
        <f t="shared" si="43"/>
        <v>COMRETOldOEEUE</v>
      </c>
      <c r="U171" s="13" t="str">
        <f t="shared" si="44"/>
        <v>COMRETOldOEEUE</v>
      </c>
      <c r="V171" s="14">
        <v>2030</v>
      </c>
      <c r="W171" s="14" t="str">
        <f>W170</f>
        <v>UP</v>
      </c>
      <c r="X171" s="14"/>
      <c r="Y171" s="15">
        <f>-ROUNDUP(MIN(SUMIFS('COM RESID'!$O:$O,'COM RESID'!$H:$H,$E171,'COM RESID'!$I:$I,$F171)/SUMIFS('COM RESID'!$O:$O,'COM RESID'!$I:$I,$F171)*AC171,1),3)</f>
        <v>-1</v>
      </c>
      <c r="Z171" s="14"/>
      <c r="AA171" s="14"/>
      <c r="AB171" s="10"/>
      <c r="AC171" s="20">
        <f>IF(S171="COMELC",IF(SUMIFS('COM RESID'!$O:$O,'COM RESID'!$H:$H,$E171,'COM RESID'!$I:$I,$F171)/SUMIFS('COM RESID'!$O:$O,'COM RESID'!$I:$I,$F171)*1.5&lt;0.5,0.5/(SUMIFS('COM RESID'!$O:$O,'COM RESID'!$H:$H,$E171,'COM RESID'!$I:$I,$F171)/SUMIFS('COM RESID'!$O:$O,'COM RESID'!$I:$I,$F171)),1.5),IF(ISNUMBER(SEARCH("WHEUE",T170)),IF(OR(S170="COMNGA",S170="COMFOI"),0.9,1.5),1.5))</f>
        <v>1.5</v>
      </c>
    </row>
    <row r="172" spans="1:29" x14ac:dyDescent="0.25">
      <c r="A172" s="26">
        <f>A171</f>
        <v>42</v>
      </c>
      <c r="B172" s="26"/>
      <c r="C172" s="21" t="str">
        <f>IF(C171="*",C171,"")</f>
        <v/>
      </c>
      <c r="D172" s="22"/>
      <c r="E172" s="23" t="str">
        <f t="shared" si="53"/>
        <v>COMELC</v>
      </c>
      <c r="F172" s="23" t="str">
        <f t="shared" si="53"/>
        <v>COMRETOldOEEUE</v>
      </c>
      <c r="G172" s="23" t="str">
        <f t="shared" si="53"/>
        <v>COMRETOldOEEUE</v>
      </c>
      <c r="H172" s="24">
        <v>2050</v>
      </c>
      <c r="I172" s="24" t="str">
        <f>I171</f>
        <v>LO</v>
      </c>
      <c r="J172" s="24"/>
      <c r="K172" s="25">
        <f>-ROUNDDOWN(SUMIFS('COM RESID'!$O:$O,'COM RESID'!$H:$H,$E172,'COM RESID'!$I:$I,$F172)/SUMIFS('COM RESID'!$O:$O,'COM RESID'!$I:$I,$F172),3)*O172</f>
        <v>0</v>
      </c>
      <c r="L172" s="24"/>
      <c r="M172" s="24"/>
      <c r="N172" s="26"/>
      <c r="O172" s="27">
        <v>0</v>
      </c>
      <c r="Q172" s="21" t="str">
        <f t="shared" si="40"/>
        <v/>
      </c>
      <c r="R172" s="22"/>
      <c r="S172" s="23" t="str">
        <f t="shared" si="42"/>
        <v>COMELC</v>
      </c>
      <c r="T172" s="23" t="str">
        <f t="shared" si="43"/>
        <v>COMRETOldOEEUE</v>
      </c>
      <c r="U172" s="23" t="str">
        <f t="shared" si="44"/>
        <v>COMRETOldOEEUE</v>
      </c>
      <c r="V172" s="24">
        <v>2050</v>
      </c>
      <c r="W172" s="24" t="str">
        <f>W171</f>
        <v>UP</v>
      </c>
      <c r="X172" s="24"/>
      <c r="Y172" s="25">
        <f>-ROUNDUP(MIN(SUMIFS('COM RESID'!$O:$O,'COM RESID'!$H:$H,$E172,'COM RESID'!$I:$I,$F172)/SUMIFS('COM RESID'!$O:$O,'COM RESID'!$I:$I,$F172)*AC172,1),3)</f>
        <v>-1</v>
      </c>
      <c r="Z172" s="24"/>
      <c r="AA172" s="24"/>
      <c r="AB172" s="26"/>
      <c r="AC172" s="27">
        <f>IF(S172="COMELC",IF(SUMIFS('COM RESID'!$O:$O,'COM RESID'!$H:$H,$E172,'COM RESID'!$I:$I,$F172)/SUMIFS('COM RESID'!$O:$O,'COM RESID'!$I:$I,$F172)*3&lt;1,1/(SUMIFS('COM RESID'!$O:$O,'COM RESID'!$H:$H,$E172,'COM RESID'!$I:$I,$F172)/SUMIFS('COM RESID'!$O:$O,'COM RESID'!$I:$I,$F172)),3),IF(ISNUMBER(SEARCH("WHEUE",T170)),IF(OR(S170="COMNGA",S170="COMFOI"),0.75,3),3))</f>
        <v>3</v>
      </c>
    </row>
    <row r="173" spans="1:29" x14ac:dyDescent="0.25">
      <c r="A173" s="19">
        <f>A169+1</f>
        <v>43</v>
      </c>
      <c r="B173" s="10"/>
      <c r="C173" s="11" t="str">
        <f>IF(E173="","",IF(_xlfn.XLOOKUP($A173,Selected_constraint_UC!$A:$A,Selected_constraint_UC!$D:$D)=1,"*",IF(SUMIFS('COM TECH'!$N:$N,'COM TECH'!$K:$K,E173,'COM TECH'!$L:$L,F173)=0,"*",IF(SUMIFS('COM RESID'!$O:$O,'COM RESID'!$H:$H,$E173,'COM RESID'!$I:$I,$F173)=0,"*","UC_MarketShare_"&amp;LEFT(F173,LEN(F173)-3)&amp;"_"&amp;RIGHT(E173,3)&amp;"_MIN"))))</f>
        <v>UC_MarketShare_COMOFFOldSH_ELC_MIN</v>
      </c>
      <c r="D173" s="12"/>
      <c r="E173" s="13" t="str">
        <f>_xlfn.XLOOKUP($A173,Selected_constraint_UC!$A:$A,Selected_constraint_UC!$B:$B)</f>
        <v>COMELC</v>
      </c>
      <c r="F173" s="13" t="str">
        <f>_xlfn.XLOOKUP($A173,Selected_constraint_UC!$A:$A,Selected_constraint_UC!$C:$C)</f>
        <v>COMOFFOldSHEUE</v>
      </c>
      <c r="G173" s="13" t="str">
        <f>F173</f>
        <v>COMOFFOldSHEUE</v>
      </c>
      <c r="H173" s="14">
        <v>2019</v>
      </c>
      <c r="I173" s="14" t="s">
        <v>3848</v>
      </c>
      <c r="J173" s="14">
        <v>1</v>
      </c>
      <c r="K173" s="15">
        <f>-ROUNDDOWN(SUMIFS('COM RESID'!$O:$O,'COM RESID'!$H:$H,$E173,'COM RESID'!$I:$I,$F173)/SUMIFS('COM RESID'!$O:$O,'COM RESID'!$I:$I,$F173),3)*O173</f>
        <v>-3.8219999999999997E-2</v>
      </c>
      <c r="L173" s="14">
        <v>0</v>
      </c>
      <c r="M173" s="14">
        <v>5</v>
      </c>
      <c r="N173" s="10"/>
      <c r="O173" s="20">
        <v>0.98</v>
      </c>
      <c r="Q173" s="11" t="str">
        <f t="shared" si="40"/>
        <v>UC_MarketShare_COMOFFOldSH_ELC_MAX</v>
      </c>
      <c r="R173" s="12"/>
      <c r="S173" s="13" t="str">
        <f t="shared" si="42"/>
        <v>COMELC</v>
      </c>
      <c r="T173" s="13" t="str">
        <f t="shared" si="43"/>
        <v>COMOFFOldSHEUE</v>
      </c>
      <c r="U173" s="13" t="str">
        <f t="shared" si="44"/>
        <v>COMOFFOldSHEUE</v>
      </c>
      <c r="V173" s="14">
        <v>2019</v>
      </c>
      <c r="W173" s="14" t="s">
        <v>3849</v>
      </c>
      <c r="X173" s="14">
        <v>1</v>
      </c>
      <c r="Y173" s="15">
        <f>-ROUNDUP(MIN(SUMIFS('COM RESID'!$O:$O,'COM RESID'!$H:$H,$E173,'COM RESID'!$I:$I,$F173)/SUMIFS('COM RESID'!$O:$O,'COM RESID'!$I:$I,$F173)*AC173,1),3)</f>
        <v>-4.1000000000000002E-2</v>
      </c>
      <c r="Z173" s="14">
        <v>0</v>
      </c>
      <c r="AA173" s="14">
        <v>5</v>
      </c>
      <c r="AB173" s="10"/>
      <c r="AC173" s="20">
        <v>1.02</v>
      </c>
    </row>
    <row r="174" spans="1:29" x14ac:dyDescent="0.25">
      <c r="A174" s="10">
        <f>A173</f>
        <v>43</v>
      </c>
      <c r="B174" s="10"/>
      <c r="C174" s="11" t="str">
        <f>IF(C173="*",C173,"")</f>
        <v/>
      </c>
      <c r="D174" s="12"/>
      <c r="E174" s="13" t="str">
        <f t="shared" ref="E174:G176" si="54">E173</f>
        <v>COMELC</v>
      </c>
      <c r="F174" s="13" t="str">
        <f t="shared" si="54"/>
        <v>COMOFFOldSHEUE</v>
      </c>
      <c r="G174" s="13" t="str">
        <f t="shared" si="54"/>
        <v>COMOFFOldSHEUE</v>
      </c>
      <c r="H174" s="14">
        <v>2025</v>
      </c>
      <c r="I174" s="14" t="str">
        <f>I173</f>
        <v>LO</v>
      </c>
      <c r="J174" s="14"/>
      <c r="K174" s="15">
        <f>-ROUNDDOWN(SUMIFS('COM RESID'!$O:$O,'COM RESID'!$H:$H,$E174,'COM RESID'!$I:$I,$F174)/SUMIFS('COM RESID'!$O:$O,'COM RESID'!$I:$I,$F174),3)*O174</f>
        <v>-3.1200000000000002E-2</v>
      </c>
      <c r="L174" s="14"/>
      <c r="M174" s="14"/>
      <c r="N174" s="10"/>
      <c r="O174" s="20">
        <v>0.8</v>
      </c>
      <c r="Q174" s="11" t="str">
        <f t="shared" si="40"/>
        <v/>
      </c>
      <c r="R174" s="12"/>
      <c r="S174" s="13" t="str">
        <f t="shared" si="42"/>
        <v>COMELC</v>
      </c>
      <c r="T174" s="13" t="str">
        <f t="shared" si="43"/>
        <v>COMOFFOldSHEUE</v>
      </c>
      <c r="U174" s="13" t="str">
        <f t="shared" si="44"/>
        <v>COMOFFOldSHEUE</v>
      </c>
      <c r="V174" s="14">
        <v>2025</v>
      </c>
      <c r="W174" s="14" t="str">
        <f>W173</f>
        <v>UP</v>
      </c>
      <c r="X174" s="14"/>
      <c r="Y174" s="15">
        <f>-ROUNDUP(MIN(SUMIFS('COM RESID'!$O:$O,'COM RESID'!$H:$H,$E174,'COM RESID'!$I:$I,$F174)/SUMIFS('COM RESID'!$O:$O,'COM RESID'!$I:$I,$F174)*AC174,1),3)</f>
        <v>-0.25</v>
      </c>
      <c r="Z174" s="14"/>
      <c r="AA174" s="14"/>
      <c r="AB174" s="10"/>
      <c r="AC174" s="20">
        <f>IF(S174="COMELC",IF(SUMIFS('COM RESID'!$O:$O,'COM RESID'!$H:$H,$E174,'COM RESID'!$I:$I,$F174)/SUMIFS('COM RESID'!$O:$O,'COM RESID'!$I:$I,$F174)*1.2&lt;0.25,0.25/(SUMIFS('COM RESID'!$O:$O,'COM RESID'!$H:$H,$E174,'COM RESID'!$I:$I,$F174)/SUMIFS('COM RESID'!$O:$O,'COM RESID'!$I:$I,$F174)),1.2),IF(ISNUMBER(SEARCH("WHEUE",T174)),IF(OR(S174="COMNGA",S174="COMFOI"),1,1.2),1.2))</f>
        <v>6.3134649944867549</v>
      </c>
    </row>
    <row r="175" spans="1:29" x14ac:dyDescent="0.25">
      <c r="A175" s="10">
        <f>A174</f>
        <v>43</v>
      </c>
      <c r="B175" s="10"/>
      <c r="C175" s="11" t="str">
        <f>IF(C174="*",C174,"")</f>
        <v/>
      </c>
      <c r="D175" s="12"/>
      <c r="E175" s="13" t="str">
        <f t="shared" si="54"/>
        <v>COMELC</v>
      </c>
      <c r="F175" s="13" t="str">
        <f t="shared" si="54"/>
        <v>COMOFFOldSHEUE</v>
      </c>
      <c r="G175" s="13" t="str">
        <f t="shared" si="54"/>
        <v>COMOFFOldSHEUE</v>
      </c>
      <c r="H175" s="14">
        <v>2030</v>
      </c>
      <c r="I175" s="14" t="str">
        <f>I174</f>
        <v>LO</v>
      </c>
      <c r="J175" s="14"/>
      <c r="K175" s="15">
        <f>-ROUNDDOWN(SUMIFS('COM RESID'!$O:$O,'COM RESID'!$H:$H,$E175,'COM RESID'!$I:$I,$F175)/SUMIFS('COM RESID'!$O:$O,'COM RESID'!$I:$I,$F175),3)*O175</f>
        <v>-2.9249999999999998E-2</v>
      </c>
      <c r="L175" s="14"/>
      <c r="M175" s="14"/>
      <c r="N175" s="10"/>
      <c r="O175" s="20">
        <v>0.75</v>
      </c>
      <c r="Q175" s="11" t="str">
        <f t="shared" si="40"/>
        <v/>
      </c>
      <c r="R175" s="12"/>
      <c r="S175" s="13" t="str">
        <f t="shared" si="42"/>
        <v>COMELC</v>
      </c>
      <c r="T175" s="13" t="str">
        <f t="shared" si="43"/>
        <v>COMOFFOldSHEUE</v>
      </c>
      <c r="U175" s="13" t="str">
        <f t="shared" si="44"/>
        <v>COMOFFOldSHEUE</v>
      </c>
      <c r="V175" s="14">
        <v>2030</v>
      </c>
      <c r="W175" s="14" t="str">
        <f>W174</f>
        <v>UP</v>
      </c>
      <c r="X175" s="14"/>
      <c r="Y175" s="15">
        <f>-ROUNDUP(MIN(SUMIFS('COM RESID'!$O:$O,'COM RESID'!$H:$H,$E175,'COM RESID'!$I:$I,$F175)/SUMIFS('COM RESID'!$O:$O,'COM RESID'!$I:$I,$F175)*AC175,1),3)</f>
        <v>-0.5</v>
      </c>
      <c r="Z175" s="14"/>
      <c r="AA175" s="14"/>
      <c r="AB175" s="10"/>
      <c r="AC175" s="20">
        <f>IF(S175="COMELC",IF(SUMIFS('COM RESID'!$O:$O,'COM RESID'!$H:$H,$E175,'COM RESID'!$I:$I,$F175)/SUMIFS('COM RESID'!$O:$O,'COM RESID'!$I:$I,$F175)*1.5&lt;0.5,0.5/(SUMIFS('COM RESID'!$O:$O,'COM RESID'!$H:$H,$E175,'COM RESID'!$I:$I,$F175)/SUMIFS('COM RESID'!$O:$O,'COM RESID'!$I:$I,$F175)),1.5),IF(ISNUMBER(SEARCH("WHEUE",T174)),IF(OR(S174="COMNGA",S174="COMFOI"),0.9,1.5),1.5))</f>
        <v>12.62692998897351</v>
      </c>
    </row>
    <row r="176" spans="1:29" x14ac:dyDescent="0.25">
      <c r="A176" s="26">
        <f>A175</f>
        <v>43</v>
      </c>
      <c r="B176" s="26"/>
      <c r="C176" s="21" t="str">
        <f>IF(C175="*",C175,"")</f>
        <v/>
      </c>
      <c r="D176" s="22"/>
      <c r="E176" s="23" t="str">
        <f t="shared" si="54"/>
        <v>COMELC</v>
      </c>
      <c r="F176" s="23" t="str">
        <f t="shared" si="54"/>
        <v>COMOFFOldSHEUE</v>
      </c>
      <c r="G176" s="23" t="str">
        <f t="shared" si="54"/>
        <v>COMOFFOldSHEUE</v>
      </c>
      <c r="H176" s="24">
        <v>2050</v>
      </c>
      <c r="I176" s="24" t="str">
        <f>I175</f>
        <v>LO</v>
      </c>
      <c r="J176" s="24"/>
      <c r="K176" s="25">
        <f>-ROUNDDOWN(SUMIFS('COM RESID'!$O:$O,'COM RESID'!$H:$H,$E176,'COM RESID'!$I:$I,$F176)/SUMIFS('COM RESID'!$O:$O,'COM RESID'!$I:$I,$F176),3)*O176</f>
        <v>-2.9249999999999998E-2</v>
      </c>
      <c r="L176" s="24"/>
      <c r="M176" s="24"/>
      <c r="N176" s="26"/>
      <c r="O176" s="27">
        <v>0.75</v>
      </c>
      <c r="Q176" s="21" t="str">
        <f t="shared" si="40"/>
        <v/>
      </c>
      <c r="R176" s="22"/>
      <c r="S176" s="23" t="str">
        <f t="shared" si="42"/>
        <v>COMELC</v>
      </c>
      <c r="T176" s="23" t="str">
        <f t="shared" si="43"/>
        <v>COMOFFOldSHEUE</v>
      </c>
      <c r="U176" s="23" t="str">
        <f t="shared" si="44"/>
        <v>COMOFFOldSHEUE</v>
      </c>
      <c r="V176" s="24">
        <v>2050</v>
      </c>
      <c r="W176" s="24" t="str">
        <f>W175</f>
        <v>UP</v>
      </c>
      <c r="X176" s="24"/>
      <c r="Y176" s="25">
        <f>-ROUNDUP(MIN(SUMIFS('COM RESID'!$O:$O,'COM RESID'!$H:$H,$E176,'COM RESID'!$I:$I,$F176)/SUMIFS('COM RESID'!$O:$O,'COM RESID'!$I:$I,$F176)*AC176,1),3)</f>
        <v>-1</v>
      </c>
      <c r="Z176" s="24"/>
      <c r="AA176" s="24"/>
      <c r="AB176" s="26"/>
      <c r="AC176" s="27">
        <f>IF(S176="COMELC",IF(SUMIFS('COM RESID'!$O:$O,'COM RESID'!$H:$H,$E176,'COM RESID'!$I:$I,$F176)/SUMIFS('COM RESID'!$O:$O,'COM RESID'!$I:$I,$F176)*3&lt;1,1/(SUMIFS('COM RESID'!$O:$O,'COM RESID'!$H:$H,$E176,'COM RESID'!$I:$I,$F176)/SUMIFS('COM RESID'!$O:$O,'COM RESID'!$I:$I,$F176)),3),IF(ISNUMBER(SEARCH("WHEUE",T174)),IF(OR(S174="COMNGA",S174="COMFOI"),0.75,3),3))</f>
        <v>25.25385997794702</v>
      </c>
    </row>
    <row r="177" spans="1:29" x14ac:dyDescent="0.25">
      <c r="A177" s="19">
        <f>A173+1</f>
        <v>44</v>
      </c>
      <c r="B177" s="10"/>
      <c r="C177" s="11" t="str">
        <f>IF(E177="","",IF(_xlfn.XLOOKUP($A177,Selected_constraint_UC!$A:$A,Selected_constraint_UC!$D:$D)=1,"*",IF(SUMIFS('COM TECH'!$N:$N,'COM TECH'!$K:$K,E177,'COM TECH'!$L:$L,F177)=0,"*",IF(SUMIFS('COM RESID'!$O:$O,'COM RESID'!$H:$H,$E177,'COM RESID'!$I:$I,$F177)=0,"*","UC_MarketShare_"&amp;LEFT(F177,LEN(F177)-3)&amp;"_"&amp;RIGHT(E177,3)&amp;"_MIN"))))</f>
        <v>UC_MarketShare_COMOFFOldSH_NGA_MIN</v>
      </c>
      <c r="D177" s="12"/>
      <c r="E177" s="13" t="str">
        <f>_xlfn.XLOOKUP($A177,Selected_constraint_UC!$A:$A,Selected_constraint_UC!$B:$B)</f>
        <v>COMNGA</v>
      </c>
      <c r="F177" s="13" t="str">
        <f>_xlfn.XLOOKUP($A177,Selected_constraint_UC!$A:$A,Selected_constraint_UC!$C:$C)</f>
        <v>COMOFFOldSHEUE</v>
      </c>
      <c r="G177" s="13" t="str">
        <f>F177</f>
        <v>COMOFFOldSHEUE</v>
      </c>
      <c r="H177" s="14">
        <v>2019</v>
      </c>
      <c r="I177" s="14" t="s">
        <v>3848</v>
      </c>
      <c r="J177" s="14">
        <v>1</v>
      </c>
      <c r="K177" s="15">
        <f>-ROUNDDOWN(SUMIFS('COM RESID'!$O:$O,'COM RESID'!$H:$H,$E177,'COM RESID'!$I:$I,$F177)/SUMIFS('COM RESID'!$O:$O,'COM RESID'!$I:$I,$F177),3)*O177</f>
        <v>-0.86534</v>
      </c>
      <c r="L177" s="14">
        <v>0</v>
      </c>
      <c r="M177" s="14">
        <v>5</v>
      </c>
      <c r="N177" s="10"/>
      <c r="O177" s="20">
        <v>0.98</v>
      </c>
      <c r="Q177" s="11" t="str">
        <f t="shared" si="40"/>
        <v>UC_MarketShare_COMOFFOldSH_NGA_MAX</v>
      </c>
      <c r="R177" s="12"/>
      <c r="S177" s="13" t="str">
        <f t="shared" si="42"/>
        <v>COMNGA</v>
      </c>
      <c r="T177" s="13" t="str">
        <f t="shared" si="43"/>
        <v>COMOFFOldSHEUE</v>
      </c>
      <c r="U177" s="13" t="str">
        <f t="shared" si="44"/>
        <v>COMOFFOldSHEUE</v>
      </c>
      <c r="V177" s="14">
        <v>2019</v>
      </c>
      <c r="W177" s="14" t="s">
        <v>3849</v>
      </c>
      <c r="X177" s="14">
        <v>1</v>
      </c>
      <c r="Y177" s="15">
        <f>-ROUNDUP(MIN(SUMIFS('COM RESID'!$O:$O,'COM RESID'!$H:$H,$E177,'COM RESID'!$I:$I,$F177)/SUMIFS('COM RESID'!$O:$O,'COM RESID'!$I:$I,$F177)*AC177,1),3)</f>
        <v>-0.90200000000000002</v>
      </c>
      <c r="Z177" s="14">
        <v>0</v>
      </c>
      <c r="AA177" s="14">
        <v>5</v>
      </c>
      <c r="AB177" s="10"/>
      <c r="AC177" s="20">
        <v>1.02</v>
      </c>
    </row>
    <row r="178" spans="1:29" x14ac:dyDescent="0.25">
      <c r="A178" s="10">
        <f>A177</f>
        <v>44</v>
      </c>
      <c r="B178" s="10"/>
      <c r="C178" s="11" t="str">
        <f>IF(C177="*",C177,"")</f>
        <v/>
      </c>
      <c r="D178" s="12"/>
      <c r="E178" s="13" t="str">
        <f t="shared" ref="E178:G180" si="55">E177</f>
        <v>COMNGA</v>
      </c>
      <c r="F178" s="13" t="str">
        <f t="shared" si="55"/>
        <v>COMOFFOldSHEUE</v>
      </c>
      <c r="G178" s="13" t="str">
        <f t="shared" si="55"/>
        <v>COMOFFOldSHEUE</v>
      </c>
      <c r="H178" s="14">
        <v>2025</v>
      </c>
      <c r="I178" s="14" t="str">
        <f>I177</f>
        <v>LO</v>
      </c>
      <c r="J178" s="14"/>
      <c r="K178" s="15">
        <f>-ROUNDDOWN(SUMIFS('COM RESID'!$O:$O,'COM RESID'!$H:$H,$E178,'COM RESID'!$I:$I,$F178)/SUMIFS('COM RESID'!$O:$O,'COM RESID'!$I:$I,$F178),3)*O178</f>
        <v>-0.70640000000000003</v>
      </c>
      <c r="L178" s="14"/>
      <c r="M178" s="14"/>
      <c r="N178" s="10"/>
      <c r="O178" s="20">
        <v>0.8</v>
      </c>
      <c r="Q178" s="11" t="str">
        <f t="shared" si="40"/>
        <v/>
      </c>
      <c r="R178" s="12"/>
      <c r="S178" s="13" t="str">
        <f t="shared" si="42"/>
        <v>COMNGA</v>
      </c>
      <c r="T178" s="13" t="str">
        <f t="shared" si="43"/>
        <v>COMOFFOldSHEUE</v>
      </c>
      <c r="U178" s="13" t="str">
        <f t="shared" si="44"/>
        <v>COMOFFOldSHEUE</v>
      </c>
      <c r="V178" s="14">
        <v>2025</v>
      </c>
      <c r="W178" s="14" t="str">
        <f>W177</f>
        <v>UP</v>
      </c>
      <c r="X178" s="14"/>
      <c r="Y178" s="15">
        <f>-ROUNDUP(MIN(SUMIFS('COM RESID'!$O:$O,'COM RESID'!$H:$H,$E178,'COM RESID'!$I:$I,$F178)/SUMIFS('COM RESID'!$O:$O,'COM RESID'!$I:$I,$F178)*AC178,1),3)</f>
        <v>-1</v>
      </c>
      <c r="Z178" s="14"/>
      <c r="AA178" s="14"/>
      <c r="AB178" s="10"/>
      <c r="AC178" s="20">
        <f>IF(S178="COMELC",IF(SUMIFS('COM RESID'!$O:$O,'COM RESID'!$H:$H,$E178,'COM RESID'!$I:$I,$F178)/SUMIFS('COM RESID'!$O:$O,'COM RESID'!$I:$I,$F178)*1.2&lt;0.25,0.25/(SUMIFS('COM RESID'!$O:$O,'COM RESID'!$H:$H,$E178,'COM RESID'!$I:$I,$F178)/SUMIFS('COM RESID'!$O:$O,'COM RESID'!$I:$I,$F178)),1.2),IF(ISNUMBER(SEARCH("WHEUE",T178)),IF(OR(S178="COMNGA",S178="COMFOI"),1,1.2),1.2))</f>
        <v>1.2</v>
      </c>
    </row>
    <row r="179" spans="1:29" x14ac:dyDescent="0.25">
      <c r="A179" s="10">
        <f>A178</f>
        <v>44</v>
      </c>
      <c r="B179" s="10"/>
      <c r="C179" s="11" t="str">
        <f>IF(C178="*",C178,"")</f>
        <v/>
      </c>
      <c r="D179" s="12"/>
      <c r="E179" s="13" t="str">
        <f t="shared" si="55"/>
        <v>COMNGA</v>
      </c>
      <c r="F179" s="13" t="str">
        <f t="shared" si="55"/>
        <v>COMOFFOldSHEUE</v>
      </c>
      <c r="G179" s="13" t="str">
        <f t="shared" si="55"/>
        <v>COMOFFOldSHEUE</v>
      </c>
      <c r="H179" s="14">
        <v>2030</v>
      </c>
      <c r="I179" s="14" t="str">
        <f>I178</f>
        <v>LO</v>
      </c>
      <c r="J179" s="14"/>
      <c r="K179" s="15">
        <f>-ROUNDDOWN(SUMIFS('COM RESID'!$O:$O,'COM RESID'!$H:$H,$E179,'COM RESID'!$I:$I,$F179)/SUMIFS('COM RESID'!$O:$O,'COM RESID'!$I:$I,$F179),3)*O179</f>
        <v>-0.17660000000000001</v>
      </c>
      <c r="L179" s="14"/>
      <c r="M179" s="14"/>
      <c r="N179" s="10"/>
      <c r="O179" s="20">
        <v>0.2</v>
      </c>
      <c r="Q179" s="11" t="str">
        <f t="shared" si="40"/>
        <v/>
      </c>
      <c r="R179" s="12"/>
      <c r="S179" s="13" t="str">
        <f t="shared" si="42"/>
        <v>COMNGA</v>
      </c>
      <c r="T179" s="13" t="str">
        <f t="shared" si="43"/>
        <v>COMOFFOldSHEUE</v>
      </c>
      <c r="U179" s="13" t="str">
        <f t="shared" si="44"/>
        <v>COMOFFOldSHEUE</v>
      </c>
      <c r="V179" s="14">
        <v>2030</v>
      </c>
      <c r="W179" s="14" t="str">
        <f>W178</f>
        <v>UP</v>
      </c>
      <c r="X179" s="14"/>
      <c r="Y179" s="15">
        <f>-ROUNDUP(MIN(SUMIFS('COM RESID'!$O:$O,'COM RESID'!$H:$H,$E179,'COM RESID'!$I:$I,$F179)/SUMIFS('COM RESID'!$O:$O,'COM RESID'!$I:$I,$F179)*AC179,1),3)</f>
        <v>-1</v>
      </c>
      <c r="Z179" s="14"/>
      <c r="AA179" s="14"/>
      <c r="AB179" s="10"/>
      <c r="AC179" s="20">
        <f>IF(S179="COMELC",IF(SUMIFS('COM RESID'!$O:$O,'COM RESID'!$H:$H,$E179,'COM RESID'!$I:$I,$F179)/SUMIFS('COM RESID'!$O:$O,'COM RESID'!$I:$I,$F179)*1.5&lt;0.5,0.5/(SUMIFS('COM RESID'!$O:$O,'COM RESID'!$H:$H,$E179,'COM RESID'!$I:$I,$F179)/SUMIFS('COM RESID'!$O:$O,'COM RESID'!$I:$I,$F179)),1.5),IF(ISNUMBER(SEARCH("WHEUE",T178)),IF(OR(S178="COMNGA",S178="COMFOI"),0.9,1.5),1.5))</f>
        <v>1.5</v>
      </c>
    </row>
    <row r="180" spans="1:29" x14ac:dyDescent="0.25">
      <c r="A180" s="26">
        <f>A179</f>
        <v>44</v>
      </c>
      <c r="B180" s="26"/>
      <c r="C180" s="21" t="str">
        <f>IF(C179="*",C179,"")</f>
        <v/>
      </c>
      <c r="D180" s="22"/>
      <c r="E180" s="23" t="str">
        <f t="shared" si="55"/>
        <v>COMNGA</v>
      </c>
      <c r="F180" s="23" t="str">
        <f t="shared" si="55"/>
        <v>COMOFFOldSHEUE</v>
      </c>
      <c r="G180" s="23" t="str">
        <f t="shared" si="55"/>
        <v>COMOFFOldSHEUE</v>
      </c>
      <c r="H180" s="24">
        <v>2050</v>
      </c>
      <c r="I180" s="24" t="str">
        <f>I179</f>
        <v>LO</v>
      </c>
      <c r="J180" s="24"/>
      <c r="K180" s="25">
        <f>-ROUNDDOWN(SUMIFS('COM RESID'!$O:$O,'COM RESID'!$H:$H,$E180,'COM RESID'!$I:$I,$F180)/SUMIFS('COM RESID'!$O:$O,'COM RESID'!$I:$I,$F180),3)*O180</f>
        <v>0</v>
      </c>
      <c r="L180" s="24"/>
      <c r="M180" s="24"/>
      <c r="N180" s="26"/>
      <c r="O180" s="27">
        <v>0</v>
      </c>
      <c r="Q180" s="21" t="str">
        <f t="shared" si="40"/>
        <v/>
      </c>
      <c r="R180" s="22"/>
      <c r="S180" s="23" t="str">
        <f t="shared" si="42"/>
        <v>COMNGA</v>
      </c>
      <c r="T180" s="23" t="str">
        <f t="shared" si="43"/>
        <v>COMOFFOldSHEUE</v>
      </c>
      <c r="U180" s="23" t="str">
        <f t="shared" si="44"/>
        <v>COMOFFOldSHEUE</v>
      </c>
      <c r="V180" s="24">
        <v>2050</v>
      </c>
      <c r="W180" s="24" t="str">
        <f>W179</f>
        <v>UP</v>
      </c>
      <c r="X180" s="24"/>
      <c r="Y180" s="25">
        <f>-ROUNDUP(MIN(SUMIFS('COM RESID'!$O:$O,'COM RESID'!$H:$H,$E180,'COM RESID'!$I:$I,$F180)/SUMIFS('COM RESID'!$O:$O,'COM RESID'!$I:$I,$F180)*AC180,1),3)</f>
        <v>-1</v>
      </c>
      <c r="Z180" s="24"/>
      <c r="AA180" s="24"/>
      <c r="AB180" s="26"/>
      <c r="AC180" s="27">
        <f>IF(S180="COMELC",IF(SUMIFS('COM RESID'!$O:$O,'COM RESID'!$H:$H,$E180,'COM RESID'!$I:$I,$F180)/SUMIFS('COM RESID'!$O:$O,'COM RESID'!$I:$I,$F180)*3&lt;1,1/(SUMIFS('COM RESID'!$O:$O,'COM RESID'!$H:$H,$E180,'COM RESID'!$I:$I,$F180)/SUMIFS('COM RESID'!$O:$O,'COM RESID'!$I:$I,$F180)),3),IF(ISNUMBER(SEARCH("WHEUE",T178)),IF(OR(S178="COMNGA",S178="COMFOI"),0.75,3),3))</f>
        <v>3</v>
      </c>
    </row>
    <row r="181" spans="1:29" x14ac:dyDescent="0.25">
      <c r="A181" s="19">
        <f>A177+1</f>
        <v>45</v>
      </c>
      <c r="B181" s="10"/>
      <c r="C181" s="11" t="str">
        <f>IF(E181="","",IF(_xlfn.XLOOKUP($A181,Selected_constraint_UC!$A:$A,Selected_constraint_UC!$D:$D)=1,"*",IF(SUMIFS('COM TECH'!$N:$N,'COM TECH'!$K:$K,E181,'COM TECH'!$L:$L,F181)=0,"*",IF(SUMIFS('COM RESID'!$O:$O,'COM RESID'!$H:$H,$E181,'COM RESID'!$I:$I,$F181)=0,"*","UC_MarketShare_"&amp;LEFT(F181,LEN(F181)-3)&amp;"_"&amp;RIGHT(E181,3)&amp;"_MIN"))))</f>
        <v>UC_MarketShare_COMOFFOldSH_FOI_MIN</v>
      </c>
      <c r="D181" s="12"/>
      <c r="E181" s="13" t="str">
        <f>_xlfn.XLOOKUP($A181,Selected_constraint_UC!$A:$A,Selected_constraint_UC!$B:$B)</f>
        <v>COMFOI</v>
      </c>
      <c r="F181" s="13" t="str">
        <f>_xlfn.XLOOKUP($A181,Selected_constraint_UC!$A:$A,Selected_constraint_UC!$C:$C)</f>
        <v>COMOFFOldSHEUE</v>
      </c>
      <c r="G181" s="13" t="str">
        <f>F181</f>
        <v>COMOFFOldSHEUE</v>
      </c>
      <c r="H181" s="14">
        <v>2019</v>
      </c>
      <c r="I181" s="14" t="s">
        <v>3848</v>
      </c>
      <c r="J181" s="14">
        <v>1</v>
      </c>
      <c r="K181" s="15">
        <f>-ROUNDDOWN(SUMIFS('COM RESID'!$O:$O,'COM RESID'!$H:$H,$E181,'COM RESID'!$I:$I,$F181)/SUMIFS('COM RESID'!$O:$O,'COM RESID'!$I:$I,$F181),3)*O181</f>
        <v>-5.4879999999999998E-2</v>
      </c>
      <c r="L181" s="14">
        <v>0</v>
      </c>
      <c r="M181" s="14">
        <v>5</v>
      </c>
      <c r="N181" s="10"/>
      <c r="O181" s="20">
        <v>0.98</v>
      </c>
      <c r="Q181" s="11" t="str">
        <f t="shared" si="40"/>
        <v>UC_MarketShare_COMOFFOldSH_FOI_MAX</v>
      </c>
      <c r="R181" s="12"/>
      <c r="S181" s="13" t="str">
        <f t="shared" si="42"/>
        <v>COMFOI</v>
      </c>
      <c r="T181" s="13" t="str">
        <f t="shared" si="43"/>
        <v>COMOFFOldSHEUE</v>
      </c>
      <c r="U181" s="13" t="str">
        <f t="shared" si="44"/>
        <v>COMOFFOldSHEUE</v>
      </c>
      <c r="V181" s="14">
        <v>2019</v>
      </c>
      <c r="W181" s="14" t="s">
        <v>3849</v>
      </c>
      <c r="X181" s="14">
        <v>1</v>
      </c>
      <c r="Y181" s="15">
        <f>-ROUNDUP(MIN(SUMIFS('COM RESID'!$O:$O,'COM RESID'!$H:$H,$E181,'COM RESID'!$I:$I,$F181)/SUMIFS('COM RESID'!$O:$O,'COM RESID'!$I:$I,$F181)*AC181,1),3)</f>
        <v>-5.8000000000000003E-2</v>
      </c>
      <c r="Z181" s="14">
        <v>0</v>
      </c>
      <c r="AA181" s="14">
        <v>5</v>
      </c>
      <c r="AB181" s="10"/>
      <c r="AC181" s="20">
        <v>1.02</v>
      </c>
    </row>
    <row r="182" spans="1:29" x14ac:dyDescent="0.25">
      <c r="A182" s="10">
        <f>A181</f>
        <v>45</v>
      </c>
      <c r="B182" s="10"/>
      <c r="C182" s="11" t="str">
        <f>IF(C181="*",C181,"")</f>
        <v/>
      </c>
      <c r="D182" s="12"/>
      <c r="E182" s="13" t="str">
        <f t="shared" ref="E182:G184" si="56">E181</f>
        <v>COMFOI</v>
      </c>
      <c r="F182" s="13" t="str">
        <f t="shared" si="56"/>
        <v>COMOFFOldSHEUE</v>
      </c>
      <c r="G182" s="13" t="str">
        <f t="shared" si="56"/>
        <v>COMOFFOldSHEUE</v>
      </c>
      <c r="H182" s="14">
        <v>2025</v>
      </c>
      <c r="I182" s="14" t="str">
        <f>I181</f>
        <v>LO</v>
      </c>
      <c r="J182" s="14"/>
      <c r="K182" s="15">
        <f>-ROUNDDOWN(SUMIFS('COM RESID'!$O:$O,'COM RESID'!$H:$H,$E182,'COM RESID'!$I:$I,$F182)/SUMIFS('COM RESID'!$O:$O,'COM RESID'!$I:$I,$F182),3)*O182</f>
        <v>-4.4800000000000006E-2</v>
      </c>
      <c r="L182" s="14"/>
      <c r="M182" s="14"/>
      <c r="N182" s="10"/>
      <c r="O182" s="20">
        <v>0.8</v>
      </c>
      <c r="Q182" s="11" t="str">
        <f t="shared" si="40"/>
        <v/>
      </c>
      <c r="R182" s="12"/>
      <c r="S182" s="13" t="str">
        <f t="shared" si="42"/>
        <v>COMFOI</v>
      </c>
      <c r="T182" s="13" t="str">
        <f t="shared" si="43"/>
        <v>COMOFFOldSHEUE</v>
      </c>
      <c r="U182" s="13" t="str">
        <f t="shared" si="44"/>
        <v>COMOFFOldSHEUE</v>
      </c>
      <c r="V182" s="14">
        <v>2025</v>
      </c>
      <c r="W182" s="14" t="str">
        <f>W181</f>
        <v>UP</v>
      </c>
      <c r="X182" s="14"/>
      <c r="Y182" s="15">
        <f>-ROUNDUP(MIN(SUMIFS('COM RESID'!$O:$O,'COM RESID'!$H:$H,$E182,'COM RESID'!$I:$I,$F182)/SUMIFS('COM RESID'!$O:$O,'COM RESID'!$I:$I,$F182)*AC182,1),3)</f>
        <v>-6.8000000000000005E-2</v>
      </c>
      <c r="Z182" s="14"/>
      <c r="AA182" s="14"/>
      <c r="AB182" s="10"/>
      <c r="AC182" s="20">
        <f>IF(S182="COMELC",IF(SUMIFS('COM RESID'!$O:$O,'COM RESID'!$H:$H,$E182,'COM RESID'!$I:$I,$F182)/SUMIFS('COM RESID'!$O:$O,'COM RESID'!$I:$I,$F182)*1.2&lt;0.25,0.25/(SUMIFS('COM RESID'!$O:$O,'COM RESID'!$H:$H,$E182,'COM RESID'!$I:$I,$F182)/SUMIFS('COM RESID'!$O:$O,'COM RESID'!$I:$I,$F182)),1.2),IF(ISNUMBER(SEARCH("WHEUE",T182)),IF(OR(S182="COMNGA",S182="COMFOI"),1,1.2),1.2))</f>
        <v>1.2</v>
      </c>
    </row>
    <row r="183" spans="1:29" x14ac:dyDescent="0.25">
      <c r="A183" s="10">
        <f>A182</f>
        <v>45</v>
      </c>
      <c r="B183" s="10"/>
      <c r="C183" s="11" t="str">
        <f>IF(C182="*",C182,"")</f>
        <v/>
      </c>
      <c r="D183" s="12"/>
      <c r="E183" s="13" t="str">
        <f t="shared" si="56"/>
        <v>COMFOI</v>
      </c>
      <c r="F183" s="13" t="str">
        <f t="shared" si="56"/>
        <v>COMOFFOldSHEUE</v>
      </c>
      <c r="G183" s="13" t="str">
        <f t="shared" si="56"/>
        <v>COMOFFOldSHEUE</v>
      </c>
      <c r="H183" s="14">
        <v>2030</v>
      </c>
      <c r="I183" s="14" t="str">
        <f>I182</f>
        <v>LO</v>
      </c>
      <c r="J183" s="14"/>
      <c r="K183" s="15">
        <f>-ROUNDDOWN(SUMIFS('COM RESID'!$O:$O,'COM RESID'!$H:$H,$E183,'COM RESID'!$I:$I,$F183)/SUMIFS('COM RESID'!$O:$O,'COM RESID'!$I:$I,$F183),3)*O183</f>
        <v>-1.1200000000000002E-2</v>
      </c>
      <c r="L183" s="14"/>
      <c r="M183" s="14"/>
      <c r="N183" s="10"/>
      <c r="O183" s="20">
        <v>0.2</v>
      </c>
      <c r="Q183" s="11" t="str">
        <f t="shared" si="40"/>
        <v/>
      </c>
      <c r="R183" s="12"/>
      <c r="S183" s="13" t="str">
        <f t="shared" si="42"/>
        <v>COMFOI</v>
      </c>
      <c r="T183" s="13" t="str">
        <f t="shared" si="43"/>
        <v>COMOFFOldSHEUE</v>
      </c>
      <c r="U183" s="13" t="str">
        <f t="shared" si="44"/>
        <v>COMOFFOldSHEUE</v>
      </c>
      <c r="V183" s="14">
        <v>2030</v>
      </c>
      <c r="W183" s="14" t="str">
        <f>W182</f>
        <v>UP</v>
      </c>
      <c r="X183" s="14"/>
      <c r="Y183" s="15">
        <f>-ROUNDUP(MIN(SUMIFS('COM RESID'!$O:$O,'COM RESID'!$H:$H,$E183,'COM RESID'!$I:$I,$F183)/SUMIFS('COM RESID'!$O:$O,'COM RESID'!$I:$I,$F183)*AC183,1),3)</f>
        <v>-8.5000000000000006E-2</v>
      </c>
      <c r="Z183" s="14"/>
      <c r="AA183" s="14"/>
      <c r="AB183" s="10"/>
      <c r="AC183" s="20">
        <f>IF(S183="COMELC",IF(SUMIFS('COM RESID'!$O:$O,'COM RESID'!$H:$H,$E183,'COM RESID'!$I:$I,$F183)/SUMIFS('COM RESID'!$O:$O,'COM RESID'!$I:$I,$F183)*1.5&lt;0.5,0.5/(SUMIFS('COM RESID'!$O:$O,'COM RESID'!$H:$H,$E183,'COM RESID'!$I:$I,$F183)/SUMIFS('COM RESID'!$O:$O,'COM RESID'!$I:$I,$F183)),1.5),IF(ISNUMBER(SEARCH("WHEUE",T182)),IF(OR(S182="COMNGA",S182="COMFOI"),0.9,1.5),1.5))</f>
        <v>1.5</v>
      </c>
    </row>
    <row r="184" spans="1:29" x14ac:dyDescent="0.25">
      <c r="A184" s="26">
        <f>A183</f>
        <v>45</v>
      </c>
      <c r="B184" s="26"/>
      <c r="C184" s="21" t="str">
        <f>IF(C183="*",C183,"")</f>
        <v/>
      </c>
      <c r="D184" s="22"/>
      <c r="E184" s="23" t="str">
        <f t="shared" si="56"/>
        <v>COMFOI</v>
      </c>
      <c r="F184" s="23" t="str">
        <f t="shared" si="56"/>
        <v>COMOFFOldSHEUE</v>
      </c>
      <c r="G184" s="23" t="str">
        <f t="shared" si="56"/>
        <v>COMOFFOldSHEUE</v>
      </c>
      <c r="H184" s="24">
        <v>2050</v>
      </c>
      <c r="I184" s="24" t="str">
        <f>I183</f>
        <v>LO</v>
      </c>
      <c r="J184" s="24"/>
      <c r="K184" s="25">
        <f>-ROUNDDOWN(SUMIFS('COM RESID'!$O:$O,'COM RESID'!$H:$H,$E184,'COM RESID'!$I:$I,$F184)/SUMIFS('COM RESID'!$O:$O,'COM RESID'!$I:$I,$F184),3)*O184</f>
        <v>0</v>
      </c>
      <c r="L184" s="24"/>
      <c r="M184" s="24"/>
      <c r="N184" s="26"/>
      <c r="O184" s="27">
        <v>0</v>
      </c>
      <c r="Q184" s="21" t="str">
        <f t="shared" si="40"/>
        <v/>
      </c>
      <c r="R184" s="22"/>
      <c r="S184" s="23" t="str">
        <f t="shared" si="42"/>
        <v>COMFOI</v>
      </c>
      <c r="T184" s="23" t="str">
        <f t="shared" si="43"/>
        <v>COMOFFOldSHEUE</v>
      </c>
      <c r="U184" s="23" t="str">
        <f t="shared" si="44"/>
        <v>COMOFFOldSHEUE</v>
      </c>
      <c r="V184" s="24">
        <v>2050</v>
      </c>
      <c r="W184" s="24" t="str">
        <f>W183</f>
        <v>UP</v>
      </c>
      <c r="X184" s="24"/>
      <c r="Y184" s="25">
        <f>-ROUNDUP(MIN(SUMIFS('COM RESID'!$O:$O,'COM RESID'!$H:$H,$E184,'COM RESID'!$I:$I,$F184)/SUMIFS('COM RESID'!$O:$O,'COM RESID'!$I:$I,$F184)*AC184,1),3)</f>
        <v>-0.17</v>
      </c>
      <c r="Z184" s="24"/>
      <c r="AA184" s="24"/>
      <c r="AB184" s="26"/>
      <c r="AC184" s="27">
        <f>IF(S184="COMELC",IF(SUMIFS('COM RESID'!$O:$O,'COM RESID'!$H:$H,$E184,'COM RESID'!$I:$I,$F184)/SUMIFS('COM RESID'!$O:$O,'COM RESID'!$I:$I,$F184)*3&lt;1,1/(SUMIFS('COM RESID'!$O:$O,'COM RESID'!$H:$H,$E184,'COM RESID'!$I:$I,$F184)/SUMIFS('COM RESID'!$O:$O,'COM RESID'!$I:$I,$F184)),3),IF(ISNUMBER(SEARCH("WHEUE",T182)),IF(OR(S182="COMNGA",S182="COMFOI"),0.75,3),3))</f>
        <v>3</v>
      </c>
    </row>
    <row r="185" spans="1:29" x14ac:dyDescent="0.25">
      <c r="A185" s="19">
        <f>A181+1</f>
        <v>46</v>
      </c>
      <c r="B185" s="10"/>
      <c r="C185" s="11" t="str">
        <f>IF(E185="","",IF(_xlfn.XLOOKUP($A185,Selected_constraint_UC!$A:$A,Selected_constraint_UC!$D:$D)=1,"*",IF(SUMIFS('COM TECH'!$N:$N,'COM TECH'!$K:$K,E185,'COM TECH'!$L:$L,F185)=0,"*",IF(SUMIFS('COM RESID'!$O:$O,'COM RESID'!$H:$H,$E185,'COM RESID'!$I:$I,$F185)=0,"*","UC_MarketShare_"&amp;LEFT(F185,LEN(F185)-3)&amp;"_"&amp;RIGHT(E185,3)&amp;"_MIN"))))</f>
        <v>*</v>
      </c>
      <c r="D185" s="12"/>
      <c r="E185" s="13" t="str">
        <f>_xlfn.XLOOKUP($A185,Selected_constraint_UC!$A:$A,Selected_constraint_UC!$B:$B)</f>
        <v>COMLPG</v>
      </c>
      <c r="F185" s="13" t="str">
        <f>_xlfn.XLOOKUP($A185,Selected_constraint_UC!$A:$A,Selected_constraint_UC!$C:$C)</f>
        <v>COMOFFOldSHEUE</v>
      </c>
      <c r="G185" s="13" t="str">
        <f>F185</f>
        <v>COMOFFOldSHEUE</v>
      </c>
      <c r="H185" s="14">
        <v>2019</v>
      </c>
      <c r="I185" s="14" t="s">
        <v>3848</v>
      </c>
      <c r="J185" s="14">
        <v>1</v>
      </c>
      <c r="K185" s="15">
        <f>-ROUNDDOWN(SUMIFS('COM RESID'!$O:$O,'COM RESID'!$H:$H,$E185,'COM RESID'!$I:$I,$F185)/SUMIFS('COM RESID'!$O:$O,'COM RESID'!$I:$I,$F185),3)*O185</f>
        <v>0</v>
      </c>
      <c r="L185" s="14">
        <v>0</v>
      </c>
      <c r="M185" s="14">
        <v>5</v>
      </c>
      <c r="N185" s="10"/>
      <c r="O185" s="20">
        <v>0.98</v>
      </c>
      <c r="Q185" s="11" t="str">
        <f t="shared" si="40"/>
        <v>*</v>
      </c>
      <c r="R185" s="12"/>
      <c r="S185" s="13" t="str">
        <f t="shared" si="42"/>
        <v>COMLPG</v>
      </c>
      <c r="T185" s="13" t="str">
        <f t="shared" si="43"/>
        <v>COMOFFOldSHEUE</v>
      </c>
      <c r="U185" s="13" t="str">
        <f t="shared" si="44"/>
        <v>COMOFFOldSHEUE</v>
      </c>
      <c r="V185" s="14">
        <v>2019</v>
      </c>
      <c r="W185" s="14" t="s">
        <v>3849</v>
      </c>
      <c r="X185" s="14">
        <v>1</v>
      </c>
      <c r="Y185" s="15">
        <f>-ROUNDUP(MIN(SUMIFS('COM RESID'!$O:$O,'COM RESID'!$H:$H,$E185,'COM RESID'!$I:$I,$F185)/SUMIFS('COM RESID'!$O:$O,'COM RESID'!$I:$I,$F185)*AC185,1),3)</f>
        <v>0</v>
      </c>
      <c r="Z185" s="14">
        <v>0</v>
      </c>
      <c r="AA185" s="14">
        <v>5</v>
      </c>
      <c r="AB185" s="10"/>
      <c r="AC185" s="20">
        <v>1.02</v>
      </c>
    </row>
    <row r="186" spans="1:29" x14ac:dyDescent="0.25">
      <c r="A186" s="10">
        <f>A185</f>
        <v>46</v>
      </c>
      <c r="B186" s="10"/>
      <c r="C186" s="11" t="str">
        <f>IF(C185="*",C185,"")</f>
        <v>*</v>
      </c>
      <c r="D186" s="12"/>
      <c r="E186" s="13" t="str">
        <f t="shared" ref="E186:G188" si="57">E185</f>
        <v>COMLPG</v>
      </c>
      <c r="F186" s="13" t="str">
        <f t="shared" si="57"/>
        <v>COMOFFOldSHEUE</v>
      </c>
      <c r="G186" s="13" t="str">
        <f t="shared" si="57"/>
        <v>COMOFFOldSHEUE</v>
      </c>
      <c r="H186" s="14">
        <v>2025</v>
      </c>
      <c r="I186" s="14" t="str">
        <f>I185</f>
        <v>LO</v>
      </c>
      <c r="J186" s="14"/>
      <c r="K186" s="15">
        <f>-ROUNDDOWN(SUMIFS('COM RESID'!$O:$O,'COM RESID'!$H:$H,$E186,'COM RESID'!$I:$I,$F186)/SUMIFS('COM RESID'!$O:$O,'COM RESID'!$I:$I,$F186),3)*O186</f>
        <v>0</v>
      </c>
      <c r="L186" s="14"/>
      <c r="M186" s="14"/>
      <c r="N186" s="10"/>
      <c r="O186" s="20">
        <v>0.8</v>
      </c>
      <c r="Q186" s="11" t="str">
        <f t="shared" si="40"/>
        <v>*</v>
      </c>
      <c r="R186" s="12"/>
      <c r="S186" s="13" t="str">
        <f t="shared" si="42"/>
        <v>COMLPG</v>
      </c>
      <c r="T186" s="13" t="str">
        <f t="shared" si="43"/>
        <v>COMOFFOldSHEUE</v>
      </c>
      <c r="U186" s="13" t="str">
        <f t="shared" si="44"/>
        <v>COMOFFOldSHEUE</v>
      </c>
      <c r="V186" s="14">
        <v>2025</v>
      </c>
      <c r="W186" s="14" t="str">
        <f>W185</f>
        <v>UP</v>
      </c>
      <c r="X186" s="14"/>
      <c r="Y186" s="15">
        <f>-ROUNDUP(MIN(SUMIFS('COM RESID'!$O:$O,'COM RESID'!$H:$H,$E186,'COM RESID'!$I:$I,$F186)/SUMIFS('COM RESID'!$O:$O,'COM RESID'!$I:$I,$F186)*AC186,1),3)</f>
        <v>0</v>
      </c>
      <c r="Z186" s="14"/>
      <c r="AA186" s="14"/>
      <c r="AB186" s="10"/>
      <c r="AC186" s="20">
        <f>IF(S186="COMELC",IF(SUMIFS('COM RESID'!$O:$O,'COM RESID'!$H:$H,$E186,'COM RESID'!$I:$I,$F186)/SUMIFS('COM RESID'!$O:$O,'COM RESID'!$I:$I,$F186)*1.2&lt;0.25,0.25/(SUMIFS('COM RESID'!$O:$O,'COM RESID'!$H:$H,$E186,'COM RESID'!$I:$I,$F186)/SUMIFS('COM RESID'!$O:$O,'COM RESID'!$I:$I,$F186)),1.2),IF(ISNUMBER(SEARCH("WHEUE",T186)),IF(OR(S186="COMNGA",S186="COMFOI"),1,1.2),1.2))</f>
        <v>1.2</v>
      </c>
    </row>
    <row r="187" spans="1:29" x14ac:dyDescent="0.25">
      <c r="A187" s="10">
        <f>A186</f>
        <v>46</v>
      </c>
      <c r="B187" s="10"/>
      <c r="C187" s="11" t="str">
        <f>IF(C186="*",C186,"")</f>
        <v>*</v>
      </c>
      <c r="D187" s="12"/>
      <c r="E187" s="13" t="str">
        <f t="shared" si="57"/>
        <v>COMLPG</v>
      </c>
      <c r="F187" s="13" t="str">
        <f t="shared" si="57"/>
        <v>COMOFFOldSHEUE</v>
      </c>
      <c r="G187" s="13" t="str">
        <f t="shared" si="57"/>
        <v>COMOFFOldSHEUE</v>
      </c>
      <c r="H187" s="14">
        <v>2030</v>
      </c>
      <c r="I187" s="14" t="str">
        <f>I186</f>
        <v>LO</v>
      </c>
      <c r="J187" s="14"/>
      <c r="K187" s="15">
        <f>-ROUNDDOWN(SUMIFS('COM RESID'!$O:$O,'COM RESID'!$H:$H,$E187,'COM RESID'!$I:$I,$F187)/SUMIFS('COM RESID'!$O:$O,'COM RESID'!$I:$I,$F187),3)*O187</f>
        <v>0</v>
      </c>
      <c r="L187" s="14"/>
      <c r="M187" s="14"/>
      <c r="N187" s="10"/>
      <c r="O187" s="20">
        <v>0.2</v>
      </c>
      <c r="Q187" s="11" t="str">
        <f t="shared" si="40"/>
        <v>*</v>
      </c>
      <c r="R187" s="12"/>
      <c r="S187" s="13" t="str">
        <f t="shared" si="42"/>
        <v>COMLPG</v>
      </c>
      <c r="T187" s="13" t="str">
        <f t="shared" si="43"/>
        <v>COMOFFOldSHEUE</v>
      </c>
      <c r="U187" s="13" t="str">
        <f t="shared" si="44"/>
        <v>COMOFFOldSHEUE</v>
      </c>
      <c r="V187" s="14">
        <v>2030</v>
      </c>
      <c r="W187" s="14" t="str">
        <f>W186</f>
        <v>UP</v>
      </c>
      <c r="X187" s="14"/>
      <c r="Y187" s="15">
        <f>-ROUNDUP(MIN(SUMIFS('COM RESID'!$O:$O,'COM RESID'!$H:$H,$E187,'COM RESID'!$I:$I,$F187)/SUMIFS('COM RESID'!$O:$O,'COM RESID'!$I:$I,$F187)*AC187,1),3)</f>
        <v>0</v>
      </c>
      <c r="Z187" s="14"/>
      <c r="AA187" s="14"/>
      <c r="AB187" s="10"/>
      <c r="AC187" s="20">
        <f>IF(S187="COMELC",IF(SUMIFS('COM RESID'!$O:$O,'COM RESID'!$H:$H,$E187,'COM RESID'!$I:$I,$F187)/SUMIFS('COM RESID'!$O:$O,'COM RESID'!$I:$I,$F187)*1.5&lt;0.5,0.5/(SUMIFS('COM RESID'!$O:$O,'COM RESID'!$H:$H,$E187,'COM RESID'!$I:$I,$F187)/SUMIFS('COM RESID'!$O:$O,'COM RESID'!$I:$I,$F187)),1.5),IF(ISNUMBER(SEARCH("WHEUE",T186)),IF(OR(S186="COMNGA",S186="COMFOI"),0.9,1.5),1.5))</f>
        <v>1.5</v>
      </c>
    </row>
    <row r="188" spans="1:29" x14ac:dyDescent="0.25">
      <c r="A188" s="26">
        <f>A187</f>
        <v>46</v>
      </c>
      <c r="B188" s="26"/>
      <c r="C188" s="21" t="str">
        <f>IF(C187="*",C187,"")</f>
        <v>*</v>
      </c>
      <c r="D188" s="22"/>
      <c r="E188" s="23" t="str">
        <f t="shared" si="57"/>
        <v>COMLPG</v>
      </c>
      <c r="F188" s="23" t="str">
        <f t="shared" si="57"/>
        <v>COMOFFOldSHEUE</v>
      </c>
      <c r="G188" s="23" t="str">
        <f t="shared" si="57"/>
        <v>COMOFFOldSHEUE</v>
      </c>
      <c r="H188" s="24">
        <v>2050</v>
      </c>
      <c r="I188" s="24" t="str">
        <f>I187</f>
        <v>LO</v>
      </c>
      <c r="J188" s="24"/>
      <c r="K188" s="25">
        <f>-ROUNDDOWN(SUMIFS('COM RESID'!$O:$O,'COM RESID'!$H:$H,$E188,'COM RESID'!$I:$I,$F188)/SUMIFS('COM RESID'!$O:$O,'COM RESID'!$I:$I,$F188),3)*O188</f>
        <v>0</v>
      </c>
      <c r="L188" s="24"/>
      <c r="M188" s="24"/>
      <c r="N188" s="26"/>
      <c r="O188" s="27">
        <v>0</v>
      </c>
      <c r="Q188" s="21" t="str">
        <f t="shared" si="40"/>
        <v>*</v>
      </c>
      <c r="R188" s="22"/>
      <c r="S188" s="23" t="str">
        <f t="shared" si="42"/>
        <v>COMLPG</v>
      </c>
      <c r="T188" s="23" t="str">
        <f t="shared" si="43"/>
        <v>COMOFFOldSHEUE</v>
      </c>
      <c r="U188" s="23" t="str">
        <f t="shared" si="44"/>
        <v>COMOFFOldSHEUE</v>
      </c>
      <c r="V188" s="24">
        <v>2050</v>
      </c>
      <c r="W188" s="24" t="str">
        <f>W187</f>
        <v>UP</v>
      </c>
      <c r="X188" s="24"/>
      <c r="Y188" s="25">
        <f>-ROUNDUP(MIN(SUMIFS('COM RESID'!$O:$O,'COM RESID'!$H:$H,$E188,'COM RESID'!$I:$I,$F188)/SUMIFS('COM RESID'!$O:$O,'COM RESID'!$I:$I,$F188)*AC188,1),3)</f>
        <v>0</v>
      </c>
      <c r="Z188" s="24"/>
      <c r="AA188" s="24"/>
      <c r="AB188" s="26"/>
      <c r="AC188" s="27">
        <f>IF(S188="COMELC",IF(SUMIFS('COM RESID'!$O:$O,'COM RESID'!$H:$H,$E188,'COM RESID'!$I:$I,$F188)/SUMIFS('COM RESID'!$O:$O,'COM RESID'!$I:$I,$F188)*3&lt;1,1/(SUMIFS('COM RESID'!$O:$O,'COM RESID'!$H:$H,$E188,'COM RESID'!$I:$I,$F188)/SUMIFS('COM RESID'!$O:$O,'COM RESID'!$I:$I,$F188)),3),IF(ISNUMBER(SEARCH("WHEUE",T186)),IF(OR(S186="COMNGA",S186="COMFOI"),0.75,3),3))</f>
        <v>3</v>
      </c>
    </row>
    <row r="189" spans="1:29" x14ac:dyDescent="0.25">
      <c r="A189" s="19">
        <f>A185+1</f>
        <v>47</v>
      </c>
      <c r="B189" s="10"/>
      <c r="C189" s="11" t="str">
        <f>IF(E189="","",IF(_xlfn.XLOOKUP($A189,Selected_constraint_UC!$A:$A,Selected_constraint_UC!$D:$D)=1,"*",IF(SUMIFS('COM TECH'!$N:$N,'COM TECH'!$K:$K,E189,'COM TECH'!$L:$L,F189)=0,"*",IF(SUMIFS('COM RESID'!$O:$O,'COM RESID'!$H:$H,$E189,'COM RESID'!$I:$I,$F189)=0,"*","UC_MarketShare_"&amp;LEFT(F189,LEN(F189)-3)&amp;"_"&amp;RIGHT(E189,3)&amp;"_MIN"))))</f>
        <v>*</v>
      </c>
      <c r="D189" s="12"/>
      <c r="E189" s="13" t="str">
        <f>_xlfn.XLOOKUP($A189,Selected_constraint_UC!$A:$A,Selected_constraint_UC!$B:$B)</f>
        <v>COMSTM</v>
      </c>
      <c r="F189" s="13" t="str">
        <f>_xlfn.XLOOKUP($A189,Selected_constraint_UC!$A:$A,Selected_constraint_UC!$C:$C)</f>
        <v>COMOFFOldSHEUE</v>
      </c>
      <c r="G189" s="13" t="str">
        <f>F189</f>
        <v>COMOFFOldSHEUE</v>
      </c>
      <c r="H189" s="14">
        <v>2019</v>
      </c>
      <c r="I189" s="14" t="s">
        <v>3848</v>
      </c>
      <c r="J189" s="14">
        <v>1</v>
      </c>
      <c r="K189" s="15">
        <f>-ROUNDDOWN(SUMIFS('COM RESID'!$O:$O,'COM RESID'!$H:$H,$E189,'COM RESID'!$I:$I,$F189)/SUMIFS('COM RESID'!$O:$O,'COM RESID'!$I:$I,$F189),3)*O189</f>
        <v>-1.9599999999999999E-2</v>
      </c>
      <c r="L189" s="14">
        <v>0</v>
      </c>
      <c r="M189" s="14">
        <v>5</v>
      </c>
      <c r="N189" s="10"/>
      <c r="O189" s="20">
        <v>0.98</v>
      </c>
      <c r="Q189" s="11" t="str">
        <f t="shared" si="40"/>
        <v>*</v>
      </c>
      <c r="R189" s="12"/>
      <c r="S189" s="13" t="str">
        <f t="shared" si="42"/>
        <v>COMSTM</v>
      </c>
      <c r="T189" s="13" t="str">
        <f t="shared" si="43"/>
        <v>COMOFFOldSHEUE</v>
      </c>
      <c r="U189" s="13" t="str">
        <f t="shared" si="44"/>
        <v>COMOFFOldSHEUE</v>
      </c>
      <c r="V189" s="14">
        <v>2019</v>
      </c>
      <c r="W189" s="14" t="s">
        <v>3849</v>
      </c>
      <c r="X189" s="14">
        <v>1</v>
      </c>
      <c r="Y189" s="15">
        <f>-ROUNDUP(MIN(SUMIFS('COM RESID'!$O:$O,'COM RESID'!$H:$H,$E189,'COM RESID'!$I:$I,$F189)/SUMIFS('COM RESID'!$O:$O,'COM RESID'!$I:$I,$F189)*AC189,1),3)</f>
        <v>-2.1000000000000001E-2</v>
      </c>
      <c r="Z189" s="14">
        <v>0</v>
      </c>
      <c r="AA189" s="14">
        <v>5</v>
      </c>
      <c r="AB189" s="10"/>
      <c r="AC189" s="20">
        <v>1.02</v>
      </c>
    </row>
    <row r="190" spans="1:29" x14ac:dyDescent="0.25">
      <c r="A190" s="10">
        <f>A189</f>
        <v>47</v>
      </c>
      <c r="B190" s="10"/>
      <c r="C190" s="11" t="str">
        <f>IF(C189="*",C189,"")</f>
        <v>*</v>
      </c>
      <c r="D190" s="12"/>
      <c r="E190" s="13" t="str">
        <f t="shared" ref="E190:G192" si="58">E189</f>
        <v>COMSTM</v>
      </c>
      <c r="F190" s="13" t="str">
        <f t="shared" si="58"/>
        <v>COMOFFOldSHEUE</v>
      </c>
      <c r="G190" s="13" t="str">
        <f t="shared" si="58"/>
        <v>COMOFFOldSHEUE</v>
      </c>
      <c r="H190" s="14">
        <v>2025</v>
      </c>
      <c r="I190" s="14" t="str">
        <f>I189</f>
        <v>LO</v>
      </c>
      <c r="J190" s="14"/>
      <c r="K190" s="15">
        <f>-ROUNDDOWN(SUMIFS('COM RESID'!$O:$O,'COM RESID'!$H:$H,$E190,'COM RESID'!$I:$I,$F190)/SUMIFS('COM RESID'!$O:$O,'COM RESID'!$I:$I,$F190),3)*O190</f>
        <v>-1.6E-2</v>
      </c>
      <c r="L190" s="14"/>
      <c r="M190" s="14"/>
      <c r="N190" s="10"/>
      <c r="O190" s="20">
        <v>0.8</v>
      </c>
      <c r="Q190" s="11" t="str">
        <f t="shared" si="40"/>
        <v>*</v>
      </c>
      <c r="R190" s="12"/>
      <c r="S190" s="13" t="str">
        <f t="shared" si="42"/>
        <v>COMSTM</v>
      </c>
      <c r="T190" s="13" t="str">
        <f t="shared" si="43"/>
        <v>COMOFFOldSHEUE</v>
      </c>
      <c r="U190" s="13" t="str">
        <f t="shared" si="44"/>
        <v>COMOFFOldSHEUE</v>
      </c>
      <c r="V190" s="14">
        <v>2025</v>
      </c>
      <c r="W190" s="14" t="str">
        <f>W189</f>
        <v>UP</v>
      </c>
      <c r="X190" s="14"/>
      <c r="Y190" s="15">
        <f>-ROUNDUP(MIN(SUMIFS('COM RESID'!$O:$O,'COM RESID'!$H:$H,$E190,'COM RESID'!$I:$I,$F190)/SUMIFS('COM RESID'!$O:$O,'COM RESID'!$I:$I,$F190)*AC190,1),3)</f>
        <v>-2.5000000000000001E-2</v>
      </c>
      <c r="Z190" s="14"/>
      <c r="AA190" s="14"/>
      <c r="AB190" s="10"/>
      <c r="AC190" s="20">
        <f>IF(S190="COMELC",IF(SUMIFS('COM RESID'!$O:$O,'COM RESID'!$H:$H,$E190,'COM RESID'!$I:$I,$F190)/SUMIFS('COM RESID'!$O:$O,'COM RESID'!$I:$I,$F190)*1.2&lt;0.25,0.25/(SUMIFS('COM RESID'!$O:$O,'COM RESID'!$H:$H,$E190,'COM RESID'!$I:$I,$F190)/SUMIFS('COM RESID'!$O:$O,'COM RESID'!$I:$I,$F190)),1.2),IF(ISNUMBER(SEARCH("WHEUE",T190)),IF(OR(S190="COMNGA",S190="COMFOI"),1,1.2),1.2))</f>
        <v>1.2</v>
      </c>
    </row>
    <row r="191" spans="1:29" x14ac:dyDescent="0.25">
      <c r="A191" s="10">
        <f>A190</f>
        <v>47</v>
      </c>
      <c r="B191" s="10"/>
      <c r="C191" s="11" t="str">
        <f>IF(C190="*",C190,"")</f>
        <v>*</v>
      </c>
      <c r="D191" s="12"/>
      <c r="E191" s="13" t="str">
        <f t="shared" si="58"/>
        <v>COMSTM</v>
      </c>
      <c r="F191" s="13" t="str">
        <f t="shared" si="58"/>
        <v>COMOFFOldSHEUE</v>
      </c>
      <c r="G191" s="13" t="str">
        <f t="shared" si="58"/>
        <v>COMOFFOldSHEUE</v>
      </c>
      <c r="H191" s="14">
        <v>2030</v>
      </c>
      <c r="I191" s="14" t="str">
        <f>I190</f>
        <v>LO</v>
      </c>
      <c r="J191" s="14"/>
      <c r="K191" s="15">
        <f>-ROUNDDOWN(SUMIFS('COM RESID'!$O:$O,'COM RESID'!$H:$H,$E191,'COM RESID'!$I:$I,$F191)/SUMIFS('COM RESID'!$O:$O,'COM RESID'!$I:$I,$F191),3)*O191</f>
        <v>-4.0000000000000001E-3</v>
      </c>
      <c r="L191" s="14"/>
      <c r="M191" s="14"/>
      <c r="N191" s="10"/>
      <c r="O191" s="20">
        <v>0.2</v>
      </c>
      <c r="Q191" s="11" t="str">
        <f t="shared" si="40"/>
        <v>*</v>
      </c>
      <c r="R191" s="12"/>
      <c r="S191" s="13" t="str">
        <f t="shared" si="42"/>
        <v>COMSTM</v>
      </c>
      <c r="T191" s="13" t="str">
        <f t="shared" si="43"/>
        <v>COMOFFOldSHEUE</v>
      </c>
      <c r="U191" s="13" t="str">
        <f t="shared" si="44"/>
        <v>COMOFFOldSHEUE</v>
      </c>
      <c r="V191" s="14">
        <v>2030</v>
      </c>
      <c r="W191" s="14" t="str">
        <f>W190</f>
        <v>UP</v>
      </c>
      <c r="X191" s="14"/>
      <c r="Y191" s="15">
        <f>-ROUNDUP(MIN(SUMIFS('COM RESID'!$O:$O,'COM RESID'!$H:$H,$E191,'COM RESID'!$I:$I,$F191)/SUMIFS('COM RESID'!$O:$O,'COM RESID'!$I:$I,$F191)*AC191,1),3)</f>
        <v>-3.1E-2</v>
      </c>
      <c r="Z191" s="14"/>
      <c r="AA191" s="14"/>
      <c r="AB191" s="10"/>
      <c r="AC191" s="20">
        <f>IF(S191="COMELC",IF(SUMIFS('COM RESID'!$O:$O,'COM RESID'!$H:$H,$E191,'COM RESID'!$I:$I,$F191)/SUMIFS('COM RESID'!$O:$O,'COM RESID'!$I:$I,$F191)*1.5&lt;0.5,0.5/(SUMIFS('COM RESID'!$O:$O,'COM RESID'!$H:$H,$E191,'COM RESID'!$I:$I,$F191)/SUMIFS('COM RESID'!$O:$O,'COM RESID'!$I:$I,$F191)),1.5),IF(ISNUMBER(SEARCH("WHEUE",T190)),IF(OR(S190="COMNGA",S190="COMFOI"),0.9,1.5),1.5))</f>
        <v>1.5</v>
      </c>
    </row>
    <row r="192" spans="1:29" x14ac:dyDescent="0.25">
      <c r="A192" s="26">
        <f>A191</f>
        <v>47</v>
      </c>
      <c r="B192" s="26"/>
      <c r="C192" s="21" t="str">
        <f>IF(C191="*",C191,"")</f>
        <v>*</v>
      </c>
      <c r="D192" s="22"/>
      <c r="E192" s="23" t="str">
        <f t="shared" si="58"/>
        <v>COMSTM</v>
      </c>
      <c r="F192" s="23" t="str">
        <f t="shared" si="58"/>
        <v>COMOFFOldSHEUE</v>
      </c>
      <c r="G192" s="23" t="str">
        <f t="shared" si="58"/>
        <v>COMOFFOldSHEUE</v>
      </c>
      <c r="H192" s="24">
        <v>2050</v>
      </c>
      <c r="I192" s="24" t="str">
        <f>I191</f>
        <v>LO</v>
      </c>
      <c r="J192" s="24"/>
      <c r="K192" s="25">
        <f>-ROUNDDOWN(SUMIFS('COM RESID'!$O:$O,'COM RESID'!$H:$H,$E192,'COM RESID'!$I:$I,$F192)/SUMIFS('COM RESID'!$O:$O,'COM RESID'!$I:$I,$F192),3)*O192</f>
        <v>0</v>
      </c>
      <c r="L192" s="24"/>
      <c r="M192" s="24"/>
      <c r="N192" s="26"/>
      <c r="O192" s="27">
        <v>0</v>
      </c>
      <c r="Q192" s="21" t="str">
        <f t="shared" si="40"/>
        <v>*</v>
      </c>
      <c r="R192" s="22"/>
      <c r="S192" s="23" t="str">
        <f t="shared" si="42"/>
        <v>COMSTM</v>
      </c>
      <c r="T192" s="23" t="str">
        <f t="shared" si="43"/>
        <v>COMOFFOldSHEUE</v>
      </c>
      <c r="U192" s="23" t="str">
        <f t="shared" si="44"/>
        <v>COMOFFOldSHEUE</v>
      </c>
      <c r="V192" s="24">
        <v>2050</v>
      </c>
      <c r="W192" s="24" t="str">
        <f>W191</f>
        <v>UP</v>
      </c>
      <c r="X192" s="24"/>
      <c r="Y192" s="25">
        <f>-ROUNDUP(MIN(SUMIFS('COM RESID'!$O:$O,'COM RESID'!$H:$H,$E192,'COM RESID'!$I:$I,$F192)/SUMIFS('COM RESID'!$O:$O,'COM RESID'!$I:$I,$F192)*AC192,1),3)</f>
        <v>-6.2E-2</v>
      </c>
      <c r="Z192" s="24"/>
      <c r="AA192" s="24"/>
      <c r="AB192" s="26"/>
      <c r="AC192" s="27">
        <f>IF(S192="COMELC",IF(SUMIFS('COM RESID'!$O:$O,'COM RESID'!$H:$H,$E192,'COM RESID'!$I:$I,$F192)/SUMIFS('COM RESID'!$O:$O,'COM RESID'!$I:$I,$F192)*3&lt;1,1/(SUMIFS('COM RESID'!$O:$O,'COM RESID'!$H:$H,$E192,'COM RESID'!$I:$I,$F192)/SUMIFS('COM RESID'!$O:$O,'COM RESID'!$I:$I,$F192)),3),IF(ISNUMBER(SEARCH("WHEUE",T190)),IF(OR(S190="COMNGA",S190="COMFOI"),0.75,3),3))</f>
        <v>3</v>
      </c>
    </row>
    <row r="193" spans="1:29" x14ac:dyDescent="0.25">
      <c r="A193" s="19">
        <f>A189+1</f>
        <v>48</v>
      </c>
      <c r="B193" s="10"/>
      <c r="C193" s="11" t="str">
        <f>IF(E193="","",IF(_xlfn.XLOOKUP($A193,Selected_constraint_UC!$A:$A,Selected_constraint_UC!$D:$D)=1,"*",IF(SUMIFS('COM TECH'!$N:$N,'COM TECH'!$K:$K,E193,'COM TECH'!$L:$L,F193)=0,"*",IF(SUMIFS('COM RESID'!$O:$O,'COM RESID'!$H:$H,$E193,'COM RESID'!$I:$I,$F193)=0,"*","UC_MarketShare_"&amp;LEFT(F193,LEN(F193)-3)&amp;"_"&amp;RIGHT(E193,3)&amp;"_MIN"))))</f>
        <v>UC_MarketShare_COMOFFOldSC_ELC_MIN</v>
      </c>
      <c r="D193" s="12"/>
      <c r="E193" s="13" t="str">
        <f>_xlfn.XLOOKUP($A193,Selected_constraint_UC!$A:$A,Selected_constraint_UC!$B:$B)</f>
        <v>COMELC</v>
      </c>
      <c r="F193" s="13" t="str">
        <f>_xlfn.XLOOKUP($A193,Selected_constraint_UC!$A:$A,Selected_constraint_UC!$C:$C)</f>
        <v>COMOFFOldSCEUE</v>
      </c>
      <c r="G193" s="13" t="str">
        <f>F193</f>
        <v>COMOFFOldSCEUE</v>
      </c>
      <c r="H193" s="14">
        <v>2019</v>
      </c>
      <c r="I193" s="14" t="s">
        <v>3848</v>
      </c>
      <c r="J193" s="14">
        <v>1</v>
      </c>
      <c r="K193" s="15">
        <f>-ROUNDDOWN(SUMIFS('COM RESID'!$O:$O,'COM RESID'!$H:$H,$E193,'COM RESID'!$I:$I,$F193)/SUMIFS('COM RESID'!$O:$O,'COM RESID'!$I:$I,$F193),3)*O193</f>
        <v>-0.98</v>
      </c>
      <c r="L193" s="14">
        <v>0</v>
      </c>
      <c r="M193" s="14">
        <v>5</v>
      </c>
      <c r="N193" s="10"/>
      <c r="O193" s="20">
        <v>0.98</v>
      </c>
      <c r="Q193" s="11" t="str">
        <f t="shared" si="40"/>
        <v>UC_MarketShare_COMOFFOldSC_ELC_MAX</v>
      </c>
      <c r="R193" s="12"/>
      <c r="S193" s="13" t="str">
        <f t="shared" si="42"/>
        <v>COMELC</v>
      </c>
      <c r="T193" s="13" t="str">
        <f t="shared" si="43"/>
        <v>COMOFFOldSCEUE</v>
      </c>
      <c r="U193" s="13" t="str">
        <f t="shared" si="44"/>
        <v>COMOFFOldSCEUE</v>
      </c>
      <c r="V193" s="14">
        <v>2019</v>
      </c>
      <c r="W193" s="14" t="s">
        <v>3849</v>
      </c>
      <c r="X193" s="14">
        <v>1</v>
      </c>
      <c r="Y193" s="15">
        <f>-ROUNDUP(MIN(SUMIFS('COM RESID'!$O:$O,'COM RESID'!$H:$H,$E193,'COM RESID'!$I:$I,$F193)/SUMIFS('COM RESID'!$O:$O,'COM RESID'!$I:$I,$F193)*AC193,1),3)</f>
        <v>-1</v>
      </c>
      <c r="Z193" s="14">
        <v>0</v>
      </c>
      <c r="AA193" s="14">
        <v>5</v>
      </c>
      <c r="AB193" s="10"/>
      <c r="AC193" s="20">
        <v>1.02</v>
      </c>
    </row>
    <row r="194" spans="1:29" x14ac:dyDescent="0.25">
      <c r="A194" s="10">
        <f>A193</f>
        <v>48</v>
      </c>
      <c r="B194" s="10"/>
      <c r="C194" s="11" t="str">
        <f>IF(C193="*",C193,"")</f>
        <v/>
      </c>
      <c r="D194" s="12"/>
      <c r="E194" s="13" t="str">
        <f t="shared" ref="E194:G196" si="59">E193</f>
        <v>COMELC</v>
      </c>
      <c r="F194" s="13" t="str">
        <f t="shared" si="59"/>
        <v>COMOFFOldSCEUE</v>
      </c>
      <c r="G194" s="13" t="str">
        <f t="shared" si="59"/>
        <v>COMOFFOldSCEUE</v>
      </c>
      <c r="H194" s="14">
        <v>2025</v>
      </c>
      <c r="I194" s="14" t="str">
        <f>I193</f>
        <v>LO</v>
      </c>
      <c r="J194" s="14"/>
      <c r="K194" s="15">
        <f>-ROUNDDOWN(SUMIFS('COM RESID'!$O:$O,'COM RESID'!$H:$H,$E194,'COM RESID'!$I:$I,$F194)/SUMIFS('COM RESID'!$O:$O,'COM RESID'!$I:$I,$F194),3)*O194</f>
        <v>-0.8</v>
      </c>
      <c r="L194" s="14"/>
      <c r="M194" s="14"/>
      <c r="N194" s="10"/>
      <c r="O194" s="20">
        <v>0.8</v>
      </c>
      <c r="Q194" s="11" t="str">
        <f t="shared" si="40"/>
        <v/>
      </c>
      <c r="R194" s="12"/>
      <c r="S194" s="13" t="str">
        <f t="shared" si="42"/>
        <v>COMELC</v>
      </c>
      <c r="T194" s="13" t="str">
        <f t="shared" si="43"/>
        <v>COMOFFOldSCEUE</v>
      </c>
      <c r="U194" s="13" t="str">
        <f t="shared" si="44"/>
        <v>COMOFFOldSCEUE</v>
      </c>
      <c r="V194" s="14">
        <v>2025</v>
      </c>
      <c r="W194" s="14" t="str">
        <f>W193</f>
        <v>UP</v>
      </c>
      <c r="X194" s="14"/>
      <c r="Y194" s="15">
        <f>-ROUNDUP(MIN(SUMIFS('COM RESID'!$O:$O,'COM RESID'!$H:$H,$E194,'COM RESID'!$I:$I,$F194)/SUMIFS('COM RESID'!$O:$O,'COM RESID'!$I:$I,$F194)*AC194,1),3)</f>
        <v>-1</v>
      </c>
      <c r="Z194" s="14"/>
      <c r="AA194" s="14"/>
      <c r="AB194" s="10"/>
      <c r="AC194" s="20">
        <f>IF(S194="COMELC",IF(SUMIFS('COM RESID'!$O:$O,'COM RESID'!$H:$H,$E194,'COM RESID'!$I:$I,$F194)/SUMIFS('COM RESID'!$O:$O,'COM RESID'!$I:$I,$F194)*1.2&lt;0.25,0.25/(SUMIFS('COM RESID'!$O:$O,'COM RESID'!$H:$H,$E194,'COM RESID'!$I:$I,$F194)/SUMIFS('COM RESID'!$O:$O,'COM RESID'!$I:$I,$F194)),1.2),IF(ISNUMBER(SEARCH("WHEUE",T194)),IF(OR(S194="COMNGA",S194="COMFOI"),1,1.2),1.2))</f>
        <v>1.2</v>
      </c>
    </row>
    <row r="195" spans="1:29" x14ac:dyDescent="0.25">
      <c r="A195" s="10">
        <f>A194</f>
        <v>48</v>
      </c>
      <c r="B195" s="10"/>
      <c r="C195" s="11" t="str">
        <f>IF(C194="*",C194,"")</f>
        <v/>
      </c>
      <c r="D195" s="12"/>
      <c r="E195" s="13" t="str">
        <f t="shared" si="59"/>
        <v>COMELC</v>
      </c>
      <c r="F195" s="13" t="str">
        <f t="shared" si="59"/>
        <v>COMOFFOldSCEUE</v>
      </c>
      <c r="G195" s="13" t="str">
        <f t="shared" si="59"/>
        <v>COMOFFOldSCEUE</v>
      </c>
      <c r="H195" s="14">
        <v>2030</v>
      </c>
      <c r="I195" s="14" t="str">
        <f>I194</f>
        <v>LO</v>
      </c>
      <c r="J195" s="14"/>
      <c r="K195" s="15">
        <f>-ROUNDDOWN(SUMIFS('COM RESID'!$O:$O,'COM RESID'!$H:$H,$E195,'COM RESID'!$I:$I,$F195)/SUMIFS('COM RESID'!$O:$O,'COM RESID'!$I:$I,$F195),3)*O195</f>
        <v>-0.75</v>
      </c>
      <c r="L195" s="14"/>
      <c r="M195" s="14"/>
      <c r="N195" s="10"/>
      <c r="O195" s="20">
        <v>0.75</v>
      </c>
      <c r="Q195" s="11" t="str">
        <f t="shared" si="40"/>
        <v/>
      </c>
      <c r="R195" s="12"/>
      <c r="S195" s="13" t="str">
        <f t="shared" si="42"/>
        <v>COMELC</v>
      </c>
      <c r="T195" s="13" t="str">
        <f t="shared" si="43"/>
        <v>COMOFFOldSCEUE</v>
      </c>
      <c r="U195" s="13" t="str">
        <f t="shared" si="44"/>
        <v>COMOFFOldSCEUE</v>
      </c>
      <c r="V195" s="14">
        <v>2030</v>
      </c>
      <c r="W195" s="14" t="str">
        <f>W194</f>
        <v>UP</v>
      </c>
      <c r="X195" s="14"/>
      <c r="Y195" s="15">
        <f>-ROUNDUP(MIN(SUMIFS('COM RESID'!$O:$O,'COM RESID'!$H:$H,$E195,'COM RESID'!$I:$I,$F195)/SUMIFS('COM RESID'!$O:$O,'COM RESID'!$I:$I,$F195)*AC195,1),3)</f>
        <v>-1</v>
      </c>
      <c r="Z195" s="14"/>
      <c r="AA195" s="14"/>
      <c r="AB195" s="10"/>
      <c r="AC195" s="20">
        <f>IF(S195="COMELC",IF(SUMIFS('COM RESID'!$O:$O,'COM RESID'!$H:$H,$E195,'COM RESID'!$I:$I,$F195)/SUMIFS('COM RESID'!$O:$O,'COM RESID'!$I:$I,$F195)*1.5&lt;0.5,0.5/(SUMIFS('COM RESID'!$O:$O,'COM RESID'!$H:$H,$E195,'COM RESID'!$I:$I,$F195)/SUMIFS('COM RESID'!$O:$O,'COM RESID'!$I:$I,$F195)),1.5),IF(ISNUMBER(SEARCH("WHEUE",T194)),IF(OR(S194="COMNGA",S194="COMFOI"),0.9,1.5),1.5))</f>
        <v>1.5</v>
      </c>
    </row>
    <row r="196" spans="1:29" x14ac:dyDescent="0.25">
      <c r="A196" s="26">
        <f>A195</f>
        <v>48</v>
      </c>
      <c r="B196" s="26"/>
      <c r="C196" s="21" t="str">
        <f>IF(C195="*",C195,"")</f>
        <v/>
      </c>
      <c r="D196" s="22"/>
      <c r="E196" s="23" t="str">
        <f t="shared" si="59"/>
        <v>COMELC</v>
      </c>
      <c r="F196" s="23" t="str">
        <f t="shared" si="59"/>
        <v>COMOFFOldSCEUE</v>
      </c>
      <c r="G196" s="23" t="str">
        <f t="shared" si="59"/>
        <v>COMOFFOldSCEUE</v>
      </c>
      <c r="H196" s="24">
        <v>2050</v>
      </c>
      <c r="I196" s="24" t="str">
        <f>I195</f>
        <v>LO</v>
      </c>
      <c r="J196" s="24"/>
      <c r="K196" s="25">
        <f>-ROUNDDOWN(SUMIFS('COM RESID'!$O:$O,'COM RESID'!$H:$H,$E196,'COM RESID'!$I:$I,$F196)/SUMIFS('COM RESID'!$O:$O,'COM RESID'!$I:$I,$F196),3)*O196</f>
        <v>-0.75</v>
      </c>
      <c r="L196" s="24"/>
      <c r="M196" s="24"/>
      <c r="N196" s="26"/>
      <c r="O196" s="27">
        <v>0.75</v>
      </c>
      <c r="Q196" s="21" t="str">
        <f t="shared" si="40"/>
        <v/>
      </c>
      <c r="R196" s="22"/>
      <c r="S196" s="23" t="str">
        <f t="shared" si="42"/>
        <v>COMELC</v>
      </c>
      <c r="T196" s="23" t="str">
        <f t="shared" si="43"/>
        <v>COMOFFOldSCEUE</v>
      </c>
      <c r="U196" s="23" t="str">
        <f t="shared" si="44"/>
        <v>COMOFFOldSCEUE</v>
      </c>
      <c r="V196" s="24">
        <v>2050</v>
      </c>
      <c r="W196" s="24" t="str">
        <f>W195</f>
        <v>UP</v>
      </c>
      <c r="X196" s="24"/>
      <c r="Y196" s="25">
        <f>-ROUNDUP(MIN(SUMIFS('COM RESID'!$O:$O,'COM RESID'!$H:$H,$E196,'COM RESID'!$I:$I,$F196)/SUMIFS('COM RESID'!$O:$O,'COM RESID'!$I:$I,$F196)*AC196,1),3)</f>
        <v>-1</v>
      </c>
      <c r="Z196" s="24"/>
      <c r="AA196" s="24"/>
      <c r="AB196" s="26"/>
      <c r="AC196" s="27">
        <f>IF(S196="COMELC",IF(SUMIFS('COM RESID'!$O:$O,'COM RESID'!$H:$H,$E196,'COM RESID'!$I:$I,$F196)/SUMIFS('COM RESID'!$O:$O,'COM RESID'!$I:$I,$F196)*3&lt;1,1/(SUMIFS('COM RESID'!$O:$O,'COM RESID'!$H:$H,$E196,'COM RESID'!$I:$I,$F196)/SUMIFS('COM RESID'!$O:$O,'COM RESID'!$I:$I,$F196)),3),IF(ISNUMBER(SEARCH("WHEUE",T194)),IF(OR(S194="COMNGA",S194="COMFOI"),0.75,3),3))</f>
        <v>3</v>
      </c>
    </row>
    <row r="197" spans="1:29" x14ac:dyDescent="0.25">
      <c r="A197" s="19">
        <f>A193+1</f>
        <v>49</v>
      </c>
      <c r="B197" s="10"/>
      <c r="C197" s="11" t="str">
        <f>IF(E197="","",IF(_xlfn.XLOOKUP($A197,Selected_constraint_UC!$A:$A,Selected_constraint_UC!$D:$D)=1,"*",IF(SUMIFS('COM TECH'!$N:$N,'COM TECH'!$K:$K,E197,'COM TECH'!$L:$L,F197)=0,"*",IF(SUMIFS('COM RESID'!$O:$O,'COM RESID'!$H:$H,$E197,'COM RESID'!$I:$I,$F197)=0,"*","UC_MarketShare_"&amp;LEFT(F197,LEN(F197)-3)&amp;"_"&amp;RIGHT(E197,3)&amp;"_MIN"))))</f>
        <v>*</v>
      </c>
      <c r="D197" s="12"/>
      <c r="E197" s="13" t="str">
        <f>_xlfn.XLOOKUP($A197,Selected_constraint_UC!$A:$A,Selected_constraint_UC!$B:$B)</f>
        <v>COMELC</v>
      </c>
      <c r="F197" s="13" t="str">
        <f>_xlfn.XLOOKUP($A197,Selected_constraint_UC!$A:$A,Selected_constraint_UC!$C:$C)</f>
        <v>COMOFFOldVTEUE</v>
      </c>
      <c r="G197" s="13" t="str">
        <f>F197</f>
        <v>COMOFFOldVTEUE</v>
      </c>
      <c r="H197" s="14">
        <v>2019</v>
      </c>
      <c r="I197" s="14" t="s">
        <v>3848</v>
      </c>
      <c r="J197" s="14">
        <v>1</v>
      </c>
      <c r="K197" s="15">
        <f>-ROUNDDOWN(SUMIFS('COM RESID'!$O:$O,'COM RESID'!$H:$H,$E197,'COM RESID'!$I:$I,$F197)/SUMIFS('COM RESID'!$O:$O,'COM RESID'!$I:$I,$F197),3)*O197</f>
        <v>-0.98</v>
      </c>
      <c r="L197" s="14">
        <v>0</v>
      </c>
      <c r="M197" s="14">
        <v>5</v>
      </c>
      <c r="N197" s="10"/>
      <c r="O197" s="20">
        <v>0.98</v>
      </c>
      <c r="Q197" s="11" t="str">
        <f t="shared" ref="Q197:Q260" si="60">SUBSTITUTE(C197,"MIN","MAX")</f>
        <v>*</v>
      </c>
      <c r="R197" s="12"/>
      <c r="S197" s="13" t="str">
        <f t="shared" si="42"/>
        <v>COMELC</v>
      </c>
      <c r="T197" s="13" t="str">
        <f t="shared" si="43"/>
        <v>COMOFFOldVTEUE</v>
      </c>
      <c r="U197" s="13" t="str">
        <f t="shared" si="44"/>
        <v>COMOFFOldVTEUE</v>
      </c>
      <c r="V197" s="14">
        <v>2019</v>
      </c>
      <c r="W197" s="14" t="s">
        <v>3849</v>
      </c>
      <c r="X197" s="14">
        <v>1</v>
      </c>
      <c r="Y197" s="15">
        <f>-ROUNDUP(MIN(SUMIFS('COM RESID'!$O:$O,'COM RESID'!$H:$H,$E197,'COM RESID'!$I:$I,$F197)/SUMIFS('COM RESID'!$O:$O,'COM RESID'!$I:$I,$F197)*AC197,1),3)</f>
        <v>-1</v>
      </c>
      <c r="Z197" s="14">
        <v>0</v>
      </c>
      <c r="AA197" s="14">
        <v>5</v>
      </c>
      <c r="AB197" s="10"/>
      <c r="AC197" s="20">
        <v>1.02</v>
      </c>
    </row>
    <row r="198" spans="1:29" x14ac:dyDescent="0.25">
      <c r="A198" s="10">
        <f>A197</f>
        <v>49</v>
      </c>
      <c r="B198" s="10"/>
      <c r="C198" s="11" t="str">
        <f>IF(C197="*",C197,"")</f>
        <v>*</v>
      </c>
      <c r="D198" s="12"/>
      <c r="E198" s="13" t="str">
        <f t="shared" ref="E198:G200" si="61">E197</f>
        <v>COMELC</v>
      </c>
      <c r="F198" s="13" t="str">
        <f t="shared" si="61"/>
        <v>COMOFFOldVTEUE</v>
      </c>
      <c r="G198" s="13" t="str">
        <f t="shared" si="61"/>
        <v>COMOFFOldVTEUE</v>
      </c>
      <c r="H198" s="14">
        <v>2025</v>
      </c>
      <c r="I198" s="14" t="str">
        <f>I197</f>
        <v>LO</v>
      </c>
      <c r="J198" s="14"/>
      <c r="K198" s="15">
        <f>-ROUNDDOWN(SUMIFS('COM RESID'!$O:$O,'COM RESID'!$H:$H,$E198,'COM RESID'!$I:$I,$F198)/SUMIFS('COM RESID'!$O:$O,'COM RESID'!$I:$I,$F198),3)*O198</f>
        <v>-0.8</v>
      </c>
      <c r="L198" s="14"/>
      <c r="M198" s="14"/>
      <c r="N198" s="10"/>
      <c r="O198" s="20">
        <v>0.8</v>
      </c>
      <c r="Q198" s="11" t="str">
        <f t="shared" si="60"/>
        <v>*</v>
      </c>
      <c r="R198" s="12"/>
      <c r="S198" s="13" t="str">
        <f t="shared" ref="S198:S261" si="62">E198</f>
        <v>COMELC</v>
      </c>
      <c r="T198" s="13" t="str">
        <f t="shared" ref="T198:T261" si="63">F198</f>
        <v>COMOFFOldVTEUE</v>
      </c>
      <c r="U198" s="13" t="str">
        <f t="shared" ref="U198:U261" si="64">G198</f>
        <v>COMOFFOldVTEUE</v>
      </c>
      <c r="V198" s="14">
        <v>2025</v>
      </c>
      <c r="W198" s="14" t="str">
        <f>W197</f>
        <v>UP</v>
      </c>
      <c r="X198" s="14"/>
      <c r="Y198" s="15">
        <f>-ROUNDUP(MIN(SUMIFS('COM RESID'!$O:$O,'COM RESID'!$H:$H,$E198,'COM RESID'!$I:$I,$F198)/SUMIFS('COM RESID'!$O:$O,'COM RESID'!$I:$I,$F198)*AC198,1),3)</f>
        <v>-1</v>
      </c>
      <c r="Z198" s="14"/>
      <c r="AA198" s="14"/>
      <c r="AB198" s="10"/>
      <c r="AC198" s="20">
        <f>IF(S198="COMELC",IF(SUMIFS('COM RESID'!$O:$O,'COM RESID'!$H:$H,$E198,'COM RESID'!$I:$I,$F198)/SUMIFS('COM RESID'!$O:$O,'COM RESID'!$I:$I,$F198)*1.2&lt;0.25,0.25/(SUMIFS('COM RESID'!$O:$O,'COM RESID'!$H:$H,$E198,'COM RESID'!$I:$I,$F198)/SUMIFS('COM RESID'!$O:$O,'COM RESID'!$I:$I,$F198)),1.2),IF(ISNUMBER(SEARCH("WHEUE",T198)),IF(OR(S198="COMNGA",S198="COMFOI"),1,1.2),1.2))</f>
        <v>1.2</v>
      </c>
    </row>
    <row r="199" spans="1:29" x14ac:dyDescent="0.25">
      <c r="A199" s="10">
        <f>A198</f>
        <v>49</v>
      </c>
      <c r="B199" s="10"/>
      <c r="C199" s="11" t="str">
        <f>IF(C198="*",C198,"")</f>
        <v>*</v>
      </c>
      <c r="D199" s="12"/>
      <c r="E199" s="13" t="str">
        <f t="shared" si="61"/>
        <v>COMELC</v>
      </c>
      <c r="F199" s="13" t="str">
        <f t="shared" si="61"/>
        <v>COMOFFOldVTEUE</v>
      </c>
      <c r="G199" s="13" t="str">
        <f t="shared" si="61"/>
        <v>COMOFFOldVTEUE</v>
      </c>
      <c r="H199" s="14">
        <v>2030</v>
      </c>
      <c r="I199" s="14" t="str">
        <f>I198</f>
        <v>LO</v>
      </c>
      <c r="J199" s="14"/>
      <c r="K199" s="15">
        <f>-ROUNDDOWN(SUMIFS('COM RESID'!$O:$O,'COM RESID'!$H:$H,$E199,'COM RESID'!$I:$I,$F199)/SUMIFS('COM RESID'!$O:$O,'COM RESID'!$I:$I,$F199),3)*O199</f>
        <v>-0.2</v>
      </c>
      <c r="L199" s="14"/>
      <c r="M199" s="14"/>
      <c r="N199" s="10"/>
      <c r="O199" s="20">
        <v>0.2</v>
      </c>
      <c r="Q199" s="11" t="str">
        <f t="shared" si="60"/>
        <v>*</v>
      </c>
      <c r="R199" s="12"/>
      <c r="S199" s="13" t="str">
        <f t="shared" si="62"/>
        <v>COMELC</v>
      </c>
      <c r="T199" s="13" t="str">
        <f t="shared" si="63"/>
        <v>COMOFFOldVTEUE</v>
      </c>
      <c r="U199" s="13" t="str">
        <f t="shared" si="64"/>
        <v>COMOFFOldVTEUE</v>
      </c>
      <c r="V199" s="14">
        <v>2030</v>
      </c>
      <c r="W199" s="14" t="str">
        <f>W198</f>
        <v>UP</v>
      </c>
      <c r="X199" s="14"/>
      <c r="Y199" s="15">
        <f>-ROUNDUP(MIN(SUMIFS('COM RESID'!$O:$O,'COM RESID'!$H:$H,$E199,'COM RESID'!$I:$I,$F199)/SUMIFS('COM RESID'!$O:$O,'COM RESID'!$I:$I,$F199)*AC199,1),3)</f>
        <v>-1</v>
      </c>
      <c r="Z199" s="14"/>
      <c r="AA199" s="14"/>
      <c r="AB199" s="10"/>
      <c r="AC199" s="20">
        <f>IF(S199="COMELC",IF(SUMIFS('COM RESID'!$O:$O,'COM RESID'!$H:$H,$E199,'COM RESID'!$I:$I,$F199)/SUMIFS('COM RESID'!$O:$O,'COM RESID'!$I:$I,$F199)*1.5&lt;0.5,0.5/(SUMIFS('COM RESID'!$O:$O,'COM RESID'!$H:$H,$E199,'COM RESID'!$I:$I,$F199)/SUMIFS('COM RESID'!$O:$O,'COM RESID'!$I:$I,$F199)),1.5),IF(ISNUMBER(SEARCH("WHEUE",T198)),IF(OR(S198="COMNGA",S198="COMFOI"),0.9,1.5),1.5))</f>
        <v>1.5</v>
      </c>
    </row>
    <row r="200" spans="1:29" x14ac:dyDescent="0.25">
      <c r="A200" s="26">
        <f>A199</f>
        <v>49</v>
      </c>
      <c r="B200" s="26"/>
      <c r="C200" s="21" t="str">
        <f>IF(C199="*",C199,"")</f>
        <v>*</v>
      </c>
      <c r="D200" s="22"/>
      <c r="E200" s="23" t="str">
        <f t="shared" si="61"/>
        <v>COMELC</v>
      </c>
      <c r="F200" s="23" t="str">
        <f t="shared" si="61"/>
        <v>COMOFFOldVTEUE</v>
      </c>
      <c r="G200" s="23" t="str">
        <f t="shared" si="61"/>
        <v>COMOFFOldVTEUE</v>
      </c>
      <c r="H200" s="24">
        <v>2050</v>
      </c>
      <c r="I200" s="24" t="str">
        <f>I199</f>
        <v>LO</v>
      </c>
      <c r="J200" s="24"/>
      <c r="K200" s="25">
        <f>-ROUNDDOWN(SUMIFS('COM RESID'!$O:$O,'COM RESID'!$H:$H,$E200,'COM RESID'!$I:$I,$F200)/SUMIFS('COM RESID'!$O:$O,'COM RESID'!$I:$I,$F200),3)*O200</f>
        <v>0</v>
      </c>
      <c r="L200" s="24"/>
      <c r="M200" s="24"/>
      <c r="N200" s="26"/>
      <c r="O200" s="27">
        <v>0</v>
      </c>
      <c r="Q200" s="21" t="str">
        <f t="shared" si="60"/>
        <v>*</v>
      </c>
      <c r="R200" s="22"/>
      <c r="S200" s="23" t="str">
        <f t="shared" si="62"/>
        <v>COMELC</v>
      </c>
      <c r="T200" s="23" t="str">
        <f t="shared" si="63"/>
        <v>COMOFFOldVTEUE</v>
      </c>
      <c r="U200" s="23" t="str">
        <f t="shared" si="64"/>
        <v>COMOFFOldVTEUE</v>
      </c>
      <c r="V200" s="24">
        <v>2050</v>
      </c>
      <c r="W200" s="24" t="str">
        <f>W199</f>
        <v>UP</v>
      </c>
      <c r="X200" s="24"/>
      <c r="Y200" s="25">
        <f>-ROUNDUP(MIN(SUMIFS('COM RESID'!$O:$O,'COM RESID'!$H:$H,$E200,'COM RESID'!$I:$I,$F200)/SUMIFS('COM RESID'!$O:$O,'COM RESID'!$I:$I,$F200)*AC200,1),3)</f>
        <v>-1</v>
      </c>
      <c r="Z200" s="24"/>
      <c r="AA200" s="24"/>
      <c r="AB200" s="26"/>
      <c r="AC200" s="27">
        <f>IF(S200="COMELC",IF(SUMIFS('COM RESID'!$O:$O,'COM RESID'!$H:$H,$E200,'COM RESID'!$I:$I,$F200)/SUMIFS('COM RESID'!$O:$O,'COM RESID'!$I:$I,$F200)*3&lt;1,1/(SUMIFS('COM RESID'!$O:$O,'COM RESID'!$H:$H,$E200,'COM RESID'!$I:$I,$F200)/SUMIFS('COM RESID'!$O:$O,'COM RESID'!$I:$I,$F200)),3),IF(ISNUMBER(SEARCH("WHEUE",T198)),IF(OR(S198="COMNGA",S198="COMFOI"),0.75,3),3))</f>
        <v>3</v>
      </c>
    </row>
    <row r="201" spans="1:29" x14ac:dyDescent="0.25">
      <c r="A201" s="19">
        <f>A197+1</f>
        <v>50</v>
      </c>
      <c r="B201" s="10"/>
      <c r="C201" s="11" t="str">
        <f>IF(E201="","",IF(_xlfn.XLOOKUP($A201,Selected_constraint_UC!$A:$A,Selected_constraint_UC!$D:$D)=1,"*",IF(SUMIFS('COM TECH'!$N:$N,'COM TECH'!$K:$K,E201,'COM TECH'!$L:$L,F201)=0,"*",IF(SUMIFS('COM RESID'!$O:$O,'COM RESID'!$H:$H,$E201,'COM RESID'!$I:$I,$F201)=0,"*","UC_MarketShare_"&amp;LEFT(F201,LEN(F201)-3)&amp;"_"&amp;RIGHT(E201,3)&amp;"_MIN"))))</f>
        <v>UC_MarketShare_COMOFFOldWH_FOI_MIN</v>
      </c>
      <c r="D201" s="12"/>
      <c r="E201" s="13" t="str">
        <f>_xlfn.XLOOKUP($A201,Selected_constraint_UC!$A:$A,Selected_constraint_UC!$B:$B)</f>
        <v>COMFOI</v>
      </c>
      <c r="F201" s="13" t="str">
        <f>_xlfn.XLOOKUP($A201,Selected_constraint_UC!$A:$A,Selected_constraint_UC!$C:$C)</f>
        <v>COMOFFOldWHEUE</v>
      </c>
      <c r="G201" s="13" t="str">
        <f>F201</f>
        <v>COMOFFOldWHEUE</v>
      </c>
      <c r="H201" s="14">
        <v>2019</v>
      </c>
      <c r="I201" s="14" t="s">
        <v>3848</v>
      </c>
      <c r="J201" s="14">
        <v>1</v>
      </c>
      <c r="K201" s="15">
        <f>-ROUNDDOWN(SUMIFS('COM RESID'!$O:$O,'COM RESID'!$H:$H,$E201,'COM RESID'!$I:$I,$F201)/SUMIFS('COM RESID'!$O:$O,'COM RESID'!$I:$I,$F201),3)*O201</f>
        <v>-6.8600000000000008E-2</v>
      </c>
      <c r="L201" s="14">
        <v>0</v>
      </c>
      <c r="M201" s="14">
        <v>5</v>
      </c>
      <c r="N201" s="10"/>
      <c r="O201" s="20">
        <v>0.98</v>
      </c>
      <c r="Q201" s="11" t="str">
        <f t="shared" si="60"/>
        <v>UC_MarketShare_COMOFFOldWH_FOI_MAX</v>
      </c>
      <c r="R201" s="12"/>
      <c r="S201" s="13" t="str">
        <f t="shared" si="62"/>
        <v>COMFOI</v>
      </c>
      <c r="T201" s="13" t="str">
        <f t="shared" si="63"/>
        <v>COMOFFOldWHEUE</v>
      </c>
      <c r="U201" s="13" t="str">
        <f t="shared" si="64"/>
        <v>COMOFFOldWHEUE</v>
      </c>
      <c r="V201" s="14">
        <v>2019</v>
      </c>
      <c r="W201" s="14" t="s">
        <v>3849</v>
      </c>
      <c r="X201" s="14">
        <v>1</v>
      </c>
      <c r="Y201" s="15">
        <f>-ROUNDUP(MIN(SUMIFS('COM RESID'!$O:$O,'COM RESID'!$H:$H,$E201,'COM RESID'!$I:$I,$F201)/SUMIFS('COM RESID'!$O:$O,'COM RESID'!$I:$I,$F201)*AC201,1),3)</f>
        <v>-7.1999999999999995E-2</v>
      </c>
      <c r="Z201" s="14">
        <v>0</v>
      </c>
      <c r="AA201" s="14">
        <v>5</v>
      </c>
      <c r="AB201" s="10"/>
      <c r="AC201" s="20">
        <v>1.02</v>
      </c>
    </row>
    <row r="202" spans="1:29" x14ac:dyDescent="0.25">
      <c r="A202" s="10">
        <f>A201</f>
        <v>50</v>
      </c>
      <c r="B202" s="10"/>
      <c r="C202" s="11" t="str">
        <f>IF(C201="*",C201,"")</f>
        <v/>
      </c>
      <c r="D202" s="12"/>
      <c r="E202" s="13" t="str">
        <f t="shared" ref="E202:G204" si="65">E201</f>
        <v>COMFOI</v>
      </c>
      <c r="F202" s="13" t="str">
        <f t="shared" si="65"/>
        <v>COMOFFOldWHEUE</v>
      </c>
      <c r="G202" s="13" t="str">
        <f t="shared" si="65"/>
        <v>COMOFFOldWHEUE</v>
      </c>
      <c r="H202" s="14">
        <v>2025</v>
      </c>
      <c r="I202" s="14" t="str">
        <f>I201</f>
        <v>LO</v>
      </c>
      <c r="J202" s="14"/>
      <c r="K202" s="15">
        <f>-ROUNDDOWN(SUMIFS('COM RESID'!$O:$O,'COM RESID'!$H:$H,$E202,'COM RESID'!$I:$I,$F202)/SUMIFS('COM RESID'!$O:$O,'COM RESID'!$I:$I,$F202),3)*O202</f>
        <v>-5.6000000000000008E-2</v>
      </c>
      <c r="L202" s="14"/>
      <c r="M202" s="14"/>
      <c r="N202" s="10"/>
      <c r="O202" s="20">
        <v>0.8</v>
      </c>
      <c r="Q202" s="11" t="str">
        <f t="shared" si="60"/>
        <v/>
      </c>
      <c r="R202" s="12"/>
      <c r="S202" s="13" t="str">
        <f t="shared" si="62"/>
        <v>COMFOI</v>
      </c>
      <c r="T202" s="13" t="str">
        <f t="shared" si="63"/>
        <v>COMOFFOldWHEUE</v>
      </c>
      <c r="U202" s="13" t="str">
        <f t="shared" si="64"/>
        <v>COMOFFOldWHEUE</v>
      </c>
      <c r="V202" s="14">
        <v>2025</v>
      </c>
      <c r="W202" s="14" t="str">
        <f>W201</f>
        <v>UP</v>
      </c>
      <c r="X202" s="14"/>
      <c r="Y202" s="15">
        <f>-ROUNDUP(MIN(SUMIFS('COM RESID'!$O:$O,'COM RESID'!$H:$H,$E202,'COM RESID'!$I:$I,$F202)/SUMIFS('COM RESID'!$O:$O,'COM RESID'!$I:$I,$F202)*AC202,1),3)</f>
        <v>-7.1000000000000008E-2</v>
      </c>
      <c r="Z202" s="14"/>
      <c r="AA202" s="14"/>
      <c r="AB202" s="10"/>
      <c r="AC202" s="20">
        <f>IF(S202="COMELC",IF(SUMIFS('COM RESID'!$O:$O,'COM RESID'!$H:$H,$E202,'COM RESID'!$I:$I,$F202)/SUMIFS('COM RESID'!$O:$O,'COM RESID'!$I:$I,$F202)*1.2&lt;0.25,0.25/(SUMIFS('COM RESID'!$O:$O,'COM RESID'!$H:$H,$E202,'COM RESID'!$I:$I,$F202)/SUMIFS('COM RESID'!$O:$O,'COM RESID'!$I:$I,$F202)),1.2),IF(ISNUMBER(SEARCH("WHEUE",T202)),IF(OR(S202="COMNGA",S202="COMFOI"),1,1.2),1.2))</f>
        <v>1</v>
      </c>
    </row>
    <row r="203" spans="1:29" x14ac:dyDescent="0.25">
      <c r="A203" s="10">
        <f>A202</f>
        <v>50</v>
      </c>
      <c r="B203" s="10"/>
      <c r="C203" s="11" t="str">
        <f>IF(C202="*",C202,"")</f>
        <v/>
      </c>
      <c r="D203" s="12"/>
      <c r="E203" s="13" t="str">
        <f t="shared" si="65"/>
        <v>COMFOI</v>
      </c>
      <c r="F203" s="13" t="str">
        <f t="shared" si="65"/>
        <v>COMOFFOldWHEUE</v>
      </c>
      <c r="G203" s="13" t="str">
        <f t="shared" si="65"/>
        <v>COMOFFOldWHEUE</v>
      </c>
      <c r="H203" s="14">
        <v>2030</v>
      </c>
      <c r="I203" s="14" t="str">
        <f>I202</f>
        <v>LO</v>
      </c>
      <c r="J203" s="14"/>
      <c r="K203" s="15">
        <f>-ROUNDDOWN(SUMIFS('COM RESID'!$O:$O,'COM RESID'!$H:$H,$E203,'COM RESID'!$I:$I,$F203)/SUMIFS('COM RESID'!$O:$O,'COM RESID'!$I:$I,$F203),3)*O203</f>
        <v>-1.4000000000000002E-2</v>
      </c>
      <c r="L203" s="14"/>
      <c r="M203" s="14"/>
      <c r="N203" s="10"/>
      <c r="O203" s="20">
        <v>0.2</v>
      </c>
      <c r="Q203" s="11" t="str">
        <f t="shared" si="60"/>
        <v/>
      </c>
      <c r="R203" s="12"/>
      <c r="S203" s="13" t="str">
        <f t="shared" si="62"/>
        <v>COMFOI</v>
      </c>
      <c r="T203" s="13" t="str">
        <f t="shared" si="63"/>
        <v>COMOFFOldWHEUE</v>
      </c>
      <c r="U203" s="13" t="str">
        <f t="shared" si="64"/>
        <v>COMOFFOldWHEUE</v>
      </c>
      <c r="V203" s="14">
        <v>2030</v>
      </c>
      <c r="W203" s="14" t="str">
        <f>W202</f>
        <v>UP</v>
      </c>
      <c r="X203" s="14"/>
      <c r="Y203" s="15">
        <f>-ROUNDUP(MIN(SUMIFS('COM RESID'!$O:$O,'COM RESID'!$H:$H,$E203,'COM RESID'!$I:$I,$F203)/SUMIFS('COM RESID'!$O:$O,'COM RESID'!$I:$I,$F203)*AC203,1),3)</f>
        <v>-6.4000000000000001E-2</v>
      </c>
      <c r="Z203" s="14"/>
      <c r="AA203" s="14"/>
      <c r="AB203" s="10"/>
      <c r="AC203" s="20">
        <f>IF(S203="COMELC",IF(SUMIFS('COM RESID'!$O:$O,'COM RESID'!$H:$H,$E203,'COM RESID'!$I:$I,$F203)/SUMIFS('COM RESID'!$O:$O,'COM RESID'!$I:$I,$F203)*1.5&lt;0.5,0.5/(SUMIFS('COM RESID'!$O:$O,'COM RESID'!$H:$H,$E203,'COM RESID'!$I:$I,$F203)/SUMIFS('COM RESID'!$O:$O,'COM RESID'!$I:$I,$F203)),1.5),IF(ISNUMBER(SEARCH("WHEUE",T202)),IF(OR(S202="COMNGA",S202="COMFOI"),0.9,1.5),1.5))</f>
        <v>0.9</v>
      </c>
    </row>
    <row r="204" spans="1:29" x14ac:dyDescent="0.25">
      <c r="A204" s="26">
        <f>A203</f>
        <v>50</v>
      </c>
      <c r="B204" s="26"/>
      <c r="C204" s="21" t="str">
        <f>IF(C203="*",C203,"")</f>
        <v/>
      </c>
      <c r="D204" s="22"/>
      <c r="E204" s="23" t="str">
        <f t="shared" si="65"/>
        <v>COMFOI</v>
      </c>
      <c r="F204" s="23" t="str">
        <f t="shared" si="65"/>
        <v>COMOFFOldWHEUE</v>
      </c>
      <c r="G204" s="23" t="str">
        <f t="shared" si="65"/>
        <v>COMOFFOldWHEUE</v>
      </c>
      <c r="H204" s="24">
        <v>2050</v>
      </c>
      <c r="I204" s="24" t="str">
        <f>I203</f>
        <v>LO</v>
      </c>
      <c r="J204" s="24"/>
      <c r="K204" s="25">
        <f>-ROUNDDOWN(SUMIFS('COM RESID'!$O:$O,'COM RESID'!$H:$H,$E204,'COM RESID'!$I:$I,$F204)/SUMIFS('COM RESID'!$O:$O,'COM RESID'!$I:$I,$F204),3)*O204</f>
        <v>0</v>
      </c>
      <c r="L204" s="24"/>
      <c r="M204" s="24"/>
      <c r="N204" s="26"/>
      <c r="O204" s="27">
        <v>0</v>
      </c>
      <c r="Q204" s="21" t="str">
        <f t="shared" si="60"/>
        <v/>
      </c>
      <c r="R204" s="22"/>
      <c r="S204" s="23" t="str">
        <f t="shared" si="62"/>
        <v>COMFOI</v>
      </c>
      <c r="T204" s="23" t="str">
        <f t="shared" si="63"/>
        <v>COMOFFOldWHEUE</v>
      </c>
      <c r="U204" s="23" t="str">
        <f t="shared" si="64"/>
        <v>COMOFFOldWHEUE</v>
      </c>
      <c r="V204" s="24">
        <v>2050</v>
      </c>
      <c r="W204" s="24" t="str">
        <f>W203</f>
        <v>UP</v>
      </c>
      <c r="X204" s="24"/>
      <c r="Y204" s="25">
        <f>-ROUNDUP(MIN(SUMIFS('COM RESID'!$O:$O,'COM RESID'!$H:$H,$E204,'COM RESID'!$I:$I,$F204)/SUMIFS('COM RESID'!$O:$O,'COM RESID'!$I:$I,$F204)*AC204,1),3)</f>
        <v>-5.2999999999999999E-2</v>
      </c>
      <c r="Z204" s="24"/>
      <c r="AA204" s="24"/>
      <c r="AB204" s="26"/>
      <c r="AC204" s="27">
        <f>IF(S204="COMELC",IF(SUMIFS('COM RESID'!$O:$O,'COM RESID'!$H:$H,$E204,'COM RESID'!$I:$I,$F204)/SUMIFS('COM RESID'!$O:$O,'COM RESID'!$I:$I,$F204)*3&lt;1,1/(SUMIFS('COM RESID'!$O:$O,'COM RESID'!$H:$H,$E204,'COM RESID'!$I:$I,$F204)/SUMIFS('COM RESID'!$O:$O,'COM RESID'!$I:$I,$F204)),3),IF(ISNUMBER(SEARCH("WHEUE",T202)),IF(OR(S202="COMNGA",S202="COMFOI"),0.75,3),3))</f>
        <v>0.75</v>
      </c>
    </row>
    <row r="205" spans="1:29" x14ac:dyDescent="0.25">
      <c r="A205" s="19">
        <f>A201+1</f>
        <v>51</v>
      </c>
      <c r="B205" s="10"/>
      <c r="C205" s="11" t="str">
        <f>IF(E205="","",IF(_xlfn.XLOOKUP($A205,Selected_constraint_UC!$A:$A,Selected_constraint_UC!$D:$D)=1,"*",IF(SUMIFS('COM TECH'!$N:$N,'COM TECH'!$K:$K,E205,'COM TECH'!$L:$L,F205)=0,"*",IF(SUMIFS('COM RESID'!$O:$O,'COM RESID'!$H:$H,$E205,'COM RESID'!$I:$I,$F205)=0,"*","UC_MarketShare_"&amp;LEFT(F205,LEN(F205)-3)&amp;"_"&amp;RIGHT(E205,3)&amp;"_MIN"))))</f>
        <v>UC_MarketShare_COMOFFOldWH_NGA_MIN</v>
      </c>
      <c r="D205" s="12"/>
      <c r="E205" s="13" t="str">
        <f>_xlfn.XLOOKUP($A205,Selected_constraint_UC!$A:$A,Selected_constraint_UC!$B:$B)</f>
        <v>COMNGA</v>
      </c>
      <c r="F205" s="13" t="str">
        <f>_xlfn.XLOOKUP($A205,Selected_constraint_UC!$A:$A,Selected_constraint_UC!$C:$C)</f>
        <v>COMOFFOldWHEUE</v>
      </c>
      <c r="G205" s="13" t="str">
        <f>F205</f>
        <v>COMOFFOldWHEUE</v>
      </c>
      <c r="H205" s="14">
        <v>2019</v>
      </c>
      <c r="I205" s="14" t="s">
        <v>3848</v>
      </c>
      <c r="J205" s="14">
        <v>1</v>
      </c>
      <c r="K205" s="15">
        <f>-ROUNDDOWN(SUMIFS('COM RESID'!$O:$O,'COM RESID'!$H:$H,$E205,'COM RESID'!$I:$I,$F205)/SUMIFS('COM RESID'!$O:$O,'COM RESID'!$I:$I,$F205),3)*O205</f>
        <v>-0.63994000000000006</v>
      </c>
      <c r="L205" s="14">
        <v>0</v>
      </c>
      <c r="M205" s="14">
        <v>5</v>
      </c>
      <c r="N205" s="10"/>
      <c r="O205" s="20">
        <v>0.98</v>
      </c>
      <c r="Q205" s="11" t="str">
        <f t="shared" si="60"/>
        <v>UC_MarketShare_COMOFFOldWH_NGA_MAX</v>
      </c>
      <c r="R205" s="12"/>
      <c r="S205" s="13" t="str">
        <f t="shared" si="62"/>
        <v>COMNGA</v>
      </c>
      <c r="T205" s="13" t="str">
        <f t="shared" si="63"/>
        <v>COMOFFOldWHEUE</v>
      </c>
      <c r="U205" s="13" t="str">
        <f t="shared" si="64"/>
        <v>COMOFFOldWHEUE</v>
      </c>
      <c r="V205" s="14">
        <v>2019</v>
      </c>
      <c r="W205" s="14" t="s">
        <v>3849</v>
      </c>
      <c r="X205" s="14">
        <v>1</v>
      </c>
      <c r="Y205" s="15">
        <f>-ROUNDUP(MIN(SUMIFS('COM RESID'!$O:$O,'COM RESID'!$H:$H,$E205,'COM RESID'!$I:$I,$F205)/SUMIFS('COM RESID'!$O:$O,'COM RESID'!$I:$I,$F205)*AC205,1),3)</f>
        <v>-0.66700000000000004</v>
      </c>
      <c r="Z205" s="14">
        <v>0</v>
      </c>
      <c r="AA205" s="14">
        <v>5</v>
      </c>
      <c r="AB205" s="10"/>
      <c r="AC205" s="20">
        <v>1.02</v>
      </c>
    </row>
    <row r="206" spans="1:29" x14ac:dyDescent="0.25">
      <c r="A206" s="10">
        <f>A205</f>
        <v>51</v>
      </c>
      <c r="B206" s="10"/>
      <c r="C206" s="11" t="str">
        <f>IF(C205="*",C205,"")</f>
        <v/>
      </c>
      <c r="D206" s="12"/>
      <c r="E206" s="13" t="str">
        <f t="shared" ref="E206:G208" si="66">E205</f>
        <v>COMNGA</v>
      </c>
      <c r="F206" s="13" t="str">
        <f t="shared" si="66"/>
        <v>COMOFFOldWHEUE</v>
      </c>
      <c r="G206" s="13" t="str">
        <f t="shared" si="66"/>
        <v>COMOFFOldWHEUE</v>
      </c>
      <c r="H206" s="14">
        <v>2025</v>
      </c>
      <c r="I206" s="14" t="str">
        <f>I205</f>
        <v>LO</v>
      </c>
      <c r="J206" s="14"/>
      <c r="K206" s="15">
        <f>-ROUNDDOWN(SUMIFS('COM RESID'!$O:$O,'COM RESID'!$H:$H,$E206,'COM RESID'!$I:$I,$F206)/SUMIFS('COM RESID'!$O:$O,'COM RESID'!$I:$I,$F206),3)*O206</f>
        <v>-0.52240000000000009</v>
      </c>
      <c r="L206" s="14"/>
      <c r="M206" s="14"/>
      <c r="N206" s="10"/>
      <c r="O206" s="20">
        <v>0.8</v>
      </c>
      <c r="Q206" s="11" t="str">
        <f t="shared" si="60"/>
        <v/>
      </c>
      <c r="R206" s="12"/>
      <c r="S206" s="13" t="str">
        <f t="shared" si="62"/>
        <v>COMNGA</v>
      </c>
      <c r="T206" s="13" t="str">
        <f t="shared" si="63"/>
        <v>COMOFFOldWHEUE</v>
      </c>
      <c r="U206" s="13" t="str">
        <f t="shared" si="64"/>
        <v>COMOFFOldWHEUE</v>
      </c>
      <c r="V206" s="14">
        <v>2025</v>
      </c>
      <c r="W206" s="14" t="str">
        <f>W205</f>
        <v>UP</v>
      </c>
      <c r="X206" s="14"/>
      <c r="Y206" s="15">
        <f>-ROUNDUP(MIN(SUMIFS('COM RESID'!$O:$O,'COM RESID'!$H:$H,$E206,'COM RESID'!$I:$I,$F206)/SUMIFS('COM RESID'!$O:$O,'COM RESID'!$I:$I,$F206)*AC206,1),3)</f>
        <v>-0.65400000000000003</v>
      </c>
      <c r="Z206" s="14"/>
      <c r="AA206" s="14"/>
      <c r="AB206" s="10"/>
      <c r="AC206" s="20">
        <f>IF(S206="COMELC",IF(SUMIFS('COM RESID'!$O:$O,'COM RESID'!$H:$H,$E206,'COM RESID'!$I:$I,$F206)/SUMIFS('COM RESID'!$O:$O,'COM RESID'!$I:$I,$F206)*1.2&lt;0.25,0.25/(SUMIFS('COM RESID'!$O:$O,'COM RESID'!$H:$H,$E206,'COM RESID'!$I:$I,$F206)/SUMIFS('COM RESID'!$O:$O,'COM RESID'!$I:$I,$F206)),1.2),IF(ISNUMBER(SEARCH("WHEUE",T206)),IF(OR(S206="COMNGA",S206="COMFOI"),1,1.2),1.2))</f>
        <v>1</v>
      </c>
    </row>
    <row r="207" spans="1:29" x14ac:dyDescent="0.25">
      <c r="A207" s="10">
        <f>A206</f>
        <v>51</v>
      </c>
      <c r="B207" s="10"/>
      <c r="C207" s="11" t="str">
        <f>IF(C206="*",C206,"")</f>
        <v/>
      </c>
      <c r="D207" s="12"/>
      <c r="E207" s="13" t="str">
        <f t="shared" si="66"/>
        <v>COMNGA</v>
      </c>
      <c r="F207" s="13" t="str">
        <f t="shared" si="66"/>
        <v>COMOFFOldWHEUE</v>
      </c>
      <c r="G207" s="13" t="str">
        <f t="shared" si="66"/>
        <v>COMOFFOldWHEUE</v>
      </c>
      <c r="H207" s="14">
        <v>2030</v>
      </c>
      <c r="I207" s="14" t="str">
        <f>I206</f>
        <v>LO</v>
      </c>
      <c r="J207" s="14"/>
      <c r="K207" s="15">
        <f>-ROUNDDOWN(SUMIFS('COM RESID'!$O:$O,'COM RESID'!$H:$H,$E207,'COM RESID'!$I:$I,$F207)/SUMIFS('COM RESID'!$O:$O,'COM RESID'!$I:$I,$F207),3)*O207</f>
        <v>-0.13060000000000002</v>
      </c>
      <c r="L207" s="14"/>
      <c r="M207" s="14"/>
      <c r="N207" s="10"/>
      <c r="O207" s="20">
        <v>0.2</v>
      </c>
      <c r="Q207" s="11" t="str">
        <f t="shared" si="60"/>
        <v/>
      </c>
      <c r="R207" s="12"/>
      <c r="S207" s="13" t="str">
        <f t="shared" si="62"/>
        <v>COMNGA</v>
      </c>
      <c r="T207" s="13" t="str">
        <f t="shared" si="63"/>
        <v>COMOFFOldWHEUE</v>
      </c>
      <c r="U207" s="13" t="str">
        <f t="shared" si="64"/>
        <v>COMOFFOldWHEUE</v>
      </c>
      <c r="V207" s="14">
        <v>2030</v>
      </c>
      <c r="W207" s="14" t="str">
        <f>W206</f>
        <v>UP</v>
      </c>
      <c r="X207" s="14"/>
      <c r="Y207" s="15">
        <f>-ROUNDUP(MIN(SUMIFS('COM RESID'!$O:$O,'COM RESID'!$H:$H,$E207,'COM RESID'!$I:$I,$F207)/SUMIFS('COM RESID'!$O:$O,'COM RESID'!$I:$I,$F207)*AC207,1),3)</f>
        <v>-0.58899999999999997</v>
      </c>
      <c r="Z207" s="14"/>
      <c r="AA207" s="14"/>
      <c r="AB207" s="10"/>
      <c r="AC207" s="20">
        <f>IF(S207="COMELC",IF(SUMIFS('COM RESID'!$O:$O,'COM RESID'!$H:$H,$E207,'COM RESID'!$I:$I,$F207)/SUMIFS('COM RESID'!$O:$O,'COM RESID'!$I:$I,$F207)*1.5&lt;0.5,0.5/(SUMIFS('COM RESID'!$O:$O,'COM RESID'!$H:$H,$E207,'COM RESID'!$I:$I,$F207)/SUMIFS('COM RESID'!$O:$O,'COM RESID'!$I:$I,$F207)),1.5),IF(ISNUMBER(SEARCH("WHEUE",T206)),IF(OR(S206="COMNGA",S206="COMFOI"),0.9,1.5),1.5))</f>
        <v>0.9</v>
      </c>
    </row>
    <row r="208" spans="1:29" x14ac:dyDescent="0.25">
      <c r="A208" s="26">
        <f>A207</f>
        <v>51</v>
      </c>
      <c r="B208" s="26"/>
      <c r="C208" s="21" t="str">
        <f>IF(C207="*",C207,"")</f>
        <v/>
      </c>
      <c r="D208" s="22"/>
      <c r="E208" s="23" t="str">
        <f t="shared" si="66"/>
        <v>COMNGA</v>
      </c>
      <c r="F208" s="23" t="str">
        <f t="shared" si="66"/>
        <v>COMOFFOldWHEUE</v>
      </c>
      <c r="G208" s="23" t="str">
        <f t="shared" si="66"/>
        <v>COMOFFOldWHEUE</v>
      </c>
      <c r="H208" s="24">
        <v>2050</v>
      </c>
      <c r="I208" s="24" t="str">
        <f>I207</f>
        <v>LO</v>
      </c>
      <c r="J208" s="24"/>
      <c r="K208" s="25">
        <f>-ROUNDDOWN(SUMIFS('COM RESID'!$O:$O,'COM RESID'!$H:$H,$E208,'COM RESID'!$I:$I,$F208)/SUMIFS('COM RESID'!$O:$O,'COM RESID'!$I:$I,$F208),3)*O208</f>
        <v>0</v>
      </c>
      <c r="L208" s="24"/>
      <c r="M208" s="24"/>
      <c r="N208" s="26"/>
      <c r="O208" s="27">
        <v>0</v>
      </c>
      <c r="Q208" s="21" t="str">
        <f t="shared" si="60"/>
        <v/>
      </c>
      <c r="R208" s="22"/>
      <c r="S208" s="23" t="str">
        <f t="shared" si="62"/>
        <v>COMNGA</v>
      </c>
      <c r="T208" s="23" t="str">
        <f t="shared" si="63"/>
        <v>COMOFFOldWHEUE</v>
      </c>
      <c r="U208" s="23" t="str">
        <f t="shared" si="64"/>
        <v>COMOFFOldWHEUE</v>
      </c>
      <c r="V208" s="24">
        <v>2050</v>
      </c>
      <c r="W208" s="24" t="str">
        <f>W207</f>
        <v>UP</v>
      </c>
      <c r="X208" s="24"/>
      <c r="Y208" s="25">
        <f>-ROUNDUP(MIN(SUMIFS('COM RESID'!$O:$O,'COM RESID'!$H:$H,$E208,'COM RESID'!$I:$I,$F208)/SUMIFS('COM RESID'!$O:$O,'COM RESID'!$I:$I,$F208)*AC208,1),3)</f>
        <v>-0.49099999999999999</v>
      </c>
      <c r="Z208" s="24"/>
      <c r="AA208" s="24"/>
      <c r="AB208" s="26"/>
      <c r="AC208" s="27">
        <f>IF(S208="COMELC",IF(SUMIFS('COM RESID'!$O:$O,'COM RESID'!$H:$H,$E208,'COM RESID'!$I:$I,$F208)/SUMIFS('COM RESID'!$O:$O,'COM RESID'!$I:$I,$F208)*3&lt;1,1/(SUMIFS('COM RESID'!$O:$O,'COM RESID'!$H:$H,$E208,'COM RESID'!$I:$I,$F208)/SUMIFS('COM RESID'!$O:$O,'COM RESID'!$I:$I,$F208)),3),IF(ISNUMBER(SEARCH("WHEUE",T206)),IF(OR(S206="COMNGA",S206="COMFOI"),0.75,3),3))</f>
        <v>0.75</v>
      </c>
    </row>
    <row r="209" spans="1:29" x14ac:dyDescent="0.25">
      <c r="A209" s="19">
        <f>A205+1</f>
        <v>52</v>
      </c>
      <c r="B209" s="10"/>
      <c r="C209" s="11" t="str">
        <f>IF(E209="","",IF(_xlfn.XLOOKUP($A209,Selected_constraint_UC!$A:$A,Selected_constraint_UC!$D:$D)=1,"*",IF(SUMIFS('COM TECH'!$N:$N,'COM TECH'!$K:$K,E209,'COM TECH'!$L:$L,F209)=0,"*",IF(SUMIFS('COM RESID'!$O:$O,'COM RESID'!$H:$H,$E209,'COM RESID'!$I:$I,$F209)=0,"*","UC_MarketShare_"&amp;LEFT(F209,LEN(F209)-3)&amp;"_"&amp;RIGHT(E209,3)&amp;"_MIN"))))</f>
        <v>*</v>
      </c>
      <c r="D209" s="12"/>
      <c r="E209" s="13" t="str">
        <f>_xlfn.XLOOKUP($A209,Selected_constraint_UC!$A:$A,Selected_constraint_UC!$B:$B)</f>
        <v>COMSTM</v>
      </c>
      <c r="F209" s="13" t="str">
        <f>_xlfn.XLOOKUP($A209,Selected_constraint_UC!$A:$A,Selected_constraint_UC!$C:$C)</f>
        <v>COMOFFOldWHEUE</v>
      </c>
      <c r="G209" s="13" t="str">
        <f>F209</f>
        <v>COMOFFOldWHEUE</v>
      </c>
      <c r="H209" s="14">
        <v>2019</v>
      </c>
      <c r="I209" s="14" t="s">
        <v>3848</v>
      </c>
      <c r="J209" s="14">
        <v>1</v>
      </c>
      <c r="K209" s="15">
        <f>-ROUNDDOWN(SUMIFS('COM RESID'!$O:$O,'COM RESID'!$H:$H,$E209,'COM RESID'!$I:$I,$F209)/SUMIFS('COM RESID'!$O:$O,'COM RESID'!$I:$I,$F209),3)*O209</f>
        <v>-3.2340000000000001E-2</v>
      </c>
      <c r="L209" s="14">
        <v>0</v>
      </c>
      <c r="M209" s="14">
        <v>5</v>
      </c>
      <c r="N209" s="10"/>
      <c r="O209" s="20">
        <v>0.98</v>
      </c>
      <c r="Q209" s="11" t="str">
        <f t="shared" si="60"/>
        <v>*</v>
      </c>
      <c r="R209" s="12"/>
      <c r="S209" s="13" t="str">
        <f t="shared" si="62"/>
        <v>COMSTM</v>
      </c>
      <c r="T209" s="13" t="str">
        <f t="shared" si="63"/>
        <v>COMOFFOldWHEUE</v>
      </c>
      <c r="U209" s="13" t="str">
        <f t="shared" si="64"/>
        <v>COMOFFOldWHEUE</v>
      </c>
      <c r="V209" s="14">
        <v>2019</v>
      </c>
      <c r="W209" s="14" t="s">
        <v>3849</v>
      </c>
      <c r="X209" s="14">
        <v>1</v>
      </c>
      <c r="Y209" s="15">
        <f>-ROUNDUP(MIN(SUMIFS('COM RESID'!$O:$O,'COM RESID'!$H:$H,$E209,'COM RESID'!$I:$I,$F209)/SUMIFS('COM RESID'!$O:$O,'COM RESID'!$I:$I,$F209)*AC209,1),3)</f>
        <v>-3.5000000000000003E-2</v>
      </c>
      <c r="Z209" s="14">
        <v>0</v>
      </c>
      <c r="AA209" s="14">
        <v>5</v>
      </c>
      <c r="AB209" s="10"/>
      <c r="AC209" s="20">
        <v>1.02</v>
      </c>
    </row>
    <row r="210" spans="1:29" x14ac:dyDescent="0.25">
      <c r="A210" s="10">
        <f>A209</f>
        <v>52</v>
      </c>
      <c r="B210" s="10"/>
      <c r="C210" s="11" t="str">
        <f>IF(C209="*",C209,"")</f>
        <v>*</v>
      </c>
      <c r="D210" s="12"/>
      <c r="E210" s="13" t="str">
        <f t="shared" ref="E210:G212" si="67">E209</f>
        <v>COMSTM</v>
      </c>
      <c r="F210" s="13" t="str">
        <f t="shared" si="67"/>
        <v>COMOFFOldWHEUE</v>
      </c>
      <c r="G210" s="13" t="str">
        <f t="shared" si="67"/>
        <v>COMOFFOldWHEUE</v>
      </c>
      <c r="H210" s="14">
        <v>2025</v>
      </c>
      <c r="I210" s="14" t="str">
        <f>I209</f>
        <v>LO</v>
      </c>
      <c r="J210" s="14"/>
      <c r="K210" s="15">
        <f>-ROUNDDOWN(SUMIFS('COM RESID'!$O:$O,'COM RESID'!$H:$H,$E210,'COM RESID'!$I:$I,$F210)/SUMIFS('COM RESID'!$O:$O,'COM RESID'!$I:$I,$F210),3)*O210</f>
        <v>-2.6400000000000003E-2</v>
      </c>
      <c r="L210" s="14"/>
      <c r="M210" s="14"/>
      <c r="N210" s="10"/>
      <c r="O210" s="20">
        <v>0.8</v>
      </c>
      <c r="Q210" s="11" t="str">
        <f t="shared" si="60"/>
        <v>*</v>
      </c>
      <c r="R210" s="12"/>
      <c r="S210" s="13" t="str">
        <f t="shared" si="62"/>
        <v>COMSTM</v>
      </c>
      <c r="T210" s="13" t="str">
        <f t="shared" si="63"/>
        <v>COMOFFOldWHEUE</v>
      </c>
      <c r="U210" s="13" t="str">
        <f t="shared" si="64"/>
        <v>COMOFFOldWHEUE</v>
      </c>
      <c r="V210" s="14">
        <v>2025</v>
      </c>
      <c r="W210" s="14" t="str">
        <f>W209</f>
        <v>UP</v>
      </c>
      <c r="X210" s="14"/>
      <c r="Y210" s="15">
        <f>-ROUNDUP(MIN(SUMIFS('COM RESID'!$O:$O,'COM RESID'!$H:$H,$E210,'COM RESID'!$I:$I,$F210)/SUMIFS('COM RESID'!$O:$O,'COM RESID'!$I:$I,$F210)*AC210,1),3)</f>
        <v>-4.1000000000000002E-2</v>
      </c>
      <c r="Z210" s="14"/>
      <c r="AA210" s="14"/>
      <c r="AB210" s="10"/>
      <c r="AC210" s="20">
        <f>IF(S210="COMELC",IF(SUMIFS('COM RESID'!$O:$O,'COM RESID'!$H:$H,$E210,'COM RESID'!$I:$I,$F210)/SUMIFS('COM RESID'!$O:$O,'COM RESID'!$I:$I,$F210)*1.2&lt;0.25,0.25/(SUMIFS('COM RESID'!$O:$O,'COM RESID'!$H:$H,$E210,'COM RESID'!$I:$I,$F210)/SUMIFS('COM RESID'!$O:$O,'COM RESID'!$I:$I,$F210)),1.2),IF(ISNUMBER(SEARCH("WHEUE",T210)),IF(OR(S210="COMNGA",S210="COMFOI"),1,1.2),1.2))</f>
        <v>1.2</v>
      </c>
    </row>
    <row r="211" spans="1:29" x14ac:dyDescent="0.25">
      <c r="A211" s="10">
        <f>A210</f>
        <v>52</v>
      </c>
      <c r="B211" s="10"/>
      <c r="C211" s="11" t="str">
        <f>IF(C210="*",C210,"")</f>
        <v>*</v>
      </c>
      <c r="D211" s="12"/>
      <c r="E211" s="13" t="str">
        <f t="shared" si="67"/>
        <v>COMSTM</v>
      </c>
      <c r="F211" s="13" t="str">
        <f t="shared" si="67"/>
        <v>COMOFFOldWHEUE</v>
      </c>
      <c r="G211" s="13" t="str">
        <f t="shared" si="67"/>
        <v>COMOFFOldWHEUE</v>
      </c>
      <c r="H211" s="14">
        <v>2030</v>
      </c>
      <c r="I211" s="14" t="str">
        <f>I210</f>
        <v>LO</v>
      </c>
      <c r="J211" s="14"/>
      <c r="K211" s="15">
        <f>-ROUNDDOWN(SUMIFS('COM RESID'!$O:$O,'COM RESID'!$H:$H,$E211,'COM RESID'!$I:$I,$F211)/SUMIFS('COM RESID'!$O:$O,'COM RESID'!$I:$I,$F211),3)*O211</f>
        <v>-6.6000000000000008E-3</v>
      </c>
      <c r="L211" s="14"/>
      <c r="M211" s="14"/>
      <c r="N211" s="10"/>
      <c r="O211" s="20">
        <v>0.2</v>
      </c>
      <c r="Q211" s="11" t="str">
        <f t="shared" si="60"/>
        <v>*</v>
      </c>
      <c r="R211" s="12"/>
      <c r="S211" s="13" t="str">
        <f t="shared" si="62"/>
        <v>COMSTM</v>
      </c>
      <c r="T211" s="13" t="str">
        <f t="shared" si="63"/>
        <v>COMOFFOldWHEUE</v>
      </c>
      <c r="U211" s="13" t="str">
        <f t="shared" si="64"/>
        <v>COMOFFOldWHEUE</v>
      </c>
      <c r="V211" s="14">
        <v>2030</v>
      </c>
      <c r="W211" s="14" t="str">
        <f>W210</f>
        <v>UP</v>
      </c>
      <c r="X211" s="14"/>
      <c r="Y211" s="15">
        <f>-ROUNDUP(MIN(SUMIFS('COM RESID'!$O:$O,'COM RESID'!$H:$H,$E211,'COM RESID'!$I:$I,$F211)/SUMIFS('COM RESID'!$O:$O,'COM RESID'!$I:$I,$F211)*AC211,1),3)</f>
        <v>-5.1000000000000004E-2</v>
      </c>
      <c r="Z211" s="14"/>
      <c r="AA211" s="14"/>
      <c r="AB211" s="10"/>
      <c r="AC211" s="20">
        <f>IF(S211="COMELC",IF(SUMIFS('COM RESID'!$O:$O,'COM RESID'!$H:$H,$E211,'COM RESID'!$I:$I,$F211)/SUMIFS('COM RESID'!$O:$O,'COM RESID'!$I:$I,$F211)*1.5&lt;0.5,0.5/(SUMIFS('COM RESID'!$O:$O,'COM RESID'!$H:$H,$E211,'COM RESID'!$I:$I,$F211)/SUMIFS('COM RESID'!$O:$O,'COM RESID'!$I:$I,$F211)),1.5),IF(ISNUMBER(SEARCH("WHEUE",T210)),IF(OR(S210="COMNGA",S210="COMFOI"),0.9,1.5),1.5))</f>
        <v>1.5</v>
      </c>
    </row>
    <row r="212" spans="1:29" x14ac:dyDescent="0.25">
      <c r="A212" s="26">
        <f>A211</f>
        <v>52</v>
      </c>
      <c r="B212" s="26"/>
      <c r="C212" s="21" t="str">
        <f>IF(C211="*",C211,"")</f>
        <v>*</v>
      </c>
      <c r="D212" s="22"/>
      <c r="E212" s="23" t="str">
        <f t="shared" si="67"/>
        <v>COMSTM</v>
      </c>
      <c r="F212" s="23" t="str">
        <f t="shared" si="67"/>
        <v>COMOFFOldWHEUE</v>
      </c>
      <c r="G212" s="23" t="str">
        <f t="shared" si="67"/>
        <v>COMOFFOldWHEUE</v>
      </c>
      <c r="H212" s="24">
        <v>2050</v>
      </c>
      <c r="I212" s="24" t="str">
        <f>I211</f>
        <v>LO</v>
      </c>
      <c r="J212" s="24"/>
      <c r="K212" s="25">
        <f>-ROUNDDOWN(SUMIFS('COM RESID'!$O:$O,'COM RESID'!$H:$H,$E212,'COM RESID'!$I:$I,$F212)/SUMIFS('COM RESID'!$O:$O,'COM RESID'!$I:$I,$F212),3)*O212</f>
        <v>0</v>
      </c>
      <c r="L212" s="24"/>
      <c r="M212" s="24"/>
      <c r="N212" s="26"/>
      <c r="O212" s="27">
        <v>0</v>
      </c>
      <c r="Q212" s="21" t="str">
        <f t="shared" si="60"/>
        <v>*</v>
      </c>
      <c r="R212" s="22"/>
      <c r="S212" s="23" t="str">
        <f t="shared" si="62"/>
        <v>COMSTM</v>
      </c>
      <c r="T212" s="23" t="str">
        <f t="shared" si="63"/>
        <v>COMOFFOldWHEUE</v>
      </c>
      <c r="U212" s="23" t="str">
        <f t="shared" si="64"/>
        <v>COMOFFOldWHEUE</v>
      </c>
      <c r="V212" s="24">
        <v>2050</v>
      </c>
      <c r="W212" s="24" t="str">
        <f>W211</f>
        <v>UP</v>
      </c>
      <c r="X212" s="24"/>
      <c r="Y212" s="25">
        <f>-ROUNDUP(MIN(SUMIFS('COM RESID'!$O:$O,'COM RESID'!$H:$H,$E212,'COM RESID'!$I:$I,$F212)/SUMIFS('COM RESID'!$O:$O,'COM RESID'!$I:$I,$F212)*AC212,1),3)</f>
        <v>-0.10200000000000001</v>
      </c>
      <c r="Z212" s="24"/>
      <c r="AA212" s="24"/>
      <c r="AB212" s="26"/>
      <c r="AC212" s="27">
        <f>IF(S212="COMELC",IF(SUMIFS('COM RESID'!$O:$O,'COM RESID'!$H:$H,$E212,'COM RESID'!$I:$I,$F212)/SUMIFS('COM RESID'!$O:$O,'COM RESID'!$I:$I,$F212)*3&lt;1,1/(SUMIFS('COM RESID'!$O:$O,'COM RESID'!$H:$H,$E212,'COM RESID'!$I:$I,$F212)/SUMIFS('COM RESID'!$O:$O,'COM RESID'!$I:$I,$F212)),3),IF(ISNUMBER(SEARCH("WHEUE",T210)),IF(OR(S210="COMNGA",S210="COMFOI"),0.75,3),3))</f>
        <v>3</v>
      </c>
    </row>
    <row r="213" spans="1:29" x14ac:dyDescent="0.25">
      <c r="A213" s="19">
        <f>A209+1</f>
        <v>53</v>
      </c>
      <c r="B213" s="10"/>
      <c r="C213" s="11" t="str">
        <f>IF(E213="","",IF(_xlfn.XLOOKUP($A213,Selected_constraint_UC!$A:$A,Selected_constraint_UC!$D:$D)=1,"*",IF(SUMIFS('COM TECH'!$N:$N,'COM TECH'!$K:$K,E213,'COM TECH'!$L:$L,F213)=0,"*",IF(SUMIFS('COM RESID'!$O:$O,'COM RESID'!$H:$H,$E213,'COM RESID'!$I:$I,$F213)=0,"*","UC_MarketShare_"&amp;LEFT(F213,LEN(F213)-3)&amp;"_"&amp;RIGHT(E213,3)&amp;"_MIN"))))</f>
        <v>UC_MarketShare_COMOFFOldWH_ELC_MIN</v>
      </c>
      <c r="D213" s="12"/>
      <c r="E213" s="13" t="str">
        <f>_xlfn.XLOOKUP($A213,Selected_constraint_UC!$A:$A,Selected_constraint_UC!$B:$B)</f>
        <v>COMELC</v>
      </c>
      <c r="F213" s="13" t="str">
        <f>_xlfn.XLOOKUP($A213,Selected_constraint_UC!$A:$A,Selected_constraint_UC!$C:$C)</f>
        <v>COMOFFOldWHEUE</v>
      </c>
      <c r="G213" s="13" t="str">
        <f>F213</f>
        <v>COMOFFOldWHEUE</v>
      </c>
      <c r="H213" s="14">
        <v>2019</v>
      </c>
      <c r="I213" s="14" t="s">
        <v>3848</v>
      </c>
      <c r="J213" s="14">
        <v>1</v>
      </c>
      <c r="K213" s="15">
        <f>-ROUNDDOWN(SUMIFS('COM RESID'!$O:$O,'COM RESID'!$H:$H,$E213,'COM RESID'!$I:$I,$F213)/SUMIFS('COM RESID'!$O:$O,'COM RESID'!$I:$I,$F213),3)*O213</f>
        <v>-0.23618</v>
      </c>
      <c r="L213" s="14">
        <v>0</v>
      </c>
      <c r="M213" s="14">
        <v>5</v>
      </c>
      <c r="N213" s="10"/>
      <c r="O213" s="20">
        <v>0.98</v>
      </c>
      <c r="Q213" s="11" t="str">
        <f t="shared" si="60"/>
        <v>UC_MarketShare_COMOFFOldWH_ELC_MAX</v>
      </c>
      <c r="R213" s="12"/>
      <c r="S213" s="13" t="str">
        <f t="shared" si="62"/>
        <v>COMELC</v>
      </c>
      <c r="T213" s="13" t="str">
        <f t="shared" si="63"/>
        <v>COMOFFOldWHEUE</v>
      </c>
      <c r="U213" s="13" t="str">
        <f t="shared" si="64"/>
        <v>COMOFFOldWHEUE</v>
      </c>
      <c r="V213" s="14">
        <v>2019</v>
      </c>
      <c r="W213" s="14" t="s">
        <v>3849</v>
      </c>
      <c r="X213" s="14">
        <v>1</v>
      </c>
      <c r="Y213" s="15">
        <f>-ROUNDUP(MIN(SUMIFS('COM RESID'!$O:$O,'COM RESID'!$H:$H,$E213,'COM RESID'!$I:$I,$F213)/SUMIFS('COM RESID'!$O:$O,'COM RESID'!$I:$I,$F213)*AC213,1),3)</f>
        <v>-0.247</v>
      </c>
      <c r="Z213" s="14">
        <v>0</v>
      </c>
      <c r="AA213" s="14">
        <v>5</v>
      </c>
      <c r="AB213" s="10"/>
      <c r="AC213" s="20">
        <v>1.02</v>
      </c>
    </row>
    <row r="214" spans="1:29" x14ac:dyDescent="0.25">
      <c r="A214" s="10">
        <f>A213</f>
        <v>53</v>
      </c>
      <c r="B214" s="10"/>
      <c r="C214" s="11" t="str">
        <f>IF(C213="*",C213,"")</f>
        <v/>
      </c>
      <c r="D214" s="12"/>
      <c r="E214" s="13" t="str">
        <f t="shared" ref="E214:G216" si="68">E213</f>
        <v>COMELC</v>
      </c>
      <c r="F214" s="13" t="str">
        <f t="shared" si="68"/>
        <v>COMOFFOldWHEUE</v>
      </c>
      <c r="G214" s="13" t="str">
        <f t="shared" si="68"/>
        <v>COMOFFOldWHEUE</v>
      </c>
      <c r="H214" s="14">
        <v>2025</v>
      </c>
      <c r="I214" s="14" t="str">
        <f>I213</f>
        <v>LO</v>
      </c>
      <c r="J214" s="14"/>
      <c r="K214" s="15">
        <f>-ROUNDDOWN(SUMIFS('COM RESID'!$O:$O,'COM RESID'!$H:$H,$E214,'COM RESID'!$I:$I,$F214)/SUMIFS('COM RESID'!$O:$O,'COM RESID'!$I:$I,$F214),3)*O214</f>
        <v>-0.1928</v>
      </c>
      <c r="L214" s="14"/>
      <c r="M214" s="14"/>
      <c r="N214" s="10"/>
      <c r="O214" s="20">
        <v>0.8</v>
      </c>
      <c r="Q214" s="11" t="str">
        <f t="shared" si="60"/>
        <v/>
      </c>
      <c r="R214" s="12"/>
      <c r="S214" s="13" t="str">
        <f t="shared" si="62"/>
        <v>COMELC</v>
      </c>
      <c r="T214" s="13" t="str">
        <f t="shared" si="63"/>
        <v>COMOFFOldWHEUE</v>
      </c>
      <c r="U214" s="13" t="str">
        <f t="shared" si="64"/>
        <v>COMOFFOldWHEUE</v>
      </c>
      <c r="V214" s="14">
        <v>2025</v>
      </c>
      <c r="W214" s="14" t="str">
        <f>W213</f>
        <v>UP</v>
      </c>
      <c r="X214" s="14"/>
      <c r="Y214" s="15">
        <f>-ROUNDUP(MIN(SUMIFS('COM RESID'!$O:$O,'COM RESID'!$H:$H,$E214,'COM RESID'!$I:$I,$F214)/SUMIFS('COM RESID'!$O:$O,'COM RESID'!$I:$I,$F214)*AC214,1),3)</f>
        <v>-0.29099999999999998</v>
      </c>
      <c r="Z214" s="14"/>
      <c r="AA214" s="14"/>
      <c r="AB214" s="10"/>
      <c r="AC214" s="20">
        <f>IF(S214="COMELC",IF(SUMIFS('COM RESID'!$O:$O,'COM RESID'!$H:$H,$E214,'COM RESID'!$I:$I,$F214)/SUMIFS('COM RESID'!$O:$O,'COM RESID'!$I:$I,$F214)*1.2&lt;0.25,0.25/(SUMIFS('COM RESID'!$O:$O,'COM RESID'!$H:$H,$E214,'COM RESID'!$I:$I,$F214)/SUMIFS('COM RESID'!$O:$O,'COM RESID'!$I:$I,$F214)),1.2),IF(ISNUMBER(SEARCH("WHEUE",T214)),IF(OR(S214="COMNGA",S214="COMFOI"),1,1.2),1.2))</f>
        <v>1.2</v>
      </c>
    </row>
    <row r="215" spans="1:29" x14ac:dyDescent="0.25">
      <c r="A215" s="10">
        <f>A214</f>
        <v>53</v>
      </c>
      <c r="B215" s="10"/>
      <c r="C215" s="11" t="str">
        <f>IF(C214="*",C214,"")</f>
        <v/>
      </c>
      <c r="D215" s="12"/>
      <c r="E215" s="13" t="str">
        <f t="shared" si="68"/>
        <v>COMELC</v>
      </c>
      <c r="F215" s="13" t="str">
        <f t="shared" si="68"/>
        <v>COMOFFOldWHEUE</v>
      </c>
      <c r="G215" s="13" t="str">
        <f t="shared" si="68"/>
        <v>COMOFFOldWHEUE</v>
      </c>
      <c r="H215" s="14">
        <v>2030</v>
      </c>
      <c r="I215" s="14" t="str">
        <f>I214</f>
        <v>LO</v>
      </c>
      <c r="J215" s="14"/>
      <c r="K215" s="15">
        <f>-ROUNDDOWN(SUMIFS('COM RESID'!$O:$O,'COM RESID'!$H:$H,$E215,'COM RESID'!$I:$I,$F215)/SUMIFS('COM RESID'!$O:$O,'COM RESID'!$I:$I,$F215),3)*O215</f>
        <v>-0.18074999999999999</v>
      </c>
      <c r="L215" s="14"/>
      <c r="M215" s="14"/>
      <c r="N215" s="10"/>
      <c r="O215" s="20">
        <v>0.75</v>
      </c>
      <c r="Q215" s="11" t="str">
        <f t="shared" si="60"/>
        <v/>
      </c>
      <c r="R215" s="12"/>
      <c r="S215" s="13" t="str">
        <f t="shared" si="62"/>
        <v>COMELC</v>
      </c>
      <c r="T215" s="13" t="str">
        <f t="shared" si="63"/>
        <v>COMOFFOldWHEUE</v>
      </c>
      <c r="U215" s="13" t="str">
        <f t="shared" si="64"/>
        <v>COMOFFOldWHEUE</v>
      </c>
      <c r="V215" s="14">
        <v>2030</v>
      </c>
      <c r="W215" s="14" t="str">
        <f>W214</f>
        <v>UP</v>
      </c>
      <c r="X215" s="14"/>
      <c r="Y215" s="15">
        <f>-ROUNDUP(MIN(SUMIFS('COM RESID'!$O:$O,'COM RESID'!$H:$H,$E215,'COM RESID'!$I:$I,$F215)/SUMIFS('COM RESID'!$O:$O,'COM RESID'!$I:$I,$F215)*AC215,1),3)</f>
        <v>-0.5</v>
      </c>
      <c r="Z215" s="14"/>
      <c r="AA215" s="14"/>
      <c r="AB215" s="10"/>
      <c r="AC215" s="20">
        <f>IF(S215="COMELC",IF(SUMIFS('COM RESID'!$O:$O,'COM RESID'!$H:$H,$E215,'COM RESID'!$I:$I,$F215)/SUMIFS('COM RESID'!$O:$O,'COM RESID'!$I:$I,$F215)*1.5&lt;0.5,0.5/(SUMIFS('COM RESID'!$O:$O,'COM RESID'!$H:$H,$E215,'COM RESID'!$I:$I,$F215)/SUMIFS('COM RESID'!$O:$O,'COM RESID'!$I:$I,$F215)),1.5),IF(ISNUMBER(SEARCH("WHEUE",T214)),IF(OR(S214="COMNGA",S214="COMFOI"),0.9,1.5),1.5))</f>
        <v>2.0665267703074748</v>
      </c>
    </row>
    <row r="216" spans="1:29" x14ac:dyDescent="0.25">
      <c r="A216" s="26">
        <f>A215</f>
        <v>53</v>
      </c>
      <c r="B216" s="26"/>
      <c r="C216" s="21" t="str">
        <f>IF(C215="*",C215,"")</f>
        <v/>
      </c>
      <c r="D216" s="22"/>
      <c r="E216" s="23" t="str">
        <f t="shared" si="68"/>
        <v>COMELC</v>
      </c>
      <c r="F216" s="23" t="str">
        <f t="shared" si="68"/>
        <v>COMOFFOldWHEUE</v>
      </c>
      <c r="G216" s="23" t="str">
        <f t="shared" si="68"/>
        <v>COMOFFOldWHEUE</v>
      </c>
      <c r="H216" s="24">
        <v>2050</v>
      </c>
      <c r="I216" s="24" t="str">
        <f>I215</f>
        <v>LO</v>
      </c>
      <c r="J216" s="24"/>
      <c r="K216" s="25">
        <f>-ROUNDDOWN(SUMIFS('COM RESID'!$O:$O,'COM RESID'!$H:$H,$E216,'COM RESID'!$I:$I,$F216)/SUMIFS('COM RESID'!$O:$O,'COM RESID'!$I:$I,$F216),3)*O216</f>
        <v>-0.18074999999999999</v>
      </c>
      <c r="L216" s="24"/>
      <c r="M216" s="24"/>
      <c r="N216" s="26"/>
      <c r="O216" s="27">
        <v>0.75</v>
      </c>
      <c r="Q216" s="21" t="str">
        <f t="shared" si="60"/>
        <v/>
      </c>
      <c r="R216" s="22"/>
      <c r="S216" s="23" t="str">
        <f t="shared" si="62"/>
        <v>COMELC</v>
      </c>
      <c r="T216" s="23" t="str">
        <f t="shared" si="63"/>
        <v>COMOFFOldWHEUE</v>
      </c>
      <c r="U216" s="23" t="str">
        <f t="shared" si="64"/>
        <v>COMOFFOldWHEUE</v>
      </c>
      <c r="V216" s="24">
        <v>2050</v>
      </c>
      <c r="W216" s="24" t="str">
        <f>W215</f>
        <v>UP</v>
      </c>
      <c r="X216" s="24"/>
      <c r="Y216" s="25">
        <f>-ROUNDUP(MIN(SUMIFS('COM RESID'!$O:$O,'COM RESID'!$H:$H,$E216,'COM RESID'!$I:$I,$F216)/SUMIFS('COM RESID'!$O:$O,'COM RESID'!$I:$I,$F216)*AC216,1),3)</f>
        <v>-1</v>
      </c>
      <c r="Z216" s="24"/>
      <c r="AA216" s="24"/>
      <c r="AB216" s="26"/>
      <c r="AC216" s="27">
        <f>IF(S216="COMELC",IF(SUMIFS('COM RESID'!$O:$O,'COM RESID'!$H:$H,$E216,'COM RESID'!$I:$I,$F216)/SUMIFS('COM RESID'!$O:$O,'COM RESID'!$I:$I,$F216)*3&lt;1,1/(SUMIFS('COM RESID'!$O:$O,'COM RESID'!$H:$H,$E216,'COM RESID'!$I:$I,$F216)/SUMIFS('COM RESID'!$O:$O,'COM RESID'!$I:$I,$F216)),3),IF(ISNUMBER(SEARCH("WHEUE",T214)),IF(OR(S214="COMNGA",S214="COMFOI"),0.75,3),3))</f>
        <v>4.1330535406149496</v>
      </c>
    </row>
    <row r="217" spans="1:29" x14ac:dyDescent="0.25">
      <c r="A217" s="19">
        <f>A213+1</f>
        <v>54</v>
      </c>
      <c r="B217" s="10"/>
      <c r="C217" s="11" t="str">
        <f>IF(E217="","",IF(_xlfn.XLOOKUP($A217,Selected_constraint_UC!$A:$A,Selected_constraint_UC!$D:$D)=1,"*",IF(SUMIFS('COM TECH'!$N:$N,'COM TECH'!$K:$K,E217,'COM TECH'!$L:$L,F217)=0,"*",IF(SUMIFS('COM RESID'!$O:$O,'COM RESID'!$H:$H,$E217,'COM RESID'!$I:$I,$F217)=0,"*","UC_MarketShare_"&amp;LEFT(F217,LEN(F217)-3)&amp;"_"&amp;RIGHT(E217,3)&amp;"_MIN"))))</f>
        <v>*</v>
      </c>
      <c r="D217" s="12"/>
      <c r="E217" s="13" t="str">
        <f>_xlfn.XLOOKUP($A217,Selected_constraint_UC!$A:$A,Selected_constraint_UC!$B:$B)</f>
        <v>COMELC</v>
      </c>
      <c r="F217" s="13" t="str">
        <f>_xlfn.XLOOKUP($A217,Selected_constraint_UC!$A:$A,Selected_constraint_UC!$C:$C)</f>
        <v>COMOFFOldLTEUE</v>
      </c>
      <c r="G217" s="13" t="str">
        <f>F217</f>
        <v>COMOFFOldLTEUE</v>
      </c>
      <c r="H217" s="14">
        <v>2019</v>
      </c>
      <c r="I217" s="14" t="s">
        <v>3848</v>
      </c>
      <c r="J217" s="14">
        <v>1</v>
      </c>
      <c r="K217" s="15">
        <f>-ROUNDDOWN(SUMIFS('COM RESID'!$O:$O,'COM RESID'!$H:$H,$E217,'COM RESID'!$I:$I,$F217)/SUMIFS('COM RESID'!$O:$O,'COM RESID'!$I:$I,$F217),3)*O217</f>
        <v>-0.98</v>
      </c>
      <c r="L217" s="14">
        <v>0</v>
      </c>
      <c r="M217" s="14">
        <v>5</v>
      </c>
      <c r="N217" s="10"/>
      <c r="O217" s="20">
        <v>0.98</v>
      </c>
      <c r="Q217" s="11" t="str">
        <f t="shared" si="60"/>
        <v>*</v>
      </c>
      <c r="R217" s="12"/>
      <c r="S217" s="13" t="str">
        <f t="shared" si="62"/>
        <v>COMELC</v>
      </c>
      <c r="T217" s="13" t="str">
        <f t="shared" si="63"/>
        <v>COMOFFOldLTEUE</v>
      </c>
      <c r="U217" s="13" t="str">
        <f t="shared" si="64"/>
        <v>COMOFFOldLTEUE</v>
      </c>
      <c r="V217" s="14">
        <v>2019</v>
      </c>
      <c r="W217" s="14" t="s">
        <v>3849</v>
      </c>
      <c r="X217" s="14">
        <v>1</v>
      </c>
      <c r="Y217" s="15">
        <f>-ROUNDUP(MIN(SUMIFS('COM RESID'!$O:$O,'COM RESID'!$H:$H,$E217,'COM RESID'!$I:$I,$F217)/SUMIFS('COM RESID'!$O:$O,'COM RESID'!$I:$I,$F217)*AC217,1),3)</f>
        <v>-1</v>
      </c>
      <c r="Z217" s="14">
        <v>0</v>
      </c>
      <c r="AA217" s="14">
        <v>5</v>
      </c>
      <c r="AB217" s="10"/>
      <c r="AC217" s="20">
        <v>1.02</v>
      </c>
    </row>
    <row r="218" spans="1:29" x14ac:dyDescent="0.25">
      <c r="A218" s="10">
        <f>A217</f>
        <v>54</v>
      </c>
      <c r="B218" s="10"/>
      <c r="C218" s="11" t="str">
        <f>IF(C217="*",C217,"")</f>
        <v>*</v>
      </c>
      <c r="D218" s="12"/>
      <c r="E218" s="13" t="str">
        <f t="shared" ref="E218:G220" si="69">E217</f>
        <v>COMELC</v>
      </c>
      <c r="F218" s="13" t="str">
        <f t="shared" si="69"/>
        <v>COMOFFOldLTEUE</v>
      </c>
      <c r="G218" s="13" t="str">
        <f t="shared" si="69"/>
        <v>COMOFFOldLTEUE</v>
      </c>
      <c r="H218" s="14">
        <v>2025</v>
      </c>
      <c r="I218" s="14" t="str">
        <f>I217</f>
        <v>LO</v>
      </c>
      <c r="J218" s="14"/>
      <c r="K218" s="15">
        <f>-ROUNDDOWN(SUMIFS('COM RESID'!$O:$O,'COM RESID'!$H:$H,$E218,'COM RESID'!$I:$I,$F218)/SUMIFS('COM RESID'!$O:$O,'COM RESID'!$I:$I,$F218),3)*O218</f>
        <v>-0.8</v>
      </c>
      <c r="L218" s="14"/>
      <c r="M218" s="14"/>
      <c r="N218" s="10"/>
      <c r="O218" s="20">
        <v>0.8</v>
      </c>
      <c r="Q218" s="11" t="str">
        <f t="shared" si="60"/>
        <v>*</v>
      </c>
      <c r="R218" s="12"/>
      <c r="S218" s="13" t="str">
        <f t="shared" si="62"/>
        <v>COMELC</v>
      </c>
      <c r="T218" s="13" t="str">
        <f t="shared" si="63"/>
        <v>COMOFFOldLTEUE</v>
      </c>
      <c r="U218" s="13" t="str">
        <f t="shared" si="64"/>
        <v>COMOFFOldLTEUE</v>
      </c>
      <c r="V218" s="14">
        <v>2025</v>
      </c>
      <c r="W218" s="14" t="str">
        <f>W217</f>
        <v>UP</v>
      </c>
      <c r="X218" s="14"/>
      <c r="Y218" s="15">
        <f>-ROUNDUP(MIN(SUMIFS('COM RESID'!$O:$O,'COM RESID'!$H:$H,$E218,'COM RESID'!$I:$I,$F218)/SUMIFS('COM RESID'!$O:$O,'COM RESID'!$I:$I,$F218)*AC218,1),3)</f>
        <v>-1</v>
      </c>
      <c r="Z218" s="14"/>
      <c r="AA218" s="14"/>
      <c r="AB218" s="10"/>
      <c r="AC218" s="20">
        <f>IF(S218="COMELC",IF(SUMIFS('COM RESID'!$O:$O,'COM RESID'!$H:$H,$E218,'COM RESID'!$I:$I,$F218)/SUMIFS('COM RESID'!$O:$O,'COM RESID'!$I:$I,$F218)*1.2&lt;0.25,0.25/(SUMIFS('COM RESID'!$O:$O,'COM RESID'!$H:$H,$E218,'COM RESID'!$I:$I,$F218)/SUMIFS('COM RESID'!$O:$O,'COM RESID'!$I:$I,$F218)),1.2),IF(ISNUMBER(SEARCH("WHEUE",T218)),IF(OR(S218="COMNGA",S218="COMFOI"),1,1.2),1.2))</f>
        <v>1.2</v>
      </c>
    </row>
    <row r="219" spans="1:29" x14ac:dyDescent="0.25">
      <c r="A219" s="10">
        <f>A218</f>
        <v>54</v>
      </c>
      <c r="B219" s="10"/>
      <c r="C219" s="11" t="str">
        <f>IF(C218="*",C218,"")</f>
        <v>*</v>
      </c>
      <c r="D219" s="12"/>
      <c r="E219" s="13" t="str">
        <f t="shared" si="69"/>
        <v>COMELC</v>
      </c>
      <c r="F219" s="13" t="str">
        <f t="shared" si="69"/>
        <v>COMOFFOldLTEUE</v>
      </c>
      <c r="G219" s="13" t="str">
        <f t="shared" si="69"/>
        <v>COMOFFOldLTEUE</v>
      </c>
      <c r="H219" s="14">
        <v>2030</v>
      </c>
      <c r="I219" s="14" t="str">
        <f>I218</f>
        <v>LO</v>
      </c>
      <c r="J219" s="14"/>
      <c r="K219" s="15">
        <f>-ROUNDDOWN(SUMIFS('COM RESID'!$O:$O,'COM RESID'!$H:$H,$E219,'COM RESID'!$I:$I,$F219)/SUMIFS('COM RESID'!$O:$O,'COM RESID'!$I:$I,$F219),3)*O219</f>
        <v>-0.2</v>
      </c>
      <c r="L219" s="14"/>
      <c r="M219" s="14"/>
      <c r="N219" s="10"/>
      <c r="O219" s="20">
        <v>0.2</v>
      </c>
      <c r="Q219" s="11" t="str">
        <f t="shared" si="60"/>
        <v>*</v>
      </c>
      <c r="R219" s="12"/>
      <c r="S219" s="13" t="str">
        <f t="shared" si="62"/>
        <v>COMELC</v>
      </c>
      <c r="T219" s="13" t="str">
        <f t="shared" si="63"/>
        <v>COMOFFOldLTEUE</v>
      </c>
      <c r="U219" s="13" t="str">
        <f t="shared" si="64"/>
        <v>COMOFFOldLTEUE</v>
      </c>
      <c r="V219" s="14">
        <v>2030</v>
      </c>
      <c r="W219" s="14" t="str">
        <f>W218</f>
        <v>UP</v>
      </c>
      <c r="X219" s="14"/>
      <c r="Y219" s="15">
        <f>-ROUNDUP(MIN(SUMIFS('COM RESID'!$O:$O,'COM RESID'!$H:$H,$E219,'COM RESID'!$I:$I,$F219)/SUMIFS('COM RESID'!$O:$O,'COM RESID'!$I:$I,$F219)*AC219,1),3)</f>
        <v>-1</v>
      </c>
      <c r="Z219" s="14"/>
      <c r="AA219" s="14"/>
      <c r="AB219" s="10"/>
      <c r="AC219" s="20">
        <f>IF(S219="COMELC",IF(SUMIFS('COM RESID'!$O:$O,'COM RESID'!$H:$H,$E219,'COM RESID'!$I:$I,$F219)/SUMIFS('COM RESID'!$O:$O,'COM RESID'!$I:$I,$F219)*1.5&lt;0.5,0.5/(SUMIFS('COM RESID'!$O:$O,'COM RESID'!$H:$H,$E219,'COM RESID'!$I:$I,$F219)/SUMIFS('COM RESID'!$O:$O,'COM RESID'!$I:$I,$F219)),1.5),IF(ISNUMBER(SEARCH("WHEUE",T218)),IF(OR(S218="COMNGA",S218="COMFOI"),0.9,1.5),1.5))</f>
        <v>1.5</v>
      </c>
    </row>
    <row r="220" spans="1:29" x14ac:dyDescent="0.25">
      <c r="A220" s="26">
        <f>A219</f>
        <v>54</v>
      </c>
      <c r="B220" s="26"/>
      <c r="C220" s="21" t="str">
        <f>IF(C219="*",C219,"")</f>
        <v>*</v>
      </c>
      <c r="D220" s="22"/>
      <c r="E220" s="23" t="str">
        <f t="shared" si="69"/>
        <v>COMELC</v>
      </c>
      <c r="F220" s="23" t="str">
        <f t="shared" si="69"/>
        <v>COMOFFOldLTEUE</v>
      </c>
      <c r="G220" s="23" t="str">
        <f t="shared" si="69"/>
        <v>COMOFFOldLTEUE</v>
      </c>
      <c r="H220" s="24">
        <v>2050</v>
      </c>
      <c r="I220" s="24" t="str">
        <f>I219</f>
        <v>LO</v>
      </c>
      <c r="J220" s="24"/>
      <c r="K220" s="25">
        <f>-ROUNDDOWN(SUMIFS('COM RESID'!$O:$O,'COM RESID'!$H:$H,$E220,'COM RESID'!$I:$I,$F220)/SUMIFS('COM RESID'!$O:$O,'COM RESID'!$I:$I,$F220),3)*O220</f>
        <v>0</v>
      </c>
      <c r="L220" s="24"/>
      <c r="M220" s="24"/>
      <c r="N220" s="26"/>
      <c r="O220" s="27">
        <v>0</v>
      </c>
      <c r="Q220" s="21" t="str">
        <f t="shared" si="60"/>
        <v>*</v>
      </c>
      <c r="R220" s="22"/>
      <c r="S220" s="23" t="str">
        <f t="shared" si="62"/>
        <v>COMELC</v>
      </c>
      <c r="T220" s="23" t="str">
        <f t="shared" si="63"/>
        <v>COMOFFOldLTEUE</v>
      </c>
      <c r="U220" s="23" t="str">
        <f t="shared" si="64"/>
        <v>COMOFFOldLTEUE</v>
      </c>
      <c r="V220" s="24">
        <v>2050</v>
      </c>
      <c r="W220" s="24" t="str">
        <f>W219</f>
        <v>UP</v>
      </c>
      <c r="X220" s="24"/>
      <c r="Y220" s="25">
        <f>-ROUNDUP(MIN(SUMIFS('COM RESID'!$O:$O,'COM RESID'!$H:$H,$E220,'COM RESID'!$I:$I,$F220)/SUMIFS('COM RESID'!$O:$O,'COM RESID'!$I:$I,$F220)*AC220,1),3)</f>
        <v>-1</v>
      </c>
      <c r="Z220" s="24"/>
      <c r="AA220" s="24"/>
      <c r="AB220" s="26"/>
      <c r="AC220" s="27">
        <f>IF(S220="COMELC",IF(SUMIFS('COM RESID'!$O:$O,'COM RESID'!$H:$H,$E220,'COM RESID'!$I:$I,$F220)/SUMIFS('COM RESID'!$O:$O,'COM RESID'!$I:$I,$F220)*3&lt;1,1/(SUMIFS('COM RESID'!$O:$O,'COM RESID'!$H:$H,$E220,'COM RESID'!$I:$I,$F220)/SUMIFS('COM RESID'!$O:$O,'COM RESID'!$I:$I,$F220)),3),IF(ISNUMBER(SEARCH("WHEUE",T218)),IF(OR(S218="COMNGA",S218="COMFOI"),0.75,3),3))</f>
        <v>3</v>
      </c>
    </row>
    <row r="221" spans="1:29" x14ac:dyDescent="0.25">
      <c r="A221" s="19">
        <f>A217+1</f>
        <v>55</v>
      </c>
      <c r="B221" s="10"/>
      <c r="C221" s="11" t="str">
        <f>IF(E221="","",IF(_xlfn.XLOOKUP($A221,Selected_constraint_UC!$A:$A,Selected_constraint_UC!$D:$D)=1,"*",IF(SUMIFS('COM TECH'!$N:$N,'COM TECH'!$K:$K,E221,'COM TECH'!$L:$L,F221)=0,"*",IF(SUMIFS('COM RESID'!$O:$O,'COM RESID'!$H:$H,$E221,'COM RESID'!$I:$I,$F221)=0,"*","UC_MarketShare_"&amp;LEFT(F221,LEN(F221)-3)&amp;"_"&amp;RIGHT(E221,3)&amp;"_MIN"))))</f>
        <v>*</v>
      </c>
      <c r="D221" s="12"/>
      <c r="E221" s="13" t="str">
        <f>_xlfn.XLOOKUP($A221,Selected_constraint_UC!$A:$A,Selected_constraint_UC!$B:$B)</f>
        <v>COMFOI</v>
      </c>
      <c r="F221" s="13" t="str">
        <f>_xlfn.XLOOKUP($A221,Selected_constraint_UC!$A:$A,Selected_constraint_UC!$C:$C)</f>
        <v>COMOFFOldCKEUE</v>
      </c>
      <c r="G221" s="13" t="str">
        <f>F221</f>
        <v>COMOFFOldCKEUE</v>
      </c>
      <c r="H221" s="14">
        <v>2019</v>
      </c>
      <c r="I221" s="14" t="s">
        <v>3848</v>
      </c>
      <c r="J221" s="14">
        <v>1</v>
      </c>
      <c r="K221" s="15">
        <f>-ROUNDDOWN(SUMIFS('COM RESID'!$O:$O,'COM RESID'!$H:$H,$E221,'COM RESID'!$I:$I,$F221)/SUMIFS('COM RESID'!$O:$O,'COM RESID'!$I:$I,$F221),3)*O221</f>
        <v>0</v>
      </c>
      <c r="L221" s="14">
        <v>0</v>
      </c>
      <c r="M221" s="14">
        <v>5</v>
      </c>
      <c r="N221" s="10"/>
      <c r="O221" s="20">
        <v>0.98</v>
      </c>
      <c r="Q221" s="11" t="str">
        <f t="shared" si="60"/>
        <v>*</v>
      </c>
      <c r="R221" s="12"/>
      <c r="S221" s="13" t="str">
        <f t="shared" si="62"/>
        <v>COMFOI</v>
      </c>
      <c r="T221" s="13" t="str">
        <f t="shared" si="63"/>
        <v>COMOFFOldCKEUE</v>
      </c>
      <c r="U221" s="13" t="str">
        <f t="shared" si="64"/>
        <v>COMOFFOldCKEUE</v>
      </c>
      <c r="V221" s="14">
        <v>2019</v>
      </c>
      <c r="W221" s="14" t="s">
        <v>3849</v>
      </c>
      <c r="X221" s="14">
        <v>1</v>
      </c>
      <c r="Y221" s="15">
        <f>-ROUNDUP(MIN(SUMIFS('COM RESID'!$O:$O,'COM RESID'!$H:$H,$E221,'COM RESID'!$I:$I,$F221)/SUMIFS('COM RESID'!$O:$O,'COM RESID'!$I:$I,$F221)*AC221,1),3)</f>
        <v>0</v>
      </c>
      <c r="Z221" s="14">
        <v>0</v>
      </c>
      <c r="AA221" s="14">
        <v>5</v>
      </c>
      <c r="AB221" s="10"/>
      <c r="AC221" s="20">
        <v>1.02</v>
      </c>
    </row>
    <row r="222" spans="1:29" x14ac:dyDescent="0.25">
      <c r="A222" s="10">
        <f>A221</f>
        <v>55</v>
      </c>
      <c r="B222" s="10"/>
      <c r="C222" s="11" t="str">
        <f>IF(C221="*",C221,"")</f>
        <v>*</v>
      </c>
      <c r="D222" s="12"/>
      <c r="E222" s="13" t="str">
        <f t="shared" ref="E222:G224" si="70">E221</f>
        <v>COMFOI</v>
      </c>
      <c r="F222" s="13" t="str">
        <f t="shared" si="70"/>
        <v>COMOFFOldCKEUE</v>
      </c>
      <c r="G222" s="13" t="str">
        <f t="shared" si="70"/>
        <v>COMOFFOldCKEUE</v>
      </c>
      <c r="H222" s="14">
        <v>2025</v>
      </c>
      <c r="I222" s="14" t="str">
        <f>I221</f>
        <v>LO</v>
      </c>
      <c r="J222" s="14"/>
      <c r="K222" s="15">
        <f>-ROUNDDOWN(SUMIFS('COM RESID'!$O:$O,'COM RESID'!$H:$H,$E222,'COM RESID'!$I:$I,$F222)/SUMIFS('COM RESID'!$O:$O,'COM RESID'!$I:$I,$F222),3)*O222</f>
        <v>0</v>
      </c>
      <c r="L222" s="14"/>
      <c r="M222" s="14"/>
      <c r="N222" s="10"/>
      <c r="O222" s="20">
        <v>0.8</v>
      </c>
      <c r="Q222" s="11" t="str">
        <f t="shared" si="60"/>
        <v>*</v>
      </c>
      <c r="R222" s="12"/>
      <c r="S222" s="13" t="str">
        <f t="shared" si="62"/>
        <v>COMFOI</v>
      </c>
      <c r="T222" s="13" t="str">
        <f t="shared" si="63"/>
        <v>COMOFFOldCKEUE</v>
      </c>
      <c r="U222" s="13" t="str">
        <f t="shared" si="64"/>
        <v>COMOFFOldCKEUE</v>
      </c>
      <c r="V222" s="14">
        <v>2025</v>
      </c>
      <c r="W222" s="14" t="str">
        <f>W221</f>
        <v>UP</v>
      </c>
      <c r="X222" s="14"/>
      <c r="Y222" s="15">
        <f>-ROUNDUP(MIN(SUMIFS('COM RESID'!$O:$O,'COM RESID'!$H:$H,$E222,'COM RESID'!$I:$I,$F222)/SUMIFS('COM RESID'!$O:$O,'COM RESID'!$I:$I,$F222)*AC222,1),3)</f>
        <v>0</v>
      </c>
      <c r="Z222" s="14"/>
      <c r="AA222" s="14"/>
      <c r="AB222" s="10"/>
      <c r="AC222" s="20">
        <f>IF(S222="COMELC",IF(SUMIFS('COM RESID'!$O:$O,'COM RESID'!$H:$H,$E222,'COM RESID'!$I:$I,$F222)/SUMIFS('COM RESID'!$O:$O,'COM RESID'!$I:$I,$F222)*1.2&lt;0.25,0.25/(SUMIFS('COM RESID'!$O:$O,'COM RESID'!$H:$H,$E222,'COM RESID'!$I:$I,$F222)/SUMIFS('COM RESID'!$O:$O,'COM RESID'!$I:$I,$F222)),1.2),IF(ISNUMBER(SEARCH("WHEUE",T222)),IF(OR(S222="COMNGA",S222="COMFOI"),1,1.2),1.2))</f>
        <v>1.2</v>
      </c>
    </row>
    <row r="223" spans="1:29" x14ac:dyDescent="0.25">
      <c r="A223" s="10">
        <f>A222</f>
        <v>55</v>
      </c>
      <c r="B223" s="10"/>
      <c r="C223" s="11" t="str">
        <f>IF(C222="*",C222,"")</f>
        <v>*</v>
      </c>
      <c r="D223" s="12"/>
      <c r="E223" s="13" t="str">
        <f t="shared" si="70"/>
        <v>COMFOI</v>
      </c>
      <c r="F223" s="13" t="str">
        <f t="shared" si="70"/>
        <v>COMOFFOldCKEUE</v>
      </c>
      <c r="G223" s="13" t="str">
        <f t="shared" si="70"/>
        <v>COMOFFOldCKEUE</v>
      </c>
      <c r="H223" s="14">
        <v>2030</v>
      </c>
      <c r="I223" s="14" t="str">
        <f>I222</f>
        <v>LO</v>
      </c>
      <c r="J223" s="14"/>
      <c r="K223" s="15">
        <f>-ROUNDDOWN(SUMIFS('COM RESID'!$O:$O,'COM RESID'!$H:$H,$E223,'COM RESID'!$I:$I,$F223)/SUMIFS('COM RESID'!$O:$O,'COM RESID'!$I:$I,$F223),3)*O223</f>
        <v>0</v>
      </c>
      <c r="L223" s="14"/>
      <c r="M223" s="14"/>
      <c r="N223" s="10"/>
      <c r="O223" s="20">
        <v>0.2</v>
      </c>
      <c r="Q223" s="11" t="str">
        <f t="shared" si="60"/>
        <v>*</v>
      </c>
      <c r="R223" s="12"/>
      <c r="S223" s="13" t="str">
        <f t="shared" si="62"/>
        <v>COMFOI</v>
      </c>
      <c r="T223" s="13" t="str">
        <f t="shared" si="63"/>
        <v>COMOFFOldCKEUE</v>
      </c>
      <c r="U223" s="13" t="str">
        <f t="shared" si="64"/>
        <v>COMOFFOldCKEUE</v>
      </c>
      <c r="V223" s="14">
        <v>2030</v>
      </c>
      <c r="W223" s="14" t="str">
        <f>W222</f>
        <v>UP</v>
      </c>
      <c r="X223" s="14"/>
      <c r="Y223" s="15">
        <f>-ROUNDUP(MIN(SUMIFS('COM RESID'!$O:$O,'COM RESID'!$H:$H,$E223,'COM RESID'!$I:$I,$F223)/SUMIFS('COM RESID'!$O:$O,'COM RESID'!$I:$I,$F223)*AC223,1),3)</f>
        <v>0</v>
      </c>
      <c r="Z223" s="14"/>
      <c r="AA223" s="14"/>
      <c r="AB223" s="10"/>
      <c r="AC223" s="20">
        <f>IF(S223="COMELC",IF(SUMIFS('COM RESID'!$O:$O,'COM RESID'!$H:$H,$E223,'COM RESID'!$I:$I,$F223)/SUMIFS('COM RESID'!$O:$O,'COM RESID'!$I:$I,$F223)*1.5&lt;0.5,0.5/(SUMIFS('COM RESID'!$O:$O,'COM RESID'!$H:$H,$E223,'COM RESID'!$I:$I,$F223)/SUMIFS('COM RESID'!$O:$O,'COM RESID'!$I:$I,$F223)),1.5),IF(ISNUMBER(SEARCH("WHEUE",T222)),IF(OR(S222="COMNGA",S222="COMFOI"),0.9,1.5),1.5))</f>
        <v>1.5</v>
      </c>
    </row>
    <row r="224" spans="1:29" x14ac:dyDescent="0.25">
      <c r="A224" s="26">
        <f>A223</f>
        <v>55</v>
      </c>
      <c r="B224" s="26"/>
      <c r="C224" s="21" t="str">
        <f>IF(C223="*",C223,"")</f>
        <v>*</v>
      </c>
      <c r="D224" s="22"/>
      <c r="E224" s="23" t="str">
        <f t="shared" si="70"/>
        <v>COMFOI</v>
      </c>
      <c r="F224" s="23" t="str">
        <f t="shared" si="70"/>
        <v>COMOFFOldCKEUE</v>
      </c>
      <c r="G224" s="23" t="str">
        <f t="shared" si="70"/>
        <v>COMOFFOldCKEUE</v>
      </c>
      <c r="H224" s="24">
        <v>2050</v>
      </c>
      <c r="I224" s="24" t="str">
        <f>I223</f>
        <v>LO</v>
      </c>
      <c r="J224" s="24"/>
      <c r="K224" s="25">
        <f>-ROUNDDOWN(SUMIFS('COM RESID'!$O:$O,'COM RESID'!$H:$H,$E224,'COM RESID'!$I:$I,$F224)/SUMIFS('COM RESID'!$O:$O,'COM RESID'!$I:$I,$F224),3)*O224</f>
        <v>0</v>
      </c>
      <c r="L224" s="24"/>
      <c r="M224" s="24"/>
      <c r="N224" s="26"/>
      <c r="O224" s="27">
        <v>0</v>
      </c>
      <c r="Q224" s="21" t="str">
        <f t="shared" si="60"/>
        <v>*</v>
      </c>
      <c r="R224" s="22"/>
      <c r="S224" s="23" t="str">
        <f t="shared" si="62"/>
        <v>COMFOI</v>
      </c>
      <c r="T224" s="23" t="str">
        <f t="shared" si="63"/>
        <v>COMOFFOldCKEUE</v>
      </c>
      <c r="U224" s="23" t="str">
        <f t="shared" si="64"/>
        <v>COMOFFOldCKEUE</v>
      </c>
      <c r="V224" s="24">
        <v>2050</v>
      </c>
      <c r="W224" s="24" t="str">
        <f>W223</f>
        <v>UP</v>
      </c>
      <c r="X224" s="24"/>
      <c r="Y224" s="25">
        <f>-ROUNDUP(MIN(SUMIFS('COM RESID'!$O:$O,'COM RESID'!$H:$H,$E224,'COM RESID'!$I:$I,$F224)/SUMIFS('COM RESID'!$O:$O,'COM RESID'!$I:$I,$F224)*AC224,1),3)</f>
        <v>0</v>
      </c>
      <c r="Z224" s="24"/>
      <c r="AA224" s="24"/>
      <c r="AB224" s="26"/>
      <c r="AC224" s="27">
        <f>IF(S224="COMELC",IF(SUMIFS('COM RESID'!$O:$O,'COM RESID'!$H:$H,$E224,'COM RESID'!$I:$I,$F224)/SUMIFS('COM RESID'!$O:$O,'COM RESID'!$I:$I,$F224)*3&lt;1,1/(SUMIFS('COM RESID'!$O:$O,'COM RESID'!$H:$H,$E224,'COM RESID'!$I:$I,$F224)/SUMIFS('COM RESID'!$O:$O,'COM RESID'!$I:$I,$F224)),3),IF(ISNUMBER(SEARCH("WHEUE",T222)),IF(OR(S222="COMNGA",S222="COMFOI"),0.75,3),3))</f>
        <v>3</v>
      </c>
    </row>
    <row r="225" spans="1:29" x14ac:dyDescent="0.25">
      <c r="A225" s="19">
        <f>A221+1</f>
        <v>56</v>
      </c>
      <c r="B225" s="10"/>
      <c r="C225" s="11" t="str">
        <f>IF(E225="","",IF(_xlfn.XLOOKUP($A225,Selected_constraint_UC!$A:$A,Selected_constraint_UC!$D:$D)=1,"*",IF(SUMIFS('COM TECH'!$N:$N,'COM TECH'!$K:$K,E225,'COM TECH'!$L:$L,F225)=0,"*",IF(SUMIFS('COM RESID'!$O:$O,'COM RESID'!$H:$H,$E225,'COM RESID'!$I:$I,$F225)=0,"*","UC_MarketShare_"&amp;LEFT(F225,LEN(F225)-3)&amp;"_"&amp;RIGHT(E225,3)&amp;"_MIN"))))</f>
        <v>*</v>
      </c>
      <c r="D225" s="12"/>
      <c r="E225" s="13" t="str">
        <f>_xlfn.XLOOKUP($A225,Selected_constraint_UC!$A:$A,Selected_constraint_UC!$B:$B)</f>
        <v>COMNGA</v>
      </c>
      <c r="F225" s="13" t="str">
        <f>_xlfn.XLOOKUP($A225,Selected_constraint_UC!$A:$A,Selected_constraint_UC!$C:$C)</f>
        <v>COMOFFOldCKEUE</v>
      </c>
      <c r="G225" s="13" t="str">
        <f>F225</f>
        <v>COMOFFOldCKEUE</v>
      </c>
      <c r="H225" s="14">
        <v>2019</v>
      </c>
      <c r="I225" s="14" t="s">
        <v>3848</v>
      </c>
      <c r="J225" s="14">
        <v>1</v>
      </c>
      <c r="K225" s="15">
        <f>-ROUNDDOWN(SUMIFS('COM RESID'!$O:$O,'COM RESID'!$H:$H,$E225,'COM RESID'!$I:$I,$F225)/SUMIFS('COM RESID'!$O:$O,'COM RESID'!$I:$I,$F225),3)*O225</f>
        <v>-0.94472</v>
      </c>
      <c r="L225" s="14">
        <v>0</v>
      </c>
      <c r="M225" s="14">
        <v>5</v>
      </c>
      <c r="N225" s="10"/>
      <c r="O225" s="20">
        <v>0.98</v>
      </c>
      <c r="Q225" s="11" t="str">
        <f t="shared" si="60"/>
        <v>*</v>
      </c>
      <c r="R225" s="12"/>
      <c r="S225" s="13" t="str">
        <f t="shared" si="62"/>
        <v>COMNGA</v>
      </c>
      <c r="T225" s="13" t="str">
        <f t="shared" si="63"/>
        <v>COMOFFOldCKEUE</v>
      </c>
      <c r="U225" s="13" t="str">
        <f t="shared" si="64"/>
        <v>COMOFFOldCKEUE</v>
      </c>
      <c r="V225" s="14">
        <v>2019</v>
      </c>
      <c r="W225" s="14" t="s">
        <v>3849</v>
      </c>
      <c r="X225" s="14">
        <v>1</v>
      </c>
      <c r="Y225" s="15">
        <f>-ROUNDUP(MIN(SUMIFS('COM RESID'!$O:$O,'COM RESID'!$H:$H,$E225,'COM RESID'!$I:$I,$F225)/SUMIFS('COM RESID'!$O:$O,'COM RESID'!$I:$I,$F225)*AC225,1),3)</f>
        <v>-0.98399999999999999</v>
      </c>
      <c r="Z225" s="14">
        <v>0</v>
      </c>
      <c r="AA225" s="14">
        <v>5</v>
      </c>
      <c r="AB225" s="10"/>
      <c r="AC225" s="20">
        <v>1.02</v>
      </c>
    </row>
    <row r="226" spans="1:29" x14ac:dyDescent="0.25">
      <c r="A226" s="10">
        <f>A225</f>
        <v>56</v>
      </c>
      <c r="B226" s="10"/>
      <c r="C226" s="11" t="str">
        <f>IF(C225="*",C225,"")</f>
        <v>*</v>
      </c>
      <c r="D226" s="12"/>
      <c r="E226" s="13" t="str">
        <f t="shared" ref="E226:G228" si="71">E225</f>
        <v>COMNGA</v>
      </c>
      <c r="F226" s="13" t="str">
        <f t="shared" si="71"/>
        <v>COMOFFOldCKEUE</v>
      </c>
      <c r="G226" s="13" t="str">
        <f t="shared" si="71"/>
        <v>COMOFFOldCKEUE</v>
      </c>
      <c r="H226" s="14">
        <v>2025</v>
      </c>
      <c r="I226" s="14" t="str">
        <f>I225</f>
        <v>LO</v>
      </c>
      <c r="J226" s="14"/>
      <c r="K226" s="15">
        <f>-ROUNDDOWN(SUMIFS('COM RESID'!$O:$O,'COM RESID'!$H:$H,$E226,'COM RESID'!$I:$I,$F226)/SUMIFS('COM RESID'!$O:$O,'COM RESID'!$I:$I,$F226),3)*O226</f>
        <v>-0.7712</v>
      </c>
      <c r="L226" s="14"/>
      <c r="M226" s="14"/>
      <c r="N226" s="10"/>
      <c r="O226" s="20">
        <v>0.8</v>
      </c>
      <c r="Q226" s="11" t="str">
        <f t="shared" si="60"/>
        <v>*</v>
      </c>
      <c r="R226" s="12"/>
      <c r="S226" s="13" t="str">
        <f t="shared" si="62"/>
        <v>COMNGA</v>
      </c>
      <c r="T226" s="13" t="str">
        <f t="shared" si="63"/>
        <v>COMOFFOldCKEUE</v>
      </c>
      <c r="U226" s="13" t="str">
        <f t="shared" si="64"/>
        <v>COMOFFOldCKEUE</v>
      </c>
      <c r="V226" s="14">
        <v>2025</v>
      </c>
      <c r="W226" s="14" t="str">
        <f>W225</f>
        <v>UP</v>
      </c>
      <c r="X226" s="14"/>
      <c r="Y226" s="15">
        <f>-ROUNDUP(MIN(SUMIFS('COM RESID'!$O:$O,'COM RESID'!$H:$H,$E226,'COM RESID'!$I:$I,$F226)/SUMIFS('COM RESID'!$O:$O,'COM RESID'!$I:$I,$F226)*AC226,1),3)</f>
        <v>-1</v>
      </c>
      <c r="Z226" s="14"/>
      <c r="AA226" s="14"/>
      <c r="AB226" s="10"/>
      <c r="AC226" s="20">
        <f>IF(S226="COMELC",IF(SUMIFS('COM RESID'!$O:$O,'COM RESID'!$H:$H,$E226,'COM RESID'!$I:$I,$F226)/SUMIFS('COM RESID'!$O:$O,'COM RESID'!$I:$I,$F226)*1.2&lt;0.25,0.25/(SUMIFS('COM RESID'!$O:$O,'COM RESID'!$H:$H,$E226,'COM RESID'!$I:$I,$F226)/SUMIFS('COM RESID'!$O:$O,'COM RESID'!$I:$I,$F226)),1.2),IF(ISNUMBER(SEARCH("WHEUE",T226)),IF(OR(S226="COMNGA",S226="COMFOI"),1,1.2),1.2))</f>
        <v>1.2</v>
      </c>
    </row>
    <row r="227" spans="1:29" x14ac:dyDescent="0.25">
      <c r="A227" s="10">
        <f>A226</f>
        <v>56</v>
      </c>
      <c r="B227" s="10"/>
      <c r="C227" s="11" t="str">
        <f>IF(C226="*",C226,"")</f>
        <v>*</v>
      </c>
      <c r="D227" s="12"/>
      <c r="E227" s="13" t="str">
        <f t="shared" si="71"/>
        <v>COMNGA</v>
      </c>
      <c r="F227" s="13" t="str">
        <f t="shared" si="71"/>
        <v>COMOFFOldCKEUE</v>
      </c>
      <c r="G227" s="13" t="str">
        <f t="shared" si="71"/>
        <v>COMOFFOldCKEUE</v>
      </c>
      <c r="H227" s="14">
        <v>2030</v>
      </c>
      <c r="I227" s="14" t="str">
        <f>I226</f>
        <v>LO</v>
      </c>
      <c r="J227" s="14"/>
      <c r="K227" s="15">
        <f>-ROUNDDOWN(SUMIFS('COM RESID'!$O:$O,'COM RESID'!$H:$H,$E227,'COM RESID'!$I:$I,$F227)/SUMIFS('COM RESID'!$O:$O,'COM RESID'!$I:$I,$F227),3)*O227</f>
        <v>-0.1928</v>
      </c>
      <c r="L227" s="14"/>
      <c r="M227" s="14"/>
      <c r="N227" s="10"/>
      <c r="O227" s="20">
        <v>0.2</v>
      </c>
      <c r="Q227" s="11" t="str">
        <f t="shared" si="60"/>
        <v>*</v>
      </c>
      <c r="R227" s="12"/>
      <c r="S227" s="13" t="str">
        <f t="shared" si="62"/>
        <v>COMNGA</v>
      </c>
      <c r="T227" s="13" t="str">
        <f t="shared" si="63"/>
        <v>COMOFFOldCKEUE</v>
      </c>
      <c r="U227" s="13" t="str">
        <f t="shared" si="64"/>
        <v>COMOFFOldCKEUE</v>
      </c>
      <c r="V227" s="14">
        <v>2030</v>
      </c>
      <c r="W227" s="14" t="str">
        <f>W226</f>
        <v>UP</v>
      </c>
      <c r="X227" s="14"/>
      <c r="Y227" s="15">
        <f>-ROUNDUP(MIN(SUMIFS('COM RESID'!$O:$O,'COM RESID'!$H:$H,$E227,'COM RESID'!$I:$I,$F227)/SUMIFS('COM RESID'!$O:$O,'COM RESID'!$I:$I,$F227)*AC227,1),3)</f>
        <v>-1</v>
      </c>
      <c r="Z227" s="14"/>
      <c r="AA227" s="14"/>
      <c r="AB227" s="10"/>
      <c r="AC227" s="20">
        <f>IF(S227="COMELC",IF(SUMIFS('COM RESID'!$O:$O,'COM RESID'!$H:$H,$E227,'COM RESID'!$I:$I,$F227)/SUMIFS('COM RESID'!$O:$O,'COM RESID'!$I:$I,$F227)*1.5&lt;0.5,0.5/(SUMIFS('COM RESID'!$O:$O,'COM RESID'!$H:$H,$E227,'COM RESID'!$I:$I,$F227)/SUMIFS('COM RESID'!$O:$O,'COM RESID'!$I:$I,$F227)),1.5),IF(ISNUMBER(SEARCH("WHEUE",T226)),IF(OR(S226="COMNGA",S226="COMFOI"),0.9,1.5),1.5))</f>
        <v>1.5</v>
      </c>
    </row>
    <row r="228" spans="1:29" x14ac:dyDescent="0.25">
      <c r="A228" s="26">
        <f>A227</f>
        <v>56</v>
      </c>
      <c r="B228" s="26"/>
      <c r="C228" s="21" t="str">
        <f>IF(C227="*",C227,"")</f>
        <v>*</v>
      </c>
      <c r="D228" s="22"/>
      <c r="E228" s="23" t="str">
        <f t="shared" si="71"/>
        <v>COMNGA</v>
      </c>
      <c r="F228" s="23" t="str">
        <f t="shared" si="71"/>
        <v>COMOFFOldCKEUE</v>
      </c>
      <c r="G228" s="23" t="str">
        <f t="shared" si="71"/>
        <v>COMOFFOldCKEUE</v>
      </c>
      <c r="H228" s="24">
        <v>2050</v>
      </c>
      <c r="I228" s="24" t="str">
        <f>I227</f>
        <v>LO</v>
      </c>
      <c r="J228" s="24"/>
      <c r="K228" s="25">
        <f>-ROUNDDOWN(SUMIFS('COM RESID'!$O:$O,'COM RESID'!$H:$H,$E228,'COM RESID'!$I:$I,$F228)/SUMIFS('COM RESID'!$O:$O,'COM RESID'!$I:$I,$F228),3)*O228</f>
        <v>0</v>
      </c>
      <c r="L228" s="24"/>
      <c r="M228" s="24"/>
      <c r="N228" s="26"/>
      <c r="O228" s="27">
        <v>0</v>
      </c>
      <c r="Q228" s="21" t="str">
        <f t="shared" si="60"/>
        <v>*</v>
      </c>
      <c r="R228" s="22"/>
      <c r="S228" s="23" t="str">
        <f t="shared" si="62"/>
        <v>COMNGA</v>
      </c>
      <c r="T228" s="23" t="str">
        <f t="shared" si="63"/>
        <v>COMOFFOldCKEUE</v>
      </c>
      <c r="U228" s="23" t="str">
        <f t="shared" si="64"/>
        <v>COMOFFOldCKEUE</v>
      </c>
      <c r="V228" s="24">
        <v>2050</v>
      </c>
      <c r="W228" s="24" t="str">
        <f>W227</f>
        <v>UP</v>
      </c>
      <c r="X228" s="24"/>
      <c r="Y228" s="25">
        <f>-ROUNDUP(MIN(SUMIFS('COM RESID'!$O:$O,'COM RESID'!$H:$H,$E228,'COM RESID'!$I:$I,$F228)/SUMIFS('COM RESID'!$O:$O,'COM RESID'!$I:$I,$F228)*AC228,1),3)</f>
        <v>-1</v>
      </c>
      <c r="Z228" s="24"/>
      <c r="AA228" s="24"/>
      <c r="AB228" s="26"/>
      <c r="AC228" s="27">
        <f>IF(S228="COMELC",IF(SUMIFS('COM RESID'!$O:$O,'COM RESID'!$H:$H,$E228,'COM RESID'!$I:$I,$F228)/SUMIFS('COM RESID'!$O:$O,'COM RESID'!$I:$I,$F228)*3&lt;1,1/(SUMIFS('COM RESID'!$O:$O,'COM RESID'!$H:$H,$E228,'COM RESID'!$I:$I,$F228)/SUMIFS('COM RESID'!$O:$O,'COM RESID'!$I:$I,$F228)),3),IF(ISNUMBER(SEARCH("WHEUE",T226)),IF(OR(S226="COMNGA",S226="COMFOI"),0.75,3),3))</f>
        <v>3</v>
      </c>
    </row>
    <row r="229" spans="1:29" x14ac:dyDescent="0.25">
      <c r="A229" s="19">
        <f>A225+1</f>
        <v>57</v>
      </c>
      <c r="B229" s="10"/>
      <c r="C229" s="11" t="str">
        <f>IF(E229="","",IF(_xlfn.XLOOKUP($A229,Selected_constraint_UC!$A:$A,Selected_constraint_UC!$D:$D)=1,"*",IF(SUMIFS('COM TECH'!$N:$N,'COM TECH'!$K:$K,E229,'COM TECH'!$L:$L,F229)=0,"*",IF(SUMIFS('COM RESID'!$O:$O,'COM RESID'!$H:$H,$E229,'COM RESID'!$I:$I,$F229)=0,"*","UC_MarketShare_"&amp;LEFT(F229,LEN(F229)-3)&amp;"_"&amp;RIGHT(E229,3)&amp;"_MIN"))))</f>
        <v>*</v>
      </c>
      <c r="D229" s="12"/>
      <c r="E229" s="13" t="str">
        <f>_xlfn.XLOOKUP($A229,Selected_constraint_UC!$A:$A,Selected_constraint_UC!$B:$B)</f>
        <v>COMSTM</v>
      </c>
      <c r="F229" s="13" t="str">
        <f>_xlfn.XLOOKUP($A229,Selected_constraint_UC!$A:$A,Selected_constraint_UC!$C:$C)</f>
        <v>COMOFFOldCKEUE</v>
      </c>
      <c r="G229" s="13" t="str">
        <f>F229</f>
        <v>COMOFFOldCKEUE</v>
      </c>
      <c r="H229" s="14">
        <v>2019</v>
      </c>
      <c r="I229" s="14" t="s">
        <v>3848</v>
      </c>
      <c r="J229" s="14">
        <v>1</v>
      </c>
      <c r="K229" s="15">
        <f>-ROUNDDOWN(SUMIFS('COM RESID'!$O:$O,'COM RESID'!$H:$H,$E229,'COM RESID'!$I:$I,$F229)/SUMIFS('COM RESID'!$O:$O,'COM RESID'!$I:$I,$F229),3)*O229</f>
        <v>0</v>
      </c>
      <c r="L229" s="14">
        <v>0</v>
      </c>
      <c r="M229" s="14">
        <v>5</v>
      </c>
      <c r="N229" s="10"/>
      <c r="O229" s="20">
        <v>0.98</v>
      </c>
      <c r="Q229" s="11" t="str">
        <f t="shared" si="60"/>
        <v>*</v>
      </c>
      <c r="R229" s="12"/>
      <c r="S229" s="13" t="str">
        <f t="shared" si="62"/>
        <v>COMSTM</v>
      </c>
      <c r="T229" s="13" t="str">
        <f t="shared" si="63"/>
        <v>COMOFFOldCKEUE</v>
      </c>
      <c r="U229" s="13" t="str">
        <f t="shared" si="64"/>
        <v>COMOFFOldCKEUE</v>
      </c>
      <c r="V229" s="14">
        <v>2019</v>
      </c>
      <c r="W229" s="14" t="s">
        <v>3849</v>
      </c>
      <c r="X229" s="14">
        <v>1</v>
      </c>
      <c r="Y229" s="15">
        <f>-ROUNDUP(MIN(SUMIFS('COM RESID'!$O:$O,'COM RESID'!$H:$H,$E229,'COM RESID'!$I:$I,$F229)/SUMIFS('COM RESID'!$O:$O,'COM RESID'!$I:$I,$F229)*AC229,1),3)</f>
        <v>-1E-3</v>
      </c>
      <c r="Z229" s="14">
        <v>0</v>
      </c>
      <c r="AA229" s="14">
        <v>5</v>
      </c>
      <c r="AB229" s="10"/>
      <c r="AC229" s="20">
        <v>1.02</v>
      </c>
    </row>
    <row r="230" spans="1:29" x14ac:dyDescent="0.25">
      <c r="A230" s="10">
        <f>A229</f>
        <v>57</v>
      </c>
      <c r="B230" s="10"/>
      <c r="C230" s="11" t="str">
        <f>IF(C229="*",C229,"")</f>
        <v>*</v>
      </c>
      <c r="D230" s="12"/>
      <c r="E230" s="13" t="str">
        <f t="shared" ref="E230:G232" si="72">E229</f>
        <v>COMSTM</v>
      </c>
      <c r="F230" s="13" t="str">
        <f t="shared" si="72"/>
        <v>COMOFFOldCKEUE</v>
      </c>
      <c r="G230" s="13" t="str">
        <f t="shared" si="72"/>
        <v>COMOFFOldCKEUE</v>
      </c>
      <c r="H230" s="14">
        <v>2025</v>
      </c>
      <c r="I230" s="14" t="str">
        <f>I229</f>
        <v>LO</v>
      </c>
      <c r="J230" s="14"/>
      <c r="K230" s="15">
        <f>-ROUNDDOWN(SUMIFS('COM RESID'!$O:$O,'COM RESID'!$H:$H,$E230,'COM RESID'!$I:$I,$F230)/SUMIFS('COM RESID'!$O:$O,'COM RESID'!$I:$I,$F230),3)*O230</f>
        <v>0</v>
      </c>
      <c r="L230" s="14"/>
      <c r="M230" s="14"/>
      <c r="N230" s="10"/>
      <c r="O230" s="20">
        <v>0.8</v>
      </c>
      <c r="Q230" s="11" t="str">
        <f t="shared" si="60"/>
        <v>*</v>
      </c>
      <c r="R230" s="12"/>
      <c r="S230" s="13" t="str">
        <f t="shared" si="62"/>
        <v>COMSTM</v>
      </c>
      <c r="T230" s="13" t="str">
        <f t="shared" si="63"/>
        <v>COMOFFOldCKEUE</v>
      </c>
      <c r="U230" s="13" t="str">
        <f t="shared" si="64"/>
        <v>COMOFFOldCKEUE</v>
      </c>
      <c r="V230" s="14">
        <v>2025</v>
      </c>
      <c r="W230" s="14" t="str">
        <f>W229</f>
        <v>UP</v>
      </c>
      <c r="X230" s="14"/>
      <c r="Y230" s="15">
        <f>-ROUNDUP(MIN(SUMIFS('COM RESID'!$O:$O,'COM RESID'!$H:$H,$E230,'COM RESID'!$I:$I,$F230)/SUMIFS('COM RESID'!$O:$O,'COM RESID'!$I:$I,$F230)*AC230,1),3)</f>
        <v>-1E-3</v>
      </c>
      <c r="Z230" s="14"/>
      <c r="AA230" s="14"/>
      <c r="AB230" s="10"/>
      <c r="AC230" s="20">
        <f>IF(S230="COMELC",IF(SUMIFS('COM RESID'!$O:$O,'COM RESID'!$H:$H,$E230,'COM RESID'!$I:$I,$F230)/SUMIFS('COM RESID'!$O:$O,'COM RESID'!$I:$I,$F230)*1.2&lt;0.25,0.25/(SUMIFS('COM RESID'!$O:$O,'COM RESID'!$H:$H,$E230,'COM RESID'!$I:$I,$F230)/SUMIFS('COM RESID'!$O:$O,'COM RESID'!$I:$I,$F230)),1.2),IF(ISNUMBER(SEARCH("WHEUE",T230)),IF(OR(S230="COMNGA",S230="COMFOI"),1,1.2),1.2))</f>
        <v>1.2</v>
      </c>
    </row>
    <row r="231" spans="1:29" x14ac:dyDescent="0.25">
      <c r="A231" s="10">
        <f>A230</f>
        <v>57</v>
      </c>
      <c r="B231" s="10"/>
      <c r="C231" s="11" t="str">
        <f>IF(C230="*",C230,"")</f>
        <v>*</v>
      </c>
      <c r="D231" s="12"/>
      <c r="E231" s="13" t="str">
        <f t="shared" si="72"/>
        <v>COMSTM</v>
      </c>
      <c r="F231" s="13" t="str">
        <f t="shared" si="72"/>
        <v>COMOFFOldCKEUE</v>
      </c>
      <c r="G231" s="13" t="str">
        <f t="shared" si="72"/>
        <v>COMOFFOldCKEUE</v>
      </c>
      <c r="H231" s="14">
        <v>2030</v>
      </c>
      <c r="I231" s="14" t="str">
        <f>I230</f>
        <v>LO</v>
      </c>
      <c r="J231" s="14"/>
      <c r="K231" s="15">
        <f>-ROUNDDOWN(SUMIFS('COM RESID'!$O:$O,'COM RESID'!$H:$H,$E231,'COM RESID'!$I:$I,$F231)/SUMIFS('COM RESID'!$O:$O,'COM RESID'!$I:$I,$F231),3)*O231</f>
        <v>0</v>
      </c>
      <c r="L231" s="14"/>
      <c r="M231" s="14"/>
      <c r="N231" s="10"/>
      <c r="O231" s="20">
        <v>0.2</v>
      </c>
      <c r="Q231" s="11" t="str">
        <f t="shared" si="60"/>
        <v>*</v>
      </c>
      <c r="R231" s="12"/>
      <c r="S231" s="13" t="str">
        <f t="shared" si="62"/>
        <v>COMSTM</v>
      </c>
      <c r="T231" s="13" t="str">
        <f t="shared" si="63"/>
        <v>COMOFFOldCKEUE</v>
      </c>
      <c r="U231" s="13" t="str">
        <f t="shared" si="64"/>
        <v>COMOFFOldCKEUE</v>
      </c>
      <c r="V231" s="14">
        <v>2030</v>
      </c>
      <c r="W231" s="14" t="str">
        <f>W230</f>
        <v>UP</v>
      </c>
      <c r="X231" s="14"/>
      <c r="Y231" s="15">
        <f>-ROUNDUP(MIN(SUMIFS('COM RESID'!$O:$O,'COM RESID'!$H:$H,$E231,'COM RESID'!$I:$I,$F231)/SUMIFS('COM RESID'!$O:$O,'COM RESID'!$I:$I,$F231)*AC231,1),3)</f>
        <v>-1E-3</v>
      </c>
      <c r="Z231" s="14"/>
      <c r="AA231" s="14"/>
      <c r="AB231" s="10"/>
      <c r="AC231" s="20">
        <f>IF(S231="COMELC",IF(SUMIFS('COM RESID'!$O:$O,'COM RESID'!$H:$H,$E231,'COM RESID'!$I:$I,$F231)/SUMIFS('COM RESID'!$O:$O,'COM RESID'!$I:$I,$F231)*1.5&lt;0.5,0.5/(SUMIFS('COM RESID'!$O:$O,'COM RESID'!$H:$H,$E231,'COM RESID'!$I:$I,$F231)/SUMIFS('COM RESID'!$O:$O,'COM RESID'!$I:$I,$F231)),1.5),IF(ISNUMBER(SEARCH("WHEUE",T230)),IF(OR(S230="COMNGA",S230="COMFOI"),0.9,1.5),1.5))</f>
        <v>1.5</v>
      </c>
    </row>
    <row r="232" spans="1:29" x14ac:dyDescent="0.25">
      <c r="A232" s="26">
        <f>A231</f>
        <v>57</v>
      </c>
      <c r="B232" s="26"/>
      <c r="C232" s="21" t="str">
        <f>IF(C231="*",C231,"")</f>
        <v>*</v>
      </c>
      <c r="D232" s="22"/>
      <c r="E232" s="23" t="str">
        <f t="shared" si="72"/>
        <v>COMSTM</v>
      </c>
      <c r="F232" s="23" t="str">
        <f t="shared" si="72"/>
        <v>COMOFFOldCKEUE</v>
      </c>
      <c r="G232" s="23" t="str">
        <f t="shared" si="72"/>
        <v>COMOFFOldCKEUE</v>
      </c>
      <c r="H232" s="24">
        <v>2050</v>
      </c>
      <c r="I232" s="24" t="str">
        <f>I231</f>
        <v>LO</v>
      </c>
      <c r="J232" s="24"/>
      <c r="K232" s="25">
        <f>-ROUNDDOWN(SUMIFS('COM RESID'!$O:$O,'COM RESID'!$H:$H,$E232,'COM RESID'!$I:$I,$F232)/SUMIFS('COM RESID'!$O:$O,'COM RESID'!$I:$I,$F232),3)*O232</f>
        <v>0</v>
      </c>
      <c r="L232" s="24"/>
      <c r="M232" s="24"/>
      <c r="N232" s="26"/>
      <c r="O232" s="27">
        <v>0</v>
      </c>
      <c r="Q232" s="21" t="str">
        <f t="shared" si="60"/>
        <v>*</v>
      </c>
      <c r="R232" s="22"/>
      <c r="S232" s="23" t="str">
        <f t="shared" si="62"/>
        <v>COMSTM</v>
      </c>
      <c r="T232" s="23" t="str">
        <f t="shared" si="63"/>
        <v>COMOFFOldCKEUE</v>
      </c>
      <c r="U232" s="23" t="str">
        <f t="shared" si="64"/>
        <v>COMOFFOldCKEUE</v>
      </c>
      <c r="V232" s="24">
        <v>2050</v>
      </c>
      <c r="W232" s="24" t="str">
        <f>W231</f>
        <v>UP</v>
      </c>
      <c r="X232" s="24"/>
      <c r="Y232" s="25">
        <f>-ROUNDUP(MIN(SUMIFS('COM RESID'!$O:$O,'COM RESID'!$H:$H,$E232,'COM RESID'!$I:$I,$F232)/SUMIFS('COM RESID'!$O:$O,'COM RESID'!$I:$I,$F232)*AC232,1),3)</f>
        <v>-2E-3</v>
      </c>
      <c r="Z232" s="24"/>
      <c r="AA232" s="24"/>
      <c r="AB232" s="26"/>
      <c r="AC232" s="27">
        <f>IF(S232="COMELC",IF(SUMIFS('COM RESID'!$O:$O,'COM RESID'!$H:$H,$E232,'COM RESID'!$I:$I,$F232)/SUMIFS('COM RESID'!$O:$O,'COM RESID'!$I:$I,$F232)*3&lt;1,1/(SUMIFS('COM RESID'!$O:$O,'COM RESID'!$H:$H,$E232,'COM RESID'!$I:$I,$F232)/SUMIFS('COM RESID'!$O:$O,'COM RESID'!$I:$I,$F232)),3),IF(ISNUMBER(SEARCH("WHEUE",T230)),IF(OR(S230="COMNGA",S230="COMFOI"),0.75,3),3))</f>
        <v>3</v>
      </c>
    </row>
    <row r="233" spans="1:29" x14ac:dyDescent="0.25">
      <c r="A233" s="19">
        <f>A229+1</f>
        <v>58</v>
      </c>
      <c r="B233" s="10"/>
      <c r="C233" s="11" t="str">
        <f>IF(E233="","",IF(_xlfn.XLOOKUP($A233,Selected_constraint_UC!$A:$A,Selected_constraint_UC!$D:$D)=1,"*",IF(SUMIFS('COM TECH'!$N:$N,'COM TECH'!$K:$K,E233,'COM TECH'!$L:$L,F233)=0,"*",IF(SUMIFS('COM RESID'!$O:$O,'COM RESID'!$H:$H,$E233,'COM RESID'!$I:$I,$F233)=0,"*","UC_MarketShare_"&amp;LEFT(F233,LEN(F233)-3)&amp;"_"&amp;RIGHT(E233,3)&amp;"_MIN"))))</f>
        <v>*</v>
      </c>
      <c r="D233" s="12"/>
      <c r="E233" s="13" t="str">
        <f>_xlfn.XLOOKUP($A233,Selected_constraint_UC!$A:$A,Selected_constraint_UC!$B:$B)</f>
        <v>COMELC</v>
      </c>
      <c r="F233" s="13" t="str">
        <f>_xlfn.XLOOKUP($A233,Selected_constraint_UC!$A:$A,Selected_constraint_UC!$C:$C)</f>
        <v>COMOFFOldCKEUE</v>
      </c>
      <c r="G233" s="13" t="str">
        <f>F233</f>
        <v>COMOFFOldCKEUE</v>
      </c>
      <c r="H233" s="14">
        <v>2019</v>
      </c>
      <c r="I233" s="14" t="s">
        <v>3848</v>
      </c>
      <c r="J233" s="14">
        <v>1</v>
      </c>
      <c r="K233" s="15">
        <f>-ROUNDDOWN(SUMIFS('COM RESID'!$O:$O,'COM RESID'!$H:$H,$E233,'COM RESID'!$I:$I,$F233)/SUMIFS('COM RESID'!$O:$O,'COM RESID'!$I:$I,$F233),3)*O233</f>
        <v>-3.4300000000000004E-2</v>
      </c>
      <c r="L233" s="14">
        <v>0</v>
      </c>
      <c r="M233" s="14">
        <v>5</v>
      </c>
      <c r="N233" s="10"/>
      <c r="O233" s="20">
        <v>0.98</v>
      </c>
      <c r="Q233" s="11" t="str">
        <f t="shared" si="60"/>
        <v>*</v>
      </c>
      <c r="R233" s="12"/>
      <c r="S233" s="13" t="str">
        <f t="shared" si="62"/>
        <v>COMELC</v>
      </c>
      <c r="T233" s="13" t="str">
        <f t="shared" si="63"/>
        <v>COMOFFOldCKEUE</v>
      </c>
      <c r="U233" s="13" t="str">
        <f t="shared" si="64"/>
        <v>COMOFFOldCKEUE</v>
      </c>
      <c r="V233" s="14">
        <v>2019</v>
      </c>
      <c r="W233" s="14" t="s">
        <v>3849</v>
      </c>
      <c r="X233" s="14">
        <v>1</v>
      </c>
      <c r="Y233" s="15">
        <f>-ROUNDUP(MIN(SUMIFS('COM RESID'!$O:$O,'COM RESID'!$H:$H,$E233,'COM RESID'!$I:$I,$F233)/SUMIFS('COM RESID'!$O:$O,'COM RESID'!$I:$I,$F233)*AC233,1),3)</f>
        <v>-3.6000000000000004E-2</v>
      </c>
      <c r="Z233" s="14">
        <v>0</v>
      </c>
      <c r="AA233" s="14">
        <v>5</v>
      </c>
      <c r="AB233" s="10"/>
      <c r="AC233" s="20">
        <v>1.02</v>
      </c>
    </row>
    <row r="234" spans="1:29" x14ac:dyDescent="0.25">
      <c r="A234" s="10">
        <f>A233</f>
        <v>58</v>
      </c>
      <c r="B234" s="10"/>
      <c r="C234" s="11" t="str">
        <f>IF(C233="*",C233,"")</f>
        <v>*</v>
      </c>
      <c r="D234" s="12"/>
      <c r="E234" s="13" t="str">
        <f t="shared" ref="E234:G236" si="73">E233</f>
        <v>COMELC</v>
      </c>
      <c r="F234" s="13" t="str">
        <f t="shared" si="73"/>
        <v>COMOFFOldCKEUE</v>
      </c>
      <c r="G234" s="13" t="str">
        <f t="shared" si="73"/>
        <v>COMOFFOldCKEUE</v>
      </c>
      <c r="H234" s="14">
        <v>2025</v>
      </c>
      <c r="I234" s="14" t="str">
        <f>I233</f>
        <v>LO</v>
      </c>
      <c r="J234" s="14"/>
      <c r="K234" s="15">
        <f>-ROUNDDOWN(SUMIFS('COM RESID'!$O:$O,'COM RESID'!$H:$H,$E234,'COM RESID'!$I:$I,$F234)/SUMIFS('COM RESID'!$O:$O,'COM RESID'!$I:$I,$F234),3)*O234</f>
        <v>-2.8000000000000004E-2</v>
      </c>
      <c r="L234" s="14"/>
      <c r="M234" s="14"/>
      <c r="N234" s="10"/>
      <c r="O234" s="20">
        <v>0.8</v>
      </c>
      <c r="Q234" s="11" t="str">
        <f t="shared" si="60"/>
        <v>*</v>
      </c>
      <c r="R234" s="12"/>
      <c r="S234" s="13" t="str">
        <f t="shared" si="62"/>
        <v>COMELC</v>
      </c>
      <c r="T234" s="13" t="str">
        <f t="shared" si="63"/>
        <v>COMOFFOldCKEUE</v>
      </c>
      <c r="U234" s="13" t="str">
        <f t="shared" si="64"/>
        <v>COMOFFOldCKEUE</v>
      </c>
      <c r="V234" s="14">
        <v>2025</v>
      </c>
      <c r="W234" s="14" t="str">
        <f>W233</f>
        <v>UP</v>
      </c>
      <c r="X234" s="14"/>
      <c r="Y234" s="15">
        <f>-ROUNDUP(MIN(SUMIFS('COM RESID'!$O:$O,'COM RESID'!$H:$H,$E234,'COM RESID'!$I:$I,$F234)/SUMIFS('COM RESID'!$O:$O,'COM RESID'!$I:$I,$F234)*AC234,1),3)</f>
        <v>-0.25</v>
      </c>
      <c r="Z234" s="14"/>
      <c r="AA234" s="14"/>
      <c r="AB234" s="10"/>
      <c r="AC234" s="20">
        <f>IF(S234="COMELC",IF(SUMIFS('COM RESID'!$O:$O,'COM RESID'!$H:$H,$E234,'COM RESID'!$I:$I,$F234)/SUMIFS('COM RESID'!$O:$O,'COM RESID'!$I:$I,$F234)*1.2&lt;0.25,0.25/(SUMIFS('COM RESID'!$O:$O,'COM RESID'!$H:$H,$E234,'COM RESID'!$I:$I,$F234)/SUMIFS('COM RESID'!$O:$O,'COM RESID'!$I:$I,$F234)),1.2),IF(ISNUMBER(SEARCH("WHEUE",T234)),IF(OR(S234="COMNGA",S234="COMFOI"),1,1.2),1.2))</f>
        <v>7.0992979457641718</v>
      </c>
    </row>
    <row r="235" spans="1:29" x14ac:dyDescent="0.25">
      <c r="A235" s="10">
        <f>A234</f>
        <v>58</v>
      </c>
      <c r="B235" s="10"/>
      <c r="C235" s="11" t="str">
        <f>IF(C234="*",C234,"")</f>
        <v>*</v>
      </c>
      <c r="D235" s="12"/>
      <c r="E235" s="13" t="str">
        <f t="shared" si="73"/>
        <v>COMELC</v>
      </c>
      <c r="F235" s="13" t="str">
        <f t="shared" si="73"/>
        <v>COMOFFOldCKEUE</v>
      </c>
      <c r="G235" s="13" t="str">
        <f t="shared" si="73"/>
        <v>COMOFFOldCKEUE</v>
      </c>
      <c r="H235" s="14">
        <v>2030</v>
      </c>
      <c r="I235" s="14" t="str">
        <f>I234</f>
        <v>LO</v>
      </c>
      <c r="J235" s="14"/>
      <c r="K235" s="15">
        <f>-ROUNDDOWN(SUMIFS('COM RESID'!$O:$O,'COM RESID'!$H:$H,$E235,'COM RESID'!$I:$I,$F235)/SUMIFS('COM RESID'!$O:$O,'COM RESID'!$I:$I,$F235),3)*O235</f>
        <v>-7.000000000000001E-3</v>
      </c>
      <c r="L235" s="14"/>
      <c r="M235" s="14"/>
      <c r="N235" s="10"/>
      <c r="O235" s="20">
        <v>0.2</v>
      </c>
      <c r="Q235" s="11" t="str">
        <f t="shared" si="60"/>
        <v>*</v>
      </c>
      <c r="R235" s="12"/>
      <c r="S235" s="13" t="str">
        <f t="shared" si="62"/>
        <v>COMELC</v>
      </c>
      <c r="T235" s="13" t="str">
        <f t="shared" si="63"/>
        <v>COMOFFOldCKEUE</v>
      </c>
      <c r="U235" s="13" t="str">
        <f t="shared" si="64"/>
        <v>COMOFFOldCKEUE</v>
      </c>
      <c r="V235" s="14">
        <v>2030</v>
      </c>
      <c r="W235" s="14" t="str">
        <f>W234</f>
        <v>UP</v>
      </c>
      <c r="X235" s="14"/>
      <c r="Y235" s="15">
        <f>-ROUNDUP(MIN(SUMIFS('COM RESID'!$O:$O,'COM RESID'!$H:$H,$E235,'COM RESID'!$I:$I,$F235)/SUMIFS('COM RESID'!$O:$O,'COM RESID'!$I:$I,$F235)*AC235,1),3)</f>
        <v>-0.5</v>
      </c>
      <c r="Z235" s="14"/>
      <c r="AA235" s="14"/>
      <c r="AB235" s="10"/>
      <c r="AC235" s="20">
        <f>IF(S235="COMELC",IF(SUMIFS('COM RESID'!$O:$O,'COM RESID'!$H:$H,$E235,'COM RESID'!$I:$I,$F235)/SUMIFS('COM RESID'!$O:$O,'COM RESID'!$I:$I,$F235)*1.5&lt;0.5,0.5/(SUMIFS('COM RESID'!$O:$O,'COM RESID'!$H:$H,$E235,'COM RESID'!$I:$I,$F235)/SUMIFS('COM RESID'!$O:$O,'COM RESID'!$I:$I,$F235)),1.5),IF(ISNUMBER(SEARCH("WHEUE",T234)),IF(OR(S234="COMNGA",S234="COMFOI"),0.9,1.5),1.5))</f>
        <v>14.198595891528344</v>
      </c>
    </row>
    <row r="236" spans="1:29" x14ac:dyDescent="0.25">
      <c r="A236" s="26">
        <f>A235</f>
        <v>58</v>
      </c>
      <c r="B236" s="26"/>
      <c r="C236" s="21" t="str">
        <f>IF(C235="*",C235,"")</f>
        <v>*</v>
      </c>
      <c r="D236" s="22"/>
      <c r="E236" s="23" t="str">
        <f t="shared" si="73"/>
        <v>COMELC</v>
      </c>
      <c r="F236" s="23" t="str">
        <f t="shared" si="73"/>
        <v>COMOFFOldCKEUE</v>
      </c>
      <c r="G236" s="23" t="str">
        <f t="shared" si="73"/>
        <v>COMOFFOldCKEUE</v>
      </c>
      <c r="H236" s="24">
        <v>2050</v>
      </c>
      <c r="I236" s="24" t="str">
        <f>I235</f>
        <v>LO</v>
      </c>
      <c r="J236" s="24"/>
      <c r="K236" s="25">
        <f>-ROUNDDOWN(SUMIFS('COM RESID'!$O:$O,'COM RESID'!$H:$H,$E236,'COM RESID'!$I:$I,$F236)/SUMIFS('COM RESID'!$O:$O,'COM RESID'!$I:$I,$F236),3)*O236</f>
        <v>0</v>
      </c>
      <c r="L236" s="24"/>
      <c r="M236" s="24"/>
      <c r="N236" s="26"/>
      <c r="O236" s="27">
        <v>0</v>
      </c>
      <c r="Q236" s="21" t="str">
        <f t="shared" si="60"/>
        <v>*</v>
      </c>
      <c r="R236" s="22"/>
      <c r="S236" s="23" t="str">
        <f t="shared" si="62"/>
        <v>COMELC</v>
      </c>
      <c r="T236" s="23" t="str">
        <f t="shared" si="63"/>
        <v>COMOFFOldCKEUE</v>
      </c>
      <c r="U236" s="23" t="str">
        <f t="shared" si="64"/>
        <v>COMOFFOldCKEUE</v>
      </c>
      <c r="V236" s="24">
        <v>2050</v>
      </c>
      <c r="W236" s="24" t="str">
        <f>W235</f>
        <v>UP</v>
      </c>
      <c r="X236" s="24"/>
      <c r="Y236" s="25">
        <f>-ROUNDUP(MIN(SUMIFS('COM RESID'!$O:$O,'COM RESID'!$H:$H,$E236,'COM RESID'!$I:$I,$F236)/SUMIFS('COM RESID'!$O:$O,'COM RESID'!$I:$I,$F236)*AC236,1),3)</f>
        <v>-1</v>
      </c>
      <c r="Z236" s="24"/>
      <c r="AA236" s="24"/>
      <c r="AB236" s="26"/>
      <c r="AC236" s="27">
        <f>IF(S236="COMELC",IF(SUMIFS('COM RESID'!$O:$O,'COM RESID'!$H:$H,$E236,'COM RESID'!$I:$I,$F236)/SUMIFS('COM RESID'!$O:$O,'COM RESID'!$I:$I,$F236)*3&lt;1,1/(SUMIFS('COM RESID'!$O:$O,'COM RESID'!$H:$H,$E236,'COM RESID'!$I:$I,$F236)/SUMIFS('COM RESID'!$O:$O,'COM RESID'!$I:$I,$F236)),3),IF(ISNUMBER(SEARCH("WHEUE",T234)),IF(OR(S234="COMNGA",S234="COMFOI"),0.75,3),3))</f>
        <v>28.397191783056687</v>
      </c>
    </row>
    <row r="237" spans="1:29" x14ac:dyDescent="0.25">
      <c r="A237" s="19">
        <f>A233+1</f>
        <v>59</v>
      </c>
      <c r="B237" s="10"/>
      <c r="C237" s="11" t="str">
        <f>IF(E237="","",IF(_xlfn.XLOOKUP($A237,Selected_constraint_UC!$A:$A,Selected_constraint_UC!$D:$D)=1,"*",IF(SUMIFS('COM TECH'!$N:$N,'COM TECH'!$K:$K,E237,'COM TECH'!$L:$L,F237)=0,"*",IF(SUMIFS('COM RESID'!$O:$O,'COM RESID'!$H:$H,$E237,'COM RESID'!$I:$I,$F237)=0,"*","UC_MarketShare_"&amp;LEFT(F237,LEN(F237)-3)&amp;"_"&amp;RIGHT(E237,3)&amp;"_MIN"))))</f>
        <v>*</v>
      </c>
      <c r="D237" s="12"/>
      <c r="E237" s="13" t="str">
        <f>_xlfn.XLOOKUP($A237,Selected_constraint_UC!$A:$A,Selected_constraint_UC!$B:$B)</f>
        <v>COMELC</v>
      </c>
      <c r="F237" s="13" t="str">
        <f>_xlfn.XLOOKUP($A237,Selected_constraint_UC!$A:$A,Selected_constraint_UC!$C:$C)</f>
        <v>COMOFFOldREEUE</v>
      </c>
      <c r="G237" s="13" t="str">
        <f>F237</f>
        <v>COMOFFOldREEUE</v>
      </c>
      <c r="H237" s="14">
        <v>2019</v>
      </c>
      <c r="I237" s="14" t="s">
        <v>3848</v>
      </c>
      <c r="J237" s="14">
        <v>1</v>
      </c>
      <c r="K237" s="15">
        <f>-ROUNDDOWN(SUMIFS('COM RESID'!$O:$O,'COM RESID'!$H:$H,$E237,'COM RESID'!$I:$I,$F237)/SUMIFS('COM RESID'!$O:$O,'COM RESID'!$I:$I,$F237),3)*O237</f>
        <v>-0.98</v>
      </c>
      <c r="L237" s="14">
        <v>0</v>
      </c>
      <c r="M237" s="14">
        <v>5</v>
      </c>
      <c r="N237" s="10"/>
      <c r="O237" s="20">
        <v>0.98</v>
      </c>
      <c r="Q237" s="11" t="str">
        <f t="shared" si="60"/>
        <v>*</v>
      </c>
      <c r="R237" s="12"/>
      <c r="S237" s="13" t="str">
        <f t="shared" si="62"/>
        <v>COMELC</v>
      </c>
      <c r="T237" s="13" t="str">
        <f t="shared" si="63"/>
        <v>COMOFFOldREEUE</v>
      </c>
      <c r="U237" s="13" t="str">
        <f t="shared" si="64"/>
        <v>COMOFFOldREEUE</v>
      </c>
      <c r="V237" s="14">
        <v>2019</v>
      </c>
      <c r="W237" s="14" t="s">
        <v>3849</v>
      </c>
      <c r="X237" s="14">
        <v>1</v>
      </c>
      <c r="Y237" s="15">
        <f>-ROUNDUP(MIN(SUMIFS('COM RESID'!$O:$O,'COM RESID'!$H:$H,$E237,'COM RESID'!$I:$I,$F237)/SUMIFS('COM RESID'!$O:$O,'COM RESID'!$I:$I,$F237)*AC237,1),3)</f>
        <v>-1</v>
      </c>
      <c r="Z237" s="14">
        <v>0</v>
      </c>
      <c r="AA237" s="14">
        <v>5</v>
      </c>
      <c r="AB237" s="10"/>
      <c r="AC237" s="20">
        <v>1.02</v>
      </c>
    </row>
    <row r="238" spans="1:29" x14ac:dyDescent="0.25">
      <c r="A238" s="10">
        <f>A237</f>
        <v>59</v>
      </c>
      <c r="B238" s="10"/>
      <c r="C238" s="11" t="str">
        <f>IF(C237="*",C237,"")</f>
        <v>*</v>
      </c>
      <c r="D238" s="12"/>
      <c r="E238" s="13" t="str">
        <f t="shared" ref="E238:G240" si="74">E237</f>
        <v>COMELC</v>
      </c>
      <c r="F238" s="13" t="str">
        <f t="shared" si="74"/>
        <v>COMOFFOldREEUE</v>
      </c>
      <c r="G238" s="13" t="str">
        <f t="shared" si="74"/>
        <v>COMOFFOldREEUE</v>
      </c>
      <c r="H238" s="14">
        <v>2025</v>
      </c>
      <c r="I238" s="14" t="str">
        <f>I237</f>
        <v>LO</v>
      </c>
      <c r="J238" s="14"/>
      <c r="K238" s="15">
        <f>-ROUNDDOWN(SUMIFS('COM RESID'!$O:$O,'COM RESID'!$H:$H,$E238,'COM RESID'!$I:$I,$F238)/SUMIFS('COM RESID'!$O:$O,'COM RESID'!$I:$I,$F238),3)*O238</f>
        <v>-0.8</v>
      </c>
      <c r="L238" s="14"/>
      <c r="M238" s="14"/>
      <c r="N238" s="10"/>
      <c r="O238" s="20">
        <v>0.8</v>
      </c>
      <c r="Q238" s="11" t="str">
        <f t="shared" si="60"/>
        <v>*</v>
      </c>
      <c r="R238" s="12"/>
      <c r="S238" s="13" t="str">
        <f t="shared" si="62"/>
        <v>COMELC</v>
      </c>
      <c r="T238" s="13" t="str">
        <f t="shared" si="63"/>
        <v>COMOFFOldREEUE</v>
      </c>
      <c r="U238" s="13" t="str">
        <f t="shared" si="64"/>
        <v>COMOFFOldREEUE</v>
      </c>
      <c r="V238" s="14">
        <v>2025</v>
      </c>
      <c r="W238" s="14" t="str">
        <f>W237</f>
        <v>UP</v>
      </c>
      <c r="X238" s="14"/>
      <c r="Y238" s="15">
        <f>-ROUNDUP(MIN(SUMIFS('COM RESID'!$O:$O,'COM RESID'!$H:$H,$E238,'COM RESID'!$I:$I,$F238)/SUMIFS('COM RESID'!$O:$O,'COM RESID'!$I:$I,$F238)*AC238,1),3)</f>
        <v>-1</v>
      </c>
      <c r="Z238" s="14"/>
      <c r="AA238" s="14"/>
      <c r="AB238" s="10"/>
      <c r="AC238" s="20">
        <f>IF(S238="COMELC",IF(SUMIFS('COM RESID'!$O:$O,'COM RESID'!$H:$H,$E238,'COM RESID'!$I:$I,$F238)/SUMIFS('COM RESID'!$O:$O,'COM RESID'!$I:$I,$F238)*1.2&lt;0.25,0.25/(SUMIFS('COM RESID'!$O:$O,'COM RESID'!$H:$H,$E238,'COM RESID'!$I:$I,$F238)/SUMIFS('COM RESID'!$O:$O,'COM RESID'!$I:$I,$F238)),1.2),IF(ISNUMBER(SEARCH("WHEUE",T238)),IF(OR(S238="COMNGA",S238="COMFOI"),1,1.2),1.2))</f>
        <v>1.2</v>
      </c>
    </row>
    <row r="239" spans="1:29" x14ac:dyDescent="0.25">
      <c r="A239" s="10">
        <f>A238</f>
        <v>59</v>
      </c>
      <c r="B239" s="10"/>
      <c r="C239" s="11" t="str">
        <f>IF(C238="*",C238,"")</f>
        <v>*</v>
      </c>
      <c r="D239" s="12"/>
      <c r="E239" s="13" t="str">
        <f t="shared" si="74"/>
        <v>COMELC</v>
      </c>
      <c r="F239" s="13" t="str">
        <f t="shared" si="74"/>
        <v>COMOFFOldREEUE</v>
      </c>
      <c r="G239" s="13" t="str">
        <f t="shared" si="74"/>
        <v>COMOFFOldREEUE</v>
      </c>
      <c r="H239" s="14">
        <v>2030</v>
      </c>
      <c r="I239" s="14" t="str">
        <f>I238</f>
        <v>LO</v>
      </c>
      <c r="J239" s="14"/>
      <c r="K239" s="15">
        <f>-ROUNDDOWN(SUMIFS('COM RESID'!$O:$O,'COM RESID'!$H:$H,$E239,'COM RESID'!$I:$I,$F239)/SUMIFS('COM RESID'!$O:$O,'COM RESID'!$I:$I,$F239),3)*O239</f>
        <v>-0.2</v>
      </c>
      <c r="L239" s="14"/>
      <c r="M239" s="14"/>
      <c r="N239" s="10"/>
      <c r="O239" s="20">
        <v>0.2</v>
      </c>
      <c r="Q239" s="11" t="str">
        <f t="shared" si="60"/>
        <v>*</v>
      </c>
      <c r="R239" s="12"/>
      <c r="S239" s="13" t="str">
        <f t="shared" si="62"/>
        <v>COMELC</v>
      </c>
      <c r="T239" s="13" t="str">
        <f t="shared" si="63"/>
        <v>COMOFFOldREEUE</v>
      </c>
      <c r="U239" s="13" t="str">
        <f t="shared" si="64"/>
        <v>COMOFFOldREEUE</v>
      </c>
      <c r="V239" s="14">
        <v>2030</v>
      </c>
      <c r="W239" s="14" t="str">
        <f>W238</f>
        <v>UP</v>
      </c>
      <c r="X239" s="14"/>
      <c r="Y239" s="15">
        <f>-ROUNDUP(MIN(SUMIFS('COM RESID'!$O:$O,'COM RESID'!$H:$H,$E239,'COM RESID'!$I:$I,$F239)/SUMIFS('COM RESID'!$O:$O,'COM RESID'!$I:$I,$F239)*AC239,1),3)</f>
        <v>-1</v>
      </c>
      <c r="Z239" s="14"/>
      <c r="AA239" s="14"/>
      <c r="AB239" s="10"/>
      <c r="AC239" s="20">
        <f>IF(S239="COMELC",IF(SUMIFS('COM RESID'!$O:$O,'COM RESID'!$H:$H,$E239,'COM RESID'!$I:$I,$F239)/SUMIFS('COM RESID'!$O:$O,'COM RESID'!$I:$I,$F239)*1.5&lt;0.5,0.5/(SUMIFS('COM RESID'!$O:$O,'COM RESID'!$H:$H,$E239,'COM RESID'!$I:$I,$F239)/SUMIFS('COM RESID'!$O:$O,'COM RESID'!$I:$I,$F239)),1.5),IF(ISNUMBER(SEARCH("WHEUE",T238)),IF(OR(S238="COMNGA",S238="COMFOI"),0.9,1.5),1.5))</f>
        <v>1.5</v>
      </c>
    </row>
    <row r="240" spans="1:29" x14ac:dyDescent="0.25">
      <c r="A240" s="26">
        <f>A239</f>
        <v>59</v>
      </c>
      <c r="B240" s="26"/>
      <c r="C240" s="21" t="str">
        <f>IF(C239="*",C239,"")</f>
        <v>*</v>
      </c>
      <c r="D240" s="22"/>
      <c r="E240" s="23" t="str">
        <f t="shared" si="74"/>
        <v>COMELC</v>
      </c>
      <c r="F240" s="23" t="str">
        <f t="shared" si="74"/>
        <v>COMOFFOldREEUE</v>
      </c>
      <c r="G240" s="23" t="str">
        <f t="shared" si="74"/>
        <v>COMOFFOldREEUE</v>
      </c>
      <c r="H240" s="24">
        <v>2050</v>
      </c>
      <c r="I240" s="24" t="str">
        <f>I239</f>
        <v>LO</v>
      </c>
      <c r="J240" s="24"/>
      <c r="K240" s="25">
        <f>-ROUNDDOWN(SUMIFS('COM RESID'!$O:$O,'COM RESID'!$H:$H,$E240,'COM RESID'!$I:$I,$F240)/SUMIFS('COM RESID'!$O:$O,'COM RESID'!$I:$I,$F240),3)*O240</f>
        <v>0</v>
      </c>
      <c r="L240" s="24"/>
      <c r="M240" s="24"/>
      <c r="N240" s="26"/>
      <c r="O240" s="27">
        <v>0</v>
      </c>
      <c r="Q240" s="21" t="str">
        <f t="shared" si="60"/>
        <v>*</v>
      </c>
      <c r="R240" s="22"/>
      <c r="S240" s="23" t="str">
        <f t="shared" si="62"/>
        <v>COMELC</v>
      </c>
      <c r="T240" s="23" t="str">
        <f t="shared" si="63"/>
        <v>COMOFFOldREEUE</v>
      </c>
      <c r="U240" s="23" t="str">
        <f t="shared" si="64"/>
        <v>COMOFFOldREEUE</v>
      </c>
      <c r="V240" s="24">
        <v>2050</v>
      </c>
      <c r="W240" s="24" t="str">
        <f>W239</f>
        <v>UP</v>
      </c>
      <c r="X240" s="24"/>
      <c r="Y240" s="25">
        <f>-ROUNDUP(MIN(SUMIFS('COM RESID'!$O:$O,'COM RESID'!$H:$H,$E240,'COM RESID'!$I:$I,$F240)/SUMIFS('COM RESID'!$O:$O,'COM RESID'!$I:$I,$F240)*AC240,1),3)</f>
        <v>-1</v>
      </c>
      <c r="Z240" s="24"/>
      <c r="AA240" s="24"/>
      <c r="AB240" s="26"/>
      <c r="AC240" s="27">
        <f>IF(S240="COMELC",IF(SUMIFS('COM RESID'!$O:$O,'COM RESID'!$H:$H,$E240,'COM RESID'!$I:$I,$F240)/SUMIFS('COM RESID'!$O:$O,'COM RESID'!$I:$I,$F240)*3&lt;1,1/(SUMIFS('COM RESID'!$O:$O,'COM RESID'!$H:$H,$E240,'COM RESID'!$I:$I,$F240)/SUMIFS('COM RESID'!$O:$O,'COM RESID'!$I:$I,$F240)),3),IF(ISNUMBER(SEARCH("WHEUE",T238)),IF(OR(S238="COMNGA",S238="COMFOI"),0.75,3),3))</f>
        <v>3</v>
      </c>
    </row>
    <row r="241" spans="1:29" x14ac:dyDescent="0.25">
      <c r="A241" s="19">
        <f>A237+1</f>
        <v>60</v>
      </c>
      <c r="B241" s="10"/>
      <c r="C241" s="11" t="str">
        <f>IF(E241="","",IF(_xlfn.XLOOKUP($A241,Selected_constraint_UC!$A:$A,Selected_constraint_UC!$D:$D)=1,"*",IF(SUMIFS('COM TECH'!$N:$N,'COM TECH'!$K:$K,E241,'COM TECH'!$L:$L,F241)=0,"*",IF(SUMIFS('COM RESID'!$O:$O,'COM RESID'!$H:$H,$E241,'COM RESID'!$I:$I,$F241)=0,"*","UC_MarketShare_"&amp;LEFT(F241,LEN(F241)-3)&amp;"_"&amp;RIGHT(E241,3)&amp;"_MIN"))))</f>
        <v>*</v>
      </c>
      <c r="D241" s="12"/>
      <c r="E241" s="13" t="str">
        <f>_xlfn.XLOOKUP($A241,Selected_constraint_UC!$A:$A,Selected_constraint_UC!$B:$B)</f>
        <v>COMFOI</v>
      </c>
      <c r="F241" s="13" t="str">
        <f>_xlfn.XLOOKUP($A241,Selected_constraint_UC!$A:$A,Selected_constraint_UC!$C:$C)</f>
        <v>COMOFFOldOEEUE</v>
      </c>
      <c r="G241" s="13" t="str">
        <f>F241</f>
        <v>COMOFFOldOEEUE</v>
      </c>
      <c r="H241" s="14">
        <v>2019</v>
      </c>
      <c r="I241" s="14" t="s">
        <v>3848</v>
      </c>
      <c r="J241" s="14">
        <v>1</v>
      </c>
      <c r="K241" s="15">
        <f>-ROUNDDOWN(SUMIFS('COM RESID'!$O:$O,'COM RESID'!$H:$H,$E241,'COM RESID'!$I:$I,$F241)/SUMIFS('COM RESID'!$O:$O,'COM RESID'!$I:$I,$F241),3)*O241</f>
        <v>-0.10192</v>
      </c>
      <c r="L241" s="14">
        <v>0</v>
      </c>
      <c r="M241" s="14">
        <v>5</v>
      </c>
      <c r="N241" s="10"/>
      <c r="O241" s="20">
        <v>0.98</v>
      </c>
      <c r="Q241" s="11" t="str">
        <f t="shared" si="60"/>
        <v>*</v>
      </c>
      <c r="R241" s="12"/>
      <c r="S241" s="13" t="str">
        <f t="shared" si="62"/>
        <v>COMFOI</v>
      </c>
      <c r="T241" s="13" t="str">
        <f t="shared" si="63"/>
        <v>COMOFFOldOEEUE</v>
      </c>
      <c r="U241" s="13" t="str">
        <f t="shared" si="64"/>
        <v>COMOFFOldOEEUE</v>
      </c>
      <c r="V241" s="14">
        <v>2019</v>
      </c>
      <c r="W241" s="14" t="s">
        <v>3849</v>
      </c>
      <c r="X241" s="14">
        <v>1</v>
      </c>
      <c r="Y241" s="15">
        <f>-ROUNDUP(MIN(SUMIFS('COM RESID'!$O:$O,'COM RESID'!$H:$H,$E241,'COM RESID'!$I:$I,$F241)/SUMIFS('COM RESID'!$O:$O,'COM RESID'!$I:$I,$F241)*AC241,1),3)</f>
        <v>-0.107</v>
      </c>
      <c r="Z241" s="14">
        <v>0</v>
      </c>
      <c r="AA241" s="14">
        <v>5</v>
      </c>
      <c r="AB241" s="10"/>
      <c r="AC241" s="20">
        <v>1.02</v>
      </c>
    </row>
    <row r="242" spans="1:29" x14ac:dyDescent="0.25">
      <c r="A242" s="10">
        <f>A241</f>
        <v>60</v>
      </c>
      <c r="B242" s="10"/>
      <c r="C242" s="11" t="str">
        <f>IF(C241="*",C241,"")</f>
        <v>*</v>
      </c>
      <c r="D242" s="12"/>
      <c r="E242" s="13" t="str">
        <f t="shared" ref="E242:G244" si="75">E241</f>
        <v>COMFOI</v>
      </c>
      <c r="F242" s="13" t="str">
        <f t="shared" si="75"/>
        <v>COMOFFOldOEEUE</v>
      </c>
      <c r="G242" s="13" t="str">
        <f t="shared" si="75"/>
        <v>COMOFFOldOEEUE</v>
      </c>
      <c r="H242" s="14">
        <v>2025</v>
      </c>
      <c r="I242" s="14" t="str">
        <f>I241</f>
        <v>LO</v>
      </c>
      <c r="J242" s="14"/>
      <c r="K242" s="15">
        <f>-ROUNDDOWN(SUMIFS('COM RESID'!$O:$O,'COM RESID'!$H:$H,$E242,'COM RESID'!$I:$I,$F242)/SUMIFS('COM RESID'!$O:$O,'COM RESID'!$I:$I,$F242),3)*O242</f>
        <v>-8.3199999999999996E-2</v>
      </c>
      <c r="L242" s="14"/>
      <c r="M242" s="14"/>
      <c r="N242" s="10"/>
      <c r="O242" s="20">
        <v>0.8</v>
      </c>
      <c r="Q242" s="11" t="str">
        <f t="shared" si="60"/>
        <v>*</v>
      </c>
      <c r="R242" s="12"/>
      <c r="S242" s="13" t="str">
        <f t="shared" si="62"/>
        <v>COMFOI</v>
      </c>
      <c r="T242" s="13" t="str">
        <f t="shared" si="63"/>
        <v>COMOFFOldOEEUE</v>
      </c>
      <c r="U242" s="13" t="str">
        <f t="shared" si="64"/>
        <v>COMOFFOldOEEUE</v>
      </c>
      <c r="V242" s="14">
        <v>2025</v>
      </c>
      <c r="W242" s="14" t="str">
        <f>W241</f>
        <v>UP</v>
      </c>
      <c r="X242" s="14"/>
      <c r="Y242" s="15">
        <f>-ROUNDUP(MIN(SUMIFS('COM RESID'!$O:$O,'COM RESID'!$H:$H,$E242,'COM RESID'!$I:$I,$F242)/SUMIFS('COM RESID'!$O:$O,'COM RESID'!$I:$I,$F242)*AC242,1),3)</f>
        <v>-0.126</v>
      </c>
      <c r="Z242" s="14"/>
      <c r="AA242" s="14"/>
      <c r="AB242" s="10"/>
      <c r="AC242" s="20">
        <f>IF(S242="COMELC",IF(SUMIFS('COM RESID'!$O:$O,'COM RESID'!$H:$H,$E242,'COM RESID'!$I:$I,$F242)/SUMIFS('COM RESID'!$O:$O,'COM RESID'!$I:$I,$F242)*1.2&lt;0.25,0.25/(SUMIFS('COM RESID'!$O:$O,'COM RESID'!$H:$H,$E242,'COM RESID'!$I:$I,$F242)/SUMIFS('COM RESID'!$O:$O,'COM RESID'!$I:$I,$F242)),1.2),IF(ISNUMBER(SEARCH("WHEUE",T242)),IF(OR(S242="COMNGA",S242="COMFOI"),1,1.2),1.2))</f>
        <v>1.2</v>
      </c>
    </row>
    <row r="243" spans="1:29" x14ac:dyDescent="0.25">
      <c r="A243" s="10">
        <f>A242</f>
        <v>60</v>
      </c>
      <c r="B243" s="10"/>
      <c r="C243" s="11" t="str">
        <f>IF(C242="*",C242,"")</f>
        <v>*</v>
      </c>
      <c r="D243" s="12"/>
      <c r="E243" s="13" t="str">
        <f t="shared" si="75"/>
        <v>COMFOI</v>
      </c>
      <c r="F243" s="13" t="str">
        <f t="shared" si="75"/>
        <v>COMOFFOldOEEUE</v>
      </c>
      <c r="G243" s="13" t="str">
        <f t="shared" si="75"/>
        <v>COMOFFOldOEEUE</v>
      </c>
      <c r="H243" s="14">
        <v>2030</v>
      </c>
      <c r="I243" s="14" t="str">
        <f>I242</f>
        <v>LO</v>
      </c>
      <c r="J243" s="14"/>
      <c r="K243" s="15">
        <f>-ROUNDDOWN(SUMIFS('COM RESID'!$O:$O,'COM RESID'!$H:$H,$E243,'COM RESID'!$I:$I,$F243)/SUMIFS('COM RESID'!$O:$O,'COM RESID'!$I:$I,$F243),3)*O243</f>
        <v>-2.0799999999999999E-2</v>
      </c>
      <c r="L243" s="14"/>
      <c r="M243" s="14"/>
      <c r="N243" s="10"/>
      <c r="O243" s="20">
        <v>0.2</v>
      </c>
      <c r="Q243" s="11" t="str">
        <f t="shared" si="60"/>
        <v>*</v>
      </c>
      <c r="R243" s="12"/>
      <c r="S243" s="13" t="str">
        <f t="shared" si="62"/>
        <v>COMFOI</v>
      </c>
      <c r="T243" s="13" t="str">
        <f t="shared" si="63"/>
        <v>COMOFFOldOEEUE</v>
      </c>
      <c r="U243" s="13" t="str">
        <f t="shared" si="64"/>
        <v>COMOFFOldOEEUE</v>
      </c>
      <c r="V243" s="14">
        <v>2030</v>
      </c>
      <c r="W243" s="14" t="str">
        <f>W242</f>
        <v>UP</v>
      </c>
      <c r="X243" s="14"/>
      <c r="Y243" s="15">
        <f>-ROUNDUP(MIN(SUMIFS('COM RESID'!$O:$O,'COM RESID'!$H:$H,$E243,'COM RESID'!$I:$I,$F243)/SUMIFS('COM RESID'!$O:$O,'COM RESID'!$I:$I,$F243)*AC243,1),3)</f>
        <v>-0.157</v>
      </c>
      <c r="Z243" s="14"/>
      <c r="AA243" s="14"/>
      <c r="AB243" s="10"/>
      <c r="AC243" s="20">
        <f>IF(S243="COMELC",IF(SUMIFS('COM RESID'!$O:$O,'COM RESID'!$H:$H,$E243,'COM RESID'!$I:$I,$F243)/SUMIFS('COM RESID'!$O:$O,'COM RESID'!$I:$I,$F243)*1.5&lt;0.5,0.5/(SUMIFS('COM RESID'!$O:$O,'COM RESID'!$H:$H,$E243,'COM RESID'!$I:$I,$F243)/SUMIFS('COM RESID'!$O:$O,'COM RESID'!$I:$I,$F243)),1.5),IF(ISNUMBER(SEARCH("WHEUE",T242)),IF(OR(S242="COMNGA",S242="COMFOI"),0.9,1.5),1.5))</f>
        <v>1.5</v>
      </c>
    </row>
    <row r="244" spans="1:29" x14ac:dyDescent="0.25">
      <c r="A244" s="26">
        <f>A243</f>
        <v>60</v>
      </c>
      <c r="B244" s="26"/>
      <c r="C244" s="21" t="str">
        <f>IF(C243="*",C243,"")</f>
        <v>*</v>
      </c>
      <c r="D244" s="22"/>
      <c r="E244" s="23" t="str">
        <f t="shared" si="75"/>
        <v>COMFOI</v>
      </c>
      <c r="F244" s="23" t="str">
        <f t="shared" si="75"/>
        <v>COMOFFOldOEEUE</v>
      </c>
      <c r="G244" s="23" t="str">
        <f t="shared" si="75"/>
        <v>COMOFFOldOEEUE</v>
      </c>
      <c r="H244" s="24">
        <v>2050</v>
      </c>
      <c r="I244" s="24" t="str">
        <f>I243</f>
        <v>LO</v>
      </c>
      <c r="J244" s="24"/>
      <c r="K244" s="25">
        <f>-ROUNDDOWN(SUMIFS('COM RESID'!$O:$O,'COM RESID'!$H:$H,$E244,'COM RESID'!$I:$I,$F244)/SUMIFS('COM RESID'!$O:$O,'COM RESID'!$I:$I,$F244),3)*O244</f>
        <v>0</v>
      </c>
      <c r="L244" s="24"/>
      <c r="M244" s="24"/>
      <c r="N244" s="26"/>
      <c r="O244" s="27">
        <v>0</v>
      </c>
      <c r="Q244" s="21" t="str">
        <f t="shared" si="60"/>
        <v>*</v>
      </c>
      <c r="R244" s="22"/>
      <c r="S244" s="23" t="str">
        <f t="shared" si="62"/>
        <v>COMFOI</v>
      </c>
      <c r="T244" s="23" t="str">
        <f t="shared" si="63"/>
        <v>COMOFFOldOEEUE</v>
      </c>
      <c r="U244" s="23" t="str">
        <f t="shared" si="64"/>
        <v>COMOFFOldOEEUE</v>
      </c>
      <c r="V244" s="24">
        <v>2050</v>
      </c>
      <c r="W244" s="24" t="str">
        <f>W243</f>
        <v>UP</v>
      </c>
      <c r="X244" s="24"/>
      <c r="Y244" s="25">
        <f>-ROUNDUP(MIN(SUMIFS('COM RESID'!$O:$O,'COM RESID'!$H:$H,$E244,'COM RESID'!$I:$I,$F244)/SUMIFS('COM RESID'!$O:$O,'COM RESID'!$I:$I,$F244)*AC244,1),3)</f>
        <v>-0.314</v>
      </c>
      <c r="Z244" s="24"/>
      <c r="AA244" s="24"/>
      <c r="AB244" s="26"/>
      <c r="AC244" s="27">
        <f>IF(S244="COMELC",IF(SUMIFS('COM RESID'!$O:$O,'COM RESID'!$H:$H,$E244,'COM RESID'!$I:$I,$F244)/SUMIFS('COM RESID'!$O:$O,'COM RESID'!$I:$I,$F244)*3&lt;1,1/(SUMIFS('COM RESID'!$O:$O,'COM RESID'!$H:$H,$E244,'COM RESID'!$I:$I,$F244)/SUMIFS('COM RESID'!$O:$O,'COM RESID'!$I:$I,$F244)),3),IF(ISNUMBER(SEARCH("WHEUE",T242)),IF(OR(S242="COMNGA",S242="COMFOI"),0.75,3),3))</f>
        <v>3</v>
      </c>
    </row>
    <row r="245" spans="1:29" x14ac:dyDescent="0.25">
      <c r="A245" s="19">
        <f>A241+1</f>
        <v>61</v>
      </c>
      <c r="B245" s="10"/>
      <c r="C245" s="11" t="str">
        <f>IF(E245="","",IF(_xlfn.XLOOKUP($A245,Selected_constraint_UC!$A:$A,Selected_constraint_UC!$D:$D)=1,"*",IF(SUMIFS('COM TECH'!$N:$N,'COM TECH'!$K:$K,E245,'COM TECH'!$L:$L,F245)=0,"*",IF(SUMIFS('COM RESID'!$O:$O,'COM RESID'!$H:$H,$E245,'COM RESID'!$I:$I,$F245)=0,"*","UC_MarketShare_"&amp;LEFT(F245,LEN(F245)-3)&amp;"_"&amp;RIGHT(E245,3)&amp;"_MIN"))))</f>
        <v>UC_MarketShare_COMOFFOldOE_NGA_MIN</v>
      </c>
      <c r="D245" s="12"/>
      <c r="E245" s="13" t="str">
        <f>_xlfn.XLOOKUP($A245,Selected_constraint_UC!$A:$A,Selected_constraint_UC!$B:$B)</f>
        <v>COMNGA</v>
      </c>
      <c r="F245" s="13" t="str">
        <f>_xlfn.XLOOKUP($A245,Selected_constraint_UC!$A:$A,Selected_constraint_UC!$C:$C)</f>
        <v>COMOFFOldOEEUE</v>
      </c>
      <c r="G245" s="13" t="str">
        <f>F245</f>
        <v>COMOFFOldOEEUE</v>
      </c>
      <c r="H245" s="14">
        <v>2019</v>
      </c>
      <c r="I245" s="14" t="s">
        <v>3848</v>
      </c>
      <c r="J245" s="14">
        <v>1</v>
      </c>
      <c r="K245" s="15">
        <f>-ROUNDDOWN(SUMIFS('COM RESID'!$O:$O,'COM RESID'!$H:$H,$E245,'COM RESID'!$I:$I,$F245)/SUMIFS('COM RESID'!$O:$O,'COM RESID'!$I:$I,$F245),3)*O245</f>
        <v>-9.5060000000000006E-2</v>
      </c>
      <c r="L245" s="14">
        <v>0</v>
      </c>
      <c r="M245" s="14">
        <v>5</v>
      </c>
      <c r="N245" s="10"/>
      <c r="O245" s="20">
        <v>0.98</v>
      </c>
      <c r="Q245" s="11" t="str">
        <f t="shared" si="60"/>
        <v>UC_MarketShare_COMOFFOldOE_NGA_MAX</v>
      </c>
      <c r="R245" s="12"/>
      <c r="S245" s="13" t="str">
        <f t="shared" si="62"/>
        <v>COMNGA</v>
      </c>
      <c r="T245" s="13" t="str">
        <f t="shared" si="63"/>
        <v>COMOFFOldOEEUE</v>
      </c>
      <c r="U245" s="13" t="str">
        <f t="shared" si="64"/>
        <v>COMOFFOldOEEUE</v>
      </c>
      <c r="V245" s="14">
        <v>2019</v>
      </c>
      <c r="W245" s="14" t="s">
        <v>3849</v>
      </c>
      <c r="X245" s="14">
        <v>1</v>
      </c>
      <c r="Y245" s="15">
        <f>-ROUNDUP(MIN(SUMIFS('COM RESID'!$O:$O,'COM RESID'!$H:$H,$E245,'COM RESID'!$I:$I,$F245)/SUMIFS('COM RESID'!$O:$O,'COM RESID'!$I:$I,$F245)*AC245,1),3)</f>
        <v>-0.1</v>
      </c>
      <c r="Z245" s="14">
        <v>0</v>
      </c>
      <c r="AA245" s="14">
        <v>5</v>
      </c>
      <c r="AB245" s="10"/>
      <c r="AC245" s="20">
        <v>1.02</v>
      </c>
    </row>
    <row r="246" spans="1:29" x14ac:dyDescent="0.25">
      <c r="A246" s="10">
        <f>A245</f>
        <v>61</v>
      </c>
      <c r="B246" s="10"/>
      <c r="C246" s="11" t="str">
        <f>IF(C245="*",C245,"")</f>
        <v/>
      </c>
      <c r="D246" s="12"/>
      <c r="E246" s="13" t="str">
        <f t="shared" ref="E246:G248" si="76">E245</f>
        <v>COMNGA</v>
      </c>
      <c r="F246" s="13" t="str">
        <f t="shared" si="76"/>
        <v>COMOFFOldOEEUE</v>
      </c>
      <c r="G246" s="13" t="str">
        <f t="shared" si="76"/>
        <v>COMOFFOldOEEUE</v>
      </c>
      <c r="H246" s="14">
        <v>2025</v>
      </c>
      <c r="I246" s="14" t="str">
        <f>I245</f>
        <v>LO</v>
      </c>
      <c r="J246" s="14"/>
      <c r="K246" s="15">
        <f>-ROUNDDOWN(SUMIFS('COM RESID'!$O:$O,'COM RESID'!$H:$H,$E246,'COM RESID'!$I:$I,$F246)/SUMIFS('COM RESID'!$O:$O,'COM RESID'!$I:$I,$F246),3)*O246</f>
        <v>-7.7600000000000002E-2</v>
      </c>
      <c r="L246" s="14"/>
      <c r="M246" s="14"/>
      <c r="N246" s="10"/>
      <c r="O246" s="20">
        <v>0.8</v>
      </c>
      <c r="Q246" s="11" t="str">
        <f t="shared" si="60"/>
        <v/>
      </c>
      <c r="R246" s="12"/>
      <c r="S246" s="13" t="str">
        <f t="shared" si="62"/>
        <v>COMNGA</v>
      </c>
      <c r="T246" s="13" t="str">
        <f t="shared" si="63"/>
        <v>COMOFFOldOEEUE</v>
      </c>
      <c r="U246" s="13" t="str">
        <f t="shared" si="64"/>
        <v>COMOFFOldOEEUE</v>
      </c>
      <c r="V246" s="14">
        <v>2025</v>
      </c>
      <c r="W246" s="14" t="str">
        <f>W245</f>
        <v>UP</v>
      </c>
      <c r="X246" s="14"/>
      <c r="Y246" s="15">
        <f>-ROUNDUP(MIN(SUMIFS('COM RESID'!$O:$O,'COM RESID'!$H:$H,$E246,'COM RESID'!$I:$I,$F246)/SUMIFS('COM RESID'!$O:$O,'COM RESID'!$I:$I,$F246)*AC246,1),3)</f>
        <v>-0.11800000000000001</v>
      </c>
      <c r="Z246" s="14"/>
      <c r="AA246" s="14"/>
      <c r="AB246" s="10"/>
      <c r="AC246" s="20">
        <f>IF(S246="COMELC",IF(SUMIFS('COM RESID'!$O:$O,'COM RESID'!$H:$H,$E246,'COM RESID'!$I:$I,$F246)/SUMIFS('COM RESID'!$O:$O,'COM RESID'!$I:$I,$F246)*1.2&lt;0.25,0.25/(SUMIFS('COM RESID'!$O:$O,'COM RESID'!$H:$H,$E246,'COM RESID'!$I:$I,$F246)/SUMIFS('COM RESID'!$O:$O,'COM RESID'!$I:$I,$F246)),1.2),IF(ISNUMBER(SEARCH("WHEUE",T246)),IF(OR(S246="COMNGA",S246="COMFOI"),1,1.2),1.2))</f>
        <v>1.2</v>
      </c>
    </row>
    <row r="247" spans="1:29" x14ac:dyDescent="0.25">
      <c r="A247" s="10">
        <f>A246</f>
        <v>61</v>
      </c>
      <c r="B247" s="10"/>
      <c r="C247" s="11" t="str">
        <f>IF(C246="*",C246,"")</f>
        <v/>
      </c>
      <c r="D247" s="12"/>
      <c r="E247" s="13" t="str">
        <f t="shared" si="76"/>
        <v>COMNGA</v>
      </c>
      <c r="F247" s="13" t="str">
        <f t="shared" si="76"/>
        <v>COMOFFOldOEEUE</v>
      </c>
      <c r="G247" s="13" t="str">
        <f t="shared" si="76"/>
        <v>COMOFFOldOEEUE</v>
      </c>
      <c r="H247" s="14">
        <v>2030</v>
      </c>
      <c r="I247" s="14" t="str">
        <f>I246</f>
        <v>LO</v>
      </c>
      <c r="J247" s="14"/>
      <c r="K247" s="15">
        <f>-ROUNDDOWN(SUMIFS('COM RESID'!$O:$O,'COM RESID'!$H:$H,$E247,'COM RESID'!$I:$I,$F247)/SUMIFS('COM RESID'!$O:$O,'COM RESID'!$I:$I,$F247),3)*O247</f>
        <v>-1.9400000000000001E-2</v>
      </c>
      <c r="L247" s="14"/>
      <c r="M247" s="14"/>
      <c r="N247" s="10"/>
      <c r="O247" s="20">
        <v>0.2</v>
      </c>
      <c r="Q247" s="11" t="str">
        <f t="shared" si="60"/>
        <v/>
      </c>
      <c r="R247" s="12"/>
      <c r="S247" s="13" t="str">
        <f t="shared" si="62"/>
        <v>COMNGA</v>
      </c>
      <c r="T247" s="13" t="str">
        <f t="shared" si="63"/>
        <v>COMOFFOldOEEUE</v>
      </c>
      <c r="U247" s="13" t="str">
        <f t="shared" si="64"/>
        <v>COMOFFOldOEEUE</v>
      </c>
      <c r="V247" s="14">
        <v>2030</v>
      </c>
      <c r="W247" s="14" t="str">
        <f>W246</f>
        <v>UP</v>
      </c>
      <c r="X247" s="14"/>
      <c r="Y247" s="15">
        <f>-ROUNDUP(MIN(SUMIFS('COM RESID'!$O:$O,'COM RESID'!$H:$H,$E247,'COM RESID'!$I:$I,$F247)/SUMIFS('COM RESID'!$O:$O,'COM RESID'!$I:$I,$F247)*AC247,1),3)</f>
        <v>-0.14699999999999999</v>
      </c>
      <c r="Z247" s="14"/>
      <c r="AA247" s="14"/>
      <c r="AB247" s="10"/>
      <c r="AC247" s="20">
        <f>IF(S247="COMELC",IF(SUMIFS('COM RESID'!$O:$O,'COM RESID'!$H:$H,$E247,'COM RESID'!$I:$I,$F247)/SUMIFS('COM RESID'!$O:$O,'COM RESID'!$I:$I,$F247)*1.5&lt;0.5,0.5/(SUMIFS('COM RESID'!$O:$O,'COM RESID'!$H:$H,$E247,'COM RESID'!$I:$I,$F247)/SUMIFS('COM RESID'!$O:$O,'COM RESID'!$I:$I,$F247)),1.5),IF(ISNUMBER(SEARCH("WHEUE",T246)),IF(OR(S246="COMNGA",S246="COMFOI"),0.9,1.5),1.5))</f>
        <v>1.5</v>
      </c>
    </row>
    <row r="248" spans="1:29" x14ac:dyDescent="0.25">
      <c r="A248" s="26">
        <f>A247</f>
        <v>61</v>
      </c>
      <c r="B248" s="26"/>
      <c r="C248" s="21" t="str">
        <f>IF(C247="*",C247,"")</f>
        <v/>
      </c>
      <c r="D248" s="22"/>
      <c r="E248" s="23" t="str">
        <f t="shared" si="76"/>
        <v>COMNGA</v>
      </c>
      <c r="F248" s="23" t="str">
        <f t="shared" si="76"/>
        <v>COMOFFOldOEEUE</v>
      </c>
      <c r="G248" s="23" t="str">
        <f t="shared" si="76"/>
        <v>COMOFFOldOEEUE</v>
      </c>
      <c r="H248" s="24">
        <v>2050</v>
      </c>
      <c r="I248" s="24" t="str">
        <f>I247</f>
        <v>LO</v>
      </c>
      <c r="J248" s="24"/>
      <c r="K248" s="25">
        <f>-ROUNDDOWN(SUMIFS('COM RESID'!$O:$O,'COM RESID'!$H:$H,$E248,'COM RESID'!$I:$I,$F248)/SUMIFS('COM RESID'!$O:$O,'COM RESID'!$I:$I,$F248),3)*O248</f>
        <v>0</v>
      </c>
      <c r="L248" s="24"/>
      <c r="M248" s="24"/>
      <c r="N248" s="26"/>
      <c r="O248" s="27">
        <v>0</v>
      </c>
      <c r="Q248" s="21" t="str">
        <f t="shared" si="60"/>
        <v/>
      </c>
      <c r="R248" s="22"/>
      <c r="S248" s="23" t="str">
        <f t="shared" si="62"/>
        <v>COMNGA</v>
      </c>
      <c r="T248" s="23" t="str">
        <f t="shared" si="63"/>
        <v>COMOFFOldOEEUE</v>
      </c>
      <c r="U248" s="23" t="str">
        <f t="shared" si="64"/>
        <v>COMOFFOldOEEUE</v>
      </c>
      <c r="V248" s="24">
        <v>2050</v>
      </c>
      <c r="W248" s="24" t="str">
        <f>W247</f>
        <v>UP</v>
      </c>
      <c r="X248" s="24"/>
      <c r="Y248" s="25">
        <f>-ROUNDUP(MIN(SUMIFS('COM RESID'!$O:$O,'COM RESID'!$H:$H,$E248,'COM RESID'!$I:$I,$F248)/SUMIFS('COM RESID'!$O:$O,'COM RESID'!$I:$I,$F248)*AC248,1),3)</f>
        <v>-0.29399999999999998</v>
      </c>
      <c r="Z248" s="24"/>
      <c r="AA248" s="24"/>
      <c r="AB248" s="26"/>
      <c r="AC248" s="27">
        <f>IF(S248="COMELC",IF(SUMIFS('COM RESID'!$O:$O,'COM RESID'!$H:$H,$E248,'COM RESID'!$I:$I,$F248)/SUMIFS('COM RESID'!$O:$O,'COM RESID'!$I:$I,$F248)*3&lt;1,1/(SUMIFS('COM RESID'!$O:$O,'COM RESID'!$H:$H,$E248,'COM RESID'!$I:$I,$F248)/SUMIFS('COM RESID'!$O:$O,'COM RESID'!$I:$I,$F248)),3),IF(ISNUMBER(SEARCH("WHEUE",T246)),IF(OR(S246="COMNGA",S246="COMFOI"),0.75,3),3))</f>
        <v>3</v>
      </c>
    </row>
    <row r="249" spans="1:29" x14ac:dyDescent="0.25">
      <c r="A249" s="19">
        <f>A245+1</f>
        <v>62</v>
      </c>
      <c r="B249" s="10"/>
      <c r="C249" s="11" t="str">
        <f>IF(E249="","",IF(_xlfn.XLOOKUP($A249,Selected_constraint_UC!$A:$A,Selected_constraint_UC!$D:$D)=1,"*",IF(SUMIFS('COM TECH'!$N:$N,'COM TECH'!$K:$K,E249,'COM TECH'!$L:$L,F249)=0,"*",IF(SUMIFS('COM RESID'!$O:$O,'COM RESID'!$H:$H,$E249,'COM RESID'!$I:$I,$F249)=0,"*","UC_MarketShare_"&amp;LEFT(F249,LEN(F249)-3)&amp;"_"&amp;RIGHT(E249,3)&amp;"_MIN"))))</f>
        <v>*</v>
      </c>
      <c r="D249" s="12"/>
      <c r="E249" s="13" t="str">
        <f>_xlfn.XLOOKUP($A249,Selected_constraint_UC!$A:$A,Selected_constraint_UC!$B:$B)</f>
        <v>COMSTM</v>
      </c>
      <c r="F249" s="13" t="str">
        <f>_xlfn.XLOOKUP($A249,Selected_constraint_UC!$A:$A,Selected_constraint_UC!$C:$C)</f>
        <v>COMOFFOldOEEUE</v>
      </c>
      <c r="G249" s="13" t="str">
        <f>F249</f>
        <v>COMOFFOldOEEUE</v>
      </c>
      <c r="H249" s="14">
        <v>2019</v>
      </c>
      <c r="I249" s="14" t="s">
        <v>3848</v>
      </c>
      <c r="J249" s="14">
        <v>1</v>
      </c>
      <c r="K249" s="15">
        <f>-ROUNDDOWN(SUMIFS('COM RESID'!$O:$O,'COM RESID'!$H:$H,$E249,'COM RESID'!$I:$I,$F249)/SUMIFS('COM RESID'!$O:$O,'COM RESID'!$I:$I,$F249),3)*O249</f>
        <v>0</v>
      </c>
      <c r="L249" s="14">
        <v>0</v>
      </c>
      <c r="M249" s="14">
        <v>5</v>
      </c>
      <c r="N249" s="10"/>
      <c r="O249" s="20">
        <v>0.98</v>
      </c>
      <c r="Q249" s="11" t="str">
        <f t="shared" si="60"/>
        <v>*</v>
      </c>
      <c r="R249" s="12"/>
      <c r="S249" s="13" t="str">
        <f t="shared" si="62"/>
        <v>COMSTM</v>
      </c>
      <c r="T249" s="13" t="str">
        <f t="shared" si="63"/>
        <v>COMOFFOldOEEUE</v>
      </c>
      <c r="U249" s="13" t="str">
        <f t="shared" si="64"/>
        <v>COMOFFOldOEEUE</v>
      </c>
      <c r="V249" s="14">
        <v>2019</v>
      </c>
      <c r="W249" s="14" t="s">
        <v>3849</v>
      </c>
      <c r="X249" s="14">
        <v>1</v>
      </c>
      <c r="Y249" s="15">
        <f>-ROUNDUP(MIN(SUMIFS('COM RESID'!$O:$O,'COM RESID'!$H:$H,$E249,'COM RESID'!$I:$I,$F249)/SUMIFS('COM RESID'!$O:$O,'COM RESID'!$I:$I,$F249)*AC249,1),3)</f>
        <v>0</v>
      </c>
      <c r="Z249" s="14">
        <v>0</v>
      </c>
      <c r="AA249" s="14">
        <v>5</v>
      </c>
      <c r="AB249" s="10"/>
      <c r="AC249" s="20">
        <v>1.02</v>
      </c>
    </row>
    <row r="250" spans="1:29" x14ac:dyDescent="0.25">
      <c r="A250" s="10">
        <f>A249</f>
        <v>62</v>
      </c>
      <c r="B250" s="10"/>
      <c r="C250" s="11" t="str">
        <f>IF(C249="*",C249,"")</f>
        <v>*</v>
      </c>
      <c r="D250" s="12"/>
      <c r="E250" s="13" t="str">
        <f t="shared" ref="E250:G252" si="77">E249</f>
        <v>COMSTM</v>
      </c>
      <c r="F250" s="13" t="str">
        <f t="shared" si="77"/>
        <v>COMOFFOldOEEUE</v>
      </c>
      <c r="G250" s="13" t="str">
        <f t="shared" si="77"/>
        <v>COMOFFOldOEEUE</v>
      </c>
      <c r="H250" s="14">
        <v>2025</v>
      </c>
      <c r="I250" s="14" t="str">
        <f>I249</f>
        <v>LO</v>
      </c>
      <c r="J250" s="14"/>
      <c r="K250" s="15">
        <f>-ROUNDDOWN(SUMIFS('COM RESID'!$O:$O,'COM RESID'!$H:$H,$E250,'COM RESID'!$I:$I,$F250)/SUMIFS('COM RESID'!$O:$O,'COM RESID'!$I:$I,$F250),3)*O250</f>
        <v>0</v>
      </c>
      <c r="L250" s="14"/>
      <c r="M250" s="14"/>
      <c r="N250" s="10"/>
      <c r="O250" s="20">
        <v>0.8</v>
      </c>
      <c r="Q250" s="11" t="str">
        <f t="shared" si="60"/>
        <v>*</v>
      </c>
      <c r="R250" s="12"/>
      <c r="S250" s="13" t="str">
        <f t="shared" si="62"/>
        <v>COMSTM</v>
      </c>
      <c r="T250" s="13" t="str">
        <f t="shared" si="63"/>
        <v>COMOFFOldOEEUE</v>
      </c>
      <c r="U250" s="13" t="str">
        <f t="shared" si="64"/>
        <v>COMOFFOldOEEUE</v>
      </c>
      <c r="V250" s="14">
        <v>2025</v>
      </c>
      <c r="W250" s="14" t="str">
        <f>W249</f>
        <v>UP</v>
      </c>
      <c r="X250" s="14"/>
      <c r="Y250" s="15">
        <f>-ROUNDUP(MIN(SUMIFS('COM RESID'!$O:$O,'COM RESID'!$H:$H,$E250,'COM RESID'!$I:$I,$F250)/SUMIFS('COM RESID'!$O:$O,'COM RESID'!$I:$I,$F250)*AC250,1),3)</f>
        <v>0</v>
      </c>
      <c r="Z250" s="14"/>
      <c r="AA250" s="14"/>
      <c r="AB250" s="10"/>
      <c r="AC250" s="20">
        <f>IF(S250="COMELC",IF(SUMIFS('COM RESID'!$O:$O,'COM RESID'!$H:$H,$E250,'COM RESID'!$I:$I,$F250)/SUMIFS('COM RESID'!$O:$O,'COM RESID'!$I:$I,$F250)*1.2&lt;0.25,0.25/(SUMIFS('COM RESID'!$O:$O,'COM RESID'!$H:$H,$E250,'COM RESID'!$I:$I,$F250)/SUMIFS('COM RESID'!$O:$O,'COM RESID'!$I:$I,$F250)),1.2),IF(ISNUMBER(SEARCH("WHEUE",T250)),IF(OR(S250="COMNGA",S250="COMFOI"),1,1.2),1.2))</f>
        <v>1.2</v>
      </c>
    </row>
    <row r="251" spans="1:29" x14ac:dyDescent="0.25">
      <c r="A251" s="10">
        <f>A250</f>
        <v>62</v>
      </c>
      <c r="B251" s="10"/>
      <c r="C251" s="11" t="str">
        <f>IF(C250="*",C250,"")</f>
        <v>*</v>
      </c>
      <c r="D251" s="12"/>
      <c r="E251" s="13" t="str">
        <f t="shared" si="77"/>
        <v>COMSTM</v>
      </c>
      <c r="F251" s="13" t="str">
        <f t="shared" si="77"/>
        <v>COMOFFOldOEEUE</v>
      </c>
      <c r="G251" s="13" t="str">
        <f t="shared" si="77"/>
        <v>COMOFFOldOEEUE</v>
      </c>
      <c r="H251" s="14">
        <v>2030</v>
      </c>
      <c r="I251" s="14" t="str">
        <f>I250</f>
        <v>LO</v>
      </c>
      <c r="J251" s="14"/>
      <c r="K251" s="15">
        <f>-ROUNDDOWN(SUMIFS('COM RESID'!$O:$O,'COM RESID'!$H:$H,$E251,'COM RESID'!$I:$I,$F251)/SUMIFS('COM RESID'!$O:$O,'COM RESID'!$I:$I,$F251),3)*O251</f>
        <v>0</v>
      </c>
      <c r="L251" s="14"/>
      <c r="M251" s="14"/>
      <c r="N251" s="10"/>
      <c r="O251" s="20">
        <v>0.2</v>
      </c>
      <c r="Q251" s="11" t="str">
        <f t="shared" si="60"/>
        <v>*</v>
      </c>
      <c r="R251" s="12"/>
      <c r="S251" s="13" t="str">
        <f t="shared" si="62"/>
        <v>COMSTM</v>
      </c>
      <c r="T251" s="13" t="str">
        <f t="shared" si="63"/>
        <v>COMOFFOldOEEUE</v>
      </c>
      <c r="U251" s="13" t="str">
        <f t="shared" si="64"/>
        <v>COMOFFOldOEEUE</v>
      </c>
      <c r="V251" s="14">
        <v>2030</v>
      </c>
      <c r="W251" s="14" t="str">
        <f>W250</f>
        <v>UP</v>
      </c>
      <c r="X251" s="14"/>
      <c r="Y251" s="15">
        <f>-ROUNDUP(MIN(SUMIFS('COM RESID'!$O:$O,'COM RESID'!$H:$H,$E251,'COM RESID'!$I:$I,$F251)/SUMIFS('COM RESID'!$O:$O,'COM RESID'!$I:$I,$F251)*AC251,1),3)</f>
        <v>0</v>
      </c>
      <c r="Z251" s="14"/>
      <c r="AA251" s="14"/>
      <c r="AB251" s="10"/>
      <c r="AC251" s="20">
        <f>IF(S251="COMELC",IF(SUMIFS('COM RESID'!$O:$O,'COM RESID'!$H:$H,$E251,'COM RESID'!$I:$I,$F251)/SUMIFS('COM RESID'!$O:$O,'COM RESID'!$I:$I,$F251)*1.5&lt;0.5,0.5/(SUMIFS('COM RESID'!$O:$O,'COM RESID'!$H:$H,$E251,'COM RESID'!$I:$I,$F251)/SUMIFS('COM RESID'!$O:$O,'COM RESID'!$I:$I,$F251)),1.5),IF(ISNUMBER(SEARCH("WHEUE",T250)),IF(OR(S250="COMNGA",S250="COMFOI"),0.9,1.5),1.5))</f>
        <v>1.5</v>
      </c>
    </row>
    <row r="252" spans="1:29" x14ac:dyDescent="0.25">
      <c r="A252" s="26">
        <f>A251</f>
        <v>62</v>
      </c>
      <c r="B252" s="26"/>
      <c r="C252" s="21" t="str">
        <f>IF(C251="*",C251,"")</f>
        <v>*</v>
      </c>
      <c r="D252" s="22"/>
      <c r="E252" s="23" t="str">
        <f t="shared" si="77"/>
        <v>COMSTM</v>
      </c>
      <c r="F252" s="23" t="str">
        <f t="shared" si="77"/>
        <v>COMOFFOldOEEUE</v>
      </c>
      <c r="G252" s="23" t="str">
        <f t="shared" si="77"/>
        <v>COMOFFOldOEEUE</v>
      </c>
      <c r="H252" s="24">
        <v>2050</v>
      </c>
      <c r="I252" s="24" t="str">
        <f>I251</f>
        <v>LO</v>
      </c>
      <c r="J252" s="24"/>
      <c r="K252" s="25">
        <f>-ROUNDDOWN(SUMIFS('COM RESID'!$O:$O,'COM RESID'!$H:$H,$E252,'COM RESID'!$I:$I,$F252)/SUMIFS('COM RESID'!$O:$O,'COM RESID'!$I:$I,$F252),3)*O252</f>
        <v>0</v>
      </c>
      <c r="L252" s="24"/>
      <c r="M252" s="24"/>
      <c r="N252" s="26"/>
      <c r="O252" s="27">
        <v>0</v>
      </c>
      <c r="Q252" s="21" t="str">
        <f t="shared" si="60"/>
        <v>*</v>
      </c>
      <c r="R252" s="22"/>
      <c r="S252" s="23" t="str">
        <f t="shared" si="62"/>
        <v>COMSTM</v>
      </c>
      <c r="T252" s="23" t="str">
        <f t="shared" si="63"/>
        <v>COMOFFOldOEEUE</v>
      </c>
      <c r="U252" s="23" t="str">
        <f t="shared" si="64"/>
        <v>COMOFFOldOEEUE</v>
      </c>
      <c r="V252" s="24">
        <v>2050</v>
      </c>
      <c r="W252" s="24" t="str">
        <f>W251</f>
        <v>UP</v>
      </c>
      <c r="X252" s="24"/>
      <c r="Y252" s="25">
        <f>-ROUNDUP(MIN(SUMIFS('COM RESID'!$O:$O,'COM RESID'!$H:$H,$E252,'COM RESID'!$I:$I,$F252)/SUMIFS('COM RESID'!$O:$O,'COM RESID'!$I:$I,$F252)*AC252,1),3)</f>
        <v>0</v>
      </c>
      <c r="Z252" s="24"/>
      <c r="AA252" s="24"/>
      <c r="AB252" s="26"/>
      <c r="AC252" s="27">
        <f>IF(S252="COMELC",IF(SUMIFS('COM RESID'!$O:$O,'COM RESID'!$H:$H,$E252,'COM RESID'!$I:$I,$F252)/SUMIFS('COM RESID'!$O:$O,'COM RESID'!$I:$I,$F252)*3&lt;1,1/(SUMIFS('COM RESID'!$O:$O,'COM RESID'!$H:$H,$E252,'COM RESID'!$I:$I,$F252)/SUMIFS('COM RESID'!$O:$O,'COM RESID'!$I:$I,$F252)),3),IF(ISNUMBER(SEARCH("WHEUE",T250)),IF(OR(S250="COMNGA",S250="COMFOI"),0.75,3),3))</f>
        <v>3</v>
      </c>
    </row>
    <row r="253" spans="1:29" x14ac:dyDescent="0.25">
      <c r="A253" s="19">
        <f>A249+1</f>
        <v>63</v>
      </c>
      <c r="B253" s="10"/>
      <c r="C253" s="11" t="str">
        <f>IF(E253="","",IF(_xlfn.XLOOKUP($A253,Selected_constraint_UC!$A:$A,Selected_constraint_UC!$D:$D)=1,"*",IF(SUMIFS('COM TECH'!$N:$N,'COM TECH'!$K:$K,E253,'COM TECH'!$L:$L,F253)=0,"*",IF(SUMIFS('COM RESID'!$O:$O,'COM RESID'!$H:$H,$E253,'COM RESID'!$I:$I,$F253)=0,"*","UC_MarketShare_"&amp;LEFT(F253,LEN(F253)-3)&amp;"_"&amp;RIGHT(E253,3)&amp;"_MIN"))))</f>
        <v>UC_MarketShare_COMOFFOldOE_ELC_MIN</v>
      </c>
      <c r="D253" s="12"/>
      <c r="E253" s="13" t="str">
        <f>_xlfn.XLOOKUP($A253,Selected_constraint_UC!$A:$A,Selected_constraint_UC!$B:$B)</f>
        <v>COMELC</v>
      </c>
      <c r="F253" s="13" t="str">
        <f>_xlfn.XLOOKUP($A253,Selected_constraint_UC!$A:$A,Selected_constraint_UC!$C:$C)</f>
        <v>COMOFFOldOEEUE</v>
      </c>
      <c r="G253" s="13" t="str">
        <f>F253</f>
        <v>COMOFFOldOEEUE</v>
      </c>
      <c r="H253" s="14">
        <v>2019</v>
      </c>
      <c r="I253" s="14" t="s">
        <v>3848</v>
      </c>
      <c r="J253" s="14">
        <v>1</v>
      </c>
      <c r="K253" s="15">
        <f>-ROUNDDOWN(SUMIFS('COM RESID'!$O:$O,'COM RESID'!$H:$H,$E253,'COM RESID'!$I:$I,$F253)/SUMIFS('COM RESID'!$O:$O,'COM RESID'!$I:$I,$F253),3)*O253</f>
        <v>-0.78105999999999998</v>
      </c>
      <c r="L253" s="14">
        <v>0</v>
      </c>
      <c r="M253" s="14">
        <v>5</v>
      </c>
      <c r="N253" s="10"/>
      <c r="O253" s="20">
        <v>0.98</v>
      </c>
      <c r="Q253" s="11" t="str">
        <f t="shared" si="60"/>
        <v>UC_MarketShare_COMOFFOldOE_ELC_MAX</v>
      </c>
      <c r="R253" s="12"/>
      <c r="S253" s="13" t="str">
        <f t="shared" si="62"/>
        <v>COMELC</v>
      </c>
      <c r="T253" s="13" t="str">
        <f t="shared" si="63"/>
        <v>COMOFFOldOEEUE</v>
      </c>
      <c r="U253" s="13" t="str">
        <f t="shared" si="64"/>
        <v>COMOFFOldOEEUE</v>
      </c>
      <c r="V253" s="14">
        <v>2019</v>
      </c>
      <c r="W253" s="14" t="s">
        <v>3849</v>
      </c>
      <c r="X253" s="14">
        <v>1</v>
      </c>
      <c r="Y253" s="15">
        <f>-ROUNDUP(MIN(SUMIFS('COM RESID'!$O:$O,'COM RESID'!$H:$H,$E253,'COM RESID'!$I:$I,$F253)/SUMIFS('COM RESID'!$O:$O,'COM RESID'!$I:$I,$F253)*AC253,1),3)</f>
        <v>-0.81399999999999995</v>
      </c>
      <c r="Z253" s="14">
        <v>0</v>
      </c>
      <c r="AA253" s="14">
        <v>5</v>
      </c>
      <c r="AB253" s="10"/>
      <c r="AC253" s="20">
        <v>1.02</v>
      </c>
    </row>
    <row r="254" spans="1:29" x14ac:dyDescent="0.25">
      <c r="A254" s="10">
        <f>A253</f>
        <v>63</v>
      </c>
      <c r="B254" s="10"/>
      <c r="C254" s="11" t="str">
        <f>IF(C253="*",C253,"")</f>
        <v/>
      </c>
      <c r="D254" s="12"/>
      <c r="E254" s="13" t="str">
        <f t="shared" ref="E254:G256" si="78">E253</f>
        <v>COMELC</v>
      </c>
      <c r="F254" s="13" t="str">
        <f t="shared" si="78"/>
        <v>COMOFFOldOEEUE</v>
      </c>
      <c r="G254" s="13" t="str">
        <f t="shared" si="78"/>
        <v>COMOFFOldOEEUE</v>
      </c>
      <c r="H254" s="14">
        <v>2025</v>
      </c>
      <c r="I254" s="14" t="str">
        <f>I253</f>
        <v>LO</v>
      </c>
      <c r="J254" s="14"/>
      <c r="K254" s="15">
        <f>-ROUNDDOWN(SUMIFS('COM RESID'!$O:$O,'COM RESID'!$H:$H,$E254,'COM RESID'!$I:$I,$F254)/SUMIFS('COM RESID'!$O:$O,'COM RESID'!$I:$I,$F254),3)*O254</f>
        <v>-0.63760000000000006</v>
      </c>
      <c r="L254" s="14"/>
      <c r="M254" s="14"/>
      <c r="N254" s="10"/>
      <c r="O254" s="20">
        <v>0.8</v>
      </c>
      <c r="Q254" s="11" t="str">
        <f t="shared" si="60"/>
        <v/>
      </c>
      <c r="R254" s="12"/>
      <c r="S254" s="13" t="str">
        <f t="shared" si="62"/>
        <v>COMELC</v>
      </c>
      <c r="T254" s="13" t="str">
        <f t="shared" si="63"/>
        <v>COMOFFOldOEEUE</v>
      </c>
      <c r="U254" s="13" t="str">
        <f t="shared" si="64"/>
        <v>COMOFFOldOEEUE</v>
      </c>
      <c r="V254" s="14">
        <v>2025</v>
      </c>
      <c r="W254" s="14" t="str">
        <f>W253</f>
        <v>UP</v>
      </c>
      <c r="X254" s="14"/>
      <c r="Y254" s="15">
        <f>-ROUNDUP(MIN(SUMIFS('COM RESID'!$O:$O,'COM RESID'!$H:$H,$E254,'COM RESID'!$I:$I,$F254)/SUMIFS('COM RESID'!$O:$O,'COM RESID'!$I:$I,$F254)*AC254,1),3)</f>
        <v>-0.95799999999999996</v>
      </c>
      <c r="Z254" s="14"/>
      <c r="AA254" s="14"/>
      <c r="AB254" s="10"/>
      <c r="AC254" s="20">
        <f>IF(S254="COMELC",IF(SUMIFS('COM RESID'!$O:$O,'COM RESID'!$H:$H,$E254,'COM RESID'!$I:$I,$F254)/SUMIFS('COM RESID'!$O:$O,'COM RESID'!$I:$I,$F254)*1.2&lt;0.25,0.25/(SUMIFS('COM RESID'!$O:$O,'COM RESID'!$H:$H,$E254,'COM RESID'!$I:$I,$F254)/SUMIFS('COM RESID'!$O:$O,'COM RESID'!$I:$I,$F254)),1.2),IF(ISNUMBER(SEARCH("WHEUE",T254)),IF(OR(S254="COMNGA",S254="COMFOI"),1,1.2),1.2))</f>
        <v>1.2</v>
      </c>
    </row>
    <row r="255" spans="1:29" x14ac:dyDescent="0.25">
      <c r="A255" s="10">
        <f>A254</f>
        <v>63</v>
      </c>
      <c r="B255" s="10"/>
      <c r="C255" s="11" t="str">
        <f>IF(C254="*",C254,"")</f>
        <v/>
      </c>
      <c r="D255" s="12"/>
      <c r="E255" s="13" t="str">
        <f t="shared" si="78"/>
        <v>COMELC</v>
      </c>
      <c r="F255" s="13" t="str">
        <f t="shared" si="78"/>
        <v>COMOFFOldOEEUE</v>
      </c>
      <c r="G255" s="13" t="str">
        <f t="shared" si="78"/>
        <v>COMOFFOldOEEUE</v>
      </c>
      <c r="H255" s="14">
        <v>2030</v>
      </c>
      <c r="I255" s="14" t="str">
        <f>I254</f>
        <v>LO</v>
      </c>
      <c r="J255" s="14"/>
      <c r="K255" s="15">
        <f>-ROUNDDOWN(SUMIFS('COM RESID'!$O:$O,'COM RESID'!$H:$H,$E255,'COM RESID'!$I:$I,$F255)/SUMIFS('COM RESID'!$O:$O,'COM RESID'!$I:$I,$F255),3)*O255</f>
        <v>-0.15940000000000001</v>
      </c>
      <c r="L255" s="14"/>
      <c r="M255" s="14"/>
      <c r="N255" s="10"/>
      <c r="O255" s="20">
        <v>0.2</v>
      </c>
      <c r="Q255" s="11" t="str">
        <f t="shared" si="60"/>
        <v/>
      </c>
      <c r="R255" s="12"/>
      <c r="S255" s="13" t="str">
        <f t="shared" si="62"/>
        <v>COMELC</v>
      </c>
      <c r="T255" s="13" t="str">
        <f t="shared" si="63"/>
        <v>COMOFFOldOEEUE</v>
      </c>
      <c r="U255" s="13" t="str">
        <f t="shared" si="64"/>
        <v>COMOFFOldOEEUE</v>
      </c>
      <c r="V255" s="14">
        <v>2030</v>
      </c>
      <c r="W255" s="14" t="str">
        <f>W254</f>
        <v>UP</v>
      </c>
      <c r="X255" s="14"/>
      <c r="Y255" s="15">
        <f>-ROUNDUP(MIN(SUMIFS('COM RESID'!$O:$O,'COM RESID'!$H:$H,$E255,'COM RESID'!$I:$I,$F255)/SUMIFS('COM RESID'!$O:$O,'COM RESID'!$I:$I,$F255)*AC255,1),3)</f>
        <v>-1</v>
      </c>
      <c r="Z255" s="14"/>
      <c r="AA255" s="14"/>
      <c r="AB255" s="10"/>
      <c r="AC255" s="20">
        <f>IF(S255="COMELC",IF(SUMIFS('COM RESID'!$O:$O,'COM RESID'!$H:$H,$E255,'COM RESID'!$I:$I,$F255)/SUMIFS('COM RESID'!$O:$O,'COM RESID'!$I:$I,$F255)*1.5&lt;0.5,0.5/(SUMIFS('COM RESID'!$O:$O,'COM RESID'!$H:$H,$E255,'COM RESID'!$I:$I,$F255)/SUMIFS('COM RESID'!$O:$O,'COM RESID'!$I:$I,$F255)),1.5),IF(ISNUMBER(SEARCH("WHEUE",T254)),IF(OR(S254="COMNGA",S254="COMFOI"),0.9,1.5),1.5))</f>
        <v>1.5</v>
      </c>
    </row>
    <row r="256" spans="1:29" x14ac:dyDescent="0.25">
      <c r="A256" s="26">
        <f>A255</f>
        <v>63</v>
      </c>
      <c r="B256" s="26"/>
      <c r="C256" s="21" t="str">
        <f>IF(C255="*",C255,"")</f>
        <v/>
      </c>
      <c r="D256" s="22"/>
      <c r="E256" s="23" t="str">
        <f t="shared" si="78"/>
        <v>COMELC</v>
      </c>
      <c r="F256" s="23" t="str">
        <f t="shared" si="78"/>
        <v>COMOFFOldOEEUE</v>
      </c>
      <c r="G256" s="23" t="str">
        <f t="shared" si="78"/>
        <v>COMOFFOldOEEUE</v>
      </c>
      <c r="H256" s="24">
        <v>2050</v>
      </c>
      <c r="I256" s="24" t="str">
        <f>I255</f>
        <v>LO</v>
      </c>
      <c r="J256" s="24"/>
      <c r="K256" s="25">
        <f>-ROUNDDOWN(SUMIFS('COM RESID'!$O:$O,'COM RESID'!$H:$H,$E256,'COM RESID'!$I:$I,$F256)/SUMIFS('COM RESID'!$O:$O,'COM RESID'!$I:$I,$F256),3)*O256</f>
        <v>0</v>
      </c>
      <c r="L256" s="24"/>
      <c r="M256" s="24"/>
      <c r="N256" s="26"/>
      <c r="O256" s="27">
        <v>0</v>
      </c>
      <c r="Q256" s="21" t="str">
        <f t="shared" si="60"/>
        <v/>
      </c>
      <c r="R256" s="22"/>
      <c r="S256" s="23" t="str">
        <f t="shared" si="62"/>
        <v>COMELC</v>
      </c>
      <c r="T256" s="23" t="str">
        <f t="shared" si="63"/>
        <v>COMOFFOldOEEUE</v>
      </c>
      <c r="U256" s="23" t="str">
        <f t="shared" si="64"/>
        <v>COMOFFOldOEEUE</v>
      </c>
      <c r="V256" s="24">
        <v>2050</v>
      </c>
      <c r="W256" s="24" t="str">
        <f>W255</f>
        <v>UP</v>
      </c>
      <c r="X256" s="24"/>
      <c r="Y256" s="25">
        <f>-ROUNDUP(MIN(SUMIFS('COM RESID'!$O:$O,'COM RESID'!$H:$H,$E256,'COM RESID'!$I:$I,$F256)/SUMIFS('COM RESID'!$O:$O,'COM RESID'!$I:$I,$F256)*AC256,1),3)</f>
        <v>-1</v>
      </c>
      <c r="Z256" s="24"/>
      <c r="AA256" s="24"/>
      <c r="AB256" s="26"/>
      <c r="AC256" s="27">
        <f>IF(S256="COMELC",IF(SUMIFS('COM RESID'!$O:$O,'COM RESID'!$H:$H,$E256,'COM RESID'!$I:$I,$F256)/SUMIFS('COM RESID'!$O:$O,'COM RESID'!$I:$I,$F256)*3&lt;1,1/(SUMIFS('COM RESID'!$O:$O,'COM RESID'!$H:$H,$E256,'COM RESID'!$I:$I,$F256)/SUMIFS('COM RESID'!$O:$O,'COM RESID'!$I:$I,$F256)),3),IF(ISNUMBER(SEARCH("WHEUE",T254)),IF(OR(S254="COMNGA",S254="COMFOI"),0.75,3),3))</f>
        <v>3</v>
      </c>
    </row>
    <row r="257" spans="1:29" x14ac:dyDescent="0.25">
      <c r="A257" s="19">
        <f>A253+1</f>
        <v>64</v>
      </c>
      <c r="B257" s="10"/>
      <c r="C257" s="11" t="str">
        <f>IF(E257="","",IF(_xlfn.XLOOKUP($A257,Selected_constraint_UC!$A:$A,Selected_constraint_UC!$D:$D)=1,"*",IF(SUMIFS('COM TECH'!$N:$N,'COM TECH'!$K:$K,E257,'COM TECH'!$L:$L,F257)=0,"*",IF(SUMIFS('COM RESID'!$O:$O,'COM RESID'!$H:$H,$E257,'COM RESID'!$I:$I,$F257)=0,"*","UC_MarketShare_"&amp;LEFT(F257,LEN(F257)-3)&amp;"_"&amp;RIGHT(E257,3)&amp;"_MIN"))))</f>
        <v>UC_MarketShare_COMHOPOldSH_ELC_MIN</v>
      </c>
      <c r="D257" s="12"/>
      <c r="E257" s="13" t="str">
        <f>_xlfn.XLOOKUP($A257,Selected_constraint_UC!$A:$A,Selected_constraint_UC!$B:$B)</f>
        <v>COMELC</v>
      </c>
      <c r="F257" s="13" t="str">
        <f>_xlfn.XLOOKUP($A257,Selected_constraint_UC!$A:$A,Selected_constraint_UC!$C:$C)</f>
        <v>COMHOPOldSHEUE</v>
      </c>
      <c r="G257" s="13" t="str">
        <f>F257</f>
        <v>COMHOPOldSHEUE</v>
      </c>
      <c r="H257" s="14">
        <v>2019</v>
      </c>
      <c r="I257" s="14" t="s">
        <v>3848</v>
      </c>
      <c r="J257" s="14">
        <v>1</v>
      </c>
      <c r="K257" s="15">
        <f>-ROUNDDOWN(SUMIFS('COM RESID'!$O:$O,'COM RESID'!$H:$H,$E257,'COM RESID'!$I:$I,$F257)/SUMIFS('COM RESID'!$O:$O,'COM RESID'!$I:$I,$F257),3)*O257</f>
        <v>-2.2539999999999998E-2</v>
      </c>
      <c r="L257" s="14">
        <v>0</v>
      </c>
      <c r="M257" s="14">
        <v>5</v>
      </c>
      <c r="N257" s="10"/>
      <c r="O257" s="20">
        <v>0.98</v>
      </c>
      <c r="Q257" s="11" t="str">
        <f t="shared" si="60"/>
        <v>UC_MarketShare_COMHOPOldSH_ELC_MAX</v>
      </c>
      <c r="R257" s="12"/>
      <c r="S257" s="13" t="str">
        <f t="shared" si="62"/>
        <v>COMELC</v>
      </c>
      <c r="T257" s="13" t="str">
        <f t="shared" si="63"/>
        <v>COMHOPOldSHEUE</v>
      </c>
      <c r="U257" s="13" t="str">
        <f t="shared" si="64"/>
        <v>COMHOPOldSHEUE</v>
      </c>
      <c r="V257" s="14">
        <v>2019</v>
      </c>
      <c r="W257" s="14" t="s">
        <v>3849</v>
      </c>
      <c r="X257" s="14">
        <v>1</v>
      </c>
      <c r="Y257" s="15">
        <f>-ROUNDUP(MIN(SUMIFS('COM RESID'!$O:$O,'COM RESID'!$H:$H,$E257,'COM RESID'!$I:$I,$F257)/SUMIFS('COM RESID'!$O:$O,'COM RESID'!$I:$I,$F257)*AC257,1),3)</f>
        <v>-2.5000000000000001E-2</v>
      </c>
      <c r="Z257" s="14">
        <v>0</v>
      </c>
      <c r="AA257" s="14">
        <v>5</v>
      </c>
      <c r="AB257" s="10"/>
      <c r="AC257" s="20">
        <v>1.02</v>
      </c>
    </row>
    <row r="258" spans="1:29" x14ac:dyDescent="0.25">
      <c r="A258" s="10">
        <f>A257</f>
        <v>64</v>
      </c>
      <c r="B258" s="10"/>
      <c r="C258" s="11" t="str">
        <f>IF(C257="*",C257,"")</f>
        <v/>
      </c>
      <c r="D258" s="12"/>
      <c r="E258" s="13" t="str">
        <f t="shared" ref="E258:G260" si="79">E257</f>
        <v>COMELC</v>
      </c>
      <c r="F258" s="13" t="str">
        <f t="shared" si="79"/>
        <v>COMHOPOldSHEUE</v>
      </c>
      <c r="G258" s="13" t="str">
        <f t="shared" si="79"/>
        <v>COMHOPOldSHEUE</v>
      </c>
      <c r="H258" s="14">
        <v>2025</v>
      </c>
      <c r="I258" s="14" t="str">
        <f>I257</f>
        <v>LO</v>
      </c>
      <c r="J258" s="14"/>
      <c r="K258" s="15">
        <f>-ROUNDDOWN(SUMIFS('COM RESID'!$O:$O,'COM RESID'!$H:$H,$E258,'COM RESID'!$I:$I,$F258)/SUMIFS('COM RESID'!$O:$O,'COM RESID'!$I:$I,$F258),3)*O258</f>
        <v>-1.84E-2</v>
      </c>
      <c r="L258" s="14"/>
      <c r="M258" s="14"/>
      <c r="N258" s="10"/>
      <c r="O258" s="20">
        <v>0.8</v>
      </c>
      <c r="Q258" s="11" t="str">
        <f t="shared" si="60"/>
        <v/>
      </c>
      <c r="R258" s="12"/>
      <c r="S258" s="13" t="str">
        <f t="shared" si="62"/>
        <v>COMELC</v>
      </c>
      <c r="T258" s="13" t="str">
        <f t="shared" si="63"/>
        <v>COMHOPOldSHEUE</v>
      </c>
      <c r="U258" s="13" t="str">
        <f t="shared" si="64"/>
        <v>COMHOPOldSHEUE</v>
      </c>
      <c r="V258" s="14">
        <v>2025</v>
      </c>
      <c r="W258" s="14" t="str">
        <f>W257</f>
        <v>UP</v>
      </c>
      <c r="X258" s="14"/>
      <c r="Y258" s="15">
        <f>-ROUNDUP(MIN(SUMIFS('COM RESID'!$O:$O,'COM RESID'!$H:$H,$E258,'COM RESID'!$I:$I,$F258)/SUMIFS('COM RESID'!$O:$O,'COM RESID'!$I:$I,$F258)*AC258,1),3)</f>
        <v>-0.25</v>
      </c>
      <c r="Z258" s="14"/>
      <c r="AA258" s="14"/>
      <c r="AB258" s="10"/>
      <c r="AC258" s="20">
        <f>IF(S258="COMELC",IF(SUMIFS('COM RESID'!$O:$O,'COM RESID'!$H:$H,$E258,'COM RESID'!$I:$I,$F258)/SUMIFS('COM RESID'!$O:$O,'COM RESID'!$I:$I,$F258)*1.2&lt;0.25,0.25/(SUMIFS('COM RESID'!$O:$O,'COM RESID'!$H:$H,$E258,'COM RESID'!$I:$I,$F258)/SUMIFS('COM RESID'!$O:$O,'COM RESID'!$I:$I,$F258)),1.2),IF(ISNUMBER(SEARCH("WHEUE",T258)),IF(OR(S258="COMNGA",S258="COMFOI"),1,1.2),1.2))</f>
        <v>10.511284126519953</v>
      </c>
    </row>
    <row r="259" spans="1:29" x14ac:dyDescent="0.25">
      <c r="A259" s="10">
        <f>A258</f>
        <v>64</v>
      </c>
      <c r="B259" s="10"/>
      <c r="C259" s="11" t="str">
        <f>IF(C258="*",C258,"")</f>
        <v/>
      </c>
      <c r="D259" s="12"/>
      <c r="E259" s="13" t="str">
        <f t="shared" si="79"/>
        <v>COMELC</v>
      </c>
      <c r="F259" s="13" t="str">
        <f t="shared" si="79"/>
        <v>COMHOPOldSHEUE</v>
      </c>
      <c r="G259" s="13" t="str">
        <f t="shared" si="79"/>
        <v>COMHOPOldSHEUE</v>
      </c>
      <c r="H259" s="14">
        <v>2030</v>
      </c>
      <c r="I259" s="14" t="str">
        <f>I258</f>
        <v>LO</v>
      </c>
      <c r="J259" s="14"/>
      <c r="K259" s="15">
        <f>-ROUNDDOWN(SUMIFS('COM RESID'!$O:$O,'COM RESID'!$H:$H,$E259,'COM RESID'!$I:$I,$F259)/SUMIFS('COM RESID'!$O:$O,'COM RESID'!$I:$I,$F259),3)*O259</f>
        <v>-1.7250000000000001E-2</v>
      </c>
      <c r="L259" s="14"/>
      <c r="M259" s="14"/>
      <c r="N259" s="10"/>
      <c r="O259" s="20">
        <v>0.75</v>
      </c>
      <c r="Q259" s="11" t="str">
        <f t="shared" si="60"/>
        <v/>
      </c>
      <c r="R259" s="12"/>
      <c r="S259" s="13" t="str">
        <f t="shared" si="62"/>
        <v>COMELC</v>
      </c>
      <c r="T259" s="13" t="str">
        <f t="shared" si="63"/>
        <v>COMHOPOldSHEUE</v>
      </c>
      <c r="U259" s="13" t="str">
        <f t="shared" si="64"/>
        <v>COMHOPOldSHEUE</v>
      </c>
      <c r="V259" s="14">
        <v>2030</v>
      </c>
      <c r="W259" s="14" t="str">
        <f>W258</f>
        <v>UP</v>
      </c>
      <c r="X259" s="14"/>
      <c r="Y259" s="15">
        <f>-ROUNDUP(MIN(SUMIFS('COM RESID'!$O:$O,'COM RESID'!$H:$H,$E259,'COM RESID'!$I:$I,$F259)/SUMIFS('COM RESID'!$O:$O,'COM RESID'!$I:$I,$F259)*AC259,1),3)</f>
        <v>-0.5</v>
      </c>
      <c r="Z259" s="14"/>
      <c r="AA259" s="14"/>
      <c r="AB259" s="10"/>
      <c r="AC259" s="20">
        <f>IF(S259="COMELC",IF(SUMIFS('COM RESID'!$O:$O,'COM RESID'!$H:$H,$E259,'COM RESID'!$I:$I,$F259)/SUMIFS('COM RESID'!$O:$O,'COM RESID'!$I:$I,$F259)*1.5&lt;0.5,0.5/(SUMIFS('COM RESID'!$O:$O,'COM RESID'!$H:$H,$E259,'COM RESID'!$I:$I,$F259)/SUMIFS('COM RESID'!$O:$O,'COM RESID'!$I:$I,$F259)),1.5),IF(ISNUMBER(SEARCH("WHEUE",T258)),IF(OR(S258="COMNGA",S258="COMFOI"),0.9,1.5),1.5))</f>
        <v>21.022568253039907</v>
      </c>
    </row>
    <row r="260" spans="1:29" x14ac:dyDescent="0.25">
      <c r="A260" s="26">
        <f>A259</f>
        <v>64</v>
      </c>
      <c r="B260" s="26"/>
      <c r="C260" s="21" t="str">
        <f>IF(C259="*",C259,"")</f>
        <v/>
      </c>
      <c r="D260" s="22"/>
      <c r="E260" s="23" t="str">
        <f t="shared" si="79"/>
        <v>COMELC</v>
      </c>
      <c r="F260" s="23" t="str">
        <f t="shared" si="79"/>
        <v>COMHOPOldSHEUE</v>
      </c>
      <c r="G260" s="23" t="str">
        <f t="shared" si="79"/>
        <v>COMHOPOldSHEUE</v>
      </c>
      <c r="H260" s="24">
        <v>2050</v>
      </c>
      <c r="I260" s="24" t="str">
        <f>I259</f>
        <v>LO</v>
      </c>
      <c r="J260" s="24"/>
      <c r="K260" s="25">
        <f>-ROUNDDOWN(SUMIFS('COM RESID'!$O:$O,'COM RESID'!$H:$H,$E260,'COM RESID'!$I:$I,$F260)/SUMIFS('COM RESID'!$O:$O,'COM RESID'!$I:$I,$F260),3)*O260</f>
        <v>-1.7250000000000001E-2</v>
      </c>
      <c r="L260" s="24"/>
      <c r="M260" s="24"/>
      <c r="N260" s="26"/>
      <c r="O260" s="27">
        <v>0.75</v>
      </c>
      <c r="Q260" s="21" t="str">
        <f t="shared" si="60"/>
        <v/>
      </c>
      <c r="R260" s="22"/>
      <c r="S260" s="23" t="str">
        <f t="shared" si="62"/>
        <v>COMELC</v>
      </c>
      <c r="T260" s="23" t="str">
        <f t="shared" si="63"/>
        <v>COMHOPOldSHEUE</v>
      </c>
      <c r="U260" s="23" t="str">
        <f t="shared" si="64"/>
        <v>COMHOPOldSHEUE</v>
      </c>
      <c r="V260" s="24">
        <v>2050</v>
      </c>
      <c r="W260" s="24" t="str">
        <f>W259</f>
        <v>UP</v>
      </c>
      <c r="X260" s="24"/>
      <c r="Y260" s="25">
        <f>-ROUNDUP(MIN(SUMIFS('COM RESID'!$O:$O,'COM RESID'!$H:$H,$E260,'COM RESID'!$I:$I,$F260)/SUMIFS('COM RESID'!$O:$O,'COM RESID'!$I:$I,$F260)*AC260,1),3)</f>
        <v>-1</v>
      </c>
      <c r="Z260" s="24"/>
      <c r="AA260" s="24"/>
      <c r="AB260" s="26"/>
      <c r="AC260" s="27">
        <f>IF(S260="COMELC",IF(SUMIFS('COM RESID'!$O:$O,'COM RESID'!$H:$H,$E260,'COM RESID'!$I:$I,$F260)/SUMIFS('COM RESID'!$O:$O,'COM RESID'!$I:$I,$F260)*3&lt;1,1/(SUMIFS('COM RESID'!$O:$O,'COM RESID'!$H:$H,$E260,'COM RESID'!$I:$I,$F260)/SUMIFS('COM RESID'!$O:$O,'COM RESID'!$I:$I,$F260)),3),IF(ISNUMBER(SEARCH("WHEUE",T258)),IF(OR(S258="COMNGA",S258="COMFOI"),0.75,3),3))</f>
        <v>42.045136506079814</v>
      </c>
    </row>
    <row r="261" spans="1:29" x14ac:dyDescent="0.25">
      <c r="A261" s="19">
        <f>A257+1</f>
        <v>65</v>
      </c>
      <c r="B261" s="10"/>
      <c r="C261" s="11" t="str">
        <f>IF(E261="","",IF(_xlfn.XLOOKUP($A261,Selected_constraint_UC!$A:$A,Selected_constraint_UC!$D:$D)=1,"*",IF(SUMIFS('COM TECH'!$N:$N,'COM TECH'!$K:$K,E261,'COM TECH'!$L:$L,F261)=0,"*",IF(SUMIFS('COM RESID'!$O:$O,'COM RESID'!$H:$H,$E261,'COM RESID'!$I:$I,$F261)=0,"*","UC_MarketShare_"&amp;LEFT(F261,LEN(F261)-3)&amp;"_"&amp;RIGHT(E261,3)&amp;"_MIN"))))</f>
        <v>UC_MarketShare_COMHOPOldSH_NGA_MIN</v>
      </c>
      <c r="D261" s="12"/>
      <c r="E261" s="13" t="str">
        <f>_xlfn.XLOOKUP($A261,Selected_constraint_UC!$A:$A,Selected_constraint_UC!$B:$B)</f>
        <v>COMNGA</v>
      </c>
      <c r="F261" s="13" t="str">
        <f>_xlfn.XLOOKUP($A261,Selected_constraint_UC!$A:$A,Selected_constraint_UC!$C:$C)</f>
        <v>COMHOPOldSHEUE</v>
      </c>
      <c r="G261" s="13" t="str">
        <f>F261</f>
        <v>COMHOPOldSHEUE</v>
      </c>
      <c r="H261" s="14">
        <v>2019</v>
      </c>
      <c r="I261" s="14" t="s">
        <v>3848</v>
      </c>
      <c r="J261" s="14">
        <v>1</v>
      </c>
      <c r="K261" s="15">
        <f>-ROUNDDOWN(SUMIFS('COM RESID'!$O:$O,'COM RESID'!$H:$H,$E261,'COM RESID'!$I:$I,$F261)/SUMIFS('COM RESID'!$O:$O,'COM RESID'!$I:$I,$F261),3)*O261</f>
        <v>-0.88983999999999996</v>
      </c>
      <c r="L261" s="14">
        <v>0</v>
      </c>
      <c r="M261" s="14">
        <v>5</v>
      </c>
      <c r="N261" s="10"/>
      <c r="O261" s="20">
        <v>0.98</v>
      </c>
      <c r="Q261" s="11" t="str">
        <f t="shared" ref="Q261:Q324" si="80">SUBSTITUTE(C261,"MIN","MAX")</f>
        <v>UC_MarketShare_COMHOPOldSH_NGA_MAX</v>
      </c>
      <c r="R261" s="12"/>
      <c r="S261" s="13" t="str">
        <f t="shared" si="62"/>
        <v>COMNGA</v>
      </c>
      <c r="T261" s="13" t="str">
        <f t="shared" si="63"/>
        <v>COMHOPOldSHEUE</v>
      </c>
      <c r="U261" s="13" t="str">
        <f t="shared" si="64"/>
        <v>COMHOPOldSHEUE</v>
      </c>
      <c r="V261" s="14">
        <v>2019</v>
      </c>
      <c r="W261" s="14" t="s">
        <v>3849</v>
      </c>
      <c r="X261" s="14">
        <v>1</v>
      </c>
      <c r="Y261" s="15">
        <f>-ROUNDUP(MIN(SUMIFS('COM RESID'!$O:$O,'COM RESID'!$H:$H,$E261,'COM RESID'!$I:$I,$F261)/SUMIFS('COM RESID'!$O:$O,'COM RESID'!$I:$I,$F261)*AC261,1),3)</f>
        <v>-0.92800000000000005</v>
      </c>
      <c r="Z261" s="14">
        <v>0</v>
      </c>
      <c r="AA261" s="14">
        <v>5</v>
      </c>
      <c r="AB261" s="10"/>
      <c r="AC261" s="20">
        <v>1.02</v>
      </c>
    </row>
    <row r="262" spans="1:29" x14ac:dyDescent="0.25">
      <c r="A262" s="10">
        <f>A261</f>
        <v>65</v>
      </c>
      <c r="B262" s="10"/>
      <c r="C262" s="11" t="str">
        <f>IF(C261="*",C261,"")</f>
        <v/>
      </c>
      <c r="D262" s="12"/>
      <c r="E262" s="13" t="str">
        <f t="shared" ref="E262:G264" si="81">E261</f>
        <v>COMNGA</v>
      </c>
      <c r="F262" s="13" t="str">
        <f t="shared" si="81"/>
        <v>COMHOPOldSHEUE</v>
      </c>
      <c r="G262" s="13" t="str">
        <f t="shared" si="81"/>
        <v>COMHOPOldSHEUE</v>
      </c>
      <c r="H262" s="14">
        <v>2025</v>
      </c>
      <c r="I262" s="14" t="str">
        <f>I261</f>
        <v>LO</v>
      </c>
      <c r="J262" s="14"/>
      <c r="K262" s="15">
        <f>-ROUNDDOWN(SUMIFS('COM RESID'!$O:$O,'COM RESID'!$H:$H,$E262,'COM RESID'!$I:$I,$F262)/SUMIFS('COM RESID'!$O:$O,'COM RESID'!$I:$I,$F262),3)*O262</f>
        <v>-0.72640000000000005</v>
      </c>
      <c r="L262" s="14"/>
      <c r="M262" s="14"/>
      <c r="N262" s="10"/>
      <c r="O262" s="20">
        <v>0.8</v>
      </c>
      <c r="Q262" s="11" t="str">
        <f t="shared" si="80"/>
        <v/>
      </c>
      <c r="R262" s="12"/>
      <c r="S262" s="13" t="str">
        <f t="shared" ref="S262:S325" si="82">E262</f>
        <v>COMNGA</v>
      </c>
      <c r="T262" s="13" t="str">
        <f t="shared" ref="T262:T325" si="83">F262</f>
        <v>COMHOPOldSHEUE</v>
      </c>
      <c r="U262" s="13" t="str">
        <f t="shared" ref="U262:U325" si="84">G262</f>
        <v>COMHOPOldSHEUE</v>
      </c>
      <c r="V262" s="14">
        <v>2025</v>
      </c>
      <c r="W262" s="14" t="str">
        <f>W261</f>
        <v>UP</v>
      </c>
      <c r="X262" s="14"/>
      <c r="Y262" s="15">
        <f>-ROUNDUP(MIN(SUMIFS('COM RESID'!$O:$O,'COM RESID'!$H:$H,$E262,'COM RESID'!$I:$I,$F262)/SUMIFS('COM RESID'!$O:$O,'COM RESID'!$I:$I,$F262)*AC262,1),3)</f>
        <v>-1</v>
      </c>
      <c r="Z262" s="14"/>
      <c r="AA262" s="14"/>
      <c r="AB262" s="10"/>
      <c r="AC262" s="20">
        <f>IF(S262="COMELC",IF(SUMIFS('COM RESID'!$O:$O,'COM RESID'!$H:$H,$E262,'COM RESID'!$I:$I,$F262)/SUMIFS('COM RESID'!$O:$O,'COM RESID'!$I:$I,$F262)*1.2&lt;0.25,0.25/(SUMIFS('COM RESID'!$O:$O,'COM RESID'!$H:$H,$E262,'COM RESID'!$I:$I,$F262)/SUMIFS('COM RESID'!$O:$O,'COM RESID'!$I:$I,$F262)),1.2),IF(ISNUMBER(SEARCH("WHEUE",T262)),IF(OR(S262="COMNGA",S262="COMFOI"),1,1.2),1.2))</f>
        <v>1.2</v>
      </c>
    </row>
    <row r="263" spans="1:29" x14ac:dyDescent="0.25">
      <c r="A263" s="10">
        <f>A262</f>
        <v>65</v>
      </c>
      <c r="B263" s="10"/>
      <c r="C263" s="11" t="str">
        <f>IF(C262="*",C262,"")</f>
        <v/>
      </c>
      <c r="D263" s="12"/>
      <c r="E263" s="13" t="str">
        <f t="shared" si="81"/>
        <v>COMNGA</v>
      </c>
      <c r="F263" s="13" t="str">
        <f t="shared" si="81"/>
        <v>COMHOPOldSHEUE</v>
      </c>
      <c r="G263" s="13" t="str">
        <f t="shared" si="81"/>
        <v>COMHOPOldSHEUE</v>
      </c>
      <c r="H263" s="14">
        <v>2030</v>
      </c>
      <c r="I263" s="14" t="str">
        <f>I262</f>
        <v>LO</v>
      </c>
      <c r="J263" s="14"/>
      <c r="K263" s="15">
        <f>-ROUNDDOWN(SUMIFS('COM RESID'!$O:$O,'COM RESID'!$H:$H,$E263,'COM RESID'!$I:$I,$F263)/SUMIFS('COM RESID'!$O:$O,'COM RESID'!$I:$I,$F263),3)*O263</f>
        <v>-0.18160000000000001</v>
      </c>
      <c r="L263" s="14"/>
      <c r="M263" s="14"/>
      <c r="N263" s="10"/>
      <c r="O263" s="20">
        <v>0.2</v>
      </c>
      <c r="Q263" s="11" t="str">
        <f t="shared" si="80"/>
        <v/>
      </c>
      <c r="R263" s="12"/>
      <c r="S263" s="13" t="str">
        <f t="shared" si="82"/>
        <v>COMNGA</v>
      </c>
      <c r="T263" s="13" t="str">
        <f t="shared" si="83"/>
        <v>COMHOPOldSHEUE</v>
      </c>
      <c r="U263" s="13" t="str">
        <f t="shared" si="84"/>
        <v>COMHOPOldSHEUE</v>
      </c>
      <c r="V263" s="14">
        <v>2030</v>
      </c>
      <c r="W263" s="14" t="str">
        <f>W262</f>
        <v>UP</v>
      </c>
      <c r="X263" s="14"/>
      <c r="Y263" s="15">
        <f>-ROUNDUP(MIN(SUMIFS('COM RESID'!$O:$O,'COM RESID'!$H:$H,$E263,'COM RESID'!$I:$I,$F263)/SUMIFS('COM RESID'!$O:$O,'COM RESID'!$I:$I,$F263)*AC263,1),3)</f>
        <v>-1</v>
      </c>
      <c r="Z263" s="14"/>
      <c r="AA263" s="14"/>
      <c r="AB263" s="10"/>
      <c r="AC263" s="20">
        <f>IF(S263="COMELC",IF(SUMIFS('COM RESID'!$O:$O,'COM RESID'!$H:$H,$E263,'COM RESID'!$I:$I,$F263)/SUMIFS('COM RESID'!$O:$O,'COM RESID'!$I:$I,$F263)*1.5&lt;0.5,0.5/(SUMIFS('COM RESID'!$O:$O,'COM RESID'!$H:$H,$E263,'COM RESID'!$I:$I,$F263)/SUMIFS('COM RESID'!$O:$O,'COM RESID'!$I:$I,$F263)),1.5),IF(ISNUMBER(SEARCH("WHEUE",T262)),IF(OR(S262="COMNGA",S262="COMFOI"),0.9,1.5),1.5))</f>
        <v>1.5</v>
      </c>
    </row>
    <row r="264" spans="1:29" x14ac:dyDescent="0.25">
      <c r="A264" s="26">
        <f>A263</f>
        <v>65</v>
      </c>
      <c r="B264" s="26"/>
      <c r="C264" s="21" t="str">
        <f>IF(C263="*",C263,"")</f>
        <v/>
      </c>
      <c r="D264" s="22"/>
      <c r="E264" s="23" t="str">
        <f t="shared" si="81"/>
        <v>COMNGA</v>
      </c>
      <c r="F264" s="23" t="str">
        <f t="shared" si="81"/>
        <v>COMHOPOldSHEUE</v>
      </c>
      <c r="G264" s="23" t="str">
        <f t="shared" si="81"/>
        <v>COMHOPOldSHEUE</v>
      </c>
      <c r="H264" s="24">
        <v>2050</v>
      </c>
      <c r="I264" s="24" t="str">
        <f>I263</f>
        <v>LO</v>
      </c>
      <c r="J264" s="24"/>
      <c r="K264" s="25">
        <f>-ROUNDDOWN(SUMIFS('COM RESID'!$O:$O,'COM RESID'!$H:$H,$E264,'COM RESID'!$I:$I,$F264)/SUMIFS('COM RESID'!$O:$O,'COM RESID'!$I:$I,$F264),3)*O264</f>
        <v>0</v>
      </c>
      <c r="L264" s="24"/>
      <c r="M264" s="24"/>
      <c r="N264" s="26"/>
      <c r="O264" s="27">
        <v>0</v>
      </c>
      <c r="Q264" s="21" t="str">
        <f t="shared" si="80"/>
        <v/>
      </c>
      <c r="R264" s="22"/>
      <c r="S264" s="23" t="str">
        <f t="shared" si="82"/>
        <v>COMNGA</v>
      </c>
      <c r="T264" s="23" t="str">
        <f t="shared" si="83"/>
        <v>COMHOPOldSHEUE</v>
      </c>
      <c r="U264" s="23" t="str">
        <f t="shared" si="84"/>
        <v>COMHOPOldSHEUE</v>
      </c>
      <c r="V264" s="24">
        <v>2050</v>
      </c>
      <c r="W264" s="24" t="str">
        <f>W263</f>
        <v>UP</v>
      </c>
      <c r="X264" s="24"/>
      <c r="Y264" s="25">
        <f>-ROUNDUP(MIN(SUMIFS('COM RESID'!$O:$O,'COM RESID'!$H:$H,$E264,'COM RESID'!$I:$I,$F264)/SUMIFS('COM RESID'!$O:$O,'COM RESID'!$I:$I,$F264)*AC264,1),3)</f>
        <v>-1</v>
      </c>
      <c r="Z264" s="24"/>
      <c r="AA264" s="24"/>
      <c r="AB264" s="26"/>
      <c r="AC264" s="27">
        <f>IF(S264="COMELC",IF(SUMIFS('COM RESID'!$O:$O,'COM RESID'!$H:$H,$E264,'COM RESID'!$I:$I,$F264)/SUMIFS('COM RESID'!$O:$O,'COM RESID'!$I:$I,$F264)*3&lt;1,1/(SUMIFS('COM RESID'!$O:$O,'COM RESID'!$H:$H,$E264,'COM RESID'!$I:$I,$F264)/SUMIFS('COM RESID'!$O:$O,'COM RESID'!$I:$I,$F264)),3),IF(ISNUMBER(SEARCH("WHEUE",T262)),IF(OR(S262="COMNGA",S262="COMFOI"),0.75,3),3))</f>
        <v>3</v>
      </c>
    </row>
    <row r="265" spans="1:29" x14ac:dyDescent="0.25">
      <c r="A265" s="19">
        <f>A261+1</f>
        <v>66</v>
      </c>
      <c r="B265" s="10"/>
      <c r="C265" s="11" t="str">
        <f>IF(E265="","",IF(_xlfn.XLOOKUP($A265,Selected_constraint_UC!$A:$A,Selected_constraint_UC!$D:$D)=1,"*",IF(SUMIFS('COM TECH'!$N:$N,'COM TECH'!$K:$K,E265,'COM TECH'!$L:$L,F265)=0,"*",IF(SUMIFS('COM RESID'!$O:$O,'COM RESID'!$H:$H,$E265,'COM RESID'!$I:$I,$F265)=0,"*","UC_MarketShare_"&amp;LEFT(F265,LEN(F265)-3)&amp;"_"&amp;RIGHT(E265,3)&amp;"_MIN"))))</f>
        <v>UC_MarketShare_COMHOPOldSH_FOI_MIN</v>
      </c>
      <c r="D265" s="12"/>
      <c r="E265" s="13" t="str">
        <f>_xlfn.XLOOKUP($A265,Selected_constraint_UC!$A:$A,Selected_constraint_UC!$B:$B)</f>
        <v>COMFOI</v>
      </c>
      <c r="F265" s="13" t="str">
        <f>_xlfn.XLOOKUP($A265,Selected_constraint_UC!$A:$A,Selected_constraint_UC!$C:$C)</f>
        <v>COMHOPOldSHEUE</v>
      </c>
      <c r="G265" s="13" t="str">
        <f>F265</f>
        <v>COMHOPOldSHEUE</v>
      </c>
      <c r="H265" s="14">
        <v>2019</v>
      </c>
      <c r="I265" s="14" t="s">
        <v>3848</v>
      </c>
      <c r="J265" s="14">
        <v>1</v>
      </c>
      <c r="K265" s="15">
        <f>-ROUNDDOWN(SUMIFS('COM RESID'!$O:$O,'COM RESID'!$H:$H,$E265,'COM RESID'!$I:$I,$F265)/SUMIFS('COM RESID'!$O:$O,'COM RESID'!$I:$I,$F265),3)*O265</f>
        <v>-3.8219999999999997E-2</v>
      </c>
      <c r="L265" s="14">
        <v>0</v>
      </c>
      <c r="M265" s="14">
        <v>5</v>
      </c>
      <c r="N265" s="10"/>
      <c r="O265" s="20">
        <v>0.98</v>
      </c>
      <c r="Q265" s="11" t="str">
        <f t="shared" si="80"/>
        <v>UC_MarketShare_COMHOPOldSH_FOI_MAX</v>
      </c>
      <c r="R265" s="12"/>
      <c r="S265" s="13" t="str">
        <f t="shared" si="82"/>
        <v>COMFOI</v>
      </c>
      <c r="T265" s="13" t="str">
        <f t="shared" si="83"/>
        <v>COMHOPOldSHEUE</v>
      </c>
      <c r="U265" s="13" t="str">
        <f t="shared" si="84"/>
        <v>COMHOPOldSHEUE</v>
      </c>
      <c r="V265" s="14">
        <v>2019</v>
      </c>
      <c r="W265" s="14" t="s">
        <v>3849</v>
      </c>
      <c r="X265" s="14">
        <v>1</v>
      </c>
      <c r="Y265" s="15">
        <f>-ROUNDUP(MIN(SUMIFS('COM RESID'!$O:$O,'COM RESID'!$H:$H,$E265,'COM RESID'!$I:$I,$F265)/SUMIFS('COM RESID'!$O:$O,'COM RESID'!$I:$I,$F265)*AC265,1),3)</f>
        <v>-4.1000000000000002E-2</v>
      </c>
      <c r="Z265" s="14">
        <v>0</v>
      </c>
      <c r="AA265" s="14">
        <v>5</v>
      </c>
      <c r="AB265" s="10"/>
      <c r="AC265" s="20">
        <v>1.02</v>
      </c>
    </row>
    <row r="266" spans="1:29" x14ac:dyDescent="0.25">
      <c r="A266" s="10">
        <f>A265</f>
        <v>66</v>
      </c>
      <c r="B266" s="10"/>
      <c r="C266" s="11" t="str">
        <f>IF(C265="*",C265,"")</f>
        <v/>
      </c>
      <c r="D266" s="12"/>
      <c r="E266" s="13" t="str">
        <f t="shared" ref="E266:G268" si="85">E265</f>
        <v>COMFOI</v>
      </c>
      <c r="F266" s="13" t="str">
        <f t="shared" si="85"/>
        <v>COMHOPOldSHEUE</v>
      </c>
      <c r="G266" s="13" t="str">
        <f t="shared" si="85"/>
        <v>COMHOPOldSHEUE</v>
      </c>
      <c r="H266" s="14">
        <v>2025</v>
      </c>
      <c r="I266" s="14" t="str">
        <f>I265</f>
        <v>LO</v>
      </c>
      <c r="J266" s="14"/>
      <c r="K266" s="15">
        <f>-ROUNDDOWN(SUMIFS('COM RESID'!$O:$O,'COM RESID'!$H:$H,$E266,'COM RESID'!$I:$I,$F266)/SUMIFS('COM RESID'!$O:$O,'COM RESID'!$I:$I,$F266),3)*O266</f>
        <v>-3.1200000000000002E-2</v>
      </c>
      <c r="L266" s="14"/>
      <c r="M266" s="14"/>
      <c r="N266" s="10"/>
      <c r="O266" s="20">
        <v>0.8</v>
      </c>
      <c r="Q266" s="11" t="str">
        <f t="shared" si="80"/>
        <v/>
      </c>
      <c r="R266" s="12"/>
      <c r="S266" s="13" t="str">
        <f t="shared" si="82"/>
        <v>COMFOI</v>
      </c>
      <c r="T266" s="13" t="str">
        <f t="shared" si="83"/>
        <v>COMHOPOldSHEUE</v>
      </c>
      <c r="U266" s="13" t="str">
        <f t="shared" si="84"/>
        <v>COMHOPOldSHEUE</v>
      </c>
      <c r="V266" s="14">
        <v>2025</v>
      </c>
      <c r="W266" s="14" t="str">
        <f>W265</f>
        <v>UP</v>
      </c>
      <c r="X266" s="14"/>
      <c r="Y266" s="15">
        <f>-ROUNDUP(MIN(SUMIFS('COM RESID'!$O:$O,'COM RESID'!$H:$H,$E266,'COM RESID'!$I:$I,$F266)/SUMIFS('COM RESID'!$O:$O,'COM RESID'!$I:$I,$F266)*AC266,1),3)</f>
        <v>-4.8000000000000001E-2</v>
      </c>
      <c r="Z266" s="14"/>
      <c r="AA266" s="14"/>
      <c r="AB266" s="10"/>
      <c r="AC266" s="20">
        <f>IF(S266="COMELC",IF(SUMIFS('COM RESID'!$O:$O,'COM RESID'!$H:$H,$E266,'COM RESID'!$I:$I,$F266)/SUMIFS('COM RESID'!$O:$O,'COM RESID'!$I:$I,$F266)*1.2&lt;0.25,0.25/(SUMIFS('COM RESID'!$O:$O,'COM RESID'!$H:$H,$E266,'COM RESID'!$I:$I,$F266)/SUMIFS('COM RESID'!$O:$O,'COM RESID'!$I:$I,$F266)),1.2),IF(ISNUMBER(SEARCH("WHEUE",T266)),IF(OR(S266="COMNGA",S266="COMFOI"),1,1.2),1.2))</f>
        <v>1.2</v>
      </c>
    </row>
    <row r="267" spans="1:29" x14ac:dyDescent="0.25">
      <c r="A267" s="10">
        <f>A266</f>
        <v>66</v>
      </c>
      <c r="B267" s="10"/>
      <c r="C267" s="11" t="str">
        <f>IF(C266="*",C266,"")</f>
        <v/>
      </c>
      <c r="D267" s="12"/>
      <c r="E267" s="13" t="str">
        <f t="shared" si="85"/>
        <v>COMFOI</v>
      </c>
      <c r="F267" s="13" t="str">
        <f t="shared" si="85"/>
        <v>COMHOPOldSHEUE</v>
      </c>
      <c r="G267" s="13" t="str">
        <f t="shared" si="85"/>
        <v>COMHOPOldSHEUE</v>
      </c>
      <c r="H267" s="14">
        <v>2030</v>
      </c>
      <c r="I267" s="14" t="str">
        <f>I266</f>
        <v>LO</v>
      </c>
      <c r="J267" s="14"/>
      <c r="K267" s="15">
        <f>-ROUNDDOWN(SUMIFS('COM RESID'!$O:$O,'COM RESID'!$H:$H,$E267,'COM RESID'!$I:$I,$F267)/SUMIFS('COM RESID'!$O:$O,'COM RESID'!$I:$I,$F267),3)*O267</f>
        <v>-7.8000000000000005E-3</v>
      </c>
      <c r="L267" s="14"/>
      <c r="M267" s="14"/>
      <c r="N267" s="10"/>
      <c r="O267" s="20">
        <v>0.2</v>
      </c>
      <c r="Q267" s="11" t="str">
        <f t="shared" si="80"/>
        <v/>
      </c>
      <c r="R267" s="12"/>
      <c r="S267" s="13" t="str">
        <f t="shared" si="82"/>
        <v>COMFOI</v>
      </c>
      <c r="T267" s="13" t="str">
        <f t="shared" si="83"/>
        <v>COMHOPOldSHEUE</v>
      </c>
      <c r="U267" s="13" t="str">
        <f t="shared" si="84"/>
        <v>COMHOPOldSHEUE</v>
      </c>
      <c r="V267" s="14">
        <v>2030</v>
      </c>
      <c r="W267" s="14" t="str">
        <f>W266</f>
        <v>UP</v>
      </c>
      <c r="X267" s="14"/>
      <c r="Y267" s="15">
        <f>-ROUNDUP(MIN(SUMIFS('COM RESID'!$O:$O,'COM RESID'!$H:$H,$E267,'COM RESID'!$I:$I,$F267)/SUMIFS('COM RESID'!$O:$O,'COM RESID'!$I:$I,$F267)*AC267,1),3)</f>
        <v>-5.9000000000000004E-2</v>
      </c>
      <c r="Z267" s="14"/>
      <c r="AA267" s="14"/>
      <c r="AB267" s="10"/>
      <c r="AC267" s="20">
        <f>IF(S267="COMELC",IF(SUMIFS('COM RESID'!$O:$O,'COM RESID'!$H:$H,$E267,'COM RESID'!$I:$I,$F267)/SUMIFS('COM RESID'!$O:$O,'COM RESID'!$I:$I,$F267)*1.5&lt;0.5,0.5/(SUMIFS('COM RESID'!$O:$O,'COM RESID'!$H:$H,$E267,'COM RESID'!$I:$I,$F267)/SUMIFS('COM RESID'!$O:$O,'COM RESID'!$I:$I,$F267)),1.5),IF(ISNUMBER(SEARCH("WHEUE",T266)),IF(OR(S266="COMNGA",S266="COMFOI"),0.9,1.5),1.5))</f>
        <v>1.5</v>
      </c>
    </row>
    <row r="268" spans="1:29" x14ac:dyDescent="0.25">
      <c r="A268" s="26">
        <f>A267</f>
        <v>66</v>
      </c>
      <c r="B268" s="26"/>
      <c r="C268" s="21" t="str">
        <f>IF(C267="*",C267,"")</f>
        <v/>
      </c>
      <c r="D268" s="22"/>
      <c r="E268" s="23" t="str">
        <f t="shared" si="85"/>
        <v>COMFOI</v>
      </c>
      <c r="F268" s="23" t="str">
        <f t="shared" si="85"/>
        <v>COMHOPOldSHEUE</v>
      </c>
      <c r="G268" s="23" t="str">
        <f t="shared" si="85"/>
        <v>COMHOPOldSHEUE</v>
      </c>
      <c r="H268" s="24">
        <v>2050</v>
      </c>
      <c r="I268" s="24" t="str">
        <f>I267</f>
        <v>LO</v>
      </c>
      <c r="J268" s="24"/>
      <c r="K268" s="25">
        <f>-ROUNDDOWN(SUMIFS('COM RESID'!$O:$O,'COM RESID'!$H:$H,$E268,'COM RESID'!$I:$I,$F268)/SUMIFS('COM RESID'!$O:$O,'COM RESID'!$I:$I,$F268),3)*O268</f>
        <v>0</v>
      </c>
      <c r="L268" s="24"/>
      <c r="M268" s="24"/>
      <c r="N268" s="26"/>
      <c r="O268" s="27">
        <v>0</v>
      </c>
      <c r="Q268" s="21" t="str">
        <f t="shared" si="80"/>
        <v/>
      </c>
      <c r="R268" s="22"/>
      <c r="S268" s="23" t="str">
        <f t="shared" si="82"/>
        <v>COMFOI</v>
      </c>
      <c r="T268" s="23" t="str">
        <f t="shared" si="83"/>
        <v>COMHOPOldSHEUE</v>
      </c>
      <c r="U268" s="23" t="str">
        <f t="shared" si="84"/>
        <v>COMHOPOldSHEUE</v>
      </c>
      <c r="V268" s="24">
        <v>2050</v>
      </c>
      <c r="W268" s="24" t="str">
        <f>W267</f>
        <v>UP</v>
      </c>
      <c r="X268" s="24"/>
      <c r="Y268" s="25">
        <f>-ROUNDUP(MIN(SUMIFS('COM RESID'!$O:$O,'COM RESID'!$H:$H,$E268,'COM RESID'!$I:$I,$F268)/SUMIFS('COM RESID'!$O:$O,'COM RESID'!$I:$I,$F268)*AC268,1),3)</f>
        <v>-0.11800000000000001</v>
      </c>
      <c r="Z268" s="24"/>
      <c r="AA268" s="24"/>
      <c r="AB268" s="26"/>
      <c r="AC268" s="27">
        <f>IF(S268="COMELC",IF(SUMIFS('COM RESID'!$O:$O,'COM RESID'!$H:$H,$E268,'COM RESID'!$I:$I,$F268)/SUMIFS('COM RESID'!$O:$O,'COM RESID'!$I:$I,$F268)*3&lt;1,1/(SUMIFS('COM RESID'!$O:$O,'COM RESID'!$H:$H,$E268,'COM RESID'!$I:$I,$F268)/SUMIFS('COM RESID'!$O:$O,'COM RESID'!$I:$I,$F268)),3),IF(ISNUMBER(SEARCH("WHEUE",T266)),IF(OR(S266="COMNGA",S266="COMFOI"),0.75,3),3))</f>
        <v>3</v>
      </c>
    </row>
    <row r="269" spans="1:29" x14ac:dyDescent="0.25">
      <c r="A269" s="19">
        <f>A265+1</f>
        <v>67</v>
      </c>
      <c r="B269" s="10"/>
      <c r="C269" s="11" t="str">
        <f>IF(E269="","",IF(_xlfn.XLOOKUP($A269,Selected_constraint_UC!$A:$A,Selected_constraint_UC!$D:$D)=1,"*",IF(SUMIFS('COM TECH'!$N:$N,'COM TECH'!$K:$K,E269,'COM TECH'!$L:$L,F269)=0,"*",IF(SUMIFS('COM RESID'!$O:$O,'COM RESID'!$H:$H,$E269,'COM RESID'!$I:$I,$F269)=0,"*","UC_MarketShare_"&amp;LEFT(F269,LEN(F269)-3)&amp;"_"&amp;RIGHT(E269,3)&amp;"_MIN"))))</f>
        <v>*</v>
      </c>
      <c r="D269" s="12"/>
      <c r="E269" s="13" t="str">
        <f>_xlfn.XLOOKUP($A269,Selected_constraint_UC!$A:$A,Selected_constraint_UC!$B:$B)</f>
        <v>COMLPG</v>
      </c>
      <c r="F269" s="13" t="str">
        <f>_xlfn.XLOOKUP($A269,Selected_constraint_UC!$A:$A,Selected_constraint_UC!$C:$C)</f>
        <v>COMHOPOldSHEUE</v>
      </c>
      <c r="G269" s="13" t="str">
        <f>F269</f>
        <v>COMHOPOldSHEUE</v>
      </c>
      <c r="H269" s="14">
        <v>2019</v>
      </c>
      <c r="I269" s="14" t="s">
        <v>3848</v>
      </c>
      <c r="J269" s="14">
        <v>1</v>
      </c>
      <c r="K269" s="15">
        <f>-ROUNDDOWN(SUMIFS('COM RESID'!$O:$O,'COM RESID'!$H:$H,$E269,'COM RESID'!$I:$I,$F269)/SUMIFS('COM RESID'!$O:$O,'COM RESID'!$I:$I,$F269),3)*O269</f>
        <v>0</v>
      </c>
      <c r="L269" s="14">
        <v>0</v>
      </c>
      <c r="M269" s="14">
        <v>5</v>
      </c>
      <c r="N269" s="10"/>
      <c r="O269" s="20">
        <v>0.98</v>
      </c>
      <c r="Q269" s="11" t="str">
        <f t="shared" si="80"/>
        <v>*</v>
      </c>
      <c r="R269" s="12"/>
      <c r="S269" s="13" t="str">
        <f t="shared" si="82"/>
        <v>COMLPG</v>
      </c>
      <c r="T269" s="13" t="str">
        <f t="shared" si="83"/>
        <v>COMHOPOldSHEUE</v>
      </c>
      <c r="U269" s="13" t="str">
        <f t="shared" si="84"/>
        <v>COMHOPOldSHEUE</v>
      </c>
      <c r="V269" s="14">
        <v>2019</v>
      </c>
      <c r="W269" s="14" t="s">
        <v>3849</v>
      </c>
      <c r="X269" s="14">
        <v>1</v>
      </c>
      <c r="Y269" s="15">
        <f>-ROUNDUP(MIN(SUMIFS('COM RESID'!$O:$O,'COM RESID'!$H:$H,$E269,'COM RESID'!$I:$I,$F269)/SUMIFS('COM RESID'!$O:$O,'COM RESID'!$I:$I,$F269)*AC269,1),3)</f>
        <v>0</v>
      </c>
      <c r="Z269" s="14">
        <v>0</v>
      </c>
      <c r="AA269" s="14">
        <v>5</v>
      </c>
      <c r="AB269" s="10"/>
      <c r="AC269" s="20">
        <v>1.02</v>
      </c>
    </row>
    <row r="270" spans="1:29" x14ac:dyDescent="0.25">
      <c r="A270" s="10">
        <f>A269</f>
        <v>67</v>
      </c>
      <c r="B270" s="10"/>
      <c r="C270" s="11" t="str">
        <f>IF(C269="*",C269,"")</f>
        <v>*</v>
      </c>
      <c r="D270" s="12"/>
      <c r="E270" s="13" t="str">
        <f t="shared" ref="E270:G272" si="86">E269</f>
        <v>COMLPG</v>
      </c>
      <c r="F270" s="13" t="str">
        <f t="shared" si="86"/>
        <v>COMHOPOldSHEUE</v>
      </c>
      <c r="G270" s="13" t="str">
        <f t="shared" si="86"/>
        <v>COMHOPOldSHEUE</v>
      </c>
      <c r="H270" s="14">
        <v>2025</v>
      </c>
      <c r="I270" s="14" t="str">
        <f>I269</f>
        <v>LO</v>
      </c>
      <c r="J270" s="14"/>
      <c r="K270" s="15">
        <f>-ROUNDDOWN(SUMIFS('COM RESID'!$O:$O,'COM RESID'!$H:$H,$E270,'COM RESID'!$I:$I,$F270)/SUMIFS('COM RESID'!$O:$O,'COM RESID'!$I:$I,$F270),3)*O270</f>
        <v>0</v>
      </c>
      <c r="L270" s="14"/>
      <c r="M270" s="14"/>
      <c r="N270" s="10"/>
      <c r="O270" s="20">
        <v>0.8</v>
      </c>
      <c r="Q270" s="11" t="str">
        <f t="shared" si="80"/>
        <v>*</v>
      </c>
      <c r="R270" s="12"/>
      <c r="S270" s="13" t="str">
        <f t="shared" si="82"/>
        <v>COMLPG</v>
      </c>
      <c r="T270" s="13" t="str">
        <f t="shared" si="83"/>
        <v>COMHOPOldSHEUE</v>
      </c>
      <c r="U270" s="13" t="str">
        <f t="shared" si="84"/>
        <v>COMHOPOldSHEUE</v>
      </c>
      <c r="V270" s="14">
        <v>2025</v>
      </c>
      <c r="W270" s="14" t="str">
        <f>W269</f>
        <v>UP</v>
      </c>
      <c r="X270" s="14"/>
      <c r="Y270" s="15">
        <f>-ROUNDUP(MIN(SUMIFS('COM RESID'!$O:$O,'COM RESID'!$H:$H,$E270,'COM RESID'!$I:$I,$F270)/SUMIFS('COM RESID'!$O:$O,'COM RESID'!$I:$I,$F270)*AC270,1),3)</f>
        <v>0</v>
      </c>
      <c r="Z270" s="14"/>
      <c r="AA270" s="14"/>
      <c r="AB270" s="10"/>
      <c r="AC270" s="20">
        <f>IF(S270="COMELC",IF(SUMIFS('COM RESID'!$O:$O,'COM RESID'!$H:$H,$E270,'COM RESID'!$I:$I,$F270)/SUMIFS('COM RESID'!$O:$O,'COM RESID'!$I:$I,$F270)*1.2&lt;0.25,0.25/(SUMIFS('COM RESID'!$O:$O,'COM RESID'!$H:$H,$E270,'COM RESID'!$I:$I,$F270)/SUMIFS('COM RESID'!$O:$O,'COM RESID'!$I:$I,$F270)),1.2),IF(ISNUMBER(SEARCH("WHEUE",T270)),IF(OR(S270="COMNGA",S270="COMFOI"),1,1.2),1.2))</f>
        <v>1.2</v>
      </c>
    </row>
    <row r="271" spans="1:29" x14ac:dyDescent="0.25">
      <c r="A271" s="10">
        <f>A270</f>
        <v>67</v>
      </c>
      <c r="B271" s="10"/>
      <c r="C271" s="11" t="str">
        <f>IF(C270="*",C270,"")</f>
        <v>*</v>
      </c>
      <c r="D271" s="12"/>
      <c r="E271" s="13" t="str">
        <f t="shared" si="86"/>
        <v>COMLPG</v>
      </c>
      <c r="F271" s="13" t="str">
        <f t="shared" si="86"/>
        <v>COMHOPOldSHEUE</v>
      </c>
      <c r="G271" s="13" t="str">
        <f t="shared" si="86"/>
        <v>COMHOPOldSHEUE</v>
      </c>
      <c r="H271" s="14">
        <v>2030</v>
      </c>
      <c r="I271" s="14" t="str">
        <f>I270</f>
        <v>LO</v>
      </c>
      <c r="J271" s="14"/>
      <c r="K271" s="15">
        <f>-ROUNDDOWN(SUMIFS('COM RESID'!$O:$O,'COM RESID'!$H:$H,$E271,'COM RESID'!$I:$I,$F271)/SUMIFS('COM RESID'!$O:$O,'COM RESID'!$I:$I,$F271),3)*O271</f>
        <v>0</v>
      </c>
      <c r="L271" s="14"/>
      <c r="M271" s="14"/>
      <c r="N271" s="10"/>
      <c r="O271" s="20">
        <v>0.2</v>
      </c>
      <c r="Q271" s="11" t="str">
        <f t="shared" si="80"/>
        <v>*</v>
      </c>
      <c r="R271" s="12"/>
      <c r="S271" s="13" t="str">
        <f t="shared" si="82"/>
        <v>COMLPG</v>
      </c>
      <c r="T271" s="13" t="str">
        <f t="shared" si="83"/>
        <v>COMHOPOldSHEUE</v>
      </c>
      <c r="U271" s="13" t="str">
        <f t="shared" si="84"/>
        <v>COMHOPOldSHEUE</v>
      </c>
      <c r="V271" s="14">
        <v>2030</v>
      </c>
      <c r="W271" s="14" t="str">
        <f>W270</f>
        <v>UP</v>
      </c>
      <c r="X271" s="14"/>
      <c r="Y271" s="15">
        <f>-ROUNDUP(MIN(SUMIFS('COM RESID'!$O:$O,'COM RESID'!$H:$H,$E271,'COM RESID'!$I:$I,$F271)/SUMIFS('COM RESID'!$O:$O,'COM RESID'!$I:$I,$F271)*AC271,1),3)</f>
        <v>0</v>
      </c>
      <c r="Z271" s="14"/>
      <c r="AA271" s="14"/>
      <c r="AB271" s="10"/>
      <c r="AC271" s="20">
        <f>IF(S271="COMELC",IF(SUMIFS('COM RESID'!$O:$O,'COM RESID'!$H:$H,$E271,'COM RESID'!$I:$I,$F271)/SUMIFS('COM RESID'!$O:$O,'COM RESID'!$I:$I,$F271)*1.5&lt;0.5,0.5/(SUMIFS('COM RESID'!$O:$O,'COM RESID'!$H:$H,$E271,'COM RESID'!$I:$I,$F271)/SUMIFS('COM RESID'!$O:$O,'COM RESID'!$I:$I,$F271)),1.5),IF(ISNUMBER(SEARCH("WHEUE",T270)),IF(OR(S270="COMNGA",S270="COMFOI"),0.9,1.5),1.5))</f>
        <v>1.5</v>
      </c>
    </row>
    <row r="272" spans="1:29" x14ac:dyDescent="0.25">
      <c r="A272" s="26">
        <f>A271</f>
        <v>67</v>
      </c>
      <c r="B272" s="26"/>
      <c r="C272" s="21" t="str">
        <f>IF(C271="*",C271,"")</f>
        <v>*</v>
      </c>
      <c r="D272" s="22"/>
      <c r="E272" s="23" t="str">
        <f t="shared" si="86"/>
        <v>COMLPG</v>
      </c>
      <c r="F272" s="23" t="str">
        <f t="shared" si="86"/>
        <v>COMHOPOldSHEUE</v>
      </c>
      <c r="G272" s="23" t="str">
        <f t="shared" si="86"/>
        <v>COMHOPOldSHEUE</v>
      </c>
      <c r="H272" s="24">
        <v>2050</v>
      </c>
      <c r="I272" s="24" t="str">
        <f>I271</f>
        <v>LO</v>
      </c>
      <c r="J272" s="24"/>
      <c r="K272" s="25">
        <f>-ROUNDDOWN(SUMIFS('COM RESID'!$O:$O,'COM RESID'!$H:$H,$E272,'COM RESID'!$I:$I,$F272)/SUMIFS('COM RESID'!$O:$O,'COM RESID'!$I:$I,$F272),3)*O272</f>
        <v>0</v>
      </c>
      <c r="L272" s="24"/>
      <c r="M272" s="24"/>
      <c r="N272" s="26"/>
      <c r="O272" s="27">
        <v>0</v>
      </c>
      <c r="Q272" s="21" t="str">
        <f t="shared" si="80"/>
        <v>*</v>
      </c>
      <c r="R272" s="22"/>
      <c r="S272" s="23" t="str">
        <f t="shared" si="82"/>
        <v>COMLPG</v>
      </c>
      <c r="T272" s="23" t="str">
        <f t="shared" si="83"/>
        <v>COMHOPOldSHEUE</v>
      </c>
      <c r="U272" s="23" t="str">
        <f t="shared" si="84"/>
        <v>COMHOPOldSHEUE</v>
      </c>
      <c r="V272" s="24">
        <v>2050</v>
      </c>
      <c r="W272" s="24" t="str">
        <f>W271</f>
        <v>UP</v>
      </c>
      <c r="X272" s="24"/>
      <c r="Y272" s="25">
        <f>-ROUNDUP(MIN(SUMIFS('COM RESID'!$O:$O,'COM RESID'!$H:$H,$E272,'COM RESID'!$I:$I,$F272)/SUMIFS('COM RESID'!$O:$O,'COM RESID'!$I:$I,$F272)*AC272,1),3)</f>
        <v>0</v>
      </c>
      <c r="Z272" s="24"/>
      <c r="AA272" s="24"/>
      <c r="AB272" s="26"/>
      <c r="AC272" s="27">
        <f>IF(S272="COMELC",IF(SUMIFS('COM RESID'!$O:$O,'COM RESID'!$H:$H,$E272,'COM RESID'!$I:$I,$F272)/SUMIFS('COM RESID'!$O:$O,'COM RESID'!$I:$I,$F272)*3&lt;1,1/(SUMIFS('COM RESID'!$O:$O,'COM RESID'!$H:$H,$E272,'COM RESID'!$I:$I,$F272)/SUMIFS('COM RESID'!$O:$O,'COM RESID'!$I:$I,$F272)),3),IF(ISNUMBER(SEARCH("WHEUE",T270)),IF(OR(S270="COMNGA",S270="COMFOI"),0.75,3),3))</f>
        <v>3</v>
      </c>
    </row>
    <row r="273" spans="1:29" x14ac:dyDescent="0.25">
      <c r="A273" s="19">
        <f>A269+1</f>
        <v>68</v>
      </c>
      <c r="B273" s="10"/>
      <c r="C273" s="11" t="str">
        <f>IF(E273="","",IF(_xlfn.XLOOKUP($A273,Selected_constraint_UC!$A:$A,Selected_constraint_UC!$D:$D)=1,"*",IF(SUMIFS('COM TECH'!$N:$N,'COM TECH'!$K:$K,E273,'COM TECH'!$L:$L,F273)=0,"*",IF(SUMIFS('COM RESID'!$O:$O,'COM RESID'!$H:$H,$E273,'COM RESID'!$I:$I,$F273)=0,"*","UC_MarketShare_"&amp;LEFT(F273,LEN(F273)-3)&amp;"_"&amp;RIGHT(E273,3)&amp;"_MIN"))))</f>
        <v>*</v>
      </c>
      <c r="D273" s="12"/>
      <c r="E273" s="13" t="str">
        <f>_xlfn.XLOOKUP($A273,Selected_constraint_UC!$A:$A,Selected_constraint_UC!$B:$B)</f>
        <v>COMSTM</v>
      </c>
      <c r="F273" s="13" t="str">
        <f>_xlfn.XLOOKUP($A273,Selected_constraint_UC!$A:$A,Selected_constraint_UC!$C:$C)</f>
        <v>COMHOPOldSHEUE</v>
      </c>
      <c r="G273" s="13" t="str">
        <f>F273</f>
        <v>COMHOPOldSHEUE</v>
      </c>
      <c r="H273" s="14">
        <v>2019</v>
      </c>
      <c r="I273" s="14" t="s">
        <v>3848</v>
      </c>
      <c r="J273" s="14">
        <v>1</v>
      </c>
      <c r="K273" s="15">
        <f>-ROUNDDOWN(SUMIFS('COM RESID'!$O:$O,'COM RESID'!$H:$H,$E273,'COM RESID'!$I:$I,$F273)/SUMIFS('COM RESID'!$O:$O,'COM RESID'!$I:$I,$F273),3)*O273</f>
        <v>-2.7439999999999999E-2</v>
      </c>
      <c r="L273" s="14">
        <v>0</v>
      </c>
      <c r="M273" s="14">
        <v>5</v>
      </c>
      <c r="N273" s="10"/>
      <c r="O273" s="20">
        <v>0.98</v>
      </c>
      <c r="Q273" s="11" t="str">
        <f t="shared" si="80"/>
        <v>*</v>
      </c>
      <c r="R273" s="12"/>
      <c r="S273" s="13" t="str">
        <f t="shared" si="82"/>
        <v>COMSTM</v>
      </c>
      <c r="T273" s="13" t="str">
        <f t="shared" si="83"/>
        <v>COMHOPOldSHEUE</v>
      </c>
      <c r="U273" s="13" t="str">
        <f t="shared" si="84"/>
        <v>COMHOPOldSHEUE</v>
      </c>
      <c r="V273" s="14">
        <v>2019</v>
      </c>
      <c r="W273" s="14" t="s">
        <v>3849</v>
      </c>
      <c r="X273" s="14">
        <v>1</v>
      </c>
      <c r="Y273" s="15">
        <f>-ROUNDUP(MIN(SUMIFS('COM RESID'!$O:$O,'COM RESID'!$H:$H,$E273,'COM RESID'!$I:$I,$F273)/SUMIFS('COM RESID'!$O:$O,'COM RESID'!$I:$I,$F273)*AC273,1),3)</f>
        <v>-2.9000000000000001E-2</v>
      </c>
      <c r="Z273" s="14">
        <v>0</v>
      </c>
      <c r="AA273" s="14">
        <v>5</v>
      </c>
      <c r="AB273" s="10"/>
      <c r="AC273" s="20">
        <v>1.02</v>
      </c>
    </row>
    <row r="274" spans="1:29" x14ac:dyDescent="0.25">
      <c r="A274" s="10">
        <f>A273</f>
        <v>68</v>
      </c>
      <c r="B274" s="10"/>
      <c r="C274" s="11" t="str">
        <f>IF(C273="*",C273,"")</f>
        <v>*</v>
      </c>
      <c r="D274" s="12"/>
      <c r="E274" s="13" t="str">
        <f t="shared" ref="E274:G276" si="87">E273</f>
        <v>COMSTM</v>
      </c>
      <c r="F274" s="13" t="str">
        <f t="shared" si="87"/>
        <v>COMHOPOldSHEUE</v>
      </c>
      <c r="G274" s="13" t="str">
        <f t="shared" si="87"/>
        <v>COMHOPOldSHEUE</v>
      </c>
      <c r="H274" s="14">
        <v>2025</v>
      </c>
      <c r="I274" s="14" t="str">
        <f>I273</f>
        <v>LO</v>
      </c>
      <c r="J274" s="14"/>
      <c r="K274" s="15">
        <f>-ROUNDDOWN(SUMIFS('COM RESID'!$O:$O,'COM RESID'!$H:$H,$E274,'COM RESID'!$I:$I,$F274)/SUMIFS('COM RESID'!$O:$O,'COM RESID'!$I:$I,$F274),3)*O274</f>
        <v>-2.2400000000000003E-2</v>
      </c>
      <c r="L274" s="14"/>
      <c r="M274" s="14"/>
      <c r="N274" s="10"/>
      <c r="O274" s="20">
        <v>0.8</v>
      </c>
      <c r="Q274" s="11" t="str">
        <f t="shared" si="80"/>
        <v>*</v>
      </c>
      <c r="R274" s="12"/>
      <c r="S274" s="13" t="str">
        <f t="shared" si="82"/>
        <v>COMSTM</v>
      </c>
      <c r="T274" s="13" t="str">
        <f t="shared" si="83"/>
        <v>COMHOPOldSHEUE</v>
      </c>
      <c r="U274" s="13" t="str">
        <f t="shared" si="84"/>
        <v>COMHOPOldSHEUE</v>
      </c>
      <c r="V274" s="14">
        <v>2025</v>
      </c>
      <c r="W274" s="14" t="str">
        <f>W273</f>
        <v>UP</v>
      </c>
      <c r="X274" s="14"/>
      <c r="Y274" s="15">
        <f>-ROUNDUP(MIN(SUMIFS('COM RESID'!$O:$O,'COM RESID'!$H:$H,$E274,'COM RESID'!$I:$I,$F274)/SUMIFS('COM RESID'!$O:$O,'COM RESID'!$I:$I,$F274)*AC274,1),3)</f>
        <v>-3.4000000000000002E-2</v>
      </c>
      <c r="Z274" s="14"/>
      <c r="AA274" s="14"/>
      <c r="AB274" s="10"/>
      <c r="AC274" s="20">
        <f>IF(S274="COMELC",IF(SUMIFS('COM RESID'!$O:$O,'COM RESID'!$H:$H,$E274,'COM RESID'!$I:$I,$F274)/SUMIFS('COM RESID'!$O:$O,'COM RESID'!$I:$I,$F274)*1.2&lt;0.25,0.25/(SUMIFS('COM RESID'!$O:$O,'COM RESID'!$H:$H,$E274,'COM RESID'!$I:$I,$F274)/SUMIFS('COM RESID'!$O:$O,'COM RESID'!$I:$I,$F274)),1.2),IF(ISNUMBER(SEARCH("WHEUE",T274)),IF(OR(S274="COMNGA",S274="COMFOI"),1,1.2),1.2))</f>
        <v>1.2</v>
      </c>
    </row>
    <row r="275" spans="1:29" x14ac:dyDescent="0.25">
      <c r="A275" s="10">
        <f>A274</f>
        <v>68</v>
      </c>
      <c r="B275" s="10"/>
      <c r="C275" s="11" t="str">
        <f>IF(C274="*",C274,"")</f>
        <v>*</v>
      </c>
      <c r="D275" s="12"/>
      <c r="E275" s="13" t="str">
        <f t="shared" si="87"/>
        <v>COMSTM</v>
      </c>
      <c r="F275" s="13" t="str">
        <f t="shared" si="87"/>
        <v>COMHOPOldSHEUE</v>
      </c>
      <c r="G275" s="13" t="str">
        <f t="shared" si="87"/>
        <v>COMHOPOldSHEUE</v>
      </c>
      <c r="H275" s="14">
        <v>2030</v>
      </c>
      <c r="I275" s="14" t="str">
        <f>I274</f>
        <v>LO</v>
      </c>
      <c r="J275" s="14"/>
      <c r="K275" s="15">
        <f>-ROUNDDOWN(SUMIFS('COM RESID'!$O:$O,'COM RESID'!$H:$H,$E275,'COM RESID'!$I:$I,$F275)/SUMIFS('COM RESID'!$O:$O,'COM RESID'!$I:$I,$F275),3)*O275</f>
        <v>-5.6000000000000008E-3</v>
      </c>
      <c r="L275" s="14"/>
      <c r="M275" s="14"/>
      <c r="N275" s="10"/>
      <c r="O275" s="20">
        <v>0.2</v>
      </c>
      <c r="Q275" s="11" t="str">
        <f t="shared" si="80"/>
        <v>*</v>
      </c>
      <c r="R275" s="12"/>
      <c r="S275" s="13" t="str">
        <f t="shared" si="82"/>
        <v>COMSTM</v>
      </c>
      <c r="T275" s="13" t="str">
        <f t="shared" si="83"/>
        <v>COMHOPOldSHEUE</v>
      </c>
      <c r="U275" s="13" t="str">
        <f t="shared" si="84"/>
        <v>COMHOPOldSHEUE</v>
      </c>
      <c r="V275" s="14">
        <v>2030</v>
      </c>
      <c r="W275" s="14" t="str">
        <f>W274</f>
        <v>UP</v>
      </c>
      <c r="X275" s="14"/>
      <c r="Y275" s="15">
        <f>-ROUNDUP(MIN(SUMIFS('COM RESID'!$O:$O,'COM RESID'!$H:$H,$E275,'COM RESID'!$I:$I,$F275)/SUMIFS('COM RESID'!$O:$O,'COM RESID'!$I:$I,$F275)*AC275,1),3)</f>
        <v>-4.3000000000000003E-2</v>
      </c>
      <c r="Z275" s="14"/>
      <c r="AA275" s="14"/>
      <c r="AB275" s="10"/>
      <c r="AC275" s="20">
        <f>IF(S275="COMELC",IF(SUMIFS('COM RESID'!$O:$O,'COM RESID'!$H:$H,$E275,'COM RESID'!$I:$I,$F275)/SUMIFS('COM RESID'!$O:$O,'COM RESID'!$I:$I,$F275)*1.5&lt;0.5,0.5/(SUMIFS('COM RESID'!$O:$O,'COM RESID'!$H:$H,$E275,'COM RESID'!$I:$I,$F275)/SUMIFS('COM RESID'!$O:$O,'COM RESID'!$I:$I,$F275)),1.5),IF(ISNUMBER(SEARCH("WHEUE",T274)),IF(OR(S274="COMNGA",S274="COMFOI"),0.9,1.5),1.5))</f>
        <v>1.5</v>
      </c>
    </row>
    <row r="276" spans="1:29" x14ac:dyDescent="0.25">
      <c r="A276" s="26">
        <f>A275</f>
        <v>68</v>
      </c>
      <c r="B276" s="26"/>
      <c r="C276" s="21" t="str">
        <f>IF(C275="*",C275,"")</f>
        <v>*</v>
      </c>
      <c r="D276" s="22"/>
      <c r="E276" s="23" t="str">
        <f t="shared" si="87"/>
        <v>COMSTM</v>
      </c>
      <c r="F276" s="23" t="str">
        <f t="shared" si="87"/>
        <v>COMHOPOldSHEUE</v>
      </c>
      <c r="G276" s="23" t="str">
        <f t="shared" si="87"/>
        <v>COMHOPOldSHEUE</v>
      </c>
      <c r="H276" s="24">
        <v>2050</v>
      </c>
      <c r="I276" s="24" t="str">
        <f>I275</f>
        <v>LO</v>
      </c>
      <c r="J276" s="24"/>
      <c r="K276" s="25">
        <f>-ROUNDDOWN(SUMIFS('COM RESID'!$O:$O,'COM RESID'!$H:$H,$E276,'COM RESID'!$I:$I,$F276)/SUMIFS('COM RESID'!$O:$O,'COM RESID'!$I:$I,$F276),3)*O276</f>
        <v>0</v>
      </c>
      <c r="L276" s="24"/>
      <c r="M276" s="24"/>
      <c r="N276" s="26"/>
      <c r="O276" s="27">
        <v>0</v>
      </c>
      <c r="Q276" s="21" t="str">
        <f t="shared" si="80"/>
        <v>*</v>
      </c>
      <c r="R276" s="22"/>
      <c r="S276" s="23" t="str">
        <f t="shared" si="82"/>
        <v>COMSTM</v>
      </c>
      <c r="T276" s="23" t="str">
        <f t="shared" si="83"/>
        <v>COMHOPOldSHEUE</v>
      </c>
      <c r="U276" s="23" t="str">
        <f t="shared" si="84"/>
        <v>COMHOPOldSHEUE</v>
      </c>
      <c r="V276" s="24">
        <v>2050</v>
      </c>
      <c r="W276" s="24" t="str">
        <f>W275</f>
        <v>UP</v>
      </c>
      <c r="X276" s="24"/>
      <c r="Y276" s="25">
        <f>-ROUNDUP(MIN(SUMIFS('COM RESID'!$O:$O,'COM RESID'!$H:$H,$E276,'COM RESID'!$I:$I,$F276)/SUMIFS('COM RESID'!$O:$O,'COM RESID'!$I:$I,$F276)*AC276,1),3)</f>
        <v>-8.5000000000000006E-2</v>
      </c>
      <c r="Z276" s="24"/>
      <c r="AA276" s="24"/>
      <c r="AB276" s="26"/>
      <c r="AC276" s="27">
        <f>IF(S276="COMELC",IF(SUMIFS('COM RESID'!$O:$O,'COM RESID'!$H:$H,$E276,'COM RESID'!$I:$I,$F276)/SUMIFS('COM RESID'!$O:$O,'COM RESID'!$I:$I,$F276)*3&lt;1,1/(SUMIFS('COM RESID'!$O:$O,'COM RESID'!$H:$H,$E276,'COM RESID'!$I:$I,$F276)/SUMIFS('COM RESID'!$O:$O,'COM RESID'!$I:$I,$F276)),3),IF(ISNUMBER(SEARCH("WHEUE",T274)),IF(OR(S274="COMNGA",S274="COMFOI"),0.75,3),3))</f>
        <v>3</v>
      </c>
    </row>
    <row r="277" spans="1:29" x14ac:dyDescent="0.25">
      <c r="A277" s="19">
        <f>A273+1</f>
        <v>69</v>
      </c>
      <c r="B277" s="10"/>
      <c r="C277" s="11" t="str">
        <f>IF(E277="","",IF(_xlfn.XLOOKUP($A277,Selected_constraint_UC!$A:$A,Selected_constraint_UC!$D:$D)=1,"*",IF(SUMIFS('COM TECH'!$N:$N,'COM TECH'!$K:$K,E277,'COM TECH'!$L:$L,F277)=0,"*",IF(SUMIFS('COM RESID'!$O:$O,'COM RESID'!$H:$H,$E277,'COM RESID'!$I:$I,$F277)=0,"*","UC_MarketShare_"&amp;LEFT(F277,LEN(F277)-3)&amp;"_"&amp;RIGHT(E277,3)&amp;"_MIN"))))</f>
        <v>UC_MarketShare_COMHOPOldSC_ELC_MIN</v>
      </c>
      <c r="D277" s="12"/>
      <c r="E277" s="13" t="str">
        <f>_xlfn.XLOOKUP($A277,Selected_constraint_UC!$A:$A,Selected_constraint_UC!$B:$B)</f>
        <v>COMELC</v>
      </c>
      <c r="F277" s="13" t="str">
        <f>_xlfn.XLOOKUP($A277,Selected_constraint_UC!$A:$A,Selected_constraint_UC!$C:$C)</f>
        <v>COMHOPOldSCEUE</v>
      </c>
      <c r="G277" s="13" t="str">
        <f>F277</f>
        <v>COMHOPOldSCEUE</v>
      </c>
      <c r="H277" s="14">
        <v>2019</v>
      </c>
      <c r="I277" s="14" t="s">
        <v>3848</v>
      </c>
      <c r="J277" s="14">
        <v>1</v>
      </c>
      <c r="K277" s="15">
        <f>-ROUNDDOWN(SUMIFS('COM RESID'!$O:$O,'COM RESID'!$H:$H,$E277,'COM RESID'!$I:$I,$F277)/SUMIFS('COM RESID'!$O:$O,'COM RESID'!$I:$I,$F277),3)*O277</f>
        <v>-0.98</v>
      </c>
      <c r="L277" s="14">
        <v>0</v>
      </c>
      <c r="M277" s="14">
        <v>5</v>
      </c>
      <c r="N277" s="10"/>
      <c r="O277" s="20">
        <v>0.98</v>
      </c>
      <c r="Q277" s="11" t="str">
        <f t="shared" si="80"/>
        <v>UC_MarketShare_COMHOPOldSC_ELC_MAX</v>
      </c>
      <c r="R277" s="12"/>
      <c r="S277" s="13" t="str">
        <f t="shared" si="82"/>
        <v>COMELC</v>
      </c>
      <c r="T277" s="13" t="str">
        <f t="shared" si="83"/>
        <v>COMHOPOldSCEUE</v>
      </c>
      <c r="U277" s="13" t="str">
        <f t="shared" si="84"/>
        <v>COMHOPOldSCEUE</v>
      </c>
      <c r="V277" s="14">
        <v>2019</v>
      </c>
      <c r="W277" s="14" t="s">
        <v>3849</v>
      </c>
      <c r="X277" s="14">
        <v>1</v>
      </c>
      <c r="Y277" s="15">
        <f>-ROUNDUP(MIN(SUMIFS('COM RESID'!$O:$O,'COM RESID'!$H:$H,$E277,'COM RESID'!$I:$I,$F277)/SUMIFS('COM RESID'!$O:$O,'COM RESID'!$I:$I,$F277)*AC277,1),3)</f>
        <v>-1</v>
      </c>
      <c r="Z277" s="14">
        <v>0</v>
      </c>
      <c r="AA277" s="14">
        <v>5</v>
      </c>
      <c r="AB277" s="10"/>
      <c r="AC277" s="20">
        <v>1.02</v>
      </c>
    </row>
    <row r="278" spans="1:29" x14ac:dyDescent="0.25">
      <c r="A278" s="10">
        <f>A277</f>
        <v>69</v>
      </c>
      <c r="B278" s="10"/>
      <c r="C278" s="11" t="str">
        <f>IF(C277="*",C277,"")</f>
        <v/>
      </c>
      <c r="D278" s="12"/>
      <c r="E278" s="13" t="str">
        <f t="shared" ref="E278:G280" si="88">E277</f>
        <v>COMELC</v>
      </c>
      <c r="F278" s="13" t="str">
        <f t="shared" si="88"/>
        <v>COMHOPOldSCEUE</v>
      </c>
      <c r="G278" s="13" t="str">
        <f t="shared" si="88"/>
        <v>COMHOPOldSCEUE</v>
      </c>
      <c r="H278" s="14">
        <v>2025</v>
      </c>
      <c r="I278" s="14" t="str">
        <f>I277</f>
        <v>LO</v>
      </c>
      <c r="J278" s="14"/>
      <c r="K278" s="15">
        <f>-ROUNDDOWN(SUMIFS('COM RESID'!$O:$O,'COM RESID'!$H:$H,$E278,'COM RESID'!$I:$I,$F278)/SUMIFS('COM RESID'!$O:$O,'COM RESID'!$I:$I,$F278),3)*O278</f>
        <v>-0.8</v>
      </c>
      <c r="L278" s="14"/>
      <c r="M278" s="14"/>
      <c r="N278" s="10"/>
      <c r="O278" s="20">
        <v>0.8</v>
      </c>
      <c r="Q278" s="11" t="str">
        <f t="shared" si="80"/>
        <v/>
      </c>
      <c r="R278" s="12"/>
      <c r="S278" s="13" t="str">
        <f t="shared" si="82"/>
        <v>COMELC</v>
      </c>
      <c r="T278" s="13" t="str">
        <f t="shared" si="83"/>
        <v>COMHOPOldSCEUE</v>
      </c>
      <c r="U278" s="13" t="str">
        <f t="shared" si="84"/>
        <v>COMHOPOldSCEUE</v>
      </c>
      <c r="V278" s="14">
        <v>2025</v>
      </c>
      <c r="W278" s="14" t="str">
        <f>W277</f>
        <v>UP</v>
      </c>
      <c r="X278" s="14"/>
      <c r="Y278" s="15">
        <f>-ROUNDUP(MIN(SUMIFS('COM RESID'!$O:$O,'COM RESID'!$H:$H,$E278,'COM RESID'!$I:$I,$F278)/SUMIFS('COM RESID'!$O:$O,'COM RESID'!$I:$I,$F278)*AC278,1),3)</f>
        <v>-1</v>
      </c>
      <c r="Z278" s="14"/>
      <c r="AA278" s="14"/>
      <c r="AB278" s="10"/>
      <c r="AC278" s="20">
        <f>IF(S278="COMELC",IF(SUMIFS('COM RESID'!$O:$O,'COM RESID'!$H:$H,$E278,'COM RESID'!$I:$I,$F278)/SUMIFS('COM RESID'!$O:$O,'COM RESID'!$I:$I,$F278)*1.2&lt;0.25,0.25/(SUMIFS('COM RESID'!$O:$O,'COM RESID'!$H:$H,$E278,'COM RESID'!$I:$I,$F278)/SUMIFS('COM RESID'!$O:$O,'COM RESID'!$I:$I,$F278)),1.2),IF(ISNUMBER(SEARCH("WHEUE",T278)),IF(OR(S278="COMNGA",S278="COMFOI"),1,1.2),1.2))</f>
        <v>1.2</v>
      </c>
    </row>
    <row r="279" spans="1:29" x14ac:dyDescent="0.25">
      <c r="A279" s="10">
        <f>A278</f>
        <v>69</v>
      </c>
      <c r="B279" s="10"/>
      <c r="C279" s="11" t="str">
        <f>IF(C278="*",C278,"")</f>
        <v/>
      </c>
      <c r="D279" s="12"/>
      <c r="E279" s="13" t="str">
        <f t="shared" si="88"/>
        <v>COMELC</v>
      </c>
      <c r="F279" s="13" t="str">
        <f t="shared" si="88"/>
        <v>COMHOPOldSCEUE</v>
      </c>
      <c r="G279" s="13" t="str">
        <f t="shared" si="88"/>
        <v>COMHOPOldSCEUE</v>
      </c>
      <c r="H279" s="14">
        <v>2030</v>
      </c>
      <c r="I279" s="14" t="str">
        <f>I278</f>
        <v>LO</v>
      </c>
      <c r="J279" s="14"/>
      <c r="K279" s="15">
        <f>-ROUNDDOWN(SUMIFS('COM RESID'!$O:$O,'COM RESID'!$H:$H,$E279,'COM RESID'!$I:$I,$F279)/SUMIFS('COM RESID'!$O:$O,'COM RESID'!$I:$I,$F279),3)*O279</f>
        <v>-0.75</v>
      </c>
      <c r="L279" s="14"/>
      <c r="M279" s="14"/>
      <c r="N279" s="10"/>
      <c r="O279" s="20">
        <v>0.75</v>
      </c>
      <c r="Q279" s="11" t="str">
        <f t="shared" si="80"/>
        <v/>
      </c>
      <c r="R279" s="12"/>
      <c r="S279" s="13" t="str">
        <f t="shared" si="82"/>
        <v>COMELC</v>
      </c>
      <c r="T279" s="13" t="str">
        <f t="shared" si="83"/>
        <v>COMHOPOldSCEUE</v>
      </c>
      <c r="U279" s="13" t="str">
        <f t="shared" si="84"/>
        <v>COMHOPOldSCEUE</v>
      </c>
      <c r="V279" s="14">
        <v>2030</v>
      </c>
      <c r="W279" s="14" t="str">
        <f>W278</f>
        <v>UP</v>
      </c>
      <c r="X279" s="14"/>
      <c r="Y279" s="15">
        <f>-ROUNDUP(MIN(SUMIFS('COM RESID'!$O:$O,'COM RESID'!$H:$H,$E279,'COM RESID'!$I:$I,$F279)/SUMIFS('COM RESID'!$O:$O,'COM RESID'!$I:$I,$F279)*AC279,1),3)</f>
        <v>-1</v>
      </c>
      <c r="Z279" s="14"/>
      <c r="AA279" s="14"/>
      <c r="AB279" s="10"/>
      <c r="AC279" s="20">
        <f>IF(S279="COMELC",IF(SUMIFS('COM RESID'!$O:$O,'COM RESID'!$H:$H,$E279,'COM RESID'!$I:$I,$F279)/SUMIFS('COM RESID'!$O:$O,'COM RESID'!$I:$I,$F279)*1.5&lt;0.5,0.5/(SUMIFS('COM RESID'!$O:$O,'COM RESID'!$H:$H,$E279,'COM RESID'!$I:$I,$F279)/SUMIFS('COM RESID'!$O:$O,'COM RESID'!$I:$I,$F279)),1.5),IF(ISNUMBER(SEARCH("WHEUE",T278)),IF(OR(S278="COMNGA",S278="COMFOI"),0.9,1.5),1.5))</f>
        <v>1.5</v>
      </c>
    </row>
    <row r="280" spans="1:29" x14ac:dyDescent="0.25">
      <c r="A280" s="26">
        <f>A279</f>
        <v>69</v>
      </c>
      <c r="B280" s="26"/>
      <c r="C280" s="21" t="str">
        <f>IF(C279="*",C279,"")</f>
        <v/>
      </c>
      <c r="D280" s="22"/>
      <c r="E280" s="23" t="str">
        <f t="shared" si="88"/>
        <v>COMELC</v>
      </c>
      <c r="F280" s="23" t="str">
        <f t="shared" si="88"/>
        <v>COMHOPOldSCEUE</v>
      </c>
      <c r="G280" s="23" t="str">
        <f t="shared" si="88"/>
        <v>COMHOPOldSCEUE</v>
      </c>
      <c r="H280" s="24">
        <v>2050</v>
      </c>
      <c r="I280" s="24" t="str">
        <f>I279</f>
        <v>LO</v>
      </c>
      <c r="J280" s="24"/>
      <c r="K280" s="25">
        <f>-ROUNDDOWN(SUMIFS('COM RESID'!$O:$O,'COM RESID'!$H:$H,$E280,'COM RESID'!$I:$I,$F280)/SUMIFS('COM RESID'!$O:$O,'COM RESID'!$I:$I,$F280),3)*O280</f>
        <v>-0.75</v>
      </c>
      <c r="L280" s="24"/>
      <c r="M280" s="24"/>
      <c r="N280" s="26"/>
      <c r="O280" s="27">
        <v>0.75</v>
      </c>
      <c r="Q280" s="21" t="str">
        <f t="shared" si="80"/>
        <v/>
      </c>
      <c r="R280" s="22"/>
      <c r="S280" s="23" t="str">
        <f t="shared" si="82"/>
        <v>COMELC</v>
      </c>
      <c r="T280" s="23" t="str">
        <f t="shared" si="83"/>
        <v>COMHOPOldSCEUE</v>
      </c>
      <c r="U280" s="23" t="str">
        <f t="shared" si="84"/>
        <v>COMHOPOldSCEUE</v>
      </c>
      <c r="V280" s="24">
        <v>2050</v>
      </c>
      <c r="W280" s="24" t="str">
        <f>W279</f>
        <v>UP</v>
      </c>
      <c r="X280" s="24"/>
      <c r="Y280" s="25">
        <f>-ROUNDUP(MIN(SUMIFS('COM RESID'!$O:$O,'COM RESID'!$H:$H,$E280,'COM RESID'!$I:$I,$F280)/SUMIFS('COM RESID'!$O:$O,'COM RESID'!$I:$I,$F280)*AC280,1),3)</f>
        <v>-1</v>
      </c>
      <c r="Z280" s="24"/>
      <c r="AA280" s="24"/>
      <c r="AB280" s="26"/>
      <c r="AC280" s="27">
        <f>IF(S280="COMELC",IF(SUMIFS('COM RESID'!$O:$O,'COM RESID'!$H:$H,$E280,'COM RESID'!$I:$I,$F280)/SUMIFS('COM RESID'!$O:$O,'COM RESID'!$I:$I,$F280)*3&lt;1,1/(SUMIFS('COM RESID'!$O:$O,'COM RESID'!$H:$H,$E280,'COM RESID'!$I:$I,$F280)/SUMIFS('COM RESID'!$O:$O,'COM RESID'!$I:$I,$F280)),3),IF(ISNUMBER(SEARCH("WHEUE",T278)),IF(OR(S278="COMNGA",S278="COMFOI"),0.75,3),3))</f>
        <v>3</v>
      </c>
    </row>
    <row r="281" spans="1:29" x14ac:dyDescent="0.25">
      <c r="A281" s="19">
        <f>A277+1</f>
        <v>70</v>
      </c>
      <c r="B281" s="10"/>
      <c r="C281" s="11" t="str">
        <f>IF(E281="","",IF(_xlfn.XLOOKUP($A281,Selected_constraint_UC!$A:$A,Selected_constraint_UC!$D:$D)=1,"*",IF(SUMIFS('COM TECH'!$N:$N,'COM TECH'!$K:$K,E281,'COM TECH'!$L:$L,F281)=0,"*",IF(SUMIFS('COM RESID'!$O:$O,'COM RESID'!$H:$H,$E281,'COM RESID'!$I:$I,$F281)=0,"*","UC_MarketShare_"&amp;LEFT(F281,LEN(F281)-3)&amp;"_"&amp;RIGHT(E281,3)&amp;"_MIN"))))</f>
        <v>*</v>
      </c>
      <c r="D281" s="12"/>
      <c r="E281" s="13" t="str">
        <f>_xlfn.XLOOKUP($A281,Selected_constraint_UC!$A:$A,Selected_constraint_UC!$B:$B)</f>
        <v>COMELC</v>
      </c>
      <c r="F281" s="13" t="str">
        <f>_xlfn.XLOOKUP($A281,Selected_constraint_UC!$A:$A,Selected_constraint_UC!$C:$C)</f>
        <v>COMHOPOldVTEUE</v>
      </c>
      <c r="G281" s="13" t="str">
        <f>F281</f>
        <v>COMHOPOldVTEUE</v>
      </c>
      <c r="H281" s="14">
        <v>2019</v>
      </c>
      <c r="I281" s="14" t="s">
        <v>3848</v>
      </c>
      <c r="J281" s="14">
        <v>1</v>
      </c>
      <c r="K281" s="15">
        <f>-ROUNDDOWN(SUMIFS('COM RESID'!$O:$O,'COM RESID'!$H:$H,$E281,'COM RESID'!$I:$I,$F281)/SUMIFS('COM RESID'!$O:$O,'COM RESID'!$I:$I,$F281),3)*O281</f>
        <v>-0.98</v>
      </c>
      <c r="L281" s="14">
        <v>0</v>
      </c>
      <c r="M281" s="14">
        <v>5</v>
      </c>
      <c r="N281" s="10"/>
      <c r="O281" s="20">
        <v>0.98</v>
      </c>
      <c r="Q281" s="11" t="str">
        <f t="shared" si="80"/>
        <v>*</v>
      </c>
      <c r="R281" s="12"/>
      <c r="S281" s="13" t="str">
        <f t="shared" si="82"/>
        <v>COMELC</v>
      </c>
      <c r="T281" s="13" t="str">
        <f t="shared" si="83"/>
        <v>COMHOPOldVTEUE</v>
      </c>
      <c r="U281" s="13" t="str">
        <f t="shared" si="84"/>
        <v>COMHOPOldVTEUE</v>
      </c>
      <c r="V281" s="14">
        <v>2019</v>
      </c>
      <c r="W281" s="14" t="s">
        <v>3849</v>
      </c>
      <c r="X281" s="14">
        <v>1</v>
      </c>
      <c r="Y281" s="15">
        <f>-ROUNDUP(MIN(SUMIFS('COM RESID'!$O:$O,'COM RESID'!$H:$H,$E281,'COM RESID'!$I:$I,$F281)/SUMIFS('COM RESID'!$O:$O,'COM RESID'!$I:$I,$F281)*AC281,1),3)</f>
        <v>-1</v>
      </c>
      <c r="Z281" s="14">
        <v>0</v>
      </c>
      <c r="AA281" s="14">
        <v>5</v>
      </c>
      <c r="AB281" s="10"/>
      <c r="AC281" s="20">
        <v>1.02</v>
      </c>
    </row>
    <row r="282" spans="1:29" x14ac:dyDescent="0.25">
      <c r="A282" s="10">
        <f>A281</f>
        <v>70</v>
      </c>
      <c r="B282" s="10"/>
      <c r="C282" s="11" t="str">
        <f>IF(C281="*",C281,"")</f>
        <v>*</v>
      </c>
      <c r="D282" s="12"/>
      <c r="E282" s="13" t="str">
        <f t="shared" ref="E282:G284" si="89">E281</f>
        <v>COMELC</v>
      </c>
      <c r="F282" s="13" t="str">
        <f t="shared" si="89"/>
        <v>COMHOPOldVTEUE</v>
      </c>
      <c r="G282" s="13" t="str">
        <f t="shared" si="89"/>
        <v>COMHOPOldVTEUE</v>
      </c>
      <c r="H282" s="14">
        <v>2025</v>
      </c>
      <c r="I282" s="14" t="str">
        <f>I281</f>
        <v>LO</v>
      </c>
      <c r="J282" s="14"/>
      <c r="K282" s="15">
        <f>-ROUNDDOWN(SUMIFS('COM RESID'!$O:$O,'COM RESID'!$H:$H,$E282,'COM RESID'!$I:$I,$F282)/SUMIFS('COM RESID'!$O:$O,'COM RESID'!$I:$I,$F282),3)*O282</f>
        <v>-0.8</v>
      </c>
      <c r="L282" s="14"/>
      <c r="M282" s="14"/>
      <c r="N282" s="10"/>
      <c r="O282" s="20">
        <v>0.8</v>
      </c>
      <c r="Q282" s="11" t="str">
        <f t="shared" si="80"/>
        <v>*</v>
      </c>
      <c r="R282" s="12"/>
      <c r="S282" s="13" t="str">
        <f t="shared" si="82"/>
        <v>COMELC</v>
      </c>
      <c r="T282" s="13" t="str">
        <f t="shared" si="83"/>
        <v>COMHOPOldVTEUE</v>
      </c>
      <c r="U282" s="13" t="str">
        <f t="shared" si="84"/>
        <v>COMHOPOldVTEUE</v>
      </c>
      <c r="V282" s="14">
        <v>2025</v>
      </c>
      <c r="W282" s="14" t="str">
        <f>W281</f>
        <v>UP</v>
      </c>
      <c r="X282" s="14"/>
      <c r="Y282" s="15">
        <f>-ROUNDUP(MIN(SUMIFS('COM RESID'!$O:$O,'COM RESID'!$H:$H,$E282,'COM RESID'!$I:$I,$F282)/SUMIFS('COM RESID'!$O:$O,'COM RESID'!$I:$I,$F282)*AC282,1),3)</f>
        <v>-1</v>
      </c>
      <c r="Z282" s="14"/>
      <c r="AA282" s="14"/>
      <c r="AB282" s="10"/>
      <c r="AC282" s="20">
        <f>IF(S282="COMELC",IF(SUMIFS('COM RESID'!$O:$O,'COM RESID'!$H:$H,$E282,'COM RESID'!$I:$I,$F282)/SUMIFS('COM RESID'!$O:$O,'COM RESID'!$I:$I,$F282)*1.2&lt;0.25,0.25/(SUMIFS('COM RESID'!$O:$O,'COM RESID'!$H:$H,$E282,'COM RESID'!$I:$I,$F282)/SUMIFS('COM RESID'!$O:$O,'COM RESID'!$I:$I,$F282)),1.2),IF(ISNUMBER(SEARCH("WHEUE",T282)),IF(OR(S282="COMNGA",S282="COMFOI"),1,1.2),1.2))</f>
        <v>1.2</v>
      </c>
    </row>
    <row r="283" spans="1:29" x14ac:dyDescent="0.25">
      <c r="A283" s="10">
        <f>A282</f>
        <v>70</v>
      </c>
      <c r="B283" s="10"/>
      <c r="C283" s="11" t="str">
        <f>IF(C282="*",C282,"")</f>
        <v>*</v>
      </c>
      <c r="D283" s="12"/>
      <c r="E283" s="13" t="str">
        <f t="shared" si="89"/>
        <v>COMELC</v>
      </c>
      <c r="F283" s="13" t="str">
        <f t="shared" si="89"/>
        <v>COMHOPOldVTEUE</v>
      </c>
      <c r="G283" s="13" t="str">
        <f t="shared" si="89"/>
        <v>COMHOPOldVTEUE</v>
      </c>
      <c r="H283" s="14">
        <v>2030</v>
      </c>
      <c r="I283" s="14" t="str">
        <f>I282</f>
        <v>LO</v>
      </c>
      <c r="J283" s="14"/>
      <c r="K283" s="15">
        <f>-ROUNDDOWN(SUMIFS('COM RESID'!$O:$O,'COM RESID'!$H:$H,$E283,'COM RESID'!$I:$I,$F283)/SUMIFS('COM RESID'!$O:$O,'COM RESID'!$I:$I,$F283),3)*O283</f>
        <v>-0.2</v>
      </c>
      <c r="L283" s="14"/>
      <c r="M283" s="14"/>
      <c r="N283" s="10"/>
      <c r="O283" s="20">
        <v>0.2</v>
      </c>
      <c r="Q283" s="11" t="str">
        <f t="shared" si="80"/>
        <v>*</v>
      </c>
      <c r="R283" s="12"/>
      <c r="S283" s="13" t="str">
        <f t="shared" si="82"/>
        <v>COMELC</v>
      </c>
      <c r="T283" s="13" t="str">
        <f t="shared" si="83"/>
        <v>COMHOPOldVTEUE</v>
      </c>
      <c r="U283" s="13" t="str">
        <f t="shared" si="84"/>
        <v>COMHOPOldVTEUE</v>
      </c>
      <c r="V283" s="14">
        <v>2030</v>
      </c>
      <c r="W283" s="14" t="str">
        <f>W282</f>
        <v>UP</v>
      </c>
      <c r="X283" s="14"/>
      <c r="Y283" s="15">
        <f>-ROUNDUP(MIN(SUMIFS('COM RESID'!$O:$O,'COM RESID'!$H:$H,$E283,'COM RESID'!$I:$I,$F283)/SUMIFS('COM RESID'!$O:$O,'COM RESID'!$I:$I,$F283)*AC283,1),3)</f>
        <v>-1</v>
      </c>
      <c r="Z283" s="14"/>
      <c r="AA283" s="14"/>
      <c r="AB283" s="10"/>
      <c r="AC283" s="20">
        <f>IF(S283="COMELC",IF(SUMIFS('COM RESID'!$O:$O,'COM RESID'!$H:$H,$E283,'COM RESID'!$I:$I,$F283)/SUMIFS('COM RESID'!$O:$O,'COM RESID'!$I:$I,$F283)*1.5&lt;0.5,0.5/(SUMIFS('COM RESID'!$O:$O,'COM RESID'!$H:$H,$E283,'COM RESID'!$I:$I,$F283)/SUMIFS('COM RESID'!$O:$O,'COM RESID'!$I:$I,$F283)),1.5),IF(ISNUMBER(SEARCH("WHEUE",T282)),IF(OR(S282="COMNGA",S282="COMFOI"),0.9,1.5),1.5))</f>
        <v>1.5</v>
      </c>
    </row>
    <row r="284" spans="1:29" x14ac:dyDescent="0.25">
      <c r="A284" s="26">
        <f>A283</f>
        <v>70</v>
      </c>
      <c r="B284" s="26"/>
      <c r="C284" s="21" t="str">
        <f>IF(C283="*",C283,"")</f>
        <v>*</v>
      </c>
      <c r="D284" s="22"/>
      <c r="E284" s="23" t="str">
        <f t="shared" si="89"/>
        <v>COMELC</v>
      </c>
      <c r="F284" s="23" t="str">
        <f t="shared" si="89"/>
        <v>COMHOPOldVTEUE</v>
      </c>
      <c r="G284" s="23" t="str">
        <f t="shared" si="89"/>
        <v>COMHOPOldVTEUE</v>
      </c>
      <c r="H284" s="24">
        <v>2050</v>
      </c>
      <c r="I284" s="24" t="str">
        <f>I283</f>
        <v>LO</v>
      </c>
      <c r="J284" s="24"/>
      <c r="K284" s="25">
        <f>-ROUNDDOWN(SUMIFS('COM RESID'!$O:$O,'COM RESID'!$H:$H,$E284,'COM RESID'!$I:$I,$F284)/SUMIFS('COM RESID'!$O:$O,'COM RESID'!$I:$I,$F284),3)*O284</f>
        <v>0</v>
      </c>
      <c r="L284" s="24"/>
      <c r="M284" s="24"/>
      <c r="N284" s="26"/>
      <c r="O284" s="27">
        <v>0</v>
      </c>
      <c r="Q284" s="21" t="str">
        <f t="shared" si="80"/>
        <v>*</v>
      </c>
      <c r="R284" s="22"/>
      <c r="S284" s="23" t="str">
        <f t="shared" si="82"/>
        <v>COMELC</v>
      </c>
      <c r="T284" s="23" t="str">
        <f t="shared" si="83"/>
        <v>COMHOPOldVTEUE</v>
      </c>
      <c r="U284" s="23" t="str">
        <f t="shared" si="84"/>
        <v>COMHOPOldVTEUE</v>
      </c>
      <c r="V284" s="24">
        <v>2050</v>
      </c>
      <c r="W284" s="24" t="str">
        <f>W283</f>
        <v>UP</v>
      </c>
      <c r="X284" s="24"/>
      <c r="Y284" s="25">
        <f>-ROUNDUP(MIN(SUMIFS('COM RESID'!$O:$O,'COM RESID'!$H:$H,$E284,'COM RESID'!$I:$I,$F284)/SUMIFS('COM RESID'!$O:$O,'COM RESID'!$I:$I,$F284)*AC284,1),3)</f>
        <v>-1</v>
      </c>
      <c r="Z284" s="24"/>
      <c r="AA284" s="24"/>
      <c r="AB284" s="26"/>
      <c r="AC284" s="27">
        <f>IF(S284="COMELC",IF(SUMIFS('COM RESID'!$O:$O,'COM RESID'!$H:$H,$E284,'COM RESID'!$I:$I,$F284)/SUMIFS('COM RESID'!$O:$O,'COM RESID'!$I:$I,$F284)*3&lt;1,1/(SUMIFS('COM RESID'!$O:$O,'COM RESID'!$H:$H,$E284,'COM RESID'!$I:$I,$F284)/SUMIFS('COM RESID'!$O:$O,'COM RESID'!$I:$I,$F284)),3),IF(ISNUMBER(SEARCH("WHEUE",T282)),IF(OR(S282="COMNGA",S282="COMFOI"),0.75,3),3))</f>
        <v>3</v>
      </c>
    </row>
    <row r="285" spans="1:29" x14ac:dyDescent="0.25">
      <c r="A285" s="19">
        <f>A281+1</f>
        <v>71</v>
      </c>
      <c r="B285" s="10"/>
      <c r="C285" s="11" t="str">
        <f>IF(E285="","",IF(_xlfn.XLOOKUP($A285,Selected_constraint_UC!$A:$A,Selected_constraint_UC!$D:$D)=1,"*",IF(SUMIFS('COM TECH'!$N:$N,'COM TECH'!$K:$K,E285,'COM TECH'!$L:$L,F285)=0,"*",IF(SUMIFS('COM RESID'!$O:$O,'COM RESID'!$H:$H,$E285,'COM RESID'!$I:$I,$F285)=0,"*","UC_MarketShare_"&amp;LEFT(F285,LEN(F285)-3)&amp;"_"&amp;RIGHT(E285,3)&amp;"_MIN"))))</f>
        <v>UC_MarketShare_COMHOPOldWH_FOI_MIN</v>
      </c>
      <c r="D285" s="12"/>
      <c r="E285" s="13" t="str">
        <f>_xlfn.XLOOKUP($A285,Selected_constraint_UC!$A:$A,Selected_constraint_UC!$B:$B)</f>
        <v>COMFOI</v>
      </c>
      <c r="F285" s="13" t="str">
        <f>_xlfn.XLOOKUP($A285,Selected_constraint_UC!$A:$A,Selected_constraint_UC!$C:$C)</f>
        <v>COMHOPOldWHEUE</v>
      </c>
      <c r="G285" s="13" t="str">
        <f>F285</f>
        <v>COMHOPOldWHEUE</v>
      </c>
      <c r="H285" s="14">
        <v>2019</v>
      </c>
      <c r="I285" s="14" t="s">
        <v>3848</v>
      </c>
      <c r="J285" s="14">
        <v>1</v>
      </c>
      <c r="K285" s="15">
        <f>-ROUNDDOWN(SUMIFS('COM RESID'!$O:$O,'COM RESID'!$H:$H,$E285,'COM RESID'!$I:$I,$F285)/SUMIFS('COM RESID'!$O:$O,'COM RESID'!$I:$I,$F285),3)*O285</f>
        <v>-4.7039999999999998E-2</v>
      </c>
      <c r="L285" s="14">
        <v>0</v>
      </c>
      <c r="M285" s="14">
        <v>5</v>
      </c>
      <c r="N285" s="10"/>
      <c r="O285" s="20">
        <v>0.98</v>
      </c>
      <c r="Q285" s="11" t="str">
        <f t="shared" si="80"/>
        <v>UC_MarketShare_COMHOPOldWH_FOI_MAX</v>
      </c>
      <c r="R285" s="12"/>
      <c r="S285" s="13" t="str">
        <f t="shared" si="82"/>
        <v>COMFOI</v>
      </c>
      <c r="T285" s="13" t="str">
        <f t="shared" si="83"/>
        <v>COMHOPOldWHEUE</v>
      </c>
      <c r="U285" s="13" t="str">
        <f t="shared" si="84"/>
        <v>COMHOPOldWHEUE</v>
      </c>
      <c r="V285" s="14">
        <v>2019</v>
      </c>
      <c r="W285" s="14" t="s">
        <v>3849</v>
      </c>
      <c r="X285" s="14">
        <v>1</v>
      </c>
      <c r="Y285" s="15">
        <f>-ROUNDUP(MIN(SUMIFS('COM RESID'!$O:$O,'COM RESID'!$H:$H,$E285,'COM RESID'!$I:$I,$F285)/SUMIFS('COM RESID'!$O:$O,'COM RESID'!$I:$I,$F285)*AC285,1),3)</f>
        <v>-0.05</v>
      </c>
      <c r="Z285" s="14">
        <v>0</v>
      </c>
      <c r="AA285" s="14">
        <v>5</v>
      </c>
      <c r="AB285" s="10"/>
      <c r="AC285" s="20">
        <v>1.02</v>
      </c>
    </row>
    <row r="286" spans="1:29" x14ac:dyDescent="0.25">
      <c r="A286" s="10">
        <f>A285</f>
        <v>71</v>
      </c>
      <c r="B286" s="10"/>
      <c r="C286" s="11" t="str">
        <f>IF(C285="*",C285,"")</f>
        <v/>
      </c>
      <c r="D286" s="12"/>
      <c r="E286" s="13" t="str">
        <f t="shared" ref="E286:G288" si="90">E285</f>
        <v>COMFOI</v>
      </c>
      <c r="F286" s="13" t="str">
        <f t="shared" si="90"/>
        <v>COMHOPOldWHEUE</v>
      </c>
      <c r="G286" s="13" t="str">
        <f t="shared" si="90"/>
        <v>COMHOPOldWHEUE</v>
      </c>
      <c r="H286" s="14">
        <v>2025</v>
      </c>
      <c r="I286" s="14" t="str">
        <f>I285</f>
        <v>LO</v>
      </c>
      <c r="J286" s="14"/>
      <c r="K286" s="15">
        <f>-ROUNDDOWN(SUMIFS('COM RESID'!$O:$O,'COM RESID'!$H:$H,$E286,'COM RESID'!$I:$I,$F286)/SUMIFS('COM RESID'!$O:$O,'COM RESID'!$I:$I,$F286),3)*O286</f>
        <v>-3.8400000000000004E-2</v>
      </c>
      <c r="L286" s="14"/>
      <c r="M286" s="14"/>
      <c r="N286" s="10"/>
      <c r="O286" s="20">
        <v>0.8</v>
      </c>
      <c r="Q286" s="11" t="str">
        <f t="shared" si="80"/>
        <v/>
      </c>
      <c r="R286" s="12"/>
      <c r="S286" s="13" t="str">
        <f t="shared" si="82"/>
        <v>COMFOI</v>
      </c>
      <c r="T286" s="13" t="str">
        <f t="shared" si="83"/>
        <v>COMHOPOldWHEUE</v>
      </c>
      <c r="U286" s="13" t="str">
        <f t="shared" si="84"/>
        <v>COMHOPOldWHEUE</v>
      </c>
      <c r="V286" s="14">
        <v>2025</v>
      </c>
      <c r="W286" s="14" t="str">
        <f>W285</f>
        <v>UP</v>
      </c>
      <c r="X286" s="14"/>
      <c r="Y286" s="15">
        <f>-ROUNDUP(MIN(SUMIFS('COM RESID'!$O:$O,'COM RESID'!$H:$H,$E286,'COM RESID'!$I:$I,$F286)/SUMIFS('COM RESID'!$O:$O,'COM RESID'!$I:$I,$F286)*AC286,1),3)</f>
        <v>-4.9000000000000002E-2</v>
      </c>
      <c r="Z286" s="14"/>
      <c r="AA286" s="14"/>
      <c r="AB286" s="10"/>
      <c r="AC286" s="20">
        <f>IF(S286="COMELC",IF(SUMIFS('COM RESID'!$O:$O,'COM RESID'!$H:$H,$E286,'COM RESID'!$I:$I,$F286)/SUMIFS('COM RESID'!$O:$O,'COM RESID'!$I:$I,$F286)*1.2&lt;0.25,0.25/(SUMIFS('COM RESID'!$O:$O,'COM RESID'!$H:$H,$E286,'COM RESID'!$I:$I,$F286)/SUMIFS('COM RESID'!$O:$O,'COM RESID'!$I:$I,$F286)),1.2),IF(ISNUMBER(SEARCH("WHEUE",T286)),IF(OR(S286="COMNGA",S286="COMFOI"),1,1.2),1.2))</f>
        <v>1</v>
      </c>
    </row>
    <row r="287" spans="1:29" x14ac:dyDescent="0.25">
      <c r="A287" s="10">
        <f>A286</f>
        <v>71</v>
      </c>
      <c r="B287" s="10"/>
      <c r="C287" s="11" t="str">
        <f>IF(C286="*",C286,"")</f>
        <v/>
      </c>
      <c r="D287" s="12"/>
      <c r="E287" s="13" t="str">
        <f t="shared" si="90"/>
        <v>COMFOI</v>
      </c>
      <c r="F287" s="13" t="str">
        <f t="shared" si="90"/>
        <v>COMHOPOldWHEUE</v>
      </c>
      <c r="G287" s="13" t="str">
        <f t="shared" si="90"/>
        <v>COMHOPOldWHEUE</v>
      </c>
      <c r="H287" s="14">
        <v>2030</v>
      </c>
      <c r="I287" s="14" t="str">
        <f>I286</f>
        <v>LO</v>
      </c>
      <c r="J287" s="14"/>
      <c r="K287" s="15">
        <f>-ROUNDDOWN(SUMIFS('COM RESID'!$O:$O,'COM RESID'!$H:$H,$E287,'COM RESID'!$I:$I,$F287)/SUMIFS('COM RESID'!$O:$O,'COM RESID'!$I:$I,$F287),3)*O287</f>
        <v>-9.6000000000000009E-3</v>
      </c>
      <c r="L287" s="14"/>
      <c r="M287" s="14"/>
      <c r="N287" s="10"/>
      <c r="O287" s="20">
        <v>0.2</v>
      </c>
      <c r="Q287" s="11" t="str">
        <f t="shared" si="80"/>
        <v/>
      </c>
      <c r="R287" s="12"/>
      <c r="S287" s="13" t="str">
        <f t="shared" si="82"/>
        <v>COMFOI</v>
      </c>
      <c r="T287" s="13" t="str">
        <f t="shared" si="83"/>
        <v>COMHOPOldWHEUE</v>
      </c>
      <c r="U287" s="13" t="str">
        <f t="shared" si="84"/>
        <v>COMHOPOldWHEUE</v>
      </c>
      <c r="V287" s="14">
        <v>2030</v>
      </c>
      <c r="W287" s="14" t="str">
        <f>W286</f>
        <v>UP</v>
      </c>
      <c r="X287" s="14"/>
      <c r="Y287" s="15">
        <f>-ROUNDUP(MIN(SUMIFS('COM RESID'!$O:$O,'COM RESID'!$H:$H,$E287,'COM RESID'!$I:$I,$F287)/SUMIFS('COM RESID'!$O:$O,'COM RESID'!$I:$I,$F287)*AC287,1),3)</f>
        <v>-4.3999999999999997E-2</v>
      </c>
      <c r="Z287" s="14"/>
      <c r="AA287" s="14"/>
      <c r="AB287" s="10"/>
      <c r="AC287" s="20">
        <f>IF(S287="COMELC",IF(SUMIFS('COM RESID'!$O:$O,'COM RESID'!$H:$H,$E287,'COM RESID'!$I:$I,$F287)/SUMIFS('COM RESID'!$O:$O,'COM RESID'!$I:$I,$F287)*1.5&lt;0.5,0.5/(SUMIFS('COM RESID'!$O:$O,'COM RESID'!$H:$H,$E287,'COM RESID'!$I:$I,$F287)/SUMIFS('COM RESID'!$O:$O,'COM RESID'!$I:$I,$F287)),1.5),IF(ISNUMBER(SEARCH("WHEUE",T286)),IF(OR(S286="COMNGA",S286="COMFOI"),0.9,1.5),1.5))</f>
        <v>0.9</v>
      </c>
    </row>
    <row r="288" spans="1:29" x14ac:dyDescent="0.25">
      <c r="A288" s="26">
        <f>A287</f>
        <v>71</v>
      </c>
      <c r="B288" s="26"/>
      <c r="C288" s="21" t="str">
        <f>IF(C287="*",C287,"")</f>
        <v/>
      </c>
      <c r="D288" s="22"/>
      <c r="E288" s="23" t="str">
        <f t="shared" si="90"/>
        <v>COMFOI</v>
      </c>
      <c r="F288" s="23" t="str">
        <f t="shared" si="90"/>
        <v>COMHOPOldWHEUE</v>
      </c>
      <c r="G288" s="23" t="str">
        <f t="shared" si="90"/>
        <v>COMHOPOldWHEUE</v>
      </c>
      <c r="H288" s="24">
        <v>2050</v>
      </c>
      <c r="I288" s="24" t="str">
        <f>I287</f>
        <v>LO</v>
      </c>
      <c r="J288" s="24"/>
      <c r="K288" s="25">
        <f>-ROUNDDOWN(SUMIFS('COM RESID'!$O:$O,'COM RESID'!$H:$H,$E288,'COM RESID'!$I:$I,$F288)/SUMIFS('COM RESID'!$O:$O,'COM RESID'!$I:$I,$F288),3)*O288</f>
        <v>0</v>
      </c>
      <c r="L288" s="24"/>
      <c r="M288" s="24"/>
      <c r="N288" s="26"/>
      <c r="O288" s="27">
        <v>0</v>
      </c>
      <c r="Q288" s="21" t="str">
        <f t="shared" si="80"/>
        <v/>
      </c>
      <c r="R288" s="22"/>
      <c r="S288" s="23" t="str">
        <f t="shared" si="82"/>
        <v>COMFOI</v>
      </c>
      <c r="T288" s="23" t="str">
        <f t="shared" si="83"/>
        <v>COMHOPOldWHEUE</v>
      </c>
      <c r="U288" s="23" t="str">
        <f t="shared" si="84"/>
        <v>COMHOPOldWHEUE</v>
      </c>
      <c r="V288" s="24">
        <v>2050</v>
      </c>
      <c r="W288" s="24" t="str">
        <f>W287</f>
        <v>UP</v>
      </c>
      <c r="X288" s="24"/>
      <c r="Y288" s="25">
        <f>-ROUNDUP(MIN(SUMIFS('COM RESID'!$O:$O,'COM RESID'!$H:$H,$E288,'COM RESID'!$I:$I,$F288)/SUMIFS('COM RESID'!$O:$O,'COM RESID'!$I:$I,$F288)*AC288,1),3)</f>
        <v>-3.6999999999999998E-2</v>
      </c>
      <c r="Z288" s="24"/>
      <c r="AA288" s="24"/>
      <c r="AB288" s="26"/>
      <c r="AC288" s="27">
        <f>IF(S288="COMELC",IF(SUMIFS('COM RESID'!$O:$O,'COM RESID'!$H:$H,$E288,'COM RESID'!$I:$I,$F288)/SUMIFS('COM RESID'!$O:$O,'COM RESID'!$I:$I,$F288)*3&lt;1,1/(SUMIFS('COM RESID'!$O:$O,'COM RESID'!$H:$H,$E288,'COM RESID'!$I:$I,$F288)/SUMIFS('COM RESID'!$O:$O,'COM RESID'!$I:$I,$F288)),3),IF(ISNUMBER(SEARCH("WHEUE",T286)),IF(OR(S286="COMNGA",S286="COMFOI"),0.75,3),3))</f>
        <v>0.75</v>
      </c>
    </row>
    <row r="289" spans="1:29" x14ac:dyDescent="0.25">
      <c r="A289" s="19">
        <f>A285+1</f>
        <v>72</v>
      </c>
      <c r="B289" s="10"/>
      <c r="C289" s="11" t="str">
        <f>IF(E289="","",IF(_xlfn.XLOOKUP($A289,Selected_constraint_UC!$A:$A,Selected_constraint_UC!$D:$D)=1,"*",IF(SUMIFS('COM TECH'!$N:$N,'COM TECH'!$K:$K,E289,'COM TECH'!$L:$L,F289)=0,"*",IF(SUMIFS('COM RESID'!$O:$O,'COM RESID'!$H:$H,$E289,'COM RESID'!$I:$I,$F289)=0,"*","UC_MarketShare_"&amp;LEFT(F289,LEN(F289)-3)&amp;"_"&amp;RIGHT(E289,3)&amp;"_MIN"))))</f>
        <v>UC_MarketShare_COMHOPOldWH_NGA_MIN</v>
      </c>
      <c r="D289" s="12"/>
      <c r="E289" s="13" t="str">
        <f>_xlfn.XLOOKUP($A289,Selected_constraint_UC!$A:$A,Selected_constraint_UC!$B:$B)</f>
        <v>COMNGA</v>
      </c>
      <c r="F289" s="13" t="str">
        <f>_xlfn.XLOOKUP($A289,Selected_constraint_UC!$A:$A,Selected_constraint_UC!$C:$C)</f>
        <v>COMHOPOldWHEUE</v>
      </c>
      <c r="G289" s="13" t="str">
        <f>F289</f>
        <v>COMHOPOldWHEUE</v>
      </c>
      <c r="H289" s="14">
        <v>2019</v>
      </c>
      <c r="I289" s="14" t="s">
        <v>3848</v>
      </c>
      <c r="J289" s="14">
        <v>1</v>
      </c>
      <c r="K289" s="15">
        <f>-ROUNDDOWN(SUMIFS('COM RESID'!$O:$O,'COM RESID'!$H:$H,$E289,'COM RESID'!$I:$I,$F289)/SUMIFS('COM RESID'!$O:$O,'COM RESID'!$I:$I,$F289),3)*O289</f>
        <v>-0.79576000000000002</v>
      </c>
      <c r="L289" s="14">
        <v>0</v>
      </c>
      <c r="M289" s="14">
        <v>5</v>
      </c>
      <c r="N289" s="10"/>
      <c r="O289" s="20">
        <v>0.98</v>
      </c>
      <c r="Q289" s="11" t="str">
        <f t="shared" si="80"/>
        <v>UC_MarketShare_COMHOPOldWH_NGA_MAX</v>
      </c>
      <c r="R289" s="12"/>
      <c r="S289" s="13" t="str">
        <f t="shared" si="82"/>
        <v>COMNGA</v>
      </c>
      <c r="T289" s="13" t="str">
        <f t="shared" si="83"/>
        <v>COMHOPOldWHEUE</v>
      </c>
      <c r="U289" s="13" t="str">
        <f t="shared" si="84"/>
        <v>COMHOPOldWHEUE</v>
      </c>
      <c r="V289" s="14">
        <v>2019</v>
      </c>
      <c r="W289" s="14" t="s">
        <v>3849</v>
      </c>
      <c r="X289" s="14">
        <v>1</v>
      </c>
      <c r="Y289" s="15">
        <f>-ROUNDUP(MIN(SUMIFS('COM RESID'!$O:$O,'COM RESID'!$H:$H,$E289,'COM RESID'!$I:$I,$F289)/SUMIFS('COM RESID'!$O:$O,'COM RESID'!$I:$I,$F289)*AC289,1),3)</f>
        <v>-0.82899999999999996</v>
      </c>
      <c r="Z289" s="14">
        <v>0</v>
      </c>
      <c r="AA289" s="14">
        <v>5</v>
      </c>
      <c r="AB289" s="10"/>
      <c r="AC289" s="20">
        <v>1.02</v>
      </c>
    </row>
    <row r="290" spans="1:29" x14ac:dyDescent="0.25">
      <c r="A290" s="10">
        <f>A289</f>
        <v>72</v>
      </c>
      <c r="B290" s="10"/>
      <c r="C290" s="11" t="str">
        <f>IF(C289="*",C289,"")</f>
        <v/>
      </c>
      <c r="D290" s="12"/>
      <c r="E290" s="13" t="str">
        <f t="shared" ref="E290:G292" si="91">E289</f>
        <v>COMNGA</v>
      </c>
      <c r="F290" s="13" t="str">
        <f t="shared" si="91"/>
        <v>COMHOPOldWHEUE</v>
      </c>
      <c r="G290" s="13" t="str">
        <f t="shared" si="91"/>
        <v>COMHOPOldWHEUE</v>
      </c>
      <c r="H290" s="14">
        <v>2025</v>
      </c>
      <c r="I290" s="14" t="str">
        <f>I289</f>
        <v>LO</v>
      </c>
      <c r="J290" s="14"/>
      <c r="K290" s="15">
        <f>-ROUNDDOWN(SUMIFS('COM RESID'!$O:$O,'COM RESID'!$H:$H,$E290,'COM RESID'!$I:$I,$F290)/SUMIFS('COM RESID'!$O:$O,'COM RESID'!$I:$I,$F290),3)*O290</f>
        <v>-0.64960000000000007</v>
      </c>
      <c r="L290" s="14"/>
      <c r="M290" s="14"/>
      <c r="N290" s="10"/>
      <c r="O290" s="20">
        <v>0.8</v>
      </c>
      <c r="Q290" s="11" t="str">
        <f t="shared" si="80"/>
        <v/>
      </c>
      <c r="R290" s="12"/>
      <c r="S290" s="13" t="str">
        <f t="shared" si="82"/>
        <v>COMNGA</v>
      </c>
      <c r="T290" s="13" t="str">
        <f t="shared" si="83"/>
        <v>COMHOPOldWHEUE</v>
      </c>
      <c r="U290" s="13" t="str">
        <f t="shared" si="84"/>
        <v>COMHOPOldWHEUE</v>
      </c>
      <c r="V290" s="14">
        <v>2025</v>
      </c>
      <c r="W290" s="14" t="str">
        <f>W289</f>
        <v>UP</v>
      </c>
      <c r="X290" s="14"/>
      <c r="Y290" s="15">
        <f>-ROUNDUP(MIN(SUMIFS('COM RESID'!$O:$O,'COM RESID'!$H:$H,$E290,'COM RESID'!$I:$I,$F290)/SUMIFS('COM RESID'!$O:$O,'COM RESID'!$I:$I,$F290)*AC290,1),3)</f>
        <v>-0.81300000000000006</v>
      </c>
      <c r="Z290" s="14"/>
      <c r="AA290" s="14"/>
      <c r="AB290" s="10"/>
      <c r="AC290" s="20">
        <f>IF(S290="COMELC",IF(SUMIFS('COM RESID'!$O:$O,'COM RESID'!$H:$H,$E290,'COM RESID'!$I:$I,$F290)/SUMIFS('COM RESID'!$O:$O,'COM RESID'!$I:$I,$F290)*1.2&lt;0.25,0.25/(SUMIFS('COM RESID'!$O:$O,'COM RESID'!$H:$H,$E290,'COM RESID'!$I:$I,$F290)/SUMIFS('COM RESID'!$O:$O,'COM RESID'!$I:$I,$F290)),1.2),IF(ISNUMBER(SEARCH("WHEUE",T290)),IF(OR(S290="COMNGA",S290="COMFOI"),1,1.2),1.2))</f>
        <v>1</v>
      </c>
    </row>
    <row r="291" spans="1:29" x14ac:dyDescent="0.25">
      <c r="A291" s="10">
        <f>A290</f>
        <v>72</v>
      </c>
      <c r="B291" s="10"/>
      <c r="C291" s="11" t="str">
        <f>IF(C290="*",C290,"")</f>
        <v/>
      </c>
      <c r="D291" s="12"/>
      <c r="E291" s="13" t="str">
        <f t="shared" si="91"/>
        <v>COMNGA</v>
      </c>
      <c r="F291" s="13" t="str">
        <f t="shared" si="91"/>
        <v>COMHOPOldWHEUE</v>
      </c>
      <c r="G291" s="13" t="str">
        <f t="shared" si="91"/>
        <v>COMHOPOldWHEUE</v>
      </c>
      <c r="H291" s="14">
        <v>2030</v>
      </c>
      <c r="I291" s="14" t="str">
        <f>I290</f>
        <v>LO</v>
      </c>
      <c r="J291" s="14"/>
      <c r="K291" s="15">
        <f>-ROUNDDOWN(SUMIFS('COM RESID'!$O:$O,'COM RESID'!$H:$H,$E291,'COM RESID'!$I:$I,$F291)/SUMIFS('COM RESID'!$O:$O,'COM RESID'!$I:$I,$F291),3)*O291</f>
        <v>-0.16240000000000002</v>
      </c>
      <c r="L291" s="14"/>
      <c r="M291" s="14"/>
      <c r="N291" s="10"/>
      <c r="O291" s="20">
        <v>0.2</v>
      </c>
      <c r="Q291" s="11" t="str">
        <f t="shared" si="80"/>
        <v/>
      </c>
      <c r="R291" s="12"/>
      <c r="S291" s="13" t="str">
        <f t="shared" si="82"/>
        <v>COMNGA</v>
      </c>
      <c r="T291" s="13" t="str">
        <f t="shared" si="83"/>
        <v>COMHOPOldWHEUE</v>
      </c>
      <c r="U291" s="13" t="str">
        <f t="shared" si="84"/>
        <v>COMHOPOldWHEUE</v>
      </c>
      <c r="V291" s="14">
        <v>2030</v>
      </c>
      <c r="W291" s="14" t="str">
        <f>W290</f>
        <v>UP</v>
      </c>
      <c r="X291" s="14"/>
      <c r="Y291" s="15">
        <f>-ROUNDUP(MIN(SUMIFS('COM RESID'!$O:$O,'COM RESID'!$H:$H,$E291,'COM RESID'!$I:$I,$F291)/SUMIFS('COM RESID'!$O:$O,'COM RESID'!$I:$I,$F291)*AC291,1),3)</f>
        <v>-0.73099999999999998</v>
      </c>
      <c r="Z291" s="14"/>
      <c r="AA291" s="14"/>
      <c r="AB291" s="10"/>
      <c r="AC291" s="20">
        <f>IF(S291="COMELC",IF(SUMIFS('COM RESID'!$O:$O,'COM RESID'!$H:$H,$E291,'COM RESID'!$I:$I,$F291)/SUMIFS('COM RESID'!$O:$O,'COM RESID'!$I:$I,$F291)*1.5&lt;0.5,0.5/(SUMIFS('COM RESID'!$O:$O,'COM RESID'!$H:$H,$E291,'COM RESID'!$I:$I,$F291)/SUMIFS('COM RESID'!$O:$O,'COM RESID'!$I:$I,$F291)),1.5),IF(ISNUMBER(SEARCH("WHEUE",T290)),IF(OR(S290="COMNGA",S290="COMFOI"),0.9,1.5),1.5))</f>
        <v>0.9</v>
      </c>
    </row>
    <row r="292" spans="1:29" x14ac:dyDescent="0.25">
      <c r="A292" s="26">
        <f>A291</f>
        <v>72</v>
      </c>
      <c r="B292" s="26"/>
      <c r="C292" s="21" t="str">
        <f>IF(C291="*",C291,"")</f>
        <v/>
      </c>
      <c r="D292" s="22"/>
      <c r="E292" s="23" t="str">
        <f t="shared" si="91"/>
        <v>COMNGA</v>
      </c>
      <c r="F292" s="23" t="str">
        <f t="shared" si="91"/>
        <v>COMHOPOldWHEUE</v>
      </c>
      <c r="G292" s="23" t="str">
        <f t="shared" si="91"/>
        <v>COMHOPOldWHEUE</v>
      </c>
      <c r="H292" s="24">
        <v>2050</v>
      </c>
      <c r="I292" s="24" t="str">
        <f>I291</f>
        <v>LO</v>
      </c>
      <c r="J292" s="24"/>
      <c r="K292" s="25">
        <f>-ROUNDDOWN(SUMIFS('COM RESID'!$O:$O,'COM RESID'!$H:$H,$E292,'COM RESID'!$I:$I,$F292)/SUMIFS('COM RESID'!$O:$O,'COM RESID'!$I:$I,$F292),3)*O292</f>
        <v>0</v>
      </c>
      <c r="L292" s="24"/>
      <c r="M292" s="24"/>
      <c r="N292" s="26"/>
      <c r="O292" s="27">
        <v>0</v>
      </c>
      <c r="Q292" s="21" t="str">
        <f t="shared" si="80"/>
        <v/>
      </c>
      <c r="R292" s="22"/>
      <c r="S292" s="23" t="str">
        <f t="shared" si="82"/>
        <v>COMNGA</v>
      </c>
      <c r="T292" s="23" t="str">
        <f t="shared" si="83"/>
        <v>COMHOPOldWHEUE</v>
      </c>
      <c r="U292" s="23" t="str">
        <f t="shared" si="84"/>
        <v>COMHOPOldWHEUE</v>
      </c>
      <c r="V292" s="24">
        <v>2050</v>
      </c>
      <c r="W292" s="24" t="str">
        <f>W291</f>
        <v>UP</v>
      </c>
      <c r="X292" s="24"/>
      <c r="Y292" s="25">
        <f>-ROUNDUP(MIN(SUMIFS('COM RESID'!$O:$O,'COM RESID'!$H:$H,$E292,'COM RESID'!$I:$I,$F292)/SUMIFS('COM RESID'!$O:$O,'COM RESID'!$I:$I,$F292)*AC292,1),3)</f>
        <v>-0.61</v>
      </c>
      <c r="Z292" s="24"/>
      <c r="AA292" s="24"/>
      <c r="AB292" s="26"/>
      <c r="AC292" s="27">
        <f>IF(S292="COMELC",IF(SUMIFS('COM RESID'!$O:$O,'COM RESID'!$H:$H,$E292,'COM RESID'!$I:$I,$F292)/SUMIFS('COM RESID'!$O:$O,'COM RESID'!$I:$I,$F292)*3&lt;1,1/(SUMIFS('COM RESID'!$O:$O,'COM RESID'!$H:$H,$E292,'COM RESID'!$I:$I,$F292)/SUMIFS('COM RESID'!$O:$O,'COM RESID'!$I:$I,$F292)),3),IF(ISNUMBER(SEARCH("WHEUE",T290)),IF(OR(S290="COMNGA",S290="COMFOI"),0.75,3),3))</f>
        <v>0.75</v>
      </c>
    </row>
    <row r="293" spans="1:29" x14ac:dyDescent="0.25">
      <c r="A293" s="19">
        <f>A289+1</f>
        <v>73</v>
      </c>
      <c r="B293" s="10"/>
      <c r="C293" s="11" t="str">
        <f>IF(E293="","",IF(_xlfn.XLOOKUP($A293,Selected_constraint_UC!$A:$A,Selected_constraint_UC!$D:$D)=1,"*",IF(SUMIFS('COM TECH'!$N:$N,'COM TECH'!$K:$K,E293,'COM TECH'!$L:$L,F293)=0,"*",IF(SUMIFS('COM RESID'!$O:$O,'COM RESID'!$H:$H,$E293,'COM RESID'!$I:$I,$F293)=0,"*","UC_MarketShare_"&amp;LEFT(F293,LEN(F293)-3)&amp;"_"&amp;RIGHT(E293,3)&amp;"_MIN"))))</f>
        <v>*</v>
      </c>
      <c r="D293" s="12"/>
      <c r="E293" s="13" t="str">
        <f>_xlfn.XLOOKUP($A293,Selected_constraint_UC!$A:$A,Selected_constraint_UC!$B:$B)</f>
        <v>COMSTM</v>
      </c>
      <c r="F293" s="13" t="str">
        <f>_xlfn.XLOOKUP($A293,Selected_constraint_UC!$A:$A,Selected_constraint_UC!$C:$C)</f>
        <v>COMHOPOldWHEUE</v>
      </c>
      <c r="G293" s="13" t="str">
        <f>F293</f>
        <v>COMHOPOldWHEUE</v>
      </c>
      <c r="H293" s="14">
        <v>2019</v>
      </c>
      <c r="I293" s="14" t="s">
        <v>3848</v>
      </c>
      <c r="J293" s="14">
        <v>1</v>
      </c>
      <c r="K293" s="15">
        <f>-ROUNDDOWN(SUMIFS('COM RESID'!$O:$O,'COM RESID'!$H:$H,$E293,'COM RESID'!$I:$I,$F293)/SUMIFS('COM RESID'!$O:$O,'COM RESID'!$I:$I,$F293),3)*O293</f>
        <v>-3.5279999999999999E-2</v>
      </c>
      <c r="L293" s="14">
        <v>0</v>
      </c>
      <c r="M293" s="14">
        <v>5</v>
      </c>
      <c r="N293" s="10"/>
      <c r="O293" s="20">
        <v>0.98</v>
      </c>
      <c r="Q293" s="11" t="str">
        <f t="shared" si="80"/>
        <v>*</v>
      </c>
      <c r="R293" s="12"/>
      <c r="S293" s="13" t="str">
        <f t="shared" si="82"/>
        <v>COMSTM</v>
      </c>
      <c r="T293" s="13" t="str">
        <f t="shared" si="83"/>
        <v>COMHOPOldWHEUE</v>
      </c>
      <c r="U293" s="13" t="str">
        <f t="shared" si="84"/>
        <v>COMHOPOldWHEUE</v>
      </c>
      <c r="V293" s="14">
        <v>2019</v>
      </c>
      <c r="W293" s="14" t="s">
        <v>3849</v>
      </c>
      <c r="X293" s="14">
        <v>1</v>
      </c>
      <c r="Y293" s="15">
        <f>-ROUNDUP(MIN(SUMIFS('COM RESID'!$O:$O,'COM RESID'!$H:$H,$E293,'COM RESID'!$I:$I,$F293)/SUMIFS('COM RESID'!$O:$O,'COM RESID'!$I:$I,$F293)*AC293,1),3)</f>
        <v>-3.7999999999999999E-2</v>
      </c>
      <c r="Z293" s="14">
        <v>0</v>
      </c>
      <c r="AA293" s="14">
        <v>5</v>
      </c>
      <c r="AB293" s="10"/>
      <c r="AC293" s="20">
        <v>1.02</v>
      </c>
    </row>
    <row r="294" spans="1:29" x14ac:dyDescent="0.25">
      <c r="A294" s="10">
        <f>A293</f>
        <v>73</v>
      </c>
      <c r="B294" s="10"/>
      <c r="C294" s="11" t="str">
        <f>IF(C293="*",C293,"")</f>
        <v>*</v>
      </c>
      <c r="D294" s="12"/>
      <c r="E294" s="13" t="str">
        <f t="shared" ref="E294:G296" si="92">E293</f>
        <v>COMSTM</v>
      </c>
      <c r="F294" s="13" t="str">
        <f t="shared" si="92"/>
        <v>COMHOPOldWHEUE</v>
      </c>
      <c r="G294" s="13" t="str">
        <f t="shared" si="92"/>
        <v>COMHOPOldWHEUE</v>
      </c>
      <c r="H294" s="14">
        <v>2025</v>
      </c>
      <c r="I294" s="14" t="str">
        <f>I293</f>
        <v>LO</v>
      </c>
      <c r="J294" s="14"/>
      <c r="K294" s="15">
        <f>-ROUNDDOWN(SUMIFS('COM RESID'!$O:$O,'COM RESID'!$H:$H,$E294,'COM RESID'!$I:$I,$F294)/SUMIFS('COM RESID'!$O:$O,'COM RESID'!$I:$I,$F294),3)*O294</f>
        <v>-2.8799999999999999E-2</v>
      </c>
      <c r="L294" s="14"/>
      <c r="M294" s="14"/>
      <c r="N294" s="10"/>
      <c r="O294" s="20">
        <v>0.8</v>
      </c>
      <c r="Q294" s="11" t="str">
        <f t="shared" si="80"/>
        <v>*</v>
      </c>
      <c r="R294" s="12"/>
      <c r="S294" s="13" t="str">
        <f t="shared" si="82"/>
        <v>COMSTM</v>
      </c>
      <c r="T294" s="13" t="str">
        <f t="shared" si="83"/>
        <v>COMHOPOldWHEUE</v>
      </c>
      <c r="U294" s="13" t="str">
        <f t="shared" si="84"/>
        <v>COMHOPOldWHEUE</v>
      </c>
      <c r="V294" s="14">
        <v>2025</v>
      </c>
      <c r="W294" s="14" t="str">
        <f>W293</f>
        <v>UP</v>
      </c>
      <c r="X294" s="14"/>
      <c r="Y294" s="15">
        <f>-ROUNDUP(MIN(SUMIFS('COM RESID'!$O:$O,'COM RESID'!$H:$H,$E294,'COM RESID'!$I:$I,$F294)/SUMIFS('COM RESID'!$O:$O,'COM RESID'!$I:$I,$F294)*AC294,1),3)</f>
        <v>-4.3999999999999997E-2</v>
      </c>
      <c r="Z294" s="14"/>
      <c r="AA294" s="14"/>
      <c r="AB294" s="10"/>
      <c r="AC294" s="20">
        <f>IF(S294="COMELC",IF(SUMIFS('COM RESID'!$O:$O,'COM RESID'!$H:$H,$E294,'COM RESID'!$I:$I,$F294)/SUMIFS('COM RESID'!$O:$O,'COM RESID'!$I:$I,$F294)*1.2&lt;0.25,0.25/(SUMIFS('COM RESID'!$O:$O,'COM RESID'!$H:$H,$E294,'COM RESID'!$I:$I,$F294)/SUMIFS('COM RESID'!$O:$O,'COM RESID'!$I:$I,$F294)),1.2),IF(ISNUMBER(SEARCH("WHEUE",T294)),IF(OR(S294="COMNGA",S294="COMFOI"),1,1.2),1.2))</f>
        <v>1.2</v>
      </c>
    </row>
    <row r="295" spans="1:29" x14ac:dyDescent="0.25">
      <c r="A295" s="10">
        <f>A294</f>
        <v>73</v>
      </c>
      <c r="B295" s="10"/>
      <c r="C295" s="11" t="str">
        <f>IF(C294="*",C294,"")</f>
        <v>*</v>
      </c>
      <c r="D295" s="12"/>
      <c r="E295" s="13" t="str">
        <f t="shared" si="92"/>
        <v>COMSTM</v>
      </c>
      <c r="F295" s="13" t="str">
        <f t="shared" si="92"/>
        <v>COMHOPOldWHEUE</v>
      </c>
      <c r="G295" s="13" t="str">
        <f t="shared" si="92"/>
        <v>COMHOPOldWHEUE</v>
      </c>
      <c r="H295" s="14">
        <v>2030</v>
      </c>
      <c r="I295" s="14" t="str">
        <f>I294</f>
        <v>LO</v>
      </c>
      <c r="J295" s="14"/>
      <c r="K295" s="15">
        <f>-ROUNDDOWN(SUMIFS('COM RESID'!$O:$O,'COM RESID'!$H:$H,$E295,'COM RESID'!$I:$I,$F295)/SUMIFS('COM RESID'!$O:$O,'COM RESID'!$I:$I,$F295),3)*O295</f>
        <v>-7.1999999999999998E-3</v>
      </c>
      <c r="L295" s="14"/>
      <c r="M295" s="14"/>
      <c r="N295" s="10"/>
      <c r="O295" s="20">
        <v>0.2</v>
      </c>
      <c r="Q295" s="11" t="str">
        <f t="shared" si="80"/>
        <v>*</v>
      </c>
      <c r="R295" s="12"/>
      <c r="S295" s="13" t="str">
        <f t="shared" si="82"/>
        <v>COMSTM</v>
      </c>
      <c r="T295" s="13" t="str">
        <f t="shared" si="83"/>
        <v>COMHOPOldWHEUE</v>
      </c>
      <c r="U295" s="13" t="str">
        <f t="shared" si="84"/>
        <v>COMHOPOldWHEUE</v>
      </c>
      <c r="V295" s="14">
        <v>2030</v>
      </c>
      <c r="W295" s="14" t="str">
        <f>W294</f>
        <v>UP</v>
      </c>
      <c r="X295" s="14"/>
      <c r="Y295" s="15">
        <f>-ROUNDUP(MIN(SUMIFS('COM RESID'!$O:$O,'COM RESID'!$H:$H,$E295,'COM RESID'!$I:$I,$F295)/SUMIFS('COM RESID'!$O:$O,'COM RESID'!$I:$I,$F295)*AC295,1),3)</f>
        <v>-5.5E-2</v>
      </c>
      <c r="Z295" s="14"/>
      <c r="AA295" s="14"/>
      <c r="AB295" s="10"/>
      <c r="AC295" s="20">
        <f>IF(S295="COMELC",IF(SUMIFS('COM RESID'!$O:$O,'COM RESID'!$H:$H,$E295,'COM RESID'!$I:$I,$F295)/SUMIFS('COM RESID'!$O:$O,'COM RESID'!$I:$I,$F295)*1.5&lt;0.5,0.5/(SUMIFS('COM RESID'!$O:$O,'COM RESID'!$H:$H,$E295,'COM RESID'!$I:$I,$F295)/SUMIFS('COM RESID'!$O:$O,'COM RESID'!$I:$I,$F295)),1.5),IF(ISNUMBER(SEARCH("WHEUE",T294)),IF(OR(S294="COMNGA",S294="COMFOI"),0.9,1.5),1.5))</f>
        <v>1.5</v>
      </c>
    </row>
    <row r="296" spans="1:29" x14ac:dyDescent="0.25">
      <c r="A296" s="26">
        <f>A295</f>
        <v>73</v>
      </c>
      <c r="B296" s="26"/>
      <c r="C296" s="21" t="str">
        <f>IF(C295="*",C295,"")</f>
        <v>*</v>
      </c>
      <c r="D296" s="22"/>
      <c r="E296" s="23" t="str">
        <f t="shared" si="92"/>
        <v>COMSTM</v>
      </c>
      <c r="F296" s="23" t="str">
        <f t="shared" si="92"/>
        <v>COMHOPOldWHEUE</v>
      </c>
      <c r="G296" s="23" t="str">
        <f t="shared" si="92"/>
        <v>COMHOPOldWHEUE</v>
      </c>
      <c r="H296" s="24">
        <v>2050</v>
      </c>
      <c r="I296" s="24" t="str">
        <f>I295</f>
        <v>LO</v>
      </c>
      <c r="J296" s="24"/>
      <c r="K296" s="25">
        <f>-ROUNDDOWN(SUMIFS('COM RESID'!$O:$O,'COM RESID'!$H:$H,$E296,'COM RESID'!$I:$I,$F296)/SUMIFS('COM RESID'!$O:$O,'COM RESID'!$I:$I,$F296),3)*O296</f>
        <v>0</v>
      </c>
      <c r="L296" s="24"/>
      <c r="M296" s="24"/>
      <c r="N296" s="26"/>
      <c r="O296" s="27">
        <v>0</v>
      </c>
      <c r="Q296" s="21" t="str">
        <f t="shared" si="80"/>
        <v>*</v>
      </c>
      <c r="R296" s="22"/>
      <c r="S296" s="23" t="str">
        <f t="shared" si="82"/>
        <v>COMSTM</v>
      </c>
      <c r="T296" s="23" t="str">
        <f t="shared" si="83"/>
        <v>COMHOPOldWHEUE</v>
      </c>
      <c r="U296" s="23" t="str">
        <f t="shared" si="84"/>
        <v>COMHOPOldWHEUE</v>
      </c>
      <c r="V296" s="24">
        <v>2050</v>
      </c>
      <c r="W296" s="24" t="str">
        <f>W295</f>
        <v>UP</v>
      </c>
      <c r="X296" s="24"/>
      <c r="Y296" s="25">
        <f>-ROUNDUP(MIN(SUMIFS('COM RESID'!$O:$O,'COM RESID'!$H:$H,$E296,'COM RESID'!$I:$I,$F296)/SUMIFS('COM RESID'!$O:$O,'COM RESID'!$I:$I,$F296)*AC296,1),3)</f>
        <v>-0.11</v>
      </c>
      <c r="Z296" s="24"/>
      <c r="AA296" s="24"/>
      <c r="AB296" s="26"/>
      <c r="AC296" s="27">
        <f>IF(S296="COMELC",IF(SUMIFS('COM RESID'!$O:$O,'COM RESID'!$H:$H,$E296,'COM RESID'!$I:$I,$F296)/SUMIFS('COM RESID'!$O:$O,'COM RESID'!$I:$I,$F296)*3&lt;1,1/(SUMIFS('COM RESID'!$O:$O,'COM RESID'!$H:$H,$E296,'COM RESID'!$I:$I,$F296)/SUMIFS('COM RESID'!$O:$O,'COM RESID'!$I:$I,$F296)),3),IF(ISNUMBER(SEARCH("WHEUE",T294)),IF(OR(S294="COMNGA",S294="COMFOI"),0.75,3),3))</f>
        <v>3</v>
      </c>
    </row>
    <row r="297" spans="1:29" x14ac:dyDescent="0.25">
      <c r="A297" s="19">
        <f>A293+1</f>
        <v>74</v>
      </c>
      <c r="B297" s="10"/>
      <c r="C297" s="11" t="str">
        <f>IF(E297="","",IF(_xlfn.XLOOKUP($A297,Selected_constraint_UC!$A:$A,Selected_constraint_UC!$D:$D)=1,"*",IF(SUMIFS('COM TECH'!$N:$N,'COM TECH'!$K:$K,E297,'COM TECH'!$L:$L,F297)=0,"*",IF(SUMIFS('COM RESID'!$O:$O,'COM RESID'!$H:$H,$E297,'COM RESID'!$I:$I,$F297)=0,"*","UC_MarketShare_"&amp;LEFT(F297,LEN(F297)-3)&amp;"_"&amp;RIGHT(E297,3)&amp;"_MIN"))))</f>
        <v>UC_MarketShare_COMHOPOldWH_ELC_MIN</v>
      </c>
      <c r="D297" s="12"/>
      <c r="E297" s="13" t="str">
        <f>_xlfn.XLOOKUP($A297,Selected_constraint_UC!$A:$A,Selected_constraint_UC!$B:$B)</f>
        <v>COMELC</v>
      </c>
      <c r="F297" s="13" t="str">
        <f>_xlfn.XLOOKUP($A297,Selected_constraint_UC!$A:$A,Selected_constraint_UC!$C:$C)</f>
        <v>COMHOPOldWHEUE</v>
      </c>
      <c r="G297" s="13" t="str">
        <f>F297</f>
        <v>COMHOPOldWHEUE</v>
      </c>
      <c r="H297" s="14">
        <v>2019</v>
      </c>
      <c r="I297" s="14" t="s">
        <v>3848</v>
      </c>
      <c r="J297" s="14">
        <v>1</v>
      </c>
      <c r="K297" s="15">
        <f>-ROUNDDOWN(SUMIFS('COM RESID'!$O:$O,'COM RESID'!$H:$H,$E297,'COM RESID'!$I:$I,$F297)/SUMIFS('COM RESID'!$O:$O,'COM RESID'!$I:$I,$F297),3)*O297</f>
        <v>-9.9959999999999993E-2</v>
      </c>
      <c r="L297" s="14">
        <v>0</v>
      </c>
      <c r="M297" s="14">
        <v>5</v>
      </c>
      <c r="N297" s="10"/>
      <c r="O297" s="20">
        <v>0.98</v>
      </c>
      <c r="Q297" s="11" t="str">
        <f t="shared" si="80"/>
        <v>UC_MarketShare_COMHOPOldWH_ELC_MAX</v>
      </c>
      <c r="R297" s="12"/>
      <c r="S297" s="13" t="str">
        <f t="shared" si="82"/>
        <v>COMELC</v>
      </c>
      <c r="T297" s="13" t="str">
        <f t="shared" si="83"/>
        <v>COMHOPOldWHEUE</v>
      </c>
      <c r="U297" s="13" t="str">
        <f t="shared" si="84"/>
        <v>COMHOPOldWHEUE</v>
      </c>
      <c r="V297" s="14">
        <v>2019</v>
      </c>
      <c r="W297" s="14" t="s">
        <v>3849</v>
      </c>
      <c r="X297" s="14">
        <v>1</v>
      </c>
      <c r="Y297" s="15">
        <f>-ROUNDUP(MIN(SUMIFS('COM RESID'!$O:$O,'COM RESID'!$H:$H,$E297,'COM RESID'!$I:$I,$F297)/SUMIFS('COM RESID'!$O:$O,'COM RESID'!$I:$I,$F297)*AC297,1),3)</f>
        <v>-0.105</v>
      </c>
      <c r="Z297" s="14">
        <v>0</v>
      </c>
      <c r="AA297" s="14">
        <v>5</v>
      </c>
      <c r="AB297" s="10"/>
      <c r="AC297" s="20">
        <v>1.02</v>
      </c>
    </row>
    <row r="298" spans="1:29" x14ac:dyDescent="0.25">
      <c r="A298" s="10">
        <f>A297</f>
        <v>74</v>
      </c>
      <c r="B298" s="10"/>
      <c r="C298" s="11" t="str">
        <f>IF(C297="*",C297,"")</f>
        <v/>
      </c>
      <c r="D298" s="12"/>
      <c r="E298" s="13" t="str">
        <f t="shared" ref="E298:G300" si="93">E297</f>
        <v>COMELC</v>
      </c>
      <c r="F298" s="13" t="str">
        <f t="shared" si="93"/>
        <v>COMHOPOldWHEUE</v>
      </c>
      <c r="G298" s="13" t="str">
        <f t="shared" si="93"/>
        <v>COMHOPOldWHEUE</v>
      </c>
      <c r="H298" s="14">
        <v>2025</v>
      </c>
      <c r="I298" s="14" t="str">
        <f>I297</f>
        <v>LO</v>
      </c>
      <c r="J298" s="14"/>
      <c r="K298" s="15">
        <f>-ROUNDDOWN(SUMIFS('COM RESID'!$O:$O,'COM RESID'!$H:$H,$E298,'COM RESID'!$I:$I,$F298)/SUMIFS('COM RESID'!$O:$O,'COM RESID'!$I:$I,$F298),3)*O298</f>
        <v>-8.1600000000000006E-2</v>
      </c>
      <c r="L298" s="14"/>
      <c r="M298" s="14"/>
      <c r="N298" s="10"/>
      <c r="O298" s="20">
        <v>0.8</v>
      </c>
      <c r="Q298" s="11" t="str">
        <f t="shared" si="80"/>
        <v/>
      </c>
      <c r="R298" s="12"/>
      <c r="S298" s="13" t="str">
        <f t="shared" si="82"/>
        <v>COMELC</v>
      </c>
      <c r="T298" s="13" t="str">
        <f t="shared" si="83"/>
        <v>COMHOPOldWHEUE</v>
      </c>
      <c r="U298" s="13" t="str">
        <f t="shared" si="84"/>
        <v>COMHOPOldWHEUE</v>
      </c>
      <c r="V298" s="14">
        <v>2025</v>
      </c>
      <c r="W298" s="14" t="str">
        <f>W297</f>
        <v>UP</v>
      </c>
      <c r="X298" s="14"/>
      <c r="Y298" s="15">
        <f>-ROUNDUP(MIN(SUMIFS('COM RESID'!$O:$O,'COM RESID'!$H:$H,$E298,'COM RESID'!$I:$I,$F298)/SUMIFS('COM RESID'!$O:$O,'COM RESID'!$I:$I,$F298)*AC298,1),3)</f>
        <v>-0.25</v>
      </c>
      <c r="Z298" s="14"/>
      <c r="AA298" s="14"/>
      <c r="AB298" s="10"/>
      <c r="AC298" s="20">
        <f>IF(S298="COMELC",IF(SUMIFS('COM RESID'!$O:$O,'COM RESID'!$H:$H,$E298,'COM RESID'!$I:$I,$F298)/SUMIFS('COM RESID'!$O:$O,'COM RESID'!$I:$I,$F298)*1.2&lt;0.25,0.25/(SUMIFS('COM RESID'!$O:$O,'COM RESID'!$H:$H,$E298,'COM RESID'!$I:$I,$F298)/SUMIFS('COM RESID'!$O:$O,'COM RESID'!$I:$I,$F298)),1.2),IF(ISNUMBER(SEARCH("WHEUE",T298)),IF(OR(S298="COMNGA",S298="COMFOI"),1,1.2),1.2))</f>
        <v>2.4366769880473611</v>
      </c>
    </row>
    <row r="299" spans="1:29" x14ac:dyDescent="0.25">
      <c r="A299" s="10">
        <f>A298</f>
        <v>74</v>
      </c>
      <c r="B299" s="10"/>
      <c r="C299" s="11" t="str">
        <f>IF(C298="*",C298,"")</f>
        <v/>
      </c>
      <c r="D299" s="12"/>
      <c r="E299" s="13" t="str">
        <f t="shared" si="93"/>
        <v>COMELC</v>
      </c>
      <c r="F299" s="13" t="str">
        <f t="shared" si="93"/>
        <v>COMHOPOldWHEUE</v>
      </c>
      <c r="G299" s="13" t="str">
        <f t="shared" si="93"/>
        <v>COMHOPOldWHEUE</v>
      </c>
      <c r="H299" s="14">
        <v>2030</v>
      </c>
      <c r="I299" s="14" t="str">
        <f>I298</f>
        <v>LO</v>
      </c>
      <c r="J299" s="14"/>
      <c r="K299" s="15">
        <f>-ROUNDDOWN(SUMIFS('COM RESID'!$O:$O,'COM RESID'!$H:$H,$E299,'COM RESID'!$I:$I,$F299)/SUMIFS('COM RESID'!$O:$O,'COM RESID'!$I:$I,$F299),3)*O299</f>
        <v>-7.6499999999999999E-2</v>
      </c>
      <c r="L299" s="14"/>
      <c r="M299" s="14"/>
      <c r="N299" s="10"/>
      <c r="O299" s="20">
        <v>0.75</v>
      </c>
      <c r="Q299" s="11" t="str">
        <f t="shared" si="80"/>
        <v/>
      </c>
      <c r="R299" s="12"/>
      <c r="S299" s="13" t="str">
        <f t="shared" si="82"/>
        <v>COMELC</v>
      </c>
      <c r="T299" s="13" t="str">
        <f t="shared" si="83"/>
        <v>COMHOPOldWHEUE</v>
      </c>
      <c r="U299" s="13" t="str">
        <f t="shared" si="84"/>
        <v>COMHOPOldWHEUE</v>
      </c>
      <c r="V299" s="14">
        <v>2030</v>
      </c>
      <c r="W299" s="14" t="str">
        <f>W298</f>
        <v>UP</v>
      </c>
      <c r="X299" s="14"/>
      <c r="Y299" s="15">
        <f>-ROUNDUP(MIN(SUMIFS('COM RESID'!$O:$O,'COM RESID'!$H:$H,$E299,'COM RESID'!$I:$I,$F299)/SUMIFS('COM RESID'!$O:$O,'COM RESID'!$I:$I,$F299)*AC299,1),3)</f>
        <v>-0.5</v>
      </c>
      <c r="Z299" s="14"/>
      <c r="AA299" s="14"/>
      <c r="AB299" s="10"/>
      <c r="AC299" s="20">
        <f>IF(S299="COMELC",IF(SUMIFS('COM RESID'!$O:$O,'COM RESID'!$H:$H,$E299,'COM RESID'!$I:$I,$F299)/SUMIFS('COM RESID'!$O:$O,'COM RESID'!$I:$I,$F299)*1.5&lt;0.5,0.5/(SUMIFS('COM RESID'!$O:$O,'COM RESID'!$H:$H,$E299,'COM RESID'!$I:$I,$F299)/SUMIFS('COM RESID'!$O:$O,'COM RESID'!$I:$I,$F299)),1.5),IF(ISNUMBER(SEARCH("WHEUE",T298)),IF(OR(S298="COMNGA",S298="COMFOI"),0.9,1.5),1.5))</f>
        <v>4.8733539760947222</v>
      </c>
    </row>
    <row r="300" spans="1:29" x14ac:dyDescent="0.25">
      <c r="A300" s="26">
        <f>A299</f>
        <v>74</v>
      </c>
      <c r="B300" s="26"/>
      <c r="C300" s="21" t="str">
        <f>IF(C299="*",C299,"")</f>
        <v/>
      </c>
      <c r="D300" s="22"/>
      <c r="E300" s="23" t="str">
        <f t="shared" si="93"/>
        <v>COMELC</v>
      </c>
      <c r="F300" s="23" t="str">
        <f t="shared" si="93"/>
        <v>COMHOPOldWHEUE</v>
      </c>
      <c r="G300" s="23" t="str">
        <f t="shared" si="93"/>
        <v>COMHOPOldWHEUE</v>
      </c>
      <c r="H300" s="24">
        <v>2050</v>
      </c>
      <c r="I300" s="24" t="str">
        <f>I299</f>
        <v>LO</v>
      </c>
      <c r="J300" s="24"/>
      <c r="K300" s="25">
        <f>-ROUNDDOWN(SUMIFS('COM RESID'!$O:$O,'COM RESID'!$H:$H,$E300,'COM RESID'!$I:$I,$F300)/SUMIFS('COM RESID'!$O:$O,'COM RESID'!$I:$I,$F300),3)*O300</f>
        <v>-7.6499999999999999E-2</v>
      </c>
      <c r="L300" s="24"/>
      <c r="M300" s="24"/>
      <c r="N300" s="26"/>
      <c r="O300" s="27">
        <v>0.75</v>
      </c>
      <c r="Q300" s="21" t="str">
        <f t="shared" si="80"/>
        <v/>
      </c>
      <c r="R300" s="22"/>
      <c r="S300" s="23" t="str">
        <f t="shared" si="82"/>
        <v>COMELC</v>
      </c>
      <c r="T300" s="23" t="str">
        <f t="shared" si="83"/>
        <v>COMHOPOldWHEUE</v>
      </c>
      <c r="U300" s="23" t="str">
        <f t="shared" si="84"/>
        <v>COMHOPOldWHEUE</v>
      </c>
      <c r="V300" s="24">
        <v>2050</v>
      </c>
      <c r="W300" s="24" t="str">
        <f>W299</f>
        <v>UP</v>
      </c>
      <c r="X300" s="24"/>
      <c r="Y300" s="25">
        <f>-ROUNDUP(MIN(SUMIFS('COM RESID'!$O:$O,'COM RESID'!$H:$H,$E300,'COM RESID'!$I:$I,$F300)/SUMIFS('COM RESID'!$O:$O,'COM RESID'!$I:$I,$F300)*AC300,1),3)</f>
        <v>-1</v>
      </c>
      <c r="Z300" s="24"/>
      <c r="AA300" s="24"/>
      <c r="AB300" s="26"/>
      <c r="AC300" s="27">
        <f>IF(S300="COMELC",IF(SUMIFS('COM RESID'!$O:$O,'COM RESID'!$H:$H,$E300,'COM RESID'!$I:$I,$F300)/SUMIFS('COM RESID'!$O:$O,'COM RESID'!$I:$I,$F300)*3&lt;1,1/(SUMIFS('COM RESID'!$O:$O,'COM RESID'!$H:$H,$E300,'COM RESID'!$I:$I,$F300)/SUMIFS('COM RESID'!$O:$O,'COM RESID'!$I:$I,$F300)),3),IF(ISNUMBER(SEARCH("WHEUE",T298)),IF(OR(S298="COMNGA",S298="COMFOI"),0.75,3),3))</f>
        <v>9.7467079521894444</v>
      </c>
    </row>
    <row r="301" spans="1:29" x14ac:dyDescent="0.25">
      <c r="A301" s="19">
        <f>A297+1</f>
        <v>75</v>
      </c>
      <c r="B301" s="10"/>
      <c r="C301" s="11" t="str">
        <f>IF(E301="","",IF(_xlfn.XLOOKUP($A301,Selected_constraint_UC!$A:$A,Selected_constraint_UC!$D:$D)=1,"*",IF(SUMIFS('COM TECH'!$N:$N,'COM TECH'!$K:$K,E301,'COM TECH'!$L:$L,F301)=0,"*",IF(SUMIFS('COM RESID'!$O:$O,'COM RESID'!$H:$H,$E301,'COM RESID'!$I:$I,$F301)=0,"*","UC_MarketShare_"&amp;LEFT(F301,LEN(F301)-3)&amp;"_"&amp;RIGHT(E301,3)&amp;"_MIN"))))</f>
        <v>*</v>
      </c>
      <c r="D301" s="12"/>
      <c r="E301" s="13" t="str">
        <f>_xlfn.XLOOKUP($A301,Selected_constraint_UC!$A:$A,Selected_constraint_UC!$B:$B)</f>
        <v>COMELC</v>
      </c>
      <c r="F301" s="13" t="str">
        <f>_xlfn.XLOOKUP($A301,Selected_constraint_UC!$A:$A,Selected_constraint_UC!$C:$C)</f>
        <v>COMHOPOldLTEUE</v>
      </c>
      <c r="G301" s="13" t="str">
        <f>F301</f>
        <v>COMHOPOldLTEUE</v>
      </c>
      <c r="H301" s="14">
        <v>2019</v>
      </c>
      <c r="I301" s="14" t="s">
        <v>3848</v>
      </c>
      <c r="J301" s="14">
        <v>1</v>
      </c>
      <c r="K301" s="15">
        <f>-ROUNDDOWN(SUMIFS('COM RESID'!$O:$O,'COM RESID'!$H:$H,$E301,'COM RESID'!$I:$I,$F301)/SUMIFS('COM RESID'!$O:$O,'COM RESID'!$I:$I,$F301),3)*O301</f>
        <v>-0.98</v>
      </c>
      <c r="L301" s="14">
        <v>0</v>
      </c>
      <c r="M301" s="14">
        <v>5</v>
      </c>
      <c r="N301" s="10"/>
      <c r="O301" s="20">
        <v>0.98</v>
      </c>
      <c r="Q301" s="11" t="str">
        <f t="shared" si="80"/>
        <v>*</v>
      </c>
      <c r="R301" s="12"/>
      <c r="S301" s="13" t="str">
        <f t="shared" si="82"/>
        <v>COMELC</v>
      </c>
      <c r="T301" s="13" t="str">
        <f t="shared" si="83"/>
        <v>COMHOPOldLTEUE</v>
      </c>
      <c r="U301" s="13" t="str">
        <f t="shared" si="84"/>
        <v>COMHOPOldLTEUE</v>
      </c>
      <c r="V301" s="14">
        <v>2019</v>
      </c>
      <c r="W301" s="14" t="s">
        <v>3849</v>
      </c>
      <c r="X301" s="14">
        <v>1</v>
      </c>
      <c r="Y301" s="15">
        <f>-ROUNDUP(MIN(SUMIFS('COM RESID'!$O:$O,'COM RESID'!$H:$H,$E301,'COM RESID'!$I:$I,$F301)/SUMIFS('COM RESID'!$O:$O,'COM RESID'!$I:$I,$F301)*AC301,1),3)</f>
        <v>-1</v>
      </c>
      <c r="Z301" s="14">
        <v>0</v>
      </c>
      <c r="AA301" s="14">
        <v>5</v>
      </c>
      <c r="AB301" s="10"/>
      <c r="AC301" s="20">
        <v>1.02</v>
      </c>
    </row>
    <row r="302" spans="1:29" x14ac:dyDescent="0.25">
      <c r="A302" s="10">
        <f>A301</f>
        <v>75</v>
      </c>
      <c r="B302" s="10"/>
      <c r="C302" s="11" t="str">
        <f>IF(C301="*",C301,"")</f>
        <v>*</v>
      </c>
      <c r="D302" s="12"/>
      <c r="E302" s="13" t="str">
        <f t="shared" ref="E302:G304" si="94">E301</f>
        <v>COMELC</v>
      </c>
      <c r="F302" s="13" t="str">
        <f t="shared" si="94"/>
        <v>COMHOPOldLTEUE</v>
      </c>
      <c r="G302" s="13" t="str">
        <f t="shared" si="94"/>
        <v>COMHOPOldLTEUE</v>
      </c>
      <c r="H302" s="14">
        <v>2025</v>
      </c>
      <c r="I302" s="14" t="str">
        <f>I301</f>
        <v>LO</v>
      </c>
      <c r="J302" s="14"/>
      <c r="K302" s="15">
        <f>-ROUNDDOWN(SUMIFS('COM RESID'!$O:$O,'COM RESID'!$H:$H,$E302,'COM RESID'!$I:$I,$F302)/SUMIFS('COM RESID'!$O:$O,'COM RESID'!$I:$I,$F302),3)*O302</f>
        <v>-0.8</v>
      </c>
      <c r="L302" s="14"/>
      <c r="M302" s="14"/>
      <c r="N302" s="10"/>
      <c r="O302" s="20">
        <v>0.8</v>
      </c>
      <c r="Q302" s="11" t="str">
        <f t="shared" si="80"/>
        <v>*</v>
      </c>
      <c r="R302" s="12"/>
      <c r="S302" s="13" t="str">
        <f t="shared" si="82"/>
        <v>COMELC</v>
      </c>
      <c r="T302" s="13" t="str">
        <f t="shared" si="83"/>
        <v>COMHOPOldLTEUE</v>
      </c>
      <c r="U302" s="13" t="str">
        <f t="shared" si="84"/>
        <v>COMHOPOldLTEUE</v>
      </c>
      <c r="V302" s="14">
        <v>2025</v>
      </c>
      <c r="W302" s="14" t="str">
        <f>W301</f>
        <v>UP</v>
      </c>
      <c r="X302" s="14"/>
      <c r="Y302" s="15">
        <f>-ROUNDUP(MIN(SUMIFS('COM RESID'!$O:$O,'COM RESID'!$H:$H,$E302,'COM RESID'!$I:$I,$F302)/SUMIFS('COM RESID'!$O:$O,'COM RESID'!$I:$I,$F302)*AC302,1),3)</f>
        <v>-1</v>
      </c>
      <c r="Z302" s="14"/>
      <c r="AA302" s="14"/>
      <c r="AB302" s="10"/>
      <c r="AC302" s="20">
        <f>IF(S302="COMELC",IF(SUMIFS('COM RESID'!$O:$O,'COM RESID'!$H:$H,$E302,'COM RESID'!$I:$I,$F302)/SUMIFS('COM RESID'!$O:$O,'COM RESID'!$I:$I,$F302)*1.2&lt;0.25,0.25/(SUMIFS('COM RESID'!$O:$O,'COM RESID'!$H:$H,$E302,'COM RESID'!$I:$I,$F302)/SUMIFS('COM RESID'!$O:$O,'COM RESID'!$I:$I,$F302)),1.2),IF(ISNUMBER(SEARCH("WHEUE",T302)),IF(OR(S302="COMNGA",S302="COMFOI"),1,1.2),1.2))</f>
        <v>1.2</v>
      </c>
    </row>
    <row r="303" spans="1:29" x14ac:dyDescent="0.25">
      <c r="A303" s="10">
        <f>A302</f>
        <v>75</v>
      </c>
      <c r="B303" s="10"/>
      <c r="C303" s="11" t="str">
        <f>IF(C302="*",C302,"")</f>
        <v>*</v>
      </c>
      <c r="D303" s="12"/>
      <c r="E303" s="13" t="str">
        <f t="shared" si="94"/>
        <v>COMELC</v>
      </c>
      <c r="F303" s="13" t="str">
        <f t="shared" si="94"/>
        <v>COMHOPOldLTEUE</v>
      </c>
      <c r="G303" s="13" t="str">
        <f t="shared" si="94"/>
        <v>COMHOPOldLTEUE</v>
      </c>
      <c r="H303" s="14">
        <v>2030</v>
      </c>
      <c r="I303" s="14" t="str">
        <f>I302</f>
        <v>LO</v>
      </c>
      <c r="J303" s="14"/>
      <c r="K303" s="15">
        <f>-ROUNDDOWN(SUMIFS('COM RESID'!$O:$O,'COM RESID'!$H:$H,$E303,'COM RESID'!$I:$I,$F303)/SUMIFS('COM RESID'!$O:$O,'COM RESID'!$I:$I,$F303),3)*O303</f>
        <v>-0.2</v>
      </c>
      <c r="L303" s="14"/>
      <c r="M303" s="14"/>
      <c r="N303" s="10"/>
      <c r="O303" s="20">
        <v>0.2</v>
      </c>
      <c r="Q303" s="11" t="str">
        <f t="shared" si="80"/>
        <v>*</v>
      </c>
      <c r="R303" s="12"/>
      <c r="S303" s="13" t="str">
        <f t="shared" si="82"/>
        <v>COMELC</v>
      </c>
      <c r="T303" s="13" t="str">
        <f t="shared" si="83"/>
        <v>COMHOPOldLTEUE</v>
      </c>
      <c r="U303" s="13" t="str">
        <f t="shared" si="84"/>
        <v>COMHOPOldLTEUE</v>
      </c>
      <c r="V303" s="14">
        <v>2030</v>
      </c>
      <c r="W303" s="14" t="str">
        <f>W302</f>
        <v>UP</v>
      </c>
      <c r="X303" s="14"/>
      <c r="Y303" s="15">
        <f>-ROUNDUP(MIN(SUMIFS('COM RESID'!$O:$O,'COM RESID'!$H:$H,$E303,'COM RESID'!$I:$I,$F303)/SUMIFS('COM RESID'!$O:$O,'COM RESID'!$I:$I,$F303)*AC303,1),3)</f>
        <v>-1</v>
      </c>
      <c r="Z303" s="14"/>
      <c r="AA303" s="14"/>
      <c r="AB303" s="10"/>
      <c r="AC303" s="20">
        <f>IF(S303="COMELC",IF(SUMIFS('COM RESID'!$O:$O,'COM RESID'!$H:$H,$E303,'COM RESID'!$I:$I,$F303)/SUMIFS('COM RESID'!$O:$O,'COM RESID'!$I:$I,$F303)*1.5&lt;0.5,0.5/(SUMIFS('COM RESID'!$O:$O,'COM RESID'!$H:$H,$E303,'COM RESID'!$I:$I,$F303)/SUMIFS('COM RESID'!$O:$O,'COM RESID'!$I:$I,$F303)),1.5),IF(ISNUMBER(SEARCH("WHEUE",T302)),IF(OR(S302="COMNGA",S302="COMFOI"),0.9,1.5),1.5))</f>
        <v>1.5</v>
      </c>
    </row>
    <row r="304" spans="1:29" x14ac:dyDescent="0.25">
      <c r="A304" s="26">
        <f>A303</f>
        <v>75</v>
      </c>
      <c r="B304" s="26"/>
      <c r="C304" s="21" t="str">
        <f>IF(C303="*",C303,"")</f>
        <v>*</v>
      </c>
      <c r="D304" s="22"/>
      <c r="E304" s="23" t="str">
        <f t="shared" si="94"/>
        <v>COMELC</v>
      </c>
      <c r="F304" s="23" t="str">
        <f t="shared" si="94"/>
        <v>COMHOPOldLTEUE</v>
      </c>
      <c r="G304" s="23" t="str">
        <f t="shared" si="94"/>
        <v>COMHOPOldLTEUE</v>
      </c>
      <c r="H304" s="24">
        <v>2050</v>
      </c>
      <c r="I304" s="24" t="str">
        <f>I303</f>
        <v>LO</v>
      </c>
      <c r="J304" s="24"/>
      <c r="K304" s="25">
        <f>-ROUNDDOWN(SUMIFS('COM RESID'!$O:$O,'COM RESID'!$H:$H,$E304,'COM RESID'!$I:$I,$F304)/SUMIFS('COM RESID'!$O:$O,'COM RESID'!$I:$I,$F304),3)*O304</f>
        <v>0</v>
      </c>
      <c r="L304" s="24"/>
      <c r="M304" s="24"/>
      <c r="N304" s="26"/>
      <c r="O304" s="27">
        <v>0</v>
      </c>
      <c r="Q304" s="21" t="str">
        <f t="shared" si="80"/>
        <v>*</v>
      </c>
      <c r="R304" s="22"/>
      <c r="S304" s="23" t="str">
        <f t="shared" si="82"/>
        <v>COMELC</v>
      </c>
      <c r="T304" s="23" t="str">
        <f t="shared" si="83"/>
        <v>COMHOPOldLTEUE</v>
      </c>
      <c r="U304" s="23" t="str">
        <f t="shared" si="84"/>
        <v>COMHOPOldLTEUE</v>
      </c>
      <c r="V304" s="24">
        <v>2050</v>
      </c>
      <c r="W304" s="24" t="str">
        <f>W303</f>
        <v>UP</v>
      </c>
      <c r="X304" s="24"/>
      <c r="Y304" s="25">
        <f>-ROUNDUP(MIN(SUMIFS('COM RESID'!$O:$O,'COM RESID'!$H:$H,$E304,'COM RESID'!$I:$I,$F304)/SUMIFS('COM RESID'!$O:$O,'COM RESID'!$I:$I,$F304)*AC304,1),3)</f>
        <v>-1</v>
      </c>
      <c r="Z304" s="24"/>
      <c r="AA304" s="24"/>
      <c r="AB304" s="26"/>
      <c r="AC304" s="27">
        <f>IF(S304="COMELC",IF(SUMIFS('COM RESID'!$O:$O,'COM RESID'!$H:$H,$E304,'COM RESID'!$I:$I,$F304)/SUMIFS('COM RESID'!$O:$O,'COM RESID'!$I:$I,$F304)*3&lt;1,1/(SUMIFS('COM RESID'!$O:$O,'COM RESID'!$H:$H,$E304,'COM RESID'!$I:$I,$F304)/SUMIFS('COM RESID'!$O:$O,'COM RESID'!$I:$I,$F304)),3),IF(ISNUMBER(SEARCH("WHEUE",T302)),IF(OR(S302="COMNGA",S302="COMFOI"),0.75,3),3))</f>
        <v>3</v>
      </c>
    </row>
    <row r="305" spans="1:29" x14ac:dyDescent="0.25">
      <c r="A305" s="19">
        <f>A301+1</f>
        <v>76</v>
      </c>
      <c r="B305" s="10"/>
      <c r="C305" s="11" t="str">
        <f>IF(E305="","",IF(_xlfn.XLOOKUP($A305,Selected_constraint_UC!$A:$A,Selected_constraint_UC!$D:$D)=1,"*",IF(SUMIFS('COM TECH'!$N:$N,'COM TECH'!$K:$K,E305,'COM TECH'!$L:$L,F305)=0,"*",IF(SUMIFS('COM RESID'!$O:$O,'COM RESID'!$H:$H,$E305,'COM RESID'!$I:$I,$F305)=0,"*","UC_MarketShare_"&amp;LEFT(F305,LEN(F305)-3)&amp;"_"&amp;RIGHT(E305,3)&amp;"_MIN"))))</f>
        <v>*</v>
      </c>
      <c r="D305" s="12"/>
      <c r="E305" s="13" t="str">
        <f>_xlfn.XLOOKUP($A305,Selected_constraint_UC!$A:$A,Selected_constraint_UC!$B:$B)</f>
        <v>COMFOI</v>
      </c>
      <c r="F305" s="13" t="str">
        <f>_xlfn.XLOOKUP($A305,Selected_constraint_UC!$A:$A,Selected_constraint_UC!$C:$C)</f>
        <v>COMHOPOldCKEUE</v>
      </c>
      <c r="G305" s="13" t="str">
        <f>F305</f>
        <v>COMHOPOldCKEUE</v>
      </c>
      <c r="H305" s="14">
        <v>2019</v>
      </c>
      <c r="I305" s="14" t="s">
        <v>3848</v>
      </c>
      <c r="J305" s="14">
        <v>1</v>
      </c>
      <c r="K305" s="15">
        <f>-ROUNDDOWN(SUMIFS('COM RESID'!$O:$O,'COM RESID'!$H:$H,$E305,'COM RESID'!$I:$I,$F305)/SUMIFS('COM RESID'!$O:$O,'COM RESID'!$I:$I,$F305),3)*O305</f>
        <v>0</v>
      </c>
      <c r="L305" s="14">
        <v>0</v>
      </c>
      <c r="M305" s="14">
        <v>5</v>
      </c>
      <c r="N305" s="10"/>
      <c r="O305" s="20">
        <v>0.98</v>
      </c>
      <c r="Q305" s="11" t="str">
        <f t="shared" si="80"/>
        <v>*</v>
      </c>
      <c r="R305" s="12"/>
      <c r="S305" s="13" t="str">
        <f t="shared" si="82"/>
        <v>COMFOI</v>
      </c>
      <c r="T305" s="13" t="str">
        <f t="shared" si="83"/>
        <v>COMHOPOldCKEUE</v>
      </c>
      <c r="U305" s="13" t="str">
        <f t="shared" si="84"/>
        <v>COMHOPOldCKEUE</v>
      </c>
      <c r="V305" s="14">
        <v>2019</v>
      </c>
      <c r="W305" s="14" t="s">
        <v>3849</v>
      </c>
      <c r="X305" s="14">
        <v>1</v>
      </c>
      <c r="Y305" s="15">
        <f>-ROUNDUP(MIN(SUMIFS('COM RESID'!$O:$O,'COM RESID'!$H:$H,$E305,'COM RESID'!$I:$I,$F305)/SUMIFS('COM RESID'!$O:$O,'COM RESID'!$I:$I,$F305)*AC305,1),3)</f>
        <v>-1E-3</v>
      </c>
      <c r="Z305" s="14">
        <v>0</v>
      </c>
      <c r="AA305" s="14">
        <v>5</v>
      </c>
      <c r="AB305" s="10"/>
      <c r="AC305" s="20">
        <v>1.02</v>
      </c>
    </row>
    <row r="306" spans="1:29" x14ac:dyDescent="0.25">
      <c r="A306" s="10">
        <f>A305</f>
        <v>76</v>
      </c>
      <c r="B306" s="10"/>
      <c r="C306" s="11" t="str">
        <f>IF(C305="*",C305,"")</f>
        <v>*</v>
      </c>
      <c r="D306" s="12"/>
      <c r="E306" s="13" t="str">
        <f t="shared" ref="E306:G308" si="95">E305</f>
        <v>COMFOI</v>
      </c>
      <c r="F306" s="13" t="str">
        <f t="shared" si="95"/>
        <v>COMHOPOldCKEUE</v>
      </c>
      <c r="G306" s="13" t="str">
        <f t="shared" si="95"/>
        <v>COMHOPOldCKEUE</v>
      </c>
      <c r="H306" s="14">
        <v>2025</v>
      </c>
      <c r="I306" s="14" t="str">
        <f>I305</f>
        <v>LO</v>
      </c>
      <c r="J306" s="14"/>
      <c r="K306" s="15">
        <f>-ROUNDDOWN(SUMIFS('COM RESID'!$O:$O,'COM RESID'!$H:$H,$E306,'COM RESID'!$I:$I,$F306)/SUMIFS('COM RESID'!$O:$O,'COM RESID'!$I:$I,$F306),3)*O306</f>
        <v>0</v>
      </c>
      <c r="L306" s="14"/>
      <c r="M306" s="14"/>
      <c r="N306" s="10"/>
      <c r="O306" s="20">
        <v>0.8</v>
      </c>
      <c r="Q306" s="11" t="str">
        <f t="shared" si="80"/>
        <v>*</v>
      </c>
      <c r="R306" s="12"/>
      <c r="S306" s="13" t="str">
        <f t="shared" si="82"/>
        <v>COMFOI</v>
      </c>
      <c r="T306" s="13" t="str">
        <f t="shared" si="83"/>
        <v>COMHOPOldCKEUE</v>
      </c>
      <c r="U306" s="13" t="str">
        <f t="shared" si="84"/>
        <v>COMHOPOldCKEUE</v>
      </c>
      <c r="V306" s="14">
        <v>2025</v>
      </c>
      <c r="W306" s="14" t="str">
        <f>W305</f>
        <v>UP</v>
      </c>
      <c r="X306" s="14"/>
      <c r="Y306" s="15">
        <f>-ROUNDUP(MIN(SUMIFS('COM RESID'!$O:$O,'COM RESID'!$H:$H,$E306,'COM RESID'!$I:$I,$F306)/SUMIFS('COM RESID'!$O:$O,'COM RESID'!$I:$I,$F306)*AC306,1),3)</f>
        <v>-1E-3</v>
      </c>
      <c r="Z306" s="14"/>
      <c r="AA306" s="14"/>
      <c r="AB306" s="10"/>
      <c r="AC306" s="20">
        <f>IF(S306="COMELC",IF(SUMIFS('COM RESID'!$O:$O,'COM RESID'!$H:$H,$E306,'COM RESID'!$I:$I,$F306)/SUMIFS('COM RESID'!$O:$O,'COM RESID'!$I:$I,$F306)*1.2&lt;0.25,0.25/(SUMIFS('COM RESID'!$O:$O,'COM RESID'!$H:$H,$E306,'COM RESID'!$I:$I,$F306)/SUMIFS('COM RESID'!$O:$O,'COM RESID'!$I:$I,$F306)),1.2),IF(ISNUMBER(SEARCH("WHEUE",T306)),IF(OR(S306="COMNGA",S306="COMFOI"),1,1.2),1.2))</f>
        <v>1.2</v>
      </c>
    </row>
    <row r="307" spans="1:29" x14ac:dyDescent="0.25">
      <c r="A307" s="10">
        <f>A306</f>
        <v>76</v>
      </c>
      <c r="B307" s="10"/>
      <c r="C307" s="11" t="str">
        <f>IF(C306="*",C306,"")</f>
        <v>*</v>
      </c>
      <c r="D307" s="12"/>
      <c r="E307" s="13" t="str">
        <f t="shared" si="95"/>
        <v>COMFOI</v>
      </c>
      <c r="F307" s="13" t="str">
        <f t="shared" si="95"/>
        <v>COMHOPOldCKEUE</v>
      </c>
      <c r="G307" s="13" t="str">
        <f t="shared" si="95"/>
        <v>COMHOPOldCKEUE</v>
      </c>
      <c r="H307" s="14">
        <v>2030</v>
      </c>
      <c r="I307" s="14" t="str">
        <f>I306</f>
        <v>LO</v>
      </c>
      <c r="J307" s="14"/>
      <c r="K307" s="15">
        <f>-ROUNDDOWN(SUMIFS('COM RESID'!$O:$O,'COM RESID'!$H:$H,$E307,'COM RESID'!$I:$I,$F307)/SUMIFS('COM RESID'!$O:$O,'COM RESID'!$I:$I,$F307),3)*O307</f>
        <v>0</v>
      </c>
      <c r="L307" s="14"/>
      <c r="M307" s="14"/>
      <c r="N307" s="10"/>
      <c r="O307" s="20">
        <v>0.2</v>
      </c>
      <c r="Q307" s="11" t="str">
        <f t="shared" si="80"/>
        <v>*</v>
      </c>
      <c r="R307" s="12"/>
      <c r="S307" s="13" t="str">
        <f t="shared" si="82"/>
        <v>COMFOI</v>
      </c>
      <c r="T307" s="13" t="str">
        <f t="shared" si="83"/>
        <v>COMHOPOldCKEUE</v>
      </c>
      <c r="U307" s="13" t="str">
        <f t="shared" si="84"/>
        <v>COMHOPOldCKEUE</v>
      </c>
      <c r="V307" s="14">
        <v>2030</v>
      </c>
      <c r="W307" s="14" t="str">
        <f>W306</f>
        <v>UP</v>
      </c>
      <c r="X307" s="14"/>
      <c r="Y307" s="15">
        <f>-ROUNDUP(MIN(SUMIFS('COM RESID'!$O:$O,'COM RESID'!$H:$H,$E307,'COM RESID'!$I:$I,$F307)/SUMIFS('COM RESID'!$O:$O,'COM RESID'!$I:$I,$F307)*AC307,1),3)</f>
        <v>-1E-3</v>
      </c>
      <c r="Z307" s="14"/>
      <c r="AA307" s="14"/>
      <c r="AB307" s="10"/>
      <c r="AC307" s="20">
        <f>IF(S307="COMELC",IF(SUMIFS('COM RESID'!$O:$O,'COM RESID'!$H:$H,$E307,'COM RESID'!$I:$I,$F307)/SUMIFS('COM RESID'!$O:$O,'COM RESID'!$I:$I,$F307)*1.5&lt;0.5,0.5/(SUMIFS('COM RESID'!$O:$O,'COM RESID'!$H:$H,$E307,'COM RESID'!$I:$I,$F307)/SUMIFS('COM RESID'!$O:$O,'COM RESID'!$I:$I,$F307)),1.5),IF(ISNUMBER(SEARCH("WHEUE",T306)),IF(OR(S306="COMNGA",S306="COMFOI"),0.9,1.5),1.5))</f>
        <v>1.5</v>
      </c>
    </row>
    <row r="308" spans="1:29" x14ac:dyDescent="0.25">
      <c r="A308" s="26">
        <f>A307</f>
        <v>76</v>
      </c>
      <c r="B308" s="26"/>
      <c r="C308" s="21" t="str">
        <f>IF(C307="*",C307,"")</f>
        <v>*</v>
      </c>
      <c r="D308" s="22"/>
      <c r="E308" s="23" t="str">
        <f t="shared" si="95"/>
        <v>COMFOI</v>
      </c>
      <c r="F308" s="23" t="str">
        <f t="shared" si="95"/>
        <v>COMHOPOldCKEUE</v>
      </c>
      <c r="G308" s="23" t="str">
        <f t="shared" si="95"/>
        <v>COMHOPOldCKEUE</v>
      </c>
      <c r="H308" s="24">
        <v>2050</v>
      </c>
      <c r="I308" s="24" t="str">
        <f>I307</f>
        <v>LO</v>
      </c>
      <c r="J308" s="24"/>
      <c r="K308" s="25">
        <f>-ROUNDDOWN(SUMIFS('COM RESID'!$O:$O,'COM RESID'!$H:$H,$E308,'COM RESID'!$I:$I,$F308)/SUMIFS('COM RESID'!$O:$O,'COM RESID'!$I:$I,$F308),3)*O308</f>
        <v>0</v>
      </c>
      <c r="L308" s="24"/>
      <c r="M308" s="24"/>
      <c r="N308" s="26"/>
      <c r="O308" s="27">
        <v>0</v>
      </c>
      <c r="Q308" s="21" t="str">
        <f t="shared" si="80"/>
        <v>*</v>
      </c>
      <c r="R308" s="22"/>
      <c r="S308" s="23" t="str">
        <f t="shared" si="82"/>
        <v>COMFOI</v>
      </c>
      <c r="T308" s="23" t="str">
        <f t="shared" si="83"/>
        <v>COMHOPOldCKEUE</v>
      </c>
      <c r="U308" s="23" t="str">
        <f t="shared" si="84"/>
        <v>COMHOPOldCKEUE</v>
      </c>
      <c r="V308" s="24">
        <v>2050</v>
      </c>
      <c r="W308" s="24" t="str">
        <f>W307</f>
        <v>UP</v>
      </c>
      <c r="X308" s="24"/>
      <c r="Y308" s="25">
        <f>-ROUNDUP(MIN(SUMIFS('COM RESID'!$O:$O,'COM RESID'!$H:$H,$E308,'COM RESID'!$I:$I,$F308)/SUMIFS('COM RESID'!$O:$O,'COM RESID'!$I:$I,$F308)*AC308,1),3)</f>
        <v>-2E-3</v>
      </c>
      <c r="Z308" s="24"/>
      <c r="AA308" s="24"/>
      <c r="AB308" s="26"/>
      <c r="AC308" s="27">
        <f>IF(S308="COMELC",IF(SUMIFS('COM RESID'!$O:$O,'COM RESID'!$H:$H,$E308,'COM RESID'!$I:$I,$F308)/SUMIFS('COM RESID'!$O:$O,'COM RESID'!$I:$I,$F308)*3&lt;1,1/(SUMIFS('COM RESID'!$O:$O,'COM RESID'!$H:$H,$E308,'COM RESID'!$I:$I,$F308)/SUMIFS('COM RESID'!$O:$O,'COM RESID'!$I:$I,$F308)),3),IF(ISNUMBER(SEARCH("WHEUE",T306)),IF(OR(S306="COMNGA",S306="COMFOI"),0.75,3),3))</f>
        <v>3</v>
      </c>
    </row>
    <row r="309" spans="1:29" x14ac:dyDescent="0.25">
      <c r="A309" s="19">
        <f>A305+1</f>
        <v>77</v>
      </c>
      <c r="B309" s="10"/>
      <c r="C309" s="11" t="str">
        <f>IF(E309="","",IF(_xlfn.XLOOKUP($A309,Selected_constraint_UC!$A:$A,Selected_constraint_UC!$D:$D)=1,"*",IF(SUMIFS('COM TECH'!$N:$N,'COM TECH'!$K:$K,E309,'COM TECH'!$L:$L,F309)=0,"*",IF(SUMIFS('COM RESID'!$O:$O,'COM RESID'!$H:$H,$E309,'COM RESID'!$I:$I,$F309)=0,"*","UC_MarketShare_"&amp;LEFT(F309,LEN(F309)-3)&amp;"_"&amp;RIGHT(E309,3)&amp;"_MIN"))))</f>
        <v>*</v>
      </c>
      <c r="D309" s="12"/>
      <c r="E309" s="13" t="str">
        <f>_xlfn.XLOOKUP($A309,Selected_constraint_UC!$A:$A,Selected_constraint_UC!$B:$B)</f>
        <v>COMNGA</v>
      </c>
      <c r="F309" s="13" t="str">
        <f>_xlfn.XLOOKUP($A309,Selected_constraint_UC!$A:$A,Selected_constraint_UC!$C:$C)</f>
        <v>COMHOPOldCKEUE</v>
      </c>
      <c r="G309" s="13" t="str">
        <f>F309</f>
        <v>COMHOPOldCKEUE</v>
      </c>
      <c r="H309" s="14">
        <v>2019</v>
      </c>
      <c r="I309" s="14" t="s">
        <v>3848</v>
      </c>
      <c r="J309" s="14">
        <v>1</v>
      </c>
      <c r="K309" s="15">
        <f>-ROUNDDOWN(SUMIFS('COM RESID'!$O:$O,'COM RESID'!$H:$H,$E309,'COM RESID'!$I:$I,$F309)/SUMIFS('COM RESID'!$O:$O,'COM RESID'!$I:$I,$F309),3)*O309</f>
        <v>-0.86239999999999994</v>
      </c>
      <c r="L309" s="14">
        <v>0</v>
      </c>
      <c r="M309" s="14">
        <v>5</v>
      </c>
      <c r="N309" s="10"/>
      <c r="O309" s="20">
        <v>0.98</v>
      </c>
      <c r="Q309" s="11" t="str">
        <f t="shared" si="80"/>
        <v>*</v>
      </c>
      <c r="R309" s="12"/>
      <c r="S309" s="13" t="str">
        <f t="shared" si="82"/>
        <v>COMNGA</v>
      </c>
      <c r="T309" s="13" t="str">
        <f t="shared" si="83"/>
        <v>COMHOPOldCKEUE</v>
      </c>
      <c r="U309" s="13" t="str">
        <f t="shared" si="84"/>
        <v>COMHOPOldCKEUE</v>
      </c>
      <c r="V309" s="14">
        <v>2019</v>
      </c>
      <c r="W309" s="14" t="s">
        <v>3849</v>
      </c>
      <c r="X309" s="14">
        <v>1</v>
      </c>
      <c r="Y309" s="15">
        <f>-ROUNDUP(MIN(SUMIFS('COM RESID'!$O:$O,'COM RESID'!$H:$H,$E309,'COM RESID'!$I:$I,$F309)/SUMIFS('COM RESID'!$O:$O,'COM RESID'!$I:$I,$F309)*AC309,1),3)</f>
        <v>-0.89900000000000002</v>
      </c>
      <c r="Z309" s="14">
        <v>0</v>
      </c>
      <c r="AA309" s="14">
        <v>5</v>
      </c>
      <c r="AB309" s="10"/>
      <c r="AC309" s="20">
        <v>1.02</v>
      </c>
    </row>
    <row r="310" spans="1:29" x14ac:dyDescent="0.25">
      <c r="A310" s="10">
        <f>A309</f>
        <v>77</v>
      </c>
      <c r="B310" s="10"/>
      <c r="C310" s="11" t="str">
        <f>IF(C309="*",C309,"")</f>
        <v>*</v>
      </c>
      <c r="D310" s="12"/>
      <c r="E310" s="13" t="str">
        <f t="shared" ref="E310:G312" si="96">E309</f>
        <v>COMNGA</v>
      </c>
      <c r="F310" s="13" t="str">
        <f t="shared" si="96"/>
        <v>COMHOPOldCKEUE</v>
      </c>
      <c r="G310" s="13" t="str">
        <f t="shared" si="96"/>
        <v>COMHOPOldCKEUE</v>
      </c>
      <c r="H310" s="14">
        <v>2025</v>
      </c>
      <c r="I310" s="14" t="str">
        <f>I309</f>
        <v>LO</v>
      </c>
      <c r="J310" s="14"/>
      <c r="K310" s="15">
        <f>-ROUNDDOWN(SUMIFS('COM RESID'!$O:$O,'COM RESID'!$H:$H,$E310,'COM RESID'!$I:$I,$F310)/SUMIFS('COM RESID'!$O:$O,'COM RESID'!$I:$I,$F310),3)*O310</f>
        <v>-0.70400000000000007</v>
      </c>
      <c r="L310" s="14"/>
      <c r="M310" s="14"/>
      <c r="N310" s="10"/>
      <c r="O310" s="20">
        <v>0.8</v>
      </c>
      <c r="Q310" s="11" t="str">
        <f t="shared" si="80"/>
        <v>*</v>
      </c>
      <c r="R310" s="12"/>
      <c r="S310" s="13" t="str">
        <f t="shared" si="82"/>
        <v>COMNGA</v>
      </c>
      <c r="T310" s="13" t="str">
        <f t="shared" si="83"/>
        <v>COMHOPOldCKEUE</v>
      </c>
      <c r="U310" s="13" t="str">
        <f t="shared" si="84"/>
        <v>COMHOPOldCKEUE</v>
      </c>
      <c r="V310" s="14">
        <v>2025</v>
      </c>
      <c r="W310" s="14" t="str">
        <f>W309</f>
        <v>UP</v>
      </c>
      <c r="X310" s="14"/>
      <c r="Y310" s="15">
        <f>-ROUNDUP(MIN(SUMIFS('COM RESID'!$O:$O,'COM RESID'!$H:$H,$E310,'COM RESID'!$I:$I,$F310)/SUMIFS('COM RESID'!$O:$O,'COM RESID'!$I:$I,$F310)*AC310,1),3)</f>
        <v>-1</v>
      </c>
      <c r="Z310" s="14"/>
      <c r="AA310" s="14"/>
      <c r="AB310" s="10"/>
      <c r="AC310" s="20">
        <f>IF(S310="COMELC",IF(SUMIFS('COM RESID'!$O:$O,'COM RESID'!$H:$H,$E310,'COM RESID'!$I:$I,$F310)/SUMIFS('COM RESID'!$O:$O,'COM RESID'!$I:$I,$F310)*1.2&lt;0.25,0.25/(SUMIFS('COM RESID'!$O:$O,'COM RESID'!$H:$H,$E310,'COM RESID'!$I:$I,$F310)/SUMIFS('COM RESID'!$O:$O,'COM RESID'!$I:$I,$F310)),1.2),IF(ISNUMBER(SEARCH("WHEUE",T310)),IF(OR(S310="COMNGA",S310="COMFOI"),1,1.2),1.2))</f>
        <v>1.2</v>
      </c>
    </row>
    <row r="311" spans="1:29" x14ac:dyDescent="0.25">
      <c r="A311" s="10">
        <f>A310</f>
        <v>77</v>
      </c>
      <c r="B311" s="10"/>
      <c r="C311" s="11" t="str">
        <f>IF(C310="*",C310,"")</f>
        <v>*</v>
      </c>
      <c r="D311" s="12"/>
      <c r="E311" s="13" t="str">
        <f t="shared" si="96"/>
        <v>COMNGA</v>
      </c>
      <c r="F311" s="13" t="str">
        <f t="shared" si="96"/>
        <v>COMHOPOldCKEUE</v>
      </c>
      <c r="G311" s="13" t="str">
        <f t="shared" si="96"/>
        <v>COMHOPOldCKEUE</v>
      </c>
      <c r="H311" s="14">
        <v>2030</v>
      </c>
      <c r="I311" s="14" t="str">
        <f>I310</f>
        <v>LO</v>
      </c>
      <c r="J311" s="14"/>
      <c r="K311" s="15">
        <f>-ROUNDDOWN(SUMIFS('COM RESID'!$O:$O,'COM RESID'!$H:$H,$E311,'COM RESID'!$I:$I,$F311)/SUMIFS('COM RESID'!$O:$O,'COM RESID'!$I:$I,$F311),3)*O311</f>
        <v>-0.17600000000000002</v>
      </c>
      <c r="L311" s="14"/>
      <c r="M311" s="14"/>
      <c r="N311" s="10"/>
      <c r="O311" s="20">
        <v>0.2</v>
      </c>
      <c r="Q311" s="11" t="str">
        <f t="shared" si="80"/>
        <v>*</v>
      </c>
      <c r="R311" s="12"/>
      <c r="S311" s="13" t="str">
        <f t="shared" si="82"/>
        <v>COMNGA</v>
      </c>
      <c r="T311" s="13" t="str">
        <f t="shared" si="83"/>
        <v>COMHOPOldCKEUE</v>
      </c>
      <c r="U311" s="13" t="str">
        <f t="shared" si="84"/>
        <v>COMHOPOldCKEUE</v>
      </c>
      <c r="V311" s="14">
        <v>2030</v>
      </c>
      <c r="W311" s="14" t="str">
        <f>W310</f>
        <v>UP</v>
      </c>
      <c r="X311" s="14"/>
      <c r="Y311" s="15">
        <f>-ROUNDUP(MIN(SUMIFS('COM RESID'!$O:$O,'COM RESID'!$H:$H,$E311,'COM RESID'!$I:$I,$F311)/SUMIFS('COM RESID'!$O:$O,'COM RESID'!$I:$I,$F311)*AC311,1),3)</f>
        <v>-1</v>
      </c>
      <c r="Z311" s="14"/>
      <c r="AA311" s="14"/>
      <c r="AB311" s="10"/>
      <c r="AC311" s="20">
        <f>IF(S311="COMELC",IF(SUMIFS('COM RESID'!$O:$O,'COM RESID'!$H:$H,$E311,'COM RESID'!$I:$I,$F311)/SUMIFS('COM RESID'!$O:$O,'COM RESID'!$I:$I,$F311)*1.5&lt;0.5,0.5/(SUMIFS('COM RESID'!$O:$O,'COM RESID'!$H:$H,$E311,'COM RESID'!$I:$I,$F311)/SUMIFS('COM RESID'!$O:$O,'COM RESID'!$I:$I,$F311)),1.5),IF(ISNUMBER(SEARCH("WHEUE",T310)),IF(OR(S310="COMNGA",S310="COMFOI"),0.9,1.5),1.5))</f>
        <v>1.5</v>
      </c>
    </row>
    <row r="312" spans="1:29" x14ac:dyDescent="0.25">
      <c r="A312" s="26">
        <f>A311</f>
        <v>77</v>
      </c>
      <c r="B312" s="26"/>
      <c r="C312" s="21" t="str">
        <f>IF(C311="*",C311,"")</f>
        <v>*</v>
      </c>
      <c r="D312" s="22"/>
      <c r="E312" s="23" t="str">
        <f t="shared" si="96"/>
        <v>COMNGA</v>
      </c>
      <c r="F312" s="23" t="str">
        <f t="shared" si="96"/>
        <v>COMHOPOldCKEUE</v>
      </c>
      <c r="G312" s="23" t="str">
        <f t="shared" si="96"/>
        <v>COMHOPOldCKEUE</v>
      </c>
      <c r="H312" s="24">
        <v>2050</v>
      </c>
      <c r="I312" s="24" t="str">
        <f>I311</f>
        <v>LO</v>
      </c>
      <c r="J312" s="24"/>
      <c r="K312" s="25">
        <f>-ROUNDDOWN(SUMIFS('COM RESID'!$O:$O,'COM RESID'!$H:$H,$E312,'COM RESID'!$I:$I,$F312)/SUMIFS('COM RESID'!$O:$O,'COM RESID'!$I:$I,$F312),3)*O312</f>
        <v>0</v>
      </c>
      <c r="L312" s="24"/>
      <c r="M312" s="24"/>
      <c r="N312" s="26"/>
      <c r="O312" s="27">
        <v>0</v>
      </c>
      <c r="Q312" s="21" t="str">
        <f t="shared" si="80"/>
        <v>*</v>
      </c>
      <c r="R312" s="22"/>
      <c r="S312" s="23" t="str">
        <f t="shared" si="82"/>
        <v>COMNGA</v>
      </c>
      <c r="T312" s="23" t="str">
        <f t="shared" si="83"/>
        <v>COMHOPOldCKEUE</v>
      </c>
      <c r="U312" s="23" t="str">
        <f t="shared" si="84"/>
        <v>COMHOPOldCKEUE</v>
      </c>
      <c r="V312" s="24">
        <v>2050</v>
      </c>
      <c r="W312" s="24" t="str">
        <f>W311</f>
        <v>UP</v>
      </c>
      <c r="X312" s="24"/>
      <c r="Y312" s="25">
        <f>-ROUNDUP(MIN(SUMIFS('COM RESID'!$O:$O,'COM RESID'!$H:$H,$E312,'COM RESID'!$I:$I,$F312)/SUMIFS('COM RESID'!$O:$O,'COM RESID'!$I:$I,$F312)*AC312,1),3)</f>
        <v>-1</v>
      </c>
      <c r="Z312" s="24"/>
      <c r="AA312" s="24"/>
      <c r="AB312" s="26"/>
      <c r="AC312" s="27">
        <f>IF(S312="COMELC",IF(SUMIFS('COM RESID'!$O:$O,'COM RESID'!$H:$H,$E312,'COM RESID'!$I:$I,$F312)/SUMIFS('COM RESID'!$O:$O,'COM RESID'!$I:$I,$F312)*3&lt;1,1/(SUMIFS('COM RESID'!$O:$O,'COM RESID'!$H:$H,$E312,'COM RESID'!$I:$I,$F312)/SUMIFS('COM RESID'!$O:$O,'COM RESID'!$I:$I,$F312)),3),IF(ISNUMBER(SEARCH("WHEUE",T310)),IF(OR(S310="COMNGA",S310="COMFOI"),0.75,3),3))</f>
        <v>3</v>
      </c>
    </row>
    <row r="313" spans="1:29" x14ac:dyDescent="0.25">
      <c r="A313" s="19">
        <f>A309+1</f>
        <v>78</v>
      </c>
      <c r="B313" s="10"/>
      <c r="C313" s="11" t="str">
        <f>IF(E313="","",IF(_xlfn.XLOOKUP($A313,Selected_constraint_UC!$A:$A,Selected_constraint_UC!$D:$D)=1,"*",IF(SUMIFS('COM TECH'!$N:$N,'COM TECH'!$K:$K,E313,'COM TECH'!$L:$L,F313)=0,"*",IF(SUMIFS('COM RESID'!$O:$O,'COM RESID'!$H:$H,$E313,'COM RESID'!$I:$I,$F313)=0,"*","UC_MarketShare_"&amp;LEFT(F313,LEN(F313)-3)&amp;"_"&amp;RIGHT(E313,3)&amp;"_MIN"))))</f>
        <v>*</v>
      </c>
      <c r="D313" s="12"/>
      <c r="E313" s="13" t="str">
        <f>_xlfn.XLOOKUP($A313,Selected_constraint_UC!$A:$A,Selected_constraint_UC!$B:$B)</f>
        <v>COMSTM</v>
      </c>
      <c r="F313" s="13" t="str">
        <f>_xlfn.XLOOKUP($A313,Selected_constraint_UC!$A:$A,Selected_constraint_UC!$C:$C)</f>
        <v>COMHOPOldCKEUE</v>
      </c>
      <c r="G313" s="13" t="str">
        <f>F313</f>
        <v>COMHOPOldCKEUE</v>
      </c>
      <c r="H313" s="14">
        <v>2019</v>
      </c>
      <c r="I313" s="14" t="s">
        <v>3848</v>
      </c>
      <c r="J313" s="14">
        <v>1</v>
      </c>
      <c r="K313" s="15">
        <f>-ROUNDDOWN(SUMIFS('COM RESID'!$O:$O,'COM RESID'!$H:$H,$E313,'COM RESID'!$I:$I,$F313)/SUMIFS('COM RESID'!$O:$O,'COM RESID'!$I:$I,$F313),3)*O313</f>
        <v>0</v>
      </c>
      <c r="L313" s="14">
        <v>0</v>
      </c>
      <c r="M313" s="14">
        <v>5</v>
      </c>
      <c r="N313" s="10"/>
      <c r="O313" s="20">
        <v>0.98</v>
      </c>
      <c r="Q313" s="11" t="str">
        <f t="shared" si="80"/>
        <v>*</v>
      </c>
      <c r="R313" s="12"/>
      <c r="S313" s="13" t="str">
        <f t="shared" si="82"/>
        <v>COMSTM</v>
      </c>
      <c r="T313" s="13" t="str">
        <f t="shared" si="83"/>
        <v>COMHOPOldCKEUE</v>
      </c>
      <c r="U313" s="13" t="str">
        <f t="shared" si="84"/>
        <v>COMHOPOldCKEUE</v>
      </c>
      <c r="V313" s="14">
        <v>2019</v>
      </c>
      <c r="W313" s="14" t="s">
        <v>3849</v>
      </c>
      <c r="X313" s="14">
        <v>1</v>
      </c>
      <c r="Y313" s="15">
        <f>-ROUNDUP(MIN(SUMIFS('COM RESID'!$O:$O,'COM RESID'!$H:$H,$E313,'COM RESID'!$I:$I,$F313)/SUMIFS('COM RESID'!$O:$O,'COM RESID'!$I:$I,$F313)*AC313,1),3)</f>
        <v>-1E-3</v>
      </c>
      <c r="Z313" s="14">
        <v>0</v>
      </c>
      <c r="AA313" s="14">
        <v>5</v>
      </c>
      <c r="AB313" s="10"/>
      <c r="AC313" s="20">
        <v>1.02</v>
      </c>
    </row>
    <row r="314" spans="1:29" x14ac:dyDescent="0.25">
      <c r="A314" s="10">
        <f>A313</f>
        <v>78</v>
      </c>
      <c r="B314" s="10"/>
      <c r="C314" s="11" t="str">
        <f>IF(C313="*",C313,"")</f>
        <v>*</v>
      </c>
      <c r="D314" s="12"/>
      <c r="E314" s="13" t="str">
        <f t="shared" ref="E314:G316" si="97">E313</f>
        <v>COMSTM</v>
      </c>
      <c r="F314" s="13" t="str">
        <f t="shared" si="97"/>
        <v>COMHOPOldCKEUE</v>
      </c>
      <c r="G314" s="13" t="str">
        <f t="shared" si="97"/>
        <v>COMHOPOldCKEUE</v>
      </c>
      <c r="H314" s="14">
        <v>2025</v>
      </c>
      <c r="I314" s="14" t="str">
        <f>I313</f>
        <v>LO</v>
      </c>
      <c r="J314" s="14"/>
      <c r="K314" s="15">
        <f>-ROUNDDOWN(SUMIFS('COM RESID'!$O:$O,'COM RESID'!$H:$H,$E314,'COM RESID'!$I:$I,$F314)/SUMIFS('COM RESID'!$O:$O,'COM RESID'!$I:$I,$F314),3)*O314</f>
        <v>0</v>
      </c>
      <c r="L314" s="14"/>
      <c r="M314" s="14"/>
      <c r="N314" s="10"/>
      <c r="O314" s="20">
        <v>0.8</v>
      </c>
      <c r="Q314" s="11" t="str">
        <f t="shared" si="80"/>
        <v>*</v>
      </c>
      <c r="R314" s="12"/>
      <c r="S314" s="13" t="str">
        <f t="shared" si="82"/>
        <v>COMSTM</v>
      </c>
      <c r="T314" s="13" t="str">
        <f t="shared" si="83"/>
        <v>COMHOPOldCKEUE</v>
      </c>
      <c r="U314" s="13" t="str">
        <f t="shared" si="84"/>
        <v>COMHOPOldCKEUE</v>
      </c>
      <c r="V314" s="14">
        <v>2025</v>
      </c>
      <c r="W314" s="14" t="str">
        <f>W313</f>
        <v>UP</v>
      </c>
      <c r="X314" s="14"/>
      <c r="Y314" s="15">
        <f>-ROUNDUP(MIN(SUMIFS('COM RESID'!$O:$O,'COM RESID'!$H:$H,$E314,'COM RESID'!$I:$I,$F314)/SUMIFS('COM RESID'!$O:$O,'COM RESID'!$I:$I,$F314)*AC314,1),3)</f>
        <v>-1E-3</v>
      </c>
      <c r="Z314" s="14"/>
      <c r="AA314" s="14"/>
      <c r="AB314" s="10"/>
      <c r="AC314" s="20">
        <f>IF(S314="COMELC",IF(SUMIFS('COM RESID'!$O:$O,'COM RESID'!$H:$H,$E314,'COM RESID'!$I:$I,$F314)/SUMIFS('COM RESID'!$O:$O,'COM RESID'!$I:$I,$F314)*1.2&lt;0.25,0.25/(SUMIFS('COM RESID'!$O:$O,'COM RESID'!$H:$H,$E314,'COM RESID'!$I:$I,$F314)/SUMIFS('COM RESID'!$O:$O,'COM RESID'!$I:$I,$F314)),1.2),IF(ISNUMBER(SEARCH("WHEUE",T314)),IF(OR(S314="COMNGA",S314="COMFOI"),1,1.2),1.2))</f>
        <v>1.2</v>
      </c>
    </row>
    <row r="315" spans="1:29" x14ac:dyDescent="0.25">
      <c r="A315" s="10">
        <f>A314</f>
        <v>78</v>
      </c>
      <c r="B315" s="10"/>
      <c r="C315" s="11" t="str">
        <f>IF(C314="*",C314,"")</f>
        <v>*</v>
      </c>
      <c r="D315" s="12"/>
      <c r="E315" s="13" t="str">
        <f t="shared" si="97"/>
        <v>COMSTM</v>
      </c>
      <c r="F315" s="13" t="str">
        <f t="shared" si="97"/>
        <v>COMHOPOldCKEUE</v>
      </c>
      <c r="G315" s="13" t="str">
        <f t="shared" si="97"/>
        <v>COMHOPOldCKEUE</v>
      </c>
      <c r="H315" s="14">
        <v>2030</v>
      </c>
      <c r="I315" s="14" t="str">
        <f>I314</f>
        <v>LO</v>
      </c>
      <c r="J315" s="14"/>
      <c r="K315" s="15">
        <f>-ROUNDDOWN(SUMIFS('COM RESID'!$O:$O,'COM RESID'!$H:$H,$E315,'COM RESID'!$I:$I,$F315)/SUMIFS('COM RESID'!$O:$O,'COM RESID'!$I:$I,$F315),3)*O315</f>
        <v>0</v>
      </c>
      <c r="L315" s="14"/>
      <c r="M315" s="14"/>
      <c r="N315" s="10"/>
      <c r="O315" s="20">
        <v>0.2</v>
      </c>
      <c r="Q315" s="11" t="str">
        <f t="shared" si="80"/>
        <v>*</v>
      </c>
      <c r="R315" s="12"/>
      <c r="S315" s="13" t="str">
        <f t="shared" si="82"/>
        <v>COMSTM</v>
      </c>
      <c r="T315" s="13" t="str">
        <f t="shared" si="83"/>
        <v>COMHOPOldCKEUE</v>
      </c>
      <c r="U315" s="13" t="str">
        <f t="shared" si="84"/>
        <v>COMHOPOldCKEUE</v>
      </c>
      <c r="V315" s="14">
        <v>2030</v>
      </c>
      <c r="W315" s="14" t="str">
        <f>W314</f>
        <v>UP</v>
      </c>
      <c r="X315" s="14"/>
      <c r="Y315" s="15">
        <f>-ROUNDUP(MIN(SUMIFS('COM RESID'!$O:$O,'COM RESID'!$H:$H,$E315,'COM RESID'!$I:$I,$F315)/SUMIFS('COM RESID'!$O:$O,'COM RESID'!$I:$I,$F315)*AC315,1),3)</f>
        <v>-1E-3</v>
      </c>
      <c r="Z315" s="14"/>
      <c r="AA315" s="14"/>
      <c r="AB315" s="10"/>
      <c r="AC315" s="20">
        <f>IF(S315="COMELC",IF(SUMIFS('COM RESID'!$O:$O,'COM RESID'!$H:$H,$E315,'COM RESID'!$I:$I,$F315)/SUMIFS('COM RESID'!$O:$O,'COM RESID'!$I:$I,$F315)*1.5&lt;0.5,0.5/(SUMIFS('COM RESID'!$O:$O,'COM RESID'!$H:$H,$E315,'COM RESID'!$I:$I,$F315)/SUMIFS('COM RESID'!$O:$O,'COM RESID'!$I:$I,$F315)),1.5),IF(ISNUMBER(SEARCH("WHEUE",T314)),IF(OR(S314="COMNGA",S314="COMFOI"),0.9,1.5),1.5))</f>
        <v>1.5</v>
      </c>
    </row>
    <row r="316" spans="1:29" x14ac:dyDescent="0.25">
      <c r="A316" s="26">
        <f>A315</f>
        <v>78</v>
      </c>
      <c r="B316" s="26"/>
      <c r="C316" s="21" t="str">
        <f>IF(C315="*",C315,"")</f>
        <v>*</v>
      </c>
      <c r="D316" s="22"/>
      <c r="E316" s="23" t="str">
        <f t="shared" si="97"/>
        <v>COMSTM</v>
      </c>
      <c r="F316" s="23" t="str">
        <f t="shared" si="97"/>
        <v>COMHOPOldCKEUE</v>
      </c>
      <c r="G316" s="23" t="str">
        <f t="shared" si="97"/>
        <v>COMHOPOldCKEUE</v>
      </c>
      <c r="H316" s="24">
        <v>2050</v>
      </c>
      <c r="I316" s="24" t="str">
        <f>I315</f>
        <v>LO</v>
      </c>
      <c r="J316" s="24"/>
      <c r="K316" s="25">
        <f>-ROUNDDOWN(SUMIFS('COM RESID'!$O:$O,'COM RESID'!$H:$H,$E316,'COM RESID'!$I:$I,$F316)/SUMIFS('COM RESID'!$O:$O,'COM RESID'!$I:$I,$F316),3)*O316</f>
        <v>0</v>
      </c>
      <c r="L316" s="24"/>
      <c r="M316" s="24"/>
      <c r="N316" s="26"/>
      <c r="O316" s="27">
        <v>0</v>
      </c>
      <c r="Q316" s="21" t="str">
        <f t="shared" si="80"/>
        <v>*</v>
      </c>
      <c r="R316" s="22"/>
      <c r="S316" s="23" t="str">
        <f t="shared" si="82"/>
        <v>COMSTM</v>
      </c>
      <c r="T316" s="23" t="str">
        <f t="shared" si="83"/>
        <v>COMHOPOldCKEUE</v>
      </c>
      <c r="U316" s="23" t="str">
        <f t="shared" si="84"/>
        <v>COMHOPOldCKEUE</v>
      </c>
      <c r="V316" s="24">
        <v>2050</v>
      </c>
      <c r="W316" s="24" t="str">
        <f>W315</f>
        <v>UP</v>
      </c>
      <c r="X316" s="24"/>
      <c r="Y316" s="25">
        <f>-ROUNDUP(MIN(SUMIFS('COM RESID'!$O:$O,'COM RESID'!$H:$H,$E316,'COM RESID'!$I:$I,$F316)/SUMIFS('COM RESID'!$O:$O,'COM RESID'!$I:$I,$F316)*AC316,1),3)</f>
        <v>-2E-3</v>
      </c>
      <c r="Z316" s="24"/>
      <c r="AA316" s="24"/>
      <c r="AB316" s="26"/>
      <c r="AC316" s="27">
        <f>IF(S316="COMELC",IF(SUMIFS('COM RESID'!$O:$O,'COM RESID'!$H:$H,$E316,'COM RESID'!$I:$I,$F316)/SUMIFS('COM RESID'!$O:$O,'COM RESID'!$I:$I,$F316)*3&lt;1,1/(SUMIFS('COM RESID'!$O:$O,'COM RESID'!$H:$H,$E316,'COM RESID'!$I:$I,$F316)/SUMIFS('COM RESID'!$O:$O,'COM RESID'!$I:$I,$F316)),3),IF(ISNUMBER(SEARCH("WHEUE",T314)),IF(OR(S314="COMNGA",S314="COMFOI"),0.75,3),3))</f>
        <v>3</v>
      </c>
    </row>
    <row r="317" spans="1:29" x14ac:dyDescent="0.25">
      <c r="A317" s="19">
        <f>A313+1</f>
        <v>79</v>
      </c>
      <c r="B317" s="10"/>
      <c r="C317" s="11" t="str">
        <f>IF(E317="","",IF(_xlfn.XLOOKUP($A317,Selected_constraint_UC!$A:$A,Selected_constraint_UC!$D:$D)=1,"*",IF(SUMIFS('COM TECH'!$N:$N,'COM TECH'!$K:$K,E317,'COM TECH'!$L:$L,F317)=0,"*",IF(SUMIFS('COM RESID'!$O:$O,'COM RESID'!$H:$H,$E317,'COM RESID'!$I:$I,$F317)=0,"*","UC_MarketShare_"&amp;LEFT(F317,LEN(F317)-3)&amp;"_"&amp;RIGHT(E317,3)&amp;"_MIN"))))</f>
        <v>*</v>
      </c>
      <c r="D317" s="12"/>
      <c r="E317" s="13" t="str">
        <f>_xlfn.XLOOKUP($A317,Selected_constraint_UC!$A:$A,Selected_constraint_UC!$B:$B)</f>
        <v>COMELC</v>
      </c>
      <c r="F317" s="13" t="str">
        <f>_xlfn.XLOOKUP($A317,Selected_constraint_UC!$A:$A,Selected_constraint_UC!$C:$C)</f>
        <v>COMHOPOldCKEUE</v>
      </c>
      <c r="G317" s="13" t="str">
        <f>F317</f>
        <v>COMHOPOldCKEUE</v>
      </c>
      <c r="H317" s="14">
        <v>2019</v>
      </c>
      <c r="I317" s="14" t="s">
        <v>3848</v>
      </c>
      <c r="J317" s="14">
        <v>1</v>
      </c>
      <c r="K317" s="15">
        <f>-ROUNDDOWN(SUMIFS('COM RESID'!$O:$O,'COM RESID'!$H:$H,$E317,'COM RESID'!$I:$I,$F317)/SUMIFS('COM RESID'!$O:$O,'COM RESID'!$I:$I,$F317),3)*O317</f>
        <v>-0.11563999999999999</v>
      </c>
      <c r="L317" s="14">
        <v>0</v>
      </c>
      <c r="M317" s="14">
        <v>5</v>
      </c>
      <c r="N317" s="10"/>
      <c r="O317" s="20">
        <v>0.98</v>
      </c>
      <c r="Q317" s="11" t="str">
        <f t="shared" si="80"/>
        <v>*</v>
      </c>
      <c r="R317" s="12"/>
      <c r="S317" s="13" t="str">
        <f t="shared" si="82"/>
        <v>COMELC</v>
      </c>
      <c r="T317" s="13" t="str">
        <f t="shared" si="83"/>
        <v>COMHOPOldCKEUE</v>
      </c>
      <c r="U317" s="13" t="str">
        <f t="shared" si="84"/>
        <v>COMHOPOldCKEUE</v>
      </c>
      <c r="V317" s="14">
        <v>2019</v>
      </c>
      <c r="W317" s="14" t="s">
        <v>3849</v>
      </c>
      <c r="X317" s="14">
        <v>1</v>
      </c>
      <c r="Y317" s="15">
        <f>-ROUNDUP(MIN(SUMIFS('COM RESID'!$O:$O,'COM RESID'!$H:$H,$E317,'COM RESID'!$I:$I,$F317)/SUMIFS('COM RESID'!$O:$O,'COM RESID'!$I:$I,$F317)*AC317,1),3)</f>
        <v>-0.121</v>
      </c>
      <c r="Z317" s="14">
        <v>0</v>
      </c>
      <c r="AA317" s="14">
        <v>5</v>
      </c>
      <c r="AB317" s="10"/>
      <c r="AC317" s="20">
        <v>1.02</v>
      </c>
    </row>
    <row r="318" spans="1:29" x14ac:dyDescent="0.25">
      <c r="A318" s="10">
        <f>A317</f>
        <v>79</v>
      </c>
      <c r="B318" s="10"/>
      <c r="C318" s="11" t="str">
        <f>IF(C317="*",C317,"")</f>
        <v>*</v>
      </c>
      <c r="D318" s="12"/>
      <c r="E318" s="13" t="str">
        <f t="shared" ref="E318:G320" si="98">E317</f>
        <v>COMELC</v>
      </c>
      <c r="F318" s="13" t="str">
        <f t="shared" si="98"/>
        <v>COMHOPOldCKEUE</v>
      </c>
      <c r="G318" s="13" t="str">
        <f t="shared" si="98"/>
        <v>COMHOPOldCKEUE</v>
      </c>
      <c r="H318" s="14">
        <v>2025</v>
      </c>
      <c r="I318" s="14" t="str">
        <f>I317</f>
        <v>LO</v>
      </c>
      <c r="J318" s="14"/>
      <c r="K318" s="15">
        <f>-ROUNDDOWN(SUMIFS('COM RESID'!$O:$O,'COM RESID'!$H:$H,$E318,'COM RESID'!$I:$I,$F318)/SUMIFS('COM RESID'!$O:$O,'COM RESID'!$I:$I,$F318),3)*O318</f>
        <v>-9.4399999999999998E-2</v>
      </c>
      <c r="L318" s="14"/>
      <c r="M318" s="14"/>
      <c r="N318" s="10"/>
      <c r="O318" s="20">
        <v>0.8</v>
      </c>
      <c r="Q318" s="11" t="str">
        <f t="shared" si="80"/>
        <v>*</v>
      </c>
      <c r="R318" s="12"/>
      <c r="S318" s="13" t="str">
        <f t="shared" si="82"/>
        <v>COMELC</v>
      </c>
      <c r="T318" s="13" t="str">
        <f t="shared" si="83"/>
        <v>COMHOPOldCKEUE</v>
      </c>
      <c r="U318" s="13" t="str">
        <f t="shared" si="84"/>
        <v>COMHOPOldCKEUE</v>
      </c>
      <c r="V318" s="14">
        <v>2025</v>
      </c>
      <c r="W318" s="14" t="str">
        <f>W317</f>
        <v>UP</v>
      </c>
      <c r="X318" s="14"/>
      <c r="Y318" s="15">
        <f>-ROUNDUP(MIN(SUMIFS('COM RESID'!$O:$O,'COM RESID'!$H:$H,$E318,'COM RESID'!$I:$I,$F318)/SUMIFS('COM RESID'!$O:$O,'COM RESID'!$I:$I,$F318)*AC318,1),3)</f>
        <v>-0.25</v>
      </c>
      <c r="Z318" s="14"/>
      <c r="AA318" s="14"/>
      <c r="AB318" s="10"/>
      <c r="AC318" s="20">
        <f>IF(S318="COMELC",IF(SUMIFS('COM RESID'!$O:$O,'COM RESID'!$H:$H,$E318,'COM RESID'!$I:$I,$F318)/SUMIFS('COM RESID'!$O:$O,'COM RESID'!$I:$I,$F318)*1.2&lt;0.25,0.25/(SUMIFS('COM RESID'!$O:$O,'COM RESID'!$H:$H,$E318,'COM RESID'!$I:$I,$F318)/SUMIFS('COM RESID'!$O:$O,'COM RESID'!$I:$I,$F318)),1.2),IF(ISNUMBER(SEARCH("WHEUE",T318)),IF(OR(S318="COMNGA",S318="COMFOI"),1,1.2),1.2))</f>
        <v>2.1134708833517615</v>
      </c>
    </row>
    <row r="319" spans="1:29" x14ac:dyDescent="0.25">
      <c r="A319" s="10">
        <f>A318</f>
        <v>79</v>
      </c>
      <c r="B319" s="10"/>
      <c r="C319" s="11" t="str">
        <f>IF(C318="*",C318,"")</f>
        <v>*</v>
      </c>
      <c r="D319" s="12"/>
      <c r="E319" s="13" t="str">
        <f t="shared" si="98"/>
        <v>COMELC</v>
      </c>
      <c r="F319" s="13" t="str">
        <f t="shared" si="98"/>
        <v>COMHOPOldCKEUE</v>
      </c>
      <c r="G319" s="13" t="str">
        <f t="shared" si="98"/>
        <v>COMHOPOldCKEUE</v>
      </c>
      <c r="H319" s="14">
        <v>2030</v>
      </c>
      <c r="I319" s="14" t="str">
        <f>I318</f>
        <v>LO</v>
      </c>
      <c r="J319" s="14"/>
      <c r="K319" s="15">
        <f>-ROUNDDOWN(SUMIFS('COM RESID'!$O:$O,'COM RESID'!$H:$H,$E319,'COM RESID'!$I:$I,$F319)/SUMIFS('COM RESID'!$O:$O,'COM RESID'!$I:$I,$F319),3)*O319</f>
        <v>-2.3599999999999999E-2</v>
      </c>
      <c r="L319" s="14"/>
      <c r="M319" s="14"/>
      <c r="N319" s="10"/>
      <c r="O319" s="20">
        <v>0.2</v>
      </c>
      <c r="Q319" s="11" t="str">
        <f t="shared" si="80"/>
        <v>*</v>
      </c>
      <c r="R319" s="12"/>
      <c r="S319" s="13" t="str">
        <f t="shared" si="82"/>
        <v>COMELC</v>
      </c>
      <c r="T319" s="13" t="str">
        <f t="shared" si="83"/>
        <v>COMHOPOldCKEUE</v>
      </c>
      <c r="U319" s="13" t="str">
        <f t="shared" si="84"/>
        <v>COMHOPOldCKEUE</v>
      </c>
      <c r="V319" s="14">
        <v>2030</v>
      </c>
      <c r="W319" s="14" t="str">
        <f>W318</f>
        <v>UP</v>
      </c>
      <c r="X319" s="14"/>
      <c r="Y319" s="15">
        <f>-ROUNDUP(MIN(SUMIFS('COM RESID'!$O:$O,'COM RESID'!$H:$H,$E319,'COM RESID'!$I:$I,$F319)/SUMIFS('COM RESID'!$O:$O,'COM RESID'!$I:$I,$F319)*AC319,1),3)</f>
        <v>-0.5</v>
      </c>
      <c r="Z319" s="14"/>
      <c r="AA319" s="14"/>
      <c r="AB319" s="10"/>
      <c r="AC319" s="20">
        <f>IF(S319="COMELC",IF(SUMIFS('COM RESID'!$O:$O,'COM RESID'!$H:$H,$E319,'COM RESID'!$I:$I,$F319)/SUMIFS('COM RESID'!$O:$O,'COM RESID'!$I:$I,$F319)*1.5&lt;0.5,0.5/(SUMIFS('COM RESID'!$O:$O,'COM RESID'!$H:$H,$E319,'COM RESID'!$I:$I,$F319)/SUMIFS('COM RESID'!$O:$O,'COM RESID'!$I:$I,$F319)),1.5),IF(ISNUMBER(SEARCH("WHEUE",T318)),IF(OR(S318="COMNGA",S318="COMFOI"),0.9,1.5),1.5))</f>
        <v>4.226941766703523</v>
      </c>
    </row>
    <row r="320" spans="1:29" x14ac:dyDescent="0.25">
      <c r="A320" s="26">
        <f>A319</f>
        <v>79</v>
      </c>
      <c r="B320" s="26"/>
      <c r="C320" s="21" t="str">
        <f>IF(C319="*",C319,"")</f>
        <v>*</v>
      </c>
      <c r="D320" s="22"/>
      <c r="E320" s="23" t="str">
        <f t="shared" si="98"/>
        <v>COMELC</v>
      </c>
      <c r="F320" s="23" t="str">
        <f t="shared" si="98"/>
        <v>COMHOPOldCKEUE</v>
      </c>
      <c r="G320" s="23" t="str">
        <f t="shared" si="98"/>
        <v>COMHOPOldCKEUE</v>
      </c>
      <c r="H320" s="24">
        <v>2050</v>
      </c>
      <c r="I320" s="24" t="str">
        <f>I319</f>
        <v>LO</v>
      </c>
      <c r="J320" s="24"/>
      <c r="K320" s="25">
        <f>-ROUNDDOWN(SUMIFS('COM RESID'!$O:$O,'COM RESID'!$H:$H,$E320,'COM RESID'!$I:$I,$F320)/SUMIFS('COM RESID'!$O:$O,'COM RESID'!$I:$I,$F320),3)*O320</f>
        <v>0</v>
      </c>
      <c r="L320" s="24"/>
      <c r="M320" s="24"/>
      <c r="N320" s="26"/>
      <c r="O320" s="27">
        <v>0</v>
      </c>
      <c r="Q320" s="21" t="str">
        <f t="shared" si="80"/>
        <v>*</v>
      </c>
      <c r="R320" s="22"/>
      <c r="S320" s="23" t="str">
        <f t="shared" si="82"/>
        <v>COMELC</v>
      </c>
      <c r="T320" s="23" t="str">
        <f t="shared" si="83"/>
        <v>COMHOPOldCKEUE</v>
      </c>
      <c r="U320" s="23" t="str">
        <f t="shared" si="84"/>
        <v>COMHOPOldCKEUE</v>
      </c>
      <c r="V320" s="24">
        <v>2050</v>
      </c>
      <c r="W320" s="24" t="str">
        <f>W319</f>
        <v>UP</v>
      </c>
      <c r="X320" s="24"/>
      <c r="Y320" s="25">
        <f>-ROUNDUP(MIN(SUMIFS('COM RESID'!$O:$O,'COM RESID'!$H:$H,$E320,'COM RESID'!$I:$I,$F320)/SUMIFS('COM RESID'!$O:$O,'COM RESID'!$I:$I,$F320)*AC320,1),3)</f>
        <v>-1</v>
      </c>
      <c r="Z320" s="24"/>
      <c r="AA320" s="24"/>
      <c r="AB320" s="26"/>
      <c r="AC320" s="27">
        <f>IF(S320="COMELC",IF(SUMIFS('COM RESID'!$O:$O,'COM RESID'!$H:$H,$E320,'COM RESID'!$I:$I,$F320)/SUMIFS('COM RESID'!$O:$O,'COM RESID'!$I:$I,$F320)*3&lt;1,1/(SUMIFS('COM RESID'!$O:$O,'COM RESID'!$H:$H,$E320,'COM RESID'!$I:$I,$F320)/SUMIFS('COM RESID'!$O:$O,'COM RESID'!$I:$I,$F320)),3),IF(ISNUMBER(SEARCH("WHEUE",T318)),IF(OR(S318="COMNGA",S318="COMFOI"),0.75,3),3))</f>
        <v>8.4538835334070459</v>
      </c>
    </row>
    <row r="321" spans="1:29" x14ac:dyDescent="0.25">
      <c r="A321" s="19">
        <f>A317+1</f>
        <v>80</v>
      </c>
      <c r="B321" s="10"/>
      <c r="C321" s="11" t="str">
        <f>IF(E321="","",IF(_xlfn.XLOOKUP($A321,Selected_constraint_UC!$A:$A,Selected_constraint_UC!$D:$D)=1,"*",IF(SUMIFS('COM TECH'!$N:$N,'COM TECH'!$K:$K,E321,'COM TECH'!$L:$L,F321)=0,"*",IF(SUMIFS('COM RESID'!$O:$O,'COM RESID'!$H:$H,$E321,'COM RESID'!$I:$I,$F321)=0,"*","UC_MarketShare_"&amp;LEFT(F321,LEN(F321)-3)&amp;"_"&amp;RIGHT(E321,3)&amp;"_MIN"))))</f>
        <v>*</v>
      </c>
      <c r="D321" s="12"/>
      <c r="E321" s="13" t="str">
        <f>_xlfn.XLOOKUP($A321,Selected_constraint_UC!$A:$A,Selected_constraint_UC!$B:$B)</f>
        <v>COMELC</v>
      </c>
      <c r="F321" s="13" t="str">
        <f>_xlfn.XLOOKUP($A321,Selected_constraint_UC!$A:$A,Selected_constraint_UC!$C:$C)</f>
        <v>COMHOPOldREEUE</v>
      </c>
      <c r="G321" s="13" t="str">
        <f>F321</f>
        <v>COMHOPOldREEUE</v>
      </c>
      <c r="H321" s="14">
        <v>2019</v>
      </c>
      <c r="I321" s="14" t="s">
        <v>3848</v>
      </c>
      <c r="J321" s="14">
        <v>1</v>
      </c>
      <c r="K321" s="15">
        <f>-ROUNDDOWN(SUMIFS('COM RESID'!$O:$O,'COM RESID'!$H:$H,$E321,'COM RESID'!$I:$I,$F321)/SUMIFS('COM RESID'!$O:$O,'COM RESID'!$I:$I,$F321),3)*O321</f>
        <v>-0.98</v>
      </c>
      <c r="L321" s="14">
        <v>0</v>
      </c>
      <c r="M321" s="14">
        <v>5</v>
      </c>
      <c r="N321" s="10"/>
      <c r="O321" s="20">
        <v>0.98</v>
      </c>
      <c r="Q321" s="11" t="str">
        <f t="shared" si="80"/>
        <v>*</v>
      </c>
      <c r="R321" s="12"/>
      <c r="S321" s="13" t="str">
        <f t="shared" si="82"/>
        <v>COMELC</v>
      </c>
      <c r="T321" s="13" t="str">
        <f t="shared" si="83"/>
        <v>COMHOPOldREEUE</v>
      </c>
      <c r="U321" s="13" t="str">
        <f t="shared" si="84"/>
        <v>COMHOPOldREEUE</v>
      </c>
      <c r="V321" s="14">
        <v>2019</v>
      </c>
      <c r="W321" s="14" t="s">
        <v>3849</v>
      </c>
      <c r="X321" s="14">
        <v>1</v>
      </c>
      <c r="Y321" s="15">
        <f>-ROUNDUP(MIN(SUMIFS('COM RESID'!$O:$O,'COM RESID'!$H:$H,$E321,'COM RESID'!$I:$I,$F321)/SUMIFS('COM RESID'!$O:$O,'COM RESID'!$I:$I,$F321)*AC321,1),3)</f>
        <v>-1</v>
      </c>
      <c r="Z321" s="14">
        <v>0</v>
      </c>
      <c r="AA321" s="14">
        <v>5</v>
      </c>
      <c r="AB321" s="10"/>
      <c r="AC321" s="20">
        <v>1.02</v>
      </c>
    </row>
    <row r="322" spans="1:29" x14ac:dyDescent="0.25">
      <c r="A322" s="10">
        <f>A321</f>
        <v>80</v>
      </c>
      <c r="B322" s="10"/>
      <c r="C322" s="11" t="str">
        <f>IF(C321="*",C321,"")</f>
        <v>*</v>
      </c>
      <c r="D322" s="12"/>
      <c r="E322" s="13" t="str">
        <f t="shared" ref="E322:G324" si="99">E321</f>
        <v>COMELC</v>
      </c>
      <c r="F322" s="13" t="str">
        <f t="shared" si="99"/>
        <v>COMHOPOldREEUE</v>
      </c>
      <c r="G322" s="13" t="str">
        <f t="shared" si="99"/>
        <v>COMHOPOldREEUE</v>
      </c>
      <c r="H322" s="14">
        <v>2025</v>
      </c>
      <c r="I322" s="14" t="str">
        <f>I321</f>
        <v>LO</v>
      </c>
      <c r="J322" s="14"/>
      <c r="K322" s="15">
        <f>-ROUNDDOWN(SUMIFS('COM RESID'!$O:$O,'COM RESID'!$H:$H,$E322,'COM RESID'!$I:$I,$F322)/SUMIFS('COM RESID'!$O:$O,'COM RESID'!$I:$I,$F322),3)*O322</f>
        <v>-0.8</v>
      </c>
      <c r="L322" s="14"/>
      <c r="M322" s="14"/>
      <c r="N322" s="10"/>
      <c r="O322" s="20">
        <v>0.8</v>
      </c>
      <c r="Q322" s="11" t="str">
        <f t="shared" si="80"/>
        <v>*</v>
      </c>
      <c r="R322" s="12"/>
      <c r="S322" s="13" t="str">
        <f t="shared" si="82"/>
        <v>COMELC</v>
      </c>
      <c r="T322" s="13" t="str">
        <f t="shared" si="83"/>
        <v>COMHOPOldREEUE</v>
      </c>
      <c r="U322" s="13" t="str">
        <f t="shared" si="84"/>
        <v>COMHOPOldREEUE</v>
      </c>
      <c r="V322" s="14">
        <v>2025</v>
      </c>
      <c r="W322" s="14" t="str">
        <f>W321</f>
        <v>UP</v>
      </c>
      <c r="X322" s="14"/>
      <c r="Y322" s="15">
        <f>-ROUNDUP(MIN(SUMIFS('COM RESID'!$O:$O,'COM RESID'!$H:$H,$E322,'COM RESID'!$I:$I,$F322)/SUMIFS('COM RESID'!$O:$O,'COM RESID'!$I:$I,$F322)*AC322,1),3)</f>
        <v>-1</v>
      </c>
      <c r="Z322" s="14"/>
      <c r="AA322" s="14"/>
      <c r="AB322" s="10"/>
      <c r="AC322" s="20">
        <f>IF(S322="COMELC",IF(SUMIFS('COM RESID'!$O:$O,'COM RESID'!$H:$H,$E322,'COM RESID'!$I:$I,$F322)/SUMIFS('COM RESID'!$O:$O,'COM RESID'!$I:$I,$F322)*1.2&lt;0.25,0.25/(SUMIFS('COM RESID'!$O:$O,'COM RESID'!$H:$H,$E322,'COM RESID'!$I:$I,$F322)/SUMIFS('COM RESID'!$O:$O,'COM RESID'!$I:$I,$F322)),1.2),IF(ISNUMBER(SEARCH("WHEUE",T322)),IF(OR(S322="COMNGA",S322="COMFOI"),1,1.2),1.2))</f>
        <v>1.2</v>
      </c>
    </row>
    <row r="323" spans="1:29" x14ac:dyDescent="0.25">
      <c r="A323" s="10">
        <f>A322</f>
        <v>80</v>
      </c>
      <c r="B323" s="10"/>
      <c r="C323" s="11" t="str">
        <f>IF(C322="*",C322,"")</f>
        <v>*</v>
      </c>
      <c r="D323" s="12"/>
      <c r="E323" s="13" t="str">
        <f t="shared" si="99"/>
        <v>COMELC</v>
      </c>
      <c r="F323" s="13" t="str">
        <f t="shared" si="99"/>
        <v>COMHOPOldREEUE</v>
      </c>
      <c r="G323" s="13" t="str">
        <f t="shared" si="99"/>
        <v>COMHOPOldREEUE</v>
      </c>
      <c r="H323" s="14">
        <v>2030</v>
      </c>
      <c r="I323" s="14" t="str">
        <f>I322</f>
        <v>LO</v>
      </c>
      <c r="J323" s="14"/>
      <c r="K323" s="15">
        <f>-ROUNDDOWN(SUMIFS('COM RESID'!$O:$O,'COM RESID'!$H:$H,$E323,'COM RESID'!$I:$I,$F323)/SUMIFS('COM RESID'!$O:$O,'COM RESID'!$I:$I,$F323),3)*O323</f>
        <v>-0.2</v>
      </c>
      <c r="L323" s="14"/>
      <c r="M323" s="14"/>
      <c r="N323" s="10"/>
      <c r="O323" s="20">
        <v>0.2</v>
      </c>
      <c r="Q323" s="11" t="str">
        <f t="shared" si="80"/>
        <v>*</v>
      </c>
      <c r="R323" s="12"/>
      <c r="S323" s="13" t="str">
        <f t="shared" si="82"/>
        <v>COMELC</v>
      </c>
      <c r="T323" s="13" t="str">
        <f t="shared" si="83"/>
        <v>COMHOPOldREEUE</v>
      </c>
      <c r="U323" s="13" t="str">
        <f t="shared" si="84"/>
        <v>COMHOPOldREEUE</v>
      </c>
      <c r="V323" s="14">
        <v>2030</v>
      </c>
      <c r="W323" s="14" t="str">
        <f>W322</f>
        <v>UP</v>
      </c>
      <c r="X323" s="14"/>
      <c r="Y323" s="15">
        <f>-ROUNDUP(MIN(SUMIFS('COM RESID'!$O:$O,'COM RESID'!$H:$H,$E323,'COM RESID'!$I:$I,$F323)/SUMIFS('COM RESID'!$O:$O,'COM RESID'!$I:$I,$F323)*AC323,1),3)</f>
        <v>-1</v>
      </c>
      <c r="Z323" s="14"/>
      <c r="AA323" s="14"/>
      <c r="AB323" s="10"/>
      <c r="AC323" s="20">
        <f>IF(S323="COMELC",IF(SUMIFS('COM RESID'!$O:$O,'COM RESID'!$H:$H,$E323,'COM RESID'!$I:$I,$F323)/SUMIFS('COM RESID'!$O:$O,'COM RESID'!$I:$I,$F323)*1.5&lt;0.5,0.5/(SUMIFS('COM RESID'!$O:$O,'COM RESID'!$H:$H,$E323,'COM RESID'!$I:$I,$F323)/SUMIFS('COM RESID'!$O:$O,'COM RESID'!$I:$I,$F323)),1.5),IF(ISNUMBER(SEARCH("WHEUE",T322)),IF(OR(S322="COMNGA",S322="COMFOI"),0.9,1.5),1.5))</f>
        <v>1.5</v>
      </c>
    </row>
    <row r="324" spans="1:29" x14ac:dyDescent="0.25">
      <c r="A324" s="26">
        <f>A323</f>
        <v>80</v>
      </c>
      <c r="B324" s="26"/>
      <c r="C324" s="21" t="str">
        <f>IF(C323="*",C323,"")</f>
        <v>*</v>
      </c>
      <c r="D324" s="22"/>
      <c r="E324" s="23" t="str">
        <f t="shared" si="99"/>
        <v>COMELC</v>
      </c>
      <c r="F324" s="23" t="str">
        <f t="shared" si="99"/>
        <v>COMHOPOldREEUE</v>
      </c>
      <c r="G324" s="23" t="str">
        <f t="shared" si="99"/>
        <v>COMHOPOldREEUE</v>
      </c>
      <c r="H324" s="24">
        <v>2050</v>
      </c>
      <c r="I324" s="24" t="str">
        <f>I323</f>
        <v>LO</v>
      </c>
      <c r="J324" s="24"/>
      <c r="K324" s="25">
        <f>-ROUNDDOWN(SUMIFS('COM RESID'!$O:$O,'COM RESID'!$H:$H,$E324,'COM RESID'!$I:$I,$F324)/SUMIFS('COM RESID'!$O:$O,'COM RESID'!$I:$I,$F324),3)*O324</f>
        <v>0</v>
      </c>
      <c r="L324" s="24"/>
      <c r="M324" s="24"/>
      <c r="N324" s="26"/>
      <c r="O324" s="27">
        <v>0</v>
      </c>
      <c r="Q324" s="21" t="str">
        <f t="shared" si="80"/>
        <v>*</v>
      </c>
      <c r="R324" s="22"/>
      <c r="S324" s="23" t="str">
        <f t="shared" si="82"/>
        <v>COMELC</v>
      </c>
      <c r="T324" s="23" t="str">
        <f t="shared" si="83"/>
        <v>COMHOPOldREEUE</v>
      </c>
      <c r="U324" s="23" t="str">
        <f t="shared" si="84"/>
        <v>COMHOPOldREEUE</v>
      </c>
      <c r="V324" s="24">
        <v>2050</v>
      </c>
      <c r="W324" s="24" t="str">
        <f>W323</f>
        <v>UP</v>
      </c>
      <c r="X324" s="24"/>
      <c r="Y324" s="25">
        <f>-ROUNDUP(MIN(SUMIFS('COM RESID'!$O:$O,'COM RESID'!$H:$H,$E324,'COM RESID'!$I:$I,$F324)/SUMIFS('COM RESID'!$O:$O,'COM RESID'!$I:$I,$F324)*AC324,1),3)</f>
        <v>-1</v>
      </c>
      <c r="Z324" s="24"/>
      <c r="AA324" s="24"/>
      <c r="AB324" s="26"/>
      <c r="AC324" s="27">
        <f>IF(S324="COMELC",IF(SUMIFS('COM RESID'!$O:$O,'COM RESID'!$H:$H,$E324,'COM RESID'!$I:$I,$F324)/SUMIFS('COM RESID'!$O:$O,'COM RESID'!$I:$I,$F324)*3&lt;1,1/(SUMIFS('COM RESID'!$O:$O,'COM RESID'!$H:$H,$E324,'COM RESID'!$I:$I,$F324)/SUMIFS('COM RESID'!$O:$O,'COM RESID'!$I:$I,$F324)),3),IF(ISNUMBER(SEARCH("WHEUE",T322)),IF(OR(S322="COMNGA",S322="COMFOI"),0.75,3),3))</f>
        <v>3</v>
      </c>
    </row>
    <row r="325" spans="1:29" x14ac:dyDescent="0.25">
      <c r="A325" s="19">
        <f>A321+1</f>
        <v>81</v>
      </c>
      <c r="B325" s="10"/>
      <c r="C325" s="11" t="str">
        <f>IF(E325="","",IF(_xlfn.XLOOKUP($A325,Selected_constraint_UC!$A:$A,Selected_constraint_UC!$D:$D)=1,"*",IF(SUMIFS('COM TECH'!$N:$N,'COM TECH'!$K:$K,E325,'COM TECH'!$L:$L,F325)=0,"*",IF(SUMIFS('COM RESID'!$O:$O,'COM RESID'!$H:$H,$E325,'COM RESID'!$I:$I,$F325)=0,"*","UC_MarketShare_"&amp;LEFT(F325,LEN(F325)-3)&amp;"_"&amp;RIGHT(E325,3)&amp;"_MIN"))))</f>
        <v>*</v>
      </c>
      <c r="D325" s="12"/>
      <c r="E325" s="13" t="str">
        <f>_xlfn.XLOOKUP($A325,Selected_constraint_UC!$A:$A,Selected_constraint_UC!$B:$B)</f>
        <v>COMFOI</v>
      </c>
      <c r="F325" s="13" t="str">
        <f>_xlfn.XLOOKUP($A325,Selected_constraint_UC!$A:$A,Selected_constraint_UC!$C:$C)</f>
        <v>COMHOPOldOEEUE</v>
      </c>
      <c r="G325" s="13" t="str">
        <f>F325</f>
        <v>COMHOPOldOEEUE</v>
      </c>
      <c r="H325" s="14">
        <v>2019</v>
      </c>
      <c r="I325" s="14" t="s">
        <v>3848</v>
      </c>
      <c r="J325" s="14">
        <v>1</v>
      </c>
      <c r="K325" s="15">
        <f>-ROUNDDOWN(SUMIFS('COM RESID'!$O:$O,'COM RESID'!$H:$H,$E325,'COM RESID'!$I:$I,$F325)/SUMIFS('COM RESID'!$O:$O,'COM RESID'!$I:$I,$F325),3)*O325</f>
        <v>-0.14013999999999999</v>
      </c>
      <c r="L325" s="14">
        <v>0</v>
      </c>
      <c r="M325" s="14">
        <v>5</v>
      </c>
      <c r="N325" s="10"/>
      <c r="O325" s="20">
        <v>0.98</v>
      </c>
      <c r="Q325" s="11" t="str">
        <f t="shared" ref="Q325:Q388" si="100">SUBSTITUTE(C325,"MIN","MAX")</f>
        <v>*</v>
      </c>
      <c r="R325" s="12"/>
      <c r="S325" s="13" t="str">
        <f t="shared" si="82"/>
        <v>COMFOI</v>
      </c>
      <c r="T325" s="13" t="str">
        <f t="shared" si="83"/>
        <v>COMHOPOldOEEUE</v>
      </c>
      <c r="U325" s="13" t="str">
        <f t="shared" si="84"/>
        <v>COMHOPOldOEEUE</v>
      </c>
      <c r="V325" s="14">
        <v>2019</v>
      </c>
      <c r="W325" s="14" t="s">
        <v>3849</v>
      </c>
      <c r="X325" s="14">
        <v>1</v>
      </c>
      <c r="Y325" s="15">
        <f>-ROUNDUP(MIN(SUMIFS('COM RESID'!$O:$O,'COM RESID'!$H:$H,$E325,'COM RESID'!$I:$I,$F325)/SUMIFS('COM RESID'!$O:$O,'COM RESID'!$I:$I,$F325)*AC325,1),3)</f>
        <v>-0.14699999999999999</v>
      </c>
      <c r="Z325" s="14">
        <v>0</v>
      </c>
      <c r="AA325" s="14">
        <v>5</v>
      </c>
      <c r="AB325" s="10"/>
      <c r="AC325" s="20">
        <v>1.02</v>
      </c>
    </row>
    <row r="326" spans="1:29" x14ac:dyDescent="0.25">
      <c r="A326" s="10">
        <f>A325</f>
        <v>81</v>
      </c>
      <c r="B326" s="10"/>
      <c r="C326" s="11" t="str">
        <f>IF(C325="*",C325,"")</f>
        <v>*</v>
      </c>
      <c r="D326" s="12"/>
      <c r="E326" s="13" t="str">
        <f t="shared" ref="E326:G328" si="101">E325</f>
        <v>COMFOI</v>
      </c>
      <c r="F326" s="13" t="str">
        <f t="shared" si="101"/>
        <v>COMHOPOldOEEUE</v>
      </c>
      <c r="G326" s="13" t="str">
        <f t="shared" si="101"/>
        <v>COMHOPOldOEEUE</v>
      </c>
      <c r="H326" s="14">
        <v>2025</v>
      </c>
      <c r="I326" s="14" t="str">
        <f>I325</f>
        <v>LO</v>
      </c>
      <c r="J326" s="14"/>
      <c r="K326" s="15">
        <f>-ROUNDDOWN(SUMIFS('COM RESID'!$O:$O,'COM RESID'!$H:$H,$E326,'COM RESID'!$I:$I,$F326)/SUMIFS('COM RESID'!$O:$O,'COM RESID'!$I:$I,$F326),3)*O326</f>
        <v>-0.1144</v>
      </c>
      <c r="L326" s="14"/>
      <c r="M326" s="14"/>
      <c r="N326" s="10"/>
      <c r="O326" s="20">
        <v>0.8</v>
      </c>
      <c r="Q326" s="11" t="str">
        <f t="shared" si="100"/>
        <v>*</v>
      </c>
      <c r="R326" s="12"/>
      <c r="S326" s="13" t="str">
        <f t="shared" ref="S326:S389" si="102">E326</f>
        <v>COMFOI</v>
      </c>
      <c r="T326" s="13" t="str">
        <f t="shared" ref="T326:T389" si="103">F326</f>
        <v>COMHOPOldOEEUE</v>
      </c>
      <c r="U326" s="13" t="str">
        <f t="shared" ref="U326:U389" si="104">G326</f>
        <v>COMHOPOldOEEUE</v>
      </c>
      <c r="V326" s="14">
        <v>2025</v>
      </c>
      <c r="W326" s="14" t="str">
        <f>W325</f>
        <v>UP</v>
      </c>
      <c r="X326" s="14"/>
      <c r="Y326" s="15">
        <f>-ROUNDUP(MIN(SUMIFS('COM RESID'!$O:$O,'COM RESID'!$H:$H,$E326,'COM RESID'!$I:$I,$F326)/SUMIFS('COM RESID'!$O:$O,'COM RESID'!$I:$I,$F326)*AC326,1),3)</f>
        <v>-0.17299999999999999</v>
      </c>
      <c r="Z326" s="14"/>
      <c r="AA326" s="14"/>
      <c r="AB326" s="10"/>
      <c r="AC326" s="20">
        <f>IF(S326="COMELC",IF(SUMIFS('COM RESID'!$O:$O,'COM RESID'!$H:$H,$E326,'COM RESID'!$I:$I,$F326)/SUMIFS('COM RESID'!$O:$O,'COM RESID'!$I:$I,$F326)*1.2&lt;0.25,0.25/(SUMIFS('COM RESID'!$O:$O,'COM RESID'!$H:$H,$E326,'COM RESID'!$I:$I,$F326)/SUMIFS('COM RESID'!$O:$O,'COM RESID'!$I:$I,$F326)),1.2),IF(ISNUMBER(SEARCH("WHEUE",T326)),IF(OR(S326="COMNGA",S326="COMFOI"),1,1.2),1.2))</f>
        <v>1.2</v>
      </c>
    </row>
    <row r="327" spans="1:29" x14ac:dyDescent="0.25">
      <c r="A327" s="10">
        <f>A326</f>
        <v>81</v>
      </c>
      <c r="B327" s="10"/>
      <c r="C327" s="11" t="str">
        <f>IF(C326="*",C326,"")</f>
        <v>*</v>
      </c>
      <c r="D327" s="12"/>
      <c r="E327" s="13" t="str">
        <f t="shared" si="101"/>
        <v>COMFOI</v>
      </c>
      <c r="F327" s="13" t="str">
        <f t="shared" si="101"/>
        <v>COMHOPOldOEEUE</v>
      </c>
      <c r="G327" s="13" t="str">
        <f t="shared" si="101"/>
        <v>COMHOPOldOEEUE</v>
      </c>
      <c r="H327" s="14">
        <v>2030</v>
      </c>
      <c r="I327" s="14" t="str">
        <f>I326</f>
        <v>LO</v>
      </c>
      <c r="J327" s="14"/>
      <c r="K327" s="15">
        <f>-ROUNDDOWN(SUMIFS('COM RESID'!$O:$O,'COM RESID'!$H:$H,$E327,'COM RESID'!$I:$I,$F327)/SUMIFS('COM RESID'!$O:$O,'COM RESID'!$I:$I,$F327),3)*O327</f>
        <v>-2.86E-2</v>
      </c>
      <c r="L327" s="14"/>
      <c r="M327" s="14"/>
      <c r="N327" s="10"/>
      <c r="O327" s="20">
        <v>0.2</v>
      </c>
      <c r="Q327" s="11" t="str">
        <f t="shared" si="100"/>
        <v>*</v>
      </c>
      <c r="R327" s="12"/>
      <c r="S327" s="13" t="str">
        <f t="shared" si="102"/>
        <v>COMFOI</v>
      </c>
      <c r="T327" s="13" t="str">
        <f t="shared" si="103"/>
        <v>COMHOPOldOEEUE</v>
      </c>
      <c r="U327" s="13" t="str">
        <f t="shared" si="104"/>
        <v>COMHOPOldOEEUE</v>
      </c>
      <c r="V327" s="14">
        <v>2030</v>
      </c>
      <c r="W327" s="14" t="str">
        <f>W326</f>
        <v>UP</v>
      </c>
      <c r="X327" s="14"/>
      <c r="Y327" s="15">
        <f>-ROUNDUP(MIN(SUMIFS('COM RESID'!$O:$O,'COM RESID'!$H:$H,$E327,'COM RESID'!$I:$I,$F327)/SUMIFS('COM RESID'!$O:$O,'COM RESID'!$I:$I,$F327)*AC327,1),3)</f>
        <v>-0.216</v>
      </c>
      <c r="Z327" s="14"/>
      <c r="AA327" s="14"/>
      <c r="AB327" s="10"/>
      <c r="AC327" s="20">
        <f>IF(S327="COMELC",IF(SUMIFS('COM RESID'!$O:$O,'COM RESID'!$H:$H,$E327,'COM RESID'!$I:$I,$F327)/SUMIFS('COM RESID'!$O:$O,'COM RESID'!$I:$I,$F327)*1.5&lt;0.5,0.5/(SUMIFS('COM RESID'!$O:$O,'COM RESID'!$H:$H,$E327,'COM RESID'!$I:$I,$F327)/SUMIFS('COM RESID'!$O:$O,'COM RESID'!$I:$I,$F327)),1.5),IF(ISNUMBER(SEARCH("WHEUE",T326)),IF(OR(S326="COMNGA",S326="COMFOI"),0.9,1.5),1.5))</f>
        <v>1.5</v>
      </c>
    </row>
    <row r="328" spans="1:29" x14ac:dyDescent="0.25">
      <c r="A328" s="26">
        <f>A327</f>
        <v>81</v>
      </c>
      <c r="B328" s="26"/>
      <c r="C328" s="21" t="str">
        <f>IF(C327="*",C327,"")</f>
        <v>*</v>
      </c>
      <c r="D328" s="22"/>
      <c r="E328" s="23" t="str">
        <f t="shared" si="101"/>
        <v>COMFOI</v>
      </c>
      <c r="F328" s="23" t="str">
        <f t="shared" si="101"/>
        <v>COMHOPOldOEEUE</v>
      </c>
      <c r="G328" s="23" t="str">
        <f t="shared" si="101"/>
        <v>COMHOPOldOEEUE</v>
      </c>
      <c r="H328" s="24">
        <v>2050</v>
      </c>
      <c r="I328" s="24" t="str">
        <f>I327</f>
        <v>LO</v>
      </c>
      <c r="J328" s="24"/>
      <c r="K328" s="25">
        <f>-ROUNDDOWN(SUMIFS('COM RESID'!$O:$O,'COM RESID'!$H:$H,$E328,'COM RESID'!$I:$I,$F328)/SUMIFS('COM RESID'!$O:$O,'COM RESID'!$I:$I,$F328),3)*O328</f>
        <v>0</v>
      </c>
      <c r="L328" s="24"/>
      <c r="M328" s="24"/>
      <c r="N328" s="26"/>
      <c r="O328" s="27">
        <v>0</v>
      </c>
      <c r="Q328" s="21" t="str">
        <f t="shared" si="100"/>
        <v>*</v>
      </c>
      <c r="R328" s="22"/>
      <c r="S328" s="23" t="str">
        <f t="shared" si="102"/>
        <v>COMFOI</v>
      </c>
      <c r="T328" s="23" t="str">
        <f t="shared" si="103"/>
        <v>COMHOPOldOEEUE</v>
      </c>
      <c r="U328" s="23" t="str">
        <f t="shared" si="104"/>
        <v>COMHOPOldOEEUE</v>
      </c>
      <c r="V328" s="24">
        <v>2050</v>
      </c>
      <c r="W328" s="24" t="str">
        <f>W327</f>
        <v>UP</v>
      </c>
      <c r="X328" s="24"/>
      <c r="Y328" s="25">
        <f>-ROUNDUP(MIN(SUMIFS('COM RESID'!$O:$O,'COM RESID'!$H:$H,$E328,'COM RESID'!$I:$I,$F328)/SUMIFS('COM RESID'!$O:$O,'COM RESID'!$I:$I,$F328)*AC328,1),3)</f>
        <v>-0.432</v>
      </c>
      <c r="Z328" s="24"/>
      <c r="AA328" s="24"/>
      <c r="AB328" s="26"/>
      <c r="AC328" s="27">
        <f>IF(S328="COMELC",IF(SUMIFS('COM RESID'!$O:$O,'COM RESID'!$H:$H,$E328,'COM RESID'!$I:$I,$F328)/SUMIFS('COM RESID'!$O:$O,'COM RESID'!$I:$I,$F328)*3&lt;1,1/(SUMIFS('COM RESID'!$O:$O,'COM RESID'!$H:$H,$E328,'COM RESID'!$I:$I,$F328)/SUMIFS('COM RESID'!$O:$O,'COM RESID'!$I:$I,$F328)),3),IF(ISNUMBER(SEARCH("WHEUE",T326)),IF(OR(S326="COMNGA",S326="COMFOI"),0.75,3),3))</f>
        <v>3</v>
      </c>
    </row>
    <row r="329" spans="1:29" x14ac:dyDescent="0.25">
      <c r="A329" s="19">
        <f>A325+1</f>
        <v>82</v>
      </c>
      <c r="B329" s="10"/>
      <c r="C329" s="11" t="str">
        <f>IF(E329="","",IF(_xlfn.XLOOKUP($A329,Selected_constraint_UC!$A:$A,Selected_constraint_UC!$D:$D)=1,"*",IF(SUMIFS('COM TECH'!$N:$N,'COM TECH'!$K:$K,E329,'COM TECH'!$L:$L,F329)=0,"*",IF(SUMIFS('COM RESID'!$O:$O,'COM RESID'!$H:$H,$E329,'COM RESID'!$I:$I,$F329)=0,"*","UC_MarketShare_"&amp;LEFT(F329,LEN(F329)-3)&amp;"_"&amp;RIGHT(E329,3)&amp;"_MIN"))))</f>
        <v>UC_MarketShare_COMHOPOldOE_NGA_MIN</v>
      </c>
      <c r="D329" s="12"/>
      <c r="E329" s="13" t="str">
        <f>_xlfn.XLOOKUP($A329,Selected_constraint_UC!$A:$A,Selected_constraint_UC!$B:$B)</f>
        <v>COMNGA</v>
      </c>
      <c r="F329" s="13" t="str">
        <f>_xlfn.XLOOKUP($A329,Selected_constraint_UC!$A:$A,Selected_constraint_UC!$C:$C)</f>
        <v>COMHOPOldOEEUE</v>
      </c>
      <c r="G329" s="13" t="str">
        <f>F329</f>
        <v>COMHOPOldOEEUE</v>
      </c>
      <c r="H329" s="14">
        <v>2019</v>
      </c>
      <c r="I329" s="14" t="s">
        <v>3848</v>
      </c>
      <c r="J329" s="14">
        <v>1</v>
      </c>
      <c r="K329" s="15">
        <f>-ROUNDDOWN(SUMIFS('COM RESID'!$O:$O,'COM RESID'!$H:$H,$E329,'COM RESID'!$I:$I,$F329)/SUMIFS('COM RESID'!$O:$O,'COM RESID'!$I:$I,$F329),3)*O329</f>
        <v>-0.21462000000000001</v>
      </c>
      <c r="L329" s="14">
        <v>0</v>
      </c>
      <c r="M329" s="14">
        <v>5</v>
      </c>
      <c r="N329" s="10"/>
      <c r="O329" s="20">
        <v>0.98</v>
      </c>
      <c r="Q329" s="11" t="str">
        <f t="shared" si="100"/>
        <v>UC_MarketShare_COMHOPOldOE_NGA_MAX</v>
      </c>
      <c r="R329" s="12"/>
      <c r="S329" s="13" t="str">
        <f t="shared" si="102"/>
        <v>COMNGA</v>
      </c>
      <c r="T329" s="13" t="str">
        <f t="shared" si="103"/>
        <v>COMHOPOldOEEUE</v>
      </c>
      <c r="U329" s="13" t="str">
        <f t="shared" si="104"/>
        <v>COMHOPOldOEEUE</v>
      </c>
      <c r="V329" s="14">
        <v>2019</v>
      </c>
      <c r="W329" s="14" t="s">
        <v>3849</v>
      </c>
      <c r="X329" s="14">
        <v>1</v>
      </c>
      <c r="Y329" s="15">
        <f>-ROUNDUP(MIN(SUMIFS('COM RESID'!$O:$O,'COM RESID'!$H:$H,$E329,'COM RESID'!$I:$I,$F329)/SUMIFS('COM RESID'!$O:$O,'COM RESID'!$I:$I,$F329)*AC329,1),3)</f>
        <v>-0.224</v>
      </c>
      <c r="Z329" s="14">
        <v>0</v>
      </c>
      <c r="AA329" s="14">
        <v>5</v>
      </c>
      <c r="AB329" s="10"/>
      <c r="AC329" s="20">
        <v>1.02</v>
      </c>
    </row>
    <row r="330" spans="1:29" x14ac:dyDescent="0.25">
      <c r="A330" s="10">
        <f>A329</f>
        <v>82</v>
      </c>
      <c r="B330" s="10"/>
      <c r="C330" s="11" t="str">
        <f>IF(C329="*",C329,"")</f>
        <v/>
      </c>
      <c r="D330" s="12"/>
      <c r="E330" s="13" t="str">
        <f t="shared" ref="E330:G332" si="105">E329</f>
        <v>COMNGA</v>
      </c>
      <c r="F330" s="13" t="str">
        <f t="shared" si="105"/>
        <v>COMHOPOldOEEUE</v>
      </c>
      <c r="G330" s="13" t="str">
        <f t="shared" si="105"/>
        <v>COMHOPOldOEEUE</v>
      </c>
      <c r="H330" s="14">
        <v>2025</v>
      </c>
      <c r="I330" s="14" t="str">
        <f>I329</f>
        <v>LO</v>
      </c>
      <c r="J330" s="14"/>
      <c r="K330" s="15">
        <f>-ROUNDDOWN(SUMIFS('COM RESID'!$O:$O,'COM RESID'!$H:$H,$E330,'COM RESID'!$I:$I,$F330)/SUMIFS('COM RESID'!$O:$O,'COM RESID'!$I:$I,$F330),3)*O330</f>
        <v>-0.17520000000000002</v>
      </c>
      <c r="L330" s="14"/>
      <c r="M330" s="14"/>
      <c r="N330" s="10"/>
      <c r="O330" s="20">
        <v>0.8</v>
      </c>
      <c r="Q330" s="11" t="str">
        <f t="shared" si="100"/>
        <v/>
      </c>
      <c r="R330" s="12"/>
      <c r="S330" s="13" t="str">
        <f t="shared" si="102"/>
        <v>COMNGA</v>
      </c>
      <c r="T330" s="13" t="str">
        <f t="shared" si="103"/>
        <v>COMHOPOldOEEUE</v>
      </c>
      <c r="U330" s="13" t="str">
        <f t="shared" si="104"/>
        <v>COMHOPOldOEEUE</v>
      </c>
      <c r="V330" s="14">
        <v>2025</v>
      </c>
      <c r="W330" s="14" t="str">
        <f>W329</f>
        <v>UP</v>
      </c>
      <c r="X330" s="14"/>
      <c r="Y330" s="15">
        <f>-ROUNDUP(MIN(SUMIFS('COM RESID'!$O:$O,'COM RESID'!$H:$H,$E330,'COM RESID'!$I:$I,$F330)/SUMIFS('COM RESID'!$O:$O,'COM RESID'!$I:$I,$F330)*AC330,1),3)</f>
        <v>-0.26300000000000001</v>
      </c>
      <c r="Z330" s="14"/>
      <c r="AA330" s="14"/>
      <c r="AB330" s="10"/>
      <c r="AC330" s="20">
        <f>IF(S330="COMELC",IF(SUMIFS('COM RESID'!$O:$O,'COM RESID'!$H:$H,$E330,'COM RESID'!$I:$I,$F330)/SUMIFS('COM RESID'!$O:$O,'COM RESID'!$I:$I,$F330)*1.2&lt;0.25,0.25/(SUMIFS('COM RESID'!$O:$O,'COM RESID'!$H:$H,$E330,'COM RESID'!$I:$I,$F330)/SUMIFS('COM RESID'!$O:$O,'COM RESID'!$I:$I,$F330)),1.2),IF(ISNUMBER(SEARCH("WHEUE",T330)),IF(OR(S330="COMNGA",S330="COMFOI"),1,1.2),1.2))</f>
        <v>1.2</v>
      </c>
    </row>
    <row r="331" spans="1:29" x14ac:dyDescent="0.25">
      <c r="A331" s="10">
        <f>A330</f>
        <v>82</v>
      </c>
      <c r="B331" s="10"/>
      <c r="C331" s="11" t="str">
        <f>IF(C330="*",C330,"")</f>
        <v/>
      </c>
      <c r="D331" s="12"/>
      <c r="E331" s="13" t="str">
        <f t="shared" si="105"/>
        <v>COMNGA</v>
      </c>
      <c r="F331" s="13" t="str">
        <f t="shared" si="105"/>
        <v>COMHOPOldOEEUE</v>
      </c>
      <c r="G331" s="13" t="str">
        <f t="shared" si="105"/>
        <v>COMHOPOldOEEUE</v>
      </c>
      <c r="H331" s="14">
        <v>2030</v>
      </c>
      <c r="I331" s="14" t="str">
        <f>I330</f>
        <v>LO</v>
      </c>
      <c r="J331" s="14"/>
      <c r="K331" s="15">
        <f>-ROUNDDOWN(SUMIFS('COM RESID'!$O:$O,'COM RESID'!$H:$H,$E331,'COM RESID'!$I:$I,$F331)/SUMIFS('COM RESID'!$O:$O,'COM RESID'!$I:$I,$F331),3)*O331</f>
        <v>-4.3800000000000006E-2</v>
      </c>
      <c r="L331" s="14"/>
      <c r="M331" s="14"/>
      <c r="N331" s="10"/>
      <c r="O331" s="20">
        <v>0.2</v>
      </c>
      <c r="Q331" s="11" t="str">
        <f t="shared" si="100"/>
        <v/>
      </c>
      <c r="R331" s="12"/>
      <c r="S331" s="13" t="str">
        <f t="shared" si="102"/>
        <v>COMNGA</v>
      </c>
      <c r="T331" s="13" t="str">
        <f t="shared" si="103"/>
        <v>COMHOPOldOEEUE</v>
      </c>
      <c r="U331" s="13" t="str">
        <f t="shared" si="104"/>
        <v>COMHOPOldOEEUE</v>
      </c>
      <c r="V331" s="14">
        <v>2030</v>
      </c>
      <c r="W331" s="14" t="str">
        <f>W330</f>
        <v>UP</v>
      </c>
      <c r="X331" s="14"/>
      <c r="Y331" s="15">
        <f>-ROUNDUP(MIN(SUMIFS('COM RESID'!$O:$O,'COM RESID'!$H:$H,$E331,'COM RESID'!$I:$I,$F331)/SUMIFS('COM RESID'!$O:$O,'COM RESID'!$I:$I,$F331)*AC331,1),3)</f>
        <v>-0.32900000000000001</v>
      </c>
      <c r="Z331" s="14"/>
      <c r="AA331" s="14"/>
      <c r="AB331" s="10"/>
      <c r="AC331" s="20">
        <f>IF(S331="COMELC",IF(SUMIFS('COM RESID'!$O:$O,'COM RESID'!$H:$H,$E331,'COM RESID'!$I:$I,$F331)/SUMIFS('COM RESID'!$O:$O,'COM RESID'!$I:$I,$F331)*1.5&lt;0.5,0.5/(SUMIFS('COM RESID'!$O:$O,'COM RESID'!$H:$H,$E331,'COM RESID'!$I:$I,$F331)/SUMIFS('COM RESID'!$O:$O,'COM RESID'!$I:$I,$F331)),1.5),IF(ISNUMBER(SEARCH("WHEUE",T330)),IF(OR(S330="COMNGA",S330="COMFOI"),0.9,1.5),1.5))</f>
        <v>1.5</v>
      </c>
    </row>
    <row r="332" spans="1:29" x14ac:dyDescent="0.25">
      <c r="A332" s="26">
        <f>A331</f>
        <v>82</v>
      </c>
      <c r="B332" s="26"/>
      <c r="C332" s="21" t="str">
        <f>IF(C331="*",C331,"")</f>
        <v/>
      </c>
      <c r="D332" s="22"/>
      <c r="E332" s="23" t="str">
        <f t="shared" si="105"/>
        <v>COMNGA</v>
      </c>
      <c r="F332" s="23" t="str">
        <f t="shared" si="105"/>
        <v>COMHOPOldOEEUE</v>
      </c>
      <c r="G332" s="23" t="str">
        <f t="shared" si="105"/>
        <v>COMHOPOldOEEUE</v>
      </c>
      <c r="H332" s="24">
        <v>2050</v>
      </c>
      <c r="I332" s="24" t="str">
        <f>I331</f>
        <v>LO</v>
      </c>
      <c r="J332" s="24"/>
      <c r="K332" s="25">
        <f>-ROUNDDOWN(SUMIFS('COM RESID'!$O:$O,'COM RESID'!$H:$H,$E332,'COM RESID'!$I:$I,$F332)/SUMIFS('COM RESID'!$O:$O,'COM RESID'!$I:$I,$F332),3)*O332</f>
        <v>0</v>
      </c>
      <c r="L332" s="24"/>
      <c r="M332" s="24"/>
      <c r="N332" s="26"/>
      <c r="O332" s="27">
        <v>0</v>
      </c>
      <c r="Q332" s="21" t="str">
        <f t="shared" si="100"/>
        <v/>
      </c>
      <c r="R332" s="22"/>
      <c r="S332" s="23" t="str">
        <f t="shared" si="102"/>
        <v>COMNGA</v>
      </c>
      <c r="T332" s="23" t="str">
        <f t="shared" si="103"/>
        <v>COMHOPOldOEEUE</v>
      </c>
      <c r="U332" s="23" t="str">
        <f t="shared" si="104"/>
        <v>COMHOPOldOEEUE</v>
      </c>
      <c r="V332" s="24">
        <v>2050</v>
      </c>
      <c r="W332" s="24" t="str">
        <f>W331</f>
        <v>UP</v>
      </c>
      <c r="X332" s="24"/>
      <c r="Y332" s="25">
        <f>-ROUNDUP(MIN(SUMIFS('COM RESID'!$O:$O,'COM RESID'!$H:$H,$E332,'COM RESID'!$I:$I,$F332)/SUMIFS('COM RESID'!$O:$O,'COM RESID'!$I:$I,$F332)*AC332,1),3)</f>
        <v>-0.65800000000000003</v>
      </c>
      <c r="Z332" s="24"/>
      <c r="AA332" s="24"/>
      <c r="AB332" s="26"/>
      <c r="AC332" s="27">
        <f>IF(S332="COMELC",IF(SUMIFS('COM RESID'!$O:$O,'COM RESID'!$H:$H,$E332,'COM RESID'!$I:$I,$F332)/SUMIFS('COM RESID'!$O:$O,'COM RESID'!$I:$I,$F332)*3&lt;1,1/(SUMIFS('COM RESID'!$O:$O,'COM RESID'!$H:$H,$E332,'COM RESID'!$I:$I,$F332)/SUMIFS('COM RESID'!$O:$O,'COM RESID'!$I:$I,$F332)),3),IF(ISNUMBER(SEARCH("WHEUE",T330)),IF(OR(S330="COMNGA",S330="COMFOI"),0.75,3),3))</f>
        <v>3</v>
      </c>
    </row>
    <row r="333" spans="1:29" x14ac:dyDescent="0.25">
      <c r="A333" s="19">
        <f>A329+1</f>
        <v>83</v>
      </c>
      <c r="B333" s="10"/>
      <c r="C333" s="11" t="str">
        <f>IF(E333="","",IF(_xlfn.XLOOKUP($A333,Selected_constraint_UC!$A:$A,Selected_constraint_UC!$D:$D)=1,"*",IF(SUMIFS('COM TECH'!$N:$N,'COM TECH'!$K:$K,E333,'COM TECH'!$L:$L,F333)=0,"*",IF(SUMIFS('COM RESID'!$O:$O,'COM RESID'!$H:$H,$E333,'COM RESID'!$I:$I,$F333)=0,"*","UC_MarketShare_"&amp;LEFT(F333,LEN(F333)-3)&amp;"_"&amp;RIGHT(E333,3)&amp;"_MIN"))))</f>
        <v>*</v>
      </c>
      <c r="D333" s="12"/>
      <c r="E333" s="13" t="str">
        <f>_xlfn.XLOOKUP($A333,Selected_constraint_UC!$A:$A,Selected_constraint_UC!$B:$B)</f>
        <v>COMSTM</v>
      </c>
      <c r="F333" s="13" t="str">
        <f>_xlfn.XLOOKUP($A333,Selected_constraint_UC!$A:$A,Selected_constraint_UC!$C:$C)</f>
        <v>COMHOPOldOEEUE</v>
      </c>
      <c r="G333" s="13" t="str">
        <f>F333</f>
        <v>COMHOPOldOEEUE</v>
      </c>
      <c r="H333" s="14">
        <v>2019</v>
      </c>
      <c r="I333" s="14" t="s">
        <v>3848</v>
      </c>
      <c r="J333" s="14">
        <v>1</v>
      </c>
      <c r="K333" s="15">
        <f>-ROUNDDOWN(SUMIFS('COM RESID'!$O:$O,'COM RESID'!$H:$H,$E333,'COM RESID'!$I:$I,$F333)/SUMIFS('COM RESID'!$O:$O,'COM RESID'!$I:$I,$F333),3)*O333</f>
        <v>0</v>
      </c>
      <c r="L333" s="14">
        <v>0</v>
      </c>
      <c r="M333" s="14">
        <v>5</v>
      </c>
      <c r="N333" s="10"/>
      <c r="O333" s="20">
        <v>0.98</v>
      </c>
      <c r="Q333" s="11" t="str">
        <f t="shared" si="100"/>
        <v>*</v>
      </c>
      <c r="R333" s="12"/>
      <c r="S333" s="13" t="str">
        <f t="shared" si="102"/>
        <v>COMSTM</v>
      </c>
      <c r="T333" s="13" t="str">
        <f t="shared" si="103"/>
        <v>COMHOPOldOEEUE</v>
      </c>
      <c r="U333" s="13" t="str">
        <f t="shared" si="104"/>
        <v>COMHOPOldOEEUE</v>
      </c>
      <c r="V333" s="14">
        <v>2019</v>
      </c>
      <c r="W333" s="14" t="s">
        <v>3849</v>
      </c>
      <c r="X333" s="14">
        <v>1</v>
      </c>
      <c r="Y333" s="15">
        <f>-ROUNDUP(MIN(SUMIFS('COM RESID'!$O:$O,'COM RESID'!$H:$H,$E333,'COM RESID'!$I:$I,$F333)/SUMIFS('COM RESID'!$O:$O,'COM RESID'!$I:$I,$F333)*AC333,1),3)</f>
        <v>-1E-3</v>
      </c>
      <c r="Z333" s="14">
        <v>0</v>
      </c>
      <c r="AA333" s="14">
        <v>5</v>
      </c>
      <c r="AB333" s="10"/>
      <c r="AC333" s="20">
        <v>1.02</v>
      </c>
    </row>
    <row r="334" spans="1:29" x14ac:dyDescent="0.25">
      <c r="A334" s="10">
        <f>A333</f>
        <v>83</v>
      </c>
      <c r="B334" s="10"/>
      <c r="C334" s="11" t="str">
        <f>IF(C333="*",C333,"")</f>
        <v>*</v>
      </c>
      <c r="D334" s="12"/>
      <c r="E334" s="13" t="str">
        <f t="shared" ref="E334:G336" si="106">E333</f>
        <v>COMSTM</v>
      </c>
      <c r="F334" s="13" t="str">
        <f t="shared" si="106"/>
        <v>COMHOPOldOEEUE</v>
      </c>
      <c r="G334" s="13" t="str">
        <f t="shared" si="106"/>
        <v>COMHOPOldOEEUE</v>
      </c>
      <c r="H334" s="14">
        <v>2025</v>
      </c>
      <c r="I334" s="14" t="str">
        <f>I333</f>
        <v>LO</v>
      </c>
      <c r="J334" s="14"/>
      <c r="K334" s="15">
        <f>-ROUNDDOWN(SUMIFS('COM RESID'!$O:$O,'COM RESID'!$H:$H,$E334,'COM RESID'!$I:$I,$F334)/SUMIFS('COM RESID'!$O:$O,'COM RESID'!$I:$I,$F334),3)*O334</f>
        <v>0</v>
      </c>
      <c r="L334" s="14"/>
      <c r="M334" s="14"/>
      <c r="N334" s="10"/>
      <c r="O334" s="20">
        <v>0.8</v>
      </c>
      <c r="Q334" s="11" t="str">
        <f t="shared" si="100"/>
        <v>*</v>
      </c>
      <c r="R334" s="12"/>
      <c r="S334" s="13" t="str">
        <f t="shared" si="102"/>
        <v>COMSTM</v>
      </c>
      <c r="T334" s="13" t="str">
        <f t="shared" si="103"/>
        <v>COMHOPOldOEEUE</v>
      </c>
      <c r="U334" s="13" t="str">
        <f t="shared" si="104"/>
        <v>COMHOPOldOEEUE</v>
      </c>
      <c r="V334" s="14">
        <v>2025</v>
      </c>
      <c r="W334" s="14" t="str">
        <f>W333</f>
        <v>UP</v>
      </c>
      <c r="X334" s="14"/>
      <c r="Y334" s="15">
        <f>-ROUNDUP(MIN(SUMIFS('COM RESID'!$O:$O,'COM RESID'!$H:$H,$E334,'COM RESID'!$I:$I,$F334)/SUMIFS('COM RESID'!$O:$O,'COM RESID'!$I:$I,$F334)*AC334,1),3)</f>
        <v>-1E-3</v>
      </c>
      <c r="Z334" s="14"/>
      <c r="AA334" s="14"/>
      <c r="AB334" s="10"/>
      <c r="AC334" s="20">
        <f>IF(S334="COMELC",IF(SUMIFS('COM RESID'!$O:$O,'COM RESID'!$H:$H,$E334,'COM RESID'!$I:$I,$F334)/SUMIFS('COM RESID'!$O:$O,'COM RESID'!$I:$I,$F334)*1.2&lt;0.25,0.25/(SUMIFS('COM RESID'!$O:$O,'COM RESID'!$H:$H,$E334,'COM RESID'!$I:$I,$F334)/SUMIFS('COM RESID'!$O:$O,'COM RESID'!$I:$I,$F334)),1.2),IF(ISNUMBER(SEARCH("WHEUE",T334)),IF(OR(S334="COMNGA",S334="COMFOI"),1,1.2),1.2))</f>
        <v>1.2</v>
      </c>
    </row>
    <row r="335" spans="1:29" x14ac:dyDescent="0.25">
      <c r="A335" s="10">
        <f>A334</f>
        <v>83</v>
      </c>
      <c r="B335" s="10"/>
      <c r="C335" s="11" t="str">
        <f>IF(C334="*",C334,"")</f>
        <v>*</v>
      </c>
      <c r="D335" s="12"/>
      <c r="E335" s="13" t="str">
        <f t="shared" si="106"/>
        <v>COMSTM</v>
      </c>
      <c r="F335" s="13" t="str">
        <f t="shared" si="106"/>
        <v>COMHOPOldOEEUE</v>
      </c>
      <c r="G335" s="13" t="str">
        <f t="shared" si="106"/>
        <v>COMHOPOldOEEUE</v>
      </c>
      <c r="H335" s="14">
        <v>2030</v>
      </c>
      <c r="I335" s="14" t="str">
        <f>I334</f>
        <v>LO</v>
      </c>
      <c r="J335" s="14"/>
      <c r="K335" s="15">
        <f>-ROUNDDOWN(SUMIFS('COM RESID'!$O:$O,'COM RESID'!$H:$H,$E335,'COM RESID'!$I:$I,$F335)/SUMIFS('COM RESID'!$O:$O,'COM RESID'!$I:$I,$F335),3)*O335</f>
        <v>0</v>
      </c>
      <c r="L335" s="14"/>
      <c r="M335" s="14"/>
      <c r="N335" s="10"/>
      <c r="O335" s="20">
        <v>0.2</v>
      </c>
      <c r="Q335" s="11" t="str">
        <f t="shared" si="100"/>
        <v>*</v>
      </c>
      <c r="R335" s="12"/>
      <c r="S335" s="13" t="str">
        <f t="shared" si="102"/>
        <v>COMSTM</v>
      </c>
      <c r="T335" s="13" t="str">
        <f t="shared" si="103"/>
        <v>COMHOPOldOEEUE</v>
      </c>
      <c r="U335" s="13" t="str">
        <f t="shared" si="104"/>
        <v>COMHOPOldOEEUE</v>
      </c>
      <c r="V335" s="14">
        <v>2030</v>
      </c>
      <c r="W335" s="14" t="str">
        <f>W334</f>
        <v>UP</v>
      </c>
      <c r="X335" s="14"/>
      <c r="Y335" s="15">
        <f>-ROUNDUP(MIN(SUMIFS('COM RESID'!$O:$O,'COM RESID'!$H:$H,$E335,'COM RESID'!$I:$I,$F335)/SUMIFS('COM RESID'!$O:$O,'COM RESID'!$I:$I,$F335)*AC335,1),3)</f>
        <v>-1E-3</v>
      </c>
      <c r="Z335" s="14"/>
      <c r="AA335" s="14"/>
      <c r="AB335" s="10"/>
      <c r="AC335" s="20">
        <f>IF(S335="COMELC",IF(SUMIFS('COM RESID'!$O:$O,'COM RESID'!$H:$H,$E335,'COM RESID'!$I:$I,$F335)/SUMIFS('COM RESID'!$O:$O,'COM RESID'!$I:$I,$F335)*1.5&lt;0.5,0.5/(SUMIFS('COM RESID'!$O:$O,'COM RESID'!$H:$H,$E335,'COM RESID'!$I:$I,$F335)/SUMIFS('COM RESID'!$O:$O,'COM RESID'!$I:$I,$F335)),1.5),IF(ISNUMBER(SEARCH("WHEUE",T334)),IF(OR(S334="COMNGA",S334="COMFOI"),0.9,1.5),1.5))</f>
        <v>1.5</v>
      </c>
    </row>
    <row r="336" spans="1:29" x14ac:dyDescent="0.25">
      <c r="A336" s="26">
        <f>A335</f>
        <v>83</v>
      </c>
      <c r="B336" s="26"/>
      <c r="C336" s="21" t="str">
        <f>IF(C335="*",C335,"")</f>
        <v>*</v>
      </c>
      <c r="D336" s="22"/>
      <c r="E336" s="23" t="str">
        <f t="shared" si="106"/>
        <v>COMSTM</v>
      </c>
      <c r="F336" s="23" t="str">
        <f t="shared" si="106"/>
        <v>COMHOPOldOEEUE</v>
      </c>
      <c r="G336" s="23" t="str">
        <f t="shared" si="106"/>
        <v>COMHOPOldOEEUE</v>
      </c>
      <c r="H336" s="24">
        <v>2050</v>
      </c>
      <c r="I336" s="24" t="str">
        <f>I335</f>
        <v>LO</v>
      </c>
      <c r="J336" s="24"/>
      <c r="K336" s="25">
        <f>-ROUNDDOWN(SUMIFS('COM RESID'!$O:$O,'COM RESID'!$H:$H,$E336,'COM RESID'!$I:$I,$F336)/SUMIFS('COM RESID'!$O:$O,'COM RESID'!$I:$I,$F336),3)*O336</f>
        <v>0</v>
      </c>
      <c r="L336" s="24"/>
      <c r="M336" s="24"/>
      <c r="N336" s="26"/>
      <c r="O336" s="27">
        <v>0</v>
      </c>
      <c r="Q336" s="21" t="str">
        <f t="shared" si="100"/>
        <v>*</v>
      </c>
      <c r="R336" s="22"/>
      <c r="S336" s="23" t="str">
        <f t="shared" si="102"/>
        <v>COMSTM</v>
      </c>
      <c r="T336" s="23" t="str">
        <f t="shared" si="103"/>
        <v>COMHOPOldOEEUE</v>
      </c>
      <c r="U336" s="23" t="str">
        <f t="shared" si="104"/>
        <v>COMHOPOldOEEUE</v>
      </c>
      <c r="V336" s="24">
        <v>2050</v>
      </c>
      <c r="W336" s="24" t="str">
        <f>W335</f>
        <v>UP</v>
      </c>
      <c r="X336" s="24"/>
      <c r="Y336" s="25">
        <f>-ROUNDUP(MIN(SUMIFS('COM RESID'!$O:$O,'COM RESID'!$H:$H,$E336,'COM RESID'!$I:$I,$F336)/SUMIFS('COM RESID'!$O:$O,'COM RESID'!$I:$I,$F336)*AC336,1),3)</f>
        <v>-1E-3</v>
      </c>
      <c r="Z336" s="24"/>
      <c r="AA336" s="24"/>
      <c r="AB336" s="26"/>
      <c r="AC336" s="27">
        <f>IF(S336="COMELC",IF(SUMIFS('COM RESID'!$O:$O,'COM RESID'!$H:$H,$E336,'COM RESID'!$I:$I,$F336)/SUMIFS('COM RESID'!$O:$O,'COM RESID'!$I:$I,$F336)*3&lt;1,1/(SUMIFS('COM RESID'!$O:$O,'COM RESID'!$H:$H,$E336,'COM RESID'!$I:$I,$F336)/SUMIFS('COM RESID'!$O:$O,'COM RESID'!$I:$I,$F336)),3),IF(ISNUMBER(SEARCH("WHEUE",T334)),IF(OR(S334="COMNGA",S334="COMFOI"),0.75,3),3))</f>
        <v>3</v>
      </c>
    </row>
    <row r="337" spans="1:29" x14ac:dyDescent="0.25">
      <c r="A337" s="19">
        <f>A333+1</f>
        <v>84</v>
      </c>
      <c r="B337" s="10"/>
      <c r="C337" s="11" t="str">
        <f>IF(E337="","",IF(_xlfn.XLOOKUP($A337,Selected_constraint_UC!$A:$A,Selected_constraint_UC!$D:$D)=1,"*",IF(SUMIFS('COM TECH'!$N:$N,'COM TECH'!$K:$K,E337,'COM TECH'!$L:$L,F337)=0,"*",IF(SUMIFS('COM RESID'!$O:$O,'COM RESID'!$H:$H,$E337,'COM RESID'!$I:$I,$F337)=0,"*","UC_MarketShare_"&amp;LEFT(F337,LEN(F337)-3)&amp;"_"&amp;RIGHT(E337,3)&amp;"_MIN"))))</f>
        <v>UC_MarketShare_COMHOPOldOE_ELC_MIN</v>
      </c>
      <c r="D337" s="12"/>
      <c r="E337" s="13" t="str">
        <f>_xlfn.XLOOKUP($A337,Selected_constraint_UC!$A:$A,Selected_constraint_UC!$B:$B)</f>
        <v>COMELC</v>
      </c>
      <c r="F337" s="13" t="str">
        <f>_xlfn.XLOOKUP($A337,Selected_constraint_UC!$A:$A,Selected_constraint_UC!$C:$C)</f>
        <v>COMHOPOldOEEUE</v>
      </c>
      <c r="G337" s="13" t="str">
        <f>F337</f>
        <v>COMHOPOldOEEUE</v>
      </c>
      <c r="H337" s="14">
        <v>2019</v>
      </c>
      <c r="I337" s="14" t="s">
        <v>3848</v>
      </c>
      <c r="J337" s="14">
        <v>1</v>
      </c>
      <c r="K337" s="15">
        <f>-ROUNDDOWN(SUMIFS('COM RESID'!$O:$O,'COM RESID'!$H:$H,$E337,'COM RESID'!$I:$I,$F337)/SUMIFS('COM RESID'!$O:$O,'COM RESID'!$I:$I,$F337),3)*O337</f>
        <v>-0.62426000000000004</v>
      </c>
      <c r="L337" s="14">
        <v>0</v>
      </c>
      <c r="M337" s="14">
        <v>5</v>
      </c>
      <c r="N337" s="10"/>
      <c r="O337" s="20">
        <v>0.98</v>
      </c>
      <c r="Q337" s="11" t="str">
        <f t="shared" si="100"/>
        <v>UC_MarketShare_COMHOPOldOE_ELC_MAX</v>
      </c>
      <c r="R337" s="12"/>
      <c r="S337" s="13" t="str">
        <f t="shared" si="102"/>
        <v>COMELC</v>
      </c>
      <c r="T337" s="13" t="str">
        <f t="shared" si="103"/>
        <v>COMHOPOldOEEUE</v>
      </c>
      <c r="U337" s="13" t="str">
        <f t="shared" si="104"/>
        <v>COMHOPOldOEEUE</v>
      </c>
      <c r="V337" s="14">
        <v>2019</v>
      </c>
      <c r="W337" s="14" t="s">
        <v>3849</v>
      </c>
      <c r="X337" s="14">
        <v>1</v>
      </c>
      <c r="Y337" s="15">
        <f>-ROUNDUP(MIN(SUMIFS('COM RESID'!$O:$O,'COM RESID'!$H:$H,$E337,'COM RESID'!$I:$I,$F337)/SUMIFS('COM RESID'!$O:$O,'COM RESID'!$I:$I,$F337)*AC337,1),3)</f>
        <v>-0.65</v>
      </c>
      <c r="Z337" s="14">
        <v>0</v>
      </c>
      <c r="AA337" s="14">
        <v>5</v>
      </c>
      <c r="AB337" s="10"/>
      <c r="AC337" s="20">
        <v>1.02</v>
      </c>
    </row>
    <row r="338" spans="1:29" x14ac:dyDescent="0.25">
      <c r="A338" s="10">
        <f>A337</f>
        <v>84</v>
      </c>
      <c r="B338" s="10"/>
      <c r="C338" s="11" t="str">
        <f>IF(C337="*",C337,"")</f>
        <v/>
      </c>
      <c r="D338" s="12"/>
      <c r="E338" s="13" t="str">
        <f t="shared" ref="E338:G340" si="107">E337</f>
        <v>COMELC</v>
      </c>
      <c r="F338" s="13" t="str">
        <f t="shared" si="107"/>
        <v>COMHOPOldOEEUE</v>
      </c>
      <c r="G338" s="13" t="str">
        <f t="shared" si="107"/>
        <v>COMHOPOldOEEUE</v>
      </c>
      <c r="H338" s="14">
        <v>2025</v>
      </c>
      <c r="I338" s="14" t="str">
        <f>I337</f>
        <v>LO</v>
      </c>
      <c r="J338" s="14"/>
      <c r="K338" s="15">
        <f>-ROUNDDOWN(SUMIFS('COM RESID'!$O:$O,'COM RESID'!$H:$H,$E338,'COM RESID'!$I:$I,$F338)/SUMIFS('COM RESID'!$O:$O,'COM RESID'!$I:$I,$F338),3)*O338</f>
        <v>-0.50960000000000005</v>
      </c>
      <c r="L338" s="14"/>
      <c r="M338" s="14"/>
      <c r="N338" s="10"/>
      <c r="O338" s="20">
        <v>0.8</v>
      </c>
      <c r="Q338" s="11" t="str">
        <f t="shared" si="100"/>
        <v/>
      </c>
      <c r="R338" s="12"/>
      <c r="S338" s="13" t="str">
        <f t="shared" si="102"/>
        <v>COMELC</v>
      </c>
      <c r="T338" s="13" t="str">
        <f t="shared" si="103"/>
        <v>COMHOPOldOEEUE</v>
      </c>
      <c r="U338" s="13" t="str">
        <f t="shared" si="104"/>
        <v>COMHOPOldOEEUE</v>
      </c>
      <c r="V338" s="14">
        <v>2025</v>
      </c>
      <c r="W338" s="14" t="str">
        <f>W337</f>
        <v>UP</v>
      </c>
      <c r="X338" s="14"/>
      <c r="Y338" s="15">
        <f>-ROUNDUP(MIN(SUMIFS('COM RESID'!$O:$O,'COM RESID'!$H:$H,$E338,'COM RESID'!$I:$I,$F338)/SUMIFS('COM RESID'!$O:$O,'COM RESID'!$I:$I,$F338)*AC338,1),3)</f>
        <v>-0.76500000000000001</v>
      </c>
      <c r="Z338" s="14"/>
      <c r="AA338" s="14"/>
      <c r="AB338" s="10"/>
      <c r="AC338" s="20">
        <f>IF(S338="COMELC",IF(SUMIFS('COM RESID'!$O:$O,'COM RESID'!$H:$H,$E338,'COM RESID'!$I:$I,$F338)/SUMIFS('COM RESID'!$O:$O,'COM RESID'!$I:$I,$F338)*1.2&lt;0.25,0.25/(SUMIFS('COM RESID'!$O:$O,'COM RESID'!$H:$H,$E338,'COM RESID'!$I:$I,$F338)/SUMIFS('COM RESID'!$O:$O,'COM RESID'!$I:$I,$F338)),1.2),IF(ISNUMBER(SEARCH("WHEUE",T338)),IF(OR(S338="COMNGA",S338="COMFOI"),1,1.2),1.2))</f>
        <v>1.2</v>
      </c>
    </row>
    <row r="339" spans="1:29" x14ac:dyDescent="0.25">
      <c r="A339" s="10">
        <f>A338</f>
        <v>84</v>
      </c>
      <c r="B339" s="10"/>
      <c r="C339" s="11" t="str">
        <f>IF(C338="*",C338,"")</f>
        <v/>
      </c>
      <c r="D339" s="12"/>
      <c r="E339" s="13" t="str">
        <f t="shared" si="107"/>
        <v>COMELC</v>
      </c>
      <c r="F339" s="13" t="str">
        <f t="shared" si="107"/>
        <v>COMHOPOldOEEUE</v>
      </c>
      <c r="G339" s="13" t="str">
        <f t="shared" si="107"/>
        <v>COMHOPOldOEEUE</v>
      </c>
      <c r="H339" s="14">
        <v>2030</v>
      </c>
      <c r="I339" s="14" t="str">
        <f>I338</f>
        <v>LO</v>
      </c>
      <c r="J339" s="14"/>
      <c r="K339" s="15">
        <f>-ROUNDDOWN(SUMIFS('COM RESID'!$O:$O,'COM RESID'!$H:$H,$E339,'COM RESID'!$I:$I,$F339)/SUMIFS('COM RESID'!$O:$O,'COM RESID'!$I:$I,$F339),3)*O339</f>
        <v>-0.12740000000000001</v>
      </c>
      <c r="L339" s="14"/>
      <c r="M339" s="14"/>
      <c r="N339" s="10"/>
      <c r="O339" s="20">
        <v>0.2</v>
      </c>
      <c r="Q339" s="11" t="str">
        <f t="shared" si="100"/>
        <v/>
      </c>
      <c r="R339" s="12"/>
      <c r="S339" s="13" t="str">
        <f t="shared" si="102"/>
        <v>COMELC</v>
      </c>
      <c r="T339" s="13" t="str">
        <f t="shared" si="103"/>
        <v>COMHOPOldOEEUE</v>
      </c>
      <c r="U339" s="13" t="str">
        <f t="shared" si="104"/>
        <v>COMHOPOldOEEUE</v>
      </c>
      <c r="V339" s="14">
        <v>2030</v>
      </c>
      <c r="W339" s="14" t="str">
        <f>W338</f>
        <v>UP</v>
      </c>
      <c r="X339" s="14"/>
      <c r="Y339" s="15">
        <f>-ROUNDUP(MIN(SUMIFS('COM RESID'!$O:$O,'COM RESID'!$H:$H,$E339,'COM RESID'!$I:$I,$F339)/SUMIFS('COM RESID'!$O:$O,'COM RESID'!$I:$I,$F339)*AC339,1),3)</f>
        <v>-0.95599999999999996</v>
      </c>
      <c r="Z339" s="14"/>
      <c r="AA339" s="14"/>
      <c r="AB339" s="10"/>
      <c r="AC339" s="20">
        <f>IF(S339="COMELC",IF(SUMIFS('COM RESID'!$O:$O,'COM RESID'!$H:$H,$E339,'COM RESID'!$I:$I,$F339)/SUMIFS('COM RESID'!$O:$O,'COM RESID'!$I:$I,$F339)*1.5&lt;0.5,0.5/(SUMIFS('COM RESID'!$O:$O,'COM RESID'!$H:$H,$E339,'COM RESID'!$I:$I,$F339)/SUMIFS('COM RESID'!$O:$O,'COM RESID'!$I:$I,$F339)),1.5),IF(ISNUMBER(SEARCH("WHEUE",T338)),IF(OR(S338="COMNGA",S338="COMFOI"),0.9,1.5),1.5))</f>
        <v>1.5</v>
      </c>
    </row>
    <row r="340" spans="1:29" x14ac:dyDescent="0.25">
      <c r="A340" s="26">
        <f>A339</f>
        <v>84</v>
      </c>
      <c r="B340" s="26"/>
      <c r="C340" s="21" t="str">
        <f>IF(C339="*",C339,"")</f>
        <v/>
      </c>
      <c r="D340" s="22"/>
      <c r="E340" s="23" t="str">
        <f t="shared" si="107"/>
        <v>COMELC</v>
      </c>
      <c r="F340" s="23" t="str">
        <f t="shared" si="107"/>
        <v>COMHOPOldOEEUE</v>
      </c>
      <c r="G340" s="23" t="str">
        <f t="shared" si="107"/>
        <v>COMHOPOldOEEUE</v>
      </c>
      <c r="H340" s="24">
        <v>2050</v>
      </c>
      <c r="I340" s="24" t="str">
        <f>I339</f>
        <v>LO</v>
      </c>
      <c r="J340" s="24"/>
      <c r="K340" s="25">
        <f>-ROUNDDOWN(SUMIFS('COM RESID'!$O:$O,'COM RESID'!$H:$H,$E340,'COM RESID'!$I:$I,$F340)/SUMIFS('COM RESID'!$O:$O,'COM RESID'!$I:$I,$F340),3)*O340</f>
        <v>0</v>
      </c>
      <c r="L340" s="24"/>
      <c r="M340" s="24"/>
      <c r="N340" s="26"/>
      <c r="O340" s="27">
        <v>0</v>
      </c>
      <c r="Q340" s="21" t="str">
        <f t="shared" si="100"/>
        <v/>
      </c>
      <c r="R340" s="22"/>
      <c r="S340" s="23" t="str">
        <f t="shared" si="102"/>
        <v>COMELC</v>
      </c>
      <c r="T340" s="23" t="str">
        <f t="shared" si="103"/>
        <v>COMHOPOldOEEUE</v>
      </c>
      <c r="U340" s="23" t="str">
        <f t="shared" si="104"/>
        <v>COMHOPOldOEEUE</v>
      </c>
      <c r="V340" s="24">
        <v>2050</v>
      </c>
      <c r="W340" s="24" t="str">
        <f>W339</f>
        <v>UP</v>
      </c>
      <c r="X340" s="24"/>
      <c r="Y340" s="25">
        <f>-ROUNDUP(MIN(SUMIFS('COM RESID'!$O:$O,'COM RESID'!$H:$H,$E340,'COM RESID'!$I:$I,$F340)/SUMIFS('COM RESID'!$O:$O,'COM RESID'!$I:$I,$F340)*AC340,1),3)</f>
        <v>-1</v>
      </c>
      <c r="Z340" s="24"/>
      <c r="AA340" s="24"/>
      <c r="AB340" s="26"/>
      <c r="AC340" s="27">
        <f>IF(S340="COMELC",IF(SUMIFS('COM RESID'!$O:$O,'COM RESID'!$H:$H,$E340,'COM RESID'!$I:$I,$F340)/SUMIFS('COM RESID'!$O:$O,'COM RESID'!$I:$I,$F340)*3&lt;1,1/(SUMIFS('COM RESID'!$O:$O,'COM RESID'!$H:$H,$E340,'COM RESID'!$I:$I,$F340)/SUMIFS('COM RESID'!$O:$O,'COM RESID'!$I:$I,$F340)),3),IF(ISNUMBER(SEARCH("WHEUE",T338)),IF(OR(S338="COMNGA",S338="COMFOI"),0.75,3),3))</f>
        <v>3</v>
      </c>
    </row>
    <row r="341" spans="1:29" x14ac:dyDescent="0.25">
      <c r="A341" s="19">
        <f>A337+1</f>
        <v>85</v>
      </c>
      <c r="B341" s="10"/>
      <c r="C341" s="11" t="str">
        <f>IF(E341="","",IF(_xlfn.XLOOKUP($A341,Selected_constraint_UC!$A:$A,Selected_constraint_UC!$D:$D)=1,"*",IF(SUMIFS('COM TECH'!$N:$N,'COM TECH'!$K:$K,E341,'COM TECH'!$L:$L,F341)=0,"*",IF(SUMIFS('COM RESID'!$O:$O,'COM RESID'!$H:$H,$E341,'COM RESID'!$I:$I,$F341)=0,"*","UC_MarketShare_"&amp;LEFT(F341,LEN(F341)-3)&amp;"_"&amp;RIGHT(E341,3)&amp;"_MIN"))))</f>
        <v>UC_MarketShare_COMEDUOldSH_ELC_MIN</v>
      </c>
      <c r="D341" s="12"/>
      <c r="E341" s="13" t="str">
        <f>_xlfn.XLOOKUP($A341,Selected_constraint_UC!$A:$A,Selected_constraint_UC!$B:$B)</f>
        <v>COMELC</v>
      </c>
      <c r="F341" s="13" t="str">
        <f>_xlfn.XLOOKUP($A341,Selected_constraint_UC!$A:$A,Selected_constraint_UC!$C:$C)</f>
        <v>COMEDUOldSHEUE</v>
      </c>
      <c r="G341" s="13" t="str">
        <f>F341</f>
        <v>COMEDUOldSHEUE</v>
      </c>
      <c r="H341" s="14">
        <v>2019</v>
      </c>
      <c r="I341" s="14" t="s">
        <v>3848</v>
      </c>
      <c r="J341" s="14">
        <v>1</v>
      </c>
      <c r="K341" s="15">
        <f>-ROUNDDOWN(SUMIFS('COM RESID'!$O:$O,'COM RESID'!$H:$H,$E341,'COM RESID'!$I:$I,$F341)/SUMIFS('COM RESID'!$O:$O,'COM RESID'!$I:$I,$F341),3)*O341</f>
        <v>-5.6840000000000002E-2</v>
      </c>
      <c r="L341" s="14">
        <v>0</v>
      </c>
      <c r="M341" s="14">
        <v>5</v>
      </c>
      <c r="N341" s="10"/>
      <c r="O341" s="20">
        <v>0.98</v>
      </c>
      <c r="Q341" s="11" t="str">
        <f t="shared" si="100"/>
        <v>UC_MarketShare_COMEDUOldSH_ELC_MAX</v>
      </c>
      <c r="R341" s="12"/>
      <c r="S341" s="13" t="str">
        <f t="shared" si="102"/>
        <v>COMELC</v>
      </c>
      <c r="T341" s="13" t="str">
        <f t="shared" si="103"/>
        <v>COMEDUOldSHEUE</v>
      </c>
      <c r="U341" s="13" t="str">
        <f t="shared" si="104"/>
        <v>COMEDUOldSHEUE</v>
      </c>
      <c r="V341" s="14">
        <v>2019</v>
      </c>
      <c r="W341" s="14" t="s">
        <v>3849</v>
      </c>
      <c r="X341" s="14">
        <v>1</v>
      </c>
      <c r="Y341" s="15">
        <f>-ROUNDUP(MIN(SUMIFS('COM RESID'!$O:$O,'COM RESID'!$H:$H,$E341,'COM RESID'!$I:$I,$F341)/SUMIFS('COM RESID'!$O:$O,'COM RESID'!$I:$I,$F341)*AC341,1),3)</f>
        <v>-0.06</v>
      </c>
      <c r="Z341" s="14">
        <v>0</v>
      </c>
      <c r="AA341" s="14">
        <v>5</v>
      </c>
      <c r="AB341" s="10"/>
      <c r="AC341" s="20">
        <v>1.02</v>
      </c>
    </row>
    <row r="342" spans="1:29" x14ac:dyDescent="0.25">
      <c r="A342" s="10">
        <f>A341</f>
        <v>85</v>
      </c>
      <c r="B342" s="10"/>
      <c r="C342" s="11" t="str">
        <f>IF(C341="*",C341,"")</f>
        <v/>
      </c>
      <c r="D342" s="12"/>
      <c r="E342" s="13" t="str">
        <f t="shared" ref="E342:G344" si="108">E341</f>
        <v>COMELC</v>
      </c>
      <c r="F342" s="13" t="str">
        <f t="shared" si="108"/>
        <v>COMEDUOldSHEUE</v>
      </c>
      <c r="G342" s="13" t="str">
        <f t="shared" si="108"/>
        <v>COMEDUOldSHEUE</v>
      </c>
      <c r="H342" s="14">
        <v>2025</v>
      </c>
      <c r="I342" s="14" t="str">
        <f>I341</f>
        <v>LO</v>
      </c>
      <c r="J342" s="14"/>
      <c r="K342" s="15">
        <f>-ROUNDDOWN(SUMIFS('COM RESID'!$O:$O,'COM RESID'!$H:$H,$E342,'COM RESID'!$I:$I,$F342)/SUMIFS('COM RESID'!$O:$O,'COM RESID'!$I:$I,$F342),3)*O342</f>
        <v>-4.6400000000000004E-2</v>
      </c>
      <c r="L342" s="14"/>
      <c r="M342" s="14"/>
      <c r="N342" s="10"/>
      <c r="O342" s="20">
        <v>0.8</v>
      </c>
      <c r="Q342" s="11" t="str">
        <f t="shared" si="100"/>
        <v/>
      </c>
      <c r="R342" s="12"/>
      <c r="S342" s="13" t="str">
        <f t="shared" si="102"/>
        <v>COMELC</v>
      </c>
      <c r="T342" s="13" t="str">
        <f t="shared" si="103"/>
        <v>COMEDUOldSHEUE</v>
      </c>
      <c r="U342" s="13" t="str">
        <f t="shared" si="104"/>
        <v>COMEDUOldSHEUE</v>
      </c>
      <c r="V342" s="14">
        <v>2025</v>
      </c>
      <c r="W342" s="14" t="str">
        <f>W341</f>
        <v>UP</v>
      </c>
      <c r="X342" s="14"/>
      <c r="Y342" s="15">
        <f>-ROUNDUP(MIN(SUMIFS('COM RESID'!$O:$O,'COM RESID'!$H:$H,$E342,'COM RESID'!$I:$I,$F342)/SUMIFS('COM RESID'!$O:$O,'COM RESID'!$I:$I,$F342)*AC342,1),3)</f>
        <v>-0.25</v>
      </c>
      <c r="Z342" s="14"/>
      <c r="AA342" s="14"/>
      <c r="AB342" s="10"/>
      <c r="AC342" s="20">
        <f>IF(S342="COMELC",IF(SUMIFS('COM RESID'!$O:$O,'COM RESID'!$H:$H,$E342,'COM RESID'!$I:$I,$F342)/SUMIFS('COM RESID'!$O:$O,'COM RESID'!$I:$I,$F342)*1.2&lt;0.25,0.25/(SUMIFS('COM RESID'!$O:$O,'COM RESID'!$H:$H,$E342,'COM RESID'!$I:$I,$F342)/SUMIFS('COM RESID'!$O:$O,'COM RESID'!$I:$I,$F342)),1.2),IF(ISNUMBER(SEARCH("WHEUE",T342)),IF(OR(S342="COMNGA",S342="COMFOI"),1,1.2),1.2))</f>
        <v>4.2843701493871711</v>
      </c>
    </row>
    <row r="343" spans="1:29" x14ac:dyDescent="0.25">
      <c r="A343" s="10">
        <f>A342</f>
        <v>85</v>
      </c>
      <c r="B343" s="10"/>
      <c r="C343" s="11" t="str">
        <f>IF(C342="*",C342,"")</f>
        <v/>
      </c>
      <c r="D343" s="12"/>
      <c r="E343" s="13" t="str">
        <f t="shared" si="108"/>
        <v>COMELC</v>
      </c>
      <c r="F343" s="13" t="str">
        <f t="shared" si="108"/>
        <v>COMEDUOldSHEUE</v>
      </c>
      <c r="G343" s="13" t="str">
        <f t="shared" si="108"/>
        <v>COMEDUOldSHEUE</v>
      </c>
      <c r="H343" s="14">
        <v>2030</v>
      </c>
      <c r="I343" s="14" t="str">
        <f>I342</f>
        <v>LO</v>
      </c>
      <c r="J343" s="14"/>
      <c r="K343" s="15">
        <f>-ROUNDDOWN(SUMIFS('COM RESID'!$O:$O,'COM RESID'!$H:$H,$E343,'COM RESID'!$I:$I,$F343)/SUMIFS('COM RESID'!$O:$O,'COM RESID'!$I:$I,$F343),3)*O343</f>
        <v>-4.3500000000000004E-2</v>
      </c>
      <c r="L343" s="14"/>
      <c r="M343" s="14"/>
      <c r="N343" s="10"/>
      <c r="O343" s="20">
        <v>0.75</v>
      </c>
      <c r="Q343" s="11" t="str">
        <f t="shared" si="100"/>
        <v/>
      </c>
      <c r="R343" s="12"/>
      <c r="S343" s="13" t="str">
        <f t="shared" si="102"/>
        <v>COMELC</v>
      </c>
      <c r="T343" s="13" t="str">
        <f t="shared" si="103"/>
        <v>COMEDUOldSHEUE</v>
      </c>
      <c r="U343" s="13" t="str">
        <f t="shared" si="104"/>
        <v>COMEDUOldSHEUE</v>
      </c>
      <c r="V343" s="14">
        <v>2030</v>
      </c>
      <c r="W343" s="14" t="str">
        <f>W342</f>
        <v>UP</v>
      </c>
      <c r="X343" s="14"/>
      <c r="Y343" s="15">
        <f>-ROUNDUP(MIN(SUMIFS('COM RESID'!$O:$O,'COM RESID'!$H:$H,$E343,'COM RESID'!$I:$I,$F343)/SUMIFS('COM RESID'!$O:$O,'COM RESID'!$I:$I,$F343)*AC343,1),3)</f>
        <v>-0.5</v>
      </c>
      <c r="Z343" s="14"/>
      <c r="AA343" s="14"/>
      <c r="AB343" s="10"/>
      <c r="AC343" s="20">
        <f>IF(S343="COMELC",IF(SUMIFS('COM RESID'!$O:$O,'COM RESID'!$H:$H,$E343,'COM RESID'!$I:$I,$F343)/SUMIFS('COM RESID'!$O:$O,'COM RESID'!$I:$I,$F343)*1.5&lt;0.5,0.5/(SUMIFS('COM RESID'!$O:$O,'COM RESID'!$H:$H,$E343,'COM RESID'!$I:$I,$F343)/SUMIFS('COM RESID'!$O:$O,'COM RESID'!$I:$I,$F343)),1.5),IF(ISNUMBER(SEARCH("WHEUE",T342)),IF(OR(S342="COMNGA",S342="COMFOI"),0.9,1.5),1.5))</f>
        <v>8.5687402987743422</v>
      </c>
    </row>
    <row r="344" spans="1:29" x14ac:dyDescent="0.25">
      <c r="A344" s="26">
        <f>A343</f>
        <v>85</v>
      </c>
      <c r="B344" s="26"/>
      <c r="C344" s="21" t="str">
        <f>IF(C343="*",C343,"")</f>
        <v/>
      </c>
      <c r="D344" s="22"/>
      <c r="E344" s="23" t="str">
        <f t="shared" si="108"/>
        <v>COMELC</v>
      </c>
      <c r="F344" s="23" t="str">
        <f t="shared" si="108"/>
        <v>COMEDUOldSHEUE</v>
      </c>
      <c r="G344" s="23" t="str">
        <f t="shared" si="108"/>
        <v>COMEDUOldSHEUE</v>
      </c>
      <c r="H344" s="24">
        <v>2050</v>
      </c>
      <c r="I344" s="24" t="str">
        <f>I343</f>
        <v>LO</v>
      </c>
      <c r="J344" s="24"/>
      <c r="K344" s="25">
        <f>-ROUNDDOWN(SUMIFS('COM RESID'!$O:$O,'COM RESID'!$H:$H,$E344,'COM RESID'!$I:$I,$F344)/SUMIFS('COM RESID'!$O:$O,'COM RESID'!$I:$I,$F344),3)*O344</f>
        <v>-4.3500000000000004E-2</v>
      </c>
      <c r="L344" s="24"/>
      <c r="M344" s="24"/>
      <c r="N344" s="26"/>
      <c r="O344" s="27">
        <v>0.75</v>
      </c>
      <c r="Q344" s="21" t="str">
        <f t="shared" si="100"/>
        <v/>
      </c>
      <c r="R344" s="22"/>
      <c r="S344" s="23" t="str">
        <f t="shared" si="102"/>
        <v>COMELC</v>
      </c>
      <c r="T344" s="23" t="str">
        <f t="shared" si="103"/>
        <v>COMEDUOldSHEUE</v>
      </c>
      <c r="U344" s="23" t="str">
        <f t="shared" si="104"/>
        <v>COMEDUOldSHEUE</v>
      </c>
      <c r="V344" s="24">
        <v>2050</v>
      </c>
      <c r="W344" s="24" t="str">
        <f>W343</f>
        <v>UP</v>
      </c>
      <c r="X344" s="24"/>
      <c r="Y344" s="25">
        <f>-ROUNDUP(MIN(SUMIFS('COM RESID'!$O:$O,'COM RESID'!$H:$H,$E344,'COM RESID'!$I:$I,$F344)/SUMIFS('COM RESID'!$O:$O,'COM RESID'!$I:$I,$F344)*AC344,1),3)</f>
        <v>-1</v>
      </c>
      <c r="Z344" s="24"/>
      <c r="AA344" s="24"/>
      <c r="AB344" s="26"/>
      <c r="AC344" s="27">
        <f>IF(S344="COMELC",IF(SUMIFS('COM RESID'!$O:$O,'COM RESID'!$H:$H,$E344,'COM RESID'!$I:$I,$F344)/SUMIFS('COM RESID'!$O:$O,'COM RESID'!$I:$I,$F344)*3&lt;1,1/(SUMIFS('COM RESID'!$O:$O,'COM RESID'!$H:$H,$E344,'COM RESID'!$I:$I,$F344)/SUMIFS('COM RESID'!$O:$O,'COM RESID'!$I:$I,$F344)),3),IF(ISNUMBER(SEARCH("WHEUE",T342)),IF(OR(S342="COMNGA",S342="COMFOI"),0.75,3),3))</f>
        <v>17.137480597548684</v>
      </c>
    </row>
    <row r="345" spans="1:29" x14ac:dyDescent="0.25">
      <c r="A345" s="19">
        <f>A341+1</f>
        <v>86</v>
      </c>
      <c r="B345" s="10"/>
      <c r="C345" s="11" t="str">
        <f>IF(E345="","",IF(_xlfn.XLOOKUP($A345,Selected_constraint_UC!$A:$A,Selected_constraint_UC!$D:$D)=1,"*",IF(SUMIFS('COM TECH'!$N:$N,'COM TECH'!$K:$K,E345,'COM TECH'!$L:$L,F345)=0,"*",IF(SUMIFS('COM RESID'!$O:$O,'COM RESID'!$H:$H,$E345,'COM RESID'!$I:$I,$F345)=0,"*","UC_MarketShare_"&amp;LEFT(F345,LEN(F345)-3)&amp;"_"&amp;RIGHT(E345,3)&amp;"_MIN"))))</f>
        <v>UC_MarketShare_COMEDUOldSH_NGA_MIN</v>
      </c>
      <c r="D345" s="12"/>
      <c r="E345" s="13" t="str">
        <f>_xlfn.XLOOKUP($A345,Selected_constraint_UC!$A:$A,Selected_constraint_UC!$B:$B)</f>
        <v>COMNGA</v>
      </c>
      <c r="F345" s="13" t="str">
        <f>_xlfn.XLOOKUP($A345,Selected_constraint_UC!$A:$A,Selected_constraint_UC!$C:$C)</f>
        <v>COMEDUOldSHEUE</v>
      </c>
      <c r="G345" s="13" t="str">
        <f>F345</f>
        <v>COMEDUOldSHEUE</v>
      </c>
      <c r="H345" s="14">
        <v>2019</v>
      </c>
      <c r="I345" s="14" t="s">
        <v>3848</v>
      </c>
      <c r="J345" s="14">
        <v>1</v>
      </c>
      <c r="K345" s="15">
        <f>-ROUNDDOWN(SUMIFS('COM RESID'!$O:$O,'COM RESID'!$H:$H,$E345,'COM RESID'!$I:$I,$F345)/SUMIFS('COM RESID'!$O:$O,'COM RESID'!$I:$I,$F345),3)*O345</f>
        <v>-0.83005999999999991</v>
      </c>
      <c r="L345" s="14">
        <v>0</v>
      </c>
      <c r="M345" s="14">
        <v>5</v>
      </c>
      <c r="N345" s="10"/>
      <c r="O345" s="20">
        <v>0.98</v>
      </c>
      <c r="Q345" s="11" t="str">
        <f t="shared" si="100"/>
        <v>UC_MarketShare_COMEDUOldSH_NGA_MAX</v>
      </c>
      <c r="R345" s="12"/>
      <c r="S345" s="13" t="str">
        <f t="shared" si="102"/>
        <v>COMNGA</v>
      </c>
      <c r="T345" s="13" t="str">
        <f t="shared" si="103"/>
        <v>COMEDUOldSHEUE</v>
      </c>
      <c r="U345" s="13" t="str">
        <f t="shared" si="104"/>
        <v>COMEDUOldSHEUE</v>
      </c>
      <c r="V345" s="14">
        <v>2019</v>
      </c>
      <c r="W345" s="14" t="s">
        <v>3849</v>
      </c>
      <c r="X345" s="14">
        <v>1</v>
      </c>
      <c r="Y345" s="15">
        <f>-ROUNDUP(MIN(SUMIFS('COM RESID'!$O:$O,'COM RESID'!$H:$H,$E345,'COM RESID'!$I:$I,$F345)/SUMIFS('COM RESID'!$O:$O,'COM RESID'!$I:$I,$F345)*AC345,1),3)</f>
        <v>-0.86499999999999999</v>
      </c>
      <c r="Z345" s="14">
        <v>0</v>
      </c>
      <c r="AA345" s="14">
        <v>5</v>
      </c>
      <c r="AB345" s="10"/>
      <c r="AC345" s="20">
        <v>1.02</v>
      </c>
    </row>
    <row r="346" spans="1:29" x14ac:dyDescent="0.25">
      <c r="A346" s="10">
        <f>A345</f>
        <v>86</v>
      </c>
      <c r="B346" s="10"/>
      <c r="C346" s="11" t="str">
        <f>IF(C345="*",C345,"")</f>
        <v/>
      </c>
      <c r="D346" s="12"/>
      <c r="E346" s="13" t="str">
        <f t="shared" ref="E346:G348" si="109">E345</f>
        <v>COMNGA</v>
      </c>
      <c r="F346" s="13" t="str">
        <f t="shared" si="109"/>
        <v>COMEDUOldSHEUE</v>
      </c>
      <c r="G346" s="13" t="str">
        <f t="shared" si="109"/>
        <v>COMEDUOldSHEUE</v>
      </c>
      <c r="H346" s="14">
        <v>2025</v>
      </c>
      <c r="I346" s="14" t="str">
        <f>I345</f>
        <v>LO</v>
      </c>
      <c r="J346" s="14"/>
      <c r="K346" s="15">
        <f>-ROUNDDOWN(SUMIFS('COM RESID'!$O:$O,'COM RESID'!$H:$H,$E346,'COM RESID'!$I:$I,$F346)/SUMIFS('COM RESID'!$O:$O,'COM RESID'!$I:$I,$F346),3)*O346</f>
        <v>-0.67759999999999998</v>
      </c>
      <c r="L346" s="14"/>
      <c r="M346" s="14"/>
      <c r="N346" s="10"/>
      <c r="O346" s="20">
        <v>0.8</v>
      </c>
      <c r="Q346" s="11" t="str">
        <f t="shared" si="100"/>
        <v/>
      </c>
      <c r="R346" s="12"/>
      <c r="S346" s="13" t="str">
        <f t="shared" si="102"/>
        <v>COMNGA</v>
      </c>
      <c r="T346" s="13" t="str">
        <f t="shared" si="103"/>
        <v>COMEDUOldSHEUE</v>
      </c>
      <c r="U346" s="13" t="str">
        <f t="shared" si="104"/>
        <v>COMEDUOldSHEUE</v>
      </c>
      <c r="V346" s="14">
        <v>2025</v>
      </c>
      <c r="W346" s="14" t="str">
        <f>W345</f>
        <v>UP</v>
      </c>
      <c r="X346" s="14"/>
      <c r="Y346" s="15">
        <f>-ROUNDUP(MIN(SUMIFS('COM RESID'!$O:$O,'COM RESID'!$H:$H,$E346,'COM RESID'!$I:$I,$F346)/SUMIFS('COM RESID'!$O:$O,'COM RESID'!$I:$I,$F346)*AC346,1),3)</f>
        <v>-1</v>
      </c>
      <c r="Z346" s="14"/>
      <c r="AA346" s="14"/>
      <c r="AB346" s="10"/>
      <c r="AC346" s="20">
        <f>IF(S346="COMELC",IF(SUMIFS('COM RESID'!$O:$O,'COM RESID'!$H:$H,$E346,'COM RESID'!$I:$I,$F346)/SUMIFS('COM RESID'!$O:$O,'COM RESID'!$I:$I,$F346)*1.2&lt;0.25,0.25/(SUMIFS('COM RESID'!$O:$O,'COM RESID'!$H:$H,$E346,'COM RESID'!$I:$I,$F346)/SUMIFS('COM RESID'!$O:$O,'COM RESID'!$I:$I,$F346)),1.2),IF(ISNUMBER(SEARCH("WHEUE",T346)),IF(OR(S346="COMNGA",S346="COMFOI"),1,1.2),1.2))</f>
        <v>1.2</v>
      </c>
    </row>
    <row r="347" spans="1:29" x14ac:dyDescent="0.25">
      <c r="A347" s="10">
        <f>A346</f>
        <v>86</v>
      </c>
      <c r="B347" s="10"/>
      <c r="C347" s="11" t="str">
        <f>IF(C346="*",C346,"")</f>
        <v/>
      </c>
      <c r="D347" s="12"/>
      <c r="E347" s="13" t="str">
        <f t="shared" si="109"/>
        <v>COMNGA</v>
      </c>
      <c r="F347" s="13" t="str">
        <f t="shared" si="109"/>
        <v>COMEDUOldSHEUE</v>
      </c>
      <c r="G347" s="13" t="str">
        <f t="shared" si="109"/>
        <v>COMEDUOldSHEUE</v>
      </c>
      <c r="H347" s="14">
        <v>2030</v>
      </c>
      <c r="I347" s="14" t="str">
        <f>I346</f>
        <v>LO</v>
      </c>
      <c r="J347" s="14"/>
      <c r="K347" s="15">
        <f>-ROUNDDOWN(SUMIFS('COM RESID'!$O:$O,'COM RESID'!$H:$H,$E347,'COM RESID'!$I:$I,$F347)/SUMIFS('COM RESID'!$O:$O,'COM RESID'!$I:$I,$F347),3)*O347</f>
        <v>-0.1694</v>
      </c>
      <c r="L347" s="14"/>
      <c r="M347" s="14"/>
      <c r="N347" s="10"/>
      <c r="O347" s="20">
        <v>0.2</v>
      </c>
      <c r="Q347" s="11" t="str">
        <f t="shared" si="100"/>
        <v/>
      </c>
      <c r="R347" s="12"/>
      <c r="S347" s="13" t="str">
        <f t="shared" si="102"/>
        <v>COMNGA</v>
      </c>
      <c r="T347" s="13" t="str">
        <f t="shared" si="103"/>
        <v>COMEDUOldSHEUE</v>
      </c>
      <c r="U347" s="13" t="str">
        <f t="shared" si="104"/>
        <v>COMEDUOldSHEUE</v>
      </c>
      <c r="V347" s="14">
        <v>2030</v>
      </c>
      <c r="W347" s="14" t="str">
        <f>W346</f>
        <v>UP</v>
      </c>
      <c r="X347" s="14"/>
      <c r="Y347" s="15">
        <f>-ROUNDUP(MIN(SUMIFS('COM RESID'!$O:$O,'COM RESID'!$H:$H,$E347,'COM RESID'!$I:$I,$F347)/SUMIFS('COM RESID'!$O:$O,'COM RESID'!$I:$I,$F347)*AC347,1),3)</f>
        <v>-1</v>
      </c>
      <c r="Z347" s="14"/>
      <c r="AA347" s="14"/>
      <c r="AB347" s="10"/>
      <c r="AC347" s="20">
        <f>IF(S347="COMELC",IF(SUMIFS('COM RESID'!$O:$O,'COM RESID'!$H:$H,$E347,'COM RESID'!$I:$I,$F347)/SUMIFS('COM RESID'!$O:$O,'COM RESID'!$I:$I,$F347)*1.5&lt;0.5,0.5/(SUMIFS('COM RESID'!$O:$O,'COM RESID'!$H:$H,$E347,'COM RESID'!$I:$I,$F347)/SUMIFS('COM RESID'!$O:$O,'COM RESID'!$I:$I,$F347)),1.5),IF(ISNUMBER(SEARCH("WHEUE",T346)),IF(OR(S346="COMNGA",S346="COMFOI"),0.9,1.5),1.5))</f>
        <v>1.5</v>
      </c>
    </row>
    <row r="348" spans="1:29" x14ac:dyDescent="0.25">
      <c r="A348" s="26">
        <f>A347</f>
        <v>86</v>
      </c>
      <c r="B348" s="26"/>
      <c r="C348" s="21" t="str">
        <f>IF(C347="*",C347,"")</f>
        <v/>
      </c>
      <c r="D348" s="22"/>
      <c r="E348" s="23" t="str">
        <f t="shared" si="109"/>
        <v>COMNGA</v>
      </c>
      <c r="F348" s="23" t="str">
        <f t="shared" si="109"/>
        <v>COMEDUOldSHEUE</v>
      </c>
      <c r="G348" s="23" t="str">
        <f t="shared" si="109"/>
        <v>COMEDUOldSHEUE</v>
      </c>
      <c r="H348" s="24">
        <v>2050</v>
      </c>
      <c r="I348" s="24" t="str">
        <f>I347</f>
        <v>LO</v>
      </c>
      <c r="J348" s="24"/>
      <c r="K348" s="25">
        <f>-ROUNDDOWN(SUMIFS('COM RESID'!$O:$O,'COM RESID'!$H:$H,$E348,'COM RESID'!$I:$I,$F348)/SUMIFS('COM RESID'!$O:$O,'COM RESID'!$I:$I,$F348),3)*O348</f>
        <v>0</v>
      </c>
      <c r="L348" s="24"/>
      <c r="M348" s="24"/>
      <c r="N348" s="26"/>
      <c r="O348" s="27">
        <v>0</v>
      </c>
      <c r="Q348" s="21" t="str">
        <f t="shared" si="100"/>
        <v/>
      </c>
      <c r="R348" s="22"/>
      <c r="S348" s="23" t="str">
        <f t="shared" si="102"/>
        <v>COMNGA</v>
      </c>
      <c r="T348" s="23" t="str">
        <f t="shared" si="103"/>
        <v>COMEDUOldSHEUE</v>
      </c>
      <c r="U348" s="23" t="str">
        <f t="shared" si="104"/>
        <v>COMEDUOldSHEUE</v>
      </c>
      <c r="V348" s="24">
        <v>2050</v>
      </c>
      <c r="W348" s="24" t="str">
        <f>W347</f>
        <v>UP</v>
      </c>
      <c r="X348" s="24"/>
      <c r="Y348" s="25">
        <f>-ROUNDUP(MIN(SUMIFS('COM RESID'!$O:$O,'COM RESID'!$H:$H,$E348,'COM RESID'!$I:$I,$F348)/SUMIFS('COM RESID'!$O:$O,'COM RESID'!$I:$I,$F348)*AC348,1),3)</f>
        <v>-1</v>
      </c>
      <c r="Z348" s="24"/>
      <c r="AA348" s="24"/>
      <c r="AB348" s="26"/>
      <c r="AC348" s="27">
        <f>IF(S348="COMELC",IF(SUMIFS('COM RESID'!$O:$O,'COM RESID'!$H:$H,$E348,'COM RESID'!$I:$I,$F348)/SUMIFS('COM RESID'!$O:$O,'COM RESID'!$I:$I,$F348)*3&lt;1,1/(SUMIFS('COM RESID'!$O:$O,'COM RESID'!$H:$H,$E348,'COM RESID'!$I:$I,$F348)/SUMIFS('COM RESID'!$O:$O,'COM RESID'!$I:$I,$F348)),3),IF(ISNUMBER(SEARCH("WHEUE",T346)),IF(OR(S346="COMNGA",S346="COMFOI"),0.75,3),3))</f>
        <v>3</v>
      </c>
    </row>
    <row r="349" spans="1:29" x14ac:dyDescent="0.25">
      <c r="A349" s="19">
        <f>A345+1</f>
        <v>87</v>
      </c>
      <c r="B349" s="10"/>
      <c r="C349" s="11" t="str">
        <f>IF(E349="","",IF(_xlfn.XLOOKUP($A349,Selected_constraint_UC!$A:$A,Selected_constraint_UC!$D:$D)=1,"*",IF(SUMIFS('COM TECH'!$N:$N,'COM TECH'!$K:$K,E349,'COM TECH'!$L:$L,F349)=0,"*",IF(SUMIFS('COM RESID'!$O:$O,'COM RESID'!$H:$H,$E349,'COM RESID'!$I:$I,$F349)=0,"*","UC_MarketShare_"&amp;LEFT(F349,LEN(F349)-3)&amp;"_"&amp;RIGHT(E349,3)&amp;"_MIN"))))</f>
        <v>UC_MarketShare_COMEDUOldSH_FOI_MIN</v>
      </c>
      <c r="D349" s="12"/>
      <c r="E349" s="13" t="str">
        <f>_xlfn.XLOOKUP($A349,Selected_constraint_UC!$A:$A,Selected_constraint_UC!$B:$B)</f>
        <v>COMFOI</v>
      </c>
      <c r="F349" s="13" t="str">
        <f>_xlfn.XLOOKUP($A349,Selected_constraint_UC!$A:$A,Selected_constraint_UC!$C:$C)</f>
        <v>COMEDUOldSHEUE</v>
      </c>
      <c r="G349" s="13" t="str">
        <f>F349</f>
        <v>COMEDUOldSHEUE</v>
      </c>
      <c r="H349" s="14">
        <v>2019</v>
      </c>
      <c r="I349" s="14" t="s">
        <v>3848</v>
      </c>
      <c r="J349" s="14">
        <v>1</v>
      </c>
      <c r="K349" s="15">
        <f>-ROUNDDOWN(SUMIFS('COM RESID'!$O:$O,'COM RESID'!$H:$H,$E349,'COM RESID'!$I:$I,$F349)/SUMIFS('COM RESID'!$O:$O,'COM RESID'!$I:$I,$F349),3)*O349</f>
        <v>-7.3499999999999996E-2</v>
      </c>
      <c r="L349" s="14">
        <v>0</v>
      </c>
      <c r="M349" s="14">
        <v>5</v>
      </c>
      <c r="N349" s="10"/>
      <c r="O349" s="20">
        <v>0.98</v>
      </c>
      <c r="Q349" s="11" t="str">
        <f t="shared" si="100"/>
        <v>UC_MarketShare_COMEDUOldSH_FOI_MAX</v>
      </c>
      <c r="R349" s="12"/>
      <c r="S349" s="13" t="str">
        <f t="shared" si="102"/>
        <v>COMFOI</v>
      </c>
      <c r="T349" s="13" t="str">
        <f t="shared" si="103"/>
        <v>COMEDUOldSHEUE</v>
      </c>
      <c r="U349" s="13" t="str">
        <f t="shared" si="104"/>
        <v>COMEDUOldSHEUE</v>
      </c>
      <c r="V349" s="14">
        <v>2019</v>
      </c>
      <c r="W349" s="14" t="s">
        <v>3849</v>
      </c>
      <c r="X349" s="14">
        <v>1</v>
      </c>
      <c r="Y349" s="15">
        <f>-ROUNDUP(MIN(SUMIFS('COM RESID'!$O:$O,'COM RESID'!$H:$H,$E349,'COM RESID'!$I:$I,$F349)/SUMIFS('COM RESID'!$O:$O,'COM RESID'!$I:$I,$F349)*AC349,1),3)</f>
        <v>-7.8E-2</v>
      </c>
      <c r="Z349" s="14">
        <v>0</v>
      </c>
      <c r="AA349" s="14">
        <v>5</v>
      </c>
      <c r="AB349" s="10"/>
      <c r="AC349" s="20">
        <v>1.02</v>
      </c>
    </row>
    <row r="350" spans="1:29" x14ac:dyDescent="0.25">
      <c r="A350" s="10">
        <f>A349</f>
        <v>87</v>
      </c>
      <c r="B350" s="10"/>
      <c r="C350" s="11" t="str">
        <f>IF(C349="*",C349,"")</f>
        <v/>
      </c>
      <c r="D350" s="12"/>
      <c r="E350" s="13" t="str">
        <f t="shared" ref="E350:G352" si="110">E349</f>
        <v>COMFOI</v>
      </c>
      <c r="F350" s="13" t="str">
        <f t="shared" si="110"/>
        <v>COMEDUOldSHEUE</v>
      </c>
      <c r="G350" s="13" t="str">
        <f t="shared" si="110"/>
        <v>COMEDUOldSHEUE</v>
      </c>
      <c r="H350" s="14">
        <v>2025</v>
      </c>
      <c r="I350" s="14" t="str">
        <f>I349</f>
        <v>LO</v>
      </c>
      <c r="J350" s="14"/>
      <c r="K350" s="15">
        <f>-ROUNDDOWN(SUMIFS('COM RESID'!$O:$O,'COM RESID'!$H:$H,$E350,'COM RESID'!$I:$I,$F350)/SUMIFS('COM RESID'!$O:$O,'COM RESID'!$I:$I,$F350),3)*O350</f>
        <v>-0.06</v>
      </c>
      <c r="L350" s="14"/>
      <c r="M350" s="14"/>
      <c r="N350" s="10"/>
      <c r="O350" s="20">
        <v>0.8</v>
      </c>
      <c r="Q350" s="11" t="str">
        <f t="shared" si="100"/>
        <v/>
      </c>
      <c r="R350" s="12"/>
      <c r="S350" s="13" t="str">
        <f t="shared" si="102"/>
        <v>COMFOI</v>
      </c>
      <c r="T350" s="13" t="str">
        <f t="shared" si="103"/>
        <v>COMEDUOldSHEUE</v>
      </c>
      <c r="U350" s="13" t="str">
        <f t="shared" si="104"/>
        <v>COMEDUOldSHEUE</v>
      </c>
      <c r="V350" s="14">
        <v>2025</v>
      </c>
      <c r="W350" s="14" t="str">
        <f>W349</f>
        <v>UP</v>
      </c>
      <c r="X350" s="14"/>
      <c r="Y350" s="15">
        <f>-ROUNDUP(MIN(SUMIFS('COM RESID'!$O:$O,'COM RESID'!$H:$H,$E350,'COM RESID'!$I:$I,$F350)/SUMIFS('COM RESID'!$O:$O,'COM RESID'!$I:$I,$F350)*AC350,1),3)</f>
        <v>-9.1999999999999998E-2</v>
      </c>
      <c r="Z350" s="14"/>
      <c r="AA350" s="14"/>
      <c r="AB350" s="10"/>
      <c r="AC350" s="20">
        <f>IF(S350="COMELC",IF(SUMIFS('COM RESID'!$O:$O,'COM RESID'!$H:$H,$E350,'COM RESID'!$I:$I,$F350)/SUMIFS('COM RESID'!$O:$O,'COM RESID'!$I:$I,$F350)*1.2&lt;0.25,0.25/(SUMIFS('COM RESID'!$O:$O,'COM RESID'!$H:$H,$E350,'COM RESID'!$I:$I,$F350)/SUMIFS('COM RESID'!$O:$O,'COM RESID'!$I:$I,$F350)),1.2),IF(ISNUMBER(SEARCH("WHEUE",T350)),IF(OR(S350="COMNGA",S350="COMFOI"),1,1.2),1.2))</f>
        <v>1.2</v>
      </c>
    </row>
    <row r="351" spans="1:29" x14ac:dyDescent="0.25">
      <c r="A351" s="10">
        <f>A350</f>
        <v>87</v>
      </c>
      <c r="B351" s="10"/>
      <c r="C351" s="11" t="str">
        <f>IF(C350="*",C350,"")</f>
        <v/>
      </c>
      <c r="D351" s="12"/>
      <c r="E351" s="13" t="str">
        <f t="shared" si="110"/>
        <v>COMFOI</v>
      </c>
      <c r="F351" s="13" t="str">
        <f t="shared" si="110"/>
        <v>COMEDUOldSHEUE</v>
      </c>
      <c r="G351" s="13" t="str">
        <f t="shared" si="110"/>
        <v>COMEDUOldSHEUE</v>
      </c>
      <c r="H351" s="14">
        <v>2030</v>
      </c>
      <c r="I351" s="14" t="str">
        <f>I350</f>
        <v>LO</v>
      </c>
      <c r="J351" s="14"/>
      <c r="K351" s="15">
        <f>-ROUNDDOWN(SUMIFS('COM RESID'!$O:$O,'COM RESID'!$H:$H,$E351,'COM RESID'!$I:$I,$F351)/SUMIFS('COM RESID'!$O:$O,'COM RESID'!$I:$I,$F351),3)*O351</f>
        <v>-1.4999999999999999E-2</v>
      </c>
      <c r="L351" s="14"/>
      <c r="M351" s="14"/>
      <c r="N351" s="10"/>
      <c r="O351" s="20">
        <v>0.2</v>
      </c>
      <c r="Q351" s="11" t="str">
        <f t="shared" si="100"/>
        <v/>
      </c>
      <c r="R351" s="12"/>
      <c r="S351" s="13" t="str">
        <f t="shared" si="102"/>
        <v>COMFOI</v>
      </c>
      <c r="T351" s="13" t="str">
        <f t="shared" si="103"/>
        <v>COMEDUOldSHEUE</v>
      </c>
      <c r="U351" s="13" t="str">
        <f t="shared" si="104"/>
        <v>COMEDUOldSHEUE</v>
      </c>
      <c r="V351" s="14">
        <v>2030</v>
      </c>
      <c r="W351" s="14" t="str">
        <f>W350</f>
        <v>UP</v>
      </c>
      <c r="X351" s="14"/>
      <c r="Y351" s="15">
        <f>-ROUNDUP(MIN(SUMIFS('COM RESID'!$O:$O,'COM RESID'!$H:$H,$E351,'COM RESID'!$I:$I,$F351)/SUMIFS('COM RESID'!$O:$O,'COM RESID'!$I:$I,$F351)*AC351,1),3)</f>
        <v>-0.114</v>
      </c>
      <c r="Z351" s="14"/>
      <c r="AA351" s="14"/>
      <c r="AB351" s="10"/>
      <c r="AC351" s="20">
        <f>IF(S351="COMELC",IF(SUMIFS('COM RESID'!$O:$O,'COM RESID'!$H:$H,$E351,'COM RESID'!$I:$I,$F351)/SUMIFS('COM RESID'!$O:$O,'COM RESID'!$I:$I,$F351)*1.5&lt;0.5,0.5/(SUMIFS('COM RESID'!$O:$O,'COM RESID'!$H:$H,$E351,'COM RESID'!$I:$I,$F351)/SUMIFS('COM RESID'!$O:$O,'COM RESID'!$I:$I,$F351)),1.5),IF(ISNUMBER(SEARCH("WHEUE",T350)),IF(OR(S350="COMNGA",S350="COMFOI"),0.9,1.5),1.5))</f>
        <v>1.5</v>
      </c>
    </row>
    <row r="352" spans="1:29" x14ac:dyDescent="0.25">
      <c r="A352" s="26">
        <f>A351</f>
        <v>87</v>
      </c>
      <c r="B352" s="26"/>
      <c r="C352" s="21" t="str">
        <f>IF(C351="*",C351,"")</f>
        <v/>
      </c>
      <c r="D352" s="22"/>
      <c r="E352" s="23" t="str">
        <f t="shared" si="110"/>
        <v>COMFOI</v>
      </c>
      <c r="F352" s="23" t="str">
        <f t="shared" si="110"/>
        <v>COMEDUOldSHEUE</v>
      </c>
      <c r="G352" s="23" t="str">
        <f t="shared" si="110"/>
        <v>COMEDUOldSHEUE</v>
      </c>
      <c r="H352" s="24">
        <v>2050</v>
      </c>
      <c r="I352" s="24" t="str">
        <f>I351</f>
        <v>LO</v>
      </c>
      <c r="J352" s="24"/>
      <c r="K352" s="25">
        <f>-ROUNDDOWN(SUMIFS('COM RESID'!$O:$O,'COM RESID'!$H:$H,$E352,'COM RESID'!$I:$I,$F352)/SUMIFS('COM RESID'!$O:$O,'COM RESID'!$I:$I,$F352),3)*O352</f>
        <v>0</v>
      </c>
      <c r="L352" s="24"/>
      <c r="M352" s="24"/>
      <c r="N352" s="26"/>
      <c r="O352" s="27">
        <v>0</v>
      </c>
      <c r="Q352" s="21" t="str">
        <f t="shared" si="100"/>
        <v/>
      </c>
      <c r="R352" s="22"/>
      <c r="S352" s="23" t="str">
        <f t="shared" si="102"/>
        <v>COMFOI</v>
      </c>
      <c r="T352" s="23" t="str">
        <f t="shared" si="103"/>
        <v>COMEDUOldSHEUE</v>
      </c>
      <c r="U352" s="23" t="str">
        <f t="shared" si="104"/>
        <v>COMEDUOldSHEUE</v>
      </c>
      <c r="V352" s="24">
        <v>2050</v>
      </c>
      <c r="W352" s="24" t="str">
        <f>W351</f>
        <v>UP</v>
      </c>
      <c r="X352" s="24"/>
      <c r="Y352" s="25">
        <f>-ROUNDUP(MIN(SUMIFS('COM RESID'!$O:$O,'COM RESID'!$H:$H,$E352,'COM RESID'!$I:$I,$F352)/SUMIFS('COM RESID'!$O:$O,'COM RESID'!$I:$I,$F352)*AC352,1),3)</f>
        <v>-0.22800000000000001</v>
      </c>
      <c r="Z352" s="24"/>
      <c r="AA352" s="24"/>
      <c r="AB352" s="26"/>
      <c r="AC352" s="27">
        <f>IF(S352="COMELC",IF(SUMIFS('COM RESID'!$O:$O,'COM RESID'!$H:$H,$E352,'COM RESID'!$I:$I,$F352)/SUMIFS('COM RESID'!$O:$O,'COM RESID'!$I:$I,$F352)*3&lt;1,1/(SUMIFS('COM RESID'!$O:$O,'COM RESID'!$H:$H,$E352,'COM RESID'!$I:$I,$F352)/SUMIFS('COM RESID'!$O:$O,'COM RESID'!$I:$I,$F352)),3),IF(ISNUMBER(SEARCH("WHEUE",T350)),IF(OR(S350="COMNGA",S350="COMFOI"),0.75,3),3))</f>
        <v>3</v>
      </c>
    </row>
    <row r="353" spans="1:29" x14ac:dyDescent="0.25">
      <c r="A353" s="19">
        <f>A349+1</f>
        <v>88</v>
      </c>
      <c r="B353" s="10"/>
      <c r="C353" s="11" t="str">
        <f>IF(E353="","",IF(_xlfn.XLOOKUP($A353,Selected_constraint_UC!$A:$A,Selected_constraint_UC!$D:$D)=1,"*",IF(SUMIFS('COM TECH'!$N:$N,'COM TECH'!$K:$K,E353,'COM TECH'!$L:$L,F353)=0,"*",IF(SUMIFS('COM RESID'!$O:$O,'COM RESID'!$H:$H,$E353,'COM RESID'!$I:$I,$F353)=0,"*","UC_MarketShare_"&amp;LEFT(F353,LEN(F353)-3)&amp;"_"&amp;RIGHT(E353,3)&amp;"_MIN"))))</f>
        <v>*</v>
      </c>
      <c r="D353" s="12"/>
      <c r="E353" s="13" t="str">
        <f>_xlfn.XLOOKUP($A353,Selected_constraint_UC!$A:$A,Selected_constraint_UC!$B:$B)</f>
        <v>COMLPG</v>
      </c>
      <c r="F353" s="13" t="str">
        <f>_xlfn.XLOOKUP($A353,Selected_constraint_UC!$A:$A,Selected_constraint_UC!$C:$C)</f>
        <v>COMEDUOldSHEUE</v>
      </c>
      <c r="G353" s="13" t="str">
        <f>F353</f>
        <v>COMEDUOldSHEUE</v>
      </c>
      <c r="H353" s="14">
        <v>2019</v>
      </c>
      <c r="I353" s="14" t="s">
        <v>3848</v>
      </c>
      <c r="J353" s="14">
        <v>1</v>
      </c>
      <c r="K353" s="15">
        <f>-ROUNDDOWN(SUMIFS('COM RESID'!$O:$O,'COM RESID'!$H:$H,$E353,'COM RESID'!$I:$I,$F353)/SUMIFS('COM RESID'!$O:$O,'COM RESID'!$I:$I,$F353),3)*O353</f>
        <v>0</v>
      </c>
      <c r="L353" s="14">
        <v>0</v>
      </c>
      <c r="M353" s="14">
        <v>5</v>
      </c>
      <c r="N353" s="10"/>
      <c r="O353" s="20">
        <v>0.98</v>
      </c>
      <c r="Q353" s="11" t="str">
        <f t="shared" si="100"/>
        <v>*</v>
      </c>
      <c r="R353" s="12"/>
      <c r="S353" s="13" t="str">
        <f t="shared" si="102"/>
        <v>COMLPG</v>
      </c>
      <c r="T353" s="13" t="str">
        <f t="shared" si="103"/>
        <v>COMEDUOldSHEUE</v>
      </c>
      <c r="U353" s="13" t="str">
        <f t="shared" si="104"/>
        <v>COMEDUOldSHEUE</v>
      </c>
      <c r="V353" s="14">
        <v>2019</v>
      </c>
      <c r="W353" s="14" t="s">
        <v>3849</v>
      </c>
      <c r="X353" s="14">
        <v>1</v>
      </c>
      <c r="Y353" s="15">
        <f>-ROUNDUP(MIN(SUMIFS('COM RESID'!$O:$O,'COM RESID'!$H:$H,$E353,'COM RESID'!$I:$I,$F353)/SUMIFS('COM RESID'!$O:$O,'COM RESID'!$I:$I,$F353)*AC353,1),3)</f>
        <v>0</v>
      </c>
      <c r="Z353" s="14">
        <v>0</v>
      </c>
      <c r="AA353" s="14">
        <v>5</v>
      </c>
      <c r="AB353" s="10"/>
      <c r="AC353" s="20">
        <v>1.02</v>
      </c>
    </row>
    <row r="354" spans="1:29" x14ac:dyDescent="0.25">
      <c r="A354" s="10">
        <f>A353</f>
        <v>88</v>
      </c>
      <c r="B354" s="10"/>
      <c r="C354" s="11" t="str">
        <f>IF(C353="*",C353,"")</f>
        <v>*</v>
      </c>
      <c r="D354" s="12"/>
      <c r="E354" s="13" t="str">
        <f t="shared" ref="E354:G356" si="111">E353</f>
        <v>COMLPG</v>
      </c>
      <c r="F354" s="13" t="str">
        <f t="shared" si="111"/>
        <v>COMEDUOldSHEUE</v>
      </c>
      <c r="G354" s="13" t="str">
        <f t="shared" si="111"/>
        <v>COMEDUOldSHEUE</v>
      </c>
      <c r="H354" s="14">
        <v>2025</v>
      </c>
      <c r="I354" s="14" t="str">
        <f>I353</f>
        <v>LO</v>
      </c>
      <c r="J354" s="14"/>
      <c r="K354" s="15">
        <f>-ROUNDDOWN(SUMIFS('COM RESID'!$O:$O,'COM RESID'!$H:$H,$E354,'COM RESID'!$I:$I,$F354)/SUMIFS('COM RESID'!$O:$O,'COM RESID'!$I:$I,$F354),3)*O354</f>
        <v>0</v>
      </c>
      <c r="L354" s="14"/>
      <c r="M354" s="14"/>
      <c r="N354" s="10"/>
      <c r="O354" s="20">
        <v>0.8</v>
      </c>
      <c r="Q354" s="11" t="str">
        <f t="shared" si="100"/>
        <v>*</v>
      </c>
      <c r="R354" s="12"/>
      <c r="S354" s="13" t="str">
        <f t="shared" si="102"/>
        <v>COMLPG</v>
      </c>
      <c r="T354" s="13" t="str">
        <f t="shared" si="103"/>
        <v>COMEDUOldSHEUE</v>
      </c>
      <c r="U354" s="13" t="str">
        <f t="shared" si="104"/>
        <v>COMEDUOldSHEUE</v>
      </c>
      <c r="V354" s="14">
        <v>2025</v>
      </c>
      <c r="W354" s="14" t="str">
        <f>W353</f>
        <v>UP</v>
      </c>
      <c r="X354" s="14"/>
      <c r="Y354" s="15">
        <f>-ROUNDUP(MIN(SUMIFS('COM RESID'!$O:$O,'COM RESID'!$H:$H,$E354,'COM RESID'!$I:$I,$F354)/SUMIFS('COM RESID'!$O:$O,'COM RESID'!$I:$I,$F354)*AC354,1),3)</f>
        <v>0</v>
      </c>
      <c r="Z354" s="14"/>
      <c r="AA354" s="14"/>
      <c r="AB354" s="10"/>
      <c r="AC354" s="20">
        <f>IF(S354="COMELC",IF(SUMIFS('COM RESID'!$O:$O,'COM RESID'!$H:$H,$E354,'COM RESID'!$I:$I,$F354)/SUMIFS('COM RESID'!$O:$O,'COM RESID'!$I:$I,$F354)*1.2&lt;0.25,0.25/(SUMIFS('COM RESID'!$O:$O,'COM RESID'!$H:$H,$E354,'COM RESID'!$I:$I,$F354)/SUMIFS('COM RESID'!$O:$O,'COM RESID'!$I:$I,$F354)),1.2),IF(ISNUMBER(SEARCH("WHEUE",T354)),IF(OR(S354="COMNGA",S354="COMFOI"),1,1.2),1.2))</f>
        <v>1.2</v>
      </c>
    </row>
    <row r="355" spans="1:29" x14ac:dyDescent="0.25">
      <c r="A355" s="10">
        <f>A354</f>
        <v>88</v>
      </c>
      <c r="B355" s="10"/>
      <c r="C355" s="11" t="str">
        <f>IF(C354="*",C354,"")</f>
        <v>*</v>
      </c>
      <c r="D355" s="12"/>
      <c r="E355" s="13" t="str">
        <f t="shared" si="111"/>
        <v>COMLPG</v>
      </c>
      <c r="F355" s="13" t="str">
        <f t="shared" si="111"/>
        <v>COMEDUOldSHEUE</v>
      </c>
      <c r="G355" s="13" t="str">
        <f t="shared" si="111"/>
        <v>COMEDUOldSHEUE</v>
      </c>
      <c r="H355" s="14">
        <v>2030</v>
      </c>
      <c r="I355" s="14" t="str">
        <f>I354</f>
        <v>LO</v>
      </c>
      <c r="J355" s="14"/>
      <c r="K355" s="15">
        <f>-ROUNDDOWN(SUMIFS('COM RESID'!$O:$O,'COM RESID'!$H:$H,$E355,'COM RESID'!$I:$I,$F355)/SUMIFS('COM RESID'!$O:$O,'COM RESID'!$I:$I,$F355),3)*O355</f>
        <v>0</v>
      </c>
      <c r="L355" s="14"/>
      <c r="M355" s="14"/>
      <c r="N355" s="10"/>
      <c r="O355" s="20">
        <v>0.2</v>
      </c>
      <c r="Q355" s="11" t="str">
        <f t="shared" si="100"/>
        <v>*</v>
      </c>
      <c r="R355" s="12"/>
      <c r="S355" s="13" t="str">
        <f t="shared" si="102"/>
        <v>COMLPG</v>
      </c>
      <c r="T355" s="13" t="str">
        <f t="shared" si="103"/>
        <v>COMEDUOldSHEUE</v>
      </c>
      <c r="U355" s="13" t="str">
        <f t="shared" si="104"/>
        <v>COMEDUOldSHEUE</v>
      </c>
      <c r="V355" s="14">
        <v>2030</v>
      </c>
      <c r="W355" s="14" t="str">
        <f>W354</f>
        <v>UP</v>
      </c>
      <c r="X355" s="14"/>
      <c r="Y355" s="15">
        <f>-ROUNDUP(MIN(SUMIFS('COM RESID'!$O:$O,'COM RESID'!$H:$H,$E355,'COM RESID'!$I:$I,$F355)/SUMIFS('COM RESID'!$O:$O,'COM RESID'!$I:$I,$F355)*AC355,1),3)</f>
        <v>0</v>
      </c>
      <c r="Z355" s="14"/>
      <c r="AA355" s="14"/>
      <c r="AB355" s="10"/>
      <c r="AC355" s="20">
        <f>IF(S355="COMELC",IF(SUMIFS('COM RESID'!$O:$O,'COM RESID'!$H:$H,$E355,'COM RESID'!$I:$I,$F355)/SUMIFS('COM RESID'!$O:$O,'COM RESID'!$I:$I,$F355)*1.5&lt;0.5,0.5/(SUMIFS('COM RESID'!$O:$O,'COM RESID'!$H:$H,$E355,'COM RESID'!$I:$I,$F355)/SUMIFS('COM RESID'!$O:$O,'COM RESID'!$I:$I,$F355)),1.5),IF(ISNUMBER(SEARCH("WHEUE",T354)),IF(OR(S354="COMNGA",S354="COMFOI"),0.9,1.5),1.5))</f>
        <v>1.5</v>
      </c>
    </row>
    <row r="356" spans="1:29" x14ac:dyDescent="0.25">
      <c r="A356" s="26">
        <f>A355</f>
        <v>88</v>
      </c>
      <c r="B356" s="26"/>
      <c r="C356" s="21" t="str">
        <f>IF(C355="*",C355,"")</f>
        <v>*</v>
      </c>
      <c r="D356" s="22"/>
      <c r="E356" s="23" t="str">
        <f t="shared" si="111"/>
        <v>COMLPG</v>
      </c>
      <c r="F356" s="23" t="str">
        <f t="shared" si="111"/>
        <v>COMEDUOldSHEUE</v>
      </c>
      <c r="G356" s="23" t="str">
        <f t="shared" si="111"/>
        <v>COMEDUOldSHEUE</v>
      </c>
      <c r="H356" s="24">
        <v>2050</v>
      </c>
      <c r="I356" s="24" t="str">
        <f>I355</f>
        <v>LO</v>
      </c>
      <c r="J356" s="24"/>
      <c r="K356" s="25">
        <f>-ROUNDDOWN(SUMIFS('COM RESID'!$O:$O,'COM RESID'!$H:$H,$E356,'COM RESID'!$I:$I,$F356)/SUMIFS('COM RESID'!$O:$O,'COM RESID'!$I:$I,$F356),3)*O356</f>
        <v>0</v>
      </c>
      <c r="L356" s="24"/>
      <c r="M356" s="24"/>
      <c r="N356" s="26"/>
      <c r="O356" s="27">
        <v>0</v>
      </c>
      <c r="Q356" s="21" t="str">
        <f t="shared" si="100"/>
        <v>*</v>
      </c>
      <c r="R356" s="22"/>
      <c r="S356" s="23" t="str">
        <f t="shared" si="102"/>
        <v>COMLPG</v>
      </c>
      <c r="T356" s="23" t="str">
        <f t="shared" si="103"/>
        <v>COMEDUOldSHEUE</v>
      </c>
      <c r="U356" s="23" t="str">
        <f t="shared" si="104"/>
        <v>COMEDUOldSHEUE</v>
      </c>
      <c r="V356" s="24">
        <v>2050</v>
      </c>
      <c r="W356" s="24" t="str">
        <f>W355</f>
        <v>UP</v>
      </c>
      <c r="X356" s="24"/>
      <c r="Y356" s="25">
        <f>-ROUNDUP(MIN(SUMIFS('COM RESID'!$O:$O,'COM RESID'!$H:$H,$E356,'COM RESID'!$I:$I,$F356)/SUMIFS('COM RESID'!$O:$O,'COM RESID'!$I:$I,$F356)*AC356,1),3)</f>
        <v>0</v>
      </c>
      <c r="Z356" s="24"/>
      <c r="AA356" s="24"/>
      <c r="AB356" s="26"/>
      <c r="AC356" s="27">
        <f>IF(S356="COMELC",IF(SUMIFS('COM RESID'!$O:$O,'COM RESID'!$H:$H,$E356,'COM RESID'!$I:$I,$F356)/SUMIFS('COM RESID'!$O:$O,'COM RESID'!$I:$I,$F356)*3&lt;1,1/(SUMIFS('COM RESID'!$O:$O,'COM RESID'!$H:$H,$E356,'COM RESID'!$I:$I,$F356)/SUMIFS('COM RESID'!$O:$O,'COM RESID'!$I:$I,$F356)),3),IF(ISNUMBER(SEARCH("WHEUE",T354)),IF(OR(S354="COMNGA",S354="COMFOI"),0.75,3),3))</f>
        <v>3</v>
      </c>
    </row>
    <row r="357" spans="1:29" x14ac:dyDescent="0.25">
      <c r="A357" s="19">
        <f>A353+1</f>
        <v>89</v>
      </c>
      <c r="B357" s="10"/>
      <c r="C357" s="11" t="str">
        <f>IF(E357="","",IF(_xlfn.XLOOKUP($A357,Selected_constraint_UC!$A:$A,Selected_constraint_UC!$D:$D)=1,"*",IF(SUMIFS('COM TECH'!$N:$N,'COM TECH'!$K:$K,E357,'COM TECH'!$L:$L,F357)=0,"*",IF(SUMIFS('COM RESID'!$O:$O,'COM RESID'!$H:$H,$E357,'COM RESID'!$I:$I,$F357)=0,"*","UC_MarketShare_"&amp;LEFT(F357,LEN(F357)-3)&amp;"_"&amp;RIGHT(E357,3)&amp;"_MIN"))))</f>
        <v>*</v>
      </c>
      <c r="D357" s="12"/>
      <c r="E357" s="13" t="str">
        <f>_xlfn.XLOOKUP($A357,Selected_constraint_UC!$A:$A,Selected_constraint_UC!$B:$B)</f>
        <v>COMSTM</v>
      </c>
      <c r="F357" s="13" t="str">
        <f>_xlfn.XLOOKUP($A357,Selected_constraint_UC!$A:$A,Selected_constraint_UC!$C:$C)</f>
        <v>COMEDUOldSHEUE</v>
      </c>
      <c r="G357" s="13" t="str">
        <f>F357</f>
        <v>COMEDUOldSHEUE</v>
      </c>
      <c r="H357" s="14">
        <v>2019</v>
      </c>
      <c r="I357" s="14" t="s">
        <v>3848</v>
      </c>
      <c r="J357" s="14">
        <v>1</v>
      </c>
      <c r="K357" s="15">
        <f>-ROUNDDOWN(SUMIFS('COM RESID'!$O:$O,'COM RESID'!$H:$H,$E357,'COM RESID'!$I:$I,$F357)/SUMIFS('COM RESID'!$O:$O,'COM RESID'!$I:$I,$F357),3)*O357</f>
        <v>-1.7639999999999999E-2</v>
      </c>
      <c r="L357" s="14">
        <v>0</v>
      </c>
      <c r="M357" s="14">
        <v>5</v>
      </c>
      <c r="N357" s="10"/>
      <c r="O357" s="20">
        <v>0.98</v>
      </c>
      <c r="Q357" s="11" t="str">
        <f t="shared" si="100"/>
        <v>*</v>
      </c>
      <c r="R357" s="12"/>
      <c r="S357" s="13" t="str">
        <f t="shared" si="102"/>
        <v>COMSTM</v>
      </c>
      <c r="T357" s="13" t="str">
        <f t="shared" si="103"/>
        <v>COMEDUOldSHEUE</v>
      </c>
      <c r="U357" s="13" t="str">
        <f t="shared" si="104"/>
        <v>COMEDUOldSHEUE</v>
      </c>
      <c r="V357" s="14">
        <v>2019</v>
      </c>
      <c r="W357" s="14" t="s">
        <v>3849</v>
      </c>
      <c r="X357" s="14">
        <v>1</v>
      </c>
      <c r="Y357" s="15">
        <f>-ROUNDUP(MIN(SUMIFS('COM RESID'!$O:$O,'COM RESID'!$H:$H,$E357,'COM RESID'!$I:$I,$F357)/SUMIFS('COM RESID'!$O:$O,'COM RESID'!$I:$I,$F357)*AC357,1),3)</f>
        <v>-1.9E-2</v>
      </c>
      <c r="Z357" s="14">
        <v>0</v>
      </c>
      <c r="AA357" s="14">
        <v>5</v>
      </c>
      <c r="AB357" s="10"/>
      <c r="AC357" s="20">
        <v>1.02</v>
      </c>
    </row>
    <row r="358" spans="1:29" x14ac:dyDescent="0.25">
      <c r="A358" s="10">
        <f>A357</f>
        <v>89</v>
      </c>
      <c r="B358" s="10"/>
      <c r="C358" s="11" t="str">
        <f>IF(C357="*",C357,"")</f>
        <v>*</v>
      </c>
      <c r="D358" s="12"/>
      <c r="E358" s="13" t="str">
        <f t="shared" ref="E358:G360" si="112">E357</f>
        <v>COMSTM</v>
      </c>
      <c r="F358" s="13" t="str">
        <f t="shared" si="112"/>
        <v>COMEDUOldSHEUE</v>
      </c>
      <c r="G358" s="13" t="str">
        <f t="shared" si="112"/>
        <v>COMEDUOldSHEUE</v>
      </c>
      <c r="H358" s="14">
        <v>2025</v>
      </c>
      <c r="I358" s="14" t="str">
        <f>I357</f>
        <v>LO</v>
      </c>
      <c r="J358" s="14"/>
      <c r="K358" s="15">
        <f>-ROUNDDOWN(SUMIFS('COM RESID'!$O:$O,'COM RESID'!$H:$H,$E358,'COM RESID'!$I:$I,$F358)/SUMIFS('COM RESID'!$O:$O,'COM RESID'!$I:$I,$F358),3)*O358</f>
        <v>-1.44E-2</v>
      </c>
      <c r="L358" s="14"/>
      <c r="M358" s="14"/>
      <c r="N358" s="10"/>
      <c r="O358" s="20">
        <v>0.8</v>
      </c>
      <c r="Q358" s="11" t="str">
        <f t="shared" si="100"/>
        <v>*</v>
      </c>
      <c r="R358" s="12"/>
      <c r="S358" s="13" t="str">
        <f t="shared" si="102"/>
        <v>COMSTM</v>
      </c>
      <c r="T358" s="13" t="str">
        <f t="shared" si="103"/>
        <v>COMEDUOldSHEUE</v>
      </c>
      <c r="U358" s="13" t="str">
        <f t="shared" si="104"/>
        <v>COMEDUOldSHEUE</v>
      </c>
      <c r="V358" s="14">
        <v>2025</v>
      </c>
      <c r="W358" s="14" t="str">
        <f>W357</f>
        <v>UP</v>
      </c>
      <c r="X358" s="14"/>
      <c r="Y358" s="15">
        <f>-ROUNDUP(MIN(SUMIFS('COM RESID'!$O:$O,'COM RESID'!$H:$H,$E358,'COM RESID'!$I:$I,$F358)/SUMIFS('COM RESID'!$O:$O,'COM RESID'!$I:$I,$F358)*AC358,1),3)</f>
        <v>-2.3E-2</v>
      </c>
      <c r="Z358" s="14"/>
      <c r="AA358" s="14"/>
      <c r="AB358" s="10"/>
      <c r="AC358" s="20">
        <f>IF(S358="COMELC",IF(SUMIFS('COM RESID'!$O:$O,'COM RESID'!$H:$H,$E358,'COM RESID'!$I:$I,$F358)/SUMIFS('COM RESID'!$O:$O,'COM RESID'!$I:$I,$F358)*1.2&lt;0.25,0.25/(SUMIFS('COM RESID'!$O:$O,'COM RESID'!$H:$H,$E358,'COM RESID'!$I:$I,$F358)/SUMIFS('COM RESID'!$O:$O,'COM RESID'!$I:$I,$F358)),1.2),IF(ISNUMBER(SEARCH("WHEUE",T358)),IF(OR(S358="COMNGA",S358="COMFOI"),1,1.2),1.2))</f>
        <v>1.2</v>
      </c>
    </row>
    <row r="359" spans="1:29" x14ac:dyDescent="0.25">
      <c r="A359" s="10">
        <f>A358</f>
        <v>89</v>
      </c>
      <c r="B359" s="10"/>
      <c r="C359" s="11" t="str">
        <f>IF(C358="*",C358,"")</f>
        <v>*</v>
      </c>
      <c r="D359" s="12"/>
      <c r="E359" s="13" t="str">
        <f t="shared" si="112"/>
        <v>COMSTM</v>
      </c>
      <c r="F359" s="13" t="str">
        <f t="shared" si="112"/>
        <v>COMEDUOldSHEUE</v>
      </c>
      <c r="G359" s="13" t="str">
        <f t="shared" si="112"/>
        <v>COMEDUOldSHEUE</v>
      </c>
      <c r="H359" s="14">
        <v>2030</v>
      </c>
      <c r="I359" s="14" t="str">
        <f>I358</f>
        <v>LO</v>
      </c>
      <c r="J359" s="14"/>
      <c r="K359" s="15">
        <f>-ROUNDDOWN(SUMIFS('COM RESID'!$O:$O,'COM RESID'!$H:$H,$E359,'COM RESID'!$I:$I,$F359)/SUMIFS('COM RESID'!$O:$O,'COM RESID'!$I:$I,$F359),3)*O359</f>
        <v>-3.5999999999999999E-3</v>
      </c>
      <c r="L359" s="14"/>
      <c r="M359" s="14"/>
      <c r="N359" s="10"/>
      <c r="O359" s="20">
        <v>0.2</v>
      </c>
      <c r="Q359" s="11" t="str">
        <f t="shared" si="100"/>
        <v>*</v>
      </c>
      <c r="R359" s="12"/>
      <c r="S359" s="13" t="str">
        <f t="shared" si="102"/>
        <v>COMSTM</v>
      </c>
      <c r="T359" s="13" t="str">
        <f t="shared" si="103"/>
        <v>COMEDUOldSHEUE</v>
      </c>
      <c r="U359" s="13" t="str">
        <f t="shared" si="104"/>
        <v>COMEDUOldSHEUE</v>
      </c>
      <c r="V359" s="14">
        <v>2030</v>
      </c>
      <c r="W359" s="14" t="str">
        <f>W358</f>
        <v>UP</v>
      </c>
      <c r="X359" s="14"/>
      <c r="Y359" s="15">
        <f>-ROUNDUP(MIN(SUMIFS('COM RESID'!$O:$O,'COM RESID'!$H:$H,$E359,'COM RESID'!$I:$I,$F359)/SUMIFS('COM RESID'!$O:$O,'COM RESID'!$I:$I,$F359)*AC359,1),3)</f>
        <v>-2.8000000000000001E-2</v>
      </c>
      <c r="Z359" s="14"/>
      <c r="AA359" s="14"/>
      <c r="AB359" s="10"/>
      <c r="AC359" s="20">
        <f>IF(S359="COMELC",IF(SUMIFS('COM RESID'!$O:$O,'COM RESID'!$H:$H,$E359,'COM RESID'!$I:$I,$F359)/SUMIFS('COM RESID'!$O:$O,'COM RESID'!$I:$I,$F359)*1.5&lt;0.5,0.5/(SUMIFS('COM RESID'!$O:$O,'COM RESID'!$H:$H,$E359,'COM RESID'!$I:$I,$F359)/SUMIFS('COM RESID'!$O:$O,'COM RESID'!$I:$I,$F359)),1.5),IF(ISNUMBER(SEARCH("WHEUE",T358)),IF(OR(S358="COMNGA",S358="COMFOI"),0.9,1.5),1.5))</f>
        <v>1.5</v>
      </c>
    </row>
    <row r="360" spans="1:29" x14ac:dyDescent="0.25">
      <c r="A360" s="26">
        <f>A359</f>
        <v>89</v>
      </c>
      <c r="B360" s="26"/>
      <c r="C360" s="21" t="str">
        <f>IF(C359="*",C359,"")</f>
        <v>*</v>
      </c>
      <c r="D360" s="22"/>
      <c r="E360" s="23" t="str">
        <f t="shared" si="112"/>
        <v>COMSTM</v>
      </c>
      <c r="F360" s="23" t="str">
        <f t="shared" si="112"/>
        <v>COMEDUOldSHEUE</v>
      </c>
      <c r="G360" s="23" t="str">
        <f t="shared" si="112"/>
        <v>COMEDUOldSHEUE</v>
      </c>
      <c r="H360" s="24">
        <v>2050</v>
      </c>
      <c r="I360" s="24" t="str">
        <f>I359</f>
        <v>LO</v>
      </c>
      <c r="J360" s="24"/>
      <c r="K360" s="25">
        <f>-ROUNDDOWN(SUMIFS('COM RESID'!$O:$O,'COM RESID'!$H:$H,$E360,'COM RESID'!$I:$I,$F360)/SUMIFS('COM RESID'!$O:$O,'COM RESID'!$I:$I,$F360),3)*O360</f>
        <v>0</v>
      </c>
      <c r="L360" s="24"/>
      <c r="M360" s="24"/>
      <c r="N360" s="26"/>
      <c r="O360" s="27">
        <v>0</v>
      </c>
      <c r="Q360" s="21" t="str">
        <f t="shared" si="100"/>
        <v>*</v>
      </c>
      <c r="R360" s="22"/>
      <c r="S360" s="23" t="str">
        <f t="shared" si="102"/>
        <v>COMSTM</v>
      </c>
      <c r="T360" s="23" t="str">
        <f t="shared" si="103"/>
        <v>COMEDUOldSHEUE</v>
      </c>
      <c r="U360" s="23" t="str">
        <f t="shared" si="104"/>
        <v>COMEDUOldSHEUE</v>
      </c>
      <c r="V360" s="24">
        <v>2050</v>
      </c>
      <c r="W360" s="24" t="str">
        <f>W359</f>
        <v>UP</v>
      </c>
      <c r="X360" s="24"/>
      <c r="Y360" s="25">
        <f>-ROUNDUP(MIN(SUMIFS('COM RESID'!$O:$O,'COM RESID'!$H:$H,$E360,'COM RESID'!$I:$I,$F360)/SUMIFS('COM RESID'!$O:$O,'COM RESID'!$I:$I,$F360)*AC360,1),3)</f>
        <v>-5.6000000000000001E-2</v>
      </c>
      <c r="Z360" s="24"/>
      <c r="AA360" s="24"/>
      <c r="AB360" s="26"/>
      <c r="AC360" s="27">
        <f>IF(S360="COMELC",IF(SUMIFS('COM RESID'!$O:$O,'COM RESID'!$H:$H,$E360,'COM RESID'!$I:$I,$F360)/SUMIFS('COM RESID'!$O:$O,'COM RESID'!$I:$I,$F360)*3&lt;1,1/(SUMIFS('COM RESID'!$O:$O,'COM RESID'!$H:$H,$E360,'COM RESID'!$I:$I,$F360)/SUMIFS('COM RESID'!$O:$O,'COM RESID'!$I:$I,$F360)),3),IF(ISNUMBER(SEARCH("WHEUE",T358)),IF(OR(S358="COMNGA",S358="COMFOI"),0.75,3),3))</f>
        <v>3</v>
      </c>
    </row>
    <row r="361" spans="1:29" x14ac:dyDescent="0.25">
      <c r="A361" s="19">
        <f>A357+1</f>
        <v>90</v>
      </c>
      <c r="B361" s="10"/>
      <c r="C361" s="11" t="str">
        <f>IF(E361="","",IF(_xlfn.XLOOKUP($A361,Selected_constraint_UC!$A:$A,Selected_constraint_UC!$D:$D)=1,"*",IF(SUMIFS('COM TECH'!$N:$N,'COM TECH'!$K:$K,E361,'COM TECH'!$L:$L,F361)=0,"*",IF(SUMIFS('COM RESID'!$O:$O,'COM RESID'!$H:$H,$E361,'COM RESID'!$I:$I,$F361)=0,"*","UC_MarketShare_"&amp;LEFT(F361,LEN(F361)-3)&amp;"_"&amp;RIGHT(E361,3)&amp;"_MIN"))))</f>
        <v>UC_MarketShare_COMEDUOldSC_ELC_MIN</v>
      </c>
      <c r="D361" s="12"/>
      <c r="E361" s="13" t="str">
        <f>_xlfn.XLOOKUP($A361,Selected_constraint_UC!$A:$A,Selected_constraint_UC!$B:$B)</f>
        <v>COMELC</v>
      </c>
      <c r="F361" s="13" t="str">
        <f>_xlfn.XLOOKUP($A361,Selected_constraint_UC!$A:$A,Selected_constraint_UC!$C:$C)</f>
        <v>COMEDUOldSCEUE</v>
      </c>
      <c r="G361" s="13" t="str">
        <f>F361</f>
        <v>COMEDUOldSCEUE</v>
      </c>
      <c r="H361" s="14">
        <v>2019</v>
      </c>
      <c r="I361" s="14" t="s">
        <v>3848</v>
      </c>
      <c r="J361" s="14">
        <v>1</v>
      </c>
      <c r="K361" s="15">
        <f>-ROUNDDOWN(SUMIFS('COM RESID'!$O:$O,'COM RESID'!$H:$H,$E361,'COM RESID'!$I:$I,$F361)/SUMIFS('COM RESID'!$O:$O,'COM RESID'!$I:$I,$F361),3)*O361</f>
        <v>-0.98</v>
      </c>
      <c r="L361" s="14">
        <v>0</v>
      </c>
      <c r="M361" s="14">
        <v>5</v>
      </c>
      <c r="N361" s="10"/>
      <c r="O361" s="20">
        <v>0.98</v>
      </c>
      <c r="Q361" s="11" t="str">
        <f t="shared" si="100"/>
        <v>UC_MarketShare_COMEDUOldSC_ELC_MAX</v>
      </c>
      <c r="R361" s="12"/>
      <c r="S361" s="13" t="str">
        <f t="shared" si="102"/>
        <v>COMELC</v>
      </c>
      <c r="T361" s="13" t="str">
        <f t="shared" si="103"/>
        <v>COMEDUOldSCEUE</v>
      </c>
      <c r="U361" s="13" t="str">
        <f t="shared" si="104"/>
        <v>COMEDUOldSCEUE</v>
      </c>
      <c r="V361" s="14">
        <v>2019</v>
      </c>
      <c r="W361" s="14" t="s">
        <v>3849</v>
      </c>
      <c r="X361" s="14">
        <v>1</v>
      </c>
      <c r="Y361" s="15">
        <f>-ROUNDUP(MIN(SUMIFS('COM RESID'!$O:$O,'COM RESID'!$H:$H,$E361,'COM RESID'!$I:$I,$F361)/SUMIFS('COM RESID'!$O:$O,'COM RESID'!$I:$I,$F361)*AC361,1),3)</f>
        <v>-1</v>
      </c>
      <c r="Z361" s="14">
        <v>0</v>
      </c>
      <c r="AA361" s="14">
        <v>5</v>
      </c>
      <c r="AB361" s="10"/>
      <c r="AC361" s="20">
        <v>1.02</v>
      </c>
    </row>
    <row r="362" spans="1:29" x14ac:dyDescent="0.25">
      <c r="A362" s="10">
        <f>A361</f>
        <v>90</v>
      </c>
      <c r="B362" s="10"/>
      <c r="C362" s="11" t="str">
        <f>IF(C361="*",C361,"")</f>
        <v/>
      </c>
      <c r="D362" s="12"/>
      <c r="E362" s="13" t="str">
        <f t="shared" ref="E362:G364" si="113">E361</f>
        <v>COMELC</v>
      </c>
      <c r="F362" s="13" t="str">
        <f t="shared" si="113"/>
        <v>COMEDUOldSCEUE</v>
      </c>
      <c r="G362" s="13" t="str">
        <f t="shared" si="113"/>
        <v>COMEDUOldSCEUE</v>
      </c>
      <c r="H362" s="14">
        <v>2025</v>
      </c>
      <c r="I362" s="14" t="str">
        <f>I361</f>
        <v>LO</v>
      </c>
      <c r="J362" s="14"/>
      <c r="K362" s="15">
        <f>-ROUNDDOWN(SUMIFS('COM RESID'!$O:$O,'COM RESID'!$H:$H,$E362,'COM RESID'!$I:$I,$F362)/SUMIFS('COM RESID'!$O:$O,'COM RESID'!$I:$I,$F362),3)*O362</f>
        <v>-0.8</v>
      </c>
      <c r="L362" s="14"/>
      <c r="M362" s="14"/>
      <c r="N362" s="10"/>
      <c r="O362" s="20">
        <v>0.8</v>
      </c>
      <c r="Q362" s="11" t="str">
        <f t="shared" si="100"/>
        <v/>
      </c>
      <c r="R362" s="12"/>
      <c r="S362" s="13" t="str">
        <f t="shared" si="102"/>
        <v>COMELC</v>
      </c>
      <c r="T362" s="13" t="str">
        <f t="shared" si="103"/>
        <v>COMEDUOldSCEUE</v>
      </c>
      <c r="U362" s="13" t="str">
        <f t="shared" si="104"/>
        <v>COMEDUOldSCEUE</v>
      </c>
      <c r="V362" s="14">
        <v>2025</v>
      </c>
      <c r="W362" s="14" t="str">
        <f>W361</f>
        <v>UP</v>
      </c>
      <c r="X362" s="14"/>
      <c r="Y362" s="15">
        <f>-ROUNDUP(MIN(SUMIFS('COM RESID'!$O:$O,'COM RESID'!$H:$H,$E362,'COM RESID'!$I:$I,$F362)/SUMIFS('COM RESID'!$O:$O,'COM RESID'!$I:$I,$F362)*AC362,1),3)</f>
        <v>-1</v>
      </c>
      <c r="Z362" s="14"/>
      <c r="AA362" s="14"/>
      <c r="AB362" s="10"/>
      <c r="AC362" s="20">
        <f>IF(S362="COMELC",IF(SUMIFS('COM RESID'!$O:$O,'COM RESID'!$H:$H,$E362,'COM RESID'!$I:$I,$F362)/SUMIFS('COM RESID'!$O:$O,'COM RESID'!$I:$I,$F362)*1.2&lt;0.25,0.25/(SUMIFS('COM RESID'!$O:$O,'COM RESID'!$H:$H,$E362,'COM RESID'!$I:$I,$F362)/SUMIFS('COM RESID'!$O:$O,'COM RESID'!$I:$I,$F362)),1.2),IF(ISNUMBER(SEARCH("WHEUE",T362)),IF(OR(S362="COMNGA",S362="COMFOI"),1,1.2),1.2))</f>
        <v>1.2</v>
      </c>
    </row>
    <row r="363" spans="1:29" x14ac:dyDescent="0.25">
      <c r="A363" s="10">
        <f>A362</f>
        <v>90</v>
      </c>
      <c r="B363" s="10"/>
      <c r="C363" s="11" t="str">
        <f>IF(C362="*",C362,"")</f>
        <v/>
      </c>
      <c r="D363" s="12"/>
      <c r="E363" s="13" t="str">
        <f t="shared" si="113"/>
        <v>COMELC</v>
      </c>
      <c r="F363" s="13" t="str">
        <f t="shared" si="113"/>
        <v>COMEDUOldSCEUE</v>
      </c>
      <c r="G363" s="13" t="str">
        <f t="shared" si="113"/>
        <v>COMEDUOldSCEUE</v>
      </c>
      <c r="H363" s="14">
        <v>2030</v>
      </c>
      <c r="I363" s="14" t="str">
        <f>I362</f>
        <v>LO</v>
      </c>
      <c r="J363" s="14"/>
      <c r="K363" s="15">
        <f>-ROUNDDOWN(SUMIFS('COM RESID'!$O:$O,'COM RESID'!$H:$H,$E363,'COM RESID'!$I:$I,$F363)/SUMIFS('COM RESID'!$O:$O,'COM RESID'!$I:$I,$F363),3)*O363</f>
        <v>-0.75</v>
      </c>
      <c r="L363" s="14"/>
      <c r="M363" s="14"/>
      <c r="N363" s="10"/>
      <c r="O363" s="20">
        <v>0.75</v>
      </c>
      <c r="Q363" s="11" t="str">
        <f t="shared" si="100"/>
        <v/>
      </c>
      <c r="R363" s="12"/>
      <c r="S363" s="13" t="str">
        <f t="shared" si="102"/>
        <v>COMELC</v>
      </c>
      <c r="T363" s="13" t="str">
        <f t="shared" si="103"/>
        <v>COMEDUOldSCEUE</v>
      </c>
      <c r="U363" s="13" t="str">
        <f t="shared" si="104"/>
        <v>COMEDUOldSCEUE</v>
      </c>
      <c r="V363" s="14">
        <v>2030</v>
      </c>
      <c r="W363" s="14" t="str">
        <f>W362</f>
        <v>UP</v>
      </c>
      <c r="X363" s="14"/>
      <c r="Y363" s="15">
        <f>-ROUNDUP(MIN(SUMIFS('COM RESID'!$O:$O,'COM RESID'!$H:$H,$E363,'COM RESID'!$I:$I,$F363)/SUMIFS('COM RESID'!$O:$O,'COM RESID'!$I:$I,$F363)*AC363,1),3)</f>
        <v>-1</v>
      </c>
      <c r="Z363" s="14"/>
      <c r="AA363" s="14"/>
      <c r="AB363" s="10"/>
      <c r="AC363" s="20">
        <f>IF(S363="COMELC",IF(SUMIFS('COM RESID'!$O:$O,'COM RESID'!$H:$H,$E363,'COM RESID'!$I:$I,$F363)/SUMIFS('COM RESID'!$O:$O,'COM RESID'!$I:$I,$F363)*1.5&lt;0.5,0.5/(SUMIFS('COM RESID'!$O:$O,'COM RESID'!$H:$H,$E363,'COM RESID'!$I:$I,$F363)/SUMIFS('COM RESID'!$O:$O,'COM RESID'!$I:$I,$F363)),1.5),IF(ISNUMBER(SEARCH("WHEUE",T362)),IF(OR(S362="COMNGA",S362="COMFOI"),0.9,1.5),1.5))</f>
        <v>1.5</v>
      </c>
    </row>
    <row r="364" spans="1:29" x14ac:dyDescent="0.25">
      <c r="A364" s="26">
        <f>A363</f>
        <v>90</v>
      </c>
      <c r="B364" s="26"/>
      <c r="C364" s="21" t="str">
        <f>IF(C363="*",C363,"")</f>
        <v/>
      </c>
      <c r="D364" s="22"/>
      <c r="E364" s="23" t="str">
        <f t="shared" si="113"/>
        <v>COMELC</v>
      </c>
      <c r="F364" s="23" t="str">
        <f t="shared" si="113"/>
        <v>COMEDUOldSCEUE</v>
      </c>
      <c r="G364" s="23" t="str">
        <f t="shared" si="113"/>
        <v>COMEDUOldSCEUE</v>
      </c>
      <c r="H364" s="24">
        <v>2050</v>
      </c>
      <c r="I364" s="24" t="str">
        <f>I363</f>
        <v>LO</v>
      </c>
      <c r="J364" s="24"/>
      <c r="K364" s="25">
        <f>-ROUNDDOWN(SUMIFS('COM RESID'!$O:$O,'COM RESID'!$H:$H,$E364,'COM RESID'!$I:$I,$F364)/SUMIFS('COM RESID'!$O:$O,'COM RESID'!$I:$I,$F364),3)*O364</f>
        <v>-0.75</v>
      </c>
      <c r="L364" s="24"/>
      <c r="M364" s="24"/>
      <c r="N364" s="26"/>
      <c r="O364" s="27">
        <v>0.75</v>
      </c>
      <c r="Q364" s="21" t="str">
        <f t="shared" si="100"/>
        <v/>
      </c>
      <c r="R364" s="22"/>
      <c r="S364" s="23" t="str">
        <f t="shared" si="102"/>
        <v>COMELC</v>
      </c>
      <c r="T364" s="23" t="str">
        <f t="shared" si="103"/>
        <v>COMEDUOldSCEUE</v>
      </c>
      <c r="U364" s="23" t="str">
        <f t="shared" si="104"/>
        <v>COMEDUOldSCEUE</v>
      </c>
      <c r="V364" s="24">
        <v>2050</v>
      </c>
      <c r="W364" s="24" t="str">
        <f>W363</f>
        <v>UP</v>
      </c>
      <c r="X364" s="24"/>
      <c r="Y364" s="25">
        <f>-ROUNDUP(MIN(SUMIFS('COM RESID'!$O:$O,'COM RESID'!$H:$H,$E364,'COM RESID'!$I:$I,$F364)/SUMIFS('COM RESID'!$O:$O,'COM RESID'!$I:$I,$F364)*AC364,1),3)</f>
        <v>-1</v>
      </c>
      <c r="Z364" s="24"/>
      <c r="AA364" s="24"/>
      <c r="AB364" s="26"/>
      <c r="AC364" s="27">
        <f>IF(S364="COMELC",IF(SUMIFS('COM RESID'!$O:$O,'COM RESID'!$H:$H,$E364,'COM RESID'!$I:$I,$F364)/SUMIFS('COM RESID'!$O:$O,'COM RESID'!$I:$I,$F364)*3&lt;1,1/(SUMIFS('COM RESID'!$O:$O,'COM RESID'!$H:$H,$E364,'COM RESID'!$I:$I,$F364)/SUMIFS('COM RESID'!$O:$O,'COM RESID'!$I:$I,$F364)),3),IF(ISNUMBER(SEARCH("WHEUE",T362)),IF(OR(S362="COMNGA",S362="COMFOI"),0.75,3),3))</f>
        <v>3</v>
      </c>
    </row>
    <row r="365" spans="1:29" x14ac:dyDescent="0.25">
      <c r="A365" s="19">
        <f>A361+1</f>
        <v>91</v>
      </c>
      <c r="B365" s="10"/>
      <c r="C365" s="11" t="str">
        <f>IF(E365="","",IF(_xlfn.XLOOKUP($A365,Selected_constraint_UC!$A:$A,Selected_constraint_UC!$D:$D)=1,"*",IF(SUMIFS('COM TECH'!$N:$N,'COM TECH'!$K:$K,E365,'COM TECH'!$L:$L,F365)=0,"*",IF(SUMIFS('COM RESID'!$O:$O,'COM RESID'!$H:$H,$E365,'COM RESID'!$I:$I,$F365)=0,"*","UC_MarketShare_"&amp;LEFT(F365,LEN(F365)-3)&amp;"_"&amp;RIGHT(E365,3)&amp;"_MIN"))))</f>
        <v>*</v>
      </c>
      <c r="D365" s="12"/>
      <c r="E365" s="13" t="str">
        <f>_xlfn.XLOOKUP($A365,Selected_constraint_UC!$A:$A,Selected_constraint_UC!$B:$B)</f>
        <v>COMELC</v>
      </c>
      <c r="F365" s="13" t="str">
        <f>_xlfn.XLOOKUP($A365,Selected_constraint_UC!$A:$A,Selected_constraint_UC!$C:$C)</f>
        <v>COMEDUOldVTEUE</v>
      </c>
      <c r="G365" s="13" t="str">
        <f>F365</f>
        <v>COMEDUOldVTEUE</v>
      </c>
      <c r="H365" s="14">
        <v>2019</v>
      </c>
      <c r="I365" s="14" t="s">
        <v>3848</v>
      </c>
      <c r="J365" s="14">
        <v>1</v>
      </c>
      <c r="K365" s="15">
        <f>-ROUNDDOWN(SUMIFS('COM RESID'!$O:$O,'COM RESID'!$H:$H,$E365,'COM RESID'!$I:$I,$F365)/SUMIFS('COM RESID'!$O:$O,'COM RESID'!$I:$I,$F365),3)*O365</f>
        <v>-0.98</v>
      </c>
      <c r="L365" s="14">
        <v>0</v>
      </c>
      <c r="M365" s="14">
        <v>5</v>
      </c>
      <c r="N365" s="10"/>
      <c r="O365" s="20">
        <v>0.98</v>
      </c>
      <c r="Q365" s="11" t="str">
        <f t="shared" si="100"/>
        <v>*</v>
      </c>
      <c r="R365" s="12"/>
      <c r="S365" s="13" t="str">
        <f t="shared" si="102"/>
        <v>COMELC</v>
      </c>
      <c r="T365" s="13" t="str">
        <f t="shared" si="103"/>
        <v>COMEDUOldVTEUE</v>
      </c>
      <c r="U365" s="13" t="str">
        <f t="shared" si="104"/>
        <v>COMEDUOldVTEUE</v>
      </c>
      <c r="V365" s="14">
        <v>2019</v>
      </c>
      <c r="W365" s="14" t="s">
        <v>3849</v>
      </c>
      <c r="X365" s="14">
        <v>1</v>
      </c>
      <c r="Y365" s="15">
        <f>-ROUNDUP(MIN(SUMIFS('COM RESID'!$O:$O,'COM RESID'!$H:$H,$E365,'COM RESID'!$I:$I,$F365)/SUMIFS('COM RESID'!$O:$O,'COM RESID'!$I:$I,$F365)*AC365,1),3)</f>
        <v>-1</v>
      </c>
      <c r="Z365" s="14">
        <v>0</v>
      </c>
      <c r="AA365" s="14">
        <v>5</v>
      </c>
      <c r="AB365" s="10"/>
      <c r="AC365" s="20">
        <v>1.02</v>
      </c>
    </row>
    <row r="366" spans="1:29" x14ac:dyDescent="0.25">
      <c r="A366" s="10">
        <f>A365</f>
        <v>91</v>
      </c>
      <c r="B366" s="10"/>
      <c r="C366" s="11" t="str">
        <f>IF(C365="*",C365,"")</f>
        <v>*</v>
      </c>
      <c r="D366" s="12"/>
      <c r="E366" s="13" t="str">
        <f t="shared" ref="E366:G368" si="114">E365</f>
        <v>COMELC</v>
      </c>
      <c r="F366" s="13" t="str">
        <f t="shared" si="114"/>
        <v>COMEDUOldVTEUE</v>
      </c>
      <c r="G366" s="13" t="str">
        <f t="shared" si="114"/>
        <v>COMEDUOldVTEUE</v>
      </c>
      <c r="H366" s="14">
        <v>2025</v>
      </c>
      <c r="I366" s="14" t="str">
        <f>I365</f>
        <v>LO</v>
      </c>
      <c r="J366" s="14"/>
      <c r="K366" s="15">
        <f>-ROUNDDOWN(SUMIFS('COM RESID'!$O:$O,'COM RESID'!$H:$H,$E366,'COM RESID'!$I:$I,$F366)/SUMIFS('COM RESID'!$O:$O,'COM RESID'!$I:$I,$F366),3)*O366</f>
        <v>-0.8</v>
      </c>
      <c r="L366" s="14"/>
      <c r="M366" s="14"/>
      <c r="N366" s="10"/>
      <c r="O366" s="20">
        <v>0.8</v>
      </c>
      <c r="Q366" s="11" t="str">
        <f t="shared" si="100"/>
        <v>*</v>
      </c>
      <c r="R366" s="12"/>
      <c r="S366" s="13" t="str">
        <f t="shared" si="102"/>
        <v>COMELC</v>
      </c>
      <c r="T366" s="13" t="str">
        <f t="shared" si="103"/>
        <v>COMEDUOldVTEUE</v>
      </c>
      <c r="U366" s="13" t="str">
        <f t="shared" si="104"/>
        <v>COMEDUOldVTEUE</v>
      </c>
      <c r="V366" s="14">
        <v>2025</v>
      </c>
      <c r="W366" s="14" t="str">
        <f>W365</f>
        <v>UP</v>
      </c>
      <c r="X366" s="14"/>
      <c r="Y366" s="15">
        <f>-ROUNDUP(MIN(SUMIFS('COM RESID'!$O:$O,'COM RESID'!$H:$H,$E366,'COM RESID'!$I:$I,$F366)/SUMIFS('COM RESID'!$O:$O,'COM RESID'!$I:$I,$F366)*AC366,1),3)</f>
        <v>-1</v>
      </c>
      <c r="Z366" s="14"/>
      <c r="AA366" s="14"/>
      <c r="AB366" s="10"/>
      <c r="AC366" s="20">
        <f>IF(S366="COMELC",IF(SUMIFS('COM RESID'!$O:$O,'COM RESID'!$H:$H,$E366,'COM RESID'!$I:$I,$F366)/SUMIFS('COM RESID'!$O:$O,'COM RESID'!$I:$I,$F366)*1.2&lt;0.25,0.25/(SUMIFS('COM RESID'!$O:$O,'COM RESID'!$H:$H,$E366,'COM RESID'!$I:$I,$F366)/SUMIFS('COM RESID'!$O:$O,'COM RESID'!$I:$I,$F366)),1.2),IF(ISNUMBER(SEARCH("WHEUE",T366)),IF(OR(S366="COMNGA",S366="COMFOI"),1,1.2),1.2))</f>
        <v>1.2</v>
      </c>
    </row>
    <row r="367" spans="1:29" x14ac:dyDescent="0.25">
      <c r="A367" s="10">
        <f>A366</f>
        <v>91</v>
      </c>
      <c r="B367" s="10"/>
      <c r="C367" s="11" t="str">
        <f>IF(C366="*",C366,"")</f>
        <v>*</v>
      </c>
      <c r="D367" s="12"/>
      <c r="E367" s="13" t="str">
        <f t="shared" si="114"/>
        <v>COMELC</v>
      </c>
      <c r="F367" s="13" t="str">
        <f t="shared" si="114"/>
        <v>COMEDUOldVTEUE</v>
      </c>
      <c r="G367" s="13" t="str">
        <f t="shared" si="114"/>
        <v>COMEDUOldVTEUE</v>
      </c>
      <c r="H367" s="14">
        <v>2030</v>
      </c>
      <c r="I367" s="14" t="str">
        <f>I366</f>
        <v>LO</v>
      </c>
      <c r="J367" s="14"/>
      <c r="K367" s="15">
        <f>-ROUNDDOWN(SUMIFS('COM RESID'!$O:$O,'COM RESID'!$H:$H,$E367,'COM RESID'!$I:$I,$F367)/SUMIFS('COM RESID'!$O:$O,'COM RESID'!$I:$I,$F367),3)*O367</f>
        <v>-0.2</v>
      </c>
      <c r="L367" s="14"/>
      <c r="M367" s="14"/>
      <c r="N367" s="10"/>
      <c r="O367" s="20">
        <v>0.2</v>
      </c>
      <c r="Q367" s="11" t="str">
        <f t="shared" si="100"/>
        <v>*</v>
      </c>
      <c r="R367" s="12"/>
      <c r="S367" s="13" t="str">
        <f t="shared" si="102"/>
        <v>COMELC</v>
      </c>
      <c r="T367" s="13" t="str">
        <f t="shared" si="103"/>
        <v>COMEDUOldVTEUE</v>
      </c>
      <c r="U367" s="13" t="str">
        <f t="shared" si="104"/>
        <v>COMEDUOldVTEUE</v>
      </c>
      <c r="V367" s="14">
        <v>2030</v>
      </c>
      <c r="W367" s="14" t="str">
        <f>W366</f>
        <v>UP</v>
      </c>
      <c r="X367" s="14"/>
      <c r="Y367" s="15">
        <f>-ROUNDUP(MIN(SUMIFS('COM RESID'!$O:$O,'COM RESID'!$H:$H,$E367,'COM RESID'!$I:$I,$F367)/SUMIFS('COM RESID'!$O:$O,'COM RESID'!$I:$I,$F367)*AC367,1),3)</f>
        <v>-1</v>
      </c>
      <c r="Z367" s="14"/>
      <c r="AA367" s="14"/>
      <c r="AB367" s="10"/>
      <c r="AC367" s="20">
        <f>IF(S367="COMELC",IF(SUMIFS('COM RESID'!$O:$O,'COM RESID'!$H:$H,$E367,'COM RESID'!$I:$I,$F367)/SUMIFS('COM RESID'!$O:$O,'COM RESID'!$I:$I,$F367)*1.5&lt;0.5,0.5/(SUMIFS('COM RESID'!$O:$O,'COM RESID'!$H:$H,$E367,'COM RESID'!$I:$I,$F367)/SUMIFS('COM RESID'!$O:$O,'COM RESID'!$I:$I,$F367)),1.5),IF(ISNUMBER(SEARCH("WHEUE",T366)),IF(OR(S366="COMNGA",S366="COMFOI"),0.9,1.5),1.5))</f>
        <v>1.5</v>
      </c>
    </row>
    <row r="368" spans="1:29" x14ac:dyDescent="0.25">
      <c r="A368" s="26">
        <f>A367</f>
        <v>91</v>
      </c>
      <c r="B368" s="26"/>
      <c r="C368" s="21" t="str">
        <f>IF(C367="*",C367,"")</f>
        <v>*</v>
      </c>
      <c r="D368" s="22"/>
      <c r="E368" s="23" t="str">
        <f t="shared" si="114"/>
        <v>COMELC</v>
      </c>
      <c r="F368" s="23" t="str">
        <f t="shared" si="114"/>
        <v>COMEDUOldVTEUE</v>
      </c>
      <c r="G368" s="23" t="str">
        <f t="shared" si="114"/>
        <v>COMEDUOldVTEUE</v>
      </c>
      <c r="H368" s="24">
        <v>2050</v>
      </c>
      <c r="I368" s="24" t="str">
        <f>I367</f>
        <v>LO</v>
      </c>
      <c r="J368" s="24"/>
      <c r="K368" s="25">
        <f>-ROUNDDOWN(SUMIFS('COM RESID'!$O:$O,'COM RESID'!$H:$H,$E368,'COM RESID'!$I:$I,$F368)/SUMIFS('COM RESID'!$O:$O,'COM RESID'!$I:$I,$F368),3)*O368</f>
        <v>0</v>
      </c>
      <c r="L368" s="24"/>
      <c r="M368" s="24"/>
      <c r="N368" s="26"/>
      <c r="O368" s="27">
        <v>0</v>
      </c>
      <c r="Q368" s="21" t="str">
        <f t="shared" si="100"/>
        <v>*</v>
      </c>
      <c r="R368" s="22"/>
      <c r="S368" s="23" t="str">
        <f t="shared" si="102"/>
        <v>COMELC</v>
      </c>
      <c r="T368" s="23" t="str">
        <f t="shared" si="103"/>
        <v>COMEDUOldVTEUE</v>
      </c>
      <c r="U368" s="23" t="str">
        <f t="shared" si="104"/>
        <v>COMEDUOldVTEUE</v>
      </c>
      <c r="V368" s="24">
        <v>2050</v>
      </c>
      <c r="W368" s="24" t="str">
        <f>W367</f>
        <v>UP</v>
      </c>
      <c r="X368" s="24"/>
      <c r="Y368" s="25">
        <f>-ROUNDUP(MIN(SUMIFS('COM RESID'!$O:$O,'COM RESID'!$H:$H,$E368,'COM RESID'!$I:$I,$F368)/SUMIFS('COM RESID'!$O:$O,'COM RESID'!$I:$I,$F368)*AC368,1),3)</f>
        <v>-1</v>
      </c>
      <c r="Z368" s="24"/>
      <c r="AA368" s="24"/>
      <c r="AB368" s="26"/>
      <c r="AC368" s="27">
        <f>IF(S368="COMELC",IF(SUMIFS('COM RESID'!$O:$O,'COM RESID'!$H:$H,$E368,'COM RESID'!$I:$I,$F368)/SUMIFS('COM RESID'!$O:$O,'COM RESID'!$I:$I,$F368)*3&lt;1,1/(SUMIFS('COM RESID'!$O:$O,'COM RESID'!$H:$H,$E368,'COM RESID'!$I:$I,$F368)/SUMIFS('COM RESID'!$O:$O,'COM RESID'!$I:$I,$F368)),3),IF(ISNUMBER(SEARCH("WHEUE",T366)),IF(OR(S366="COMNGA",S366="COMFOI"),0.75,3),3))</f>
        <v>3</v>
      </c>
    </row>
    <row r="369" spans="1:29" x14ac:dyDescent="0.25">
      <c r="A369" s="19">
        <f>A365+1</f>
        <v>92</v>
      </c>
      <c r="B369" s="10"/>
      <c r="C369" s="11" t="str">
        <f>IF(E369="","",IF(_xlfn.XLOOKUP($A369,Selected_constraint_UC!$A:$A,Selected_constraint_UC!$D:$D)=1,"*",IF(SUMIFS('COM TECH'!$N:$N,'COM TECH'!$K:$K,E369,'COM TECH'!$L:$L,F369)=0,"*",IF(SUMIFS('COM RESID'!$O:$O,'COM RESID'!$H:$H,$E369,'COM RESID'!$I:$I,$F369)=0,"*","UC_MarketShare_"&amp;LEFT(F369,LEN(F369)-3)&amp;"_"&amp;RIGHT(E369,3)&amp;"_MIN"))))</f>
        <v>UC_MarketShare_COMEDUOldWH_FOI_MIN</v>
      </c>
      <c r="D369" s="12"/>
      <c r="E369" s="13" t="str">
        <f>_xlfn.XLOOKUP($A369,Selected_constraint_UC!$A:$A,Selected_constraint_UC!$B:$B)</f>
        <v>COMFOI</v>
      </c>
      <c r="F369" s="13" t="str">
        <f>_xlfn.XLOOKUP($A369,Selected_constraint_UC!$A:$A,Selected_constraint_UC!$C:$C)</f>
        <v>COMEDUOldWHEUE</v>
      </c>
      <c r="G369" s="13" t="str">
        <f>F369</f>
        <v>COMEDUOldWHEUE</v>
      </c>
      <c r="H369" s="14">
        <v>2019</v>
      </c>
      <c r="I369" s="14" t="s">
        <v>3848</v>
      </c>
      <c r="J369" s="14">
        <v>1</v>
      </c>
      <c r="K369" s="15">
        <f>-ROUNDDOWN(SUMIFS('COM RESID'!$O:$O,'COM RESID'!$H:$H,$E369,'COM RESID'!$I:$I,$F369)/SUMIFS('COM RESID'!$O:$O,'COM RESID'!$I:$I,$F369),3)*O369</f>
        <v>-5.978E-2</v>
      </c>
      <c r="L369" s="14">
        <v>0</v>
      </c>
      <c r="M369" s="14">
        <v>5</v>
      </c>
      <c r="N369" s="10"/>
      <c r="O369" s="20">
        <v>0.98</v>
      </c>
      <c r="Q369" s="11" t="str">
        <f t="shared" si="100"/>
        <v>UC_MarketShare_COMEDUOldWH_FOI_MAX</v>
      </c>
      <c r="R369" s="12"/>
      <c r="S369" s="13" t="str">
        <f t="shared" si="102"/>
        <v>COMFOI</v>
      </c>
      <c r="T369" s="13" t="str">
        <f t="shared" si="103"/>
        <v>COMEDUOldWHEUE</v>
      </c>
      <c r="U369" s="13" t="str">
        <f t="shared" si="104"/>
        <v>COMEDUOldWHEUE</v>
      </c>
      <c r="V369" s="14">
        <v>2019</v>
      </c>
      <c r="W369" s="14" t="s">
        <v>3849</v>
      </c>
      <c r="X369" s="14">
        <v>1</v>
      </c>
      <c r="Y369" s="15">
        <f>-ROUNDUP(MIN(SUMIFS('COM RESID'!$O:$O,'COM RESID'!$H:$H,$E369,'COM RESID'!$I:$I,$F369)/SUMIFS('COM RESID'!$O:$O,'COM RESID'!$I:$I,$F369)*AC369,1),3)</f>
        <v>-6.3E-2</v>
      </c>
      <c r="Z369" s="14">
        <v>0</v>
      </c>
      <c r="AA369" s="14">
        <v>5</v>
      </c>
      <c r="AB369" s="10"/>
      <c r="AC369" s="20">
        <v>1.02</v>
      </c>
    </row>
    <row r="370" spans="1:29" x14ac:dyDescent="0.25">
      <c r="A370" s="10">
        <f>A369</f>
        <v>92</v>
      </c>
      <c r="B370" s="10"/>
      <c r="C370" s="11" t="str">
        <f>IF(C369="*",C369,"")</f>
        <v/>
      </c>
      <c r="D370" s="12"/>
      <c r="E370" s="13" t="str">
        <f t="shared" ref="E370:G372" si="115">E369</f>
        <v>COMFOI</v>
      </c>
      <c r="F370" s="13" t="str">
        <f t="shared" si="115"/>
        <v>COMEDUOldWHEUE</v>
      </c>
      <c r="G370" s="13" t="str">
        <f t="shared" si="115"/>
        <v>COMEDUOldWHEUE</v>
      </c>
      <c r="H370" s="14">
        <v>2025</v>
      </c>
      <c r="I370" s="14" t="str">
        <f>I369</f>
        <v>LO</v>
      </c>
      <c r="J370" s="14"/>
      <c r="K370" s="15">
        <f>-ROUNDDOWN(SUMIFS('COM RESID'!$O:$O,'COM RESID'!$H:$H,$E370,'COM RESID'!$I:$I,$F370)/SUMIFS('COM RESID'!$O:$O,'COM RESID'!$I:$I,$F370),3)*O370</f>
        <v>-4.8800000000000003E-2</v>
      </c>
      <c r="L370" s="14"/>
      <c r="M370" s="14"/>
      <c r="N370" s="10"/>
      <c r="O370" s="20">
        <v>0.8</v>
      </c>
      <c r="Q370" s="11" t="str">
        <f t="shared" si="100"/>
        <v/>
      </c>
      <c r="R370" s="12"/>
      <c r="S370" s="13" t="str">
        <f t="shared" si="102"/>
        <v>COMFOI</v>
      </c>
      <c r="T370" s="13" t="str">
        <f t="shared" si="103"/>
        <v>COMEDUOldWHEUE</v>
      </c>
      <c r="U370" s="13" t="str">
        <f t="shared" si="104"/>
        <v>COMEDUOldWHEUE</v>
      </c>
      <c r="V370" s="14">
        <v>2025</v>
      </c>
      <c r="W370" s="14" t="str">
        <f>W369</f>
        <v>UP</v>
      </c>
      <c r="X370" s="14"/>
      <c r="Y370" s="15">
        <f>-ROUNDUP(MIN(SUMIFS('COM RESID'!$O:$O,'COM RESID'!$H:$H,$E370,'COM RESID'!$I:$I,$F370)/SUMIFS('COM RESID'!$O:$O,'COM RESID'!$I:$I,$F370)*AC370,1),3)</f>
        <v>-6.2E-2</v>
      </c>
      <c r="Z370" s="14"/>
      <c r="AA370" s="14"/>
      <c r="AB370" s="10"/>
      <c r="AC370" s="20">
        <f>IF(S370="COMELC",IF(SUMIFS('COM RESID'!$O:$O,'COM RESID'!$H:$H,$E370,'COM RESID'!$I:$I,$F370)/SUMIFS('COM RESID'!$O:$O,'COM RESID'!$I:$I,$F370)*1.2&lt;0.25,0.25/(SUMIFS('COM RESID'!$O:$O,'COM RESID'!$H:$H,$E370,'COM RESID'!$I:$I,$F370)/SUMIFS('COM RESID'!$O:$O,'COM RESID'!$I:$I,$F370)),1.2),IF(ISNUMBER(SEARCH("WHEUE",T370)),IF(OR(S370="COMNGA",S370="COMFOI"),1,1.2),1.2))</f>
        <v>1</v>
      </c>
    </row>
    <row r="371" spans="1:29" x14ac:dyDescent="0.25">
      <c r="A371" s="10">
        <f>A370</f>
        <v>92</v>
      </c>
      <c r="B371" s="10"/>
      <c r="C371" s="11" t="str">
        <f>IF(C370="*",C370,"")</f>
        <v/>
      </c>
      <c r="D371" s="12"/>
      <c r="E371" s="13" t="str">
        <f t="shared" si="115"/>
        <v>COMFOI</v>
      </c>
      <c r="F371" s="13" t="str">
        <f t="shared" si="115"/>
        <v>COMEDUOldWHEUE</v>
      </c>
      <c r="G371" s="13" t="str">
        <f t="shared" si="115"/>
        <v>COMEDUOldWHEUE</v>
      </c>
      <c r="H371" s="14">
        <v>2030</v>
      </c>
      <c r="I371" s="14" t="str">
        <f>I370</f>
        <v>LO</v>
      </c>
      <c r="J371" s="14"/>
      <c r="K371" s="15">
        <f>-ROUNDDOWN(SUMIFS('COM RESID'!$O:$O,'COM RESID'!$H:$H,$E371,'COM RESID'!$I:$I,$F371)/SUMIFS('COM RESID'!$O:$O,'COM RESID'!$I:$I,$F371),3)*O371</f>
        <v>-1.2200000000000001E-2</v>
      </c>
      <c r="L371" s="14"/>
      <c r="M371" s="14"/>
      <c r="N371" s="10"/>
      <c r="O371" s="20">
        <v>0.2</v>
      </c>
      <c r="Q371" s="11" t="str">
        <f t="shared" si="100"/>
        <v/>
      </c>
      <c r="R371" s="12"/>
      <c r="S371" s="13" t="str">
        <f t="shared" si="102"/>
        <v>COMFOI</v>
      </c>
      <c r="T371" s="13" t="str">
        <f t="shared" si="103"/>
        <v>COMEDUOldWHEUE</v>
      </c>
      <c r="U371" s="13" t="str">
        <f t="shared" si="104"/>
        <v>COMEDUOldWHEUE</v>
      </c>
      <c r="V371" s="14">
        <v>2030</v>
      </c>
      <c r="W371" s="14" t="str">
        <f>W370</f>
        <v>UP</v>
      </c>
      <c r="X371" s="14"/>
      <c r="Y371" s="15">
        <f>-ROUNDUP(MIN(SUMIFS('COM RESID'!$O:$O,'COM RESID'!$H:$H,$E371,'COM RESID'!$I:$I,$F371)/SUMIFS('COM RESID'!$O:$O,'COM RESID'!$I:$I,$F371)*AC371,1),3)</f>
        <v>-5.6000000000000001E-2</v>
      </c>
      <c r="Z371" s="14"/>
      <c r="AA371" s="14"/>
      <c r="AB371" s="10"/>
      <c r="AC371" s="20">
        <f>IF(S371="COMELC",IF(SUMIFS('COM RESID'!$O:$O,'COM RESID'!$H:$H,$E371,'COM RESID'!$I:$I,$F371)/SUMIFS('COM RESID'!$O:$O,'COM RESID'!$I:$I,$F371)*1.5&lt;0.5,0.5/(SUMIFS('COM RESID'!$O:$O,'COM RESID'!$H:$H,$E371,'COM RESID'!$I:$I,$F371)/SUMIFS('COM RESID'!$O:$O,'COM RESID'!$I:$I,$F371)),1.5),IF(ISNUMBER(SEARCH("WHEUE",T370)),IF(OR(S370="COMNGA",S370="COMFOI"),0.9,1.5),1.5))</f>
        <v>0.9</v>
      </c>
    </row>
    <row r="372" spans="1:29" x14ac:dyDescent="0.25">
      <c r="A372" s="26">
        <f>A371</f>
        <v>92</v>
      </c>
      <c r="B372" s="26"/>
      <c r="C372" s="21" t="str">
        <f>IF(C371="*",C371,"")</f>
        <v/>
      </c>
      <c r="D372" s="22"/>
      <c r="E372" s="23" t="str">
        <f t="shared" si="115"/>
        <v>COMFOI</v>
      </c>
      <c r="F372" s="23" t="str">
        <f t="shared" si="115"/>
        <v>COMEDUOldWHEUE</v>
      </c>
      <c r="G372" s="23" t="str">
        <f t="shared" si="115"/>
        <v>COMEDUOldWHEUE</v>
      </c>
      <c r="H372" s="24">
        <v>2050</v>
      </c>
      <c r="I372" s="24" t="str">
        <f>I371</f>
        <v>LO</v>
      </c>
      <c r="J372" s="24"/>
      <c r="K372" s="25">
        <f>-ROUNDDOWN(SUMIFS('COM RESID'!$O:$O,'COM RESID'!$H:$H,$E372,'COM RESID'!$I:$I,$F372)/SUMIFS('COM RESID'!$O:$O,'COM RESID'!$I:$I,$F372),3)*O372</f>
        <v>0</v>
      </c>
      <c r="L372" s="24"/>
      <c r="M372" s="24"/>
      <c r="N372" s="26"/>
      <c r="O372" s="27">
        <v>0</v>
      </c>
      <c r="Q372" s="21" t="str">
        <f t="shared" si="100"/>
        <v/>
      </c>
      <c r="R372" s="22"/>
      <c r="S372" s="23" t="str">
        <f t="shared" si="102"/>
        <v>COMFOI</v>
      </c>
      <c r="T372" s="23" t="str">
        <f t="shared" si="103"/>
        <v>COMEDUOldWHEUE</v>
      </c>
      <c r="U372" s="23" t="str">
        <f t="shared" si="104"/>
        <v>COMEDUOldWHEUE</v>
      </c>
      <c r="V372" s="24">
        <v>2050</v>
      </c>
      <c r="W372" s="24" t="str">
        <f>W371</f>
        <v>UP</v>
      </c>
      <c r="X372" s="24"/>
      <c r="Y372" s="25">
        <f>-ROUNDUP(MIN(SUMIFS('COM RESID'!$O:$O,'COM RESID'!$H:$H,$E372,'COM RESID'!$I:$I,$F372)/SUMIFS('COM RESID'!$O:$O,'COM RESID'!$I:$I,$F372)*AC372,1),3)</f>
        <v>-4.7E-2</v>
      </c>
      <c r="Z372" s="24"/>
      <c r="AA372" s="24"/>
      <c r="AB372" s="26"/>
      <c r="AC372" s="27">
        <f>IF(S372="COMELC",IF(SUMIFS('COM RESID'!$O:$O,'COM RESID'!$H:$H,$E372,'COM RESID'!$I:$I,$F372)/SUMIFS('COM RESID'!$O:$O,'COM RESID'!$I:$I,$F372)*3&lt;1,1/(SUMIFS('COM RESID'!$O:$O,'COM RESID'!$H:$H,$E372,'COM RESID'!$I:$I,$F372)/SUMIFS('COM RESID'!$O:$O,'COM RESID'!$I:$I,$F372)),3),IF(ISNUMBER(SEARCH("WHEUE",T370)),IF(OR(S370="COMNGA",S370="COMFOI"),0.75,3),3))</f>
        <v>0.75</v>
      </c>
    </row>
    <row r="373" spans="1:29" x14ac:dyDescent="0.25">
      <c r="A373" s="19">
        <f>A369+1</f>
        <v>93</v>
      </c>
      <c r="B373" s="10"/>
      <c r="C373" s="11" t="str">
        <f>IF(E373="","",IF(_xlfn.XLOOKUP($A373,Selected_constraint_UC!$A:$A,Selected_constraint_UC!$D:$D)=1,"*",IF(SUMIFS('COM TECH'!$N:$N,'COM TECH'!$K:$K,E373,'COM TECH'!$L:$L,F373)=0,"*",IF(SUMIFS('COM RESID'!$O:$O,'COM RESID'!$H:$H,$E373,'COM RESID'!$I:$I,$F373)=0,"*","UC_MarketShare_"&amp;LEFT(F373,LEN(F373)-3)&amp;"_"&amp;RIGHT(E373,3)&amp;"_MIN"))))</f>
        <v>UC_MarketShare_COMEDUOldWH_NGA_MIN</v>
      </c>
      <c r="D373" s="12"/>
      <c r="E373" s="13" t="str">
        <f>_xlfn.XLOOKUP($A373,Selected_constraint_UC!$A:$A,Selected_constraint_UC!$B:$B)</f>
        <v>COMNGA</v>
      </c>
      <c r="F373" s="13" t="str">
        <f>_xlfn.XLOOKUP($A373,Selected_constraint_UC!$A:$A,Selected_constraint_UC!$C:$C)</f>
        <v>COMEDUOldWHEUE</v>
      </c>
      <c r="G373" s="13" t="str">
        <f>F373</f>
        <v>COMEDUOldWHEUE</v>
      </c>
      <c r="H373" s="14">
        <v>2019</v>
      </c>
      <c r="I373" s="14" t="s">
        <v>3848</v>
      </c>
      <c r="J373" s="14">
        <v>1</v>
      </c>
      <c r="K373" s="15">
        <f>-ROUNDDOWN(SUMIFS('COM RESID'!$O:$O,'COM RESID'!$H:$H,$E373,'COM RESID'!$I:$I,$F373)/SUMIFS('COM RESID'!$O:$O,'COM RESID'!$I:$I,$F373),3)*O373</f>
        <v>-0.82123999999999997</v>
      </c>
      <c r="L373" s="14">
        <v>0</v>
      </c>
      <c r="M373" s="14">
        <v>5</v>
      </c>
      <c r="N373" s="10"/>
      <c r="O373" s="20">
        <v>0.98</v>
      </c>
      <c r="Q373" s="11" t="str">
        <f t="shared" si="100"/>
        <v>UC_MarketShare_COMEDUOldWH_NGA_MAX</v>
      </c>
      <c r="R373" s="12"/>
      <c r="S373" s="13" t="str">
        <f t="shared" si="102"/>
        <v>COMNGA</v>
      </c>
      <c r="T373" s="13" t="str">
        <f t="shared" si="103"/>
        <v>COMEDUOldWHEUE</v>
      </c>
      <c r="U373" s="13" t="str">
        <f t="shared" si="104"/>
        <v>COMEDUOldWHEUE</v>
      </c>
      <c r="V373" s="14">
        <v>2019</v>
      </c>
      <c r="W373" s="14" t="s">
        <v>3849</v>
      </c>
      <c r="X373" s="14">
        <v>1</v>
      </c>
      <c r="Y373" s="15">
        <f>-ROUNDUP(MIN(SUMIFS('COM RESID'!$O:$O,'COM RESID'!$H:$H,$E373,'COM RESID'!$I:$I,$F373)/SUMIFS('COM RESID'!$O:$O,'COM RESID'!$I:$I,$F373)*AC373,1),3)</f>
        <v>-0.85599999999999998</v>
      </c>
      <c r="Z373" s="14">
        <v>0</v>
      </c>
      <c r="AA373" s="14">
        <v>5</v>
      </c>
      <c r="AB373" s="10"/>
      <c r="AC373" s="20">
        <v>1.02</v>
      </c>
    </row>
    <row r="374" spans="1:29" x14ac:dyDescent="0.25">
      <c r="A374" s="10">
        <f>A373</f>
        <v>93</v>
      </c>
      <c r="B374" s="10"/>
      <c r="C374" s="11" t="str">
        <f>IF(C373="*",C373,"")</f>
        <v/>
      </c>
      <c r="D374" s="12"/>
      <c r="E374" s="13" t="str">
        <f t="shared" ref="E374:G376" si="116">E373</f>
        <v>COMNGA</v>
      </c>
      <c r="F374" s="13" t="str">
        <f t="shared" si="116"/>
        <v>COMEDUOldWHEUE</v>
      </c>
      <c r="G374" s="13" t="str">
        <f t="shared" si="116"/>
        <v>COMEDUOldWHEUE</v>
      </c>
      <c r="H374" s="14">
        <v>2025</v>
      </c>
      <c r="I374" s="14" t="str">
        <f>I373</f>
        <v>LO</v>
      </c>
      <c r="J374" s="14"/>
      <c r="K374" s="15">
        <f>-ROUNDDOWN(SUMIFS('COM RESID'!$O:$O,'COM RESID'!$H:$H,$E374,'COM RESID'!$I:$I,$F374)/SUMIFS('COM RESID'!$O:$O,'COM RESID'!$I:$I,$F374),3)*O374</f>
        <v>-0.6704</v>
      </c>
      <c r="L374" s="14"/>
      <c r="M374" s="14"/>
      <c r="N374" s="10"/>
      <c r="O374" s="20">
        <v>0.8</v>
      </c>
      <c r="Q374" s="11" t="str">
        <f t="shared" si="100"/>
        <v/>
      </c>
      <c r="R374" s="12"/>
      <c r="S374" s="13" t="str">
        <f t="shared" si="102"/>
        <v>COMNGA</v>
      </c>
      <c r="T374" s="13" t="str">
        <f t="shared" si="103"/>
        <v>COMEDUOldWHEUE</v>
      </c>
      <c r="U374" s="13" t="str">
        <f t="shared" si="104"/>
        <v>COMEDUOldWHEUE</v>
      </c>
      <c r="V374" s="14">
        <v>2025</v>
      </c>
      <c r="W374" s="14" t="str">
        <f>W373</f>
        <v>UP</v>
      </c>
      <c r="X374" s="14"/>
      <c r="Y374" s="15">
        <f>-ROUNDUP(MIN(SUMIFS('COM RESID'!$O:$O,'COM RESID'!$H:$H,$E374,'COM RESID'!$I:$I,$F374)/SUMIFS('COM RESID'!$O:$O,'COM RESID'!$I:$I,$F374)*AC374,1),3)</f>
        <v>-0.83899999999999997</v>
      </c>
      <c r="Z374" s="14"/>
      <c r="AA374" s="14"/>
      <c r="AB374" s="10"/>
      <c r="AC374" s="20">
        <f>IF(S374="COMELC",IF(SUMIFS('COM RESID'!$O:$O,'COM RESID'!$H:$H,$E374,'COM RESID'!$I:$I,$F374)/SUMIFS('COM RESID'!$O:$O,'COM RESID'!$I:$I,$F374)*1.2&lt;0.25,0.25/(SUMIFS('COM RESID'!$O:$O,'COM RESID'!$H:$H,$E374,'COM RESID'!$I:$I,$F374)/SUMIFS('COM RESID'!$O:$O,'COM RESID'!$I:$I,$F374)),1.2),IF(ISNUMBER(SEARCH("WHEUE",T374)),IF(OR(S374="COMNGA",S374="COMFOI"),1,1.2),1.2))</f>
        <v>1</v>
      </c>
    </row>
    <row r="375" spans="1:29" x14ac:dyDescent="0.25">
      <c r="A375" s="10">
        <f>A374</f>
        <v>93</v>
      </c>
      <c r="B375" s="10"/>
      <c r="C375" s="11" t="str">
        <f>IF(C374="*",C374,"")</f>
        <v/>
      </c>
      <c r="D375" s="12"/>
      <c r="E375" s="13" t="str">
        <f t="shared" si="116"/>
        <v>COMNGA</v>
      </c>
      <c r="F375" s="13" t="str">
        <f t="shared" si="116"/>
        <v>COMEDUOldWHEUE</v>
      </c>
      <c r="G375" s="13" t="str">
        <f t="shared" si="116"/>
        <v>COMEDUOldWHEUE</v>
      </c>
      <c r="H375" s="14">
        <v>2030</v>
      </c>
      <c r="I375" s="14" t="str">
        <f>I374</f>
        <v>LO</v>
      </c>
      <c r="J375" s="14"/>
      <c r="K375" s="15">
        <f>-ROUNDDOWN(SUMIFS('COM RESID'!$O:$O,'COM RESID'!$H:$H,$E375,'COM RESID'!$I:$I,$F375)/SUMIFS('COM RESID'!$O:$O,'COM RESID'!$I:$I,$F375),3)*O375</f>
        <v>-0.1676</v>
      </c>
      <c r="L375" s="14"/>
      <c r="M375" s="14"/>
      <c r="N375" s="10"/>
      <c r="O375" s="20">
        <v>0.2</v>
      </c>
      <c r="Q375" s="11" t="str">
        <f t="shared" si="100"/>
        <v/>
      </c>
      <c r="R375" s="12"/>
      <c r="S375" s="13" t="str">
        <f t="shared" si="102"/>
        <v>COMNGA</v>
      </c>
      <c r="T375" s="13" t="str">
        <f t="shared" si="103"/>
        <v>COMEDUOldWHEUE</v>
      </c>
      <c r="U375" s="13" t="str">
        <f t="shared" si="104"/>
        <v>COMEDUOldWHEUE</v>
      </c>
      <c r="V375" s="14">
        <v>2030</v>
      </c>
      <c r="W375" s="14" t="str">
        <f>W374</f>
        <v>UP</v>
      </c>
      <c r="X375" s="14"/>
      <c r="Y375" s="15">
        <f>-ROUNDUP(MIN(SUMIFS('COM RESID'!$O:$O,'COM RESID'!$H:$H,$E375,'COM RESID'!$I:$I,$F375)/SUMIFS('COM RESID'!$O:$O,'COM RESID'!$I:$I,$F375)*AC375,1),3)</f>
        <v>-0.755</v>
      </c>
      <c r="Z375" s="14"/>
      <c r="AA375" s="14"/>
      <c r="AB375" s="10"/>
      <c r="AC375" s="20">
        <f>IF(S375="COMELC",IF(SUMIFS('COM RESID'!$O:$O,'COM RESID'!$H:$H,$E375,'COM RESID'!$I:$I,$F375)/SUMIFS('COM RESID'!$O:$O,'COM RESID'!$I:$I,$F375)*1.5&lt;0.5,0.5/(SUMIFS('COM RESID'!$O:$O,'COM RESID'!$H:$H,$E375,'COM RESID'!$I:$I,$F375)/SUMIFS('COM RESID'!$O:$O,'COM RESID'!$I:$I,$F375)),1.5),IF(ISNUMBER(SEARCH("WHEUE",T374)),IF(OR(S374="COMNGA",S374="COMFOI"),0.9,1.5),1.5))</f>
        <v>0.9</v>
      </c>
    </row>
    <row r="376" spans="1:29" x14ac:dyDescent="0.25">
      <c r="A376" s="26">
        <f>A375</f>
        <v>93</v>
      </c>
      <c r="B376" s="26"/>
      <c r="C376" s="21" t="str">
        <f>IF(C375="*",C375,"")</f>
        <v/>
      </c>
      <c r="D376" s="22"/>
      <c r="E376" s="23" t="str">
        <f t="shared" si="116"/>
        <v>COMNGA</v>
      </c>
      <c r="F376" s="23" t="str">
        <f t="shared" si="116"/>
        <v>COMEDUOldWHEUE</v>
      </c>
      <c r="G376" s="23" t="str">
        <f t="shared" si="116"/>
        <v>COMEDUOldWHEUE</v>
      </c>
      <c r="H376" s="24">
        <v>2050</v>
      </c>
      <c r="I376" s="24" t="str">
        <f>I375</f>
        <v>LO</v>
      </c>
      <c r="J376" s="24"/>
      <c r="K376" s="25">
        <f>-ROUNDDOWN(SUMIFS('COM RESID'!$O:$O,'COM RESID'!$H:$H,$E376,'COM RESID'!$I:$I,$F376)/SUMIFS('COM RESID'!$O:$O,'COM RESID'!$I:$I,$F376),3)*O376</f>
        <v>0</v>
      </c>
      <c r="L376" s="24"/>
      <c r="M376" s="24"/>
      <c r="N376" s="26"/>
      <c r="O376" s="27">
        <v>0</v>
      </c>
      <c r="Q376" s="21" t="str">
        <f t="shared" si="100"/>
        <v/>
      </c>
      <c r="R376" s="22"/>
      <c r="S376" s="23" t="str">
        <f t="shared" si="102"/>
        <v>COMNGA</v>
      </c>
      <c r="T376" s="23" t="str">
        <f t="shared" si="103"/>
        <v>COMEDUOldWHEUE</v>
      </c>
      <c r="U376" s="23" t="str">
        <f t="shared" si="104"/>
        <v>COMEDUOldWHEUE</v>
      </c>
      <c r="V376" s="24">
        <v>2050</v>
      </c>
      <c r="W376" s="24" t="str">
        <f>W375</f>
        <v>UP</v>
      </c>
      <c r="X376" s="24"/>
      <c r="Y376" s="25">
        <f>-ROUNDUP(MIN(SUMIFS('COM RESID'!$O:$O,'COM RESID'!$H:$H,$E376,'COM RESID'!$I:$I,$F376)/SUMIFS('COM RESID'!$O:$O,'COM RESID'!$I:$I,$F376)*AC376,1),3)</f>
        <v>-0.629</v>
      </c>
      <c r="Z376" s="24"/>
      <c r="AA376" s="24"/>
      <c r="AB376" s="26"/>
      <c r="AC376" s="27">
        <f>IF(S376="COMELC",IF(SUMIFS('COM RESID'!$O:$O,'COM RESID'!$H:$H,$E376,'COM RESID'!$I:$I,$F376)/SUMIFS('COM RESID'!$O:$O,'COM RESID'!$I:$I,$F376)*3&lt;1,1/(SUMIFS('COM RESID'!$O:$O,'COM RESID'!$H:$H,$E376,'COM RESID'!$I:$I,$F376)/SUMIFS('COM RESID'!$O:$O,'COM RESID'!$I:$I,$F376)),3),IF(ISNUMBER(SEARCH("WHEUE",T374)),IF(OR(S374="COMNGA",S374="COMFOI"),0.75,3),3))</f>
        <v>0.75</v>
      </c>
    </row>
    <row r="377" spans="1:29" x14ac:dyDescent="0.25">
      <c r="A377" s="19">
        <f>A373+1</f>
        <v>94</v>
      </c>
      <c r="B377" s="10"/>
      <c r="C377" s="11" t="str">
        <f>IF(E377="","",IF(_xlfn.XLOOKUP($A377,Selected_constraint_UC!$A:$A,Selected_constraint_UC!$D:$D)=1,"*",IF(SUMIFS('COM TECH'!$N:$N,'COM TECH'!$K:$K,E377,'COM TECH'!$L:$L,F377)=0,"*",IF(SUMIFS('COM RESID'!$O:$O,'COM RESID'!$H:$H,$E377,'COM RESID'!$I:$I,$F377)=0,"*","UC_MarketShare_"&amp;LEFT(F377,LEN(F377)-3)&amp;"_"&amp;RIGHT(E377,3)&amp;"_MIN"))))</f>
        <v>*</v>
      </c>
      <c r="D377" s="12"/>
      <c r="E377" s="13" t="str">
        <f>_xlfn.XLOOKUP($A377,Selected_constraint_UC!$A:$A,Selected_constraint_UC!$B:$B)</f>
        <v>COMSTM</v>
      </c>
      <c r="F377" s="13" t="str">
        <f>_xlfn.XLOOKUP($A377,Selected_constraint_UC!$A:$A,Selected_constraint_UC!$C:$C)</f>
        <v>COMEDUOldWHEUE</v>
      </c>
      <c r="G377" s="13" t="str">
        <f>F377</f>
        <v>COMEDUOldWHEUE</v>
      </c>
      <c r="H377" s="14">
        <v>2019</v>
      </c>
      <c r="I377" s="14" t="s">
        <v>3848</v>
      </c>
      <c r="J377" s="14">
        <v>1</v>
      </c>
      <c r="K377" s="15">
        <f>-ROUNDDOWN(SUMIFS('COM RESID'!$O:$O,'COM RESID'!$H:$H,$E377,'COM RESID'!$I:$I,$F377)/SUMIFS('COM RESID'!$O:$O,'COM RESID'!$I:$I,$F377),3)*O377</f>
        <v>-3.3320000000000002E-2</v>
      </c>
      <c r="L377" s="14">
        <v>0</v>
      </c>
      <c r="M377" s="14">
        <v>5</v>
      </c>
      <c r="N377" s="10"/>
      <c r="O377" s="20">
        <v>0.98</v>
      </c>
      <c r="Q377" s="11" t="str">
        <f t="shared" si="100"/>
        <v>*</v>
      </c>
      <c r="R377" s="12"/>
      <c r="S377" s="13" t="str">
        <f t="shared" si="102"/>
        <v>COMSTM</v>
      </c>
      <c r="T377" s="13" t="str">
        <f t="shared" si="103"/>
        <v>COMEDUOldWHEUE</v>
      </c>
      <c r="U377" s="13" t="str">
        <f t="shared" si="104"/>
        <v>COMEDUOldWHEUE</v>
      </c>
      <c r="V377" s="14">
        <v>2019</v>
      </c>
      <c r="W377" s="14" t="s">
        <v>3849</v>
      </c>
      <c r="X377" s="14">
        <v>1</v>
      </c>
      <c r="Y377" s="15">
        <f>-ROUNDUP(MIN(SUMIFS('COM RESID'!$O:$O,'COM RESID'!$H:$H,$E377,'COM RESID'!$I:$I,$F377)/SUMIFS('COM RESID'!$O:$O,'COM RESID'!$I:$I,$F377)*AC377,1),3)</f>
        <v>-3.6000000000000004E-2</v>
      </c>
      <c r="Z377" s="14">
        <v>0</v>
      </c>
      <c r="AA377" s="14">
        <v>5</v>
      </c>
      <c r="AB377" s="10"/>
      <c r="AC377" s="20">
        <v>1.02</v>
      </c>
    </row>
    <row r="378" spans="1:29" x14ac:dyDescent="0.25">
      <c r="A378" s="10">
        <f>A377</f>
        <v>94</v>
      </c>
      <c r="B378" s="10"/>
      <c r="C378" s="11" t="str">
        <f>IF(C377="*",C377,"")</f>
        <v>*</v>
      </c>
      <c r="D378" s="12"/>
      <c r="E378" s="13" t="str">
        <f t="shared" ref="E378:G380" si="117">E377</f>
        <v>COMSTM</v>
      </c>
      <c r="F378" s="13" t="str">
        <f t="shared" si="117"/>
        <v>COMEDUOldWHEUE</v>
      </c>
      <c r="G378" s="13" t="str">
        <f t="shared" si="117"/>
        <v>COMEDUOldWHEUE</v>
      </c>
      <c r="H378" s="14">
        <v>2025</v>
      </c>
      <c r="I378" s="14" t="str">
        <f>I377</f>
        <v>LO</v>
      </c>
      <c r="J378" s="14"/>
      <c r="K378" s="15">
        <f>-ROUNDDOWN(SUMIFS('COM RESID'!$O:$O,'COM RESID'!$H:$H,$E378,'COM RESID'!$I:$I,$F378)/SUMIFS('COM RESID'!$O:$O,'COM RESID'!$I:$I,$F378),3)*O378</f>
        <v>-2.7200000000000002E-2</v>
      </c>
      <c r="L378" s="14"/>
      <c r="M378" s="14"/>
      <c r="N378" s="10"/>
      <c r="O378" s="20">
        <v>0.8</v>
      </c>
      <c r="Q378" s="11" t="str">
        <f t="shared" si="100"/>
        <v>*</v>
      </c>
      <c r="R378" s="12"/>
      <c r="S378" s="13" t="str">
        <f t="shared" si="102"/>
        <v>COMSTM</v>
      </c>
      <c r="T378" s="13" t="str">
        <f t="shared" si="103"/>
        <v>COMEDUOldWHEUE</v>
      </c>
      <c r="U378" s="13" t="str">
        <f t="shared" si="104"/>
        <v>COMEDUOldWHEUE</v>
      </c>
      <c r="V378" s="14">
        <v>2025</v>
      </c>
      <c r="W378" s="14" t="str">
        <f>W377</f>
        <v>UP</v>
      </c>
      <c r="X378" s="14"/>
      <c r="Y378" s="15">
        <f>-ROUNDUP(MIN(SUMIFS('COM RESID'!$O:$O,'COM RESID'!$H:$H,$E378,'COM RESID'!$I:$I,$F378)/SUMIFS('COM RESID'!$O:$O,'COM RESID'!$I:$I,$F378)*AC378,1),3)</f>
        <v>-4.2000000000000003E-2</v>
      </c>
      <c r="Z378" s="14"/>
      <c r="AA378" s="14"/>
      <c r="AB378" s="10"/>
      <c r="AC378" s="20">
        <f>IF(S378="COMELC",IF(SUMIFS('COM RESID'!$O:$O,'COM RESID'!$H:$H,$E378,'COM RESID'!$I:$I,$F378)/SUMIFS('COM RESID'!$O:$O,'COM RESID'!$I:$I,$F378)*1.2&lt;0.25,0.25/(SUMIFS('COM RESID'!$O:$O,'COM RESID'!$H:$H,$E378,'COM RESID'!$I:$I,$F378)/SUMIFS('COM RESID'!$O:$O,'COM RESID'!$I:$I,$F378)),1.2),IF(ISNUMBER(SEARCH("WHEUE",T378)),IF(OR(S378="COMNGA",S378="COMFOI"),1,1.2),1.2))</f>
        <v>1.2</v>
      </c>
    </row>
    <row r="379" spans="1:29" x14ac:dyDescent="0.25">
      <c r="A379" s="10">
        <f>A378</f>
        <v>94</v>
      </c>
      <c r="B379" s="10"/>
      <c r="C379" s="11" t="str">
        <f>IF(C378="*",C378,"")</f>
        <v>*</v>
      </c>
      <c r="D379" s="12"/>
      <c r="E379" s="13" t="str">
        <f t="shared" si="117"/>
        <v>COMSTM</v>
      </c>
      <c r="F379" s="13" t="str">
        <f t="shared" si="117"/>
        <v>COMEDUOldWHEUE</v>
      </c>
      <c r="G379" s="13" t="str">
        <f t="shared" si="117"/>
        <v>COMEDUOldWHEUE</v>
      </c>
      <c r="H379" s="14">
        <v>2030</v>
      </c>
      <c r="I379" s="14" t="str">
        <f>I378</f>
        <v>LO</v>
      </c>
      <c r="J379" s="14"/>
      <c r="K379" s="15">
        <f>-ROUNDDOWN(SUMIFS('COM RESID'!$O:$O,'COM RESID'!$H:$H,$E379,'COM RESID'!$I:$I,$F379)/SUMIFS('COM RESID'!$O:$O,'COM RESID'!$I:$I,$F379),3)*O379</f>
        <v>-6.8000000000000005E-3</v>
      </c>
      <c r="L379" s="14"/>
      <c r="M379" s="14"/>
      <c r="N379" s="10"/>
      <c r="O379" s="20">
        <v>0.2</v>
      </c>
      <c r="Q379" s="11" t="str">
        <f t="shared" si="100"/>
        <v>*</v>
      </c>
      <c r="R379" s="12"/>
      <c r="S379" s="13" t="str">
        <f t="shared" si="102"/>
        <v>COMSTM</v>
      </c>
      <c r="T379" s="13" t="str">
        <f t="shared" si="103"/>
        <v>COMEDUOldWHEUE</v>
      </c>
      <c r="U379" s="13" t="str">
        <f t="shared" si="104"/>
        <v>COMEDUOldWHEUE</v>
      </c>
      <c r="V379" s="14">
        <v>2030</v>
      </c>
      <c r="W379" s="14" t="str">
        <f>W378</f>
        <v>UP</v>
      </c>
      <c r="X379" s="14"/>
      <c r="Y379" s="15">
        <f>-ROUNDUP(MIN(SUMIFS('COM RESID'!$O:$O,'COM RESID'!$H:$H,$E379,'COM RESID'!$I:$I,$F379)/SUMIFS('COM RESID'!$O:$O,'COM RESID'!$I:$I,$F379)*AC379,1),3)</f>
        <v>-5.2999999999999999E-2</v>
      </c>
      <c r="Z379" s="14"/>
      <c r="AA379" s="14"/>
      <c r="AB379" s="10"/>
      <c r="AC379" s="20">
        <f>IF(S379="COMELC",IF(SUMIFS('COM RESID'!$O:$O,'COM RESID'!$H:$H,$E379,'COM RESID'!$I:$I,$F379)/SUMIFS('COM RESID'!$O:$O,'COM RESID'!$I:$I,$F379)*1.5&lt;0.5,0.5/(SUMIFS('COM RESID'!$O:$O,'COM RESID'!$H:$H,$E379,'COM RESID'!$I:$I,$F379)/SUMIFS('COM RESID'!$O:$O,'COM RESID'!$I:$I,$F379)),1.5),IF(ISNUMBER(SEARCH("WHEUE",T378)),IF(OR(S378="COMNGA",S378="COMFOI"),0.9,1.5),1.5))</f>
        <v>1.5</v>
      </c>
    </row>
    <row r="380" spans="1:29" x14ac:dyDescent="0.25">
      <c r="A380" s="26">
        <f>A379</f>
        <v>94</v>
      </c>
      <c r="B380" s="26"/>
      <c r="C380" s="21" t="str">
        <f>IF(C379="*",C379,"")</f>
        <v>*</v>
      </c>
      <c r="D380" s="22"/>
      <c r="E380" s="23" t="str">
        <f t="shared" si="117"/>
        <v>COMSTM</v>
      </c>
      <c r="F380" s="23" t="str">
        <f t="shared" si="117"/>
        <v>COMEDUOldWHEUE</v>
      </c>
      <c r="G380" s="23" t="str">
        <f t="shared" si="117"/>
        <v>COMEDUOldWHEUE</v>
      </c>
      <c r="H380" s="24">
        <v>2050</v>
      </c>
      <c r="I380" s="24" t="str">
        <f>I379</f>
        <v>LO</v>
      </c>
      <c r="J380" s="24"/>
      <c r="K380" s="25">
        <f>-ROUNDDOWN(SUMIFS('COM RESID'!$O:$O,'COM RESID'!$H:$H,$E380,'COM RESID'!$I:$I,$F380)/SUMIFS('COM RESID'!$O:$O,'COM RESID'!$I:$I,$F380),3)*O380</f>
        <v>0</v>
      </c>
      <c r="L380" s="24"/>
      <c r="M380" s="24"/>
      <c r="N380" s="26"/>
      <c r="O380" s="27">
        <v>0</v>
      </c>
      <c r="Q380" s="21" t="str">
        <f t="shared" si="100"/>
        <v>*</v>
      </c>
      <c r="R380" s="22"/>
      <c r="S380" s="23" t="str">
        <f t="shared" si="102"/>
        <v>COMSTM</v>
      </c>
      <c r="T380" s="23" t="str">
        <f t="shared" si="103"/>
        <v>COMEDUOldWHEUE</v>
      </c>
      <c r="U380" s="23" t="str">
        <f t="shared" si="104"/>
        <v>COMEDUOldWHEUE</v>
      </c>
      <c r="V380" s="24">
        <v>2050</v>
      </c>
      <c r="W380" s="24" t="str">
        <f>W379</f>
        <v>UP</v>
      </c>
      <c r="X380" s="24"/>
      <c r="Y380" s="25">
        <f>-ROUNDUP(MIN(SUMIFS('COM RESID'!$O:$O,'COM RESID'!$H:$H,$E380,'COM RESID'!$I:$I,$F380)/SUMIFS('COM RESID'!$O:$O,'COM RESID'!$I:$I,$F380)*AC380,1),3)</f>
        <v>-0.105</v>
      </c>
      <c r="Z380" s="24"/>
      <c r="AA380" s="24"/>
      <c r="AB380" s="26"/>
      <c r="AC380" s="27">
        <f>IF(S380="COMELC",IF(SUMIFS('COM RESID'!$O:$O,'COM RESID'!$H:$H,$E380,'COM RESID'!$I:$I,$F380)/SUMIFS('COM RESID'!$O:$O,'COM RESID'!$I:$I,$F380)*3&lt;1,1/(SUMIFS('COM RESID'!$O:$O,'COM RESID'!$H:$H,$E380,'COM RESID'!$I:$I,$F380)/SUMIFS('COM RESID'!$O:$O,'COM RESID'!$I:$I,$F380)),3),IF(ISNUMBER(SEARCH("WHEUE",T378)),IF(OR(S378="COMNGA",S378="COMFOI"),0.75,3),3))</f>
        <v>3</v>
      </c>
    </row>
    <row r="381" spans="1:29" x14ac:dyDescent="0.25">
      <c r="A381" s="19">
        <f>A377+1</f>
        <v>95</v>
      </c>
      <c r="B381" s="10"/>
      <c r="C381" s="11" t="str">
        <f>IF(E381="","",IF(_xlfn.XLOOKUP($A381,Selected_constraint_UC!$A:$A,Selected_constraint_UC!$D:$D)=1,"*",IF(SUMIFS('COM TECH'!$N:$N,'COM TECH'!$K:$K,E381,'COM TECH'!$L:$L,F381)=0,"*",IF(SUMIFS('COM RESID'!$O:$O,'COM RESID'!$H:$H,$E381,'COM RESID'!$I:$I,$F381)=0,"*","UC_MarketShare_"&amp;LEFT(F381,LEN(F381)-3)&amp;"_"&amp;RIGHT(E381,3)&amp;"_MIN"))))</f>
        <v>UC_MarketShare_COMEDUOldWH_ELC_MIN</v>
      </c>
      <c r="D381" s="12"/>
      <c r="E381" s="13" t="str">
        <f>_xlfn.XLOOKUP($A381,Selected_constraint_UC!$A:$A,Selected_constraint_UC!$B:$B)</f>
        <v>COMELC</v>
      </c>
      <c r="F381" s="13" t="str">
        <f>_xlfn.XLOOKUP($A381,Selected_constraint_UC!$A:$A,Selected_constraint_UC!$C:$C)</f>
        <v>COMEDUOldWHEUE</v>
      </c>
      <c r="G381" s="13" t="str">
        <f>F381</f>
        <v>COMEDUOldWHEUE</v>
      </c>
      <c r="H381" s="14">
        <v>2019</v>
      </c>
      <c r="I381" s="14" t="s">
        <v>3848</v>
      </c>
      <c r="J381" s="14">
        <v>1</v>
      </c>
      <c r="K381" s="15">
        <f>-ROUNDDOWN(SUMIFS('COM RESID'!$O:$O,'COM RESID'!$H:$H,$E381,'COM RESID'!$I:$I,$F381)/SUMIFS('COM RESID'!$O:$O,'COM RESID'!$I:$I,$F381),3)*O381</f>
        <v>-6.3700000000000007E-2</v>
      </c>
      <c r="L381" s="14">
        <v>0</v>
      </c>
      <c r="M381" s="14">
        <v>5</v>
      </c>
      <c r="N381" s="10"/>
      <c r="O381" s="20">
        <v>0.98</v>
      </c>
      <c r="Q381" s="11" t="str">
        <f t="shared" si="100"/>
        <v>UC_MarketShare_COMEDUOldWH_ELC_MAX</v>
      </c>
      <c r="R381" s="12"/>
      <c r="S381" s="13" t="str">
        <f t="shared" si="102"/>
        <v>COMELC</v>
      </c>
      <c r="T381" s="13" t="str">
        <f t="shared" si="103"/>
        <v>COMEDUOldWHEUE</v>
      </c>
      <c r="U381" s="13" t="str">
        <f t="shared" si="104"/>
        <v>COMEDUOldWHEUE</v>
      </c>
      <c r="V381" s="14">
        <v>2019</v>
      </c>
      <c r="W381" s="14" t="s">
        <v>3849</v>
      </c>
      <c r="X381" s="14">
        <v>1</v>
      </c>
      <c r="Y381" s="15">
        <f>-ROUNDUP(MIN(SUMIFS('COM RESID'!$O:$O,'COM RESID'!$H:$H,$E381,'COM RESID'!$I:$I,$F381)/SUMIFS('COM RESID'!$O:$O,'COM RESID'!$I:$I,$F381)*AC381,1),3)</f>
        <v>-6.7000000000000004E-2</v>
      </c>
      <c r="Z381" s="14">
        <v>0</v>
      </c>
      <c r="AA381" s="14">
        <v>5</v>
      </c>
      <c r="AB381" s="10"/>
      <c r="AC381" s="20">
        <v>1.02</v>
      </c>
    </row>
    <row r="382" spans="1:29" x14ac:dyDescent="0.25">
      <c r="A382" s="10">
        <f>A381</f>
        <v>95</v>
      </c>
      <c r="B382" s="10"/>
      <c r="C382" s="11" t="str">
        <f>IF(C381="*",C381,"")</f>
        <v/>
      </c>
      <c r="D382" s="12"/>
      <c r="E382" s="13" t="str">
        <f t="shared" ref="E382:G384" si="118">E381</f>
        <v>COMELC</v>
      </c>
      <c r="F382" s="13" t="str">
        <f t="shared" si="118"/>
        <v>COMEDUOldWHEUE</v>
      </c>
      <c r="G382" s="13" t="str">
        <f t="shared" si="118"/>
        <v>COMEDUOldWHEUE</v>
      </c>
      <c r="H382" s="14">
        <v>2025</v>
      </c>
      <c r="I382" s="14" t="str">
        <f>I381</f>
        <v>LO</v>
      </c>
      <c r="J382" s="14"/>
      <c r="K382" s="15">
        <f>-ROUNDDOWN(SUMIFS('COM RESID'!$O:$O,'COM RESID'!$H:$H,$E382,'COM RESID'!$I:$I,$F382)/SUMIFS('COM RESID'!$O:$O,'COM RESID'!$I:$I,$F382),3)*O382</f>
        <v>-5.2000000000000005E-2</v>
      </c>
      <c r="L382" s="14"/>
      <c r="M382" s="14"/>
      <c r="N382" s="10"/>
      <c r="O382" s="20">
        <v>0.8</v>
      </c>
      <c r="Q382" s="11" t="str">
        <f t="shared" si="100"/>
        <v/>
      </c>
      <c r="R382" s="12"/>
      <c r="S382" s="13" t="str">
        <f t="shared" si="102"/>
        <v>COMELC</v>
      </c>
      <c r="T382" s="13" t="str">
        <f t="shared" si="103"/>
        <v>COMEDUOldWHEUE</v>
      </c>
      <c r="U382" s="13" t="str">
        <f t="shared" si="104"/>
        <v>COMEDUOldWHEUE</v>
      </c>
      <c r="V382" s="14">
        <v>2025</v>
      </c>
      <c r="W382" s="14" t="str">
        <f>W381</f>
        <v>UP</v>
      </c>
      <c r="X382" s="14"/>
      <c r="Y382" s="15">
        <f>-ROUNDUP(MIN(SUMIFS('COM RESID'!$O:$O,'COM RESID'!$H:$H,$E382,'COM RESID'!$I:$I,$F382)/SUMIFS('COM RESID'!$O:$O,'COM RESID'!$I:$I,$F382)*AC382,1),3)</f>
        <v>-0.25</v>
      </c>
      <c r="Z382" s="14"/>
      <c r="AA382" s="14"/>
      <c r="AB382" s="10"/>
      <c r="AC382" s="20">
        <f>IF(S382="COMELC",IF(SUMIFS('COM RESID'!$O:$O,'COM RESID'!$H:$H,$E382,'COM RESID'!$I:$I,$F382)/SUMIFS('COM RESID'!$O:$O,'COM RESID'!$I:$I,$F382)*1.2&lt;0.25,0.25/(SUMIFS('COM RESID'!$O:$O,'COM RESID'!$H:$H,$E382,'COM RESID'!$I:$I,$F382)/SUMIFS('COM RESID'!$O:$O,'COM RESID'!$I:$I,$F382)),1.2),IF(ISNUMBER(SEARCH("WHEUE",T382)),IF(OR(S382="COMNGA",S382="COMFOI"),1,1.2),1.2))</f>
        <v>3.8342148213228127</v>
      </c>
    </row>
    <row r="383" spans="1:29" x14ac:dyDescent="0.25">
      <c r="A383" s="10">
        <f>A382</f>
        <v>95</v>
      </c>
      <c r="B383" s="10"/>
      <c r="C383" s="11" t="str">
        <f>IF(C382="*",C382,"")</f>
        <v/>
      </c>
      <c r="D383" s="12"/>
      <c r="E383" s="13" t="str">
        <f t="shared" si="118"/>
        <v>COMELC</v>
      </c>
      <c r="F383" s="13" t="str">
        <f t="shared" si="118"/>
        <v>COMEDUOldWHEUE</v>
      </c>
      <c r="G383" s="13" t="str">
        <f t="shared" si="118"/>
        <v>COMEDUOldWHEUE</v>
      </c>
      <c r="H383" s="14">
        <v>2030</v>
      </c>
      <c r="I383" s="14" t="str">
        <f>I382</f>
        <v>LO</v>
      </c>
      <c r="J383" s="14"/>
      <c r="K383" s="15">
        <f>-ROUNDDOWN(SUMIFS('COM RESID'!$O:$O,'COM RESID'!$H:$H,$E383,'COM RESID'!$I:$I,$F383)/SUMIFS('COM RESID'!$O:$O,'COM RESID'!$I:$I,$F383),3)*O383</f>
        <v>-4.8750000000000002E-2</v>
      </c>
      <c r="L383" s="14"/>
      <c r="M383" s="14"/>
      <c r="N383" s="10"/>
      <c r="O383" s="20">
        <v>0.75</v>
      </c>
      <c r="Q383" s="11" t="str">
        <f t="shared" si="100"/>
        <v/>
      </c>
      <c r="R383" s="12"/>
      <c r="S383" s="13" t="str">
        <f t="shared" si="102"/>
        <v>COMELC</v>
      </c>
      <c r="T383" s="13" t="str">
        <f t="shared" si="103"/>
        <v>COMEDUOldWHEUE</v>
      </c>
      <c r="U383" s="13" t="str">
        <f t="shared" si="104"/>
        <v>COMEDUOldWHEUE</v>
      </c>
      <c r="V383" s="14">
        <v>2030</v>
      </c>
      <c r="W383" s="14" t="str">
        <f>W382</f>
        <v>UP</v>
      </c>
      <c r="X383" s="14"/>
      <c r="Y383" s="15">
        <f>-ROUNDUP(MIN(SUMIFS('COM RESID'!$O:$O,'COM RESID'!$H:$H,$E383,'COM RESID'!$I:$I,$F383)/SUMIFS('COM RESID'!$O:$O,'COM RESID'!$I:$I,$F383)*AC383,1),3)</f>
        <v>-0.5</v>
      </c>
      <c r="Z383" s="14"/>
      <c r="AA383" s="14"/>
      <c r="AB383" s="10"/>
      <c r="AC383" s="20">
        <f>IF(S383="COMELC",IF(SUMIFS('COM RESID'!$O:$O,'COM RESID'!$H:$H,$E383,'COM RESID'!$I:$I,$F383)/SUMIFS('COM RESID'!$O:$O,'COM RESID'!$I:$I,$F383)*1.5&lt;0.5,0.5/(SUMIFS('COM RESID'!$O:$O,'COM RESID'!$H:$H,$E383,'COM RESID'!$I:$I,$F383)/SUMIFS('COM RESID'!$O:$O,'COM RESID'!$I:$I,$F383)),1.5),IF(ISNUMBER(SEARCH("WHEUE",T382)),IF(OR(S382="COMNGA",S382="COMFOI"),0.9,1.5),1.5))</f>
        <v>7.6684296426456253</v>
      </c>
    </row>
    <row r="384" spans="1:29" x14ac:dyDescent="0.25">
      <c r="A384" s="26">
        <f>A383</f>
        <v>95</v>
      </c>
      <c r="B384" s="26"/>
      <c r="C384" s="21" t="str">
        <f>IF(C383="*",C383,"")</f>
        <v/>
      </c>
      <c r="D384" s="22"/>
      <c r="E384" s="23" t="str">
        <f t="shared" si="118"/>
        <v>COMELC</v>
      </c>
      <c r="F384" s="23" t="str">
        <f t="shared" si="118"/>
        <v>COMEDUOldWHEUE</v>
      </c>
      <c r="G384" s="23" t="str">
        <f t="shared" si="118"/>
        <v>COMEDUOldWHEUE</v>
      </c>
      <c r="H384" s="24">
        <v>2050</v>
      </c>
      <c r="I384" s="24" t="str">
        <f>I383</f>
        <v>LO</v>
      </c>
      <c r="J384" s="24"/>
      <c r="K384" s="25">
        <f>-ROUNDDOWN(SUMIFS('COM RESID'!$O:$O,'COM RESID'!$H:$H,$E384,'COM RESID'!$I:$I,$F384)/SUMIFS('COM RESID'!$O:$O,'COM RESID'!$I:$I,$F384),3)*O384</f>
        <v>-4.8750000000000002E-2</v>
      </c>
      <c r="L384" s="24"/>
      <c r="M384" s="24"/>
      <c r="N384" s="26"/>
      <c r="O384" s="27">
        <v>0.75</v>
      </c>
      <c r="Q384" s="21" t="str">
        <f t="shared" si="100"/>
        <v/>
      </c>
      <c r="R384" s="22"/>
      <c r="S384" s="23" t="str">
        <f t="shared" si="102"/>
        <v>COMELC</v>
      </c>
      <c r="T384" s="23" t="str">
        <f t="shared" si="103"/>
        <v>COMEDUOldWHEUE</v>
      </c>
      <c r="U384" s="23" t="str">
        <f t="shared" si="104"/>
        <v>COMEDUOldWHEUE</v>
      </c>
      <c r="V384" s="24">
        <v>2050</v>
      </c>
      <c r="W384" s="24" t="str">
        <f>W383</f>
        <v>UP</v>
      </c>
      <c r="X384" s="24"/>
      <c r="Y384" s="25">
        <f>-ROUNDUP(MIN(SUMIFS('COM RESID'!$O:$O,'COM RESID'!$H:$H,$E384,'COM RESID'!$I:$I,$F384)/SUMIFS('COM RESID'!$O:$O,'COM RESID'!$I:$I,$F384)*AC384,1),3)</f>
        <v>-1</v>
      </c>
      <c r="Z384" s="24"/>
      <c r="AA384" s="24"/>
      <c r="AB384" s="26"/>
      <c r="AC384" s="27">
        <f>IF(S384="COMELC",IF(SUMIFS('COM RESID'!$O:$O,'COM RESID'!$H:$H,$E384,'COM RESID'!$I:$I,$F384)/SUMIFS('COM RESID'!$O:$O,'COM RESID'!$I:$I,$F384)*3&lt;1,1/(SUMIFS('COM RESID'!$O:$O,'COM RESID'!$H:$H,$E384,'COM RESID'!$I:$I,$F384)/SUMIFS('COM RESID'!$O:$O,'COM RESID'!$I:$I,$F384)),3),IF(ISNUMBER(SEARCH("WHEUE",T382)),IF(OR(S382="COMNGA",S382="COMFOI"),0.75,3),3))</f>
        <v>15.336859285291251</v>
      </c>
    </row>
    <row r="385" spans="1:29" x14ac:dyDescent="0.25">
      <c r="A385" s="19">
        <f>A381+1</f>
        <v>96</v>
      </c>
      <c r="B385" s="10"/>
      <c r="C385" s="11" t="str">
        <f>IF(E385="","",IF(_xlfn.XLOOKUP($A385,Selected_constraint_UC!$A:$A,Selected_constraint_UC!$D:$D)=1,"*",IF(SUMIFS('COM TECH'!$N:$N,'COM TECH'!$K:$K,E385,'COM TECH'!$L:$L,F385)=0,"*",IF(SUMIFS('COM RESID'!$O:$O,'COM RESID'!$H:$H,$E385,'COM RESID'!$I:$I,$F385)=0,"*","UC_MarketShare_"&amp;LEFT(F385,LEN(F385)-3)&amp;"_"&amp;RIGHT(E385,3)&amp;"_MIN"))))</f>
        <v>*</v>
      </c>
      <c r="D385" s="12"/>
      <c r="E385" s="13" t="str">
        <f>_xlfn.XLOOKUP($A385,Selected_constraint_UC!$A:$A,Selected_constraint_UC!$B:$B)</f>
        <v>COMELC</v>
      </c>
      <c r="F385" s="13" t="str">
        <f>_xlfn.XLOOKUP($A385,Selected_constraint_UC!$A:$A,Selected_constraint_UC!$C:$C)</f>
        <v>COMEDUOldLTEUE</v>
      </c>
      <c r="G385" s="13" t="str">
        <f>F385</f>
        <v>COMEDUOldLTEUE</v>
      </c>
      <c r="H385" s="14">
        <v>2019</v>
      </c>
      <c r="I385" s="14" t="s">
        <v>3848</v>
      </c>
      <c r="J385" s="14">
        <v>1</v>
      </c>
      <c r="K385" s="15">
        <f>-ROUNDDOWN(SUMIFS('COM RESID'!$O:$O,'COM RESID'!$H:$H,$E385,'COM RESID'!$I:$I,$F385)/SUMIFS('COM RESID'!$O:$O,'COM RESID'!$I:$I,$F385),3)*O385</f>
        <v>-0.98</v>
      </c>
      <c r="L385" s="14">
        <v>0</v>
      </c>
      <c r="M385" s="14">
        <v>5</v>
      </c>
      <c r="N385" s="10"/>
      <c r="O385" s="20">
        <v>0.98</v>
      </c>
      <c r="Q385" s="11" t="str">
        <f t="shared" si="100"/>
        <v>*</v>
      </c>
      <c r="R385" s="12"/>
      <c r="S385" s="13" t="str">
        <f t="shared" si="102"/>
        <v>COMELC</v>
      </c>
      <c r="T385" s="13" t="str">
        <f t="shared" si="103"/>
        <v>COMEDUOldLTEUE</v>
      </c>
      <c r="U385" s="13" t="str">
        <f t="shared" si="104"/>
        <v>COMEDUOldLTEUE</v>
      </c>
      <c r="V385" s="14">
        <v>2019</v>
      </c>
      <c r="W385" s="14" t="s">
        <v>3849</v>
      </c>
      <c r="X385" s="14">
        <v>1</v>
      </c>
      <c r="Y385" s="15">
        <f>-ROUNDUP(MIN(SUMIFS('COM RESID'!$O:$O,'COM RESID'!$H:$H,$E385,'COM RESID'!$I:$I,$F385)/SUMIFS('COM RESID'!$O:$O,'COM RESID'!$I:$I,$F385)*AC385,1),3)</f>
        <v>-1</v>
      </c>
      <c r="Z385" s="14">
        <v>0</v>
      </c>
      <c r="AA385" s="14">
        <v>5</v>
      </c>
      <c r="AB385" s="10"/>
      <c r="AC385" s="20">
        <v>1.02</v>
      </c>
    </row>
    <row r="386" spans="1:29" x14ac:dyDescent="0.25">
      <c r="A386" s="10">
        <f>A385</f>
        <v>96</v>
      </c>
      <c r="B386" s="10"/>
      <c r="C386" s="11" t="str">
        <f>IF(C385="*",C385,"")</f>
        <v>*</v>
      </c>
      <c r="D386" s="12"/>
      <c r="E386" s="13" t="str">
        <f t="shared" ref="E386:G388" si="119">E385</f>
        <v>COMELC</v>
      </c>
      <c r="F386" s="13" t="str">
        <f t="shared" si="119"/>
        <v>COMEDUOldLTEUE</v>
      </c>
      <c r="G386" s="13" t="str">
        <f t="shared" si="119"/>
        <v>COMEDUOldLTEUE</v>
      </c>
      <c r="H386" s="14">
        <v>2025</v>
      </c>
      <c r="I386" s="14" t="str">
        <f>I385</f>
        <v>LO</v>
      </c>
      <c r="J386" s="14"/>
      <c r="K386" s="15">
        <f>-ROUNDDOWN(SUMIFS('COM RESID'!$O:$O,'COM RESID'!$H:$H,$E386,'COM RESID'!$I:$I,$F386)/SUMIFS('COM RESID'!$O:$O,'COM RESID'!$I:$I,$F386),3)*O386</f>
        <v>-0.8</v>
      </c>
      <c r="L386" s="14"/>
      <c r="M386" s="14"/>
      <c r="N386" s="10"/>
      <c r="O386" s="20">
        <v>0.8</v>
      </c>
      <c r="Q386" s="11" t="str">
        <f t="shared" si="100"/>
        <v>*</v>
      </c>
      <c r="R386" s="12"/>
      <c r="S386" s="13" t="str">
        <f t="shared" si="102"/>
        <v>COMELC</v>
      </c>
      <c r="T386" s="13" t="str">
        <f t="shared" si="103"/>
        <v>COMEDUOldLTEUE</v>
      </c>
      <c r="U386" s="13" t="str">
        <f t="shared" si="104"/>
        <v>COMEDUOldLTEUE</v>
      </c>
      <c r="V386" s="14">
        <v>2025</v>
      </c>
      <c r="W386" s="14" t="str">
        <f>W385</f>
        <v>UP</v>
      </c>
      <c r="X386" s="14"/>
      <c r="Y386" s="15">
        <f>-ROUNDUP(MIN(SUMIFS('COM RESID'!$O:$O,'COM RESID'!$H:$H,$E386,'COM RESID'!$I:$I,$F386)/SUMIFS('COM RESID'!$O:$O,'COM RESID'!$I:$I,$F386)*AC386,1),3)</f>
        <v>-1</v>
      </c>
      <c r="Z386" s="14"/>
      <c r="AA386" s="14"/>
      <c r="AB386" s="10"/>
      <c r="AC386" s="20">
        <f>IF(S386="COMELC",IF(SUMIFS('COM RESID'!$O:$O,'COM RESID'!$H:$H,$E386,'COM RESID'!$I:$I,$F386)/SUMIFS('COM RESID'!$O:$O,'COM RESID'!$I:$I,$F386)*1.2&lt;0.25,0.25/(SUMIFS('COM RESID'!$O:$O,'COM RESID'!$H:$H,$E386,'COM RESID'!$I:$I,$F386)/SUMIFS('COM RESID'!$O:$O,'COM RESID'!$I:$I,$F386)),1.2),IF(ISNUMBER(SEARCH("WHEUE",T386)),IF(OR(S386="COMNGA",S386="COMFOI"),1,1.2),1.2))</f>
        <v>1.2</v>
      </c>
    </row>
    <row r="387" spans="1:29" x14ac:dyDescent="0.25">
      <c r="A387" s="10">
        <f>A386</f>
        <v>96</v>
      </c>
      <c r="B387" s="10"/>
      <c r="C387" s="11" t="str">
        <f>IF(C386="*",C386,"")</f>
        <v>*</v>
      </c>
      <c r="D387" s="12"/>
      <c r="E387" s="13" t="str">
        <f t="shared" si="119"/>
        <v>COMELC</v>
      </c>
      <c r="F387" s="13" t="str">
        <f t="shared" si="119"/>
        <v>COMEDUOldLTEUE</v>
      </c>
      <c r="G387" s="13" t="str">
        <f t="shared" si="119"/>
        <v>COMEDUOldLTEUE</v>
      </c>
      <c r="H387" s="14">
        <v>2030</v>
      </c>
      <c r="I387" s="14" t="str">
        <f>I386</f>
        <v>LO</v>
      </c>
      <c r="J387" s="14"/>
      <c r="K387" s="15">
        <f>-ROUNDDOWN(SUMIFS('COM RESID'!$O:$O,'COM RESID'!$H:$H,$E387,'COM RESID'!$I:$I,$F387)/SUMIFS('COM RESID'!$O:$O,'COM RESID'!$I:$I,$F387),3)*O387</f>
        <v>-0.2</v>
      </c>
      <c r="L387" s="14"/>
      <c r="M387" s="14"/>
      <c r="N387" s="10"/>
      <c r="O387" s="20">
        <v>0.2</v>
      </c>
      <c r="Q387" s="11" t="str">
        <f t="shared" si="100"/>
        <v>*</v>
      </c>
      <c r="R387" s="12"/>
      <c r="S387" s="13" t="str">
        <f t="shared" si="102"/>
        <v>COMELC</v>
      </c>
      <c r="T387" s="13" t="str">
        <f t="shared" si="103"/>
        <v>COMEDUOldLTEUE</v>
      </c>
      <c r="U387" s="13" t="str">
        <f t="shared" si="104"/>
        <v>COMEDUOldLTEUE</v>
      </c>
      <c r="V387" s="14">
        <v>2030</v>
      </c>
      <c r="W387" s="14" t="str">
        <f>W386</f>
        <v>UP</v>
      </c>
      <c r="X387" s="14"/>
      <c r="Y387" s="15">
        <f>-ROUNDUP(MIN(SUMIFS('COM RESID'!$O:$O,'COM RESID'!$H:$H,$E387,'COM RESID'!$I:$I,$F387)/SUMIFS('COM RESID'!$O:$O,'COM RESID'!$I:$I,$F387)*AC387,1),3)</f>
        <v>-1</v>
      </c>
      <c r="Z387" s="14"/>
      <c r="AA387" s="14"/>
      <c r="AB387" s="10"/>
      <c r="AC387" s="20">
        <f>IF(S387="COMELC",IF(SUMIFS('COM RESID'!$O:$O,'COM RESID'!$H:$H,$E387,'COM RESID'!$I:$I,$F387)/SUMIFS('COM RESID'!$O:$O,'COM RESID'!$I:$I,$F387)*1.5&lt;0.5,0.5/(SUMIFS('COM RESID'!$O:$O,'COM RESID'!$H:$H,$E387,'COM RESID'!$I:$I,$F387)/SUMIFS('COM RESID'!$O:$O,'COM RESID'!$I:$I,$F387)),1.5),IF(ISNUMBER(SEARCH("WHEUE",T386)),IF(OR(S386="COMNGA",S386="COMFOI"),0.9,1.5),1.5))</f>
        <v>1.5</v>
      </c>
    </row>
    <row r="388" spans="1:29" x14ac:dyDescent="0.25">
      <c r="A388" s="26">
        <f>A387</f>
        <v>96</v>
      </c>
      <c r="B388" s="26"/>
      <c r="C388" s="21" t="str">
        <f>IF(C387="*",C387,"")</f>
        <v>*</v>
      </c>
      <c r="D388" s="22"/>
      <c r="E388" s="23" t="str">
        <f t="shared" si="119"/>
        <v>COMELC</v>
      </c>
      <c r="F388" s="23" t="str">
        <f t="shared" si="119"/>
        <v>COMEDUOldLTEUE</v>
      </c>
      <c r="G388" s="23" t="str">
        <f t="shared" si="119"/>
        <v>COMEDUOldLTEUE</v>
      </c>
      <c r="H388" s="24">
        <v>2050</v>
      </c>
      <c r="I388" s="24" t="str">
        <f>I387</f>
        <v>LO</v>
      </c>
      <c r="J388" s="24"/>
      <c r="K388" s="25">
        <f>-ROUNDDOWN(SUMIFS('COM RESID'!$O:$O,'COM RESID'!$H:$H,$E388,'COM RESID'!$I:$I,$F388)/SUMIFS('COM RESID'!$O:$O,'COM RESID'!$I:$I,$F388),3)*O388</f>
        <v>0</v>
      </c>
      <c r="L388" s="24"/>
      <c r="M388" s="24"/>
      <c r="N388" s="26"/>
      <c r="O388" s="27">
        <v>0</v>
      </c>
      <c r="Q388" s="21" t="str">
        <f t="shared" si="100"/>
        <v>*</v>
      </c>
      <c r="R388" s="22"/>
      <c r="S388" s="23" t="str">
        <f t="shared" si="102"/>
        <v>COMELC</v>
      </c>
      <c r="T388" s="23" t="str">
        <f t="shared" si="103"/>
        <v>COMEDUOldLTEUE</v>
      </c>
      <c r="U388" s="23" t="str">
        <f t="shared" si="104"/>
        <v>COMEDUOldLTEUE</v>
      </c>
      <c r="V388" s="24">
        <v>2050</v>
      </c>
      <c r="W388" s="24" t="str">
        <f>W387</f>
        <v>UP</v>
      </c>
      <c r="X388" s="24"/>
      <c r="Y388" s="25">
        <f>-ROUNDUP(MIN(SUMIFS('COM RESID'!$O:$O,'COM RESID'!$H:$H,$E388,'COM RESID'!$I:$I,$F388)/SUMIFS('COM RESID'!$O:$O,'COM RESID'!$I:$I,$F388)*AC388,1),3)</f>
        <v>-1</v>
      </c>
      <c r="Z388" s="24"/>
      <c r="AA388" s="24"/>
      <c r="AB388" s="26"/>
      <c r="AC388" s="27">
        <f>IF(S388="COMELC",IF(SUMIFS('COM RESID'!$O:$O,'COM RESID'!$H:$H,$E388,'COM RESID'!$I:$I,$F388)/SUMIFS('COM RESID'!$O:$O,'COM RESID'!$I:$I,$F388)*3&lt;1,1/(SUMIFS('COM RESID'!$O:$O,'COM RESID'!$H:$H,$E388,'COM RESID'!$I:$I,$F388)/SUMIFS('COM RESID'!$O:$O,'COM RESID'!$I:$I,$F388)),3),IF(ISNUMBER(SEARCH("WHEUE",T386)),IF(OR(S386="COMNGA",S386="COMFOI"),0.75,3),3))</f>
        <v>3</v>
      </c>
    </row>
    <row r="389" spans="1:29" x14ac:dyDescent="0.25">
      <c r="A389" s="19">
        <f>A385+1</f>
        <v>97</v>
      </c>
      <c r="B389" s="10"/>
      <c r="C389" s="11" t="str">
        <f>IF(E389="","",IF(_xlfn.XLOOKUP($A389,Selected_constraint_UC!$A:$A,Selected_constraint_UC!$D:$D)=1,"*",IF(SUMIFS('COM TECH'!$N:$N,'COM TECH'!$K:$K,E389,'COM TECH'!$L:$L,F389)=0,"*",IF(SUMIFS('COM RESID'!$O:$O,'COM RESID'!$H:$H,$E389,'COM RESID'!$I:$I,$F389)=0,"*","UC_MarketShare_"&amp;LEFT(F389,LEN(F389)-3)&amp;"_"&amp;RIGHT(E389,3)&amp;"_MIN"))))</f>
        <v>*</v>
      </c>
      <c r="D389" s="12"/>
      <c r="E389" s="13" t="str">
        <f>_xlfn.XLOOKUP($A389,Selected_constraint_UC!$A:$A,Selected_constraint_UC!$B:$B)</f>
        <v>COMFOI</v>
      </c>
      <c r="F389" s="13" t="str">
        <f>_xlfn.XLOOKUP($A389,Selected_constraint_UC!$A:$A,Selected_constraint_UC!$C:$C)</f>
        <v>COMEDUOldCKEUE</v>
      </c>
      <c r="G389" s="13" t="str">
        <f>F389</f>
        <v>COMEDUOldCKEUE</v>
      </c>
      <c r="H389" s="14">
        <v>2019</v>
      </c>
      <c r="I389" s="14" t="s">
        <v>3848</v>
      </c>
      <c r="J389" s="14">
        <v>1</v>
      </c>
      <c r="K389" s="15">
        <f>-ROUNDDOWN(SUMIFS('COM RESID'!$O:$O,'COM RESID'!$H:$H,$E389,'COM RESID'!$I:$I,$F389)/SUMIFS('COM RESID'!$O:$O,'COM RESID'!$I:$I,$F389),3)*O389</f>
        <v>0</v>
      </c>
      <c r="L389" s="14">
        <v>0</v>
      </c>
      <c r="M389" s="14">
        <v>5</v>
      </c>
      <c r="N389" s="10"/>
      <c r="O389" s="20">
        <v>0.98</v>
      </c>
      <c r="Q389" s="11" t="str">
        <f t="shared" ref="Q389:Q452" si="120">SUBSTITUTE(C389,"MIN","MAX")</f>
        <v>*</v>
      </c>
      <c r="R389" s="12"/>
      <c r="S389" s="13" t="str">
        <f t="shared" si="102"/>
        <v>COMFOI</v>
      </c>
      <c r="T389" s="13" t="str">
        <f t="shared" si="103"/>
        <v>COMEDUOldCKEUE</v>
      </c>
      <c r="U389" s="13" t="str">
        <f t="shared" si="104"/>
        <v>COMEDUOldCKEUE</v>
      </c>
      <c r="V389" s="14">
        <v>2019</v>
      </c>
      <c r="W389" s="14" t="s">
        <v>3849</v>
      </c>
      <c r="X389" s="14">
        <v>1</v>
      </c>
      <c r="Y389" s="15">
        <f>-ROUNDUP(MIN(SUMIFS('COM RESID'!$O:$O,'COM RESID'!$H:$H,$E389,'COM RESID'!$I:$I,$F389)/SUMIFS('COM RESID'!$O:$O,'COM RESID'!$I:$I,$F389)*AC389,1),3)</f>
        <v>-1E-3</v>
      </c>
      <c r="Z389" s="14">
        <v>0</v>
      </c>
      <c r="AA389" s="14">
        <v>5</v>
      </c>
      <c r="AB389" s="10"/>
      <c r="AC389" s="20">
        <v>1.02</v>
      </c>
    </row>
    <row r="390" spans="1:29" x14ac:dyDescent="0.25">
      <c r="A390" s="10">
        <f>A389</f>
        <v>97</v>
      </c>
      <c r="B390" s="10"/>
      <c r="C390" s="11" t="str">
        <f>IF(C389="*",C389,"")</f>
        <v>*</v>
      </c>
      <c r="D390" s="12"/>
      <c r="E390" s="13" t="str">
        <f t="shared" ref="E390:G392" si="121">E389</f>
        <v>COMFOI</v>
      </c>
      <c r="F390" s="13" t="str">
        <f t="shared" si="121"/>
        <v>COMEDUOldCKEUE</v>
      </c>
      <c r="G390" s="13" t="str">
        <f t="shared" si="121"/>
        <v>COMEDUOldCKEUE</v>
      </c>
      <c r="H390" s="14">
        <v>2025</v>
      </c>
      <c r="I390" s="14" t="str">
        <f>I389</f>
        <v>LO</v>
      </c>
      <c r="J390" s="14"/>
      <c r="K390" s="15">
        <f>-ROUNDDOWN(SUMIFS('COM RESID'!$O:$O,'COM RESID'!$H:$H,$E390,'COM RESID'!$I:$I,$F390)/SUMIFS('COM RESID'!$O:$O,'COM RESID'!$I:$I,$F390),3)*O390</f>
        <v>0</v>
      </c>
      <c r="L390" s="14"/>
      <c r="M390" s="14"/>
      <c r="N390" s="10"/>
      <c r="O390" s="20">
        <v>0.8</v>
      </c>
      <c r="Q390" s="11" t="str">
        <f t="shared" si="120"/>
        <v>*</v>
      </c>
      <c r="R390" s="12"/>
      <c r="S390" s="13" t="str">
        <f t="shared" ref="S390:S453" si="122">E390</f>
        <v>COMFOI</v>
      </c>
      <c r="T390" s="13" t="str">
        <f t="shared" ref="T390:T453" si="123">F390</f>
        <v>COMEDUOldCKEUE</v>
      </c>
      <c r="U390" s="13" t="str">
        <f t="shared" ref="U390:U453" si="124">G390</f>
        <v>COMEDUOldCKEUE</v>
      </c>
      <c r="V390" s="14">
        <v>2025</v>
      </c>
      <c r="W390" s="14" t="str">
        <f>W389</f>
        <v>UP</v>
      </c>
      <c r="X390" s="14"/>
      <c r="Y390" s="15">
        <f>-ROUNDUP(MIN(SUMIFS('COM RESID'!$O:$O,'COM RESID'!$H:$H,$E390,'COM RESID'!$I:$I,$F390)/SUMIFS('COM RESID'!$O:$O,'COM RESID'!$I:$I,$F390)*AC390,1),3)</f>
        <v>-1E-3</v>
      </c>
      <c r="Z390" s="14"/>
      <c r="AA390" s="14"/>
      <c r="AB390" s="10"/>
      <c r="AC390" s="20">
        <f>IF(S390="COMELC",IF(SUMIFS('COM RESID'!$O:$O,'COM RESID'!$H:$H,$E390,'COM RESID'!$I:$I,$F390)/SUMIFS('COM RESID'!$O:$O,'COM RESID'!$I:$I,$F390)*1.2&lt;0.25,0.25/(SUMIFS('COM RESID'!$O:$O,'COM RESID'!$H:$H,$E390,'COM RESID'!$I:$I,$F390)/SUMIFS('COM RESID'!$O:$O,'COM RESID'!$I:$I,$F390)),1.2),IF(ISNUMBER(SEARCH("WHEUE",T390)),IF(OR(S390="COMNGA",S390="COMFOI"),1,1.2),1.2))</f>
        <v>1.2</v>
      </c>
    </row>
    <row r="391" spans="1:29" x14ac:dyDescent="0.25">
      <c r="A391" s="10">
        <f>A390</f>
        <v>97</v>
      </c>
      <c r="B391" s="10"/>
      <c r="C391" s="11" t="str">
        <f>IF(C390="*",C390,"")</f>
        <v>*</v>
      </c>
      <c r="D391" s="12"/>
      <c r="E391" s="13" t="str">
        <f t="shared" si="121"/>
        <v>COMFOI</v>
      </c>
      <c r="F391" s="13" t="str">
        <f t="shared" si="121"/>
        <v>COMEDUOldCKEUE</v>
      </c>
      <c r="G391" s="13" t="str">
        <f t="shared" si="121"/>
        <v>COMEDUOldCKEUE</v>
      </c>
      <c r="H391" s="14">
        <v>2030</v>
      </c>
      <c r="I391" s="14" t="str">
        <f>I390</f>
        <v>LO</v>
      </c>
      <c r="J391" s="14"/>
      <c r="K391" s="15">
        <f>-ROUNDDOWN(SUMIFS('COM RESID'!$O:$O,'COM RESID'!$H:$H,$E391,'COM RESID'!$I:$I,$F391)/SUMIFS('COM RESID'!$O:$O,'COM RESID'!$I:$I,$F391),3)*O391</f>
        <v>0</v>
      </c>
      <c r="L391" s="14"/>
      <c r="M391" s="14"/>
      <c r="N391" s="10"/>
      <c r="O391" s="20">
        <v>0.2</v>
      </c>
      <c r="Q391" s="11" t="str">
        <f t="shared" si="120"/>
        <v>*</v>
      </c>
      <c r="R391" s="12"/>
      <c r="S391" s="13" t="str">
        <f t="shared" si="122"/>
        <v>COMFOI</v>
      </c>
      <c r="T391" s="13" t="str">
        <f t="shared" si="123"/>
        <v>COMEDUOldCKEUE</v>
      </c>
      <c r="U391" s="13" t="str">
        <f t="shared" si="124"/>
        <v>COMEDUOldCKEUE</v>
      </c>
      <c r="V391" s="14">
        <v>2030</v>
      </c>
      <c r="W391" s="14" t="str">
        <f>W390</f>
        <v>UP</v>
      </c>
      <c r="X391" s="14"/>
      <c r="Y391" s="15">
        <f>-ROUNDUP(MIN(SUMIFS('COM RESID'!$O:$O,'COM RESID'!$H:$H,$E391,'COM RESID'!$I:$I,$F391)/SUMIFS('COM RESID'!$O:$O,'COM RESID'!$I:$I,$F391)*AC391,1),3)</f>
        <v>-1E-3</v>
      </c>
      <c r="Z391" s="14"/>
      <c r="AA391" s="14"/>
      <c r="AB391" s="10"/>
      <c r="AC391" s="20">
        <f>IF(S391="COMELC",IF(SUMIFS('COM RESID'!$O:$O,'COM RESID'!$H:$H,$E391,'COM RESID'!$I:$I,$F391)/SUMIFS('COM RESID'!$O:$O,'COM RESID'!$I:$I,$F391)*1.5&lt;0.5,0.5/(SUMIFS('COM RESID'!$O:$O,'COM RESID'!$H:$H,$E391,'COM RESID'!$I:$I,$F391)/SUMIFS('COM RESID'!$O:$O,'COM RESID'!$I:$I,$F391)),1.5),IF(ISNUMBER(SEARCH("WHEUE",T390)),IF(OR(S390="COMNGA",S390="COMFOI"),0.9,1.5),1.5))</f>
        <v>1.5</v>
      </c>
    </row>
    <row r="392" spans="1:29" x14ac:dyDescent="0.25">
      <c r="A392" s="26">
        <f>A391</f>
        <v>97</v>
      </c>
      <c r="B392" s="26"/>
      <c r="C392" s="21" t="str">
        <f>IF(C391="*",C391,"")</f>
        <v>*</v>
      </c>
      <c r="D392" s="22"/>
      <c r="E392" s="23" t="str">
        <f t="shared" si="121"/>
        <v>COMFOI</v>
      </c>
      <c r="F392" s="23" t="str">
        <f t="shared" si="121"/>
        <v>COMEDUOldCKEUE</v>
      </c>
      <c r="G392" s="23" t="str">
        <f t="shared" si="121"/>
        <v>COMEDUOldCKEUE</v>
      </c>
      <c r="H392" s="24">
        <v>2050</v>
      </c>
      <c r="I392" s="24" t="str">
        <f>I391</f>
        <v>LO</v>
      </c>
      <c r="J392" s="24"/>
      <c r="K392" s="25">
        <f>-ROUNDDOWN(SUMIFS('COM RESID'!$O:$O,'COM RESID'!$H:$H,$E392,'COM RESID'!$I:$I,$F392)/SUMIFS('COM RESID'!$O:$O,'COM RESID'!$I:$I,$F392),3)*O392</f>
        <v>0</v>
      </c>
      <c r="L392" s="24"/>
      <c r="M392" s="24"/>
      <c r="N392" s="26"/>
      <c r="O392" s="27">
        <v>0</v>
      </c>
      <c r="Q392" s="21" t="str">
        <f t="shared" si="120"/>
        <v>*</v>
      </c>
      <c r="R392" s="22"/>
      <c r="S392" s="23" t="str">
        <f t="shared" si="122"/>
        <v>COMFOI</v>
      </c>
      <c r="T392" s="23" t="str">
        <f t="shared" si="123"/>
        <v>COMEDUOldCKEUE</v>
      </c>
      <c r="U392" s="23" t="str">
        <f t="shared" si="124"/>
        <v>COMEDUOldCKEUE</v>
      </c>
      <c r="V392" s="24">
        <v>2050</v>
      </c>
      <c r="W392" s="24" t="str">
        <f>W391</f>
        <v>UP</v>
      </c>
      <c r="X392" s="24"/>
      <c r="Y392" s="25">
        <f>-ROUNDUP(MIN(SUMIFS('COM RESID'!$O:$O,'COM RESID'!$H:$H,$E392,'COM RESID'!$I:$I,$F392)/SUMIFS('COM RESID'!$O:$O,'COM RESID'!$I:$I,$F392)*AC392,1),3)</f>
        <v>-1E-3</v>
      </c>
      <c r="Z392" s="24"/>
      <c r="AA392" s="24"/>
      <c r="AB392" s="26"/>
      <c r="AC392" s="27">
        <f>IF(S392="COMELC",IF(SUMIFS('COM RESID'!$O:$O,'COM RESID'!$H:$H,$E392,'COM RESID'!$I:$I,$F392)/SUMIFS('COM RESID'!$O:$O,'COM RESID'!$I:$I,$F392)*3&lt;1,1/(SUMIFS('COM RESID'!$O:$O,'COM RESID'!$H:$H,$E392,'COM RESID'!$I:$I,$F392)/SUMIFS('COM RESID'!$O:$O,'COM RESID'!$I:$I,$F392)),3),IF(ISNUMBER(SEARCH("WHEUE",T390)),IF(OR(S390="COMNGA",S390="COMFOI"),0.75,3),3))</f>
        <v>3</v>
      </c>
    </row>
    <row r="393" spans="1:29" x14ac:dyDescent="0.25">
      <c r="A393" s="19">
        <f>A389+1</f>
        <v>98</v>
      </c>
      <c r="B393" s="10"/>
      <c r="C393" s="11" t="str">
        <f>IF(E393="","",IF(_xlfn.XLOOKUP($A393,Selected_constraint_UC!$A:$A,Selected_constraint_UC!$D:$D)=1,"*",IF(SUMIFS('COM TECH'!$N:$N,'COM TECH'!$K:$K,E393,'COM TECH'!$L:$L,F393)=0,"*",IF(SUMIFS('COM RESID'!$O:$O,'COM RESID'!$H:$H,$E393,'COM RESID'!$I:$I,$F393)=0,"*","UC_MarketShare_"&amp;LEFT(F393,LEN(F393)-3)&amp;"_"&amp;RIGHT(E393,3)&amp;"_MIN"))))</f>
        <v>*</v>
      </c>
      <c r="D393" s="12"/>
      <c r="E393" s="13" t="str">
        <f>_xlfn.XLOOKUP($A393,Selected_constraint_UC!$A:$A,Selected_constraint_UC!$B:$B)</f>
        <v>COMNGA</v>
      </c>
      <c r="F393" s="13" t="str">
        <f>_xlfn.XLOOKUP($A393,Selected_constraint_UC!$A:$A,Selected_constraint_UC!$C:$C)</f>
        <v>COMEDUOldCKEUE</v>
      </c>
      <c r="G393" s="13" t="str">
        <f>F393</f>
        <v>COMEDUOldCKEUE</v>
      </c>
      <c r="H393" s="14">
        <v>2019</v>
      </c>
      <c r="I393" s="14" t="s">
        <v>3848</v>
      </c>
      <c r="J393" s="14">
        <v>1</v>
      </c>
      <c r="K393" s="15">
        <f>-ROUNDDOWN(SUMIFS('COM RESID'!$O:$O,'COM RESID'!$H:$H,$E393,'COM RESID'!$I:$I,$F393)/SUMIFS('COM RESID'!$O:$O,'COM RESID'!$I:$I,$F393),3)*O393</f>
        <v>-0.78792000000000006</v>
      </c>
      <c r="L393" s="14">
        <v>0</v>
      </c>
      <c r="M393" s="14">
        <v>5</v>
      </c>
      <c r="N393" s="10"/>
      <c r="O393" s="20">
        <v>0.98</v>
      </c>
      <c r="Q393" s="11" t="str">
        <f t="shared" si="120"/>
        <v>*</v>
      </c>
      <c r="R393" s="12"/>
      <c r="S393" s="13" t="str">
        <f t="shared" si="122"/>
        <v>COMNGA</v>
      </c>
      <c r="T393" s="13" t="str">
        <f t="shared" si="123"/>
        <v>COMEDUOldCKEUE</v>
      </c>
      <c r="U393" s="13" t="str">
        <f t="shared" si="124"/>
        <v>COMEDUOldCKEUE</v>
      </c>
      <c r="V393" s="14">
        <v>2019</v>
      </c>
      <c r="W393" s="14" t="s">
        <v>3849</v>
      </c>
      <c r="X393" s="14">
        <v>1</v>
      </c>
      <c r="Y393" s="15">
        <f>-ROUNDUP(MIN(SUMIFS('COM RESID'!$O:$O,'COM RESID'!$H:$H,$E393,'COM RESID'!$I:$I,$F393)/SUMIFS('COM RESID'!$O:$O,'COM RESID'!$I:$I,$F393)*AC393,1),3)</f>
        <v>-0.82099999999999995</v>
      </c>
      <c r="Z393" s="14">
        <v>0</v>
      </c>
      <c r="AA393" s="14">
        <v>5</v>
      </c>
      <c r="AB393" s="10"/>
      <c r="AC393" s="20">
        <v>1.02</v>
      </c>
    </row>
    <row r="394" spans="1:29" x14ac:dyDescent="0.25">
      <c r="A394" s="10">
        <f>A393</f>
        <v>98</v>
      </c>
      <c r="B394" s="10"/>
      <c r="C394" s="11" t="str">
        <f>IF(C393="*",C393,"")</f>
        <v>*</v>
      </c>
      <c r="D394" s="12"/>
      <c r="E394" s="13" t="str">
        <f t="shared" ref="E394:G396" si="125">E393</f>
        <v>COMNGA</v>
      </c>
      <c r="F394" s="13" t="str">
        <f t="shared" si="125"/>
        <v>COMEDUOldCKEUE</v>
      </c>
      <c r="G394" s="13" t="str">
        <f t="shared" si="125"/>
        <v>COMEDUOldCKEUE</v>
      </c>
      <c r="H394" s="14">
        <v>2025</v>
      </c>
      <c r="I394" s="14" t="str">
        <f>I393</f>
        <v>LO</v>
      </c>
      <c r="J394" s="14"/>
      <c r="K394" s="15">
        <f>-ROUNDDOWN(SUMIFS('COM RESID'!$O:$O,'COM RESID'!$H:$H,$E394,'COM RESID'!$I:$I,$F394)/SUMIFS('COM RESID'!$O:$O,'COM RESID'!$I:$I,$F394),3)*O394</f>
        <v>-0.6432000000000001</v>
      </c>
      <c r="L394" s="14"/>
      <c r="M394" s="14"/>
      <c r="N394" s="10"/>
      <c r="O394" s="20">
        <v>0.8</v>
      </c>
      <c r="Q394" s="11" t="str">
        <f t="shared" si="120"/>
        <v>*</v>
      </c>
      <c r="R394" s="12"/>
      <c r="S394" s="13" t="str">
        <f t="shared" si="122"/>
        <v>COMNGA</v>
      </c>
      <c r="T394" s="13" t="str">
        <f t="shared" si="123"/>
        <v>COMEDUOldCKEUE</v>
      </c>
      <c r="U394" s="13" t="str">
        <f t="shared" si="124"/>
        <v>COMEDUOldCKEUE</v>
      </c>
      <c r="V394" s="14">
        <v>2025</v>
      </c>
      <c r="W394" s="14" t="str">
        <f>W393</f>
        <v>UP</v>
      </c>
      <c r="X394" s="14"/>
      <c r="Y394" s="15">
        <f>-ROUNDUP(MIN(SUMIFS('COM RESID'!$O:$O,'COM RESID'!$H:$H,$E394,'COM RESID'!$I:$I,$F394)/SUMIFS('COM RESID'!$O:$O,'COM RESID'!$I:$I,$F394)*AC394,1),3)</f>
        <v>-0.96599999999999997</v>
      </c>
      <c r="Z394" s="14"/>
      <c r="AA394" s="14"/>
      <c r="AB394" s="10"/>
      <c r="AC394" s="20">
        <f>IF(S394="COMELC",IF(SUMIFS('COM RESID'!$O:$O,'COM RESID'!$H:$H,$E394,'COM RESID'!$I:$I,$F394)/SUMIFS('COM RESID'!$O:$O,'COM RESID'!$I:$I,$F394)*1.2&lt;0.25,0.25/(SUMIFS('COM RESID'!$O:$O,'COM RESID'!$H:$H,$E394,'COM RESID'!$I:$I,$F394)/SUMIFS('COM RESID'!$O:$O,'COM RESID'!$I:$I,$F394)),1.2),IF(ISNUMBER(SEARCH("WHEUE",T394)),IF(OR(S394="COMNGA",S394="COMFOI"),1,1.2),1.2))</f>
        <v>1.2</v>
      </c>
    </row>
    <row r="395" spans="1:29" x14ac:dyDescent="0.25">
      <c r="A395" s="10">
        <f>A394</f>
        <v>98</v>
      </c>
      <c r="B395" s="10"/>
      <c r="C395" s="11" t="str">
        <f>IF(C394="*",C394,"")</f>
        <v>*</v>
      </c>
      <c r="D395" s="12"/>
      <c r="E395" s="13" t="str">
        <f t="shared" si="125"/>
        <v>COMNGA</v>
      </c>
      <c r="F395" s="13" t="str">
        <f t="shared" si="125"/>
        <v>COMEDUOldCKEUE</v>
      </c>
      <c r="G395" s="13" t="str">
        <f t="shared" si="125"/>
        <v>COMEDUOldCKEUE</v>
      </c>
      <c r="H395" s="14">
        <v>2030</v>
      </c>
      <c r="I395" s="14" t="str">
        <f>I394</f>
        <v>LO</v>
      </c>
      <c r="J395" s="14"/>
      <c r="K395" s="15">
        <f>-ROUNDDOWN(SUMIFS('COM RESID'!$O:$O,'COM RESID'!$H:$H,$E395,'COM RESID'!$I:$I,$F395)/SUMIFS('COM RESID'!$O:$O,'COM RESID'!$I:$I,$F395),3)*O395</f>
        <v>-0.16080000000000003</v>
      </c>
      <c r="L395" s="14"/>
      <c r="M395" s="14"/>
      <c r="N395" s="10"/>
      <c r="O395" s="20">
        <v>0.2</v>
      </c>
      <c r="Q395" s="11" t="str">
        <f t="shared" si="120"/>
        <v>*</v>
      </c>
      <c r="R395" s="12"/>
      <c r="S395" s="13" t="str">
        <f t="shared" si="122"/>
        <v>COMNGA</v>
      </c>
      <c r="T395" s="13" t="str">
        <f t="shared" si="123"/>
        <v>COMEDUOldCKEUE</v>
      </c>
      <c r="U395" s="13" t="str">
        <f t="shared" si="124"/>
        <v>COMEDUOldCKEUE</v>
      </c>
      <c r="V395" s="14">
        <v>2030</v>
      </c>
      <c r="W395" s="14" t="str">
        <f>W394</f>
        <v>UP</v>
      </c>
      <c r="X395" s="14"/>
      <c r="Y395" s="15">
        <f>-ROUNDUP(MIN(SUMIFS('COM RESID'!$O:$O,'COM RESID'!$H:$H,$E395,'COM RESID'!$I:$I,$F395)/SUMIFS('COM RESID'!$O:$O,'COM RESID'!$I:$I,$F395)*AC395,1),3)</f>
        <v>-1</v>
      </c>
      <c r="Z395" s="14"/>
      <c r="AA395" s="14"/>
      <c r="AB395" s="10"/>
      <c r="AC395" s="20">
        <f>IF(S395="COMELC",IF(SUMIFS('COM RESID'!$O:$O,'COM RESID'!$H:$H,$E395,'COM RESID'!$I:$I,$F395)/SUMIFS('COM RESID'!$O:$O,'COM RESID'!$I:$I,$F395)*1.5&lt;0.5,0.5/(SUMIFS('COM RESID'!$O:$O,'COM RESID'!$H:$H,$E395,'COM RESID'!$I:$I,$F395)/SUMIFS('COM RESID'!$O:$O,'COM RESID'!$I:$I,$F395)),1.5),IF(ISNUMBER(SEARCH("WHEUE",T394)),IF(OR(S394="COMNGA",S394="COMFOI"),0.9,1.5),1.5))</f>
        <v>1.5</v>
      </c>
    </row>
    <row r="396" spans="1:29" x14ac:dyDescent="0.25">
      <c r="A396" s="26">
        <f>A395</f>
        <v>98</v>
      </c>
      <c r="B396" s="26"/>
      <c r="C396" s="21" t="str">
        <f>IF(C395="*",C395,"")</f>
        <v>*</v>
      </c>
      <c r="D396" s="22"/>
      <c r="E396" s="23" t="str">
        <f t="shared" si="125"/>
        <v>COMNGA</v>
      </c>
      <c r="F396" s="23" t="str">
        <f t="shared" si="125"/>
        <v>COMEDUOldCKEUE</v>
      </c>
      <c r="G396" s="23" t="str">
        <f t="shared" si="125"/>
        <v>COMEDUOldCKEUE</v>
      </c>
      <c r="H396" s="24">
        <v>2050</v>
      </c>
      <c r="I396" s="24" t="str">
        <f>I395</f>
        <v>LO</v>
      </c>
      <c r="J396" s="24"/>
      <c r="K396" s="25">
        <f>-ROUNDDOWN(SUMIFS('COM RESID'!$O:$O,'COM RESID'!$H:$H,$E396,'COM RESID'!$I:$I,$F396)/SUMIFS('COM RESID'!$O:$O,'COM RESID'!$I:$I,$F396),3)*O396</f>
        <v>0</v>
      </c>
      <c r="L396" s="24"/>
      <c r="M396" s="24"/>
      <c r="N396" s="26"/>
      <c r="O396" s="27">
        <v>0</v>
      </c>
      <c r="Q396" s="21" t="str">
        <f t="shared" si="120"/>
        <v>*</v>
      </c>
      <c r="R396" s="22"/>
      <c r="S396" s="23" t="str">
        <f t="shared" si="122"/>
        <v>COMNGA</v>
      </c>
      <c r="T396" s="23" t="str">
        <f t="shared" si="123"/>
        <v>COMEDUOldCKEUE</v>
      </c>
      <c r="U396" s="23" t="str">
        <f t="shared" si="124"/>
        <v>COMEDUOldCKEUE</v>
      </c>
      <c r="V396" s="24">
        <v>2050</v>
      </c>
      <c r="W396" s="24" t="str">
        <f>W395</f>
        <v>UP</v>
      </c>
      <c r="X396" s="24"/>
      <c r="Y396" s="25">
        <f>-ROUNDUP(MIN(SUMIFS('COM RESID'!$O:$O,'COM RESID'!$H:$H,$E396,'COM RESID'!$I:$I,$F396)/SUMIFS('COM RESID'!$O:$O,'COM RESID'!$I:$I,$F396)*AC396,1),3)</f>
        <v>-1</v>
      </c>
      <c r="Z396" s="24"/>
      <c r="AA396" s="24"/>
      <c r="AB396" s="26"/>
      <c r="AC396" s="27">
        <f>IF(S396="COMELC",IF(SUMIFS('COM RESID'!$O:$O,'COM RESID'!$H:$H,$E396,'COM RESID'!$I:$I,$F396)/SUMIFS('COM RESID'!$O:$O,'COM RESID'!$I:$I,$F396)*3&lt;1,1/(SUMIFS('COM RESID'!$O:$O,'COM RESID'!$H:$H,$E396,'COM RESID'!$I:$I,$F396)/SUMIFS('COM RESID'!$O:$O,'COM RESID'!$I:$I,$F396)),3),IF(ISNUMBER(SEARCH("WHEUE",T394)),IF(OR(S394="COMNGA",S394="COMFOI"),0.75,3),3))</f>
        <v>3</v>
      </c>
    </row>
    <row r="397" spans="1:29" x14ac:dyDescent="0.25">
      <c r="A397" s="19">
        <f>A393+1</f>
        <v>99</v>
      </c>
      <c r="B397" s="10"/>
      <c r="C397" s="11" t="str">
        <f>IF(E397="","",IF(_xlfn.XLOOKUP($A397,Selected_constraint_UC!$A:$A,Selected_constraint_UC!$D:$D)=1,"*",IF(SUMIFS('COM TECH'!$N:$N,'COM TECH'!$K:$K,E397,'COM TECH'!$L:$L,F397)=0,"*",IF(SUMIFS('COM RESID'!$O:$O,'COM RESID'!$H:$H,$E397,'COM RESID'!$I:$I,$F397)=0,"*","UC_MarketShare_"&amp;LEFT(F397,LEN(F397)-3)&amp;"_"&amp;RIGHT(E397,3)&amp;"_MIN"))))</f>
        <v>*</v>
      </c>
      <c r="D397" s="12"/>
      <c r="E397" s="13" t="str">
        <f>_xlfn.XLOOKUP($A397,Selected_constraint_UC!$A:$A,Selected_constraint_UC!$B:$B)</f>
        <v>COMSTM</v>
      </c>
      <c r="F397" s="13" t="str">
        <f>_xlfn.XLOOKUP($A397,Selected_constraint_UC!$A:$A,Selected_constraint_UC!$C:$C)</f>
        <v>COMEDUOldCKEUE</v>
      </c>
      <c r="G397" s="13" t="str">
        <f>F397</f>
        <v>COMEDUOldCKEUE</v>
      </c>
      <c r="H397" s="14">
        <v>2019</v>
      </c>
      <c r="I397" s="14" t="s">
        <v>3848</v>
      </c>
      <c r="J397" s="14">
        <v>1</v>
      </c>
      <c r="K397" s="15">
        <f>-ROUNDDOWN(SUMIFS('COM RESID'!$O:$O,'COM RESID'!$H:$H,$E397,'COM RESID'!$I:$I,$F397)/SUMIFS('COM RESID'!$O:$O,'COM RESID'!$I:$I,$F397),3)*O397</f>
        <v>0</v>
      </c>
      <c r="L397" s="14">
        <v>0</v>
      </c>
      <c r="M397" s="14">
        <v>5</v>
      </c>
      <c r="N397" s="10"/>
      <c r="O397" s="20">
        <v>0.98</v>
      </c>
      <c r="Q397" s="11" t="str">
        <f t="shared" si="120"/>
        <v>*</v>
      </c>
      <c r="R397" s="12"/>
      <c r="S397" s="13" t="str">
        <f t="shared" si="122"/>
        <v>COMSTM</v>
      </c>
      <c r="T397" s="13" t="str">
        <f t="shared" si="123"/>
        <v>COMEDUOldCKEUE</v>
      </c>
      <c r="U397" s="13" t="str">
        <f t="shared" si="124"/>
        <v>COMEDUOldCKEUE</v>
      </c>
      <c r="V397" s="14">
        <v>2019</v>
      </c>
      <c r="W397" s="14" t="s">
        <v>3849</v>
      </c>
      <c r="X397" s="14">
        <v>1</v>
      </c>
      <c r="Y397" s="15">
        <f>-ROUNDUP(MIN(SUMIFS('COM RESID'!$O:$O,'COM RESID'!$H:$H,$E397,'COM RESID'!$I:$I,$F397)/SUMIFS('COM RESID'!$O:$O,'COM RESID'!$I:$I,$F397)*AC397,1),3)</f>
        <v>-1E-3</v>
      </c>
      <c r="Z397" s="14">
        <v>0</v>
      </c>
      <c r="AA397" s="14">
        <v>5</v>
      </c>
      <c r="AB397" s="10"/>
      <c r="AC397" s="20">
        <v>1.02</v>
      </c>
    </row>
    <row r="398" spans="1:29" x14ac:dyDescent="0.25">
      <c r="A398" s="10">
        <f>A397</f>
        <v>99</v>
      </c>
      <c r="B398" s="10"/>
      <c r="C398" s="11" t="str">
        <f>IF(C397="*",C397,"")</f>
        <v>*</v>
      </c>
      <c r="D398" s="12"/>
      <c r="E398" s="13" t="str">
        <f t="shared" ref="E398:G400" si="126">E397</f>
        <v>COMSTM</v>
      </c>
      <c r="F398" s="13" t="str">
        <f t="shared" si="126"/>
        <v>COMEDUOldCKEUE</v>
      </c>
      <c r="G398" s="13" t="str">
        <f t="shared" si="126"/>
        <v>COMEDUOldCKEUE</v>
      </c>
      <c r="H398" s="14">
        <v>2025</v>
      </c>
      <c r="I398" s="14" t="str">
        <f>I397</f>
        <v>LO</v>
      </c>
      <c r="J398" s="14"/>
      <c r="K398" s="15">
        <f>-ROUNDDOWN(SUMIFS('COM RESID'!$O:$O,'COM RESID'!$H:$H,$E398,'COM RESID'!$I:$I,$F398)/SUMIFS('COM RESID'!$O:$O,'COM RESID'!$I:$I,$F398),3)*O398</f>
        <v>0</v>
      </c>
      <c r="L398" s="14"/>
      <c r="M398" s="14"/>
      <c r="N398" s="10"/>
      <c r="O398" s="20">
        <v>0.8</v>
      </c>
      <c r="Q398" s="11" t="str">
        <f t="shared" si="120"/>
        <v>*</v>
      </c>
      <c r="R398" s="12"/>
      <c r="S398" s="13" t="str">
        <f t="shared" si="122"/>
        <v>COMSTM</v>
      </c>
      <c r="T398" s="13" t="str">
        <f t="shared" si="123"/>
        <v>COMEDUOldCKEUE</v>
      </c>
      <c r="U398" s="13" t="str">
        <f t="shared" si="124"/>
        <v>COMEDUOldCKEUE</v>
      </c>
      <c r="V398" s="14">
        <v>2025</v>
      </c>
      <c r="W398" s="14" t="str">
        <f>W397</f>
        <v>UP</v>
      </c>
      <c r="X398" s="14"/>
      <c r="Y398" s="15">
        <f>-ROUNDUP(MIN(SUMIFS('COM RESID'!$O:$O,'COM RESID'!$H:$H,$E398,'COM RESID'!$I:$I,$F398)/SUMIFS('COM RESID'!$O:$O,'COM RESID'!$I:$I,$F398)*AC398,1),3)</f>
        <v>-1E-3</v>
      </c>
      <c r="Z398" s="14"/>
      <c r="AA398" s="14"/>
      <c r="AB398" s="10"/>
      <c r="AC398" s="20">
        <f>IF(S398="COMELC",IF(SUMIFS('COM RESID'!$O:$O,'COM RESID'!$H:$H,$E398,'COM RESID'!$I:$I,$F398)/SUMIFS('COM RESID'!$O:$O,'COM RESID'!$I:$I,$F398)*1.2&lt;0.25,0.25/(SUMIFS('COM RESID'!$O:$O,'COM RESID'!$H:$H,$E398,'COM RESID'!$I:$I,$F398)/SUMIFS('COM RESID'!$O:$O,'COM RESID'!$I:$I,$F398)),1.2),IF(ISNUMBER(SEARCH("WHEUE",T398)),IF(OR(S398="COMNGA",S398="COMFOI"),1,1.2),1.2))</f>
        <v>1.2</v>
      </c>
    </row>
    <row r="399" spans="1:29" x14ac:dyDescent="0.25">
      <c r="A399" s="10">
        <f>A398</f>
        <v>99</v>
      </c>
      <c r="B399" s="10"/>
      <c r="C399" s="11" t="str">
        <f>IF(C398="*",C398,"")</f>
        <v>*</v>
      </c>
      <c r="D399" s="12"/>
      <c r="E399" s="13" t="str">
        <f t="shared" si="126"/>
        <v>COMSTM</v>
      </c>
      <c r="F399" s="13" t="str">
        <f t="shared" si="126"/>
        <v>COMEDUOldCKEUE</v>
      </c>
      <c r="G399" s="13" t="str">
        <f t="shared" si="126"/>
        <v>COMEDUOldCKEUE</v>
      </c>
      <c r="H399" s="14">
        <v>2030</v>
      </c>
      <c r="I399" s="14" t="str">
        <f>I398</f>
        <v>LO</v>
      </c>
      <c r="J399" s="14"/>
      <c r="K399" s="15">
        <f>-ROUNDDOWN(SUMIFS('COM RESID'!$O:$O,'COM RESID'!$H:$H,$E399,'COM RESID'!$I:$I,$F399)/SUMIFS('COM RESID'!$O:$O,'COM RESID'!$I:$I,$F399),3)*O399</f>
        <v>0</v>
      </c>
      <c r="L399" s="14"/>
      <c r="M399" s="14"/>
      <c r="N399" s="10"/>
      <c r="O399" s="20">
        <v>0.2</v>
      </c>
      <c r="Q399" s="11" t="str">
        <f t="shared" si="120"/>
        <v>*</v>
      </c>
      <c r="R399" s="12"/>
      <c r="S399" s="13" t="str">
        <f t="shared" si="122"/>
        <v>COMSTM</v>
      </c>
      <c r="T399" s="13" t="str">
        <f t="shared" si="123"/>
        <v>COMEDUOldCKEUE</v>
      </c>
      <c r="U399" s="13" t="str">
        <f t="shared" si="124"/>
        <v>COMEDUOldCKEUE</v>
      </c>
      <c r="V399" s="14">
        <v>2030</v>
      </c>
      <c r="W399" s="14" t="str">
        <f>W398</f>
        <v>UP</v>
      </c>
      <c r="X399" s="14"/>
      <c r="Y399" s="15">
        <f>-ROUNDUP(MIN(SUMIFS('COM RESID'!$O:$O,'COM RESID'!$H:$H,$E399,'COM RESID'!$I:$I,$F399)/SUMIFS('COM RESID'!$O:$O,'COM RESID'!$I:$I,$F399)*AC399,1),3)</f>
        <v>-2E-3</v>
      </c>
      <c r="Z399" s="14"/>
      <c r="AA399" s="14"/>
      <c r="AB399" s="10"/>
      <c r="AC399" s="20">
        <f>IF(S399="COMELC",IF(SUMIFS('COM RESID'!$O:$O,'COM RESID'!$H:$H,$E399,'COM RESID'!$I:$I,$F399)/SUMIFS('COM RESID'!$O:$O,'COM RESID'!$I:$I,$F399)*1.5&lt;0.5,0.5/(SUMIFS('COM RESID'!$O:$O,'COM RESID'!$H:$H,$E399,'COM RESID'!$I:$I,$F399)/SUMIFS('COM RESID'!$O:$O,'COM RESID'!$I:$I,$F399)),1.5),IF(ISNUMBER(SEARCH("WHEUE",T398)),IF(OR(S398="COMNGA",S398="COMFOI"),0.9,1.5),1.5))</f>
        <v>1.5</v>
      </c>
    </row>
    <row r="400" spans="1:29" x14ac:dyDescent="0.25">
      <c r="A400" s="26">
        <f>A399</f>
        <v>99</v>
      </c>
      <c r="B400" s="26"/>
      <c r="C400" s="21" t="str">
        <f>IF(C399="*",C399,"")</f>
        <v>*</v>
      </c>
      <c r="D400" s="22"/>
      <c r="E400" s="23" t="str">
        <f t="shared" si="126"/>
        <v>COMSTM</v>
      </c>
      <c r="F400" s="23" t="str">
        <f t="shared" si="126"/>
        <v>COMEDUOldCKEUE</v>
      </c>
      <c r="G400" s="23" t="str">
        <f t="shared" si="126"/>
        <v>COMEDUOldCKEUE</v>
      </c>
      <c r="H400" s="24">
        <v>2050</v>
      </c>
      <c r="I400" s="24" t="str">
        <f>I399</f>
        <v>LO</v>
      </c>
      <c r="J400" s="24"/>
      <c r="K400" s="25">
        <f>-ROUNDDOWN(SUMIFS('COM RESID'!$O:$O,'COM RESID'!$H:$H,$E400,'COM RESID'!$I:$I,$F400)/SUMIFS('COM RESID'!$O:$O,'COM RESID'!$I:$I,$F400),3)*O400</f>
        <v>0</v>
      </c>
      <c r="L400" s="24"/>
      <c r="M400" s="24"/>
      <c r="N400" s="26"/>
      <c r="O400" s="27">
        <v>0</v>
      </c>
      <c r="Q400" s="21" t="str">
        <f t="shared" si="120"/>
        <v>*</v>
      </c>
      <c r="R400" s="22"/>
      <c r="S400" s="23" t="str">
        <f t="shared" si="122"/>
        <v>COMSTM</v>
      </c>
      <c r="T400" s="23" t="str">
        <f t="shared" si="123"/>
        <v>COMEDUOldCKEUE</v>
      </c>
      <c r="U400" s="23" t="str">
        <f t="shared" si="124"/>
        <v>COMEDUOldCKEUE</v>
      </c>
      <c r="V400" s="24">
        <v>2050</v>
      </c>
      <c r="W400" s="24" t="str">
        <f>W399</f>
        <v>UP</v>
      </c>
      <c r="X400" s="24"/>
      <c r="Y400" s="25">
        <f>-ROUNDUP(MIN(SUMIFS('COM RESID'!$O:$O,'COM RESID'!$H:$H,$E400,'COM RESID'!$I:$I,$F400)/SUMIFS('COM RESID'!$O:$O,'COM RESID'!$I:$I,$F400)*AC400,1),3)</f>
        <v>-3.0000000000000001E-3</v>
      </c>
      <c r="Z400" s="24"/>
      <c r="AA400" s="24"/>
      <c r="AB400" s="26"/>
      <c r="AC400" s="27">
        <f>IF(S400="COMELC",IF(SUMIFS('COM RESID'!$O:$O,'COM RESID'!$H:$H,$E400,'COM RESID'!$I:$I,$F400)/SUMIFS('COM RESID'!$O:$O,'COM RESID'!$I:$I,$F400)*3&lt;1,1/(SUMIFS('COM RESID'!$O:$O,'COM RESID'!$H:$H,$E400,'COM RESID'!$I:$I,$F400)/SUMIFS('COM RESID'!$O:$O,'COM RESID'!$I:$I,$F400)),3),IF(ISNUMBER(SEARCH("WHEUE",T398)),IF(OR(S398="COMNGA",S398="COMFOI"),0.75,3),3))</f>
        <v>3</v>
      </c>
    </row>
    <row r="401" spans="1:29" x14ac:dyDescent="0.25">
      <c r="A401" s="19">
        <f>A397+1</f>
        <v>100</v>
      </c>
      <c r="B401" s="10"/>
      <c r="C401" s="11" t="str">
        <f>IF(E401="","",IF(_xlfn.XLOOKUP($A401,Selected_constraint_UC!$A:$A,Selected_constraint_UC!$D:$D)=1,"*",IF(SUMIFS('COM TECH'!$N:$N,'COM TECH'!$K:$K,E401,'COM TECH'!$L:$L,F401)=0,"*",IF(SUMIFS('COM RESID'!$O:$O,'COM RESID'!$H:$H,$E401,'COM RESID'!$I:$I,$F401)=0,"*","UC_MarketShare_"&amp;LEFT(F401,LEN(F401)-3)&amp;"_"&amp;RIGHT(E401,3)&amp;"_MIN"))))</f>
        <v>*</v>
      </c>
      <c r="D401" s="12"/>
      <c r="E401" s="13" t="str">
        <f>_xlfn.XLOOKUP($A401,Selected_constraint_UC!$A:$A,Selected_constraint_UC!$B:$B)</f>
        <v>COMELC</v>
      </c>
      <c r="F401" s="13" t="str">
        <f>_xlfn.XLOOKUP($A401,Selected_constraint_UC!$A:$A,Selected_constraint_UC!$C:$C)</f>
        <v>COMEDUOldCKEUE</v>
      </c>
      <c r="G401" s="13" t="str">
        <f>F401</f>
        <v>COMEDUOldCKEUE</v>
      </c>
      <c r="H401" s="14">
        <v>2019</v>
      </c>
      <c r="I401" s="14" t="s">
        <v>3848</v>
      </c>
      <c r="J401" s="14">
        <v>1</v>
      </c>
      <c r="K401" s="15">
        <f>-ROUNDDOWN(SUMIFS('COM RESID'!$O:$O,'COM RESID'!$H:$H,$E401,'COM RESID'!$I:$I,$F401)/SUMIFS('COM RESID'!$O:$O,'COM RESID'!$I:$I,$F401),3)*O401</f>
        <v>-0.19012000000000001</v>
      </c>
      <c r="L401" s="14">
        <v>0</v>
      </c>
      <c r="M401" s="14">
        <v>5</v>
      </c>
      <c r="N401" s="10"/>
      <c r="O401" s="20">
        <v>0.98</v>
      </c>
      <c r="Q401" s="11" t="str">
        <f t="shared" si="120"/>
        <v>*</v>
      </c>
      <c r="R401" s="12"/>
      <c r="S401" s="13" t="str">
        <f t="shared" si="122"/>
        <v>COMELC</v>
      </c>
      <c r="T401" s="13" t="str">
        <f t="shared" si="123"/>
        <v>COMEDUOldCKEUE</v>
      </c>
      <c r="U401" s="13" t="str">
        <f t="shared" si="124"/>
        <v>COMEDUOldCKEUE</v>
      </c>
      <c r="V401" s="14">
        <v>2019</v>
      </c>
      <c r="W401" s="14" t="s">
        <v>3849</v>
      </c>
      <c r="X401" s="14">
        <v>1</v>
      </c>
      <c r="Y401" s="15">
        <f>-ROUNDUP(MIN(SUMIFS('COM RESID'!$O:$O,'COM RESID'!$H:$H,$E401,'COM RESID'!$I:$I,$F401)/SUMIFS('COM RESID'!$O:$O,'COM RESID'!$I:$I,$F401)*AC401,1),3)</f>
        <v>-0.19900000000000001</v>
      </c>
      <c r="Z401" s="14">
        <v>0</v>
      </c>
      <c r="AA401" s="14">
        <v>5</v>
      </c>
      <c r="AB401" s="10"/>
      <c r="AC401" s="20">
        <v>1.02</v>
      </c>
    </row>
    <row r="402" spans="1:29" x14ac:dyDescent="0.25">
      <c r="A402" s="10">
        <f>A401</f>
        <v>100</v>
      </c>
      <c r="B402" s="10"/>
      <c r="C402" s="11" t="str">
        <f>IF(C401="*",C401,"")</f>
        <v>*</v>
      </c>
      <c r="D402" s="12"/>
      <c r="E402" s="13" t="str">
        <f t="shared" ref="E402:G404" si="127">E401</f>
        <v>COMELC</v>
      </c>
      <c r="F402" s="13" t="str">
        <f t="shared" si="127"/>
        <v>COMEDUOldCKEUE</v>
      </c>
      <c r="G402" s="13" t="str">
        <f t="shared" si="127"/>
        <v>COMEDUOldCKEUE</v>
      </c>
      <c r="H402" s="14">
        <v>2025</v>
      </c>
      <c r="I402" s="14" t="str">
        <f>I401</f>
        <v>LO</v>
      </c>
      <c r="J402" s="14"/>
      <c r="K402" s="15">
        <f>-ROUNDDOWN(SUMIFS('COM RESID'!$O:$O,'COM RESID'!$H:$H,$E402,'COM RESID'!$I:$I,$F402)/SUMIFS('COM RESID'!$O:$O,'COM RESID'!$I:$I,$F402),3)*O402</f>
        <v>-0.1552</v>
      </c>
      <c r="L402" s="14"/>
      <c r="M402" s="14"/>
      <c r="N402" s="10"/>
      <c r="O402" s="20">
        <v>0.8</v>
      </c>
      <c r="Q402" s="11" t="str">
        <f t="shared" si="120"/>
        <v>*</v>
      </c>
      <c r="R402" s="12"/>
      <c r="S402" s="13" t="str">
        <f t="shared" si="122"/>
        <v>COMELC</v>
      </c>
      <c r="T402" s="13" t="str">
        <f t="shared" si="123"/>
        <v>COMEDUOldCKEUE</v>
      </c>
      <c r="U402" s="13" t="str">
        <f t="shared" si="124"/>
        <v>COMEDUOldCKEUE</v>
      </c>
      <c r="V402" s="14">
        <v>2025</v>
      </c>
      <c r="W402" s="14" t="str">
        <f>W401</f>
        <v>UP</v>
      </c>
      <c r="X402" s="14"/>
      <c r="Y402" s="15">
        <f>-ROUNDUP(MIN(SUMIFS('COM RESID'!$O:$O,'COM RESID'!$H:$H,$E402,'COM RESID'!$I:$I,$F402)/SUMIFS('COM RESID'!$O:$O,'COM RESID'!$I:$I,$F402)*AC402,1),3)</f>
        <v>-0.25</v>
      </c>
      <c r="Z402" s="14"/>
      <c r="AA402" s="14"/>
      <c r="AB402" s="10"/>
      <c r="AC402" s="20">
        <f>IF(S402="COMELC",IF(SUMIFS('COM RESID'!$O:$O,'COM RESID'!$H:$H,$E402,'COM RESID'!$I:$I,$F402)/SUMIFS('COM RESID'!$O:$O,'COM RESID'!$I:$I,$F402)*1.2&lt;0.25,0.25/(SUMIFS('COM RESID'!$O:$O,'COM RESID'!$H:$H,$E402,'COM RESID'!$I:$I,$F402)/SUMIFS('COM RESID'!$O:$O,'COM RESID'!$I:$I,$F402)),1.2),IF(ISNUMBER(SEARCH("WHEUE",T402)),IF(OR(S402="COMNGA",S402="COMFOI"),1,1.2),1.2))</f>
        <v>1.2857630859482767</v>
      </c>
    </row>
    <row r="403" spans="1:29" x14ac:dyDescent="0.25">
      <c r="A403" s="10">
        <f>A402</f>
        <v>100</v>
      </c>
      <c r="B403" s="10"/>
      <c r="C403" s="11" t="str">
        <f>IF(C402="*",C402,"")</f>
        <v>*</v>
      </c>
      <c r="D403" s="12"/>
      <c r="E403" s="13" t="str">
        <f t="shared" si="127"/>
        <v>COMELC</v>
      </c>
      <c r="F403" s="13" t="str">
        <f t="shared" si="127"/>
        <v>COMEDUOldCKEUE</v>
      </c>
      <c r="G403" s="13" t="str">
        <f t="shared" si="127"/>
        <v>COMEDUOldCKEUE</v>
      </c>
      <c r="H403" s="14">
        <v>2030</v>
      </c>
      <c r="I403" s="14" t="str">
        <f>I402</f>
        <v>LO</v>
      </c>
      <c r="J403" s="14"/>
      <c r="K403" s="15">
        <f>-ROUNDDOWN(SUMIFS('COM RESID'!$O:$O,'COM RESID'!$H:$H,$E403,'COM RESID'!$I:$I,$F403)/SUMIFS('COM RESID'!$O:$O,'COM RESID'!$I:$I,$F403),3)*O403</f>
        <v>-3.8800000000000001E-2</v>
      </c>
      <c r="L403" s="14"/>
      <c r="M403" s="14"/>
      <c r="N403" s="10"/>
      <c r="O403" s="20">
        <v>0.2</v>
      </c>
      <c r="Q403" s="11" t="str">
        <f t="shared" si="120"/>
        <v>*</v>
      </c>
      <c r="R403" s="12"/>
      <c r="S403" s="13" t="str">
        <f t="shared" si="122"/>
        <v>COMELC</v>
      </c>
      <c r="T403" s="13" t="str">
        <f t="shared" si="123"/>
        <v>COMEDUOldCKEUE</v>
      </c>
      <c r="U403" s="13" t="str">
        <f t="shared" si="124"/>
        <v>COMEDUOldCKEUE</v>
      </c>
      <c r="V403" s="14">
        <v>2030</v>
      </c>
      <c r="W403" s="14" t="str">
        <f>W402</f>
        <v>UP</v>
      </c>
      <c r="X403" s="14"/>
      <c r="Y403" s="15">
        <f>-ROUNDUP(MIN(SUMIFS('COM RESID'!$O:$O,'COM RESID'!$H:$H,$E403,'COM RESID'!$I:$I,$F403)/SUMIFS('COM RESID'!$O:$O,'COM RESID'!$I:$I,$F403)*AC403,1),3)</f>
        <v>-0.5</v>
      </c>
      <c r="Z403" s="14"/>
      <c r="AA403" s="14"/>
      <c r="AB403" s="10"/>
      <c r="AC403" s="20">
        <f>IF(S403="COMELC",IF(SUMIFS('COM RESID'!$O:$O,'COM RESID'!$H:$H,$E403,'COM RESID'!$I:$I,$F403)/SUMIFS('COM RESID'!$O:$O,'COM RESID'!$I:$I,$F403)*1.5&lt;0.5,0.5/(SUMIFS('COM RESID'!$O:$O,'COM RESID'!$H:$H,$E403,'COM RESID'!$I:$I,$F403)/SUMIFS('COM RESID'!$O:$O,'COM RESID'!$I:$I,$F403)),1.5),IF(ISNUMBER(SEARCH("WHEUE",T402)),IF(OR(S402="COMNGA",S402="COMFOI"),0.9,1.5),1.5))</f>
        <v>2.5715261718965534</v>
      </c>
    </row>
    <row r="404" spans="1:29" x14ac:dyDescent="0.25">
      <c r="A404" s="26">
        <f>A403</f>
        <v>100</v>
      </c>
      <c r="B404" s="26"/>
      <c r="C404" s="21" t="str">
        <f>IF(C403="*",C403,"")</f>
        <v>*</v>
      </c>
      <c r="D404" s="22"/>
      <c r="E404" s="23" t="str">
        <f t="shared" si="127"/>
        <v>COMELC</v>
      </c>
      <c r="F404" s="23" t="str">
        <f t="shared" si="127"/>
        <v>COMEDUOldCKEUE</v>
      </c>
      <c r="G404" s="23" t="str">
        <f t="shared" si="127"/>
        <v>COMEDUOldCKEUE</v>
      </c>
      <c r="H404" s="24">
        <v>2050</v>
      </c>
      <c r="I404" s="24" t="str">
        <f>I403</f>
        <v>LO</v>
      </c>
      <c r="J404" s="24"/>
      <c r="K404" s="25">
        <f>-ROUNDDOWN(SUMIFS('COM RESID'!$O:$O,'COM RESID'!$H:$H,$E404,'COM RESID'!$I:$I,$F404)/SUMIFS('COM RESID'!$O:$O,'COM RESID'!$I:$I,$F404),3)*O404</f>
        <v>0</v>
      </c>
      <c r="L404" s="24"/>
      <c r="M404" s="24"/>
      <c r="N404" s="26"/>
      <c r="O404" s="27">
        <v>0</v>
      </c>
      <c r="Q404" s="21" t="str">
        <f t="shared" si="120"/>
        <v>*</v>
      </c>
      <c r="R404" s="22"/>
      <c r="S404" s="23" t="str">
        <f t="shared" si="122"/>
        <v>COMELC</v>
      </c>
      <c r="T404" s="23" t="str">
        <f t="shared" si="123"/>
        <v>COMEDUOldCKEUE</v>
      </c>
      <c r="U404" s="23" t="str">
        <f t="shared" si="124"/>
        <v>COMEDUOldCKEUE</v>
      </c>
      <c r="V404" s="24">
        <v>2050</v>
      </c>
      <c r="W404" s="24" t="str">
        <f>W403</f>
        <v>UP</v>
      </c>
      <c r="X404" s="24"/>
      <c r="Y404" s="25">
        <f>-ROUNDUP(MIN(SUMIFS('COM RESID'!$O:$O,'COM RESID'!$H:$H,$E404,'COM RESID'!$I:$I,$F404)/SUMIFS('COM RESID'!$O:$O,'COM RESID'!$I:$I,$F404)*AC404,1),3)</f>
        <v>-1</v>
      </c>
      <c r="Z404" s="24"/>
      <c r="AA404" s="24"/>
      <c r="AB404" s="26"/>
      <c r="AC404" s="27">
        <f>IF(S404="COMELC",IF(SUMIFS('COM RESID'!$O:$O,'COM RESID'!$H:$H,$E404,'COM RESID'!$I:$I,$F404)/SUMIFS('COM RESID'!$O:$O,'COM RESID'!$I:$I,$F404)*3&lt;1,1/(SUMIFS('COM RESID'!$O:$O,'COM RESID'!$H:$H,$E404,'COM RESID'!$I:$I,$F404)/SUMIFS('COM RESID'!$O:$O,'COM RESID'!$I:$I,$F404)),3),IF(ISNUMBER(SEARCH("WHEUE",T402)),IF(OR(S402="COMNGA",S402="COMFOI"),0.75,3),3))</f>
        <v>5.1430523437931068</v>
      </c>
    </row>
    <row r="405" spans="1:29" x14ac:dyDescent="0.25">
      <c r="A405" s="19">
        <f>A401+1</f>
        <v>101</v>
      </c>
      <c r="B405" s="10"/>
      <c r="C405" s="11" t="str">
        <f>IF(E405="","",IF(_xlfn.XLOOKUP($A405,Selected_constraint_UC!$A:$A,Selected_constraint_UC!$D:$D)=1,"*",IF(SUMIFS('COM TECH'!$N:$N,'COM TECH'!$K:$K,E405,'COM TECH'!$L:$L,F405)=0,"*",IF(SUMIFS('COM RESID'!$O:$O,'COM RESID'!$H:$H,$E405,'COM RESID'!$I:$I,$F405)=0,"*","UC_MarketShare_"&amp;LEFT(F405,LEN(F405)-3)&amp;"_"&amp;RIGHT(E405,3)&amp;"_MIN"))))</f>
        <v>*</v>
      </c>
      <c r="D405" s="12"/>
      <c r="E405" s="13" t="str">
        <f>_xlfn.XLOOKUP($A405,Selected_constraint_UC!$A:$A,Selected_constraint_UC!$B:$B)</f>
        <v>COMELC</v>
      </c>
      <c r="F405" s="13" t="str">
        <f>_xlfn.XLOOKUP($A405,Selected_constraint_UC!$A:$A,Selected_constraint_UC!$C:$C)</f>
        <v>COMEDUOldREEUE</v>
      </c>
      <c r="G405" s="13" t="str">
        <f>F405</f>
        <v>COMEDUOldREEUE</v>
      </c>
      <c r="H405" s="14">
        <v>2019</v>
      </c>
      <c r="I405" s="14" t="s">
        <v>3848</v>
      </c>
      <c r="J405" s="14">
        <v>1</v>
      </c>
      <c r="K405" s="15">
        <f>-ROUNDDOWN(SUMIFS('COM RESID'!$O:$O,'COM RESID'!$H:$H,$E405,'COM RESID'!$I:$I,$F405)/SUMIFS('COM RESID'!$O:$O,'COM RESID'!$I:$I,$F405),3)*O405</f>
        <v>-0.98</v>
      </c>
      <c r="L405" s="14">
        <v>0</v>
      </c>
      <c r="M405" s="14">
        <v>5</v>
      </c>
      <c r="N405" s="10"/>
      <c r="O405" s="20">
        <v>0.98</v>
      </c>
      <c r="Q405" s="11" t="str">
        <f t="shared" si="120"/>
        <v>*</v>
      </c>
      <c r="R405" s="12"/>
      <c r="S405" s="13" t="str">
        <f t="shared" si="122"/>
        <v>COMELC</v>
      </c>
      <c r="T405" s="13" t="str">
        <f t="shared" si="123"/>
        <v>COMEDUOldREEUE</v>
      </c>
      <c r="U405" s="13" t="str">
        <f t="shared" si="124"/>
        <v>COMEDUOldREEUE</v>
      </c>
      <c r="V405" s="14">
        <v>2019</v>
      </c>
      <c r="W405" s="14" t="s">
        <v>3849</v>
      </c>
      <c r="X405" s="14">
        <v>1</v>
      </c>
      <c r="Y405" s="15">
        <f>-ROUNDUP(MIN(SUMIFS('COM RESID'!$O:$O,'COM RESID'!$H:$H,$E405,'COM RESID'!$I:$I,$F405)/SUMIFS('COM RESID'!$O:$O,'COM RESID'!$I:$I,$F405)*AC405,1),3)</f>
        <v>-1</v>
      </c>
      <c r="Z405" s="14">
        <v>0</v>
      </c>
      <c r="AA405" s="14">
        <v>5</v>
      </c>
      <c r="AB405" s="10"/>
      <c r="AC405" s="20">
        <v>1.02</v>
      </c>
    </row>
    <row r="406" spans="1:29" x14ac:dyDescent="0.25">
      <c r="A406" s="10">
        <f>A405</f>
        <v>101</v>
      </c>
      <c r="B406" s="10"/>
      <c r="C406" s="11" t="str">
        <f>IF(C405="*",C405,"")</f>
        <v>*</v>
      </c>
      <c r="D406" s="12"/>
      <c r="E406" s="13" t="str">
        <f t="shared" ref="E406:G408" si="128">E405</f>
        <v>COMELC</v>
      </c>
      <c r="F406" s="13" t="str">
        <f t="shared" si="128"/>
        <v>COMEDUOldREEUE</v>
      </c>
      <c r="G406" s="13" t="str">
        <f t="shared" si="128"/>
        <v>COMEDUOldREEUE</v>
      </c>
      <c r="H406" s="14">
        <v>2025</v>
      </c>
      <c r="I406" s="14" t="str">
        <f>I405</f>
        <v>LO</v>
      </c>
      <c r="J406" s="14"/>
      <c r="K406" s="15">
        <f>-ROUNDDOWN(SUMIFS('COM RESID'!$O:$O,'COM RESID'!$H:$H,$E406,'COM RESID'!$I:$I,$F406)/SUMIFS('COM RESID'!$O:$O,'COM RESID'!$I:$I,$F406),3)*O406</f>
        <v>-0.8</v>
      </c>
      <c r="L406" s="14"/>
      <c r="M406" s="14"/>
      <c r="N406" s="10"/>
      <c r="O406" s="20">
        <v>0.8</v>
      </c>
      <c r="Q406" s="11" t="str">
        <f t="shared" si="120"/>
        <v>*</v>
      </c>
      <c r="R406" s="12"/>
      <c r="S406" s="13" t="str">
        <f t="shared" si="122"/>
        <v>COMELC</v>
      </c>
      <c r="T406" s="13" t="str">
        <f t="shared" si="123"/>
        <v>COMEDUOldREEUE</v>
      </c>
      <c r="U406" s="13" t="str">
        <f t="shared" si="124"/>
        <v>COMEDUOldREEUE</v>
      </c>
      <c r="V406" s="14">
        <v>2025</v>
      </c>
      <c r="W406" s="14" t="str">
        <f>W405</f>
        <v>UP</v>
      </c>
      <c r="X406" s="14"/>
      <c r="Y406" s="15">
        <f>-ROUNDUP(MIN(SUMIFS('COM RESID'!$O:$O,'COM RESID'!$H:$H,$E406,'COM RESID'!$I:$I,$F406)/SUMIFS('COM RESID'!$O:$O,'COM RESID'!$I:$I,$F406)*AC406,1),3)</f>
        <v>-1</v>
      </c>
      <c r="Z406" s="14"/>
      <c r="AA406" s="14"/>
      <c r="AB406" s="10"/>
      <c r="AC406" s="20">
        <f>IF(S406="COMELC",IF(SUMIFS('COM RESID'!$O:$O,'COM RESID'!$H:$H,$E406,'COM RESID'!$I:$I,$F406)/SUMIFS('COM RESID'!$O:$O,'COM RESID'!$I:$I,$F406)*1.2&lt;0.25,0.25/(SUMIFS('COM RESID'!$O:$O,'COM RESID'!$H:$H,$E406,'COM RESID'!$I:$I,$F406)/SUMIFS('COM RESID'!$O:$O,'COM RESID'!$I:$I,$F406)),1.2),IF(ISNUMBER(SEARCH("WHEUE",T406)),IF(OR(S406="COMNGA",S406="COMFOI"),1,1.2),1.2))</f>
        <v>1.2</v>
      </c>
    </row>
    <row r="407" spans="1:29" x14ac:dyDescent="0.25">
      <c r="A407" s="10">
        <f>A406</f>
        <v>101</v>
      </c>
      <c r="B407" s="10"/>
      <c r="C407" s="11" t="str">
        <f>IF(C406="*",C406,"")</f>
        <v>*</v>
      </c>
      <c r="D407" s="12"/>
      <c r="E407" s="13" t="str">
        <f t="shared" si="128"/>
        <v>COMELC</v>
      </c>
      <c r="F407" s="13" t="str">
        <f t="shared" si="128"/>
        <v>COMEDUOldREEUE</v>
      </c>
      <c r="G407" s="13" t="str">
        <f t="shared" si="128"/>
        <v>COMEDUOldREEUE</v>
      </c>
      <c r="H407" s="14">
        <v>2030</v>
      </c>
      <c r="I407" s="14" t="str">
        <f>I406</f>
        <v>LO</v>
      </c>
      <c r="J407" s="14"/>
      <c r="K407" s="15">
        <f>-ROUNDDOWN(SUMIFS('COM RESID'!$O:$O,'COM RESID'!$H:$H,$E407,'COM RESID'!$I:$I,$F407)/SUMIFS('COM RESID'!$O:$O,'COM RESID'!$I:$I,$F407),3)*O407</f>
        <v>-0.2</v>
      </c>
      <c r="L407" s="14"/>
      <c r="M407" s="14"/>
      <c r="N407" s="10"/>
      <c r="O407" s="20">
        <v>0.2</v>
      </c>
      <c r="Q407" s="11" t="str">
        <f t="shared" si="120"/>
        <v>*</v>
      </c>
      <c r="R407" s="12"/>
      <c r="S407" s="13" t="str">
        <f t="shared" si="122"/>
        <v>COMELC</v>
      </c>
      <c r="T407" s="13" t="str">
        <f t="shared" si="123"/>
        <v>COMEDUOldREEUE</v>
      </c>
      <c r="U407" s="13" t="str">
        <f t="shared" si="124"/>
        <v>COMEDUOldREEUE</v>
      </c>
      <c r="V407" s="14">
        <v>2030</v>
      </c>
      <c r="W407" s="14" t="str">
        <f>W406</f>
        <v>UP</v>
      </c>
      <c r="X407" s="14"/>
      <c r="Y407" s="15">
        <f>-ROUNDUP(MIN(SUMIFS('COM RESID'!$O:$O,'COM RESID'!$H:$H,$E407,'COM RESID'!$I:$I,$F407)/SUMIFS('COM RESID'!$O:$O,'COM RESID'!$I:$I,$F407)*AC407,1),3)</f>
        <v>-1</v>
      </c>
      <c r="Z407" s="14"/>
      <c r="AA407" s="14"/>
      <c r="AB407" s="10"/>
      <c r="AC407" s="20">
        <f>IF(S407="COMELC",IF(SUMIFS('COM RESID'!$O:$O,'COM RESID'!$H:$H,$E407,'COM RESID'!$I:$I,$F407)/SUMIFS('COM RESID'!$O:$O,'COM RESID'!$I:$I,$F407)*1.5&lt;0.5,0.5/(SUMIFS('COM RESID'!$O:$O,'COM RESID'!$H:$H,$E407,'COM RESID'!$I:$I,$F407)/SUMIFS('COM RESID'!$O:$O,'COM RESID'!$I:$I,$F407)),1.5),IF(ISNUMBER(SEARCH("WHEUE",T406)),IF(OR(S406="COMNGA",S406="COMFOI"),0.9,1.5),1.5))</f>
        <v>1.5</v>
      </c>
    </row>
    <row r="408" spans="1:29" x14ac:dyDescent="0.25">
      <c r="A408" s="26">
        <f>A407</f>
        <v>101</v>
      </c>
      <c r="B408" s="26"/>
      <c r="C408" s="21" t="str">
        <f>IF(C407="*",C407,"")</f>
        <v>*</v>
      </c>
      <c r="D408" s="22"/>
      <c r="E408" s="23" t="str">
        <f t="shared" si="128"/>
        <v>COMELC</v>
      </c>
      <c r="F408" s="23" t="str">
        <f t="shared" si="128"/>
        <v>COMEDUOldREEUE</v>
      </c>
      <c r="G408" s="23" t="str">
        <f t="shared" si="128"/>
        <v>COMEDUOldREEUE</v>
      </c>
      <c r="H408" s="24">
        <v>2050</v>
      </c>
      <c r="I408" s="24" t="str">
        <f>I407</f>
        <v>LO</v>
      </c>
      <c r="J408" s="24"/>
      <c r="K408" s="25">
        <f>-ROUNDDOWN(SUMIFS('COM RESID'!$O:$O,'COM RESID'!$H:$H,$E408,'COM RESID'!$I:$I,$F408)/SUMIFS('COM RESID'!$O:$O,'COM RESID'!$I:$I,$F408),3)*O408</f>
        <v>0</v>
      </c>
      <c r="L408" s="24"/>
      <c r="M408" s="24"/>
      <c r="N408" s="26"/>
      <c r="O408" s="27">
        <v>0</v>
      </c>
      <c r="Q408" s="21" t="str">
        <f t="shared" si="120"/>
        <v>*</v>
      </c>
      <c r="R408" s="22"/>
      <c r="S408" s="23" t="str">
        <f t="shared" si="122"/>
        <v>COMELC</v>
      </c>
      <c r="T408" s="23" t="str">
        <f t="shared" si="123"/>
        <v>COMEDUOldREEUE</v>
      </c>
      <c r="U408" s="23" t="str">
        <f t="shared" si="124"/>
        <v>COMEDUOldREEUE</v>
      </c>
      <c r="V408" s="24">
        <v>2050</v>
      </c>
      <c r="W408" s="24" t="str">
        <f>W407</f>
        <v>UP</v>
      </c>
      <c r="X408" s="24"/>
      <c r="Y408" s="25">
        <f>-ROUNDUP(MIN(SUMIFS('COM RESID'!$O:$O,'COM RESID'!$H:$H,$E408,'COM RESID'!$I:$I,$F408)/SUMIFS('COM RESID'!$O:$O,'COM RESID'!$I:$I,$F408)*AC408,1),3)</f>
        <v>-1</v>
      </c>
      <c r="Z408" s="24"/>
      <c r="AA408" s="24"/>
      <c r="AB408" s="26"/>
      <c r="AC408" s="27">
        <f>IF(S408="COMELC",IF(SUMIFS('COM RESID'!$O:$O,'COM RESID'!$H:$H,$E408,'COM RESID'!$I:$I,$F408)/SUMIFS('COM RESID'!$O:$O,'COM RESID'!$I:$I,$F408)*3&lt;1,1/(SUMIFS('COM RESID'!$O:$O,'COM RESID'!$H:$H,$E408,'COM RESID'!$I:$I,$F408)/SUMIFS('COM RESID'!$O:$O,'COM RESID'!$I:$I,$F408)),3),IF(ISNUMBER(SEARCH("WHEUE",T406)),IF(OR(S406="COMNGA",S406="COMFOI"),0.75,3),3))</f>
        <v>3</v>
      </c>
    </row>
    <row r="409" spans="1:29" x14ac:dyDescent="0.25">
      <c r="A409" s="19">
        <f>A405+1</f>
        <v>102</v>
      </c>
      <c r="B409" s="10"/>
      <c r="C409" s="11" t="str">
        <f>IF(E409="","",IF(_xlfn.XLOOKUP($A409,Selected_constraint_UC!$A:$A,Selected_constraint_UC!$D:$D)=1,"*",IF(SUMIFS('COM TECH'!$N:$N,'COM TECH'!$K:$K,E409,'COM TECH'!$L:$L,F409)=0,"*",IF(SUMIFS('COM RESID'!$O:$O,'COM RESID'!$H:$H,$E409,'COM RESID'!$I:$I,$F409)=0,"*","UC_MarketShare_"&amp;LEFT(F409,LEN(F409)-3)&amp;"_"&amp;RIGHT(E409,3)&amp;"_MIN"))))</f>
        <v>*</v>
      </c>
      <c r="D409" s="12"/>
      <c r="E409" s="13" t="str">
        <f>_xlfn.XLOOKUP($A409,Selected_constraint_UC!$A:$A,Selected_constraint_UC!$B:$B)</f>
        <v>COMFOI</v>
      </c>
      <c r="F409" s="13" t="str">
        <f>_xlfn.XLOOKUP($A409,Selected_constraint_UC!$A:$A,Selected_constraint_UC!$C:$C)</f>
        <v>COMEDUOldOEEUE</v>
      </c>
      <c r="G409" s="13" t="str">
        <f>F409</f>
        <v>COMEDUOldOEEUE</v>
      </c>
      <c r="H409" s="14">
        <v>2019</v>
      </c>
      <c r="I409" s="14" t="s">
        <v>3848</v>
      </c>
      <c r="J409" s="14">
        <v>1</v>
      </c>
      <c r="K409" s="15">
        <f>-ROUNDDOWN(SUMIFS('COM RESID'!$O:$O,'COM RESID'!$H:$H,$E409,'COM RESID'!$I:$I,$F409)/SUMIFS('COM RESID'!$O:$O,'COM RESID'!$I:$I,$F409),3)*O409</f>
        <v>-2.7439999999999999E-2</v>
      </c>
      <c r="L409" s="14">
        <v>0</v>
      </c>
      <c r="M409" s="14">
        <v>5</v>
      </c>
      <c r="N409" s="10"/>
      <c r="O409" s="20">
        <v>0.98</v>
      </c>
      <c r="Q409" s="11" t="str">
        <f t="shared" si="120"/>
        <v>*</v>
      </c>
      <c r="R409" s="12"/>
      <c r="S409" s="13" t="str">
        <f t="shared" si="122"/>
        <v>COMFOI</v>
      </c>
      <c r="T409" s="13" t="str">
        <f t="shared" si="123"/>
        <v>COMEDUOldOEEUE</v>
      </c>
      <c r="U409" s="13" t="str">
        <f t="shared" si="124"/>
        <v>COMEDUOldOEEUE</v>
      </c>
      <c r="V409" s="14">
        <v>2019</v>
      </c>
      <c r="W409" s="14" t="s">
        <v>3849</v>
      </c>
      <c r="X409" s="14">
        <v>1</v>
      </c>
      <c r="Y409" s="15">
        <f>-ROUNDUP(MIN(SUMIFS('COM RESID'!$O:$O,'COM RESID'!$H:$H,$E409,'COM RESID'!$I:$I,$F409)/SUMIFS('COM RESID'!$O:$O,'COM RESID'!$I:$I,$F409)*AC409,1),3)</f>
        <v>-3.0000000000000002E-2</v>
      </c>
      <c r="Z409" s="14">
        <v>0</v>
      </c>
      <c r="AA409" s="14">
        <v>5</v>
      </c>
      <c r="AB409" s="10"/>
      <c r="AC409" s="20">
        <v>1.02</v>
      </c>
    </row>
    <row r="410" spans="1:29" x14ac:dyDescent="0.25">
      <c r="A410" s="10">
        <f>A409</f>
        <v>102</v>
      </c>
      <c r="B410" s="10"/>
      <c r="C410" s="11" t="str">
        <f>IF(C409="*",C409,"")</f>
        <v>*</v>
      </c>
      <c r="D410" s="12"/>
      <c r="E410" s="13" t="str">
        <f t="shared" ref="E410:G412" si="129">E409</f>
        <v>COMFOI</v>
      </c>
      <c r="F410" s="13" t="str">
        <f t="shared" si="129"/>
        <v>COMEDUOldOEEUE</v>
      </c>
      <c r="G410" s="13" t="str">
        <f t="shared" si="129"/>
        <v>COMEDUOldOEEUE</v>
      </c>
      <c r="H410" s="14">
        <v>2025</v>
      </c>
      <c r="I410" s="14" t="str">
        <f>I409</f>
        <v>LO</v>
      </c>
      <c r="J410" s="14"/>
      <c r="K410" s="15">
        <f>-ROUNDDOWN(SUMIFS('COM RESID'!$O:$O,'COM RESID'!$H:$H,$E410,'COM RESID'!$I:$I,$F410)/SUMIFS('COM RESID'!$O:$O,'COM RESID'!$I:$I,$F410),3)*O410</f>
        <v>-2.2400000000000003E-2</v>
      </c>
      <c r="L410" s="14"/>
      <c r="M410" s="14"/>
      <c r="N410" s="10"/>
      <c r="O410" s="20">
        <v>0.8</v>
      </c>
      <c r="Q410" s="11" t="str">
        <f t="shared" si="120"/>
        <v>*</v>
      </c>
      <c r="R410" s="12"/>
      <c r="S410" s="13" t="str">
        <f t="shared" si="122"/>
        <v>COMFOI</v>
      </c>
      <c r="T410" s="13" t="str">
        <f t="shared" si="123"/>
        <v>COMEDUOldOEEUE</v>
      </c>
      <c r="U410" s="13" t="str">
        <f t="shared" si="124"/>
        <v>COMEDUOldOEEUE</v>
      </c>
      <c r="V410" s="14">
        <v>2025</v>
      </c>
      <c r="W410" s="14" t="str">
        <f>W409</f>
        <v>UP</v>
      </c>
      <c r="X410" s="14"/>
      <c r="Y410" s="15">
        <f>-ROUNDUP(MIN(SUMIFS('COM RESID'!$O:$O,'COM RESID'!$H:$H,$E410,'COM RESID'!$I:$I,$F410)/SUMIFS('COM RESID'!$O:$O,'COM RESID'!$I:$I,$F410)*AC410,1),3)</f>
        <v>-3.5000000000000003E-2</v>
      </c>
      <c r="Z410" s="14"/>
      <c r="AA410" s="14"/>
      <c r="AB410" s="10"/>
      <c r="AC410" s="20">
        <f>IF(S410="COMELC",IF(SUMIFS('COM RESID'!$O:$O,'COM RESID'!$H:$H,$E410,'COM RESID'!$I:$I,$F410)/SUMIFS('COM RESID'!$O:$O,'COM RESID'!$I:$I,$F410)*1.2&lt;0.25,0.25/(SUMIFS('COM RESID'!$O:$O,'COM RESID'!$H:$H,$E410,'COM RESID'!$I:$I,$F410)/SUMIFS('COM RESID'!$O:$O,'COM RESID'!$I:$I,$F410)),1.2),IF(ISNUMBER(SEARCH("WHEUE",T410)),IF(OR(S410="COMNGA",S410="COMFOI"),1,1.2),1.2))</f>
        <v>1.2</v>
      </c>
    </row>
    <row r="411" spans="1:29" x14ac:dyDescent="0.25">
      <c r="A411" s="10">
        <f>A410</f>
        <v>102</v>
      </c>
      <c r="B411" s="10"/>
      <c r="C411" s="11" t="str">
        <f>IF(C410="*",C410,"")</f>
        <v>*</v>
      </c>
      <c r="D411" s="12"/>
      <c r="E411" s="13" t="str">
        <f t="shared" si="129"/>
        <v>COMFOI</v>
      </c>
      <c r="F411" s="13" t="str">
        <f t="shared" si="129"/>
        <v>COMEDUOldOEEUE</v>
      </c>
      <c r="G411" s="13" t="str">
        <f t="shared" si="129"/>
        <v>COMEDUOldOEEUE</v>
      </c>
      <c r="H411" s="14">
        <v>2030</v>
      </c>
      <c r="I411" s="14" t="str">
        <f>I410</f>
        <v>LO</v>
      </c>
      <c r="J411" s="14"/>
      <c r="K411" s="15">
        <f>-ROUNDDOWN(SUMIFS('COM RESID'!$O:$O,'COM RESID'!$H:$H,$E411,'COM RESID'!$I:$I,$F411)/SUMIFS('COM RESID'!$O:$O,'COM RESID'!$I:$I,$F411),3)*O411</f>
        <v>-5.6000000000000008E-3</v>
      </c>
      <c r="L411" s="14"/>
      <c r="M411" s="14"/>
      <c r="N411" s="10"/>
      <c r="O411" s="20">
        <v>0.2</v>
      </c>
      <c r="Q411" s="11" t="str">
        <f t="shared" si="120"/>
        <v>*</v>
      </c>
      <c r="R411" s="12"/>
      <c r="S411" s="13" t="str">
        <f t="shared" si="122"/>
        <v>COMFOI</v>
      </c>
      <c r="T411" s="13" t="str">
        <f t="shared" si="123"/>
        <v>COMEDUOldOEEUE</v>
      </c>
      <c r="U411" s="13" t="str">
        <f t="shared" si="124"/>
        <v>COMEDUOldOEEUE</v>
      </c>
      <c r="V411" s="14">
        <v>2030</v>
      </c>
      <c r="W411" s="14" t="str">
        <f>W410</f>
        <v>UP</v>
      </c>
      <c r="X411" s="14"/>
      <c r="Y411" s="15">
        <f>-ROUNDUP(MIN(SUMIFS('COM RESID'!$O:$O,'COM RESID'!$H:$H,$E411,'COM RESID'!$I:$I,$F411)/SUMIFS('COM RESID'!$O:$O,'COM RESID'!$I:$I,$F411)*AC411,1),3)</f>
        <v>-4.3999999999999997E-2</v>
      </c>
      <c r="Z411" s="14"/>
      <c r="AA411" s="14"/>
      <c r="AB411" s="10"/>
      <c r="AC411" s="20">
        <f>IF(S411="COMELC",IF(SUMIFS('COM RESID'!$O:$O,'COM RESID'!$H:$H,$E411,'COM RESID'!$I:$I,$F411)/SUMIFS('COM RESID'!$O:$O,'COM RESID'!$I:$I,$F411)*1.5&lt;0.5,0.5/(SUMIFS('COM RESID'!$O:$O,'COM RESID'!$H:$H,$E411,'COM RESID'!$I:$I,$F411)/SUMIFS('COM RESID'!$O:$O,'COM RESID'!$I:$I,$F411)),1.5),IF(ISNUMBER(SEARCH("WHEUE",T410)),IF(OR(S410="COMNGA",S410="COMFOI"),0.9,1.5),1.5))</f>
        <v>1.5</v>
      </c>
    </row>
    <row r="412" spans="1:29" x14ac:dyDescent="0.25">
      <c r="A412" s="26">
        <f>A411</f>
        <v>102</v>
      </c>
      <c r="B412" s="26"/>
      <c r="C412" s="21" t="str">
        <f>IF(C411="*",C411,"")</f>
        <v>*</v>
      </c>
      <c r="D412" s="22"/>
      <c r="E412" s="23" t="str">
        <f t="shared" si="129"/>
        <v>COMFOI</v>
      </c>
      <c r="F412" s="23" t="str">
        <f t="shared" si="129"/>
        <v>COMEDUOldOEEUE</v>
      </c>
      <c r="G412" s="23" t="str">
        <f t="shared" si="129"/>
        <v>COMEDUOldOEEUE</v>
      </c>
      <c r="H412" s="24">
        <v>2050</v>
      </c>
      <c r="I412" s="24" t="str">
        <f>I411</f>
        <v>LO</v>
      </c>
      <c r="J412" s="24"/>
      <c r="K412" s="25">
        <f>-ROUNDDOWN(SUMIFS('COM RESID'!$O:$O,'COM RESID'!$H:$H,$E412,'COM RESID'!$I:$I,$F412)/SUMIFS('COM RESID'!$O:$O,'COM RESID'!$I:$I,$F412),3)*O412</f>
        <v>0</v>
      </c>
      <c r="L412" s="24"/>
      <c r="M412" s="24"/>
      <c r="N412" s="26"/>
      <c r="O412" s="27">
        <v>0</v>
      </c>
      <c r="Q412" s="21" t="str">
        <f t="shared" si="120"/>
        <v>*</v>
      </c>
      <c r="R412" s="22"/>
      <c r="S412" s="23" t="str">
        <f t="shared" si="122"/>
        <v>COMFOI</v>
      </c>
      <c r="T412" s="23" t="str">
        <f t="shared" si="123"/>
        <v>COMEDUOldOEEUE</v>
      </c>
      <c r="U412" s="23" t="str">
        <f t="shared" si="124"/>
        <v>COMEDUOldOEEUE</v>
      </c>
      <c r="V412" s="24">
        <v>2050</v>
      </c>
      <c r="W412" s="24" t="str">
        <f>W411</f>
        <v>UP</v>
      </c>
      <c r="X412" s="24"/>
      <c r="Y412" s="25">
        <f>-ROUNDUP(MIN(SUMIFS('COM RESID'!$O:$O,'COM RESID'!$H:$H,$E412,'COM RESID'!$I:$I,$F412)/SUMIFS('COM RESID'!$O:$O,'COM RESID'!$I:$I,$F412)*AC412,1),3)</f>
        <v>-8.6999999999999994E-2</v>
      </c>
      <c r="Z412" s="24"/>
      <c r="AA412" s="24"/>
      <c r="AB412" s="26"/>
      <c r="AC412" s="27">
        <f>IF(S412="COMELC",IF(SUMIFS('COM RESID'!$O:$O,'COM RESID'!$H:$H,$E412,'COM RESID'!$I:$I,$F412)/SUMIFS('COM RESID'!$O:$O,'COM RESID'!$I:$I,$F412)*3&lt;1,1/(SUMIFS('COM RESID'!$O:$O,'COM RESID'!$H:$H,$E412,'COM RESID'!$I:$I,$F412)/SUMIFS('COM RESID'!$O:$O,'COM RESID'!$I:$I,$F412)),3),IF(ISNUMBER(SEARCH("WHEUE",T410)),IF(OR(S410="COMNGA",S410="COMFOI"),0.75,3),3))</f>
        <v>3</v>
      </c>
    </row>
    <row r="413" spans="1:29" x14ac:dyDescent="0.25">
      <c r="A413" s="19">
        <f>A409+1</f>
        <v>103</v>
      </c>
      <c r="B413" s="10"/>
      <c r="C413" s="11" t="str">
        <f>IF(E413="","",IF(_xlfn.XLOOKUP($A413,Selected_constraint_UC!$A:$A,Selected_constraint_UC!$D:$D)=1,"*",IF(SUMIFS('COM TECH'!$N:$N,'COM TECH'!$K:$K,E413,'COM TECH'!$L:$L,F413)=0,"*",IF(SUMIFS('COM RESID'!$O:$O,'COM RESID'!$H:$H,$E413,'COM RESID'!$I:$I,$F413)=0,"*","UC_MarketShare_"&amp;LEFT(F413,LEN(F413)-3)&amp;"_"&amp;RIGHT(E413,3)&amp;"_MIN"))))</f>
        <v>UC_MarketShare_COMEDUOldOE_NGA_MIN</v>
      </c>
      <c r="D413" s="12"/>
      <c r="E413" s="13" t="str">
        <f>_xlfn.XLOOKUP($A413,Selected_constraint_UC!$A:$A,Selected_constraint_UC!$B:$B)</f>
        <v>COMNGA</v>
      </c>
      <c r="F413" s="13" t="str">
        <f>_xlfn.XLOOKUP($A413,Selected_constraint_UC!$A:$A,Selected_constraint_UC!$C:$C)</f>
        <v>COMEDUOldOEEUE</v>
      </c>
      <c r="G413" s="13" t="str">
        <f>F413</f>
        <v>COMEDUOldOEEUE</v>
      </c>
      <c r="H413" s="14">
        <v>2019</v>
      </c>
      <c r="I413" s="14" t="s">
        <v>3848</v>
      </c>
      <c r="J413" s="14">
        <v>1</v>
      </c>
      <c r="K413" s="15">
        <f>-ROUNDDOWN(SUMIFS('COM RESID'!$O:$O,'COM RESID'!$H:$H,$E413,'COM RESID'!$I:$I,$F413)/SUMIFS('COM RESID'!$O:$O,'COM RESID'!$I:$I,$F413),3)*O413</f>
        <v>-0.13131999999999999</v>
      </c>
      <c r="L413" s="14">
        <v>0</v>
      </c>
      <c r="M413" s="14">
        <v>5</v>
      </c>
      <c r="N413" s="10"/>
      <c r="O413" s="20">
        <v>0.98</v>
      </c>
      <c r="Q413" s="11" t="str">
        <f t="shared" si="120"/>
        <v>UC_MarketShare_COMEDUOldOE_NGA_MAX</v>
      </c>
      <c r="R413" s="12"/>
      <c r="S413" s="13" t="str">
        <f t="shared" si="122"/>
        <v>COMNGA</v>
      </c>
      <c r="T413" s="13" t="str">
        <f t="shared" si="123"/>
        <v>COMEDUOldOEEUE</v>
      </c>
      <c r="U413" s="13" t="str">
        <f t="shared" si="124"/>
        <v>COMEDUOldOEEUE</v>
      </c>
      <c r="V413" s="14">
        <v>2019</v>
      </c>
      <c r="W413" s="14" t="s">
        <v>3849</v>
      </c>
      <c r="X413" s="14">
        <v>1</v>
      </c>
      <c r="Y413" s="15">
        <f>-ROUNDUP(MIN(SUMIFS('COM RESID'!$O:$O,'COM RESID'!$H:$H,$E413,'COM RESID'!$I:$I,$F413)/SUMIFS('COM RESID'!$O:$O,'COM RESID'!$I:$I,$F413)*AC413,1),3)</f>
        <v>-0.13800000000000001</v>
      </c>
      <c r="Z413" s="14">
        <v>0</v>
      </c>
      <c r="AA413" s="14">
        <v>5</v>
      </c>
      <c r="AB413" s="10"/>
      <c r="AC413" s="20">
        <v>1.02</v>
      </c>
    </row>
    <row r="414" spans="1:29" x14ac:dyDescent="0.25">
      <c r="A414" s="10">
        <f>A413</f>
        <v>103</v>
      </c>
      <c r="B414" s="10"/>
      <c r="C414" s="11" t="str">
        <f>IF(C413="*",C413,"")</f>
        <v/>
      </c>
      <c r="D414" s="12"/>
      <c r="E414" s="13" t="str">
        <f t="shared" ref="E414:G416" si="130">E413</f>
        <v>COMNGA</v>
      </c>
      <c r="F414" s="13" t="str">
        <f t="shared" si="130"/>
        <v>COMEDUOldOEEUE</v>
      </c>
      <c r="G414" s="13" t="str">
        <f t="shared" si="130"/>
        <v>COMEDUOldOEEUE</v>
      </c>
      <c r="H414" s="14">
        <v>2025</v>
      </c>
      <c r="I414" s="14" t="str">
        <f>I413</f>
        <v>LO</v>
      </c>
      <c r="J414" s="14"/>
      <c r="K414" s="15">
        <f>-ROUNDDOWN(SUMIFS('COM RESID'!$O:$O,'COM RESID'!$H:$H,$E414,'COM RESID'!$I:$I,$F414)/SUMIFS('COM RESID'!$O:$O,'COM RESID'!$I:$I,$F414),3)*O414</f>
        <v>-0.10720000000000002</v>
      </c>
      <c r="L414" s="14"/>
      <c r="M414" s="14"/>
      <c r="N414" s="10"/>
      <c r="O414" s="20">
        <v>0.8</v>
      </c>
      <c r="Q414" s="11" t="str">
        <f t="shared" si="120"/>
        <v/>
      </c>
      <c r="R414" s="12"/>
      <c r="S414" s="13" t="str">
        <f t="shared" si="122"/>
        <v>COMNGA</v>
      </c>
      <c r="T414" s="13" t="str">
        <f t="shared" si="123"/>
        <v>COMEDUOldOEEUE</v>
      </c>
      <c r="U414" s="13" t="str">
        <f t="shared" si="124"/>
        <v>COMEDUOldOEEUE</v>
      </c>
      <c r="V414" s="14">
        <v>2025</v>
      </c>
      <c r="W414" s="14" t="str">
        <f>W413</f>
        <v>UP</v>
      </c>
      <c r="X414" s="14"/>
      <c r="Y414" s="15">
        <f>-ROUNDUP(MIN(SUMIFS('COM RESID'!$O:$O,'COM RESID'!$H:$H,$E414,'COM RESID'!$I:$I,$F414)/SUMIFS('COM RESID'!$O:$O,'COM RESID'!$I:$I,$F414)*AC414,1),3)</f>
        <v>-0.16200000000000001</v>
      </c>
      <c r="Z414" s="14"/>
      <c r="AA414" s="14"/>
      <c r="AB414" s="10"/>
      <c r="AC414" s="20">
        <f>IF(S414="COMELC",IF(SUMIFS('COM RESID'!$O:$O,'COM RESID'!$H:$H,$E414,'COM RESID'!$I:$I,$F414)/SUMIFS('COM RESID'!$O:$O,'COM RESID'!$I:$I,$F414)*1.2&lt;0.25,0.25/(SUMIFS('COM RESID'!$O:$O,'COM RESID'!$H:$H,$E414,'COM RESID'!$I:$I,$F414)/SUMIFS('COM RESID'!$O:$O,'COM RESID'!$I:$I,$F414)),1.2),IF(ISNUMBER(SEARCH("WHEUE",T414)),IF(OR(S414="COMNGA",S414="COMFOI"),1,1.2),1.2))</f>
        <v>1.2</v>
      </c>
    </row>
    <row r="415" spans="1:29" x14ac:dyDescent="0.25">
      <c r="A415" s="10">
        <f>A414</f>
        <v>103</v>
      </c>
      <c r="B415" s="10"/>
      <c r="C415" s="11" t="str">
        <f>IF(C414="*",C414,"")</f>
        <v/>
      </c>
      <c r="D415" s="12"/>
      <c r="E415" s="13" t="str">
        <f t="shared" si="130"/>
        <v>COMNGA</v>
      </c>
      <c r="F415" s="13" t="str">
        <f t="shared" si="130"/>
        <v>COMEDUOldOEEUE</v>
      </c>
      <c r="G415" s="13" t="str">
        <f t="shared" si="130"/>
        <v>COMEDUOldOEEUE</v>
      </c>
      <c r="H415" s="14">
        <v>2030</v>
      </c>
      <c r="I415" s="14" t="str">
        <f>I414</f>
        <v>LO</v>
      </c>
      <c r="J415" s="14"/>
      <c r="K415" s="15">
        <f>-ROUNDDOWN(SUMIFS('COM RESID'!$O:$O,'COM RESID'!$H:$H,$E415,'COM RESID'!$I:$I,$F415)/SUMIFS('COM RESID'!$O:$O,'COM RESID'!$I:$I,$F415),3)*O415</f>
        <v>-2.6800000000000004E-2</v>
      </c>
      <c r="L415" s="14"/>
      <c r="M415" s="14"/>
      <c r="N415" s="10"/>
      <c r="O415" s="20">
        <v>0.2</v>
      </c>
      <c r="Q415" s="11" t="str">
        <f t="shared" si="120"/>
        <v/>
      </c>
      <c r="R415" s="12"/>
      <c r="S415" s="13" t="str">
        <f t="shared" si="122"/>
        <v>COMNGA</v>
      </c>
      <c r="T415" s="13" t="str">
        <f t="shared" si="123"/>
        <v>COMEDUOldOEEUE</v>
      </c>
      <c r="U415" s="13" t="str">
        <f t="shared" si="124"/>
        <v>COMEDUOldOEEUE</v>
      </c>
      <c r="V415" s="14">
        <v>2030</v>
      </c>
      <c r="W415" s="14" t="str">
        <f>W414</f>
        <v>UP</v>
      </c>
      <c r="X415" s="14"/>
      <c r="Y415" s="15">
        <f>-ROUNDUP(MIN(SUMIFS('COM RESID'!$O:$O,'COM RESID'!$H:$H,$E415,'COM RESID'!$I:$I,$F415)/SUMIFS('COM RESID'!$O:$O,'COM RESID'!$I:$I,$F415)*AC415,1),3)</f>
        <v>-0.20300000000000001</v>
      </c>
      <c r="Z415" s="14"/>
      <c r="AA415" s="14"/>
      <c r="AB415" s="10"/>
      <c r="AC415" s="20">
        <f>IF(S415="COMELC",IF(SUMIFS('COM RESID'!$O:$O,'COM RESID'!$H:$H,$E415,'COM RESID'!$I:$I,$F415)/SUMIFS('COM RESID'!$O:$O,'COM RESID'!$I:$I,$F415)*1.5&lt;0.5,0.5/(SUMIFS('COM RESID'!$O:$O,'COM RESID'!$H:$H,$E415,'COM RESID'!$I:$I,$F415)/SUMIFS('COM RESID'!$O:$O,'COM RESID'!$I:$I,$F415)),1.5),IF(ISNUMBER(SEARCH("WHEUE",T414)),IF(OR(S414="COMNGA",S414="COMFOI"),0.9,1.5),1.5))</f>
        <v>1.5</v>
      </c>
    </row>
    <row r="416" spans="1:29" x14ac:dyDescent="0.25">
      <c r="A416" s="26">
        <f>A415</f>
        <v>103</v>
      </c>
      <c r="B416" s="26"/>
      <c r="C416" s="21" t="str">
        <f>IF(C415="*",C415,"")</f>
        <v/>
      </c>
      <c r="D416" s="22"/>
      <c r="E416" s="23" t="str">
        <f t="shared" si="130"/>
        <v>COMNGA</v>
      </c>
      <c r="F416" s="23" t="str">
        <f t="shared" si="130"/>
        <v>COMEDUOldOEEUE</v>
      </c>
      <c r="G416" s="23" t="str">
        <f t="shared" si="130"/>
        <v>COMEDUOldOEEUE</v>
      </c>
      <c r="H416" s="24">
        <v>2050</v>
      </c>
      <c r="I416" s="24" t="str">
        <f>I415</f>
        <v>LO</v>
      </c>
      <c r="J416" s="24"/>
      <c r="K416" s="25">
        <f>-ROUNDDOWN(SUMIFS('COM RESID'!$O:$O,'COM RESID'!$H:$H,$E416,'COM RESID'!$I:$I,$F416)/SUMIFS('COM RESID'!$O:$O,'COM RESID'!$I:$I,$F416),3)*O416</f>
        <v>0</v>
      </c>
      <c r="L416" s="24"/>
      <c r="M416" s="24"/>
      <c r="N416" s="26"/>
      <c r="O416" s="27">
        <v>0</v>
      </c>
      <c r="Q416" s="21" t="str">
        <f t="shared" si="120"/>
        <v/>
      </c>
      <c r="R416" s="22"/>
      <c r="S416" s="23" t="str">
        <f t="shared" si="122"/>
        <v>COMNGA</v>
      </c>
      <c r="T416" s="23" t="str">
        <f t="shared" si="123"/>
        <v>COMEDUOldOEEUE</v>
      </c>
      <c r="U416" s="23" t="str">
        <f t="shared" si="124"/>
        <v>COMEDUOldOEEUE</v>
      </c>
      <c r="V416" s="24">
        <v>2050</v>
      </c>
      <c r="W416" s="24" t="str">
        <f>W415</f>
        <v>UP</v>
      </c>
      <c r="X416" s="24"/>
      <c r="Y416" s="25">
        <f>-ROUNDUP(MIN(SUMIFS('COM RESID'!$O:$O,'COM RESID'!$H:$H,$E416,'COM RESID'!$I:$I,$F416)/SUMIFS('COM RESID'!$O:$O,'COM RESID'!$I:$I,$F416)*AC416,1),3)</f>
        <v>-0.40500000000000003</v>
      </c>
      <c r="Z416" s="24"/>
      <c r="AA416" s="24"/>
      <c r="AB416" s="26"/>
      <c r="AC416" s="27">
        <f>IF(S416="COMELC",IF(SUMIFS('COM RESID'!$O:$O,'COM RESID'!$H:$H,$E416,'COM RESID'!$I:$I,$F416)/SUMIFS('COM RESID'!$O:$O,'COM RESID'!$I:$I,$F416)*3&lt;1,1/(SUMIFS('COM RESID'!$O:$O,'COM RESID'!$H:$H,$E416,'COM RESID'!$I:$I,$F416)/SUMIFS('COM RESID'!$O:$O,'COM RESID'!$I:$I,$F416)),3),IF(ISNUMBER(SEARCH("WHEUE",T414)),IF(OR(S414="COMNGA",S414="COMFOI"),0.75,3),3))</f>
        <v>3</v>
      </c>
    </row>
    <row r="417" spans="1:29" x14ac:dyDescent="0.25">
      <c r="A417" s="19">
        <f>A413+1</f>
        <v>104</v>
      </c>
      <c r="B417" s="10"/>
      <c r="C417" s="11" t="str">
        <f>IF(E417="","",IF(_xlfn.XLOOKUP($A417,Selected_constraint_UC!$A:$A,Selected_constraint_UC!$D:$D)=1,"*",IF(SUMIFS('COM TECH'!$N:$N,'COM TECH'!$K:$K,E417,'COM TECH'!$L:$L,F417)=0,"*",IF(SUMIFS('COM RESID'!$O:$O,'COM RESID'!$H:$H,$E417,'COM RESID'!$I:$I,$F417)=0,"*","UC_MarketShare_"&amp;LEFT(F417,LEN(F417)-3)&amp;"_"&amp;RIGHT(E417,3)&amp;"_MIN"))))</f>
        <v>*</v>
      </c>
      <c r="D417" s="12"/>
      <c r="E417" s="13" t="str">
        <f>_xlfn.XLOOKUP($A417,Selected_constraint_UC!$A:$A,Selected_constraint_UC!$B:$B)</f>
        <v>COMSTM</v>
      </c>
      <c r="F417" s="13" t="str">
        <f>_xlfn.XLOOKUP($A417,Selected_constraint_UC!$A:$A,Selected_constraint_UC!$C:$C)</f>
        <v>COMEDUOldOEEUE</v>
      </c>
      <c r="G417" s="13" t="str">
        <f>F417</f>
        <v>COMEDUOldOEEUE</v>
      </c>
      <c r="H417" s="14">
        <v>2019</v>
      </c>
      <c r="I417" s="14" t="s">
        <v>3848</v>
      </c>
      <c r="J417" s="14">
        <v>1</v>
      </c>
      <c r="K417" s="15">
        <f>-ROUNDDOWN(SUMIFS('COM RESID'!$O:$O,'COM RESID'!$H:$H,$E417,'COM RESID'!$I:$I,$F417)/SUMIFS('COM RESID'!$O:$O,'COM RESID'!$I:$I,$F417),3)*O417</f>
        <v>0</v>
      </c>
      <c r="L417" s="14">
        <v>0</v>
      </c>
      <c r="M417" s="14">
        <v>5</v>
      </c>
      <c r="N417" s="10"/>
      <c r="O417" s="20">
        <v>0.98</v>
      </c>
      <c r="Q417" s="11" t="str">
        <f t="shared" si="120"/>
        <v>*</v>
      </c>
      <c r="R417" s="12"/>
      <c r="S417" s="13" t="str">
        <f t="shared" si="122"/>
        <v>COMSTM</v>
      </c>
      <c r="T417" s="13" t="str">
        <f t="shared" si="123"/>
        <v>COMEDUOldOEEUE</v>
      </c>
      <c r="U417" s="13" t="str">
        <f t="shared" si="124"/>
        <v>COMEDUOldOEEUE</v>
      </c>
      <c r="V417" s="14">
        <v>2019</v>
      </c>
      <c r="W417" s="14" t="s">
        <v>3849</v>
      </c>
      <c r="X417" s="14">
        <v>1</v>
      </c>
      <c r="Y417" s="15">
        <f>-ROUNDUP(MIN(SUMIFS('COM RESID'!$O:$O,'COM RESID'!$H:$H,$E417,'COM RESID'!$I:$I,$F417)/SUMIFS('COM RESID'!$O:$O,'COM RESID'!$I:$I,$F417)*AC417,1),3)</f>
        <v>0</v>
      </c>
      <c r="Z417" s="14">
        <v>0</v>
      </c>
      <c r="AA417" s="14">
        <v>5</v>
      </c>
      <c r="AB417" s="10"/>
      <c r="AC417" s="20">
        <v>1.02</v>
      </c>
    </row>
    <row r="418" spans="1:29" x14ac:dyDescent="0.25">
      <c r="A418" s="10">
        <f>A417</f>
        <v>104</v>
      </c>
      <c r="B418" s="10"/>
      <c r="C418" s="11" t="str">
        <f>IF(C417="*",C417,"")</f>
        <v>*</v>
      </c>
      <c r="D418" s="12"/>
      <c r="E418" s="13" t="str">
        <f t="shared" ref="E418:G420" si="131">E417</f>
        <v>COMSTM</v>
      </c>
      <c r="F418" s="13" t="str">
        <f t="shared" si="131"/>
        <v>COMEDUOldOEEUE</v>
      </c>
      <c r="G418" s="13" t="str">
        <f t="shared" si="131"/>
        <v>COMEDUOldOEEUE</v>
      </c>
      <c r="H418" s="14">
        <v>2025</v>
      </c>
      <c r="I418" s="14" t="str">
        <f>I417</f>
        <v>LO</v>
      </c>
      <c r="J418" s="14"/>
      <c r="K418" s="15">
        <f>-ROUNDDOWN(SUMIFS('COM RESID'!$O:$O,'COM RESID'!$H:$H,$E418,'COM RESID'!$I:$I,$F418)/SUMIFS('COM RESID'!$O:$O,'COM RESID'!$I:$I,$F418),3)*O418</f>
        <v>0</v>
      </c>
      <c r="L418" s="14"/>
      <c r="M418" s="14"/>
      <c r="N418" s="10"/>
      <c r="O418" s="20">
        <v>0.8</v>
      </c>
      <c r="Q418" s="11" t="str">
        <f t="shared" si="120"/>
        <v>*</v>
      </c>
      <c r="R418" s="12"/>
      <c r="S418" s="13" t="str">
        <f t="shared" si="122"/>
        <v>COMSTM</v>
      </c>
      <c r="T418" s="13" t="str">
        <f t="shared" si="123"/>
        <v>COMEDUOldOEEUE</v>
      </c>
      <c r="U418" s="13" t="str">
        <f t="shared" si="124"/>
        <v>COMEDUOldOEEUE</v>
      </c>
      <c r="V418" s="14">
        <v>2025</v>
      </c>
      <c r="W418" s="14" t="str">
        <f>W417</f>
        <v>UP</v>
      </c>
      <c r="X418" s="14"/>
      <c r="Y418" s="15">
        <f>-ROUNDUP(MIN(SUMIFS('COM RESID'!$O:$O,'COM RESID'!$H:$H,$E418,'COM RESID'!$I:$I,$F418)/SUMIFS('COM RESID'!$O:$O,'COM RESID'!$I:$I,$F418)*AC418,1),3)</f>
        <v>0</v>
      </c>
      <c r="Z418" s="14"/>
      <c r="AA418" s="14"/>
      <c r="AB418" s="10"/>
      <c r="AC418" s="20">
        <f>IF(S418="COMELC",IF(SUMIFS('COM RESID'!$O:$O,'COM RESID'!$H:$H,$E418,'COM RESID'!$I:$I,$F418)/SUMIFS('COM RESID'!$O:$O,'COM RESID'!$I:$I,$F418)*1.2&lt;0.25,0.25/(SUMIFS('COM RESID'!$O:$O,'COM RESID'!$H:$H,$E418,'COM RESID'!$I:$I,$F418)/SUMIFS('COM RESID'!$O:$O,'COM RESID'!$I:$I,$F418)),1.2),IF(ISNUMBER(SEARCH("WHEUE",T418)),IF(OR(S418="COMNGA",S418="COMFOI"),1,1.2),1.2))</f>
        <v>1.2</v>
      </c>
    </row>
    <row r="419" spans="1:29" x14ac:dyDescent="0.25">
      <c r="A419" s="10">
        <f>A418</f>
        <v>104</v>
      </c>
      <c r="B419" s="10"/>
      <c r="C419" s="11" t="str">
        <f>IF(C418="*",C418,"")</f>
        <v>*</v>
      </c>
      <c r="D419" s="12"/>
      <c r="E419" s="13" t="str">
        <f t="shared" si="131"/>
        <v>COMSTM</v>
      </c>
      <c r="F419" s="13" t="str">
        <f t="shared" si="131"/>
        <v>COMEDUOldOEEUE</v>
      </c>
      <c r="G419" s="13" t="str">
        <f t="shared" si="131"/>
        <v>COMEDUOldOEEUE</v>
      </c>
      <c r="H419" s="14">
        <v>2030</v>
      </c>
      <c r="I419" s="14" t="str">
        <f>I418</f>
        <v>LO</v>
      </c>
      <c r="J419" s="14"/>
      <c r="K419" s="15">
        <f>-ROUNDDOWN(SUMIFS('COM RESID'!$O:$O,'COM RESID'!$H:$H,$E419,'COM RESID'!$I:$I,$F419)/SUMIFS('COM RESID'!$O:$O,'COM RESID'!$I:$I,$F419),3)*O419</f>
        <v>0</v>
      </c>
      <c r="L419" s="14"/>
      <c r="M419" s="14"/>
      <c r="N419" s="10"/>
      <c r="O419" s="20">
        <v>0.2</v>
      </c>
      <c r="Q419" s="11" t="str">
        <f t="shared" si="120"/>
        <v>*</v>
      </c>
      <c r="R419" s="12"/>
      <c r="S419" s="13" t="str">
        <f t="shared" si="122"/>
        <v>COMSTM</v>
      </c>
      <c r="T419" s="13" t="str">
        <f t="shared" si="123"/>
        <v>COMEDUOldOEEUE</v>
      </c>
      <c r="U419" s="13" t="str">
        <f t="shared" si="124"/>
        <v>COMEDUOldOEEUE</v>
      </c>
      <c r="V419" s="14">
        <v>2030</v>
      </c>
      <c r="W419" s="14" t="str">
        <f>W418</f>
        <v>UP</v>
      </c>
      <c r="X419" s="14"/>
      <c r="Y419" s="15">
        <f>-ROUNDUP(MIN(SUMIFS('COM RESID'!$O:$O,'COM RESID'!$H:$H,$E419,'COM RESID'!$I:$I,$F419)/SUMIFS('COM RESID'!$O:$O,'COM RESID'!$I:$I,$F419)*AC419,1),3)</f>
        <v>0</v>
      </c>
      <c r="Z419" s="14"/>
      <c r="AA419" s="14"/>
      <c r="AB419" s="10"/>
      <c r="AC419" s="20">
        <f>IF(S419="COMELC",IF(SUMIFS('COM RESID'!$O:$O,'COM RESID'!$H:$H,$E419,'COM RESID'!$I:$I,$F419)/SUMIFS('COM RESID'!$O:$O,'COM RESID'!$I:$I,$F419)*1.5&lt;0.5,0.5/(SUMIFS('COM RESID'!$O:$O,'COM RESID'!$H:$H,$E419,'COM RESID'!$I:$I,$F419)/SUMIFS('COM RESID'!$O:$O,'COM RESID'!$I:$I,$F419)),1.5),IF(ISNUMBER(SEARCH("WHEUE",T418)),IF(OR(S418="COMNGA",S418="COMFOI"),0.9,1.5),1.5))</f>
        <v>1.5</v>
      </c>
    </row>
    <row r="420" spans="1:29" x14ac:dyDescent="0.25">
      <c r="A420" s="26">
        <f>A419</f>
        <v>104</v>
      </c>
      <c r="B420" s="26"/>
      <c r="C420" s="21" t="str">
        <f>IF(C419="*",C419,"")</f>
        <v>*</v>
      </c>
      <c r="D420" s="22"/>
      <c r="E420" s="23" t="str">
        <f t="shared" si="131"/>
        <v>COMSTM</v>
      </c>
      <c r="F420" s="23" t="str">
        <f t="shared" si="131"/>
        <v>COMEDUOldOEEUE</v>
      </c>
      <c r="G420" s="23" t="str">
        <f t="shared" si="131"/>
        <v>COMEDUOldOEEUE</v>
      </c>
      <c r="H420" s="24">
        <v>2050</v>
      </c>
      <c r="I420" s="24" t="str">
        <f>I419</f>
        <v>LO</v>
      </c>
      <c r="J420" s="24"/>
      <c r="K420" s="25">
        <f>-ROUNDDOWN(SUMIFS('COM RESID'!$O:$O,'COM RESID'!$H:$H,$E420,'COM RESID'!$I:$I,$F420)/SUMIFS('COM RESID'!$O:$O,'COM RESID'!$I:$I,$F420),3)*O420</f>
        <v>0</v>
      </c>
      <c r="L420" s="24"/>
      <c r="M420" s="24"/>
      <c r="N420" s="26"/>
      <c r="O420" s="27">
        <v>0</v>
      </c>
      <c r="Q420" s="21" t="str">
        <f t="shared" si="120"/>
        <v>*</v>
      </c>
      <c r="R420" s="22"/>
      <c r="S420" s="23" t="str">
        <f t="shared" si="122"/>
        <v>COMSTM</v>
      </c>
      <c r="T420" s="23" t="str">
        <f t="shared" si="123"/>
        <v>COMEDUOldOEEUE</v>
      </c>
      <c r="U420" s="23" t="str">
        <f t="shared" si="124"/>
        <v>COMEDUOldOEEUE</v>
      </c>
      <c r="V420" s="24">
        <v>2050</v>
      </c>
      <c r="W420" s="24" t="str">
        <f>W419</f>
        <v>UP</v>
      </c>
      <c r="X420" s="24"/>
      <c r="Y420" s="25">
        <f>-ROUNDUP(MIN(SUMIFS('COM RESID'!$O:$O,'COM RESID'!$H:$H,$E420,'COM RESID'!$I:$I,$F420)/SUMIFS('COM RESID'!$O:$O,'COM RESID'!$I:$I,$F420)*AC420,1),3)</f>
        <v>0</v>
      </c>
      <c r="Z420" s="24"/>
      <c r="AA420" s="24"/>
      <c r="AB420" s="26"/>
      <c r="AC420" s="27">
        <f>IF(S420="COMELC",IF(SUMIFS('COM RESID'!$O:$O,'COM RESID'!$H:$H,$E420,'COM RESID'!$I:$I,$F420)/SUMIFS('COM RESID'!$O:$O,'COM RESID'!$I:$I,$F420)*3&lt;1,1/(SUMIFS('COM RESID'!$O:$O,'COM RESID'!$H:$H,$E420,'COM RESID'!$I:$I,$F420)/SUMIFS('COM RESID'!$O:$O,'COM RESID'!$I:$I,$F420)),3),IF(ISNUMBER(SEARCH("WHEUE",T418)),IF(OR(S418="COMNGA",S418="COMFOI"),0.75,3),3))</f>
        <v>3</v>
      </c>
    </row>
    <row r="421" spans="1:29" x14ac:dyDescent="0.25">
      <c r="A421" s="19">
        <f>A417+1</f>
        <v>105</v>
      </c>
      <c r="B421" s="10"/>
      <c r="C421" s="11" t="str">
        <f>IF(E421="","",IF(_xlfn.XLOOKUP($A421,Selected_constraint_UC!$A:$A,Selected_constraint_UC!$D:$D)=1,"*",IF(SUMIFS('COM TECH'!$N:$N,'COM TECH'!$K:$K,E421,'COM TECH'!$L:$L,F421)=0,"*",IF(SUMIFS('COM RESID'!$O:$O,'COM RESID'!$H:$H,$E421,'COM RESID'!$I:$I,$F421)=0,"*","UC_MarketShare_"&amp;LEFT(F421,LEN(F421)-3)&amp;"_"&amp;RIGHT(E421,3)&amp;"_MIN"))))</f>
        <v>UC_MarketShare_COMEDUOldOE_ELC_MIN</v>
      </c>
      <c r="D421" s="12"/>
      <c r="E421" s="13" t="str">
        <f>_xlfn.XLOOKUP($A421,Selected_constraint_UC!$A:$A,Selected_constraint_UC!$B:$B)</f>
        <v>COMELC</v>
      </c>
      <c r="F421" s="13" t="str">
        <f>_xlfn.XLOOKUP($A421,Selected_constraint_UC!$A:$A,Selected_constraint_UC!$C:$C)</f>
        <v>COMEDUOldOEEUE</v>
      </c>
      <c r="G421" s="13" t="str">
        <f>F421</f>
        <v>COMEDUOldOEEUE</v>
      </c>
      <c r="H421" s="14">
        <v>2019</v>
      </c>
      <c r="I421" s="14" t="s">
        <v>3848</v>
      </c>
      <c r="J421" s="14">
        <v>1</v>
      </c>
      <c r="K421" s="15">
        <f>-ROUNDDOWN(SUMIFS('COM RESID'!$O:$O,'COM RESID'!$H:$H,$E421,'COM RESID'!$I:$I,$F421)/SUMIFS('COM RESID'!$O:$O,'COM RESID'!$I:$I,$F421),3)*O421</f>
        <v>-0.8192799999999999</v>
      </c>
      <c r="L421" s="14">
        <v>0</v>
      </c>
      <c r="M421" s="14">
        <v>5</v>
      </c>
      <c r="N421" s="10"/>
      <c r="O421" s="20">
        <v>0.98</v>
      </c>
      <c r="Q421" s="11" t="str">
        <f t="shared" si="120"/>
        <v>UC_MarketShare_COMEDUOldOE_ELC_MAX</v>
      </c>
      <c r="R421" s="12"/>
      <c r="S421" s="13" t="str">
        <f t="shared" si="122"/>
        <v>COMELC</v>
      </c>
      <c r="T421" s="13" t="str">
        <f t="shared" si="123"/>
        <v>COMEDUOldOEEUE</v>
      </c>
      <c r="U421" s="13" t="str">
        <f t="shared" si="124"/>
        <v>COMEDUOldOEEUE</v>
      </c>
      <c r="V421" s="14">
        <v>2019</v>
      </c>
      <c r="W421" s="14" t="s">
        <v>3849</v>
      </c>
      <c r="X421" s="14">
        <v>1</v>
      </c>
      <c r="Y421" s="15">
        <f>-ROUNDUP(MIN(SUMIFS('COM RESID'!$O:$O,'COM RESID'!$H:$H,$E421,'COM RESID'!$I:$I,$F421)/SUMIFS('COM RESID'!$O:$O,'COM RESID'!$I:$I,$F421)*AC421,1),3)</f>
        <v>-0.85299999999999998</v>
      </c>
      <c r="Z421" s="14">
        <v>0</v>
      </c>
      <c r="AA421" s="14">
        <v>5</v>
      </c>
      <c r="AB421" s="10"/>
      <c r="AC421" s="20">
        <v>1.02</v>
      </c>
    </row>
    <row r="422" spans="1:29" x14ac:dyDescent="0.25">
      <c r="A422" s="10">
        <f>A421</f>
        <v>105</v>
      </c>
      <c r="B422" s="10"/>
      <c r="C422" s="11" t="str">
        <f>IF(C421="*",C421,"")</f>
        <v/>
      </c>
      <c r="D422" s="12"/>
      <c r="E422" s="13" t="str">
        <f t="shared" ref="E422:G424" si="132">E421</f>
        <v>COMELC</v>
      </c>
      <c r="F422" s="13" t="str">
        <f t="shared" si="132"/>
        <v>COMEDUOldOEEUE</v>
      </c>
      <c r="G422" s="13" t="str">
        <f t="shared" si="132"/>
        <v>COMEDUOldOEEUE</v>
      </c>
      <c r="H422" s="14">
        <v>2025</v>
      </c>
      <c r="I422" s="14" t="str">
        <f>I421</f>
        <v>LO</v>
      </c>
      <c r="J422" s="14"/>
      <c r="K422" s="15">
        <f>-ROUNDDOWN(SUMIFS('COM RESID'!$O:$O,'COM RESID'!$H:$H,$E422,'COM RESID'!$I:$I,$F422)/SUMIFS('COM RESID'!$O:$O,'COM RESID'!$I:$I,$F422),3)*O422</f>
        <v>-0.66880000000000006</v>
      </c>
      <c r="L422" s="14"/>
      <c r="M422" s="14"/>
      <c r="N422" s="10"/>
      <c r="O422" s="20">
        <v>0.8</v>
      </c>
      <c r="Q422" s="11" t="str">
        <f t="shared" si="120"/>
        <v/>
      </c>
      <c r="R422" s="12"/>
      <c r="S422" s="13" t="str">
        <f t="shared" si="122"/>
        <v>COMELC</v>
      </c>
      <c r="T422" s="13" t="str">
        <f t="shared" si="123"/>
        <v>COMEDUOldOEEUE</v>
      </c>
      <c r="U422" s="13" t="str">
        <f t="shared" si="124"/>
        <v>COMEDUOldOEEUE</v>
      </c>
      <c r="V422" s="14">
        <v>2025</v>
      </c>
      <c r="W422" s="14" t="str">
        <f>W421</f>
        <v>UP</v>
      </c>
      <c r="X422" s="14"/>
      <c r="Y422" s="15">
        <f>-ROUNDUP(MIN(SUMIFS('COM RESID'!$O:$O,'COM RESID'!$H:$H,$E422,'COM RESID'!$I:$I,$F422)/SUMIFS('COM RESID'!$O:$O,'COM RESID'!$I:$I,$F422)*AC422,1),3)</f>
        <v>-1</v>
      </c>
      <c r="Z422" s="14"/>
      <c r="AA422" s="14"/>
      <c r="AB422" s="10"/>
      <c r="AC422" s="20">
        <f>IF(S422="COMELC",IF(SUMIFS('COM RESID'!$O:$O,'COM RESID'!$H:$H,$E422,'COM RESID'!$I:$I,$F422)/SUMIFS('COM RESID'!$O:$O,'COM RESID'!$I:$I,$F422)*1.2&lt;0.25,0.25/(SUMIFS('COM RESID'!$O:$O,'COM RESID'!$H:$H,$E422,'COM RESID'!$I:$I,$F422)/SUMIFS('COM RESID'!$O:$O,'COM RESID'!$I:$I,$F422)),1.2),IF(ISNUMBER(SEARCH("WHEUE",T422)),IF(OR(S422="COMNGA",S422="COMFOI"),1,1.2),1.2))</f>
        <v>1.2</v>
      </c>
    </row>
    <row r="423" spans="1:29" x14ac:dyDescent="0.25">
      <c r="A423" s="10">
        <f>A422</f>
        <v>105</v>
      </c>
      <c r="B423" s="10"/>
      <c r="C423" s="11" t="str">
        <f>IF(C422="*",C422,"")</f>
        <v/>
      </c>
      <c r="D423" s="12"/>
      <c r="E423" s="13" t="str">
        <f t="shared" si="132"/>
        <v>COMELC</v>
      </c>
      <c r="F423" s="13" t="str">
        <f t="shared" si="132"/>
        <v>COMEDUOldOEEUE</v>
      </c>
      <c r="G423" s="13" t="str">
        <f t="shared" si="132"/>
        <v>COMEDUOldOEEUE</v>
      </c>
      <c r="H423" s="14">
        <v>2030</v>
      </c>
      <c r="I423" s="14" t="str">
        <f>I422</f>
        <v>LO</v>
      </c>
      <c r="J423" s="14"/>
      <c r="K423" s="15">
        <f>-ROUNDDOWN(SUMIFS('COM RESID'!$O:$O,'COM RESID'!$H:$H,$E423,'COM RESID'!$I:$I,$F423)/SUMIFS('COM RESID'!$O:$O,'COM RESID'!$I:$I,$F423),3)*O423</f>
        <v>-0.16720000000000002</v>
      </c>
      <c r="L423" s="14"/>
      <c r="M423" s="14"/>
      <c r="N423" s="10"/>
      <c r="O423" s="20">
        <v>0.2</v>
      </c>
      <c r="Q423" s="11" t="str">
        <f t="shared" si="120"/>
        <v/>
      </c>
      <c r="R423" s="12"/>
      <c r="S423" s="13" t="str">
        <f t="shared" si="122"/>
        <v>COMELC</v>
      </c>
      <c r="T423" s="13" t="str">
        <f t="shared" si="123"/>
        <v>COMEDUOldOEEUE</v>
      </c>
      <c r="U423" s="13" t="str">
        <f t="shared" si="124"/>
        <v>COMEDUOldOEEUE</v>
      </c>
      <c r="V423" s="14">
        <v>2030</v>
      </c>
      <c r="W423" s="14" t="str">
        <f>W422</f>
        <v>UP</v>
      </c>
      <c r="X423" s="14"/>
      <c r="Y423" s="15">
        <f>-ROUNDUP(MIN(SUMIFS('COM RESID'!$O:$O,'COM RESID'!$H:$H,$E423,'COM RESID'!$I:$I,$F423)/SUMIFS('COM RESID'!$O:$O,'COM RESID'!$I:$I,$F423)*AC423,1),3)</f>
        <v>-1</v>
      </c>
      <c r="Z423" s="14"/>
      <c r="AA423" s="14"/>
      <c r="AB423" s="10"/>
      <c r="AC423" s="20">
        <f>IF(S423="COMELC",IF(SUMIFS('COM RESID'!$O:$O,'COM RESID'!$H:$H,$E423,'COM RESID'!$I:$I,$F423)/SUMIFS('COM RESID'!$O:$O,'COM RESID'!$I:$I,$F423)*1.5&lt;0.5,0.5/(SUMIFS('COM RESID'!$O:$O,'COM RESID'!$H:$H,$E423,'COM RESID'!$I:$I,$F423)/SUMIFS('COM RESID'!$O:$O,'COM RESID'!$I:$I,$F423)),1.5),IF(ISNUMBER(SEARCH("WHEUE",T422)),IF(OR(S422="COMNGA",S422="COMFOI"),0.9,1.5),1.5))</f>
        <v>1.5</v>
      </c>
    </row>
    <row r="424" spans="1:29" x14ac:dyDescent="0.25">
      <c r="A424" s="26">
        <f>A423</f>
        <v>105</v>
      </c>
      <c r="B424" s="26"/>
      <c r="C424" s="21" t="str">
        <f>IF(C423="*",C423,"")</f>
        <v/>
      </c>
      <c r="D424" s="22"/>
      <c r="E424" s="23" t="str">
        <f t="shared" si="132"/>
        <v>COMELC</v>
      </c>
      <c r="F424" s="23" t="str">
        <f t="shared" si="132"/>
        <v>COMEDUOldOEEUE</v>
      </c>
      <c r="G424" s="23" t="str">
        <f t="shared" si="132"/>
        <v>COMEDUOldOEEUE</v>
      </c>
      <c r="H424" s="24">
        <v>2050</v>
      </c>
      <c r="I424" s="24" t="str">
        <f>I423</f>
        <v>LO</v>
      </c>
      <c r="J424" s="24"/>
      <c r="K424" s="25">
        <f>-ROUNDDOWN(SUMIFS('COM RESID'!$O:$O,'COM RESID'!$H:$H,$E424,'COM RESID'!$I:$I,$F424)/SUMIFS('COM RESID'!$O:$O,'COM RESID'!$I:$I,$F424),3)*O424</f>
        <v>0</v>
      </c>
      <c r="L424" s="24"/>
      <c r="M424" s="24"/>
      <c r="N424" s="26"/>
      <c r="O424" s="27">
        <v>0</v>
      </c>
      <c r="Q424" s="21" t="str">
        <f t="shared" si="120"/>
        <v/>
      </c>
      <c r="R424" s="22"/>
      <c r="S424" s="23" t="str">
        <f t="shared" si="122"/>
        <v>COMELC</v>
      </c>
      <c r="T424" s="23" t="str">
        <f t="shared" si="123"/>
        <v>COMEDUOldOEEUE</v>
      </c>
      <c r="U424" s="23" t="str">
        <f t="shared" si="124"/>
        <v>COMEDUOldOEEUE</v>
      </c>
      <c r="V424" s="24">
        <v>2050</v>
      </c>
      <c r="W424" s="24" t="str">
        <f>W423</f>
        <v>UP</v>
      </c>
      <c r="X424" s="24"/>
      <c r="Y424" s="25">
        <f>-ROUNDUP(MIN(SUMIFS('COM RESID'!$O:$O,'COM RESID'!$H:$H,$E424,'COM RESID'!$I:$I,$F424)/SUMIFS('COM RESID'!$O:$O,'COM RESID'!$I:$I,$F424)*AC424,1),3)</f>
        <v>-1</v>
      </c>
      <c r="Z424" s="24"/>
      <c r="AA424" s="24"/>
      <c r="AB424" s="26"/>
      <c r="AC424" s="27">
        <f>IF(S424="COMELC",IF(SUMIFS('COM RESID'!$O:$O,'COM RESID'!$H:$H,$E424,'COM RESID'!$I:$I,$F424)/SUMIFS('COM RESID'!$O:$O,'COM RESID'!$I:$I,$F424)*3&lt;1,1/(SUMIFS('COM RESID'!$O:$O,'COM RESID'!$H:$H,$E424,'COM RESID'!$I:$I,$F424)/SUMIFS('COM RESID'!$O:$O,'COM RESID'!$I:$I,$F424)),3),IF(ISNUMBER(SEARCH("WHEUE",T422)),IF(OR(S422="COMNGA",S422="COMFOI"),0.75,3),3))</f>
        <v>3</v>
      </c>
    </row>
    <row r="425" spans="1:29" x14ac:dyDescent="0.25">
      <c r="A425" s="19">
        <f>A421+1</f>
        <v>106</v>
      </c>
      <c r="B425" s="10"/>
      <c r="C425" s="11" t="str">
        <f>IF(E425="","",IF(_xlfn.XLOOKUP($A425,Selected_constraint_UC!$A:$A,Selected_constraint_UC!$D:$D)=1,"*",IF(SUMIFS('COM TECH'!$N:$N,'COM TECH'!$K:$K,E425,'COM TECH'!$L:$L,F425)=0,"*",IF(SUMIFS('COM RESID'!$O:$O,'COM RESID'!$H:$H,$E425,'COM RESID'!$I:$I,$F425)=0,"*","UC_MarketShare_"&amp;LEFT(F425,LEN(F425)-3)&amp;"_"&amp;RIGHT(E425,3)&amp;"_MIN"))))</f>
        <v>UC_MarketShare_COMWAROldSH_ELC_MIN</v>
      </c>
      <c r="D425" s="12"/>
      <c r="E425" s="13" t="str">
        <f>_xlfn.XLOOKUP($A425,Selected_constraint_UC!$A:$A,Selected_constraint_UC!$B:$B)</f>
        <v>COMELC</v>
      </c>
      <c r="F425" s="13" t="str">
        <f>_xlfn.XLOOKUP($A425,Selected_constraint_UC!$A:$A,Selected_constraint_UC!$C:$C)</f>
        <v>COMWAROldSHEUE</v>
      </c>
      <c r="G425" s="13" t="str">
        <f>F425</f>
        <v>COMWAROldSHEUE</v>
      </c>
      <c r="H425" s="14">
        <v>2019</v>
      </c>
      <c r="I425" s="14" t="s">
        <v>3848</v>
      </c>
      <c r="J425" s="14">
        <v>1</v>
      </c>
      <c r="K425" s="15">
        <f>-ROUNDDOWN(SUMIFS('COM RESID'!$O:$O,'COM RESID'!$H:$H,$E425,'COM RESID'!$I:$I,$F425)/SUMIFS('COM RESID'!$O:$O,'COM RESID'!$I:$I,$F425),3)*O425</f>
        <v>-6.9579999999999989E-2</v>
      </c>
      <c r="L425" s="14">
        <v>0</v>
      </c>
      <c r="M425" s="14">
        <v>5</v>
      </c>
      <c r="N425" s="10"/>
      <c r="O425" s="20">
        <v>0.98</v>
      </c>
      <c r="Q425" s="11" t="str">
        <f t="shared" si="120"/>
        <v>UC_MarketShare_COMWAROldSH_ELC_MAX</v>
      </c>
      <c r="R425" s="12"/>
      <c r="S425" s="13" t="str">
        <f t="shared" si="122"/>
        <v>COMELC</v>
      </c>
      <c r="T425" s="13" t="str">
        <f t="shared" si="123"/>
        <v>COMWAROldSHEUE</v>
      </c>
      <c r="U425" s="13" t="str">
        <f t="shared" si="124"/>
        <v>COMWAROldSHEUE</v>
      </c>
      <c r="V425" s="14">
        <v>2019</v>
      </c>
      <c r="W425" s="14" t="s">
        <v>3849</v>
      </c>
      <c r="X425" s="14">
        <v>1</v>
      </c>
      <c r="Y425" s="15">
        <f>-ROUNDUP(MIN(SUMIFS('COM RESID'!$O:$O,'COM RESID'!$H:$H,$E425,'COM RESID'!$I:$I,$F425)/SUMIFS('COM RESID'!$O:$O,'COM RESID'!$I:$I,$F425)*AC425,1),3)</f>
        <v>-7.2999999999999995E-2</v>
      </c>
      <c r="Z425" s="14">
        <v>0</v>
      </c>
      <c r="AA425" s="14">
        <v>5</v>
      </c>
      <c r="AB425" s="10"/>
      <c r="AC425" s="20">
        <v>1.02</v>
      </c>
    </row>
    <row r="426" spans="1:29" x14ac:dyDescent="0.25">
      <c r="A426" s="10">
        <f>A425</f>
        <v>106</v>
      </c>
      <c r="B426" s="10"/>
      <c r="C426" s="11" t="str">
        <f>IF(C425="*",C425,"")</f>
        <v/>
      </c>
      <c r="D426" s="12"/>
      <c r="E426" s="13" t="str">
        <f t="shared" ref="E426:G428" si="133">E425</f>
        <v>COMELC</v>
      </c>
      <c r="F426" s="13" t="str">
        <f t="shared" si="133"/>
        <v>COMWAROldSHEUE</v>
      </c>
      <c r="G426" s="13" t="str">
        <f t="shared" si="133"/>
        <v>COMWAROldSHEUE</v>
      </c>
      <c r="H426" s="14">
        <v>2025</v>
      </c>
      <c r="I426" s="14" t="str">
        <f>I425</f>
        <v>LO</v>
      </c>
      <c r="J426" s="14"/>
      <c r="K426" s="15">
        <f>-ROUNDDOWN(SUMIFS('COM RESID'!$O:$O,'COM RESID'!$H:$H,$E426,'COM RESID'!$I:$I,$F426)/SUMIFS('COM RESID'!$O:$O,'COM RESID'!$I:$I,$F426),3)*O426</f>
        <v>-5.6799999999999996E-2</v>
      </c>
      <c r="L426" s="14"/>
      <c r="M426" s="14"/>
      <c r="N426" s="10"/>
      <c r="O426" s="20">
        <v>0.8</v>
      </c>
      <c r="Q426" s="11" t="str">
        <f t="shared" si="120"/>
        <v/>
      </c>
      <c r="R426" s="12"/>
      <c r="S426" s="13" t="str">
        <f t="shared" si="122"/>
        <v>COMELC</v>
      </c>
      <c r="T426" s="13" t="str">
        <f t="shared" si="123"/>
        <v>COMWAROldSHEUE</v>
      </c>
      <c r="U426" s="13" t="str">
        <f t="shared" si="124"/>
        <v>COMWAROldSHEUE</v>
      </c>
      <c r="V426" s="14">
        <v>2025</v>
      </c>
      <c r="W426" s="14" t="str">
        <f>W425</f>
        <v>UP</v>
      </c>
      <c r="X426" s="14"/>
      <c r="Y426" s="15">
        <f>-ROUNDUP(MIN(SUMIFS('COM RESID'!$O:$O,'COM RESID'!$H:$H,$E426,'COM RESID'!$I:$I,$F426)/SUMIFS('COM RESID'!$O:$O,'COM RESID'!$I:$I,$F426)*AC426,1),3)</f>
        <v>-0.25</v>
      </c>
      <c r="Z426" s="14"/>
      <c r="AA426" s="14"/>
      <c r="AB426" s="10"/>
      <c r="AC426" s="20">
        <f>IF(S426="COMELC",IF(SUMIFS('COM RESID'!$O:$O,'COM RESID'!$H:$H,$E426,'COM RESID'!$I:$I,$F426)/SUMIFS('COM RESID'!$O:$O,'COM RESID'!$I:$I,$F426)*1.2&lt;0.25,0.25/(SUMIFS('COM RESID'!$O:$O,'COM RESID'!$H:$H,$E426,'COM RESID'!$I:$I,$F426)/SUMIFS('COM RESID'!$O:$O,'COM RESID'!$I:$I,$F426)),1.2),IF(ISNUMBER(SEARCH("WHEUE",T426)),IF(OR(S426="COMNGA",S426="COMFOI"),1,1.2),1.2))</f>
        <v>3.5014105214816751</v>
      </c>
    </row>
    <row r="427" spans="1:29" x14ac:dyDescent="0.25">
      <c r="A427" s="10">
        <f>A426</f>
        <v>106</v>
      </c>
      <c r="B427" s="10"/>
      <c r="C427" s="11" t="str">
        <f>IF(C426="*",C426,"")</f>
        <v/>
      </c>
      <c r="D427" s="12"/>
      <c r="E427" s="13" t="str">
        <f t="shared" si="133"/>
        <v>COMELC</v>
      </c>
      <c r="F427" s="13" t="str">
        <f t="shared" si="133"/>
        <v>COMWAROldSHEUE</v>
      </c>
      <c r="G427" s="13" t="str">
        <f t="shared" si="133"/>
        <v>COMWAROldSHEUE</v>
      </c>
      <c r="H427" s="14">
        <v>2030</v>
      </c>
      <c r="I427" s="14" t="str">
        <f>I426</f>
        <v>LO</v>
      </c>
      <c r="J427" s="14"/>
      <c r="K427" s="15">
        <f>-ROUNDDOWN(SUMIFS('COM RESID'!$O:$O,'COM RESID'!$H:$H,$E427,'COM RESID'!$I:$I,$F427)/SUMIFS('COM RESID'!$O:$O,'COM RESID'!$I:$I,$F427),3)*O427</f>
        <v>-5.3249999999999992E-2</v>
      </c>
      <c r="L427" s="14"/>
      <c r="M427" s="14"/>
      <c r="N427" s="10"/>
      <c r="O427" s="20">
        <v>0.75</v>
      </c>
      <c r="Q427" s="11" t="str">
        <f t="shared" si="120"/>
        <v/>
      </c>
      <c r="R427" s="12"/>
      <c r="S427" s="13" t="str">
        <f t="shared" si="122"/>
        <v>COMELC</v>
      </c>
      <c r="T427" s="13" t="str">
        <f t="shared" si="123"/>
        <v>COMWAROldSHEUE</v>
      </c>
      <c r="U427" s="13" t="str">
        <f t="shared" si="124"/>
        <v>COMWAROldSHEUE</v>
      </c>
      <c r="V427" s="14">
        <v>2030</v>
      </c>
      <c r="W427" s="14" t="str">
        <f>W426</f>
        <v>UP</v>
      </c>
      <c r="X427" s="14"/>
      <c r="Y427" s="15">
        <f>-ROUNDUP(MIN(SUMIFS('COM RESID'!$O:$O,'COM RESID'!$H:$H,$E427,'COM RESID'!$I:$I,$F427)/SUMIFS('COM RESID'!$O:$O,'COM RESID'!$I:$I,$F427)*AC427,1),3)</f>
        <v>-0.5</v>
      </c>
      <c r="Z427" s="14"/>
      <c r="AA427" s="14"/>
      <c r="AB427" s="10"/>
      <c r="AC427" s="20">
        <f>IF(S427="COMELC",IF(SUMIFS('COM RESID'!$O:$O,'COM RESID'!$H:$H,$E427,'COM RESID'!$I:$I,$F427)/SUMIFS('COM RESID'!$O:$O,'COM RESID'!$I:$I,$F427)*1.5&lt;0.5,0.5/(SUMIFS('COM RESID'!$O:$O,'COM RESID'!$H:$H,$E427,'COM RESID'!$I:$I,$F427)/SUMIFS('COM RESID'!$O:$O,'COM RESID'!$I:$I,$F427)),1.5),IF(ISNUMBER(SEARCH("WHEUE",T426)),IF(OR(S426="COMNGA",S426="COMFOI"),0.9,1.5),1.5))</f>
        <v>7.0028210429633502</v>
      </c>
    </row>
    <row r="428" spans="1:29" x14ac:dyDescent="0.25">
      <c r="A428" s="26">
        <f>A427</f>
        <v>106</v>
      </c>
      <c r="B428" s="26"/>
      <c r="C428" s="21" t="str">
        <f>IF(C427="*",C427,"")</f>
        <v/>
      </c>
      <c r="D428" s="22"/>
      <c r="E428" s="23" t="str">
        <f t="shared" si="133"/>
        <v>COMELC</v>
      </c>
      <c r="F428" s="23" t="str">
        <f t="shared" si="133"/>
        <v>COMWAROldSHEUE</v>
      </c>
      <c r="G428" s="23" t="str">
        <f t="shared" si="133"/>
        <v>COMWAROldSHEUE</v>
      </c>
      <c r="H428" s="24">
        <v>2050</v>
      </c>
      <c r="I428" s="24" t="str">
        <f>I427</f>
        <v>LO</v>
      </c>
      <c r="J428" s="24"/>
      <c r="K428" s="25">
        <f>-ROUNDDOWN(SUMIFS('COM RESID'!$O:$O,'COM RESID'!$H:$H,$E428,'COM RESID'!$I:$I,$F428)/SUMIFS('COM RESID'!$O:$O,'COM RESID'!$I:$I,$F428),3)*O428</f>
        <v>-5.3249999999999992E-2</v>
      </c>
      <c r="L428" s="24"/>
      <c r="M428" s="24"/>
      <c r="N428" s="26"/>
      <c r="O428" s="27">
        <v>0.75</v>
      </c>
      <c r="Q428" s="21" t="str">
        <f t="shared" si="120"/>
        <v/>
      </c>
      <c r="R428" s="22"/>
      <c r="S428" s="23" t="str">
        <f t="shared" si="122"/>
        <v>COMELC</v>
      </c>
      <c r="T428" s="23" t="str">
        <f t="shared" si="123"/>
        <v>COMWAROldSHEUE</v>
      </c>
      <c r="U428" s="23" t="str">
        <f t="shared" si="124"/>
        <v>COMWAROldSHEUE</v>
      </c>
      <c r="V428" s="24">
        <v>2050</v>
      </c>
      <c r="W428" s="24" t="str">
        <f>W427</f>
        <v>UP</v>
      </c>
      <c r="X428" s="24"/>
      <c r="Y428" s="25">
        <f>-ROUNDUP(MIN(SUMIFS('COM RESID'!$O:$O,'COM RESID'!$H:$H,$E428,'COM RESID'!$I:$I,$F428)/SUMIFS('COM RESID'!$O:$O,'COM RESID'!$I:$I,$F428)*AC428,1),3)</f>
        <v>-1</v>
      </c>
      <c r="Z428" s="24"/>
      <c r="AA428" s="24"/>
      <c r="AB428" s="26"/>
      <c r="AC428" s="27">
        <f>IF(S428="COMELC",IF(SUMIFS('COM RESID'!$O:$O,'COM RESID'!$H:$H,$E428,'COM RESID'!$I:$I,$F428)/SUMIFS('COM RESID'!$O:$O,'COM RESID'!$I:$I,$F428)*3&lt;1,1/(SUMIFS('COM RESID'!$O:$O,'COM RESID'!$H:$H,$E428,'COM RESID'!$I:$I,$F428)/SUMIFS('COM RESID'!$O:$O,'COM RESID'!$I:$I,$F428)),3),IF(ISNUMBER(SEARCH("WHEUE",T426)),IF(OR(S426="COMNGA",S426="COMFOI"),0.75,3),3))</f>
        <v>14.0056420859267</v>
      </c>
    </row>
    <row r="429" spans="1:29" x14ac:dyDescent="0.25">
      <c r="A429" s="19">
        <f>A425+1</f>
        <v>107</v>
      </c>
      <c r="B429" s="10"/>
      <c r="C429" s="11" t="str">
        <f>IF(E429="","",IF(_xlfn.XLOOKUP($A429,Selected_constraint_UC!$A:$A,Selected_constraint_UC!$D:$D)=1,"*",IF(SUMIFS('COM TECH'!$N:$N,'COM TECH'!$K:$K,E429,'COM TECH'!$L:$L,F429)=0,"*",IF(SUMIFS('COM RESID'!$O:$O,'COM RESID'!$H:$H,$E429,'COM RESID'!$I:$I,$F429)=0,"*","UC_MarketShare_"&amp;LEFT(F429,LEN(F429)-3)&amp;"_"&amp;RIGHT(E429,3)&amp;"_MIN"))))</f>
        <v>UC_MarketShare_COMWAROldSH_NGA_MIN</v>
      </c>
      <c r="D429" s="12"/>
      <c r="E429" s="13" t="str">
        <f>_xlfn.XLOOKUP($A429,Selected_constraint_UC!$A:$A,Selected_constraint_UC!$B:$B)</f>
        <v>COMNGA</v>
      </c>
      <c r="F429" s="13" t="str">
        <f>_xlfn.XLOOKUP($A429,Selected_constraint_UC!$A:$A,Selected_constraint_UC!$C:$C)</f>
        <v>COMWAROldSHEUE</v>
      </c>
      <c r="G429" s="13" t="str">
        <f>F429</f>
        <v>COMWAROldSHEUE</v>
      </c>
      <c r="H429" s="14">
        <v>2019</v>
      </c>
      <c r="I429" s="14" t="s">
        <v>3848</v>
      </c>
      <c r="J429" s="14">
        <v>1</v>
      </c>
      <c r="K429" s="15">
        <f>-ROUNDDOWN(SUMIFS('COM RESID'!$O:$O,'COM RESID'!$H:$H,$E429,'COM RESID'!$I:$I,$F429)/SUMIFS('COM RESID'!$O:$O,'COM RESID'!$I:$I,$F429),3)*O429</f>
        <v>-0.82516</v>
      </c>
      <c r="L429" s="14">
        <v>0</v>
      </c>
      <c r="M429" s="14">
        <v>5</v>
      </c>
      <c r="N429" s="10"/>
      <c r="O429" s="20">
        <v>0.98</v>
      </c>
      <c r="Q429" s="11" t="str">
        <f t="shared" si="120"/>
        <v>UC_MarketShare_COMWAROldSH_NGA_MAX</v>
      </c>
      <c r="R429" s="12"/>
      <c r="S429" s="13" t="str">
        <f t="shared" si="122"/>
        <v>COMNGA</v>
      </c>
      <c r="T429" s="13" t="str">
        <f t="shared" si="123"/>
        <v>COMWAROldSHEUE</v>
      </c>
      <c r="U429" s="13" t="str">
        <f t="shared" si="124"/>
        <v>COMWAROldSHEUE</v>
      </c>
      <c r="V429" s="14">
        <v>2019</v>
      </c>
      <c r="W429" s="14" t="s">
        <v>3849</v>
      </c>
      <c r="X429" s="14">
        <v>1</v>
      </c>
      <c r="Y429" s="15">
        <f>-ROUNDUP(MIN(SUMIFS('COM RESID'!$O:$O,'COM RESID'!$H:$H,$E429,'COM RESID'!$I:$I,$F429)/SUMIFS('COM RESID'!$O:$O,'COM RESID'!$I:$I,$F429)*AC429,1),3)</f>
        <v>-0.85899999999999999</v>
      </c>
      <c r="Z429" s="14">
        <v>0</v>
      </c>
      <c r="AA429" s="14">
        <v>5</v>
      </c>
      <c r="AB429" s="10"/>
      <c r="AC429" s="20">
        <v>1.02</v>
      </c>
    </row>
    <row r="430" spans="1:29" x14ac:dyDescent="0.25">
      <c r="A430" s="10">
        <f>A429</f>
        <v>107</v>
      </c>
      <c r="B430" s="10"/>
      <c r="C430" s="11" t="str">
        <f>IF(C429="*",C429,"")</f>
        <v/>
      </c>
      <c r="D430" s="12"/>
      <c r="E430" s="13" t="str">
        <f t="shared" ref="E430:G432" si="134">E429</f>
        <v>COMNGA</v>
      </c>
      <c r="F430" s="13" t="str">
        <f t="shared" si="134"/>
        <v>COMWAROldSHEUE</v>
      </c>
      <c r="G430" s="13" t="str">
        <f t="shared" si="134"/>
        <v>COMWAROldSHEUE</v>
      </c>
      <c r="H430" s="14">
        <v>2025</v>
      </c>
      <c r="I430" s="14" t="str">
        <f>I429</f>
        <v>LO</v>
      </c>
      <c r="J430" s="14"/>
      <c r="K430" s="15">
        <f>-ROUNDDOWN(SUMIFS('COM RESID'!$O:$O,'COM RESID'!$H:$H,$E430,'COM RESID'!$I:$I,$F430)/SUMIFS('COM RESID'!$O:$O,'COM RESID'!$I:$I,$F430),3)*O430</f>
        <v>-0.67359999999999998</v>
      </c>
      <c r="L430" s="14"/>
      <c r="M430" s="14"/>
      <c r="N430" s="10"/>
      <c r="O430" s="20">
        <v>0.8</v>
      </c>
      <c r="Q430" s="11" t="str">
        <f t="shared" si="120"/>
        <v/>
      </c>
      <c r="R430" s="12"/>
      <c r="S430" s="13" t="str">
        <f t="shared" si="122"/>
        <v>COMNGA</v>
      </c>
      <c r="T430" s="13" t="str">
        <f t="shared" si="123"/>
        <v>COMWAROldSHEUE</v>
      </c>
      <c r="U430" s="13" t="str">
        <f t="shared" si="124"/>
        <v>COMWAROldSHEUE</v>
      </c>
      <c r="V430" s="14">
        <v>2025</v>
      </c>
      <c r="W430" s="14" t="str">
        <f>W429</f>
        <v>UP</v>
      </c>
      <c r="X430" s="14"/>
      <c r="Y430" s="15">
        <f>-ROUNDUP(MIN(SUMIFS('COM RESID'!$O:$O,'COM RESID'!$H:$H,$E430,'COM RESID'!$I:$I,$F430)/SUMIFS('COM RESID'!$O:$O,'COM RESID'!$I:$I,$F430)*AC430,1),3)</f>
        <v>-1</v>
      </c>
      <c r="Z430" s="14"/>
      <c r="AA430" s="14"/>
      <c r="AB430" s="10"/>
      <c r="AC430" s="20">
        <f>IF(S430="COMELC",IF(SUMIFS('COM RESID'!$O:$O,'COM RESID'!$H:$H,$E430,'COM RESID'!$I:$I,$F430)/SUMIFS('COM RESID'!$O:$O,'COM RESID'!$I:$I,$F430)*1.2&lt;0.25,0.25/(SUMIFS('COM RESID'!$O:$O,'COM RESID'!$H:$H,$E430,'COM RESID'!$I:$I,$F430)/SUMIFS('COM RESID'!$O:$O,'COM RESID'!$I:$I,$F430)),1.2),IF(ISNUMBER(SEARCH("WHEUE",T430)),IF(OR(S430="COMNGA",S430="COMFOI"),1,1.2),1.2))</f>
        <v>1.2</v>
      </c>
    </row>
    <row r="431" spans="1:29" x14ac:dyDescent="0.25">
      <c r="A431" s="10">
        <f>A430</f>
        <v>107</v>
      </c>
      <c r="B431" s="10"/>
      <c r="C431" s="11" t="str">
        <f>IF(C430="*",C430,"")</f>
        <v/>
      </c>
      <c r="D431" s="12"/>
      <c r="E431" s="13" t="str">
        <f t="shared" si="134"/>
        <v>COMNGA</v>
      </c>
      <c r="F431" s="13" t="str">
        <f t="shared" si="134"/>
        <v>COMWAROldSHEUE</v>
      </c>
      <c r="G431" s="13" t="str">
        <f t="shared" si="134"/>
        <v>COMWAROldSHEUE</v>
      </c>
      <c r="H431" s="14">
        <v>2030</v>
      </c>
      <c r="I431" s="14" t="str">
        <f>I430</f>
        <v>LO</v>
      </c>
      <c r="J431" s="14"/>
      <c r="K431" s="15">
        <f>-ROUNDDOWN(SUMIFS('COM RESID'!$O:$O,'COM RESID'!$H:$H,$E431,'COM RESID'!$I:$I,$F431)/SUMIFS('COM RESID'!$O:$O,'COM RESID'!$I:$I,$F431),3)*O431</f>
        <v>-0.16839999999999999</v>
      </c>
      <c r="L431" s="14"/>
      <c r="M431" s="14"/>
      <c r="N431" s="10"/>
      <c r="O431" s="20">
        <v>0.2</v>
      </c>
      <c r="Q431" s="11" t="str">
        <f t="shared" si="120"/>
        <v/>
      </c>
      <c r="R431" s="12"/>
      <c r="S431" s="13" t="str">
        <f t="shared" si="122"/>
        <v>COMNGA</v>
      </c>
      <c r="T431" s="13" t="str">
        <f t="shared" si="123"/>
        <v>COMWAROldSHEUE</v>
      </c>
      <c r="U431" s="13" t="str">
        <f t="shared" si="124"/>
        <v>COMWAROldSHEUE</v>
      </c>
      <c r="V431" s="14">
        <v>2030</v>
      </c>
      <c r="W431" s="14" t="str">
        <f>W430</f>
        <v>UP</v>
      </c>
      <c r="X431" s="14"/>
      <c r="Y431" s="15">
        <f>-ROUNDUP(MIN(SUMIFS('COM RESID'!$O:$O,'COM RESID'!$H:$H,$E431,'COM RESID'!$I:$I,$F431)/SUMIFS('COM RESID'!$O:$O,'COM RESID'!$I:$I,$F431)*AC431,1),3)</f>
        <v>-1</v>
      </c>
      <c r="Z431" s="14"/>
      <c r="AA431" s="14"/>
      <c r="AB431" s="10"/>
      <c r="AC431" s="20">
        <f>IF(S431="COMELC",IF(SUMIFS('COM RESID'!$O:$O,'COM RESID'!$H:$H,$E431,'COM RESID'!$I:$I,$F431)/SUMIFS('COM RESID'!$O:$O,'COM RESID'!$I:$I,$F431)*1.5&lt;0.5,0.5/(SUMIFS('COM RESID'!$O:$O,'COM RESID'!$H:$H,$E431,'COM RESID'!$I:$I,$F431)/SUMIFS('COM RESID'!$O:$O,'COM RESID'!$I:$I,$F431)),1.5),IF(ISNUMBER(SEARCH("WHEUE",T430)),IF(OR(S430="COMNGA",S430="COMFOI"),0.9,1.5),1.5))</f>
        <v>1.5</v>
      </c>
    </row>
    <row r="432" spans="1:29" x14ac:dyDescent="0.25">
      <c r="A432" s="26">
        <f>A431</f>
        <v>107</v>
      </c>
      <c r="B432" s="26"/>
      <c r="C432" s="21" t="str">
        <f>IF(C431="*",C431,"")</f>
        <v/>
      </c>
      <c r="D432" s="22"/>
      <c r="E432" s="23" t="str">
        <f t="shared" si="134"/>
        <v>COMNGA</v>
      </c>
      <c r="F432" s="23" t="str">
        <f t="shared" si="134"/>
        <v>COMWAROldSHEUE</v>
      </c>
      <c r="G432" s="23" t="str">
        <f t="shared" si="134"/>
        <v>COMWAROldSHEUE</v>
      </c>
      <c r="H432" s="24">
        <v>2050</v>
      </c>
      <c r="I432" s="24" t="str">
        <f>I431</f>
        <v>LO</v>
      </c>
      <c r="J432" s="24"/>
      <c r="K432" s="25">
        <f>-ROUNDDOWN(SUMIFS('COM RESID'!$O:$O,'COM RESID'!$H:$H,$E432,'COM RESID'!$I:$I,$F432)/SUMIFS('COM RESID'!$O:$O,'COM RESID'!$I:$I,$F432),3)*O432</f>
        <v>0</v>
      </c>
      <c r="L432" s="24"/>
      <c r="M432" s="24"/>
      <c r="N432" s="26"/>
      <c r="O432" s="27">
        <v>0</v>
      </c>
      <c r="Q432" s="21" t="str">
        <f t="shared" si="120"/>
        <v/>
      </c>
      <c r="R432" s="22"/>
      <c r="S432" s="23" t="str">
        <f t="shared" si="122"/>
        <v>COMNGA</v>
      </c>
      <c r="T432" s="23" t="str">
        <f t="shared" si="123"/>
        <v>COMWAROldSHEUE</v>
      </c>
      <c r="U432" s="23" t="str">
        <f t="shared" si="124"/>
        <v>COMWAROldSHEUE</v>
      </c>
      <c r="V432" s="24">
        <v>2050</v>
      </c>
      <c r="W432" s="24" t="str">
        <f>W431</f>
        <v>UP</v>
      </c>
      <c r="X432" s="24"/>
      <c r="Y432" s="25">
        <f>-ROUNDUP(MIN(SUMIFS('COM RESID'!$O:$O,'COM RESID'!$H:$H,$E432,'COM RESID'!$I:$I,$F432)/SUMIFS('COM RESID'!$O:$O,'COM RESID'!$I:$I,$F432)*AC432,1),3)</f>
        <v>-1</v>
      </c>
      <c r="Z432" s="24"/>
      <c r="AA432" s="24"/>
      <c r="AB432" s="26"/>
      <c r="AC432" s="27">
        <f>IF(S432="COMELC",IF(SUMIFS('COM RESID'!$O:$O,'COM RESID'!$H:$H,$E432,'COM RESID'!$I:$I,$F432)/SUMIFS('COM RESID'!$O:$O,'COM RESID'!$I:$I,$F432)*3&lt;1,1/(SUMIFS('COM RESID'!$O:$O,'COM RESID'!$H:$H,$E432,'COM RESID'!$I:$I,$F432)/SUMIFS('COM RESID'!$O:$O,'COM RESID'!$I:$I,$F432)),3),IF(ISNUMBER(SEARCH("WHEUE",T430)),IF(OR(S430="COMNGA",S430="COMFOI"),0.75,3),3))</f>
        <v>3</v>
      </c>
    </row>
    <row r="433" spans="1:29" x14ac:dyDescent="0.25">
      <c r="A433" s="19">
        <f>A429+1</f>
        <v>108</v>
      </c>
      <c r="B433" s="10"/>
      <c r="C433" s="11" t="str">
        <f>IF(E433="","",IF(_xlfn.XLOOKUP($A433,Selected_constraint_UC!$A:$A,Selected_constraint_UC!$D:$D)=1,"*",IF(SUMIFS('COM TECH'!$N:$N,'COM TECH'!$K:$K,E433,'COM TECH'!$L:$L,F433)=0,"*",IF(SUMIFS('COM RESID'!$O:$O,'COM RESID'!$H:$H,$E433,'COM RESID'!$I:$I,$F433)=0,"*","UC_MarketShare_"&amp;LEFT(F433,LEN(F433)-3)&amp;"_"&amp;RIGHT(E433,3)&amp;"_MIN"))))</f>
        <v>UC_MarketShare_COMWAROldSH_FOI_MIN</v>
      </c>
      <c r="D433" s="12"/>
      <c r="E433" s="13" t="str">
        <f>_xlfn.XLOOKUP($A433,Selected_constraint_UC!$A:$A,Selected_constraint_UC!$B:$B)</f>
        <v>COMFOI</v>
      </c>
      <c r="F433" s="13" t="str">
        <f>_xlfn.XLOOKUP($A433,Selected_constraint_UC!$A:$A,Selected_constraint_UC!$C:$C)</f>
        <v>COMWAROldSHEUE</v>
      </c>
      <c r="G433" s="13" t="str">
        <f>F433</f>
        <v>COMWAROldSHEUE</v>
      </c>
      <c r="H433" s="14">
        <v>2019</v>
      </c>
      <c r="I433" s="14" t="s">
        <v>3848</v>
      </c>
      <c r="J433" s="14">
        <v>1</v>
      </c>
      <c r="K433" s="15">
        <f>-ROUNDDOWN(SUMIFS('COM RESID'!$O:$O,'COM RESID'!$H:$H,$E433,'COM RESID'!$I:$I,$F433)/SUMIFS('COM RESID'!$O:$O,'COM RESID'!$I:$I,$F433),3)*O433</f>
        <v>-6.1739999999999996E-2</v>
      </c>
      <c r="L433" s="14">
        <v>0</v>
      </c>
      <c r="M433" s="14">
        <v>5</v>
      </c>
      <c r="N433" s="10"/>
      <c r="O433" s="20">
        <v>0.98</v>
      </c>
      <c r="Q433" s="11" t="str">
        <f t="shared" si="120"/>
        <v>UC_MarketShare_COMWAROldSH_FOI_MAX</v>
      </c>
      <c r="R433" s="12"/>
      <c r="S433" s="13" t="str">
        <f t="shared" si="122"/>
        <v>COMFOI</v>
      </c>
      <c r="T433" s="13" t="str">
        <f t="shared" si="123"/>
        <v>COMWAROldSHEUE</v>
      </c>
      <c r="U433" s="13" t="str">
        <f t="shared" si="124"/>
        <v>COMWAROldSHEUE</v>
      </c>
      <c r="V433" s="14">
        <v>2019</v>
      </c>
      <c r="W433" s="14" t="s">
        <v>3849</v>
      </c>
      <c r="X433" s="14">
        <v>1</v>
      </c>
      <c r="Y433" s="15">
        <f>-ROUNDUP(MIN(SUMIFS('COM RESID'!$O:$O,'COM RESID'!$H:$H,$E433,'COM RESID'!$I:$I,$F433)/SUMIFS('COM RESID'!$O:$O,'COM RESID'!$I:$I,$F433)*AC433,1),3)</f>
        <v>-6.5000000000000002E-2</v>
      </c>
      <c r="Z433" s="14">
        <v>0</v>
      </c>
      <c r="AA433" s="14">
        <v>5</v>
      </c>
      <c r="AB433" s="10"/>
      <c r="AC433" s="20">
        <v>1.02</v>
      </c>
    </row>
    <row r="434" spans="1:29" x14ac:dyDescent="0.25">
      <c r="A434" s="10">
        <f>A433</f>
        <v>108</v>
      </c>
      <c r="B434" s="10"/>
      <c r="C434" s="11" t="str">
        <f>IF(C433="*",C433,"")</f>
        <v/>
      </c>
      <c r="D434" s="12"/>
      <c r="E434" s="13" t="str">
        <f t="shared" ref="E434:G436" si="135">E433</f>
        <v>COMFOI</v>
      </c>
      <c r="F434" s="13" t="str">
        <f t="shared" si="135"/>
        <v>COMWAROldSHEUE</v>
      </c>
      <c r="G434" s="13" t="str">
        <f t="shared" si="135"/>
        <v>COMWAROldSHEUE</v>
      </c>
      <c r="H434" s="14">
        <v>2025</v>
      </c>
      <c r="I434" s="14" t="str">
        <f>I433</f>
        <v>LO</v>
      </c>
      <c r="J434" s="14"/>
      <c r="K434" s="15">
        <f>-ROUNDDOWN(SUMIFS('COM RESID'!$O:$O,'COM RESID'!$H:$H,$E434,'COM RESID'!$I:$I,$F434)/SUMIFS('COM RESID'!$O:$O,'COM RESID'!$I:$I,$F434),3)*O434</f>
        <v>-5.04E-2</v>
      </c>
      <c r="L434" s="14"/>
      <c r="M434" s="14"/>
      <c r="N434" s="10"/>
      <c r="O434" s="20">
        <v>0.8</v>
      </c>
      <c r="Q434" s="11" t="str">
        <f t="shared" si="120"/>
        <v/>
      </c>
      <c r="R434" s="12"/>
      <c r="S434" s="13" t="str">
        <f t="shared" si="122"/>
        <v>COMFOI</v>
      </c>
      <c r="T434" s="13" t="str">
        <f t="shared" si="123"/>
        <v>COMWAROldSHEUE</v>
      </c>
      <c r="U434" s="13" t="str">
        <f t="shared" si="124"/>
        <v>COMWAROldSHEUE</v>
      </c>
      <c r="V434" s="14">
        <v>2025</v>
      </c>
      <c r="W434" s="14" t="str">
        <f>W433</f>
        <v>UP</v>
      </c>
      <c r="X434" s="14"/>
      <c r="Y434" s="15">
        <f>-ROUNDUP(MIN(SUMIFS('COM RESID'!$O:$O,'COM RESID'!$H:$H,$E434,'COM RESID'!$I:$I,$F434)/SUMIFS('COM RESID'!$O:$O,'COM RESID'!$I:$I,$F434)*AC434,1),3)</f>
        <v>-7.6999999999999999E-2</v>
      </c>
      <c r="Z434" s="14"/>
      <c r="AA434" s="14"/>
      <c r="AB434" s="10"/>
      <c r="AC434" s="20">
        <f>IF(S434="COMELC",IF(SUMIFS('COM RESID'!$O:$O,'COM RESID'!$H:$H,$E434,'COM RESID'!$I:$I,$F434)/SUMIFS('COM RESID'!$O:$O,'COM RESID'!$I:$I,$F434)*1.2&lt;0.25,0.25/(SUMIFS('COM RESID'!$O:$O,'COM RESID'!$H:$H,$E434,'COM RESID'!$I:$I,$F434)/SUMIFS('COM RESID'!$O:$O,'COM RESID'!$I:$I,$F434)),1.2),IF(ISNUMBER(SEARCH("WHEUE",T434)),IF(OR(S434="COMNGA",S434="COMFOI"),1,1.2),1.2))</f>
        <v>1.2</v>
      </c>
    </row>
    <row r="435" spans="1:29" x14ac:dyDescent="0.25">
      <c r="A435" s="10">
        <f>A434</f>
        <v>108</v>
      </c>
      <c r="B435" s="10"/>
      <c r="C435" s="11" t="str">
        <f>IF(C434="*",C434,"")</f>
        <v/>
      </c>
      <c r="D435" s="12"/>
      <c r="E435" s="13" t="str">
        <f t="shared" si="135"/>
        <v>COMFOI</v>
      </c>
      <c r="F435" s="13" t="str">
        <f t="shared" si="135"/>
        <v>COMWAROldSHEUE</v>
      </c>
      <c r="G435" s="13" t="str">
        <f t="shared" si="135"/>
        <v>COMWAROldSHEUE</v>
      </c>
      <c r="H435" s="14">
        <v>2030</v>
      </c>
      <c r="I435" s="14" t="str">
        <f>I434</f>
        <v>LO</v>
      </c>
      <c r="J435" s="14"/>
      <c r="K435" s="15">
        <f>-ROUNDDOWN(SUMIFS('COM RESID'!$O:$O,'COM RESID'!$H:$H,$E435,'COM RESID'!$I:$I,$F435)/SUMIFS('COM RESID'!$O:$O,'COM RESID'!$I:$I,$F435),3)*O435</f>
        <v>-1.26E-2</v>
      </c>
      <c r="L435" s="14"/>
      <c r="M435" s="14"/>
      <c r="N435" s="10"/>
      <c r="O435" s="20">
        <v>0.2</v>
      </c>
      <c r="Q435" s="11" t="str">
        <f t="shared" si="120"/>
        <v/>
      </c>
      <c r="R435" s="12"/>
      <c r="S435" s="13" t="str">
        <f t="shared" si="122"/>
        <v>COMFOI</v>
      </c>
      <c r="T435" s="13" t="str">
        <f t="shared" si="123"/>
        <v>COMWAROldSHEUE</v>
      </c>
      <c r="U435" s="13" t="str">
        <f t="shared" si="124"/>
        <v>COMWAROldSHEUE</v>
      </c>
      <c r="V435" s="14">
        <v>2030</v>
      </c>
      <c r="W435" s="14" t="str">
        <f>W434</f>
        <v>UP</v>
      </c>
      <c r="X435" s="14"/>
      <c r="Y435" s="15">
        <f>-ROUNDUP(MIN(SUMIFS('COM RESID'!$O:$O,'COM RESID'!$H:$H,$E435,'COM RESID'!$I:$I,$F435)/SUMIFS('COM RESID'!$O:$O,'COM RESID'!$I:$I,$F435)*AC435,1),3)</f>
        <v>-9.6000000000000002E-2</v>
      </c>
      <c r="Z435" s="14"/>
      <c r="AA435" s="14"/>
      <c r="AB435" s="10"/>
      <c r="AC435" s="20">
        <f>IF(S435="COMELC",IF(SUMIFS('COM RESID'!$O:$O,'COM RESID'!$H:$H,$E435,'COM RESID'!$I:$I,$F435)/SUMIFS('COM RESID'!$O:$O,'COM RESID'!$I:$I,$F435)*1.5&lt;0.5,0.5/(SUMIFS('COM RESID'!$O:$O,'COM RESID'!$H:$H,$E435,'COM RESID'!$I:$I,$F435)/SUMIFS('COM RESID'!$O:$O,'COM RESID'!$I:$I,$F435)),1.5),IF(ISNUMBER(SEARCH("WHEUE",T434)),IF(OR(S434="COMNGA",S434="COMFOI"),0.9,1.5),1.5))</f>
        <v>1.5</v>
      </c>
    </row>
    <row r="436" spans="1:29" x14ac:dyDescent="0.25">
      <c r="A436" s="26">
        <f>A435</f>
        <v>108</v>
      </c>
      <c r="B436" s="26"/>
      <c r="C436" s="21" t="str">
        <f>IF(C435="*",C435,"")</f>
        <v/>
      </c>
      <c r="D436" s="22"/>
      <c r="E436" s="23" t="str">
        <f t="shared" si="135"/>
        <v>COMFOI</v>
      </c>
      <c r="F436" s="23" t="str">
        <f t="shared" si="135"/>
        <v>COMWAROldSHEUE</v>
      </c>
      <c r="G436" s="23" t="str">
        <f t="shared" si="135"/>
        <v>COMWAROldSHEUE</v>
      </c>
      <c r="H436" s="24">
        <v>2050</v>
      </c>
      <c r="I436" s="24" t="str">
        <f>I435</f>
        <v>LO</v>
      </c>
      <c r="J436" s="24"/>
      <c r="K436" s="25">
        <f>-ROUNDDOWN(SUMIFS('COM RESID'!$O:$O,'COM RESID'!$H:$H,$E436,'COM RESID'!$I:$I,$F436)/SUMIFS('COM RESID'!$O:$O,'COM RESID'!$I:$I,$F436),3)*O436</f>
        <v>0</v>
      </c>
      <c r="L436" s="24"/>
      <c r="M436" s="24"/>
      <c r="N436" s="26"/>
      <c r="O436" s="27">
        <v>0</v>
      </c>
      <c r="Q436" s="21" t="str">
        <f t="shared" si="120"/>
        <v/>
      </c>
      <c r="R436" s="22"/>
      <c r="S436" s="23" t="str">
        <f t="shared" si="122"/>
        <v>COMFOI</v>
      </c>
      <c r="T436" s="23" t="str">
        <f t="shared" si="123"/>
        <v>COMWAROldSHEUE</v>
      </c>
      <c r="U436" s="23" t="str">
        <f t="shared" si="124"/>
        <v>COMWAROldSHEUE</v>
      </c>
      <c r="V436" s="24">
        <v>2050</v>
      </c>
      <c r="W436" s="24" t="str">
        <f>W435</f>
        <v>UP</v>
      </c>
      <c r="X436" s="24"/>
      <c r="Y436" s="25">
        <f>-ROUNDUP(MIN(SUMIFS('COM RESID'!$O:$O,'COM RESID'!$H:$H,$E436,'COM RESID'!$I:$I,$F436)/SUMIFS('COM RESID'!$O:$O,'COM RESID'!$I:$I,$F436)*AC436,1),3)</f>
        <v>-0.191</v>
      </c>
      <c r="Z436" s="24"/>
      <c r="AA436" s="24"/>
      <c r="AB436" s="26"/>
      <c r="AC436" s="27">
        <f>IF(S436="COMELC",IF(SUMIFS('COM RESID'!$O:$O,'COM RESID'!$H:$H,$E436,'COM RESID'!$I:$I,$F436)/SUMIFS('COM RESID'!$O:$O,'COM RESID'!$I:$I,$F436)*3&lt;1,1/(SUMIFS('COM RESID'!$O:$O,'COM RESID'!$H:$H,$E436,'COM RESID'!$I:$I,$F436)/SUMIFS('COM RESID'!$O:$O,'COM RESID'!$I:$I,$F436)),3),IF(ISNUMBER(SEARCH("WHEUE",T434)),IF(OR(S434="COMNGA",S434="COMFOI"),0.75,3),3))</f>
        <v>3</v>
      </c>
    </row>
    <row r="437" spans="1:29" x14ac:dyDescent="0.25">
      <c r="A437" s="19">
        <f>A433+1</f>
        <v>109</v>
      </c>
      <c r="B437" s="10"/>
      <c r="C437" s="11" t="str">
        <f>IF(E437="","",IF(_xlfn.XLOOKUP($A437,Selected_constraint_UC!$A:$A,Selected_constraint_UC!$D:$D)=1,"*",IF(SUMIFS('COM TECH'!$N:$N,'COM TECH'!$K:$K,E437,'COM TECH'!$L:$L,F437)=0,"*",IF(SUMIFS('COM RESID'!$O:$O,'COM RESID'!$H:$H,$E437,'COM RESID'!$I:$I,$F437)=0,"*","UC_MarketShare_"&amp;LEFT(F437,LEN(F437)-3)&amp;"_"&amp;RIGHT(E437,3)&amp;"_MIN"))))</f>
        <v>*</v>
      </c>
      <c r="D437" s="12"/>
      <c r="E437" s="13" t="str">
        <f>_xlfn.XLOOKUP($A437,Selected_constraint_UC!$A:$A,Selected_constraint_UC!$B:$B)</f>
        <v>COMLPG</v>
      </c>
      <c r="F437" s="13" t="str">
        <f>_xlfn.XLOOKUP($A437,Selected_constraint_UC!$A:$A,Selected_constraint_UC!$C:$C)</f>
        <v>COMWAROldSHEUE</v>
      </c>
      <c r="G437" s="13" t="str">
        <f>F437</f>
        <v>COMWAROldSHEUE</v>
      </c>
      <c r="H437" s="14">
        <v>2019</v>
      </c>
      <c r="I437" s="14" t="s">
        <v>3848</v>
      </c>
      <c r="J437" s="14">
        <v>1</v>
      </c>
      <c r="K437" s="15">
        <f>-ROUNDDOWN(SUMIFS('COM RESID'!$O:$O,'COM RESID'!$H:$H,$E437,'COM RESID'!$I:$I,$F437)/SUMIFS('COM RESID'!$O:$O,'COM RESID'!$I:$I,$F437),3)*O437</f>
        <v>0</v>
      </c>
      <c r="L437" s="14">
        <v>0</v>
      </c>
      <c r="M437" s="14">
        <v>5</v>
      </c>
      <c r="N437" s="10"/>
      <c r="O437" s="20">
        <v>0.98</v>
      </c>
      <c r="Q437" s="11" t="str">
        <f t="shared" si="120"/>
        <v>*</v>
      </c>
      <c r="R437" s="12"/>
      <c r="S437" s="13" t="str">
        <f t="shared" si="122"/>
        <v>COMLPG</v>
      </c>
      <c r="T437" s="13" t="str">
        <f t="shared" si="123"/>
        <v>COMWAROldSHEUE</v>
      </c>
      <c r="U437" s="13" t="str">
        <f t="shared" si="124"/>
        <v>COMWAROldSHEUE</v>
      </c>
      <c r="V437" s="14">
        <v>2019</v>
      </c>
      <c r="W437" s="14" t="s">
        <v>3849</v>
      </c>
      <c r="X437" s="14">
        <v>1</v>
      </c>
      <c r="Y437" s="15">
        <f>-ROUNDUP(MIN(SUMIFS('COM RESID'!$O:$O,'COM RESID'!$H:$H,$E437,'COM RESID'!$I:$I,$F437)/SUMIFS('COM RESID'!$O:$O,'COM RESID'!$I:$I,$F437)*AC437,1),3)</f>
        <v>0</v>
      </c>
      <c r="Z437" s="14">
        <v>0</v>
      </c>
      <c r="AA437" s="14">
        <v>5</v>
      </c>
      <c r="AB437" s="10"/>
      <c r="AC437" s="20">
        <v>1.02</v>
      </c>
    </row>
    <row r="438" spans="1:29" x14ac:dyDescent="0.25">
      <c r="A438" s="10">
        <f>A437</f>
        <v>109</v>
      </c>
      <c r="B438" s="10"/>
      <c r="C438" s="11" t="str">
        <f>IF(C437="*",C437,"")</f>
        <v>*</v>
      </c>
      <c r="D438" s="12"/>
      <c r="E438" s="13" t="str">
        <f t="shared" ref="E438:G440" si="136">E437</f>
        <v>COMLPG</v>
      </c>
      <c r="F438" s="13" t="str">
        <f t="shared" si="136"/>
        <v>COMWAROldSHEUE</v>
      </c>
      <c r="G438" s="13" t="str">
        <f t="shared" si="136"/>
        <v>COMWAROldSHEUE</v>
      </c>
      <c r="H438" s="14">
        <v>2025</v>
      </c>
      <c r="I438" s="14" t="str">
        <f>I437</f>
        <v>LO</v>
      </c>
      <c r="J438" s="14"/>
      <c r="K438" s="15">
        <f>-ROUNDDOWN(SUMIFS('COM RESID'!$O:$O,'COM RESID'!$H:$H,$E438,'COM RESID'!$I:$I,$F438)/SUMIFS('COM RESID'!$O:$O,'COM RESID'!$I:$I,$F438),3)*O438</f>
        <v>0</v>
      </c>
      <c r="L438" s="14"/>
      <c r="M438" s="14"/>
      <c r="N438" s="10"/>
      <c r="O438" s="20">
        <v>0.8</v>
      </c>
      <c r="Q438" s="11" t="str">
        <f t="shared" si="120"/>
        <v>*</v>
      </c>
      <c r="R438" s="12"/>
      <c r="S438" s="13" t="str">
        <f t="shared" si="122"/>
        <v>COMLPG</v>
      </c>
      <c r="T438" s="13" t="str">
        <f t="shared" si="123"/>
        <v>COMWAROldSHEUE</v>
      </c>
      <c r="U438" s="13" t="str">
        <f t="shared" si="124"/>
        <v>COMWAROldSHEUE</v>
      </c>
      <c r="V438" s="14">
        <v>2025</v>
      </c>
      <c r="W438" s="14" t="str">
        <f>W437</f>
        <v>UP</v>
      </c>
      <c r="X438" s="14"/>
      <c r="Y438" s="15">
        <f>-ROUNDUP(MIN(SUMIFS('COM RESID'!$O:$O,'COM RESID'!$H:$H,$E438,'COM RESID'!$I:$I,$F438)/SUMIFS('COM RESID'!$O:$O,'COM RESID'!$I:$I,$F438)*AC438,1),3)</f>
        <v>0</v>
      </c>
      <c r="Z438" s="14"/>
      <c r="AA438" s="14"/>
      <c r="AB438" s="10"/>
      <c r="AC438" s="20">
        <f>IF(S438="COMELC",IF(SUMIFS('COM RESID'!$O:$O,'COM RESID'!$H:$H,$E438,'COM RESID'!$I:$I,$F438)/SUMIFS('COM RESID'!$O:$O,'COM RESID'!$I:$I,$F438)*1.2&lt;0.25,0.25/(SUMIFS('COM RESID'!$O:$O,'COM RESID'!$H:$H,$E438,'COM RESID'!$I:$I,$F438)/SUMIFS('COM RESID'!$O:$O,'COM RESID'!$I:$I,$F438)),1.2),IF(ISNUMBER(SEARCH("WHEUE",T438)),IF(OR(S438="COMNGA",S438="COMFOI"),1,1.2),1.2))</f>
        <v>1.2</v>
      </c>
    </row>
    <row r="439" spans="1:29" x14ac:dyDescent="0.25">
      <c r="A439" s="10">
        <f>A438</f>
        <v>109</v>
      </c>
      <c r="B439" s="10"/>
      <c r="C439" s="11" t="str">
        <f>IF(C438="*",C438,"")</f>
        <v>*</v>
      </c>
      <c r="D439" s="12"/>
      <c r="E439" s="13" t="str">
        <f t="shared" si="136"/>
        <v>COMLPG</v>
      </c>
      <c r="F439" s="13" t="str">
        <f t="shared" si="136"/>
        <v>COMWAROldSHEUE</v>
      </c>
      <c r="G439" s="13" t="str">
        <f t="shared" si="136"/>
        <v>COMWAROldSHEUE</v>
      </c>
      <c r="H439" s="14">
        <v>2030</v>
      </c>
      <c r="I439" s="14" t="str">
        <f>I438</f>
        <v>LO</v>
      </c>
      <c r="J439" s="14"/>
      <c r="K439" s="15">
        <f>-ROUNDDOWN(SUMIFS('COM RESID'!$O:$O,'COM RESID'!$H:$H,$E439,'COM RESID'!$I:$I,$F439)/SUMIFS('COM RESID'!$O:$O,'COM RESID'!$I:$I,$F439),3)*O439</f>
        <v>0</v>
      </c>
      <c r="L439" s="14"/>
      <c r="M439" s="14"/>
      <c r="N439" s="10"/>
      <c r="O439" s="20">
        <v>0.2</v>
      </c>
      <c r="Q439" s="11" t="str">
        <f t="shared" si="120"/>
        <v>*</v>
      </c>
      <c r="R439" s="12"/>
      <c r="S439" s="13" t="str">
        <f t="shared" si="122"/>
        <v>COMLPG</v>
      </c>
      <c r="T439" s="13" t="str">
        <f t="shared" si="123"/>
        <v>COMWAROldSHEUE</v>
      </c>
      <c r="U439" s="13" t="str">
        <f t="shared" si="124"/>
        <v>COMWAROldSHEUE</v>
      </c>
      <c r="V439" s="14">
        <v>2030</v>
      </c>
      <c r="W439" s="14" t="str">
        <f>W438</f>
        <v>UP</v>
      </c>
      <c r="X439" s="14"/>
      <c r="Y439" s="15">
        <f>-ROUNDUP(MIN(SUMIFS('COM RESID'!$O:$O,'COM RESID'!$H:$H,$E439,'COM RESID'!$I:$I,$F439)/SUMIFS('COM RESID'!$O:$O,'COM RESID'!$I:$I,$F439)*AC439,1),3)</f>
        <v>0</v>
      </c>
      <c r="Z439" s="14"/>
      <c r="AA439" s="14"/>
      <c r="AB439" s="10"/>
      <c r="AC439" s="20">
        <f>IF(S439="COMELC",IF(SUMIFS('COM RESID'!$O:$O,'COM RESID'!$H:$H,$E439,'COM RESID'!$I:$I,$F439)/SUMIFS('COM RESID'!$O:$O,'COM RESID'!$I:$I,$F439)*1.5&lt;0.5,0.5/(SUMIFS('COM RESID'!$O:$O,'COM RESID'!$H:$H,$E439,'COM RESID'!$I:$I,$F439)/SUMIFS('COM RESID'!$O:$O,'COM RESID'!$I:$I,$F439)),1.5),IF(ISNUMBER(SEARCH("WHEUE",T438)),IF(OR(S438="COMNGA",S438="COMFOI"),0.9,1.5),1.5))</f>
        <v>1.5</v>
      </c>
    </row>
    <row r="440" spans="1:29" x14ac:dyDescent="0.25">
      <c r="A440" s="26">
        <f>A439</f>
        <v>109</v>
      </c>
      <c r="B440" s="26"/>
      <c r="C440" s="21" t="str">
        <f>IF(C439="*",C439,"")</f>
        <v>*</v>
      </c>
      <c r="D440" s="22"/>
      <c r="E440" s="23" t="str">
        <f t="shared" si="136"/>
        <v>COMLPG</v>
      </c>
      <c r="F440" s="23" t="str">
        <f t="shared" si="136"/>
        <v>COMWAROldSHEUE</v>
      </c>
      <c r="G440" s="23" t="str">
        <f t="shared" si="136"/>
        <v>COMWAROldSHEUE</v>
      </c>
      <c r="H440" s="24">
        <v>2050</v>
      </c>
      <c r="I440" s="24" t="str">
        <f>I439</f>
        <v>LO</v>
      </c>
      <c r="J440" s="24"/>
      <c r="K440" s="25">
        <f>-ROUNDDOWN(SUMIFS('COM RESID'!$O:$O,'COM RESID'!$H:$H,$E440,'COM RESID'!$I:$I,$F440)/SUMIFS('COM RESID'!$O:$O,'COM RESID'!$I:$I,$F440),3)*O440</f>
        <v>0</v>
      </c>
      <c r="L440" s="24"/>
      <c r="M440" s="24"/>
      <c r="N440" s="26"/>
      <c r="O440" s="27">
        <v>0</v>
      </c>
      <c r="Q440" s="21" t="str">
        <f t="shared" si="120"/>
        <v>*</v>
      </c>
      <c r="R440" s="22"/>
      <c r="S440" s="23" t="str">
        <f t="shared" si="122"/>
        <v>COMLPG</v>
      </c>
      <c r="T440" s="23" t="str">
        <f t="shared" si="123"/>
        <v>COMWAROldSHEUE</v>
      </c>
      <c r="U440" s="23" t="str">
        <f t="shared" si="124"/>
        <v>COMWAROldSHEUE</v>
      </c>
      <c r="V440" s="24">
        <v>2050</v>
      </c>
      <c r="W440" s="24" t="str">
        <f>W439</f>
        <v>UP</v>
      </c>
      <c r="X440" s="24"/>
      <c r="Y440" s="25">
        <f>-ROUNDUP(MIN(SUMIFS('COM RESID'!$O:$O,'COM RESID'!$H:$H,$E440,'COM RESID'!$I:$I,$F440)/SUMIFS('COM RESID'!$O:$O,'COM RESID'!$I:$I,$F440)*AC440,1),3)</f>
        <v>0</v>
      </c>
      <c r="Z440" s="24"/>
      <c r="AA440" s="24"/>
      <c r="AB440" s="26"/>
      <c r="AC440" s="27">
        <f>IF(S440="COMELC",IF(SUMIFS('COM RESID'!$O:$O,'COM RESID'!$H:$H,$E440,'COM RESID'!$I:$I,$F440)/SUMIFS('COM RESID'!$O:$O,'COM RESID'!$I:$I,$F440)*3&lt;1,1/(SUMIFS('COM RESID'!$O:$O,'COM RESID'!$H:$H,$E440,'COM RESID'!$I:$I,$F440)/SUMIFS('COM RESID'!$O:$O,'COM RESID'!$I:$I,$F440)),3),IF(ISNUMBER(SEARCH("WHEUE",T438)),IF(OR(S438="COMNGA",S438="COMFOI"),0.75,3),3))</f>
        <v>3</v>
      </c>
    </row>
    <row r="441" spans="1:29" x14ac:dyDescent="0.25">
      <c r="A441" s="19">
        <f>A437+1</f>
        <v>110</v>
      </c>
      <c r="B441" s="10"/>
      <c r="C441" s="11" t="str">
        <f>IF(E441="","",IF(_xlfn.XLOOKUP($A441,Selected_constraint_UC!$A:$A,Selected_constraint_UC!$D:$D)=1,"*",IF(SUMIFS('COM TECH'!$N:$N,'COM TECH'!$K:$K,E441,'COM TECH'!$L:$L,F441)=0,"*",IF(SUMIFS('COM RESID'!$O:$O,'COM RESID'!$H:$H,$E441,'COM RESID'!$I:$I,$F441)=0,"*","UC_MarketShare_"&amp;LEFT(F441,LEN(F441)-3)&amp;"_"&amp;RIGHT(E441,3)&amp;"_MIN"))))</f>
        <v>*</v>
      </c>
      <c r="D441" s="12"/>
      <c r="E441" s="13" t="str">
        <f>_xlfn.XLOOKUP($A441,Selected_constraint_UC!$A:$A,Selected_constraint_UC!$B:$B)</f>
        <v>COMSTM</v>
      </c>
      <c r="F441" s="13" t="str">
        <f>_xlfn.XLOOKUP($A441,Selected_constraint_UC!$A:$A,Selected_constraint_UC!$C:$C)</f>
        <v>COMWAROldSHEUE</v>
      </c>
      <c r="G441" s="13" t="str">
        <f>F441</f>
        <v>COMWAROldSHEUE</v>
      </c>
      <c r="H441" s="14">
        <v>2019</v>
      </c>
      <c r="I441" s="14" t="s">
        <v>3848</v>
      </c>
      <c r="J441" s="14">
        <v>1</v>
      </c>
      <c r="K441" s="15">
        <f>-ROUNDDOWN(SUMIFS('COM RESID'!$O:$O,'COM RESID'!$H:$H,$E441,'COM RESID'!$I:$I,$F441)/SUMIFS('COM RESID'!$O:$O,'COM RESID'!$I:$I,$F441),3)*O441</f>
        <v>-2.2539999999999998E-2</v>
      </c>
      <c r="L441" s="14">
        <v>0</v>
      </c>
      <c r="M441" s="14">
        <v>5</v>
      </c>
      <c r="N441" s="10"/>
      <c r="O441" s="20">
        <v>0.98</v>
      </c>
      <c r="Q441" s="11" t="str">
        <f t="shared" si="120"/>
        <v>*</v>
      </c>
      <c r="R441" s="12"/>
      <c r="S441" s="13" t="str">
        <f t="shared" si="122"/>
        <v>COMSTM</v>
      </c>
      <c r="T441" s="13" t="str">
        <f t="shared" si="123"/>
        <v>COMWAROldSHEUE</v>
      </c>
      <c r="U441" s="13" t="str">
        <f t="shared" si="124"/>
        <v>COMWAROldSHEUE</v>
      </c>
      <c r="V441" s="14">
        <v>2019</v>
      </c>
      <c r="W441" s="14" t="s">
        <v>3849</v>
      </c>
      <c r="X441" s="14">
        <v>1</v>
      </c>
      <c r="Y441" s="15">
        <f>-ROUNDUP(MIN(SUMIFS('COM RESID'!$O:$O,'COM RESID'!$H:$H,$E441,'COM RESID'!$I:$I,$F441)/SUMIFS('COM RESID'!$O:$O,'COM RESID'!$I:$I,$F441)*AC441,1),3)</f>
        <v>-2.4E-2</v>
      </c>
      <c r="Z441" s="14">
        <v>0</v>
      </c>
      <c r="AA441" s="14">
        <v>5</v>
      </c>
      <c r="AB441" s="10"/>
      <c r="AC441" s="20">
        <v>1.02</v>
      </c>
    </row>
    <row r="442" spans="1:29" x14ac:dyDescent="0.25">
      <c r="A442" s="10">
        <f>A441</f>
        <v>110</v>
      </c>
      <c r="B442" s="10"/>
      <c r="C442" s="11" t="str">
        <f>IF(C441="*",C441,"")</f>
        <v>*</v>
      </c>
      <c r="D442" s="12"/>
      <c r="E442" s="13" t="str">
        <f t="shared" ref="E442:G444" si="137">E441</f>
        <v>COMSTM</v>
      </c>
      <c r="F442" s="13" t="str">
        <f t="shared" si="137"/>
        <v>COMWAROldSHEUE</v>
      </c>
      <c r="G442" s="13" t="str">
        <f t="shared" si="137"/>
        <v>COMWAROldSHEUE</v>
      </c>
      <c r="H442" s="14">
        <v>2025</v>
      </c>
      <c r="I442" s="14" t="str">
        <f>I441</f>
        <v>LO</v>
      </c>
      <c r="J442" s="14"/>
      <c r="K442" s="15">
        <f>-ROUNDDOWN(SUMIFS('COM RESID'!$O:$O,'COM RESID'!$H:$H,$E442,'COM RESID'!$I:$I,$F442)/SUMIFS('COM RESID'!$O:$O,'COM RESID'!$I:$I,$F442),3)*O442</f>
        <v>-1.84E-2</v>
      </c>
      <c r="L442" s="14"/>
      <c r="M442" s="14"/>
      <c r="N442" s="10"/>
      <c r="O442" s="20">
        <v>0.8</v>
      </c>
      <c r="Q442" s="11" t="str">
        <f t="shared" si="120"/>
        <v>*</v>
      </c>
      <c r="R442" s="12"/>
      <c r="S442" s="13" t="str">
        <f t="shared" si="122"/>
        <v>COMSTM</v>
      </c>
      <c r="T442" s="13" t="str">
        <f t="shared" si="123"/>
        <v>COMWAROldSHEUE</v>
      </c>
      <c r="U442" s="13" t="str">
        <f t="shared" si="124"/>
        <v>COMWAROldSHEUE</v>
      </c>
      <c r="V442" s="14">
        <v>2025</v>
      </c>
      <c r="W442" s="14" t="str">
        <f>W441</f>
        <v>UP</v>
      </c>
      <c r="X442" s="14"/>
      <c r="Y442" s="15">
        <f>-ROUNDUP(MIN(SUMIFS('COM RESID'!$O:$O,'COM RESID'!$H:$H,$E442,'COM RESID'!$I:$I,$F442)/SUMIFS('COM RESID'!$O:$O,'COM RESID'!$I:$I,$F442)*AC442,1),3)</f>
        <v>-2.8000000000000001E-2</v>
      </c>
      <c r="Z442" s="14"/>
      <c r="AA442" s="14"/>
      <c r="AB442" s="10"/>
      <c r="AC442" s="20">
        <f>IF(S442="COMELC",IF(SUMIFS('COM RESID'!$O:$O,'COM RESID'!$H:$H,$E442,'COM RESID'!$I:$I,$F442)/SUMIFS('COM RESID'!$O:$O,'COM RESID'!$I:$I,$F442)*1.2&lt;0.25,0.25/(SUMIFS('COM RESID'!$O:$O,'COM RESID'!$H:$H,$E442,'COM RESID'!$I:$I,$F442)/SUMIFS('COM RESID'!$O:$O,'COM RESID'!$I:$I,$F442)),1.2),IF(ISNUMBER(SEARCH("WHEUE",T442)),IF(OR(S442="COMNGA",S442="COMFOI"),1,1.2),1.2))</f>
        <v>1.2</v>
      </c>
    </row>
    <row r="443" spans="1:29" x14ac:dyDescent="0.25">
      <c r="A443" s="10">
        <f>A442</f>
        <v>110</v>
      </c>
      <c r="B443" s="10"/>
      <c r="C443" s="11" t="str">
        <f>IF(C442="*",C442,"")</f>
        <v>*</v>
      </c>
      <c r="D443" s="12"/>
      <c r="E443" s="13" t="str">
        <f t="shared" si="137"/>
        <v>COMSTM</v>
      </c>
      <c r="F443" s="13" t="str">
        <f t="shared" si="137"/>
        <v>COMWAROldSHEUE</v>
      </c>
      <c r="G443" s="13" t="str">
        <f t="shared" si="137"/>
        <v>COMWAROldSHEUE</v>
      </c>
      <c r="H443" s="14">
        <v>2030</v>
      </c>
      <c r="I443" s="14" t="str">
        <f>I442</f>
        <v>LO</v>
      </c>
      <c r="J443" s="14"/>
      <c r="K443" s="15">
        <f>-ROUNDDOWN(SUMIFS('COM RESID'!$O:$O,'COM RESID'!$H:$H,$E443,'COM RESID'!$I:$I,$F443)/SUMIFS('COM RESID'!$O:$O,'COM RESID'!$I:$I,$F443),3)*O443</f>
        <v>-4.5999999999999999E-3</v>
      </c>
      <c r="L443" s="14"/>
      <c r="M443" s="14"/>
      <c r="N443" s="10"/>
      <c r="O443" s="20">
        <v>0.2</v>
      </c>
      <c r="Q443" s="11" t="str">
        <f t="shared" si="120"/>
        <v>*</v>
      </c>
      <c r="R443" s="12"/>
      <c r="S443" s="13" t="str">
        <f t="shared" si="122"/>
        <v>COMSTM</v>
      </c>
      <c r="T443" s="13" t="str">
        <f t="shared" si="123"/>
        <v>COMWAROldSHEUE</v>
      </c>
      <c r="U443" s="13" t="str">
        <f t="shared" si="124"/>
        <v>COMWAROldSHEUE</v>
      </c>
      <c r="V443" s="14">
        <v>2030</v>
      </c>
      <c r="W443" s="14" t="str">
        <f>W442</f>
        <v>UP</v>
      </c>
      <c r="X443" s="14"/>
      <c r="Y443" s="15">
        <f>-ROUNDUP(MIN(SUMIFS('COM RESID'!$O:$O,'COM RESID'!$H:$H,$E443,'COM RESID'!$I:$I,$F443)/SUMIFS('COM RESID'!$O:$O,'COM RESID'!$I:$I,$F443)*AC443,1),3)</f>
        <v>-3.5000000000000003E-2</v>
      </c>
      <c r="Z443" s="14"/>
      <c r="AA443" s="14"/>
      <c r="AB443" s="10"/>
      <c r="AC443" s="20">
        <f>IF(S443="COMELC",IF(SUMIFS('COM RESID'!$O:$O,'COM RESID'!$H:$H,$E443,'COM RESID'!$I:$I,$F443)/SUMIFS('COM RESID'!$O:$O,'COM RESID'!$I:$I,$F443)*1.5&lt;0.5,0.5/(SUMIFS('COM RESID'!$O:$O,'COM RESID'!$H:$H,$E443,'COM RESID'!$I:$I,$F443)/SUMIFS('COM RESID'!$O:$O,'COM RESID'!$I:$I,$F443)),1.5),IF(ISNUMBER(SEARCH("WHEUE",T442)),IF(OR(S442="COMNGA",S442="COMFOI"),0.9,1.5),1.5))</f>
        <v>1.5</v>
      </c>
    </row>
    <row r="444" spans="1:29" x14ac:dyDescent="0.25">
      <c r="A444" s="26">
        <f>A443</f>
        <v>110</v>
      </c>
      <c r="B444" s="26"/>
      <c r="C444" s="21" t="str">
        <f>IF(C443="*",C443,"")</f>
        <v>*</v>
      </c>
      <c r="D444" s="22"/>
      <c r="E444" s="23" t="str">
        <f t="shared" si="137"/>
        <v>COMSTM</v>
      </c>
      <c r="F444" s="23" t="str">
        <f t="shared" si="137"/>
        <v>COMWAROldSHEUE</v>
      </c>
      <c r="G444" s="23" t="str">
        <f t="shared" si="137"/>
        <v>COMWAROldSHEUE</v>
      </c>
      <c r="H444" s="24">
        <v>2050</v>
      </c>
      <c r="I444" s="24" t="str">
        <f>I443</f>
        <v>LO</v>
      </c>
      <c r="J444" s="24"/>
      <c r="K444" s="25">
        <f>-ROUNDDOWN(SUMIFS('COM RESID'!$O:$O,'COM RESID'!$H:$H,$E444,'COM RESID'!$I:$I,$F444)/SUMIFS('COM RESID'!$O:$O,'COM RESID'!$I:$I,$F444),3)*O444</f>
        <v>0</v>
      </c>
      <c r="L444" s="24"/>
      <c r="M444" s="24"/>
      <c r="N444" s="26"/>
      <c r="O444" s="27">
        <v>0</v>
      </c>
      <c r="Q444" s="21" t="str">
        <f t="shared" si="120"/>
        <v>*</v>
      </c>
      <c r="R444" s="22"/>
      <c r="S444" s="23" t="str">
        <f t="shared" si="122"/>
        <v>COMSTM</v>
      </c>
      <c r="T444" s="23" t="str">
        <f t="shared" si="123"/>
        <v>COMWAROldSHEUE</v>
      </c>
      <c r="U444" s="23" t="str">
        <f t="shared" si="124"/>
        <v>COMWAROldSHEUE</v>
      </c>
      <c r="V444" s="24">
        <v>2050</v>
      </c>
      <c r="W444" s="24" t="str">
        <f>W443</f>
        <v>UP</v>
      </c>
      <c r="X444" s="24"/>
      <c r="Y444" s="25">
        <f>-ROUNDUP(MIN(SUMIFS('COM RESID'!$O:$O,'COM RESID'!$H:$H,$E444,'COM RESID'!$I:$I,$F444)/SUMIFS('COM RESID'!$O:$O,'COM RESID'!$I:$I,$F444)*AC444,1),3)</f>
        <v>-7.0000000000000007E-2</v>
      </c>
      <c r="Z444" s="24"/>
      <c r="AA444" s="24"/>
      <c r="AB444" s="26"/>
      <c r="AC444" s="27">
        <f>IF(S444="COMELC",IF(SUMIFS('COM RESID'!$O:$O,'COM RESID'!$H:$H,$E444,'COM RESID'!$I:$I,$F444)/SUMIFS('COM RESID'!$O:$O,'COM RESID'!$I:$I,$F444)*3&lt;1,1/(SUMIFS('COM RESID'!$O:$O,'COM RESID'!$H:$H,$E444,'COM RESID'!$I:$I,$F444)/SUMIFS('COM RESID'!$O:$O,'COM RESID'!$I:$I,$F444)),3),IF(ISNUMBER(SEARCH("WHEUE",T442)),IF(OR(S442="COMNGA",S442="COMFOI"),0.75,3),3))</f>
        <v>3</v>
      </c>
    </row>
    <row r="445" spans="1:29" x14ac:dyDescent="0.25">
      <c r="A445" s="19">
        <f>A441+1</f>
        <v>111</v>
      </c>
      <c r="B445" s="10"/>
      <c r="C445" s="11" t="str">
        <f>IF(E445="","",IF(_xlfn.XLOOKUP($A445,Selected_constraint_UC!$A:$A,Selected_constraint_UC!$D:$D)=1,"*",IF(SUMIFS('COM TECH'!$N:$N,'COM TECH'!$K:$K,E445,'COM TECH'!$L:$L,F445)=0,"*",IF(SUMIFS('COM RESID'!$O:$O,'COM RESID'!$H:$H,$E445,'COM RESID'!$I:$I,$F445)=0,"*","UC_MarketShare_"&amp;LEFT(F445,LEN(F445)-3)&amp;"_"&amp;RIGHT(E445,3)&amp;"_MIN"))))</f>
        <v>UC_MarketShare_COMWAROldSC_ELC_MIN</v>
      </c>
      <c r="D445" s="12"/>
      <c r="E445" s="13" t="str">
        <f>_xlfn.XLOOKUP($A445,Selected_constraint_UC!$A:$A,Selected_constraint_UC!$B:$B)</f>
        <v>COMELC</v>
      </c>
      <c r="F445" s="13" t="str">
        <f>_xlfn.XLOOKUP($A445,Selected_constraint_UC!$A:$A,Selected_constraint_UC!$C:$C)</f>
        <v>COMWAROldSCEUE</v>
      </c>
      <c r="G445" s="13" t="str">
        <f>F445</f>
        <v>COMWAROldSCEUE</v>
      </c>
      <c r="H445" s="14">
        <v>2019</v>
      </c>
      <c r="I445" s="14" t="s">
        <v>3848</v>
      </c>
      <c r="J445" s="14">
        <v>1</v>
      </c>
      <c r="K445" s="15">
        <f>-ROUNDDOWN(SUMIFS('COM RESID'!$O:$O,'COM RESID'!$H:$H,$E445,'COM RESID'!$I:$I,$F445)/SUMIFS('COM RESID'!$O:$O,'COM RESID'!$I:$I,$F445),3)*O445</f>
        <v>-0.98</v>
      </c>
      <c r="L445" s="14">
        <v>0</v>
      </c>
      <c r="M445" s="14">
        <v>5</v>
      </c>
      <c r="N445" s="10"/>
      <c r="O445" s="20">
        <v>0.98</v>
      </c>
      <c r="Q445" s="11" t="str">
        <f t="shared" si="120"/>
        <v>UC_MarketShare_COMWAROldSC_ELC_MAX</v>
      </c>
      <c r="R445" s="12"/>
      <c r="S445" s="13" t="str">
        <f t="shared" si="122"/>
        <v>COMELC</v>
      </c>
      <c r="T445" s="13" t="str">
        <f t="shared" si="123"/>
        <v>COMWAROldSCEUE</v>
      </c>
      <c r="U445" s="13" t="str">
        <f t="shared" si="124"/>
        <v>COMWAROldSCEUE</v>
      </c>
      <c r="V445" s="14">
        <v>2019</v>
      </c>
      <c r="W445" s="14" t="s">
        <v>3849</v>
      </c>
      <c r="X445" s="14">
        <v>1</v>
      </c>
      <c r="Y445" s="15">
        <f>-ROUNDUP(MIN(SUMIFS('COM RESID'!$O:$O,'COM RESID'!$H:$H,$E445,'COM RESID'!$I:$I,$F445)/SUMIFS('COM RESID'!$O:$O,'COM RESID'!$I:$I,$F445)*AC445,1),3)</f>
        <v>-1</v>
      </c>
      <c r="Z445" s="14">
        <v>0</v>
      </c>
      <c r="AA445" s="14">
        <v>5</v>
      </c>
      <c r="AB445" s="10"/>
      <c r="AC445" s="20">
        <v>1.02</v>
      </c>
    </row>
    <row r="446" spans="1:29" x14ac:dyDescent="0.25">
      <c r="A446" s="10">
        <f>A445</f>
        <v>111</v>
      </c>
      <c r="B446" s="10"/>
      <c r="C446" s="11" t="str">
        <f>IF(C445="*",C445,"")</f>
        <v/>
      </c>
      <c r="D446" s="12"/>
      <c r="E446" s="13" t="str">
        <f t="shared" ref="E446:G448" si="138">E445</f>
        <v>COMELC</v>
      </c>
      <c r="F446" s="13" t="str">
        <f t="shared" si="138"/>
        <v>COMWAROldSCEUE</v>
      </c>
      <c r="G446" s="13" t="str">
        <f t="shared" si="138"/>
        <v>COMWAROldSCEUE</v>
      </c>
      <c r="H446" s="14">
        <v>2025</v>
      </c>
      <c r="I446" s="14" t="str">
        <f>I445</f>
        <v>LO</v>
      </c>
      <c r="J446" s="14"/>
      <c r="K446" s="15">
        <f>-ROUNDDOWN(SUMIFS('COM RESID'!$O:$O,'COM RESID'!$H:$H,$E446,'COM RESID'!$I:$I,$F446)/SUMIFS('COM RESID'!$O:$O,'COM RESID'!$I:$I,$F446),3)*O446</f>
        <v>-0.8</v>
      </c>
      <c r="L446" s="14"/>
      <c r="M446" s="14"/>
      <c r="N446" s="10"/>
      <c r="O446" s="20">
        <v>0.8</v>
      </c>
      <c r="Q446" s="11" t="str">
        <f t="shared" si="120"/>
        <v/>
      </c>
      <c r="R446" s="12"/>
      <c r="S446" s="13" t="str">
        <f t="shared" si="122"/>
        <v>COMELC</v>
      </c>
      <c r="T446" s="13" t="str">
        <f t="shared" si="123"/>
        <v>COMWAROldSCEUE</v>
      </c>
      <c r="U446" s="13" t="str">
        <f t="shared" si="124"/>
        <v>COMWAROldSCEUE</v>
      </c>
      <c r="V446" s="14">
        <v>2025</v>
      </c>
      <c r="W446" s="14" t="str">
        <f>W445</f>
        <v>UP</v>
      </c>
      <c r="X446" s="14"/>
      <c r="Y446" s="15">
        <f>-ROUNDUP(MIN(SUMIFS('COM RESID'!$O:$O,'COM RESID'!$H:$H,$E446,'COM RESID'!$I:$I,$F446)/SUMIFS('COM RESID'!$O:$O,'COM RESID'!$I:$I,$F446)*AC446,1),3)</f>
        <v>-1</v>
      </c>
      <c r="Z446" s="14"/>
      <c r="AA446" s="14"/>
      <c r="AB446" s="10"/>
      <c r="AC446" s="20">
        <f>IF(S446="COMELC",IF(SUMIFS('COM RESID'!$O:$O,'COM RESID'!$H:$H,$E446,'COM RESID'!$I:$I,$F446)/SUMIFS('COM RESID'!$O:$O,'COM RESID'!$I:$I,$F446)*1.2&lt;0.25,0.25/(SUMIFS('COM RESID'!$O:$O,'COM RESID'!$H:$H,$E446,'COM RESID'!$I:$I,$F446)/SUMIFS('COM RESID'!$O:$O,'COM RESID'!$I:$I,$F446)),1.2),IF(ISNUMBER(SEARCH("WHEUE",T446)),IF(OR(S446="COMNGA",S446="COMFOI"),1,1.2),1.2))</f>
        <v>1.2</v>
      </c>
    </row>
    <row r="447" spans="1:29" x14ac:dyDescent="0.25">
      <c r="A447" s="10">
        <f>A446</f>
        <v>111</v>
      </c>
      <c r="B447" s="10"/>
      <c r="C447" s="11" t="str">
        <f>IF(C446="*",C446,"")</f>
        <v/>
      </c>
      <c r="D447" s="12"/>
      <c r="E447" s="13" t="str">
        <f t="shared" si="138"/>
        <v>COMELC</v>
      </c>
      <c r="F447" s="13" t="str">
        <f t="shared" si="138"/>
        <v>COMWAROldSCEUE</v>
      </c>
      <c r="G447" s="13" t="str">
        <f t="shared" si="138"/>
        <v>COMWAROldSCEUE</v>
      </c>
      <c r="H447" s="14">
        <v>2030</v>
      </c>
      <c r="I447" s="14" t="str">
        <f>I446</f>
        <v>LO</v>
      </c>
      <c r="J447" s="14"/>
      <c r="K447" s="15">
        <f>-ROUNDDOWN(SUMIFS('COM RESID'!$O:$O,'COM RESID'!$H:$H,$E447,'COM RESID'!$I:$I,$F447)/SUMIFS('COM RESID'!$O:$O,'COM RESID'!$I:$I,$F447),3)*O447</f>
        <v>-0.75</v>
      </c>
      <c r="L447" s="14"/>
      <c r="M447" s="14"/>
      <c r="N447" s="10"/>
      <c r="O447" s="20">
        <v>0.75</v>
      </c>
      <c r="Q447" s="11" t="str">
        <f t="shared" si="120"/>
        <v/>
      </c>
      <c r="R447" s="12"/>
      <c r="S447" s="13" t="str">
        <f t="shared" si="122"/>
        <v>COMELC</v>
      </c>
      <c r="T447" s="13" t="str">
        <f t="shared" si="123"/>
        <v>COMWAROldSCEUE</v>
      </c>
      <c r="U447" s="13" t="str">
        <f t="shared" si="124"/>
        <v>COMWAROldSCEUE</v>
      </c>
      <c r="V447" s="14">
        <v>2030</v>
      </c>
      <c r="W447" s="14" t="str">
        <f>W446</f>
        <v>UP</v>
      </c>
      <c r="X447" s="14"/>
      <c r="Y447" s="15">
        <f>-ROUNDUP(MIN(SUMIFS('COM RESID'!$O:$O,'COM RESID'!$H:$H,$E447,'COM RESID'!$I:$I,$F447)/SUMIFS('COM RESID'!$O:$O,'COM RESID'!$I:$I,$F447)*AC447,1),3)</f>
        <v>-1</v>
      </c>
      <c r="Z447" s="14"/>
      <c r="AA447" s="14"/>
      <c r="AB447" s="10"/>
      <c r="AC447" s="20">
        <f>IF(S447="COMELC",IF(SUMIFS('COM RESID'!$O:$O,'COM RESID'!$H:$H,$E447,'COM RESID'!$I:$I,$F447)/SUMIFS('COM RESID'!$O:$O,'COM RESID'!$I:$I,$F447)*1.5&lt;0.5,0.5/(SUMIFS('COM RESID'!$O:$O,'COM RESID'!$H:$H,$E447,'COM RESID'!$I:$I,$F447)/SUMIFS('COM RESID'!$O:$O,'COM RESID'!$I:$I,$F447)),1.5),IF(ISNUMBER(SEARCH("WHEUE",T446)),IF(OR(S446="COMNGA",S446="COMFOI"),0.9,1.5),1.5))</f>
        <v>1.5</v>
      </c>
    </row>
    <row r="448" spans="1:29" x14ac:dyDescent="0.25">
      <c r="A448" s="26">
        <f>A447</f>
        <v>111</v>
      </c>
      <c r="B448" s="26"/>
      <c r="C448" s="21" t="str">
        <f>IF(C447="*",C447,"")</f>
        <v/>
      </c>
      <c r="D448" s="22"/>
      <c r="E448" s="23" t="str">
        <f t="shared" si="138"/>
        <v>COMELC</v>
      </c>
      <c r="F448" s="23" t="str">
        <f t="shared" si="138"/>
        <v>COMWAROldSCEUE</v>
      </c>
      <c r="G448" s="23" t="str">
        <f t="shared" si="138"/>
        <v>COMWAROldSCEUE</v>
      </c>
      <c r="H448" s="24">
        <v>2050</v>
      </c>
      <c r="I448" s="24" t="str">
        <f>I447</f>
        <v>LO</v>
      </c>
      <c r="J448" s="24"/>
      <c r="K448" s="25">
        <f>-ROUNDDOWN(SUMIFS('COM RESID'!$O:$O,'COM RESID'!$H:$H,$E448,'COM RESID'!$I:$I,$F448)/SUMIFS('COM RESID'!$O:$O,'COM RESID'!$I:$I,$F448),3)*O448</f>
        <v>-0.75</v>
      </c>
      <c r="L448" s="24"/>
      <c r="M448" s="24"/>
      <c r="N448" s="26"/>
      <c r="O448" s="27">
        <v>0.75</v>
      </c>
      <c r="Q448" s="21" t="str">
        <f t="shared" si="120"/>
        <v/>
      </c>
      <c r="R448" s="22"/>
      <c r="S448" s="23" t="str">
        <f t="shared" si="122"/>
        <v>COMELC</v>
      </c>
      <c r="T448" s="23" t="str">
        <f t="shared" si="123"/>
        <v>COMWAROldSCEUE</v>
      </c>
      <c r="U448" s="23" t="str">
        <f t="shared" si="124"/>
        <v>COMWAROldSCEUE</v>
      </c>
      <c r="V448" s="24">
        <v>2050</v>
      </c>
      <c r="W448" s="24" t="str">
        <f>W447</f>
        <v>UP</v>
      </c>
      <c r="X448" s="24"/>
      <c r="Y448" s="25">
        <f>-ROUNDUP(MIN(SUMIFS('COM RESID'!$O:$O,'COM RESID'!$H:$H,$E448,'COM RESID'!$I:$I,$F448)/SUMIFS('COM RESID'!$O:$O,'COM RESID'!$I:$I,$F448)*AC448,1),3)</f>
        <v>-1</v>
      </c>
      <c r="Z448" s="24"/>
      <c r="AA448" s="24"/>
      <c r="AB448" s="26"/>
      <c r="AC448" s="27">
        <f>IF(S448="COMELC",IF(SUMIFS('COM RESID'!$O:$O,'COM RESID'!$H:$H,$E448,'COM RESID'!$I:$I,$F448)/SUMIFS('COM RESID'!$O:$O,'COM RESID'!$I:$I,$F448)*3&lt;1,1/(SUMIFS('COM RESID'!$O:$O,'COM RESID'!$H:$H,$E448,'COM RESID'!$I:$I,$F448)/SUMIFS('COM RESID'!$O:$O,'COM RESID'!$I:$I,$F448)),3),IF(ISNUMBER(SEARCH("WHEUE",T446)),IF(OR(S446="COMNGA",S446="COMFOI"),0.75,3),3))</f>
        <v>3</v>
      </c>
    </row>
    <row r="449" spans="1:29" x14ac:dyDescent="0.25">
      <c r="A449" s="19">
        <f>A445+1</f>
        <v>112</v>
      </c>
      <c r="B449" s="10"/>
      <c r="C449" s="11" t="str">
        <f>IF(E449="","",IF(_xlfn.XLOOKUP($A449,Selected_constraint_UC!$A:$A,Selected_constraint_UC!$D:$D)=1,"*",IF(SUMIFS('COM TECH'!$N:$N,'COM TECH'!$K:$K,E449,'COM TECH'!$L:$L,F449)=0,"*",IF(SUMIFS('COM RESID'!$O:$O,'COM RESID'!$H:$H,$E449,'COM RESID'!$I:$I,$F449)=0,"*","UC_MarketShare_"&amp;LEFT(F449,LEN(F449)-3)&amp;"_"&amp;RIGHT(E449,3)&amp;"_MIN"))))</f>
        <v>*</v>
      </c>
      <c r="D449" s="12"/>
      <c r="E449" s="13" t="str">
        <f>_xlfn.XLOOKUP($A449,Selected_constraint_UC!$A:$A,Selected_constraint_UC!$B:$B)</f>
        <v>COMELC</v>
      </c>
      <c r="F449" s="13" t="str">
        <f>_xlfn.XLOOKUP($A449,Selected_constraint_UC!$A:$A,Selected_constraint_UC!$C:$C)</f>
        <v>COMWAROldVTEUE</v>
      </c>
      <c r="G449" s="13" t="str">
        <f>F449</f>
        <v>COMWAROldVTEUE</v>
      </c>
      <c r="H449" s="14">
        <v>2019</v>
      </c>
      <c r="I449" s="14" t="s">
        <v>3848</v>
      </c>
      <c r="J449" s="14">
        <v>1</v>
      </c>
      <c r="K449" s="15">
        <f>-ROUNDDOWN(SUMIFS('COM RESID'!$O:$O,'COM RESID'!$H:$H,$E449,'COM RESID'!$I:$I,$F449)/SUMIFS('COM RESID'!$O:$O,'COM RESID'!$I:$I,$F449),3)*O449</f>
        <v>-0.98</v>
      </c>
      <c r="L449" s="14">
        <v>0</v>
      </c>
      <c r="M449" s="14">
        <v>5</v>
      </c>
      <c r="N449" s="10"/>
      <c r="O449" s="20">
        <v>0.98</v>
      </c>
      <c r="Q449" s="11" t="str">
        <f t="shared" si="120"/>
        <v>*</v>
      </c>
      <c r="R449" s="12"/>
      <c r="S449" s="13" t="str">
        <f t="shared" si="122"/>
        <v>COMELC</v>
      </c>
      <c r="T449" s="13" t="str">
        <f t="shared" si="123"/>
        <v>COMWAROldVTEUE</v>
      </c>
      <c r="U449" s="13" t="str">
        <f t="shared" si="124"/>
        <v>COMWAROldVTEUE</v>
      </c>
      <c r="V449" s="14">
        <v>2019</v>
      </c>
      <c r="W449" s="14" t="s">
        <v>3849</v>
      </c>
      <c r="X449" s="14">
        <v>1</v>
      </c>
      <c r="Y449" s="15">
        <f>-ROUNDUP(MIN(SUMIFS('COM RESID'!$O:$O,'COM RESID'!$H:$H,$E449,'COM RESID'!$I:$I,$F449)/SUMIFS('COM RESID'!$O:$O,'COM RESID'!$I:$I,$F449)*AC449,1),3)</f>
        <v>-1</v>
      </c>
      <c r="Z449" s="14">
        <v>0</v>
      </c>
      <c r="AA449" s="14">
        <v>5</v>
      </c>
      <c r="AB449" s="10"/>
      <c r="AC449" s="20">
        <v>1.02</v>
      </c>
    </row>
    <row r="450" spans="1:29" x14ac:dyDescent="0.25">
      <c r="A450" s="10">
        <f>A449</f>
        <v>112</v>
      </c>
      <c r="B450" s="10"/>
      <c r="C450" s="11" t="str">
        <f>IF(C449="*",C449,"")</f>
        <v>*</v>
      </c>
      <c r="D450" s="12"/>
      <c r="E450" s="13" t="str">
        <f t="shared" ref="E450:G452" si="139">E449</f>
        <v>COMELC</v>
      </c>
      <c r="F450" s="13" t="str">
        <f t="shared" si="139"/>
        <v>COMWAROldVTEUE</v>
      </c>
      <c r="G450" s="13" t="str">
        <f t="shared" si="139"/>
        <v>COMWAROldVTEUE</v>
      </c>
      <c r="H450" s="14">
        <v>2025</v>
      </c>
      <c r="I450" s="14" t="str">
        <f>I449</f>
        <v>LO</v>
      </c>
      <c r="J450" s="14"/>
      <c r="K450" s="15">
        <f>-ROUNDDOWN(SUMIFS('COM RESID'!$O:$O,'COM RESID'!$H:$H,$E450,'COM RESID'!$I:$I,$F450)/SUMIFS('COM RESID'!$O:$O,'COM RESID'!$I:$I,$F450),3)*O450</f>
        <v>-0.8</v>
      </c>
      <c r="L450" s="14"/>
      <c r="M450" s="14"/>
      <c r="N450" s="10"/>
      <c r="O450" s="20">
        <v>0.8</v>
      </c>
      <c r="Q450" s="11" t="str">
        <f t="shared" si="120"/>
        <v>*</v>
      </c>
      <c r="R450" s="12"/>
      <c r="S450" s="13" t="str">
        <f t="shared" si="122"/>
        <v>COMELC</v>
      </c>
      <c r="T450" s="13" t="str">
        <f t="shared" si="123"/>
        <v>COMWAROldVTEUE</v>
      </c>
      <c r="U450" s="13" t="str">
        <f t="shared" si="124"/>
        <v>COMWAROldVTEUE</v>
      </c>
      <c r="V450" s="14">
        <v>2025</v>
      </c>
      <c r="W450" s="14" t="str">
        <f>W449</f>
        <v>UP</v>
      </c>
      <c r="X450" s="14"/>
      <c r="Y450" s="15">
        <f>-ROUNDUP(MIN(SUMIFS('COM RESID'!$O:$O,'COM RESID'!$H:$H,$E450,'COM RESID'!$I:$I,$F450)/SUMIFS('COM RESID'!$O:$O,'COM RESID'!$I:$I,$F450)*AC450,1),3)</f>
        <v>-1</v>
      </c>
      <c r="Z450" s="14"/>
      <c r="AA450" s="14"/>
      <c r="AB450" s="10"/>
      <c r="AC450" s="20">
        <f>IF(S450="COMELC",IF(SUMIFS('COM RESID'!$O:$O,'COM RESID'!$H:$H,$E450,'COM RESID'!$I:$I,$F450)/SUMIFS('COM RESID'!$O:$O,'COM RESID'!$I:$I,$F450)*1.2&lt;0.25,0.25/(SUMIFS('COM RESID'!$O:$O,'COM RESID'!$H:$H,$E450,'COM RESID'!$I:$I,$F450)/SUMIFS('COM RESID'!$O:$O,'COM RESID'!$I:$I,$F450)),1.2),IF(ISNUMBER(SEARCH("WHEUE",T450)),IF(OR(S450="COMNGA",S450="COMFOI"),1,1.2),1.2))</f>
        <v>1.2</v>
      </c>
    </row>
    <row r="451" spans="1:29" x14ac:dyDescent="0.25">
      <c r="A451" s="10">
        <f>A450</f>
        <v>112</v>
      </c>
      <c r="B451" s="10"/>
      <c r="C451" s="11" t="str">
        <f>IF(C450="*",C450,"")</f>
        <v>*</v>
      </c>
      <c r="D451" s="12"/>
      <c r="E451" s="13" t="str">
        <f t="shared" si="139"/>
        <v>COMELC</v>
      </c>
      <c r="F451" s="13" t="str">
        <f t="shared" si="139"/>
        <v>COMWAROldVTEUE</v>
      </c>
      <c r="G451" s="13" t="str">
        <f t="shared" si="139"/>
        <v>COMWAROldVTEUE</v>
      </c>
      <c r="H451" s="14">
        <v>2030</v>
      </c>
      <c r="I451" s="14" t="str">
        <f>I450</f>
        <v>LO</v>
      </c>
      <c r="J451" s="14"/>
      <c r="K451" s="15">
        <f>-ROUNDDOWN(SUMIFS('COM RESID'!$O:$O,'COM RESID'!$H:$H,$E451,'COM RESID'!$I:$I,$F451)/SUMIFS('COM RESID'!$O:$O,'COM RESID'!$I:$I,$F451),3)*O451</f>
        <v>-0.2</v>
      </c>
      <c r="L451" s="14"/>
      <c r="M451" s="14"/>
      <c r="N451" s="10"/>
      <c r="O451" s="20">
        <v>0.2</v>
      </c>
      <c r="Q451" s="11" t="str">
        <f t="shared" si="120"/>
        <v>*</v>
      </c>
      <c r="R451" s="12"/>
      <c r="S451" s="13" t="str">
        <f t="shared" si="122"/>
        <v>COMELC</v>
      </c>
      <c r="T451" s="13" t="str">
        <f t="shared" si="123"/>
        <v>COMWAROldVTEUE</v>
      </c>
      <c r="U451" s="13" t="str">
        <f t="shared" si="124"/>
        <v>COMWAROldVTEUE</v>
      </c>
      <c r="V451" s="14">
        <v>2030</v>
      </c>
      <c r="W451" s="14" t="str">
        <f>W450</f>
        <v>UP</v>
      </c>
      <c r="X451" s="14"/>
      <c r="Y451" s="15">
        <f>-ROUNDUP(MIN(SUMIFS('COM RESID'!$O:$O,'COM RESID'!$H:$H,$E451,'COM RESID'!$I:$I,$F451)/SUMIFS('COM RESID'!$O:$O,'COM RESID'!$I:$I,$F451)*AC451,1),3)</f>
        <v>-1</v>
      </c>
      <c r="Z451" s="14"/>
      <c r="AA451" s="14"/>
      <c r="AB451" s="10"/>
      <c r="AC451" s="20">
        <f>IF(S451="COMELC",IF(SUMIFS('COM RESID'!$O:$O,'COM RESID'!$H:$H,$E451,'COM RESID'!$I:$I,$F451)/SUMIFS('COM RESID'!$O:$O,'COM RESID'!$I:$I,$F451)*1.5&lt;0.5,0.5/(SUMIFS('COM RESID'!$O:$O,'COM RESID'!$H:$H,$E451,'COM RESID'!$I:$I,$F451)/SUMIFS('COM RESID'!$O:$O,'COM RESID'!$I:$I,$F451)),1.5),IF(ISNUMBER(SEARCH("WHEUE",T450)),IF(OR(S450="COMNGA",S450="COMFOI"),0.9,1.5),1.5))</f>
        <v>1.5</v>
      </c>
    </row>
    <row r="452" spans="1:29" x14ac:dyDescent="0.25">
      <c r="A452" s="26">
        <f>A451</f>
        <v>112</v>
      </c>
      <c r="B452" s="26"/>
      <c r="C452" s="21" t="str">
        <f>IF(C451="*",C451,"")</f>
        <v>*</v>
      </c>
      <c r="D452" s="22"/>
      <c r="E452" s="23" t="str">
        <f t="shared" si="139"/>
        <v>COMELC</v>
      </c>
      <c r="F452" s="23" t="str">
        <f t="shared" si="139"/>
        <v>COMWAROldVTEUE</v>
      </c>
      <c r="G452" s="23" t="str">
        <f t="shared" si="139"/>
        <v>COMWAROldVTEUE</v>
      </c>
      <c r="H452" s="24">
        <v>2050</v>
      </c>
      <c r="I452" s="24" t="str">
        <f>I451</f>
        <v>LO</v>
      </c>
      <c r="J452" s="24"/>
      <c r="K452" s="25">
        <f>-ROUNDDOWN(SUMIFS('COM RESID'!$O:$O,'COM RESID'!$H:$H,$E452,'COM RESID'!$I:$I,$F452)/SUMIFS('COM RESID'!$O:$O,'COM RESID'!$I:$I,$F452),3)*O452</f>
        <v>0</v>
      </c>
      <c r="L452" s="24"/>
      <c r="M452" s="24"/>
      <c r="N452" s="26"/>
      <c r="O452" s="27">
        <v>0</v>
      </c>
      <c r="Q452" s="21" t="str">
        <f t="shared" si="120"/>
        <v>*</v>
      </c>
      <c r="R452" s="22"/>
      <c r="S452" s="23" t="str">
        <f t="shared" si="122"/>
        <v>COMELC</v>
      </c>
      <c r="T452" s="23" t="str">
        <f t="shared" si="123"/>
        <v>COMWAROldVTEUE</v>
      </c>
      <c r="U452" s="23" t="str">
        <f t="shared" si="124"/>
        <v>COMWAROldVTEUE</v>
      </c>
      <c r="V452" s="24">
        <v>2050</v>
      </c>
      <c r="W452" s="24" t="str">
        <f>W451</f>
        <v>UP</v>
      </c>
      <c r="X452" s="24"/>
      <c r="Y452" s="25">
        <f>-ROUNDUP(MIN(SUMIFS('COM RESID'!$O:$O,'COM RESID'!$H:$H,$E452,'COM RESID'!$I:$I,$F452)/SUMIFS('COM RESID'!$O:$O,'COM RESID'!$I:$I,$F452)*AC452,1),3)</f>
        <v>-1</v>
      </c>
      <c r="Z452" s="24"/>
      <c r="AA452" s="24"/>
      <c r="AB452" s="26"/>
      <c r="AC452" s="27">
        <f>IF(S452="COMELC",IF(SUMIFS('COM RESID'!$O:$O,'COM RESID'!$H:$H,$E452,'COM RESID'!$I:$I,$F452)/SUMIFS('COM RESID'!$O:$O,'COM RESID'!$I:$I,$F452)*3&lt;1,1/(SUMIFS('COM RESID'!$O:$O,'COM RESID'!$H:$H,$E452,'COM RESID'!$I:$I,$F452)/SUMIFS('COM RESID'!$O:$O,'COM RESID'!$I:$I,$F452)),3),IF(ISNUMBER(SEARCH("WHEUE",T450)),IF(OR(S450="COMNGA",S450="COMFOI"),0.75,3),3))</f>
        <v>3</v>
      </c>
    </row>
    <row r="453" spans="1:29" x14ac:dyDescent="0.25">
      <c r="A453" s="19">
        <f>A449+1</f>
        <v>113</v>
      </c>
      <c r="B453" s="10"/>
      <c r="C453" s="11" t="str">
        <f>IF(E453="","",IF(_xlfn.XLOOKUP($A453,Selected_constraint_UC!$A:$A,Selected_constraint_UC!$D:$D)=1,"*",IF(SUMIFS('COM TECH'!$N:$N,'COM TECH'!$K:$K,E453,'COM TECH'!$L:$L,F453)=0,"*",IF(SUMIFS('COM RESID'!$O:$O,'COM RESID'!$H:$H,$E453,'COM RESID'!$I:$I,$F453)=0,"*","UC_MarketShare_"&amp;LEFT(F453,LEN(F453)-3)&amp;"_"&amp;RIGHT(E453,3)&amp;"_MIN"))))</f>
        <v>UC_MarketShare_COMWAROldWH_FOI_MIN</v>
      </c>
      <c r="D453" s="12"/>
      <c r="E453" s="13" t="str">
        <f>_xlfn.XLOOKUP($A453,Selected_constraint_UC!$A:$A,Selected_constraint_UC!$B:$B)</f>
        <v>COMFOI</v>
      </c>
      <c r="F453" s="13" t="str">
        <f>_xlfn.XLOOKUP($A453,Selected_constraint_UC!$A:$A,Selected_constraint_UC!$C:$C)</f>
        <v>COMWAROldWHEUE</v>
      </c>
      <c r="G453" s="13" t="str">
        <f>F453</f>
        <v>COMWAROldWHEUE</v>
      </c>
      <c r="H453" s="14">
        <v>2019</v>
      </c>
      <c r="I453" s="14" t="s">
        <v>3848</v>
      </c>
      <c r="J453" s="14">
        <v>1</v>
      </c>
      <c r="K453" s="15">
        <f>-ROUNDDOWN(SUMIFS('COM RESID'!$O:$O,'COM RESID'!$H:$H,$E453,'COM RESID'!$I:$I,$F453)/SUMIFS('COM RESID'!$O:$O,'COM RESID'!$I:$I,$F453),3)*O453</f>
        <v>-0.14209999999999998</v>
      </c>
      <c r="L453" s="14">
        <v>0</v>
      </c>
      <c r="M453" s="14">
        <v>5</v>
      </c>
      <c r="N453" s="10"/>
      <c r="O453" s="20">
        <v>0.98</v>
      </c>
      <c r="Q453" s="11" t="str">
        <f t="shared" ref="Q453:Q516" si="140">SUBSTITUTE(C453,"MIN","MAX")</f>
        <v>UC_MarketShare_COMWAROldWH_FOI_MAX</v>
      </c>
      <c r="R453" s="12"/>
      <c r="S453" s="13" t="str">
        <f t="shared" si="122"/>
        <v>COMFOI</v>
      </c>
      <c r="T453" s="13" t="str">
        <f t="shared" si="123"/>
        <v>COMWAROldWHEUE</v>
      </c>
      <c r="U453" s="13" t="str">
        <f t="shared" si="124"/>
        <v>COMWAROldWHEUE</v>
      </c>
      <c r="V453" s="14">
        <v>2019</v>
      </c>
      <c r="W453" s="14" t="s">
        <v>3849</v>
      </c>
      <c r="X453" s="14">
        <v>1</v>
      </c>
      <c r="Y453" s="15">
        <f>-ROUNDUP(MIN(SUMIFS('COM RESID'!$O:$O,'COM RESID'!$H:$H,$E453,'COM RESID'!$I:$I,$F453)/SUMIFS('COM RESID'!$O:$O,'COM RESID'!$I:$I,$F453)*AC453,1),3)</f>
        <v>-0.14799999999999999</v>
      </c>
      <c r="Z453" s="14">
        <v>0</v>
      </c>
      <c r="AA453" s="14">
        <v>5</v>
      </c>
      <c r="AB453" s="10"/>
      <c r="AC453" s="20">
        <v>1.02</v>
      </c>
    </row>
    <row r="454" spans="1:29" x14ac:dyDescent="0.25">
      <c r="A454" s="10">
        <f>A453</f>
        <v>113</v>
      </c>
      <c r="B454" s="10"/>
      <c r="C454" s="11" t="str">
        <f>IF(C453="*",C453,"")</f>
        <v/>
      </c>
      <c r="D454" s="12"/>
      <c r="E454" s="13" t="str">
        <f t="shared" ref="E454:G456" si="141">E453</f>
        <v>COMFOI</v>
      </c>
      <c r="F454" s="13" t="str">
        <f t="shared" si="141"/>
        <v>COMWAROldWHEUE</v>
      </c>
      <c r="G454" s="13" t="str">
        <f t="shared" si="141"/>
        <v>COMWAROldWHEUE</v>
      </c>
      <c r="H454" s="14">
        <v>2025</v>
      </c>
      <c r="I454" s="14" t="str">
        <f>I453</f>
        <v>LO</v>
      </c>
      <c r="J454" s="14"/>
      <c r="K454" s="15">
        <f>-ROUNDDOWN(SUMIFS('COM RESID'!$O:$O,'COM RESID'!$H:$H,$E454,'COM RESID'!$I:$I,$F454)/SUMIFS('COM RESID'!$O:$O,'COM RESID'!$I:$I,$F454),3)*O454</f>
        <v>-0.11599999999999999</v>
      </c>
      <c r="L454" s="14"/>
      <c r="M454" s="14"/>
      <c r="N454" s="10"/>
      <c r="O454" s="20">
        <v>0.8</v>
      </c>
      <c r="Q454" s="11" t="str">
        <f t="shared" si="140"/>
        <v/>
      </c>
      <c r="R454" s="12"/>
      <c r="S454" s="13" t="str">
        <f t="shared" ref="S454:S517" si="142">E454</f>
        <v>COMFOI</v>
      </c>
      <c r="T454" s="13" t="str">
        <f t="shared" ref="T454:T517" si="143">F454</f>
        <v>COMWAROldWHEUE</v>
      </c>
      <c r="U454" s="13" t="str">
        <f t="shared" ref="U454:U517" si="144">G454</f>
        <v>COMWAROldWHEUE</v>
      </c>
      <c r="V454" s="14">
        <v>2025</v>
      </c>
      <c r="W454" s="14" t="str">
        <f>W453</f>
        <v>UP</v>
      </c>
      <c r="X454" s="14"/>
      <c r="Y454" s="15">
        <f>-ROUNDUP(MIN(SUMIFS('COM RESID'!$O:$O,'COM RESID'!$H:$H,$E454,'COM RESID'!$I:$I,$F454)/SUMIFS('COM RESID'!$O:$O,'COM RESID'!$I:$I,$F454)*AC454,1),3)</f>
        <v>-0.14599999999999999</v>
      </c>
      <c r="Z454" s="14"/>
      <c r="AA454" s="14"/>
      <c r="AB454" s="10"/>
      <c r="AC454" s="20">
        <f>IF(S454="COMELC",IF(SUMIFS('COM RESID'!$O:$O,'COM RESID'!$H:$H,$E454,'COM RESID'!$I:$I,$F454)/SUMIFS('COM RESID'!$O:$O,'COM RESID'!$I:$I,$F454)*1.2&lt;0.25,0.25/(SUMIFS('COM RESID'!$O:$O,'COM RESID'!$H:$H,$E454,'COM RESID'!$I:$I,$F454)/SUMIFS('COM RESID'!$O:$O,'COM RESID'!$I:$I,$F454)),1.2),IF(ISNUMBER(SEARCH("WHEUE",T454)),IF(OR(S454="COMNGA",S454="COMFOI"),1,1.2),1.2))</f>
        <v>1</v>
      </c>
    </row>
    <row r="455" spans="1:29" x14ac:dyDescent="0.25">
      <c r="A455" s="10">
        <f>A454</f>
        <v>113</v>
      </c>
      <c r="B455" s="10"/>
      <c r="C455" s="11" t="str">
        <f>IF(C454="*",C454,"")</f>
        <v/>
      </c>
      <c r="D455" s="12"/>
      <c r="E455" s="13" t="str">
        <f t="shared" si="141"/>
        <v>COMFOI</v>
      </c>
      <c r="F455" s="13" t="str">
        <f t="shared" si="141"/>
        <v>COMWAROldWHEUE</v>
      </c>
      <c r="G455" s="13" t="str">
        <f t="shared" si="141"/>
        <v>COMWAROldWHEUE</v>
      </c>
      <c r="H455" s="14">
        <v>2030</v>
      </c>
      <c r="I455" s="14" t="str">
        <f>I454</f>
        <v>LO</v>
      </c>
      <c r="J455" s="14"/>
      <c r="K455" s="15">
        <f>-ROUNDDOWN(SUMIFS('COM RESID'!$O:$O,'COM RESID'!$H:$H,$E455,'COM RESID'!$I:$I,$F455)/SUMIFS('COM RESID'!$O:$O,'COM RESID'!$I:$I,$F455),3)*O455</f>
        <v>-2.8999999999999998E-2</v>
      </c>
      <c r="L455" s="14"/>
      <c r="M455" s="14"/>
      <c r="N455" s="10"/>
      <c r="O455" s="20">
        <v>0.2</v>
      </c>
      <c r="Q455" s="11" t="str">
        <f t="shared" si="140"/>
        <v/>
      </c>
      <c r="R455" s="12"/>
      <c r="S455" s="13" t="str">
        <f t="shared" si="142"/>
        <v>COMFOI</v>
      </c>
      <c r="T455" s="13" t="str">
        <f t="shared" si="143"/>
        <v>COMWAROldWHEUE</v>
      </c>
      <c r="U455" s="13" t="str">
        <f t="shared" si="144"/>
        <v>COMWAROldWHEUE</v>
      </c>
      <c r="V455" s="14">
        <v>2030</v>
      </c>
      <c r="W455" s="14" t="str">
        <f>W454</f>
        <v>UP</v>
      </c>
      <c r="X455" s="14"/>
      <c r="Y455" s="15">
        <f>-ROUNDUP(MIN(SUMIFS('COM RESID'!$O:$O,'COM RESID'!$H:$H,$E455,'COM RESID'!$I:$I,$F455)/SUMIFS('COM RESID'!$O:$O,'COM RESID'!$I:$I,$F455)*AC455,1),3)</f>
        <v>-0.13100000000000001</v>
      </c>
      <c r="Z455" s="14"/>
      <c r="AA455" s="14"/>
      <c r="AB455" s="10"/>
      <c r="AC455" s="20">
        <f>IF(S455="COMELC",IF(SUMIFS('COM RESID'!$O:$O,'COM RESID'!$H:$H,$E455,'COM RESID'!$I:$I,$F455)/SUMIFS('COM RESID'!$O:$O,'COM RESID'!$I:$I,$F455)*1.5&lt;0.5,0.5/(SUMIFS('COM RESID'!$O:$O,'COM RESID'!$H:$H,$E455,'COM RESID'!$I:$I,$F455)/SUMIFS('COM RESID'!$O:$O,'COM RESID'!$I:$I,$F455)),1.5),IF(ISNUMBER(SEARCH("WHEUE",T454)),IF(OR(S454="COMNGA",S454="COMFOI"),0.9,1.5),1.5))</f>
        <v>0.9</v>
      </c>
    </row>
    <row r="456" spans="1:29" x14ac:dyDescent="0.25">
      <c r="A456" s="26">
        <f>A455</f>
        <v>113</v>
      </c>
      <c r="B456" s="26"/>
      <c r="C456" s="21" t="str">
        <f>IF(C455="*",C455,"")</f>
        <v/>
      </c>
      <c r="D456" s="22"/>
      <c r="E456" s="23" t="str">
        <f t="shared" si="141"/>
        <v>COMFOI</v>
      </c>
      <c r="F456" s="23" t="str">
        <f t="shared" si="141"/>
        <v>COMWAROldWHEUE</v>
      </c>
      <c r="G456" s="23" t="str">
        <f t="shared" si="141"/>
        <v>COMWAROldWHEUE</v>
      </c>
      <c r="H456" s="24">
        <v>2050</v>
      </c>
      <c r="I456" s="24" t="str">
        <f>I455</f>
        <v>LO</v>
      </c>
      <c r="J456" s="24"/>
      <c r="K456" s="25">
        <f>-ROUNDDOWN(SUMIFS('COM RESID'!$O:$O,'COM RESID'!$H:$H,$E456,'COM RESID'!$I:$I,$F456)/SUMIFS('COM RESID'!$O:$O,'COM RESID'!$I:$I,$F456),3)*O456</f>
        <v>0</v>
      </c>
      <c r="L456" s="24"/>
      <c r="M456" s="24"/>
      <c r="N456" s="26"/>
      <c r="O456" s="27">
        <v>0</v>
      </c>
      <c r="Q456" s="21" t="str">
        <f t="shared" si="140"/>
        <v/>
      </c>
      <c r="R456" s="22"/>
      <c r="S456" s="23" t="str">
        <f t="shared" si="142"/>
        <v>COMFOI</v>
      </c>
      <c r="T456" s="23" t="str">
        <f t="shared" si="143"/>
        <v>COMWAROldWHEUE</v>
      </c>
      <c r="U456" s="23" t="str">
        <f t="shared" si="144"/>
        <v>COMWAROldWHEUE</v>
      </c>
      <c r="V456" s="24">
        <v>2050</v>
      </c>
      <c r="W456" s="24" t="str">
        <f>W455</f>
        <v>UP</v>
      </c>
      <c r="X456" s="24"/>
      <c r="Y456" s="25">
        <f>-ROUNDUP(MIN(SUMIFS('COM RESID'!$O:$O,'COM RESID'!$H:$H,$E456,'COM RESID'!$I:$I,$F456)/SUMIFS('COM RESID'!$O:$O,'COM RESID'!$I:$I,$F456)*AC456,1),3)</f>
        <v>-0.109</v>
      </c>
      <c r="Z456" s="24"/>
      <c r="AA456" s="24"/>
      <c r="AB456" s="26"/>
      <c r="AC456" s="27">
        <f>IF(S456="COMELC",IF(SUMIFS('COM RESID'!$O:$O,'COM RESID'!$H:$H,$E456,'COM RESID'!$I:$I,$F456)/SUMIFS('COM RESID'!$O:$O,'COM RESID'!$I:$I,$F456)*3&lt;1,1/(SUMIFS('COM RESID'!$O:$O,'COM RESID'!$H:$H,$E456,'COM RESID'!$I:$I,$F456)/SUMIFS('COM RESID'!$O:$O,'COM RESID'!$I:$I,$F456)),3),IF(ISNUMBER(SEARCH("WHEUE",T454)),IF(OR(S454="COMNGA",S454="COMFOI"),0.75,3),3))</f>
        <v>0.75</v>
      </c>
    </row>
    <row r="457" spans="1:29" x14ac:dyDescent="0.25">
      <c r="A457" s="19">
        <f>A453+1</f>
        <v>114</v>
      </c>
      <c r="B457" s="10"/>
      <c r="C457" s="11" t="str">
        <f>IF(E457="","",IF(_xlfn.XLOOKUP($A457,Selected_constraint_UC!$A:$A,Selected_constraint_UC!$D:$D)=1,"*",IF(SUMIFS('COM TECH'!$N:$N,'COM TECH'!$K:$K,E457,'COM TECH'!$L:$L,F457)=0,"*",IF(SUMIFS('COM RESID'!$O:$O,'COM RESID'!$H:$H,$E457,'COM RESID'!$I:$I,$F457)=0,"*","UC_MarketShare_"&amp;LEFT(F457,LEN(F457)-3)&amp;"_"&amp;RIGHT(E457,3)&amp;"_MIN"))))</f>
        <v>UC_MarketShare_COMWAROldWH_NGA_MIN</v>
      </c>
      <c r="D457" s="12"/>
      <c r="E457" s="13" t="str">
        <f>_xlfn.XLOOKUP($A457,Selected_constraint_UC!$A:$A,Selected_constraint_UC!$B:$B)</f>
        <v>COMNGA</v>
      </c>
      <c r="F457" s="13" t="str">
        <f>_xlfn.XLOOKUP($A457,Selected_constraint_UC!$A:$A,Selected_constraint_UC!$C:$C)</f>
        <v>COMWAROldWHEUE</v>
      </c>
      <c r="G457" s="13" t="str">
        <f>F457</f>
        <v>COMWAROldWHEUE</v>
      </c>
      <c r="H457" s="14">
        <v>2019</v>
      </c>
      <c r="I457" s="14" t="s">
        <v>3848</v>
      </c>
      <c r="J457" s="14">
        <v>1</v>
      </c>
      <c r="K457" s="15">
        <f>-ROUNDDOWN(SUMIFS('COM RESID'!$O:$O,'COM RESID'!$H:$H,$E457,'COM RESID'!$I:$I,$F457)/SUMIFS('COM RESID'!$O:$O,'COM RESID'!$I:$I,$F457),3)*O457</f>
        <v>-0.27733999999999998</v>
      </c>
      <c r="L457" s="14">
        <v>0</v>
      </c>
      <c r="M457" s="14">
        <v>5</v>
      </c>
      <c r="N457" s="10"/>
      <c r="O457" s="20">
        <v>0.98</v>
      </c>
      <c r="Q457" s="11" t="str">
        <f t="shared" si="140"/>
        <v>UC_MarketShare_COMWAROldWH_NGA_MAX</v>
      </c>
      <c r="R457" s="12"/>
      <c r="S457" s="13" t="str">
        <f t="shared" si="142"/>
        <v>COMNGA</v>
      </c>
      <c r="T457" s="13" t="str">
        <f t="shared" si="143"/>
        <v>COMWAROldWHEUE</v>
      </c>
      <c r="U457" s="13" t="str">
        <f t="shared" si="144"/>
        <v>COMWAROldWHEUE</v>
      </c>
      <c r="V457" s="14">
        <v>2019</v>
      </c>
      <c r="W457" s="14" t="s">
        <v>3849</v>
      </c>
      <c r="X457" s="14">
        <v>1</v>
      </c>
      <c r="Y457" s="15">
        <f>-ROUNDUP(MIN(SUMIFS('COM RESID'!$O:$O,'COM RESID'!$H:$H,$E457,'COM RESID'!$I:$I,$F457)/SUMIFS('COM RESID'!$O:$O,'COM RESID'!$I:$I,$F457)*AC457,1),3)</f>
        <v>-0.28999999999999998</v>
      </c>
      <c r="Z457" s="14">
        <v>0</v>
      </c>
      <c r="AA457" s="14">
        <v>5</v>
      </c>
      <c r="AB457" s="10"/>
      <c r="AC457" s="20">
        <v>1.02</v>
      </c>
    </row>
    <row r="458" spans="1:29" x14ac:dyDescent="0.25">
      <c r="A458" s="10">
        <f>A457</f>
        <v>114</v>
      </c>
      <c r="B458" s="10"/>
      <c r="C458" s="11" t="str">
        <f>IF(C457="*",C457,"")</f>
        <v/>
      </c>
      <c r="D458" s="12"/>
      <c r="E458" s="13" t="str">
        <f t="shared" ref="E458:G460" si="145">E457</f>
        <v>COMNGA</v>
      </c>
      <c r="F458" s="13" t="str">
        <f t="shared" si="145"/>
        <v>COMWAROldWHEUE</v>
      </c>
      <c r="G458" s="13" t="str">
        <f t="shared" si="145"/>
        <v>COMWAROldWHEUE</v>
      </c>
      <c r="H458" s="14">
        <v>2025</v>
      </c>
      <c r="I458" s="14" t="str">
        <f>I457</f>
        <v>LO</v>
      </c>
      <c r="J458" s="14"/>
      <c r="K458" s="15">
        <f>-ROUNDDOWN(SUMIFS('COM RESID'!$O:$O,'COM RESID'!$H:$H,$E458,'COM RESID'!$I:$I,$F458)/SUMIFS('COM RESID'!$O:$O,'COM RESID'!$I:$I,$F458),3)*O458</f>
        <v>-0.22639999999999999</v>
      </c>
      <c r="L458" s="14"/>
      <c r="M458" s="14"/>
      <c r="N458" s="10"/>
      <c r="O458" s="20">
        <v>0.8</v>
      </c>
      <c r="Q458" s="11" t="str">
        <f t="shared" si="140"/>
        <v/>
      </c>
      <c r="R458" s="12"/>
      <c r="S458" s="13" t="str">
        <f t="shared" si="142"/>
        <v>COMNGA</v>
      </c>
      <c r="T458" s="13" t="str">
        <f t="shared" si="143"/>
        <v>COMWAROldWHEUE</v>
      </c>
      <c r="U458" s="13" t="str">
        <f t="shared" si="144"/>
        <v>COMWAROldWHEUE</v>
      </c>
      <c r="V458" s="14">
        <v>2025</v>
      </c>
      <c r="W458" s="14" t="str">
        <f>W457</f>
        <v>UP</v>
      </c>
      <c r="X458" s="14"/>
      <c r="Y458" s="15">
        <f>-ROUNDUP(MIN(SUMIFS('COM RESID'!$O:$O,'COM RESID'!$H:$H,$E458,'COM RESID'!$I:$I,$F458)/SUMIFS('COM RESID'!$O:$O,'COM RESID'!$I:$I,$F458)*AC458,1),3)</f>
        <v>-0.28399999999999997</v>
      </c>
      <c r="Z458" s="14"/>
      <c r="AA458" s="14"/>
      <c r="AB458" s="10"/>
      <c r="AC458" s="20">
        <f>IF(S458="COMELC",IF(SUMIFS('COM RESID'!$O:$O,'COM RESID'!$H:$H,$E458,'COM RESID'!$I:$I,$F458)/SUMIFS('COM RESID'!$O:$O,'COM RESID'!$I:$I,$F458)*1.2&lt;0.25,0.25/(SUMIFS('COM RESID'!$O:$O,'COM RESID'!$H:$H,$E458,'COM RESID'!$I:$I,$F458)/SUMIFS('COM RESID'!$O:$O,'COM RESID'!$I:$I,$F458)),1.2),IF(ISNUMBER(SEARCH("WHEUE",T458)),IF(OR(S458="COMNGA",S458="COMFOI"),1,1.2),1.2))</f>
        <v>1</v>
      </c>
    </row>
    <row r="459" spans="1:29" x14ac:dyDescent="0.25">
      <c r="A459" s="10">
        <f>A458</f>
        <v>114</v>
      </c>
      <c r="B459" s="10"/>
      <c r="C459" s="11" t="str">
        <f>IF(C458="*",C458,"")</f>
        <v/>
      </c>
      <c r="D459" s="12"/>
      <c r="E459" s="13" t="str">
        <f t="shared" si="145"/>
        <v>COMNGA</v>
      </c>
      <c r="F459" s="13" t="str">
        <f t="shared" si="145"/>
        <v>COMWAROldWHEUE</v>
      </c>
      <c r="G459" s="13" t="str">
        <f t="shared" si="145"/>
        <v>COMWAROldWHEUE</v>
      </c>
      <c r="H459" s="14">
        <v>2030</v>
      </c>
      <c r="I459" s="14" t="str">
        <f>I458</f>
        <v>LO</v>
      </c>
      <c r="J459" s="14"/>
      <c r="K459" s="15">
        <f>-ROUNDDOWN(SUMIFS('COM RESID'!$O:$O,'COM RESID'!$H:$H,$E459,'COM RESID'!$I:$I,$F459)/SUMIFS('COM RESID'!$O:$O,'COM RESID'!$I:$I,$F459),3)*O459</f>
        <v>-5.6599999999999998E-2</v>
      </c>
      <c r="L459" s="14"/>
      <c r="M459" s="14"/>
      <c r="N459" s="10"/>
      <c r="O459" s="20">
        <v>0.2</v>
      </c>
      <c r="Q459" s="11" t="str">
        <f t="shared" si="140"/>
        <v/>
      </c>
      <c r="R459" s="12"/>
      <c r="S459" s="13" t="str">
        <f t="shared" si="142"/>
        <v>COMNGA</v>
      </c>
      <c r="T459" s="13" t="str">
        <f t="shared" si="143"/>
        <v>COMWAROldWHEUE</v>
      </c>
      <c r="U459" s="13" t="str">
        <f t="shared" si="144"/>
        <v>COMWAROldWHEUE</v>
      </c>
      <c r="V459" s="14">
        <v>2030</v>
      </c>
      <c r="W459" s="14" t="str">
        <f>W458</f>
        <v>UP</v>
      </c>
      <c r="X459" s="14"/>
      <c r="Y459" s="15">
        <f>-ROUNDUP(MIN(SUMIFS('COM RESID'!$O:$O,'COM RESID'!$H:$H,$E459,'COM RESID'!$I:$I,$F459)/SUMIFS('COM RESID'!$O:$O,'COM RESID'!$I:$I,$F459)*AC459,1),3)</f>
        <v>-0.25600000000000001</v>
      </c>
      <c r="Z459" s="14"/>
      <c r="AA459" s="14"/>
      <c r="AB459" s="10"/>
      <c r="AC459" s="20">
        <f>IF(S459="COMELC",IF(SUMIFS('COM RESID'!$O:$O,'COM RESID'!$H:$H,$E459,'COM RESID'!$I:$I,$F459)/SUMIFS('COM RESID'!$O:$O,'COM RESID'!$I:$I,$F459)*1.5&lt;0.5,0.5/(SUMIFS('COM RESID'!$O:$O,'COM RESID'!$H:$H,$E459,'COM RESID'!$I:$I,$F459)/SUMIFS('COM RESID'!$O:$O,'COM RESID'!$I:$I,$F459)),1.5),IF(ISNUMBER(SEARCH("WHEUE",T458)),IF(OR(S458="COMNGA",S458="COMFOI"),0.9,1.5),1.5))</f>
        <v>0.9</v>
      </c>
    </row>
    <row r="460" spans="1:29" x14ac:dyDescent="0.25">
      <c r="A460" s="26">
        <f>A459</f>
        <v>114</v>
      </c>
      <c r="B460" s="26"/>
      <c r="C460" s="21" t="str">
        <f>IF(C459="*",C459,"")</f>
        <v/>
      </c>
      <c r="D460" s="22"/>
      <c r="E460" s="23" t="str">
        <f t="shared" si="145"/>
        <v>COMNGA</v>
      </c>
      <c r="F460" s="23" t="str">
        <f t="shared" si="145"/>
        <v>COMWAROldWHEUE</v>
      </c>
      <c r="G460" s="23" t="str">
        <f t="shared" si="145"/>
        <v>COMWAROldWHEUE</v>
      </c>
      <c r="H460" s="24">
        <v>2050</v>
      </c>
      <c r="I460" s="24" t="str">
        <f>I459</f>
        <v>LO</v>
      </c>
      <c r="J460" s="24"/>
      <c r="K460" s="25">
        <f>-ROUNDDOWN(SUMIFS('COM RESID'!$O:$O,'COM RESID'!$H:$H,$E460,'COM RESID'!$I:$I,$F460)/SUMIFS('COM RESID'!$O:$O,'COM RESID'!$I:$I,$F460),3)*O460</f>
        <v>0</v>
      </c>
      <c r="L460" s="24"/>
      <c r="M460" s="24"/>
      <c r="N460" s="26"/>
      <c r="O460" s="27">
        <v>0</v>
      </c>
      <c r="Q460" s="21" t="str">
        <f t="shared" si="140"/>
        <v/>
      </c>
      <c r="R460" s="22"/>
      <c r="S460" s="23" t="str">
        <f t="shared" si="142"/>
        <v>COMNGA</v>
      </c>
      <c r="T460" s="23" t="str">
        <f t="shared" si="143"/>
        <v>COMWAROldWHEUE</v>
      </c>
      <c r="U460" s="23" t="str">
        <f t="shared" si="144"/>
        <v>COMWAROldWHEUE</v>
      </c>
      <c r="V460" s="24">
        <v>2050</v>
      </c>
      <c r="W460" s="24" t="str">
        <f>W459</f>
        <v>UP</v>
      </c>
      <c r="X460" s="24"/>
      <c r="Y460" s="25">
        <f>-ROUNDUP(MIN(SUMIFS('COM RESID'!$O:$O,'COM RESID'!$H:$H,$E460,'COM RESID'!$I:$I,$F460)/SUMIFS('COM RESID'!$O:$O,'COM RESID'!$I:$I,$F460)*AC460,1),3)</f>
        <v>-0.21299999999999999</v>
      </c>
      <c r="Z460" s="24"/>
      <c r="AA460" s="24"/>
      <c r="AB460" s="26"/>
      <c r="AC460" s="27">
        <f>IF(S460="COMELC",IF(SUMIFS('COM RESID'!$O:$O,'COM RESID'!$H:$H,$E460,'COM RESID'!$I:$I,$F460)/SUMIFS('COM RESID'!$O:$O,'COM RESID'!$I:$I,$F460)*3&lt;1,1/(SUMIFS('COM RESID'!$O:$O,'COM RESID'!$H:$H,$E460,'COM RESID'!$I:$I,$F460)/SUMIFS('COM RESID'!$O:$O,'COM RESID'!$I:$I,$F460)),3),IF(ISNUMBER(SEARCH("WHEUE",T458)),IF(OR(S458="COMNGA",S458="COMFOI"),0.75,3),3))</f>
        <v>0.75</v>
      </c>
    </row>
    <row r="461" spans="1:29" x14ac:dyDescent="0.25">
      <c r="A461" s="19">
        <f>A457+1</f>
        <v>115</v>
      </c>
      <c r="B461" s="10"/>
      <c r="C461" s="11" t="str">
        <f>IF(E461="","",IF(_xlfn.XLOOKUP($A461,Selected_constraint_UC!$A:$A,Selected_constraint_UC!$D:$D)=1,"*",IF(SUMIFS('COM TECH'!$N:$N,'COM TECH'!$K:$K,E461,'COM TECH'!$L:$L,F461)=0,"*",IF(SUMIFS('COM RESID'!$O:$O,'COM RESID'!$H:$H,$E461,'COM RESID'!$I:$I,$F461)=0,"*","UC_MarketShare_"&amp;LEFT(F461,LEN(F461)-3)&amp;"_"&amp;RIGHT(E461,3)&amp;"_MIN"))))</f>
        <v>*</v>
      </c>
      <c r="D461" s="12"/>
      <c r="E461" s="13" t="str">
        <f>_xlfn.XLOOKUP($A461,Selected_constraint_UC!$A:$A,Selected_constraint_UC!$B:$B)</f>
        <v>COMSTM</v>
      </c>
      <c r="F461" s="13" t="str">
        <f>_xlfn.XLOOKUP($A461,Selected_constraint_UC!$A:$A,Selected_constraint_UC!$C:$C)</f>
        <v>COMWAROldWHEUE</v>
      </c>
      <c r="G461" s="13" t="str">
        <f>F461</f>
        <v>COMWAROldWHEUE</v>
      </c>
      <c r="H461" s="14">
        <v>2019</v>
      </c>
      <c r="I461" s="14" t="s">
        <v>3848</v>
      </c>
      <c r="J461" s="14">
        <v>1</v>
      </c>
      <c r="K461" s="15">
        <f>-ROUNDDOWN(SUMIFS('COM RESID'!$O:$O,'COM RESID'!$H:$H,$E461,'COM RESID'!$I:$I,$F461)/SUMIFS('COM RESID'!$O:$O,'COM RESID'!$I:$I,$F461),3)*O461</f>
        <v>0</v>
      </c>
      <c r="L461" s="14">
        <v>0</v>
      </c>
      <c r="M461" s="14">
        <v>5</v>
      </c>
      <c r="N461" s="10"/>
      <c r="O461" s="20">
        <v>0.98</v>
      </c>
      <c r="Q461" s="11" t="str">
        <f t="shared" si="140"/>
        <v>*</v>
      </c>
      <c r="R461" s="12"/>
      <c r="S461" s="13" t="str">
        <f t="shared" si="142"/>
        <v>COMSTM</v>
      </c>
      <c r="T461" s="13" t="str">
        <f t="shared" si="143"/>
        <v>COMWAROldWHEUE</v>
      </c>
      <c r="U461" s="13" t="str">
        <f t="shared" si="144"/>
        <v>COMWAROldWHEUE</v>
      </c>
      <c r="V461" s="14">
        <v>2019</v>
      </c>
      <c r="W461" s="14" t="s">
        <v>3849</v>
      </c>
      <c r="X461" s="14">
        <v>1</v>
      </c>
      <c r="Y461" s="15">
        <f>-ROUNDUP(MIN(SUMIFS('COM RESID'!$O:$O,'COM RESID'!$H:$H,$E461,'COM RESID'!$I:$I,$F461)/SUMIFS('COM RESID'!$O:$O,'COM RESID'!$I:$I,$F461)*AC461,1),3)</f>
        <v>0</v>
      </c>
      <c r="Z461" s="14">
        <v>0</v>
      </c>
      <c r="AA461" s="14">
        <v>5</v>
      </c>
      <c r="AB461" s="10"/>
      <c r="AC461" s="20">
        <v>1.02</v>
      </c>
    </row>
    <row r="462" spans="1:29" x14ac:dyDescent="0.25">
      <c r="A462" s="10">
        <f>A461</f>
        <v>115</v>
      </c>
      <c r="B462" s="10"/>
      <c r="C462" s="11" t="str">
        <f>IF(C461="*",C461,"")</f>
        <v>*</v>
      </c>
      <c r="D462" s="12"/>
      <c r="E462" s="13" t="str">
        <f t="shared" ref="E462:G464" si="146">E461</f>
        <v>COMSTM</v>
      </c>
      <c r="F462" s="13" t="str">
        <f t="shared" si="146"/>
        <v>COMWAROldWHEUE</v>
      </c>
      <c r="G462" s="13" t="str">
        <f t="shared" si="146"/>
        <v>COMWAROldWHEUE</v>
      </c>
      <c r="H462" s="14">
        <v>2025</v>
      </c>
      <c r="I462" s="14" t="str">
        <f>I461</f>
        <v>LO</v>
      </c>
      <c r="J462" s="14"/>
      <c r="K462" s="15">
        <f>-ROUNDDOWN(SUMIFS('COM RESID'!$O:$O,'COM RESID'!$H:$H,$E462,'COM RESID'!$I:$I,$F462)/SUMIFS('COM RESID'!$O:$O,'COM RESID'!$I:$I,$F462),3)*O462</f>
        <v>0</v>
      </c>
      <c r="L462" s="14"/>
      <c r="M462" s="14"/>
      <c r="N462" s="10"/>
      <c r="O462" s="20">
        <v>0.8</v>
      </c>
      <c r="Q462" s="11" t="str">
        <f t="shared" si="140"/>
        <v>*</v>
      </c>
      <c r="R462" s="12"/>
      <c r="S462" s="13" t="str">
        <f t="shared" si="142"/>
        <v>COMSTM</v>
      </c>
      <c r="T462" s="13" t="str">
        <f t="shared" si="143"/>
        <v>COMWAROldWHEUE</v>
      </c>
      <c r="U462" s="13" t="str">
        <f t="shared" si="144"/>
        <v>COMWAROldWHEUE</v>
      </c>
      <c r="V462" s="14">
        <v>2025</v>
      </c>
      <c r="W462" s="14" t="str">
        <f>W461</f>
        <v>UP</v>
      </c>
      <c r="X462" s="14"/>
      <c r="Y462" s="15">
        <f>-ROUNDUP(MIN(SUMIFS('COM RESID'!$O:$O,'COM RESID'!$H:$H,$E462,'COM RESID'!$I:$I,$F462)/SUMIFS('COM RESID'!$O:$O,'COM RESID'!$I:$I,$F462)*AC462,1),3)</f>
        <v>0</v>
      </c>
      <c r="Z462" s="14"/>
      <c r="AA462" s="14"/>
      <c r="AB462" s="10"/>
      <c r="AC462" s="20">
        <f>IF(S462="COMELC",IF(SUMIFS('COM RESID'!$O:$O,'COM RESID'!$H:$H,$E462,'COM RESID'!$I:$I,$F462)/SUMIFS('COM RESID'!$O:$O,'COM RESID'!$I:$I,$F462)*1.2&lt;0.25,0.25/(SUMIFS('COM RESID'!$O:$O,'COM RESID'!$H:$H,$E462,'COM RESID'!$I:$I,$F462)/SUMIFS('COM RESID'!$O:$O,'COM RESID'!$I:$I,$F462)),1.2),IF(ISNUMBER(SEARCH("WHEUE",T462)),IF(OR(S462="COMNGA",S462="COMFOI"),1,1.2),1.2))</f>
        <v>1.2</v>
      </c>
    </row>
    <row r="463" spans="1:29" x14ac:dyDescent="0.25">
      <c r="A463" s="10">
        <f>A462</f>
        <v>115</v>
      </c>
      <c r="B463" s="10"/>
      <c r="C463" s="11" t="str">
        <f>IF(C462="*",C462,"")</f>
        <v>*</v>
      </c>
      <c r="D463" s="12"/>
      <c r="E463" s="13" t="str">
        <f t="shared" si="146"/>
        <v>COMSTM</v>
      </c>
      <c r="F463" s="13" t="str">
        <f t="shared" si="146"/>
        <v>COMWAROldWHEUE</v>
      </c>
      <c r="G463" s="13" t="str">
        <f t="shared" si="146"/>
        <v>COMWAROldWHEUE</v>
      </c>
      <c r="H463" s="14">
        <v>2030</v>
      </c>
      <c r="I463" s="14" t="str">
        <f>I462</f>
        <v>LO</v>
      </c>
      <c r="J463" s="14"/>
      <c r="K463" s="15">
        <f>-ROUNDDOWN(SUMIFS('COM RESID'!$O:$O,'COM RESID'!$H:$H,$E463,'COM RESID'!$I:$I,$F463)/SUMIFS('COM RESID'!$O:$O,'COM RESID'!$I:$I,$F463),3)*O463</f>
        <v>0</v>
      </c>
      <c r="L463" s="14"/>
      <c r="M463" s="14"/>
      <c r="N463" s="10"/>
      <c r="O463" s="20">
        <v>0.2</v>
      </c>
      <c r="Q463" s="11" t="str">
        <f t="shared" si="140"/>
        <v>*</v>
      </c>
      <c r="R463" s="12"/>
      <c r="S463" s="13" t="str">
        <f t="shared" si="142"/>
        <v>COMSTM</v>
      </c>
      <c r="T463" s="13" t="str">
        <f t="shared" si="143"/>
        <v>COMWAROldWHEUE</v>
      </c>
      <c r="U463" s="13" t="str">
        <f t="shared" si="144"/>
        <v>COMWAROldWHEUE</v>
      </c>
      <c r="V463" s="14">
        <v>2030</v>
      </c>
      <c r="W463" s="14" t="str">
        <f>W462</f>
        <v>UP</v>
      </c>
      <c r="X463" s="14"/>
      <c r="Y463" s="15">
        <f>-ROUNDUP(MIN(SUMIFS('COM RESID'!$O:$O,'COM RESID'!$H:$H,$E463,'COM RESID'!$I:$I,$F463)/SUMIFS('COM RESID'!$O:$O,'COM RESID'!$I:$I,$F463)*AC463,1),3)</f>
        <v>0</v>
      </c>
      <c r="Z463" s="14"/>
      <c r="AA463" s="14"/>
      <c r="AB463" s="10"/>
      <c r="AC463" s="20">
        <f>IF(S463="COMELC",IF(SUMIFS('COM RESID'!$O:$O,'COM RESID'!$H:$H,$E463,'COM RESID'!$I:$I,$F463)/SUMIFS('COM RESID'!$O:$O,'COM RESID'!$I:$I,$F463)*1.5&lt;0.5,0.5/(SUMIFS('COM RESID'!$O:$O,'COM RESID'!$H:$H,$E463,'COM RESID'!$I:$I,$F463)/SUMIFS('COM RESID'!$O:$O,'COM RESID'!$I:$I,$F463)),1.5),IF(ISNUMBER(SEARCH("WHEUE",T462)),IF(OR(S462="COMNGA",S462="COMFOI"),0.9,1.5),1.5))</f>
        <v>1.5</v>
      </c>
    </row>
    <row r="464" spans="1:29" x14ac:dyDescent="0.25">
      <c r="A464" s="26">
        <f>A463</f>
        <v>115</v>
      </c>
      <c r="B464" s="26"/>
      <c r="C464" s="21" t="str">
        <f>IF(C463="*",C463,"")</f>
        <v>*</v>
      </c>
      <c r="D464" s="22"/>
      <c r="E464" s="23" t="str">
        <f t="shared" si="146"/>
        <v>COMSTM</v>
      </c>
      <c r="F464" s="23" t="str">
        <f t="shared" si="146"/>
        <v>COMWAROldWHEUE</v>
      </c>
      <c r="G464" s="23" t="str">
        <f t="shared" si="146"/>
        <v>COMWAROldWHEUE</v>
      </c>
      <c r="H464" s="24">
        <v>2050</v>
      </c>
      <c r="I464" s="24" t="str">
        <f>I463</f>
        <v>LO</v>
      </c>
      <c r="J464" s="24"/>
      <c r="K464" s="25">
        <f>-ROUNDDOWN(SUMIFS('COM RESID'!$O:$O,'COM RESID'!$H:$H,$E464,'COM RESID'!$I:$I,$F464)/SUMIFS('COM RESID'!$O:$O,'COM RESID'!$I:$I,$F464),3)*O464</f>
        <v>0</v>
      </c>
      <c r="L464" s="24"/>
      <c r="M464" s="24"/>
      <c r="N464" s="26"/>
      <c r="O464" s="27">
        <v>0</v>
      </c>
      <c r="Q464" s="21" t="str">
        <f t="shared" si="140"/>
        <v>*</v>
      </c>
      <c r="R464" s="22"/>
      <c r="S464" s="23" t="str">
        <f t="shared" si="142"/>
        <v>COMSTM</v>
      </c>
      <c r="T464" s="23" t="str">
        <f t="shared" si="143"/>
        <v>COMWAROldWHEUE</v>
      </c>
      <c r="U464" s="23" t="str">
        <f t="shared" si="144"/>
        <v>COMWAROldWHEUE</v>
      </c>
      <c r="V464" s="24">
        <v>2050</v>
      </c>
      <c r="W464" s="24" t="str">
        <f>W463</f>
        <v>UP</v>
      </c>
      <c r="X464" s="24"/>
      <c r="Y464" s="25">
        <f>-ROUNDUP(MIN(SUMIFS('COM RESID'!$O:$O,'COM RESID'!$H:$H,$E464,'COM RESID'!$I:$I,$F464)/SUMIFS('COM RESID'!$O:$O,'COM RESID'!$I:$I,$F464)*AC464,1),3)</f>
        <v>0</v>
      </c>
      <c r="Z464" s="24"/>
      <c r="AA464" s="24"/>
      <c r="AB464" s="26"/>
      <c r="AC464" s="27">
        <f>IF(S464="COMELC",IF(SUMIFS('COM RESID'!$O:$O,'COM RESID'!$H:$H,$E464,'COM RESID'!$I:$I,$F464)/SUMIFS('COM RESID'!$O:$O,'COM RESID'!$I:$I,$F464)*3&lt;1,1/(SUMIFS('COM RESID'!$O:$O,'COM RESID'!$H:$H,$E464,'COM RESID'!$I:$I,$F464)/SUMIFS('COM RESID'!$O:$O,'COM RESID'!$I:$I,$F464)),3),IF(ISNUMBER(SEARCH("WHEUE",T462)),IF(OR(S462="COMNGA",S462="COMFOI"),0.75,3),3))</f>
        <v>3</v>
      </c>
    </row>
    <row r="465" spans="1:29" x14ac:dyDescent="0.25">
      <c r="A465" s="19">
        <f>A461+1</f>
        <v>116</v>
      </c>
      <c r="B465" s="10"/>
      <c r="C465" s="11" t="str">
        <f>IF(E465="","",IF(_xlfn.XLOOKUP($A465,Selected_constraint_UC!$A:$A,Selected_constraint_UC!$D:$D)=1,"*",IF(SUMIFS('COM TECH'!$N:$N,'COM TECH'!$K:$K,E465,'COM TECH'!$L:$L,F465)=0,"*",IF(SUMIFS('COM RESID'!$O:$O,'COM RESID'!$H:$H,$E465,'COM RESID'!$I:$I,$F465)=0,"*","UC_MarketShare_"&amp;LEFT(F465,LEN(F465)-3)&amp;"_"&amp;RIGHT(E465,3)&amp;"_MIN"))))</f>
        <v>UC_MarketShare_COMWAROldWH_ELC_MIN</v>
      </c>
      <c r="D465" s="12"/>
      <c r="E465" s="13" t="str">
        <f>_xlfn.XLOOKUP($A465,Selected_constraint_UC!$A:$A,Selected_constraint_UC!$B:$B)</f>
        <v>COMELC</v>
      </c>
      <c r="F465" s="13" t="str">
        <f>_xlfn.XLOOKUP($A465,Selected_constraint_UC!$A:$A,Selected_constraint_UC!$C:$C)</f>
        <v>COMWAROldWHEUE</v>
      </c>
      <c r="G465" s="13" t="str">
        <f>F465</f>
        <v>COMWAROldWHEUE</v>
      </c>
      <c r="H465" s="14">
        <v>2019</v>
      </c>
      <c r="I465" s="14" t="s">
        <v>3848</v>
      </c>
      <c r="J465" s="14">
        <v>1</v>
      </c>
      <c r="K465" s="15">
        <f>-ROUNDDOWN(SUMIFS('COM RESID'!$O:$O,'COM RESID'!$H:$H,$E465,'COM RESID'!$I:$I,$F465)/SUMIFS('COM RESID'!$O:$O,'COM RESID'!$I:$I,$F465),3)*O465</f>
        <v>-0.55957999999999997</v>
      </c>
      <c r="L465" s="14">
        <v>0</v>
      </c>
      <c r="M465" s="14">
        <v>5</v>
      </c>
      <c r="N465" s="10"/>
      <c r="O465" s="20">
        <v>0.98</v>
      </c>
      <c r="Q465" s="11" t="str">
        <f t="shared" si="140"/>
        <v>UC_MarketShare_COMWAROldWH_ELC_MAX</v>
      </c>
      <c r="R465" s="12"/>
      <c r="S465" s="13" t="str">
        <f t="shared" si="142"/>
        <v>COMELC</v>
      </c>
      <c r="T465" s="13" t="str">
        <f t="shared" si="143"/>
        <v>COMWAROldWHEUE</v>
      </c>
      <c r="U465" s="13" t="str">
        <f t="shared" si="144"/>
        <v>COMWAROldWHEUE</v>
      </c>
      <c r="V465" s="14">
        <v>2019</v>
      </c>
      <c r="W465" s="14" t="s">
        <v>3849</v>
      </c>
      <c r="X465" s="14">
        <v>1</v>
      </c>
      <c r="Y465" s="15">
        <f>-ROUNDUP(MIN(SUMIFS('COM RESID'!$O:$O,'COM RESID'!$H:$H,$E465,'COM RESID'!$I:$I,$F465)/SUMIFS('COM RESID'!$O:$O,'COM RESID'!$I:$I,$F465)*AC465,1),3)</f>
        <v>-0.58299999999999996</v>
      </c>
      <c r="Z465" s="14">
        <v>0</v>
      </c>
      <c r="AA465" s="14">
        <v>5</v>
      </c>
      <c r="AB465" s="10"/>
      <c r="AC465" s="20">
        <v>1.02</v>
      </c>
    </row>
    <row r="466" spans="1:29" x14ac:dyDescent="0.25">
      <c r="A466" s="10">
        <f>A465</f>
        <v>116</v>
      </c>
      <c r="B466" s="10"/>
      <c r="C466" s="11" t="str">
        <f>IF(C465="*",C465,"")</f>
        <v/>
      </c>
      <c r="D466" s="12"/>
      <c r="E466" s="13" t="str">
        <f t="shared" ref="E466:G468" si="147">E465</f>
        <v>COMELC</v>
      </c>
      <c r="F466" s="13" t="str">
        <f t="shared" si="147"/>
        <v>COMWAROldWHEUE</v>
      </c>
      <c r="G466" s="13" t="str">
        <f t="shared" si="147"/>
        <v>COMWAROldWHEUE</v>
      </c>
      <c r="H466" s="14">
        <v>2025</v>
      </c>
      <c r="I466" s="14" t="str">
        <f>I465</f>
        <v>LO</v>
      </c>
      <c r="J466" s="14"/>
      <c r="K466" s="15">
        <f>-ROUNDDOWN(SUMIFS('COM RESID'!$O:$O,'COM RESID'!$H:$H,$E466,'COM RESID'!$I:$I,$F466)/SUMIFS('COM RESID'!$O:$O,'COM RESID'!$I:$I,$F466),3)*O466</f>
        <v>-0.45679999999999998</v>
      </c>
      <c r="L466" s="14"/>
      <c r="M466" s="14"/>
      <c r="N466" s="10"/>
      <c r="O466" s="20">
        <v>0.8</v>
      </c>
      <c r="Q466" s="11" t="str">
        <f t="shared" si="140"/>
        <v/>
      </c>
      <c r="R466" s="12"/>
      <c r="S466" s="13" t="str">
        <f t="shared" si="142"/>
        <v>COMELC</v>
      </c>
      <c r="T466" s="13" t="str">
        <f t="shared" si="143"/>
        <v>COMWAROldWHEUE</v>
      </c>
      <c r="U466" s="13" t="str">
        <f t="shared" si="144"/>
        <v>COMWAROldWHEUE</v>
      </c>
      <c r="V466" s="14">
        <v>2025</v>
      </c>
      <c r="W466" s="14" t="str">
        <f>W465</f>
        <v>UP</v>
      </c>
      <c r="X466" s="14"/>
      <c r="Y466" s="15">
        <f>-ROUNDUP(MIN(SUMIFS('COM RESID'!$O:$O,'COM RESID'!$H:$H,$E466,'COM RESID'!$I:$I,$F466)/SUMIFS('COM RESID'!$O:$O,'COM RESID'!$I:$I,$F466)*AC466,1),3)</f>
        <v>-0.68600000000000005</v>
      </c>
      <c r="Z466" s="14"/>
      <c r="AA466" s="14"/>
      <c r="AB466" s="10"/>
      <c r="AC466" s="20">
        <f>IF(S466="COMELC",IF(SUMIFS('COM RESID'!$O:$O,'COM RESID'!$H:$H,$E466,'COM RESID'!$I:$I,$F466)/SUMIFS('COM RESID'!$O:$O,'COM RESID'!$I:$I,$F466)*1.2&lt;0.25,0.25/(SUMIFS('COM RESID'!$O:$O,'COM RESID'!$H:$H,$E466,'COM RESID'!$I:$I,$F466)/SUMIFS('COM RESID'!$O:$O,'COM RESID'!$I:$I,$F466)),1.2),IF(ISNUMBER(SEARCH("WHEUE",T466)),IF(OR(S466="COMNGA",S466="COMFOI"),1,1.2),1.2))</f>
        <v>1.2</v>
      </c>
    </row>
    <row r="467" spans="1:29" x14ac:dyDescent="0.25">
      <c r="A467" s="10">
        <f>A466</f>
        <v>116</v>
      </c>
      <c r="B467" s="10"/>
      <c r="C467" s="11" t="str">
        <f>IF(C466="*",C466,"")</f>
        <v/>
      </c>
      <c r="D467" s="12"/>
      <c r="E467" s="13" t="str">
        <f t="shared" si="147"/>
        <v>COMELC</v>
      </c>
      <c r="F467" s="13" t="str">
        <f t="shared" si="147"/>
        <v>COMWAROldWHEUE</v>
      </c>
      <c r="G467" s="13" t="str">
        <f t="shared" si="147"/>
        <v>COMWAROldWHEUE</v>
      </c>
      <c r="H467" s="14">
        <v>2030</v>
      </c>
      <c r="I467" s="14" t="str">
        <f>I466</f>
        <v>LO</v>
      </c>
      <c r="J467" s="14"/>
      <c r="K467" s="15">
        <f>-ROUNDDOWN(SUMIFS('COM RESID'!$O:$O,'COM RESID'!$H:$H,$E467,'COM RESID'!$I:$I,$F467)/SUMIFS('COM RESID'!$O:$O,'COM RESID'!$I:$I,$F467),3)*O467</f>
        <v>-0.42824999999999996</v>
      </c>
      <c r="L467" s="14"/>
      <c r="M467" s="14"/>
      <c r="N467" s="10"/>
      <c r="O467" s="20">
        <v>0.75</v>
      </c>
      <c r="Q467" s="11" t="str">
        <f t="shared" si="140"/>
        <v/>
      </c>
      <c r="R467" s="12"/>
      <c r="S467" s="13" t="str">
        <f t="shared" si="142"/>
        <v>COMELC</v>
      </c>
      <c r="T467" s="13" t="str">
        <f t="shared" si="143"/>
        <v>COMWAROldWHEUE</v>
      </c>
      <c r="U467" s="13" t="str">
        <f t="shared" si="144"/>
        <v>COMWAROldWHEUE</v>
      </c>
      <c r="V467" s="14">
        <v>2030</v>
      </c>
      <c r="W467" s="14" t="str">
        <f>W466</f>
        <v>UP</v>
      </c>
      <c r="X467" s="14"/>
      <c r="Y467" s="15">
        <f>-ROUNDUP(MIN(SUMIFS('COM RESID'!$O:$O,'COM RESID'!$H:$H,$E467,'COM RESID'!$I:$I,$F467)/SUMIFS('COM RESID'!$O:$O,'COM RESID'!$I:$I,$F467)*AC467,1),3)</f>
        <v>-0.85699999999999998</v>
      </c>
      <c r="Z467" s="14"/>
      <c r="AA467" s="14"/>
      <c r="AB467" s="10"/>
      <c r="AC467" s="20">
        <f>IF(S467="COMELC",IF(SUMIFS('COM RESID'!$O:$O,'COM RESID'!$H:$H,$E467,'COM RESID'!$I:$I,$F467)/SUMIFS('COM RESID'!$O:$O,'COM RESID'!$I:$I,$F467)*1.5&lt;0.5,0.5/(SUMIFS('COM RESID'!$O:$O,'COM RESID'!$H:$H,$E467,'COM RESID'!$I:$I,$F467)/SUMIFS('COM RESID'!$O:$O,'COM RESID'!$I:$I,$F467)),1.5),IF(ISNUMBER(SEARCH("WHEUE",T466)),IF(OR(S466="COMNGA",S466="COMFOI"),0.9,1.5),1.5))</f>
        <v>1.5</v>
      </c>
    </row>
    <row r="468" spans="1:29" x14ac:dyDescent="0.25">
      <c r="A468" s="26">
        <f>A467</f>
        <v>116</v>
      </c>
      <c r="B468" s="26"/>
      <c r="C468" s="21" t="str">
        <f>IF(C467="*",C467,"")</f>
        <v/>
      </c>
      <c r="D468" s="22"/>
      <c r="E468" s="23" t="str">
        <f t="shared" si="147"/>
        <v>COMELC</v>
      </c>
      <c r="F468" s="23" t="str">
        <f t="shared" si="147"/>
        <v>COMWAROldWHEUE</v>
      </c>
      <c r="G468" s="23" t="str">
        <f t="shared" si="147"/>
        <v>COMWAROldWHEUE</v>
      </c>
      <c r="H468" s="24">
        <v>2050</v>
      </c>
      <c r="I468" s="24" t="str">
        <f>I467</f>
        <v>LO</v>
      </c>
      <c r="J468" s="24"/>
      <c r="K468" s="25">
        <f>-ROUNDDOWN(SUMIFS('COM RESID'!$O:$O,'COM RESID'!$H:$H,$E468,'COM RESID'!$I:$I,$F468)/SUMIFS('COM RESID'!$O:$O,'COM RESID'!$I:$I,$F468),3)*O468</f>
        <v>-0.42824999999999996</v>
      </c>
      <c r="L468" s="24"/>
      <c r="M468" s="24"/>
      <c r="N468" s="26"/>
      <c r="O468" s="27">
        <v>0.75</v>
      </c>
      <c r="Q468" s="21" t="str">
        <f t="shared" si="140"/>
        <v/>
      </c>
      <c r="R468" s="22"/>
      <c r="S468" s="23" t="str">
        <f t="shared" si="142"/>
        <v>COMELC</v>
      </c>
      <c r="T468" s="23" t="str">
        <f t="shared" si="143"/>
        <v>COMWAROldWHEUE</v>
      </c>
      <c r="U468" s="23" t="str">
        <f t="shared" si="144"/>
        <v>COMWAROldWHEUE</v>
      </c>
      <c r="V468" s="24">
        <v>2050</v>
      </c>
      <c r="W468" s="24" t="str">
        <f>W467</f>
        <v>UP</v>
      </c>
      <c r="X468" s="24"/>
      <c r="Y468" s="25">
        <f>-ROUNDUP(MIN(SUMIFS('COM RESID'!$O:$O,'COM RESID'!$H:$H,$E468,'COM RESID'!$I:$I,$F468)/SUMIFS('COM RESID'!$O:$O,'COM RESID'!$I:$I,$F468)*AC468,1),3)</f>
        <v>-1</v>
      </c>
      <c r="Z468" s="24"/>
      <c r="AA468" s="24"/>
      <c r="AB468" s="26"/>
      <c r="AC468" s="27">
        <f>IF(S468="COMELC",IF(SUMIFS('COM RESID'!$O:$O,'COM RESID'!$H:$H,$E468,'COM RESID'!$I:$I,$F468)/SUMIFS('COM RESID'!$O:$O,'COM RESID'!$I:$I,$F468)*3&lt;1,1/(SUMIFS('COM RESID'!$O:$O,'COM RESID'!$H:$H,$E468,'COM RESID'!$I:$I,$F468)/SUMIFS('COM RESID'!$O:$O,'COM RESID'!$I:$I,$F468)),3),IF(ISNUMBER(SEARCH("WHEUE",T466)),IF(OR(S466="COMNGA",S466="COMFOI"),0.75,3),3))</f>
        <v>3</v>
      </c>
    </row>
    <row r="469" spans="1:29" x14ac:dyDescent="0.25">
      <c r="A469" s="19">
        <f>A465+1</f>
        <v>117</v>
      </c>
      <c r="B469" s="10"/>
      <c r="C469" s="11" t="str">
        <f>IF(E469="","",IF(_xlfn.XLOOKUP($A469,Selected_constraint_UC!$A:$A,Selected_constraint_UC!$D:$D)=1,"*",IF(SUMIFS('COM TECH'!$N:$N,'COM TECH'!$K:$K,E469,'COM TECH'!$L:$L,F469)=0,"*",IF(SUMIFS('COM RESID'!$O:$O,'COM RESID'!$H:$H,$E469,'COM RESID'!$I:$I,$F469)=0,"*","UC_MarketShare_"&amp;LEFT(F469,LEN(F469)-3)&amp;"_"&amp;RIGHT(E469,3)&amp;"_MIN"))))</f>
        <v>*</v>
      </c>
      <c r="D469" s="12"/>
      <c r="E469" s="13" t="str">
        <f>_xlfn.XLOOKUP($A469,Selected_constraint_UC!$A:$A,Selected_constraint_UC!$B:$B)</f>
        <v>COMELC</v>
      </c>
      <c r="F469" s="13" t="str">
        <f>_xlfn.XLOOKUP($A469,Selected_constraint_UC!$A:$A,Selected_constraint_UC!$C:$C)</f>
        <v>COMWAROldLTEUE</v>
      </c>
      <c r="G469" s="13" t="str">
        <f>F469</f>
        <v>COMWAROldLTEUE</v>
      </c>
      <c r="H469" s="14">
        <v>2019</v>
      </c>
      <c r="I469" s="14" t="s">
        <v>3848</v>
      </c>
      <c r="J469" s="14">
        <v>1</v>
      </c>
      <c r="K469" s="15">
        <f>-ROUNDDOWN(SUMIFS('COM RESID'!$O:$O,'COM RESID'!$H:$H,$E469,'COM RESID'!$I:$I,$F469)/SUMIFS('COM RESID'!$O:$O,'COM RESID'!$I:$I,$F469),3)*O469</f>
        <v>-0.98</v>
      </c>
      <c r="L469" s="14">
        <v>0</v>
      </c>
      <c r="M469" s="14">
        <v>5</v>
      </c>
      <c r="N469" s="10"/>
      <c r="O469" s="20">
        <v>0.98</v>
      </c>
      <c r="Q469" s="11" t="str">
        <f t="shared" si="140"/>
        <v>*</v>
      </c>
      <c r="R469" s="12"/>
      <c r="S469" s="13" t="str">
        <f t="shared" si="142"/>
        <v>COMELC</v>
      </c>
      <c r="T469" s="13" t="str">
        <f t="shared" si="143"/>
        <v>COMWAROldLTEUE</v>
      </c>
      <c r="U469" s="13" t="str">
        <f t="shared" si="144"/>
        <v>COMWAROldLTEUE</v>
      </c>
      <c r="V469" s="14">
        <v>2019</v>
      </c>
      <c r="W469" s="14" t="s">
        <v>3849</v>
      </c>
      <c r="X469" s="14">
        <v>1</v>
      </c>
      <c r="Y469" s="15">
        <f>-ROUNDUP(MIN(SUMIFS('COM RESID'!$O:$O,'COM RESID'!$H:$H,$E469,'COM RESID'!$I:$I,$F469)/SUMIFS('COM RESID'!$O:$O,'COM RESID'!$I:$I,$F469)*AC469,1),3)</f>
        <v>-1</v>
      </c>
      <c r="Z469" s="14">
        <v>0</v>
      </c>
      <c r="AA469" s="14">
        <v>5</v>
      </c>
      <c r="AB469" s="10"/>
      <c r="AC469" s="20">
        <v>1.02</v>
      </c>
    </row>
    <row r="470" spans="1:29" x14ac:dyDescent="0.25">
      <c r="A470" s="10">
        <f>A469</f>
        <v>117</v>
      </c>
      <c r="B470" s="10"/>
      <c r="C470" s="11" t="str">
        <f>IF(C469="*",C469,"")</f>
        <v>*</v>
      </c>
      <c r="D470" s="12"/>
      <c r="E470" s="13" t="str">
        <f t="shared" ref="E470:G472" si="148">E469</f>
        <v>COMELC</v>
      </c>
      <c r="F470" s="13" t="str">
        <f t="shared" si="148"/>
        <v>COMWAROldLTEUE</v>
      </c>
      <c r="G470" s="13" t="str">
        <f t="shared" si="148"/>
        <v>COMWAROldLTEUE</v>
      </c>
      <c r="H470" s="14">
        <v>2025</v>
      </c>
      <c r="I470" s="14" t="str">
        <f>I469</f>
        <v>LO</v>
      </c>
      <c r="J470" s="14"/>
      <c r="K470" s="15">
        <f>-ROUNDDOWN(SUMIFS('COM RESID'!$O:$O,'COM RESID'!$H:$H,$E470,'COM RESID'!$I:$I,$F470)/SUMIFS('COM RESID'!$O:$O,'COM RESID'!$I:$I,$F470),3)*O470</f>
        <v>-0.8</v>
      </c>
      <c r="L470" s="14"/>
      <c r="M470" s="14"/>
      <c r="N470" s="10"/>
      <c r="O470" s="20">
        <v>0.8</v>
      </c>
      <c r="Q470" s="11" t="str">
        <f t="shared" si="140"/>
        <v>*</v>
      </c>
      <c r="R470" s="12"/>
      <c r="S470" s="13" t="str">
        <f t="shared" si="142"/>
        <v>COMELC</v>
      </c>
      <c r="T470" s="13" t="str">
        <f t="shared" si="143"/>
        <v>COMWAROldLTEUE</v>
      </c>
      <c r="U470" s="13" t="str">
        <f t="shared" si="144"/>
        <v>COMWAROldLTEUE</v>
      </c>
      <c r="V470" s="14">
        <v>2025</v>
      </c>
      <c r="W470" s="14" t="str">
        <f>W469</f>
        <v>UP</v>
      </c>
      <c r="X470" s="14"/>
      <c r="Y470" s="15">
        <f>-ROUNDUP(MIN(SUMIFS('COM RESID'!$O:$O,'COM RESID'!$H:$H,$E470,'COM RESID'!$I:$I,$F470)/SUMIFS('COM RESID'!$O:$O,'COM RESID'!$I:$I,$F470)*AC470,1),3)</f>
        <v>-1</v>
      </c>
      <c r="Z470" s="14"/>
      <c r="AA470" s="14"/>
      <c r="AB470" s="10"/>
      <c r="AC470" s="20">
        <f>IF(S470="COMELC",IF(SUMIFS('COM RESID'!$O:$O,'COM RESID'!$H:$H,$E470,'COM RESID'!$I:$I,$F470)/SUMIFS('COM RESID'!$O:$O,'COM RESID'!$I:$I,$F470)*1.2&lt;0.25,0.25/(SUMIFS('COM RESID'!$O:$O,'COM RESID'!$H:$H,$E470,'COM RESID'!$I:$I,$F470)/SUMIFS('COM RESID'!$O:$O,'COM RESID'!$I:$I,$F470)),1.2),IF(ISNUMBER(SEARCH("WHEUE",T470)),IF(OR(S470="COMNGA",S470="COMFOI"),1,1.2),1.2))</f>
        <v>1.2</v>
      </c>
    </row>
    <row r="471" spans="1:29" x14ac:dyDescent="0.25">
      <c r="A471" s="10">
        <f>A470</f>
        <v>117</v>
      </c>
      <c r="B471" s="10"/>
      <c r="C471" s="11" t="str">
        <f>IF(C470="*",C470,"")</f>
        <v>*</v>
      </c>
      <c r="D471" s="12"/>
      <c r="E471" s="13" t="str">
        <f t="shared" si="148"/>
        <v>COMELC</v>
      </c>
      <c r="F471" s="13" t="str">
        <f t="shared" si="148"/>
        <v>COMWAROldLTEUE</v>
      </c>
      <c r="G471" s="13" t="str">
        <f t="shared" si="148"/>
        <v>COMWAROldLTEUE</v>
      </c>
      <c r="H471" s="14">
        <v>2030</v>
      </c>
      <c r="I471" s="14" t="str">
        <f>I470</f>
        <v>LO</v>
      </c>
      <c r="J471" s="14"/>
      <c r="K471" s="15">
        <f>-ROUNDDOWN(SUMIFS('COM RESID'!$O:$O,'COM RESID'!$H:$H,$E471,'COM RESID'!$I:$I,$F471)/SUMIFS('COM RESID'!$O:$O,'COM RESID'!$I:$I,$F471),3)*O471</f>
        <v>-0.2</v>
      </c>
      <c r="L471" s="14"/>
      <c r="M471" s="14"/>
      <c r="N471" s="10"/>
      <c r="O471" s="20">
        <v>0.2</v>
      </c>
      <c r="Q471" s="11" t="str">
        <f t="shared" si="140"/>
        <v>*</v>
      </c>
      <c r="R471" s="12"/>
      <c r="S471" s="13" t="str">
        <f t="shared" si="142"/>
        <v>COMELC</v>
      </c>
      <c r="T471" s="13" t="str">
        <f t="shared" si="143"/>
        <v>COMWAROldLTEUE</v>
      </c>
      <c r="U471" s="13" t="str">
        <f t="shared" si="144"/>
        <v>COMWAROldLTEUE</v>
      </c>
      <c r="V471" s="14">
        <v>2030</v>
      </c>
      <c r="W471" s="14" t="str">
        <f>W470</f>
        <v>UP</v>
      </c>
      <c r="X471" s="14"/>
      <c r="Y471" s="15">
        <f>-ROUNDUP(MIN(SUMIFS('COM RESID'!$O:$O,'COM RESID'!$H:$H,$E471,'COM RESID'!$I:$I,$F471)/SUMIFS('COM RESID'!$O:$O,'COM RESID'!$I:$I,$F471)*AC471,1),3)</f>
        <v>-1</v>
      </c>
      <c r="Z471" s="14"/>
      <c r="AA471" s="14"/>
      <c r="AB471" s="10"/>
      <c r="AC471" s="20">
        <f>IF(S471="COMELC",IF(SUMIFS('COM RESID'!$O:$O,'COM RESID'!$H:$H,$E471,'COM RESID'!$I:$I,$F471)/SUMIFS('COM RESID'!$O:$O,'COM RESID'!$I:$I,$F471)*1.5&lt;0.5,0.5/(SUMIFS('COM RESID'!$O:$O,'COM RESID'!$H:$H,$E471,'COM RESID'!$I:$I,$F471)/SUMIFS('COM RESID'!$O:$O,'COM RESID'!$I:$I,$F471)),1.5),IF(ISNUMBER(SEARCH("WHEUE",T470)),IF(OR(S470="COMNGA",S470="COMFOI"),0.9,1.5),1.5))</f>
        <v>1.5</v>
      </c>
    </row>
    <row r="472" spans="1:29" x14ac:dyDescent="0.25">
      <c r="A472" s="26">
        <f>A471</f>
        <v>117</v>
      </c>
      <c r="B472" s="26"/>
      <c r="C472" s="21" t="str">
        <f>IF(C471="*",C471,"")</f>
        <v>*</v>
      </c>
      <c r="D472" s="22"/>
      <c r="E472" s="23" t="str">
        <f t="shared" si="148"/>
        <v>COMELC</v>
      </c>
      <c r="F472" s="23" t="str">
        <f t="shared" si="148"/>
        <v>COMWAROldLTEUE</v>
      </c>
      <c r="G472" s="23" t="str">
        <f t="shared" si="148"/>
        <v>COMWAROldLTEUE</v>
      </c>
      <c r="H472" s="24">
        <v>2050</v>
      </c>
      <c r="I472" s="24" t="str">
        <f>I471</f>
        <v>LO</v>
      </c>
      <c r="J472" s="24"/>
      <c r="K472" s="25">
        <f>-ROUNDDOWN(SUMIFS('COM RESID'!$O:$O,'COM RESID'!$H:$H,$E472,'COM RESID'!$I:$I,$F472)/SUMIFS('COM RESID'!$O:$O,'COM RESID'!$I:$I,$F472),3)*O472</f>
        <v>0</v>
      </c>
      <c r="L472" s="24"/>
      <c r="M472" s="24"/>
      <c r="N472" s="26"/>
      <c r="O472" s="27">
        <v>0</v>
      </c>
      <c r="Q472" s="21" t="str">
        <f t="shared" si="140"/>
        <v>*</v>
      </c>
      <c r="R472" s="22"/>
      <c r="S472" s="23" t="str">
        <f t="shared" si="142"/>
        <v>COMELC</v>
      </c>
      <c r="T472" s="23" t="str">
        <f t="shared" si="143"/>
        <v>COMWAROldLTEUE</v>
      </c>
      <c r="U472" s="23" t="str">
        <f t="shared" si="144"/>
        <v>COMWAROldLTEUE</v>
      </c>
      <c r="V472" s="24">
        <v>2050</v>
      </c>
      <c r="W472" s="24" t="str">
        <f>W471</f>
        <v>UP</v>
      </c>
      <c r="X472" s="24"/>
      <c r="Y472" s="25">
        <f>-ROUNDUP(MIN(SUMIFS('COM RESID'!$O:$O,'COM RESID'!$H:$H,$E472,'COM RESID'!$I:$I,$F472)/SUMIFS('COM RESID'!$O:$O,'COM RESID'!$I:$I,$F472)*AC472,1),3)</f>
        <v>-1</v>
      </c>
      <c r="Z472" s="24"/>
      <c r="AA472" s="24"/>
      <c r="AB472" s="26"/>
      <c r="AC472" s="27">
        <f>IF(S472="COMELC",IF(SUMIFS('COM RESID'!$O:$O,'COM RESID'!$H:$H,$E472,'COM RESID'!$I:$I,$F472)/SUMIFS('COM RESID'!$O:$O,'COM RESID'!$I:$I,$F472)*3&lt;1,1/(SUMIFS('COM RESID'!$O:$O,'COM RESID'!$H:$H,$E472,'COM RESID'!$I:$I,$F472)/SUMIFS('COM RESID'!$O:$O,'COM RESID'!$I:$I,$F472)),3),IF(ISNUMBER(SEARCH("WHEUE",T470)),IF(OR(S470="COMNGA",S470="COMFOI"),0.75,3),3))</f>
        <v>3</v>
      </c>
    </row>
    <row r="473" spans="1:29" x14ac:dyDescent="0.25">
      <c r="A473" s="19">
        <f>A469+1</f>
        <v>118</v>
      </c>
      <c r="B473" s="10"/>
      <c r="C473" s="11" t="str">
        <f>IF(E473="","",IF(_xlfn.XLOOKUP($A473,Selected_constraint_UC!$A:$A,Selected_constraint_UC!$D:$D)=1,"*",IF(SUMIFS('COM TECH'!$N:$N,'COM TECH'!$K:$K,E473,'COM TECH'!$L:$L,F473)=0,"*",IF(SUMIFS('COM RESID'!$O:$O,'COM RESID'!$H:$H,$E473,'COM RESID'!$I:$I,$F473)=0,"*","UC_MarketShare_"&amp;LEFT(F473,LEN(F473)-3)&amp;"_"&amp;RIGHT(E473,3)&amp;"_MIN"))))</f>
        <v>*</v>
      </c>
      <c r="D473" s="12"/>
      <c r="E473" s="13" t="str">
        <f>_xlfn.XLOOKUP($A473,Selected_constraint_UC!$A:$A,Selected_constraint_UC!$B:$B)</f>
        <v>COMFOI</v>
      </c>
      <c r="F473" s="13" t="str">
        <f>_xlfn.XLOOKUP($A473,Selected_constraint_UC!$A:$A,Selected_constraint_UC!$C:$C)</f>
        <v>COMWAROldCKEUE</v>
      </c>
      <c r="G473" s="13" t="str">
        <f>F473</f>
        <v>COMWAROldCKEUE</v>
      </c>
      <c r="H473" s="14">
        <v>2019</v>
      </c>
      <c r="I473" s="14" t="s">
        <v>3848</v>
      </c>
      <c r="J473" s="14">
        <v>1</v>
      </c>
      <c r="K473" s="15">
        <f>-ROUNDDOWN(SUMIFS('COM RESID'!$O:$O,'COM RESID'!$H:$H,$E473,'COM RESID'!$I:$I,$F473)/SUMIFS('COM RESID'!$O:$O,'COM RESID'!$I:$I,$F473),3)*O473</f>
        <v>0</v>
      </c>
      <c r="L473" s="14">
        <v>0</v>
      </c>
      <c r="M473" s="14">
        <v>5</v>
      </c>
      <c r="N473" s="10"/>
      <c r="O473" s="20">
        <v>0.98</v>
      </c>
      <c r="Q473" s="11" t="str">
        <f t="shared" si="140"/>
        <v>*</v>
      </c>
      <c r="R473" s="12"/>
      <c r="S473" s="13" t="str">
        <f t="shared" si="142"/>
        <v>COMFOI</v>
      </c>
      <c r="T473" s="13" t="str">
        <f t="shared" si="143"/>
        <v>COMWAROldCKEUE</v>
      </c>
      <c r="U473" s="13" t="str">
        <f t="shared" si="144"/>
        <v>COMWAROldCKEUE</v>
      </c>
      <c r="V473" s="14">
        <v>2019</v>
      </c>
      <c r="W473" s="14" t="s">
        <v>3849</v>
      </c>
      <c r="X473" s="14">
        <v>1</v>
      </c>
      <c r="Y473" s="15">
        <f>-ROUNDUP(MIN(SUMIFS('COM RESID'!$O:$O,'COM RESID'!$H:$H,$E473,'COM RESID'!$I:$I,$F473)/SUMIFS('COM RESID'!$O:$O,'COM RESID'!$I:$I,$F473)*AC473,1),3)</f>
        <v>0</v>
      </c>
      <c r="Z473" s="14">
        <v>0</v>
      </c>
      <c r="AA473" s="14">
        <v>5</v>
      </c>
      <c r="AB473" s="10"/>
      <c r="AC473" s="20">
        <v>1.02</v>
      </c>
    </row>
    <row r="474" spans="1:29" x14ac:dyDescent="0.25">
      <c r="A474" s="10">
        <f>A473</f>
        <v>118</v>
      </c>
      <c r="B474" s="10"/>
      <c r="C474" s="11" t="str">
        <f>IF(C473="*",C473,"")</f>
        <v>*</v>
      </c>
      <c r="D474" s="12"/>
      <c r="E474" s="13" t="str">
        <f t="shared" ref="E474:G476" si="149">E473</f>
        <v>COMFOI</v>
      </c>
      <c r="F474" s="13" t="str">
        <f t="shared" si="149"/>
        <v>COMWAROldCKEUE</v>
      </c>
      <c r="G474" s="13" t="str">
        <f t="shared" si="149"/>
        <v>COMWAROldCKEUE</v>
      </c>
      <c r="H474" s="14">
        <v>2025</v>
      </c>
      <c r="I474" s="14" t="str">
        <f>I473</f>
        <v>LO</v>
      </c>
      <c r="J474" s="14"/>
      <c r="K474" s="15">
        <f>-ROUNDDOWN(SUMIFS('COM RESID'!$O:$O,'COM RESID'!$H:$H,$E474,'COM RESID'!$I:$I,$F474)/SUMIFS('COM RESID'!$O:$O,'COM RESID'!$I:$I,$F474),3)*O474</f>
        <v>0</v>
      </c>
      <c r="L474" s="14"/>
      <c r="M474" s="14"/>
      <c r="N474" s="10"/>
      <c r="O474" s="20">
        <v>0.8</v>
      </c>
      <c r="Q474" s="11" t="str">
        <f t="shared" si="140"/>
        <v>*</v>
      </c>
      <c r="R474" s="12"/>
      <c r="S474" s="13" t="str">
        <f t="shared" si="142"/>
        <v>COMFOI</v>
      </c>
      <c r="T474" s="13" t="str">
        <f t="shared" si="143"/>
        <v>COMWAROldCKEUE</v>
      </c>
      <c r="U474" s="13" t="str">
        <f t="shared" si="144"/>
        <v>COMWAROldCKEUE</v>
      </c>
      <c r="V474" s="14">
        <v>2025</v>
      </c>
      <c r="W474" s="14" t="str">
        <f>W473</f>
        <v>UP</v>
      </c>
      <c r="X474" s="14"/>
      <c r="Y474" s="15">
        <f>-ROUNDUP(MIN(SUMIFS('COM RESID'!$O:$O,'COM RESID'!$H:$H,$E474,'COM RESID'!$I:$I,$F474)/SUMIFS('COM RESID'!$O:$O,'COM RESID'!$I:$I,$F474)*AC474,1),3)</f>
        <v>0</v>
      </c>
      <c r="Z474" s="14"/>
      <c r="AA474" s="14"/>
      <c r="AB474" s="10"/>
      <c r="AC474" s="20">
        <f>IF(S474="COMELC",IF(SUMIFS('COM RESID'!$O:$O,'COM RESID'!$H:$H,$E474,'COM RESID'!$I:$I,$F474)/SUMIFS('COM RESID'!$O:$O,'COM RESID'!$I:$I,$F474)*1.2&lt;0.25,0.25/(SUMIFS('COM RESID'!$O:$O,'COM RESID'!$H:$H,$E474,'COM RESID'!$I:$I,$F474)/SUMIFS('COM RESID'!$O:$O,'COM RESID'!$I:$I,$F474)),1.2),IF(ISNUMBER(SEARCH("WHEUE",T474)),IF(OR(S474="COMNGA",S474="COMFOI"),1,1.2),1.2))</f>
        <v>1.2</v>
      </c>
    </row>
    <row r="475" spans="1:29" x14ac:dyDescent="0.25">
      <c r="A475" s="10">
        <f>A474</f>
        <v>118</v>
      </c>
      <c r="B475" s="10"/>
      <c r="C475" s="11" t="str">
        <f>IF(C474="*",C474,"")</f>
        <v>*</v>
      </c>
      <c r="D475" s="12"/>
      <c r="E475" s="13" t="str">
        <f t="shared" si="149"/>
        <v>COMFOI</v>
      </c>
      <c r="F475" s="13" t="str">
        <f t="shared" si="149"/>
        <v>COMWAROldCKEUE</v>
      </c>
      <c r="G475" s="13" t="str">
        <f t="shared" si="149"/>
        <v>COMWAROldCKEUE</v>
      </c>
      <c r="H475" s="14">
        <v>2030</v>
      </c>
      <c r="I475" s="14" t="str">
        <f>I474</f>
        <v>LO</v>
      </c>
      <c r="J475" s="14"/>
      <c r="K475" s="15">
        <f>-ROUNDDOWN(SUMIFS('COM RESID'!$O:$O,'COM RESID'!$H:$H,$E475,'COM RESID'!$I:$I,$F475)/SUMIFS('COM RESID'!$O:$O,'COM RESID'!$I:$I,$F475),3)*O475</f>
        <v>0</v>
      </c>
      <c r="L475" s="14"/>
      <c r="M475" s="14"/>
      <c r="N475" s="10"/>
      <c r="O475" s="20">
        <v>0.2</v>
      </c>
      <c r="Q475" s="11" t="str">
        <f t="shared" si="140"/>
        <v>*</v>
      </c>
      <c r="R475" s="12"/>
      <c r="S475" s="13" t="str">
        <f t="shared" si="142"/>
        <v>COMFOI</v>
      </c>
      <c r="T475" s="13" t="str">
        <f t="shared" si="143"/>
        <v>COMWAROldCKEUE</v>
      </c>
      <c r="U475" s="13" t="str">
        <f t="shared" si="144"/>
        <v>COMWAROldCKEUE</v>
      </c>
      <c r="V475" s="14">
        <v>2030</v>
      </c>
      <c r="W475" s="14" t="str">
        <f>W474</f>
        <v>UP</v>
      </c>
      <c r="X475" s="14"/>
      <c r="Y475" s="15">
        <f>-ROUNDUP(MIN(SUMIFS('COM RESID'!$O:$O,'COM RESID'!$H:$H,$E475,'COM RESID'!$I:$I,$F475)/SUMIFS('COM RESID'!$O:$O,'COM RESID'!$I:$I,$F475)*AC475,1),3)</f>
        <v>0</v>
      </c>
      <c r="Z475" s="14"/>
      <c r="AA475" s="14"/>
      <c r="AB475" s="10"/>
      <c r="AC475" s="20">
        <f>IF(S475="COMELC",IF(SUMIFS('COM RESID'!$O:$O,'COM RESID'!$H:$H,$E475,'COM RESID'!$I:$I,$F475)/SUMIFS('COM RESID'!$O:$O,'COM RESID'!$I:$I,$F475)*1.5&lt;0.5,0.5/(SUMIFS('COM RESID'!$O:$O,'COM RESID'!$H:$H,$E475,'COM RESID'!$I:$I,$F475)/SUMIFS('COM RESID'!$O:$O,'COM RESID'!$I:$I,$F475)),1.5),IF(ISNUMBER(SEARCH("WHEUE",T474)),IF(OR(S474="COMNGA",S474="COMFOI"),0.9,1.5),1.5))</f>
        <v>1.5</v>
      </c>
    </row>
    <row r="476" spans="1:29" x14ac:dyDescent="0.25">
      <c r="A476" s="26">
        <f>A475</f>
        <v>118</v>
      </c>
      <c r="B476" s="26"/>
      <c r="C476" s="21" t="str">
        <f>IF(C475="*",C475,"")</f>
        <v>*</v>
      </c>
      <c r="D476" s="22"/>
      <c r="E476" s="23" t="str">
        <f t="shared" si="149"/>
        <v>COMFOI</v>
      </c>
      <c r="F476" s="23" t="str">
        <f t="shared" si="149"/>
        <v>COMWAROldCKEUE</v>
      </c>
      <c r="G476" s="23" t="str">
        <f t="shared" si="149"/>
        <v>COMWAROldCKEUE</v>
      </c>
      <c r="H476" s="24">
        <v>2050</v>
      </c>
      <c r="I476" s="24" t="str">
        <f>I475</f>
        <v>LO</v>
      </c>
      <c r="J476" s="24"/>
      <c r="K476" s="25">
        <f>-ROUNDDOWN(SUMIFS('COM RESID'!$O:$O,'COM RESID'!$H:$H,$E476,'COM RESID'!$I:$I,$F476)/SUMIFS('COM RESID'!$O:$O,'COM RESID'!$I:$I,$F476),3)*O476</f>
        <v>0</v>
      </c>
      <c r="L476" s="24"/>
      <c r="M476" s="24"/>
      <c r="N476" s="26"/>
      <c r="O476" s="27">
        <v>0</v>
      </c>
      <c r="Q476" s="21" t="str">
        <f t="shared" si="140"/>
        <v>*</v>
      </c>
      <c r="R476" s="22"/>
      <c r="S476" s="23" t="str">
        <f t="shared" si="142"/>
        <v>COMFOI</v>
      </c>
      <c r="T476" s="23" t="str">
        <f t="shared" si="143"/>
        <v>COMWAROldCKEUE</v>
      </c>
      <c r="U476" s="23" t="str">
        <f t="shared" si="144"/>
        <v>COMWAROldCKEUE</v>
      </c>
      <c r="V476" s="24">
        <v>2050</v>
      </c>
      <c r="W476" s="24" t="str">
        <f>W475</f>
        <v>UP</v>
      </c>
      <c r="X476" s="24"/>
      <c r="Y476" s="25">
        <f>-ROUNDUP(MIN(SUMIFS('COM RESID'!$O:$O,'COM RESID'!$H:$H,$E476,'COM RESID'!$I:$I,$F476)/SUMIFS('COM RESID'!$O:$O,'COM RESID'!$I:$I,$F476)*AC476,1),3)</f>
        <v>0</v>
      </c>
      <c r="Z476" s="24"/>
      <c r="AA476" s="24"/>
      <c r="AB476" s="26"/>
      <c r="AC476" s="27">
        <f>IF(S476="COMELC",IF(SUMIFS('COM RESID'!$O:$O,'COM RESID'!$H:$H,$E476,'COM RESID'!$I:$I,$F476)/SUMIFS('COM RESID'!$O:$O,'COM RESID'!$I:$I,$F476)*3&lt;1,1/(SUMIFS('COM RESID'!$O:$O,'COM RESID'!$H:$H,$E476,'COM RESID'!$I:$I,$F476)/SUMIFS('COM RESID'!$O:$O,'COM RESID'!$I:$I,$F476)),3),IF(ISNUMBER(SEARCH("WHEUE",T474)),IF(OR(S474="COMNGA",S474="COMFOI"),0.75,3),3))</f>
        <v>3</v>
      </c>
    </row>
    <row r="477" spans="1:29" x14ac:dyDescent="0.25">
      <c r="A477" s="19">
        <f>A473+1</f>
        <v>119</v>
      </c>
      <c r="B477" s="10"/>
      <c r="C477" s="11" t="str">
        <f>IF(E477="","",IF(_xlfn.XLOOKUP($A477,Selected_constraint_UC!$A:$A,Selected_constraint_UC!$D:$D)=1,"*",IF(SUMIFS('COM TECH'!$N:$N,'COM TECH'!$K:$K,E477,'COM TECH'!$L:$L,F477)=0,"*",IF(SUMIFS('COM RESID'!$O:$O,'COM RESID'!$H:$H,$E477,'COM RESID'!$I:$I,$F477)=0,"*","UC_MarketShare_"&amp;LEFT(F477,LEN(F477)-3)&amp;"_"&amp;RIGHT(E477,3)&amp;"_MIN"))))</f>
        <v>*</v>
      </c>
      <c r="D477" s="12"/>
      <c r="E477" s="13" t="str">
        <f>_xlfn.XLOOKUP($A477,Selected_constraint_UC!$A:$A,Selected_constraint_UC!$B:$B)</f>
        <v>COMNGA</v>
      </c>
      <c r="F477" s="13" t="str">
        <f>_xlfn.XLOOKUP($A477,Selected_constraint_UC!$A:$A,Selected_constraint_UC!$C:$C)</f>
        <v>COMWAROldCKEUE</v>
      </c>
      <c r="G477" s="13" t="str">
        <f>F477</f>
        <v>COMWAROldCKEUE</v>
      </c>
      <c r="H477" s="14">
        <v>2019</v>
      </c>
      <c r="I477" s="14" t="s">
        <v>3848</v>
      </c>
      <c r="J477" s="14">
        <v>1</v>
      </c>
      <c r="K477" s="15">
        <f>-ROUNDDOWN(SUMIFS('COM RESID'!$O:$O,'COM RESID'!$H:$H,$E477,'COM RESID'!$I:$I,$F477)/SUMIFS('COM RESID'!$O:$O,'COM RESID'!$I:$I,$F477),3)*O477</f>
        <v>-0.92805999999999989</v>
      </c>
      <c r="L477" s="14">
        <v>0</v>
      </c>
      <c r="M477" s="14">
        <v>5</v>
      </c>
      <c r="N477" s="10"/>
      <c r="O477" s="20">
        <v>0.98</v>
      </c>
      <c r="Q477" s="11" t="str">
        <f t="shared" si="140"/>
        <v>*</v>
      </c>
      <c r="R477" s="12"/>
      <c r="S477" s="13" t="str">
        <f t="shared" si="142"/>
        <v>COMNGA</v>
      </c>
      <c r="T477" s="13" t="str">
        <f t="shared" si="143"/>
        <v>COMWAROldCKEUE</v>
      </c>
      <c r="U477" s="13" t="str">
        <f t="shared" si="144"/>
        <v>COMWAROldCKEUE</v>
      </c>
      <c r="V477" s="14">
        <v>2019</v>
      </c>
      <c r="W477" s="14" t="s">
        <v>3849</v>
      </c>
      <c r="X477" s="14">
        <v>1</v>
      </c>
      <c r="Y477" s="15">
        <f>-ROUNDUP(MIN(SUMIFS('COM RESID'!$O:$O,'COM RESID'!$H:$H,$E477,'COM RESID'!$I:$I,$F477)/SUMIFS('COM RESID'!$O:$O,'COM RESID'!$I:$I,$F477)*AC477,1),3)</f>
        <v>-0.96699999999999997</v>
      </c>
      <c r="Z477" s="14">
        <v>0</v>
      </c>
      <c r="AA477" s="14">
        <v>5</v>
      </c>
      <c r="AB477" s="10"/>
      <c r="AC477" s="20">
        <v>1.02</v>
      </c>
    </row>
    <row r="478" spans="1:29" x14ac:dyDescent="0.25">
      <c r="A478" s="10">
        <f>A477</f>
        <v>119</v>
      </c>
      <c r="B478" s="10"/>
      <c r="C478" s="11" t="str">
        <f>IF(C477="*",C477,"")</f>
        <v>*</v>
      </c>
      <c r="D478" s="12"/>
      <c r="E478" s="13" t="str">
        <f t="shared" ref="E478:G480" si="150">E477</f>
        <v>COMNGA</v>
      </c>
      <c r="F478" s="13" t="str">
        <f t="shared" si="150"/>
        <v>COMWAROldCKEUE</v>
      </c>
      <c r="G478" s="13" t="str">
        <f t="shared" si="150"/>
        <v>COMWAROldCKEUE</v>
      </c>
      <c r="H478" s="14">
        <v>2025</v>
      </c>
      <c r="I478" s="14" t="str">
        <f>I477</f>
        <v>LO</v>
      </c>
      <c r="J478" s="14"/>
      <c r="K478" s="15">
        <f>-ROUNDDOWN(SUMIFS('COM RESID'!$O:$O,'COM RESID'!$H:$H,$E478,'COM RESID'!$I:$I,$F478)/SUMIFS('COM RESID'!$O:$O,'COM RESID'!$I:$I,$F478),3)*O478</f>
        <v>-0.75760000000000005</v>
      </c>
      <c r="L478" s="14"/>
      <c r="M478" s="14"/>
      <c r="N478" s="10"/>
      <c r="O478" s="20">
        <v>0.8</v>
      </c>
      <c r="Q478" s="11" t="str">
        <f t="shared" si="140"/>
        <v>*</v>
      </c>
      <c r="R478" s="12"/>
      <c r="S478" s="13" t="str">
        <f t="shared" si="142"/>
        <v>COMNGA</v>
      </c>
      <c r="T478" s="13" t="str">
        <f t="shared" si="143"/>
        <v>COMWAROldCKEUE</v>
      </c>
      <c r="U478" s="13" t="str">
        <f t="shared" si="144"/>
        <v>COMWAROldCKEUE</v>
      </c>
      <c r="V478" s="14">
        <v>2025</v>
      </c>
      <c r="W478" s="14" t="str">
        <f>W477</f>
        <v>UP</v>
      </c>
      <c r="X478" s="14"/>
      <c r="Y478" s="15">
        <f>-ROUNDUP(MIN(SUMIFS('COM RESID'!$O:$O,'COM RESID'!$H:$H,$E478,'COM RESID'!$I:$I,$F478)/SUMIFS('COM RESID'!$O:$O,'COM RESID'!$I:$I,$F478)*AC478,1),3)</f>
        <v>-1</v>
      </c>
      <c r="Z478" s="14"/>
      <c r="AA478" s="14"/>
      <c r="AB478" s="10"/>
      <c r="AC478" s="20">
        <f>IF(S478="COMELC",IF(SUMIFS('COM RESID'!$O:$O,'COM RESID'!$H:$H,$E478,'COM RESID'!$I:$I,$F478)/SUMIFS('COM RESID'!$O:$O,'COM RESID'!$I:$I,$F478)*1.2&lt;0.25,0.25/(SUMIFS('COM RESID'!$O:$O,'COM RESID'!$H:$H,$E478,'COM RESID'!$I:$I,$F478)/SUMIFS('COM RESID'!$O:$O,'COM RESID'!$I:$I,$F478)),1.2),IF(ISNUMBER(SEARCH("WHEUE",T478)),IF(OR(S478="COMNGA",S478="COMFOI"),1,1.2),1.2))</f>
        <v>1.2</v>
      </c>
    </row>
    <row r="479" spans="1:29" x14ac:dyDescent="0.25">
      <c r="A479" s="10">
        <f>A478</f>
        <v>119</v>
      </c>
      <c r="B479" s="10"/>
      <c r="C479" s="11" t="str">
        <f>IF(C478="*",C478,"")</f>
        <v>*</v>
      </c>
      <c r="D479" s="12"/>
      <c r="E479" s="13" t="str">
        <f t="shared" si="150"/>
        <v>COMNGA</v>
      </c>
      <c r="F479" s="13" t="str">
        <f t="shared" si="150"/>
        <v>COMWAROldCKEUE</v>
      </c>
      <c r="G479" s="13" t="str">
        <f t="shared" si="150"/>
        <v>COMWAROldCKEUE</v>
      </c>
      <c r="H479" s="14">
        <v>2030</v>
      </c>
      <c r="I479" s="14" t="str">
        <f>I478</f>
        <v>LO</v>
      </c>
      <c r="J479" s="14"/>
      <c r="K479" s="15">
        <f>-ROUNDDOWN(SUMIFS('COM RESID'!$O:$O,'COM RESID'!$H:$H,$E479,'COM RESID'!$I:$I,$F479)/SUMIFS('COM RESID'!$O:$O,'COM RESID'!$I:$I,$F479),3)*O479</f>
        <v>-0.18940000000000001</v>
      </c>
      <c r="L479" s="14"/>
      <c r="M479" s="14"/>
      <c r="N479" s="10"/>
      <c r="O479" s="20">
        <v>0.2</v>
      </c>
      <c r="Q479" s="11" t="str">
        <f t="shared" si="140"/>
        <v>*</v>
      </c>
      <c r="R479" s="12"/>
      <c r="S479" s="13" t="str">
        <f t="shared" si="142"/>
        <v>COMNGA</v>
      </c>
      <c r="T479" s="13" t="str">
        <f t="shared" si="143"/>
        <v>COMWAROldCKEUE</v>
      </c>
      <c r="U479" s="13" t="str">
        <f t="shared" si="144"/>
        <v>COMWAROldCKEUE</v>
      </c>
      <c r="V479" s="14">
        <v>2030</v>
      </c>
      <c r="W479" s="14" t="str">
        <f>W478</f>
        <v>UP</v>
      </c>
      <c r="X479" s="14"/>
      <c r="Y479" s="15">
        <f>-ROUNDUP(MIN(SUMIFS('COM RESID'!$O:$O,'COM RESID'!$H:$H,$E479,'COM RESID'!$I:$I,$F479)/SUMIFS('COM RESID'!$O:$O,'COM RESID'!$I:$I,$F479)*AC479,1),3)</f>
        <v>-1</v>
      </c>
      <c r="Z479" s="14"/>
      <c r="AA479" s="14"/>
      <c r="AB479" s="10"/>
      <c r="AC479" s="20">
        <f>IF(S479="COMELC",IF(SUMIFS('COM RESID'!$O:$O,'COM RESID'!$H:$H,$E479,'COM RESID'!$I:$I,$F479)/SUMIFS('COM RESID'!$O:$O,'COM RESID'!$I:$I,$F479)*1.5&lt;0.5,0.5/(SUMIFS('COM RESID'!$O:$O,'COM RESID'!$H:$H,$E479,'COM RESID'!$I:$I,$F479)/SUMIFS('COM RESID'!$O:$O,'COM RESID'!$I:$I,$F479)),1.5),IF(ISNUMBER(SEARCH("WHEUE",T478)),IF(OR(S478="COMNGA",S478="COMFOI"),0.9,1.5),1.5))</f>
        <v>1.5</v>
      </c>
    </row>
    <row r="480" spans="1:29" x14ac:dyDescent="0.25">
      <c r="A480" s="26">
        <f>A479</f>
        <v>119</v>
      </c>
      <c r="B480" s="26"/>
      <c r="C480" s="21" t="str">
        <f>IF(C479="*",C479,"")</f>
        <v>*</v>
      </c>
      <c r="D480" s="22"/>
      <c r="E480" s="23" t="str">
        <f t="shared" si="150"/>
        <v>COMNGA</v>
      </c>
      <c r="F480" s="23" t="str">
        <f t="shared" si="150"/>
        <v>COMWAROldCKEUE</v>
      </c>
      <c r="G480" s="23" t="str">
        <f t="shared" si="150"/>
        <v>COMWAROldCKEUE</v>
      </c>
      <c r="H480" s="24">
        <v>2050</v>
      </c>
      <c r="I480" s="24" t="str">
        <f>I479</f>
        <v>LO</v>
      </c>
      <c r="J480" s="24"/>
      <c r="K480" s="25">
        <f>-ROUNDDOWN(SUMIFS('COM RESID'!$O:$O,'COM RESID'!$H:$H,$E480,'COM RESID'!$I:$I,$F480)/SUMIFS('COM RESID'!$O:$O,'COM RESID'!$I:$I,$F480),3)*O480</f>
        <v>0</v>
      </c>
      <c r="L480" s="24"/>
      <c r="M480" s="24"/>
      <c r="N480" s="26"/>
      <c r="O480" s="27">
        <v>0</v>
      </c>
      <c r="Q480" s="21" t="str">
        <f t="shared" si="140"/>
        <v>*</v>
      </c>
      <c r="R480" s="22"/>
      <c r="S480" s="23" t="str">
        <f t="shared" si="142"/>
        <v>COMNGA</v>
      </c>
      <c r="T480" s="23" t="str">
        <f t="shared" si="143"/>
        <v>COMWAROldCKEUE</v>
      </c>
      <c r="U480" s="23" t="str">
        <f t="shared" si="144"/>
        <v>COMWAROldCKEUE</v>
      </c>
      <c r="V480" s="24">
        <v>2050</v>
      </c>
      <c r="W480" s="24" t="str">
        <f>W479</f>
        <v>UP</v>
      </c>
      <c r="X480" s="24"/>
      <c r="Y480" s="25">
        <f>-ROUNDUP(MIN(SUMIFS('COM RESID'!$O:$O,'COM RESID'!$H:$H,$E480,'COM RESID'!$I:$I,$F480)/SUMIFS('COM RESID'!$O:$O,'COM RESID'!$I:$I,$F480)*AC480,1),3)</f>
        <v>-1</v>
      </c>
      <c r="Z480" s="24"/>
      <c r="AA480" s="24"/>
      <c r="AB480" s="26"/>
      <c r="AC480" s="27">
        <f>IF(S480="COMELC",IF(SUMIFS('COM RESID'!$O:$O,'COM RESID'!$H:$H,$E480,'COM RESID'!$I:$I,$F480)/SUMIFS('COM RESID'!$O:$O,'COM RESID'!$I:$I,$F480)*3&lt;1,1/(SUMIFS('COM RESID'!$O:$O,'COM RESID'!$H:$H,$E480,'COM RESID'!$I:$I,$F480)/SUMIFS('COM RESID'!$O:$O,'COM RESID'!$I:$I,$F480)),3),IF(ISNUMBER(SEARCH("WHEUE",T478)),IF(OR(S478="COMNGA",S478="COMFOI"),0.75,3),3))</f>
        <v>3</v>
      </c>
    </row>
    <row r="481" spans="1:29" x14ac:dyDescent="0.25">
      <c r="A481" s="19">
        <f>A477+1</f>
        <v>120</v>
      </c>
      <c r="B481" s="10"/>
      <c r="C481" s="11" t="str">
        <f>IF(E481="","",IF(_xlfn.XLOOKUP($A481,Selected_constraint_UC!$A:$A,Selected_constraint_UC!$D:$D)=1,"*",IF(SUMIFS('COM TECH'!$N:$N,'COM TECH'!$K:$K,E481,'COM TECH'!$L:$L,F481)=0,"*",IF(SUMIFS('COM RESID'!$O:$O,'COM RESID'!$H:$H,$E481,'COM RESID'!$I:$I,$F481)=0,"*","UC_MarketShare_"&amp;LEFT(F481,LEN(F481)-3)&amp;"_"&amp;RIGHT(E481,3)&amp;"_MIN"))))</f>
        <v>*</v>
      </c>
      <c r="D481" s="12"/>
      <c r="E481" s="13" t="str">
        <f>_xlfn.XLOOKUP($A481,Selected_constraint_UC!$A:$A,Selected_constraint_UC!$B:$B)</f>
        <v>COMSTM</v>
      </c>
      <c r="F481" s="13" t="str">
        <f>_xlfn.XLOOKUP($A481,Selected_constraint_UC!$A:$A,Selected_constraint_UC!$C:$C)</f>
        <v>COMWAROldCKEUE</v>
      </c>
      <c r="G481" s="13" t="str">
        <f>F481</f>
        <v>COMWAROldCKEUE</v>
      </c>
      <c r="H481" s="14">
        <v>2019</v>
      </c>
      <c r="I481" s="14" t="s">
        <v>3848</v>
      </c>
      <c r="J481" s="14">
        <v>1</v>
      </c>
      <c r="K481" s="15">
        <f>-ROUNDDOWN(SUMIFS('COM RESID'!$O:$O,'COM RESID'!$H:$H,$E481,'COM RESID'!$I:$I,$F481)/SUMIFS('COM RESID'!$O:$O,'COM RESID'!$I:$I,$F481),3)*O481</f>
        <v>0</v>
      </c>
      <c r="L481" s="14">
        <v>0</v>
      </c>
      <c r="M481" s="14">
        <v>5</v>
      </c>
      <c r="N481" s="10"/>
      <c r="O481" s="20">
        <v>0.98</v>
      </c>
      <c r="Q481" s="11" t="str">
        <f t="shared" si="140"/>
        <v>*</v>
      </c>
      <c r="R481" s="12"/>
      <c r="S481" s="13" t="str">
        <f t="shared" si="142"/>
        <v>COMSTM</v>
      </c>
      <c r="T481" s="13" t="str">
        <f t="shared" si="143"/>
        <v>COMWAROldCKEUE</v>
      </c>
      <c r="U481" s="13" t="str">
        <f t="shared" si="144"/>
        <v>COMWAROldCKEUE</v>
      </c>
      <c r="V481" s="14">
        <v>2019</v>
      </c>
      <c r="W481" s="14" t="s">
        <v>3849</v>
      </c>
      <c r="X481" s="14">
        <v>1</v>
      </c>
      <c r="Y481" s="15">
        <f>-ROUNDUP(MIN(SUMIFS('COM RESID'!$O:$O,'COM RESID'!$H:$H,$E481,'COM RESID'!$I:$I,$F481)/SUMIFS('COM RESID'!$O:$O,'COM RESID'!$I:$I,$F481)*AC481,1),3)</f>
        <v>0</v>
      </c>
      <c r="Z481" s="14">
        <v>0</v>
      </c>
      <c r="AA481" s="14">
        <v>5</v>
      </c>
      <c r="AB481" s="10"/>
      <c r="AC481" s="20">
        <v>1.02</v>
      </c>
    </row>
    <row r="482" spans="1:29" x14ac:dyDescent="0.25">
      <c r="A482" s="10">
        <f>A481</f>
        <v>120</v>
      </c>
      <c r="B482" s="10"/>
      <c r="C482" s="11" t="str">
        <f>IF(C481="*",C481,"")</f>
        <v>*</v>
      </c>
      <c r="D482" s="12"/>
      <c r="E482" s="13" t="str">
        <f t="shared" ref="E482:G484" si="151">E481</f>
        <v>COMSTM</v>
      </c>
      <c r="F482" s="13" t="str">
        <f t="shared" si="151"/>
        <v>COMWAROldCKEUE</v>
      </c>
      <c r="G482" s="13" t="str">
        <f t="shared" si="151"/>
        <v>COMWAROldCKEUE</v>
      </c>
      <c r="H482" s="14">
        <v>2025</v>
      </c>
      <c r="I482" s="14" t="str">
        <f>I481</f>
        <v>LO</v>
      </c>
      <c r="J482" s="14"/>
      <c r="K482" s="15">
        <f>-ROUNDDOWN(SUMIFS('COM RESID'!$O:$O,'COM RESID'!$H:$H,$E482,'COM RESID'!$I:$I,$F482)/SUMIFS('COM RESID'!$O:$O,'COM RESID'!$I:$I,$F482),3)*O482</f>
        <v>0</v>
      </c>
      <c r="L482" s="14"/>
      <c r="M482" s="14"/>
      <c r="N482" s="10"/>
      <c r="O482" s="20">
        <v>0.8</v>
      </c>
      <c r="Q482" s="11" t="str">
        <f t="shared" si="140"/>
        <v>*</v>
      </c>
      <c r="R482" s="12"/>
      <c r="S482" s="13" t="str">
        <f t="shared" si="142"/>
        <v>COMSTM</v>
      </c>
      <c r="T482" s="13" t="str">
        <f t="shared" si="143"/>
        <v>COMWAROldCKEUE</v>
      </c>
      <c r="U482" s="13" t="str">
        <f t="shared" si="144"/>
        <v>COMWAROldCKEUE</v>
      </c>
      <c r="V482" s="14">
        <v>2025</v>
      </c>
      <c r="W482" s="14" t="str">
        <f>W481</f>
        <v>UP</v>
      </c>
      <c r="X482" s="14"/>
      <c r="Y482" s="15">
        <f>-ROUNDUP(MIN(SUMIFS('COM RESID'!$O:$O,'COM RESID'!$H:$H,$E482,'COM RESID'!$I:$I,$F482)/SUMIFS('COM RESID'!$O:$O,'COM RESID'!$I:$I,$F482)*AC482,1),3)</f>
        <v>0</v>
      </c>
      <c r="Z482" s="14"/>
      <c r="AA482" s="14"/>
      <c r="AB482" s="10"/>
      <c r="AC482" s="20">
        <f>IF(S482="COMELC",IF(SUMIFS('COM RESID'!$O:$O,'COM RESID'!$H:$H,$E482,'COM RESID'!$I:$I,$F482)/SUMIFS('COM RESID'!$O:$O,'COM RESID'!$I:$I,$F482)*1.2&lt;0.25,0.25/(SUMIFS('COM RESID'!$O:$O,'COM RESID'!$H:$H,$E482,'COM RESID'!$I:$I,$F482)/SUMIFS('COM RESID'!$O:$O,'COM RESID'!$I:$I,$F482)),1.2),IF(ISNUMBER(SEARCH("WHEUE",T482)),IF(OR(S482="COMNGA",S482="COMFOI"),1,1.2),1.2))</f>
        <v>1.2</v>
      </c>
    </row>
    <row r="483" spans="1:29" x14ac:dyDescent="0.25">
      <c r="A483" s="10">
        <f>A482</f>
        <v>120</v>
      </c>
      <c r="B483" s="10"/>
      <c r="C483" s="11" t="str">
        <f>IF(C482="*",C482,"")</f>
        <v>*</v>
      </c>
      <c r="D483" s="12"/>
      <c r="E483" s="13" t="str">
        <f t="shared" si="151"/>
        <v>COMSTM</v>
      </c>
      <c r="F483" s="13" t="str">
        <f t="shared" si="151"/>
        <v>COMWAROldCKEUE</v>
      </c>
      <c r="G483" s="13" t="str">
        <f t="shared" si="151"/>
        <v>COMWAROldCKEUE</v>
      </c>
      <c r="H483" s="14">
        <v>2030</v>
      </c>
      <c r="I483" s="14" t="str">
        <f>I482</f>
        <v>LO</v>
      </c>
      <c r="J483" s="14"/>
      <c r="K483" s="15">
        <f>-ROUNDDOWN(SUMIFS('COM RESID'!$O:$O,'COM RESID'!$H:$H,$E483,'COM RESID'!$I:$I,$F483)/SUMIFS('COM RESID'!$O:$O,'COM RESID'!$I:$I,$F483),3)*O483</f>
        <v>0</v>
      </c>
      <c r="L483" s="14"/>
      <c r="M483" s="14"/>
      <c r="N483" s="10"/>
      <c r="O483" s="20">
        <v>0.2</v>
      </c>
      <c r="Q483" s="11" t="str">
        <f t="shared" si="140"/>
        <v>*</v>
      </c>
      <c r="R483" s="12"/>
      <c r="S483" s="13" t="str">
        <f t="shared" si="142"/>
        <v>COMSTM</v>
      </c>
      <c r="T483" s="13" t="str">
        <f t="shared" si="143"/>
        <v>COMWAROldCKEUE</v>
      </c>
      <c r="U483" s="13" t="str">
        <f t="shared" si="144"/>
        <v>COMWAROldCKEUE</v>
      </c>
      <c r="V483" s="14">
        <v>2030</v>
      </c>
      <c r="W483" s="14" t="str">
        <f>W482</f>
        <v>UP</v>
      </c>
      <c r="X483" s="14"/>
      <c r="Y483" s="15">
        <f>-ROUNDUP(MIN(SUMIFS('COM RESID'!$O:$O,'COM RESID'!$H:$H,$E483,'COM RESID'!$I:$I,$F483)/SUMIFS('COM RESID'!$O:$O,'COM RESID'!$I:$I,$F483)*AC483,1),3)</f>
        <v>0</v>
      </c>
      <c r="Z483" s="14"/>
      <c r="AA483" s="14"/>
      <c r="AB483" s="10"/>
      <c r="AC483" s="20">
        <f>IF(S483="COMELC",IF(SUMIFS('COM RESID'!$O:$O,'COM RESID'!$H:$H,$E483,'COM RESID'!$I:$I,$F483)/SUMIFS('COM RESID'!$O:$O,'COM RESID'!$I:$I,$F483)*1.5&lt;0.5,0.5/(SUMIFS('COM RESID'!$O:$O,'COM RESID'!$H:$H,$E483,'COM RESID'!$I:$I,$F483)/SUMIFS('COM RESID'!$O:$O,'COM RESID'!$I:$I,$F483)),1.5),IF(ISNUMBER(SEARCH("WHEUE",T482)),IF(OR(S482="COMNGA",S482="COMFOI"),0.9,1.5),1.5))</f>
        <v>1.5</v>
      </c>
    </row>
    <row r="484" spans="1:29" x14ac:dyDescent="0.25">
      <c r="A484" s="26">
        <f>A483</f>
        <v>120</v>
      </c>
      <c r="B484" s="26"/>
      <c r="C484" s="21" t="str">
        <f>IF(C483="*",C483,"")</f>
        <v>*</v>
      </c>
      <c r="D484" s="22"/>
      <c r="E484" s="23" t="str">
        <f t="shared" si="151"/>
        <v>COMSTM</v>
      </c>
      <c r="F484" s="23" t="str">
        <f t="shared" si="151"/>
        <v>COMWAROldCKEUE</v>
      </c>
      <c r="G484" s="23" t="str">
        <f t="shared" si="151"/>
        <v>COMWAROldCKEUE</v>
      </c>
      <c r="H484" s="24">
        <v>2050</v>
      </c>
      <c r="I484" s="24" t="str">
        <f>I483</f>
        <v>LO</v>
      </c>
      <c r="J484" s="24"/>
      <c r="K484" s="25">
        <f>-ROUNDDOWN(SUMIFS('COM RESID'!$O:$O,'COM RESID'!$H:$H,$E484,'COM RESID'!$I:$I,$F484)/SUMIFS('COM RESID'!$O:$O,'COM RESID'!$I:$I,$F484),3)*O484</f>
        <v>0</v>
      </c>
      <c r="L484" s="24"/>
      <c r="M484" s="24"/>
      <c r="N484" s="26"/>
      <c r="O484" s="27">
        <v>0</v>
      </c>
      <c r="Q484" s="21" t="str">
        <f t="shared" si="140"/>
        <v>*</v>
      </c>
      <c r="R484" s="22"/>
      <c r="S484" s="23" t="str">
        <f t="shared" si="142"/>
        <v>COMSTM</v>
      </c>
      <c r="T484" s="23" t="str">
        <f t="shared" si="143"/>
        <v>COMWAROldCKEUE</v>
      </c>
      <c r="U484" s="23" t="str">
        <f t="shared" si="144"/>
        <v>COMWAROldCKEUE</v>
      </c>
      <c r="V484" s="24">
        <v>2050</v>
      </c>
      <c r="W484" s="24" t="str">
        <f>W483</f>
        <v>UP</v>
      </c>
      <c r="X484" s="24"/>
      <c r="Y484" s="25">
        <f>-ROUNDUP(MIN(SUMIFS('COM RESID'!$O:$O,'COM RESID'!$H:$H,$E484,'COM RESID'!$I:$I,$F484)/SUMIFS('COM RESID'!$O:$O,'COM RESID'!$I:$I,$F484)*AC484,1),3)</f>
        <v>0</v>
      </c>
      <c r="Z484" s="24"/>
      <c r="AA484" s="24"/>
      <c r="AB484" s="26"/>
      <c r="AC484" s="27">
        <f>IF(S484="COMELC",IF(SUMIFS('COM RESID'!$O:$O,'COM RESID'!$H:$H,$E484,'COM RESID'!$I:$I,$F484)/SUMIFS('COM RESID'!$O:$O,'COM RESID'!$I:$I,$F484)*3&lt;1,1/(SUMIFS('COM RESID'!$O:$O,'COM RESID'!$H:$H,$E484,'COM RESID'!$I:$I,$F484)/SUMIFS('COM RESID'!$O:$O,'COM RESID'!$I:$I,$F484)),3),IF(ISNUMBER(SEARCH("WHEUE",T482)),IF(OR(S482="COMNGA",S482="COMFOI"),0.75,3),3))</f>
        <v>3</v>
      </c>
    </row>
    <row r="485" spans="1:29" x14ac:dyDescent="0.25">
      <c r="A485" s="19">
        <f>A481+1</f>
        <v>121</v>
      </c>
      <c r="B485" s="10"/>
      <c r="C485" s="11" t="str">
        <f>IF(E485="","",IF(_xlfn.XLOOKUP($A485,Selected_constraint_UC!$A:$A,Selected_constraint_UC!$D:$D)=1,"*",IF(SUMIFS('COM TECH'!$N:$N,'COM TECH'!$K:$K,E485,'COM TECH'!$L:$L,F485)=0,"*",IF(SUMIFS('COM RESID'!$O:$O,'COM RESID'!$H:$H,$E485,'COM RESID'!$I:$I,$F485)=0,"*","UC_MarketShare_"&amp;LEFT(F485,LEN(F485)-3)&amp;"_"&amp;RIGHT(E485,3)&amp;"_MIN"))))</f>
        <v>*</v>
      </c>
      <c r="D485" s="12"/>
      <c r="E485" s="13" t="str">
        <f>_xlfn.XLOOKUP($A485,Selected_constraint_UC!$A:$A,Selected_constraint_UC!$B:$B)</f>
        <v>COMELC</v>
      </c>
      <c r="F485" s="13" t="str">
        <f>_xlfn.XLOOKUP($A485,Selected_constraint_UC!$A:$A,Selected_constraint_UC!$C:$C)</f>
        <v>COMWAROldCKEUE</v>
      </c>
      <c r="G485" s="13" t="str">
        <f>F485</f>
        <v>COMWAROldCKEUE</v>
      </c>
      <c r="H485" s="14">
        <v>2019</v>
      </c>
      <c r="I485" s="14" t="s">
        <v>3848</v>
      </c>
      <c r="J485" s="14">
        <v>1</v>
      </c>
      <c r="K485" s="15">
        <f>-ROUNDDOWN(SUMIFS('COM RESID'!$O:$O,'COM RESID'!$H:$H,$E485,'COM RESID'!$I:$I,$F485)/SUMIFS('COM RESID'!$O:$O,'COM RESID'!$I:$I,$F485),3)*O485</f>
        <v>-5.0959999999999998E-2</v>
      </c>
      <c r="L485" s="14">
        <v>0</v>
      </c>
      <c r="M485" s="14">
        <v>5</v>
      </c>
      <c r="N485" s="10"/>
      <c r="O485" s="20">
        <v>0.98</v>
      </c>
      <c r="Q485" s="11" t="str">
        <f t="shared" si="140"/>
        <v>*</v>
      </c>
      <c r="R485" s="12"/>
      <c r="S485" s="13" t="str">
        <f t="shared" si="142"/>
        <v>COMELC</v>
      </c>
      <c r="T485" s="13" t="str">
        <f t="shared" si="143"/>
        <v>COMWAROldCKEUE</v>
      </c>
      <c r="U485" s="13" t="str">
        <f t="shared" si="144"/>
        <v>COMWAROldCKEUE</v>
      </c>
      <c r="V485" s="14">
        <v>2019</v>
      </c>
      <c r="W485" s="14" t="s">
        <v>3849</v>
      </c>
      <c r="X485" s="14">
        <v>1</v>
      </c>
      <c r="Y485" s="15">
        <f>-ROUNDUP(MIN(SUMIFS('COM RESID'!$O:$O,'COM RESID'!$H:$H,$E485,'COM RESID'!$I:$I,$F485)/SUMIFS('COM RESID'!$O:$O,'COM RESID'!$I:$I,$F485)*AC485,1),3)</f>
        <v>-5.3999999999999999E-2</v>
      </c>
      <c r="Z485" s="14">
        <v>0</v>
      </c>
      <c r="AA485" s="14">
        <v>5</v>
      </c>
      <c r="AB485" s="10"/>
      <c r="AC485" s="20">
        <v>1.02</v>
      </c>
    </row>
    <row r="486" spans="1:29" x14ac:dyDescent="0.25">
      <c r="A486" s="10">
        <f>A485</f>
        <v>121</v>
      </c>
      <c r="B486" s="10"/>
      <c r="C486" s="11" t="str">
        <f>IF(C485="*",C485,"")</f>
        <v>*</v>
      </c>
      <c r="D486" s="12"/>
      <c r="E486" s="13" t="str">
        <f t="shared" ref="E486:G488" si="152">E485</f>
        <v>COMELC</v>
      </c>
      <c r="F486" s="13" t="str">
        <f t="shared" si="152"/>
        <v>COMWAROldCKEUE</v>
      </c>
      <c r="G486" s="13" t="str">
        <f t="shared" si="152"/>
        <v>COMWAROldCKEUE</v>
      </c>
      <c r="H486" s="14">
        <v>2025</v>
      </c>
      <c r="I486" s="14" t="str">
        <f>I485</f>
        <v>LO</v>
      </c>
      <c r="J486" s="14"/>
      <c r="K486" s="15">
        <f>-ROUNDDOWN(SUMIFS('COM RESID'!$O:$O,'COM RESID'!$H:$H,$E486,'COM RESID'!$I:$I,$F486)/SUMIFS('COM RESID'!$O:$O,'COM RESID'!$I:$I,$F486),3)*O486</f>
        <v>-4.1599999999999998E-2</v>
      </c>
      <c r="L486" s="14"/>
      <c r="M486" s="14"/>
      <c r="N486" s="10"/>
      <c r="O486" s="20">
        <v>0.8</v>
      </c>
      <c r="Q486" s="11" t="str">
        <f t="shared" si="140"/>
        <v>*</v>
      </c>
      <c r="R486" s="12"/>
      <c r="S486" s="13" t="str">
        <f t="shared" si="142"/>
        <v>COMELC</v>
      </c>
      <c r="T486" s="13" t="str">
        <f t="shared" si="143"/>
        <v>COMWAROldCKEUE</v>
      </c>
      <c r="U486" s="13" t="str">
        <f t="shared" si="144"/>
        <v>COMWAROldCKEUE</v>
      </c>
      <c r="V486" s="14">
        <v>2025</v>
      </c>
      <c r="W486" s="14" t="str">
        <f>W485</f>
        <v>UP</v>
      </c>
      <c r="X486" s="14"/>
      <c r="Y486" s="15">
        <f>-ROUNDUP(MIN(SUMIFS('COM RESID'!$O:$O,'COM RESID'!$H:$H,$E486,'COM RESID'!$I:$I,$F486)/SUMIFS('COM RESID'!$O:$O,'COM RESID'!$I:$I,$F486)*AC486,1),3)</f>
        <v>-0.25</v>
      </c>
      <c r="Z486" s="14"/>
      <c r="AA486" s="14"/>
      <c r="AB486" s="10"/>
      <c r="AC486" s="20">
        <f>IF(S486="COMELC",IF(SUMIFS('COM RESID'!$O:$O,'COM RESID'!$H:$H,$E486,'COM RESID'!$I:$I,$F486)/SUMIFS('COM RESID'!$O:$O,'COM RESID'!$I:$I,$F486)*1.2&lt;0.25,0.25/(SUMIFS('COM RESID'!$O:$O,'COM RESID'!$H:$H,$E486,'COM RESID'!$I:$I,$F486)/SUMIFS('COM RESID'!$O:$O,'COM RESID'!$I:$I,$F486)),1.2),IF(ISNUMBER(SEARCH("WHEUE",T486)),IF(OR(S486="COMNGA",S486="COMFOI"),1,1.2),1.2))</f>
        <v>4.7464530899229205</v>
      </c>
    </row>
    <row r="487" spans="1:29" x14ac:dyDescent="0.25">
      <c r="A487" s="10">
        <f>A486</f>
        <v>121</v>
      </c>
      <c r="B487" s="10"/>
      <c r="C487" s="11" t="str">
        <f>IF(C486="*",C486,"")</f>
        <v>*</v>
      </c>
      <c r="D487" s="12"/>
      <c r="E487" s="13" t="str">
        <f t="shared" si="152"/>
        <v>COMELC</v>
      </c>
      <c r="F487" s="13" t="str">
        <f t="shared" si="152"/>
        <v>COMWAROldCKEUE</v>
      </c>
      <c r="G487" s="13" t="str">
        <f t="shared" si="152"/>
        <v>COMWAROldCKEUE</v>
      </c>
      <c r="H487" s="14">
        <v>2030</v>
      </c>
      <c r="I487" s="14" t="str">
        <f>I486</f>
        <v>LO</v>
      </c>
      <c r="J487" s="14"/>
      <c r="K487" s="15">
        <f>-ROUNDDOWN(SUMIFS('COM RESID'!$O:$O,'COM RESID'!$H:$H,$E487,'COM RESID'!$I:$I,$F487)/SUMIFS('COM RESID'!$O:$O,'COM RESID'!$I:$I,$F487),3)*O487</f>
        <v>-1.04E-2</v>
      </c>
      <c r="L487" s="14"/>
      <c r="M487" s="14"/>
      <c r="N487" s="10"/>
      <c r="O487" s="20">
        <v>0.2</v>
      </c>
      <c r="Q487" s="11" t="str">
        <f t="shared" si="140"/>
        <v>*</v>
      </c>
      <c r="R487" s="12"/>
      <c r="S487" s="13" t="str">
        <f t="shared" si="142"/>
        <v>COMELC</v>
      </c>
      <c r="T487" s="13" t="str">
        <f t="shared" si="143"/>
        <v>COMWAROldCKEUE</v>
      </c>
      <c r="U487" s="13" t="str">
        <f t="shared" si="144"/>
        <v>COMWAROldCKEUE</v>
      </c>
      <c r="V487" s="14">
        <v>2030</v>
      </c>
      <c r="W487" s="14" t="str">
        <f>W486</f>
        <v>UP</v>
      </c>
      <c r="X487" s="14"/>
      <c r="Y487" s="15">
        <f>-ROUNDUP(MIN(SUMIFS('COM RESID'!$O:$O,'COM RESID'!$H:$H,$E487,'COM RESID'!$I:$I,$F487)/SUMIFS('COM RESID'!$O:$O,'COM RESID'!$I:$I,$F487)*AC487,1),3)</f>
        <v>-0.5</v>
      </c>
      <c r="Z487" s="14"/>
      <c r="AA487" s="14"/>
      <c r="AB487" s="10"/>
      <c r="AC487" s="20">
        <f>IF(S487="COMELC",IF(SUMIFS('COM RESID'!$O:$O,'COM RESID'!$H:$H,$E487,'COM RESID'!$I:$I,$F487)/SUMIFS('COM RESID'!$O:$O,'COM RESID'!$I:$I,$F487)*1.5&lt;0.5,0.5/(SUMIFS('COM RESID'!$O:$O,'COM RESID'!$H:$H,$E487,'COM RESID'!$I:$I,$F487)/SUMIFS('COM RESID'!$O:$O,'COM RESID'!$I:$I,$F487)),1.5),IF(ISNUMBER(SEARCH("WHEUE",T486)),IF(OR(S486="COMNGA",S486="COMFOI"),0.9,1.5),1.5))</f>
        <v>9.492906179845841</v>
      </c>
    </row>
    <row r="488" spans="1:29" x14ac:dyDescent="0.25">
      <c r="A488" s="26">
        <f>A487</f>
        <v>121</v>
      </c>
      <c r="B488" s="26"/>
      <c r="C488" s="21" t="str">
        <f>IF(C487="*",C487,"")</f>
        <v>*</v>
      </c>
      <c r="D488" s="22"/>
      <c r="E488" s="23" t="str">
        <f t="shared" si="152"/>
        <v>COMELC</v>
      </c>
      <c r="F488" s="23" t="str">
        <f t="shared" si="152"/>
        <v>COMWAROldCKEUE</v>
      </c>
      <c r="G488" s="23" t="str">
        <f t="shared" si="152"/>
        <v>COMWAROldCKEUE</v>
      </c>
      <c r="H488" s="24">
        <v>2050</v>
      </c>
      <c r="I488" s="24" t="str">
        <f>I487</f>
        <v>LO</v>
      </c>
      <c r="J488" s="24"/>
      <c r="K488" s="25">
        <f>-ROUNDDOWN(SUMIFS('COM RESID'!$O:$O,'COM RESID'!$H:$H,$E488,'COM RESID'!$I:$I,$F488)/SUMIFS('COM RESID'!$O:$O,'COM RESID'!$I:$I,$F488),3)*O488</f>
        <v>0</v>
      </c>
      <c r="L488" s="24"/>
      <c r="M488" s="24"/>
      <c r="N488" s="26"/>
      <c r="O488" s="27">
        <v>0</v>
      </c>
      <c r="Q488" s="21" t="str">
        <f t="shared" si="140"/>
        <v>*</v>
      </c>
      <c r="R488" s="22"/>
      <c r="S488" s="23" t="str">
        <f t="shared" si="142"/>
        <v>COMELC</v>
      </c>
      <c r="T488" s="23" t="str">
        <f t="shared" si="143"/>
        <v>COMWAROldCKEUE</v>
      </c>
      <c r="U488" s="23" t="str">
        <f t="shared" si="144"/>
        <v>COMWAROldCKEUE</v>
      </c>
      <c r="V488" s="24">
        <v>2050</v>
      </c>
      <c r="W488" s="24" t="str">
        <f>W487</f>
        <v>UP</v>
      </c>
      <c r="X488" s="24"/>
      <c r="Y488" s="25">
        <f>-ROUNDUP(MIN(SUMIFS('COM RESID'!$O:$O,'COM RESID'!$H:$H,$E488,'COM RESID'!$I:$I,$F488)/SUMIFS('COM RESID'!$O:$O,'COM RESID'!$I:$I,$F488)*AC488,1),3)</f>
        <v>-1</v>
      </c>
      <c r="Z488" s="24"/>
      <c r="AA488" s="24"/>
      <c r="AB488" s="26"/>
      <c r="AC488" s="27">
        <f>IF(S488="COMELC",IF(SUMIFS('COM RESID'!$O:$O,'COM RESID'!$H:$H,$E488,'COM RESID'!$I:$I,$F488)/SUMIFS('COM RESID'!$O:$O,'COM RESID'!$I:$I,$F488)*3&lt;1,1/(SUMIFS('COM RESID'!$O:$O,'COM RESID'!$H:$H,$E488,'COM RESID'!$I:$I,$F488)/SUMIFS('COM RESID'!$O:$O,'COM RESID'!$I:$I,$F488)),3),IF(ISNUMBER(SEARCH("WHEUE",T486)),IF(OR(S486="COMNGA",S486="COMFOI"),0.75,3),3))</f>
        <v>18.985812359691682</v>
      </c>
    </row>
    <row r="489" spans="1:29" x14ac:dyDescent="0.25">
      <c r="A489" s="19">
        <f>A485+1</f>
        <v>122</v>
      </c>
      <c r="B489" s="10"/>
      <c r="C489" s="11" t="str">
        <f>IF(E489="","",IF(_xlfn.XLOOKUP($A489,Selected_constraint_UC!$A:$A,Selected_constraint_UC!$D:$D)=1,"*",IF(SUMIFS('COM TECH'!$N:$N,'COM TECH'!$K:$K,E489,'COM TECH'!$L:$L,F489)=0,"*",IF(SUMIFS('COM RESID'!$O:$O,'COM RESID'!$H:$H,$E489,'COM RESID'!$I:$I,$F489)=0,"*","UC_MarketShare_"&amp;LEFT(F489,LEN(F489)-3)&amp;"_"&amp;RIGHT(E489,3)&amp;"_MIN"))))</f>
        <v>*</v>
      </c>
      <c r="D489" s="12"/>
      <c r="E489" s="13" t="str">
        <f>_xlfn.XLOOKUP($A489,Selected_constraint_UC!$A:$A,Selected_constraint_UC!$B:$B)</f>
        <v>COMELC</v>
      </c>
      <c r="F489" s="13" t="str">
        <f>_xlfn.XLOOKUP($A489,Selected_constraint_UC!$A:$A,Selected_constraint_UC!$C:$C)</f>
        <v>COMWAROldREEUE</v>
      </c>
      <c r="G489" s="13" t="str">
        <f>F489</f>
        <v>COMWAROldREEUE</v>
      </c>
      <c r="H489" s="14">
        <v>2019</v>
      </c>
      <c r="I489" s="14" t="s">
        <v>3848</v>
      </c>
      <c r="J489" s="14">
        <v>1</v>
      </c>
      <c r="K489" s="15">
        <f>-ROUNDDOWN(SUMIFS('COM RESID'!$O:$O,'COM RESID'!$H:$H,$E489,'COM RESID'!$I:$I,$F489)/SUMIFS('COM RESID'!$O:$O,'COM RESID'!$I:$I,$F489),3)*O489</f>
        <v>-0.98</v>
      </c>
      <c r="L489" s="14">
        <v>0</v>
      </c>
      <c r="M489" s="14">
        <v>5</v>
      </c>
      <c r="N489" s="10"/>
      <c r="O489" s="20">
        <v>0.98</v>
      </c>
      <c r="Q489" s="11" t="str">
        <f t="shared" si="140"/>
        <v>*</v>
      </c>
      <c r="R489" s="12"/>
      <c r="S489" s="13" t="str">
        <f t="shared" si="142"/>
        <v>COMELC</v>
      </c>
      <c r="T489" s="13" t="str">
        <f t="shared" si="143"/>
        <v>COMWAROldREEUE</v>
      </c>
      <c r="U489" s="13" t="str">
        <f t="shared" si="144"/>
        <v>COMWAROldREEUE</v>
      </c>
      <c r="V489" s="14">
        <v>2019</v>
      </c>
      <c r="W489" s="14" t="s">
        <v>3849</v>
      </c>
      <c r="X489" s="14">
        <v>1</v>
      </c>
      <c r="Y489" s="15">
        <f>-ROUNDUP(MIN(SUMIFS('COM RESID'!$O:$O,'COM RESID'!$H:$H,$E489,'COM RESID'!$I:$I,$F489)/SUMIFS('COM RESID'!$O:$O,'COM RESID'!$I:$I,$F489)*AC489,1),3)</f>
        <v>-1</v>
      </c>
      <c r="Z489" s="14">
        <v>0</v>
      </c>
      <c r="AA489" s="14">
        <v>5</v>
      </c>
      <c r="AB489" s="10"/>
      <c r="AC489" s="20">
        <v>1.02</v>
      </c>
    </row>
    <row r="490" spans="1:29" x14ac:dyDescent="0.25">
      <c r="A490" s="10">
        <f>A489</f>
        <v>122</v>
      </c>
      <c r="B490" s="10"/>
      <c r="C490" s="11" t="str">
        <f>IF(C489="*",C489,"")</f>
        <v>*</v>
      </c>
      <c r="D490" s="12"/>
      <c r="E490" s="13" t="str">
        <f t="shared" ref="E490:G492" si="153">E489</f>
        <v>COMELC</v>
      </c>
      <c r="F490" s="13" t="str">
        <f t="shared" si="153"/>
        <v>COMWAROldREEUE</v>
      </c>
      <c r="G490" s="13" t="str">
        <f t="shared" si="153"/>
        <v>COMWAROldREEUE</v>
      </c>
      <c r="H490" s="14">
        <v>2025</v>
      </c>
      <c r="I490" s="14" t="str">
        <f>I489</f>
        <v>LO</v>
      </c>
      <c r="J490" s="14"/>
      <c r="K490" s="15">
        <f>-ROUNDDOWN(SUMIFS('COM RESID'!$O:$O,'COM RESID'!$H:$H,$E490,'COM RESID'!$I:$I,$F490)/SUMIFS('COM RESID'!$O:$O,'COM RESID'!$I:$I,$F490),3)*O490</f>
        <v>-0.8</v>
      </c>
      <c r="L490" s="14"/>
      <c r="M490" s="14"/>
      <c r="N490" s="10"/>
      <c r="O490" s="20">
        <v>0.8</v>
      </c>
      <c r="Q490" s="11" t="str">
        <f t="shared" si="140"/>
        <v>*</v>
      </c>
      <c r="R490" s="12"/>
      <c r="S490" s="13" t="str">
        <f t="shared" si="142"/>
        <v>COMELC</v>
      </c>
      <c r="T490" s="13" t="str">
        <f t="shared" si="143"/>
        <v>COMWAROldREEUE</v>
      </c>
      <c r="U490" s="13" t="str">
        <f t="shared" si="144"/>
        <v>COMWAROldREEUE</v>
      </c>
      <c r="V490" s="14">
        <v>2025</v>
      </c>
      <c r="W490" s="14" t="str">
        <f>W489</f>
        <v>UP</v>
      </c>
      <c r="X490" s="14"/>
      <c r="Y490" s="15">
        <f>-ROUNDUP(MIN(SUMIFS('COM RESID'!$O:$O,'COM RESID'!$H:$H,$E490,'COM RESID'!$I:$I,$F490)/SUMIFS('COM RESID'!$O:$O,'COM RESID'!$I:$I,$F490)*AC490,1),3)</f>
        <v>-1</v>
      </c>
      <c r="Z490" s="14"/>
      <c r="AA490" s="14"/>
      <c r="AB490" s="10"/>
      <c r="AC490" s="20">
        <f>IF(S490="COMELC",IF(SUMIFS('COM RESID'!$O:$O,'COM RESID'!$H:$H,$E490,'COM RESID'!$I:$I,$F490)/SUMIFS('COM RESID'!$O:$O,'COM RESID'!$I:$I,$F490)*1.2&lt;0.25,0.25/(SUMIFS('COM RESID'!$O:$O,'COM RESID'!$H:$H,$E490,'COM RESID'!$I:$I,$F490)/SUMIFS('COM RESID'!$O:$O,'COM RESID'!$I:$I,$F490)),1.2),IF(ISNUMBER(SEARCH("WHEUE",T490)),IF(OR(S490="COMNGA",S490="COMFOI"),1,1.2),1.2))</f>
        <v>1.2</v>
      </c>
    </row>
    <row r="491" spans="1:29" x14ac:dyDescent="0.25">
      <c r="A491" s="10">
        <f>A490</f>
        <v>122</v>
      </c>
      <c r="B491" s="10"/>
      <c r="C491" s="11" t="str">
        <f>IF(C490="*",C490,"")</f>
        <v>*</v>
      </c>
      <c r="D491" s="12"/>
      <c r="E491" s="13" t="str">
        <f t="shared" si="153"/>
        <v>COMELC</v>
      </c>
      <c r="F491" s="13" t="str">
        <f t="shared" si="153"/>
        <v>COMWAROldREEUE</v>
      </c>
      <c r="G491" s="13" t="str">
        <f t="shared" si="153"/>
        <v>COMWAROldREEUE</v>
      </c>
      <c r="H491" s="14">
        <v>2030</v>
      </c>
      <c r="I491" s="14" t="str">
        <f>I490</f>
        <v>LO</v>
      </c>
      <c r="J491" s="14"/>
      <c r="K491" s="15">
        <f>-ROUNDDOWN(SUMIFS('COM RESID'!$O:$O,'COM RESID'!$H:$H,$E491,'COM RESID'!$I:$I,$F491)/SUMIFS('COM RESID'!$O:$O,'COM RESID'!$I:$I,$F491),3)*O491</f>
        <v>-0.2</v>
      </c>
      <c r="L491" s="14"/>
      <c r="M491" s="14"/>
      <c r="N491" s="10"/>
      <c r="O491" s="20">
        <v>0.2</v>
      </c>
      <c r="Q491" s="11" t="str">
        <f t="shared" si="140"/>
        <v>*</v>
      </c>
      <c r="R491" s="12"/>
      <c r="S491" s="13" t="str">
        <f t="shared" si="142"/>
        <v>COMELC</v>
      </c>
      <c r="T491" s="13" t="str">
        <f t="shared" si="143"/>
        <v>COMWAROldREEUE</v>
      </c>
      <c r="U491" s="13" t="str">
        <f t="shared" si="144"/>
        <v>COMWAROldREEUE</v>
      </c>
      <c r="V491" s="14">
        <v>2030</v>
      </c>
      <c r="W491" s="14" t="str">
        <f>W490</f>
        <v>UP</v>
      </c>
      <c r="X491" s="14"/>
      <c r="Y491" s="15">
        <f>-ROUNDUP(MIN(SUMIFS('COM RESID'!$O:$O,'COM RESID'!$H:$H,$E491,'COM RESID'!$I:$I,$F491)/SUMIFS('COM RESID'!$O:$O,'COM RESID'!$I:$I,$F491)*AC491,1),3)</f>
        <v>-1</v>
      </c>
      <c r="Z491" s="14"/>
      <c r="AA491" s="14"/>
      <c r="AB491" s="10"/>
      <c r="AC491" s="20">
        <f>IF(S491="COMELC",IF(SUMIFS('COM RESID'!$O:$O,'COM RESID'!$H:$H,$E491,'COM RESID'!$I:$I,$F491)/SUMIFS('COM RESID'!$O:$O,'COM RESID'!$I:$I,$F491)*1.5&lt;0.5,0.5/(SUMIFS('COM RESID'!$O:$O,'COM RESID'!$H:$H,$E491,'COM RESID'!$I:$I,$F491)/SUMIFS('COM RESID'!$O:$O,'COM RESID'!$I:$I,$F491)),1.5),IF(ISNUMBER(SEARCH("WHEUE",T490)),IF(OR(S490="COMNGA",S490="COMFOI"),0.9,1.5),1.5))</f>
        <v>1.5</v>
      </c>
    </row>
    <row r="492" spans="1:29" x14ac:dyDescent="0.25">
      <c r="A492" s="26">
        <f>A491</f>
        <v>122</v>
      </c>
      <c r="B492" s="26"/>
      <c r="C492" s="21" t="str">
        <f>IF(C491="*",C491,"")</f>
        <v>*</v>
      </c>
      <c r="D492" s="22"/>
      <c r="E492" s="23" t="str">
        <f t="shared" si="153"/>
        <v>COMELC</v>
      </c>
      <c r="F492" s="23" t="str">
        <f t="shared" si="153"/>
        <v>COMWAROldREEUE</v>
      </c>
      <c r="G492" s="23" t="str">
        <f t="shared" si="153"/>
        <v>COMWAROldREEUE</v>
      </c>
      <c r="H492" s="24">
        <v>2050</v>
      </c>
      <c r="I492" s="24" t="str">
        <f>I491</f>
        <v>LO</v>
      </c>
      <c r="J492" s="24"/>
      <c r="K492" s="25">
        <f>-ROUNDDOWN(SUMIFS('COM RESID'!$O:$O,'COM RESID'!$H:$H,$E492,'COM RESID'!$I:$I,$F492)/SUMIFS('COM RESID'!$O:$O,'COM RESID'!$I:$I,$F492),3)*O492</f>
        <v>0</v>
      </c>
      <c r="L492" s="24"/>
      <c r="M492" s="24"/>
      <c r="N492" s="26"/>
      <c r="O492" s="27">
        <v>0</v>
      </c>
      <c r="Q492" s="21" t="str">
        <f t="shared" si="140"/>
        <v>*</v>
      </c>
      <c r="R492" s="22"/>
      <c r="S492" s="23" t="str">
        <f t="shared" si="142"/>
        <v>COMELC</v>
      </c>
      <c r="T492" s="23" t="str">
        <f t="shared" si="143"/>
        <v>COMWAROldREEUE</v>
      </c>
      <c r="U492" s="23" t="str">
        <f t="shared" si="144"/>
        <v>COMWAROldREEUE</v>
      </c>
      <c r="V492" s="24">
        <v>2050</v>
      </c>
      <c r="W492" s="24" t="str">
        <f>W491</f>
        <v>UP</v>
      </c>
      <c r="X492" s="24"/>
      <c r="Y492" s="25">
        <f>-ROUNDUP(MIN(SUMIFS('COM RESID'!$O:$O,'COM RESID'!$H:$H,$E492,'COM RESID'!$I:$I,$F492)/SUMIFS('COM RESID'!$O:$O,'COM RESID'!$I:$I,$F492)*AC492,1),3)</f>
        <v>-1</v>
      </c>
      <c r="Z492" s="24"/>
      <c r="AA492" s="24"/>
      <c r="AB492" s="26"/>
      <c r="AC492" s="27">
        <f>IF(S492="COMELC",IF(SUMIFS('COM RESID'!$O:$O,'COM RESID'!$H:$H,$E492,'COM RESID'!$I:$I,$F492)/SUMIFS('COM RESID'!$O:$O,'COM RESID'!$I:$I,$F492)*3&lt;1,1/(SUMIFS('COM RESID'!$O:$O,'COM RESID'!$H:$H,$E492,'COM RESID'!$I:$I,$F492)/SUMIFS('COM RESID'!$O:$O,'COM RESID'!$I:$I,$F492)),3),IF(ISNUMBER(SEARCH("WHEUE",T490)),IF(OR(S490="COMNGA",S490="COMFOI"),0.75,3),3))</f>
        <v>3</v>
      </c>
    </row>
    <row r="493" spans="1:29" x14ac:dyDescent="0.25">
      <c r="A493" s="19">
        <f>A489+1</f>
        <v>123</v>
      </c>
      <c r="B493" s="10"/>
      <c r="C493" s="11" t="str">
        <f>IF(E493="","",IF(_xlfn.XLOOKUP($A493,Selected_constraint_UC!$A:$A,Selected_constraint_UC!$D:$D)=1,"*",IF(SUMIFS('COM TECH'!$N:$N,'COM TECH'!$K:$K,E493,'COM TECH'!$L:$L,F493)=0,"*",IF(SUMIFS('COM RESID'!$O:$O,'COM RESID'!$H:$H,$E493,'COM RESID'!$I:$I,$F493)=0,"*","UC_MarketShare_"&amp;LEFT(F493,LEN(F493)-3)&amp;"_"&amp;RIGHT(E493,3)&amp;"_MIN"))))</f>
        <v>*</v>
      </c>
      <c r="D493" s="12"/>
      <c r="E493" s="13" t="str">
        <f>_xlfn.XLOOKUP($A493,Selected_constraint_UC!$A:$A,Selected_constraint_UC!$B:$B)</f>
        <v>COMFOI</v>
      </c>
      <c r="F493" s="13" t="str">
        <f>_xlfn.XLOOKUP($A493,Selected_constraint_UC!$A:$A,Selected_constraint_UC!$C:$C)</f>
        <v>COMWAROldOEEUE</v>
      </c>
      <c r="G493" s="13" t="str">
        <f>F493</f>
        <v>COMWAROldOEEUE</v>
      </c>
      <c r="H493" s="14">
        <v>2019</v>
      </c>
      <c r="I493" s="14" t="s">
        <v>3848</v>
      </c>
      <c r="J493" s="14">
        <v>1</v>
      </c>
      <c r="K493" s="15">
        <f>-ROUNDDOWN(SUMIFS('COM RESID'!$O:$O,'COM RESID'!$H:$H,$E493,'COM RESID'!$I:$I,$F493)/SUMIFS('COM RESID'!$O:$O,'COM RESID'!$I:$I,$F493),3)*O493</f>
        <v>-5.4879999999999998E-2</v>
      </c>
      <c r="L493" s="14">
        <v>0</v>
      </c>
      <c r="M493" s="14">
        <v>5</v>
      </c>
      <c r="N493" s="10"/>
      <c r="O493" s="20">
        <v>0.98</v>
      </c>
      <c r="Q493" s="11" t="str">
        <f t="shared" si="140"/>
        <v>*</v>
      </c>
      <c r="R493" s="12"/>
      <c r="S493" s="13" t="str">
        <f t="shared" si="142"/>
        <v>COMFOI</v>
      </c>
      <c r="T493" s="13" t="str">
        <f t="shared" si="143"/>
        <v>COMWAROldOEEUE</v>
      </c>
      <c r="U493" s="13" t="str">
        <f t="shared" si="144"/>
        <v>COMWAROldOEEUE</v>
      </c>
      <c r="V493" s="14">
        <v>2019</v>
      </c>
      <c r="W493" s="14" t="s">
        <v>3849</v>
      </c>
      <c r="X493" s="14">
        <v>1</v>
      </c>
      <c r="Y493" s="15">
        <f>-ROUNDUP(MIN(SUMIFS('COM RESID'!$O:$O,'COM RESID'!$H:$H,$E493,'COM RESID'!$I:$I,$F493)/SUMIFS('COM RESID'!$O:$O,'COM RESID'!$I:$I,$F493)*AC493,1),3)</f>
        <v>-5.8000000000000003E-2</v>
      </c>
      <c r="Z493" s="14">
        <v>0</v>
      </c>
      <c r="AA493" s="14">
        <v>5</v>
      </c>
      <c r="AB493" s="10"/>
      <c r="AC493" s="20">
        <v>1.02</v>
      </c>
    </row>
    <row r="494" spans="1:29" x14ac:dyDescent="0.25">
      <c r="A494" s="10">
        <f>A493</f>
        <v>123</v>
      </c>
      <c r="B494" s="10"/>
      <c r="C494" s="11" t="str">
        <f>IF(C493="*",C493,"")</f>
        <v>*</v>
      </c>
      <c r="D494" s="12"/>
      <c r="E494" s="13" t="str">
        <f t="shared" ref="E494:G496" si="154">E493</f>
        <v>COMFOI</v>
      </c>
      <c r="F494" s="13" t="str">
        <f t="shared" si="154"/>
        <v>COMWAROldOEEUE</v>
      </c>
      <c r="G494" s="13" t="str">
        <f t="shared" si="154"/>
        <v>COMWAROldOEEUE</v>
      </c>
      <c r="H494" s="14">
        <v>2025</v>
      </c>
      <c r="I494" s="14" t="str">
        <f>I493</f>
        <v>LO</v>
      </c>
      <c r="J494" s="14"/>
      <c r="K494" s="15">
        <f>-ROUNDDOWN(SUMIFS('COM RESID'!$O:$O,'COM RESID'!$H:$H,$E494,'COM RESID'!$I:$I,$F494)/SUMIFS('COM RESID'!$O:$O,'COM RESID'!$I:$I,$F494),3)*O494</f>
        <v>-4.4800000000000006E-2</v>
      </c>
      <c r="L494" s="14"/>
      <c r="M494" s="14"/>
      <c r="N494" s="10"/>
      <c r="O494" s="20">
        <v>0.8</v>
      </c>
      <c r="Q494" s="11" t="str">
        <f t="shared" si="140"/>
        <v>*</v>
      </c>
      <c r="R494" s="12"/>
      <c r="S494" s="13" t="str">
        <f t="shared" si="142"/>
        <v>COMFOI</v>
      </c>
      <c r="T494" s="13" t="str">
        <f t="shared" si="143"/>
        <v>COMWAROldOEEUE</v>
      </c>
      <c r="U494" s="13" t="str">
        <f t="shared" si="144"/>
        <v>COMWAROldOEEUE</v>
      </c>
      <c r="V494" s="14">
        <v>2025</v>
      </c>
      <c r="W494" s="14" t="str">
        <f>W493</f>
        <v>UP</v>
      </c>
      <c r="X494" s="14"/>
      <c r="Y494" s="15">
        <f>-ROUNDUP(MIN(SUMIFS('COM RESID'!$O:$O,'COM RESID'!$H:$H,$E494,'COM RESID'!$I:$I,$F494)/SUMIFS('COM RESID'!$O:$O,'COM RESID'!$I:$I,$F494)*AC494,1),3)</f>
        <v>-6.8000000000000005E-2</v>
      </c>
      <c r="Z494" s="14"/>
      <c r="AA494" s="14"/>
      <c r="AB494" s="10"/>
      <c r="AC494" s="20">
        <f>IF(S494="COMELC",IF(SUMIFS('COM RESID'!$O:$O,'COM RESID'!$H:$H,$E494,'COM RESID'!$I:$I,$F494)/SUMIFS('COM RESID'!$O:$O,'COM RESID'!$I:$I,$F494)*1.2&lt;0.25,0.25/(SUMIFS('COM RESID'!$O:$O,'COM RESID'!$H:$H,$E494,'COM RESID'!$I:$I,$F494)/SUMIFS('COM RESID'!$O:$O,'COM RESID'!$I:$I,$F494)),1.2),IF(ISNUMBER(SEARCH("WHEUE",T494)),IF(OR(S494="COMNGA",S494="COMFOI"),1,1.2),1.2))</f>
        <v>1.2</v>
      </c>
    </row>
    <row r="495" spans="1:29" x14ac:dyDescent="0.25">
      <c r="A495" s="10">
        <f>A494</f>
        <v>123</v>
      </c>
      <c r="B495" s="10"/>
      <c r="C495" s="11" t="str">
        <f>IF(C494="*",C494,"")</f>
        <v>*</v>
      </c>
      <c r="D495" s="12"/>
      <c r="E495" s="13" t="str">
        <f t="shared" si="154"/>
        <v>COMFOI</v>
      </c>
      <c r="F495" s="13" t="str">
        <f t="shared" si="154"/>
        <v>COMWAROldOEEUE</v>
      </c>
      <c r="G495" s="13" t="str">
        <f t="shared" si="154"/>
        <v>COMWAROldOEEUE</v>
      </c>
      <c r="H495" s="14">
        <v>2030</v>
      </c>
      <c r="I495" s="14" t="str">
        <f>I494</f>
        <v>LO</v>
      </c>
      <c r="J495" s="14"/>
      <c r="K495" s="15">
        <f>-ROUNDDOWN(SUMIFS('COM RESID'!$O:$O,'COM RESID'!$H:$H,$E495,'COM RESID'!$I:$I,$F495)/SUMIFS('COM RESID'!$O:$O,'COM RESID'!$I:$I,$F495),3)*O495</f>
        <v>-1.1200000000000002E-2</v>
      </c>
      <c r="L495" s="14"/>
      <c r="M495" s="14"/>
      <c r="N495" s="10"/>
      <c r="O495" s="20">
        <v>0.2</v>
      </c>
      <c r="Q495" s="11" t="str">
        <f t="shared" si="140"/>
        <v>*</v>
      </c>
      <c r="R495" s="12"/>
      <c r="S495" s="13" t="str">
        <f t="shared" si="142"/>
        <v>COMFOI</v>
      </c>
      <c r="T495" s="13" t="str">
        <f t="shared" si="143"/>
        <v>COMWAROldOEEUE</v>
      </c>
      <c r="U495" s="13" t="str">
        <f t="shared" si="144"/>
        <v>COMWAROldOEEUE</v>
      </c>
      <c r="V495" s="14">
        <v>2030</v>
      </c>
      <c r="W495" s="14" t="str">
        <f>W494</f>
        <v>UP</v>
      </c>
      <c r="X495" s="14"/>
      <c r="Y495" s="15">
        <f>-ROUNDUP(MIN(SUMIFS('COM RESID'!$O:$O,'COM RESID'!$H:$H,$E495,'COM RESID'!$I:$I,$F495)/SUMIFS('COM RESID'!$O:$O,'COM RESID'!$I:$I,$F495)*AC495,1),3)</f>
        <v>-8.5000000000000006E-2</v>
      </c>
      <c r="Z495" s="14"/>
      <c r="AA495" s="14"/>
      <c r="AB495" s="10"/>
      <c r="AC495" s="20">
        <f>IF(S495="COMELC",IF(SUMIFS('COM RESID'!$O:$O,'COM RESID'!$H:$H,$E495,'COM RESID'!$I:$I,$F495)/SUMIFS('COM RESID'!$O:$O,'COM RESID'!$I:$I,$F495)*1.5&lt;0.5,0.5/(SUMIFS('COM RESID'!$O:$O,'COM RESID'!$H:$H,$E495,'COM RESID'!$I:$I,$F495)/SUMIFS('COM RESID'!$O:$O,'COM RESID'!$I:$I,$F495)),1.5),IF(ISNUMBER(SEARCH("WHEUE",T494)),IF(OR(S494="COMNGA",S494="COMFOI"),0.9,1.5),1.5))</f>
        <v>1.5</v>
      </c>
    </row>
    <row r="496" spans="1:29" x14ac:dyDescent="0.25">
      <c r="A496" s="26">
        <f>A495</f>
        <v>123</v>
      </c>
      <c r="B496" s="26"/>
      <c r="C496" s="21" t="str">
        <f>IF(C495="*",C495,"")</f>
        <v>*</v>
      </c>
      <c r="D496" s="22"/>
      <c r="E496" s="23" t="str">
        <f t="shared" si="154"/>
        <v>COMFOI</v>
      </c>
      <c r="F496" s="23" t="str">
        <f t="shared" si="154"/>
        <v>COMWAROldOEEUE</v>
      </c>
      <c r="G496" s="23" t="str">
        <f t="shared" si="154"/>
        <v>COMWAROldOEEUE</v>
      </c>
      <c r="H496" s="24">
        <v>2050</v>
      </c>
      <c r="I496" s="24" t="str">
        <f>I495</f>
        <v>LO</v>
      </c>
      <c r="J496" s="24"/>
      <c r="K496" s="25">
        <f>-ROUNDDOWN(SUMIFS('COM RESID'!$O:$O,'COM RESID'!$H:$H,$E496,'COM RESID'!$I:$I,$F496)/SUMIFS('COM RESID'!$O:$O,'COM RESID'!$I:$I,$F496),3)*O496</f>
        <v>0</v>
      </c>
      <c r="L496" s="24"/>
      <c r="M496" s="24"/>
      <c r="N496" s="26"/>
      <c r="O496" s="27">
        <v>0</v>
      </c>
      <c r="Q496" s="21" t="str">
        <f t="shared" si="140"/>
        <v>*</v>
      </c>
      <c r="R496" s="22"/>
      <c r="S496" s="23" t="str">
        <f t="shared" si="142"/>
        <v>COMFOI</v>
      </c>
      <c r="T496" s="23" t="str">
        <f t="shared" si="143"/>
        <v>COMWAROldOEEUE</v>
      </c>
      <c r="U496" s="23" t="str">
        <f t="shared" si="144"/>
        <v>COMWAROldOEEUE</v>
      </c>
      <c r="V496" s="24">
        <v>2050</v>
      </c>
      <c r="W496" s="24" t="str">
        <f>W495</f>
        <v>UP</v>
      </c>
      <c r="X496" s="24"/>
      <c r="Y496" s="25">
        <f>-ROUNDUP(MIN(SUMIFS('COM RESID'!$O:$O,'COM RESID'!$H:$H,$E496,'COM RESID'!$I:$I,$F496)/SUMIFS('COM RESID'!$O:$O,'COM RESID'!$I:$I,$F496)*AC496,1),3)</f>
        <v>-0.17</v>
      </c>
      <c r="Z496" s="24"/>
      <c r="AA496" s="24"/>
      <c r="AB496" s="26"/>
      <c r="AC496" s="27">
        <f>IF(S496="COMELC",IF(SUMIFS('COM RESID'!$O:$O,'COM RESID'!$H:$H,$E496,'COM RESID'!$I:$I,$F496)/SUMIFS('COM RESID'!$O:$O,'COM RESID'!$I:$I,$F496)*3&lt;1,1/(SUMIFS('COM RESID'!$O:$O,'COM RESID'!$H:$H,$E496,'COM RESID'!$I:$I,$F496)/SUMIFS('COM RESID'!$O:$O,'COM RESID'!$I:$I,$F496)),3),IF(ISNUMBER(SEARCH("WHEUE",T494)),IF(OR(S494="COMNGA",S494="COMFOI"),0.75,3),3))</f>
        <v>3</v>
      </c>
    </row>
    <row r="497" spans="1:29" x14ac:dyDescent="0.25">
      <c r="A497" s="19">
        <f>A493+1</f>
        <v>124</v>
      </c>
      <c r="B497" s="10"/>
      <c r="C497" s="11" t="str">
        <f>IF(E497="","",IF(_xlfn.XLOOKUP($A497,Selected_constraint_UC!$A:$A,Selected_constraint_UC!$D:$D)=1,"*",IF(SUMIFS('COM TECH'!$N:$N,'COM TECH'!$K:$K,E497,'COM TECH'!$L:$L,F497)=0,"*",IF(SUMIFS('COM RESID'!$O:$O,'COM RESID'!$H:$H,$E497,'COM RESID'!$I:$I,$F497)=0,"*","UC_MarketShare_"&amp;LEFT(F497,LEN(F497)-3)&amp;"_"&amp;RIGHT(E497,3)&amp;"_MIN"))))</f>
        <v>UC_MarketShare_COMWAROldOE_NGA_MIN</v>
      </c>
      <c r="D497" s="12"/>
      <c r="E497" s="13" t="str">
        <f>_xlfn.XLOOKUP($A497,Selected_constraint_UC!$A:$A,Selected_constraint_UC!$B:$B)</f>
        <v>COMNGA</v>
      </c>
      <c r="F497" s="13" t="str">
        <f>_xlfn.XLOOKUP($A497,Selected_constraint_UC!$A:$A,Selected_constraint_UC!$C:$C)</f>
        <v>COMWAROldOEEUE</v>
      </c>
      <c r="G497" s="13" t="str">
        <f>F497</f>
        <v>COMWAROldOEEUE</v>
      </c>
      <c r="H497" s="14">
        <v>2019</v>
      </c>
      <c r="I497" s="14" t="s">
        <v>3848</v>
      </c>
      <c r="J497" s="14">
        <v>1</v>
      </c>
      <c r="K497" s="15">
        <f>-ROUNDDOWN(SUMIFS('COM RESID'!$O:$O,'COM RESID'!$H:$H,$E497,'COM RESID'!$I:$I,$F497)/SUMIFS('COM RESID'!$O:$O,'COM RESID'!$I:$I,$F497),3)*O497</f>
        <v>-0.23323999999999998</v>
      </c>
      <c r="L497" s="14">
        <v>0</v>
      </c>
      <c r="M497" s="14">
        <v>5</v>
      </c>
      <c r="N497" s="10"/>
      <c r="O497" s="20">
        <v>0.98</v>
      </c>
      <c r="Q497" s="11" t="str">
        <f t="shared" si="140"/>
        <v>UC_MarketShare_COMWAROldOE_NGA_MAX</v>
      </c>
      <c r="R497" s="12"/>
      <c r="S497" s="13" t="str">
        <f t="shared" si="142"/>
        <v>COMNGA</v>
      </c>
      <c r="T497" s="13" t="str">
        <f t="shared" si="143"/>
        <v>COMWAROldOEEUE</v>
      </c>
      <c r="U497" s="13" t="str">
        <f t="shared" si="144"/>
        <v>COMWAROldOEEUE</v>
      </c>
      <c r="V497" s="14">
        <v>2019</v>
      </c>
      <c r="W497" s="14" t="s">
        <v>3849</v>
      </c>
      <c r="X497" s="14">
        <v>1</v>
      </c>
      <c r="Y497" s="15">
        <f>-ROUNDUP(MIN(SUMIFS('COM RESID'!$O:$O,'COM RESID'!$H:$H,$E497,'COM RESID'!$I:$I,$F497)/SUMIFS('COM RESID'!$O:$O,'COM RESID'!$I:$I,$F497)*AC497,1),3)</f>
        <v>-0.24399999999999999</v>
      </c>
      <c r="Z497" s="14">
        <v>0</v>
      </c>
      <c r="AA497" s="14">
        <v>5</v>
      </c>
      <c r="AB497" s="10"/>
      <c r="AC497" s="20">
        <v>1.02</v>
      </c>
    </row>
    <row r="498" spans="1:29" x14ac:dyDescent="0.25">
      <c r="A498" s="10">
        <f>A497</f>
        <v>124</v>
      </c>
      <c r="B498" s="10"/>
      <c r="C498" s="11" t="str">
        <f>IF(C497="*",C497,"")</f>
        <v/>
      </c>
      <c r="D498" s="12"/>
      <c r="E498" s="13" t="str">
        <f t="shared" ref="E498:G500" si="155">E497</f>
        <v>COMNGA</v>
      </c>
      <c r="F498" s="13" t="str">
        <f t="shared" si="155"/>
        <v>COMWAROldOEEUE</v>
      </c>
      <c r="G498" s="13" t="str">
        <f t="shared" si="155"/>
        <v>COMWAROldOEEUE</v>
      </c>
      <c r="H498" s="14">
        <v>2025</v>
      </c>
      <c r="I498" s="14" t="str">
        <f>I497</f>
        <v>LO</v>
      </c>
      <c r="J498" s="14"/>
      <c r="K498" s="15">
        <f>-ROUNDDOWN(SUMIFS('COM RESID'!$O:$O,'COM RESID'!$H:$H,$E498,'COM RESID'!$I:$I,$F498)/SUMIFS('COM RESID'!$O:$O,'COM RESID'!$I:$I,$F498),3)*O498</f>
        <v>-0.19040000000000001</v>
      </c>
      <c r="L498" s="14"/>
      <c r="M498" s="14"/>
      <c r="N498" s="10"/>
      <c r="O498" s="20">
        <v>0.8</v>
      </c>
      <c r="Q498" s="11" t="str">
        <f t="shared" si="140"/>
        <v/>
      </c>
      <c r="R498" s="12"/>
      <c r="S498" s="13" t="str">
        <f t="shared" si="142"/>
        <v>COMNGA</v>
      </c>
      <c r="T498" s="13" t="str">
        <f t="shared" si="143"/>
        <v>COMWAROldOEEUE</v>
      </c>
      <c r="U498" s="13" t="str">
        <f t="shared" si="144"/>
        <v>COMWAROldOEEUE</v>
      </c>
      <c r="V498" s="14">
        <v>2025</v>
      </c>
      <c r="W498" s="14" t="str">
        <f>W497</f>
        <v>UP</v>
      </c>
      <c r="X498" s="14"/>
      <c r="Y498" s="15">
        <f>-ROUNDUP(MIN(SUMIFS('COM RESID'!$O:$O,'COM RESID'!$H:$H,$E498,'COM RESID'!$I:$I,$F498)/SUMIFS('COM RESID'!$O:$O,'COM RESID'!$I:$I,$F498)*AC498,1),3)</f>
        <v>-0.28699999999999998</v>
      </c>
      <c r="Z498" s="14"/>
      <c r="AA498" s="14"/>
      <c r="AB498" s="10"/>
      <c r="AC498" s="20">
        <f>IF(S498="COMELC",IF(SUMIFS('COM RESID'!$O:$O,'COM RESID'!$H:$H,$E498,'COM RESID'!$I:$I,$F498)/SUMIFS('COM RESID'!$O:$O,'COM RESID'!$I:$I,$F498)*1.2&lt;0.25,0.25/(SUMIFS('COM RESID'!$O:$O,'COM RESID'!$H:$H,$E498,'COM RESID'!$I:$I,$F498)/SUMIFS('COM RESID'!$O:$O,'COM RESID'!$I:$I,$F498)),1.2),IF(ISNUMBER(SEARCH("WHEUE",T498)),IF(OR(S498="COMNGA",S498="COMFOI"),1,1.2),1.2))</f>
        <v>1.2</v>
      </c>
    </row>
    <row r="499" spans="1:29" x14ac:dyDescent="0.25">
      <c r="A499" s="10">
        <f>A498</f>
        <v>124</v>
      </c>
      <c r="B499" s="10"/>
      <c r="C499" s="11" t="str">
        <f>IF(C498="*",C498,"")</f>
        <v/>
      </c>
      <c r="D499" s="12"/>
      <c r="E499" s="13" t="str">
        <f t="shared" si="155"/>
        <v>COMNGA</v>
      </c>
      <c r="F499" s="13" t="str">
        <f t="shared" si="155"/>
        <v>COMWAROldOEEUE</v>
      </c>
      <c r="G499" s="13" t="str">
        <f t="shared" si="155"/>
        <v>COMWAROldOEEUE</v>
      </c>
      <c r="H499" s="14">
        <v>2030</v>
      </c>
      <c r="I499" s="14" t="str">
        <f>I498</f>
        <v>LO</v>
      </c>
      <c r="J499" s="14"/>
      <c r="K499" s="15">
        <f>-ROUNDDOWN(SUMIFS('COM RESID'!$O:$O,'COM RESID'!$H:$H,$E499,'COM RESID'!$I:$I,$F499)/SUMIFS('COM RESID'!$O:$O,'COM RESID'!$I:$I,$F499),3)*O499</f>
        <v>-4.7600000000000003E-2</v>
      </c>
      <c r="L499" s="14"/>
      <c r="M499" s="14"/>
      <c r="N499" s="10"/>
      <c r="O499" s="20">
        <v>0.2</v>
      </c>
      <c r="Q499" s="11" t="str">
        <f t="shared" si="140"/>
        <v/>
      </c>
      <c r="R499" s="12"/>
      <c r="S499" s="13" t="str">
        <f t="shared" si="142"/>
        <v>COMNGA</v>
      </c>
      <c r="T499" s="13" t="str">
        <f t="shared" si="143"/>
        <v>COMWAROldOEEUE</v>
      </c>
      <c r="U499" s="13" t="str">
        <f t="shared" si="144"/>
        <v>COMWAROldOEEUE</v>
      </c>
      <c r="V499" s="14">
        <v>2030</v>
      </c>
      <c r="W499" s="14" t="str">
        <f>W498</f>
        <v>UP</v>
      </c>
      <c r="X499" s="14"/>
      <c r="Y499" s="15">
        <f>-ROUNDUP(MIN(SUMIFS('COM RESID'!$O:$O,'COM RESID'!$H:$H,$E499,'COM RESID'!$I:$I,$F499)/SUMIFS('COM RESID'!$O:$O,'COM RESID'!$I:$I,$F499)*AC499,1),3)</f>
        <v>-0.35899999999999999</v>
      </c>
      <c r="Z499" s="14"/>
      <c r="AA499" s="14"/>
      <c r="AB499" s="10"/>
      <c r="AC499" s="20">
        <f>IF(S499="COMELC",IF(SUMIFS('COM RESID'!$O:$O,'COM RESID'!$H:$H,$E499,'COM RESID'!$I:$I,$F499)/SUMIFS('COM RESID'!$O:$O,'COM RESID'!$I:$I,$F499)*1.5&lt;0.5,0.5/(SUMIFS('COM RESID'!$O:$O,'COM RESID'!$H:$H,$E499,'COM RESID'!$I:$I,$F499)/SUMIFS('COM RESID'!$O:$O,'COM RESID'!$I:$I,$F499)),1.5),IF(ISNUMBER(SEARCH("WHEUE",T498)),IF(OR(S498="COMNGA",S498="COMFOI"),0.9,1.5),1.5))</f>
        <v>1.5</v>
      </c>
    </row>
    <row r="500" spans="1:29" x14ac:dyDescent="0.25">
      <c r="A500" s="26">
        <f>A499</f>
        <v>124</v>
      </c>
      <c r="B500" s="26"/>
      <c r="C500" s="21" t="str">
        <f>IF(C499="*",C499,"")</f>
        <v/>
      </c>
      <c r="D500" s="22"/>
      <c r="E500" s="23" t="str">
        <f t="shared" si="155"/>
        <v>COMNGA</v>
      </c>
      <c r="F500" s="23" t="str">
        <f t="shared" si="155"/>
        <v>COMWAROldOEEUE</v>
      </c>
      <c r="G500" s="23" t="str">
        <f t="shared" si="155"/>
        <v>COMWAROldOEEUE</v>
      </c>
      <c r="H500" s="24">
        <v>2050</v>
      </c>
      <c r="I500" s="24" t="str">
        <f>I499</f>
        <v>LO</v>
      </c>
      <c r="J500" s="24"/>
      <c r="K500" s="25">
        <f>-ROUNDDOWN(SUMIFS('COM RESID'!$O:$O,'COM RESID'!$H:$H,$E500,'COM RESID'!$I:$I,$F500)/SUMIFS('COM RESID'!$O:$O,'COM RESID'!$I:$I,$F500),3)*O500</f>
        <v>0</v>
      </c>
      <c r="L500" s="24"/>
      <c r="M500" s="24"/>
      <c r="N500" s="26"/>
      <c r="O500" s="27">
        <v>0</v>
      </c>
      <c r="Q500" s="21" t="str">
        <f t="shared" si="140"/>
        <v/>
      </c>
      <c r="R500" s="22"/>
      <c r="S500" s="23" t="str">
        <f t="shared" si="142"/>
        <v>COMNGA</v>
      </c>
      <c r="T500" s="23" t="str">
        <f t="shared" si="143"/>
        <v>COMWAROldOEEUE</v>
      </c>
      <c r="U500" s="23" t="str">
        <f t="shared" si="144"/>
        <v>COMWAROldOEEUE</v>
      </c>
      <c r="V500" s="24">
        <v>2050</v>
      </c>
      <c r="W500" s="24" t="str">
        <f>W499</f>
        <v>UP</v>
      </c>
      <c r="X500" s="24"/>
      <c r="Y500" s="25">
        <f>-ROUNDUP(MIN(SUMIFS('COM RESID'!$O:$O,'COM RESID'!$H:$H,$E500,'COM RESID'!$I:$I,$F500)/SUMIFS('COM RESID'!$O:$O,'COM RESID'!$I:$I,$F500)*AC500,1),3)</f>
        <v>-0.71699999999999997</v>
      </c>
      <c r="Z500" s="24"/>
      <c r="AA500" s="24"/>
      <c r="AB500" s="26"/>
      <c r="AC500" s="27">
        <f>IF(S500="COMELC",IF(SUMIFS('COM RESID'!$O:$O,'COM RESID'!$H:$H,$E500,'COM RESID'!$I:$I,$F500)/SUMIFS('COM RESID'!$O:$O,'COM RESID'!$I:$I,$F500)*3&lt;1,1/(SUMIFS('COM RESID'!$O:$O,'COM RESID'!$H:$H,$E500,'COM RESID'!$I:$I,$F500)/SUMIFS('COM RESID'!$O:$O,'COM RESID'!$I:$I,$F500)),3),IF(ISNUMBER(SEARCH("WHEUE",T498)),IF(OR(S498="COMNGA",S498="COMFOI"),0.75,3),3))</f>
        <v>3</v>
      </c>
    </row>
    <row r="501" spans="1:29" x14ac:dyDescent="0.25">
      <c r="A501" s="19">
        <f>A497+1</f>
        <v>125</v>
      </c>
      <c r="B501" s="10"/>
      <c r="C501" s="11" t="str">
        <f>IF(E501="","",IF(_xlfn.XLOOKUP($A501,Selected_constraint_UC!$A:$A,Selected_constraint_UC!$D:$D)=1,"*",IF(SUMIFS('COM TECH'!$N:$N,'COM TECH'!$K:$K,E501,'COM TECH'!$L:$L,F501)=0,"*",IF(SUMIFS('COM RESID'!$O:$O,'COM RESID'!$H:$H,$E501,'COM RESID'!$I:$I,$F501)=0,"*","UC_MarketShare_"&amp;LEFT(F501,LEN(F501)-3)&amp;"_"&amp;RIGHT(E501,3)&amp;"_MIN"))))</f>
        <v>*</v>
      </c>
      <c r="D501" s="12"/>
      <c r="E501" s="13" t="str">
        <f>_xlfn.XLOOKUP($A501,Selected_constraint_UC!$A:$A,Selected_constraint_UC!$B:$B)</f>
        <v>COMSTM</v>
      </c>
      <c r="F501" s="13" t="str">
        <f>_xlfn.XLOOKUP($A501,Selected_constraint_UC!$A:$A,Selected_constraint_UC!$C:$C)</f>
        <v>COMWAROldOEEUE</v>
      </c>
      <c r="G501" s="13" t="str">
        <f>F501</f>
        <v>COMWAROldOEEUE</v>
      </c>
      <c r="H501" s="14">
        <v>2019</v>
      </c>
      <c r="I501" s="14" t="s">
        <v>3848</v>
      </c>
      <c r="J501" s="14">
        <v>1</v>
      </c>
      <c r="K501" s="15">
        <f>-ROUNDDOWN(SUMIFS('COM RESID'!$O:$O,'COM RESID'!$H:$H,$E501,'COM RESID'!$I:$I,$F501)/SUMIFS('COM RESID'!$O:$O,'COM RESID'!$I:$I,$F501),3)*O501</f>
        <v>0</v>
      </c>
      <c r="L501" s="14">
        <v>0</v>
      </c>
      <c r="M501" s="14">
        <v>5</v>
      </c>
      <c r="N501" s="10"/>
      <c r="O501" s="20">
        <v>0.98</v>
      </c>
      <c r="Q501" s="11" t="str">
        <f t="shared" si="140"/>
        <v>*</v>
      </c>
      <c r="R501" s="12"/>
      <c r="S501" s="13" t="str">
        <f t="shared" si="142"/>
        <v>COMSTM</v>
      </c>
      <c r="T501" s="13" t="str">
        <f t="shared" si="143"/>
        <v>COMWAROldOEEUE</v>
      </c>
      <c r="U501" s="13" t="str">
        <f t="shared" si="144"/>
        <v>COMWAROldOEEUE</v>
      </c>
      <c r="V501" s="14">
        <v>2019</v>
      </c>
      <c r="W501" s="14" t="s">
        <v>3849</v>
      </c>
      <c r="X501" s="14">
        <v>1</v>
      </c>
      <c r="Y501" s="15">
        <f>-ROUNDUP(MIN(SUMIFS('COM RESID'!$O:$O,'COM RESID'!$H:$H,$E501,'COM RESID'!$I:$I,$F501)/SUMIFS('COM RESID'!$O:$O,'COM RESID'!$I:$I,$F501)*AC501,1),3)</f>
        <v>0</v>
      </c>
      <c r="Z501" s="14">
        <v>0</v>
      </c>
      <c r="AA501" s="14">
        <v>5</v>
      </c>
      <c r="AB501" s="10"/>
      <c r="AC501" s="20">
        <v>1.02</v>
      </c>
    </row>
    <row r="502" spans="1:29" x14ac:dyDescent="0.25">
      <c r="A502" s="10">
        <f>A501</f>
        <v>125</v>
      </c>
      <c r="B502" s="10"/>
      <c r="C502" s="11" t="str">
        <f>IF(C501="*",C501,"")</f>
        <v>*</v>
      </c>
      <c r="D502" s="12"/>
      <c r="E502" s="13" t="str">
        <f t="shared" ref="E502:G504" si="156">E501</f>
        <v>COMSTM</v>
      </c>
      <c r="F502" s="13" t="str">
        <f t="shared" si="156"/>
        <v>COMWAROldOEEUE</v>
      </c>
      <c r="G502" s="13" t="str">
        <f t="shared" si="156"/>
        <v>COMWAROldOEEUE</v>
      </c>
      <c r="H502" s="14">
        <v>2025</v>
      </c>
      <c r="I502" s="14" t="str">
        <f>I501</f>
        <v>LO</v>
      </c>
      <c r="J502" s="14"/>
      <c r="K502" s="15">
        <f>-ROUNDDOWN(SUMIFS('COM RESID'!$O:$O,'COM RESID'!$H:$H,$E502,'COM RESID'!$I:$I,$F502)/SUMIFS('COM RESID'!$O:$O,'COM RESID'!$I:$I,$F502),3)*O502</f>
        <v>0</v>
      </c>
      <c r="L502" s="14"/>
      <c r="M502" s="14"/>
      <c r="N502" s="10"/>
      <c r="O502" s="20">
        <v>0.8</v>
      </c>
      <c r="Q502" s="11" t="str">
        <f t="shared" si="140"/>
        <v>*</v>
      </c>
      <c r="R502" s="12"/>
      <c r="S502" s="13" t="str">
        <f t="shared" si="142"/>
        <v>COMSTM</v>
      </c>
      <c r="T502" s="13" t="str">
        <f t="shared" si="143"/>
        <v>COMWAROldOEEUE</v>
      </c>
      <c r="U502" s="13" t="str">
        <f t="shared" si="144"/>
        <v>COMWAROldOEEUE</v>
      </c>
      <c r="V502" s="14">
        <v>2025</v>
      </c>
      <c r="W502" s="14" t="str">
        <f>W501</f>
        <v>UP</v>
      </c>
      <c r="X502" s="14"/>
      <c r="Y502" s="15">
        <f>-ROUNDUP(MIN(SUMIFS('COM RESID'!$O:$O,'COM RESID'!$H:$H,$E502,'COM RESID'!$I:$I,$F502)/SUMIFS('COM RESID'!$O:$O,'COM RESID'!$I:$I,$F502)*AC502,1),3)</f>
        <v>0</v>
      </c>
      <c r="Z502" s="14"/>
      <c r="AA502" s="14"/>
      <c r="AB502" s="10"/>
      <c r="AC502" s="20">
        <f>IF(S502="COMELC",IF(SUMIFS('COM RESID'!$O:$O,'COM RESID'!$H:$H,$E502,'COM RESID'!$I:$I,$F502)/SUMIFS('COM RESID'!$O:$O,'COM RESID'!$I:$I,$F502)*1.2&lt;0.25,0.25/(SUMIFS('COM RESID'!$O:$O,'COM RESID'!$H:$H,$E502,'COM RESID'!$I:$I,$F502)/SUMIFS('COM RESID'!$O:$O,'COM RESID'!$I:$I,$F502)),1.2),IF(ISNUMBER(SEARCH("WHEUE",T502)),IF(OR(S502="COMNGA",S502="COMFOI"),1,1.2),1.2))</f>
        <v>1.2</v>
      </c>
    </row>
    <row r="503" spans="1:29" x14ac:dyDescent="0.25">
      <c r="A503" s="10">
        <f>A502</f>
        <v>125</v>
      </c>
      <c r="B503" s="10"/>
      <c r="C503" s="11" t="str">
        <f>IF(C502="*",C502,"")</f>
        <v>*</v>
      </c>
      <c r="D503" s="12"/>
      <c r="E503" s="13" t="str">
        <f t="shared" si="156"/>
        <v>COMSTM</v>
      </c>
      <c r="F503" s="13" t="str">
        <f t="shared" si="156"/>
        <v>COMWAROldOEEUE</v>
      </c>
      <c r="G503" s="13" t="str">
        <f t="shared" si="156"/>
        <v>COMWAROldOEEUE</v>
      </c>
      <c r="H503" s="14">
        <v>2030</v>
      </c>
      <c r="I503" s="14" t="str">
        <f>I502</f>
        <v>LO</v>
      </c>
      <c r="J503" s="14"/>
      <c r="K503" s="15">
        <f>-ROUNDDOWN(SUMIFS('COM RESID'!$O:$O,'COM RESID'!$H:$H,$E503,'COM RESID'!$I:$I,$F503)/SUMIFS('COM RESID'!$O:$O,'COM RESID'!$I:$I,$F503),3)*O503</f>
        <v>0</v>
      </c>
      <c r="L503" s="14"/>
      <c r="M503" s="14"/>
      <c r="N503" s="10"/>
      <c r="O503" s="20">
        <v>0.2</v>
      </c>
      <c r="Q503" s="11" t="str">
        <f t="shared" si="140"/>
        <v>*</v>
      </c>
      <c r="R503" s="12"/>
      <c r="S503" s="13" t="str">
        <f t="shared" si="142"/>
        <v>COMSTM</v>
      </c>
      <c r="T503" s="13" t="str">
        <f t="shared" si="143"/>
        <v>COMWAROldOEEUE</v>
      </c>
      <c r="U503" s="13" t="str">
        <f t="shared" si="144"/>
        <v>COMWAROldOEEUE</v>
      </c>
      <c r="V503" s="14">
        <v>2030</v>
      </c>
      <c r="W503" s="14" t="str">
        <f>W502</f>
        <v>UP</v>
      </c>
      <c r="X503" s="14"/>
      <c r="Y503" s="15">
        <f>-ROUNDUP(MIN(SUMIFS('COM RESID'!$O:$O,'COM RESID'!$H:$H,$E503,'COM RESID'!$I:$I,$F503)/SUMIFS('COM RESID'!$O:$O,'COM RESID'!$I:$I,$F503)*AC503,1),3)</f>
        <v>0</v>
      </c>
      <c r="Z503" s="14"/>
      <c r="AA503" s="14"/>
      <c r="AB503" s="10"/>
      <c r="AC503" s="20">
        <f>IF(S503="COMELC",IF(SUMIFS('COM RESID'!$O:$O,'COM RESID'!$H:$H,$E503,'COM RESID'!$I:$I,$F503)/SUMIFS('COM RESID'!$O:$O,'COM RESID'!$I:$I,$F503)*1.5&lt;0.5,0.5/(SUMIFS('COM RESID'!$O:$O,'COM RESID'!$H:$H,$E503,'COM RESID'!$I:$I,$F503)/SUMIFS('COM RESID'!$O:$O,'COM RESID'!$I:$I,$F503)),1.5),IF(ISNUMBER(SEARCH("WHEUE",T502)),IF(OR(S502="COMNGA",S502="COMFOI"),0.9,1.5),1.5))</f>
        <v>1.5</v>
      </c>
    </row>
    <row r="504" spans="1:29" x14ac:dyDescent="0.25">
      <c r="A504" s="26">
        <f>A503</f>
        <v>125</v>
      </c>
      <c r="B504" s="26"/>
      <c r="C504" s="21" t="str">
        <f>IF(C503="*",C503,"")</f>
        <v>*</v>
      </c>
      <c r="D504" s="22"/>
      <c r="E504" s="23" t="str">
        <f t="shared" si="156"/>
        <v>COMSTM</v>
      </c>
      <c r="F504" s="23" t="str">
        <f t="shared" si="156"/>
        <v>COMWAROldOEEUE</v>
      </c>
      <c r="G504" s="23" t="str">
        <f t="shared" si="156"/>
        <v>COMWAROldOEEUE</v>
      </c>
      <c r="H504" s="24">
        <v>2050</v>
      </c>
      <c r="I504" s="24" t="str">
        <f>I503</f>
        <v>LO</v>
      </c>
      <c r="J504" s="24"/>
      <c r="K504" s="25">
        <f>-ROUNDDOWN(SUMIFS('COM RESID'!$O:$O,'COM RESID'!$H:$H,$E504,'COM RESID'!$I:$I,$F504)/SUMIFS('COM RESID'!$O:$O,'COM RESID'!$I:$I,$F504),3)*O504</f>
        <v>0</v>
      </c>
      <c r="L504" s="24"/>
      <c r="M504" s="24"/>
      <c r="N504" s="26"/>
      <c r="O504" s="27">
        <v>0</v>
      </c>
      <c r="Q504" s="21" t="str">
        <f t="shared" si="140"/>
        <v>*</v>
      </c>
      <c r="R504" s="22"/>
      <c r="S504" s="23" t="str">
        <f t="shared" si="142"/>
        <v>COMSTM</v>
      </c>
      <c r="T504" s="23" t="str">
        <f t="shared" si="143"/>
        <v>COMWAROldOEEUE</v>
      </c>
      <c r="U504" s="23" t="str">
        <f t="shared" si="144"/>
        <v>COMWAROldOEEUE</v>
      </c>
      <c r="V504" s="24">
        <v>2050</v>
      </c>
      <c r="W504" s="24" t="str">
        <f>W503</f>
        <v>UP</v>
      </c>
      <c r="X504" s="24"/>
      <c r="Y504" s="25">
        <f>-ROUNDUP(MIN(SUMIFS('COM RESID'!$O:$O,'COM RESID'!$H:$H,$E504,'COM RESID'!$I:$I,$F504)/SUMIFS('COM RESID'!$O:$O,'COM RESID'!$I:$I,$F504)*AC504,1),3)</f>
        <v>0</v>
      </c>
      <c r="Z504" s="24"/>
      <c r="AA504" s="24"/>
      <c r="AB504" s="26"/>
      <c r="AC504" s="27">
        <f>IF(S504="COMELC",IF(SUMIFS('COM RESID'!$O:$O,'COM RESID'!$H:$H,$E504,'COM RESID'!$I:$I,$F504)/SUMIFS('COM RESID'!$O:$O,'COM RESID'!$I:$I,$F504)*3&lt;1,1/(SUMIFS('COM RESID'!$O:$O,'COM RESID'!$H:$H,$E504,'COM RESID'!$I:$I,$F504)/SUMIFS('COM RESID'!$O:$O,'COM RESID'!$I:$I,$F504)),3),IF(ISNUMBER(SEARCH("WHEUE",T502)),IF(OR(S502="COMNGA",S502="COMFOI"),0.75,3),3))</f>
        <v>3</v>
      </c>
    </row>
    <row r="505" spans="1:29" x14ac:dyDescent="0.25">
      <c r="A505" s="19">
        <f>A501+1</f>
        <v>126</v>
      </c>
      <c r="B505" s="10"/>
      <c r="C505" s="11" t="str">
        <f>IF(E505="","",IF(_xlfn.XLOOKUP($A505,Selected_constraint_UC!$A:$A,Selected_constraint_UC!$D:$D)=1,"*",IF(SUMIFS('COM TECH'!$N:$N,'COM TECH'!$K:$K,E505,'COM TECH'!$L:$L,F505)=0,"*",IF(SUMIFS('COM RESID'!$O:$O,'COM RESID'!$H:$H,$E505,'COM RESID'!$I:$I,$F505)=0,"*","UC_MarketShare_"&amp;LEFT(F505,LEN(F505)-3)&amp;"_"&amp;RIGHT(E505,3)&amp;"_MIN"))))</f>
        <v>UC_MarketShare_COMWAROldOE_ELC_MIN</v>
      </c>
      <c r="D505" s="12"/>
      <c r="E505" s="13" t="str">
        <f>_xlfn.XLOOKUP($A505,Selected_constraint_UC!$A:$A,Selected_constraint_UC!$B:$B)</f>
        <v>COMELC</v>
      </c>
      <c r="F505" s="13" t="str">
        <f>_xlfn.XLOOKUP($A505,Selected_constraint_UC!$A:$A,Selected_constraint_UC!$C:$C)</f>
        <v>COMWAROldOEEUE</v>
      </c>
      <c r="G505" s="13" t="str">
        <f>F505</f>
        <v>COMWAROldOEEUE</v>
      </c>
      <c r="H505" s="14">
        <v>2019</v>
      </c>
      <c r="I505" s="14" t="s">
        <v>3848</v>
      </c>
      <c r="J505" s="14">
        <v>1</v>
      </c>
      <c r="K505" s="15">
        <f>-ROUNDDOWN(SUMIFS('COM RESID'!$O:$O,'COM RESID'!$H:$H,$E505,'COM RESID'!$I:$I,$F505)/SUMIFS('COM RESID'!$O:$O,'COM RESID'!$I:$I,$F505),3)*O505</f>
        <v>-0.68991999999999998</v>
      </c>
      <c r="L505" s="14">
        <v>0</v>
      </c>
      <c r="M505" s="14">
        <v>5</v>
      </c>
      <c r="N505" s="10"/>
      <c r="O505" s="20">
        <v>0.98</v>
      </c>
      <c r="Q505" s="11" t="str">
        <f t="shared" si="140"/>
        <v>UC_MarketShare_COMWAROldOE_ELC_MAX</v>
      </c>
      <c r="R505" s="12"/>
      <c r="S505" s="13" t="str">
        <f t="shared" si="142"/>
        <v>COMELC</v>
      </c>
      <c r="T505" s="13" t="str">
        <f t="shared" si="143"/>
        <v>COMWAROldOEEUE</v>
      </c>
      <c r="U505" s="13" t="str">
        <f t="shared" si="144"/>
        <v>COMWAROldOEEUE</v>
      </c>
      <c r="V505" s="14">
        <v>2019</v>
      </c>
      <c r="W505" s="14" t="s">
        <v>3849</v>
      </c>
      <c r="X505" s="14">
        <v>1</v>
      </c>
      <c r="Y505" s="15">
        <f>-ROUNDUP(MIN(SUMIFS('COM RESID'!$O:$O,'COM RESID'!$H:$H,$E505,'COM RESID'!$I:$I,$F505)/SUMIFS('COM RESID'!$O:$O,'COM RESID'!$I:$I,$F505)*AC505,1),3)</f>
        <v>-0.71899999999999997</v>
      </c>
      <c r="Z505" s="14">
        <v>0</v>
      </c>
      <c r="AA505" s="14">
        <v>5</v>
      </c>
      <c r="AB505" s="10"/>
      <c r="AC505" s="20">
        <v>1.02</v>
      </c>
    </row>
    <row r="506" spans="1:29" x14ac:dyDescent="0.25">
      <c r="A506" s="10">
        <f>A505</f>
        <v>126</v>
      </c>
      <c r="B506" s="10"/>
      <c r="C506" s="11" t="str">
        <f>IF(C505="*",C505,"")</f>
        <v/>
      </c>
      <c r="D506" s="12"/>
      <c r="E506" s="13" t="str">
        <f t="shared" ref="E506:G508" si="157">E505</f>
        <v>COMELC</v>
      </c>
      <c r="F506" s="13" t="str">
        <f t="shared" si="157"/>
        <v>COMWAROldOEEUE</v>
      </c>
      <c r="G506" s="13" t="str">
        <f t="shared" si="157"/>
        <v>COMWAROldOEEUE</v>
      </c>
      <c r="H506" s="14">
        <v>2025</v>
      </c>
      <c r="I506" s="14" t="str">
        <f>I505</f>
        <v>LO</v>
      </c>
      <c r="J506" s="14"/>
      <c r="K506" s="15">
        <f>-ROUNDDOWN(SUMIFS('COM RESID'!$O:$O,'COM RESID'!$H:$H,$E506,'COM RESID'!$I:$I,$F506)/SUMIFS('COM RESID'!$O:$O,'COM RESID'!$I:$I,$F506),3)*O506</f>
        <v>-0.56320000000000003</v>
      </c>
      <c r="L506" s="14"/>
      <c r="M506" s="14"/>
      <c r="N506" s="10"/>
      <c r="O506" s="20">
        <v>0.8</v>
      </c>
      <c r="Q506" s="11" t="str">
        <f t="shared" si="140"/>
        <v/>
      </c>
      <c r="R506" s="12"/>
      <c r="S506" s="13" t="str">
        <f t="shared" si="142"/>
        <v>COMELC</v>
      </c>
      <c r="T506" s="13" t="str">
        <f t="shared" si="143"/>
        <v>COMWAROldOEEUE</v>
      </c>
      <c r="U506" s="13" t="str">
        <f t="shared" si="144"/>
        <v>COMWAROldOEEUE</v>
      </c>
      <c r="V506" s="14">
        <v>2025</v>
      </c>
      <c r="W506" s="14" t="str">
        <f>W505</f>
        <v>UP</v>
      </c>
      <c r="X506" s="14"/>
      <c r="Y506" s="15">
        <f>-ROUNDUP(MIN(SUMIFS('COM RESID'!$O:$O,'COM RESID'!$H:$H,$E506,'COM RESID'!$I:$I,$F506)/SUMIFS('COM RESID'!$O:$O,'COM RESID'!$I:$I,$F506)*AC506,1),3)</f>
        <v>-0.84599999999999997</v>
      </c>
      <c r="Z506" s="14"/>
      <c r="AA506" s="14"/>
      <c r="AB506" s="10"/>
      <c r="AC506" s="20">
        <f>IF(S506="COMELC",IF(SUMIFS('COM RESID'!$O:$O,'COM RESID'!$H:$H,$E506,'COM RESID'!$I:$I,$F506)/SUMIFS('COM RESID'!$O:$O,'COM RESID'!$I:$I,$F506)*1.2&lt;0.25,0.25/(SUMIFS('COM RESID'!$O:$O,'COM RESID'!$H:$H,$E506,'COM RESID'!$I:$I,$F506)/SUMIFS('COM RESID'!$O:$O,'COM RESID'!$I:$I,$F506)),1.2),IF(ISNUMBER(SEARCH("WHEUE",T506)),IF(OR(S506="COMNGA",S506="COMFOI"),1,1.2),1.2))</f>
        <v>1.2</v>
      </c>
    </row>
    <row r="507" spans="1:29" x14ac:dyDescent="0.25">
      <c r="A507" s="10">
        <f>A506</f>
        <v>126</v>
      </c>
      <c r="B507" s="10"/>
      <c r="C507" s="11" t="str">
        <f>IF(C506="*",C506,"")</f>
        <v/>
      </c>
      <c r="D507" s="12"/>
      <c r="E507" s="13" t="str">
        <f t="shared" si="157"/>
        <v>COMELC</v>
      </c>
      <c r="F507" s="13" t="str">
        <f t="shared" si="157"/>
        <v>COMWAROldOEEUE</v>
      </c>
      <c r="G507" s="13" t="str">
        <f t="shared" si="157"/>
        <v>COMWAROldOEEUE</v>
      </c>
      <c r="H507" s="14">
        <v>2030</v>
      </c>
      <c r="I507" s="14" t="str">
        <f>I506</f>
        <v>LO</v>
      </c>
      <c r="J507" s="14"/>
      <c r="K507" s="15">
        <f>-ROUNDDOWN(SUMIFS('COM RESID'!$O:$O,'COM RESID'!$H:$H,$E507,'COM RESID'!$I:$I,$F507)/SUMIFS('COM RESID'!$O:$O,'COM RESID'!$I:$I,$F507),3)*O507</f>
        <v>-0.14080000000000001</v>
      </c>
      <c r="L507" s="14"/>
      <c r="M507" s="14"/>
      <c r="N507" s="10"/>
      <c r="O507" s="20">
        <v>0.2</v>
      </c>
      <c r="Q507" s="11" t="str">
        <f t="shared" si="140"/>
        <v/>
      </c>
      <c r="R507" s="12"/>
      <c r="S507" s="13" t="str">
        <f t="shared" si="142"/>
        <v>COMELC</v>
      </c>
      <c r="T507" s="13" t="str">
        <f t="shared" si="143"/>
        <v>COMWAROldOEEUE</v>
      </c>
      <c r="U507" s="13" t="str">
        <f t="shared" si="144"/>
        <v>COMWAROldOEEUE</v>
      </c>
      <c r="V507" s="14">
        <v>2030</v>
      </c>
      <c r="W507" s="14" t="str">
        <f>W506</f>
        <v>UP</v>
      </c>
      <c r="X507" s="14"/>
      <c r="Y507" s="15">
        <f>-ROUNDUP(MIN(SUMIFS('COM RESID'!$O:$O,'COM RESID'!$H:$H,$E507,'COM RESID'!$I:$I,$F507)/SUMIFS('COM RESID'!$O:$O,'COM RESID'!$I:$I,$F507)*AC507,1),3)</f>
        <v>-1</v>
      </c>
      <c r="Z507" s="14"/>
      <c r="AA507" s="14"/>
      <c r="AB507" s="10"/>
      <c r="AC507" s="20">
        <f>IF(S507="COMELC",IF(SUMIFS('COM RESID'!$O:$O,'COM RESID'!$H:$H,$E507,'COM RESID'!$I:$I,$F507)/SUMIFS('COM RESID'!$O:$O,'COM RESID'!$I:$I,$F507)*1.5&lt;0.5,0.5/(SUMIFS('COM RESID'!$O:$O,'COM RESID'!$H:$H,$E507,'COM RESID'!$I:$I,$F507)/SUMIFS('COM RESID'!$O:$O,'COM RESID'!$I:$I,$F507)),1.5),IF(ISNUMBER(SEARCH("WHEUE",T506)),IF(OR(S506="COMNGA",S506="COMFOI"),0.9,1.5),1.5))</f>
        <v>1.5</v>
      </c>
    </row>
    <row r="508" spans="1:29" ht="14.25" customHeight="1" x14ac:dyDescent="0.25">
      <c r="A508" s="26">
        <f>A507</f>
        <v>126</v>
      </c>
      <c r="B508" s="26"/>
      <c r="C508" s="21" t="str">
        <f>IF(C507="*",C507,"")</f>
        <v/>
      </c>
      <c r="D508" s="22"/>
      <c r="E508" s="23" t="str">
        <f t="shared" si="157"/>
        <v>COMELC</v>
      </c>
      <c r="F508" s="23" t="str">
        <f t="shared" si="157"/>
        <v>COMWAROldOEEUE</v>
      </c>
      <c r="G508" s="23" t="str">
        <f t="shared" si="157"/>
        <v>COMWAROldOEEUE</v>
      </c>
      <c r="H508" s="24">
        <v>2050</v>
      </c>
      <c r="I508" s="24" t="str">
        <f>I507</f>
        <v>LO</v>
      </c>
      <c r="J508" s="24"/>
      <c r="K508" s="25">
        <f>-ROUNDDOWN(SUMIFS('COM RESID'!$O:$O,'COM RESID'!$H:$H,$E508,'COM RESID'!$I:$I,$F508)/SUMIFS('COM RESID'!$O:$O,'COM RESID'!$I:$I,$F508),3)*O508</f>
        <v>0</v>
      </c>
      <c r="L508" s="24"/>
      <c r="M508" s="24"/>
      <c r="N508" s="26"/>
      <c r="O508" s="27">
        <v>0</v>
      </c>
      <c r="Q508" s="21" t="str">
        <f t="shared" si="140"/>
        <v/>
      </c>
      <c r="R508" s="22"/>
      <c r="S508" s="23" t="str">
        <f t="shared" si="142"/>
        <v>COMELC</v>
      </c>
      <c r="T508" s="23" t="str">
        <f t="shared" si="143"/>
        <v>COMWAROldOEEUE</v>
      </c>
      <c r="U508" s="23" t="str">
        <f t="shared" si="144"/>
        <v>COMWAROldOEEUE</v>
      </c>
      <c r="V508" s="24">
        <v>2050</v>
      </c>
      <c r="W508" s="24" t="str">
        <f>W507</f>
        <v>UP</v>
      </c>
      <c r="X508" s="24"/>
      <c r="Y508" s="25">
        <f>-ROUNDUP(MIN(SUMIFS('COM RESID'!$O:$O,'COM RESID'!$H:$H,$E508,'COM RESID'!$I:$I,$F508)/SUMIFS('COM RESID'!$O:$O,'COM RESID'!$I:$I,$F508)*AC508,1),3)</f>
        <v>-1</v>
      </c>
      <c r="Z508" s="24"/>
      <c r="AA508" s="24"/>
      <c r="AB508" s="26"/>
      <c r="AC508" s="27">
        <f>IF(S508="COMELC",IF(SUMIFS('COM RESID'!$O:$O,'COM RESID'!$H:$H,$E508,'COM RESID'!$I:$I,$F508)/SUMIFS('COM RESID'!$O:$O,'COM RESID'!$I:$I,$F508)*3&lt;1,1/(SUMIFS('COM RESID'!$O:$O,'COM RESID'!$H:$H,$E508,'COM RESID'!$I:$I,$F508)/SUMIFS('COM RESID'!$O:$O,'COM RESID'!$I:$I,$F508)),3),IF(ISNUMBER(SEARCH("WHEUE",T506)),IF(OR(S506="COMNGA",S506="COMFOI"),0.75,3),3))</f>
        <v>3</v>
      </c>
    </row>
    <row r="509" spans="1:29" x14ac:dyDescent="0.25">
      <c r="A509" s="19">
        <f>A505+1</f>
        <v>127</v>
      </c>
      <c r="B509" s="10"/>
      <c r="C509" s="11" t="str">
        <f>IF(E509="","",IF(_xlfn.XLOOKUP($A509,Selected_constraint_UC!$A:$A,Selected_constraint_UC!$D:$D)=1,"*",IF(SUMIFS('COM TECH'!$N:$N,'COM TECH'!$K:$K,E509,'COM TECH'!$L:$L,F509)=0,"*",IF(SUMIFS('COM RESID'!$O:$O,'COM RESID'!$H:$H,$E509,'COM RESID'!$I:$I,$F509)=0,"*","UC_MarketShare_"&amp;LEFT(F509,LEN(F509)-3)&amp;"_"&amp;RIGHT(E509,3)&amp;"_MIN"))))</f>
        <v>UC_MarketShare_COMMUNOldSH_ELC_MIN</v>
      </c>
      <c r="D509" s="12"/>
      <c r="E509" s="13" t="str">
        <f>_xlfn.XLOOKUP($A509,Selected_constraint_UC!$A:$A,Selected_constraint_UC!$B:$B)</f>
        <v>COMELC</v>
      </c>
      <c r="F509" s="13" t="str">
        <f>_xlfn.XLOOKUP($A509,Selected_constraint_UC!$A:$A,Selected_constraint_UC!$C:$C)</f>
        <v>COMMUNOldSHEUE</v>
      </c>
      <c r="G509" s="13" t="str">
        <f>F509</f>
        <v>COMMUNOldSHEUE</v>
      </c>
      <c r="H509" s="14">
        <v>2019</v>
      </c>
      <c r="I509" s="14" t="s">
        <v>3848</v>
      </c>
      <c r="J509" s="14">
        <v>1</v>
      </c>
      <c r="K509" s="15">
        <f>-ROUNDDOWN(SUMIFS('COM RESID'!$O:$O,'COM RESID'!$H:$H,$E509,'COM RESID'!$I:$I,$F509)/SUMIFS('COM RESID'!$O:$O,'COM RESID'!$I:$I,$F509),3)*O509</f>
        <v>-5.586E-2</v>
      </c>
      <c r="L509" s="14">
        <v>0</v>
      </c>
      <c r="M509" s="14">
        <v>5</v>
      </c>
      <c r="N509" s="10"/>
      <c r="O509" s="20">
        <v>0.98</v>
      </c>
      <c r="Q509" s="11" t="str">
        <f t="shared" si="140"/>
        <v>UC_MarketShare_COMMUNOldSH_ELC_MAX</v>
      </c>
      <c r="R509" s="12"/>
      <c r="S509" s="13" t="str">
        <f t="shared" si="142"/>
        <v>COMELC</v>
      </c>
      <c r="T509" s="13" t="str">
        <f t="shared" si="143"/>
        <v>COMMUNOldSHEUE</v>
      </c>
      <c r="U509" s="13" t="str">
        <f t="shared" si="144"/>
        <v>COMMUNOldSHEUE</v>
      </c>
      <c r="V509" s="14">
        <v>2019</v>
      </c>
      <c r="W509" s="14" t="s">
        <v>3849</v>
      </c>
      <c r="X509" s="14">
        <v>1</v>
      </c>
      <c r="Y509" s="15">
        <f>-ROUNDUP(MIN(SUMIFS('COM RESID'!$O:$O,'COM RESID'!$H:$H,$E509,'COM RESID'!$I:$I,$F509)/SUMIFS('COM RESID'!$O:$O,'COM RESID'!$I:$I,$F509)*AC509,1),3)</f>
        <v>-5.9000000000000004E-2</v>
      </c>
      <c r="Z509" s="14">
        <v>0</v>
      </c>
      <c r="AA509" s="14">
        <v>5</v>
      </c>
      <c r="AB509" s="10"/>
      <c r="AC509" s="20">
        <v>1.02</v>
      </c>
    </row>
    <row r="510" spans="1:29" x14ac:dyDescent="0.25">
      <c r="A510" s="10">
        <f>A509</f>
        <v>127</v>
      </c>
      <c r="B510" s="10"/>
      <c r="C510" s="11" t="str">
        <f>IF(C509="*",C509,"")</f>
        <v/>
      </c>
      <c r="D510" s="12"/>
      <c r="E510" s="13" t="str">
        <f t="shared" ref="E510:G512" si="158">E509</f>
        <v>COMELC</v>
      </c>
      <c r="F510" s="13" t="str">
        <f t="shared" si="158"/>
        <v>COMMUNOldSHEUE</v>
      </c>
      <c r="G510" s="13" t="str">
        <f t="shared" si="158"/>
        <v>COMMUNOldSHEUE</v>
      </c>
      <c r="H510" s="14">
        <v>2025</v>
      </c>
      <c r="I510" s="14" t="str">
        <f>I509</f>
        <v>LO</v>
      </c>
      <c r="J510" s="14"/>
      <c r="K510" s="15">
        <f>-ROUNDDOWN(SUMIFS('COM RESID'!$O:$O,'COM RESID'!$H:$H,$E510,'COM RESID'!$I:$I,$F510)/SUMIFS('COM RESID'!$O:$O,'COM RESID'!$I:$I,$F510),3)*O510</f>
        <v>-4.5600000000000002E-2</v>
      </c>
      <c r="L510" s="14"/>
      <c r="M510" s="14"/>
      <c r="N510" s="10"/>
      <c r="O510" s="20">
        <v>0.8</v>
      </c>
      <c r="Q510" s="11" t="str">
        <f t="shared" si="140"/>
        <v/>
      </c>
      <c r="R510" s="12"/>
      <c r="S510" s="13" t="str">
        <f t="shared" si="142"/>
        <v>COMELC</v>
      </c>
      <c r="T510" s="13" t="str">
        <f t="shared" si="143"/>
        <v>COMMUNOldSHEUE</v>
      </c>
      <c r="U510" s="13" t="str">
        <f t="shared" si="144"/>
        <v>COMMUNOldSHEUE</v>
      </c>
      <c r="V510" s="14">
        <v>2025</v>
      </c>
      <c r="W510" s="14" t="str">
        <f>W509</f>
        <v>UP</v>
      </c>
      <c r="X510" s="14"/>
      <c r="Y510" s="15">
        <f>-ROUNDUP(MIN(SUMIFS('COM RESID'!$O:$O,'COM RESID'!$H:$H,$E510,'COM RESID'!$I:$I,$F510)/SUMIFS('COM RESID'!$O:$O,'COM RESID'!$I:$I,$F510)*AC510,1),3)</f>
        <v>-0.25</v>
      </c>
      <c r="Z510" s="14"/>
      <c r="AA510" s="14"/>
      <c r="AB510" s="10"/>
      <c r="AC510" s="20">
        <f>IF(S510="COMELC",IF(SUMIFS('COM RESID'!$O:$O,'COM RESID'!$H:$H,$E510,'COM RESID'!$I:$I,$F510)/SUMIFS('COM RESID'!$O:$O,'COM RESID'!$I:$I,$F510)*1.2&lt;0.25,0.25/(SUMIFS('COM RESID'!$O:$O,'COM RESID'!$H:$H,$E510,'COM RESID'!$I:$I,$F510)/SUMIFS('COM RESID'!$O:$O,'COM RESID'!$I:$I,$F510)),1.2),IF(ISNUMBER(SEARCH("WHEUE",T510)),IF(OR(S510="COMNGA",S510="COMFOI"),1,1.2),1.2))</f>
        <v>4.3567930203788787</v>
      </c>
    </row>
    <row r="511" spans="1:29" x14ac:dyDescent="0.25">
      <c r="A511" s="10">
        <f>A510</f>
        <v>127</v>
      </c>
      <c r="B511" s="10"/>
      <c r="C511" s="11" t="str">
        <f>IF(C510="*",C510,"")</f>
        <v/>
      </c>
      <c r="D511" s="12"/>
      <c r="E511" s="13" t="str">
        <f t="shared" si="158"/>
        <v>COMELC</v>
      </c>
      <c r="F511" s="13" t="str">
        <f t="shared" si="158"/>
        <v>COMMUNOldSHEUE</v>
      </c>
      <c r="G511" s="13" t="str">
        <f t="shared" si="158"/>
        <v>COMMUNOldSHEUE</v>
      </c>
      <c r="H511" s="14">
        <v>2030</v>
      </c>
      <c r="I511" s="14" t="str">
        <f>I510</f>
        <v>LO</v>
      </c>
      <c r="J511" s="14"/>
      <c r="K511" s="15">
        <f>-ROUNDDOWN(SUMIFS('COM RESID'!$O:$O,'COM RESID'!$H:$H,$E511,'COM RESID'!$I:$I,$F511)/SUMIFS('COM RESID'!$O:$O,'COM RESID'!$I:$I,$F511),3)*O511</f>
        <v>-4.2750000000000003E-2</v>
      </c>
      <c r="L511" s="14"/>
      <c r="M511" s="14"/>
      <c r="N511" s="10"/>
      <c r="O511" s="20">
        <v>0.75</v>
      </c>
      <c r="Q511" s="11" t="str">
        <f t="shared" si="140"/>
        <v/>
      </c>
      <c r="R511" s="12"/>
      <c r="S511" s="13" t="str">
        <f t="shared" si="142"/>
        <v>COMELC</v>
      </c>
      <c r="T511" s="13" t="str">
        <f t="shared" si="143"/>
        <v>COMMUNOldSHEUE</v>
      </c>
      <c r="U511" s="13" t="str">
        <f t="shared" si="144"/>
        <v>COMMUNOldSHEUE</v>
      </c>
      <c r="V511" s="14">
        <v>2030</v>
      </c>
      <c r="W511" s="14" t="str">
        <f>W510</f>
        <v>UP</v>
      </c>
      <c r="X511" s="14"/>
      <c r="Y511" s="15">
        <f>-ROUNDUP(MIN(SUMIFS('COM RESID'!$O:$O,'COM RESID'!$H:$H,$E511,'COM RESID'!$I:$I,$F511)/SUMIFS('COM RESID'!$O:$O,'COM RESID'!$I:$I,$F511)*AC511,1),3)</f>
        <v>-0.5</v>
      </c>
      <c r="Z511" s="14"/>
      <c r="AA511" s="14"/>
      <c r="AB511" s="10"/>
      <c r="AC511" s="20">
        <f>IF(S511="COMELC",IF(SUMIFS('COM RESID'!$O:$O,'COM RESID'!$H:$H,$E511,'COM RESID'!$I:$I,$F511)/SUMIFS('COM RESID'!$O:$O,'COM RESID'!$I:$I,$F511)*1.5&lt;0.5,0.5/(SUMIFS('COM RESID'!$O:$O,'COM RESID'!$H:$H,$E511,'COM RESID'!$I:$I,$F511)/SUMIFS('COM RESID'!$O:$O,'COM RESID'!$I:$I,$F511)),1.5),IF(ISNUMBER(SEARCH("WHEUE",T510)),IF(OR(S510="COMNGA",S510="COMFOI"),0.9,1.5),1.5))</f>
        <v>8.7135860407577574</v>
      </c>
    </row>
    <row r="512" spans="1:29" x14ac:dyDescent="0.25">
      <c r="A512" s="26">
        <f>A511</f>
        <v>127</v>
      </c>
      <c r="B512" s="26"/>
      <c r="C512" s="21" t="str">
        <f>IF(C511="*",C511,"")</f>
        <v/>
      </c>
      <c r="D512" s="22"/>
      <c r="E512" s="23" t="str">
        <f t="shared" si="158"/>
        <v>COMELC</v>
      </c>
      <c r="F512" s="23" t="str">
        <f t="shared" si="158"/>
        <v>COMMUNOldSHEUE</v>
      </c>
      <c r="G512" s="23" t="str">
        <f t="shared" si="158"/>
        <v>COMMUNOldSHEUE</v>
      </c>
      <c r="H512" s="24">
        <v>2050</v>
      </c>
      <c r="I512" s="24" t="str">
        <f>I511</f>
        <v>LO</v>
      </c>
      <c r="J512" s="24"/>
      <c r="K512" s="25">
        <f>-ROUNDDOWN(SUMIFS('COM RESID'!$O:$O,'COM RESID'!$H:$H,$E512,'COM RESID'!$I:$I,$F512)/SUMIFS('COM RESID'!$O:$O,'COM RESID'!$I:$I,$F512),3)*O512</f>
        <v>-4.2750000000000003E-2</v>
      </c>
      <c r="L512" s="24"/>
      <c r="M512" s="24"/>
      <c r="N512" s="26"/>
      <c r="O512" s="27">
        <v>0.75</v>
      </c>
      <c r="Q512" s="21" t="str">
        <f t="shared" si="140"/>
        <v/>
      </c>
      <c r="R512" s="22"/>
      <c r="S512" s="23" t="str">
        <f t="shared" si="142"/>
        <v>COMELC</v>
      </c>
      <c r="T512" s="23" t="str">
        <f t="shared" si="143"/>
        <v>COMMUNOldSHEUE</v>
      </c>
      <c r="U512" s="23" t="str">
        <f t="shared" si="144"/>
        <v>COMMUNOldSHEUE</v>
      </c>
      <c r="V512" s="24">
        <v>2050</v>
      </c>
      <c r="W512" s="24" t="str">
        <f>W511</f>
        <v>UP</v>
      </c>
      <c r="X512" s="24"/>
      <c r="Y512" s="25">
        <f>-ROUNDUP(MIN(SUMIFS('COM RESID'!$O:$O,'COM RESID'!$H:$H,$E512,'COM RESID'!$I:$I,$F512)/SUMIFS('COM RESID'!$O:$O,'COM RESID'!$I:$I,$F512)*AC512,1),3)</f>
        <v>-1</v>
      </c>
      <c r="Z512" s="24"/>
      <c r="AA512" s="24"/>
      <c r="AB512" s="26"/>
      <c r="AC512" s="27">
        <f>IF(S512="COMELC",IF(SUMIFS('COM RESID'!$O:$O,'COM RESID'!$H:$H,$E512,'COM RESID'!$I:$I,$F512)/SUMIFS('COM RESID'!$O:$O,'COM RESID'!$I:$I,$F512)*3&lt;1,1/(SUMIFS('COM RESID'!$O:$O,'COM RESID'!$H:$H,$E512,'COM RESID'!$I:$I,$F512)/SUMIFS('COM RESID'!$O:$O,'COM RESID'!$I:$I,$F512)),3),IF(ISNUMBER(SEARCH("WHEUE",T510)),IF(OR(S510="COMNGA",S510="COMFOI"),0.75,3),3))</f>
        <v>17.427172081515515</v>
      </c>
    </row>
    <row r="513" spans="1:29" x14ac:dyDescent="0.25">
      <c r="A513" s="19">
        <f>A509+1</f>
        <v>128</v>
      </c>
      <c r="B513" s="10"/>
      <c r="C513" s="11" t="str">
        <f>IF(E513="","",IF(_xlfn.XLOOKUP($A513,Selected_constraint_UC!$A:$A,Selected_constraint_UC!$D:$D)=1,"*",IF(SUMIFS('COM TECH'!$N:$N,'COM TECH'!$K:$K,E513,'COM TECH'!$L:$L,F513)=0,"*",IF(SUMIFS('COM RESID'!$O:$O,'COM RESID'!$H:$H,$E513,'COM RESID'!$I:$I,$F513)=0,"*","UC_MarketShare_"&amp;LEFT(F513,LEN(F513)-3)&amp;"_"&amp;RIGHT(E513,3)&amp;"_MIN"))))</f>
        <v>UC_MarketShare_COMMUNOldSH_NGA_MIN</v>
      </c>
      <c r="D513" s="12"/>
      <c r="E513" s="13" t="str">
        <f>_xlfn.XLOOKUP($A513,Selected_constraint_UC!$A:$A,Selected_constraint_UC!$B:$B)</f>
        <v>COMNGA</v>
      </c>
      <c r="F513" s="13" t="str">
        <f>_xlfn.XLOOKUP($A513,Selected_constraint_UC!$A:$A,Selected_constraint_UC!$C:$C)</f>
        <v>COMMUNOldSHEUE</v>
      </c>
      <c r="G513" s="13" t="str">
        <f>F513</f>
        <v>COMMUNOldSHEUE</v>
      </c>
      <c r="H513" s="14">
        <v>2019</v>
      </c>
      <c r="I513" s="14" t="s">
        <v>3848</v>
      </c>
      <c r="J513" s="14">
        <v>1</v>
      </c>
      <c r="K513" s="15">
        <f>-ROUNDDOWN(SUMIFS('COM RESID'!$O:$O,'COM RESID'!$H:$H,$E513,'COM RESID'!$I:$I,$F513)/SUMIFS('COM RESID'!$O:$O,'COM RESID'!$I:$I,$F513),3)*O513</f>
        <v>-0.69089999999999996</v>
      </c>
      <c r="L513" s="14">
        <v>0</v>
      </c>
      <c r="M513" s="14">
        <v>5</v>
      </c>
      <c r="N513" s="10"/>
      <c r="O513" s="20">
        <v>0.98</v>
      </c>
      <c r="Q513" s="11" t="str">
        <f t="shared" si="140"/>
        <v>UC_MarketShare_COMMUNOldSH_NGA_MAX</v>
      </c>
      <c r="R513" s="12"/>
      <c r="S513" s="13" t="str">
        <f t="shared" si="142"/>
        <v>COMNGA</v>
      </c>
      <c r="T513" s="13" t="str">
        <f t="shared" si="143"/>
        <v>COMMUNOldSHEUE</v>
      </c>
      <c r="U513" s="13" t="str">
        <f t="shared" si="144"/>
        <v>COMMUNOldSHEUE</v>
      </c>
      <c r="V513" s="14">
        <v>2019</v>
      </c>
      <c r="W513" s="14" t="s">
        <v>3849</v>
      </c>
      <c r="X513" s="14">
        <v>1</v>
      </c>
      <c r="Y513" s="15">
        <f>-ROUNDUP(MIN(SUMIFS('COM RESID'!$O:$O,'COM RESID'!$H:$H,$E513,'COM RESID'!$I:$I,$F513)/SUMIFS('COM RESID'!$O:$O,'COM RESID'!$I:$I,$F513)*AC513,1),3)</f>
        <v>-0.72</v>
      </c>
      <c r="Z513" s="14">
        <v>0</v>
      </c>
      <c r="AA513" s="14">
        <v>5</v>
      </c>
      <c r="AB513" s="10"/>
      <c r="AC513" s="20">
        <v>1.02</v>
      </c>
    </row>
    <row r="514" spans="1:29" x14ac:dyDescent="0.25">
      <c r="A514" s="10">
        <f>A513</f>
        <v>128</v>
      </c>
      <c r="B514" s="10"/>
      <c r="C514" s="11" t="str">
        <f>IF(C513="*",C513,"")</f>
        <v/>
      </c>
      <c r="D514" s="12"/>
      <c r="E514" s="13" t="str">
        <f t="shared" ref="E514:G516" si="159">E513</f>
        <v>COMNGA</v>
      </c>
      <c r="F514" s="13" t="str">
        <f t="shared" si="159"/>
        <v>COMMUNOldSHEUE</v>
      </c>
      <c r="G514" s="13" t="str">
        <f t="shared" si="159"/>
        <v>COMMUNOldSHEUE</v>
      </c>
      <c r="H514" s="14">
        <v>2025</v>
      </c>
      <c r="I514" s="14" t="str">
        <f>I513</f>
        <v>LO</v>
      </c>
      <c r="J514" s="14"/>
      <c r="K514" s="15">
        <f>-ROUNDDOWN(SUMIFS('COM RESID'!$O:$O,'COM RESID'!$H:$H,$E514,'COM RESID'!$I:$I,$F514)/SUMIFS('COM RESID'!$O:$O,'COM RESID'!$I:$I,$F514),3)*O514</f>
        <v>-0.56399999999999995</v>
      </c>
      <c r="L514" s="14"/>
      <c r="M514" s="14"/>
      <c r="N514" s="10"/>
      <c r="O514" s="20">
        <v>0.8</v>
      </c>
      <c r="Q514" s="11" t="str">
        <f t="shared" si="140"/>
        <v/>
      </c>
      <c r="R514" s="12"/>
      <c r="S514" s="13" t="str">
        <f t="shared" si="142"/>
        <v>COMNGA</v>
      </c>
      <c r="T514" s="13" t="str">
        <f t="shared" si="143"/>
        <v>COMMUNOldSHEUE</v>
      </c>
      <c r="U514" s="13" t="str">
        <f t="shared" si="144"/>
        <v>COMMUNOldSHEUE</v>
      </c>
      <c r="V514" s="14">
        <v>2025</v>
      </c>
      <c r="W514" s="14" t="str">
        <f>W513</f>
        <v>UP</v>
      </c>
      <c r="X514" s="14"/>
      <c r="Y514" s="15">
        <f>-ROUNDUP(MIN(SUMIFS('COM RESID'!$O:$O,'COM RESID'!$H:$H,$E514,'COM RESID'!$I:$I,$F514)/SUMIFS('COM RESID'!$O:$O,'COM RESID'!$I:$I,$F514)*AC514,1),3)</f>
        <v>-0.84699999999999998</v>
      </c>
      <c r="Z514" s="14"/>
      <c r="AA514" s="14"/>
      <c r="AB514" s="10"/>
      <c r="AC514" s="20">
        <f>IF(S514="COMELC",IF(SUMIFS('COM RESID'!$O:$O,'COM RESID'!$H:$H,$E514,'COM RESID'!$I:$I,$F514)/SUMIFS('COM RESID'!$O:$O,'COM RESID'!$I:$I,$F514)*1.2&lt;0.25,0.25/(SUMIFS('COM RESID'!$O:$O,'COM RESID'!$H:$H,$E514,'COM RESID'!$I:$I,$F514)/SUMIFS('COM RESID'!$O:$O,'COM RESID'!$I:$I,$F514)),1.2),IF(ISNUMBER(SEARCH("WHEUE",T514)),IF(OR(S514="COMNGA",S514="COMFOI"),1,1.2),1.2))</f>
        <v>1.2</v>
      </c>
    </row>
    <row r="515" spans="1:29" x14ac:dyDescent="0.25">
      <c r="A515" s="10">
        <f>A514</f>
        <v>128</v>
      </c>
      <c r="B515" s="10"/>
      <c r="C515" s="11" t="str">
        <f>IF(C514="*",C514,"")</f>
        <v/>
      </c>
      <c r="D515" s="12"/>
      <c r="E515" s="13" t="str">
        <f t="shared" si="159"/>
        <v>COMNGA</v>
      </c>
      <c r="F515" s="13" t="str">
        <f t="shared" si="159"/>
        <v>COMMUNOldSHEUE</v>
      </c>
      <c r="G515" s="13" t="str">
        <f t="shared" si="159"/>
        <v>COMMUNOldSHEUE</v>
      </c>
      <c r="H515" s="14">
        <v>2030</v>
      </c>
      <c r="I515" s="14" t="str">
        <f>I514</f>
        <v>LO</v>
      </c>
      <c r="J515" s="14"/>
      <c r="K515" s="15">
        <f>-ROUNDDOWN(SUMIFS('COM RESID'!$O:$O,'COM RESID'!$H:$H,$E515,'COM RESID'!$I:$I,$F515)/SUMIFS('COM RESID'!$O:$O,'COM RESID'!$I:$I,$F515),3)*O515</f>
        <v>-0.14099999999999999</v>
      </c>
      <c r="L515" s="14"/>
      <c r="M515" s="14"/>
      <c r="N515" s="10"/>
      <c r="O515" s="20">
        <v>0.2</v>
      </c>
      <c r="Q515" s="11" t="str">
        <f t="shared" si="140"/>
        <v/>
      </c>
      <c r="R515" s="12"/>
      <c r="S515" s="13" t="str">
        <f t="shared" si="142"/>
        <v>COMNGA</v>
      </c>
      <c r="T515" s="13" t="str">
        <f t="shared" si="143"/>
        <v>COMMUNOldSHEUE</v>
      </c>
      <c r="U515" s="13" t="str">
        <f t="shared" si="144"/>
        <v>COMMUNOldSHEUE</v>
      </c>
      <c r="V515" s="14">
        <v>2030</v>
      </c>
      <c r="W515" s="14" t="str">
        <f>W514</f>
        <v>UP</v>
      </c>
      <c r="X515" s="14"/>
      <c r="Y515" s="15">
        <f>-ROUNDUP(MIN(SUMIFS('COM RESID'!$O:$O,'COM RESID'!$H:$H,$E515,'COM RESID'!$I:$I,$F515)/SUMIFS('COM RESID'!$O:$O,'COM RESID'!$I:$I,$F515)*AC515,1),3)</f>
        <v>-1</v>
      </c>
      <c r="Z515" s="14"/>
      <c r="AA515" s="14"/>
      <c r="AB515" s="10"/>
      <c r="AC515" s="20">
        <f>IF(S515="COMELC",IF(SUMIFS('COM RESID'!$O:$O,'COM RESID'!$H:$H,$E515,'COM RESID'!$I:$I,$F515)/SUMIFS('COM RESID'!$O:$O,'COM RESID'!$I:$I,$F515)*1.5&lt;0.5,0.5/(SUMIFS('COM RESID'!$O:$O,'COM RESID'!$H:$H,$E515,'COM RESID'!$I:$I,$F515)/SUMIFS('COM RESID'!$O:$O,'COM RESID'!$I:$I,$F515)),1.5),IF(ISNUMBER(SEARCH("WHEUE",T514)),IF(OR(S514="COMNGA",S514="COMFOI"),0.9,1.5),1.5))</f>
        <v>1.5</v>
      </c>
    </row>
    <row r="516" spans="1:29" x14ac:dyDescent="0.25">
      <c r="A516" s="26">
        <f>A515</f>
        <v>128</v>
      </c>
      <c r="B516" s="26"/>
      <c r="C516" s="21" t="str">
        <f>IF(C515="*",C515,"")</f>
        <v/>
      </c>
      <c r="D516" s="22"/>
      <c r="E516" s="23" t="str">
        <f t="shared" si="159"/>
        <v>COMNGA</v>
      </c>
      <c r="F516" s="23" t="str">
        <f t="shared" si="159"/>
        <v>COMMUNOldSHEUE</v>
      </c>
      <c r="G516" s="23" t="str">
        <f t="shared" si="159"/>
        <v>COMMUNOldSHEUE</v>
      </c>
      <c r="H516" s="24">
        <v>2050</v>
      </c>
      <c r="I516" s="24" t="str">
        <f>I515</f>
        <v>LO</v>
      </c>
      <c r="J516" s="24"/>
      <c r="K516" s="25">
        <f>-ROUNDDOWN(SUMIFS('COM RESID'!$O:$O,'COM RESID'!$H:$H,$E516,'COM RESID'!$I:$I,$F516)/SUMIFS('COM RESID'!$O:$O,'COM RESID'!$I:$I,$F516),3)*O516</f>
        <v>0</v>
      </c>
      <c r="L516" s="24"/>
      <c r="M516" s="24"/>
      <c r="N516" s="26"/>
      <c r="O516" s="27">
        <v>0</v>
      </c>
      <c r="Q516" s="21" t="str">
        <f t="shared" si="140"/>
        <v/>
      </c>
      <c r="R516" s="22"/>
      <c r="S516" s="23" t="str">
        <f t="shared" si="142"/>
        <v>COMNGA</v>
      </c>
      <c r="T516" s="23" t="str">
        <f t="shared" si="143"/>
        <v>COMMUNOldSHEUE</v>
      </c>
      <c r="U516" s="23" t="str">
        <f t="shared" si="144"/>
        <v>COMMUNOldSHEUE</v>
      </c>
      <c r="V516" s="24">
        <v>2050</v>
      </c>
      <c r="W516" s="24" t="str">
        <f>W515</f>
        <v>UP</v>
      </c>
      <c r="X516" s="24"/>
      <c r="Y516" s="25">
        <f>-ROUNDUP(MIN(SUMIFS('COM RESID'!$O:$O,'COM RESID'!$H:$H,$E516,'COM RESID'!$I:$I,$F516)/SUMIFS('COM RESID'!$O:$O,'COM RESID'!$I:$I,$F516)*AC516,1),3)</f>
        <v>-1</v>
      </c>
      <c r="Z516" s="24"/>
      <c r="AA516" s="24"/>
      <c r="AB516" s="26"/>
      <c r="AC516" s="27">
        <f>IF(S516="COMELC",IF(SUMIFS('COM RESID'!$O:$O,'COM RESID'!$H:$H,$E516,'COM RESID'!$I:$I,$F516)/SUMIFS('COM RESID'!$O:$O,'COM RESID'!$I:$I,$F516)*3&lt;1,1/(SUMIFS('COM RESID'!$O:$O,'COM RESID'!$H:$H,$E516,'COM RESID'!$I:$I,$F516)/SUMIFS('COM RESID'!$O:$O,'COM RESID'!$I:$I,$F516)),3),IF(ISNUMBER(SEARCH("WHEUE",T514)),IF(OR(S514="COMNGA",S514="COMFOI"),0.75,3),3))</f>
        <v>3</v>
      </c>
    </row>
    <row r="517" spans="1:29" x14ac:dyDescent="0.25">
      <c r="A517" s="19">
        <f>A513+1</f>
        <v>129</v>
      </c>
      <c r="B517" s="10"/>
      <c r="C517" s="11" t="str">
        <f>IF(E517="","",IF(_xlfn.XLOOKUP($A517,Selected_constraint_UC!$A:$A,Selected_constraint_UC!$D:$D)=1,"*",IF(SUMIFS('COM TECH'!$N:$N,'COM TECH'!$K:$K,E517,'COM TECH'!$L:$L,F517)=0,"*",IF(SUMIFS('COM RESID'!$O:$O,'COM RESID'!$H:$H,$E517,'COM RESID'!$I:$I,$F517)=0,"*","UC_MarketShare_"&amp;LEFT(F517,LEN(F517)-3)&amp;"_"&amp;RIGHT(E517,3)&amp;"_MIN"))))</f>
        <v>UC_MarketShare_COMMUNOldSH_FOI_MIN</v>
      </c>
      <c r="D517" s="12"/>
      <c r="E517" s="13" t="str">
        <f>_xlfn.XLOOKUP($A517,Selected_constraint_UC!$A:$A,Selected_constraint_UC!$B:$B)</f>
        <v>COMFOI</v>
      </c>
      <c r="F517" s="13" t="str">
        <f>_xlfn.XLOOKUP($A517,Selected_constraint_UC!$A:$A,Selected_constraint_UC!$C:$C)</f>
        <v>COMMUNOldSHEUE</v>
      </c>
      <c r="G517" s="13" t="str">
        <f>F517</f>
        <v>COMMUNOldSHEUE</v>
      </c>
      <c r="H517" s="14">
        <v>2019</v>
      </c>
      <c r="I517" s="14" t="s">
        <v>3848</v>
      </c>
      <c r="J517" s="14">
        <v>1</v>
      </c>
      <c r="K517" s="15">
        <f>-ROUNDDOWN(SUMIFS('COM RESID'!$O:$O,'COM RESID'!$H:$H,$E517,'COM RESID'!$I:$I,$F517)/SUMIFS('COM RESID'!$O:$O,'COM RESID'!$I:$I,$F517),3)*O517</f>
        <v>-0.19208</v>
      </c>
      <c r="L517" s="14">
        <v>0</v>
      </c>
      <c r="M517" s="14">
        <v>5</v>
      </c>
      <c r="N517" s="10"/>
      <c r="O517" s="20">
        <v>0.98</v>
      </c>
      <c r="Q517" s="11" t="str">
        <f t="shared" ref="Q517:Q580" si="160">SUBSTITUTE(C517,"MIN","MAX")</f>
        <v>UC_MarketShare_COMMUNOldSH_FOI_MAX</v>
      </c>
      <c r="R517" s="12"/>
      <c r="S517" s="13" t="str">
        <f t="shared" si="142"/>
        <v>COMFOI</v>
      </c>
      <c r="T517" s="13" t="str">
        <f t="shared" si="143"/>
        <v>COMMUNOldSHEUE</v>
      </c>
      <c r="U517" s="13" t="str">
        <f t="shared" si="144"/>
        <v>COMMUNOldSHEUE</v>
      </c>
      <c r="V517" s="14">
        <v>2019</v>
      </c>
      <c r="W517" s="14" t="s">
        <v>3849</v>
      </c>
      <c r="X517" s="14">
        <v>1</v>
      </c>
      <c r="Y517" s="15">
        <f>-ROUNDUP(MIN(SUMIFS('COM RESID'!$O:$O,'COM RESID'!$H:$H,$E517,'COM RESID'!$I:$I,$F517)/SUMIFS('COM RESID'!$O:$O,'COM RESID'!$I:$I,$F517)*AC517,1),3)</f>
        <v>-0.20100000000000001</v>
      </c>
      <c r="Z517" s="14">
        <v>0</v>
      </c>
      <c r="AA517" s="14">
        <v>5</v>
      </c>
      <c r="AB517" s="10"/>
      <c r="AC517" s="20">
        <v>1.02</v>
      </c>
    </row>
    <row r="518" spans="1:29" x14ac:dyDescent="0.25">
      <c r="A518" s="10">
        <f>A517</f>
        <v>129</v>
      </c>
      <c r="B518" s="10"/>
      <c r="C518" s="11" t="str">
        <f>IF(C517="*",C517,"")</f>
        <v/>
      </c>
      <c r="D518" s="12"/>
      <c r="E518" s="13" t="str">
        <f t="shared" ref="E518:G520" si="161">E517</f>
        <v>COMFOI</v>
      </c>
      <c r="F518" s="13" t="str">
        <f t="shared" si="161"/>
        <v>COMMUNOldSHEUE</v>
      </c>
      <c r="G518" s="13" t="str">
        <f t="shared" si="161"/>
        <v>COMMUNOldSHEUE</v>
      </c>
      <c r="H518" s="14">
        <v>2025</v>
      </c>
      <c r="I518" s="14" t="str">
        <f>I517</f>
        <v>LO</v>
      </c>
      <c r="J518" s="14"/>
      <c r="K518" s="15">
        <f>-ROUNDDOWN(SUMIFS('COM RESID'!$O:$O,'COM RESID'!$H:$H,$E518,'COM RESID'!$I:$I,$F518)/SUMIFS('COM RESID'!$O:$O,'COM RESID'!$I:$I,$F518),3)*O518</f>
        <v>-0.15680000000000002</v>
      </c>
      <c r="L518" s="14"/>
      <c r="M518" s="14"/>
      <c r="N518" s="10"/>
      <c r="O518" s="20">
        <v>0.8</v>
      </c>
      <c r="Q518" s="11" t="str">
        <f t="shared" si="160"/>
        <v/>
      </c>
      <c r="R518" s="12"/>
      <c r="S518" s="13" t="str">
        <f t="shared" ref="S518:S581" si="162">E518</f>
        <v>COMFOI</v>
      </c>
      <c r="T518" s="13" t="str">
        <f t="shared" ref="T518:T581" si="163">F518</f>
        <v>COMMUNOldSHEUE</v>
      </c>
      <c r="U518" s="13" t="str">
        <f t="shared" ref="U518:U581" si="164">G518</f>
        <v>COMMUNOldSHEUE</v>
      </c>
      <c r="V518" s="14">
        <v>2025</v>
      </c>
      <c r="W518" s="14" t="str">
        <f>W517</f>
        <v>UP</v>
      </c>
      <c r="X518" s="14"/>
      <c r="Y518" s="15">
        <f>-ROUNDUP(MIN(SUMIFS('COM RESID'!$O:$O,'COM RESID'!$H:$H,$E518,'COM RESID'!$I:$I,$F518)/SUMIFS('COM RESID'!$O:$O,'COM RESID'!$I:$I,$F518)*AC518,1),3)</f>
        <v>-0.23699999999999999</v>
      </c>
      <c r="Z518" s="14"/>
      <c r="AA518" s="14"/>
      <c r="AB518" s="10"/>
      <c r="AC518" s="20">
        <f>IF(S518="COMELC",IF(SUMIFS('COM RESID'!$O:$O,'COM RESID'!$H:$H,$E518,'COM RESID'!$I:$I,$F518)/SUMIFS('COM RESID'!$O:$O,'COM RESID'!$I:$I,$F518)*1.2&lt;0.25,0.25/(SUMIFS('COM RESID'!$O:$O,'COM RESID'!$H:$H,$E518,'COM RESID'!$I:$I,$F518)/SUMIFS('COM RESID'!$O:$O,'COM RESID'!$I:$I,$F518)),1.2),IF(ISNUMBER(SEARCH("WHEUE",T518)),IF(OR(S518="COMNGA",S518="COMFOI"),1,1.2),1.2))</f>
        <v>1.2</v>
      </c>
    </row>
    <row r="519" spans="1:29" x14ac:dyDescent="0.25">
      <c r="A519" s="10">
        <f>A518</f>
        <v>129</v>
      </c>
      <c r="B519" s="10"/>
      <c r="C519" s="11" t="str">
        <f>IF(C518="*",C518,"")</f>
        <v/>
      </c>
      <c r="D519" s="12"/>
      <c r="E519" s="13" t="str">
        <f t="shared" si="161"/>
        <v>COMFOI</v>
      </c>
      <c r="F519" s="13" t="str">
        <f t="shared" si="161"/>
        <v>COMMUNOldSHEUE</v>
      </c>
      <c r="G519" s="13" t="str">
        <f t="shared" si="161"/>
        <v>COMMUNOldSHEUE</v>
      </c>
      <c r="H519" s="14">
        <v>2030</v>
      </c>
      <c r="I519" s="14" t="str">
        <f>I518</f>
        <v>LO</v>
      </c>
      <c r="J519" s="14"/>
      <c r="K519" s="15">
        <f>-ROUNDDOWN(SUMIFS('COM RESID'!$O:$O,'COM RESID'!$H:$H,$E519,'COM RESID'!$I:$I,$F519)/SUMIFS('COM RESID'!$O:$O,'COM RESID'!$I:$I,$F519),3)*O519</f>
        <v>-3.9200000000000006E-2</v>
      </c>
      <c r="L519" s="14"/>
      <c r="M519" s="14"/>
      <c r="N519" s="10"/>
      <c r="O519" s="20">
        <v>0.2</v>
      </c>
      <c r="Q519" s="11" t="str">
        <f t="shared" si="160"/>
        <v/>
      </c>
      <c r="R519" s="12"/>
      <c r="S519" s="13" t="str">
        <f t="shared" si="162"/>
        <v>COMFOI</v>
      </c>
      <c r="T519" s="13" t="str">
        <f t="shared" si="163"/>
        <v>COMMUNOldSHEUE</v>
      </c>
      <c r="U519" s="13" t="str">
        <f t="shared" si="164"/>
        <v>COMMUNOldSHEUE</v>
      </c>
      <c r="V519" s="14">
        <v>2030</v>
      </c>
      <c r="W519" s="14" t="str">
        <f>W518</f>
        <v>UP</v>
      </c>
      <c r="X519" s="14"/>
      <c r="Y519" s="15">
        <f>-ROUNDUP(MIN(SUMIFS('COM RESID'!$O:$O,'COM RESID'!$H:$H,$E519,'COM RESID'!$I:$I,$F519)/SUMIFS('COM RESID'!$O:$O,'COM RESID'!$I:$I,$F519)*AC519,1),3)</f>
        <v>-0.29599999999999999</v>
      </c>
      <c r="Z519" s="14"/>
      <c r="AA519" s="14"/>
      <c r="AB519" s="10"/>
      <c r="AC519" s="20">
        <f>IF(S519="COMELC",IF(SUMIFS('COM RESID'!$O:$O,'COM RESID'!$H:$H,$E519,'COM RESID'!$I:$I,$F519)/SUMIFS('COM RESID'!$O:$O,'COM RESID'!$I:$I,$F519)*1.5&lt;0.5,0.5/(SUMIFS('COM RESID'!$O:$O,'COM RESID'!$H:$H,$E519,'COM RESID'!$I:$I,$F519)/SUMIFS('COM RESID'!$O:$O,'COM RESID'!$I:$I,$F519)),1.5),IF(ISNUMBER(SEARCH("WHEUE",T518)),IF(OR(S518="COMNGA",S518="COMFOI"),0.9,1.5),1.5))</f>
        <v>1.5</v>
      </c>
    </row>
    <row r="520" spans="1:29" x14ac:dyDescent="0.25">
      <c r="A520" s="26">
        <f>A519</f>
        <v>129</v>
      </c>
      <c r="B520" s="26"/>
      <c r="C520" s="21" t="str">
        <f>IF(C519="*",C519,"")</f>
        <v/>
      </c>
      <c r="D520" s="22"/>
      <c r="E520" s="23" t="str">
        <f t="shared" si="161"/>
        <v>COMFOI</v>
      </c>
      <c r="F520" s="23" t="str">
        <f t="shared" si="161"/>
        <v>COMMUNOldSHEUE</v>
      </c>
      <c r="G520" s="23" t="str">
        <f t="shared" si="161"/>
        <v>COMMUNOldSHEUE</v>
      </c>
      <c r="H520" s="24">
        <v>2050</v>
      </c>
      <c r="I520" s="24" t="str">
        <f>I519</f>
        <v>LO</v>
      </c>
      <c r="J520" s="24"/>
      <c r="K520" s="25">
        <f>-ROUNDDOWN(SUMIFS('COM RESID'!$O:$O,'COM RESID'!$H:$H,$E520,'COM RESID'!$I:$I,$F520)/SUMIFS('COM RESID'!$O:$O,'COM RESID'!$I:$I,$F520),3)*O520</f>
        <v>0</v>
      </c>
      <c r="L520" s="24"/>
      <c r="M520" s="24"/>
      <c r="N520" s="26"/>
      <c r="O520" s="27">
        <v>0</v>
      </c>
      <c r="Q520" s="21" t="str">
        <f t="shared" si="160"/>
        <v/>
      </c>
      <c r="R520" s="22"/>
      <c r="S520" s="23" t="str">
        <f t="shared" si="162"/>
        <v>COMFOI</v>
      </c>
      <c r="T520" s="23" t="str">
        <f t="shared" si="163"/>
        <v>COMMUNOldSHEUE</v>
      </c>
      <c r="U520" s="23" t="str">
        <f t="shared" si="164"/>
        <v>COMMUNOldSHEUE</v>
      </c>
      <c r="V520" s="24">
        <v>2050</v>
      </c>
      <c r="W520" s="24" t="str">
        <f>W519</f>
        <v>UP</v>
      </c>
      <c r="X520" s="24"/>
      <c r="Y520" s="25">
        <f>-ROUNDUP(MIN(SUMIFS('COM RESID'!$O:$O,'COM RESID'!$H:$H,$E520,'COM RESID'!$I:$I,$F520)/SUMIFS('COM RESID'!$O:$O,'COM RESID'!$I:$I,$F520)*AC520,1),3)</f>
        <v>-0.59099999999999997</v>
      </c>
      <c r="Z520" s="24"/>
      <c r="AA520" s="24"/>
      <c r="AB520" s="26"/>
      <c r="AC520" s="27">
        <f>IF(S520="COMELC",IF(SUMIFS('COM RESID'!$O:$O,'COM RESID'!$H:$H,$E520,'COM RESID'!$I:$I,$F520)/SUMIFS('COM RESID'!$O:$O,'COM RESID'!$I:$I,$F520)*3&lt;1,1/(SUMIFS('COM RESID'!$O:$O,'COM RESID'!$H:$H,$E520,'COM RESID'!$I:$I,$F520)/SUMIFS('COM RESID'!$O:$O,'COM RESID'!$I:$I,$F520)),3),IF(ISNUMBER(SEARCH("WHEUE",T518)),IF(OR(S518="COMNGA",S518="COMFOI"),0.75,3),3))</f>
        <v>3</v>
      </c>
    </row>
    <row r="521" spans="1:29" x14ac:dyDescent="0.25">
      <c r="A521" s="19">
        <f>A517+1</f>
        <v>130</v>
      </c>
      <c r="B521" s="10"/>
      <c r="C521" s="11" t="str">
        <f>IF(E521="","",IF(_xlfn.XLOOKUP($A521,Selected_constraint_UC!$A:$A,Selected_constraint_UC!$D:$D)=1,"*",IF(SUMIFS('COM TECH'!$N:$N,'COM TECH'!$K:$K,E521,'COM TECH'!$L:$L,F521)=0,"*",IF(SUMIFS('COM RESID'!$O:$O,'COM RESID'!$H:$H,$E521,'COM RESID'!$I:$I,$F521)=0,"*","UC_MarketShare_"&amp;LEFT(F521,LEN(F521)-3)&amp;"_"&amp;RIGHT(E521,3)&amp;"_MIN"))))</f>
        <v>*</v>
      </c>
      <c r="D521" s="12"/>
      <c r="E521" s="13" t="str">
        <f>_xlfn.XLOOKUP($A521,Selected_constraint_UC!$A:$A,Selected_constraint_UC!$B:$B)</f>
        <v>COMLPG</v>
      </c>
      <c r="F521" s="13" t="str">
        <f>_xlfn.XLOOKUP($A521,Selected_constraint_UC!$A:$A,Selected_constraint_UC!$C:$C)</f>
        <v>COMMUNOldSHEUE</v>
      </c>
      <c r="G521" s="13" t="str">
        <f>F521</f>
        <v>COMMUNOldSHEUE</v>
      </c>
      <c r="H521" s="14">
        <v>2019</v>
      </c>
      <c r="I521" s="14" t="s">
        <v>3848</v>
      </c>
      <c r="J521" s="14">
        <v>1</v>
      </c>
      <c r="K521" s="15">
        <f>-ROUNDDOWN(SUMIFS('COM RESID'!$O:$O,'COM RESID'!$H:$H,$E521,'COM RESID'!$I:$I,$F521)/SUMIFS('COM RESID'!$O:$O,'COM RESID'!$I:$I,$F521),3)*O521</f>
        <v>0</v>
      </c>
      <c r="L521" s="14">
        <v>0</v>
      </c>
      <c r="M521" s="14">
        <v>5</v>
      </c>
      <c r="N521" s="10"/>
      <c r="O521" s="20">
        <v>0.98</v>
      </c>
      <c r="Q521" s="11" t="str">
        <f t="shared" si="160"/>
        <v>*</v>
      </c>
      <c r="R521" s="12"/>
      <c r="S521" s="13" t="str">
        <f t="shared" si="162"/>
        <v>COMLPG</v>
      </c>
      <c r="T521" s="13" t="str">
        <f t="shared" si="163"/>
        <v>COMMUNOldSHEUE</v>
      </c>
      <c r="U521" s="13" t="str">
        <f t="shared" si="164"/>
        <v>COMMUNOldSHEUE</v>
      </c>
      <c r="V521" s="14">
        <v>2019</v>
      </c>
      <c r="W521" s="14" t="s">
        <v>3849</v>
      </c>
      <c r="X521" s="14">
        <v>1</v>
      </c>
      <c r="Y521" s="15">
        <f>-ROUNDUP(MIN(SUMIFS('COM RESID'!$O:$O,'COM RESID'!$H:$H,$E521,'COM RESID'!$I:$I,$F521)/SUMIFS('COM RESID'!$O:$O,'COM RESID'!$I:$I,$F521)*AC521,1),3)</f>
        <v>0</v>
      </c>
      <c r="Z521" s="14">
        <v>0</v>
      </c>
      <c r="AA521" s="14">
        <v>5</v>
      </c>
      <c r="AB521" s="10"/>
      <c r="AC521" s="20">
        <v>1.02</v>
      </c>
    </row>
    <row r="522" spans="1:29" x14ac:dyDescent="0.25">
      <c r="A522" s="10">
        <f>A521</f>
        <v>130</v>
      </c>
      <c r="B522" s="10"/>
      <c r="C522" s="11" t="str">
        <f>IF(C521="*",C521,"")</f>
        <v>*</v>
      </c>
      <c r="D522" s="12"/>
      <c r="E522" s="13" t="str">
        <f t="shared" ref="E522:G524" si="165">E521</f>
        <v>COMLPG</v>
      </c>
      <c r="F522" s="13" t="str">
        <f t="shared" si="165"/>
        <v>COMMUNOldSHEUE</v>
      </c>
      <c r="G522" s="13" t="str">
        <f t="shared" si="165"/>
        <v>COMMUNOldSHEUE</v>
      </c>
      <c r="H522" s="14">
        <v>2025</v>
      </c>
      <c r="I522" s="14" t="str">
        <f>I521</f>
        <v>LO</v>
      </c>
      <c r="J522" s="14"/>
      <c r="K522" s="15">
        <f>-ROUNDDOWN(SUMIFS('COM RESID'!$O:$O,'COM RESID'!$H:$H,$E522,'COM RESID'!$I:$I,$F522)/SUMIFS('COM RESID'!$O:$O,'COM RESID'!$I:$I,$F522),3)*O522</f>
        <v>0</v>
      </c>
      <c r="L522" s="14"/>
      <c r="M522" s="14"/>
      <c r="N522" s="10"/>
      <c r="O522" s="20">
        <v>0.8</v>
      </c>
      <c r="Q522" s="11" t="str">
        <f t="shared" si="160"/>
        <v>*</v>
      </c>
      <c r="R522" s="12"/>
      <c r="S522" s="13" t="str">
        <f t="shared" si="162"/>
        <v>COMLPG</v>
      </c>
      <c r="T522" s="13" t="str">
        <f t="shared" si="163"/>
        <v>COMMUNOldSHEUE</v>
      </c>
      <c r="U522" s="13" t="str">
        <f t="shared" si="164"/>
        <v>COMMUNOldSHEUE</v>
      </c>
      <c r="V522" s="14">
        <v>2025</v>
      </c>
      <c r="W522" s="14" t="str">
        <f>W521</f>
        <v>UP</v>
      </c>
      <c r="X522" s="14"/>
      <c r="Y522" s="15">
        <f>-ROUNDUP(MIN(SUMIFS('COM RESID'!$O:$O,'COM RESID'!$H:$H,$E522,'COM RESID'!$I:$I,$F522)/SUMIFS('COM RESID'!$O:$O,'COM RESID'!$I:$I,$F522)*AC522,1),3)</f>
        <v>0</v>
      </c>
      <c r="Z522" s="14"/>
      <c r="AA522" s="14"/>
      <c r="AB522" s="10"/>
      <c r="AC522" s="20">
        <f>IF(S522="COMELC",IF(SUMIFS('COM RESID'!$O:$O,'COM RESID'!$H:$H,$E522,'COM RESID'!$I:$I,$F522)/SUMIFS('COM RESID'!$O:$O,'COM RESID'!$I:$I,$F522)*1.2&lt;0.25,0.25/(SUMIFS('COM RESID'!$O:$O,'COM RESID'!$H:$H,$E522,'COM RESID'!$I:$I,$F522)/SUMIFS('COM RESID'!$O:$O,'COM RESID'!$I:$I,$F522)),1.2),IF(ISNUMBER(SEARCH("WHEUE",T522)),IF(OR(S522="COMNGA",S522="COMFOI"),1,1.2),1.2))</f>
        <v>1.2</v>
      </c>
    </row>
    <row r="523" spans="1:29" x14ac:dyDescent="0.25">
      <c r="A523" s="10">
        <f>A522</f>
        <v>130</v>
      </c>
      <c r="B523" s="10"/>
      <c r="C523" s="11" t="str">
        <f>IF(C522="*",C522,"")</f>
        <v>*</v>
      </c>
      <c r="D523" s="12"/>
      <c r="E523" s="13" t="str">
        <f t="shared" si="165"/>
        <v>COMLPG</v>
      </c>
      <c r="F523" s="13" t="str">
        <f t="shared" si="165"/>
        <v>COMMUNOldSHEUE</v>
      </c>
      <c r="G523" s="13" t="str">
        <f t="shared" si="165"/>
        <v>COMMUNOldSHEUE</v>
      </c>
      <c r="H523" s="14">
        <v>2030</v>
      </c>
      <c r="I523" s="14" t="str">
        <f>I522</f>
        <v>LO</v>
      </c>
      <c r="J523" s="14"/>
      <c r="K523" s="15">
        <f>-ROUNDDOWN(SUMIFS('COM RESID'!$O:$O,'COM RESID'!$H:$H,$E523,'COM RESID'!$I:$I,$F523)/SUMIFS('COM RESID'!$O:$O,'COM RESID'!$I:$I,$F523),3)*O523</f>
        <v>0</v>
      </c>
      <c r="L523" s="14"/>
      <c r="M523" s="14"/>
      <c r="N523" s="10"/>
      <c r="O523" s="20">
        <v>0.2</v>
      </c>
      <c r="Q523" s="11" t="str">
        <f t="shared" si="160"/>
        <v>*</v>
      </c>
      <c r="R523" s="12"/>
      <c r="S523" s="13" t="str">
        <f t="shared" si="162"/>
        <v>COMLPG</v>
      </c>
      <c r="T523" s="13" t="str">
        <f t="shared" si="163"/>
        <v>COMMUNOldSHEUE</v>
      </c>
      <c r="U523" s="13" t="str">
        <f t="shared" si="164"/>
        <v>COMMUNOldSHEUE</v>
      </c>
      <c r="V523" s="14">
        <v>2030</v>
      </c>
      <c r="W523" s="14" t="str">
        <f>W522</f>
        <v>UP</v>
      </c>
      <c r="X523" s="14"/>
      <c r="Y523" s="15">
        <f>-ROUNDUP(MIN(SUMIFS('COM RESID'!$O:$O,'COM RESID'!$H:$H,$E523,'COM RESID'!$I:$I,$F523)/SUMIFS('COM RESID'!$O:$O,'COM RESID'!$I:$I,$F523)*AC523,1),3)</f>
        <v>0</v>
      </c>
      <c r="Z523" s="14"/>
      <c r="AA523" s="14"/>
      <c r="AB523" s="10"/>
      <c r="AC523" s="20">
        <f>IF(S523="COMELC",IF(SUMIFS('COM RESID'!$O:$O,'COM RESID'!$H:$H,$E523,'COM RESID'!$I:$I,$F523)/SUMIFS('COM RESID'!$O:$O,'COM RESID'!$I:$I,$F523)*1.5&lt;0.5,0.5/(SUMIFS('COM RESID'!$O:$O,'COM RESID'!$H:$H,$E523,'COM RESID'!$I:$I,$F523)/SUMIFS('COM RESID'!$O:$O,'COM RESID'!$I:$I,$F523)),1.5),IF(ISNUMBER(SEARCH("WHEUE",T522)),IF(OR(S522="COMNGA",S522="COMFOI"),0.9,1.5),1.5))</f>
        <v>1.5</v>
      </c>
    </row>
    <row r="524" spans="1:29" x14ac:dyDescent="0.25">
      <c r="A524" s="26">
        <f>A523</f>
        <v>130</v>
      </c>
      <c r="B524" s="26"/>
      <c r="C524" s="21" t="str">
        <f>IF(C523="*",C523,"")</f>
        <v>*</v>
      </c>
      <c r="D524" s="22"/>
      <c r="E524" s="23" t="str">
        <f t="shared" si="165"/>
        <v>COMLPG</v>
      </c>
      <c r="F524" s="23" t="str">
        <f t="shared" si="165"/>
        <v>COMMUNOldSHEUE</v>
      </c>
      <c r="G524" s="23" t="str">
        <f t="shared" si="165"/>
        <v>COMMUNOldSHEUE</v>
      </c>
      <c r="H524" s="24">
        <v>2050</v>
      </c>
      <c r="I524" s="24" t="str">
        <f>I523</f>
        <v>LO</v>
      </c>
      <c r="J524" s="24"/>
      <c r="K524" s="25">
        <f>-ROUNDDOWN(SUMIFS('COM RESID'!$O:$O,'COM RESID'!$H:$H,$E524,'COM RESID'!$I:$I,$F524)/SUMIFS('COM RESID'!$O:$O,'COM RESID'!$I:$I,$F524),3)*O524</f>
        <v>0</v>
      </c>
      <c r="L524" s="24"/>
      <c r="M524" s="24"/>
      <c r="N524" s="26"/>
      <c r="O524" s="27">
        <v>0</v>
      </c>
      <c r="Q524" s="21" t="str">
        <f t="shared" si="160"/>
        <v>*</v>
      </c>
      <c r="R524" s="22"/>
      <c r="S524" s="23" t="str">
        <f t="shared" si="162"/>
        <v>COMLPG</v>
      </c>
      <c r="T524" s="23" t="str">
        <f t="shared" si="163"/>
        <v>COMMUNOldSHEUE</v>
      </c>
      <c r="U524" s="23" t="str">
        <f t="shared" si="164"/>
        <v>COMMUNOldSHEUE</v>
      </c>
      <c r="V524" s="24">
        <v>2050</v>
      </c>
      <c r="W524" s="24" t="str">
        <f>W523</f>
        <v>UP</v>
      </c>
      <c r="X524" s="24"/>
      <c r="Y524" s="25">
        <f>-ROUNDUP(MIN(SUMIFS('COM RESID'!$O:$O,'COM RESID'!$H:$H,$E524,'COM RESID'!$I:$I,$F524)/SUMIFS('COM RESID'!$O:$O,'COM RESID'!$I:$I,$F524)*AC524,1),3)</f>
        <v>0</v>
      </c>
      <c r="Z524" s="24"/>
      <c r="AA524" s="24"/>
      <c r="AB524" s="26"/>
      <c r="AC524" s="27">
        <f>IF(S524="COMELC",IF(SUMIFS('COM RESID'!$O:$O,'COM RESID'!$H:$H,$E524,'COM RESID'!$I:$I,$F524)/SUMIFS('COM RESID'!$O:$O,'COM RESID'!$I:$I,$F524)*3&lt;1,1/(SUMIFS('COM RESID'!$O:$O,'COM RESID'!$H:$H,$E524,'COM RESID'!$I:$I,$F524)/SUMIFS('COM RESID'!$O:$O,'COM RESID'!$I:$I,$F524)),3),IF(ISNUMBER(SEARCH("WHEUE",T522)),IF(OR(S522="COMNGA",S522="COMFOI"),0.75,3),3))</f>
        <v>3</v>
      </c>
    </row>
    <row r="525" spans="1:29" x14ac:dyDescent="0.25">
      <c r="A525" s="19">
        <f>A521+1</f>
        <v>131</v>
      </c>
      <c r="B525" s="10"/>
      <c r="C525" s="11" t="str">
        <f>IF(E525="","",IF(_xlfn.XLOOKUP($A525,Selected_constraint_UC!$A:$A,Selected_constraint_UC!$D:$D)=1,"*",IF(SUMIFS('COM TECH'!$N:$N,'COM TECH'!$K:$K,E525,'COM TECH'!$L:$L,F525)=0,"*",IF(SUMIFS('COM RESID'!$O:$O,'COM RESID'!$H:$H,$E525,'COM RESID'!$I:$I,$F525)=0,"*","UC_MarketShare_"&amp;LEFT(F525,LEN(F525)-3)&amp;"_"&amp;RIGHT(E525,3)&amp;"_MIN"))))</f>
        <v>*</v>
      </c>
      <c r="D525" s="12"/>
      <c r="E525" s="13" t="str">
        <f>_xlfn.XLOOKUP($A525,Selected_constraint_UC!$A:$A,Selected_constraint_UC!$B:$B)</f>
        <v>COMSTM</v>
      </c>
      <c r="F525" s="13" t="str">
        <f>_xlfn.XLOOKUP($A525,Selected_constraint_UC!$A:$A,Selected_constraint_UC!$C:$C)</f>
        <v>COMMUNOldSHEUE</v>
      </c>
      <c r="G525" s="13" t="str">
        <f>F525</f>
        <v>COMMUNOldSHEUE</v>
      </c>
      <c r="H525" s="14">
        <v>2019</v>
      </c>
      <c r="I525" s="14" t="s">
        <v>3848</v>
      </c>
      <c r="J525" s="14">
        <v>1</v>
      </c>
      <c r="K525" s="15">
        <f>-ROUNDDOWN(SUMIFS('COM RESID'!$O:$O,'COM RESID'!$H:$H,$E525,'COM RESID'!$I:$I,$F525)/SUMIFS('COM RESID'!$O:$O,'COM RESID'!$I:$I,$F525),3)*O525</f>
        <v>-3.9199999999999999E-2</v>
      </c>
      <c r="L525" s="14">
        <v>0</v>
      </c>
      <c r="M525" s="14">
        <v>5</v>
      </c>
      <c r="N525" s="10"/>
      <c r="O525" s="20">
        <v>0.98</v>
      </c>
      <c r="Q525" s="11" t="str">
        <f t="shared" si="160"/>
        <v>*</v>
      </c>
      <c r="R525" s="12"/>
      <c r="S525" s="13" t="str">
        <f t="shared" si="162"/>
        <v>COMSTM</v>
      </c>
      <c r="T525" s="13" t="str">
        <f t="shared" si="163"/>
        <v>COMMUNOldSHEUE</v>
      </c>
      <c r="U525" s="13" t="str">
        <f t="shared" si="164"/>
        <v>COMMUNOldSHEUE</v>
      </c>
      <c r="V525" s="14">
        <v>2019</v>
      </c>
      <c r="W525" s="14" t="s">
        <v>3849</v>
      </c>
      <c r="X525" s="14">
        <v>1</v>
      </c>
      <c r="Y525" s="15">
        <f>-ROUNDUP(MIN(SUMIFS('COM RESID'!$O:$O,'COM RESID'!$H:$H,$E525,'COM RESID'!$I:$I,$F525)/SUMIFS('COM RESID'!$O:$O,'COM RESID'!$I:$I,$F525)*AC525,1),3)</f>
        <v>-4.2000000000000003E-2</v>
      </c>
      <c r="Z525" s="14">
        <v>0</v>
      </c>
      <c r="AA525" s="14">
        <v>5</v>
      </c>
      <c r="AB525" s="10"/>
      <c r="AC525" s="20">
        <v>1.02</v>
      </c>
    </row>
    <row r="526" spans="1:29" x14ac:dyDescent="0.25">
      <c r="A526" s="10">
        <f>A525</f>
        <v>131</v>
      </c>
      <c r="B526" s="10"/>
      <c r="C526" s="11" t="str">
        <f>IF(C525="*",C525,"")</f>
        <v>*</v>
      </c>
      <c r="D526" s="12"/>
      <c r="E526" s="13" t="str">
        <f t="shared" ref="E526:G528" si="166">E525</f>
        <v>COMSTM</v>
      </c>
      <c r="F526" s="13" t="str">
        <f t="shared" si="166"/>
        <v>COMMUNOldSHEUE</v>
      </c>
      <c r="G526" s="13" t="str">
        <f t="shared" si="166"/>
        <v>COMMUNOldSHEUE</v>
      </c>
      <c r="H526" s="14">
        <v>2025</v>
      </c>
      <c r="I526" s="14" t="str">
        <f>I525</f>
        <v>LO</v>
      </c>
      <c r="J526" s="14"/>
      <c r="K526" s="15">
        <f>-ROUNDDOWN(SUMIFS('COM RESID'!$O:$O,'COM RESID'!$H:$H,$E526,'COM RESID'!$I:$I,$F526)/SUMIFS('COM RESID'!$O:$O,'COM RESID'!$I:$I,$F526),3)*O526</f>
        <v>-3.2000000000000001E-2</v>
      </c>
      <c r="L526" s="14"/>
      <c r="M526" s="14"/>
      <c r="N526" s="10"/>
      <c r="O526" s="20">
        <v>0.8</v>
      </c>
      <c r="Q526" s="11" t="str">
        <f t="shared" si="160"/>
        <v>*</v>
      </c>
      <c r="R526" s="12"/>
      <c r="S526" s="13" t="str">
        <f t="shared" si="162"/>
        <v>COMSTM</v>
      </c>
      <c r="T526" s="13" t="str">
        <f t="shared" si="163"/>
        <v>COMMUNOldSHEUE</v>
      </c>
      <c r="U526" s="13" t="str">
        <f t="shared" si="164"/>
        <v>COMMUNOldSHEUE</v>
      </c>
      <c r="V526" s="14">
        <v>2025</v>
      </c>
      <c r="W526" s="14" t="str">
        <f>W525</f>
        <v>UP</v>
      </c>
      <c r="X526" s="14"/>
      <c r="Y526" s="15">
        <f>-ROUNDUP(MIN(SUMIFS('COM RESID'!$O:$O,'COM RESID'!$H:$H,$E526,'COM RESID'!$I:$I,$F526)/SUMIFS('COM RESID'!$O:$O,'COM RESID'!$I:$I,$F526)*AC526,1),3)</f>
        <v>-4.9000000000000002E-2</v>
      </c>
      <c r="Z526" s="14"/>
      <c r="AA526" s="14"/>
      <c r="AB526" s="10"/>
      <c r="AC526" s="20">
        <f>IF(S526="COMELC",IF(SUMIFS('COM RESID'!$O:$O,'COM RESID'!$H:$H,$E526,'COM RESID'!$I:$I,$F526)/SUMIFS('COM RESID'!$O:$O,'COM RESID'!$I:$I,$F526)*1.2&lt;0.25,0.25/(SUMIFS('COM RESID'!$O:$O,'COM RESID'!$H:$H,$E526,'COM RESID'!$I:$I,$F526)/SUMIFS('COM RESID'!$O:$O,'COM RESID'!$I:$I,$F526)),1.2),IF(ISNUMBER(SEARCH("WHEUE",T526)),IF(OR(S526="COMNGA",S526="COMFOI"),1,1.2),1.2))</f>
        <v>1.2</v>
      </c>
    </row>
    <row r="527" spans="1:29" x14ac:dyDescent="0.25">
      <c r="A527" s="10">
        <f>A526</f>
        <v>131</v>
      </c>
      <c r="B527" s="10"/>
      <c r="C527" s="11" t="str">
        <f>IF(C526="*",C526,"")</f>
        <v>*</v>
      </c>
      <c r="D527" s="12"/>
      <c r="E527" s="13" t="str">
        <f t="shared" si="166"/>
        <v>COMSTM</v>
      </c>
      <c r="F527" s="13" t="str">
        <f t="shared" si="166"/>
        <v>COMMUNOldSHEUE</v>
      </c>
      <c r="G527" s="13" t="str">
        <f t="shared" si="166"/>
        <v>COMMUNOldSHEUE</v>
      </c>
      <c r="H527" s="14">
        <v>2030</v>
      </c>
      <c r="I527" s="14" t="str">
        <f>I526</f>
        <v>LO</v>
      </c>
      <c r="J527" s="14"/>
      <c r="K527" s="15">
        <f>-ROUNDDOWN(SUMIFS('COM RESID'!$O:$O,'COM RESID'!$H:$H,$E527,'COM RESID'!$I:$I,$F527)/SUMIFS('COM RESID'!$O:$O,'COM RESID'!$I:$I,$F527),3)*O527</f>
        <v>-8.0000000000000002E-3</v>
      </c>
      <c r="L527" s="14"/>
      <c r="M527" s="14"/>
      <c r="N527" s="10"/>
      <c r="O527" s="20">
        <v>0.2</v>
      </c>
      <c r="Q527" s="11" t="str">
        <f t="shared" si="160"/>
        <v>*</v>
      </c>
      <c r="R527" s="12"/>
      <c r="S527" s="13" t="str">
        <f t="shared" si="162"/>
        <v>COMSTM</v>
      </c>
      <c r="T527" s="13" t="str">
        <f t="shared" si="163"/>
        <v>COMMUNOldSHEUE</v>
      </c>
      <c r="U527" s="13" t="str">
        <f t="shared" si="164"/>
        <v>COMMUNOldSHEUE</v>
      </c>
      <c r="V527" s="14">
        <v>2030</v>
      </c>
      <c r="W527" s="14" t="str">
        <f>W526</f>
        <v>UP</v>
      </c>
      <c r="X527" s="14"/>
      <c r="Y527" s="15">
        <f>-ROUNDUP(MIN(SUMIFS('COM RESID'!$O:$O,'COM RESID'!$H:$H,$E527,'COM RESID'!$I:$I,$F527)/SUMIFS('COM RESID'!$O:$O,'COM RESID'!$I:$I,$F527)*AC527,1),3)</f>
        <v>-6.0999999999999999E-2</v>
      </c>
      <c r="Z527" s="14"/>
      <c r="AA527" s="14"/>
      <c r="AB527" s="10"/>
      <c r="AC527" s="20">
        <f>IF(S527="COMELC",IF(SUMIFS('COM RESID'!$O:$O,'COM RESID'!$H:$H,$E527,'COM RESID'!$I:$I,$F527)/SUMIFS('COM RESID'!$O:$O,'COM RESID'!$I:$I,$F527)*1.5&lt;0.5,0.5/(SUMIFS('COM RESID'!$O:$O,'COM RESID'!$H:$H,$E527,'COM RESID'!$I:$I,$F527)/SUMIFS('COM RESID'!$O:$O,'COM RESID'!$I:$I,$F527)),1.5),IF(ISNUMBER(SEARCH("WHEUE",T526)),IF(OR(S526="COMNGA",S526="COMFOI"),0.9,1.5),1.5))</f>
        <v>1.5</v>
      </c>
    </row>
    <row r="528" spans="1:29" x14ac:dyDescent="0.25">
      <c r="A528" s="26">
        <f>A527</f>
        <v>131</v>
      </c>
      <c r="B528" s="26"/>
      <c r="C528" s="21" t="str">
        <f>IF(C527="*",C527,"")</f>
        <v>*</v>
      </c>
      <c r="D528" s="22"/>
      <c r="E528" s="23" t="str">
        <f t="shared" si="166"/>
        <v>COMSTM</v>
      </c>
      <c r="F528" s="23" t="str">
        <f t="shared" si="166"/>
        <v>COMMUNOldSHEUE</v>
      </c>
      <c r="G528" s="23" t="str">
        <f t="shared" si="166"/>
        <v>COMMUNOldSHEUE</v>
      </c>
      <c r="H528" s="24">
        <v>2050</v>
      </c>
      <c r="I528" s="24" t="str">
        <f>I527</f>
        <v>LO</v>
      </c>
      <c r="J528" s="24"/>
      <c r="K528" s="25">
        <f>-ROUNDDOWN(SUMIFS('COM RESID'!$O:$O,'COM RESID'!$H:$H,$E528,'COM RESID'!$I:$I,$F528)/SUMIFS('COM RESID'!$O:$O,'COM RESID'!$I:$I,$F528),3)*O528</f>
        <v>0</v>
      </c>
      <c r="L528" s="24"/>
      <c r="M528" s="24"/>
      <c r="N528" s="26"/>
      <c r="O528" s="27">
        <v>0</v>
      </c>
      <c r="Q528" s="21" t="str">
        <f t="shared" si="160"/>
        <v>*</v>
      </c>
      <c r="R528" s="22"/>
      <c r="S528" s="23" t="str">
        <f t="shared" si="162"/>
        <v>COMSTM</v>
      </c>
      <c r="T528" s="23" t="str">
        <f t="shared" si="163"/>
        <v>COMMUNOldSHEUE</v>
      </c>
      <c r="U528" s="23" t="str">
        <f t="shared" si="164"/>
        <v>COMMUNOldSHEUE</v>
      </c>
      <c r="V528" s="24">
        <v>2050</v>
      </c>
      <c r="W528" s="24" t="str">
        <f>W527</f>
        <v>UP</v>
      </c>
      <c r="X528" s="24"/>
      <c r="Y528" s="25">
        <f>-ROUNDUP(MIN(SUMIFS('COM RESID'!$O:$O,'COM RESID'!$H:$H,$E528,'COM RESID'!$I:$I,$F528)/SUMIFS('COM RESID'!$O:$O,'COM RESID'!$I:$I,$F528)*AC528,1),3)</f>
        <v>-0.121</v>
      </c>
      <c r="Z528" s="24"/>
      <c r="AA528" s="24"/>
      <c r="AB528" s="26"/>
      <c r="AC528" s="27">
        <f>IF(S528="COMELC",IF(SUMIFS('COM RESID'!$O:$O,'COM RESID'!$H:$H,$E528,'COM RESID'!$I:$I,$F528)/SUMIFS('COM RESID'!$O:$O,'COM RESID'!$I:$I,$F528)*3&lt;1,1/(SUMIFS('COM RESID'!$O:$O,'COM RESID'!$H:$H,$E528,'COM RESID'!$I:$I,$F528)/SUMIFS('COM RESID'!$O:$O,'COM RESID'!$I:$I,$F528)),3),IF(ISNUMBER(SEARCH("WHEUE",T526)),IF(OR(S526="COMNGA",S526="COMFOI"),0.75,3),3))</f>
        <v>3</v>
      </c>
    </row>
    <row r="529" spans="1:29" x14ac:dyDescent="0.25">
      <c r="A529" s="19">
        <f>A525+1</f>
        <v>132</v>
      </c>
      <c r="B529" s="10"/>
      <c r="C529" s="11" t="str">
        <f>IF(E529="","",IF(_xlfn.XLOOKUP($A529,Selected_constraint_UC!$A:$A,Selected_constraint_UC!$D:$D)=1,"*",IF(SUMIFS('COM TECH'!$N:$N,'COM TECH'!$K:$K,E529,'COM TECH'!$L:$L,F529)=0,"*",IF(SUMIFS('COM RESID'!$O:$O,'COM RESID'!$H:$H,$E529,'COM RESID'!$I:$I,$F529)=0,"*","UC_MarketShare_"&amp;LEFT(F529,LEN(F529)-3)&amp;"_"&amp;RIGHT(E529,3)&amp;"_MIN"))))</f>
        <v>UC_MarketShare_COMMUNOldSC_ELC_MIN</v>
      </c>
      <c r="D529" s="12"/>
      <c r="E529" s="13" t="str">
        <f>_xlfn.XLOOKUP($A529,Selected_constraint_UC!$A:$A,Selected_constraint_UC!$B:$B)</f>
        <v>COMELC</v>
      </c>
      <c r="F529" s="13" t="str">
        <f>_xlfn.XLOOKUP($A529,Selected_constraint_UC!$A:$A,Selected_constraint_UC!$C:$C)</f>
        <v>COMMUNOldSCEUE</v>
      </c>
      <c r="G529" s="13" t="str">
        <f>F529</f>
        <v>COMMUNOldSCEUE</v>
      </c>
      <c r="H529" s="14">
        <v>2019</v>
      </c>
      <c r="I529" s="14" t="s">
        <v>3848</v>
      </c>
      <c r="J529" s="14">
        <v>1</v>
      </c>
      <c r="K529" s="15">
        <f>-ROUNDDOWN(SUMIFS('COM RESID'!$O:$O,'COM RESID'!$H:$H,$E529,'COM RESID'!$I:$I,$F529)/SUMIFS('COM RESID'!$O:$O,'COM RESID'!$I:$I,$F529),3)*O529</f>
        <v>-0.98</v>
      </c>
      <c r="L529" s="14">
        <v>0</v>
      </c>
      <c r="M529" s="14">
        <v>5</v>
      </c>
      <c r="N529" s="10"/>
      <c r="O529" s="20">
        <v>0.98</v>
      </c>
      <c r="Q529" s="11" t="str">
        <f t="shared" si="160"/>
        <v>UC_MarketShare_COMMUNOldSC_ELC_MAX</v>
      </c>
      <c r="R529" s="12"/>
      <c r="S529" s="13" t="str">
        <f t="shared" si="162"/>
        <v>COMELC</v>
      </c>
      <c r="T529" s="13" t="str">
        <f t="shared" si="163"/>
        <v>COMMUNOldSCEUE</v>
      </c>
      <c r="U529" s="13" t="str">
        <f t="shared" si="164"/>
        <v>COMMUNOldSCEUE</v>
      </c>
      <c r="V529" s="14">
        <v>2019</v>
      </c>
      <c r="W529" s="14" t="s">
        <v>3849</v>
      </c>
      <c r="X529" s="14">
        <v>1</v>
      </c>
      <c r="Y529" s="15">
        <f>-ROUNDUP(MIN(SUMIFS('COM RESID'!$O:$O,'COM RESID'!$H:$H,$E529,'COM RESID'!$I:$I,$F529)/SUMIFS('COM RESID'!$O:$O,'COM RESID'!$I:$I,$F529)*AC529,1),3)</f>
        <v>-1</v>
      </c>
      <c r="Z529" s="14">
        <v>0</v>
      </c>
      <c r="AA529" s="14">
        <v>5</v>
      </c>
      <c r="AB529" s="10"/>
      <c r="AC529" s="20">
        <v>1.02</v>
      </c>
    </row>
    <row r="530" spans="1:29" x14ac:dyDescent="0.25">
      <c r="A530" s="10">
        <f>A529</f>
        <v>132</v>
      </c>
      <c r="B530" s="10"/>
      <c r="C530" s="11" t="str">
        <f>IF(C529="*",C529,"")</f>
        <v/>
      </c>
      <c r="D530" s="12"/>
      <c r="E530" s="13" t="str">
        <f t="shared" ref="E530:G532" si="167">E529</f>
        <v>COMELC</v>
      </c>
      <c r="F530" s="13" t="str">
        <f t="shared" si="167"/>
        <v>COMMUNOldSCEUE</v>
      </c>
      <c r="G530" s="13" t="str">
        <f t="shared" si="167"/>
        <v>COMMUNOldSCEUE</v>
      </c>
      <c r="H530" s="14">
        <v>2025</v>
      </c>
      <c r="I530" s="14" t="str">
        <f>I529</f>
        <v>LO</v>
      </c>
      <c r="J530" s="14"/>
      <c r="K530" s="15">
        <f>-ROUNDDOWN(SUMIFS('COM RESID'!$O:$O,'COM RESID'!$H:$H,$E530,'COM RESID'!$I:$I,$F530)/SUMIFS('COM RESID'!$O:$O,'COM RESID'!$I:$I,$F530),3)*O530</f>
        <v>-0.8</v>
      </c>
      <c r="L530" s="14"/>
      <c r="M530" s="14"/>
      <c r="N530" s="10"/>
      <c r="O530" s="20">
        <v>0.8</v>
      </c>
      <c r="Q530" s="11" t="str">
        <f t="shared" si="160"/>
        <v/>
      </c>
      <c r="R530" s="12"/>
      <c r="S530" s="13" t="str">
        <f t="shared" si="162"/>
        <v>COMELC</v>
      </c>
      <c r="T530" s="13" t="str">
        <f t="shared" si="163"/>
        <v>COMMUNOldSCEUE</v>
      </c>
      <c r="U530" s="13" t="str">
        <f t="shared" si="164"/>
        <v>COMMUNOldSCEUE</v>
      </c>
      <c r="V530" s="14">
        <v>2025</v>
      </c>
      <c r="W530" s="14" t="str">
        <f>W529</f>
        <v>UP</v>
      </c>
      <c r="X530" s="14"/>
      <c r="Y530" s="15">
        <f>-ROUNDUP(MIN(SUMIFS('COM RESID'!$O:$O,'COM RESID'!$H:$H,$E530,'COM RESID'!$I:$I,$F530)/SUMIFS('COM RESID'!$O:$O,'COM RESID'!$I:$I,$F530)*AC530,1),3)</f>
        <v>-1</v>
      </c>
      <c r="Z530" s="14"/>
      <c r="AA530" s="14"/>
      <c r="AB530" s="10"/>
      <c r="AC530" s="20">
        <f>IF(S530="COMELC",IF(SUMIFS('COM RESID'!$O:$O,'COM RESID'!$H:$H,$E530,'COM RESID'!$I:$I,$F530)/SUMIFS('COM RESID'!$O:$O,'COM RESID'!$I:$I,$F530)*1.2&lt;0.25,0.25/(SUMIFS('COM RESID'!$O:$O,'COM RESID'!$H:$H,$E530,'COM RESID'!$I:$I,$F530)/SUMIFS('COM RESID'!$O:$O,'COM RESID'!$I:$I,$F530)),1.2),IF(ISNUMBER(SEARCH("WHEUE",T530)),IF(OR(S530="COMNGA",S530="COMFOI"),1,1.2),1.2))</f>
        <v>1.2</v>
      </c>
    </row>
    <row r="531" spans="1:29" x14ac:dyDescent="0.25">
      <c r="A531" s="10">
        <f>A530</f>
        <v>132</v>
      </c>
      <c r="B531" s="10"/>
      <c r="C531" s="11" t="str">
        <f>IF(C530="*",C530,"")</f>
        <v/>
      </c>
      <c r="D531" s="12"/>
      <c r="E531" s="13" t="str">
        <f t="shared" si="167"/>
        <v>COMELC</v>
      </c>
      <c r="F531" s="13" t="str">
        <f t="shared" si="167"/>
        <v>COMMUNOldSCEUE</v>
      </c>
      <c r="G531" s="13" t="str">
        <f t="shared" si="167"/>
        <v>COMMUNOldSCEUE</v>
      </c>
      <c r="H531" s="14">
        <v>2030</v>
      </c>
      <c r="I531" s="14" t="str">
        <f>I530</f>
        <v>LO</v>
      </c>
      <c r="J531" s="14"/>
      <c r="K531" s="15">
        <f>-ROUNDDOWN(SUMIFS('COM RESID'!$O:$O,'COM RESID'!$H:$H,$E531,'COM RESID'!$I:$I,$F531)/SUMIFS('COM RESID'!$O:$O,'COM RESID'!$I:$I,$F531),3)*O531</f>
        <v>-0.75</v>
      </c>
      <c r="L531" s="14"/>
      <c r="M531" s="14"/>
      <c r="N531" s="10"/>
      <c r="O531" s="20">
        <v>0.75</v>
      </c>
      <c r="Q531" s="11" t="str">
        <f t="shared" si="160"/>
        <v/>
      </c>
      <c r="R531" s="12"/>
      <c r="S531" s="13" t="str">
        <f t="shared" si="162"/>
        <v>COMELC</v>
      </c>
      <c r="T531" s="13" t="str">
        <f t="shared" si="163"/>
        <v>COMMUNOldSCEUE</v>
      </c>
      <c r="U531" s="13" t="str">
        <f t="shared" si="164"/>
        <v>COMMUNOldSCEUE</v>
      </c>
      <c r="V531" s="14">
        <v>2030</v>
      </c>
      <c r="W531" s="14" t="str">
        <f>W530</f>
        <v>UP</v>
      </c>
      <c r="X531" s="14"/>
      <c r="Y531" s="15">
        <f>-ROUNDUP(MIN(SUMIFS('COM RESID'!$O:$O,'COM RESID'!$H:$H,$E531,'COM RESID'!$I:$I,$F531)/SUMIFS('COM RESID'!$O:$O,'COM RESID'!$I:$I,$F531)*AC531,1),3)</f>
        <v>-1</v>
      </c>
      <c r="Z531" s="14"/>
      <c r="AA531" s="14"/>
      <c r="AB531" s="10"/>
      <c r="AC531" s="20">
        <f>IF(S531="COMELC",IF(SUMIFS('COM RESID'!$O:$O,'COM RESID'!$H:$H,$E531,'COM RESID'!$I:$I,$F531)/SUMIFS('COM RESID'!$O:$O,'COM RESID'!$I:$I,$F531)*1.5&lt;0.5,0.5/(SUMIFS('COM RESID'!$O:$O,'COM RESID'!$H:$H,$E531,'COM RESID'!$I:$I,$F531)/SUMIFS('COM RESID'!$O:$O,'COM RESID'!$I:$I,$F531)),1.5),IF(ISNUMBER(SEARCH("WHEUE",T530)),IF(OR(S530="COMNGA",S530="COMFOI"),0.9,1.5),1.5))</f>
        <v>1.5</v>
      </c>
    </row>
    <row r="532" spans="1:29" x14ac:dyDescent="0.25">
      <c r="A532" s="26">
        <f>A531</f>
        <v>132</v>
      </c>
      <c r="B532" s="26"/>
      <c r="C532" s="21" t="str">
        <f>IF(C531="*",C531,"")</f>
        <v/>
      </c>
      <c r="D532" s="22"/>
      <c r="E532" s="23" t="str">
        <f t="shared" si="167"/>
        <v>COMELC</v>
      </c>
      <c r="F532" s="23" t="str">
        <f t="shared" si="167"/>
        <v>COMMUNOldSCEUE</v>
      </c>
      <c r="G532" s="23" t="str">
        <f t="shared" si="167"/>
        <v>COMMUNOldSCEUE</v>
      </c>
      <c r="H532" s="24">
        <v>2050</v>
      </c>
      <c r="I532" s="24" t="str">
        <f>I531</f>
        <v>LO</v>
      </c>
      <c r="J532" s="24"/>
      <c r="K532" s="25">
        <f>-ROUNDDOWN(SUMIFS('COM RESID'!$O:$O,'COM RESID'!$H:$H,$E532,'COM RESID'!$I:$I,$F532)/SUMIFS('COM RESID'!$O:$O,'COM RESID'!$I:$I,$F532),3)*O532</f>
        <v>-0.75</v>
      </c>
      <c r="L532" s="24"/>
      <c r="M532" s="24"/>
      <c r="N532" s="26"/>
      <c r="O532" s="27">
        <v>0.75</v>
      </c>
      <c r="Q532" s="21" t="str">
        <f t="shared" si="160"/>
        <v/>
      </c>
      <c r="R532" s="22"/>
      <c r="S532" s="23" t="str">
        <f t="shared" si="162"/>
        <v>COMELC</v>
      </c>
      <c r="T532" s="23" t="str">
        <f t="shared" si="163"/>
        <v>COMMUNOldSCEUE</v>
      </c>
      <c r="U532" s="23" t="str">
        <f t="shared" si="164"/>
        <v>COMMUNOldSCEUE</v>
      </c>
      <c r="V532" s="24">
        <v>2050</v>
      </c>
      <c r="W532" s="24" t="str">
        <f>W531</f>
        <v>UP</v>
      </c>
      <c r="X532" s="24"/>
      <c r="Y532" s="25">
        <f>-ROUNDUP(MIN(SUMIFS('COM RESID'!$O:$O,'COM RESID'!$H:$H,$E532,'COM RESID'!$I:$I,$F532)/SUMIFS('COM RESID'!$O:$O,'COM RESID'!$I:$I,$F532)*AC532,1),3)</f>
        <v>-1</v>
      </c>
      <c r="Z532" s="24"/>
      <c r="AA532" s="24"/>
      <c r="AB532" s="26"/>
      <c r="AC532" s="27">
        <f>IF(S532="COMELC",IF(SUMIFS('COM RESID'!$O:$O,'COM RESID'!$H:$H,$E532,'COM RESID'!$I:$I,$F532)/SUMIFS('COM RESID'!$O:$O,'COM RESID'!$I:$I,$F532)*3&lt;1,1/(SUMIFS('COM RESID'!$O:$O,'COM RESID'!$H:$H,$E532,'COM RESID'!$I:$I,$F532)/SUMIFS('COM RESID'!$O:$O,'COM RESID'!$I:$I,$F532)),3),IF(ISNUMBER(SEARCH("WHEUE",T530)),IF(OR(S530="COMNGA",S530="COMFOI"),0.75,3),3))</f>
        <v>3</v>
      </c>
    </row>
    <row r="533" spans="1:29" x14ac:dyDescent="0.25">
      <c r="A533" s="19">
        <f>A529+1</f>
        <v>133</v>
      </c>
      <c r="B533" s="10"/>
      <c r="C533" s="11" t="str">
        <f>IF(E533="","",IF(_xlfn.XLOOKUP($A533,Selected_constraint_UC!$A:$A,Selected_constraint_UC!$D:$D)=1,"*",IF(SUMIFS('COM TECH'!$N:$N,'COM TECH'!$K:$K,E533,'COM TECH'!$L:$L,F533)=0,"*",IF(SUMIFS('COM RESID'!$O:$O,'COM RESID'!$H:$H,$E533,'COM RESID'!$I:$I,$F533)=0,"*","UC_MarketShare_"&amp;LEFT(F533,LEN(F533)-3)&amp;"_"&amp;RIGHT(E533,3)&amp;"_MIN"))))</f>
        <v>*</v>
      </c>
      <c r="D533" s="12"/>
      <c r="E533" s="13" t="str">
        <f>_xlfn.XLOOKUP($A533,Selected_constraint_UC!$A:$A,Selected_constraint_UC!$B:$B)</f>
        <v>COMELC</v>
      </c>
      <c r="F533" s="13" t="str">
        <f>_xlfn.XLOOKUP($A533,Selected_constraint_UC!$A:$A,Selected_constraint_UC!$C:$C)</f>
        <v>COMMUNOldVTEUE</v>
      </c>
      <c r="G533" s="13" t="str">
        <f>F533</f>
        <v>COMMUNOldVTEUE</v>
      </c>
      <c r="H533" s="14">
        <v>2019</v>
      </c>
      <c r="I533" s="14" t="s">
        <v>3848</v>
      </c>
      <c r="J533" s="14">
        <v>1</v>
      </c>
      <c r="K533" s="15">
        <f>-ROUNDDOWN(SUMIFS('COM RESID'!$O:$O,'COM RESID'!$H:$H,$E533,'COM RESID'!$I:$I,$F533)/SUMIFS('COM RESID'!$O:$O,'COM RESID'!$I:$I,$F533),3)*O533</f>
        <v>-0.98</v>
      </c>
      <c r="L533" s="14">
        <v>0</v>
      </c>
      <c r="M533" s="14">
        <v>5</v>
      </c>
      <c r="N533" s="10"/>
      <c r="O533" s="20">
        <v>0.98</v>
      </c>
      <c r="Q533" s="11" t="str">
        <f t="shared" si="160"/>
        <v>*</v>
      </c>
      <c r="R533" s="12"/>
      <c r="S533" s="13" t="str">
        <f t="shared" si="162"/>
        <v>COMELC</v>
      </c>
      <c r="T533" s="13" t="str">
        <f t="shared" si="163"/>
        <v>COMMUNOldVTEUE</v>
      </c>
      <c r="U533" s="13" t="str">
        <f t="shared" si="164"/>
        <v>COMMUNOldVTEUE</v>
      </c>
      <c r="V533" s="14">
        <v>2019</v>
      </c>
      <c r="W533" s="14" t="s">
        <v>3849</v>
      </c>
      <c r="X533" s="14">
        <v>1</v>
      </c>
      <c r="Y533" s="15">
        <f>-ROUNDUP(MIN(SUMIFS('COM RESID'!$O:$O,'COM RESID'!$H:$H,$E533,'COM RESID'!$I:$I,$F533)/SUMIFS('COM RESID'!$O:$O,'COM RESID'!$I:$I,$F533)*AC533,1),3)</f>
        <v>-1</v>
      </c>
      <c r="Z533" s="14">
        <v>0</v>
      </c>
      <c r="AA533" s="14">
        <v>5</v>
      </c>
      <c r="AB533" s="10"/>
      <c r="AC533" s="20">
        <v>1.02</v>
      </c>
    </row>
    <row r="534" spans="1:29" x14ac:dyDescent="0.25">
      <c r="A534" s="10">
        <f>A533</f>
        <v>133</v>
      </c>
      <c r="B534" s="10"/>
      <c r="C534" s="11" t="str">
        <f>IF(C533="*",C533,"")</f>
        <v>*</v>
      </c>
      <c r="D534" s="12"/>
      <c r="E534" s="13" t="str">
        <f t="shared" ref="E534:G536" si="168">E533</f>
        <v>COMELC</v>
      </c>
      <c r="F534" s="13" t="str">
        <f t="shared" si="168"/>
        <v>COMMUNOldVTEUE</v>
      </c>
      <c r="G534" s="13" t="str">
        <f t="shared" si="168"/>
        <v>COMMUNOldVTEUE</v>
      </c>
      <c r="H534" s="14">
        <v>2025</v>
      </c>
      <c r="I534" s="14" t="str">
        <f>I533</f>
        <v>LO</v>
      </c>
      <c r="J534" s="14"/>
      <c r="K534" s="15">
        <f>-ROUNDDOWN(SUMIFS('COM RESID'!$O:$O,'COM RESID'!$H:$H,$E534,'COM RESID'!$I:$I,$F534)/SUMIFS('COM RESID'!$O:$O,'COM RESID'!$I:$I,$F534),3)*O534</f>
        <v>-0.8</v>
      </c>
      <c r="L534" s="14"/>
      <c r="M534" s="14"/>
      <c r="N534" s="10"/>
      <c r="O534" s="20">
        <v>0.8</v>
      </c>
      <c r="Q534" s="11" t="str">
        <f t="shared" si="160"/>
        <v>*</v>
      </c>
      <c r="R534" s="12"/>
      <c r="S534" s="13" t="str">
        <f t="shared" si="162"/>
        <v>COMELC</v>
      </c>
      <c r="T534" s="13" t="str">
        <f t="shared" si="163"/>
        <v>COMMUNOldVTEUE</v>
      </c>
      <c r="U534" s="13" t="str">
        <f t="shared" si="164"/>
        <v>COMMUNOldVTEUE</v>
      </c>
      <c r="V534" s="14">
        <v>2025</v>
      </c>
      <c r="W534" s="14" t="str">
        <f>W533</f>
        <v>UP</v>
      </c>
      <c r="X534" s="14"/>
      <c r="Y534" s="15">
        <f>-ROUNDUP(MIN(SUMIFS('COM RESID'!$O:$O,'COM RESID'!$H:$H,$E534,'COM RESID'!$I:$I,$F534)/SUMIFS('COM RESID'!$O:$O,'COM RESID'!$I:$I,$F534)*AC534,1),3)</f>
        <v>-1</v>
      </c>
      <c r="Z534" s="14"/>
      <c r="AA534" s="14"/>
      <c r="AB534" s="10"/>
      <c r="AC534" s="20">
        <f>IF(S534="COMELC",IF(SUMIFS('COM RESID'!$O:$O,'COM RESID'!$H:$H,$E534,'COM RESID'!$I:$I,$F534)/SUMIFS('COM RESID'!$O:$O,'COM RESID'!$I:$I,$F534)*1.2&lt;0.25,0.25/(SUMIFS('COM RESID'!$O:$O,'COM RESID'!$H:$H,$E534,'COM RESID'!$I:$I,$F534)/SUMIFS('COM RESID'!$O:$O,'COM RESID'!$I:$I,$F534)),1.2),IF(ISNUMBER(SEARCH("WHEUE",T534)),IF(OR(S534="COMNGA",S534="COMFOI"),1,1.2),1.2))</f>
        <v>1.2</v>
      </c>
    </row>
    <row r="535" spans="1:29" x14ac:dyDescent="0.25">
      <c r="A535" s="10">
        <f>A534</f>
        <v>133</v>
      </c>
      <c r="B535" s="10"/>
      <c r="C535" s="11" t="str">
        <f>IF(C534="*",C534,"")</f>
        <v>*</v>
      </c>
      <c r="D535" s="12"/>
      <c r="E535" s="13" t="str">
        <f t="shared" si="168"/>
        <v>COMELC</v>
      </c>
      <c r="F535" s="13" t="str">
        <f t="shared" si="168"/>
        <v>COMMUNOldVTEUE</v>
      </c>
      <c r="G535" s="13" t="str">
        <f t="shared" si="168"/>
        <v>COMMUNOldVTEUE</v>
      </c>
      <c r="H535" s="14">
        <v>2030</v>
      </c>
      <c r="I535" s="14" t="str">
        <f>I534</f>
        <v>LO</v>
      </c>
      <c r="J535" s="14"/>
      <c r="K535" s="15">
        <f>-ROUNDDOWN(SUMIFS('COM RESID'!$O:$O,'COM RESID'!$H:$H,$E535,'COM RESID'!$I:$I,$F535)/SUMIFS('COM RESID'!$O:$O,'COM RESID'!$I:$I,$F535),3)*O535</f>
        <v>-0.2</v>
      </c>
      <c r="L535" s="14"/>
      <c r="M535" s="14"/>
      <c r="N535" s="10"/>
      <c r="O535" s="20">
        <v>0.2</v>
      </c>
      <c r="Q535" s="11" t="str">
        <f t="shared" si="160"/>
        <v>*</v>
      </c>
      <c r="R535" s="12"/>
      <c r="S535" s="13" t="str">
        <f t="shared" si="162"/>
        <v>COMELC</v>
      </c>
      <c r="T535" s="13" t="str">
        <f t="shared" si="163"/>
        <v>COMMUNOldVTEUE</v>
      </c>
      <c r="U535" s="13" t="str">
        <f t="shared" si="164"/>
        <v>COMMUNOldVTEUE</v>
      </c>
      <c r="V535" s="14">
        <v>2030</v>
      </c>
      <c r="W535" s="14" t="str">
        <f>W534</f>
        <v>UP</v>
      </c>
      <c r="X535" s="14"/>
      <c r="Y535" s="15">
        <f>-ROUNDUP(MIN(SUMIFS('COM RESID'!$O:$O,'COM RESID'!$H:$H,$E535,'COM RESID'!$I:$I,$F535)/SUMIFS('COM RESID'!$O:$O,'COM RESID'!$I:$I,$F535)*AC535,1),3)</f>
        <v>-1</v>
      </c>
      <c r="Z535" s="14"/>
      <c r="AA535" s="14"/>
      <c r="AB535" s="10"/>
      <c r="AC535" s="20">
        <f>IF(S535="COMELC",IF(SUMIFS('COM RESID'!$O:$O,'COM RESID'!$H:$H,$E535,'COM RESID'!$I:$I,$F535)/SUMIFS('COM RESID'!$O:$O,'COM RESID'!$I:$I,$F535)*1.5&lt;0.5,0.5/(SUMIFS('COM RESID'!$O:$O,'COM RESID'!$H:$H,$E535,'COM RESID'!$I:$I,$F535)/SUMIFS('COM RESID'!$O:$O,'COM RESID'!$I:$I,$F535)),1.5),IF(ISNUMBER(SEARCH("WHEUE",T534)),IF(OR(S534="COMNGA",S534="COMFOI"),0.9,1.5),1.5))</f>
        <v>1.5</v>
      </c>
    </row>
    <row r="536" spans="1:29" x14ac:dyDescent="0.25">
      <c r="A536" s="26">
        <f>A535</f>
        <v>133</v>
      </c>
      <c r="B536" s="26"/>
      <c r="C536" s="21" t="str">
        <f>IF(C535="*",C535,"")</f>
        <v>*</v>
      </c>
      <c r="D536" s="22"/>
      <c r="E536" s="23" t="str">
        <f t="shared" si="168"/>
        <v>COMELC</v>
      </c>
      <c r="F536" s="23" t="str">
        <f t="shared" si="168"/>
        <v>COMMUNOldVTEUE</v>
      </c>
      <c r="G536" s="23" t="str">
        <f t="shared" si="168"/>
        <v>COMMUNOldVTEUE</v>
      </c>
      <c r="H536" s="24">
        <v>2050</v>
      </c>
      <c r="I536" s="24" t="str">
        <f>I535</f>
        <v>LO</v>
      </c>
      <c r="J536" s="24"/>
      <c r="K536" s="25">
        <f>-ROUNDDOWN(SUMIFS('COM RESID'!$O:$O,'COM RESID'!$H:$H,$E536,'COM RESID'!$I:$I,$F536)/SUMIFS('COM RESID'!$O:$O,'COM RESID'!$I:$I,$F536),3)*O536</f>
        <v>0</v>
      </c>
      <c r="L536" s="24"/>
      <c r="M536" s="24"/>
      <c r="N536" s="26"/>
      <c r="O536" s="27">
        <v>0</v>
      </c>
      <c r="Q536" s="21" t="str">
        <f t="shared" si="160"/>
        <v>*</v>
      </c>
      <c r="R536" s="22"/>
      <c r="S536" s="23" t="str">
        <f t="shared" si="162"/>
        <v>COMELC</v>
      </c>
      <c r="T536" s="23" t="str">
        <f t="shared" si="163"/>
        <v>COMMUNOldVTEUE</v>
      </c>
      <c r="U536" s="23" t="str">
        <f t="shared" si="164"/>
        <v>COMMUNOldVTEUE</v>
      </c>
      <c r="V536" s="24">
        <v>2050</v>
      </c>
      <c r="W536" s="24" t="str">
        <f>W535</f>
        <v>UP</v>
      </c>
      <c r="X536" s="24"/>
      <c r="Y536" s="25">
        <f>-ROUNDUP(MIN(SUMIFS('COM RESID'!$O:$O,'COM RESID'!$H:$H,$E536,'COM RESID'!$I:$I,$F536)/SUMIFS('COM RESID'!$O:$O,'COM RESID'!$I:$I,$F536)*AC536,1),3)</f>
        <v>-1</v>
      </c>
      <c r="Z536" s="24"/>
      <c r="AA536" s="24"/>
      <c r="AB536" s="26"/>
      <c r="AC536" s="27">
        <f>IF(S536="COMELC",IF(SUMIFS('COM RESID'!$O:$O,'COM RESID'!$H:$H,$E536,'COM RESID'!$I:$I,$F536)/SUMIFS('COM RESID'!$O:$O,'COM RESID'!$I:$I,$F536)*3&lt;1,1/(SUMIFS('COM RESID'!$O:$O,'COM RESID'!$H:$H,$E536,'COM RESID'!$I:$I,$F536)/SUMIFS('COM RESID'!$O:$O,'COM RESID'!$I:$I,$F536)),3),IF(ISNUMBER(SEARCH("WHEUE",T534)),IF(OR(S534="COMNGA",S534="COMFOI"),0.75,3),3))</f>
        <v>3</v>
      </c>
    </row>
    <row r="537" spans="1:29" x14ac:dyDescent="0.25">
      <c r="A537" s="19">
        <f>A533+1</f>
        <v>134</v>
      </c>
      <c r="B537" s="10"/>
      <c r="C537" s="11" t="str">
        <f>IF(E537="","",IF(_xlfn.XLOOKUP($A537,Selected_constraint_UC!$A:$A,Selected_constraint_UC!$D:$D)=1,"*",IF(SUMIFS('COM TECH'!$N:$N,'COM TECH'!$K:$K,E537,'COM TECH'!$L:$L,F537)=0,"*",IF(SUMIFS('COM RESID'!$O:$O,'COM RESID'!$H:$H,$E537,'COM RESID'!$I:$I,$F537)=0,"*","UC_MarketShare_"&amp;LEFT(F537,LEN(F537)-3)&amp;"_"&amp;RIGHT(E537,3)&amp;"_MIN"))))</f>
        <v>UC_MarketShare_COMMUNOldWH_FOI_MIN</v>
      </c>
      <c r="D537" s="12"/>
      <c r="E537" s="13" t="str">
        <f>_xlfn.XLOOKUP($A537,Selected_constraint_UC!$A:$A,Selected_constraint_UC!$B:$B)</f>
        <v>COMFOI</v>
      </c>
      <c r="F537" s="13" t="str">
        <f>_xlfn.XLOOKUP($A537,Selected_constraint_UC!$A:$A,Selected_constraint_UC!$C:$C)</f>
        <v>COMMUNOldWHEUE</v>
      </c>
      <c r="G537" s="13" t="str">
        <f>F537</f>
        <v>COMMUNOldWHEUE</v>
      </c>
      <c r="H537" s="14">
        <v>2019</v>
      </c>
      <c r="I537" s="14" t="s">
        <v>3848</v>
      </c>
      <c r="J537" s="14">
        <v>1</v>
      </c>
      <c r="K537" s="15">
        <f>-ROUNDDOWN(SUMIFS('COM RESID'!$O:$O,'COM RESID'!$H:$H,$E537,'COM RESID'!$I:$I,$F537)/SUMIFS('COM RESID'!$O:$O,'COM RESID'!$I:$I,$F537),3)*O537</f>
        <v>-9.7999999999999997E-4</v>
      </c>
      <c r="L537" s="14">
        <v>0</v>
      </c>
      <c r="M537" s="14">
        <v>5</v>
      </c>
      <c r="N537" s="10"/>
      <c r="O537" s="20">
        <v>0.98</v>
      </c>
      <c r="Q537" s="11" t="str">
        <f t="shared" si="160"/>
        <v>UC_MarketShare_COMMUNOldWH_FOI_MAX</v>
      </c>
      <c r="R537" s="12"/>
      <c r="S537" s="13" t="str">
        <f t="shared" si="162"/>
        <v>COMFOI</v>
      </c>
      <c r="T537" s="13" t="str">
        <f t="shared" si="163"/>
        <v>COMMUNOldWHEUE</v>
      </c>
      <c r="U537" s="13" t="str">
        <f t="shared" si="164"/>
        <v>COMMUNOldWHEUE</v>
      </c>
      <c r="V537" s="14">
        <v>2019</v>
      </c>
      <c r="W537" s="14" t="s">
        <v>3849</v>
      </c>
      <c r="X537" s="14">
        <v>1</v>
      </c>
      <c r="Y537" s="15">
        <f>-ROUNDUP(MIN(SUMIFS('COM RESID'!$O:$O,'COM RESID'!$H:$H,$E537,'COM RESID'!$I:$I,$F537)/SUMIFS('COM RESID'!$O:$O,'COM RESID'!$I:$I,$F537)*AC537,1),3)</f>
        <v>-2E-3</v>
      </c>
      <c r="Z537" s="14">
        <v>0</v>
      </c>
      <c r="AA537" s="14">
        <v>5</v>
      </c>
      <c r="AB537" s="10"/>
      <c r="AC537" s="20">
        <v>1.02</v>
      </c>
    </row>
    <row r="538" spans="1:29" x14ac:dyDescent="0.25">
      <c r="A538" s="10">
        <f>A537</f>
        <v>134</v>
      </c>
      <c r="B538" s="10"/>
      <c r="C538" s="11" t="str">
        <f>IF(C537="*",C537,"")</f>
        <v/>
      </c>
      <c r="D538" s="12"/>
      <c r="E538" s="13" t="str">
        <f t="shared" ref="E538:G540" si="169">E537</f>
        <v>COMFOI</v>
      </c>
      <c r="F538" s="13" t="str">
        <f t="shared" si="169"/>
        <v>COMMUNOldWHEUE</v>
      </c>
      <c r="G538" s="13" t="str">
        <f t="shared" si="169"/>
        <v>COMMUNOldWHEUE</v>
      </c>
      <c r="H538" s="14">
        <v>2025</v>
      </c>
      <c r="I538" s="14" t="str">
        <f>I537</f>
        <v>LO</v>
      </c>
      <c r="J538" s="14"/>
      <c r="K538" s="15">
        <f>-ROUNDDOWN(SUMIFS('COM RESID'!$O:$O,'COM RESID'!$H:$H,$E538,'COM RESID'!$I:$I,$F538)/SUMIFS('COM RESID'!$O:$O,'COM RESID'!$I:$I,$F538),3)*O538</f>
        <v>-8.0000000000000004E-4</v>
      </c>
      <c r="L538" s="14"/>
      <c r="M538" s="14"/>
      <c r="N538" s="10"/>
      <c r="O538" s="20">
        <v>0.8</v>
      </c>
      <c r="Q538" s="11" t="str">
        <f t="shared" si="160"/>
        <v/>
      </c>
      <c r="R538" s="12"/>
      <c r="S538" s="13" t="str">
        <f t="shared" si="162"/>
        <v>COMFOI</v>
      </c>
      <c r="T538" s="13" t="str">
        <f t="shared" si="163"/>
        <v>COMMUNOldWHEUE</v>
      </c>
      <c r="U538" s="13" t="str">
        <f t="shared" si="164"/>
        <v>COMMUNOldWHEUE</v>
      </c>
      <c r="V538" s="14">
        <v>2025</v>
      </c>
      <c r="W538" s="14" t="str">
        <f>W537</f>
        <v>UP</v>
      </c>
      <c r="X538" s="14"/>
      <c r="Y538" s="15">
        <f>-ROUNDUP(MIN(SUMIFS('COM RESID'!$O:$O,'COM RESID'!$H:$H,$E538,'COM RESID'!$I:$I,$F538)/SUMIFS('COM RESID'!$O:$O,'COM RESID'!$I:$I,$F538)*AC538,1),3)</f>
        <v>-2E-3</v>
      </c>
      <c r="Z538" s="14"/>
      <c r="AA538" s="14"/>
      <c r="AB538" s="10"/>
      <c r="AC538" s="20">
        <f>IF(S538="COMELC",IF(SUMIFS('COM RESID'!$O:$O,'COM RESID'!$H:$H,$E538,'COM RESID'!$I:$I,$F538)/SUMIFS('COM RESID'!$O:$O,'COM RESID'!$I:$I,$F538)*1.2&lt;0.25,0.25/(SUMIFS('COM RESID'!$O:$O,'COM RESID'!$H:$H,$E538,'COM RESID'!$I:$I,$F538)/SUMIFS('COM RESID'!$O:$O,'COM RESID'!$I:$I,$F538)),1.2),IF(ISNUMBER(SEARCH("WHEUE",T538)),IF(OR(S538="COMNGA",S538="COMFOI"),1,1.2),1.2))</f>
        <v>1</v>
      </c>
    </row>
    <row r="539" spans="1:29" x14ac:dyDescent="0.25">
      <c r="A539" s="10">
        <f>A538</f>
        <v>134</v>
      </c>
      <c r="B539" s="10"/>
      <c r="C539" s="11" t="str">
        <f>IF(C538="*",C538,"")</f>
        <v/>
      </c>
      <c r="D539" s="12"/>
      <c r="E539" s="13" t="str">
        <f t="shared" si="169"/>
        <v>COMFOI</v>
      </c>
      <c r="F539" s="13" t="str">
        <f t="shared" si="169"/>
        <v>COMMUNOldWHEUE</v>
      </c>
      <c r="G539" s="13" t="str">
        <f t="shared" si="169"/>
        <v>COMMUNOldWHEUE</v>
      </c>
      <c r="H539" s="14">
        <v>2030</v>
      </c>
      <c r="I539" s="14" t="str">
        <f>I538</f>
        <v>LO</v>
      </c>
      <c r="J539" s="14"/>
      <c r="K539" s="15">
        <f>-ROUNDDOWN(SUMIFS('COM RESID'!$O:$O,'COM RESID'!$H:$H,$E539,'COM RESID'!$I:$I,$F539)/SUMIFS('COM RESID'!$O:$O,'COM RESID'!$I:$I,$F539),3)*O539</f>
        <v>-2.0000000000000001E-4</v>
      </c>
      <c r="L539" s="14"/>
      <c r="M539" s="14"/>
      <c r="N539" s="10"/>
      <c r="O539" s="20">
        <v>0.2</v>
      </c>
      <c r="Q539" s="11" t="str">
        <f t="shared" si="160"/>
        <v/>
      </c>
      <c r="R539" s="12"/>
      <c r="S539" s="13" t="str">
        <f t="shared" si="162"/>
        <v>COMFOI</v>
      </c>
      <c r="T539" s="13" t="str">
        <f t="shared" si="163"/>
        <v>COMMUNOldWHEUE</v>
      </c>
      <c r="U539" s="13" t="str">
        <f t="shared" si="164"/>
        <v>COMMUNOldWHEUE</v>
      </c>
      <c r="V539" s="14">
        <v>2030</v>
      </c>
      <c r="W539" s="14" t="str">
        <f>W538</f>
        <v>UP</v>
      </c>
      <c r="X539" s="14"/>
      <c r="Y539" s="15">
        <f>-ROUNDUP(MIN(SUMIFS('COM RESID'!$O:$O,'COM RESID'!$H:$H,$E539,'COM RESID'!$I:$I,$F539)/SUMIFS('COM RESID'!$O:$O,'COM RESID'!$I:$I,$F539)*AC539,1),3)</f>
        <v>-2E-3</v>
      </c>
      <c r="Z539" s="14"/>
      <c r="AA539" s="14"/>
      <c r="AB539" s="10"/>
      <c r="AC539" s="20">
        <f>IF(S539="COMELC",IF(SUMIFS('COM RESID'!$O:$O,'COM RESID'!$H:$H,$E539,'COM RESID'!$I:$I,$F539)/SUMIFS('COM RESID'!$O:$O,'COM RESID'!$I:$I,$F539)*1.5&lt;0.5,0.5/(SUMIFS('COM RESID'!$O:$O,'COM RESID'!$H:$H,$E539,'COM RESID'!$I:$I,$F539)/SUMIFS('COM RESID'!$O:$O,'COM RESID'!$I:$I,$F539)),1.5),IF(ISNUMBER(SEARCH("WHEUE",T538)),IF(OR(S538="COMNGA",S538="COMFOI"),0.9,1.5),1.5))</f>
        <v>0.9</v>
      </c>
    </row>
    <row r="540" spans="1:29" x14ac:dyDescent="0.25">
      <c r="A540" s="26">
        <f>A539</f>
        <v>134</v>
      </c>
      <c r="B540" s="26"/>
      <c r="C540" s="21" t="str">
        <f>IF(C539="*",C539,"")</f>
        <v/>
      </c>
      <c r="D540" s="22"/>
      <c r="E540" s="23" t="str">
        <f t="shared" si="169"/>
        <v>COMFOI</v>
      </c>
      <c r="F540" s="23" t="str">
        <f t="shared" si="169"/>
        <v>COMMUNOldWHEUE</v>
      </c>
      <c r="G540" s="23" t="str">
        <f t="shared" si="169"/>
        <v>COMMUNOldWHEUE</v>
      </c>
      <c r="H540" s="24">
        <v>2050</v>
      </c>
      <c r="I540" s="24" t="str">
        <f>I539</f>
        <v>LO</v>
      </c>
      <c r="J540" s="24"/>
      <c r="K540" s="25">
        <f>-ROUNDDOWN(SUMIFS('COM RESID'!$O:$O,'COM RESID'!$H:$H,$E540,'COM RESID'!$I:$I,$F540)/SUMIFS('COM RESID'!$O:$O,'COM RESID'!$I:$I,$F540),3)*O540</f>
        <v>0</v>
      </c>
      <c r="L540" s="24"/>
      <c r="M540" s="24"/>
      <c r="N540" s="26"/>
      <c r="O540" s="27">
        <v>0</v>
      </c>
      <c r="Q540" s="21" t="str">
        <f t="shared" si="160"/>
        <v/>
      </c>
      <c r="R540" s="22"/>
      <c r="S540" s="23" t="str">
        <f t="shared" si="162"/>
        <v>COMFOI</v>
      </c>
      <c r="T540" s="23" t="str">
        <f t="shared" si="163"/>
        <v>COMMUNOldWHEUE</v>
      </c>
      <c r="U540" s="23" t="str">
        <f t="shared" si="164"/>
        <v>COMMUNOldWHEUE</v>
      </c>
      <c r="V540" s="24">
        <v>2050</v>
      </c>
      <c r="W540" s="24" t="str">
        <f>W539</f>
        <v>UP</v>
      </c>
      <c r="X540" s="24"/>
      <c r="Y540" s="25">
        <f>-ROUNDUP(MIN(SUMIFS('COM RESID'!$O:$O,'COM RESID'!$H:$H,$E540,'COM RESID'!$I:$I,$F540)/SUMIFS('COM RESID'!$O:$O,'COM RESID'!$I:$I,$F540)*AC540,1),3)</f>
        <v>-2E-3</v>
      </c>
      <c r="Z540" s="24"/>
      <c r="AA540" s="24"/>
      <c r="AB540" s="26"/>
      <c r="AC540" s="27">
        <f>IF(S540="COMELC",IF(SUMIFS('COM RESID'!$O:$O,'COM RESID'!$H:$H,$E540,'COM RESID'!$I:$I,$F540)/SUMIFS('COM RESID'!$O:$O,'COM RESID'!$I:$I,$F540)*3&lt;1,1/(SUMIFS('COM RESID'!$O:$O,'COM RESID'!$H:$H,$E540,'COM RESID'!$I:$I,$F540)/SUMIFS('COM RESID'!$O:$O,'COM RESID'!$I:$I,$F540)),3),IF(ISNUMBER(SEARCH("WHEUE",T538)),IF(OR(S538="COMNGA",S538="COMFOI"),0.75,3),3))</f>
        <v>0.75</v>
      </c>
    </row>
    <row r="541" spans="1:29" x14ac:dyDescent="0.25">
      <c r="A541" s="19">
        <f>A537+1</f>
        <v>135</v>
      </c>
      <c r="B541" s="10"/>
      <c r="C541" s="11" t="str">
        <f>IF(E541="","",IF(_xlfn.XLOOKUP($A541,Selected_constraint_UC!$A:$A,Selected_constraint_UC!$D:$D)=1,"*",IF(SUMIFS('COM TECH'!$N:$N,'COM TECH'!$K:$K,E541,'COM TECH'!$L:$L,F541)=0,"*",IF(SUMIFS('COM RESID'!$O:$O,'COM RESID'!$H:$H,$E541,'COM RESID'!$I:$I,$F541)=0,"*","UC_MarketShare_"&amp;LEFT(F541,LEN(F541)-3)&amp;"_"&amp;RIGHT(E541,3)&amp;"_MIN"))))</f>
        <v>UC_MarketShare_COMMUNOldWH_NGA_MIN</v>
      </c>
      <c r="D541" s="12"/>
      <c r="E541" s="13" t="str">
        <f>_xlfn.XLOOKUP($A541,Selected_constraint_UC!$A:$A,Selected_constraint_UC!$B:$B)</f>
        <v>COMNGA</v>
      </c>
      <c r="F541" s="13" t="str">
        <f>_xlfn.XLOOKUP($A541,Selected_constraint_UC!$A:$A,Selected_constraint_UC!$C:$C)</f>
        <v>COMMUNOldWHEUE</v>
      </c>
      <c r="G541" s="13" t="str">
        <f>F541</f>
        <v>COMMUNOldWHEUE</v>
      </c>
      <c r="H541" s="14">
        <v>2019</v>
      </c>
      <c r="I541" s="14" t="s">
        <v>3848</v>
      </c>
      <c r="J541" s="14">
        <v>1</v>
      </c>
      <c r="K541" s="15">
        <f>-ROUNDDOWN(SUMIFS('COM RESID'!$O:$O,'COM RESID'!$H:$H,$E541,'COM RESID'!$I:$I,$F541)/SUMIFS('COM RESID'!$O:$O,'COM RESID'!$I:$I,$F541),3)*O541</f>
        <v>-0.59289999999999998</v>
      </c>
      <c r="L541" s="14">
        <v>0</v>
      </c>
      <c r="M541" s="14">
        <v>5</v>
      </c>
      <c r="N541" s="10"/>
      <c r="O541" s="20">
        <v>0.98</v>
      </c>
      <c r="Q541" s="11" t="str">
        <f t="shared" si="160"/>
        <v>UC_MarketShare_COMMUNOldWH_NGA_MAX</v>
      </c>
      <c r="R541" s="12"/>
      <c r="S541" s="13" t="str">
        <f t="shared" si="162"/>
        <v>COMNGA</v>
      </c>
      <c r="T541" s="13" t="str">
        <f t="shared" si="163"/>
        <v>COMMUNOldWHEUE</v>
      </c>
      <c r="U541" s="13" t="str">
        <f t="shared" si="164"/>
        <v>COMMUNOldWHEUE</v>
      </c>
      <c r="V541" s="14">
        <v>2019</v>
      </c>
      <c r="W541" s="14" t="s">
        <v>3849</v>
      </c>
      <c r="X541" s="14">
        <v>1</v>
      </c>
      <c r="Y541" s="15">
        <f>-ROUNDUP(MIN(SUMIFS('COM RESID'!$O:$O,'COM RESID'!$H:$H,$E541,'COM RESID'!$I:$I,$F541)/SUMIFS('COM RESID'!$O:$O,'COM RESID'!$I:$I,$F541)*AC541,1),3)</f>
        <v>-0.61799999999999999</v>
      </c>
      <c r="Z541" s="14">
        <v>0</v>
      </c>
      <c r="AA541" s="14">
        <v>5</v>
      </c>
      <c r="AB541" s="10"/>
      <c r="AC541" s="20">
        <v>1.02</v>
      </c>
    </row>
    <row r="542" spans="1:29" x14ac:dyDescent="0.25">
      <c r="A542" s="10">
        <f>A541</f>
        <v>135</v>
      </c>
      <c r="B542" s="10"/>
      <c r="C542" s="11" t="str">
        <f>IF(C541="*",C541,"")</f>
        <v/>
      </c>
      <c r="D542" s="12"/>
      <c r="E542" s="13" t="str">
        <f t="shared" ref="E542:G544" si="170">E541</f>
        <v>COMNGA</v>
      </c>
      <c r="F542" s="13" t="str">
        <f t="shared" si="170"/>
        <v>COMMUNOldWHEUE</v>
      </c>
      <c r="G542" s="13" t="str">
        <f t="shared" si="170"/>
        <v>COMMUNOldWHEUE</v>
      </c>
      <c r="H542" s="14">
        <v>2025</v>
      </c>
      <c r="I542" s="14" t="str">
        <f>I541</f>
        <v>LO</v>
      </c>
      <c r="J542" s="14"/>
      <c r="K542" s="15">
        <f>-ROUNDDOWN(SUMIFS('COM RESID'!$O:$O,'COM RESID'!$H:$H,$E542,'COM RESID'!$I:$I,$F542)/SUMIFS('COM RESID'!$O:$O,'COM RESID'!$I:$I,$F542),3)*O542</f>
        <v>-0.48399999999999999</v>
      </c>
      <c r="L542" s="14"/>
      <c r="M542" s="14"/>
      <c r="N542" s="10"/>
      <c r="O542" s="20">
        <v>0.8</v>
      </c>
      <c r="Q542" s="11" t="str">
        <f t="shared" si="160"/>
        <v/>
      </c>
      <c r="R542" s="12"/>
      <c r="S542" s="13" t="str">
        <f t="shared" si="162"/>
        <v>COMNGA</v>
      </c>
      <c r="T542" s="13" t="str">
        <f t="shared" si="163"/>
        <v>COMMUNOldWHEUE</v>
      </c>
      <c r="U542" s="13" t="str">
        <f t="shared" si="164"/>
        <v>COMMUNOldWHEUE</v>
      </c>
      <c r="V542" s="14">
        <v>2025</v>
      </c>
      <c r="W542" s="14" t="str">
        <f>W541</f>
        <v>UP</v>
      </c>
      <c r="X542" s="14"/>
      <c r="Y542" s="15">
        <f>-ROUNDUP(MIN(SUMIFS('COM RESID'!$O:$O,'COM RESID'!$H:$H,$E542,'COM RESID'!$I:$I,$F542)/SUMIFS('COM RESID'!$O:$O,'COM RESID'!$I:$I,$F542)*AC542,1),3)</f>
        <v>-0.60599999999999998</v>
      </c>
      <c r="Z542" s="14"/>
      <c r="AA542" s="14"/>
      <c r="AB542" s="10"/>
      <c r="AC542" s="20">
        <f>IF(S542="COMELC",IF(SUMIFS('COM RESID'!$O:$O,'COM RESID'!$H:$H,$E542,'COM RESID'!$I:$I,$F542)/SUMIFS('COM RESID'!$O:$O,'COM RESID'!$I:$I,$F542)*1.2&lt;0.25,0.25/(SUMIFS('COM RESID'!$O:$O,'COM RESID'!$H:$H,$E542,'COM RESID'!$I:$I,$F542)/SUMIFS('COM RESID'!$O:$O,'COM RESID'!$I:$I,$F542)),1.2),IF(ISNUMBER(SEARCH("WHEUE",T542)),IF(OR(S542="COMNGA",S542="COMFOI"),1,1.2),1.2))</f>
        <v>1</v>
      </c>
    </row>
    <row r="543" spans="1:29" x14ac:dyDescent="0.25">
      <c r="A543" s="10">
        <f>A542</f>
        <v>135</v>
      </c>
      <c r="B543" s="10"/>
      <c r="C543" s="11" t="str">
        <f>IF(C542="*",C542,"")</f>
        <v/>
      </c>
      <c r="D543" s="12"/>
      <c r="E543" s="13" t="str">
        <f t="shared" si="170"/>
        <v>COMNGA</v>
      </c>
      <c r="F543" s="13" t="str">
        <f t="shared" si="170"/>
        <v>COMMUNOldWHEUE</v>
      </c>
      <c r="G543" s="13" t="str">
        <f t="shared" si="170"/>
        <v>COMMUNOldWHEUE</v>
      </c>
      <c r="H543" s="14">
        <v>2030</v>
      </c>
      <c r="I543" s="14" t="str">
        <f>I542</f>
        <v>LO</v>
      </c>
      <c r="J543" s="14"/>
      <c r="K543" s="15">
        <f>-ROUNDDOWN(SUMIFS('COM RESID'!$O:$O,'COM RESID'!$H:$H,$E543,'COM RESID'!$I:$I,$F543)/SUMIFS('COM RESID'!$O:$O,'COM RESID'!$I:$I,$F543),3)*O543</f>
        <v>-0.121</v>
      </c>
      <c r="L543" s="14"/>
      <c r="M543" s="14"/>
      <c r="N543" s="10"/>
      <c r="O543" s="20">
        <v>0.2</v>
      </c>
      <c r="Q543" s="11" t="str">
        <f t="shared" si="160"/>
        <v/>
      </c>
      <c r="R543" s="12"/>
      <c r="S543" s="13" t="str">
        <f t="shared" si="162"/>
        <v>COMNGA</v>
      </c>
      <c r="T543" s="13" t="str">
        <f t="shared" si="163"/>
        <v>COMMUNOldWHEUE</v>
      </c>
      <c r="U543" s="13" t="str">
        <f t="shared" si="164"/>
        <v>COMMUNOldWHEUE</v>
      </c>
      <c r="V543" s="14">
        <v>2030</v>
      </c>
      <c r="W543" s="14" t="str">
        <f>W542</f>
        <v>UP</v>
      </c>
      <c r="X543" s="14"/>
      <c r="Y543" s="15">
        <f>-ROUNDUP(MIN(SUMIFS('COM RESID'!$O:$O,'COM RESID'!$H:$H,$E543,'COM RESID'!$I:$I,$F543)/SUMIFS('COM RESID'!$O:$O,'COM RESID'!$I:$I,$F543)*AC543,1),3)</f>
        <v>-0.54500000000000004</v>
      </c>
      <c r="Z543" s="14"/>
      <c r="AA543" s="14"/>
      <c r="AB543" s="10"/>
      <c r="AC543" s="20">
        <f>IF(S543="COMELC",IF(SUMIFS('COM RESID'!$O:$O,'COM RESID'!$H:$H,$E543,'COM RESID'!$I:$I,$F543)/SUMIFS('COM RESID'!$O:$O,'COM RESID'!$I:$I,$F543)*1.5&lt;0.5,0.5/(SUMIFS('COM RESID'!$O:$O,'COM RESID'!$H:$H,$E543,'COM RESID'!$I:$I,$F543)/SUMIFS('COM RESID'!$O:$O,'COM RESID'!$I:$I,$F543)),1.5),IF(ISNUMBER(SEARCH("WHEUE",T542)),IF(OR(S542="COMNGA",S542="COMFOI"),0.9,1.5),1.5))</f>
        <v>0.9</v>
      </c>
    </row>
    <row r="544" spans="1:29" x14ac:dyDescent="0.25">
      <c r="A544" s="26">
        <f>A543</f>
        <v>135</v>
      </c>
      <c r="B544" s="26"/>
      <c r="C544" s="21" t="str">
        <f>IF(C543="*",C543,"")</f>
        <v/>
      </c>
      <c r="D544" s="22"/>
      <c r="E544" s="23" t="str">
        <f t="shared" si="170"/>
        <v>COMNGA</v>
      </c>
      <c r="F544" s="23" t="str">
        <f t="shared" si="170"/>
        <v>COMMUNOldWHEUE</v>
      </c>
      <c r="G544" s="23" t="str">
        <f t="shared" si="170"/>
        <v>COMMUNOldWHEUE</v>
      </c>
      <c r="H544" s="24">
        <v>2050</v>
      </c>
      <c r="I544" s="24" t="str">
        <f>I543</f>
        <v>LO</v>
      </c>
      <c r="J544" s="24"/>
      <c r="K544" s="25">
        <f>-ROUNDDOWN(SUMIFS('COM RESID'!$O:$O,'COM RESID'!$H:$H,$E544,'COM RESID'!$I:$I,$F544)/SUMIFS('COM RESID'!$O:$O,'COM RESID'!$I:$I,$F544),3)*O544</f>
        <v>0</v>
      </c>
      <c r="L544" s="24"/>
      <c r="M544" s="24"/>
      <c r="N544" s="26"/>
      <c r="O544" s="27">
        <v>0</v>
      </c>
      <c r="Q544" s="21" t="str">
        <f t="shared" si="160"/>
        <v/>
      </c>
      <c r="R544" s="22"/>
      <c r="S544" s="23" t="str">
        <f t="shared" si="162"/>
        <v>COMNGA</v>
      </c>
      <c r="T544" s="23" t="str">
        <f t="shared" si="163"/>
        <v>COMMUNOldWHEUE</v>
      </c>
      <c r="U544" s="23" t="str">
        <f t="shared" si="164"/>
        <v>COMMUNOldWHEUE</v>
      </c>
      <c r="V544" s="24">
        <v>2050</v>
      </c>
      <c r="W544" s="24" t="str">
        <f>W543</f>
        <v>UP</v>
      </c>
      <c r="X544" s="24"/>
      <c r="Y544" s="25">
        <f>-ROUNDUP(MIN(SUMIFS('COM RESID'!$O:$O,'COM RESID'!$H:$H,$E544,'COM RESID'!$I:$I,$F544)/SUMIFS('COM RESID'!$O:$O,'COM RESID'!$I:$I,$F544)*AC544,1),3)</f>
        <v>-0.45500000000000002</v>
      </c>
      <c r="Z544" s="24"/>
      <c r="AA544" s="24"/>
      <c r="AB544" s="26"/>
      <c r="AC544" s="27">
        <f>IF(S544="COMELC",IF(SUMIFS('COM RESID'!$O:$O,'COM RESID'!$H:$H,$E544,'COM RESID'!$I:$I,$F544)/SUMIFS('COM RESID'!$O:$O,'COM RESID'!$I:$I,$F544)*3&lt;1,1/(SUMIFS('COM RESID'!$O:$O,'COM RESID'!$H:$H,$E544,'COM RESID'!$I:$I,$F544)/SUMIFS('COM RESID'!$O:$O,'COM RESID'!$I:$I,$F544)),3),IF(ISNUMBER(SEARCH("WHEUE",T542)),IF(OR(S542="COMNGA",S542="COMFOI"),0.75,3),3))</f>
        <v>0.75</v>
      </c>
    </row>
    <row r="545" spans="1:29" x14ac:dyDescent="0.25">
      <c r="A545" s="19">
        <f>A541+1</f>
        <v>136</v>
      </c>
      <c r="B545" s="10"/>
      <c r="C545" s="11" t="str">
        <f>IF(E545="","",IF(_xlfn.XLOOKUP($A545,Selected_constraint_UC!$A:$A,Selected_constraint_UC!$D:$D)=1,"*",IF(SUMIFS('COM TECH'!$N:$N,'COM TECH'!$K:$K,E545,'COM TECH'!$L:$L,F545)=0,"*",IF(SUMIFS('COM RESID'!$O:$O,'COM RESID'!$H:$H,$E545,'COM RESID'!$I:$I,$F545)=0,"*","UC_MarketShare_"&amp;LEFT(F545,LEN(F545)-3)&amp;"_"&amp;RIGHT(E545,3)&amp;"_MIN"))))</f>
        <v>*</v>
      </c>
      <c r="D545" s="12"/>
      <c r="E545" s="13" t="str">
        <f>_xlfn.XLOOKUP($A545,Selected_constraint_UC!$A:$A,Selected_constraint_UC!$B:$B)</f>
        <v>COMSTM</v>
      </c>
      <c r="F545" s="13" t="str">
        <f>_xlfn.XLOOKUP($A545,Selected_constraint_UC!$A:$A,Selected_constraint_UC!$C:$C)</f>
        <v>COMMUNOldWHEUE</v>
      </c>
      <c r="G545" s="13" t="str">
        <f>F545</f>
        <v>COMMUNOldWHEUE</v>
      </c>
      <c r="H545" s="14">
        <v>2019</v>
      </c>
      <c r="I545" s="14" t="s">
        <v>3848</v>
      </c>
      <c r="J545" s="14">
        <v>1</v>
      </c>
      <c r="K545" s="15">
        <f>-ROUNDDOWN(SUMIFS('COM RESID'!$O:$O,'COM RESID'!$H:$H,$E545,'COM RESID'!$I:$I,$F545)/SUMIFS('COM RESID'!$O:$O,'COM RESID'!$I:$I,$F545),3)*O545</f>
        <v>-2.2539999999999998E-2</v>
      </c>
      <c r="L545" s="14">
        <v>0</v>
      </c>
      <c r="M545" s="14">
        <v>5</v>
      </c>
      <c r="N545" s="10"/>
      <c r="O545" s="20">
        <v>0.98</v>
      </c>
      <c r="Q545" s="11" t="str">
        <f t="shared" si="160"/>
        <v>*</v>
      </c>
      <c r="R545" s="12"/>
      <c r="S545" s="13" t="str">
        <f t="shared" si="162"/>
        <v>COMSTM</v>
      </c>
      <c r="T545" s="13" t="str">
        <f t="shared" si="163"/>
        <v>COMMUNOldWHEUE</v>
      </c>
      <c r="U545" s="13" t="str">
        <f t="shared" si="164"/>
        <v>COMMUNOldWHEUE</v>
      </c>
      <c r="V545" s="14">
        <v>2019</v>
      </c>
      <c r="W545" s="14" t="s">
        <v>3849</v>
      </c>
      <c r="X545" s="14">
        <v>1</v>
      </c>
      <c r="Y545" s="15">
        <f>-ROUNDUP(MIN(SUMIFS('COM RESID'!$O:$O,'COM RESID'!$H:$H,$E545,'COM RESID'!$I:$I,$F545)/SUMIFS('COM RESID'!$O:$O,'COM RESID'!$I:$I,$F545)*AC545,1),3)</f>
        <v>-2.4E-2</v>
      </c>
      <c r="Z545" s="14">
        <v>0</v>
      </c>
      <c r="AA545" s="14">
        <v>5</v>
      </c>
      <c r="AB545" s="10"/>
      <c r="AC545" s="20">
        <v>1.02</v>
      </c>
    </row>
    <row r="546" spans="1:29" x14ac:dyDescent="0.25">
      <c r="A546" s="10">
        <f>A545</f>
        <v>136</v>
      </c>
      <c r="B546" s="10"/>
      <c r="C546" s="11" t="str">
        <f>IF(C545="*",C545,"")</f>
        <v>*</v>
      </c>
      <c r="D546" s="12"/>
      <c r="E546" s="13" t="str">
        <f t="shared" ref="E546:G548" si="171">E545</f>
        <v>COMSTM</v>
      </c>
      <c r="F546" s="13" t="str">
        <f t="shared" si="171"/>
        <v>COMMUNOldWHEUE</v>
      </c>
      <c r="G546" s="13" t="str">
        <f t="shared" si="171"/>
        <v>COMMUNOldWHEUE</v>
      </c>
      <c r="H546" s="14">
        <v>2025</v>
      </c>
      <c r="I546" s="14" t="str">
        <f>I545</f>
        <v>LO</v>
      </c>
      <c r="J546" s="14"/>
      <c r="K546" s="15">
        <f>-ROUNDDOWN(SUMIFS('COM RESID'!$O:$O,'COM RESID'!$H:$H,$E546,'COM RESID'!$I:$I,$F546)/SUMIFS('COM RESID'!$O:$O,'COM RESID'!$I:$I,$F546),3)*O546</f>
        <v>-1.84E-2</v>
      </c>
      <c r="L546" s="14"/>
      <c r="M546" s="14"/>
      <c r="N546" s="10"/>
      <c r="O546" s="20">
        <v>0.8</v>
      </c>
      <c r="Q546" s="11" t="str">
        <f t="shared" si="160"/>
        <v>*</v>
      </c>
      <c r="R546" s="12"/>
      <c r="S546" s="13" t="str">
        <f t="shared" si="162"/>
        <v>COMSTM</v>
      </c>
      <c r="T546" s="13" t="str">
        <f t="shared" si="163"/>
        <v>COMMUNOldWHEUE</v>
      </c>
      <c r="U546" s="13" t="str">
        <f t="shared" si="164"/>
        <v>COMMUNOldWHEUE</v>
      </c>
      <c r="V546" s="14">
        <v>2025</v>
      </c>
      <c r="W546" s="14" t="str">
        <f>W545</f>
        <v>UP</v>
      </c>
      <c r="X546" s="14"/>
      <c r="Y546" s="15">
        <f>-ROUNDUP(MIN(SUMIFS('COM RESID'!$O:$O,'COM RESID'!$H:$H,$E546,'COM RESID'!$I:$I,$F546)/SUMIFS('COM RESID'!$O:$O,'COM RESID'!$I:$I,$F546)*AC546,1),3)</f>
        <v>-2.9000000000000001E-2</v>
      </c>
      <c r="Z546" s="14"/>
      <c r="AA546" s="14"/>
      <c r="AB546" s="10"/>
      <c r="AC546" s="20">
        <f>IF(S546="COMELC",IF(SUMIFS('COM RESID'!$O:$O,'COM RESID'!$H:$H,$E546,'COM RESID'!$I:$I,$F546)/SUMIFS('COM RESID'!$O:$O,'COM RESID'!$I:$I,$F546)*1.2&lt;0.25,0.25/(SUMIFS('COM RESID'!$O:$O,'COM RESID'!$H:$H,$E546,'COM RESID'!$I:$I,$F546)/SUMIFS('COM RESID'!$O:$O,'COM RESID'!$I:$I,$F546)),1.2),IF(ISNUMBER(SEARCH("WHEUE",T546)),IF(OR(S546="COMNGA",S546="COMFOI"),1,1.2),1.2))</f>
        <v>1.2</v>
      </c>
    </row>
    <row r="547" spans="1:29" x14ac:dyDescent="0.25">
      <c r="A547" s="10">
        <f>A546</f>
        <v>136</v>
      </c>
      <c r="B547" s="10"/>
      <c r="C547" s="11" t="str">
        <f>IF(C546="*",C546,"")</f>
        <v>*</v>
      </c>
      <c r="D547" s="12"/>
      <c r="E547" s="13" t="str">
        <f t="shared" si="171"/>
        <v>COMSTM</v>
      </c>
      <c r="F547" s="13" t="str">
        <f t="shared" si="171"/>
        <v>COMMUNOldWHEUE</v>
      </c>
      <c r="G547" s="13" t="str">
        <f t="shared" si="171"/>
        <v>COMMUNOldWHEUE</v>
      </c>
      <c r="H547" s="14">
        <v>2030</v>
      </c>
      <c r="I547" s="14" t="str">
        <f>I546</f>
        <v>LO</v>
      </c>
      <c r="J547" s="14"/>
      <c r="K547" s="15">
        <f>-ROUNDDOWN(SUMIFS('COM RESID'!$O:$O,'COM RESID'!$H:$H,$E547,'COM RESID'!$I:$I,$F547)/SUMIFS('COM RESID'!$O:$O,'COM RESID'!$I:$I,$F547),3)*O547</f>
        <v>-4.5999999999999999E-3</v>
      </c>
      <c r="L547" s="14"/>
      <c r="M547" s="14"/>
      <c r="N547" s="10"/>
      <c r="O547" s="20">
        <v>0.2</v>
      </c>
      <c r="Q547" s="11" t="str">
        <f t="shared" si="160"/>
        <v>*</v>
      </c>
      <c r="R547" s="12"/>
      <c r="S547" s="13" t="str">
        <f t="shared" si="162"/>
        <v>COMSTM</v>
      </c>
      <c r="T547" s="13" t="str">
        <f t="shared" si="163"/>
        <v>COMMUNOldWHEUE</v>
      </c>
      <c r="U547" s="13" t="str">
        <f t="shared" si="164"/>
        <v>COMMUNOldWHEUE</v>
      </c>
      <c r="V547" s="14">
        <v>2030</v>
      </c>
      <c r="W547" s="14" t="str">
        <f>W546</f>
        <v>UP</v>
      </c>
      <c r="X547" s="14"/>
      <c r="Y547" s="15">
        <f>-ROUNDUP(MIN(SUMIFS('COM RESID'!$O:$O,'COM RESID'!$H:$H,$E547,'COM RESID'!$I:$I,$F547)/SUMIFS('COM RESID'!$O:$O,'COM RESID'!$I:$I,$F547)*AC547,1),3)</f>
        <v>-3.6000000000000004E-2</v>
      </c>
      <c r="Z547" s="14"/>
      <c r="AA547" s="14"/>
      <c r="AB547" s="10"/>
      <c r="AC547" s="20">
        <f>IF(S547="COMELC",IF(SUMIFS('COM RESID'!$O:$O,'COM RESID'!$H:$H,$E547,'COM RESID'!$I:$I,$F547)/SUMIFS('COM RESID'!$O:$O,'COM RESID'!$I:$I,$F547)*1.5&lt;0.5,0.5/(SUMIFS('COM RESID'!$O:$O,'COM RESID'!$H:$H,$E547,'COM RESID'!$I:$I,$F547)/SUMIFS('COM RESID'!$O:$O,'COM RESID'!$I:$I,$F547)),1.5),IF(ISNUMBER(SEARCH("WHEUE",T546)),IF(OR(S546="COMNGA",S546="COMFOI"),0.9,1.5),1.5))</f>
        <v>1.5</v>
      </c>
    </row>
    <row r="548" spans="1:29" x14ac:dyDescent="0.25">
      <c r="A548" s="26">
        <f>A547</f>
        <v>136</v>
      </c>
      <c r="B548" s="26"/>
      <c r="C548" s="21" t="str">
        <f>IF(C547="*",C547,"")</f>
        <v>*</v>
      </c>
      <c r="D548" s="22"/>
      <c r="E548" s="23" t="str">
        <f t="shared" si="171"/>
        <v>COMSTM</v>
      </c>
      <c r="F548" s="23" t="str">
        <f t="shared" si="171"/>
        <v>COMMUNOldWHEUE</v>
      </c>
      <c r="G548" s="23" t="str">
        <f t="shared" si="171"/>
        <v>COMMUNOldWHEUE</v>
      </c>
      <c r="H548" s="24">
        <v>2050</v>
      </c>
      <c r="I548" s="24" t="str">
        <f>I547</f>
        <v>LO</v>
      </c>
      <c r="J548" s="24"/>
      <c r="K548" s="25">
        <f>-ROUNDDOWN(SUMIFS('COM RESID'!$O:$O,'COM RESID'!$H:$H,$E548,'COM RESID'!$I:$I,$F548)/SUMIFS('COM RESID'!$O:$O,'COM RESID'!$I:$I,$F548),3)*O548</f>
        <v>0</v>
      </c>
      <c r="L548" s="24"/>
      <c r="M548" s="24"/>
      <c r="N548" s="26"/>
      <c r="O548" s="27">
        <v>0</v>
      </c>
      <c r="Q548" s="21" t="str">
        <f t="shared" si="160"/>
        <v>*</v>
      </c>
      <c r="R548" s="22"/>
      <c r="S548" s="23" t="str">
        <f t="shared" si="162"/>
        <v>COMSTM</v>
      </c>
      <c r="T548" s="23" t="str">
        <f t="shared" si="163"/>
        <v>COMMUNOldWHEUE</v>
      </c>
      <c r="U548" s="23" t="str">
        <f t="shared" si="164"/>
        <v>COMMUNOldWHEUE</v>
      </c>
      <c r="V548" s="24">
        <v>2050</v>
      </c>
      <c r="W548" s="24" t="str">
        <f>W547</f>
        <v>UP</v>
      </c>
      <c r="X548" s="24"/>
      <c r="Y548" s="25">
        <f>-ROUNDUP(MIN(SUMIFS('COM RESID'!$O:$O,'COM RESID'!$H:$H,$E548,'COM RESID'!$I:$I,$F548)/SUMIFS('COM RESID'!$O:$O,'COM RESID'!$I:$I,$F548)*AC548,1),3)</f>
        <v>-7.1000000000000008E-2</v>
      </c>
      <c r="Z548" s="24"/>
      <c r="AA548" s="24"/>
      <c r="AB548" s="26"/>
      <c r="AC548" s="27">
        <f>IF(S548="COMELC",IF(SUMIFS('COM RESID'!$O:$O,'COM RESID'!$H:$H,$E548,'COM RESID'!$I:$I,$F548)/SUMIFS('COM RESID'!$O:$O,'COM RESID'!$I:$I,$F548)*3&lt;1,1/(SUMIFS('COM RESID'!$O:$O,'COM RESID'!$H:$H,$E548,'COM RESID'!$I:$I,$F548)/SUMIFS('COM RESID'!$O:$O,'COM RESID'!$I:$I,$F548)),3),IF(ISNUMBER(SEARCH("WHEUE",T546)),IF(OR(S546="COMNGA",S546="COMFOI"),0.75,3),3))</f>
        <v>3</v>
      </c>
    </row>
    <row r="549" spans="1:29" x14ac:dyDescent="0.25">
      <c r="A549" s="19">
        <f>A545+1</f>
        <v>137</v>
      </c>
      <c r="B549" s="10"/>
      <c r="C549" s="11" t="str">
        <f>IF(E549="","",IF(_xlfn.XLOOKUP($A549,Selected_constraint_UC!$A:$A,Selected_constraint_UC!$D:$D)=1,"*",IF(SUMIFS('COM TECH'!$N:$N,'COM TECH'!$K:$K,E549,'COM TECH'!$L:$L,F549)=0,"*",IF(SUMIFS('COM RESID'!$O:$O,'COM RESID'!$H:$H,$E549,'COM RESID'!$I:$I,$F549)=0,"*","UC_MarketShare_"&amp;LEFT(F549,LEN(F549)-3)&amp;"_"&amp;RIGHT(E549,3)&amp;"_MIN"))))</f>
        <v>UC_MarketShare_COMMUNOldWH_ELC_MIN</v>
      </c>
      <c r="D549" s="12"/>
      <c r="E549" s="13" t="str">
        <f>_xlfn.XLOOKUP($A549,Selected_constraint_UC!$A:$A,Selected_constraint_UC!$B:$B)</f>
        <v>COMELC</v>
      </c>
      <c r="F549" s="13" t="str">
        <f>_xlfn.XLOOKUP($A549,Selected_constraint_UC!$A:$A,Selected_constraint_UC!$C:$C)</f>
        <v>COMMUNOldWHEUE</v>
      </c>
      <c r="G549" s="13" t="str">
        <f>F549</f>
        <v>COMMUNOldWHEUE</v>
      </c>
      <c r="H549" s="14">
        <v>2019</v>
      </c>
      <c r="I549" s="14" t="s">
        <v>3848</v>
      </c>
      <c r="J549" s="14">
        <v>1</v>
      </c>
      <c r="K549" s="15">
        <f>-ROUNDDOWN(SUMIFS('COM RESID'!$O:$O,'COM RESID'!$H:$H,$E549,'COM RESID'!$I:$I,$F549)/SUMIFS('COM RESID'!$O:$O,'COM RESID'!$I:$I,$F549),3)*O549</f>
        <v>-0.36162</v>
      </c>
      <c r="L549" s="14">
        <v>0</v>
      </c>
      <c r="M549" s="14">
        <v>5</v>
      </c>
      <c r="N549" s="10"/>
      <c r="O549" s="20">
        <v>0.98</v>
      </c>
      <c r="Q549" s="11" t="str">
        <f t="shared" si="160"/>
        <v>UC_MarketShare_COMMUNOldWH_ELC_MAX</v>
      </c>
      <c r="R549" s="12"/>
      <c r="S549" s="13" t="str">
        <f t="shared" si="162"/>
        <v>COMELC</v>
      </c>
      <c r="T549" s="13" t="str">
        <f t="shared" si="163"/>
        <v>COMMUNOldWHEUE</v>
      </c>
      <c r="U549" s="13" t="str">
        <f t="shared" si="164"/>
        <v>COMMUNOldWHEUE</v>
      </c>
      <c r="V549" s="14">
        <v>2019</v>
      </c>
      <c r="W549" s="14" t="s">
        <v>3849</v>
      </c>
      <c r="X549" s="14">
        <v>1</v>
      </c>
      <c r="Y549" s="15">
        <f>-ROUNDUP(MIN(SUMIFS('COM RESID'!$O:$O,'COM RESID'!$H:$H,$E549,'COM RESID'!$I:$I,$F549)/SUMIFS('COM RESID'!$O:$O,'COM RESID'!$I:$I,$F549)*AC549,1),3)</f>
        <v>-0.378</v>
      </c>
      <c r="Z549" s="14">
        <v>0</v>
      </c>
      <c r="AA549" s="14">
        <v>5</v>
      </c>
      <c r="AB549" s="10"/>
      <c r="AC549" s="20">
        <v>1.02</v>
      </c>
    </row>
    <row r="550" spans="1:29" x14ac:dyDescent="0.25">
      <c r="A550" s="10">
        <f>A549</f>
        <v>137</v>
      </c>
      <c r="B550" s="10"/>
      <c r="C550" s="11" t="str">
        <f>IF(C549="*",C549,"")</f>
        <v/>
      </c>
      <c r="D550" s="12"/>
      <c r="E550" s="13" t="str">
        <f t="shared" ref="E550:G552" si="172">E549</f>
        <v>COMELC</v>
      </c>
      <c r="F550" s="13" t="str">
        <f t="shared" si="172"/>
        <v>COMMUNOldWHEUE</v>
      </c>
      <c r="G550" s="13" t="str">
        <f t="shared" si="172"/>
        <v>COMMUNOldWHEUE</v>
      </c>
      <c r="H550" s="14">
        <v>2025</v>
      </c>
      <c r="I550" s="14" t="str">
        <f>I549</f>
        <v>LO</v>
      </c>
      <c r="J550" s="14"/>
      <c r="K550" s="15">
        <f>-ROUNDDOWN(SUMIFS('COM RESID'!$O:$O,'COM RESID'!$H:$H,$E550,'COM RESID'!$I:$I,$F550)/SUMIFS('COM RESID'!$O:$O,'COM RESID'!$I:$I,$F550),3)*O550</f>
        <v>-0.29520000000000002</v>
      </c>
      <c r="L550" s="14"/>
      <c r="M550" s="14"/>
      <c r="N550" s="10"/>
      <c r="O550" s="20">
        <v>0.8</v>
      </c>
      <c r="Q550" s="11" t="str">
        <f t="shared" si="160"/>
        <v/>
      </c>
      <c r="R550" s="12"/>
      <c r="S550" s="13" t="str">
        <f t="shared" si="162"/>
        <v>COMELC</v>
      </c>
      <c r="T550" s="13" t="str">
        <f t="shared" si="163"/>
        <v>COMMUNOldWHEUE</v>
      </c>
      <c r="U550" s="13" t="str">
        <f t="shared" si="164"/>
        <v>COMMUNOldWHEUE</v>
      </c>
      <c r="V550" s="14">
        <v>2025</v>
      </c>
      <c r="W550" s="14" t="str">
        <f>W549</f>
        <v>UP</v>
      </c>
      <c r="X550" s="14"/>
      <c r="Y550" s="15">
        <f>-ROUNDUP(MIN(SUMIFS('COM RESID'!$O:$O,'COM RESID'!$H:$H,$E550,'COM RESID'!$I:$I,$F550)/SUMIFS('COM RESID'!$O:$O,'COM RESID'!$I:$I,$F550)*AC550,1),3)</f>
        <v>-0.44400000000000001</v>
      </c>
      <c r="Z550" s="14"/>
      <c r="AA550" s="14"/>
      <c r="AB550" s="10"/>
      <c r="AC550" s="20">
        <f>IF(S550="COMELC",IF(SUMIFS('COM RESID'!$O:$O,'COM RESID'!$H:$H,$E550,'COM RESID'!$I:$I,$F550)/SUMIFS('COM RESID'!$O:$O,'COM RESID'!$I:$I,$F550)*1.2&lt;0.25,0.25/(SUMIFS('COM RESID'!$O:$O,'COM RESID'!$H:$H,$E550,'COM RESID'!$I:$I,$F550)/SUMIFS('COM RESID'!$O:$O,'COM RESID'!$I:$I,$F550)),1.2),IF(ISNUMBER(SEARCH("WHEUE",T550)),IF(OR(S550="COMNGA",S550="COMFOI"),1,1.2),1.2))</f>
        <v>1.2</v>
      </c>
    </row>
    <row r="551" spans="1:29" x14ac:dyDescent="0.25">
      <c r="A551" s="10">
        <f>A550</f>
        <v>137</v>
      </c>
      <c r="B551" s="10"/>
      <c r="C551" s="11" t="str">
        <f>IF(C550="*",C550,"")</f>
        <v/>
      </c>
      <c r="D551" s="12"/>
      <c r="E551" s="13" t="str">
        <f t="shared" si="172"/>
        <v>COMELC</v>
      </c>
      <c r="F551" s="13" t="str">
        <f t="shared" si="172"/>
        <v>COMMUNOldWHEUE</v>
      </c>
      <c r="G551" s="13" t="str">
        <f t="shared" si="172"/>
        <v>COMMUNOldWHEUE</v>
      </c>
      <c r="H551" s="14">
        <v>2030</v>
      </c>
      <c r="I551" s="14" t="str">
        <f>I550</f>
        <v>LO</v>
      </c>
      <c r="J551" s="14"/>
      <c r="K551" s="15">
        <f>-ROUNDDOWN(SUMIFS('COM RESID'!$O:$O,'COM RESID'!$H:$H,$E551,'COM RESID'!$I:$I,$F551)/SUMIFS('COM RESID'!$O:$O,'COM RESID'!$I:$I,$F551),3)*O551</f>
        <v>-0.27675</v>
      </c>
      <c r="L551" s="14"/>
      <c r="M551" s="14"/>
      <c r="N551" s="10"/>
      <c r="O551" s="20">
        <v>0.75</v>
      </c>
      <c r="Q551" s="11" t="str">
        <f t="shared" si="160"/>
        <v/>
      </c>
      <c r="R551" s="12"/>
      <c r="S551" s="13" t="str">
        <f t="shared" si="162"/>
        <v>COMELC</v>
      </c>
      <c r="T551" s="13" t="str">
        <f t="shared" si="163"/>
        <v>COMMUNOldWHEUE</v>
      </c>
      <c r="U551" s="13" t="str">
        <f t="shared" si="164"/>
        <v>COMMUNOldWHEUE</v>
      </c>
      <c r="V551" s="14">
        <v>2030</v>
      </c>
      <c r="W551" s="14" t="str">
        <f>W550</f>
        <v>UP</v>
      </c>
      <c r="X551" s="14"/>
      <c r="Y551" s="15">
        <f>-ROUNDUP(MIN(SUMIFS('COM RESID'!$O:$O,'COM RESID'!$H:$H,$E551,'COM RESID'!$I:$I,$F551)/SUMIFS('COM RESID'!$O:$O,'COM RESID'!$I:$I,$F551)*AC551,1),3)</f>
        <v>-0.55500000000000005</v>
      </c>
      <c r="Z551" s="14"/>
      <c r="AA551" s="14"/>
      <c r="AB551" s="10"/>
      <c r="AC551" s="20">
        <f>IF(S551="COMELC",IF(SUMIFS('COM RESID'!$O:$O,'COM RESID'!$H:$H,$E551,'COM RESID'!$I:$I,$F551)/SUMIFS('COM RESID'!$O:$O,'COM RESID'!$I:$I,$F551)*1.5&lt;0.5,0.5/(SUMIFS('COM RESID'!$O:$O,'COM RESID'!$H:$H,$E551,'COM RESID'!$I:$I,$F551)/SUMIFS('COM RESID'!$O:$O,'COM RESID'!$I:$I,$F551)),1.5),IF(ISNUMBER(SEARCH("WHEUE",T550)),IF(OR(S550="COMNGA",S550="COMFOI"),0.9,1.5),1.5))</f>
        <v>1.5</v>
      </c>
    </row>
    <row r="552" spans="1:29" x14ac:dyDescent="0.25">
      <c r="A552" s="26">
        <f>A551</f>
        <v>137</v>
      </c>
      <c r="B552" s="26"/>
      <c r="C552" s="21" t="str">
        <f>IF(C551="*",C551,"")</f>
        <v/>
      </c>
      <c r="D552" s="22"/>
      <c r="E552" s="23" t="str">
        <f t="shared" si="172"/>
        <v>COMELC</v>
      </c>
      <c r="F552" s="23" t="str">
        <f t="shared" si="172"/>
        <v>COMMUNOldWHEUE</v>
      </c>
      <c r="G552" s="23" t="str">
        <f t="shared" si="172"/>
        <v>COMMUNOldWHEUE</v>
      </c>
      <c r="H552" s="24">
        <v>2050</v>
      </c>
      <c r="I552" s="24" t="str">
        <f>I551</f>
        <v>LO</v>
      </c>
      <c r="J552" s="24"/>
      <c r="K552" s="25">
        <f>-ROUNDDOWN(SUMIFS('COM RESID'!$O:$O,'COM RESID'!$H:$H,$E552,'COM RESID'!$I:$I,$F552)/SUMIFS('COM RESID'!$O:$O,'COM RESID'!$I:$I,$F552),3)*O552</f>
        <v>-0.27675</v>
      </c>
      <c r="L552" s="24"/>
      <c r="M552" s="24"/>
      <c r="N552" s="26"/>
      <c r="O552" s="27">
        <v>0.75</v>
      </c>
      <c r="Q552" s="21" t="str">
        <f t="shared" si="160"/>
        <v/>
      </c>
      <c r="R552" s="22"/>
      <c r="S552" s="23" t="str">
        <f t="shared" si="162"/>
        <v>COMELC</v>
      </c>
      <c r="T552" s="23" t="str">
        <f t="shared" si="163"/>
        <v>COMMUNOldWHEUE</v>
      </c>
      <c r="U552" s="23" t="str">
        <f t="shared" si="164"/>
        <v>COMMUNOldWHEUE</v>
      </c>
      <c r="V552" s="24">
        <v>2050</v>
      </c>
      <c r="W552" s="24" t="str">
        <f>W551</f>
        <v>UP</v>
      </c>
      <c r="X552" s="24"/>
      <c r="Y552" s="25">
        <f>-ROUNDUP(MIN(SUMIFS('COM RESID'!$O:$O,'COM RESID'!$H:$H,$E552,'COM RESID'!$I:$I,$F552)/SUMIFS('COM RESID'!$O:$O,'COM RESID'!$I:$I,$F552)*AC552,1),3)</f>
        <v>-1</v>
      </c>
      <c r="Z552" s="24"/>
      <c r="AA552" s="24"/>
      <c r="AB552" s="26"/>
      <c r="AC552" s="27">
        <f>IF(S552="COMELC",IF(SUMIFS('COM RESID'!$O:$O,'COM RESID'!$H:$H,$E552,'COM RESID'!$I:$I,$F552)/SUMIFS('COM RESID'!$O:$O,'COM RESID'!$I:$I,$F552)*3&lt;1,1/(SUMIFS('COM RESID'!$O:$O,'COM RESID'!$H:$H,$E552,'COM RESID'!$I:$I,$F552)/SUMIFS('COM RESID'!$O:$O,'COM RESID'!$I:$I,$F552)),3),IF(ISNUMBER(SEARCH("WHEUE",T550)),IF(OR(S550="COMNGA",S550="COMFOI"),0.75,3),3))</f>
        <v>3</v>
      </c>
    </row>
    <row r="553" spans="1:29" x14ac:dyDescent="0.25">
      <c r="A553" s="19">
        <f>A549+1</f>
        <v>138</v>
      </c>
      <c r="B553" s="10"/>
      <c r="C553" s="11" t="str">
        <f>IF(E553="","",IF(_xlfn.XLOOKUP($A553,Selected_constraint_UC!$A:$A,Selected_constraint_UC!$D:$D)=1,"*",IF(SUMIFS('COM TECH'!$N:$N,'COM TECH'!$K:$K,E553,'COM TECH'!$L:$L,F553)=0,"*",IF(SUMIFS('COM RESID'!$O:$O,'COM RESID'!$H:$H,$E553,'COM RESID'!$I:$I,$F553)=0,"*","UC_MarketShare_"&amp;LEFT(F553,LEN(F553)-3)&amp;"_"&amp;RIGHT(E553,3)&amp;"_MIN"))))</f>
        <v>*</v>
      </c>
      <c r="D553" s="12"/>
      <c r="E553" s="13" t="str">
        <f>_xlfn.XLOOKUP($A553,Selected_constraint_UC!$A:$A,Selected_constraint_UC!$B:$B)</f>
        <v>COMELC</v>
      </c>
      <c r="F553" s="13" t="str">
        <f>_xlfn.XLOOKUP($A553,Selected_constraint_UC!$A:$A,Selected_constraint_UC!$C:$C)</f>
        <v>COMMUNOldLTEUE</v>
      </c>
      <c r="G553" s="13" t="str">
        <f>F553</f>
        <v>COMMUNOldLTEUE</v>
      </c>
      <c r="H553" s="14">
        <v>2019</v>
      </c>
      <c r="I553" s="14" t="s">
        <v>3848</v>
      </c>
      <c r="J553" s="14">
        <v>1</v>
      </c>
      <c r="K553" s="15">
        <f>-ROUNDDOWN(SUMIFS('COM RESID'!$O:$O,'COM RESID'!$H:$H,$E553,'COM RESID'!$I:$I,$F553)/SUMIFS('COM RESID'!$O:$O,'COM RESID'!$I:$I,$F553),3)*O553</f>
        <v>-0.98</v>
      </c>
      <c r="L553" s="14">
        <v>0</v>
      </c>
      <c r="M553" s="14">
        <v>5</v>
      </c>
      <c r="N553" s="10"/>
      <c r="O553" s="20">
        <v>0.98</v>
      </c>
      <c r="Q553" s="11" t="str">
        <f t="shared" si="160"/>
        <v>*</v>
      </c>
      <c r="R553" s="12"/>
      <c r="S553" s="13" t="str">
        <f t="shared" si="162"/>
        <v>COMELC</v>
      </c>
      <c r="T553" s="13" t="str">
        <f t="shared" si="163"/>
        <v>COMMUNOldLTEUE</v>
      </c>
      <c r="U553" s="13" t="str">
        <f t="shared" si="164"/>
        <v>COMMUNOldLTEUE</v>
      </c>
      <c r="V553" s="14">
        <v>2019</v>
      </c>
      <c r="W553" s="14" t="s">
        <v>3849</v>
      </c>
      <c r="X553" s="14">
        <v>1</v>
      </c>
      <c r="Y553" s="15">
        <f>-ROUNDUP(MIN(SUMIFS('COM RESID'!$O:$O,'COM RESID'!$H:$H,$E553,'COM RESID'!$I:$I,$F553)/SUMIFS('COM RESID'!$O:$O,'COM RESID'!$I:$I,$F553)*AC553,1),3)</f>
        <v>-1</v>
      </c>
      <c r="Z553" s="14">
        <v>0</v>
      </c>
      <c r="AA553" s="14">
        <v>5</v>
      </c>
      <c r="AB553" s="10"/>
      <c r="AC553" s="20">
        <v>1.02</v>
      </c>
    </row>
    <row r="554" spans="1:29" x14ac:dyDescent="0.25">
      <c r="A554" s="10">
        <f>A553</f>
        <v>138</v>
      </c>
      <c r="B554" s="10"/>
      <c r="C554" s="11" t="str">
        <f>IF(C553="*",C553,"")</f>
        <v>*</v>
      </c>
      <c r="D554" s="12"/>
      <c r="E554" s="13" t="str">
        <f t="shared" ref="E554:G556" si="173">E553</f>
        <v>COMELC</v>
      </c>
      <c r="F554" s="13" t="str">
        <f t="shared" si="173"/>
        <v>COMMUNOldLTEUE</v>
      </c>
      <c r="G554" s="13" t="str">
        <f t="shared" si="173"/>
        <v>COMMUNOldLTEUE</v>
      </c>
      <c r="H554" s="14">
        <v>2025</v>
      </c>
      <c r="I554" s="14" t="str">
        <f>I553</f>
        <v>LO</v>
      </c>
      <c r="J554" s="14"/>
      <c r="K554" s="15">
        <f>-ROUNDDOWN(SUMIFS('COM RESID'!$O:$O,'COM RESID'!$H:$H,$E554,'COM RESID'!$I:$I,$F554)/SUMIFS('COM RESID'!$O:$O,'COM RESID'!$I:$I,$F554),3)*O554</f>
        <v>-0.8</v>
      </c>
      <c r="L554" s="14"/>
      <c r="M554" s="14"/>
      <c r="N554" s="10"/>
      <c r="O554" s="20">
        <v>0.8</v>
      </c>
      <c r="Q554" s="11" t="str">
        <f t="shared" si="160"/>
        <v>*</v>
      </c>
      <c r="R554" s="12"/>
      <c r="S554" s="13" t="str">
        <f t="shared" si="162"/>
        <v>COMELC</v>
      </c>
      <c r="T554" s="13" t="str">
        <f t="shared" si="163"/>
        <v>COMMUNOldLTEUE</v>
      </c>
      <c r="U554" s="13" t="str">
        <f t="shared" si="164"/>
        <v>COMMUNOldLTEUE</v>
      </c>
      <c r="V554" s="14">
        <v>2025</v>
      </c>
      <c r="W554" s="14" t="str">
        <f>W553</f>
        <v>UP</v>
      </c>
      <c r="X554" s="14"/>
      <c r="Y554" s="15">
        <f>-ROUNDUP(MIN(SUMIFS('COM RESID'!$O:$O,'COM RESID'!$H:$H,$E554,'COM RESID'!$I:$I,$F554)/SUMIFS('COM RESID'!$O:$O,'COM RESID'!$I:$I,$F554)*AC554,1),3)</f>
        <v>-1</v>
      </c>
      <c r="Z554" s="14"/>
      <c r="AA554" s="14"/>
      <c r="AB554" s="10"/>
      <c r="AC554" s="20">
        <f>IF(S554="COMELC",IF(SUMIFS('COM RESID'!$O:$O,'COM RESID'!$H:$H,$E554,'COM RESID'!$I:$I,$F554)/SUMIFS('COM RESID'!$O:$O,'COM RESID'!$I:$I,$F554)*1.2&lt;0.25,0.25/(SUMIFS('COM RESID'!$O:$O,'COM RESID'!$H:$H,$E554,'COM RESID'!$I:$I,$F554)/SUMIFS('COM RESID'!$O:$O,'COM RESID'!$I:$I,$F554)),1.2),IF(ISNUMBER(SEARCH("WHEUE",T554)),IF(OR(S554="COMNGA",S554="COMFOI"),1,1.2),1.2))</f>
        <v>1.2</v>
      </c>
    </row>
    <row r="555" spans="1:29" x14ac:dyDescent="0.25">
      <c r="A555" s="10">
        <f>A554</f>
        <v>138</v>
      </c>
      <c r="B555" s="10"/>
      <c r="C555" s="11" t="str">
        <f>IF(C554="*",C554,"")</f>
        <v>*</v>
      </c>
      <c r="D555" s="12"/>
      <c r="E555" s="13" t="str">
        <f t="shared" si="173"/>
        <v>COMELC</v>
      </c>
      <c r="F555" s="13" t="str">
        <f t="shared" si="173"/>
        <v>COMMUNOldLTEUE</v>
      </c>
      <c r="G555" s="13" t="str">
        <f t="shared" si="173"/>
        <v>COMMUNOldLTEUE</v>
      </c>
      <c r="H555" s="14">
        <v>2030</v>
      </c>
      <c r="I555" s="14" t="str">
        <f>I554</f>
        <v>LO</v>
      </c>
      <c r="J555" s="14"/>
      <c r="K555" s="15">
        <f>-ROUNDDOWN(SUMIFS('COM RESID'!$O:$O,'COM RESID'!$H:$H,$E555,'COM RESID'!$I:$I,$F555)/SUMIFS('COM RESID'!$O:$O,'COM RESID'!$I:$I,$F555),3)*O555</f>
        <v>-0.2</v>
      </c>
      <c r="L555" s="14"/>
      <c r="M555" s="14"/>
      <c r="N555" s="10"/>
      <c r="O555" s="20">
        <v>0.2</v>
      </c>
      <c r="Q555" s="11" t="str">
        <f t="shared" si="160"/>
        <v>*</v>
      </c>
      <c r="R555" s="12"/>
      <c r="S555" s="13" t="str">
        <f t="shared" si="162"/>
        <v>COMELC</v>
      </c>
      <c r="T555" s="13" t="str">
        <f t="shared" si="163"/>
        <v>COMMUNOldLTEUE</v>
      </c>
      <c r="U555" s="13" t="str">
        <f t="shared" si="164"/>
        <v>COMMUNOldLTEUE</v>
      </c>
      <c r="V555" s="14">
        <v>2030</v>
      </c>
      <c r="W555" s="14" t="str">
        <f>W554</f>
        <v>UP</v>
      </c>
      <c r="X555" s="14"/>
      <c r="Y555" s="15">
        <f>-ROUNDUP(MIN(SUMIFS('COM RESID'!$O:$O,'COM RESID'!$H:$H,$E555,'COM RESID'!$I:$I,$F555)/SUMIFS('COM RESID'!$O:$O,'COM RESID'!$I:$I,$F555)*AC555,1),3)</f>
        <v>-1</v>
      </c>
      <c r="Z555" s="14"/>
      <c r="AA555" s="14"/>
      <c r="AB555" s="10"/>
      <c r="AC555" s="20">
        <f>IF(S555="COMELC",IF(SUMIFS('COM RESID'!$O:$O,'COM RESID'!$H:$H,$E555,'COM RESID'!$I:$I,$F555)/SUMIFS('COM RESID'!$O:$O,'COM RESID'!$I:$I,$F555)*1.5&lt;0.5,0.5/(SUMIFS('COM RESID'!$O:$O,'COM RESID'!$H:$H,$E555,'COM RESID'!$I:$I,$F555)/SUMIFS('COM RESID'!$O:$O,'COM RESID'!$I:$I,$F555)),1.5),IF(ISNUMBER(SEARCH("WHEUE",T554)),IF(OR(S554="COMNGA",S554="COMFOI"),0.9,1.5),1.5))</f>
        <v>1.5</v>
      </c>
    </row>
    <row r="556" spans="1:29" x14ac:dyDescent="0.25">
      <c r="A556" s="26">
        <f>A555</f>
        <v>138</v>
      </c>
      <c r="B556" s="26"/>
      <c r="C556" s="21" t="str">
        <f>IF(C555="*",C555,"")</f>
        <v>*</v>
      </c>
      <c r="D556" s="22"/>
      <c r="E556" s="23" t="str">
        <f t="shared" si="173"/>
        <v>COMELC</v>
      </c>
      <c r="F556" s="23" t="str">
        <f t="shared" si="173"/>
        <v>COMMUNOldLTEUE</v>
      </c>
      <c r="G556" s="23" t="str">
        <f t="shared" si="173"/>
        <v>COMMUNOldLTEUE</v>
      </c>
      <c r="H556" s="24">
        <v>2050</v>
      </c>
      <c r="I556" s="24" t="str">
        <f>I555</f>
        <v>LO</v>
      </c>
      <c r="J556" s="24"/>
      <c r="K556" s="25">
        <f>-ROUNDDOWN(SUMIFS('COM RESID'!$O:$O,'COM RESID'!$H:$H,$E556,'COM RESID'!$I:$I,$F556)/SUMIFS('COM RESID'!$O:$O,'COM RESID'!$I:$I,$F556),3)*O556</f>
        <v>0</v>
      </c>
      <c r="L556" s="24"/>
      <c r="M556" s="24"/>
      <c r="N556" s="26"/>
      <c r="O556" s="27">
        <v>0</v>
      </c>
      <c r="Q556" s="21" t="str">
        <f t="shared" si="160"/>
        <v>*</v>
      </c>
      <c r="R556" s="22"/>
      <c r="S556" s="23" t="str">
        <f t="shared" si="162"/>
        <v>COMELC</v>
      </c>
      <c r="T556" s="23" t="str">
        <f t="shared" si="163"/>
        <v>COMMUNOldLTEUE</v>
      </c>
      <c r="U556" s="23" t="str">
        <f t="shared" si="164"/>
        <v>COMMUNOldLTEUE</v>
      </c>
      <c r="V556" s="24">
        <v>2050</v>
      </c>
      <c r="W556" s="24" t="str">
        <f>W555</f>
        <v>UP</v>
      </c>
      <c r="X556" s="24"/>
      <c r="Y556" s="25">
        <f>-ROUNDUP(MIN(SUMIFS('COM RESID'!$O:$O,'COM RESID'!$H:$H,$E556,'COM RESID'!$I:$I,$F556)/SUMIFS('COM RESID'!$O:$O,'COM RESID'!$I:$I,$F556)*AC556,1),3)</f>
        <v>-1</v>
      </c>
      <c r="Z556" s="24"/>
      <c r="AA556" s="24"/>
      <c r="AB556" s="26"/>
      <c r="AC556" s="27">
        <f>IF(S556="COMELC",IF(SUMIFS('COM RESID'!$O:$O,'COM RESID'!$H:$H,$E556,'COM RESID'!$I:$I,$F556)/SUMIFS('COM RESID'!$O:$O,'COM RESID'!$I:$I,$F556)*3&lt;1,1/(SUMIFS('COM RESID'!$O:$O,'COM RESID'!$H:$H,$E556,'COM RESID'!$I:$I,$F556)/SUMIFS('COM RESID'!$O:$O,'COM RESID'!$I:$I,$F556)),3),IF(ISNUMBER(SEARCH("WHEUE",T554)),IF(OR(S554="COMNGA",S554="COMFOI"),0.75,3),3))</f>
        <v>3</v>
      </c>
    </row>
    <row r="557" spans="1:29" x14ac:dyDescent="0.25">
      <c r="A557" s="19">
        <f>A553+1</f>
        <v>139</v>
      </c>
      <c r="B557" s="10"/>
      <c r="C557" s="11" t="str">
        <f>IF(E557="","",IF(_xlfn.XLOOKUP($A557,Selected_constraint_UC!$A:$A,Selected_constraint_UC!$D:$D)=1,"*",IF(SUMIFS('COM TECH'!$N:$N,'COM TECH'!$K:$K,E557,'COM TECH'!$L:$L,F557)=0,"*",IF(SUMIFS('COM RESID'!$O:$O,'COM RESID'!$H:$H,$E557,'COM RESID'!$I:$I,$F557)=0,"*","UC_MarketShare_"&amp;LEFT(F557,LEN(F557)-3)&amp;"_"&amp;RIGHT(E557,3)&amp;"_MIN"))))</f>
        <v>*</v>
      </c>
      <c r="D557" s="12"/>
      <c r="E557" s="13" t="str">
        <f>_xlfn.XLOOKUP($A557,Selected_constraint_UC!$A:$A,Selected_constraint_UC!$B:$B)</f>
        <v>COMFOI</v>
      </c>
      <c r="F557" s="13" t="str">
        <f>_xlfn.XLOOKUP($A557,Selected_constraint_UC!$A:$A,Selected_constraint_UC!$C:$C)</f>
        <v>COMMUNOldCKEUE</v>
      </c>
      <c r="G557" s="13" t="str">
        <f>F557</f>
        <v>COMMUNOldCKEUE</v>
      </c>
      <c r="H557" s="14">
        <v>2019</v>
      </c>
      <c r="I557" s="14" t="s">
        <v>3848</v>
      </c>
      <c r="J557" s="14">
        <v>1</v>
      </c>
      <c r="K557" s="15">
        <f>-ROUNDDOWN(SUMIFS('COM RESID'!$O:$O,'COM RESID'!$H:$H,$E557,'COM RESID'!$I:$I,$F557)/SUMIFS('COM RESID'!$O:$O,'COM RESID'!$I:$I,$F557),3)*O557</f>
        <v>0</v>
      </c>
      <c r="L557" s="14">
        <v>0</v>
      </c>
      <c r="M557" s="14">
        <v>5</v>
      </c>
      <c r="N557" s="10"/>
      <c r="O557" s="20">
        <v>0.98</v>
      </c>
      <c r="Q557" s="11" t="str">
        <f t="shared" si="160"/>
        <v>*</v>
      </c>
      <c r="R557" s="12"/>
      <c r="S557" s="13" t="str">
        <f t="shared" si="162"/>
        <v>COMFOI</v>
      </c>
      <c r="T557" s="13" t="str">
        <f t="shared" si="163"/>
        <v>COMMUNOldCKEUE</v>
      </c>
      <c r="U557" s="13" t="str">
        <f t="shared" si="164"/>
        <v>COMMUNOldCKEUE</v>
      </c>
      <c r="V557" s="14">
        <v>2019</v>
      </c>
      <c r="W557" s="14" t="s">
        <v>3849</v>
      </c>
      <c r="X557" s="14">
        <v>1</v>
      </c>
      <c r="Y557" s="15">
        <f>-ROUNDUP(MIN(SUMIFS('COM RESID'!$O:$O,'COM RESID'!$H:$H,$E557,'COM RESID'!$I:$I,$F557)/SUMIFS('COM RESID'!$O:$O,'COM RESID'!$I:$I,$F557)*AC557,1),3)</f>
        <v>0</v>
      </c>
      <c r="Z557" s="14">
        <v>0</v>
      </c>
      <c r="AA557" s="14">
        <v>5</v>
      </c>
      <c r="AB557" s="10"/>
      <c r="AC557" s="20">
        <v>1.02</v>
      </c>
    </row>
    <row r="558" spans="1:29" x14ac:dyDescent="0.25">
      <c r="A558" s="10">
        <f>A557</f>
        <v>139</v>
      </c>
      <c r="B558" s="10"/>
      <c r="C558" s="11" t="str">
        <f>IF(C557="*",C557,"")</f>
        <v>*</v>
      </c>
      <c r="D558" s="12"/>
      <c r="E558" s="13" t="str">
        <f t="shared" ref="E558:G560" si="174">E557</f>
        <v>COMFOI</v>
      </c>
      <c r="F558" s="13" t="str">
        <f t="shared" si="174"/>
        <v>COMMUNOldCKEUE</v>
      </c>
      <c r="G558" s="13" t="str">
        <f t="shared" si="174"/>
        <v>COMMUNOldCKEUE</v>
      </c>
      <c r="H558" s="14">
        <v>2025</v>
      </c>
      <c r="I558" s="14" t="str">
        <f>I557</f>
        <v>LO</v>
      </c>
      <c r="J558" s="14"/>
      <c r="K558" s="15">
        <f>-ROUNDDOWN(SUMIFS('COM RESID'!$O:$O,'COM RESID'!$H:$H,$E558,'COM RESID'!$I:$I,$F558)/SUMIFS('COM RESID'!$O:$O,'COM RESID'!$I:$I,$F558),3)*O558</f>
        <v>0</v>
      </c>
      <c r="L558" s="14"/>
      <c r="M558" s="14"/>
      <c r="N558" s="10"/>
      <c r="O558" s="20">
        <v>0.8</v>
      </c>
      <c r="Q558" s="11" t="str">
        <f t="shared" si="160"/>
        <v>*</v>
      </c>
      <c r="R558" s="12"/>
      <c r="S558" s="13" t="str">
        <f t="shared" si="162"/>
        <v>COMFOI</v>
      </c>
      <c r="T558" s="13" t="str">
        <f t="shared" si="163"/>
        <v>COMMUNOldCKEUE</v>
      </c>
      <c r="U558" s="13" t="str">
        <f t="shared" si="164"/>
        <v>COMMUNOldCKEUE</v>
      </c>
      <c r="V558" s="14">
        <v>2025</v>
      </c>
      <c r="W558" s="14" t="str">
        <f>W557</f>
        <v>UP</v>
      </c>
      <c r="X558" s="14"/>
      <c r="Y558" s="15">
        <f>-ROUNDUP(MIN(SUMIFS('COM RESID'!$O:$O,'COM RESID'!$H:$H,$E558,'COM RESID'!$I:$I,$F558)/SUMIFS('COM RESID'!$O:$O,'COM RESID'!$I:$I,$F558)*AC558,1),3)</f>
        <v>0</v>
      </c>
      <c r="Z558" s="14"/>
      <c r="AA558" s="14"/>
      <c r="AB558" s="10"/>
      <c r="AC558" s="20">
        <f>IF(S558="COMELC",IF(SUMIFS('COM RESID'!$O:$O,'COM RESID'!$H:$H,$E558,'COM RESID'!$I:$I,$F558)/SUMIFS('COM RESID'!$O:$O,'COM RESID'!$I:$I,$F558)*1.2&lt;0.25,0.25/(SUMIFS('COM RESID'!$O:$O,'COM RESID'!$H:$H,$E558,'COM RESID'!$I:$I,$F558)/SUMIFS('COM RESID'!$O:$O,'COM RESID'!$I:$I,$F558)),1.2),IF(ISNUMBER(SEARCH("WHEUE",T558)),IF(OR(S558="COMNGA",S558="COMFOI"),1,1.2),1.2))</f>
        <v>1.2</v>
      </c>
    </row>
    <row r="559" spans="1:29" x14ac:dyDescent="0.25">
      <c r="A559" s="10">
        <f>A558</f>
        <v>139</v>
      </c>
      <c r="B559" s="10"/>
      <c r="C559" s="11" t="str">
        <f>IF(C558="*",C558,"")</f>
        <v>*</v>
      </c>
      <c r="D559" s="12"/>
      <c r="E559" s="13" t="str">
        <f t="shared" si="174"/>
        <v>COMFOI</v>
      </c>
      <c r="F559" s="13" t="str">
        <f t="shared" si="174"/>
        <v>COMMUNOldCKEUE</v>
      </c>
      <c r="G559" s="13" t="str">
        <f t="shared" si="174"/>
        <v>COMMUNOldCKEUE</v>
      </c>
      <c r="H559" s="14">
        <v>2030</v>
      </c>
      <c r="I559" s="14" t="str">
        <f>I558</f>
        <v>LO</v>
      </c>
      <c r="J559" s="14"/>
      <c r="K559" s="15">
        <f>-ROUNDDOWN(SUMIFS('COM RESID'!$O:$O,'COM RESID'!$H:$H,$E559,'COM RESID'!$I:$I,$F559)/SUMIFS('COM RESID'!$O:$O,'COM RESID'!$I:$I,$F559),3)*O559</f>
        <v>0</v>
      </c>
      <c r="L559" s="14"/>
      <c r="M559" s="14"/>
      <c r="N559" s="10"/>
      <c r="O559" s="20">
        <v>0.2</v>
      </c>
      <c r="Q559" s="11" t="str">
        <f t="shared" si="160"/>
        <v>*</v>
      </c>
      <c r="R559" s="12"/>
      <c r="S559" s="13" t="str">
        <f t="shared" si="162"/>
        <v>COMFOI</v>
      </c>
      <c r="T559" s="13" t="str">
        <f t="shared" si="163"/>
        <v>COMMUNOldCKEUE</v>
      </c>
      <c r="U559" s="13" t="str">
        <f t="shared" si="164"/>
        <v>COMMUNOldCKEUE</v>
      </c>
      <c r="V559" s="14">
        <v>2030</v>
      </c>
      <c r="W559" s="14" t="str">
        <f>W558</f>
        <v>UP</v>
      </c>
      <c r="X559" s="14"/>
      <c r="Y559" s="15">
        <f>-ROUNDUP(MIN(SUMIFS('COM RESID'!$O:$O,'COM RESID'!$H:$H,$E559,'COM RESID'!$I:$I,$F559)/SUMIFS('COM RESID'!$O:$O,'COM RESID'!$I:$I,$F559)*AC559,1),3)</f>
        <v>0</v>
      </c>
      <c r="Z559" s="14"/>
      <c r="AA559" s="14"/>
      <c r="AB559" s="10"/>
      <c r="AC559" s="20">
        <f>IF(S559="COMELC",IF(SUMIFS('COM RESID'!$O:$O,'COM RESID'!$H:$H,$E559,'COM RESID'!$I:$I,$F559)/SUMIFS('COM RESID'!$O:$O,'COM RESID'!$I:$I,$F559)*1.5&lt;0.5,0.5/(SUMIFS('COM RESID'!$O:$O,'COM RESID'!$H:$H,$E559,'COM RESID'!$I:$I,$F559)/SUMIFS('COM RESID'!$O:$O,'COM RESID'!$I:$I,$F559)),1.5),IF(ISNUMBER(SEARCH("WHEUE",T558)),IF(OR(S558="COMNGA",S558="COMFOI"),0.9,1.5),1.5))</f>
        <v>1.5</v>
      </c>
    </row>
    <row r="560" spans="1:29" x14ac:dyDescent="0.25">
      <c r="A560" s="26">
        <f>A559</f>
        <v>139</v>
      </c>
      <c r="B560" s="26"/>
      <c r="C560" s="21" t="str">
        <f>IF(C559="*",C559,"")</f>
        <v>*</v>
      </c>
      <c r="D560" s="22"/>
      <c r="E560" s="23" t="str">
        <f t="shared" si="174"/>
        <v>COMFOI</v>
      </c>
      <c r="F560" s="23" t="str">
        <f t="shared" si="174"/>
        <v>COMMUNOldCKEUE</v>
      </c>
      <c r="G560" s="23" t="str">
        <f t="shared" si="174"/>
        <v>COMMUNOldCKEUE</v>
      </c>
      <c r="H560" s="24">
        <v>2050</v>
      </c>
      <c r="I560" s="24" t="str">
        <f>I559</f>
        <v>LO</v>
      </c>
      <c r="J560" s="24"/>
      <c r="K560" s="25">
        <f>-ROUNDDOWN(SUMIFS('COM RESID'!$O:$O,'COM RESID'!$H:$H,$E560,'COM RESID'!$I:$I,$F560)/SUMIFS('COM RESID'!$O:$O,'COM RESID'!$I:$I,$F560),3)*O560</f>
        <v>0</v>
      </c>
      <c r="L560" s="24"/>
      <c r="M560" s="24"/>
      <c r="N560" s="26"/>
      <c r="O560" s="27">
        <v>0</v>
      </c>
      <c r="Q560" s="21" t="str">
        <f t="shared" si="160"/>
        <v>*</v>
      </c>
      <c r="R560" s="22"/>
      <c r="S560" s="23" t="str">
        <f t="shared" si="162"/>
        <v>COMFOI</v>
      </c>
      <c r="T560" s="23" t="str">
        <f t="shared" si="163"/>
        <v>COMMUNOldCKEUE</v>
      </c>
      <c r="U560" s="23" t="str">
        <f t="shared" si="164"/>
        <v>COMMUNOldCKEUE</v>
      </c>
      <c r="V560" s="24">
        <v>2050</v>
      </c>
      <c r="W560" s="24" t="str">
        <f>W559</f>
        <v>UP</v>
      </c>
      <c r="X560" s="24"/>
      <c r="Y560" s="25">
        <f>-ROUNDUP(MIN(SUMIFS('COM RESID'!$O:$O,'COM RESID'!$H:$H,$E560,'COM RESID'!$I:$I,$F560)/SUMIFS('COM RESID'!$O:$O,'COM RESID'!$I:$I,$F560)*AC560,1),3)</f>
        <v>0</v>
      </c>
      <c r="Z560" s="24"/>
      <c r="AA560" s="24"/>
      <c r="AB560" s="26"/>
      <c r="AC560" s="27">
        <f>IF(S560="COMELC",IF(SUMIFS('COM RESID'!$O:$O,'COM RESID'!$H:$H,$E560,'COM RESID'!$I:$I,$F560)/SUMIFS('COM RESID'!$O:$O,'COM RESID'!$I:$I,$F560)*3&lt;1,1/(SUMIFS('COM RESID'!$O:$O,'COM RESID'!$H:$H,$E560,'COM RESID'!$I:$I,$F560)/SUMIFS('COM RESID'!$O:$O,'COM RESID'!$I:$I,$F560)),3),IF(ISNUMBER(SEARCH("WHEUE",T558)),IF(OR(S558="COMNGA",S558="COMFOI"),0.75,3),3))</f>
        <v>3</v>
      </c>
    </row>
    <row r="561" spans="1:29" x14ac:dyDescent="0.25">
      <c r="A561" s="19">
        <f>A557+1</f>
        <v>140</v>
      </c>
      <c r="B561" s="10"/>
      <c r="C561" s="11" t="str">
        <f>IF(E561="","",IF(_xlfn.XLOOKUP($A561,Selected_constraint_UC!$A:$A,Selected_constraint_UC!$D:$D)=1,"*",IF(SUMIFS('COM TECH'!$N:$N,'COM TECH'!$K:$K,E561,'COM TECH'!$L:$L,F561)=0,"*",IF(SUMIFS('COM RESID'!$O:$O,'COM RESID'!$H:$H,$E561,'COM RESID'!$I:$I,$F561)=0,"*","UC_MarketShare_"&amp;LEFT(F561,LEN(F561)-3)&amp;"_"&amp;RIGHT(E561,3)&amp;"_MIN"))))</f>
        <v>*</v>
      </c>
      <c r="D561" s="12"/>
      <c r="E561" s="13" t="str">
        <f>_xlfn.XLOOKUP($A561,Selected_constraint_UC!$A:$A,Selected_constraint_UC!$B:$B)</f>
        <v>COMNGA</v>
      </c>
      <c r="F561" s="13" t="str">
        <f>_xlfn.XLOOKUP($A561,Selected_constraint_UC!$A:$A,Selected_constraint_UC!$C:$C)</f>
        <v>COMMUNOldCKEUE</v>
      </c>
      <c r="G561" s="13" t="str">
        <f>F561</f>
        <v>COMMUNOldCKEUE</v>
      </c>
      <c r="H561" s="14">
        <v>2019</v>
      </c>
      <c r="I561" s="14" t="s">
        <v>3848</v>
      </c>
      <c r="J561" s="14">
        <v>1</v>
      </c>
      <c r="K561" s="15">
        <f>-ROUNDDOWN(SUMIFS('COM RESID'!$O:$O,'COM RESID'!$H:$H,$E561,'COM RESID'!$I:$I,$F561)/SUMIFS('COM RESID'!$O:$O,'COM RESID'!$I:$I,$F561),3)*O561</f>
        <v>-0.73892000000000002</v>
      </c>
      <c r="L561" s="14">
        <v>0</v>
      </c>
      <c r="M561" s="14">
        <v>5</v>
      </c>
      <c r="N561" s="10"/>
      <c r="O561" s="20">
        <v>0.98</v>
      </c>
      <c r="Q561" s="11" t="str">
        <f t="shared" si="160"/>
        <v>*</v>
      </c>
      <c r="R561" s="12"/>
      <c r="S561" s="13" t="str">
        <f t="shared" si="162"/>
        <v>COMNGA</v>
      </c>
      <c r="T561" s="13" t="str">
        <f t="shared" si="163"/>
        <v>COMMUNOldCKEUE</v>
      </c>
      <c r="U561" s="13" t="str">
        <f t="shared" si="164"/>
        <v>COMMUNOldCKEUE</v>
      </c>
      <c r="V561" s="14">
        <v>2019</v>
      </c>
      <c r="W561" s="14" t="s">
        <v>3849</v>
      </c>
      <c r="X561" s="14">
        <v>1</v>
      </c>
      <c r="Y561" s="15">
        <f>-ROUNDUP(MIN(SUMIFS('COM RESID'!$O:$O,'COM RESID'!$H:$H,$E561,'COM RESID'!$I:$I,$F561)/SUMIFS('COM RESID'!$O:$O,'COM RESID'!$I:$I,$F561)*AC561,1),3)</f>
        <v>-0.77</v>
      </c>
      <c r="Z561" s="14">
        <v>0</v>
      </c>
      <c r="AA561" s="14">
        <v>5</v>
      </c>
      <c r="AB561" s="10"/>
      <c r="AC561" s="20">
        <v>1.02</v>
      </c>
    </row>
    <row r="562" spans="1:29" x14ac:dyDescent="0.25">
      <c r="A562" s="10">
        <f>A561</f>
        <v>140</v>
      </c>
      <c r="B562" s="10"/>
      <c r="C562" s="11" t="str">
        <f>IF(C561="*",C561,"")</f>
        <v>*</v>
      </c>
      <c r="D562" s="12"/>
      <c r="E562" s="13" t="str">
        <f t="shared" ref="E562:G564" si="175">E561</f>
        <v>COMNGA</v>
      </c>
      <c r="F562" s="13" t="str">
        <f t="shared" si="175"/>
        <v>COMMUNOldCKEUE</v>
      </c>
      <c r="G562" s="13" t="str">
        <f t="shared" si="175"/>
        <v>COMMUNOldCKEUE</v>
      </c>
      <c r="H562" s="14">
        <v>2025</v>
      </c>
      <c r="I562" s="14" t="str">
        <f>I561</f>
        <v>LO</v>
      </c>
      <c r="J562" s="14"/>
      <c r="K562" s="15">
        <f>-ROUNDDOWN(SUMIFS('COM RESID'!$O:$O,'COM RESID'!$H:$H,$E562,'COM RESID'!$I:$I,$F562)/SUMIFS('COM RESID'!$O:$O,'COM RESID'!$I:$I,$F562),3)*O562</f>
        <v>-0.60320000000000007</v>
      </c>
      <c r="L562" s="14"/>
      <c r="M562" s="14"/>
      <c r="N562" s="10"/>
      <c r="O562" s="20">
        <v>0.8</v>
      </c>
      <c r="Q562" s="11" t="str">
        <f t="shared" si="160"/>
        <v>*</v>
      </c>
      <c r="R562" s="12"/>
      <c r="S562" s="13" t="str">
        <f t="shared" si="162"/>
        <v>COMNGA</v>
      </c>
      <c r="T562" s="13" t="str">
        <f t="shared" si="163"/>
        <v>COMMUNOldCKEUE</v>
      </c>
      <c r="U562" s="13" t="str">
        <f t="shared" si="164"/>
        <v>COMMUNOldCKEUE</v>
      </c>
      <c r="V562" s="14">
        <v>2025</v>
      </c>
      <c r="W562" s="14" t="str">
        <f>W561</f>
        <v>UP</v>
      </c>
      <c r="X562" s="14"/>
      <c r="Y562" s="15">
        <f>-ROUNDUP(MIN(SUMIFS('COM RESID'!$O:$O,'COM RESID'!$H:$H,$E562,'COM RESID'!$I:$I,$F562)/SUMIFS('COM RESID'!$O:$O,'COM RESID'!$I:$I,$F562)*AC562,1),3)</f>
        <v>-0.90600000000000003</v>
      </c>
      <c r="Z562" s="14"/>
      <c r="AA562" s="14"/>
      <c r="AB562" s="10"/>
      <c r="AC562" s="20">
        <f>IF(S562="COMELC",IF(SUMIFS('COM RESID'!$O:$O,'COM RESID'!$H:$H,$E562,'COM RESID'!$I:$I,$F562)/SUMIFS('COM RESID'!$O:$O,'COM RESID'!$I:$I,$F562)*1.2&lt;0.25,0.25/(SUMIFS('COM RESID'!$O:$O,'COM RESID'!$H:$H,$E562,'COM RESID'!$I:$I,$F562)/SUMIFS('COM RESID'!$O:$O,'COM RESID'!$I:$I,$F562)),1.2),IF(ISNUMBER(SEARCH("WHEUE",T562)),IF(OR(S562="COMNGA",S562="COMFOI"),1,1.2),1.2))</f>
        <v>1.2</v>
      </c>
    </row>
    <row r="563" spans="1:29" x14ac:dyDescent="0.25">
      <c r="A563" s="10">
        <f>A562</f>
        <v>140</v>
      </c>
      <c r="B563" s="10"/>
      <c r="C563" s="11" t="str">
        <f>IF(C562="*",C562,"")</f>
        <v>*</v>
      </c>
      <c r="D563" s="12"/>
      <c r="E563" s="13" t="str">
        <f t="shared" si="175"/>
        <v>COMNGA</v>
      </c>
      <c r="F563" s="13" t="str">
        <f t="shared" si="175"/>
        <v>COMMUNOldCKEUE</v>
      </c>
      <c r="G563" s="13" t="str">
        <f t="shared" si="175"/>
        <v>COMMUNOldCKEUE</v>
      </c>
      <c r="H563" s="14">
        <v>2030</v>
      </c>
      <c r="I563" s="14" t="str">
        <f>I562</f>
        <v>LO</v>
      </c>
      <c r="J563" s="14"/>
      <c r="K563" s="15">
        <f>-ROUNDDOWN(SUMIFS('COM RESID'!$O:$O,'COM RESID'!$H:$H,$E563,'COM RESID'!$I:$I,$F563)/SUMIFS('COM RESID'!$O:$O,'COM RESID'!$I:$I,$F563),3)*O563</f>
        <v>-0.15080000000000002</v>
      </c>
      <c r="L563" s="14"/>
      <c r="M563" s="14"/>
      <c r="N563" s="10"/>
      <c r="O563" s="20">
        <v>0.2</v>
      </c>
      <c r="Q563" s="11" t="str">
        <f t="shared" si="160"/>
        <v>*</v>
      </c>
      <c r="R563" s="12"/>
      <c r="S563" s="13" t="str">
        <f t="shared" si="162"/>
        <v>COMNGA</v>
      </c>
      <c r="T563" s="13" t="str">
        <f t="shared" si="163"/>
        <v>COMMUNOldCKEUE</v>
      </c>
      <c r="U563" s="13" t="str">
        <f t="shared" si="164"/>
        <v>COMMUNOldCKEUE</v>
      </c>
      <c r="V563" s="14">
        <v>2030</v>
      </c>
      <c r="W563" s="14" t="str">
        <f>W562</f>
        <v>UP</v>
      </c>
      <c r="X563" s="14"/>
      <c r="Y563" s="15">
        <f>-ROUNDUP(MIN(SUMIFS('COM RESID'!$O:$O,'COM RESID'!$H:$H,$E563,'COM RESID'!$I:$I,$F563)/SUMIFS('COM RESID'!$O:$O,'COM RESID'!$I:$I,$F563)*AC563,1),3)</f>
        <v>-1</v>
      </c>
      <c r="Z563" s="14"/>
      <c r="AA563" s="14"/>
      <c r="AB563" s="10"/>
      <c r="AC563" s="20">
        <f>IF(S563="COMELC",IF(SUMIFS('COM RESID'!$O:$O,'COM RESID'!$H:$H,$E563,'COM RESID'!$I:$I,$F563)/SUMIFS('COM RESID'!$O:$O,'COM RESID'!$I:$I,$F563)*1.5&lt;0.5,0.5/(SUMIFS('COM RESID'!$O:$O,'COM RESID'!$H:$H,$E563,'COM RESID'!$I:$I,$F563)/SUMIFS('COM RESID'!$O:$O,'COM RESID'!$I:$I,$F563)),1.5),IF(ISNUMBER(SEARCH("WHEUE",T562)),IF(OR(S562="COMNGA",S562="COMFOI"),0.9,1.5),1.5))</f>
        <v>1.5</v>
      </c>
    </row>
    <row r="564" spans="1:29" x14ac:dyDescent="0.25">
      <c r="A564" s="26">
        <f>A563</f>
        <v>140</v>
      </c>
      <c r="B564" s="26"/>
      <c r="C564" s="21" t="str">
        <f>IF(C563="*",C563,"")</f>
        <v>*</v>
      </c>
      <c r="D564" s="22"/>
      <c r="E564" s="23" t="str">
        <f t="shared" si="175"/>
        <v>COMNGA</v>
      </c>
      <c r="F564" s="23" t="str">
        <f t="shared" si="175"/>
        <v>COMMUNOldCKEUE</v>
      </c>
      <c r="G564" s="23" t="str">
        <f t="shared" si="175"/>
        <v>COMMUNOldCKEUE</v>
      </c>
      <c r="H564" s="24">
        <v>2050</v>
      </c>
      <c r="I564" s="24" t="str">
        <f>I563</f>
        <v>LO</v>
      </c>
      <c r="J564" s="24"/>
      <c r="K564" s="25">
        <f>-ROUNDDOWN(SUMIFS('COM RESID'!$O:$O,'COM RESID'!$H:$H,$E564,'COM RESID'!$I:$I,$F564)/SUMIFS('COM RESID'!$O:$O,'COM RESID'!$I:$I,$F564),3)*O564</f>
        <v>0</v>
      </c>
      <c r="L564" s="24"/>
      <c r="M564" s="24"/>
      <c r="N564" s="26"/>
      <c r="O564" s="27">
        <v>0</v>
      </c>
      <c r="Q564" s="21" t="str">
        <f t="shared" si="160"/>
        <v>*</v>
      </c>
      <c r="R564" s="22"/>
      <c r="S564" s="23" t="str">
        <f t="shared" si="162"/>
        <v>COMNGA</v>
      </c>
      <c r="T564" s="23" t="str">
        <f t="shared" si="163"/>
        <v>COMMUNOldCKEUE</v>
      </c>
      <c r="U564" s="23" t="str">
        <f t="shared" si="164"/>
        <v>COMMUNOldCKEUE</v>
      </c>
      <c r="V564" s="24">
        <v>2050</v>
      </c>
      <c r="W564" s="24" t="str">
        <f>W563</f>
        <v>UP</v>
      </c>
      <c r="X564" s="24"/>
      <c r="Y564" s="25">
        <f>-ROUNDUP(MIN(SUMIFS('COM RESID'!$O:$O,'COM RESID'!$H:$H,$E564,'COM RESID'!$I:$I,$F564)/SUMIFS('COM RESID'!$O:$O,'COM RESID'!$I:$I,$F564)*AC564,1),3)</f>
        <v>-1</v>
      </c>
      <c r="Z564" s="24"/>
      <c r="AA564" s="24"/>
      <c r="AB564" s="26"/>
      <c r="AC564" s="27">
        <f>IF(S564="COMELC",IF(SUMIFS('COM RESID'!$O:$O,'COM RESID'!$H:$H,$E564,'COM RESID'!$I:$I,$F564)/SUMIFS('COM RESID'!$O:$O,'COM RESID'!$I:$I,$F564)*3&lt;1,1/(SUMIFS('COM RESID'!$O:$O,'COM RESID'!$H:$H,$E564,'COM RESID'!$I:$I,$F564)/SUMIFS('COM RESID'!$O:$O,'COM RESID'!$I:$I,$F564)),3),IF(ISNUMBER(SEARCH("WHEUE",T562)),IF(OR(S562="COMNGA",S562="COMFOI"),0.75,3),3))</f>
        <v>3</v>
      </c>
    </row>
    <row r="565" spans="1:29" x14ac:dyDescent="0.25">
      <c r="A565" s="19">
        <f>A561+1</f>
        <v>141</v>
      </c>
      <c r="B565" s="10"/>
      <c r="C565" s="11" t="str">
        <f>IF(E565="","",IF(_xlfn.XLOOKUP($A565,Selected_constraint_UC!$A:$A,Selected_constraint_UC!$D:$D)=1,"*",IF(SUMIFS('COM TECH'!$N:$N,'COM TECH'!$K:$K,E565,'COM TECH'!$L:$L,F565)=0,"*",IF(SUMIFS('COM RESID'!$O:$O,'COM RESID'!$H:$H,$E565,'COM RESID'!$I:$I,$F565)=0,"*","UC_MarketShare_"&amp;LEFT(F565,LEN(F565)-3)&amp;"_"&amp;RIGHT(E565,3)&amp;"_MIN"))))</f>
        <v>*</v>
      </c>
      <c r="D565" s="12"/>
      <c r="E565" s="13" t="str">
        <f>_xlfn.XLOOKUP($A565,Selected_constraint_UC!$A:$A,Selected_constraint_UC!$B:$B)</f>
        <v>COMSTM</v>
      </c>
      <c r="F565" s="13" t="str">
        <f>_xlfn.XLOOKUP($A565,Selected_constraint_UC!$A:$A,Selected_constraint_UC!$C:$C)</f>
        <v>COMMUNOldCKEUE</v>
      </c>
      <c r="G565" s="13" t="str">
        <f>F565</f>
        <v>COMMUNOldCKEUE</v>
      </c>
      <c r="H565" s="14">
        <v>2019</v>
      </c>
      <c r="I565" s="14" t="s">
        <v>3848</v>
      </c>
      <c r="J565" s="14">
        <v>1</v>
      </c>
      <c r="K565" s="15">
        <f>-ROUNDDOWN(SUMIFS('COM RESID'!$O:$O,'COM RESID'!$H:$H,$E565,'COM RESID'!$I:$I,$F565)/SUMIFS('COM RESID'!$O:$O,'COM RESID'!$I:$I,$F565),3)*O565</f>
        <v>0</v>
      </c>
      <c r="L565" s="14">
        <v>0</v>
      </c>
      <c r="M565" s="14">
        <v>5</v>
      </c>
      <c r="N565" s="10"/>
      <c r="O565" s="20">
        <v>0.98</v>
      </c>
      <c r="Q565" s="11" t="str">
        <f t="shared" si="160"/>
        <v>*</v>
      </c>
      <c r="R565" s="12"/>
      <c r="S565" s="13" t="str">
        <f t="shared" si="162"/>
        <v>COMSTM</v>
      </c>
      <c r="T565" s="13" t="str">
        <f t="shared" si="163"/>
        <v>COMMUNOldCKEUE</v>
      </c>
      <c r="U565" s="13" t="str">
        <f t="shared" si="164"/>
        <v>COMMUNOldCKEUE</v>
      </c>
      <c r="V565" s="14">
        <v>2019</v>
      </c>
      <c r="W565" s="14" t="s">
        <v>3849</v>
      </c>
      <c r="X565" s="14">
        <v>1</v>
      </c>
      <c r="Y565" s="15">
        <f>-ROUNDUP(MIN(SUMIFS('COM RESID'!$O:$O,'COM RESID'!$H:$H,$E565,'COM RESID'!$I:$I,$F565)/SUMIFS('COM RESID'!$O:$O,'COM RESID'!$I:$I,$F565)*AC565,1),3)</f>
        <v>-1E-3</v>
      </c>
      <c r="Z565" s="14">
        <v>0</v>
      </c>
      <c r="AA565" s="14">
        <v>5</v>
      </c>
      <c r="AB565" s="10"/>
      <c r="AC565" s="20">
        <v>1.02</v>
      </c>
    </row>
    <row r="566" spans="1:29" x14ac:dyDescent="0.25">
      <c r="A566" s="10">
        <f>A565</f>
        <v>141</v>
      </c>
      <c r="B566" s="10"/>
      <c r="C566" s="11" t="str">
        <f>IF(C565="*",C565,"")</f>
        <v>*</v>
      </c>
      <c r="D566" s="12"/>
      <c r="E566" s="13" t="str">
        <f t="shared" ref="E566:G568" si="176">E565</f>
        <v>COMSTM</v>
      </c>
      <c r="F566" s="13" t="str">
        <f t="shared" si="176"/>
        <v>COMMUNOldCKEUE</v>
      </c>
      <c r="G566" s="13" t="str">
        <f t="shared" si="176"/>
        <v>COMMUNOldCKEUE</v>
      </c>
      <c r="H566" s="14">
        <v>2025</v>
      </c>
      <c r="I566" s="14" t="str">
        <f>I565</f>
        <v>LO</v>
      </c>
      <c r="J566" s="14"/>
      <c r="K566" s="15">
        <f>-ROUNDDOWN(SUMIFS('COM RESID'!$O:$O,'COM RESID'!$H:$H,$E566,'COM RESID'!$I:$I,$F566)/SUMIFS('COM RESID'!$O:$O,'COM RESID'!$I:$I,$F566),3)*O566</f>
        <v>0</v>
      </c>
      <c r="L566" s="14"/>
      <c r="M566" s="14"/>
      <c r="N566" s="10"/>
      <c r="O566" s="20">
        <v>0.8</v>
      </c>
      <c r="Q566" s="11" t="str">
        <f t="shared" si="160"/>
        <v>*</v>
      </c>
      <c r="R566" s="12"/>
      <c r="S566" s="13" t="str">
        <f t="shared" si="162"/>
        <v>COMSTM</v>
      </c>
      <c r="T566" s="13" t="str">
        <f t="shared" si="163"/>
        <v>COMMUNOldCKEUE</v>
      </c>
      <c r="U566" s="13" t="str">
        <f t="shared" si="164"/>
        <v>COMMUNOldCKEUE</v>
      </c>
      <c r="V566" s="14">
        <v>2025</v>
      </c>
      <c r="W566" s="14" t="str">
        <f>W565</f>
        <v>UP</v>
      </c>
      <c r="X566" s="14"/>
      <c r="Y566" s="15">
        <f>-ROUNDUP(MIN(SUMIFS('COM RESID'!$O:$O,'COM RESID'!$H:$H,$E566,'COM RESID'!$I:$I,$F566)/SUMIFS('COM RESID'!$O:$O,'COM RESID'!$I:$I,$F566)*AC566,1),3)</f>
        <v>-1E-3</v>
      </c>
      <c r="Z566" s="14"/>
      <c r="AA566" s="14"/>
      <c r="AB566" s="10"/>
      <c r="AC566" s="20">
        <f>IF(S566="COMELC",IF(SUMIFS('COM RESID'!$O:$O,'COM RESID'!$H:$H,$E566,'COM RESID'!$I:$I,$F566)/SUMIFS('COM RESID'!$O:$O,'COM RESID'!$I:$I,$F566)*1.2&lt;0.25,0.25/(SUMIFS('COM RESID'!$O:$O,'COM RESID'!$H:$H,$E566,'COM RESID'!$I:$I,$F566)/SUMIFS('COM RESID'!$O:$O,'COM RESID'!$I:$I,$F566)),1.2),IF(ISNUMBER(SEARCH("WHEUE",T566)),IF(OR(S566="COMNGA",S566="COMFOI"),1,1.2),1.2))</f>
        <v>1.2</v>
      </c>
    </row>
    <row r="567" spans="1:29" x14ac:dyDescent="0.25">
      <c r="A567" s="10">
        <f>A566</f>
        <v>141</v>
      </c>
      <c r="B567" s="10"/>
      <c r="C567" s="11" t="str">
        <f>IF(C566="*",C566,"")</f>
        <v>*</v>
      </c>
      <c r="D567" s="12"/>
      <c r="E567" s="13" t="str">
        <f t="shared" si="176"/>
        <v>COMSTM</v>
      </c>
      <c r="F567" s="13" t="str">
        <f t="shared" si="176"/>
        <v>COMMUNOldCKEUE</v>
      </c>
      <c r="G567" s="13" t="str">
        <f t="shared" si="176"/>
        <v>COMMUNOldCKEUE</v>
      </c>
      <c r="H567" s="14">
        <v>2030</v>
      </c>
      <c r="I567" s="14" t="str">
        <f>I566</f>
        <v>LO</v>
      </c>
      <c r="J567" s="14"/>
      <c r="K567" s="15">
        <f>-ROUNDDOWN(SUMIFS('COM RESID'!$O:$O,'COM RESID'!$H:$H,$E567,'COM RESID'!$I:$I,$F567)/SUMIFS('COM RESID'!$O:$O,'COM RESID'!$I:$I,$F567),3)*O567</f>
        <v>0</v>
      </c>
      <c r="L567" s="14"/>
      <c r="M567" s="14"/>
      <c r="N567" s="10"/>
      <c r="O567" s="20">
        <v>0.2</v>
      </c>
      <c r="Q567" s="11" t="str">
        <f t="shared" si="160"/>
        <v>*</v>
      </c>
      <c r="R567" s="12"/>
      <c r="S567" s="13" t="str">
        <f t="shared" si="162"/>
        <v>COMSTM</v>
      </c>
      <c r="T567" s="13" t="str">
        <f t="shared" si="163"/>
        <v>COMMUNOldCKEUE</v>
      </c>
      <c r="U567" s="13" t="str">
        <f t="shared" si="164"/>
        <v>COMMUNOldCKEUE</v>
      </c>
      <c r="V567" s="14">
        <v>2030</v>
      </c>
      <c r="W567" s="14" t="str">
        <f>W566</f>
        <v>UP</v>
      </c>
      <c r="X567" s="14"/>
      <c r="Y567" s="15">
        <f>-ROUNDUP(MIN(SUMIFS('COM RESID'!$O:$O,'COM RESID'!$H:$H,$E567,'COM RESID'!$I:$I,$F567)/SUMIFS('COM RESID'!$O:$O,'COM RESID'!$I:$I,$F567)*AC567,1),3)</f>
        <v>-2E-3</v>
      </c>
      <c r="Z567" s="14"/>
      <c r="AA567" s="14"/>
      <c r="AB567" s="10"/>
      <c r="AC567" s="20">
        <f>IF(S567="COMELC",IF(SUMIFS('COM RESID'!$O:$O,'COM RESID'!$H:$H,$E567,'COM RESID'!$I:$I,$F567)/SUMIFS('COM RESID'!$O:$O,'COM RESID'!$I:$I,$F567)*1.5&lt;0.5,0.5/(SUMIFS('COM RESID'!$O:$O,'COM RESID'!$H:$H,$E567,'COM RESID'!$I:$I,$F567)/SUMIFS('COM RESID'!$O:$O,'COM RESID'!$I:$I,$F567)),1.5),IF(ISNUMBER(SEARCH("WHEUE",T566)),IF(OR(S566="COMNGA",S566="COMFOI"),0.9,1.5),1.5))</f>
        <v>1.5</v>
      </c>
    </row>
    <row r="568" spans="1:29" x14ac:dyDescent="0.25">
      <c r="A568" s="26">
        <f>A567</f>
        <v>141</v>
      </c>
      <c r="B568" s="26"/>
      <c r="C568" s="21" t="str">
        <f>IF(C567="*",C567,"")</f>
        <v>*</v>
      </c>
      <c r="D568" s="22"/>
      <c r="E568" s="23" t="str">
        <f t="shared" si="176"/>
        <v>COMSTM</v>
      </c>
      <c r="F568" s="23" t="str">
        <f t="shared" si="176"/>
        <v>COMMUNOldCKEUE</v>
      </c>
      <c r="G568" s="23" t="str">
        <f t="shared" si="176"/>
        <v>COMMUNOldCKEUE</v>
      </c>
      <c r="H568" s="24">
        <v>2050</v>
      </c>
      <c r="I568" s="24" t="str">
        <f>I567</f>
        <v>LO</v>
      </c>
      <c r="J568" s="24"/>
      <c r="K568" s="25">
        <f>-ROUNDDOWN(SUMIFS('COM RESID'!$O:$O,'COM RESID'!$H:$H,$E568,'COM RESID'!$I:$I,$F568)/SUMIFS('COM RESID'!$O:$O,'COM RESID'!$I:$I,$F568),3)*O568</f>
        <v>0</v>
      </c>
      <c r="L568" s="24"/>
      <c r="M568" s="24"/>
      <c r="N568" s="26"/>
      <c r="O568" s="27">
        <v>0</v>
      </c>
      <c r="Q568" s="21" t="str">
        <f t="shared" si="160"/>
        <v>*</v>
      </c>
      <c r="R568" s="22"/>
      <c r="S568" s="23" t="str">
        <f t="shared" si="162"/>
        <v>COMSTM</v>
      </c>
      <c r="T568" s="23" t="str">
        <f t="shared" si="163"/>
        <v>COMMUNOldCKEUE</v>
      </c>
      <c r="U568" s="23" t="str">
        <f t="shared" si="164"/>
        <v>COMMUNOldCKEUE</v>
      </c>
      <c r="V568" s="24">
        <v>2050</v>
      </c>
      <c r="W568" s="24" t="str">
        <f>W567</f>
        <v>UP</v>
      </c>
      <c r="X568" s="24"/>
      <c r="Y568" s="25">
        <f>-ROUNDUP(MIN(SUMIFS('COM RESID'!$O:$O,'COM RESID'!$H:$H,$E568,'COM RESID'!$I:$I,$F568)/SUMIFS('COM RESID'!$O:$O,'COM RESID'!$I:$I,$F568)*AC568,1),3)</f>
        <v>-3.0000000000000001E-3</v>
      </c>
      <c r="Z568" s="24"/>
      <c r="AA568" s="24"/>
      <c r="AB568" s="26"/>
      <c r="AC568" s="27">
        <f>IF(S568="COMELC",IF(SUMIFS('COM RESID'!$O:$O,'COM RESID'!$H:$H,$E568,'COM RESID'!$I:$I,$F568)/SUMIFS('COM RESID'!$O:$O,'COM RESID'!$I:$I,$F568)*3&lt;1,1/(SUMIFS('COM RESID'!$O:$O,'COM RESID'!$H:$H,$E568,'COM RESID'!$I:$I,$F568)/SUMIFS('COM RESID'!$O:$O,'COM RESID'!$I:$I,$F568)),3),IF(ISNUMBER(SEARCH("WHEUE",T566)),IF(OR(S566="COMNGA",S566="COMFOI"),0.75,3),3))</f>
        <v>3</v>
      </c>
    </row>
    <row r="569" spans="1:29" x14ac:dyDescent="0.25">
      <c r="A569" s="19">
        <f>A565+1</f>
        <v>142</v>
      </c>
      <c r="B569" s="10"/>
      <c r="C569" s="11" t="str">
        <f>IF(E569="","",IF(_xlfn.XLOOKUP($A569,Selected_constraint_UC!$A:$A,Selected_constraint_UC!$D:$D)=1,"*",IF(SUMIFS('COM TECH'!$N:$N,'COM TECH'!$K:$K,E569,'COM TECH'!$L:$L,F569)=0,"*",IF(SUMIFS('COM RESID'!$O:$O,'COM RESID'!$H:$H,$E569,'COM RESID'!$I:$I,$F569)=0,"*","UC_MarketShare_"&amp;LEFT(F569,LEN(F569)-3)&amp;"_"&amp;RIGHT(E569,3)&amp;"_MIN"))))</f>
        <v>*</v>
      </c>
      <c r="D569" s="12"/>
      <c r="E569" s="13" t="str">
        <f>_xlfn.XLOOKUP($A569,Selected_constraint_UC!$A:$A,Selected_constraint_UC!$B:$B)</f>
        <v>COMELC</v>
      </c>
      <c r="F569" s="13" t="str">
        <f>_xlfn.XLOOKUP($A569,Selected_constraint_UC!$A:$A,Selected_constraint_UC!$C:$C)</f>
        <v>COMMUNOldCKEUE</v>
      </c>
      <c r="G569" s="13" t="str">
        <f>F569</f>
        <v>COMMUNOldCKEUE</v>
      </c>
      <c r="H569" s="14">
        <v>2019</v>
      </c>
      <c r="I569" s="14" t="s">
        <v>3848</v>
      </c>
      <c r="J569" s="14">
        <v>1</v>
      </c>
      <c r="K569" s="15">
        <f>-ROUNDDOWN(SUMIFS('COM RESID'!$O:$O,'COM RESID'!$H:$H,$E569,'COM RESID'!$I:$I,$F569)/SUMIFS('COM RESID'!$O:$O,'COM RESID'!$I:$I,$F569),3)*O569</f>
        <v>-0.23912</v>
      </c>
      <c r="L569" s="14">
        <v>0</v>
      </c>
      <c r="M569" s="14">
        <v>5</v>
      </c>
      <c r="N569" s="10"/>
      <c r="O569" s="20">
        <v>0.98</v>
      </c>
      <c r="Q569" s="11" t="str">
        <f t="shared" si="160"/>
        <v>*</v>
      </c>
      <c r="R569" s="12"/>
      <c r="S569" s="13" t="str">
        <f t="shared" si="162"/>
        <v>COMELC</v>
      </c>
      <c r="T569" s="13" t="str">
        <f t="shared" si="163"/>
        <v>COMMUNOldCKEUE</v>
      </c>
      <c r="U569" s="13" t="str">
        <f t="shared" si="164"/>
        <v>COMMUNOldCKEUE</v>
      </c>
      <c r="V569" s="14">
        <v>2019</v>
      </c>
      <c r="W569" s="14" t="s">
        <v>3849</v>
      </c>
      <c r="X569" s="14">
        <v>1</v>
      </c>
      <c r="Y569" s="15">
        <f>-ROUNDUP(MIN(SUMIFS('COM RESID'!$O:$O,'COM RESID'!$H:$H,$E569,'COM RESID'!$I:$I,$F569)/SUMIFS('COM RESID'!$O:$O,'COM RESID'!$I:$I,$F569)*AC569,1),3)</f>
        <v>-0.25</v>
      </c>
      <c r="Z569" s="14">
        <v>0</v>
      </c>
      <c r="AA569" s="14">
        <v>5</v>
      </c>
      <c r="AB569" s="10"/>
      <c r="AC569" s="20">
        <v>1.02</v>
      </c>
    </row>
    <row r="570" spans="1:29" x14ac:dyDescent="0.25">
      <c r="A570" s="10">
        <f>A569</f>
        <v>142</v>
      </c>
      <c r="B570" s="10"/>
      <c r="C570" s="11" t="str">
        <f>IF(C569="*",C569,"")</f>
        <v>*</v>
      </c>
      <c r="D570" s="12"/>
      <c r="E570" s="13" t="str">
        <f t="shared" ref="E570:G572" si="177">E569</f>
        <v>COMELC</v>
      </c>
      <c r="F570" s="13" t="str">
        <f t="shared" si="177"/>
        <v>COMMUNOldCKEUE</v>
      </c>
      <c r="G570" s="13" t="str">
        <f t="shared" si="177"/>
        <v>COMMUNOldCKEUE</v>
      </c>
      <c r="H570" s="14">
        <v>2025</v>
      </c>
      <c r="I570" s="14" t="str">
        <f>I569</f>
        <v>LO</v>
      </c>
      <c r="J570" s="14"/>
      <c r="K570" s="15">
        <f>-ROUNDDOWN(SUMIFS('COM RESID'!$O:$O,'COM RESID'!$H:$H,$E570,'COM RESID'!$I:$I,$F570)/SUMIFS('COM RESID'!$O:$O,'COM RESID'!$I:$I,$F570),3)*O570</f>
        <v>-0.19520000000000001</v>
      </c>
      <c r="L570" s="14"/>
      <c r="M570" s="14"/>
      <c r="N570" s="10"/>
      <c r="O570" s="20">
        <v>0.8</v>
      </c>
      <c r="Q570" s="11" t="str">
        <f t="shared" si="160"/>
        <v>*</v>
      </c>
      <c r="R570" s="12"/>
      <c r="S570" s="13" t="str">
        <f t="shared" si="162"/>
        <v>COMELC</v>
      </c>
      <c r="T570" s="13" t="str">
        <f t="shared" si="163"/>
        <v>COMMUNOldCKEUE</v>
      </c>
      <c r="U570" s="13" t="str">
        <f t="shared" si="164"/>
        <v>COMMUNOldCKEUE</v>
      </c>
      <c r="V570" s="14">
        <v>2025</v>
      </c>
      <c r="W570" s="14" t="str">
        <f>W569</f>
        <v>UP</v>
      </c>
      <c r="X570" s="14"/>
      <c r="Y570" s="15">
        <f>-ROUNDUP(MIN(SUMIFS('COM RESID'!$O:$O,'COM RESID'!$H:$H,$E570,'COM RESID'!$I:$I,$F570)/SUMIFS('COM RESID'!$O:$O,'COM RESID'!$I:$I,$F570)*AC570,1),3)</f>
        <v>-0.29399999999999998</v>
      </c>
      <c r="Z570" s="14"/>
      <c r="AA570" s="14"/>
      <c r="AB570" s="10"/>
      <c r="AC570" s="20">
        <f>IF(S570="COMELC",IF(SUMIFS('COM RESID'!$O:$O,'COM RESID'!$H:$H,$E570,'COM RESID'!$I:$I,$F570)/SUMIFS('COM RESID'!$O:$O,'COM RESID'!$I:$I,$F570)*1.2&lt;0.25,0.25/(SUMIFS('COM RESID'!$O:$O,'COM RESID'!$H:$H,$E570,'COM RESID'!$I:$I,$F570)/SUMIFS('COM RESID'!$O:$O,'COM RESID'!$I:$I,$F570)),1.2),IF(ISNUMBER(SEARCH("WHEUE",T570)),IF(OR(S570="COMNGA",S570="COMFOI"),1,1.2),1.2))</f>
        <v>1.2</v>
      </c>
    </row>
    <row r="571" spans="1:29" x14ac:dyDescent="0.25">
      <c r="A571" s="10">
        <f>A570</f>
        <v>142</v>
      </c>
      <c r="B571" s="10"/>
      <c r="C571" s="11" t="str">
        <f>IF(C570="*",C570,"")</f>
        <v>*</v>
      </c>
      <c r="D571" s="12"/>
      <c r="E571" s="13" t="str">
        <f t="shared" si="177"/>
        <v>COMELC</v>
      </c>
      <c r="F571" s="13" t="str">
        <f t="shared" si="177"/>
        <v>COMMUNOldCKEUE</v>
      </c>
      <c r="G571" s="13" t="str">
        <f t="shared" si="177"/>
        <v>COMMUNOldCKEUE</v>
      </c>
      <c r="H571" s="14">
        <v>2030</v>
      </c>
      <c r="I571" s="14" t="str">
        <f>I570</f>
        <v>LO</v>
      </c>
      <c r="J571" s="14"/>
      <c r="K571" s="15">
        <f>-ROUNDDOWN(SUMIFS('COM RESID'!$O:$O,'COM RESID'!$H:$H,$E571,'COM RESID'!$I:$I,$F571)/SUMIFS('COM RESID'!$O:$O,'COM RESID'!$I:$I,$F571),3)*O571</f>
        <v>-4.8800000000000003E-2</v>
      </c>
      <c r="L571" s="14"/>
      <c r="M571" s="14"/>
      <c r="N571" s="10"/>
      <c r="O571" s="20">
        <v>0.2</v>
      </c>
      <c r="Q571" s="11" t="str">
        <f t="shared" si="160"/>
        <v>*</v>
      </c>
      <c r="R571" s="12"/>
      <c r="S571" s="13" t="str">
        <f t="shared" si="162"/>
        <v>COMELC</v>
      </c>
      <c r="T571" s="13" t="str">
        <f t="shared" si="163"/>
        <v>COMMUNOldCKEUE</v>
      </c>
      <c r="U571" s="13" t="str">
        <f t="shared" si="164"/>
        <v>COMMUNOldCKEUE</v>
      </c>
      <c r="V571" s="14">
        <v>2030</v>
      </c>
      <c r="W571" s="14" t="str">
        <f>W570</f>
        <v>UP</v>
      </c>
      <c r="X571" s="14"/>
      <c r="Y571" s="15">
        <f>-ROUNDUP(MIN(SUMIFS('COM RESID'!$O:$O,'COM RESID'!$H:$H,$E571,'COM RESID'!$I:$I,$F571)/SUMIFS('COM RESID'!$O:$O,'COM RESID'!$I:$I,$F571)*AC571,1),3)</f>
        <v>-0.5</v>
      </c>
      <c r="Z571" s="14"/>
      <c r="AA571" s="14"/>
      <c r="AB571" s="10"/>
      <c r="AC571" s="20">
        <f>IF(S571="COMELC",IF(SUMIFS('COM RESID'!$O:$O,'COM RESID'!$H:$H,$E571,'COM RESID'!$I:$I,$F571)/SUMIFS('COM RESID'!$O:$O,'COM RESID'!$I:$I,$F571)*1.5&lt;0.5,0.5/(SUMIFS('COM RESID'!$O:$O,'COM RESID'!$H:$H,$E571,'COM RESID'!$I:$I,$F571)/SUMIFS('COM RESID'!$O:$O,'COM RESID'!$I:$I,$F571)),1.5),IF(ISNUMBER(SEARCH("WHEUE",T570)),IF(OR(S570="COMNGA",S570="COMFOI"),0.9,1.5),1.5))</f>
        <v>2.0442245092694136</v>
      </c>
    </row>
    <row r="572" spans="1:29" x14ac:dyDescent="0.25">
      <c r="A572" s="26">
        <f>A571</f>
        <v>142</v>
      </c>
      <c r="B572" s="26"/>
      <c r="C572" s="21" t="str">
        <f>IF(C571="*",C571,"")</f>
        <v>*</v>
      </c>
      <c r="D572" s="22"/>
      <c r="E572" s="23" t="str">
        <f t="shared" si="177"/>
        <v>COMELC</v>
      </c>
      <c r="F572" s="23" t="str">
        <f t="shared" si="177"/>
        <v>COMMUNOldCKEUE</v>
      </c>
      <c r="G572" s="23" t="str">
        <f t="shared" si="177"/>
        <v>COMMUNOldCKEUE</v>
      </c>
      <c r="H572" s="24">
        <v>2050</v>
      </c>
      <c r="I572" s="24" t="str">
        <f>I571</f>
        <v>LO</v>
      </c>
      <c r="J572" s="24"/>
      <c r="K572" s="25">
        <f>-ROUNDDOWN(SUMIFS('COM RESID'!$O:$O,'COM RESID'!$H:$H,$E572,'COM RESID'!$I:$I,$F572)/SUMIFS('COM RESID'!$O:$O,'COM RESID'!$I:$I,$F572),3)*O572</f>
        <v>0</v>
      </c>
      <c r="L572" s="24"/>
      <c r="M572" s="24"/>
      <c r="N572" s="26"/>
      <c r="O572" s="27">
        <v>0</v>
      </c>
      <c r="Q572" s="21" t="str">
        <f t="shared" si="160"/>
        <v>*</v>
      </c>
      <c r="R572" s="22"/>
      <c r="S572" s="23" t="str">
        <f t="shared" si="162"/>
        <v>COMELC</v>
      </c>
      <c r="T572" s="23" t="str">
        <f t="shared" si="163"/>
        <v>COMMUNOldCKEUE</v>
      </c>
      <c r="U572" s="23" t="str">
        <f t="shared" si="164"/>
        <v>COMMUNOldCKEUE</v>
      </c>
      <c r="V572" s="24">
        <v>2050</v>
      </c>
      <c r="W572" s="24" t="str">
        <f>W571</f>
        <v>UP</v>
      </c>
      <c r="X572" s="24"/>
      <c r="Y572" s="25">
        <f>-ROUNDUP(MIN(SUMIFS('COM RESID'!$O:$O,'COM RESID'!$H:$H,$E572,'COM RESID'!$I:$I,$F572)/SUMIFS('COM RESID'!$O:$O,'COM RESID'!$I:$I,$F572)*AC572,1),3)</f>
        <v>-1</v>
      </c>
      <c r="Z572" s="24"/>
      <c r="AA572" s="24"/>
      <c r="AB572" s="26"/>
      <c r="AC572" s="27">
        <f>IF(S572="COMELC",IF(SUMIFS('COM RESID'!$O:$O,'COM RESID'!$H:$H,$E572,'COM RESID'!$I:$I,$F572)/SUMIFS('COM RESID'!$O:$O,'COM RESID'!$I:$I,$F572)*3&lt;1,1/(SUMIFS('COM RESID'!$O:$O,'COM RESID'!$H:$H,$E572,'COM RESID'!$I:$I,$F572)/SUMIFS('COM RESID'!$O:$O,'COM RESID'!$I:$I,$F572)),3),IF(ISNUMBER(SEARCH("WHEUE",T570)),IF(OR(S570="COMNGA",S570="COMFOI"),0.75,3),3))</f>
        <v>4.0884490185388271</v>
      </c>
    </row>
    <row r="573" spans="1:29" x14ac:dyDescent="0.25">
      <c r="A573" s="19">
        <f>A569+1</f>
        <v>143</v>
      </c>
      <c r="B573" s="10"/>
      <c r="C573" s="11" t="str">
        <f>IF(E573="","",IF(_xlfn.XLOOKUP($A573,Selected_constraint_UC!$A:$A,Selected_constraint_UC!$D:$D)=1,"*",IF(SUMIFS('COM TECH'!$N:$N,'COM TECH'!$K:$K,E573,'COM TECH'!$L:$L,F573)=0,"*",IF(SUMIFS('COM RESID'!$O:$O,'COM RESID'!$H:$H,$E573,'COM RESID'!$I:$I,$F573)=0,"*","UC_MarketShare_"&amp;LEFT(F573,LEN(F573)-3)&amp;"_"&amp;RIGHT(E573,3)&amp;"_MIN"))))</f>
        <v>*</v>
      </c>
      <c r="D573" s="12"/>
      <c r="E573" s="13" t="str">
        <f>_xlfn.XLOOKUP($A573,Selected_constraint_UC!$A:$A,Selected_constraint_UC!$B:$B)</f>
        <v>COMELC</v>
      </c>
      <c r="F573" s="13" t="str">
        <f>_xlfn.XLOOKUP($A573,Selected_constraint_UC!$A:$A,Selected_constraint_UC!$C:$C)</f>
        <v>COMMUNOldREEUE</v>
      </c>
      <c r="G573" s="13" t="str">
        <f>F573</f>
        <v>COMMUNOldREEUE</v>
      </c>
      <c r="H573" s="14">
        <v>2019</v>
      </c>
      <c r="I573" s="14" t="s">
        <v>3848</v>
      </c>
      <c r="J573" s="14">
        <v>1</v>
      </c>
      <c r="K573" s="15">
        <f>-ROUNDDOWN(SUMIFS('COM RESID'!$O:$O,'COM RESID'!$H:$H,$E573,'COM RESID'!$I:$I,$F573)/SUMIFS('COM RESID'!$O:$O,'COM RESID'!$I:$I,$F573),3)*O573</f>
        <v>-0.98</v>
      </c>
      <c r="L573" s="14">
        <v>0</v>
      </c>
      <c r="M573" s="14">
        <v>5</v>
      </c>
      <c r="N573" s="10"/>
      <c r="O573" s="20">
        <v>0.98</v>
      </c>
      <c r="Q573" s="11" t="str">
        <f t="shared" si="160"/>
        <v>*</v>
      </c>
      <c r="R573" s="12"/>
      <c r="S573" s="13" t="str">
        <f t="shared" si="162"/>
        <v>COMELC</v>
      </c>
      <c r="T573" s="13" t="str">
        <f t="shared" si="163"/>
        <v>COMMUNOldREEUE</v>
      </c>
      <c r="U573" s="13" t="str">
        <f t="shared" si="164"/>
        <v>COMMUNOldREEUE</v>
      </c>
      <c r="V573" s="14">
        <v>2019</v>
      </c>
      <c r="W573" s="14" t="s">
        <v>3849</v>
      </c>
      <c r="X573" s="14">
        <v>1</v>
      </c>
      <c r="Y573" s="15">
        <f>-ROUNDUP(MIN(SUMIFS('COM RESID'!$O:$O,'COM RESID'!$H:$H,$E573,'COM RESID'!$I:$I,$F573)/SUMIFS('COM RESID'!$O:$O,'COM RESID'!$I:$I,$F573)*AC573,1),3)</f>
        <v>-1</v>
      </c>
      <c r="Z573" s="14">
        <v>0</v>
      </c>
      <c r="AA573" s="14">
        <v>5</v>
      </c>
      <c r="AB573" s="10"/>
      <c r="AC573" s="20">
        <v>1.02</v>
      </c>
    </row>
    <row r="574" spans="1:29" x14ac:dyDescent="0.25">
      <c r="A574" s="10">
        <f>A573</f>
        <v>143</v>
      </c>
      <c r="B574" s="10"/>
      <c r="C574" s="11" t="str">
        <f>IF(C573="*",C573,"")</f>
        <v>*</v>
      </c>
      <c r="D574" s="12"/>
      <c r="E574" s="13" t="str">
        <f t="shared" ref="E574:G576" si="178">E573</f>
        <v>COMELC</v>
      </c>
      <c r="F574" s="13" t="str">
        <f t="shared" si="178"/>
        <v>COMMUNOldREEUE</v>
      </c>
      <c r="G574" s="13" t="str">
        <f t="shared" si="178"/>
        <v>COMMUNOldREEUE</v>
      </c>
      <c r="H574" s="14">
        <v>2025</v>
      </c>
      <c r="I574" s="14" t="str">
        <f>I573</f>
        <v>LO</v>
      </c>
      <c r="J574" s="14"/>
      <c r="K574" s="15">
        <f>-ROUNDDOWN(SUMIFS('COM RESID'!$O:$O,'COM RESID'!$H:$H,$E574,'COM RESID'!$I:$I,$F574)/SUMIFS('COM RESID'!$O:$O,'COM RESID'!$I:$I,$F574),3)*O574</f>
        <v>-0.8</v>
      </c>
      <c r="L574" s="14"/>
      <c r="M574" s="14"/>
      <c r="N574" s="10"/>
      <c r="O574" s="20">
        <v>0.8</v>
      </c>
      <c r="Q574" s="11" t="str">
        <f t="shared" si="160"/>
        <v>*</v>
      </c>
      <c r="R574" s="12"/>
      <c r="S574" s="13" t="str">
        <f t="shared" si="162"/>
        <v>COMELC</v>
      </c>
      <c r="T574" s="13" t="str">
        <f t="shared" si="163"/>
        <v>COMMUNOldREEUE</v>
      </c>
      <c r="U574" s="13" t="str">
        <f t="shared" si="164"/>
        <v>COMMUNOldREEUE</v>
      </c>
      <c r="V574" s="14">
        <v>2025</v>
      </c>
      <c r="W574" s="14" t="str">
        <f>W573</f>
        <v>UP</v>
      </c>
      <c r="X574" s="14"/>
      <c r="Y574" s="15">
        <f>-ROUNDUP(MIN(SUMIFS('COM RESID'!$O:$O,'COM RESID'!$H:$H,$E574,'COM RESID'!$I:$I,$F574)/SUMIFS('COM RESID'!$O:$O,'COM RESID'!$I:$I,$F574)*AC574,1),3)</f>
        <v>-1</v>
      </c>
      <c r="Z574" s="14"/>
      <c r="AA574" s="14"/>
      <c r="AB574" s="10"/>
      <c r="AC574" s="20">
        <f>IF(S574="COMELC",IF(SUMIFS('COM RESID'!$O:$O,'COM RESID'!$H:$H,$E574,'COM RESID'!$I:$I,$F574)/SUMIFS('COM RESID'!$O:$O,'COM RESID'!$I:$I,$F574)*1.2&lt;0.25,0.25/(SUMIFS('COM RESID'!$O:$O,'COM RESID'!$H:$H,$E574,'COM RESID'!$I:$I,$F574)/SUMIFS('COM RESID'!$O:$O,'COM RESID'!$I:$I,$F574)),1.2),IF(ISNUMBER(SEARCH("WHEUE",T574)),IF(OR(S574="COMNGA",S574="COMFOI"),1,1.2),1.2))</f>
        <v>1.2</v>
      </c>
    </row>
    <row r="575" spans="1:29" x14ac:dyDescent="0.25">
      <c r="A575" s="10">
        <f>A574</f>
        <v>143</v>
      </c>
      <c r="B575" s="10"/>
      <c r="C575" s="11" t="str">
        <f>IF(C574="*",C574,"")</f>
        <v>*</v>
      </c>
      <c r="D575" s="12"/>
      <c r="E575" s="13" t="str">
        <f t="shared" si="178"/>
        <v>COMELC</v>
      </c>
      <c r="F575" s="13" t="str">
        <f t="shared" si="178"/>
        <v>COMMUNOldREEUE</v>
      </c>
      <c r="G575" s="13" t="str">
        <f t="shared" si="178"/>
        <v>COMMUNOldREEUE</v>
      </c>
      <c r="H575" s="14">
        <v>2030</v>
      </c>
      <c r="I575" s="14" t="str">
        <f>I574</f>
        <v>LO</v>
      </c>
      <c r="J575" s="14"/>
      <c r="K575" s="15">
        <f>-ROUNDDOWN(SUMIFS('COM RESID'!$O:$O,'COM RESID'!$H:$H,$E575,'COM RESID'!$I:$I,$F575)/SUMIFS('COM RESID'!$O:$O,'COM RESID'!$I:$I,$F575),3)*O575</f>
        <v>-0.2</v>
      </c>
      <c r="L575" s="14"/>
      <c r="M575" s="14"/>
      <c r="N575" s="10"/>
      <c r="O575" s="20">
        <v>0.2</v>
      </c>
      <c r="Q575" s="11" t="str">
        <f t="shared" si="160"/>
        <v>*</v>
      </c>
      <c r="R575" s="12"/>
      <c r="S575" s="13" t="str">
        <f t="shared" si="162"/>
        <v>COMELC</v>
      </c>
      <c r="T575" s="13" t="str">
        <f t="shared" si="163"/>
        <v>COMMUNOldREEUE</v>
      </c>
      <c r="U575" s="13" t="str">
        <f t="shared" si="164"/>
        <v>COMMUNOldREEUE</v>
      </c>
      <c r="V575" s="14">
        <v>2030</v>
      </c>
      <c r="W575" s="14" t="str">
        <f>W574</f>
        <v>UP</v>
      </c>
      <c r="X575" s="14"/>
      <c r="Y575" s="15">
        <f>-ROUNDUP(MIN(SUMIFS('COM RESID'!$O:$O,'COM RESID'!$H:$H,$E575,'COM RESID'!$I:$I,$F575)/SUMIFS('COM RESID'!$O:$O,'COM RESID'!$I:$I,$F575)*AC575,1),3)</f>
        <v>-1</v>
      </c>
      <c r="Z575" s="14"/>
      <c r="AA575" s="14"/>
      <c r="AB575" s="10"/>
      <c r="AC575" s="20">
        <f>IF(S575="COMELC",IF(SUMIFS('COM RESID'!$O:$O,'COM RESID'!$H:$H,$E575,'COM RESID'!$I:$I,$F575)/SUMIFS('COM RESID'!$O:$O,'COM RESID'!$I:$I,$F575)*1.5&lt;0.5,0.5/(SUMIFS('COM RESID'!$O:$O,'COM RESID'!$H:$H,$E575,'COM RESID'!$I:$I,$F575)/SUMIFS('COM RESID'!$O:$O,'COM RESID'!$I:$I,$F575)),1.5),IF(ISNUMBER(SEARCH("WHEUE",T574)),IF(OR(S574="COMNGA",S574="COMFOI"),0.9,1.5),1.5))</f>
        <v>1.5</v>
      </c>
    </row>
    <row r="576" spans="1:29" x14ac:dyDescent="0.25">
      <c r="A576" s="26">
        <f>A575</f>
        <v>143</v>
      </c>
      <c r="B576" s="26"/>
      <c r="C576" s="21" t="str">
        <f>IF(C575="*",C575,"")</f>
        <v>*</v>
      </c>
      <c r="D576" s="22"/>
      <c r="E576" s="23" t="str">
        <f t="shared" si="178"/>
        <v>COMELC</v>
      </c>
      <c r="F576" s="23" t="str">
        <f t="shared" si="178"/>
        <v>COMMUNOldREEUE</v>
      </c>
      <c r="G576" s="23" t="str">
        <f t="shared" si="178"/>
        <v>COMMUNOldREEUE</v>
      </c>
      <c r="H576" s="24">
        <v>2050</v>
      </c>
      <c r="I576" s="24" t="str">
        <f>I575</f>
        <v>LO</v>
      </c>
      <c r="J576" s="24"/>
      <c r="K576" s="25">
        <f>-ROUNDDOWN(SUMIFS('COM RESID'!$O:$O,'COM RESID'!$H:$H,$E576,'COM RESID'!$I:$I,$F576)/SUMIFS('COM RESID'!$O:$O,'COM RESID'!$I:$I,$F576),3)*O576</f>
        <v>0</v>
      </c>
      <c r="L576" s="24"/>
      <c r="M576" s="24"/>
      <c r="N576" s="26"/>
      <c r="O576" s="27">
        <v>0</v>
      </c>
      <c r="Q576" s="21" t="str">
        <f t="shared" si="160"/>
        <v>*</v>
      </c>
      <c r="R576" s="22"/>
      <c r="S576" s="23" t="str">
        <f t="shared" si="162"/>
        <v>COMELC</v>
      </c>
      <c r="T576" s="23" t="str">
        <f t="shared" si="163"/>
        <v>COMMUNOldREEUE</v>
      </c>
      <c r="U576" s="23" t="str">
        <f t="shared" si="164"/>
        <v>COMMUNOldREEUE</v>
      </c>
      <c r="V576" s="24">
        <v>2050</v>
      </c>
      <c r="W576" s="24" t="str">
        <f>W575</f>
        <v>UP</v>
      </c>
      <c r="X576" s="24"/>
      <c r="Y576" s="25">
        <f>-ROUNDUP(MIN(SUMIFS('COM RESID'!$O:$O,'COM RESID'!$H:$H,$E576,'COM RESID'!$I:$I,$F576)/SUMIFS('COM RESID'!$O:$O,'COM RESID'!$I:$I,$F576)*AC576,1),3)</f>
        <v>-1</v>
      </c>
      <c r="Z576" s="24"/>
      <c r="AA576" s="24"/>
      <c r="AB576" s="26"/>
      <c r="AC576" s="27">
        <f>IF(S576="COMELC",IF(SUMIFS('COM RESID'!$O:$O,'COM RESID'!$H:$H,$E576,'COM RESID'!$I:$I,$F576)/SUMIFS('COM RESID'!$O:$O,'COM RESID'!$I:$I,$F576)*3&lt;1,1/(SUMIFS('COM RESID'!$O:$O,'COM RESID'!$H:$H,$E576,'COM RESID'!$I:$I,$F576)/SUMIFS('COM RESID'!$O:$O,'COM RESID'!$I:$I,$F576)),3),IF(ISNUMBER(SEARCH("WHEUE",T574)),IF(OR(S574="COMNGA",S574="COMFOI"),0.75,3),3))</f>
        <v>3</v>
      </c>
    </row>
    <row r="577" spans="1:29" x14ac:dyDescent="0.25">
      <c r="A577" s="19">
        <f>A573+1</f>
        <v>144</v>
      </c>
      <c r="B577" s="10"/>
      <c r="C577" s="11" t="str">
        <f>IF(E577="","",IF(_xlfn.XLOOKUP($A577,Selected_constraint_UC!$A:$A,Selected_constraint_UC!$D:$D)=1,"*",IF(SUMIFS('COM TECH'!$N:$N,'COM TECH'!$K:$K,E577,'COM TECH'!$L:$L,F577)=0,"*",IF(SUMIFS('COM RESID'!$O:$O,'COM RESID'!$H:$H,$E577,'COM RESID'!$I:$I,$F577)=0,"*","UC_MarketShare_"&amp;LEFT(F577,LEN(F577)-3)&amp;"_"&amp;RIGHT(E577,3)&amp;"_MIN"))))</f>
        <v>*</v>
      </c>
      <c r="D577" s="12"/>
      <c r="E577" s="13" t="str">
        <f>_xlfn.XLOOKUP($A577,Selected_constraint_UC!$A:$A,Selected_constraint_UC!$B:$B)</f>
        <v>COMFOI</v>
      </c>
      <c r="F577" s="13" t="str">
        <f>_xlfn.XLOOKUP($A577,Selected_constraint_UC!$A:$A,Selected_constraint_UC!$C:$C)</f>
        <v>COMMUNOldOEEUE</v>
      </c>
      <c r="G577" s="13" t="str">
        <f>F577</f>
        <v>COMMUNOldOEEUE</v>
      </c>
      <c r="H577" s="14">
        <v>2019</v>
      </c>
      <c r="I577" s="14" t="s">
        <v>3848</v>
      </c>
      <c r="J577" s="14">
        <v>1</v>
      </c>
      <c r="K577" s="15">
        <f>-ROUNDDOWN(SUMIFS('COM RESID'!$O:$O,'COM RESID'!$H:$H,$E577,'COM RESID'!$I:$I,$F577)/SUMIFS('COM RESID'!$O:$O,'COM RESID'!$I:$I,$F577),3)*O577</f>
        <v>-0.10485999999999999</v>
      </c>
      <c r="L577" s="14">
        <v>0</v>
      </c>
      <c r="M577" s="14">
        <v>5</v>
      </c>
      <c r="N577" s="10"/>
      <c r="O577" s="20">
        <v>0.98</v>
      </c>
      <c r="Q577" s="11" t="str">
        <f t="shared" si="160"/>
        <v>*</v>
      </c>
      <c r="R577" s="12"/>
      <c r="S577" s="13" t="str">
        <f t="shared" si="162"/>
        <v>COMFOI</v>
      </c>
      <c r="T577" s="13" t="str">
        <f t="shared" si="163"/>
        <v>COMMUNOldOEEUE</v>
      </c>
      <c r="U577" s="13" t="str">
        <f t="shared" si="164"/>
        <v>COMMUNOldOEEUE</v>
      </c>
      <c r="V577" s="14">
        <v>2019</v>
      </c>
      <c r="W577" s="14" t="s">
        <v>3849</v>
      </c>
      <c r="X577" s="14">
        <v>1</v>
      </c>
      <c r="Y577" s="15">
        <f>-ROUNDUP(MIN(SUMIFS('COM RESID'!$O:$O,'COM RESID'!$H:$H,$E577,'COM RESID'!$I:$I,$F577)/SUMIFS('COM RESID'!$O:$O,'COM RESID'!$I:$I,$F577)*AC577,1),3)</f>
        <v>-0.111</v>
      </c>
      <c r="Z577" s="14">
        <v>0</v>
      </c>
      <c r="AA577" s="14">
        <v>5</v>
      </c>
      <c r="AB577" s="10"/>
      <c r="AC577" s="20">
        <v>1.02</v>
      </c>
    </row>
    <row r="578" spans="1:29" x14ac:dyDescent="0.25">
      <c r="A578" s="10">
        <f>A577</f>
        <v>144</v>
      </c>
      <c r="B578" s="10"/>
      <c r="C578" s="11" t="str">
        <f>IF(C577="*",C577,"")</f>
        <v>*</v>
      </c>
      <c r="D578" s="12"/>
      <c r="E578" s="13" t="str">
        <f t="shared" ref="E578:G580" si="179">E577</f>
        <v>COMFOI</v>
      </c>
      <c r="F578" s="13" t="str">
        <f t="shared" si="179"/>
        <v>COMMUNOldOEEUE</v>
      </c>
      <c r="G578" s="13" t="str">
        <f t="shared" si="179"/>
        <v>COMMUNOldOEEUE</v>
      </c>
      <c r="H578" s="14">
        <v>2025</v>
      </c>
      <c r="I578" s="14" t="str">
        <f>I577</f>
        <v>LO</v>
      </c>
      <c r="J578" s="14"/>
      <c r="K578" s="15">
        <f>-ROUNDDOWN(SUMIFS('COM RESID'!$O:$O,'COM RESID'!$H:$H,$E578,'COM RESID'!$I:$I,$F578)/SUMIFS('COM RESID'!$O:$O,'COM RESID'!$I:$I,$F578),3)*O578</f>
        <v>-8.5600000000000009E-2</v>
      </c>
      <c r="L578" s="14"/>
      <c r="M578" s="14"/>
      <c r="N578" s="10"/>
      <c r="O578" s="20">
        <v>0.8</v>
      </c>
      <c r="Q578" s="11" t="str">
        <f t="shared" si="160"/>
        <v>*</v>
      </c>
      <c r="R578" s="12"/>
      <c r="S578" s="13" t="str">
        <f t="shared" si="162"/>
        <v>COMFOI</v>
      </c>
      <c r="T578" s="13" t="str">
        <f t="shared" si="163"/>
        <v>COMMUNOldOEEUE</v>
      </c>
      <c r="U578" s="13" t="str">
        <f t="shared" si="164"/>
        <v>COMMUNOldOEEUE</v>
      </c>
      <c r="V578" s="14">
        <v>2025</v>
      </c>
      <c r="W578" s="14" t="str">
        <f>W577</f>
        <v>UP</v>
      </c>
      <c r="X578" s="14"/>
      <c r="Y578" s="15">
        <f>-ROUNDUP(MIN(SUMIFS('COM RESID'!$O:$O,'COM RESID'!$H:$H,$E578,'COM RESID'!$I:$I,$F578)/SUMIFS('COM RESID'!$O:$O,'COM RESID'!$I:$I,$F578)*AC578,1),3)</f>
        <v>-0.13</v>
      </c>
      <c r="Z578" s="14"/>
      <c r="AA578" s="14"/>
      <c r="AB578" s="10"/>
      <c r="AC578" s="20">
        <f>IF(S578="COMELC",IF(SUMIFS('COM RESID'!$O:$O,'COM RESID'!$H:$H,$E578,'COM RESID'!$I:$I,$F578)/SUMIFS('COM RESID'!$O:$O,'COM RESID'!$I:$I,$F578)*1.2&lt;0.25,0.25/(SUMIFS('COM RESID'!$O:$O,'COM RESID'!$H:$H,$E578,'COM RESID'!$I:$I,$F578)/SUMIFS('COM RESID'!$O:$O,'COM RESID'!$I:$I,$F578)),1.2),IF(ISNUMBER(SEARCH("WHEUE",T578)),IF(OR(S578="COMNGA",S578="COMFOI"),1,1.2),1.2))</f>
        <v>1.2</v>
      </c>
    </row>
    <row r="579" spans="1:29" x14ac:dyDescent="0.25">
      <c r="A579" s="10">
        <f>A578</f>
        <v>144</v>
      </c>
      <c r="B579" s="10"/>
      <c r="C579" s="11" t="str">
        <f>IF(C578="*",C578,"")</f>
        <v>*</v>
      </c>
      <c r="D579" s="12"/>
      <c r="E579" s="13" t="str">
        <f t="shared" si="179"/>
        <v>COMFOI</v>
      </c>
      <c r="F579" s="13" t="str">
        <f t="shared" si="179"/>
        <v>COMMUNOldOEEUE</v>
      </c>
      <c r="G579" s="13" t="str">
        <f t="shared" si="179"/>
        <v>COMMUNOldOEEUE</v>
      </c>
      <c r="H579" s="14">
        <v>2030</v>
      </c>
      <c r="I579" s="14" t="str">
        <f>I578</f>
        <v>LO</v>
      </c>
      <c r="J579" s="14"/>
      <c r="K579" s="15">
        <f>-ROUNDDOWN(SUMIFS('COM RESID'!$O:$O,'COM RESID'!$H:$H,$E579,'COM RESID'!$I:$I,$F579)/SUMIFS('COM RESID'!$O:$O,'COM RESID'!$I:$I,$F579),3)*O579</f>
        <v>-2.1400000000000002E-2</v>
      </c>
      <c r="L579" s="14"/>
      <c r="M579" s="14"/>
      <c r="N579" s="10"/>
      <c r="O579" s="20">
        <v>0.2</v>
      </c>
      <c r="Q579" s="11" t="str">
        <f t="shared" si="160"/>
        <v>*</v>
      </c>
      <c r="R579" s="12"/>
      <c r="S579" s="13" t="str">
        <f t="shared" si="162"/>
        <v>COMFOI</v>
      </c>
      <c r="T579" s="13" t="str">
        <f t="shared" si="163"/>
        <v>COMMUNOldOEEUE</v>
      </c>
      <c r="U579" s="13" t="str">
        <f t="shared" si="164"/>
        <v>COMMUNOldOEEUE</v>
      </c>
      <c r="V579" s="14">
        <v>2030</v>
      </c>
      <c r="W579" s="14" t="str">
        <f>W578</f>
        <v>UP</v>
      </c>
      <c r="X579" s="14"/>
      <c r="Y579" s="15">
        <f>-ROUNDUP(MIN(SUMIFS('COM RESID'!$O:$O,'COM RESID'!$H:$H,$E579,'COM RESID'!$I:$I,$F579)/SUMIFS('COM RESID'!$O:$O,'COM RESID'!$I:$I,$F579)*AC579,1),3)</f>
        <v>-0.16200000000000001</v>
      </c>
      <c r="Z579" s="14"/>
      <c r="AA579" s="14"/>
      <c r="AB579" s="10"/>
      <c r="AC579" s="20">
        <f>IF(S579="COMELC",IF(SUMIFS('COM RESID'!$O:$O,'COM RESID'!$H:$H,$E579,'COM RESID'!$I:$I,$F579)/SUMIFS('COM RESID'!$O:$O,'COM RESID'!$I:$I,$F579)*1.5&lt;0.5,0.5/(SUMIFS('COM RESID'!$O:$O,'COM RESID'!$H:$H,$E579,'COM RESID'!$I:$I,$F579)/SUMIFS('COM RESID'!$O:$O,'COM RESID'!$I:$I,$F579)),1.5),IF(ISNUMBER(SEARCH("WHEUE",T578)),IF(OR(S578="COMNGA",S578="COMFOI"),0.9,1.5),1.5))</f>
        <v>1.5</v>
      </c>
    </row>
    <row r="580" spans="1:29" x14ac:dyDescent="0.25">
      <c r="A580" s="26">
        <f>A579</f>
        <v>144</v>
      </c>
      <c r="B580" s="26"/>
      <c r="C580" s="21" t="str">
        <f>IF(C579="*",C579,"")</f>
        <v>*</v>
      </c>
      <c r="D580" s="22"/>
      <c r="E580" s="23" t="str">
        <f t="shared" si="179"/>
        <v>COMFOI</v>
      </c>
      <c r="F580" s="23" t="str">
        <f t="shared" si="179"/>
        <v>COMMUNOldOEEUE</v>
      </c>
      <c r="G580" s="23" t="str">
        <f t="shared" si="179"/>
        <v>COMMUNOldOEEUE</v>
      </c>
      <c r="H580" s="24">
        <v>2050</v>
      </c>
      <c r="I580" s="24" t="str">
        <f>I579</f>
        <v>LO</v>
      </c>
      <c r="J580" s="24"/>
      <c r="K580" s="25">
        <f>-ROUNDDOWN(SUMIFS('COM RESID'!$O:$O,'COM RESID'!$H:$H,$E580,'COM RESID'!$I:$I,$F580)/SUMIFS('COM RESID'!$O:$O,'COM RESID'!$I:$I,$F580),3)*O580</f>
        <v>0</v>
      </c>
      <c r="L580" s="24"/>
      <c r="M580" s="24"/>
      <c r="N580" s="26"/>
      <c r="O580" s="27">
        <v>0</v>
      </c>
      <c r="Q580" s="21" t="str">
        <f t="shared" si="160"/>
        <v>*</v>
      </c>
      <c r="R580" s="22"/>
      <c r="S580" s="23" t="str">
        <f t="shared" si="162"/>
        <v>COMFOI</v>
      </c>
      <c r="T580" s="23" t="str">
        <f t="shared" si="163"/>
        <v>COMMUNOldOEEUE</v>
      </c>
      <c r="U580" s="23" t="str">
        <f t="shared" si="164"/>
        <v>COMMUNOldOEEUE</v>
      </c>
      <c r="V580" s="24">
        <v>2050</v>
      </c>
      <c r="W580" s="24" t="str">
        <f>W579</f>
        <v>UP</v>
      </c>
      <c r="X580" s="24"/>
      <c r="Y580" s="25">
        <f>-ROUNDUP(MIN(SUMIFS('COM RESID'!$O:$O,'COM RESID'!$H:$H,$E580,'COM RESID'!$I:$I,$F580)/SUMIFS('COM RESID'!$O:$O,'COM RESID'!$I:$I,$F580)*AC580,1),3)</f>
        <v>-0.32400000000000001</v>
      </c>
      <c r="Z580" s="24"/>
      <c r="AA580" s="24"/>
      <c r="AB580" s="26"/>
      <c r="AC580" s="27">
        <f>IF(S580="COMELC",IF(SUMIFS('COM RESID'!$O:$O,'COM RESID'!$H:$H,$E580,'COM RESID'!$I:$I,$F580)/SUMIFS('COM RESID'!$O:$O,'COM RESID'!$I:$I,$F580)*3&lt;1,1/(SUMIFS('COM RESID'!$O:$O,'COM RESID'!$H:$H,$E580,'COM RESID'!$I:$I,$F580)/SUMIFS('COM RESID'!$O:$O,'COM RESID'!$I:$I,$F580)),3),IF(ISNUMBER(SEARCH("WHEUE",T578)),IF(OR(S578="COMNGA",S578="COMFOI"),0.75,3),3))</f>
        <v>3</v>
      </c>
    </row>
    <row r="581" spans="1:29" x14ac:dyDescent="0.25">
      <c r="A581" s="19">
        <f>A577+1</f>
        <v>145</v>
      </c>
      <c r="B581" s="10"/>
      <c r="C581" s="11" t="str">
        <f>IF(E581="","",IF(_xlfn.XLOOKUP($A581,Selected_constraint_UC!$A:$A,Selected_constraint_UC!$D:$D)=1,"*",IF(SUMIFS('COM TECH'!$N:$N,'COM TECH'!$K:$K,E581,'COM TECH'!$L:$L,F581)=0,"*",IF(SUMIFS('COM RESID'!$O:$O,'COM RESID'!$H:$H,$E581,'COM RESID'!$I:$I,$F581)=0,"*","UC_MarketShare_"&amp;LEFT(F581,LEN(F581)-3)&amp;"_"&amp;RIGHT(E581,3)&amp;"_MIN"))))</f>
        <v>UC_MarketShare_COMMUNOldOE_NGA_MIN</v>
      </c>
      <c r="D581" s="12"/>
      <c r="E581" s="13" t="str">
        <f>_xlfn.XLOOKUP($A581,Selected_constraint_UC!$A:$A,Selected_constraint_UC!$B:$B)</f>
        <v>COMNGA</v>
      </c>
      <c r="F581" s="13" t="str">
        <f>_xlfn.XLOOKUP($A581,Selected_constraint_UC!$A:$A,Selected_constraint_UC!$C:$C)</f>
        <v>COMMUNOldOEEUE</v>
      </c>
      <c r="G581" s="13" t="str">
        <f>F581</f>
        <v>COMMUNOldOEEUE</v>
      </c>
      <c r="H581" s="14">
        <v>2019</v>
      </c>
      <c r="I581" s="14" t="s">
        <v>3848</v>
      </c>
      <c r="J581" s="14">
        <v>1</v>
      </c>
      <c r="K581" s="15">
        <f>-ROUNDDOWN(SUMIFS('COM RESID'!$O:$O,'COM RESID'!$H:$H,$E581,'COM RESID'!$I:$I,$F581)/SUMIFS('COM RESID'!$O:$O,'COM RESID'!$I:$I,$F581),3)*O581</f>
        <v>-0.27733999999999998</v>
      </c>
      <c r="L581" s="14">
        <v>0</v>
      </c>
      <c r="M581" s="14">
        <v>5</v>
      </c>
      <c r="N581" s="10"/>
      <c r="O581" s="20">
        <v>0.98</v>
      </c>
      <c r="Q581" s="11" t="str">
        <f t="shared" ref="Q581:Q644" si="180">SUBSTITUTE(C581,"MIN","MAX")</f>
        <v>UC_MarketShare_COMMUNOldOE_NGA_MAX</v>
      </c>
      <c r="R581" s="12"/>
      <c r="S581" s="13" t="str">
        <f t="shared" si="162"/>
        <v>COMNGA</v>
      </c>
      <c r="T581" s="13" t="str">
        <f t="shared" si="163"/>
        <v>COMMUNOldOEEUE</v>
      </c>
      <c r="U581" s="13" t="str">
        <f t="shared" si="164"/>
        <v>COMMUNOldOEEUE</v>
      </c>
      <c r="V581" s="14">
        <v>2019</v>
      </c>
      <c r="W581" s="14" t="s">
        <v>3849</v>
      </c>
      <c r="X581" s="14">
        <v>1</v>
      </c>
      <c r="Y581" s="15">
        <f>-ROUNDUP(MIN(SUMIFS('COM RESID'!$O:$O,'COM RESID'!$H:$H,$E581,'COM RESID'!$I:$I,$F581)/SUMIFS('COM RESID'!$O:$O,'COM RESID'!$I:$I,$F581)*AC581,1),3)</f>
        <v>-0.28899999999999998</v>
      </c>
      <c r="Z581" s="14">
        <v>0</v>
      </c>
      <c r="AA581" s="14">
        <v>5</v>
      </c>
      <c r="AB581" s="10"/>
      <c r="AC581" s="20">
        <v>1.02</v>
      </c>
    </row>
    <row r="582" spans="1:29" x14ac:dyDescent="0.25">
      <c r="A582" s="10">
        <f>A581</f>
        <v>145</v>
      </c>
      <c r="B582" s="10"/>
      <c r="C582" s="11" t="str">
        <f>IF(C581="*",C581,"")</f>
        <v/>
      </c>
      <c r="D582" s="12"/>
      <c r="E582" s="13" t="str">
        <f t="shared" ref="E582:G584" si="181">E581</f>
        <v>COMNGA</v>
      </c>
      <c r="F582" s="13" t="str">
        <f t="shared" si="181"/>
        <v>COMMUNOldOEEUE</v>
      </c>
      <c r="G582" s="13" t="str">
        <f t="shared" si="181"/>
        <v>COMMUNOldOEEUE</v>
      </c>
      <c r="H582" s="14">
        <v>2025</v>
      </c>
      <c r="I582" s="14" t="str">
        <f>I581</f>
        <v>LO</v>
      </c>
      <c r="J582" s="14"/>
      <c r="K582" s="15">
        <f>-ROUNDDOWN(SUMIFS('COM RESID'!$O:$O,'COM RESID'!$H:$H,$E582,'COM RESID'!$I:$I,$F582)/SUMIFS('COM RESID'!$O:$O,'COM RESID'!$I:$I,$F582),3)*O582</f>
        <v>-0.22639999999999999</v>
      </c>
      <c r="L582" s="14"/>
      <c r="M582" s="14"/>
      <c r="N582" s="10"/>
      <c r="O582" s="20">
        <v>0.8</v>
      </c>
      <c r="Q582" s="11" t="str">
        <f t="shared" si="180"/>
        <v/>
      </c>
      <c r="R582" s="12"/>
      <c r="S582" s="13" t="str">
        <f t="shared" ref="S582:S645" si="182">E582</f>
        <v>COMNGA</v>
      </c>
      <c r="T582" s="13" t="str">
        <f t="shared" ref="T582:T645" si="183">F582</f>
        <v>COMMUNOldOEEUE</v>
      </c>
      <c r="U582" s="13" t="str">
        <f t="shared" ref="U582:U645" si="184">G582</f>
        <v>COMMUNOldOEEUE</v>
      </c>
      <c r="V582" s="14">
        <v>2025</v>
      </c>
      <c r="W582" s="14" t="str">
        <f>W581</f>
        <v>UP</v>
      </c>
      <c r="X582" s="14"/>
      <c r="Y582" s="15">
        <f>-ROUNDUP(MIN(SUMIFS('COM RESID'!$O:$O,'COM RESID'!$H:$H,$E582,'COM RESID'!$I:$I,$F582)/SUMIFS('COM RESID'!$O:$O,'COM RESID'!$I:$I,$F582)*AC582,1),3)</f>
        <v>-0.34</v>
      </c>
      <c r="Z582" s="14"/>
      <c r="AA582" s="14"/>
      <c r="AB582" s="10"/>
      <c r="AC582" s="20">
        <f>IF(S582="COMELC",IF(SUMIFS('COM RESID'!$O:$O,'COM RESID'!$H:$H,$E582,'COM RESID'!$I:$I,$F582)/SUMIFS('COM RESID'!$O:$O,'COM RESID'!$I:$I,$F582)*1.2&lt;0.25,0.25/(SUMIFS('COM RESID'!$O:$O,'COM RESID'!$H:$H,$E582,'COM RESID'!$I:$I,$F582)/SUMIFS('COM RESID'!$O:$O,'COM RESID'!$I:$I,$F582)),1.2),IF(ISNUMBER(SEARCH("WHEUE",T582)),IF(OR(S582="COMNGA",S582="COMFOI"),1,1.2),1.2))</f>
        <v>1.2</v>
      </c>
    </row>
    <row r="583" spans="1:29" x14ac:dyDescent="0.25">
      <c r="A583" s="10">
        <f>A582</f>
        <v>145</v>
      </c>
      <c r="B583" s="10"/>
      <c r="C583" s="11" t="str">
        <f>IF(C582="*",C582,"")</f>
        <v/>
      </c>
      <c r="D583" s="12"/>
      <c r="E583" s="13" t="str">
        <f t="shared" si="181"/>
        <v>COMNGA</v>
      </c>
      <c r="F583" s="13" t="str">
        <f t="shared" si="181"/>
        <v>COMMUNOldOEEUE</v>
      </c>
      <c r="G583" s="13" t="str">
        <f t="shared" si="181"/>
        <v>COMMUNOldOEEUE</v>
      </c>
      <c r="H583" s="14">
        <v>2030</v>
      </c>
      <c r="I583" s="14" t="str">
        <f>I582</f>
        <v>LO</v>
      </c>
      <c r="J583" s="14"/>
      <c r="K583" s="15">
        <f>-ROUNDDOWN(SUMIFS('COM RESID'!$O:$O,'COM RESID'!$H:$H,$E583,'COM RESID'!$I:$I,$F583)/SUMIFS('COM RESID'!$O:$O,'COM RESID'!$I:$I,$F583),3)*O583</f>
        <v>-5.6599999999999998E-2</v>
      </c>
      <c r="L583" s="14"/>
      <c r="M583" s="14"/>
      <c r="N583" s="10"/>
      <c r="O583" s="20">
        <v>0.2</v>
      </c>
      <c r="Q583" s="11" t="str">
        <f t="shared" si="180"/>
        <v/>
      </c>
      <c r="R583" s="12"/>
      <c r="S583" s="13" t="str">
        <f t="shared" si="182"/>
        <v>COMNGA</v>
      </c>
      <c r="T583" s="13" t="str">
        <f t="shared" si="183"/>
        <v>COMMUNOldOEEUE</v>
      </c>
      <c r="U583" s="13" t="str">
        <f t="shared" si="184"/>
        <v>COMMUNOldOEEUE</v>
      </c>
      <c r="V583" s="14">
        <v>2030</v>
      </c>
      <c r="W583" s="14" t="str">
        <f>W582</f>
        <v>UP</v>
      </c>
      <c r="X583" s="14"/>
      <c r="Y583" s="15">
        <f>-ROUNDUP(MIN(SUMIFS('COM RESID'!$O:$O,'COM RESID'!$H:$H,$E583,'COM RESID'!$I:$I,$F583)/SUMIFS('COM RESID'!$O:$O,'COM RESID'!$I:$I,$F583)*AC583,1),3)</f>
        <v>-0.42499999999999999</v>
      </c>
      <c r="Z583" s="14"/>
      <c r="AA583" s="14"/>
      <c r="AB583" s="10"/>
      <c r="AC583" s="20">
        <f>IF(S583="COMELC",IF(SUMIFS('COM RESID'!$O:$O,'COM RESID'!$H:$H,$E583,'COM RESID'!$I:$I,$F583)/SUMIFS('COM RESID'!$O:$O,'COM RESID'!$I:$I,$F583)*1.5&lt;0.5,0.5/(SUMIFS('COM RESID'!$O:$O,'COM RESID'!$H:$H,$E583,'COM RESID'!$I:$I,$F583)/SUMIFS('COM RESID'!$O:$O,'COM RESID'!$I:$I,$F583)),1.5),IF(ISNUMBER(SEARCH("WHEUE",T582)),IF(OR(S582="COMNGA",S582="COMFOI"),0.9,1.5),1.5))</f>
        <v>1.5</v>
      </c>
    </row>
    <row r="584" spans="1:29" x14ac:dyDescent="0.25">
      <c r="A584" s="26">
        <f>A583</f>
        <v>145</v>
      </c>
      <c r="B584" s="26"/>
      <c r="C584" s="21" t="str">
        <f>IF(C583="*",C583,"")</f>
        <v/>
      </c>
      <c r="D584" s="22"/>
      <c r="E584" s="23" t="str">
        <f t="shared" si="181"/>
        <v>COMNGA</v>
      </c>
      <c r="F584" s="23" t="str">
        <f t="shared" si="181"/>
        <v>COMMUNOldOEEUE</v>
      </c>
      <c r="G584" s="23" t="str">
        <f t="shared" si="181"/>
        <v>COMMUNOldOEEUE</v>
      </c>
      <c r="H584" s="24">
        <v>2050</v>
      </c>
      <c r="I584" s="24" t="str">
        <f>I583</f>
        <v>LO</v>
      </c>
      <c r="J584" s="24"/>
      <c r="K584" s="25">
        <f>-ROUNDDOWN(SUMIFS('COM RESID'!$O:$O,'COM RESID'!$H:$H,$E584,'COM RESID'!$I:$I,$F584)/SUMIFS('COM RESID'!$O:$O,'COM RESID'!$I:$I,$F584),3)*O584</f>
        <v>0</v>
      </c>
      <c r="L584" s="24"/>
      <c r="M584" s="24"/>
      <c r="N584" s="26"/>
      <c r="O584" s="27">
        <v>0</v>
      </c>
      <c r="Q584" s="21" t="str">
        <f t="shared" si="180"/>
        <v/>
      </c>
      <c r="R584" s="22"/>
      <c r="S584" s="23" t="str">
        <f t="shared" si="182"/>
        <v>COMNGA</v>
      </c>
      <c r="T584" s="23" t="str">
        <f t="shared" si="183"/>
        <v>COMMUNOldOEEUE</v>
      </c>
      <c r="U584" s="23" t="str">
        <f t="shared" si="184"/>
        <v>COMMUNOldOEEUE</v>
      </c>
      <c r="V584" s="24">
        <v>2050</v>
      </c>
      <c r="W584" s="24" t="str">
        <f>W583</f>
        <v>UP</v>
      </c>
      <c r="X584" s="24"/>
      <c r="Y584" s="25">
        <f>-ROUNDUP(MIN(SUMIFS('COM RESID'!$O:$O,'COM RESID'!$H:$H,$E584,'COM RESID'!$I:$I,$F584)/SUMIFS('COM RESID'!$O:$O,'COM RESID'!$I:$I,$F584)*AC584,1),3)</f>
        <v>-0.85</v>
      </c>
      <c r="Z584" s="24"/>
      <c r="AA584" s="24"/>
      <c r="AB584" s="26"/>
      <c r="AC584" s="27">
        <f>IF(S584="COMELC",IF(SUMIFS('COM RESID'!$O:$O,'COM RESID'!$H:$H,$E584,'COM RESID'!$I:$I,$F584)/SUMIFS('COM RESID'!$O:$O,'COM RESID'!$I:$I,$F584)*3&lt;1,1/(SUMIFS('COM RESID'!$O:$O,'COM RESID'!$H:$H,$E584,'COM RESID'!$I:$I,$F584)/SUMIFS('COM RESID'!$O:$O,'COM RESID'!$I:$I,$F584)),3),IF(ISNUMBER(SEARCH("WHEUE",T582)),IF(OR(S582="COMNGA",S582="COMFOI"),0.75,3),3))</f>
        <v>3</v>
      </c>
    </row>
    <row r="585" spans="1:29" x14ac:dyDescent="0.25">
      <c r="A585" s="19">
        <f>A581+1</f>
        <v>146</v>
      </c>
      <c r="B585" s="10"/>
      <c r="C585" s="11" t="str">
        <f>IF(E585="","",IF(_xlfn.XLOOKUP($A585,Selected_constraint_UC!$A:$A,Selected_constraint_UC!$D:$D)=1,"*",IF(SUMIFS('COM TECH'!$N:$N,'COM TECH'!$K:$K,E585,'COM TECH'!$L:$L,F585)=0,"*",IF(SUMIFS('COM RESID'!$O:$O,'COM RESID'!$H:$H,$E585,'COM RESID'!$I:$I,$F585)=0,"*","UC_MarketShare_"&amp;LEFT(F585,LEN(F585)-3)&amp;"_"&amp;RIGHT(E585,3)&amp;"_MIN"))))</f>
        <v>*</v>
      </c>
      <c r="D585" s="12"/>
      <c r="E585" s="13" t="str">
        <f>_xlfn.XLOOKUP($A585,Selected_constraint_UC!$A:$A,Selected_constraint_UC!$B:$B)</f>
        <v>COMSTM</v>
      </c>
      <c r="F585" s="13" t="str">
        <f>_xlfn.XLOOKUP($A585,Selected_constraint_UC!$A:$A,Selected_constraint_UC!$C:$C)</f>
        <v>COMMUNOldOEEUE</v>
      </c>
      <c r="G585" s="13" t="str">
        <f>F585</f>
        <v>COMMUNOldOEEUE</v>
      </c>
      <c r="H585" s="14">
        <v>2019</v>
      </c>
      <c r="I585" s="14" t="s">
        <v>3848</v>
      </c>
      <c r="J585" s="14">
        <v>1</v>
      </c>
      <c r="K585" s="15">
        <f>-ROUNDDOWN(SUMIFS('COM RESID'!$O:$O,'COM RESID'!$H:$H,$E585,'COM RESID'!$I:$I,$F585)/SUMIFS('COM RESID'!$O:$O,'COM RESID'!$I:$I,$F585),3)*O585</f>
        <v>0</v>
      </c>
      <c r="L585" s="14">
        <v>0</v>
      </c>
      <c r="M585" s="14">
        <v>5</v>
      </c>
      <c r="N585" s="10"/>
      <c r="O585" s="20">
        <v>0.98</v>
      </c>
      <c r="Q585" s="11" t="str">
        <f t="shared" si="180"/>
        <v>*</v>
      </c>
      <c r="R585" s="12"/>
      <c r="S585" s="13" t="str">
        <f t="shared" si="182"/>
        <v>COMSTM</v>
      </c>
      <c r="T585" s="13" t="str">
        <f t="shared" si="183"/>
        <v>COMMUNOldOEEUE</v>
      </c>
      <c r="U585" s="13" t="str">
        <f t="shared" si="184"/>
        <v>COMMUNOldOEEUE</v>
      </c>
      <c r="V585" s="14">
        <v>2019</v>
      </c>
      <c r="W585" s="14" t="s">
        <v>3849</v>
      </c>
      <c r="X585" s="14">
        <v>1</v>
      </c>
      <c r="Y585" s="15">
        <f>-ROUNDUP(MIN(SUMIFS('COM RESID'!$O:$O,'COM RESID'!$H:$H,$E585,'COM RESID'!$I:$I,$F585)/SUMIFS('COM RESID'!$O:$O,'COM RESID'!$I:$I,$F585)*AC585,1),3)</f>
        <v>0</v>
      </c>
      <c r="Z585" s="14">
        <v>0</v>
      </c>
      <c r="AA585" s="14">
        <v>5</v>
      </c>
      <c r="AB585" s="10"/>
      <c r="AC585" s="20">
        <v>1.02</v>
      </c>
    </row>
    <row r="586" spans="1:29" x14ac:dyDescent="0.25">
      <c r="A586" s="10">
        <f>A585</f>
        <v>146</v>
      </c>
      <c r="B586" s="10"/>
      <c r="C586" s="11" t="str">
        <f>IF(C585="*",C585,"")</f>
        <v>*</v>
      </c>
      <c r="D586" s="12"/>
      <c r="E586" s="13" t="str">
        <f t="shared" ref="E586:G588" si="185">E585</f>
        <v>COMSTM</v>
      </c>
      <c r="F586" s="13" t="str">
        <f t="shared" si="185"/>
        <v>COMMUNOldOEEUE</v>
      </c>
      <c r="G586" s="13" t="str">
        <f t="shared" si="185"/>
        <v>COMMUNOldOEEUE</v>
      </c>
      <c r="H586" s="14">
        <v>2025</v>
      </c>
      <c r="I586" s="14" t="str">
        <f>I585</f>
        <v>LO</v>
      </c>
      <c r="J586" s="14"/>
      <c r="K586" s="15">
        <f>-ROUNDDOWN(SUMIFS('COM RESID'!$O:$O,'COM RESID'!$H:$H,$E586,'COM RESID'!$I:$I,$F586)/SUMIFS('COM RESID'!$O:$O,'COM RESID'!$I:$I,$F586),3)*O586</f>
        <v>0</v>
      </c>
      <c r="L586" s="14"/>
      <c r="M586" s="14"/>
      <c r="N586" s="10"/>
      <c r="O586" s="20">
        <v>0.8</v>
      </c>
      <c r="Q586" s="11" t="str">
        <f t="shared" si="180"/>
        <v>*</v>
      </c>
      <c r="R586" s="12"/>
      <c r="S586" s="13" t="str">
        <f t="shared" si="182"/>
        <v>COMSTM</v>
      </c>
      <c r="T586" s="13" t="str">
        <f t="shared" si="183"/>
        <v>COMMUNOldOEEUE</v>
      </c>
      <c r="U586" s="13" t="str">
        <f t="shared" si="184"/>
        <v>COMMUNOldOEEUE</v>
      </c>
      <c r="V586" s="14">
        <v>2025</v>
      </c>
      <c r="W586" s="14" t="str">
        <f>W585</f>
        <v>UP</v>
      </c>
      <c r="X586" s="14"/>
      <c r="Y586" s="15">
        <f>-ROUNDUP(MIN(SUMIFS('COM RESID'!$O:$O,'COM RESID'!$H:$H,$E586,'COM RESID'!$I:$I,$F586)/SUMIFS('COM RESID'!$O:$O,'COM RESID'!$I:$I,$F586)*AC586,1),3)</f>
        <v>0</v>
      </c>
      <c r="Z586" s="14"/>
      <c r="AA586" s="14"/>
      <c r="AB586" s="10"/>
      <c r="AC586" s="20">
        <f>IF(S586="COMELC",IF(SUMIFS('COM RESID'!$O:$O,'COM RESID'!$H:$H,$E586,'COM RESID'!$I:$I,$F586)/SUMIFS('COM RESID'!$O:$O,'COM RESID'!$I:$I,$F586)*1.2&lt;0.25,0.25/(SUMIFS('COM RESID'!$O:$O,'COM RESID'!$H:$H,$E586,'COM RESID'!$I:$I,$F586)/SUMIFS('COM RESID'!$O:$O,'COM RESID'!$I:$I,$F586)),1.2),IF(ISNUMBER(SEARCH("WHEUE",T586)),IF(OR(S586="COMNGA",S586="COMFOI"),1,1.2),1.2))</f>
        <v>1.2</v>
      </c>
    </row>
    <row r="587" spans="1:29" x14ac:dyDescent="0.25">
      <c r="A587" s="10">
        <f>A586</f>
        <v>146</v>
      </c>
      <c r="B587" s="10"/>
      <c r="C587" s="11" t="str">
        <f>IF(C586="*",C586,"")</f>
        <v>*</v>
      </c>
      <c r="D587" s="12"/>
      <c r="E587" s="13" t="str">
        <f t="shared" si="185"/>
        <v>COMSTM</v>
      </c>
      <c r="F587" s="13" t="str">
        <f t="shared" si="185"/>
        <v>COMMUNOldOEEUE</v>
      </c>
      <c r="G587" s="13" t="str">
        <f t="shared" si="185"/>
        <v>COMMUNOldOEEUE</v>
      </c>
      <c r="H587" s="14">
        <v>2030</v>
      </c>
      <c r="I587" s="14" t="str">
        <f>I586</f>
        <v>LO</v>
      </c>
      <c r="J587" s="14"/>
      <c r="K587" s="15">
        <f>-ROUNDDOWN(SUMIFS('COM RESID'!$O:$O,'COM RESID'!$H:$H,$E587,'COM RESID'!$I:$I,$F587)/SUMIFS('COM RESID'!$O:$O,'COM RESID'!$I:$I,$F587),3)*O587</f>
        <v>0</v>
      </c>
      <c r="L587" s="14"/>
      <c r="M587" s="14"/>
      <c r="N587" s="10"/>
      <c r="O587" s="20">
        <v>0.2</v>
      </c>
      <c r="Q587" s="11" t="str">
        <f t="shared" si="180"/>
        <v>*</v>
      </c>
      <c r="R587" s="12"/>
      <c r="S587" s="13" t="str">
        <f t="shared" si="182"/>
        <v>COMSTM</v>
      </c>
      <c r="T587" s="13" t="str">
        <f t="shared" si="183"/>
        <v>COMMUNOldOEEUE</v>
      </c>
      <c r="U587" s="13" t="str">
        <f t="shared" si="184"/>
        <v>COMMUNOldOEEUE</v>
      </c>
      <c r="V587" s="14">
        <v>2030</v>
      </c>
      <c r="W587" s="14" t="str">
        <f>W586</f>
        <v>UP</v>
      </c>
      <c r="X587" s="14"/>
      <c r="Y587" s="15">
        <f>-ROUNDUP(MIN(SUMIFS('COM RESID'!$O:$O,'COM RESID'!$H:$H,$E587,'COM RESID'!$I:$I,$F587)/SUMIFS('COM RESID'!$O:$O,'COM RESID'!$I:$I,$F587)*AC587,1),3)</f>
        <v>0</v>
      </c>
      <c r="Z587" s="14"/>
      <c r="AA587" s="14"/>
      <c r="AB587" s="10"/>
      <c r="AC587" s="20">
        <f>IF(S587="COMELC",IF(SUMIFS('COM RESID'!$O:$O,'COM RESID'!$H:$H,$E587,'COM RESID'!$I:$I,$F587)/SUMIFS('COM RESID'!$O:$O,'COM RESID'!$I:$I,$F587)*1.5&lt;0.5,0.5/(SUMIFS('COM RESID'!$O:$O,'COM RESID'!$H:$H,$E587,'COM RESID'!$I:$I,$F587)/SUMIFS('COM RESID'!$O:$O,'COM RESID'!$I:$I,$F587)),1.5),IF(ISNUMBER(SEARCH("WHEUE",T586)),IF(OR(S586="COMNGA",S586="COMFOI"),0.9,1.5),1.5))</f>
        <v>1.5</v>
      </c>
    </row>
    <row r="588" spans="1:29" x14ac:dyDescent="0.25">
      <c r="A588" s="26">
        <f>A587</f>
        <v>146</v>
      </c>
      <c r="B588" s="26"/>
      <c r="C588" s="21" t="str">
        <f>IF(C587="*",C587,"")</f>
        <v>*</v>
      </c>
      <c r="D588" s="22"/>
      <c r="E588" s="23" t="str">
        <f t="shared" si="185"/>
        <v>COMSTM</v>
      </c>
      <c r="F588" s="23" t="str">
        <f t="shared" si="185"/>
        <v>COMMUNOldOEEUE</v>
      </c>
      <c r="G588" s="23" t="str">
        <f t="shared" si="185"/>
        <v>COMMUNOldOEEUE</v>
      </c>
      <c r="H588" s="24">
        <v>2050</v>
      </c>
      <c r="I588" s="24" t="str">
        <f>I587</f>
        <v>LO</v>
      </c>
      <c r="J588" s="24"/>
      <c r="K588" s="25">
        <f>-ROUNDDOWN(SUMIFS('COM RESID'!$O:$O,'COM RESID'!$H:$H,$E588,'COM RESID'!$I:$I,$F588)/SUMIFS('COM RESID'!$O:$O,'COM RESID'!$I:$I,$F588),3)*O588</f>
        <v>0</v>
      </c>
      <c r="L588" s="24"/>
      <c r="M588" s="24"/>
      <c r="N588" s="26"/>
      <c r="O588" s="27">
        <v>0</v>
      </c>
      <c r="Q588" s="21" t="str">
        <f t="shared" si="180"/>
        <v>*</v>
      </c>
      <c r="R588" s="22"/>
      <c r="S588" s="23" t="str">
        <f t="shared" si="182"/>
        <v>COMSTM</v>
      </c>
      <c r="T588" s="23" t="str">
        <f t="shared" si="183"/>
        <v>COMMUNOldOEEUE</v>
      </c>
      <c r="U588" s="23" t="str">
        <f t="shared" si="184"/>
        <v>COMMUNOldOEEUE</v>
      </c>
      <c r="V588" s="24">
        <v>2050</v>
      </c>
      <c r="W588" s="24" t="str">
        <f>W587</f>
        <v>UP</v>
      </c>
      <c r="X588" s="24"/>
      <c r="Y588" s="25">
        <f>-ROUNDUP(MIN(SUMIFS('COM RESID'!$O:$O,'COM RESID'!$H:$H,$E588,'COM RESID'!$I:$I,$F588)/SUMIFS('COM RESID'!$O:$O,'COM RESID'!$I:$I,$F588)*AC588,1),3)</f>
        <v>0</v>
      </c>
      <c r="Z588" s="24"/>
      <c r="AA588" s="24"/>
      <c r="AB588" s="26"/>
      <c r="AC588" s="27">
        <f>IF(S588="COMELC",IF(SUMIFS('COM RESID'!$O:$O,'COM RESID'!$H:$H,$E588,'COM RESID'!$I:$I,$F588)/SUMIFS('COM RESID'!$O:$O,'COM RESID'!$I:$I,$F588)*3&lt;1,1/(SUMIFS('COM RESID'!$O:$O,'COM RESID'!$H:$H,$E588,'COM RESID'!$I:$I,$F588)/SUMIFS('COM RESID'!$O:$O,'COM RESID'!$I:$I,$F588)),3),IF(ISNUMBER(SEARCH("WHEUE",T586)),IF(OR(S586="COMNGA",S586="COMFOI"),0.75,3),3))</f>
        <v>3</v>
      </c>
    </row>
    <row r="589" spans="1:29" x14ac:dyDescent="0.25">
      <c r="A589" s="19">
        <f>A585+1</f>
        <v>147</v>
      </c>
      <c r="B589" s="10"/>
      <c r="C589" s="11" t="str">
        <f>IF(E589="","",IF(_xlfn.XLOOKUP($A589,Selected_constraint_UC!$A:$A,Selected_constraint_UC!$D:$D)=1,"*",IF(SUMIFS('COM TECH'!$N:$N,'COM TECH'!$K:$K,E589,'COM TECH'!$L:$L,F589)=0,"*",IF(SUMIFS('COM RESID'!$O:$O,'COM RESID'!$H:$H,$E589,'COM RESID'!$I:$I,$F589)=0,"*","UC_MarketShare_"&amp;LEFT(F589,LEN(F589)-3)&amp;"_"&amp;RIGHT(E589,3)&amp;"_MIN"))))</f>
        <v>UC_MarketShare_COMMUNOldOE_ELC_MIN</v>
      </c>
      <c r="D589" s="12"/>
      <c r="E589" s="13" t="str">
        <f>_xlfn.XLOOKUP($A589,Selected_constraint_UC!$A:$A,Selected_constraint_UC!$B:$B)</f>
        <v>COMELC</v>
      </c>
      <c r="F589" s="13" t="str">
        <f>_xlfn.XLOOKUP($A589,Selected_constraint_UC!$A:$A,Selected_constraint_UC!$C:$C)</f>
        <v>COMMUNOldOEEUE</v>
      </c>
      <c r="G589" s="13" t="str">
        <f>F589</f>
        <v>COMMUNOldOEEUE</v>
      </c>
      <c r="H589" s="14">
        <v>2019</v>
      </c>
      <c r="I589" s="14" t="s">
        <v>3848</v>
      </c>
      <c r="J589" s="14">
        <v>1</v>
      </c>
      <c r="K589" s="15">
        <f>-ROUNDDOWN(SUMIFS('COM RESID'!$O:$O,'COM RESID'!$H:$H,$E589,'COM RESID'!$I:$I,$F589)/SUMIFS('COM RESID'!$O:$O,'COM RESID'!$I:$I,$F589),3)*O589</f>
        <v>-0.59682000000000002</v>
      </c>
      <c r="L589" s="14">
        <v>0</v>
      </c>
      <c r="M589" s="14">
        <v>5</v>
      </c>
      <c r="N589" s="10"/>
      <c r="O589" s="20">
        <v>0.98</v>
      </c>
      <c r="Q589" s="11" t="str">
        <f t="shared" si="180"/>
        <v>UC_MarketShare_COMMUNOldOE_ELC_MAX</v>
      </c>
      <c r="R589" s="12"/>
      <c r="S589" s="13" t="str">
        <f t="shared" si="182"/>
        <v>COMELC</v>
      </c>
      <c r="T589" s="13" t="str">
        <f t="shared" si="183"/>
        <v>COMMUNOldOEEUE</v>
      </c>
      <c r="U589" s="13" t="str">
        <f t="shared" si="184"/>
        <v>COMMUNOldOEEUE</v>
      </c>
      <c r="V589" s="14">
        <v>2019</v>
      </c>
      <c r="W589" s="14" t="s">
        <v>3849</v>
      </c>
      <c r="X589" s="14">
        <v>1</v>
      </c>
      <c r="Y589" s="15">
        <f>-ROUNDUP(MIN(SUMIFS('COM RESID'!$O:$O,'COM RESID'!$H:$H,$E589,'COM RESID'!$I:$I,$F589)/SUMIFS('COM RESID'!$O:$O,'COM RESID'!$I:$I,$F589)*AC589,1),3)</f>
        <v>-0.622</v>
      </c>
      <c r="Z589" s="14">
        <v>0</v>
      </c>
      <c r="AA589" s="14">
        <v>5</v>
      </c>
      <c r="AB589" s="10"/>
      <c r="AC589" s="20">
        <v>1.02</v>
      </c>
    </row>
    <row r="590" spans="1:29" x14ac:dyDescent="0.25">
      <c r="A590" s="10">
        <f>A589</f>
        <v>147</v>
      </c>
      <c r="B590" s="10"/>
      <c r="C590" s="11" t="str">
        <f>IF(C589="*",C589,"")</f>
        <v/>
      </c>
      <c r="D590" s="12"/>
      <c r="E590" s="13" t="str">
        <f t="shared" ref="E590:G592" si="186">E589</f>
        <v>COMELC</v>
      </c>
      <c r="F590" s="13" t="str">
        <f t="shared" si="186"/>
        <v>COMMUNOldOEEUE</v>
      </c>
      <c r="G590" s="13" t="str">
        <f t="shared" si="186"/>
        <v>COMMUNOldOEEUE</v>
      </c>
      <c r="H590" s="14">
        <v>2025</v>
      </c>
      <c r="I590" s="14" t="str">
        <f>I589</f>
        <v>LO</v>
      </c>
      <c r="J590" s="14"/>
      <c r="K590" s="15">
        <f>-ROUNDDOWN(SUMIFS('COM RESID'!$O:$O,'COM RESID'!$H:$H,$E590,'COM RESID'!$I:$I,$F590)/SUMIFS('COM RESID'!$O:$O,'COM RESID'!$I:$I,$F590),3)*O590</f>
        <v>-0.48720000000000002</v>
      </c>
      <c r="L590" s="14"/>
      <c r="M590" s="14"/>
      <c r="N590" s="10"/>
      <c r="O590" s="20">
        <v>0.8</v>
      </c>
      <c r="Q590" s="11" t="str">
        <f t="shared" si="180"/>
        <v/>
      </c>
      <c r="R590" s="12"/>
      <c r="S590" s="13" t="str">
        <f t="shared" si="182"/>
        <v>COMELC</v>
      </c>
      <c r="T590" s="13" t="str">
        <f t="shared" si="183"/>
        <v>COMMUNOldOEEUE</v>
      </c>
      <c r="U590" s="13" t="str">
        <f t="shared" si="184"/>
        <v>COMMUNOldOEEUE</v>
      </c>
      <c r="V590" s="14">
        <v>2025</v>
      </c>
      <c r="W590" s="14" t="str">
        <f>W589</f>
        <v>UP</v>
      </c>
      <c r="X590" s="14"/>
      <c r="Y590" s="15">
        <f>-ROUNDUP(MIN(SUMIFS('COM RESID'!$O:$O,'COM RESID'!$H:$H,$E590,'COM RESID'!$I:$I,$F590)/SUMIFS('COM RESID'!$O:$O,'COM RESID'!$I:$I,$F590)*AC590,1),3)</f>
        <v>-0.73099999999999998</v>
      </c>
      <c r="Z590" s="14"/>
      <c r="AA590" s="14"/>
      <c r="AB590" s="10"/>
      <c r="AC590" s="20">
        <f>IF(S590="COMELC",IF(SUMIFS('COM RESID'!$O:$O,'COM RESID'!$H:$H,$E590,'COM RESID'!$I:$I,$F590)/SUMIFS('COM RESID'!$O:$O,'COM RESID'!$I:$I,$F590)*1.2&lt;0.25,0.25/(SUMIFS('COM RESID'!$O:$O,'COM RESID'!$H:$H,$E590,'COM RESID'!$I:$I,$F590)/SUMIFS('COM RESID'!$O:$O,'COM RESID'!$I:$I,$F590)),1.2),IF(ISNUMBER(SEARCH("WHEUE",T590)),IF(OR(S590="COMNGA",S590="COMFOI"),1,1.2),1.2))</f>
        <v>1.2</v>
      </c>
    </row>
    <row r="591" spans="1:29" x14ac:dyDescent="0.25">
      <c r="A591" s="10">
        <f>A590</f>
        <v>147</v>
      </c>
      <c r="B591" s="10"/>
      <c r="C591" s="11" t="str">
        <f>IF(C590="*",C590,"")</f>
        <v/>
      </c>
      <c r="D591" s="12"/>
      <c r="E591" s="13" t="str">
        <f t="shared" si="186"/>
        <v>COMELC</v>
      </c>
      <c r="F591" s="13" t="str">
        <f t="shared" si="186"/>
        <v>COMMUNOldOEEUE</v>
      </c>
      <c r="G591" s="13" t="str">
        <f t="shared" si="186"/>
        <v>COMMUNOldOEEUE</v>
      </c>
      <c r="H591" s="14">
        <v>2030</v>
      </c>
      <c r="I591" s="14" t="str">
        <f>I590</f>
        <v>LO</v>
      </c>
      <c r="J591" s="14"/>
      <c r="K591" s="15">
        <f>-ROUNDDOWN(SUMIFS('COM RESID'!$O:$O,'COM RESID'!$H:$H,$E591,'COM RESID'!$I:$I,$F591)/SUMIFS('COM RESID'!$O:$O,'COM RESID'!$I:$I,$F591),3)*O591</f>
        <v>-0.12180000000000001</v>
      </c>
      <c r="L591" s="14"/>
      <c r="M591" s="14"/>
      <c r="N591" s="10"/>
      <c r="O591" s="20">
        <v>0.2</v>
      </c>
      <c r="Q591" s="11" t="str">
        <f t="shared" si="180"/>
        <v/>
      </c>
      <c r="R591" s="12"/>
      <c r="S591" s="13" t="str">
        <f t="shared" si="182"/>
        <v>COMELC</v>
      </c>
      <c r="T591" s="13" t="str">
        <f t="shared" si="183"/>
        <v>COMMUNOldOEEUE</v>
      </c>
      <c r="U591" s="13" t="str">
        <f t="shared" si="184"/>
        <v>COMMUNOldOEEUE</v>
      </c>
      <c r="V591" s="14">
        <v>2030</v>
      </c>
      <c r="W591" s="14" t="str">
        <f>W590</f>
        <v>UP</v>
      </c>
      <c r="X591" s="14"/>
      <c r="Y591" s="15">
        <f>-ROUNDUP(MIN(SUMIFS('COM RESID'!$O:$O,'COM RESID'!$H:$H,$E591,'COM RESID'!$I:$I,$F591)/SUMIFS('COM RESID'!$O:$O,'COM RESID'!$I:$I,$F591)*AC591,1),3)</f>
        <v>-0.91400000000000003</v>
      </c>
      <c r="Z591" s="14"/>
      <c r="AA591" s="14"/>
      <c r="AB591" s="10"/>
      <c r="AC591" s="20">
        <f>IF(S591="COMELC",IF(SUMIFS('COM RESID'!$O:$O,'COM RESID'!$H:$H,$E591,'COM RESID'!$I:$I,$F591)/SUMIFS('COM RESID'!$O:$O,'COM RESID'!$I:$I,$F591)*1.5&lt;0.5,0.5/(SUMIFS('COM RESID'!$O:$O,'COM RESID'!$H:$H,$E591,'COM RESID'!$I:$I,$F591)/SUMIFS('COM RESID'!$O:$O,'COM RESID'!$I:$I,$F591)),1.5),IF(ISNUMBER(SEARCH("WHEUE",T590)),IF(OR(S590="COMNGA",S590="COMFOI"),0.9,1.5),1.5))</f>
        <v>1.5</v>
      </c>
    </row>
    <row r="592" spans="1:29" x14ac:dyDescent="0.25">
      <c r="A592" s="26">
        <f>A591</f>
        <v>147</v>
      </c>
      <c r="B592" s="26"/>
      <c r="C592" s="21" t="str">
        <f>IF(C591="*",C591,"")</f>
        <v/>
      </c>
      <c r="D592" s="22"/>
      <c r="E592" s="23" t="str">
        <f t="shared" si="186"/>
        <v>COMELC</v>
      </c>
      <c r="F592" s="23" t="str">
        <f t="shared" si="186"/>
        <v>COMMUNOldOEEUE</v>
      </c>
      <c r="G592" s="23" t="str">
        <f t="shared" si="186"/>
        <v>COMMUNOldOEEUE</v>
      </c>
      <c r="H592" s="24">
        <v>2050</v>
      </c>
      <c r="I592" s="24" t="str">
        <f>I591</f>
        <v>LO</v>
      </c>
      <c r="J592" s="24"/>
      <c r="K592" s="25">
        <f>-ROUNDDOWN(SUMIFS('COM RESID'!$O:$O,'COM RESID'!$H:$H,$E592,'COM RESID'!$I:$I,$F592)/SUMIFS('COM RESID'!$O:$O,'COM RESID'!$I:$I,$F592),3)*O592</f>
        <v>0</v>
      </c>
      <c r="L592" s="24"/>
      <c r="M592" s="24"/>
      <c r="N592" s="26"/>
      <c r="O592" s="27">
        <v>0</v>
      </c>
      <c r="Q592" s="21" t="str">
        <f t="shared" si="180"/>
        <v/>
      </c>
      <c r="R592" s="22"/>
      <c r="S592" s="23" t="str">
        <f t="shared" si="182"/>
        <v>COMELC</v>
      </c>
      <c r="T592" s="23" t="str">
        <f t="shared" si="183"/>
        <v>COMMUNOldOEEUE</v>
      </c>
      <c r="U592" s="23" t="str">
        <f t="shared" si="184"/>
        <v>COMMUNOldOEEUE</v>
      </c>
      <c r="V592" s="24">
        <v>2050</v>
      </c>
      <c r="W592" s="24" t="str">
        <f>W591</f>
        <v>UP</v>
      </c>
      <c r="X592" s="24"/>
      <c r="Y592" s="25">
        <f>-ROUNDUP(MIN(SUMIFS('COM RESID'!$O:$O,'COM RESID'!$H:$H,$E592,'COM RESID'!$I:$I,$F592)/SUMIFS('COM RESID'!$O:$O,'COM RESID'!$I:$I,$F592)*AC592,1),3)</f>
        <v>-1</v>
      </c>
      <c r="Z592" s="24"/>
      <c r="AA592" s="24"/>
      <c r="AB592" s="26"/>
      <c r="AC592" s="27">
        <f>IF(S592="COMELC",IF(SUMIFS('COM RESID'!$O:$O,'COM RESID'!$H:$H,$E592,'COM RESID'!$I:$I,$F592)/SUMIFS('COM RESID'!$O:$O,'COM RESID'!$I:$I,$F592)*3&lt;1,1/(SUMIFS('COM RESID'!$O:$O,'COM RESID'!$H:$H,$E592,'COM RESID'!$I:$I,$F592)/SUMIFS('COM RESID'!$O:$O,'COM RESID'!$I:$I,$F592)),3),IF(ISNUMBER(SEARCH("WHEUE",T590)),IF(OR(S590="COMNGA",S590="COMFOI"),0.75,3),3))</f>
        <v>3</v>
      </c>
    </row>
    <row r="593" spans="1:29" x14ac:dyDescent="0.25">
      <c r="A593" s="19">
        <f>A589+1</f>
        <v>148</v>
      </c>
      <c r="B593" s="10"/>
      <c r="C593" s="11" t="str">
        <f>IF(E593="","",IF(_xlfn.XLOOKUP($A593,Selected_constraint_UC!$A:$A,Selected_constraint_UC!$D:$D)=1,"*",IF(SUMIFS('COM TECH'!$N:$N,'COM TECH'!$K:$K,E593,'COM TECH'!$L:$L,F593)=0,"*",IF(SUMIFS('COM RESID'!$O:$O,'COM RESID'!$H:$H,$E593,'COM RESID'!$I:$I,$F593)=0,"*","UC_MarketShare_"&amp;LEFT(F593,LEN(F593)-3)&amp;"_"&amp;RIGHT(E593,3)&amp;"_MIN"))))</f>
        <v>UC_MarketShare_COMOTHOldSH_ELC_MIN</v>
      </c>
      <c r="D593" s="12"/>
      <c r="E593" s="13" t="str">
        <f>_xlfn.XLOOKUP($A593,Selected_constraint_UC!$A:$A,Selected_constraint_UC!$B:$B)</f>
        <v>COMELC</v>
      </c>
      <c r="F593" s="13" t="str">
        <f>_xlfn.XLOOKUP($A593,Selected_constraint_UC!$A:$A,Selected_constraint_UC!$C:$C)</f>
        <v>COMOTHOldSHEUE</v>
      </c>
      <c r="G593" s="13" t="str">
        <f>F593</f>
        <v>COMOTHOldSHEUE</v>
      </c>
      <c r="H593" s="14">
        <v>2019</v>
      </c>
      <c r="I593" s="14" t="s">
        <v>3848</v>
      </c>
      <c r="J593" s="14">
        <v>1</v>
      </c>
      <c r="K593" s="15">
        <f>-ROUNDDOWN(SUMIFS('COM RESID'!$O:$O,'COM RESID'!$H:$H,$E593,'COM RESID'!$I:$I,$F593)/SUMIFS('COM RESID'!$O:$O,'COM RESID'!$I:$I,$F593),3)*O593</f>
        <v>-0.10289999999999999</v>
      </c>
      <c r="L593" s="14">
        <v>0</v>
      </c>
      <c r="M593" s="14">
        <v>5</v>
      </c>
      <c r="N593" s="10"/>
      <c r="O593" s="20">
        <v>0.98</v>
      </c>
      <c r="Q593" s="11" t="str">
        <f t="shared" si="180"/>
        <v>UC_MarketShare_COMOTHOldSH_ELC_MAX</v>
      </c>
      <c r="R593" s="12"/>
      <c r="S593" s="13" t="str">
        <f t="shared" si="182"/>
        <v>COMELC</v>
      </c>
      <c r="T593" s="13" t="str">
        <f t="shared" si="183"/>
        <v>COMOTHOldSHEUE</v>
      </c>
      <c r="U593" s="13" t="str">
        <f t="shared" si="184"/>
        <v>COMOTHOldSHEUE</v>
      </c>
      <c r="V593" s="14">
        <v>2019</v>
      </c>
      <c r="W593" s="14" t="s">
        <v>3849</v>
      </c>
      <c r="X593" s="14">
        <v>1</v>
      </c>
      <c r="Y593" s="15">
        <f>-ROUNDUP(MIN(SUMIFS('COM RESID'!$O:$O,'COM RESID'!$H:$H,$E593,'COM RESID'!$I:$I,$F593)/SUMIFS('COM RESID'!$O:$O,'COM RESID'!$I:$I,$F593)*AC593,1),3)</f>
        <v>-0.108</v>
      </c>
      <c r="Z593" s="14">
        <v>0</v>
      </c>
      <c r="AA593" s="14">
        <v>5</v>
      </c>
      <c r="AB593" s="10"/>
      <c r="AC593" s="20">
        <v>1.02</v>
      </c>
    </row>
    <row r="594" spans="1:29" x14ac:dyDescent="0.25">
      <c r="A594" s="10">
        <f>A593</f>
        <v>148</v>
      </c>
      <c r="B594" s="10"/>
      <c r="C594" s="11" t="str">
        <f>IF(C593="*",C593,"")</f>
        <v/>
      </c>
      <c r="D594" s="12"/>
      <c r="E594" s="13" t="str">
        <f t="shared" ref="E594:G596" si="187">E593</f>
        <v>COMELC</v>
      </c>
      <c r="F594" s="13" t="str">
        <f t="shared" si="187"/>
        <v>COMOTHOldSHEUE</v>
      </c>
      <c r="G594" s="13" t="str">
        <f t="shared" si="187"/>
        <v>COMOTHOldSHEUE</v>
      </c>
      <c r="H594" s="14">
        <v>2025</v>
      </c>
      <c r="I594" s="14" t="str">
        <f>I593</f>
        <v>LO</v>
      </c>
      <c r="J594" s="14"/>
      <c r="K594" s="15">
        <f>-ROUNDDOWN(SUMIFS('COM RESID'!$O:$O,'COM RESID'!$H:$H,$E594,'COM RESID'!$I:$I,$F594)/SUMIFS('COM RESID'!$O:$O,'COM RESID'!$I:$I,$F594),3)*O594</f>
        <v>-8.4000000000000005E-2</v>
      </c>
      <c r="L594" s="14"/>
      <c r="M594" s="14"/>
      <c r="N594" s="10"/>
      <c r="O594" s="20">
        <v>0.8</v>
      </c>
      <c r="Q594" s="11" t="str">
        <f t="shared" si="180"/>
        <v/>
      </c>
      <c r="R594" s="12"/>
      <c r="S594" s="13" t="str">
        <f t="shared" si="182"/>
        <v>COMELC</v>
      </c>
      <c r="T594" s="13" t="str">
        <f t="shared" si="183"/>
        <v>COMOTHOldSHEUE</v>
      </c>
      <c r="U594" s="13" t="str">
        <f t="shared" si="184"/>
        <v>COMOTHOldSHEUE</v>
      </c>
      <c r="V594" s="14">
        <v>2025</v>
      </c>
      <c r="W594" s="14" t="str">
        <f>W593</f>
        <v>UP</v>
      </c>
      <c r="X594" s="14"/>
      <c r="Y594" s="15">
        <f>-ROUNDUP(MIN(SUMIFS('COM RESID'!$O:$O,'COM RESID'!$H:$H,$E594,'COM RESID'!$I:$I,$F594)/SUMIFS('COM RESID'!$O:$O,'COM RESID'!$I:$I,$F594)*AC594,1),3)</f>
        <v>-0.25</v>
      </c>
      <c r="Z594" s="14"/>
      <c r="AA594" s="14"/>
      <c r="AB594" s="10"/>
      <c r="AC594" s="20">
        <f>IF(S594="COMELC",IF(SUMIFS('COM RESID'!$O:$O,'COM RESID'!$H:$H,$E594,'COM RESID'!$I:$I,$F594)/SUMIFS('COM RESID'!$O:$O,'COM RESID'!$I:$I,$F594)*1.2&lt;0.25,0.25/(SUMIFS('COM RESID'!$O:$O,'COM RESID'!$H:$H,$E594,'COM RESID'!$I:$I,$F594)/SUMIFS('COM RESID'!$O:$O,'COM RESID'!$I:$I,$F594)),1.2),IF(ISNUMBER(SEARCH("WHEUE",T594)),IF(OR(S594="COMNGA",S594="COMFOI"),1,1.2),1.2))</f>
        <v>2.3750303961060202</v>
      </c>
    </row>
    <row r="595" spans="1:29" x14ac:dyDescent="0.25">
      <c r="A595" s="10">
        <f>A594</f>
        <v>148</v>
      </c>
      <c r="B595" s="10"/>
      <c r="C595" s="11" t="str">
        <f>IF(C594="*",C594,"")</f>
        <v/>
      </c>
      <c r="D595" s="12"/>
      <c r="E595" s="13" t="str">
        <f t="shared" si="187"/>
        <v>COMELC</v>
      </c>
      <c r="F595" s="13" t="str">
        <f t="shared" si="187"/>
        <v>COMOTHOldSHEUE</v>
      </c>
      <c r="G595" s="13" t="str">
        <f t="shared" si="187"/>
        <v>COMOTHOldSHEUE</v>
      </c>
      <c r="H595" s="14">
        <v>2030</v>
      </c>
      <c r="I595" s="14" t="str">
        <f>I594</f>
        <v>LO</v>
      </c>
      <c r="J595" s="14"/>
      <c r="K595" s="15">
        <f>-ROUNDDOWN(SUMIFS('COM RESID'!$O:$O,'COM RESID'!$H:$H,$E595,'COM RESID'!$I:$I,$F595)/SUMIFS('COM RESID'!$O:$O,'COM RESID'!$I:$I,$F595),3)*O595</f>
        <v>-7.8750000000000001E-2</v>
      </c>
      <c r="L595" s="14"/>
      <c r="M595" s="14"/>
      <c r="N595" s="10"/>
      <c r="O595" s="20">
        <v>0.75</v>
      </c>
      <c r="Q595" s="11" t="str">
        <f t="shared" si="180"/>
        <v/>
      </c>
      <c r="R595" s="12"/>
      <c r="S595" s="13" t="str">
        <f t="shared" si="182"/>
        <v>COMELC</v>
      </c>
      <c r="T595" s="13" t="str">
        <f t="shared" si="183"/>
        <v>COMOTHOldSHEUE</v>
      </c>
      <c r="U595" s="13" t="str">
        <f t="shared" si="184"/>
        <v>COMOTHOldSHEUE</v>
      </c>
      <c r="V595" s="14">
        <v>2030</v>
      </c>
      <c r="W595" s="14" t="str">
        <f>W594</f>
        <v>UP</v>
      </c>
      <c r="X595" s="14"/>
      <c r="Y595" s="15">
        <f>-ROUNDUP(MIN(SUMIFS('COM RESID'!$O:$O,'COM RESID'!$H:$H,$E595,'COM RESID'!$I:$I,$F595)/SUMIFS('COM RESID'!$O:$O,'COM RESID'!$I:$I,$F595)*AC595,1),3)</f>
        <v>-0.5</v>
      </c>
      <c r="Z595" s="14"/>
      <c r="AA595" s="14"/>
      <c r="AB595" s="10"/>
      <c r="AC595" s="20">
        <f>IF(S595="COMELC",IF(SUMIFS('COM RESID'!$O:$O,'COM RESID'!$H:$H,$E595,'COM RESID'!$I:$I,$F595)/SUMIFS('COM RESID'!$O:$O,'COM RESID'!$I:$I,$F595)*1.5&lt;0.5,0.5/(SUMIFS('COM RESID'!$O:$O,'COM RESID'!$H:$H,$E595,'COM RESID'!$I:$I,$F595)/SUMIFS('COM RESID'!$O:$O,'COM RESID'!$I:$I,$F595)),1.5),IF(ISNUMBER(SEARCH("WHEUE",T594)),IF(OR(S594="COMNGA",S594="COMFOI"),0.9,1.5),1.5))</f>
        <v>4.7500607922120404</v>
      </c>
    </row>
    <row r="596" spans="1:29" x14ac:dyDescent="0.25">
      <c r="A596" s="26">
        <f>A595</f>
        <v>148</v>
      </c>
      <c r="B596" s="26"/>
      <c r="C596" s="21" t="str">
        <f>IF(C595="*",C595,"")</f>
        <v/>
      </c>
      <c r="D596" s="22"/>
      <c r="E596" s="23" t="str">
        <f t="shared" si="187"/>
        <v>COMELC</v>
      </c>
      <c r="F596" s="23" t="str">
        <f t="shared" si="187"/>
        <v>COMOTHOldSHEUE</v>
      </c>
      <c r="G596" s="23" t="str">
        <f t="shared" si="187"/>
        <v>COMOTHOldSHEUE</v>
      </c>
      <c r="H596" s="24">
        <v>2050</v>
      </c>
      <c r="I596" s="24" t="str">
        <f>I595</f>
        <v>LO</v>
      </c>
      <c r="J596" s="24"/>
      <c r="K596" s="25">
        <f>-ROUNDDOWN(SUMIFS('COM RESID'!$O:$O,'COM RESID'!$H:$H,$E596,'COM RESID'!$I:$I,$F596)/SUMIFS('COM RESID'!$O:$O,'COM RESID'!$I:$I,$F596),3)*O596</f>
        <v>-7.8750000000000001E-2</v>
      </c>
      <c r="L596" s="24"/>
      <c r="M596" s="24"/>
      <c r="N596" s="26"/>
      <c r="O596" s="27">
        <v>0.75</v>
      </c>
      <c r="Q596" s="21" t="str">
        <f t="shared" si="180"/>
        <v/>
      </c>
      <c r="R596" s="22"/>
      <c r="S596" s="23" t="str">
        <f t="shared" si="182"/>
        <v>COMELC</v>
      </c>
      <c r="T596" s="23" t="str">
        <f t="shared" si="183"/>
        <v>COMOTHOldSHEUE</v>
      </c>
      <c r="U596" s="23" t="str">
        <f t="shared" si="184"/>
        <v>COMOTHOldSHEUE</v>
      </c>
      <c r="V596" s="24">
        <v>2050</v>
      </c>
      <c r="W596" s="24" t="str">
        <f>W595</f>
        <v>UP</v>
      </c>
      <c r="X596" s="24"/>
      <c r="Y596" s="25">
        <f>-ROUNDUP(MIN(SUMIFS('COM RESID'!$O:$O,'COM RESID'!$H:$H,$E596,'COM RESID'!$I:$I,$F596)/SUMIFS('COM RESID'!$O:$O,'COM RESID'!$I:$I,$F596)*AC596,1),3)</f>
        <v>-1</v>
      </c>
      <c r="Z596" s="24"/>
      <c r="AA596" s="24"/>
      <c r="AB596" s="26"/>
      <c r="AC596" s="27">
        <f>IF(S596="COMELC",IF(SUMIFS('COM RESID'!$O:$O,'COM RESID'!$H:$H,$E596,'COM RESID'!$I:$I,$F596)/SUMIFS('COM RESID'!$O:$O,'COM RESID'!$I:$I,$F596)*3&lt;1,1/(SUMIFS('COM RESID'!$O:$O,'COM RESID'!$H:$H,$E596,'COM RESID'!$I:$I,$F596)/SUMIFS('COM RESID'!$O:$O,'COM RESID'!$I:$I,$F596)),3),IF(ISNUMBER(SEARCH("WHEUE",T594)),IF(OR(S594="COMNGA",S594="COMFOI"),0.75,3),3))</f>
        <v>9.5001215844240807</v>
      </c>
    </row>
    <row r="597" spans="1:29" x14ac:dyDescent="0.25">
      <c r="A597" s="19">
        <f>A593+1</f>
        <v>149</v>
      </c>
      <c r="B597" s="10"/>
      <c r="C597" s="11" t="str">
        <f>IF(E597="","",IF(_xlfn.XLOOKUP($A597,Selected_constraint_UC!$A:$A,Selected_constraint_UC!$D:$D)=1,"*",IF(SUMIFS('COM TECH'!$N:$N,'COM TECH'!$K:$K,E597,'COM TECH'!$L:$L,F597)=0,"*",IF(SUMIFS('COM RESID'!$O:$O,'COM RESID'!$H:$H,$E597,'COM RESID'!$I:$I,$F597)=0,"*","UC_MarketShare_"&amp;LEFT(F597,LEN(F597)-3)&amp;"_"&amp;RIGHT(E597,3)&amp;"_MIN"))))</f>
        <v>UC_MarketShare_COMOTHOldSH_NGA_MIN</v>
      </c>
      <c r="D597" s="12"/>
      <c r="E597" s="13" t="str">
        <f>_xlfn.XLOOKUP($A597,Selected_constraint_UC!$A:$A,Selected_constraint_UC!$B:$B)</f>
        <v>COMNGA</v>
      </c>
      <c r="F597" s="13" t="str">
        <f>_xlfn.XLOOKUP($A597,Selected_constraint_UC!$A:$A,Selected_constraint_UC!$C:$C)</f>
        <v>COMOTHOldSHEUE</v>
      </c>
      <c r="G597" s="13" t="str">
        <f>F597</f>
        <v>COMOTHOldSHEUE</v>
      </c>
      <c r="H597" s="14">
        <v>2019</v>
      </c>
      <c r="I597" s="14" t="s">
        <v>3848</v>
      </c>
      <c r="J597" s="14">
        <v>1</v>
      </c>
      <c r="K597" s="15">
        <f>-ROUNDDOWN(SUMIFS('COM RESID'!$O:$O,'COM RESID'!$H:$H,$E597,'COM RESID'!$I:$I,$F597)/SUMIFS('COM RESID'!$O:$O,'COM RESID'!$I:$I,$F597),3)*O597</f>
        <v>-0.82319999999999993</v>
      </c>
      <c r="L597" s="14">
        <v>0</v>
      </c>
      <c r="M597" s="14">
        <v>5</v>
      </c>
      <c r="N597" s="10"/>
      <c r="O597" s="20">
        <v>0.98</v>
      </c>
      <c r="Q597" s="11" t="str">
        <f t="shared" si="180"/>
        <v>UC_MarketShare_COMOTHOldSH_NGA_MAX</v>
      </c>
      <c r="R597" s="12"/>
      <c r="S597" s="13" t="str">
        <f t="shared" si="182"/>
        <v>COMNGA</v>
      </c>
      <c r="T597" s="13" t="str">
        <f t="shared" si="183"/>
        <v>COMOTHOldSHEUE</v>
      </c>
      <c r="U597" s="13" t="str">
        <f t="shared" si="184"/>
        <v>COMOTHOldSHEUE</v>
      </c>
      <c r="V597" s="14">
        <v>2019</v>
      </c>
      <c r="W597" s="14" t="s">
        <v>3849</v>
      </c>
      <c r="X597" s="14">
        <v>1</v>
      </c>
      <c r="Y597" s="15">
        <f>-ROUNDUP(MIN(SUMIFS('COM RESID'!$O:$O,'COM RESID'!$H:$H,$E597,'COM RESID'!$I:$I,$F597)/SUMIFS('COM RESID'!$O:$O,'COM RESID'!$I:$I,$F597)*AC597,1),3)</f>
        <v>-0.85799999999999998</v>
      </c>
      <c r="Z597" s="14">
        <v>0</v>
      </c>
      <c r="AA597" s="14">
        <v>5</v>
      </c>
      <c r="AB597" s="10"/>
      <c r="AC597" s="20">
        <v>1.02</v>
      </c>
    </row>
    <row r="598" spans="1:29" x14ac:dyDescent="0.25">
      <c r="A598" s="10">
        <f>A597</f>
        <v>149</v>
      </c>
      <c r="B598" s="10"/>
      <c r="C598" s="11" t="str">
        <f>IF(C597="*",C597,"")</f>
        <v/>
      </c>
      <c r="D598" s="12"/>
      <c r="E598" s="13" t="str">
        <f t="shared" ref="E598:G600" si="188">E597</f>
        <v>COMNGA</v>
      </c>
      <c r="F598" s="13" t="str">
        <f t="shared" si="188"/>
        <v>COMOTHOldSHEUE</v>
      </c>
      <c r="G598" s="13" t="str">
        <f t="shared" si="188"/>
        <v>COMOTHOldSHEUE</v>
      </c>
      <c r="H598" s="14">
        <v>2025</v>
      </c>
      <c r="I598" s="14" t="str">
        <f>I597</f>
        <v>LO</v>
      </c>
      <c r="J598" s="14"/>
      <c r="K598" s="15">
        <f>-ROUNDDOWN(SUMIFS('COM RESID'!$O:$O,'COM RESID'!$H:$H,$E598,'COM RESID'!$I:$I,$F598)/SUMIFS('COM RESID'!$O:$O,'COM RESID'!$I:$I,$F598),3)*O598</f>
        <v>-0.67200000000000004</v>
      </c>
      <c r="L598" s="14"/>
      <c r="M598" s="14"/>
      <c r="N598" s="10"/>
      <c r="O598" s="20">
        <v>0.8</v>
      </c>
      <c r="Q598" s="11" t="str">
        <f t="shared" si="180"/>
        <v/>
      </c>
      <c r="R598" s="12"/>
      <c r="S598" s="13" t="str">
        <f t="shared" si="182"/>
        <v>COMNGA</v>
      </c>
      <c r="T598" s="13" t="str">
        <f t="shared" si="183"/>
        <v>COMOTHOldSHEUE</v>
      </c>
      <c r="U598" s="13" t="str">
        <f t="shared" si="184"/>
        <v>COMOTHOldSHEUE</v>
      </c>
      <c r="V598" s="14">
        <v>2025</v>
      </c>
      <c r="W598" s="14" t="str">
        <f>W597</f>
        <v>UP</v>
      </c>
      <c r="X598" s="14"/>
      <c r="Y598" s="15">
        <f>-ROUNDUP(MIN(SUMIFS('COM RESID'!$O:$O,'COM RESID'!$H:$H,$E598,'COM RESID'!$I:$I,$F598)/SUMIFS('COM RESID'!$O:$O,'COM RESID'!$I:$I,$F598)*AC598,1),3)</f>
        <v>-1</v>
      </c>
      <c r="Z598" s="14"/>
      <c r="AA598" s="14"/>
      <c r="AB598" s="10"/>
      <c r="AC598" s="20">
        <f>IF(S598="COMELC",IF(SUMIFS('COM RESID'!$O:$O,'COM RESID'!$H:$H,$E598,'COM RESID'!$I:$I,$F598)/SUMIFS('COM RESID'!$O:$O,'COM RESID'!$I:$I,$F598)*1.2&lt;0.25,0.25/(SUMIFS('COM RESID'!$O:$O,'COM RESID'!$H:$H,$E598,'COM RESID'!$I:$I,$F598)/SUMIFS('COM RESID'!$O:$O,'COM RESID'!$I:$I,$F598)),1.2),IF(ISNUMBER(SEARCH("WHEUE",T598)),IF(OR(S598="COMNGA",S598="COMFOI"),1,1.2),1.2))</f>
        <v>1.2</v>
      </c>
    </row>
    <row r="599" spans="1:29" x14ac:dyDescent="0.25">
      <c r="A599" s="10">
        <f>A598</f>
        <v>149</v>
      </c>
      <c r="B599" s="10"/>
      <c r="C599" s="11" t="str">
        <f>IF(C598="*",C598,"")</f>
        <v/>
      </c>
      <c r="D599" s="12"/>
      <c r="E599" s="13" t="str">
        <f t="shared" si="188"/>
        <v>COMNGA</v>
      </c>
      <c r="F599" s="13" t="str">
        <f t="shared" si="188"/>
        <v>COMOTHOldSHEUE</v>
      </c>
      <c r="G599" s="13" t="str">
        <f t="shared" si="188"/>
        <v>COMOTHOldSHEUE</v>
      </c>
      <c r="H599" s="14">
        <v>2030</v>
      </c>
      <c r="I599" s="14" t="str">
        <f>I598</f>
        <v>LO</v>
      </c>
      <c r="J599" s="14"/>
      <c r="K599" s="15">
        <f>-ROUNDDOWN(SUMIFS('COM RESID'!$O:$O,'COM RESID'!$H:$H,$E599,'COM RESID'!$I:$I,$F599)/SUMIFS('COM RESID'!$O:$O,'COM RESID'!$I:$I,$F599),3)*O599</f>
        <v>-0.16800000000000001</v>
      </c>
      <c r="L599" s="14"/>
      <c r="M599" s="14"/>
      <c r="N599" s="10"/>
      <c r="O599" s="20">
        <v>0.2</v>
      </c>
      <c r="Q599" s="11" t="str">
        <f t="shared" si="180"/>
        <v/>
      </c>
      <c r="R599" s="12"/>
      <c r="S599" s="13" t="str">
        <f t="shared" si="182"/>
        <v>COMNGA</v>
      </c>
      <c r="T599" s="13" t="str">
        <f t="shared" si="183"/>
        <v>COMOTHOldSHEUE</v>
      </c>
      <c r="U599" s="13" t="str">
        <f t="shared" si="184"/>
        <v>COMOTHOldSHEUE</v>
      </c>
      <c r="V599" s="14">
        <v>2030</v>
      </c>
      <c r="W599" s="14" t="str">
        <f>W598</f>
        <v>UP</v>
      </c>
      <c r="X599" s="14"/>
      <c r="Y599" s="15">
        <f>-ROUNDUP(MIN(SUMIFS('COM RESID'!$O:$O,'COM RESID'!$H:$H,$E599,'COM RESID'!$I:$I,$F599)/SUMIFS('COM RESID'!$O:$O,'COM RESID'!$I:$I,$F599)*AC599,1),3)</f>
        <v>-1</v>
      </c>
      <c r="Z599" s="14"/>
      <c r="AA599" s="14"/>
      <c r="AB599" s="10"/>
      <c r="AC599" s="20">
        <f>IF(S599="COMELC",IF(SUMIFS('COM RESID'!$O:$O,'COM RESID'!$H:$H,$E599,'COM RESID'!$I:$I,$F599)/SUMIFS('COM RESID'!$O:$O,'COM RESID'!$I:$I,$F599)*1.5&lt;0.5,0.5/(SUMIFS('COM RESID'!$O:$O,'COM RESID'!$H:$H,$E599,'COM RESID'!$I:$I,$F599)/SUMIFS('COM RESID'!$O:$O,'COM RESID'!$I:$I,$F599)),1.5),IF(ISNUMBER(SEARCH("WHEUE",T598)),IF(OR(S598="COMNGA",S598="COMFOI"),0.9,1.5),1.5))</f>
        <v>1.5</v>
      </c>
    </row>
    <row r="600" spans="1:29" x14ac:dyDescent="0.25">
      <c r="A600" s="26">
        <f>A599</f>
        <v>149</v>
      </c>
      <c r="B600" s="26"/>
      <c r="C600" s="21" t="str">
        <f>IF(C599="*",C599,"")</f>
        <v/>
      </c>
      <c r="D600" s="22"/>
      <c r="E600" s="23" t="str">
        <f t="shared" si="188"/>
        <v>COMNGA</v>
      </c>
      <c r="F600" s="23" t="str">
        <f t="shared" si="188"/>
        <v>COMOTHOldSHEUE</v>
      </c>
      <c r="G600" s="23" t="str">
        <f t="shared" si="188"/>
        <v>COMOTHOldSHEUE</v>
      </c>
      <c r="H600" s="24">
        <v>2050</v>
      </c>
      <c r="I600" s="24" t="str">
        <f>I599</f>
        <v>LO</v>
      </c>
      <c r="J600" s="24"/>
      <c r="K600" s="25">
        <f>-ROUNDDOWN(SUMIFS('COM RESID'!$O:$O,'COM RESID'!$H:$H,$E600,'COM RESID'!$I:$I,$F600)/SUMIFS('COM RESID'!$O:$O,'COM RESID'!$I:$I,$F600),3)*O600</f>
        <v>0</v>
      </c>
      <c r="L600" s="24"/>
      <c r="M600" s="24"/>
      <c r="N600" s="26"/>
      <c r="O600" s="27">
        <v>0</v>
      </c>
      <c r="Q600" s="21" t="str">
        <f t="shared" si="180"/>
        <v/>
      </c>
      <c r="R600" s="22"/>
      <c r="S600" s="23" t="str">
        <f t="shared" si="182"/>
        <v>COMNGA</v>
      </c>
      <c r="T600" s="23" t="str">
        <f t="shared" si="183"/>
        <v>COMOTHOldSHEUE</v>
      </c>
      <c r="U600" s="23" t="str">
        <f t="shared" si="184"/>
        <v>COMOTHOldSHEUE</v>
      </c>
      <c r="V600" s="24">
        <v>2050</v>
      </c>
      <c r="W600" s="24" t="str">
        <f>W599</f>
        <v>UP</v>
      </c>
      <c r="X600" s="24"/>
      <c r="Y600" s="25">
        <f>-ROUNDUP(MIN(SUMIFS('COM RESID'!$O:$O,'COM RESID'!$H:$H,$E600,'COM RESID'!$I:$I,$F600)/SUMIFS('COM RESID'!$O:$O,'COM RESID'!$I:$I,$F600)*AC600,1),3)</f>
        <v>-1</v>
      </c>
      <c r="Z600" s="24"/>
      <c r="AA600" s="24"/>
      <c r="AB600" s="26"/>
      <c r="AC600" s="27">
        <f>IF(S600="COMELC",IF(SUMIFS('COM RESID'!$O:$O,'COM RESID'!$H:$H,$E600,'COM RESID'!$I:$I,$F600)/SUMIFS('COM RESID'!$O:$O,'COM RESID'!$I:$I,$F600)*3&lt;1,1/(SUMIFS('COM RESID'!$O:$O,'COM RESID'!$H:$H,$E600,'COM RESID'!$I:$I,$F600)/SUMIFS('COM RESID'!$O:$O,'COM RESID'!$I:$I,$F600)),3),IF(ISNUMBER(SEARCH("WHEUE",T598)),IF(OR(S598="COMNGA",S598="COMFOI"),0.75,3),3))</f>
        <v>3</v>
      </c>
    </row>
    <row r="601" spans="1:29" x14ac:dyDescent="0.25">
      <c r="A601" s="19">
        <f>A597+1</f>
        <v>150</v>
      </c>
      <c r="B601" s="10"/>
      <c r="C601" s="11" t="str">
        <f>IF(E601="","",IF(_xlfn.XLOOKUP($A601,Selected_constraint_UC!$A:$A,Selected_constraint_UC!$D:$D)=1,"*",IF(SUMIFS('COM TECH'!$N:$N,'COM TECH'!$K:$K,E601,'COM TECH'!$L:$L,F601)=0,"*",IF(SUMIFS('COM RESID'!$O:$O,'COM RESID'!$H:$H,$E601,'COM RESID'!$I:$I,$F601)=0,"*","UC_MarketShare_"&amp;LEFT(F601,LEN(F601)-3)&amp;"_"&amp;RIGHT(E601,3)&amp;"_MIN"))))</f>
        <v>UC_MarketShare_COMOTHOldSH_FOI_MIN</v>
      </c>
      <c r="D601" s="12"/>
      <c r="E601" s="13" t="str">
        <f>_xlfn.XLOOKUP($A601,Selected_constraint_UC!$A:$A,Selected_constraint_UC!$B:$B)</f>
        <v>COMFOI</v>
      </c>
      <c r="F601" s="13" t="str">
        <f>_xlfn.XLOOKUP($A601,Selected_constraint_UC!$A:$A,Selected_constraint_UC!$C:$C)</f>
        <v>COMOTHOldSHEUE</v>
      </c>
      <c r="G601" s="13" t="str">
        <f>F601</f>
        <v>COMOTHOldSHEUE</v>
      </c>
      <c r="H601" s="14">
        <v>2019</v>
      </c>
      <c r="I601" s="14" t="s">
        <v>3848</v>
      </c>
      <c r="J601" s="14">
        <v>1</v>
      </c>
      <c r="K601" s="15">
        <f>-ROUNDDOWN(SUMIFS('COM RESID'!$O:$O,'COM RESID'!$H:$H,$E601,'COM RESID'!$I:$I,$F601)/SUMIFS('COM RESID'!$O:$O,'COM RESID'!$I:$I,$F601),3)*O601</f>
        <v>-2.7439999999999999E-2</v>
      </c>
      <c r="L601" s="14">
        <v>0</v>
      </c>
      <c r="M601" s="14">
        <v>5</v>
      </c>
      <c r="N601" s="10"/>
      <c r="O601" s="20">
        <v>0.98</v>
      </c>
      <c r="Q601" s="11" t="str">
        <f t="shared" si="180"/>
        <v>UC_MarketShare_COMOTHOldSH_FOI_MAX</v>
      </c>
      <c r="R601" s="12"/>
      <c r="S601" s="13" t="str">
        <f t="shared" si="182"/>
        <v>COMFOI</v>
      </c>
      <c r="T601" s="13" t="str">
        <f t="shared" si="183"/>
        <v>COMOTHOldSHEUE</v>
      </c>
      <c r="U601" s="13" t="str">
        <f t="shared" si="184"/>
        <v>COMOTHOldSHEUE</v>
      </c>
      <c r="V601" s="14">
        <v>2019</v>
      </c>
      <c r="W601" s="14" t="s">
        <v>3849</v>
      </c>
      <c r="X601" s="14">
        <v>1</v>
      </c>
      <c r="Y601" s="15">
        <f>-ROUNDUP(MIN(SUMIFS('COM RESID'!$O:$O,'COM RESID'!$H:$H,$E601,'COM RESID'!$I:$I,$F601)/SUMIFS('COM RESID'!$O:$O,'COM RESID'!$I:$I,$F601)*AC601,1),3)</f>
        <v>-3.0000000000000002E-2</v>
      </c>
      <c r="Z601" s="14">
        <v>0</v>
      </c>
      <c r="AA601" s="14">
        <v>5</v>
      </c>
      <c r="AB601" s="10"/>
      <c r="AC601" s="20">
        <v>1.02</v>
      </c>
    </row>
    <row r="602" spans="1:29" x14ac:dyDescent="0.25">
      <c r="A602" s="10">
        <f>A601</f>
        <v>150</v>
      </c>
      <c r="B602" s="10"/>
      <c r="C602" s="11" t="str">
        <f>IF(C601="*",C601,"")</f>
        <v/>
      </c>
      <c r="D602" s="12"/>
      <c r="E602" s="13" t="str">
        <f t="shared" ref="E602:G604" si="189">E601</f>
        <v>COMFOI</v>
      </c>
      <c r="F602" s="13" t="str">
        <f t="shared" si="189"/>
        <v>COMOTHOldSHEUE</v>
      </c>
      <c r="G602" s="13" t="str">
        <f t="shared" si="189"/>
        <v>COMOTHOldSHEUE</v>
      </c>
      <c r="H602" s="14">
        <v>2025</v>
      </c>
      <c r="I602" s="14" t="str">
        <f>I601</f>
        <v>LO</v>
      </c>
      <c r="J602" s="14"/>
      <c r="K602" s="15">
        <f>-ROUNDDOWN(SUMIFS('COM RESID'!$O:$O,'COM RESID'!$H:$H,$E602,'COM RESID'!$I:$I,$F602)/SUMIFS('COM RESID'!$O:$O,'COM RESID'!$I:$I,$F602),3)*O602</f>
        <v>-2.2400000000000003E-2</v>
      </c>
      <c r="L602" s="14"/>
      <c r="M602" s="14"/>
      <c r="N602" s="10"/>
      <c r="O602" s="20">
        <v>0.8</v>
      </c>
      <c r="Q602" s="11" t="str">
        <f t="shared" si="180"/>
        <v/>
      </c>
      <c r="R602" s="12"/>
      <c r="S602" s="13" t="str">
        <f t="shared" si="182"/>
        <v>COMFOI</v>
      </c>
      <c r="T602" s="13" t="str">
        <f t="shared" si="183"/>
        <v>COMOTHOldSHEUE</v>
      </c>
      <c r="U602" s="13" t="str">
        <f t="shared" si="184"/>
        <v>COMOTHOldSHEUE</v>
      </c>
      <c r="V602" s="14">
        <v>2025</v>
      </c>
      <c r="W602" s="14" t="str">
        <f>W601</f>
        <v>UP</v>
      </c>
      <c r="X602" s="14"/>
      <c r="Y602" s="15">
        <f>-ROUNDUP(MIN(SUMIFS('COM RESID'!$O:$O,'COM RESID'!$H:$H,$E602,'COM RESID'!$I:$I,$F602)/SUMIFS('COM RESID'!$O:$O,'COM RESID'!$I:$I,$F602)*AC602,1),3)</f>
        <v>-3.5000000000000003E-2</v>
      </c>
      <c r="Z602" s="14"/>
      <c r="AA602" s="14"/>
      <c r="AB602" s="10"/>
      <c r="AC602" s="20">
        <f>IF(S602="COMELC",IF(SUMIFS('COM RESID'!$O:$O,'COM RESID'!$H:$H,$E602,'COM RESID'!$I:$I,$F602)/SUMIFS('COM RESID'!$O:$O,'COM RESID'!$I:$I,$F602)*1.2&lt;0.25,0.25/(SUMIFS('COM RESID'!$O:$O,'COM RESID'!$H:$H,$E602,'COM RESID'!$I:$I,$F602)/SUMIFS('COM RESID'!$O:$O,'COM RESID'!$I:$I,$F602)),1.2),IF(ISNUMBER(SEARCH("WHEUE",T602)),IF(OR(S602="COMNGA",S602="COMFOI"),1,1.2),1.2))</f>
        <v>1.2</v>
      </c>
    </row>
    <row r="603" spans="1:29" x14ac:dyDescent="0.25">
      <c r="A603" s="10">
        <f>A602</f>
        <v>150</v>
      </c>
      <c r="B603" s="10"/>
      <c r="C603" s="11" t="str">
        <f>IF(C602="*",C602,"")</f>
        <v/>
      </c>
      <c r="D603" s="12"/>
      <c r="E603" s="13" t="str">
        <f t="shared" si="189"/>
        <v>COMFOI</v>
      </c>
      <c r="F603" s="13" t="str">
        <f t="shared" si="189"/>
        <v>COMOTHOldSHEUE</v>
      </c>
      <c r="G603" s="13" t="str">
        <f t="shared" si="189"/>
        <v>COMOTHOldSHEUE</v>
      </c>
      <c r="H603" s="14">
        <v>2030</v>
      </c>
      <c r="I603" s="14" t="str">
        <f>I602</f>
        <v>LO</v>
      </c>
      <c r="J603" s="14"/>
      <c r="K603" s="15">
        <f>-ROUNDDOWN(SUMIFS('COM RESID'!$O:$O,'COM RESID'!$H:$H,$E603,'COM RESID'!$I:$I,$F603)/SUMIFS('COM RESID'!$O:$O,'COM RESID'!$I:$I,$F603),3)*O603</f>
        <v>-5.6000000000000008E-3</v>
      </c>
      <c r="L603" s="14"/>
      <c r="M603" s="14"/>
      <c r="N603" s="10"/>
      <c r="O603" s="20">
        <v>0.2</v>
      </c>
      <c r="Q603" s="11" t="str">
        <f t="shared" si="180"/>
        <v/>
      </c>
      <c r="R603" s="12"/>
      <c r="S603" s="13" t="str">
        <f t="shared" si="182"/>
        <v>COMFOI</v>
      </c>
      <c r="T603" s="13" t="str">
        <f t="shared" si="183"/>
        <v>COMOTHOldSHEUE</v>
      </c>
      <c r="U603" s="13" t="str">
        <f t="shared" si="184"/>
        <v>COMOTHOldSHEUE</v>
      </c>
      <c r="V603" s="14">
        <v>2030</v>
      </c>
      <c r="W603" s="14" t="str">
        <f>W602</f>
        <v>UP</v>
      </c>
      <c r="X603" s="14"/>
      <c r="Y603" s="15">
        <f>-ROUNDUP(MIN(SUMIFS('COM RESID'!$O:$O,'COM RESID'!$H:$H,$E603,'COM RESID'!$I:$I,$F603)/SUMIFS('COM RESID'!$O:$O,'COM RESID'!$I:$I,$F603)*AC603,1),3)</f>
        <v>-4.3999999999999997E-2</v>
      </c>
      <c r="Z603" s="14"/>
      <c r="AA603" s="14"/>
      <c r="AB603" s="10"/>
      <c r="AC603" s="20">
        <f>IF(S603="COMELC",IF(SUMIFS('COM RESID'!$O:$O,'COM RESID'!$H:$H,$E603,'COM RESID'!$I:$I,$F603)/SUMIFS('COM RESID'!$O:$O,'COM RESID'!$I:$I,$F603)*1.5&lt;0.5,0.5/(SUMIFS('COM RESID'!$O:$O,'COM RESID'!$H:$H,$E603,'COM RESID'!$I:$I,$F603)/SUMIFS('COM RESID'!$O:$O,'COM RESID'!$I:$I,$F603)),1.5),IF(ISNUMBER(SEARCH("WHEUE",T602)),IF(OR(S602="COMNGA",S602="COMFOI"),0.9,1.5),1.5))</f>
        <v>1.5</v>
      </c>
    </row>
    <row r="604" spans="1:29" x14ac:dyDescent="0.25">
      <c r="A604" s="26">
        <f>A603</f>
        <v>150</v>
      </c>
      <c r="B604" s="26"/>
      <c r="C604" s="21" t="str">
        <f>IF(C603="*",C603,"")</f>
        <v/>
      </c>
      <c r="D604" s="22"/>
      <c r="E604" s="23" t="str">
        <f t="shared" si="189"/>
        <v>COMFOI</v>
      </c>
      <c r="F604" s="23" t="str">
        <f t="shared" si="189"/>
        <v>COMOTHOldSHEUE</v>
      </c>
      <c r="G604" s="23" t="str">
        <f t="shared" si="189"/>
        <v>COMOTHOldSHEUE</v>
      </c>
      <c r="H604" s="24">
        <v>2050</v>
      </c>
      <c r="I604" s="24" t="str">
        <f>I603</f>
        <v>LO</v>
      </c>
      <c r="J604" s="24"/>
      <c r="K604" s="25">
        <f>-ROUNDDOWN(SUMIFS('COM RESID'!$O:$O,'COM RESID'!$H:$H,$E604,'COM RESID'!$I:$I,$F604)/SUMIFS('COM RESID'!$O:$O,'COM RESID'!$I:$I,$F604),3)*O604</f>
        <v>0</v>
      </c>
      <c r="L604" s="24"/>
      <c r="M604" s="24"/>
      <c r="N604" s="26"/>
      <c r="O604" s="27">
        <v>0</v>
      </c>
      <c r="Q604" s="21" t="str">
        <f t="shared" si="180"/>
        <v/>
      </c>
      <c r="R604" s="22"/>
      <c r="S604" s="23" t="str">
        <f t="shared" si="182"/>
        <v>COMFOI</v>
      </c>
      <c r="T604" s="23" t="str">
        <f t="shared" si="183"/>
        <v>COMOTHOldSHEUE</v>
      </c>
      <c r="U604" s="23" t="str">
        <f t="shared" si="184"/>
        <v>COMOTHOldSHEUE</v>
      </c>
      <c r="V604" s="24">
        <v>2050</v>
      </c>
      <c r="W604" s="24" t="str">
        <f>W603</f>
        <v>UP</v>
      </c>
      <c r="X604" s="24"/>
      <c r="Y604" s="25">
        <f>-ROUNDUP(MIN(SUMIFS('COM RESID'!$O:$O,'COM RESID'!$H:$H,$E604,'COM RESID'!$I:$I,$F604)/SUMIFS('COM RESID'!$O:$O,'COM RESID'!$I:$I,$F604)*AC604,1),3)</f>
        <v>-8.6999999999999994E-2</v>
      </c>
      <c r="Z604" s="24"/>
      <c r="AA604" s="24"/>
      <c r="AB604" s="26"/>
      <c r="AC604" s="27">
        <f>IF(S604="COMELC",IF(SUMIFS('COM RESID'!$O:$O,'COM RESID'!$H:$H,$E604,'COM RESID'!$I:$I,$F604)/SUMIFS('COM RESID'!$O:$O,'COM RESID'!$I:$I,$F604)*3&lt;1,1/(SUMIFS('COM RESID'!$O:$O,'COM RESID'!$H:$H,$E604,'COM RESID'!$I:$I,$F604)/SUMIFS('COM RESID'!$O:$O,'COM RESID'!$I:$I,$F604)),3),IF(ISNUMBER(SEARCH("WHEUE",T602)),IF(OR(S602="COMNGA",S602="COMFOI"),0.75,3),3))</f>
        <v>3</v>
      </c>
    </row>
    <row r="605" spans="1:29" x14ac:dyDescent="0.25">
      <c r="A605" s="19">
        <f>A601+1</f>
        <v>151</v>
      </c>
      <c r="B605" s="10"/>
      <c r="C605" s="11" t="str">
        <f>IF(E605="","",IF(_xlfn.XLOOKUP($A605,Selected_constraint_UC!$A:$A,Selected_constraint_UC!$D:$D)=1,"*",IF(SUMIFS('COM TECH'!$N:$N,'COM TECH'!$K:$K,E605,'COM TECH'!$L:$L,F605)=0,"*",IF(SUMIFS('COM RESID'!$O:$O,'COM RESID'!$H:$H,$E605,'COM RESID'!$I:$I,$F605)=0,"*","UC_MarketShare_"&amp;LEFT(F605,LEN(F605)-3)&amp;"_"&amp;RIGHT(E605,3)&amp;"_MIN"))))</f>
        <v>*</v>
      </c>
      <c r="D605" s="12"/>
      <c r="E605" s="13" t="str">
        <f>_xlfn.XLOOKUP($A605,Selected_constraint_UC!$A:$A,Selected_constraint_UC!$B:$B)</f>
        <v>COMLPG</v>
      </c>
      <c r="F605" s="13" t="str">
        <f>_xlfn.XLOOKUP($A605,Selected_constraint_UC!$A:$A,Selected_constraint_UC!$C:$C)</f>
        <v>COMOTHOldSHEUE</v>
      </c>
      <c r="G605" s="13" t="str">
        <f>F605</f>
        <v>COMOTHOldSHEUE</v>
      </c>
      <c r="H605" s="14">
        <v>2019</v>
      </c>
      <c r="I605" s="14" t="s">
        <v>3848</v>
      </c>
      <c r="J605" s="14">
        <v>1</v>
      </c>
      <c r="K605" s="15">
        <f>-ROUNDDOWN(SUMIFS('COM RESID'!$O:$O,'COM RESID'!$H:$H,$E605,'COM RESID'!$I:$I,$F605)/SUMIFS('COM RESID'!$O:$O,'COM RESID'!$I:$I,$F605),3)*O605</f>
        <v>0</v>
      </c>
      <c r="L605" s="14">
        <v>0</v>
      </c>
      <c r="M605" s="14">
        <v>5</v>
      </c>
      <c r="N605" s="10"/>
      <c r="O605" s="20">
        <v>0.98</v>
      </c>
      <c r="Q605" s="11" t="str">
        <f t="shared" si="180"/>
        <v>*</v>
      </c>
      <c r="R605" s="12"/>
      <c r="S605" s="13" t="str">
        <f t="shared" si="182"/>
        <v>COMLPG</v>
      </c>
      <c r="T605" s="13" t="str">
        <f t="shared" si="183"/>
        <v>COMOTHOldSHEUE</v>
      </c>
      <c r="U605" s="13" t="str">
        <f t="shared" si="184"/>
        <v>COMOTHOldSHEUE</v>
      </c>
      <c r="V605" s="14">
        <v>2019</v>
      </c>
      <c r="W605" s="14" t="s">
        <v>3849</v>
      </c>
      <c r="X605" s="14">
        <v>1</v>
      </c>
      <c r="Y605" s="15">
        <f>-ROUNDUP(MIN(SUMIFS('COM RESID'!$O:$O,'COM RESID'!$H:$H,$E605,'COM RESID'!$I:$I,$F605)/SUMIFS('COM RESID'!$O:$O,'COM RESID'!$I:$I,$F605)*AC605,1),3)</f>
        <v>0</v>
      </c>
      <c r="Z605" s="14">
        <v>0</v>
      </c>
      <c r="AA605" s="14">
        <v>5</v>
      </c>
      <c r="AB605" s="10"/>
      <c r="AC605" s="20">
        <v>1.02</v>
      </c>
    </row>
    <row r="606" spans="1:29" x14ac:dyDescent="0.25">
      <c r="A606" s="10">
        <f>A605</f>
        <v>151</v>
      </c>
      <c r="B606" s="10"/>
      <c r="C606" s="11" t="str">
        <f>IF(C605="*",C605,"")</f>
        <v>*</v>
      </c>
      <c r="D606" s="12"/>
      <c r="E606" s="13" t="str">
        <f t="shared" ref="E606:G608" si="190">E605</f>
        <v>COMLPG</v>
      </c>
      <c r="F606" s="13" t="str">
        <f t="shared" si="190"/>
        <v>COMOTHOldSHEUE</v>
      </c>
      <c r="G606" s="13" t="str">
        <f t="shared" si="190"/>
        <v>COMOTHOldSHEUE</v>
      </c>
      <c r="H606" s="14">
        <v>2025</v>
      </c>
      <c r="I606" s="14" t="str">
        <f>I605</f>
        <v>LO</v>
      </c>
      <c r="J606" s="14"/>
      <c r="K606" s="15">
        <f>-ROUNDDOWN(SUMIFS('COM RESID'!$O:$O,'COM RESID'!$H:$H,$E606,'COM RESID'!$I:$I,$F606)/SUMIFS('COM RESID'!$O:$O,'COM RESID'!$I:$I,$F606),3)*O606</f>
        <v>0</v>
      </c>
      <c r="L606" s="14"/>
      <c r="M606" s="14"/>
      <c r="N606" s="10"/>
      <c r="O606" s="20">
        <v>0.8</v>
      </c>
      <c r="Q606" s="11" t="str">
        <f t="shared" si="180"/>
        <v>*</v>
      </c>
      <c r="R606" s="12"/>
      <c r="S606" s="13" t="str">
        <f t="shared" si="182"/>
        <v>COMLPG</v>
      </c>
      <c r="T606" s="13" t="str">
        <f t="shared" si="183"/>
        <v>COMOTHOldSHEUE</v>
      </c>
      <c r="U606" s="13" t="str">
        <f t="shared" si="184"/>
        <v>COMOTHOldSHEUE</v>
      </c>
      <c r="V606" s="14">
        <v>2025</v>
      </c>
      <c r="W606" s="14" t="str">
        <f>W605</f>
        <v>UP</v>
      </c>
      <c r="X606" s="14"/>
      <c r="Y606" s="15">
        <f>-ROUNDUP(MIN(SUMIFS('COM RESID'!$O:$O,'COM RESID'!$H:$H,$E606,'COM RESID'!$I:$I,$F606)/SUMIFS('COM RESID'!$O:$O,'COM RESID'!$I:$I,$F606)*AC606,1),3)</f>
        <v>0</v>
      </c>
      <c r="Z606" s="14"/>
      <c r="AA606" s="14"/>
      <c r="AB606" s="10"/>
      <c r="AC606" s="20">
        <f>IF(S606="COMELC",IF(SUMIFS('COM RESID'!$O:$O,'COM RESID'!$H:$H,$E606,'COM RESID'!$I:$I,$F606)/SUMIFS('COM RESID'!$O:$O,'COM RESID'!$I:$I,$F606)*1.2&lt;0.25,0.25/(SUMIFS('COM RESID'!$O:$O,'COM RESID'!$H:$H,$E606,'COM RESID'!$I:$I,$F606)/SUMIFS('COM RESID'!$O:$O,'COM RESID'!$I:$I,$F606)),1.2),IF(ISNUMBER(SEARCH("WHEUE",T606)),IF(OR(S606="COMNGA",S606="COMFOI"),1,1.2),1.2))</f>
        <v>1.2</v>
      </c>
    </row>
    <row r="607" spans="1:29" x14ac:dyDescent="0.25">
      <c r="A607" s="10">
        <f>A606</f>
        <v>151</v>
      </c>
      <c r="B607" s="10"/>
      <c r="C607" s="11" t="str">
        <f>IF(C606="*",C606,"")</f>
        <v>*</v>
      </c>
      <c r="D607" s="12"/>
      <c r="E607" s="13" t="str">
        <f t="shared" si="190"/>
        <v>COMLPG</v>
      </c>
      <c r="F607" s="13" t="str">
        <f t="shared" si="190"/>
        <v>COMOTHOldSHEUE</v>
      </c>
      <c r="G607" s="13" t="str">
        <f t="shared" si="190"/>
        <v>COMOTHOldSHEUE</v>
      </c>
      <c r="H607" s="14">
        <v>2030</v>
      </c>
      <c r="I607" s="14" t="str">
        <f>I606</f>
        <v>LO</v>
      </c>
      <c r="J607" s="14"/>
      <c r="K607" s="15">
        <f>-ROUNDDOWN(SUMIFS('COM RESID'!$O:$O,'COM RESID'!$H:$H,$E607,'COM RESID'!$I:$I,$F607)/SUMIFS('COM RESID'!$O:$O,'COM RESID'!$I:$I,$F607),3)*O607</f>
        <v>0</v>
      </c>
      <c r="L607" s="14"/>
      <c r="M607" s="14"/>
      <c r="N607" s="10"/>
      <c r="O607" s="20">
        <v>0.2</v>
      </c>
      <c r="Q607" s="11" t="str">
        <f t="shared" si="180"/>
        <v>*</v>
      </c>
      <c r="R607" s="12"/>
      <c r="S607" s="13" t="str">
        <f t="shared" si="182"/>
        <v>COMLPG</v>
      </c>
      <c r="T607" s="13" t="str">
        <f t="shared" si="183"/>
        <v>COMOTHOldSHEUE</v>
      </c>
      <c r="U607" s="13" t="str">
        <f t="shared" si="184"/>
        <v>COMOTHOldSHEUE</v>
      </c>
      <c r="V607" s="14">
        <v>2030</v>
      </c>
      <c r="W607" s="14" t="str">
        <f>W606</f>
        <v>UP</v>
      </c>
      <c r="X607" s="14"/>
      <c r="Y607" s="15">
        <f>-ROUNDUP(MIN(SUMIFS('COM RESID'!$O:$O,'COM RESID'!$H:$H,$E607,'COM RESID'!$I:$I,$F607)/SUMIFS('COM RESID'!$O:$O,'COM RESID'!$I:$I,$F607)*AC607,1),3)</f>
        <v>0</v>
      </c>
      <c r="Z607" s="14"/>
      <c r="AA607" s="14"/>
      <c r="AB607" s="10"/>
      <c r="AC607" s="20">
        <f>IF(S607="COMELC",IF(SUMIFS('COM RESID'!$O:$O,'COM RESID'!$H:$H,$E607,'COM RESID'!$I:$I,$F607)/SUMIFS('COM RESID'!$O:$O,'COM RESID'!$I:$I,$F607)*1.5&lt;0.5,0.5/(SUMIFS('COM RESID'!$O:$O,'COM RESID'!$H:$H,$E607,'COM RESID'!$I:$I,$F607)/SUMIFS('COM RESID'!$O:$O,'COM RESID'!$I:$I,$F607)),1.5),IF(ISNUMBER(SEARCH("WHEUE",T606)),IF(OR(S606="COMNGA",S606="COMFOI"),0.9,1.5),1.5))</f>
        <v>1.5</v>
      </c>
    </row>
    <row r="608" spans="1:29" x14ac:dyDescent="0.25">
      <c r="A608" s="26">
        <f>A607</f>
        <v>151</v>
      </c>
      <c r="B608" s="26"/>
      <c r="C608" s="21" t="str">
        <f>IF(C607="*",C607,"")</f>
        <v>*</v>
      </c>
      <c r="D608" s="22"/>
      <c r="E608" s="23" t="str">
        <f t="shared" si="190"/>
        <v>COMLPG</v>
      </c>
      <c r="F608" s="23" t="str">
        <f t="shared" si="190"/>
        <v>COMOTHOldSHEUE</v>
      </c>
      <c r="G608" s="23" t="str">
        <f t="shared" si="190"/>
        <v>COMOTHOldSHEUE</v>
      </c>
      <c r="H608" s="24">
        <v>2050</v>
      </c>
      <c r="I608" s="24" t="str">
        <f>I607</f>
        <v>LO</v>
      </c>
      <c r="J608" s="24"/>
      <c r="K608" s="25">
        <f>-ROUNDDOWN(SUMIFS('COM RESID'!$O:$O,'COM RESID'!$H:$H,$E608,'COM RESID'!$I:$I,$F608)/SUMIFS('COM RESID'!$O:$O,'COM RESID'!$I:$I,$F608),3)*O608</f>
        <v>0</v>
      </c>
      <c r="L608" s="24"/>
      <c r="M608" s="24"/>
      <c r="N608" s="26"/>
      <c r="O608" s="27">
        <v>0</v>
      </c>
      <c r="Q608" s="21" t="str">
        <f t="shared" si="180"/>
        <v>*</v>
      </c>
      <c r="R608" s="22"/>
      <c r="S608" s="23" t="str">
        <f t="shared" si="182"/>
        <v>COMLPG</v>
      </c>
      <c r="T608" s="23" t="str">
        <f t="shared" si="183"/>
        <v>COMOTHOldSHEUE</v>
      </c>
      <c r="U608" s="23" t="str">
        <f t="shared" si="184"/>
        <v>COMOTHOldSHEUE</v>
      </c>
      <c r="V608" s="24">
        <v>2050</v>
      </c>
      <c r="W608" s="24" t="str">
        <f>W607</f>
        <v>UP</v>
      </c>
      <c r="X608" s="24"/>
      <c r="Y608" s="25">
        <f>-ROUNDUP(MIN(SUMIFS('COM RESID'!$O:$O,'COM RESID'!$H:$H,$E608,'COM RESID'!$I:$I,$F608)/SUMIFS('COM RESID'!$O:$O,'COM RESID'!$I:$I,$F608)*AC608,1),3)</f>
        <v>0</v>
      </c>
      <c r="Z608" s="24"/>
      <c r="AA608" s="24"/>
      <c r="AB608" s="26"/>
      <c r="AC608" s="27">
        <f>IF(S608="COMELC",IF(SUMIFS('COM RESID'!$O:$O,'COM RESID'!$H:$H,$E608,'COM RESID'!$I:$I,$F608)/SUMIFS('COM RESID'!$O:$O,'COM RESID'!$I:$I,$F608)*3&lt;1,1/(SUMIFS('COM RESID'!$O:$O,'COM RESID'!$H:$H,$E608,'COM RESID'!$I:$I,$F608)/SUMIFS('COM RESID'!$O:$O,'COM RESID'!$I:$I,$F608)),3),IF(ISNUMBER(SEARCH("WHEUE",T606)),IF(OR(S606="COMNGA",S606="COMFOI"),0.75,3),3))</f>
        <v>3</v>
      </c>
    </row>
    <row r="609" spans="1:29" x14ac:dyDescent="0.25">
      <c r="A609" s="19">
        <f>A605+1</f>
        <v>152</v>
      </c>
      <c r="B609" s="10"/>
      <c r="C609" s="11" t="str">
        <f>IF(E609="","",IF(_xlfn.XLOOKUP($A609,Selected_constraint_UC!$A:$A,Selected_constraint_UC!$D:$D)=1,"*",IF(SUMIFS('COM TECH'!$N:$N,'COM TECH'!$K:$K,E609,'COM TECH'!$L:$L,F609)=0,"*",IF(SUMIFS('COM RESID'!$O:$O,'COM RESID'!$H:$H,$E609,'COM RESID'!$I:$I,$F609)=0,"*","UC_MarketShare_"&amp;LEFT(F609,LEN(F609)-3)&amp;"_"&amp;RIGHT(E609,3)&amp;"_MIN"))))</f>
        <v>*</v>
      </c>
      <c r="D609" s="12"/>
      <c r="E609" s="13" t="str">
        <f>_xlfn.XLOOKUP($A609,Selected_constraint_UC!$A:$A,Selected_constraint_UC!$B:$B)</f>
        <v>COMSTM</v>
      </c>
      <c r="F609" s="13" t="str">
        <f>_xlfn.XLOOKUP($A609,Selected_constraint_UC!$A:$A,Selected_constraint_UC!$C:$C)</f>
        <v>COMOTHOldSHEUE</v>
      </c>
      <c r="G609" s="13" t="str">
        <f>F609</f>
        <v>COMOTHOldSHEUE</v>
      </c>
      <c r="H609" s="14">
        <v>2019</v>
      </c>
      <c r="I609" s="14" t="s">
        <v>3848</v>
      </c>
      <c r="J609" s="14">
        <v>1</v>
      </c>
      <c r="K609" s="15">
        <f>-ROUNDDOWN(SUMIFS('COM RESID'!$O:$O,'COM RESID'!$H:$H,$E609,'COM RESID'!$I:$I,$F609)/SUMIFS('COM RESID'!$O:$O,'COM RESID'!$I:$I,$F609),3)*O609</f>
        <v>-2.4500000000000001E-2</v>
      </c>
      <c r="L609" s="14">
        <v>0</v>
      </c>
      <c r="M609" s="14">
        <v>5</v>
      </c>
      <c r="N609" s="10"/>
      <c r="O609" s="20">
        <v>0.98</v>
      </c>
      <c r="Q609" s="11" t="str">
        <f t="shared" si="180"/>
        <v>*</v>
      </c>
      <c r="R609" s="12"/>
      <c r="S609" s="13" t="str">
        <f t="shared" si="182"/>
        <v>COMSTM</v>
      </c>
      <c r="T609" s="13" t="str">
        <f t="shared" si="183"/>
        <v>COMOTHOldSHEUE</v>
      </c>
      <c r="U609" s="13" t="str">
        <f t="shared" si="184"/>
        <v>COMOTHOldSHEUE</v>
      </c>
      <c r="V609" s="14">
        <v>2019</v>
      </c>
      <c r="W609" s="14" t="s">
        <v>3849</v>
      </c>
      <c r="X609" s="14">
        <v>1</v>
      </c>
      <c r="Y609" s="15">
        <f>-ROUNDUP(MIN(SUMIFS('COM RESID'!$O:$O,'COM RESID'!$H:$H,$E609,'COM RESID'!$I:$I,$F609)/SUMIFS('COM RESID'!$O:$O,'COM RESID'!$I:$I,$F609)*AC609,1),3)</f>
        <v>-2.6000000000000002E-2</v>
      </c>
      <c r="Z609" s="14">
        <v>0</v>
      </c>
      <c r="AA609" s="14">
        <v>5</v>
      </c>
      <c r="AB609" s="10"/>
      <c r="AC609" s="20">
        <v>1.02</v>
      </c>
    </row>
    <row r="610" spans="1:29" x14ac:dyDescent="0.25">
      <c r="A610" s="10">
        <f>A609</f>
        <v>152</v>
      </c>
      <c r="B610" s="10"/>
      <c r="C610" s="11" t="str">
        <f>IF(C609="*",C609,"")</f>
        <v>*</v>
      </c>
      <c r="D610" s="12"/>
      <c r="E610" s="13" t="str">
        <f t="shared" ref="E610:G612" si="191">E609</f>
        <v>COMSTM</v>
      </c>
      <c r="F610" s="13" t="str">
        <f t="shared" si="191"/>
        <v>COMOTHOldSHEUE</v>
      </c>
      <c r="G610" s="13" t="str">
        <f t="shared" si="191"/>
        <v>COMOTHOldSHEUE</v>
      </c>
      <c r="H610" s="14">
        <v>2025</v>
      </c>
      <c r="I610" s="14" t="str">
        <f>I609</f>
        <v>LO</v>
      </c>
      <c r="J610" s="14"/>
      <c r="K610" s="15">
        <f>-ROUNDDOWN(SUMIFS('COM RESID'!$O:$O,'COM RESID'!$H:$H,$E610,'COM RESID'!$I:$I,$F610)/SUMIFS('COM RESID'!$O:$O,'COM RESID'!$I:$I,$F610),3)*O610</f>
        <v>-2.0000000000000004E-2</v>
      </c>
      <c r="L610" s="14"/>
      <c r="M610" s="14"/>
      <c r="N610" s="10"/>
      <c r="O610" s="20">
        <v>0.8</v>
      </c>
      <c r="Q610" s="11" t="str">
        <f t="shared" si="180"/>
        <v>*</v>
      </c>
      <c r="R610" s="12"/>
      <c r="S610" s="13" t="str">
        <f t="shared" si="182"/>
        <v>COMSTM</v>
      </c>
      <c r="T610" s="13" t="str">
        <f t="shared" si="183"/>
        <v>COMOTHOldSHEUE</v>
      </c>
      <c r="U610" s="13" t="str">
        <f t="shared" si="184"/>
        <v>COMOTHOldSHEUE</v>
      </c>
      <c r="V610" s="14">
        <v>2025</v>
      </c>
      <c r="W610" s="14" t="str">
        <f>W609</f>
        <v>UP</v>
      </c>
      <c r="X610" s="14"/>
      <c r="Y610" s="15">
        <f>-ROUNDUP(MIN(SUMIFS('COM RESID'!$O:$O,'COM RESID'!$H:$H,$E610,'COM RESID'!$I:$I,$F610)/SUMIFS('COM RESID'!$O:$O,'COM RESID'!$I:$I,$F610)*AC610,1),3)</f>
        <v>-3.1E-2</v>
      </c>
      <c r="Z610" s="14"/>
      <c r="AA610" s="14"/>
      <c r="AB610" s="10"/>
      <c r="AC610" s="20">
        <f>IF(S610="COMELC",IF(SUMIFS('COM RESID'!$O:$O,'COM RESID'!$H:$H,$E610,'COM RESID'!$I:$I,$F610)/SUMIFS('COM RESID'!$O:$O,'COM RESID'!$I:$I,$F610)*1.2&lt;0.25,0.25/(SUMIFS('COM RESID'!$O:$O,'COM RESID'!$H:$H,$E610,'COM RESID'!$I:$I,$F610)/SUMIFS('COM RESID'!$O:$O,'COM RESID'!$I:$I,$F610)),1.2),IF(ISNUMBER(SEARCH("WHEUE",T610)),IF(OR(S610="COMNGA",S610="COMFOI"),1,1.2),1.2))</f>
        <v>1.2</v>
      </c>
    </row>
    <row r="611" spans="1:29" x14ac:dyDescent="0.25">
      <c r="A611" s="10">
        <f>A610</f>
        <v>152</v>
      </c>
      <c r="B611" s="10"/>
      <c r="C611" s="11" t="str">
        <f>IF(C610="*",C610,"")</f>
        <v>*</v>
      </c>
      <c r="D611" s="12"/>
      <c r="E611" s="13" t="str">
        <f t="shared" si="191"/>
        <v>COMSTM</v>
      </c>
      <c r="F611" s="13" t="str">
        <f t="shared" si="191"/>
        <v>COMOTHOldSHEUE</v>
      </c>
      <c r="G611" s="13" t="str">
        <f t="shared" si="191"/>
        <v>COMOTHOldSHEUE</v>
      </c>
      <c r="H611" s="14">
        <v>2030</v>
      </c>
      <c r="I611" s="14" t="str">
        <f>I610</f>
        <v>LO</v>
      </c>
      <c r="J611" s="14"/>
      <c r="K611" s="15">
        <f>-ROUNDDOWN(SUMIFS('COM RESID'!$O:$O,'COM RESID'!$H:$H,$E611,'COM RESID'!$I:$I,$F611)/SUMIFS('COM RESID'!$O:$O,'COM RESID'!$I:$I,$F611),3)*O611</f>
        <v>-5.000000000000001E-3</v>
      </c>
      <c r="L611" s="14"/>
      <c r="M611" s="14"/>
      <c r="N611" s="10"/>
      <c r="O611" s="20">
        <v>0.2</v>
      </c>
      <c r="Q611" s="11" t="str">
        <f t="shared" si="180"/>
        <v>*</v>
      </c>
      <c r="R611" s="12"/>
      <c r="S611" s="13" t="str">
        <f t="shared" si="182"/>
        <v>COMSTM</v>
      </c>
      <c r="T611" s="13" t="str">
        <f t="shared" si="183"/>
        <v>COMOTHOldSHEUE</v>
      </c>
      <c r="U611" s="13" t="str">
        <f t="shared" si="184"/>
        <v>COMOTHOldSHEUE</v>
      </c>
      <c r="V611" s="14">
        <v>2030</v>
      </c>
      <c r="W611" s="14" t="str">
        <f>W610</f>
        <v>UP</v>
      </c>
      <c r="X611" s="14"/>
      <c r="Y611" s="15">
        <f>-ROUNDUP(MIN(SUMIFS('COM RESID'!$O:$O,'COM RESID'!$H:$H,$E611,'COM RESID'!$I:$I,$F611)/SUMIFS('COM RESID'!$O:$O,'COM RESID'!$I:$I,$F611)*AC611,1),3)</f>
        <v>-3.7999999999999999E-2</v>
      </c>
      <c r="Z611" s="14"/>
      <c r="AA611" s="14"/>
      <c r="AB611" s="10"/>
      <c r="AC611" s="20">
        <f>IF(S611="COMELC",IF(SUMIFS('COM RESID'!$O:$O,'COM RESID'!$H:$H,$E611,'COM RESID'!$I:$I,$F611)/SUMIFS('COM RESID'!$O:$O,'COM RESID'!$I:$I,$F611)*1.5&lt;0.5,0.5/(SUMIFS('COM RESID'!$O:$O,'COM RESID'!$H:$H,$E611,'COM RESID'!$I:$I,$F611)/SUMIFS('COM RESID'!$O:$O,'COM RESID'!$I:$I,$F611)),1.5),IF(ISNUMBER(SEARCH("WHEUE",T610)),IF(OR(S610="COMNGA",S610="COMFOI"),0.9,1.5),1.5))</f>
        <v>1.5</v>
      </c>
    </row>
    <row r="612" spans="1:29" x14ac:dyDescent="0.25">
      <c r="A612" s="26">
        <f>A611</f>
        <v>152</v>
      </c>
      <c r="B612" s="26"/>
      <c r="C612" s="21" t="str">
        <f>IF(C611="*",C611,"")</f>
        <v>*</v>
      </c>
      <c r="D612" s="22"/>
      <c r="E612" s="23" t="str">
        <f t="shared" si="191"/>
        <v>COMSTM</v>
      </c>
      <c r="F612" s="23" t="str">
        <f t="shared" si="191"/>
        <v>COMOTHOldSHEUE</v>
      </c>
      <c r="G612" s="23" t="str">
        <f t="shared" si="191"/>
        <v>COMOTHOldSHEUE</v>
      </c>
      <c r="H612" s="24">
        <v>2050</v>
      </c>
      <c r="I612" s="24" t="str">
        <f>I611</f>
        <v>LO</v>
      </c>
      <c r="J612" s="24"/>
      <c r="K612" s="25">
        <f>-ROUNDDOWN(SUMIFS('COM RESID'!$O:$O,'COM RESID'!$H:$H,$E612,'COM RESID'!$I:$I,$F612)/SUMIFS('COM RESID'!$O:$O,'COM RESID'!$I:$I,$F612),3)*O612</f>
        <v>0</v>
      </c>
      <c r="L612" s="24"/>
      <c r="M612" s="24"/>
      <c r="N612" s="26"/>
      <c r="O612" s="27">
        <v>0</v>
      </c>
      <c r="Q612" s="21" t="str">
        <f t="shared" si="180"/>
        <v>*</v>
      </c>
      <c r="R612" s="22"/>
      <c r="S612" s="23" t="str">
        <f t="shared" si="182"/>
        <v>COMSTM</v>
      </c>
      <c r="T612" s="23" t="str">
        <f t="shared" si="183"/>
        <v>COMOTHOldSHEUE</v>
      </c>
      <c r="U612" s="23" t="str">
        <f t="shared" si="184"/>
        <v>COMOTHOldSHEUE</v>
      </c>
      <c r="V612" s="24">
        <v>2050</v>
      </c>
      <c r="W612" s="24" t="str">
        <f>W611</f>
        <v>UP</v>
      </c>
      <c r="X612" s="24"/>
      <c r="Y612" s="25">
        <f>-ROUNDUP(MIN(SUMIFS('COM RESID'!$O:$O,'COM RESID'!$H:$H,$E612,'COM RESID'!$I:$I,$F612)/SUMIFS('COM RESID'!$O:$O,'COM RESID'!$I:$I,$F612)*AC612,1),3)</f>
        <v>-7.5999999999999998E-2</v>
      </c>
      <c r="Z612" s="24"/>
      <c r="AA612" s="24"/>
      <c r="AB612" s="26"/>
      <c r="AC612" s="27">
        <f>IF(S612="COMELC",IF(SUMIFS('COM RESID'!$O:$O,'COM RESID'!$H:$H,$E612,'COM RESID'!$I:$I,$F612)/SUMIFS('COM RESID'!$O:$O,'COM RESID'!$I:$I,$F612)*3&lt;1,1/(SUMIFS('COM RESID'!$O:$O,'COM RESID'!$H:$H,$E612,'COM RESID'!$I:$I,$F612)/SUMIFS('COM RESID'!$O:$O,'COM RESID'!$I:$I,$F612)),3),IF(ISNUMBER(SEARCH("WHEUE",T610)),IF(OR(S610="COMNGA",S610="COMFOI"),0.75,3),3))</f>
        <v>3</v>
      </c>
    </row>
    <row r="613" spans="1:29" x14ac:dyDescent="0.25">
      <c r="A613" s="19">
        <f>A609+1</f>
        <v>153</v>
      </c>
      <c r="B613" s="10"/>
      <c r="C613" s="11" t="str">
        <f>IF(E613="","",IF(_xlfn.XLOOKUP($A613,Selected_constraint_UC!$A:$A,Selected_constraint_UC!$D:$D)=1,"*",IF(SUMIFS('COM TECH'!$N:$N,'COM TECH'!$K:$K,E613,'COM TECH'!$L:$L,F613)=0,"*",IF(SUMIFS('COM RESID'!$O:$O,'COM RESID'!$H:$H,$E613,'COM RESID'!$I:$I,$F613)=0,"*","UC_MarketShare_"&amp;LEFT(F613,LEN(F613)-3)&amp;"_"&amp;RIGHT(E613,3)&amp;"_MIN"))))</f>
        <v>UC_MarketShare_COMOTHOldSC_ELC_MIN</v>
      </c>
      <c r="D613" s="12"/>
      <c r="E613" s="13" t="str">
        <f>_xlfn.XLOOKUP($A613,Selected_constraint_UC!$A:$A,Selected_constraint_UC!$B:$B)</f>
        <v>COMELC</v>
      </c>
      <c r="F613" s="13" t="str">
        <f>_xlfn.XLOOKUP($A613,Selected_constraint_UC!$A:$A,Selected_constraint_UC!$C:$C)</f>
        <v>COMOTHOldSCEUE</v>
      </c>
      <c r="G613" s="13" t="str">
        <f>F613</f>
        <v>COMOTHOldSCEUE</v>
      </c>
      <c r="H613" s="14">
        <v>2019</v>
      </c>
      <c r="I613" s="14" t="s">
        <v>3848</v>
      </c>
      <c r="J613" s="14">
        <v>1</v>
      </c>
      <c r="K613" s="15">
        <f>-ROUNDDOWN(SUMIFS('COM RESID'!$O:$O,'COM RESID'!$H:$H,$E613,'COM RESID'!$I:$I,$F613)/SUMIFS('COM RESID'!$O:$O,'COM RESID'!$I:$I,$F613),3)*O613</f>
        <v>-0.98</v>
      </c>
      <c r="L613" s="14">
        <v>0</v>
      </c>
      <c r="M613" s="14">
        <v>5</v>
      </c>
      <c r="N613" s="10"/>
      <c r="O613" s="20">
        <v>0.98</v>
      </c>
      <c r="Q613" s="11" t="str">
        <f t="shared" si="180"/>
        <v>UC_MarketShare_COMOTHOldSC_ELC_MAX</v>
      </c>
      <c r="R613" s="12"/>
      <c r="S613" s="13" t="str">
        <f t="shared" si="182"/>
        <v>COMELC</v>
      </c>
      <c r="T613" s="13" t="str">
        <f t="shared" si="183"/>
        <v>COMOTHOldSCEUE</v>
      </c>
      <c r="U613" s="13" t="str">
        <f t="shared" si="184"/>
        <v>COMOTHOldSCEUE</v>
      </c>
      <c r="V613" s="14">
        <v>2019</v>
      </c>
      <c r="W613" s="14" t="s">
        <v>3849</v>
      </c>
      <c r="X613" s="14">
        <v>1</v>
      </c>
      <c r="Y613" s="15">
        <f>-ROUNDUP(MIN(SUMIFS('COM RESID'!$O:$O,'COM RESID'!$H:$H,$E613,'COM RESID'!$I:$I,$F613)/SUMIFS('COM RESID'!$O:$O,'COM RESID'!$I:$I,$F613)*AC613,1),3)</f>
        <v>-1</v>
      </c>
      <c r="Z613" s="14">
        <v>0</v>
      </c>
      <c r="AA613" s="14">
        <v>5</v>
      </c>
      <c r="AB613" s="10"/>
      <c r="AC613" s="20">
        <v>1.02</v>
      </c>
    </row>
    <row r="614" spans="1:29" x14ac:dyDescent="0.25">
      <c r="A614" s="10">
        <f>A613</f>
        <v>153</v>
      </c>
      <c r="B614" s="10"/>
      <c r="C614" s="11" t="str">
        <f>IF(C613="*",C613,"")</f>
        <v/>
      </c>
      <c r="D614" s="12"/>
      <c r="E614" s="13" t="str">
        <f t="shared" ref="E614:G616" si="192">E613</f>
        <v>COMELC</v>
      </c>
      <c r="F614" s="13" t="str">
        <f t="shared" si="192"/>
        <v>COMOTHOldSCEUE</v>
      </c>
      <c r="G614" s="13" t="str">
        <f t="shared" si="192"/>
        <v>COMOTHOldSCEUE</v>
      </c>
      <c r="H614" s="14">
        <v>2025</v>
      </c>
      <c r="I614" s="14" t="str">
        <f>I613</f>
        <v>LO</v>
      </c>
      <c r="J614" s="14"/>
      <c r="K614" s="15">
        <f>-ROUNDDOWN(SUMIFS('COM RESID'!$O:$O,'COM RESID'!$H:$H,$E614,'COM RESID'!$I:$I,$F614)/SUMIFS('COM RESID'!$O:$O,'COM RESID'!$I:$I,$F614),3)*O614</f>
        <v>-0.8</v>
      </c>
      <c r="L614" s="14"/>
      <c r="M614" s="14"/>
      <c r="N614" s="10"/>
      <c r="O614" s="20">
        <v>0.8</v>
      </c>
      <c r="Q614" s="11" t="str">
        <f t="shared" si="180"/>
        <v/>
      </c>
      <c r="R614" s="12"/>
      <c r="S614" s="13" t="str">
        <f t="shared" si="182"/>
        <v>COMELC</v>
      </c>
      <c r="T614" s="13" t="str">
        <f t="shared" si="183"/>
        <v>COMOTHOldSCEUE</v>
      </c>
      <c r="U614" s="13" t="str">
        <f t="shared" si="184"/>
        <v>COMOTHOldSCEUE</v>
      </c>
      <c r="V614" s="14">
        <v>2025</v>
      </c>
      <c r="W614" s="14" t="str">
        <f>W613</f>
        <v>UP</v>
      </c>
      <c r="X614" s="14"/>
      <c r="Y614" s="15">
        <f>-ROUNDUP(MIN(SUMIFS('COM RESID'!$O:$O,'COM RESID'!$H:$H,$E614,'COM RESID'!$I:$I,$F614)/SUMIFS('COM RESID'!$O:$O,'COM RESID'!$I:$I,$F614)*AC614,1),3)</f>
        <v>-1</v>
      </c>
      <c r="Z614" s="14"/>
      <c r="AA614" s="14"/>
      <c r="AB614" s="10"/>
      <c r="AC614" s="20">
        <f>IF(S614="COMELC",IF(SUMIFS('COM RESID'!$O:$O,'COM RESID'!$H:$H,$E614,'COM RESID'!$I:$I,$F614)/SUMIFS('COM RESID'!$O:$O,'COM RESID'!$I:$I,$F614)*1.2&lt;0.25,0.25/(SUMIFS('COM RESID'!$O:$O,'COM RESID'!$H:$H,$E614,'COM RESID'!$I:$I,$F614)/SUMIFS('COM RESID'!$O:$O,'COM RESID'!$I:$I,$F614)),1.2),IF(ISNUMBER(SEARCH("WHEUE",T614)),IF(OR(S614="COMNGA",S614="COMFOI"),1,1.2),1.2))</f>
        <v>1.2</v>
      </c>
    </row>
    <row r="615" spans="1:29" x14ac:dyDescent="0.25">
      <c r="A615" s="10">
        <f>A614</f>
        <v>153</v>
      </c>
      <c r="B615" s="10"/>
      <c r="C615" s="11" t="str">
        <f>IF(C614="*",C614,"")</f>
        <v/>
      </c>
      <c r="D615" s="12"/>
      <c r="E615" s="13" t="str">
        <f t="shared" si="192"/>
        <v>COMELC</v>
      </c>
      <c r="F615" s="13" t="str">
        <f t="shared" si="192"/>
        <v>COMOTHOldSCEUE</v>
      </c>
      <c r="G615" s="13" t="str">
        <f t="shared" si="192"/>
        <v>COMOTHOldSCEUE</v>
      </c>
      <c r="H615" s="14">
        <v>2030</v>
      </c>
      <c r="I615" s="14" t="str">
        <f>I614</f>
        <v>LO</v>
      </c>
      <c r="J615" s="14"/>
      <c r="K615" s="15">
        <f>-ROUNDDOWN(SUMIFS('COM RESID'!$O:$O,'COM RESID'!$H:$H,$E615,'COM RESID'!$I:$I,$F615)/SUMIFS('COM RESID'!$O:$O,'COM RESID'!$I:$I,$F615),3)*O615</f>
        <v>-0.75</v>
      </c>
      <c r="L615" s="14"/>
      <c r="M615" s="14"/>
      <c r="N615" s="10"/>
      <c r="O615" s="20">
        <v>0.75</v>
      </c>
      <c r="Q615" s="11" t="str">
        <f t="shared" si="180"/>
        <v/>
      </c>
      <c r="R615" s="12"/>
      <c r="S615" s="13" t="str">
        <f t="shared" si="182"/>
        <v>COMELC</v>
      </c>
      <c r="T615" s="13" t="str">
        <f t="shared" si="183"/>
        <v>COMOTHOldSCEUE</v>
      </c>
      <c r="U615" s="13" t="str">
        <f t="shared" si="184"/>
        <v>COMOTHOldSCEUE</v>
      </c>
      <c r="V615" s="14">
        <v>2030</v>
      </c>
      <c r="W615" s="14" t="str">
        <f>W614</f>
        <v>UP</v>
      </c>
      <c r="X615" s="14"/>
      <c r="Y615" s="15">
        <f>-ROUNDUP(MIN(SUMIFS('COM RESID'!$O:$O,'COM RESID'!$H:$H,$E615,'COM RESID'!$I:$I,$F615)/SUMIFS('COM RESID'!$O:$O,'COM RESID'!$I:$I,$F615)*AC615,1),3)</f>
        <v>-1</v>
      </c>
      <c r="Z615" s="14"/>
      <c r="AA615" s="14"/>
      <c r="AB615" s="10"/>
      <c r="AC615" s="20">
        <f>IF(S615="COMELC",IF(SUMIFS('COM RESID'!$O:$O,'COM RESID'!$H:$H,$E615,'COM RESID'!$I:$I,$F615)/SUMIFS('COM RESID'!$O:$O,'COM RESID'!$I:$I,$F615)*1.5&lt;0.5,0.5/(SUMIFS('COM RESID'!$O:$O,'COM RESID'!$H:$H,$E615,'COM RESID'!$I:$I,$F615)/SUMIFS('COM RESID'!$O:$O,'COM RESID'!$I:$I,$F615)),1.5),IF(ISNUMBER(SEARCH("WHEUE",T614)),IF(OR(S614="COMNGA",S614="COMFOI"),0.9,1.5),1.5))</f>
        <v>1.5</v>
      </c>
    </row>
    <row r="616" spans="1:29" x14ac:dyDescent="0.25">
      <c r="A616" s="26">
        <f>A615</f>
        <v>153</v>
      </c>
      <c r="B616" s="26"/>
      <c r="C616" s="21" t="str">
        <f>IF(C615="*",C615,"")</f>
        <v/>
      </c>
      <c r="D616" s="22"/>
      <c r="E616" s="23" t="str">
        <f t="shared" si="192"/>
        <v>COMELC</v>
      </c>
      <c r="F616" s="23" t="str">
        <f t="shared" si="192"/>
        <v>COMOTHOldSCEUE</v>
      </c>
      <c r="G616" s="23" t="str">
        <f t="shared" si="192"/>
        <v>COMOTHOldSCEUE</v>
      </c>
      <c r="H616" s="24">
        <v>2050</v>
      </c>
      <c r="I616" s="24" t="str">
        <f>I615</f>
        <v>LO</v>
      </c>
      <c r="J616" s="24"/>
      <c r="K616" s="25">
        <f>-ROUNDDOWN(SUMIFS('COM RESID'!$O:$O,'COM RESID'!$H:$H,$E616,'COM RESID'!$I:$I,$F616)/SUMIFS('COM RESID'!$O:$O,'COM RESID'!$I:$I,$F616),3)*O616</f>
        <v>-0.75</v>
      </c>
      <c r="L616" s="24"/>
      <c r="M616" s="24"/>
      <c r="N616" s="26"/>
      <c r="O616" s="27">
        <v>0.75</v>
      </c>
      <c r="Q616" s="21" t="str">
        <f t="shared" si="180"/>
        <v/>
      </c>
      <c r="R616" s="22"/>
      <c r="S616" s="23" t="str">
        <f t="shared" si="182"/>
        <v>COMELC</v>
      </c>
      <c r="T616" s="23" t="str">
        <f t="shared" si="183"/>
        <v>COMOTHOldSCEUE</v>
      </c>
      <c r="U616" s="23" t="str">
        <f t="shared" si="184"/>
        <v>COMOTHOldSCEUE</v>
      </c>
      <c r="V616" s="24">
        <v>2050</v>
      </c>
      <c r="W616" s="24" t="str">
        <f>W615</f>
        <v>UP</v>
      </c>
      <c r="X616" s="24"/>
      <c r="Y616" s="25">
        <f>-ROUNDUP(MIN(SUMIFS('COM RESID'!$O:$O,'COM RESID'!$H:$H,$E616,'COM RESID'!$I:$I,$F616)/SUMIFS('COM RESID'!$O:$O,'COM RESID'!$I:$I,$F616)*AC616,1),3)</f>
        <v>-1</v>
      </c>
      <c r="Z616" s="24"/>
      <c r="AA616" s="24"/>
      <c r="AB616" s="26"/>
      <c r="AC616" s="27">
        <f>IF(S616="COMELC",IF(SUMIFS('COM RESID'!$O:$O,'COM RESID'!$H:$H,$E616,'COM RESID'!$I:$I,$F616)/SUMIFS('COM RESID'!$O:$O,'COM RESID'!$I:$I,$F616)*3&lt;1,1/(SUMIFS('COM RESID'!$O:$O,'COM RESID'!$H:$H,$E616,'COM RESID'!$I:$I,$F616)/SUMIFS('COM RESID'!$O:$O,'COM RESID'!$I:$I,$F616)),3),IF(ISNUMBER(SEARCH("WHEUE",T614)),IF(OR(S614="COMNGA",S614="COMFOI"),0.75,3),3))</f>
        <v>3</v>
      </c>
    </row>
    <row r="617" spans="1:29" x14ac:dyDescent="0.25">
      <c r="A617" s="19">
        <f>A613+1</f>
        <v>154</v>
      </c>
      <c r="B617" s="10"/>
      <c r="C617" s="11" t="str">
        <f>IF(E617="","",IF(_xlfn.XLOOKUP($A617,Selected_constraint_UC!$A:$A,Selected_constraint_UC!$D:$D)=1,"*",IF(SUMIFS('COM TECH'!$N:$N,'COM TECH'!$K:$K,E617,'COM TECH'!$L:$L,F617)=0,"*",IF(SUMIFS('COM RESID'!$O:$O,'COM RESID'!$H:$H,$E617,'COM RESID'!$I:$I,$F617)=0,"*","UC_MarketShare_"&amp;LEFT(F617,LEN(F617)-3)&amp;"_"&amp;RIGHT(E617,3)&amp;"_MIN"))))</f>
        <v>*</v>
      </c>
      <c r="D617" s="12"/>
      <c r="E617" s="13" t="str">
        <f>_xlfn.XLOOKUP($A617,Selected_constraint_UC!$A:$A,Selected_constraint_UC!$B:$B)</f>
        <v>COMELC</v>
      </c>
      <c r="F617" s="13" t="str">
        <f>_xlfn.XLOOKUP($A617,Selected_constraint_UC!$A:$A,Selected_constraint_UC!$C:$C)</f>
        <v>COMOTHOldVTEUE</v>
      </c>
      <c r="G617" s="13" t="str">
        <f>F617</f>
        <v>COMOTHOldVTEUE</v>
      </c>
      <c r="H617" s="14">
        <v>2019</v>
      </c>
      <c r="I617" s="14" t="s">
        <v>3848</v>
      </c>
      <c r="J617" s="14">
        <v>1</v>
      </c>
      <c r="K617" s="15">
        <f>-ROUNDDOWN(SUMIFS('COM RESID'!$O:$O,'COM RESID'!$H:$H,$E617,'COM RESID'!$I:$I,$F617)/SUMIFS('COM RESID'!$O:$O,'COM RESID'!$I:$I,$F617),3)*O617</f>
        <v>-0.98</v>
      </c>
      <c r="L617" s="14">
        <v>0</v>
      </c>
      <c r="M617" s="14">
        <v>5</v>
      </c>
      <c r="N617" s="10"/>
      <c r="O617" s="20">
        <v>0.98</v>
      </c>
      <c r="Q617" s="11" t="str">
        <f t="shared" si="180"/>
        <v>*</v>
      </c>
      <c r="R617" s="12"/>
      <c r="S617" s="13" t="str">
        <f t="shared" si="182"/>
        <v>COMELC</v>
      </c>
      <c r="T617" s="13" t="str">
        <f t="shared" si="183"/>
        <v>COMOTHOldVTEUE</v>
      </c>
      <c r="U617" s="13" t="str">
        <f t="shared" si="184"/>
        <v>COMOTHOldVTEUE</v>
      </c>
      <c r="V617" s="14">
        <v>2019</v>
      </c>
      <c r="W617" s="14" t="s">
        <v>3849</v>
      </c>
      <c r="X617" s="14">
        <v>1</v>
      </c>
      <c r="Y617" s="15">
        <f>-ROUNDUP(MIN(SUMIFS('COM RESID'!$O:$O,'COM RESID'!$H:$H,$E617,'COM RESID'!$I:$I,$F617)/SUMIFS('COM RESID'!$O:$O,'COM RESID'!$I:$I,$F617)*AC617,1),3)</f>
        <v>-1</v>
      </c>
      <c r="Z617" s="14">
        <v>0</v>
      </c>
      <c r="AA617" s="14">
        <v>5</v>
      </c>
      <c r="AB617" s="10"/>
      <c r="AC617" s="20">
        <v>1.02</v>
      </c>
    </row>
    <row r="618" spans="1:29" x14ac:dyDescent="0.25">
      <c r="A618" s="10">
        <f>A617</f>
        <v>154</v>
      </c>
      <c r="B618" s="10"/>
      <c r="C618" s="11" t="str">
        <f>IF(C617="*",C617,"")</f>
        <v>*</v>
      </c>
      <c r="D618" s="12"/>
      <c r="E618" s="13" t="str">
        <f t="shared" ref="E618:G620" si="193">E617</f>
        <v>COMELC</v>
      </c>
      <c r="F618" s="13" t="str">
        <f t="shared" si="193"/>
        <v>COMOTHOldVTEUE</v>
      </c>
      <c r="G618" s="13" t="str">
        <f t="shared" si="193"/>
        <v>COMOTHOldVTEUE</v>
      </c>
      <c r="H618" s="14">
        <v>2025</v>
      </c>
      <c r="I618" s="14" t="str">
        <f>I617</f>
        <v>LO</v>
      </c>
      <c r="J618" s="14"/>
      <c r="K618" s="15">
        <f>-ROUNDDOWN(SUMIFS('COM RESID'!$O:$O,'COM RESID'!$H:$H,$E618,'COM RESID'!$I:$I,$F618)/SUMIFS('COM RESID'!$O:$O,'COM RESID'!$I:$I,$F618),3)*O618</f>
        <v>-0.8</v>
      </c>
      <c r="L618" s="14"/>
      <c r="M618" s="14"/>
      <c r="N618" s="10"/>
      <c r="O618" s="20">
        <v>0.8</v>
      </c>
      <c r="Q618" s="11" t="str">
        <f t="shared" si="180"/>
        <v>*</v>
      </c>
      <c r="R618" s="12"/>
      <c r="S618" s="13" t="str">
        <f t="shared" si="182"/>
        <v>COMELC</v>
      </c>
      <c r="T618" s="13" t="str">
        <f t="shared" si="183"/>
        <v>COMOTHOldVTEUE</v>
      </c>
      <c r="U618" s="13" t="str">
        <f t="shared" si="184"/>
        <v>COMOTHOldVTEUE</v>
      </c>
      <c r="V618" s="14">
        <v>2025</v>
      </c>
      <c r="W618" s="14" t="str">
        <f>W617</f>
        <v>UP</v>
      </c>
      <c r="X618" s="14"/>
      <c r="Y618" s="15">
        <f>-ROUNDUP(MIN(SUMIFS('COM RESID'!$O:$O,'COM RESID'!$H:$H,$E618,'COM RESID'!$I:$I,$F618)/SUMIFS('COM RESID'!$O:$O,'COM RESID'!$I:$I,$F618)*AC618,1),3)</f>
        <v>-1</v>
      </c>
      <c r="Z618" s="14"/>
      <c r="AA618" s="14"/>
      <c r="AB618" s="10"/>
      <c r="AC618" s="20">
        <f>IF(S618="COMELC",IF(SUMIFS('COM RESID'!$O:$O,'COM RESID'!$H:$H,$E618,'COM RESID'!$I:$I,$F618)/SUMIFS('COM RESID'!$O:$O,'COM RESID'!$I:$I,$F618)*1.2&lt;0.25,0.25/(SUMIFS('COM RESID'!$O:$O,'COM RESID'!$H:$H,$E618,'COM RESID'!$I:$I,$F618)/SUMIFS('COM RESID'!$O:$O,'COM RESID'!$I:$I,$F618)),1.2),IF(ISNUMBER(SEARCH("WHEUE",T618)),IF(OR(S618="COMNGA",S618="COMFOI"),1,1.2),1.2))</f>
        <v>1.2</v>
      </c>
    </row>
    <row r="619" spans="1:29" x14ac:dyDescent="0.25">
      <c r="A619" s="10">
        <f>A618</f>
        <v>154</v>
      </c>
      <c r="B619" s="10"/>
      <c r="C619" s="11" t="str">
        <f>IF(C618="*",C618,"")</f>
        <v>*</v>
      </c>
      <c r="D619" s="12"/>
      <c r="E619" s="13" t="str">
        <f t="shared" si="193"/>
        <v>COMELC</v>
      </c>
      <c r="F619" s="13" t="str">
        <f t="shared" si="193"/>
        <v>COMOTHOldVTEUE</v>
      </c>
      <c r="G619" s="13" t="str">
        <f t="shared" si="193"/>
        <v>COMOTHOldVTEUE</v>
      </c>
      <c r="H619" s="14">
        <v>2030</v>
      </c>
      <c r="I619" s="14" t="str">
        <f>I618</f>
        <v>LO</v>
      </c>
      <c r="J619" s="14"/>
      <c r="K619" s="15">
        <f>-ROUNDDOWN(SUMIFS('COM RESID'!$O:$O,'COM RESID'!$H:$H,$E619,'COM RESID'!$I:$I,$F619)/SUMIFS('COM RESID'!$O:$O,'COM RESID'!$I:$I,$F619),3)*O619</f>
        <v>-0.2</v>
      </c>
      <c r="L619" s="14"/>
      <c r="M619" s="14"/>
      <c r="N619" s="10"/>
      <c r="O619" s="20">
        <v>0.2</v>
      </c>
      <c r="Q619" s="11" t="str">
        <f t="shared" si="180"/>
        <v>*</v>
      </c>
      <c r="R619" s="12"/>
      <c r="S619" s="13" t="str">
        <f t="shared" si="182"/>
        <v>COMELC</v>
      </c>
      <c r="T619" s="13" t="str">
        <f t="shared" si="183"/>
        <v>COMOTHOldVTEUE</v>
      </c>
      <c r="U619" s="13" t="str">
        <f t="shared" si="184"/>
        <v>COMOTHOldVTEUE</v>
      </c>
      <c r="V619" s="14">
        <v>2030</v>
      </c>
      <c r="W619" s="14" t="str">
        <f>W618</f>
        <v>UP</v>
      </c>
      <c r="X619" s="14"/>
      <c r="Y619" s="15">
        <f>-ROUNDUP(MIN(SUMIFS('COM RESID'!$O:$O,'COM RESID'!$H:$H,$E619,'COM RESID'!$I:$I,$F619)/SUMIFS('COM RESID'!$O:$O,'COM RESID'!$I:$I,$F619)*AC619,1),3)</f>
        <v>-1</v>
      </c>
      <c r="Z619" s="14"/>
      <c r="AA619" s="14"/>
      <c r="AB619" s="10"/>
      <c r="AC619" s="20">
        <f>IF(S619="COMELC",IF(SUMIFS('COM RESID'!$O:$O,'COM RESID'!$H:$H,$E619,'COM RESID'!$I:$I,$F619)/SUMIFS('COM RESID'!$O:$O,'COM RESID'!$I:$I,$F619)*1.5&lt;0.5,0.5/(SUMIFS('COM RESID'!$O:$O,'COM RESID'!$H:$H,$E619,'COM RESID'!$I:$I,$F619)/SUMIFS('COM RESID'!$O:$O,'COM RESID'!$I:$I,$F619)),1.5),IF(ISNUMBER(SEARCH("WHEUE",T618)),IF(OR(S618="COMNGA",S618="COMFOI"),0.9,1.5),1.5))</f>
        <v>1.5</v>
      </c>
    </row>
    <row r="620" spans="1:29" x14ac:dyDescent="0.25">
      <c r="A620" s="26">
        <f>A619</f>
        <v>154</v>
      </c>
      <c r="B620" s="26"/>
      <c r="C620" s="21" t="str">
        <f>IF(C619="*",C619,"")</f>
        <v>*</v>
      </c>
      <c r="D620" s="22"/>
      <c r="E620" s="23" t="str">
        <f t="shared" si="193"/>
        <v>COMELC</v>
      </c>
      <c r="F620" s="23" t="str">
        <f t="shared" si="193"/>
        <v>COMOTHOldVTEUE</v>
      </c>
      <c r="G620" s="23" t="str">
        <f t="shared" si="193"/>
        <v>COMOTHOldVTEUE</v>
      </c>
      <c r="H620" s="24">
        <v>2050</v>
      </c>
      <c r="I620" s="24" t="str">
        <f>I619</f>
        <v>LO</v>
      </c>
      <c r="J620" s="24"/>
      <c r="K620" s="25">
        <f>-ROUNDDOWN(SUMIFS('COM RESID'!$O:$O,'COM RESID'!$H:$H,$E620,'COM RESID'!$I:$I,$F620)/SUMIFS('COM RESID'!$O:$O,'COM RESID'!$I:$I,$F620),3)*O620</f>
        <v>0</v>
      </c>
      <c r="L620" s="24"/>
      <c r="M620" s="24"/>
      <c r="N620" s="26"/>
      <c r="O620" s="27">
        <v>0</v>
      </c>
      <c r="Q620" s="21" t="str">
        <f t="shared" si="180"/>
        <v>*</v>
      </c>
      <c r="R620" s="22"/>
      <c r="S620" s="23" t="str">
        <f t="shared" si="182"/>
        <v>COMELC</v>
      </c>
      <c r="T620" s="23" t="str">
        <f t="shared" si="183"/>
        <v>COMOTHOldVTEUE</v>
      </c>
      <c r="U620" s="23" t="str">
        <f t="shared" si="184"/>
        <v>COMOTHOldVTEUE</v>
      </c>
      <c r="V620" s="24">
        <v>2050</v>
      </c>
      <c r="W620" s="24" t="str">
        <f>W619</f>
        <v>UP</v>
      </c>
      <c r="X620" s="24"/>
      <c r="Y620" s="25">
        <f>-ROUNDUP(MIN(SUMIFS('COM RESID'!$O:$O,'COM RESID'!$H:$H,$E620,'COM RESID'!$I:$I,$F620)/SUMIFS('COM RESID'!$O:$O,'COM RESID'!$I:$I,$F620)*AC620,1),3)</f>
        <v>-1</v>
      </c>
      <c r="Z620" s="24"/>
      <c r="AA620" s="24"/>
      <c r="AB620" s="26"/>
      <c r="AC620" s="27">
        <f>IF(S620="COMELC",IF(SUMIFS('COM RESID'!$O:$O,'COM RESID'!$H:$H,$E620,'COM RESID'!$I:$I,$F620)/SUMIFS('COM RESID'!$O:$O,'COM RESID'!$I:$I,$F620)*3&lt;1,1/(SUMIFS('COM RESID'!$O:$O,'COM RESID'!$H:$H,$E620,'COM RESID'!$I:$I,$F620)/SUMIFS('COM RESID'!$O:$O,'COM RESID'!$I:$I,$F620)),3),IF(ISNUMBER(SEARCH("WHEUE",T618)),IF(OR(S618="COMNGA",S618="COMFOI"),0.75,3),3))</f>
        <v>3</v>
      </c>
    </row>
    <row r="621" spans="1:29" x14ac:dyDescent="0.25">
      <c r="A621" s="19">
        <f>A617+1</f>
        <v>155</v>
      </c>
      <c r="B621" s="10"/>
      <c r="C621" s="11" t="str">
        <f>IF(E621="","",IF(_xlfn.XLOOKUP($A621,Selected_constraint_UC!$A:$A,Selected_constraint_UC!$D:$D)=1,"*",IF(SUMIFS('COM TECH'!$N:$N,'COM TECH'!$K:$K,E621,'COM TECH'!$L:$L,F621)=0,"*",IF(SUMIFS('COM RESID'!$O:$O,'COM RESID'!$H:$H,$E621,'COM RESID'!$I:$I,$F621)=0,"*","UC_MarketShare_"&amp;LEFT(F621,LEN(F621)-3)&amp;"_"&amp;RIGHT(E621,3)&amp;"_MIN"))))</f>
        <v>UC_MarketShare_COMOTHOldWH_FOI_MIN</v>
      </c>
      <c r="D621" s="12"/>
      <c r="E621" s="13" t="str">
        <f>_xlfn.XLOOKUP($A621,Selected_constraint_UC!$A:$A,Selected_constraint_UC!$B:$B)</f>
        <v>COMFOI</v>
      </c>
      <c r="F621" s="13" t="str">
        <f>_xlfn.XLOOKUP($A621,Selected_constraint_UC!$A:$A,Selected_constraint_UC!$C:$C)</f>
        <v>COMOTHOldWHEUE</v>
      </c>
      <c r="G621" s="13" t="str">
        <f>F621</f>
        <v>COMOTHOldWHEUE</v>
      </c>
      <c r="H621" s="14">
        <v>2019</v>
      </c>
      <c r="I621" s="14" t="s">
        <v>3848</v>
      </c>
      <c r="J621" s="14">
        <v>1</v>
      </c>
      <c r="K621" s="15">
        <f>-ROUNDDOWN(SUMIFS('COM RESID'!$O:$O,'COM RESID'!$H:$H,$E621,'COM RESID'!$I:$I,$F621)/SUMIFS('COM RESID'!$O:$O,'COM RESID'!$I:$I,$F621),3)*O621</f>
        <v>-7.0559999999999998E-2</v>
      </c>
      <c r="L621" s="14">
        <v>0</v>
      </c>
      <c r="M621" s="14">
        <v>5</v>
      </c>
      <c r="N621" s="10"/>
      <c r="O621" s="20">
        <v>0.98</v>
      </c>
      <c r="Q621" s="11" t="str">
        <f t="shared" si="180"/>
        <v>UC_MarketShare_COMOTHOldWH_FOI_MAX</v>
      </c>
      <c r="R621" s="12"/>
      <c r="S621" s="13" t="str">
        <f t="shared" si="182"/>
        <v>COMFOI</v>
      </c>
      <c r="T621" s="13" t="str">
        <f t="shared" si="183"/>
        <v>COMOTHOldWHEUE</v>
      </c>
      <c r="U621" s="13" t="str">
        <f t="shared" si="184"/>
        <v>COMOTHOldWHEUE</v>
      </c>
      <c r="V621" s="14">
        <v>2019</v>
      </c>
      <c r="W621" s="14" t="s">
        <v>3849</v>
      </c>
      <c r="X621" s="14">
        <v>1</v>
      </c>
      <c r="Y621" s="15">
        <f>-ROUNDUP(MIN(SUMIFS('COM RESID'!$O:$O,'COM RESID'!$H:$H,$E621,'COM RESID'!$I:$I,$F621)/SUMIFS('COM RESID'!$O:$O,'COM RESID'!$I:$I,$F621)*AC621,1),3)</f>
        <v>-7.4999999999999997E-2</v>
      </c>
      <c r="Z621" s="14">
        <v>0</v>
      </c>
      <c r="AA621" s="14">
        <v>5</v>
      </c>
      <c r="AB621" s="10"/>
      <c r="AC621" s="20">
        <v>1.02</v>
      </c>
    </row>
    <row r="622" spans="1:29" x14ac:dyDescent="0.25">
      <c r="A622" s="10">
        <f>A621</f>
        <v>155</v>
      </c>
      <c r="B622" s="10"/>
      <c r="C622" s="11" t="str">
        <f>IF(C621="*",C621,"")</f>
        <v/>
      </c>
      <c r="D622" s="12"/>
      <c r="E622" s="13" t="str">
        <f t="shared" ref="E622:G624" si="194">E621</f>
        <v>COMFOI</v>
      </c>
      <c r="F622" s="13" t="str">
        <f t="shared" si="194"/>
        <v>COMOTHOldWHEUE</v>
      </c>
      <c r="G622" s="13" t="str">
        <f t="shared" si="194"/>
        <v>COMOTHOldWHEUE</v>
      </c>
      <c r="H622" s="14">
        <v>2025</v>
      </c>
      <c r="I622" s="14" t="str">
        <f>I621</f>
        <v>LO</v>
      </c>
      <c r="J622" s="14"/>
      <c r="K622" s="15">
        <f>-ROUNDDOWN(SUMIFS('COM RESID'!$O:$O,'COM RESID'!$H:$H,$E622,'COM RESID'!$I:$I,$F622)/SUMIFS('COM RESID'!$O:$O,'COM RESID'!$I:$I,$F622),3)*O622</f>
        <v>-5.7599999999999998E-2</v>
      </c>
      <c r="L622" s="14"/>
      <c r="M622" s="14"/>
      <c r="N622" s="10"/>
      <c r="O622" s="20">
        <v>0.8</v>
      </c>
      <c r="Q622" s="11" t="str">
        <f t="shared" si="180"/>
        <v/>
      </c>
      <c r="R622" s="12"/>
      <c r="S622" s="13" t="str">
        <f t="shared" si="182"/>
        <v>COMFOI</v>
      </c>
      <c r="T622" s="13" t="str">
        <f t="shared" si="183"/>
        <v>COMOTHOldWHEUE</v>
      </c>
      <c r="U622" s="13" t="str">
        <f t="shared" si="184"/>
        <v>COMOTHOldWHEUE</v>
      </c>
      <c r="V622" s="14">
        <v>2025</v>
      </c>
      <c r="W622" s="14" t="str">
        <f>W621</f>
        <v>UP</v>
      </c>
      <c r="X622" s="14"/>
      <c r="Y622" s="15">
        <f>-ROUNDUP(MIN(SUMIFS('COM RESID'!$O:$O,'COM RESID'!$H:$H,$E622,'COM RESID'!$I:$I,$F622)/SUMIFS('COM RESID'!$O:$O,'COM RESID'!$I:$I,$F622)*AC622,1),3)</f>
        <v>-7.2999999999999995E-2</v>
      </c>
      <c r="Z622" s="14"/>
      <c r="AA622" s="14"/>
      <c r="AB622" s="10"/>
      <c r="AC622" s="20">
        <f>IF(S622="COMELC",IF(SUMIFS('COM RESID'!$O:$O,'COM RESID'!$H:$H,$E622,'COM RESID'!$I:$I,$F622)/SUMIFS('COM RESID'!$O:$O,'COM RESID'!$I:$I,$F622)*1.2&lt;0.25,0.25/(SUMIFS('COM RESID'!$O:$O,'COM RESID'!$H:$H,$E622,'COM RESID'!$I:$I,$F622)/SUMIFS('COM RESID'!$O:$O,'COM RESID'!$I:$I,$F622)),1.2),IF(ISNUMBER(SEARCH("WHEUE",T622)),IF(OR(S622="COMNGA",S622="COMFOI"),1,1.2),1.2))</f>
        <v>1</v>
      </c>
    </row>
    <row r="623" spans="1:29" x14ac:dyDescent="0.25">
      <c r="A623" s="10">
        <f>A622</f>
        <v>155</v>
      </c>
      <c r="B623" s="10"/>
      <c r="C623" s="11" t="str">
        <f>IF(C622="*",C622,"")</f>
        <v/>
      </c>
      <c r="D623" s="12"/>
      <c r="E623" s="13" t="str">
        <f t="shared" si="194"/>
        <v>COMFOI</v>
      </c>
      <c r="F623" s="13" t="str">
        <f t="shared" si="194"/>
        <v>COMOTHOldWHEUE</v>
      </c>
      <c r="G623" s="13" t="str">
        <f t="shared" si="194"/>
        <v>COMOTHOldWHEUE</v>
      </c>
      <c r="H623" s="14">
        <v>2030</v>
      </c>
      <c r="I623" s="14" t="str">
        <f>I622</f>
        <v>LO</v>
      </c>
      <c r="J623" s="14"/>
      <c r="K623" s="15">
        <f>-ROUNDDOWN(SUMIFS('COM RESID'!$O:$O,'COM RESID'!$H:$H,$E623,'COM RESID'!$I:$I,$F623)/SUMIFS('COM RESID'!$O:$O,'COM RESID'!$I:$I,$F623),3)*O623</f>
        <v>-1.44E-2</v>
      </c>
      <c r="L623" s="14"/>
      <c r="M623" s="14"/>
      <c r="N623" s="10"/>
      <c r="O623" s="20">
        <v>0.2</v>
      </c>
      <c r="Q623" s="11" t="str">
        <f t="shared" si="180"/>
        <v/>
      </c>
      <c r="R623" s="12"/>
      <c r="S623" s="13" t="str">
        <f t="shared" si="182"/>
        <v>COMFOI</v>
      </c>
      <c r="T623" s="13" t="str">
        <f t="shared" si="183"/>
        <v>COMOTHOldWHEUE</v>
      </c>
      <c r="U623" s="13" t="str">
        <f t="shared" si="184"/>
        <v>COMOTHOldWHEUE</v>
      </c>
      <c r="V623" s="14">
        <v>2030</v>
      </c>
      <c r="W623" s="14" t="str">
        <f>W622</f>
        <v>UP</v>
      </c>
      <c r="X623" s="14"/>
      <c r="Y623" s="15">
        <f>-ROUNDUP(MIN(SUMIFS('COM RESID'!$O:$O,'COM RESID'!$H:$H,$E623,'COM RESID'!$I:$I,$F623)/SUMIFS('COM RESID'!$O:$O,'COM RESID'!$I:$I,$F623)*AC623,1),3)</f>
        <v>-6.6000000000000003E-2</v>
      </c>
      <c r="Z623" s="14"/>
      <c r="AA623" s="14"/>
      <c r="AB623" s="10"/>
      <c r="AC623" s="20">
        <f>IF(S623="COMELC",IF(SUMIFS('COM RESID'!$O:$O,'COM RESID'!$H:$H,$E623,'COM RESID'!$I:$I,$F623)/SUMIFS('COM RESID'!$O:$O,'COM RESID'!$I:$I,$F623)*1.5&lt;0.5,0.5/(SUMIFS('COM RESID'!$O:$O,'COM RESID'!$H:$H,$E623,'COM RESID'!$I:$I,$F623)/SUMIFS('COM RESID'!$O:$O,'COM RESID'!$I:$I,$F623)),1.5),IF(ISNUMBER(SEARCH("WHEUE",T622)),IF(OR(S622="COMNGA",S622="COMFOI"),0.9,1.5),1.5))</f>
        <v>0.9</v>
      </c>
    </row>
    <row r="624" spans="1:29" x14ac:dyDescent="0.25">
      <c r="A624" s="26">
        <f>A623</f>
        <v>155</v>
      </c>
      <c r="B624" s="26"/>
      <c r="C624" s="21" t="str">
        <f>IF(C623="*",C623,"")</f>
        <v/>
      </c>
      <c r="D624" s="22"/>
      <c r="E624" s="23" t="str">
        <f t="shared" si="194"/>
        <v>COMFOI</v>
      </c>
      <c r="F624" s="23" t="str">
        <f t="shared" si="194"/>
        <v>COMOTHOldWHEUE</v>
      </c>
      <c r="G624" s="23" t="str">
        <f t="shared" si="194"/>
        <v>COMOTHOldWHEUE</v>
      </c>
      <c r="H624" s="24">
        <v>2050</v>
      </c>
      <c r="I624" s="24" t="str">
        <f>I623</f>
        <v>LO</v>
      </c>
      <c r="J624" s="24"/>
      <c r="K624" s="25">
        <f>-ROUNDDOWN(SUMIFS('COM RESID'!$O:$O,'COM RESID'!$H:$H,$E624,'COM RESID'!$I:$I,$F624)/SUMIFS('COM RESID'!$O:$O,'COM RESID'!$I:$I,$F624),3)*O624</f>
        <v>0</v>
      </c>
      <c r="L624" s="24"/>
      <c r="M624" s="24"/>
      <c r="N624" s="26"/>
      <c r="O624" s="27">
        <v>0</v>
      </c>
      <c r="Q624" s="21" t="str">
        <f t="shared" si="180"/>
        <v/>
      </c>
      <c r="R624" s="22"/>
      <c r="S624" s="23" t="str">
        <f t="shared" si="182"/>
        <v>COMFOI</v>
      </c>
      <c r="T624" s="23" t="str">
        <f t="shared" si="183"/>
        <v>COMOTHOldWHEUE</v>
      </c>
      <c r="U624" s="23" t="str">
        <f t="shared" si="184"/>
        <v>COMOTHOldWHEUE</v>
      </c>
      <c r="V624" s="24">
        <v>2050</v>
      </c>
      <c r="W624" s="24" t="str">
        <f>W623</f>
        <v>UP</v>
      </c>
      <c r="X624" s="24"/>
      <c r="Y624" s="25">
        <f>-ROUNDUP(MIN(SUMIFS('COM RESID'!$O:$O,'COM RESID'!$H:$H,$E624,'COM RESID'!$I:$I,$F624)/SUMIFS('COM RESID'!$O:$O,'COM RESID'!$I:$I,$F624)*AC624,1),3)</f>
        <v>-5.5E-2</v>
      </c>
      <c r="Z624" s="24"/>
      <c r="AA624" s="24"/>
      <c r="AB624" s="26"/>
      <c r="AC624" s="27">
        <f>IF(S624="COMELC",IF(SUMIFS('COM RESID'!$O:$O,'COM RESID'!$H:$H,$E624,'COM RESID'!$I:$I,$F624)/SUMIFS('COM RESID'!$O:$O,'COM RESID'!$I:$I,$F624)*3&lt;1,1/(SUMIFS('COM RESID'!$O:$O,'COM RESID'!$H:$H,$E624,'COM RESID'!$I:$I,$F624)/SUMIFS('COM RESID'!$O:$O,'COM RESID'!$I:$I,$F624)),3),IF(ISNUMBER(SEARCH("WHEUE",T622)),IF(OR(S622="COMNGA",S622="COMFOI"),0.75,3),3))</f>
        <v>0.75</v>
      </c>
    </row>
    <row r="625" spans="1:29" x14ac:dyDescent="0.25">
      <c r="A625" s="19">
        <f>A621+1</f>
        <v>156</v>
      </c>
      <c r="B625" s="10"/>
      <c r="C625" s="11" t="str">
        <f>IF(E625="","",IF(_xlfn.XLOOKUP($A625,Selected_constraint_UC!$A:$A,Selected_constraint_UC!$D:$D)=1,"*",IF(SUMIFS('COM TECH'!$N:$N,'COM TECH'!$K:$K,E625,'COM TECH'!$L:$L,F625)=0,"*",IF(SUMIFS('COM RESID'!$O:$O,'COM RESID'!$H:$H,$E625,'COM RESID'!$I:$I,$F625)=0,"*","UC_MarketShare_"&amp;LEFT(F625,LEN(F625)-3)&amp;"_"&amp;RIGHT(E625,3)&amp;"_MIN"))))</f>
        <v>UC_MarketShare_COMOTHOldWH_NGA_MIN</v>
      </c>
      <c r="D625" s="12"/>
      <c r="E625" s="13" t="str">
        <f>_xlfn.XLOOKUP($A625,Selected_constraint_UC!$A:$A,Selected_constraint_UC!$B:$B)</f>
        <v>COMNGA</v>
      </c>
      <c r="F625" s="13" t="str">
        <f>_xlfn.XLOOKUP($A625,Selected_constraint_UC!$A:$A,Selected_constraint_UC!$C:$C)</f>
        <v>COMOTHOldWHEUE</v>
      </c>
      <c r="G625" s="13" t="str">
        <f>F625</f>
        <v>COMOTHOldWHEUE</v>
      </c>
      <c r="H625" s="14">
        <v>2019</v>
      </c>
      <c r="I625" s="14" t="s">
        <v>3848</v>
      </c>
      <c r="J625" s="14">
        <v>1</v>
      </c>
      <c r="K625" s="15">
        <f>-ROUNDDOWN(SUMIFS('COM RESID'!$O:$O,'COM RESID'!$H:$H,$E625,'COM RESID'!$I:$I,$F625)/SUMIFS('COM RESID'!$O:$O,'COM RESID'!$I:$I,$F625),3)*O625</f>
        <v>-0.83887999999999996</v>
      </c>
      <c r="L625" s="14">
        <v>0</v>
      </c>
      <c r="M625" s="14">
        <v>5</v>
      </c>
      <c r="N625" s="10"/>
      <c r="O625" s="20">
        <v>0.98</v>
      </c>
      <c r="Q625" s="11" t="str">
        <f t="shared" si="180"/>
        <v>UC_MarketShare_COMOTHOldWH_NGA_MAX</v>
      </c>
      <c r="R625" s="12"/>
      <c r="S625" s="13" t="str">
        <f t="shared" si="182"/>
        <v>COMNGA</v>
      </c>
      <c r="T625" s="13" t="str">
        <f t="shared" si="183"/>
        <v>COMOTHOldWHEUE</v>
      </c>
      <c r="U625" s="13" t="str">
        <f t="shared" si="184"/>
        <v>COMOTHOldWHEUE</v>
      </c>
      <c r="V625" s="14">
        <v>2019</v>
      </c>
      <c r="W625" s="14" t="s">
        <v>3849</v>
      </c>
      <c r="X625" s="14">
        <v>1</v>
      </c>
      <c r="Y625" s="15">
        <f>-ROUNDUP(MIN(SUMIFS('COM RESID'!$O:$O,'COM RESID'!$H:$H,$E625,'COM RESID'!$I:$I,$F625)/SUMIFS('COM RESID'!$O:$O,'COM RESID'!$I:$I,$F625)*AC625,1),3)</f>
        <v>-0.874</v>
      </c>
      <c r="Z625" s="14">
        <v>0</v>
      </c>
      <c r="AA625" s="14">
        <v>5</v>
      </c>
      <c r="AB625" s="10"/>
      <c r="AC625" s="20">
        <v>1.02</v>
      </c>
    </row>
    <row r="626" spans="1:29" x14ac:dyDescent="0.25">
      <c r="A626" s="10">
        <f>A625</f>
        <v>156</v>
      </c>
      <c r="B626" s="10"/>
      <c r="C626" s="11" t="str">
        <f>IF(C625="*",C625,"")</f>
        <v/>
      </c>
      <c r="D626" s="12"/>
      <c r="E626" s="13" t="str">
        <f t="shared" ref="E626:G628" si="195">E625</f>
        <v>COMNGA</v>
      </c>
      <c r="F626" s="13" t="str">
        <f t="shared" si="195"/>
        <v>COMOTHOldWHEUE</v>
      </c>
      <c r="G626" s="13" t="str">
        <f t="shared" si="195"/>
        <v>COMOTHOldWHEUE</v>
      </c>
      <c r="H626" s="14">
        <v>2025</v>
      </c>
      <c r="I626" s="14" t="str">
        <f>I625</f>
        <v>LO</v>
      </c>
      <c r="J626" s="14"/>
      <c r="K626" s="15">
        <f>-ROUNDDOWN(SUMIFS('COM RESID'!$O:$O,'COM RESID'!$H:$H,$E626,'COM RESID'!$I:$I,$F626)/SUMIFS('COM RESID'!$O:$O,'COM RESID'!$I:$I,$F626),3)*O626</f>
        <v>-0.68480000000000008</v>
      </c>
      <c r="L626" s="14"/>
      <c r="M626" s="14"/>
      <c r="N626" s="10"/>
      <c r="O626" s="20">
        <v>0.8</v>
      </c>
      <c r="Q626" s="11" t="str">
        <f t="shared" si="180"/>
        <v/>
      </c>
      <c r="R626" s="12"/>
      <c r="S626" s="13" t="str">
        <f t="shared" si="182"/>
        <v>COMNGA</v>
      </c>
      <c r="T626" s="13" t="str">
        <f t="shared" si="183"/>
        <v>COMOTHOldWHEUE</v>
      </c>
      <c r="U626" s="13" t="str">
        <f t="shared" si="184"/>
        <v>COMOTHOldWHEUE</v>
      </c>
      <c r="V626" s="14">
        <v>2025</v>
      </c>
      <c r="W626" s="14" t="str">
        <f>W625</f>
        <v>UP</v>
      </c>
      <c r="X626" s="14"/>
      <c r="Y626" s="15">
        <f>-ROUNDUP(MIN(SUMIFS('COM RESID'!$O:$O,'COM RESID'!$H:$H,$E626,'COM RESID'!$I:$I,$F626)/SUMIFS('COM RESID'!$O:$O,'COM RESID'!$I:$I,$F626)*AC626,1),3)</f>
        <v>-0.85699999999999998</v>
      </c>
      <c r="Z626" s="14"/>
      <c r="AA626" s="14"/>
      <c r="AB626" s="10"/>
      <c r="AC626" s="20">
        <f>IF(S626="COMELC",IF(SUMIFS('COM RESID'!$O:$O,'COM RESID'!$H:$H,$E626,'COM RESID'!$I:$I,$F626)/SUMIFS('COM RESID'!$O:$O,'COM RESID'!$I:$I,$F626)*1.2&lt;0.25,0.25/(SUMIFS('COM RESID'!$O:$O,'COM RESID'!$H:$H,$E626,'COM RESID'!$I:$I,$F626)/SUMIFS('COM RESID'!$O:$O,'COM RESID'!$I:$I,$F626)),1.2),IF(ISNUMBER(SEARCH("WHEUE",T626)),IF(OR(S626="COMNGA",S626="COMFOI"),1,1.2),1.2))</f>
        <v>1</v>
      </c>
    </row>
    <row r="627" spans="1:29" x14ac:dyDescent="0.25">
      <c r="A627" s="10">
        <f>A626</f>
        <v>156</v>
      </c>
      <c r="B627" s="10"/>
      <c r="C627" s="11" t="str">
        <f>IF(C626="*",C626,"")</f>
        <v/>
      </c>
      <c r="D627" s="12"/>
      <c r="E627" s="13" t="str">
        <f t="shared" si="195"/>
        <v>COMNGA</v>
      </c>
      <c r="F627" s="13" t="str">
        <f t="shared" si="195"/>
        <v>COMOTHOldWHEUE</v>
      </c>
      <c r="G627" s="13" t="str">
        <f t="shared" si="195"/>
        <v>COMOTHOldWHEUE</v>
      </c>
      <c r="H627" s="14">
        <v>2030</v>
      </c>
      <c r="I627" s="14" t="str">
        <f>I626</f>
        <v>LO</v>
      </c>
      <c r="J627" s="14"/>
      <c r="K627" s="15">
        <f>-ROUNDDOWN(SUMIFS('COM RESID'!$O:$O,'COM RESID'!$H:$H,$E627,'COM RESID'!$I:$I,$F627)/SUMIFS('COM RESID'!$O:$O,'COM RESID'!$I:$I,$F627),3)*O627</f>
        <v>-0.17120000000000002</v>
      </c>
      <c r="L627" s="14"/>
      <c r="M627" s="14"/>
      <c r="N627" s="10"/>
      <c r="O627" s="20">
        <v>0.2</v>
      </c>
      <c r="Q627" s="11" t="str">
        <f t="shared" si="180"/>
        <v/>
      </c>
      <c r="R627" s="12"/>
      <c r="S627" s="13" t="str">
        <f t="shared" si="182"/>
        <v>COMNGA</v>
      </c>
      <c r="T627" s="13" t="str">
        <f t="shared" si="183"/>
        <v>COMOTHOldWHEUE</v>
      </c>
      <c r="U627" s="13" t="str">
        <f t="shared" si="184"/>
        <v>COMOTHOldWHEUE</v>
      </c>
      <c r="V627" s="14">
        <v>2030</v>
      </c>
      <c r="W627" s="14" t="str">
        <f>W626</f>
        <v>UP</v>
      </c>
      <c r="X627" s="14"/>
      <c r="Y627" s="15">
        <f>-ROUNDUP(MIN(SUMIFS('COM RESID'!$O:$O,'COM RESID'!$H:$H,$E627,'COM RESID'!$I:$I,$F627)/SUMIFS('COM RESID'!$O:$O,'COM RESID'!$I:$I,$F627)*AC627,1),3)</f>
        <v>-0.77100000000000002</v>
      </c>
      <c r="Z627" s="14"/>
      <c r="AA627" s="14"/>
      <c r="AB627" s="10"/>
      <c r="AC627" s="20">
        <f>IF(S627="COMELC",IF(SUMIFS('COM RESID'!$O:$O,'COM RESID'!$H:$H,$E627,'COM RESID'!$I:$I,$F627)/SUMIFS('COM RESID'!$O:$O,'COM RESID'!$I:$I,$F627)*1.5&lt;0.5,0.5/(SUMIFS('COM RESID'!$O:$O,'COM RESID'!$H:$H,$E627,'COM RESID'!$I:$I,$F627)/SUMIFS('COM RESID'!$O:$O,'COM RESID'!$I:$I,$F627)),1.5),IF(ISNUMBER(SEARCH("WHEUE",T626)),IF(OR(S626="COMNGA",S626="COMFOI"),0.9,1.5),1.5))</f>
        <v>0.9</v>
      </c>
    </row>
    <row r="628" spans="1:29" x14ac:dyDescent="0.25">
      <c r="A628" s="26">
        <f>A627</f>
        <v>156</v>
      </c>
      <c r="B628" s="26"/>
      <c r="C628" s="21" t="str">
        <f>IF(C627="*",C627,"")</f>
        <v/>
      </c>
      <c r="D628" s="22"/>
      <c r="E628" s="23" t="str">
        <f t="shared" si="195"/>
        <v>COMNGA</v>
      </c>
      <c r="F628" s="23" t="str">
        <f t="shared" si="195"/>
        <v>COMOTHOldWHEUE</v>
      </c>
      <c r="G628" s="23" t="str">
        <f t="shared" si="195"/>
        <v>COMOTHOldWHEUE</v>
      </c>
      <c r="H628" s="24">
        <v>2050</v>
      </c>
      <c r="I628" s="24" t="str">
        <f>I627</f>
        <v>LO</v>
      </c>
      <c r="J628" s="24"/>
      <c r="K628" s="25">
        <f>-ROUNDDOWN(SUMIFS('COM RESID'!$O:$O,'COM RESID'!$H:$H,$E628,'COM RESID'!$I:$I,$F628)/SUMIFS('COM RESID'!$O:$O,'COM RESID'!$I:$I,$F628),3)*O628</f>
        <v>0</v>
      </c>
      <c r="L628" s="24"/>
      <c r="M628" s="24"/>
      <c r="N628" s="26"/>
      <c r="O628" s="27">
        <v>0</v>
      </c>
      <c r="Q628" s="21" t="str">
        <f t="shared" si="180"/>
        <v/>
      </c>
      <c r="R628" s="22"/>
      <c r="S628" s="23" t="str">
        <f t="shared" si="182"/>
        <v>COMNGA</v>
      </c>
      <c r="T628" s="23" t="str">
        <f t="shared" si="183"/>
        <v>COMOTHOldWHEUE</v>
      </c>
      <c r="U628" s="23" t="str">
        <f t="shared" si="184"/>
        <v>COMOTHOldWHEUE</v>
      </c>
      <c r="V628" s="24">
        <v>2050</v>
      </c>
      <c r="W628" s="24" t="str">
        <f>W627</f>
        <v>UP</v>
      </c>
      <c r="X628" s="24"/>
      <c r="Y628" s="25">
        <f>-ROUNDUP(MIN(SUMIFS('COM RESID'!$O:$O,'COM RESID'!$H:$H,$E628,'COM RESID'!$I:$I,$F628)/SUMIFS('COM RESID'!$O:$O,'COM RESID'!$I:$I,$F628)*AC628,1),3)</f>
        <v>-0.64300000000000002</v>
      </c>
      <c r="Z628" s="24"/>
      <c r="AA628" s="24"/>
      <c r="AB628" s="26"/>
      <c r="AC628" s="27">
        <f>IF(S628="COMELC",IF(SUMIFS('COM RESID'!$O:$O,'COM RESID'!$H:$H,$E628,'COM RESID'!$I:$I,$F628)/SUMIFS('COM RESID'!$O:$O,'COM RESID'!$I:$I,$F628)*3&lt;1,1/(SUMIFS('COM RESID'!$O:$O,'COM RESID'!$H:$H,$E628,'COM RESID'!$I:$I,$F628)/SUMIFS('COM RESID'!$O:$O,'COM RESID'!$I:$I,$F628)),3),IF(ISNUMBER(SEARCH("WHEUE",T626)),IF(OR(S626="COMNGA",S626="COMFOI"),0.75,3),3))</f>
        <v>0.75</v>
      </c>
    </row>
    <row r="629" spans="1:29" x14ac:dyDescent="0.25">
      <c r="A629" s="19">
        <f>A625+1</f>
        <v>157</v>
      </c>
      <c r="B629" s="10"/>
      <c r="C629" s="11" t="str">
        <f>IF(E629="","",IF(_xlfn.XLOOKUP($A629,Selected_constraint_UC!$A:$A,Selected_constraint_UC!$D:$D)=1,"*",IF(SUMIFS('COM TECH'!$N:$N,'COM TECH'!$K:$K,E629,'COM TECH'!$L:$L,F629)=0,"*",IF(SUMIFS('COM RESID'!$O:$O,'COM RESID'!$H:$H,$E629,'COM RESID'!$I:$I,$F629)=0,"*","UC_MarketShare_"&amp;LEFT(F629,LEN(F629)-3)&amp;"_"&amp;RIGHT(E629,3)&amp;"_MIN"))))</f>
        <v>*</v>
      </c>
      <c r="D629" s="12"/>
      <c r="E629" s="13" t="str">
        <f>_xlfn.XLOOKUP($A629,Selected_constraint_UC!$A:$A,Selected_constraint_UC!$B:$B)</f>
        <v>COMSTM</v>
      </c>
      <c r="F629" s="13" t="str">
        <f>_xlfn.XLOOKUP($A629,Selected_constraint_UC!$A:$A,Selected_constraint_UC!$C:$C)</f>
        <v>COMOTHOldWHEUE</v>
      </c>
      <c r="G629" s="13" t="str">
        <f>F629</f>
        <v>COMOTHOldWHEUE</v>
      </c>
      <c r="H629" s="14">
        <v>2019</v>
      </c>
      <c r="I629" s="14" t="s">
        <v>3848</v>
      </c>
      <c r="J629" s="14">
        <v>1</v>
      </c>
      <c r="K629" s="15">
        <f>-ROUNDDOWN(SUMIFS('COM RESID'!$O:$O,'COM RESID'!$H:$H,$E629,'COM RESID'!$I:$I,$F629)/SUMIFS('COM RESID'!$O:$O,'COM RESID'!$I:$I,$F629),3)*O629</f>
        <v>-1.9599999999999999E-2</v>
      </c>
      <c r="L629" s="14">
        <v>0</v>
      </c>
      <c r="M629" s="14">
        <v>5</v>
      </c>
      <c r="N629" s="10"/>
      <c r="O629" s="20">
        <v>0.98</v>
      </c>
      <c r="Q629" s="11" t="str">
        <f t="shared" si="180"/>
        <v>*</v>
      </c>
      <c r="R629" s="12"/>
      <c r="S629" s="13" t="str">
        <f t="shared" si="182"/>
        <v>COMSTM</v>
      </c>
      <c r="T629" s="13" t="str">
        <f t="shared" si="183"/>
        <v>COMOTHOldWHEUE</v>
      </c>
      <c r="U629" s="13" t="str">
        <f t="shared" si="184"/>
        <v>COMOTHOldWHEUE</v>
      </c>
      <c r="V629" s="14">
        <v>2019</v>
      </c>
      <c r="W629" s="14" t="s">
        <v>3849</v>
      </c>
      <c r="X629" s="14">
        <v>1</v>
      </c>
      <c r="Y629" s="15">
        <f>-ROUNDUP(MIN(SUMIFS('COM RESID'!$O:$O,'COM RESID'!$H:$H,$E629,'COM RESID'!$I:$I,$F629)/SUMIFS('COM RESID'!$O:$O,'COM RESID'!$I:$I,$F629)*AC629,1),3)</f>
        <v>-2.1000000000000001E-2</v>
      </c>
      <c r="Z629" s="14">
        <v>0</v>
      </c>
      <c r="AA629" s="14">
        <v>5</v>
      </c>
      <c r="AB629" s="10"/>
      <c r="AC629" s="20">
        <v>1.02</v>
      </c>
    </row>
    <row r="630" spans="1:29" x14ac:dyDescent="0.25">
      <c r="A630" s="10">
        <f>A629</f>
        <v>157</v>
      </c>
      <c r="B630" s="10"/>
      <c r="C630" s="11" t="str">
        <f>IF(C629="*",C629,"")</f>
        <v>*</v>
      </c>
      <c r="D630" s="12"/>
      <c r="E630" s="13" t="str">
        <f t="shared" ref="E630:G632" si="196">E629</f>
        <v>COMSTM</v>
      </c>
      <c r="F630" s="13" t="str">
        <f t="shared" si="196"/>
        <v>COMOTHOldWHEUE</v>
      </c>
      <c r="G630" s="13" t="str">
        <f t="shared" si="196"/>
        <v>COMOTHOldWHEUE</v>
      </c>
      <c r="H630" s="14">
        <v>2025</v>
      </c>
      <c r="I630" s="14" t="str">
        <f>I629</f>
        <v>LO</v>
      </c>
      <c r="J630" s="14"/>
      <c r="K630" s="15">
        <f>-ROUNDDOWN(SUMIFS('COM RESID'!$O:$O,'COM RESID'!$H:$H,$E630,'COM RESID'!$I:$I,$F630)/SUMIFS('COM RESID'!$O:$O,'COM RESID'!$I:$I,$F630),3)*O630</f>
        <v>-1.6E-2</v>
      </c>
      <c r="L630" s="14"/>
      <c r="M630" s="14"/>
      <c r="N630" s="10"/>
      <c r="O630" s="20">
        <v>0.8</v>
      </c>
      <c r="Q630" s="11" t="str">
        <f t="shared" si="180"/>
        <v>*</v>
      </c>
      <c r="R630" s="12"/>
      <c r="S630" s="13" t="str">
        <f t="shared" si="182"/>
        <v>COMSTM</v>
      </c>
      <c r="T630" s="13" t="str">
        <f t="shared" si="183"/>
        <v>COMOTHOldWHEUE</v>
      </c>
      <c r="U630" s="13" t="str">
        <f t="shared" si="184"/>
        <v>COMOTHOldWHEUE</v>
      </c>
      <c r="V630" s="14">
        <v>2025</v>
      </c>
      <c r="W630" s="14" t="str">
        <f>W629</f>
        <v>UP</v>
      </c>
      <c r="X630" s="14"/>
      <c r="Y630" s="15">
        <f>-ROUNDUP(MIN(SUMIFS('COM RESID'!$O:$O,'COM RESID'!$H:$H,$E630,'COM RESID'!$I:$I,$F630)/SUMIFS('COM RESID'!$O:$O,'COM RESID'!$I:$I,$F630)*AC630,1),3)</f>
        <v>-2.5000000000000001E-2</v>
      </c>
      <c r="Z630" s="14"/>
      <c r="AA630" s="14"/>
      <c r="AB630" s="10"/>
      <c r="AC630" s="20">
        <f>IF(S630="COMELC",IF(SUMIFS('COM RESID'!$O:$O,'COM RESID'!$H:$H,$E630,'COM RESID'!$I:$I,$F630)/SUMIFS('COM RESID'!$O:$O,'COM RESID'!$I:$I,$F630)*1.2&lt;0.25,0.25/(SUMIFS('COM RESID'!$O:$O,'COM RESID'!$H:$H,$E630,'COM RESID'!$I:$I,$F630)/SUMIFS('COM RESID'!$O:$O,'COM RESID'!$I:$I,$F630)),1.2),IF(ISNUMBER(SEARCH("WHEUE",T630)),IF(OR(S630="COMNGA",S630="COMFOI"),1,1.2),1.2))</f>
        <v>1.2</v>
      </c>
    </row>
    <row r="631" spans="1:29" x14ac:dyDescent="0.25">
      <c r="A631" s="10">
        <f>A630</f>
        <v>157</v>
      </c>
      <c r="B631" s="10"/>
      <c r="C631" s="11" t="str">
        <f>IF(C630="*",C630,"")</f>
        <v>*</v>
      </c>
      <c r="D631" s="12"/>
      <c r="E631" s="13" t="str">
        <f t="shared" si="196"/>
        <v>COMSTM</v>
      </c>
      <c r="F631" s="13" t="str">
        <f t="shared" si="196"/>
        <v>COMOTHOldWHEUE</v>
      </c>
      <c r="G631" s="13" t="str">
        <f t="shared" si="196"/>
        <v>COMOTHOldWHEUE</v>
      </c>
      <c r="H631" s="14">
        <v>2030</v>
      </c>
      <c r="I631" s="14" t="str">
        <f>I630</f>
        <v>LO</v>
      </c>
      <c r="J631" s="14"/>
      <c r="K631" s="15">
        <f>-ROUNDDOWN(SUMIFS('COM RESID'!$O:$O,'COM RESID'!$H:$H,$E631,'COM RESID'!$I:$I,$F631)/SUMIFS('COM RESID'!$O:$O,'COM RESID'!$I:$I,$F631),3)*O631</f>
        <v>-4.0000000000000001E-3</v>
      </c>
      <c r="L631" s="14"/>
      <c r="M631" s="14"/>
      <c r="N631" s="10"/>
      <c r="O631" s="20">
        <v>0.2</v>
      </c>
      <c r="Q631" s="11" t="str">
        <f t="shared" si="180"/>
        <v>*</v>
      </c>
      <c r="R631" s="12"/>
      <c r="S631" s="13" t="str">
        <f t="shared" si="182"/>
        <v>COMSTM</v>
      </c>
      <c r="T631" s="13" t="str">
        <f t="shared" si="183"/>
        <v>COMOTHOldWHEUE</v>
      </c>
      <c r="U631" s="13" t="str">
        <f t="shared" si="184"/>
        <v>COMOTHOldWHEUE</v>
      </c>
      <c r="V631" s="14">
        <v>2030</v>
      </c>
      <c r="W631" s="14" t="str">
        <f>W630</f>
        <v>UP</v>
      </c>
      <c r="X631" s="14"/>
      <c r="Y631" s="15">
        <f>-ROUNDUP(MIN(SUMIFS('COM RESID'!$O:$O,'COM RESID'!$H:$H,$E631,'COM RESID'!$I:$I,$F631)/SUMIFS('COM RESID'!$O:$O,'COM RESID'!$I:$I,$F631)*AC631,1),3)</f>
        <v>-3.1E-2</v>
      </c>
      <c r="Z631" s="14"/>
      <c r="AA631" s="14"/>
      <c r="AB631" s="10"/>
      <c r="AC631" s="20">
        <f>IF(S631="COMELC",IF(SUMIFS('COM RESID'!$O:$O,'COM RESID'!$H:$H,$E631,'COM RESID'!$I:$I,$F631)/SUMIFS('COM RESID'!$O:$O,'COM RESID'!$I:$I,$F631)*1.5&lt;0.5,0.5/(SUMIFS('COM RESID'!$O:$O,'COM RESID'!$H:$H,$E631,'COM RESID'!$I:$I,$F631)/SUMIFS('COM RESID'!$O:$O,'COM RESID'!$I:$I,$F631)),1.5),IF(ISNUMBER(SEARCH("WHEUE",T630)),IF(OR(S630="COMNGA",S630="COMFOI"),0.9,1.5),1.5))</f>
        <v>1.5</v>
      </c>
    </row>
    <row r="632" spans="1:29" x14ac:dyDescent="0.25">
      <c r="A632" s="26">
        <f>A631</f>
        <v>157</v>
      </c>
      <c r="B632" s="26"/>
      <c r="C632" s="21" t="str">
        <f>IF(C631="*",C631,"")</f>
        <v>*</v>
      </c>
      <c r="D632" s="22"/>
      <c r="E632" s="23" t="str">
        <f t="shared" si="196"/>
        <v>COMSTM</v>
      </c>
      <c r="F632" s="23" t="str">
        <f t="shared" si="196"/>
        <v>COMOTHOldWHEUE</v>
      </c>
      <c r="G632" s="23" t="str">
        <f t="shared" si="196"/>
        <v>COMOTHOldWHEUE</v>
      </c>
      <c r="H632" s="24">
        <v>2050</v>
      </c>
      <c r="I632" s="24" t="str">
        <f>I631</f>
        <v>LO</v>
      </c>
      <c r="J632" s="24"/>
      <c r="K632" s="25">
        <f>-ROUNDDOWN(SUMIFS('COM RESID'!$O:$O,'COM RESID'!$H:$H,$E632,'COM RESID'!$I:$I,$F632)/SUMIFS('COM RESID'!$O:$O,'COM RESID'!$I:$I,$F632),3)*O632</f>
        <v>0</v>
      </c>
      <c r="L632" s="24"/>
      <c r="M632" s="24"/>
      <c r="N632" s="26"/>
      <c r="O632" s="27">
        <v>0</v>
      </c>
      <c r="Q632" s="21" t="str">
        <f t="shared" si="180"/>
        <v>*</v>
      </c>
      <c r="R632" s="22"/>
      <c r="S632" s="23" t="str">
        <f t="shared" si="182"/>
        <v>COMSTM</v>
      </c>
      <c r="T632" s="23" t="str">
        <f t="shared" si="183"/>
        <v>COMOTHOldWHEUE</v>
      </c>
      <c r="U632" s="23" t="str">
        <f t="shared" si="184"/>
        <v>COMOTHOldWHEUE</v>
      </c>
      <c r="V632" s="24">
        <v>2050</v>
      </c>
      <c r="W632" s="24" t="str">
        <f>W631</f>
        <v>UP</v>
      </c>
      <c r="X632" s="24"/>
      <c r="Y632" s="25">
        <f>-ROUNDUP(MIN(SUMIFS('COM RESID'!$O:$O,'COM RESID'!$H:$H,$E632,'COM RESID'!$I:$I,$F632)/SUMIFS('COM RESID'!$O:$O,'COM RESID'!$I:$I,$F632)*AC632,1),3)</f>
        <v>-6.0999999999999999E-2</v>
      </c>
      <c r="Z632" s="24"/>
      <c r="AA632" s="24"/>
      <c r="AB632" s="26"/>
      <c r="AC632" s="27">
        <f>IF(S632="COMELC",IF(SUMIFS('COM RESID'!$O:$O,'COM RESID'!$H:$H,$E632,'COM RESID'!$I:$I,$F632)/SUMIFS('COM RESID'!$O:$O,'COM RESID'!$I:$I,$F632)*3&lt;1,1/(SUMIFS('COM RESID'!$O:$O,'COM RESID'!$H:$H,$E632,'COM RESID'!$I:$I,$F632)/SUMIFS('COM RESID'!$O:$O,'COM RESID'!$I:$I,$F632)),3),IF(ISNUMBER(SEARCH("WHEUE",T630)),IF(OR(S630="COMNGA",S630="COMFOI"),0.75,3),3))</f>
        <v>3</v>
      </c>
    </row>
    <row r="633" spans="1:29" x14ac:dyDescent="0.25">
      <c r="A633" s="19">
        <f>A629+1</f>
        <v>158</v>
      </c>
      <c r="B633" s="10"/>
      <c r="C633" s="11" t="str">
        <f>IF(E633="","",IF(_xlfn.XLOOKUP($A633,Selected_constraint_UC!$A:$A,Selected_constraint_UC!$D:$D)=1,"*",IF(SUMIFS('COM TECH'!$N:$N,'COM TECH'!$K:$K,E633,'COM TECH'!$L:$L,F633)=0,"*",IF(SUMIFS('COM RESID'!$O:$O,'COM RESID'!$H:$H,$E633,'COM RESID'!$I:$I,$F633)=0,"*","UC_MarketShare_"&amp;LEFT(F633,LEN(F633)-3)&amp;"_"&amp;RIGHT(E633,3)&amp;"_MIN"))))</f>
        <v>UC_MarketShare_COMOTHOldWH_ELC_MIN</v>
      </c>
      <c r="D633" s="12"/>
      <c r="E633" s="13" t="str">
        <f>_xlfn.XLOOKUP($A633,Selected_constraint_UC!$A:$A,Selected_constraint_UC!$B:$B)</f>
        <v>COMELC</v>
      </c>
      <c r="F633" s="13" t="str">
        <f>_xlfn.XLOOKUP($A633,Selected_constraint_UC!$A:$A,Selected_constraint_UC!$C:$C)</f>
        <v>COMOTHOldWHEUE</v>
      </c>
      <c r="G633" s="13" t="str">
        <f>F633</f>
        <v>COMOTHOldWHEUE</v>
      </c>
      <c r="H633" s="14">
        <v>2019</v>
      </c>
      <c r="I633" s="14" t="s">
        <v>3848</v>
      </c>
      <c r="J633" s="14">
        <v>1</v>
      </c>
      <c r="K633" s="15">
        <f>-ROUNDDOWN(SUMIFS('COM RESID'!$O:$O,'COM RESID'!$H:$H,$E633,'COM RESID'!$I:$I,$F633)/SUMIFS('COM RESID'!$O:$O,'COM RESID'!$I:$I,$F633),3)*O633</f>
        <v>-4.9979999999999997E-2</v>
      </c>
      <c r="L633" s="14">
        <v>0</v>
      </c>
      <c r="M633" s="14">
        <v>5</v>
      </c>
      <c r="N633" s="10"/>
      <c r="O633" s="20">
        <v>0.98</v>
      </c>
      <c r="Q633" s="11" t="str">
        <f t="shared" si="180"/>
        <v>UC_MarketShare_COMOTHOldWH_ELC_MAX</v>
      </c>
      <c r="R633" s="12"/>
      <c r="S633" s="13" t="str">
        <f t="shared" si="182"/>
        <v>COMELC</v>
      </c>
      <c r="T633" s="13" t="str">
        <f t="shared" si="183"/>
        <v>COMOTHOldWHEUE</v>
      </c>
      <c r="U633" s="13" t="str">
        <f t="shared" si="184"/>
        <v>COMOTHOldWHEUE</v>
      </c>
      <c r="V633" s="14">
        <v>2019</v>
      </c>
      <c r="W633" s="14" t="s">
        <v>3849</v>
      </c>
      <c r="X633" s="14">
        <v>1</v>
      </c>
      <c r="Y633" s="15">
        <f>-ROUNDUP(MIN(SUMIFS('COM RESID'!$O:$O,'COM RESID'!$H:$H,$E633,'COM RESID'!$I:$I,$F633)/SUMIFS('COM RESID'!$O:$O,'COM RESID'!$I:$I,$F633)*AC633,1),3)</f>
        <v>-5.2999999999999999E-2</v>
      </c>
      <c r="Z633" s="14">
        <v>0</v>
      </c>
      <c r="AA633" s="14">
        <v>5</v>
      </c>
      <c r="AB633" s="10"/>
      <c r="AC633" s="20">
        <v>1.02</v>
      </c>
    </row>
    <row r="634" spans="1:29" x14ac:dyDescent="0.25">
      <c r="A634" s="10">
        <f>A633</f>
        <v>158</v>
      </c>
      <c r="B634" s="10"/>
      <c r="C634" s="11" t="str">
        <f>IF(C633="*",C633,"")</f>
        <v/>
      </c>
      <c r="D634" s="12"/>
      <c r="E634" s="13" t="str">
        <f t="shared" ref="E634:G636" si="197">E633</f>
        <v>COMELC</v>
      </c>
      <c r="F634" s="13" t="str">
        <f t="shared" si="197"/>
        <v>COMOTHOldWHEUE</v>
      </c>
      <c r="G634" s="13" t="str">
        <f t="shared" si="197"/>
        <v>COMOTHOldWHEUE</v>
      </c>
      <c r="H634" s="14">
        <v>2025</v>
      </c>
      <c r="I634" s="14" t="str">
        <f>I633</f>
        <v>LO</v>
      </c>
      <c r="J634" s="14"/>
      <c r="K634" s="15">
        <f>-ROUNDDOWN(SUMIFS('COM RESID'!$O:$O,'COM RESID'!$H:$H,$E634,'COM RESID'!$I:$I,$F634)/SUMIFS('COM RESID'!$O:$O,'COM RESID'!$I:$I,$F634),3)*O634</f>
        <v>-4.0800000000000003E-2</v>
      </c>
      <c r="L634" s="14"/>
      <c r="M634" s="14"/>
      <c r="N634" s="10"/>
      <c r="O634" s="20">
        <v>0.8</v>
      </c>
      <c r="Q634" s="11" t="str">
        <f t="shared" si="180"/>
        <v/>
      </c>
      <c r="R634" s="12"/>
      <c r="S634" s="13" t="str">
        <f t="shared" si="182"/>
        <v>COMELC</v>
      </c>
      <c r="T634" s="13" t="str">
        <f t="shared" si="183"/>
        <v>COMOTHOldWHEUE</v>
      </c>
      <c r="U634" s="13" t="str">
        <f t="shared" si="184"/>
        <v>COMOTHOldWHEUE</v>
      </c>
      <c r="V634" s="14">
        <v>2025</v>
      </c>
      <c r="W634" s="14" t="str">
        <f>W633</f>
        <v>UP</v>
      </c>
      <c r="X634" s="14"/>
      <c r="Y634" s="15">
        <f>-ROUNDUP(MIN(SUMIFS('COM RESID'!$O:$O,'COM RESID'!$H:$H,$E634,'COM RESID'!$I:$I,$F634)/SUMIFS('COM RESID'!$O:$O,'COM RESID'!$I:$I,$F634)*AC634,1),3)</f>
        <v>-0.25</v>
      </c>
      <c r="Z634" s="14"/>
      <c r="AA634" s="14"/>
      <c r="AB634" s="10"/>
      <c r="AC634" s="20">
        <f>IF(S634="COMELC",IF(SUMIFS('COM RESID'!$O:$O,'COM RESID'!$H:$H,$E634,'COM RESID'!$I:$I,$F634)/SUMIFS('COM RESID'!$O:$O,'COM RESID'!$I:$I,$F634)*1.2&lt;0.25,0.25/(SUMIFS('COM RESID'!$O:$O,'COM RESID'!$H:$H,$E634,'COM RESID'!$I:$I,$F634)/SUMIFS('COM RESID'!$O:$O,'COM RESID'!$I:$I,$F634)),1.2),IF(ISNUMBER(SEARCH("WHEUE",T634)),IF(OR(S634="COMNGA",S634="COMFOI"),1,1.2),1.2))</f>
        <v>4.8886177642705011</v>
      </c>
    </row>
    <row r="635" spans="1:29" x14ac:dyDescent="0.25">
      <c r="A635" s="10">
        <f>A634</f>
        <v>158</v>
      </c>
      <c r="B635" s="10"/>
      <c r="C635" s="11" t="str">
        <f>IF(C634="*",C634,"")</f>
        <v/>
      </c>
      <c r="D635" s="12"/>
      <c r="E635" s="13" t="str">
        <f t="shared" si="197"/>
        <v>COMELC</v>
      </c>
      <c r="F635" s="13" t="str">
        <f t="shared" si="197"/>
        <v>COMOTHOldWHEUE</v>
      </c>
      <c r="G635" s="13" t="str">
        <f t="shared" si="197"/>
        <v>COMOTHOldWHEUE</v>
      </c>
      <c r="H635" s="14">
        <v>2030</v>
      </c>
      <c r="I635" s="14" t="str">
        <f>I634</f>
        <v>LO</v>
      </c>
      <c r="J635" s="14"/>
      <c r="K635" s="15">
        <f>-ROUNDDOWN(SUMIFS('COM RESID'!$O:$O,'COM RESID'!$H:$H,$E635,'COM RESID'!$I:$I,$F635)/SUMIFS('COM RESID'!$O:$O,'COM RESID'!$I:$I,$F635),3)*O635</f>
        <v>-3.8249999999999999E-2</v>
      </c>
      <c r="L635" s="14"/>
      <c r="M635" s="14"/>
      <c r="N635" s="10"/>
      <c r="O635" s="20">
        <v>0.75</v>
      </c>
      <c r="Q635" s="11" t="str">
        <f t="shared" si="180"/>
        <v/>
      </c>
      <c r="R635" s="12"/>
      <c r="S635" s="13" t="str">
        <f t="shared" si="182"/>
        <v>COMELC</v>
      </c>
      <c r="T635" s="13" t="str">
        <f t="shared" si="183"/>
        <v>COMOTHOldWHEUE</v>
      </c>
      <c r="U635" s="13" t="str">
        <f t="shared" si="184"/>
        <v>COMOTHOldWHEUE</v>
      </c>
      <c r="V635" s="14">
        <v>2030</v>
      </c>
      <c r="W635" s="14" t="str">
        <f>W634</f>
        <v>UP</v>
      </c>
      <c r="X635" s="14"/>
      <c r="Y635" s="15">
        <f>-ROUNDUP(MIN(SUMIFS('COM RESID'!$O:$O,'COM RESID'!$H:$H,$E635,'COM RESID'!$I:$I,$F635)/SUMIFS('COM RESID'!$O:$O,'COM RESID'!$I:$I,$F635)*AC635,1),3)</f>
        <v>-0.5</v>
      </c>
      <c r="Z635" s="14"/>
      <c r="AA635" s="14"/>
      <c r="AB635" s="10"/>
      <c r="AC635" s="20">
        <f>IF(S635="COMELC",IF(SUMIFS('COM RESID'!$O:$O,'COM RESID'!$H:$H,$E635,'COM RESID'!$I:$I,$F635)/SUMIFS('COM RESID'!$O:$O,'COM RESID'!$I:$I,$F635)*1.5&lt;0.5,0.5/(SUMIFS('COM RESID'!$O:$O,'COM RESID'!$H:$H,$E635,'COM RESID'!$I:$I,$F635)/SUMIFS('COM RESID'!$O:$O,'COM RESID'!$I:$I,$F635)),1.5),IF(ISNUMBER(SEARCH("WHEUE",T634)),IF(OR(S634="COMNGA",S634="COMFOI"),0.9,1.5),1.5))</f>
        <v>9.7772355285410022</v>
      </c>
    </row>
    <row r="636" spans="1:29" x14ac:dyDescent="0.25">
      <c r="A636" s="26">
        <f>A635</f>
        <v>158</v>
      </c>
      <c r="B636" s="26"/>
      <c r="C636" s="21" t="str">
        <f>IF(C635="*",C635,"")</f>
        <v/>
      </c>
      <c r="D636" s="22"/>
      <c r="E636" s="23" t="str">
        <f t="shared" si="197"/>
        <v>COMELC</v>
      </c>
      <c r="F636" s="23" t="str">
        <f t="shared" si="197"/>
        <v>COMOTHOldWHEUE</v>
      </c>
      <c r="G636" s="23" t="str">
        <f t="shared" si="197"/>
        <v>COMOTHOldWHEUE</v>
      </c>
      <c r="H636" s="24">
        <v>2050</v>
      </c>
      <c r="I636" s="24" t="str">
        <f>I635</f>
        <v>LO</v>
      </c>
      <c r="J636" s="24"/>
      <c r="K636" s="25">
        <f>-ROUNDDOWN(SUMIFS('COM RESID'!$O:$O,'COM RESID'!$H:$H,$E636,'COM RESID'!$I:$I,$F636)/SUMIFS('COM RESID'!$O:$O,'COM RESID'!$I:$I,$F636),3)*O636</f>
        <v>-3.8249999999999999E-2</v>
      </c>
      <c r="L636" s="24"/>
      <c r="M636" s="24"/>
      <c r="N636" s="26"/>
      <c r="O636" s="27">
        <v>0.75</v>
      </c>
      <c r="Q636" s="21" t="str">
        <f t="shared" si="180"/>
        <v/>
      </c>
      <c r="R636" s="22"/>
      <c r="S636" s="23" t="str">
        <f t="shared" si="182"/>
        <v>COMELC</v>
      </c>
      <c r="T636" s="23" t="str">
        <f t="shared" si="183"/>
        <v>COMOTHOldWHEUE</v>
      </c>
      <c r="U636" s="23" t="str">
        <f t="shared" si="184"/>
        <v>COMOTHOldWHEUE</v>
      </c>
      <c r="V636" s="24">
        <v>2050</v>
      </c>
      <c r="W636" s="24" t="str">
        <f>W635</f>
        <v>UP</v>
      </c>
      <c r="X636" s="24"/>
      <c r="Y636" s="25">
        <f>-ROUNDUP(MIN(SUMIFS('COM RESID'!$O:$O,'COM RESID'!$H:$H,$E636,'COM RESID'!$I:$I,$F636)/SUMIFS('COM RESID'!$O:$O,'COM RESID'!$I:$I,$F636)*AC636,1),3)</f>
        <v>-1</v>
      </c>
      <c r="Z636" s="24"/>
      <c r="AA636" s="24"/>
      <c r="AB636" s="26"/>
      <c r="AC636" s="27">
        <f>IF(S636="COMELC",IF(SUMIFS('COM RESID'!$O:$O,'COM RESID'!$H:$H,$E636,'COM RESID'!$I:$I,$F636)/SUMIFS('COM RESID'!$O:$O,'COM RESID'!$I:$I,$F636)*3&lt;1,1/(SUMIFS('COM RESID'!$O:$O,'COM RESID'!$H:$H,$E636,'COM RESID'!$I:$I,$F636)/SUMIFS('COM RESID'!$O:$O,'COM RESID'!$I:$I,$F636)),3),IF(ISNUMBER(SEARCH("WHEUE",T634)),IF(OR(S634="COMNGA",S634="COMFOI"),0.75,3),3))</f>
        <v>19.554471057082004</v>
      </c>
    </row>
    <row r="637" spans="1:29" x14ac:dyDescent="0.25">
      <c r="A637" s="19">
        <f>A633+1</f>
        <v>159</v>
      </c>
      <c r="B637" s="10"/>
      <c r="C637" s="11" t="str">
        <f>IF(E637="","",IF(_xlfn.XLOOKUP($A637,Selected_constraint_UC!$A:$A,Selected_constraint_UC!$D:$D)=1,"*",IF(SUMIFS('COM TECH'!$N:$N,'COM TECH'!$K:$K,E637,'COM TECH'!$L:$L,F637)=0,"*",IF(SUMIFS('COM RESID'!$O:$O,'COM RESID'!$H:$H,$E637,'COM RESID'!$I:$I,$F637)=0,"*","UC_MarketShare_"&amp;LEFT(F637,LEN(F637)-3)&amp;"_"&amp;RIGHT(E637,3)&amp;"_MIN"))))</f>
        <v>*</v>
      </c>
      <c r="D637" s="12"/>
      <c r="E637" s="13" t="str">
        <f>_xlfn.XLOOKUP($A637,Selected_constraint_UC!$A:$A,Selected_constraint_UC!$B:$B)</f>
        <v>COMELC</v>
      </c>
      <c r="F637" s="13" t="str">
        <f>_xlfn.XLOOKUP($A637,Selected_constraint_UC!$A:$A,Selected_constraint_UC!$C:$C)</f>
        <v>COMOTHOldLTEUE</v>
      </c>
      <c r="G637" s="13" t="str">
        <f>F637</f>
        <v>COMOTHOldLTEUE</v>
      </c>
      <c r="H637" s="14">
        <v>2019</v>
      </c>
      <c r="I637" s="14" t="s">
        <v>3848</v>
      </c>
      <c r="J637" s="14">
        <v>1</v>
      </c>
      <c r="K637" s="15">
        <f>-ROUNDDOWN(SUMIFS('COM RESID'!$O:$O,'COM RESID'!$H:$H,$E637,'COM RESID'!$I:$I,$F637)/SUMIFS('COM RESID'!$O:$O,'COM RESID'!$I:$I,$F637),3)*O637</f>
        <v>-0.98</v>
      </c>
      <c r="L637" s="14">
        <v>0</v>
      </c>
      <c r="M637" s="14">
        <v>5</v>
      </c>
      <c r="N637" s="10"/>
      <c r="O637" s="20">
        <v>0.98</v>
      </c>
      <c r="Q637" s="11" t="str">
        <f t="shared" si="180"/>
        <v>*</v>
      </c>
      <c r="R637" s="12"/>
      <c r="S637" s="13" t="str">
        <f t="shared" si="182"/>
        <v>COMELC</v>
      </c>
      <c r="T637" s="13" t="str">
        <f t="shared" si="183"/>
        <v>COMOTHOldLTEUE</v>
      </c>
      <c r="U637" s="13" t="str">
        <f t="shared" si="184"/>
        <v>COMOTHOldLTEUE</v>
      </c>
      <c r="V637" s="14">
        <v>2019</v>
      </c>
      <c r="W637" s="14" t="s">
        <v>3849</v>
      </c>
      <c r="X637" s="14">
        <v>1</v>
      </c>
      <c r="Y637" s="15">
        <f>-ROUNDUP(MIN(SUMIFS('COM RESID'!$O:$O,'COM RESID'!$H:$H,$E637,'COM RESID'!$I:$I,$F637)/SUMIFS('COM RESID'!$O:$O,'COM RESID'!$I:$I,$F637)*AC637,1),3)</f>
        <v>-1</v>
      </c>
      <c r="Z637" s="14">
        <v>0</v>
      </c>
      <c r="AA637" s="14">
        <v>5</v>
      </c>
      <c r="AB637" s="10"/>
      <c r="AC637" s="20">
        <v>1.02</v>
      </c>
    </row>
    <row r="638" spans="1:29" x14ac:dyDescent="0.25">
      <c r="A638" s="10">
        <f>A637</f>
        <v>159</v>
      </c>
      <c r="B638" s="10"/>
      <c r="C638" s="11" t="str">
        <f>IF(C637="*",C637,"")</f>
        <v>*</v>
      </c>
      <c r="D638" s="12"/>
      <c r="E638" s="13" t="str">
        <f t="shared" ref="E638:G640" si="198">E637</f>
        <v>COMELC</v>
      </c>
      <c r="F638" s="13" t="str">
        <f t="shared" si="198"/>
        <v>COMOTHOldLTEUE</v>
      </c>
      <c r="G638" s="13" t="str">
        <f t="shared" si="198"/>
        <v>COMOTHOldLTEUE</v>
      </c>
      <c r="H638" s="14">
        <v>2025</v>
      </c>
      <c r="I638" s="14" t="str">
        <f>I637</f>
        <v>LO</v>
      </c>
      <c r="J638" s="14"/>
      <c r="K638" s="15">
        <f>-ROUNDDOWN(SUMIFS('COM RESID'!$O:$O,'COM RESID'!$H:$H,$E638,'COM RESID'!$I:$I,$F638)/SUMIFS('COM RESID'!$O:$O,'COM RESID'!$I:$I,$F638),3)*O638</f>
        <v>-0.8</v>
      </c>
      <c r="L638" s="14"/>
      <c r="M638" s="14"/>
      <c r="N638" s="10"/>
      <c r="O638" s="20">
        <v>0.8</v>
      </c>
      <c r="Q638" s="11" t="str">
        <f t="shared" si="180"/>
        <v>*</v>
      </c>
      <c r="R638" s="12"/>
      <c r="S638" s="13" t="str">
        <f t="shared" si="182"/>
        <v>COMELC</v>
      </c>
      <c r="T638" s="13" t="str">
        <f t="shared" si="183"/>
        <v>COMOTHOldLTEUE</v>
      </c>
      <c r="U638" s="13" t="str">
        <f t="shared" si="184"/>
        <v>COMOTHOldLTEUE</v>
      </c>
      <c r="V638" s="14">
        <v>2025</v>
      </c>
      <c r="W638" s="14" t="str">
        <f>W637</f>
        <v>UP</v>
      </c>
      <c r="X638" s="14"/>
      <c r="Y638" s="15">
        <f>-ROUNDUP(MIN(SUMIFS('COM RESID'!$O:$O,'COM RESID'!$H:$H,$E638,'COM RESID'!$I:$I,$F638)/SUMIFS('COM RESID'!$O:$O,'COM RESID'!$I:$I,$F638)*AC638,1),3)</f>
        <v>-1</v>
      </c>
      <c r="Z638" s="14"/>
      <c r="AA638" s="14"/>
      <c r="AB638" s="10"/>
      <c r="AC638" s="20">
        <f>IF(S638="COMELC",IF(SUMIFS('COM RESID'!$O:$O,'COM RESID'!$H:$H,$E638,'COM RESID'!$I:$I,$F638)/SUMIFS('COM RESID'!$O:$O,'COM RESID'!$I:$I,$F638)*1.2&lt;0.25,0.25/(SUMIFS('COM RESID'!$O:$O,'COM RESID'!$H:$H,$E638,'COM RESID'!$I:$I,$F638)/SUMIFS('COM RESID'!$O:$O,'COM RESID'!$I:$I,$F638)),1.2),IF(ISNUMBER(SEARCH("WHEUE",T638)),IF(OR(S638="COMNGA",S638="COMFOI"),1,1.2),1.2))</f>
        <v>1.2</v>
      </c>
    </row>
    <row r="639" spans="1:29" x14ac:dyDescent="0.25">
      <c r="A639" s="10">
        <f>A638</f>
        <v>159</v>
      </c>
      <c r="B639" s="10"/>
      <c r="C639" s="11" t="str">
        <f>IF(C638="*",C638,"")</f>
        <v>*</v>
      </c>
      <c r="D639" s="12"/>
      <c r="E639" s="13" t="str">
        <f t="shared" si="198"/>
        <v>COMELC</v>
      </c>
      <c r="F639" s="13" t="str">
        <f t="shared" si="198"/>
        <v>COMOTHOldLTEUE</v>
      </c>
      <c r="G639" s="13" t="str">
        <f t="shared" si="198"/>
        <v>COMOTHOldLTEUE</v>
      </c>
      <c r="H639" s="14">
        <v>2030</v>
      </c>
      <c r="I639" s="14" t="str">
        <f>I638</f>
        <v>LO</v>
      </c>
      <c r="J639" s="14"/>
      <c r="K639" s="15">
        <f>-ROUNDDOWN(SUMIFS('COM RESID'!$O:$O,'COM RESID'!$H:$H,$E639,'COM RESID'!$I:$I,$F639)/SUMIFS('COM RESID'!$O:$O,'COM RESID'!$I:$I,$F639),3)*O639</f>
        <v>-0.2</v>
      </c>
      <c r="L639" s="14"/>
      <c r="M639" s="14"/>
      <c r="N639" s="10"/>
      <c r="O639" s="20">
        <v>0.2</v>
      </c>
      <c r="Q639" s="11" t="str">
        <f t="shared" si="180"/>
        <v>*</v>
      </c>
      <c r="R639" s="12"/>
      <c r="S639" s="13" t="str">
        <f t="shared" si="182"/>
        <v>COMELC</v>
      </c>
      <c r="T639" s="13" t="str">
        <f t="shared" si="183"/>
        <v>COMOTHOldLTEUE</v>
      </c>
      <c r="U639" s="13" t="str">
        <f t="shared" si="184"/>
        <v>COMOTHOldLTEUE</v>
      </c>
      <c r="V639" s="14">
        <v>2030</v>
      </c>
      <c r="W639" s="14" t="str">
        <f>W638</f>
        <v>UP</v>
      </c>
      <c r="X639" s="14"/>
      <c r="Y639" s="15">
        <f>-ROUNDUP(MIN(SUMIFS('COM RESID'!$O:$O,'COM RESID'!$H:$H,$E639,'COM RESID'!$I:$I,$F639)/SUMIFS('COM RESID'!$O:$O,'COM RESID'!$I:$I,$F639)*AC639,1),3)</f>
        <v>-1</v>
      </c>
      <c r="Z639" s="14"/>
      <c r="AA639" s="14"/>
      <c r="AB639" s="10"/>
      <c r="AC639" s="20">
        <f>IF(S639="COMELC",IF(SUMIFS('COM RESID'!$O:$O,'COM RESID'!$H:$H,$E639,'COM RESID'!$I:$I,$F639)/SUMIFS('COM RESID'!$O:$O,'COM RESID'!$I:$I,$F639)*1.5&lt;0.5,0.5/(SUMIFS('COM RESID'!$O:$O,'COM RESID'!$H:$H,$E639,'COM RESID'!$I:$I,$F639)/SUMIFS('COM RESID'!$O:$O,'COM RESID'!$I:$I,$F639)),1.5),IF(ISNUMBER(SEARCH("WHEUE",T638)),IF(OR(S638="COMNGA",S638="COMFOI"),0.9,1.5),1.5))</f>
        <v>1.5</v>
      </c>
    </row>
    <row r="640" spans="1:29" x14ac:dyDescent="0.25">
      <c r="A640" s="26">
        <f>A639</f>
        <v>159</v>
      </c>
      <c r="B640" s="26"/>
      <c r="C640" s="21" t="str">
        <f>IF(C639="*",C639,"")</f>
        <v>*</v>
      </c>
      <c r="D640" s="22"/>
      <c r="E640" s="23" t="str">
        <f t="shared" si="198"/>
        <v>COMELC</v>
      </c>
      <c r="F640" s="23" t="str">
        <f t="shared" si="198"/>
        <v>COMOTHOldLTEUE</v>
      </c>
      <c r="G640" s="23" t="str">
        <f t="shared" si="198"/>
        <v>COMOTHOldLTEUE</v>
      </c>
      <c r="H640" s="24">
        <v>2050</v>
      </c>
      <c r="I640" s="24" t="str">
        <f>I639</f>
        <v>LO</v>
      </c>
      <c r="J640" s="24"/>
      <c r="K640" s="25">
        <f>-ROUNDDOWN(SUMIFS('COM RESID'!$O:$O,'COM RESID'!$H:$H,$E640,'COM RESID'!$I:$I,$F640)/SUMIFS('COM RESID'!$O:$O,'COM RESID'!$I:$I,$F640),3)*O640</f>
        <v>0</v>
      </c>
      <c r="L640" s="24"/>
      <c r="M640" s="24"/>
      <c r="N640" s="26"/>
      <c r="O640" s="27">
        <v>0</v>
      </c>
      <c r="Q640" s="21" t="str">
        <f t="shared" si="180"/>
        <v>*</v>
      </c>
      <c r="R640" s="22"/>
      <c r="S640" s="23" t="str">
        <f t="shared" si="182"/>
        <v>COMELC</v>
      </c>
      <c r="T640" s="23" t="str">
        <f t="shared" si="183"/>
        <v>COMOTHOldLTEUE</v>
      </c>
      <c r="U640" s="23" t="str">
        <f t="shared" si="184"/>
        <v>COMOTHOldLTEUE</v>
      </c>
      <c r="V640" s="24">
        <v>2050</v>
      </c>
      <c r="W640" s="24" t="str">
        <f>W639</f>
        <v>UP</v>
      </c>
      <c r="X640" s="24"/>
      <c r="Y640" s="25">
        <f>-ROUNDUP(MIN(SUMIFS('COM RESID'!$O:$O,'COM RESID'!$H:$H,$E640,'COM RESID'!$I:$I,$F640)/SUMIFS('COM RESID'!$O:$O,'COM RESID'!$I:$I,$F640)*AC640,1),3)</f>
        <v>-1</v>
      </c>
      <c r="Z640" s="24"/>
      <c r="AA640" s="24"/>
      <c r="AB640" s="26"/>
      <c r="AC640" s="27">
        <f>IF(S640="COMELC",IF(SUMIFS('COM RESID'!$O:$O,'COM RESID'!$H:$H,$E640,'COM RESID'!$I:$I,$F640)/SUMIFS('COM RESID'!$O:$O,'COM RESID'!$I:$I,$F640)*3&lt;1,1/(SUMIFS('COM RESID'!$O:$O,'COM RESID'!$H:$H,$E640,'COM RESID'!$I:$I,$F640)/SUMIFS('COM RESID'!$O:$O,'COM RESID'!$I:$I,$F640)),3),IF(ISNUMBER(SEARCH("WHEUE",T638)),IF(OR(S638="COMNGA",S638="COMFOI"),0.75,3),3))</f>
        <v>3</v>
      </c>
    </row>
    <row r="641" spans="1:29" x14ac:dyDescent="0.25">
      <c r="A641" s="19">
        <f>A637+1</f>
        <v>160</v>
      </c>
      <c r="B641" s="10"/>
      <c r="C641" s="11" t="str">
        <f>IF(E641="","",IF(_xlfn.XLOOKUP($A641,Selected_constraint_UC!$A:$A,Selected_constraint_UC!$D:$D)=1,"*",IF(SUMIFS('COM TECH'!$N:$N,'COM TECH'!$K:$K,E641,'COM TECH'!$L:$L,F641)=0,"*",IF(SUMIFS('COM RESID'!$O:$O,'COM RESID'!$H:$H,$E641,'COM RESID'!$I:$I,$F641)=0,"*","UC_MarketShare_"&amp;LEFT(F641,LEN(F641)-3)&amp;"_"&amp;RIGHT(E641,3)&amp;"_MIN"))))</f>
        <v>*</v>
      </c>
      <c r="D641" s="12"/>
      <c r="E641" s="13" t="str">
        <f>_xlfn.XLOOKUP($A641,Selected_constraint_UC!$A:$A,Selected_constraint_UC!$B:$B)</f>
        <v>COMFOI</v>
      </c>
      <c r="F641" s="13" t="str">
        <f>_xlfn.XLOOKUP($A641,Selected_constraint_UC!$A:$A,Selected_constraint_UC!$C:$C)</f>
        <v>COMOTHOldCKEUE</v>
      </c>
      <c r="G641" s="13" t="str">
        <f>F641</f>
        <v>COMOTHOldCKEUE</v>
      </c>
      <c r="H641" s="14">
        <v>2019</v>
      </c>
      <c r="I641" s="14" t="s">
        <v>3848</v>
      </c>
      <c r="J641" s="14">
        <v>1</v>
      </c>
      <c r="K641" s="15">
        <f>-ROUNDDOWN(SUMIFS('COM RESID'!$O:$O,'COM RESID'!$H:$H,$E641,'COM RESID'!$I:$I,$F641)/SUMIFS('COM RESID'!$O:$O,'COM RESID'!$I:$I,$F641),3)*O641</f>
        <v>0</v>
      </c>
      <c r="L641" s="14">
        <v>0</v>
      </c>
      <c r="M641" s="14">
        <v>5</v>
      </c>
      <c r="N641" s="10"/>
      <c r="O641" s="20">
        <v>0.98</v>
      </c>
      <c r="Q641" s="11" t="str">
        <f t="shared" si="180"/>
        <v>*</v>
      </c>
      <c r="R641" s="12"/>
      <c r="S641" s="13" t="str">
        <f t="shared" si="182"/>
        <v>COMFOI</v>
      </c>
      <c r="T641" s="13" t="str">
        <f t="shared" si="183"/>
        <v>COMOTHOldCKEUE</v>
      </c>
      <c r="U641" s="13" t="str">
        <f t="shared" si="184"/>
        <v>COMOTHOldCKEUE</v>
      </c>
      <c r="V641" s="14">
        <v>2019</v>
      </c>
      <c r="W641" s="14" t="s">
        <v>3849</v>
      </c>
      <c r="X641" s="14">
        <v>1</v>
      </c>
      <c r="Y641" s="15">
        <f>-ROUNDUP(MIN(SUMIFS('COM RESID'!$O:$O,'COM RESID'!$H:$H,$E641,'COM RESID'!$I:$I,$F641)/SUMIFS('COM RESID'!$O:$O,'COM RESID'!$I:$I,$F641)*AC641,1),3)</f>
        <v>0</v>
      </c>
      <c r="Z641" s="14">
        <v>0</v>
      </c>
      <c r="AA641" s="14">
        <v>5</v>
      </c>
      <c r="AB641" s="10"/>
      <c r="AC641" s="20">
        <v>1.02</v>
      </c>
    </row>
    <row r="642" spans="1:29" x14ac:dyDescent="0.25">
      <c r="A642" s="10">
        <f>A641</f>
        <v>160</v>
      </c>
      <c r="B642" s="10"/>
      <c r="C642" s="11" t="str">
        <f>IF(C641="*",C641,"")</f>
        <v>*</v>
      </c>
      <c r="D642" s="12"/>
      <c r="E642" s="13" t="str">
        <f t="shared" ref="E642:G644" si="199">E641</f>
        <v>COMFOI</v>
      </c>
      <c r="F642" s="13" t="str">
        <f t="shared" si="199"/>
        <v>COMOTHOldCKEUE</v>
      </c>
      <c r="G642" s="13" t="str">
        <f t="shared" si="199"/>
        <v>COMOTHOldCKEUE</v>
      </c>
      <c r="H642" s="14">
        <v>2025</v>
      </c>
      <c r="I642" s="14" t="str">
        <f>I641</f>
        <v>LO</v>
      </c>
      <c r="J642" s="14"/>
      <c r="K642" s="15">
        <f>-ROUNDDOWN(SUMIFS('COM RESID'!$O:$O,'COM RESID'!$H:$H,$E642,'COM RESID'!$I:$I,$F642)/SUMIFS('COM RESID'!$O:$O,'COM RESID'!$I:$I,$F642),3)*O642</f>
        <v>0</v>
      </c>
      <c r="L642" s="14"/>
      <c r="M642" s="14"/>
      <c r="N642" s="10"/>
      <c r="O642" s="20">
        <v>0.8</v>
      </c>
      <c r="Q642" s="11" t="str">
        <f t="shared" si="180"/>
        <v>*</v>
      </c>
      <c r="R642" s="12"/>
      <c r="S642" s="13" t="str">
        <f t="shared" si="182"/>
        <v>COMFOI</v>
      </c>
      <c r="T642" s="13" t="str">
        <f t="shared" si="183"/>
        <v>COMOTHOldCKEUE</v>
      </c>
      <c r="U642" s="13" t="str">
        <f t="shared" si="184"/>
        <v>COMOTHOldCKEUE</v>
      </c>
      <c r="V642" s="14">
        <v>2025</v>
      </c>
      <c r="W642" s="14" t="str">
        <f>W641</f>
        <v>UP</v>
      </c>
      <c r="X642" s="14"/>
      <c r="Y642" s="15">
        <f>-ROUNDUP(MIN(SUMIFS('COM RESID'!$O:$O,'COM RESID'!$H:$H,$E642,'COM RESID'!$I:$I,$F642)/SUMIFS('COM RESID'!$O:$O,'COM RESID'!$I:$I,$F642)*AC642,1),3)</f>
        <v>0</v>
      </c>
      <c r="Z642" s="14"/>
      <c r="AA642" s="14"/>
      <c r="AB642" s="10"/>
      <c r="AC642" s="20">
        <f>IF(S642="COMELC",IF(SUMIFS('COM RESID'!$O:$O,'COM RESID'!$H:$H,$E642,'COM RESID'!$I:$I,$F642)/SUMIFS('COM RESID'!$O:$O,'COM RESID'!$I:$I,$F642)*1.2&lt;0.25,0.25/(SUMIFS('COM RESID'!$O:$O,'COM RESID'!$H:$H,$E642,'COM RESID'!$I:$I,$F642)/SUMIFS('COM RESID'!$O:$O,'COM RESID'!$I:$I,$F642)),1.2),IF(ISNUMBER(SEARCH("WHEUE",T642)),IF(OR(S642="COMNGA",S642="COMFOI"),1,1.2),1.2))</f>
        <v>1.2</v>
      </c>
    </row>
    <row r="643" spans="1:29" x14ac:dyDescent="0.25">
      <c r="A643" s="10">
        <f>A642</f>
        <v>160</v>
      </c>
      <c r="B643" s="10"/>
      <c r="C643" s="11" t="str">
        <f>IF(C642="*",C642,"")</f>
        <v>*</v>
      </c>
      <c r="D643" s="12"/>
      <c r="E643" s="13" t="str">
        <f t="shared" si="199"/>
        <v>COMFOI</v>
      </c>
      <c r="F643" s="13" t="str">
        <f t="shared" si="199"/>
        <v>COMOTHOldCKEUE</v>
      </c>
      <c r="G643" s="13" t="str">
        <f t="shared" si="199"/>
        <v>COMOTHOldCKEUE</v>
      </c>
      <c r="H643" s="14">
        <v>2030</v>
      </c>
      <c r="I643" s="14" t="str">
        <f>I642</f>
        <v>LO</v>
      </c>
      <c r="J643" s="14"/>
      <c r="K643" s="15">
        <f>-ROUNDDOWN(SUMIFS('COM RESID'!$O:$O,'COM RESID'!$H:$H,$E643,'COM RESID'!$I:$I,$F643)/SUMIFS('COM RESID'!$O:$O,'COM RESID'!$I:$I,$F643),3)*O643</f>
        <v>0</v>
      </c>
      <c r="L643" s="14"/>
      <c r="M643" s="14"/>
      <c r="N643" s="10"/>
      <c r="O643" s="20">
        <v>0.2</v>
      </c>
      <c r="Q643" s="11" t="str">
        <f t="shared" si="180"/>
        <v>*</v>
      </c>
      <c r="R643" s="12"/>
      <c r="S643" s="13" t="str">
        <f t="shared" si="182"/>
        <v>COMFOI</v>
      </c>
      <c r="T643" s="13" t="str">
        <f t="shared" si="183"/>
        <v>COMOTHOldCKEUE</v>
      </c>
      <c r="U643" s="13" t="str">
        <f t="shared" si="184"/>
        <v>COMOTHOldCKEUE</v>
      </c>
      <c r="V643" s="14">
        <v>2030</v>
      </c>
      <c r="W643" s="14" t="str">
        <f>W642</f>
        <v>UP</v>
      </c>
      <c r="X643" s="14"/>
      <c r="Y643" s="15">
        <f>-ROUNDUP(MIN(SUMIFS('COM RESID'!$O:$O,'COM RESID'!$H:$H,$E643,'COM RESID'!$I:$I,$F643)/SUMIFS('COM RESID'!$O:$O,'COM RESID'!$I:$I,$F643)*AC643,1),3)</f>
        <v>0</v>
      </c>
      <c r="Z643" s="14"/>
      <c r="AA643" s="14"/>
      <c r="AB643" s="10"/>
      <c r="AC643" s="20">
        <f>IF(S643="COMELC",IF(SUMIFS('COM RESID'!$O:$O,'COM RESID'!$H:$H,$E643,'COM RESID'!$I:$I,$F643)/SUMIFS('COM RESID'!$O:$O,'COM RESID'!$I:$I,$F643)*1.5&lt;0.5,0.5/(SUMIFS('COM RESID'!$O:$O,'COM RESID'!$H:$H,$E643,'COM RESID'!$I:$I,$F643)/SUMIFS('COM RESID'!$O:$O,'COM RESID'!$I:$I,$F643)),1.5),IF(ISNUMBER(SEARCH("WHEUE",T642)),IF(OR(S642="COMNGA",S642="COMFOI"),0.9,1.5),1.5))</f>
        <v>1.5</v>
      </c>
    </row>
    <row r="644" spans="1:29" x14ac:dyDescent="0.25">
      <c r="A644" s="26">
        <f>A643</f>
        <v>160</v>
      </c>
      <c r="B644" s="26"/>
      <c r="C644" s="21" t="str">
        <f>IF(C643="*",C643,"")</f>
        <v>*</v>
      </c>
      <c r="D644" s="22"/>
      <c r="E644" s="23" t="str">
        <f t="shared" si="199"/>
        <v>COMFOI</v>
      </c>
      <c r="F644" s="23" t="str">
        <f t="shared" si="199"/>
        <v>COMOTHOldCKEUE</v>
      </c>
      <c r="G644" s="23" t="str">
        <f t="shared" si="199"/>
        <v>COMOTHOldCKEUE</v>
      </c>
      <c r="H644" s="24">
        <v>2050</v>
      </c>
      <c r="I644" s="24" t="str">
        <f>I643</f>
        <v>LO</v>
      </c>
      <c r="J644" s="24"/>
      <c r="K644" s="25">
        <f>-ROUNDDOWN(SUMIFS('COM RESID'!$O:$O,'COM RESID'!$H:$H,$E644,'COM RESID'!$I:$I,$F644)/SUMIFS('COM RESID'!$O:$O,'COM RESID'!$I:$I,$F644),3)*O644</f>
        <v>0</v>
      </c>
      <c r="L644" s="24"/>
      <c r="M644" s="24"/>
      <c r="N644" s="26"/>
      <c r="O644" s="27">
        <v>0</v>
      </c>
      <c r="Q644" s="21" t="str">
        <f t="shared" si="180"/>
        <v>*</v>
      </c>
      <c r="R644" s="22"/>
      <c r="S644" s="23" t="str">
        <f t="shared" si="182"/>
        <v>COMFOI</v>
      </c>
      <c r="T644" s="23" t="str">
        <f t="shared" si="183"/>
        <v>COMOTHOldCKEUE</v>
      </c>
      <c r="U644" s="23" t="str">
        <f t="shared" si="184"/>
        <v>COMOTHOldCKEUE</v>
      </c>
      <c r="V644" s="24">
        <v>2050</v>
      </c>
      <c r="W644" s="24" t="str">
        <f>W643</f>
        <v>UP</v>
      </c>
      <c r="X644" s="24"/>
      <c r="Y644" s="25">
        <f>-ROUNDUP(MIN(SUMIFS('COM RESID'!$O:$O,'COM RESID'!$H:$H,$E644,'COM RESID'!$I:$I,$F644)/SUMIFS('COM RESID'!$O:$O,'COM RESID'!$I:$I,$F644)*AC644,1),3)</f>
        <v>0</v>
      </c>
      <c r="Z644" s="24"/>
      <c r="AA644" s="24"/>
      <c r="AB644" s="26"/>
      <c r="AC644" s="27">
        <f>IF(S644="COMELC",IF(SUMIFS('COM RESID'!$O:$O,'COM RESID'!$H:$H,$E644,'COM RESID'!$I:$I,$F644)/SUMIFS('COM RESID'!$O:$O,'COM RESID'!$I:$I,$F644)*3&lt;1,1/(SUMIFS('COM RESID'!$O:$O,'COM RESID'!$H:$H,$E644,'COM RESID'!$I:$I,$F644)/SUMIFS('COM RESID'!$O:$O,'COM RESID'!$I:$I,$F644)),3),IF(ISNUMBER(SEARCH("WHEUE",T642)),IF(OR(S642="COMNGA",S642="COMFOI"),0.75,3),3))</f>
        <v>3</v>
      </c>
    </row>
    <row r="645" spans="1:29" x14ac:dyDescent="0.25">
      <c r="A645" s="19">
        <f>A641+1</f>
        <v>161</v>
      </c>
      <c r="B645" s="10"/>
      <c r="C645" s="11" t="str">
        <f>IF(E645="","",IF(_xlfn.XLOOKUP($A645,Selected_constraint_UC!$A:$A,Selected_constraint_UC!$D:$D)=1,"*",IF(SUMIFS('COM TECH'!$N:$N,'COM TECH'!$K:$K,E645,'COM TECH'!$L:$L,F645)=0,"*",IF(SUMIFS('COM RESID'!$O:$O,'COM RESID'!$H:$H,$E645,'COM RESID'!$I:$I,$F645)=0,"*","UC_MarketShare_"&amp;LEFT(F645,LEN(F645)-3)&amp;"_"&amp;RIGHT(E645,3)&amp;"_MIN"))))</f>
        <v>*</v>
      </c>
      <c r="D645" s="12"/>
      <c r="E645" s="13" t="str">
        <f>_xlfn.XLOOKUP($A645,Selected_constraint_UC!$A:$A,Selected_constraint_UC!$B:$B)</f>
        <v>COMNGA</v>
      </c>
      <c r="F645" s="13" t="str">
        <f>_xlfn.XLOOKUP($A645,Selected_constraint_UC!$A:$A,Selected_constraint_UC!$C:$C)</f>
        <v>COMOTHOldCKEUE</v>
      </c>
      <c r="G645" s="13" t="str">
        <f>F645</f>
        <v>COMOTHOldCKEUE</v>
      </c>
      <c r="H645" s="14">
        <v>2019</v>
      </c>
      <c r="I645" s="14" t="s">
        <v>3848</v>
      </c>
      <c r="J645" s="14">
        <v>1</v>
      </c>
      <c r="K645" s="15">
        <f>-ROUNDDOWN(SUMIFS('COM RESID'!$O:$O,'COM RESID'!$H:$H,$E645,'COM RESID'!$I:$I,$F645)/SUMIFS('COM RESID'!$O:$O,'COM RESID'!$I:$I,$F645),3)*O645</f>
        <v>-0.84083999999999992</v>
      </c>
      <c r="L645" s="14">
        <v>0</v>
      </c>
      <c r="M645" s="14">
        <v>5</v>
      </c>
      <c r="N645" s="10"/>
      <c r="O645" s="20">
        <v>0.98</v>
      </c>
      <c r="Q645" s="11" t="str">
        <f t="shared" ref="Q645:Q676" si="200">SUBSTITUTE(C645,"MIN","MAX")</f>
        <v>*</v>
      </c>
      <c r="R645" s="12"/>
      <c r="S645" s="13" t="str">
        <f t="shared" si="182"/>
        <v>COMNGA</v>
      </c>
      <c r="T645" s="13" t="str">
        <f t="shared" si="183"/>
        <v>COMOTHOldCKEUE</v>
      </c>
      <c r="U645" s="13" t="str">
        <f t="shared" si="184"/>
        <v>COMOTHOldCKEUE</v>
      </c>
      <c r="V645" s="14">
        <v>2019</v>
      </c>
      <c r="W645" s="14" t="s">
        <v>3849</v>
      </c>
      <c r="X645" s="14">
        <v>1</v>
      </c>
      <c r="Y645" s="15">
        <f>-ROUNDUP(MIN(SUMIFS('COM RESID'!$O:$O,'COM RESID'!$H:$H,$E645,'COM RESID'!$I:$I,$F645)/SUMIFS('COM RESID'!$O:$O,'COM RESID'!$I:$I,$F645)*AC645,1),3)</f>
        <v>-0.876</v>
      </c>
      <c r="Z645" s="14">
        <v>0</v>
      </c>
      <c r="AA645" s="14">
        <v>5</v>
      </c>
      <c r="AB645" s="10"/>
      <c r="AC645" s="20">
        <v>1.02</v>
      </c>
    </row>
    <row r="646" spans="1:29" x14ac:dyDescent="0.25">
      <c r="A646" s="10">
        <f>A645</f>
        <v>161</v>
      </c>
      <c r="B646" s="10"/>
      <c r="C646" s="11" t="str">
        <f>IF(C645="*",C645,"")</f>
        <v>*</v>
      </c>
      <c r="D646" s="12"/>
      <c r="E646" s="13" t="str">
        <f t="shared" ref="E646:G648" si="201">E645</f>
        <v>COMNGA</v>
      </c>
      <c r="F646" s="13" t="str">
        <f t="shared" si="201"/>
        <v>COMOTHOldCKEUE</v>
      </c>
      <c r="G646" s="13" t="str">
        <f t="shared" si="201"/>
        <v>COMOTHOldCKEUE</v>
      </c>
      <c r="H646" s="14">
        <v>2025</v>
      </c>
      <c r="I646" s="14" t="str">
        <f>I645</f>
        <v>LO</v>
      </c>
      <c r="J646" s="14"/>
      <c r="K646" s="15">
        <f>-ROUNDDOWN(SUMIFS('COM RESID'!$O:$O,'COM RESID'!$H:$H,$E646,'COM RESID'!$I:$I,$F646)/SUMIFS('COM RESID'!$O:$O,'COM RESID'!$I:$I,$F646),3)*O646</f>
        <v>-0.68640000000000001</v>
      </c>
      <c r="L646" s="14"/>
      <c r="M646" s="14"/>
      <c r="N646" s="10"/>
      <c r="O646" s="20">
        <v>0.8</v>
      </c>
      <c r="Q646" s="11" t="str">
        <f t="shared" si="200"/>
        <v>*</v>
      </c>
      <c r="R646" s="12"/>
      <c r="S646" s="13" t="str">
        <f t="shared" ref="S646:S676" si="202">E646</f>
        <v>COMNGA</v>
      </c>
      <c r="T646" s="13" t="str">
        <f t="shared" ref="T646:T676" si="203">F646</f>
        <v>COMOTHOldCKEUE</v>
      </c>
      <c r="U646" s="13" t="str">
        <f t="shared" ref="U646:U676" si="204">G646</f>
        <v>COMOTHOldCKEUE</v>
      </c>
      <c r="V646" s="14">
        <v>2025</v>
      </c>
      <c r="W646" s="14" t="str">
        <f>W645</f>
        <v>UP</v>
      </c>
      <c r="X646" s="14"/>
      <c r="Y646" s="15">
        <f>-ROUNDUP(MIN(SUMIFS('COM RESID'!$O:$O,'COM RESID'!$H:$H,$E646,'COM RESID'!$I:$I,$F646)/SUMIFS('COM RESID'!$O:$O,'COM RESID'!$I:$I,$F646)*AC646,1),3)</f>
        <v>-1</v>
      </c>
      <c r="Z646" s="14"/>
      <c r="AA646" s="14"/>
      <c r="AB646" s="10"/>
      <c r="AC646" s="20">
        <f>IF(S646="COMELC",IF(SUMIFS('COM RESID'!$O:$O,'COM RESID'!$H:$H,$E646,'COM RESID'!$I:$I,$F646)/SUMIFS('COM RESID'!$O:$O,'COM RESID'!$I:$I,$F646)*1.2&lt;0.25,0.25/(SUMIFS('COM RESID'!$O:$O,'COM RESID'!$H:$H,$E646,'COM RESID'!$I:$I,$F646)/SUMIFS('COM RESID'!$O:$O,'COM RESID'!$I:$I,$F646)),1.2),IF(ISNUMBER(SEARCH("WHEUE",T646)),IF(OR(S646="COMNGA",S646="COMFOI"),1,1.2),1.2))</f>
        <v>1.2</v>
      </c>
    </row>
    <row r="647" spans="1:29" x14ac:dyDescent="0.25">
      <c r="A647" s="10">
        <f>A646</f>
        <v>161</v>
      </c>
      <c r="B647" s="10"/>
      <c r="C647" s="11" t="str">
        <f>IF(C646="*",C646,"")</f>
        <v>*</v>
      </c>
      <c r="D647" s="12"/>
      <c r="E647" s="13" t="str">
        <f t="shared" si="201"/>
        <v>COMNGA</v>
      </c>
      <c r="F647" s="13" t="str">
        <f t="shared" si="201"/>
        <v>COMOTHOldCKEUE</v>
      </c>
      <c r="G647" s="13" t="str">
        <f t="shared" si="201"/>
        <v>COMOTHOldCKEUE</v>
      </c>
      <c r="H647" s="14">
        <v>2030</v>
      </c>
      <c r="I647" s="14" t="str">
        <f>I646</f>
        <v>LO</v>
      </c>
      <c r="J647" s="14"/>
      <c r="K647" s="15">
        <f>-ROUNDDOWN(SUMIFS('COM RESID'!$O:$O,'COM RESID'!$H:$H,$E647,'COM RESID'!$I:$I,$F647)/SUMIFS('COM RESID'!$O:$O,'COM RESID'!$I:$I,$F647),3)*O647</f>
        <v>-0.1716</v>
      </c>
      <c r="L647" s="14"/>
      <c r="M647" s="14"/>
      <c r="N647" s="10"/>
      <c r="O647" s="20">
        <v>0.2</v>
      </c>
      <c r="Q647" s="11" t="str">
        <f t="shared" si="200"/>
        <v>*</v>
      </c>
      <c r="R647" s="12"/>
      <c r="S647" s="13" t="str">
        <f t="shared" si="202"/>
        <v>COMNGA</v>
      </c>
      <c r="T647" s="13" t="str">
        <f t="shared" si="203"/>
        <v>COMOTHOldCKEUE</v>
      </c>
      <c r="U647" s="13" t="str">
        <f t="shared" si="204"/>
        <v>COMOTHOldCKEUE</v>
      </c>
      <c r="V647" s="14">
        <v>2030</v>
      </c>
      <c r="W647" s="14" t="str">
        <f>W646</f>
        <v>UP</v>
      </c>
      <c r="X647" s="14"/>
      <c r="Y647" s="15">
        <f>-ROUNDUP(MIN(SUMIFS('COM RESID'!$O:$O,'COM RESID'!$H:$H,$E647,'COM RESID'!$I:$I,$F647)/SUMIFS('COM RESID'!$O:$O,'COM RESID'!$I:$I,$F647)*AC647,1),3)</f>
        <v>-1</v>
      </c>
      <c r="Z647" s="14"/>
      <c r="AA647" s="14"/>
      <c r="AB647" s="10"/>
      <c r="AC647" s="20">
        <f>IF(S647="COMELC",IF(SUMIFS('COM RESID'!$O:$O,'COM RESID'!$H:$H,$E647,'COM RESID'!$I:$I,$F647)/SUMIFS('COM RESID'!$O:$O,'COM RESID'!$I:$I,$F647)*1.5&lt;0.5,0.5/(SUMIFS('COM RESID'!$O:$O,'COM RESID'!$H:$H,$E647,'COM RESID'!$I:$I,$F647)/SUMIFS('COM RESID'!$O:$O,'COM RESID'!$I:$I,$F647)),1.5),IF(ISNUMBER(SEARCH("WHEUE",T646)),IF(OR(S646="COMNGA",S646="COMFOI"),0.9,1.5),1.5))</f>
        <v>1.5</v>
      </c>
    </row>
    <row r="648" spans="1:29" x14ac:dyDescent="0.25">
      <c r="A648" s="26">
        <f>A647</f>
        <v>161</v>
      </c>
      <c r="B648" s="26"/>
      <c r="C648" s="21" t="str">
        <f>IF(C647="*",C647,"")</f>
        <v>*</v>
      </c>
      <c r="D648" s="22"/>
      <c r="E648" s="23" t="str">
        <f t="shared" si="201"/>
        <v>COMNGA</v>
      </c>
      <c r="F648" s="23" t="str">
        <f t="shared" si="201"/>
        <v>COMOTHOldCKEUE</v>
      </c>
      <c r="G648" s="23" t="str">
        <f t="shared" si="201"/>
        <v>COMOTHOldCKEUE</v>
      </c>
      <c r="H648" s="24">
        <v>2050</v>
      </c>
      <c r="I648" s="24" t="str">
        <f>I647</f>
        <v>LO</v>
      </c>
      <c r="J648" s="24"/>
      <c r="K648" s="25">
        <f>-ROUNDDOWN(SUMIFS('COM RESID'!$O:$O,'COM RESID'!$H:$H,$E648,'COM RESID'!$I:$I,$F648)/SUMIFS('COM RESID'!$O:$O,'COM RESID'!$I:$I,$F648),3)*O648</f>
        <v>0</v>
      </c>
      <c r="L648" s="24"/>
      <c r="M648" s="24"/>
      <c r="N648" s="26"/>
      <c r="O648" s="27">
        <v>0</v>
      </c>
      <c r="Q648" s="21" t="str">
        <f t="shared" si="200"/>
        <v>*</v>
      </c>
      <c r="R648" s="22"/>
      <c r="S648" s="23" t="str">
        <f t="shared" si="202"/>
        <v>COMNGA</v>
      </c>
      <c r="T648" s="23" t="str">
        <f t="shared" si="203"/>
        <v>COMOTHOldCKEUE</v>
      </c>
      <c r="U648" s="23" t="str">
        <f t="shared" si="204"/>
        <v>COMOTHOldCKEUE</v>
      </c>
      <c r="V648" s="24">
        <v>2050</v>
      </c>
      <c r="W648" s="24" t="str">
        <f>W647</f>
        <v>UP</v>
      </c>
      <c r="X648" s="24"/>
      <c r="Y648" s="25">
        <f>-ROUNDUP(MIN(SUMIFS('COM RESID'!$O:$O,'COM RESID'!$H:$H,$E648,'COM RESID'!$I:$I,$F648)/SUMIFS('COM RESID'!$O:$O,'COM RESID'!$I:$I,$F648)*AC648,1),3)</f>
        <v>-1</v>
      </c>
      <c r="Z648" s="24"/>
      <c r="AA648" s="24"/>
      <c r="AB648" s="26"/>
      <c r="AC648" s="27">
        <f>IF(S648="COMELC",IF(SUMIFS('COM RESID'!$O:$O,'COM RESID'!$H:$H,$E648,'COM RESID'!$I:$I,$F648)/SUMIFS('COM RESID'!$O:$O,'COM RESID'!$I:$I,$F648)*3&lt;1,1/(SUMIFS('COM RESID'!$O:$O,'COM RESID'!$H:$H,$E648,'COM RESID'!$I:$I,$F648)/SUMIFS('COM RESID'!$O:$O,'COM RESID'!$I:$I,$F648)),3),IF(ISNUMBER(SEARCH("WHEUE",T646)),IF(OR(S646="COMNGA",S646="COMFOI"),0.75,3),3))</f>
        <v>3</v>
      </c>
    </row>
    <row r="649" spans="1:29" x14ac:dyDescent="0.25">
      <c r="A649" s="19">
        <f>A645+1</f>
        <v>162</v>
      </c>
      <c r="B649" s="10"/>
      <c r="C649" s="11" t="str">
        <f>IF(E649="","",IF(_xlfn.XLOOKUP($A649,Selected_constraint_UC!$A:$A,Selected_constraint_UC!$D:$D)=1,"*",IF(SUMIFS('COM TECH'!$N:$N,'COM TECH'!$K:$K,E649,'COM TECH'!$L:$L,F649)=0,"*",IF(SUMIFS('COM RESID'!$O:$O,'COM RESID'!$H:$H,$E649,'COM RESID'!$I:$I,$F649)=0,"*","UC_MarketShare_"&amp;LEFT(F649,LEN(F649)-3)&amp;"_"&amp;RIGHT(E649,3)&amp;"_MIN"))))</f>
        <v>*</v>
      </c>
      <c r="D649" s="12"/>
      <c r="E649" s="13" t="str">
        <f>_xlfn.XLOOKUP($A649,Selected_constraint_UC!$A:$A,Selected_constraint_UC!$B:$B)</f>
        <v>COMSTM</v>
      </c>
      <c r="F649" s="13" t="str">
        <f>_xlfn.XLOOKUP($A649,Selected_constraint_UC!$A:$A,Selected_constraint_UC!$C:$C)</f>
        <v>COMOTHOldCKEUE</v>
      </c>
      <c r="G649" s="13" t="str">
        <f>F649</f>
        <v>COMOTHOldCKEUE</v>
      </c>
      <c r="H649" s="14">
        <v>2019</v>
      </c>
      <c r="I649" s="14" t="s">
        <v>3848</v>
      </c>
      <c r="J649" s="14">
        <v>1</v>
      </c>
      <c r="K649" s="15">
        <f>-ROUNDDOWN(SUMIFS('COM RESID'!$O:$O,'COM RESID'!$H:$H,$E649,'COM RESID'!$I:$I,$F649)/SUMIFS('COM RESID'!$O:$O,'COM RESID'!$I:$I,$F649),3)*O649</f>
        <v>0</v>
      </c>
      <c r="L649" s="14">
        <v>0</v>
      </c>
      <c r="M649" s="14">
        <v>5</v>
      </c>
      <c r="N649" s="10"/>
      <c r="O649" s="20">
        <v>0.98</v>
      </c>
      <c r="Q649" s="11" t="str">
        <f t="shared" si="200"/>
        <v>*</v>
      </c>
      <c r="R649" s="12"/>
      <c r="S649" s="13" t="str">
        <f t="shared" si="202"/>
        <v>COMSTM</v>
      </c>
      <c r="T649" s="13" t="str">
        <f t="shared" si="203"/>
        <v>COMOTHOldCKEUE</v>
      </c>
      <c r="U649" s="13" t="str">
        <f t="shared" si="204"/>
        <v>COMOTHOldCKEUE</v>
      </c>
      <c r="V649" s="14">
        <v>2019</v>
      </c>
      <c r="W649" s="14" t="s">
        <v>3849</v>
      </c>
      <c r="X649" s="14">
        <v>1</v>
      </c>
      <c r="Y649" s="15">
        <f>-ROUNDUP(MIN(SUMIFS('COM RESID'!$O:$O,'COM RESID'!$H:$H,$E649,'COM RESID'!$I:$I,$F649)/SUMIFS('COM RESID'!$O:$O,'COM RESID'!$I:$I,$F649)*AC649,1),3)</f>
        <v>0</v>
      </c>
      <c r="Z649" s="14">
        <v>0</v>
      </c>
      <c r="AA649" s="14">
        <v>5</v>
      </c>
      <c r="AB649" s="10"/>
      <c r="AC649" s="20">
        <v>1.02</v>
      </c>
    </row>
    <row r="650" spans="1:29" x14ac:dyDescent="0.25">
      <c r="A650" s="10">
        <f>A649</f>
        <v>162</v>
      </c>
      <c r="B650" s="10"/>
      <c r="C650" s="11" t="str">
        <f>IF(C649="*",C649,"")</f>
        <v>*</v>
      </c>
      <c r="D650" s="12"/>
      <c r="E650" s="13" t="str">
        <f t="shared" ref="E650:G652" si="205">E649</f>
        <v>COMSTM</v>
      </c>
      <c r="F650" s="13" t="str">
        <f t="shared" si="205"/>
        <v>COMOTHOldCKEUE</v>
      </c>
      <c r="G650" s="13" t="str">
        <f t="shared" si="205"/>
        <v>COMOTHOldCKEUE</v>
      </c>
      <c r="H650" s="14">
        <v>2025</v>
      </c>
      <c r="I650" s="14" t="str">
        <f>I649</f>
        <v>LO</v>
      </c>
      <c r="J650" s="14"/>
      <c r="K650" s="15">
        <f>-ROUNDDOWN(SUMIFS('COM RESID'!$O:$O,'COM RESID'!$H:$H,$E650,'COM RESID'!$I:$I,$F650)/SUMIFS('COM RESID'!$O:$O,'COM RESID'!$I:$I,$F650),3)*O650</f>
        <v>0</v>
      </c>
      <c r="L650" s="14"/>
      <c r="M650" s="14"/>
      <c r="N650" s="10"/>
      <c r="O650" s="20">
        <v>0.8</v>
      </c>
      <c r="Q650" s="11" t="str">
        <f t="shared" si="200"/>
        <v>*</v>
      </c>
      <c r="R650" s="12"/>
      <c r="S650" s="13" t="str">
        <f t="shared" si="202"/>
        <v>COMSTM</v>
      </c>
      <c r="T650" s="13" t="str">
        <f t="shared" si="203"/>
        <v>COMOTHOldCKEUE</v>
      </c>
      <c r="U650" s="13" t="str">
        <f t="shared" si="204"/>
        <v>COMOTHOldCKEUE</v>
      </c>
      <c r="V650" s="14">
        <v>2025</v>
      </c>
      <c r="W650" s="14" t="str">
        <f>W649</f>
        <v>UP</v>
      </c>
      <c r="X650" s="14"/>
      <c r="Y650" s="15">
        <f>-ROUNDUP(MIN(SUMIFS('COM RESID'!$O:$O,'COM RESID'!$H:$H,$E650,'COM RESID'!$I:$I,$F650)/SUMIFS('COM RESID'!$O:$O,'COM RESID'!$I:$I,$F650)*AC650,1),3)</f>
        <v>0</v>
      </c>
      <c r="Z650" s="14"/>
      <c r="AA650" s="14"/>
      <c r="AB650" s="10"/>
      <c r="AC650" s="20">
        <f>IF(S650="COMELC",IF(SUMIFS('COM RESID'!$O:$O,'COM RESID'!$H:$H,$E650,'COM RESID'!$I:$I,$F650)/SUMIFS('COM RESID'!$O:$O,'COM RESID'!$I:$I,$F650)*1.2&lt;0.25,0.25/(SUMIFS('COM RESID'!$O:$O,'COM RESID'!$H:$H,$E650,'COM RESID'!$I:$I,$F650)/SUMIFS('COM RESID'!$O:$O,'COM RESID'!$I:$I,$F650)),1.2),IF(ISNUMBER(SEARCH("WHEUE",T650)),IF(OR(S650="COMNGA",S650="COMFOI"),1,1.2),1.2))</f>
        <v>1.2</v>
      </c>
    </row>
    <row r="651" spans="1:29" x14ac:dyDescent="0.25">
      <c r="A651" s="10">
        <f>A650</f>
        <v>162</v>
      </c>
      <c r="B651" s="10"/>
      <c r="C651" s="11" t="str">
        <f>IF(C650="*",C650,"")</f>
        <v>*</v>
      </c>
      <c r="D651" s="12"/>
      <c r="E651" s="13" t="str">
        <f t="shared" si="205"/>
        <v>COMSTM</v>
      </c>
      <c r="F651" s="13" t="str">
        <f t="shared" si="205"/>
        <v>COMOTHOldCKEUE</v>
      </c>
      <c r="G651" s="13" t="str">
        <f t="shared" si="205"/>
        <v>COMOTHOldCKEUE</v>
      </c>
      <c r="H651" s="14">
        <v>2030</v>
      </c>
      <c r="I651" s="14" t="str">
        <f>I650</f>
        <v>LO</v>
      </c>
      <c r="J651" s="14"/>
      <c r="K651" s="15">
        <f>-ROUNDDOWN(SUMIFS('COM RESID'!$O:$O,'COM RESID'!$H:$H,$E651,'COM RESID'!$I:$I,$F651)/SUMIFS('COM RESID'!$O:$O,'COM RESID'!$I:$I,$F651),3)*O651</f>
        <v>0</v>
      </c>
      <c r="L651" s="14"/>
      <c r="M651" s="14"/>
      <c r="N651" s="10"/>
      <c r="O651" s="20">
        <v>0.2</v>
      </c>
      <c r="Q651" s="11" t="str">
        <f t="shared" si="200"/>
        <v>*</v>
      </c>
      <c r="R651" s="12"/>
      <c r="S651" s="13" t="str">
        <f t="shared" si="202"/>
        <v>COMSTM</v>
      </c>
      <c r="T651" s="13" t="str">
        <f t="shared" si="203"/>
        <v>COMOTHOldCKEUE</v>
      </c>
      <c r="U651" s="13" t="str">
        <f t="shared" si="204"/>
        <v>COMOTHOldCKEUE</v>
      </c>
      <c r="V651" s="14">
        <v>2030</v>
      </c>
      <c r="W651" s="14" t="str">
        <f>W650</f>
        <v>UP</v>
      </c>
      <c r="X651" s="14"/>
      <c r="Y651" s="15">
        <f>-ROUNDUP(MIN(SUMIFS('COM RESID'!$O:$O,'COM RESID'!$H:$H,$E651,'COM RESID'!$I:$I,$F651)/SUMIFS('COM RESID'!$O:$O,'COM RESID'!$I:$I,$F651)*AC651,1),3)</f>
        <v>0</v>
      </c>
      <c r="Z651" s="14"/>
      <c r="AA651" s="14"/>
      <c r="AB651" s="10"/>
      <c r="AC651" s="20">
        <f>IF(S651="COMELC",IF(SUMIFS('COM RESID'!$O:$O,'COM RESID'!$H:$H,$E651,'COM RESID'!$I:$I,$F651)/SUMIFS('COM RESID'!$O:$O,'COM RESID'!$I:$I,$F651)*1.5&lt;0.5,0.5/(SUMIFS('COM RESID'!$O:$O,'COM RESID'!$H:$H,$E651,'COM RESID'!$I:$I,$F651)/SUMIFS('COM RESID'!$O:$O,'COM RESID'!$I:$I,$F651)),1.5),IF(ISNUMBER(SEARCH("WHEUE",T650)),IF(OR(S650="COMNGA",S650="COMFOI"),0.9,1.5),1.5))</f>
        <v>1.5</v>
      </c>
    </row>
    <row r="652" spans="1:29" x14ac:dyDescent="0.25">
      <c r="A652" s="26">
        <f>A651</f>
        <v>162</v>
      </c>
      <c r="B652" s="26"/>
      <c r="C652" s="21" t="str">
        <f>IF(C651="*",C651,"")</f>
        <v>*</v>
      </c>
      <c r="D652" s="22"/>
      <c r="E652" s="23" t="str">
        <f t="shared" si="205"/>
        <v>COMSTM</v>
      </c>
      <c r="F652" s="23" t="str">
        <f t="shared" si="205"/>
        <v>COMOTHOldCKEUE</v>
      </c>
      <c r="G652" s="23" t="str">
        <f t="shared" si="205"/>
        <v>COMOTHOldCKEUE</v>
      </c>
      <c r="H652" s="24">
        <v>2050</v>
      </c>
      <c r="I652" s="24" t="str">
        <f>I651</f>
        <v>LO</v>
      </c>
      <c r="J652" s="24"/>
      <c r="K652" s="25">
        <f>-ROUNDDOWN(SUMIFS('COM RESID'!$O:$O,'COM RESID'!$H:$H,$E652,'COM RESID'!$I:$I,$F652)/SUMIFS('COM RESID'!$O:$O,'COM RESID'!$I:$I,$F652),3)*O652</f>
        <v>0</v>
      </c>
      <c r="L652" s="24"/>
      <c r="M652" s="24"/>
      <c r="N652" s="26"/>
      <c r="O652" s="27">
        <v>0</v>
      </c>
      <c r="Q652" s="21" t="str">
        <f t="shared" si="200"/>
        <v>*</v>
      </c>
      <c r="R652" s="22"/>
      <c r="S652" s="23" t="str">
        <f t="shared" si="202"/>
        <v>COMSTM</v>
      </c>
      <c r="T652" s="23" t="str">
        <f t="shared" si="203"/>
        <v>COMOTHOldCKEUE</v>
      </c>
      <c r="U652" s="23" t="str">
        <f t="shared" si="204"/>
        <v>COMOTHOldCKEUE</v>
      </c>
      <c r="V652" s="24">
        <v>2050</v>
      </c>
      <c r="W652" s="24" t="str">
        <f>W651</f>
        <v>UP</v>
      </c>
      <c r="X652" s="24"/>
      <c r="Y652" s="25">
        <f>-ROUNDUP(MIN(SUMIFS('COM RESID'!$O:$O,'COM RESID'!$H:$H,$E652,'COM RESID'!$I:$I,$F652)/SUMIFS('COM RESID'!$O:$O,'COM RESID'!$I:$I,$F652)*AC652,1),3)</f>
        <v>0</v>
      </c>
      <c r="Z652" s="24"/>
      <c r="AA652" s="24"/>
      <c r="AB652" s="26"/>
      <c r="AC652" s="27">
        <f>IF(S652="COMELC",IF(SUMIFS('COM RESID'!$O:$O,'COM RESID'!$H:$H,$E652,'COM RESID'!$I:$I,$F652)/SUMIFS('COM RESID'!$O:$O,'COM RESID'!$I:$I,$F652)*3&lt;1,1/(SUMIFS('COM RESID'!$O:$O,'COM RESID'!$H:$H,$E652,'COM RESID'!$I:$I,$F652)/SUMIFS('COM RESID'!$O:$O,'COM RESID'!$I:$I,$F652)),3),IF(ISNUMBER(SEARCH("WHEUE",T650)),IF(OR(S650="COMNGA",S650="COMFOI"),0.75,3),3))</f>
        <v>3</v>
      </c>
    </row>
    <row r="653" spans="1:29" x14ac:dyDescent="0.25">
      <c r="A653" s="19">
        <f>A649+1</f>
        <v>163</v>
      </c>
      <c r="B653" s="10"/>
      <c r="C653" s="11" t="str">
        <f>IF(E653="","",IF(_xlfn.XLOOKUP($A653,Selected_constraint_UC!$A:$A,Selected_constraint_UC!$D:$D)=1,"*",IF(SUMIFS('COM TECH'!$N:$N,'COM TECH'!$K:$K,E653,'COM TECH'!$L:$L,F653)=0,"*",IF(SUMIFS('COM RESID'!$O:$O,'COM RESID'!$H:$H,$E653,'COM RESID'!$I:$I,$F653)=0,"*","UC_MarketShare_"&amp;LEFT(F653,LEN(F653)-3)&amp;"_"&amp;RIGHT(E653,3)&amp;"_MIN"))))</f>
        <v>*</v>
      </c>
      <c r="D653" s="12"/>
      <c r="E653" s="13" t="str">
        <f>_xlfn.XLOOKUP($A653,Selected_constraint_UC!$A:$A,Selected_constraint_UC!$B:$B)</f>
        <v>COMELC</v>
      </c>
      <c r="F653" s="13" t="str">
        <f>_xlfn.XLOOKUP($A653,Selected_constraint_UC!$A:$A,Selected_constraint_UC!$C:$C)</f>
        <v>COMOTHOldCKEUE</v>
      </c>
      <c r="G653" s="13" t="str">
        <f>F653</f>
        <v>COMOTHOldCKEUE</v>
      </c>
      <c r="H653" s="14">
        <v>2019</v>
      </c>
      <c r="I653" s="14" t="s">
        <v>3848</v>
      </c>
      <c r="J653" s="14">
        <v>1</v>
      </c>
      <c r="K653" s="15">
        <f>-ROUNDDOWN(SUMIFS('COM RESID'!$O:$O,'COM RESID'!$H:$H,$E653,'COM RESID'!$I:$I,$F653)/SUMIFS('COM RESID'!$O:$O,'COM RESID'!$I:$I,$F653),3)*O653</f>
        <v>-0.13818</v>
      </c>
      <c r="L653" s="14">
        <v>0</v>
      </c>
      <c r="M653" s="14">
        <v>5</v>
      </c>
      <c r="N653" s="10"/>
      <c r="O653" s="20">
        <v>0.98</v>
      </c>
      <c r="Q653" s="11" t="str">
        <f t="shared" si="200"/>
        <v>*</v>
      </c>
      <c r="R653" s="12"/>
      <c r="S653" s="13" t="str">
        <f t="shared" si="202"/>
        <v>COMELC</v>
      </c>
      <c r="T653" s="13" t="str">
        <f t="shared" si="203"/>
        <v>COMOTHOldCKEUE</v>
      </c>
      <c r="U653" s="13" t="str">
        <f t="shared" si="204"/>
        <v>COMOTHOldCKEUE</v>
      </c>
      <c r="V653" s="14">
        <v>2019</v>
      </c>
      <c r="W653" s="14" t="s">
        <v>3849</v>
      </c>
      <c r="X653" s="14">
        <v>1</v>
      </c>
      <c r="Y653" s="15">
        <f>-ROUNDUP(MIN(SUMIFS('COM RESID'!$O:$O,'COM RESID'!$H:$H,$E653,'COM RESID'!$I:$I,$F653)/SUMIFS('COM RESID'!$O:$O,'COM RESID'!$I:$I,$F653)*AC653,1),3)</f>
        <v>-0.14499999999999999</v>
      </c>
      <c r="Z653" s="14">
        <v>0</v>
      </c>
      <c r="AA653" s="14">
        <v>5</v>
      </c>
      <c r="AB653" s="10"/>
      <c r="AC653" s="20">
        <v>1.02</v>
      </c>
    </row>
    <row r="654" spans="1:29" x14ac:dyDescent="0.25">
      <c r="A654" s="10">
        <f>A653</f>
        <v>163</v>
      </c>
      <c r="B654" s="10"/>
      <c r="C654" s="11" t="str">
        <f>IF(C653="*",C653,"")</f>
        <v>*</v>
      </c>
      <c r="D654" s="12"/>
      <c r="E654" s="13" t="str">
        <f t="shared" ref="E654:G656" si="206">E653</f>
        <v>COMELC</v>
      </c>
      <c r="F654" s="13" t="str">
        <f t="shared" si="206"/>
        <v>COMOTHOldCKEUE</v>
      </c>
      <c r="G654" s="13" t="str">
        <f t="shared" si="206"/>
        <v>COMOTHOldCKEUE</v>
      </c>
      <c r="H654" s="14">
        <v>2025</v>
      </c>
      <c r="I654" s="14" t="str">
        <f>I653</f>
        <v>LO</v>
      </c>
      <c r="J654" s="14"/>
      <c r="K654" s="15">
        <f>-ROUNDDOWN(SUMIFS('COM RESID'!$O:$O,'COM RESID'!$H:$H,$E654,'COM RESID'!$I:$I,$F654)/SUMIFS('COM RESID'!$O:$O,'COM RESID'!$I:$I,$F654),3)*O654</f>
        <v>-0.1128</v>
      </c>
      <c r="L654" s="14"/>
      <c r="M654" s="14"/>
      <c r="N654" s="10"/>
      <c r="O654" s="20">
        <v>0.8</v>
      </c>
      <c r="Q654" s="11" t="str">
        <f t="shared" si="200"/>
        <v>*</v>
      </c>
      <c r="R654" s="12"/>
      <c r="S654" s="13" t="str">
        <f t="shared" si="202"/>
        <v>COMELC</v>
      </c>
      <c r="T654" s="13" t="str">
        <f t="shared" si="203"/>
        <v>COMOTHOldCKEUE</v>
      </c>
      <c r="U654" s="13" t="str">
        <f t="shared" si="204"/>
        <v>COMOTHOldCKEUE</v>
      </c>
      <c r="V654" s="14">
        <v>2025</v>
      </c>
      <c r="W654" s="14" t="str">
        <f>W653</f>
        <v>UP</v>
      </c>
      <c r="X654" s="14"/>
      <c r="Y654" s="15">
        <f>-ROUNDUP(MIN(SUMIFS('COM RESID'!$O:$O,'COM RESID'!$H:$H,$E654,'COM RESID'!$I:$I,$F654)/SUMIFS('COM RESID'!$O:$O,'COM RESID'!$I:$I,$F654)*AC654,1),3)</f>
        <v>-0.25</v>
      </c>
      <c r="Z654" s="14"/>
      <c r="AA654" s="14"/>
      <c r="AB654" s="10"/>
      <c r="AC654" s="20">
        <f>IF(S654="COMELC",IF(SUMIFS('COM RESID'!$O:$O,'COM RESID'!$H:$H,$E654,'COM RESID'!$I:$I,$F654)/SUMIFS('COM RESID'!$O:$O,'COM RESID'!$I:$I,$F654)*1.2&lt;0.25,0.25/(SUMIFS('COM RESID'!$O:$O,'COM RESID'!$H:$H,$E654,'COM RESID'!$I:$I,$F654)/SUMIFS('COM RESID'!$O:$O,'COM RESID'!$I:$I,$F654)),1.2),IF(ISNUMBER(SEARCH("WHEUE",T654)),IF(OR(S654="COMNGA",S654="COMFOI"),1,1.2),1.2))</f>
        <v>1.7662396759250143</v>
      </c>
    </row>
    <row r="655" spans="1:29" x14ac:dyDescent="0.25">
      <c r="A655" s="10">
        <f>A654</f>
        <v>163</v>
      </c>
      <c r="B655" s="10"/>
      <c r="C655" s="11" t="str">
        <f>IF(C654="*",C654,"")</f>
        <v>*</v>
      </c>
      <c r="D655" s="12"/>
      <c r="E655" s="13" t="str">
        <f t="shared" si="206"/>
        <v>COMELC</v>
      </c>
      <c r="F655" s="13" t="str">
        <f t="shared" si="206"/>
        <v>COMOTHOldCKEUE</v>
      </c>
      <c r="G655" s="13" t="str">
        <f t="shared" si="206"/>
        <v>COMOTHOldCKEUE</v>
      </c>
      <c r="H655" s="14">
        <v>2030</v>
      </c>
      <c r="I655" s="14" t="str">
        <f>I654</f>
        <v>LO</v>
      </c>
      <c r="J655" s="14"/>
      <c r="K655" s="15">
        <f>-ROUNDDOWN(SUMIFS('COM RESID'!$O:$O,'COM RESID'!$H:$H,$E655,'COM RESID'!$I:$I,$F655)/SUMIFS('COM RESID'!$O:$O,'COM RESID'!$I:$I,$F655),3)*O655</f>
        <v>-2.8199999999999999E-2</v>
      </c>
      <c r="L655" s="14"/>
      <c r="M655" s="14"/>
      <c r="N655" s="10"/>
      <c r="O655" s="20">
        <v>0.2</v>
      </c>
      <c r="Q655" s="11" t="str">
        <f t="shared" si="200"/>
        <v>*</v>
      </c>
      <c r="R655" s="12"/>
      <c r="S655" s="13" t="str">
        <f t="shared" si="202"/>
        <v>COMELC</v>
      </c>
      <c r="T655" s="13" t="str">
        <f t="shared" si="203"/>
        <v>COMOTHOldCKEUE</v>
      </c>
      <c r="U655" s="13" t="str">
        <f t="shared" si="204"/>
        <v>COMOTHOldCKEUE</v>
      </c>
      <c r="V655" s="14">
        <v>2030</v>
      </c>
      <c r="W655" s="14" t="str">
        <f>W654</f>
        <v>UP</v>
      </c>
      <c r="X655" s="14"/>
      <c r="Y655" s="15">
        <f>-ROUNDUP(MIN(SUMIFS('COM RESID'!$O:$O,'COM RESID'!$H:$H,$E655,'COM RESID'!$I:$I,$F655)/SUMIFS('COM RESID'!$O:$O,'COM RESID'!$I:$I,$F655)*AC655,1),3)</f>
        <v>-0.5</v>
      </c>
      <c r="Z655" s="14"/>
      <c r="AA655" s="14"/>
      <c r="AB655" s="10"/>
      <c r="AC655" s="20">
        <f>IF(S655="COMELC",IF(SUMIFS('COM RESID'!$O:$O,'COM RESID'!$H:$H,$E655,'COM RESID'!$I:$I,$F655)/SUMIFS('COM RESID'!$O:$O,'COM RESID'!$I:$I,$F655)*1.5&lt;0.5,0.5/(SUMIFS('COM RESID'!$O:$O,'COM RESID'!$H:$H,$E655,'COM RESID'!$I:$I,$F655)/SUMIFS('COM RESID'!$O:$O,'COM RESID'!$I:$I,$F655)),1.5),IF(ISNUMBER(SEARCH("WHEUE",T654)),IF(OR(S654="COMNGA",S654="COMFOI"),0.9,1.5),1.5))</f>
        <v>3.5324793518500286</v>
      </c>
    </row>
    <row r="656" spans="1:29" x14ac:dyDescent="0.25">
      <c r="A656" s="26">
        <f>A655</f>
        <v>163</v>
      </c>
      <c r="B656" s="26"/>
      <c r="C656" s="21" t="str">
        <f>IF(C655="*",C655,"")</f>
        <v>*</v>
      </c>
      <c r="D656" s="22"/>
      <c r="E656" s="23" t="str">
        <f t="shared" si="206"/>
        <v>COMELC</v>
      </c>
      <c r="F656" s="23" t="str">
        <f t="shared" si="206"/>
        <v>COMOTHOldCKEUE</v>
      </c>
      <c r="G656" s="23" t="str">
        <f t="shared" si="206"/>
        <v>COMOTHOldCKEUE</v>
      </c>
      <c r="H656" s="24">
        <v>2050</v>
      </c>
      <c r="I656" s="24" t="str">
        <f>I655</f>
        <v>LO</v>
      </c>
      <c r="J656" s="24"/>
      <c r="K656" s="25">
        <f>-ROUNDDOWN(SUMIFS('COM RESID'!$O:$O,'COM RESID'!$H:$H,$E656,'COM RESID'!$I:$I,$F656)/SUMIFS('COM RESID'!$O:$O,'COM RESID'!$I:$I,$F656),3)*O656</f>
        <v>0</v>
      </c>
      <c r="L656" s="24"/>
      <c r="M656" s="24"/>
      <c r="N656" s="26"/>
      <c r="O656" s="27">
        <v>0</v>
      </c>
      <c r="Q656" s="21" t="str">
        <f t="shared" si="200"/>
        <v>*</v>
      </c>
      <c r="R656" s="22"/>
      <c r="S656" s="23" t="str">
        <f t="shared" si="202"/>
        <v>COMELC</v>
      </c>
      <c r="T656" s="23" t="str">
        <f t="shared" si="203"/>
        <v>COMOTHOldCKEUE</v>
      </c>
      <c r="U656" s="23" t="str">
        <f t="shared" si="204"/>
        <v>COMOTHOldCKEUE</v>
      </c>
      <c r="V656" s="24">
        <v>2050</v>
      </c>
      <c r="W656" s="24" t="str">
        <f>W655</f>
        <v>UP</v>
      </c>
      <c r="X656" s="24"/>
      <c r="Y656" s="25">
        <f>-ROUNDUP(MIN(SUMIFS('COM RESID'!$O:$O,'COM RESID'!$H:$H,$E656,'COM RESID'!$I:$I,$F656)/SUMIFS('COM RESID'!$O:$O,'COM RESID'!$I:$I,$F656)*AC656,1),3)</f>
        <v>-1</v>
      </c>
      <c r="Z656" s="24"/>
      <c r="AA656" s="24"/>
      <c r="AB656" s="26"/>
      <c r="AC656" s="27">
        <f>IF(S656="COMELC",IF(SUMIFS('COM RESID'!$O:$O,'COM RESID'!$H:$H,$E656,'COM RESID'!$I:$I,$F656)/SUMIFS('COM RESID'!$O:$O,'COM RESID'!$I:$I,$F656)*3&lt;1,1/(SUMIFS('COM RESID'!$O:$O,'COM RESID'!$H:$H,$E656,'COM RESID'!$I:$I,$F656)/SUMIFS('COM RESID'!$O:$O,'COM RESID'!$I:$I,$F656)),3),IF(ISNUMBER(SEARCH("WHEUE",T654)),IF(OR(S654="COMNGA",S654="COMFOI"),0.75,3),3))</f>
        <v>7.0649587037000572</v>
      </c>
    </row>
    <row r="657" spans="1:29" x14ac:dyDescent="0.25">
      <c r="A657" s="19">
        <f>A653+1</f>
        <v>164</v>
      </c>
      <c r="B657" s="10"/>
      <c r="C657" s="11" t="str">
        <f>IF(E657="","",IF(_xlfn.XLOOKUP($A657,Selected_constraint_UC!$A:$A,Selected_constraint_UC!$D:$D)=1,"*",IF(SUMIFS('COM TECH'!$N:$N,'COM TECH'!$K:$K,E657,'COM TECH'!$L:$L,F657)=0,"*",IF(SUMIFS('COM RESID'!$O:$O,'COM RESID'!$H:$H,$E657,'COM RESID'!$I:$I,$F657)=0,"*","UC_MarketShare_"&amp;LEFT(F657,LEN(F657)-3)&amp;"_"&amp;RIGHT(E657,3)&amp;"_MIN"))))</f>
        <v>*</v>
      </c>
      <c r="D657" s="12"/>
      <c r="E657" s="13" t="str">
        <f>_xlfn.XLOOKUP($A657,Selected_constraint_UC!$A:$A,Selected_constraint_UC!$B:$B)</f>
        <v>COMELC</v>
      </c>
      <c r="F657" s="13" t="str">
        <f>_xlfn.XLOOKUP($A657,Selected_constraint_UC!$A:$A,Selected_constraint_UC!$C:$C)</f>
        <v>COMOTHOldREEUE</v>
      </c>
      <c r="G657" s="13" t="str">
        <f>F657</f>
        <v>COMOTHOldREEUE</v>
      </c>
      <c r="H657" s="14">
        <v>2019</v>
      </c>
      <c r="I657" s="14" t="s">
        <v>3848</v>
      </c>
      <c r="J657" s="14">
        <v>1</v>
      </c>
      <c r="K657" s="15">
        <f>-ROUNDDOWN(SUMIFS('COM RESID'!$O:$O,'COM RESID'!$H:$H,$E657,'COM RESID'!$I:$I,$F657)/SUMIFS('COM RESID'!$O:$O,'COM RESID'!$I:$I,$F657),3)*O657</f>
        <v>-0.98</v>
      </c>
      <c r="L657" s="14">
        <v>0</v>
      </c>
      <c r="M657" s="14">
        <v>5</v>
      </c>
      <c r="N657" s="10"/>
      <c r="O657" s="20">
        <v>0.98</v>
      </c>
      <c r="Q657" s="11" t="str">
        <f t="shared" si="200"/>
        <v>*</v>
      </c>
      <c r="R657" s="12"/>
      <c r="S657" s="13" t="str">
        <f t="shared" si="202"/>
        <v>COMELC</v>
      </c>
      <c r="T657" s="13" t="str">
        <f t="shared" si="203"/>
        <v>COMOTHOldREEUE</v>
      </c>
      <c r="U657" s="13" t="str">
        <f t="shared" si="204"/>
        <v>COMOTHOldREEUE</v>
      </c>
      <c r="V657" s="14">
        <v>2019</v>
      </c>
      <c r="W657" s="14" t="s">
        <v>3849</v>
      </c>
      <c r="X657" s="14">
        <v>1</v>
      </c>
      <c r="Y657" s="15">
        <f>-ROUNDUP(MIN(SUMIFS('COM RESID'!$O:$O,'COM RESID'!$H:$H,$E657,'COM RESID'!$I:$I,$F657)/SUMIFS('COM RESID'!$O:$O,'COM RESID'!$I:$I,$F657)*AC657,1),3)</f>
        <v>-1</v>
      </c>
      <c r="Z657" s="14">
        <v>0</v>
      </c>
      <c r="AA657" s="14">
        <v>5</v>
      </c>
      <c r="AB657" s="10"/>
      <c r="AC657" s="20">
        <v>1.02</v>
      </c>
    </row>
    <row r="658" spans="1:29" x14ac:dyDescent="0.25">
      <c r="A658" s="10">
        <f>A657</f>
        <v>164</v>
      </c>
      <c r="B658" s="10"/>
      <c r="C658" s="11" t="str">
        <f>IF(C657="*",C657,"")</f>
        <v>*</v>
      </c>
      <c r="D658" s="12"/>
      <c r="E658" s="13" t="str">
        <f t="shared" ref="E658:G660" si="207">E657</f>
        <v>COMELC</v>
      </c>
      <c r="F658" s="13" t="str">
        <f t="shared" si="207"/>
        <v>COMOTHOldREEUE</v>
      </c>
      <c r="G658" s="13" t="str">
        <f t="shared" si="207"/>
        <v>COMOTHOldREEUE</v>
      </c>
      <c r="H658" s="14">
        <v>2025</v>
      </c>
      <c r="I658" s="14" t="str">
        <f>I657</f>
        <v>LO</v>
      </c>
      <c r="J658" s="14"/>
      <c r="K658" s="15">
        <f>-ROUNDDOWN(SUMIFS('COM RESID'!$O:$O,'COM RESID'!$H:$H,$E658,'COM RESID'!$I:$I,$F658)/SUMIFS('COM RESID'!$O:$O,'COM RESID'!$I:$I,$F658),3)*O658</f>
        <v>-0.8</v>
      </c>
      <c r="L658" s="14"/>
      <c r="M658" s="14"/>
      <c r="N658" s="10"/>
      <c r="O658" s="20">
        <v>0.8</v>
      </c>
      <c r="Q658" s="11" t="str">
        <f t="shared" si="200"/>
        <v>*</v>
      </c>
      <c r="R658" s="12"/>
      <c r="S658" s="13" t="str">
        <f t="shared" si="202"/>
        <v>COMELC</v>
      </c>
      <c r="T658" s="13" t="str">
        <f t="shared" si="203"/>
        <v>COMOTHOldREEUE</v>
      </c>
      <c r="U658" s="13" t="str">
        <f t="shared" si="204"/>
        <v>COMOTHOldREEUE</v>
      </c>
      <c r="V658" s="14">
        <v>2025</v>
      </c>
      <c r="W658" s="14" t="str">
        <f>W657</f>
        <v>UP</v>
      </c>
      <c r="X658" s="14"/>
      <c r="Y658" s="15">
        <f>-ROUNDUP(MIN(SUMIFS('COM RESID'!$O:$O,'COM RESID'!$H:$H,$E658,'COM RESID'!$I:$I,$F658)/SUMIFS('COM RESID'!$O:$O,'COM RESID'!$I:$I,$F658)*AC658,1),3)</f>
        <v>-1</v>
      </c>
      <c r="Z658" s="14"/>
      <c r="AA658" s="14"/>
      <c r="AB658" s="10"/>
      <c r="AC658" s="20">
        <f>IF(S658="COMELC",IF(SUMIFS('COM RESID'!$O:$O,'COM RESID'!$H:$H,$E658,'COM RESID'!$I:$I,$F658)/SUMIFS('COM RESID'!$O:$O,'COM RESID'!$I:$I,$F658)*1.2&lt;0.25,0.25/(SUMIFS('COM RESID'!$O:$O,'COM RESID'!$H:$H,$E658,'COM RESID'!$I:$I,$F658)/SUMIFS('COM RESID'!$O:$O,'COM RESID'!$I:$I,$F658)),1.2),IF(ISNUMBER(SEARCH("WHEUE",T658)),IF(OR(S658="COMNGA",S658="COMFOI"),1,1.2),1.2))</f>
        <v>1.2</v>
      </c>
    </row>
    <row r="659" spans="1:29" x14ac:dyDescent="0.25">
      <c r="A659" s="10">
        <f>A658</f>
        <v>164</v>
      </c>
      <c r="B659" s="10"/>
      <c r="C659" s="11" t="str">
        <f>IF(C658="*",C658,"")</f>
        <v>*</v>
      </c>
      <c r="D659" s="12"/>
      <c r="E659" s="13" t="str">
        <f t="shared" si="207"/>
        <v>COMELC</v>
      </c>
      <c r="F659" s="13" t="str">
        <f t="shared" si="207"/>
        <v>COMOTHOldREEUE</v>
      </c>
      <c r="G659" s="13" t="str">
        <f t="shared" si="207"/>
        <v>COMOTHOldREEUE</v>
      </c>
      <c r="H659" s="14">
        <v>2030</v>
      </c>
      <c r="I659" s="14" t="str">
        <f>I658</f>
        <v>LO</v>
      </c>
      <c r="J659" s="14"/>
      <c r="K659" s="15">
        <f>-ROUNDDOWN(SUMIFS('COM RESID'!$O:$O,'COM RESID'!$H:$H,$E659,'COM RESID'!$I:$I,$F659)/SUMIFS('COM RESID'!$O:$O,'COM RESID'!$I:$I,$F659),3)*O659</f>
        <v>-0.2</v>
      </c>
      <c r="L659" s="14"/>
      <c r="M659" s="14"/>
      <c r="N659" s="10"/>
      <c r="O659" s="20">
        <v>0.2</v>
      </c>
      <c r="Q659" s="11" t="str">
        <f t="shared" si="200"/>
        <v>*</v>
      </c>
      <c r="R659" s="12"/>
      <c r="S659" s="13" t="str">
        <f t="shared" si="202"/>
        <v>COMELC</v>
      </c>
      <c r="T659" s="13" t="str">
        <f t="shared" si="203"/>
        <v>COMOTHOldREEUE</v>
      </c>
      <c r="U659" s="13" t="str">
        <f t="shared" si="204"/>
        <v>COMOTHOldREEUE</v>
      </c>
      <c r="V659" s="14">
        <v>2030</v>
      </c>
      <c r="W659" s="14" t="str">
        <f>W658</f>
        <v>UP</v>
      </c>
      <c r="X659" s="14"/>
      <c r="Y659" s="15">
        <f>-ROUNDUP(MIN(SUMIFS('COM RESID'!$O:$O,'COM RESID'!$H:$H,$E659,'COM RESID'!$I:$I,$F659)/SUMIFS('COM RESID'!$O:$O,'COM RESID'!$I:$I,$F659)*AC659,1),3)</f>
        <v>-1</v>
      </c>
      <c r="Z659" s="14"/>
      <c r="AA659" s="14"/>
      <c r="AB659" s="10"/>
      <c r="AC659" s="20">
        <f>IF(S659="COMELC",IF(SUMIFS('COM RESID'!$O:$O,'COM RESID'!$H:$H,$E659,'COM RESID'!$I:$I,$F659)/SUMIFS('COM RESID'!$O:$O,'COM RESID'!$I:$I,$F659)*1.5&lt;0.5,0.5/(SUMIFS('COM RESID'!$O:$O,'COM RESID'!$H:$H,$E659,'COM RESID'!$I:$I,$F659)/SUMIFS('COM RESID'!$O:$O,'COM RESID'!$I:$I,$F659)),1.5),IF(ISNUMBER(SEARCH("WHEUE",T658)),IF(OR(S658="COMNGA",S658="COMFOI"),0.9,1.5),1.5))</f>
        <v>1.5</v>
      </c>
    </row>
    <row r="660" spans="1:29" x14ac:dyDescent="0.25">
      <c r="A660" s="26">
        <f>A659</f>
        <v>164</v>
      </c>
      <c r="B660" s="26"/>
      <c r="C660" s="21" t="str">
        <f>IF(C659="*",C659,"")</f>
        <v>*</v>
      </c>
      <c r="D660" s="22"/>
      <c r="E660" s="23" t="str">
        <f t="shared" si="207"/>
        <v>COMELC</v>
      </c>
      <c r="F660" s="23" t="str">
        <f t="shared" si="207"/>
        <v>COMOTHOldREEUE</v>
      </c>
      <c r="G660" s="23" t="str">
        <f t="shared" si="207"/>
        <v>COMOTHOldREEUE</v>
      </c>
      <c r="H660" s="24">
        <v>2050</v>
      </c>
      <c r="I660" s="24" t="str">
        <f>I659</f>
        <v>LO</v>
      </c>
      <c r="J660" s="24"/>
      <c r="K660" s="25">
        <f>-ROUNDDOWN(SUMIFS('COM RESID'!$O:$O,'COM RESID'!$H:$H,$E660,'COM RESID'!$I:$I,$F660)/SUMIFS('COM RESID'!$O:$O,'COM RESID'!$I:$I,$F660),3)*O660</f>
        <v>0</v>
      </c>
      <c r="L660" s="24"/>
      <c r="M660" s="24"/>
      <c r="N660" s="26"/>
      <c r="O660" s="27">
        <v>0</v>
      </c>
      <c r="Q660" s="21" t="str">
        <f t="shared" si="200"/>
        <v>*</v>
      </c>
      <c r="R660" s="22"/>
      <c r="S660" s="23" t="str">
        <f t="shared" si="202"/>
        <v>COMELC</v>
      </c>
      <c r="T660" s="23" t="str">
        <f t="shared" si="203"/>
        <v>COMOTHOldREEUE</v>
      </c>
      <c r="U660" s="23" t="str">
        <f t="shared" si="204"/>
        <v>COMOTHOldREEUE</v>
      </c>
      <c r="V660" s="24">
        <v>2050</v>
      </c>
      <c r="W660" s="24" t="str">
        <f>W659</f>
        <v>UP</v>
      </c>
      <c r="X660" s="24"/>
      <c r="Y660" s="25">
        <f>-ROUNDUP(MIN(SUMIFS('COM RESID'!$O:$O,'COM RESID'!$H:$H,$E660,'COM RESID'!$I:$I,$F660)/SUMIFS('COM RESID'!$O:$O,'COM RESID'!$I:$I,$F660)*AC660,1),3)</f>
        <v>-1</v>
      </c>
      <c r="Z660" s="24"/>
      <c r="AA660" s="24"/>
      <c r="AB660" s="26"/>
      <c r="AC660" s="27">
        <f>IF(S660="COMELC",IF(SUMIFS('COM RESID'!$O:$O,'COM RESID'!$H:$H,$E660,'COM RESID'!$I:$I,$F660)/SUMIFS('COM RESID'!$O:$O,'COM RESID'!$I:$I,$F660)*3&lt;1,1/(SUMIFS('COM RESID'!$O:$O,'COM RESID'!$H:$H,$E660,'COM RESID'!$I:$I,$F660)/SUMIFS('COM RESID'!$O:$O,'COM RESID'!$I:$I,$F660)),3),IF(ISNUMBER(SEARCH("WHEUE",T658)),IF(OR(S658="COMNGA",S658="COMFOI"),0.75,3),3))</f>
        <v>3</v>
      </c>
    </row>
    <row r="661" spans="1:29" x14ac:dyDescent="0.25">
      <c r="A661" s="19">
        <f>A657+1</f>
        <v>165</v>
      </c>
      <c r="B661" s="10"/>
      <c r="C661" s="11" t="str">
        <f>IF(E661="","",IF(_xlfn.XLOOKUP($A661,Selected_constraint_UC!$A:$A,Selected_constraint_UC!$D:$D)=1,"*",IF(SUMIFS('COM TECH'!$N:$N,'COM TECH'!$K:$K,E661,'COM TECH'!$L:$L,F661)=0,"*",IF(SUMIFS('COM RESID'!$O:$O,'COM RESID'!$H:$H,$E661,'COM RESID'!$I:$I,$F661)=0,"*","UC_MarketShare_"&amp;LEFT(F661,LEN(F661)-3)&amp;"_"&amp;RIGHT(E661,3)&amp;"_MIN"))))</f>
        <v>*</v>
      </c>
      <c r="D661" s="12"/>
      <c r="E661" s="13" t="str">
        <f>_xlfn.XLOOKUP($A661,Selected_constraint_UC!$A:$A,Selected_constraint_UC!$B:$B)</f>
        <v>COMFOI</v>
      </c>
      <c r="F661" s="13" t="str">
        <f>_xlfn.XLOOKUP($A661,Selected_constraint_UC!$A:$A,Selected_constraint_UC!$C:$C)</f>
        <v>COMOTHOldOEEUE</v>
      </c>
      <c r="G661" s="13" t="str">
        <f>F661</f>
        <v>COMOTHOldOEEUE</v>
      </c>
      <c r="H661" s="14">
        <v>2019</v>
      </c>
      <c r="I661" s="14" t="s">
        <v>3848</v>
      </c>
      <c r="J661" s="14">
        <v>1</v>
      </c>
      <c r="K661" s="15">
        <f>-ROUNDDOWN(SUMIFS('COM RESID'!$O:$O,'COM RESID'!$H:$H,$E661,'COM RESID'!$I:$I,$F661)/SUMIFS('COM RESID'!$O:$O,'COM RESID'!$I:$I,$F661),3)*O661</f>
        <v>-7.8399999999999997E-2</v>
      </c>
      <c r="L661" s="14">
        <v>0</v>
      </c>
      <c r="M661" s="14">
        <v>5</v>
      </c>
      <c r="N661" s="10"/>
      <c r="O661" s="20">
        <v>0.98</v>
      </c>
      <c r="Q661" s="11" t="str">
        <f t="shared" si="200"/>
        <v>*</v>
      </c>
      <c r="R661" s="12"/>
      <c r="S661" s="13" t="str">
        <f t="shared" si="202"/>
        <v>COMFOI</v>
      </c>
      <c r="T661" s="13" t="str">
        <f t="shared" si="203"/>
        <v>COMOTHOldOEEUE</v>
      </c>
      <c r="U661" s="13" t="str">
        <f t="shared" si="204"/>
        <v>COMOTHOldOEEUE</v>
      </c>
      <c r="V661" s="14">
        <v>2019</v>
      </c>
      <c r="W661" s="14" t="s">
        <v>3849</v>
      </c>
      <c r="X661" s="14">
        <v>1</v>
      </c>
      <c r="Y661" s="15">
        <f>-ROUNDUP(MIN(SUMIFS('COM RESID'!$O:$O,'COM RESID'!$H:$H,$E661,'COM RESID'!$I:$I,$F661)/SUMIFS('COM RESID'!$O:$O,'COM RESID'!$I:$I,$F661)*AC661,1),3)</f>
        <v>-8.2000000000000003E-2</v>
      </c>
      <c r="Z661" s="14">
        <v>0</v>
      </c>
      <c r="AA661" s="14">
        <v>5</v>
      </c>
      <c r="AB661" s="10"/>
      <c r="AC661" s="20">
        <v>1.02</v>
      </c>
    </row>
    <row r="662" spans="1:29" x14ac:dyDescent="0.25">
      <c r="A662" s="10">
        <f>A661</f>
        <v>165</v>
      </c>
      <c r="B662" s="10"/>
      <c r="C662" s="11" t="str">
        <f>IF(C661="*",C661,"")</f>
        <v>*</v>
      </c>
      <c r="D662" s="12"/>
      <c r="E662" s="13" t="str">
        <f t="shared" ref="E662:G664" si="208">E661</f>
        <v>COMFOI</v>
      </c>
      <c r="F662" s="13" t="str">
        <f t="shared" si="208"/>
        <v>COMOTHOldOEEUE</v>
      </c>
      <c r="G662" s="13" t="str">
        <f t="shared" si="208"/>
        <v>COMOTHOldOEEUE</v>
      </c>
      <c r="H662" s="14">
        <v>2025</v>
      </c>
      <c r="I662" s="14" t="str">
        <f>I661</f>
        <v>LO</v>
      </c>
      <c r="J662" s="14"/>
      <c r="K662" s="15">
        <f>-ROUNDDOWN(SUMIFS('COM RESID'!$O:$O,'COM RESID'!$H:$H,$E662,'COM RESID'!$I:$I,$F662)/SUMIFS('COM RESID'!$O:$O,'COM RESID'!$I:$I,$F662),3)*O662</f>
        <v>-6.4000000000000001E-2</v>
      </c>
      <c r="L662" s="14"/>
      <c r="M662" s="14"/>
      <c r="N662" s="10"/>
      <c r="O662" s="20">
        <v>0.8</v>
      </c>
      <c r="Q662" s="11" t="str">
        <f t="shared" si="200"/>
        <v>*</v>
      </c>
      <c r="R662" s="12"/>
      <c r="S662" s="13" t="str">
        <f t="shared" si="202"/>
        <v>COMFOI</v>
      </c>
      <c r="T662" s="13" t="str">
        <f t="shared" si="203"/>
        <v>COMOTHOldOEEUE</v>
      </c>
      <c r="U662" s="13" t="str">
        <f t="shared" si="204"/>
        <v>COMOTHOldOEEUE</v>
      </c>
      <c r="V662" s="14">
        <v>2025</v>
      </c>
      <c r="W662" s="14" t="str">
        <f>W661</f>
        <v>UP</v>
      </c>
      <c r="X662" s="14"/>
      <c r="Y662" s="15">
        <f>-ROUNDUP(MIN(SUMIFS('COM RESID'!$O:$O,'COM RESID'!$H:$H,$E662,'COM RESID'!$I:$I,$F662)/SUMIFS('COM RESID'!$O:$O,'COM RESID'!$I:$I,$F662)*AC662,1),3)</f>
        <v>-9.7000000000000003E-2</v>
      </c>
      <c r="Z662" s="14"/>
      <c r="AA662" s="14"/>
      <c r="AB662" s="10"/>
      <c r="AC662" s="20">
        <f>IF(S662="COMELC",IF(SUMIFS('COM RESID'!$O:$O,'COM RESID'!$H:$H,$E662,'COM RESID'!$I:$I,$F662)/SUMIFS('COM RESID'!$O:$O,'COM RESID'!$I:$I,$F662)*1.2&lt;0.25,0.25/(SUMIFS('COM RESID'!$O:$O,'COM RESID'!$H:$H,$E662,'COM RESID'!$I:$I,$F662)/SUMIFS('COM RESID'!$O:$O,'COM RESID'!$I:$I,$F662)),1.2),IF(ISNUMBER(SEARCH("WHEUE",T662)),IF(OR(S662="COMNGA",S662="COMFOI"),1,1.2),1.2))</f>
        <v>1.2</v>
      </c>
    </row>
    <row r="663" spans="1:29" x14ac:dyDescent="0.25">
      <c r="A663" s="10">
        <f>A662</f>
        <v>165</v>
      </c>
      <c r="B663" s="10"/>
      <c r="C663" s="11" t="str">
        <f>IF(C662="*",C662,"")</f>
        <v>*</v>
      </c>
      <c r="D663" s="12"/>
      <c r="E663" s="13" t="str">
        <f t="shared" si="208"/>
        <v>COMFOI</v>
      </c>
      <c r="F663" s="13" t="str">
        <f t="shared" si="208"/>
        <v>COMOTHOldOEEUE</v>
      </c>
      <c r="G663" s="13" t="str">
        <f t="shared" si="208"/>
        <v>COMOTHOldOEEUE</v>
      </c>
      <c r="H663" s="14">
        <v>2030</v>
      </c>
      <c r="I663" s="14" t="str">
        <f>I662</f>
        <v>LO</v>
      </c>
      <c r="J663" s="14"/>
      <c r="K663" s="15">
        <f>-ROUNDDOWN(SUMIFS('COM RESID'!$O:$O,'COM RESID'!$H:$H,$E663,'COM RESID'!$I:$I,$F663)/SUMIFS('COM RESID'!$O:$O,'COM RESID'!$I:$I,$F663),3)*O663</f>
        <v>-1.6E-2</v>
      </c>
      <c r="L663" s="14"/>
      <c r="M663" s="14"/>
      <c r="N663" s="10"/>
      <c r="O663" s="20">
        <v>0.2</v>
      </c>
      <c r="Q663" s="11" t="str">
        <f t="shared" si="200"/>
        <v>*</v>
      </c>
      <c r="R663" s="12"/>
      <c r="S663" s="13" t="str">
        <f t="shared" si="202"/>
        <v>COMFOI</v>
      </c>
      <c r="T663" s="13" t="str">
        <f t="shared" si="203"/>
        <v>COMOTHOldOEEUE</v>
      </c>
      <c r="U663" s="13" t="str">
        <f t="shared" si="204"/>
        <v>COMOTHOldOEEUE</v>
      </c>
      <c r="V663" s="14">
        <v>2030</v>
      </c>
      <c r="W663" s="14" t="str">
        <f>W662</f>
        <v>UP</v>
      </c>
      <c r="X663" s="14"/>
      <c r="Y663" s="15">
        <f>-ROUNDUP(MIN(SUMIFS('COM RESID'!$O:$O,'COM RESID'!$H:$H,$E663,'COM RESID'!$I:$I,$F663)/SUMIFS('COM RESID'!$O:$O,'COM RESID'!$I:$I,$F663)*AC663,1),3)</f>
        <v>-0.121</v>
      </c>
      <c r="Z663" s="14"/>
      <c r="AA663" s="14"/>
      <c r="AB663" s="10"/>
      <c r="AC663" s="20">
        <f>IF(S663="COMELC",IF(SUMIFS('COM RESID'!$O:$O,'COM RESID'!$H:$H,$E663,'COM RESID'!$I:$I,$F663)/SUMIFS('COM RESID'!$O:$O,'COM RESID'!$I:$I,$F663)*1.5&lt;0.5,0.5/(SUMIFS('COM RESID'!$O:$O,'COM RESID'!$H:$H,$E663,'COM RESID'!$I:$I,$F663)/SUMIFS('COM RESID'!$O:$O,'COM RESID'!$I:$I,$F663)),1.5),IF(ISNUMBER(SEARCH("WHEUE",T662)),IF(OR(S662="COMNGA",S662="COMFOI"),0.9,1.5),1.5))</f>
        <v>1.5</v>
      </c>
    </row>
    <row r="664" spans="1:29" x14ac:dyDescent="0.25">
      <c r="A664" s="26">
        <f>A663</f>
        <v>165</v>
      </c>
      <c r="B664" s="26"/>
      <c r="C664" s="21" t="str">
        <f>IF(C663="*",C663,"")</f>
        <v>*</v>
      </c>
      <c r="D664" s="22"/>
      <c r="E664" s="23" t="str">
        <f t="shared" si="208"/>
        <v>COMFOI</v>
      </c>
      <c r="F664" s="23" t="str">
        <f t="shared" si="208"/>
        <v>COMOTHOldOEEUE</v>
      </c>
      <c r="G664" s="23" t="str">
        <f t="shared" si="208"/>
        <v>COMOTHOldOEEUE</v>
      </c>
      <c r="H664" s="24">
        <v>2050</v>
      </c>
      <c r="I664" s="24" t="str">
        <f>I663</f>
        <v>LO</v>
      </c>
      <c r="J664" s="24"/>
      <c r="K664" s="25">
        <f>-ROUNDDOWN(SUMIFS('COM RESID'!$O:$O,'COM RESID'!$H:$H,$E664,'COM RESID'!$I:$I,$F664)/SUMIFS('COM RESID'!$O:$O,'COM RESID'!$I:$I,$F664),3)*O664</f>
        <v>0</v>
      </c>
      <c r="L664" s="24"/>
      <c r="M664" s="24"/>
      <c r="N664" s="26"/>
      <c r="O664" s="27">
        <v>0</v>
      </c>
      <c r="Q664" s="21" t="str">
        <f t="shared" si="200"/>
        <v>*</v>
      </c>
      <c r="R664" s="22"/>
      <c r="S664" s="23" t="str">
        <f t="shared" si="202"/>
        <v>COMFOI</v>
      </c>
      <c r="T664" s="23" t="str">
        <f t="shared" si="203"/>
        <v>COMOTHOldOEEUE</v>
      </c>
      <c r="U664" s="23" t="str">
        <f t="shared" si="204"/>
        <v>COMOTHOldOEEUE</v>
      </c>
      <c r="V664" s="24">
        <v>2050</v>
      </c>
      <c r="W664" s="24" t="str">
        <f>W663</f>
        <v>UP</v>
      </c>
      <c r="X664" s="24"/>
      <c r="Y664" s="25">
        <f>-ROUNDUP(MIN(SUMIFS('COM RESID'!$O:$O,'COM RESID'!$H:$H,$E664,'COM RESID'!$I:$I,$F664)/SUMIFS('COM RESID'!$O:$O,'COM RESID'!$I:$I,$F664)*AC664,1),3)</f>
        <v>-0.24099999999999999</v>
      </c>
      <c r="Z664" s="24"/>
      <c r="AA664" s="24"/>
      <c r="AB664" s="26"/>
      <c r="AC664" s="27">
        <f>IF(S664="COMELC",IF(SUMIFS('COM RESID'!$O:$O,'COM RESID'!$H:$H,$E664,'COM RESID'!$I:$I,$F664)/SUMIFS('COM RESID'!$O:$O,'COM RESID'!$I:$I,$F664)*3&lt;1,1/(SUMIFS('COM RESID'!$O:$O,'COM RESID'!$H:$H,$E664,'COM RESID'!$I:$I,$F664)/SUMIFS('COM RESID'!$O:$O,'COM RESID'!$I:$I,$F664)),3),IF(ISNUMBER(SEARCH("WHEUE",T662)),IF(OR(S662="COMNGA",S662="COMFOI"),0.75,3),3))</f>
        <v>3</v>
      </c>
    </row>
    <row r="665" spans="1:29" x14ac:dyDescent="0.25">
      <c r="A665" s="19">
        <f>A661+1</f>
        <v>166</v>
      </c>
      <c r="B665" s="10"/>
      <c r="C665" s="11" t="str">
        <f>IF(E665="","",IF(_xlfn.XLOOKUP($A665,Selected_constraint_UC!$A:$A,Selected_constraint_UC!$D:$D)=1,"*",IF(SUMIFS('COM TECH'!$N:$N,'COM TECH'!$K:$K,E665,'COM TECH'!$L:$L,F665)=0,"*",IF(SUMIFS('COM RESID'!$O:$O,'COM RESID'!$H:$H,$E665,'COM RESID'!$I:$I,$F665)=0,"*","UC_MarketShare_"&amp;LEFT(F665,LEN(F665)-3)&amp;"_"&amp;RIGHT(E665,3)&amp;"_MIN"))))</f>
        <v>UC_MarketShare_COMOTHOldOE_NGA_MIN</v>
      </c>
      <c r="D665" s="12"/>
      <c r="E665" s="13" t="str">
        <f>_xlfn.XLOOKUP($A665,Selected_constraint_UC!$A:$A,Selected_constraint_UC!$B:$B)</f>
        <v>COMNGA</v>
      </c>
      <c r="F665" s="13" t="str">
        <f>_xlfn.XLOOKUP($A665,Selected_constraint_UC!$A:$A,Selected_constraint_UC!$C:$C)</f>
        <v>COMOTHOldOEEUE</v>
      </c>
      <c r="G665" s="13" t="str">
        <f>F665</f>
        <v>COMOTHOldOEEUE</v>
      </c>
      <c r="H665" s="14">
        <v>2019</v>
      </c>
      <c r="I665" s="14" t="s">
        <v>3848</v>
      </c>
      <c r="J665" s="14">
        <v>1</v>
      </c>
      <c r="K665" s="15">
        <f>-ROUNDDOWN(SUMIFS('COM RESID'!$O:$O,'COM RESID'!$H:$H,$E665,'COM RESID'!$I:$I,$F665)/SUMIFS('COM RESID'!$O:$O,'COM RESID'!$I:$I,$F665),3)*O665</f>
        <v>-0.3528</v>
      </c>
      <c r="L665" s="14">
        <v>0</v>
      </c>
      <c r="M665" s="14">
        <v>5</v>
      </c>
      <c r="N665" s="10"/>
      <c r="O665" s="20">
        <v>0.98</v>
      </c>
      <c r="Q665" s="11" t="str">
        <f t="shared" si="200"/>
        <v>UC_MarketShare_COMOTHOldOE_NGA_MAX</v>
      </c>
      <c r="R665" s="12"/>
      <c r="S665" s="13" t="str">
        <f t="shared" si="202"/>
        <v>COMNGA</v>
      </c>
      <c r="T665" s="13" t="str">
        <f t="shared" si="203"/>
        <v>COMOTHOldOEEUE</v>
      </c>
      <c r="U665" s="13" t="str">
        <f t="shared" si="204"/>
        <v>COMOTHOldOEEUE</v>
      </c>
      <c r="V665" s="14">
        <v>2019</v>
      </c>
      <c r="W665" s="14" t="s">
        <v>3849</v>
      </c>
      <c r="X665" s="14">
        <v>1</v>
      </c>
      <c r="Y665" s="15">
        <f>-ROUNDUP(MIN(SUMIFS('COM RESID'!$O:$O,'COM RESID'!$H:$H,$E665,'COM RESID'!$I:$I,$F665)/SUMIFS('COM RESID'!$O:$O,'COM RESID'!$I:$I,$F665)*AC665,1),3)</f>
        <v>-0.36799999999999999</v>
      </c>
      <c r="Z665" s="14">
        <v>0</v>
      </c>
      <c r="AA665" s="14">
        <v>5</v>
      </c>
      <c r="AB665" s="10"/>
      <c r="AC665" s="20">
        <v>1.02</v>
      </c>
    </row>
    <row r="666" spans="1:29" x14ac:dyDescent="0.25">
      <c r="A666" s="10">
        <f>A665</f>
        <v>166</v>
      </c>
      <c r="B666" s="10"/>
      <c r="C666" s="11" t="str">
        <f>IF(C665="*",C665,"")</f>
        <v/>
      </c>
      <c r="D666" s="12"/>
      <c r="E666" s="13" t="str">
        <f t="shared" ref="E666:G668" si="209">E665</f>
        <v>COMNGA</v>
      </c>
      <c r="F666" s="13" t="str">
        <f t="shared" si="209"/>
        <v>COMOTHOldOEEUE</v>
      </c>
      <c r="G666" s="13" t="str">
        <f t="shared" si="209"/>
        <v>COMOTHOldOEEUE</v>
      </c>
      <c r="H666" s="14">
        <v>2025</v>
      </c>
      <c r="I666" s="14" t="str">
        <f>I665</f>
        <v>LO</v>
      </c>
      <c r="J666" s="14"/>
      <c r="K666" s="15">
        <f>-ROUNDDOWN(SUMIFS('COM RESID'!$O:$O,'COM RESID'!$H:$H,$E666,'COM RESID'!$I:$I,$F666)/SUMIFS('COM RESID'!$O:$O,'COM RESID'!$I:$I,$F666),3)*O666</f>
        <v>-0.28799999999999998</v>
      </c>
      <c r="L666" s="14"/>
      <c r="M666" s="14"/>
      <c r="N666" s="10"/>
      <c r="O666" s="20">
        <v>0.8</v>
      </c>
      <c r="Q666" s="11" t="str">
        <f t="shared" si="200"/>
        <v/>
      </c>
      <c r="R666" s="12"/>
      <c r="S666" s="13" t="str">
        <f t="shared" si="202"/>
        <v>COMNGA</v>
      </c>
      <c r="T666" s="13" t="str">
        <f t="shared" si="203"/>
        <v>COMOTHOldOEEUE</v>
      </c>
      <c r="U666" s="13" t="str">
        <f t="shared" si="204"/>
        <v>COMOTHOldOEEUE</v>
      </c>
      <c r="V666" s="14">
        <v>2025</v>
      </c>
      <c r="W666" s="14" t="str">
        <f>W665</f>
        <v>UP</v>
      </c>
      <c r="X666" s="14"/>
      <c r="Y666" s="15">
        <f>-ROUNDUP(MIN(SUMIFS('COM RESID'!$O:$O,'COM RESID'!$H:$H,$E666,'COM RESID'!$I:$I,$F666)/SUMIFS('COM RESID'!$O:$O,'COM RESID'!$I:$I,$F666)*AC666,1),3)</f>
        <v>-0.433</v>
      </c>
      <c r="Z666" s="14"/>
      <c r="AA666" s="14"/>
      <c r="AB666" s="10"/>
      <c r="AC666" s="20">
        <f>IF(S666="COMELC",IF(SUMIFS('COM RESID'!$O:$O,'COM RESID'!$H:$H,$E666,'COM RESID'!$I:$I,$F666)/SUMIFS('COM RESID'!$O:$O,'COM RESID'!$I:$I,$F666)*1.2&lt;0.25,0.25/(SUMIFS('COM RESID'!$O:$O,'COM RESID'!$H:$H,$E666,'COM RESID'!$I:$I,$F666)/SUMIFS('COM RESID'!$O:$O,'COM RESID'!$I:$I,$F666)),1.2),IF(ISNUMBER(SEARCH("WHEUE",T666)),IF(OR(S666="COMNGA",S666="COMFOI"),1,1.2),1.2))</f>
        <v>1.2</v>
      </c>
    </row>
    <row r="667" spans="1:29" x14ac:dyDescent="0.25">
      <c r="A667" s="10">
        <f>A666</f>
        <v>166</v>
      </c>
      <c r="B667" s="10"/>
      <c r="C667" s="11" t="str">
        <f>IF(C666="*",C666,"")</f>
        <v/>
      </c>
      <c r="D667" s="12"/>
      <c r="E667" s="13" t="str">
        <f t="shared" si="209"/>
        <v>COMNGA</v>
      </c>
      <c r="F667" s="13" t="str">
        <f t="shared" si="209"/>
        <v>COMOTHOldOEEUE</v>
      </c>
      <c r="G667" s="13" t="str">
        <f t="shared" si="209"/>
        <v>COMOTHOldOEEUE</v>
      </c>
      <c r="H667" s="14">
        <v>2030</v>
      </c>
      <c r="I667" s="14" t="str">
        <f>I666</f>
        <v>LO</v>
      </c>
      <c r="J667" s="14"/>
      <c r="K667" s="15">
        <f>-ROUNDDOWN(SUMIFS('COM RESID'!$O:$O,'COM RESID'!$H:$H,$E667,'COM RESID'!$I:$I,$F667)/SUMIFS('COM RESID'!$O:$O,'COM RESID'!$I:$I,$F667),3)*O667</f>
        <v>-7.1999999999999995E-2</v>
      </c>
      <c r="L667" s="14"/>
      <c r="M667" s="14"/>
      <c r="N667" s="10"/>
      <c r="O667" s="20">
        <v>0.2</v>
      </c>
      <c r="Q667" s="11" t="str">
        <f t="shared" si="200"/>
        <v/>
      </c>
      <c r="R667" s="12"/>
      <c r="S667" s="13" t="str">
        <f t="shared" si="202"/>
        <v>COMNGA</v>
      </c>
      <c r="T667" s="13" t="str">
        <f t="shared" si="203"/>
        <v>COMOTHOldOEEUE</v>
      </c>
      <c r="U667" s="13" t="str">
        <f t="shared" si="204"/>
        <v>COMOTHOldOEEUE</v>
      </c>
      <c r="V667" s="14">
        <v>2030</v>
      </c>
      <c r="W667" s="14" t="str">
        <f>W666</f>
        <v>UP</v>
      </c>
      <c r="X667" s="14"/>
      <c r="Y667" s="15">
        <f>-ROUNDUP(MIN(SUMIFS('COM RESID'!$O:$O,'COM RESID'!$H:$H,$E667,'COM RESID'!$I:$I,$F667)/SUMIFS('COM RESID'!$O:$O,'COM RESID'!$I:$I,$F667)*AC667,1),3)</f>
        <v>-0.54100000000000004</v>
      </c>
      <c r="Z667" s="14"/>
      <c r="AA667" s="14"/>
      <c r="AB667" s="10"/>
      <c r="AC667" s="20">
        <f>IF(S667="COMELC",IF(SUMIFS('COM RESID'!$O:$O,'COM RESID'!$H:$H,$E667,'COM RESID'!$I:$I,$F667)/SUMIFS('COM RESID'!$O:$O,'COM RESID'!$I:$I,$F667)*1.5&lt;0.5,0.5/(SUMIFS('COM RESID'!$O:$O,'COM RESID'!$H:$H,$E667,'COM RESID'!$I:$I,$F667)/SUMIFS('COM RESID'!$O:$O,'COM RESID'!$I:$I,$F667)),1.5),IF(ISNUMBER(SEARCH("WHEUE",T666)),IF(OR(S666="COMNGA",S666="COMFOI"),0.9,1.5),1.5))</f>
        <v>1.5</v>
      </c>
    </row>
    <row r="668" spans="1:29" x14ac:dyDescent="0.25">
      <c r="A668" s="26">
        <f>A667</f>
        <v>166</v>
      </c>
      <c r="B668" s="26"/>
      <c r="C668" s="21" t="str">
        <f>IF(C667="*",C667,"")</f>
        <v/>
      </c>
      <c r="D668" s="22"/>
      <c r="E668" s="23" t="str">
        <f t="shared" si="209"/>
        <v>COMNGA</v>
      </c>
      <c r="F668" s="23" t="str">
        <f t="shared" si="209"/>
        <v>COMOTHOldOEEUE</v>
      </c>
      <c r="G668" s="23" t="str">
        <f t="shared" si="209"/>
        <v>COMOTHOldOEEUE</v>
      </c>
      <c r="H668" s="24">
        <v>2050</v>
      </c>
      <c r="I668" s="24" t="str">
        <f>I667</f>
        <v>LO</v>
      </c>
      <c r="J668" s="24"/>
      <c r="K668" s="25">
        <f>-ROUNDDOWN(SUMIFS('COM RESID'!$O:$O,'COM RESID'!$H:$H,$E668,'COM RESID'!$I:$I,$F668)/SUMIFS('COM RESID'!$O:$O,'COM RESID'!$I:$I,$F668),3)*O668</f>
        <v>0</v>
      </c>
      <c r="L668" s="24"/>
      <c r="M668" s="24"/>
      <c r="N668" s="26"/>
      <c r="O668" s="27">
        <v>0</v>
      </c>
      <c r="Q668" s="21" t="str">
        <f t="shared" si="200"/>
        <v/>
      </c>
      <c r="R668" s="22"/>
      <c r="S668" s="23" t="str">
        <f t="shared" si="202"/>
        <v>COMNGA</v>
      </c>
      <c r="T668" s="23" t="str">
        <f t="shared" si="203"/>
        <v>COMOTHOldOEEUE</v>
      </c>
      <c r="U668" s="23" t="str">
        <f t="shared" si="204"/>
        <v>COMOTHOldOEEUE</v>
      </c>
      <c r="V668" s="24">
        <v>2050</v>
      </c>
      <c r="W668" s="24" t="str">
        <f>W667</f>
        <v>UP</v>
      </c>
      <c r="X668" s="24"/>
      <c r="Y668" s="25">
        <f>-ROUNDUP(MIN(SUMIFS('COM RESID'!$O:$O,'COM RESID'!$H:$H,$E668,'COM RESID'!$I:$I,$F668)/SUMIFS('COM RESID'!$O:$O,'COM RESID'!$I:$I,$F668)*AC668,1),3)</f>
        <v>-1</v>
      </c>
      <c r="Z668" s="24"/>
      <c r="AA668" s="24"/>
      <c r="AB668" s="26"/>
      <c r="AC668" s="27">
        <f>IF(S668="COMELC",IF(SUMIFS('COM RESID'!$O:$O,'COM RESID'!$H:$H,$E668,'COM RESID'!$I:$I,$F668)/SUMIFS('COM RESID'!$O:$O,'COM RESID'!$I:$I,$F668)*3&lt;1,1/(SUMIFS('COM RESID'!$O:$O,'COM RESID'!$H:$H,$E668,'COM RESID'!$I:$I,$F668)/SUMIFS('COM RESID'!$O:$O,'COM RESID'!$I:$I,$F668)),3),IF(ISNUMBER(SEARCH("WHEUE",T666)),IF(OR(S666="COMNGA",S666="COMFOI"),0.75,3),3))</f>
        <v>3</v>
      </c>
    </row>
    <row r="669" spans="1:29" x14ac:dyDescent="0.25">
      <c r="A669" s="19">
        <f>A665+1</f>
        <v>167</v>
      </c>
      <c r="B669" s="10"/>
      <c r="C669" s="11" t="str">
        <f>IF(E669="","",IF(_xlfn.XLOOKUP($A669,Selected_constraint_UC!$A:$A,Selected_constraint_UC!$D:$D)=1,"*",IF(SUMIFS('COM TECH'!$N:$N,'COM TECH'!$K:$K,E669,'COM TECH'!$L:$L,F669)=0,"*",IF(SUMIFS('COM RESID'!$O:$O,'COM RESID'!$H:$H,$E669,'COM RESID'!$I:$I,$F669)=0,"*","UC_MarketShare_"&amp;LEFT(F669,LEN(F669)-3)&amp;"_"&amp;RIGHT(E669,3)&amp;"_MIN"))))</f>
        <v>*</v>
      </c>
      <c r="D669" s="12"/>
      <c r="E669" s="13" t="str">
        <f>_xlfn.XLOOKUP($A669,Selected_constraint_UC!$A:$A,Selected_constraint_UC!$B:$B)</f>
        <v>COMSTM</v>
      </c>
      <c r="F669" s="13" t="str">
        <f>_xlfn.XLOOKUP($A669,Selected_constraint_UC!$A:$A,Selected_constraint_UC!$C:$C)</f>
        <v>COMOTHOldOEEUE</v>
      </c>
      <c r="G669" s="13" t="str">
        <f>F669</f>
        <v>COMOTHOldOEEUE</v>
      </c>
      <c r="H669" s="14">
        <v>2019</v>
      </c>
      <c r="I669" s="14" t="s">
        <v>3848</v>
      </c>
      <c r="J669" s="14">
        <v>1</v>
      </c>
      <c r="K669" s="15">
        <f>-ROUNDDOWN(SUMIFS('COM RESID'!$O:$O,'COM RESID'!$H:$H,$E669,'COM RESID'!$I:$I,$F669)/SUMIFS('COM RESID'!$O:$O,'COM RESID'!$I:$I,$F669),3)*O669</f>
        <v>0</v>
      </c>
      <c r="L669" s="14">
        <v>0</v>
      </c>
      <c r="M669" s="14">
        <v>5</v>
      </c>
      <c r="N669" s="10"/>
      <c r="O669" s="20">
        <v>0.98</v>
      </c>
      <c r="Q669" s="11" t="str">
        <f t="shared" si="200"/>
        <v>*</v>
      </c>
      <c r="R669" s="12"/>
      <c r="S669" s="13" t="str">
        <f t="shared" si="202"/>
        <v>COMSTM</v>
      </c>
      <c r="T669" s="13" t="str">
        <f t="shared" si="203"/>
        <v>COMOTHOldOEEUE</v>
      </c>
      <c r="U669" s="13" t="str">
        <f t="shared" si="204"/>
        <v>COMOTHOldOEEUE</v>
      </c>
      <c r="V669" s="14">
        <v>2019</v>
      </c>
      <c r="W669" s="14" t="s">
        <v>3849</v>
      </c>
      <c r="X669" s="14">
        <v>1</v>
      </c>
      <c r="Y669" s="15">
        <f>-ROUNDUP(MIN(SUMIFS('COM RESID'!$O:$O,'COM RESID'!$H:$H,$E669,'COM RESID'!$I:$I,$F669)/SUMIFS('COM RESID'!$O:$O,'COM RESID'!$I:$I,$F669)*AC669,1),3)</f>
        <v>0</v>
      </c>
      <c r="Z669" s="14">
        <v>0</v>
      </c>
      <c r="AA669" s="14">
        <v>5</v>
      </c>
      <c r="AB669" s="10"/>
      <c r="AC669" s="20">
        <v>1.02</v>
      </c>
    </row>
    <row r="670" spans="1:29" x14ac:dyDescent="0.25">
      <c r="A670" s="10">
        <f>A669</f>
        <v>167</v>
      </c>
      <c r="B670" s="10"/>
      <c r="C670" s="11" t="str">
        <f>IF(C669="*",C669,"")</f>
        <v>*</v>
      </c>
      <c r="D670" s="12"/>
      <c r="E670" s="13" t="str">
        <f t="shared" ref="E670:G672" si="210">E669</f>
        <v>COMSTM</v>
      </c>
      <c r="F670" s="13" t="str">
        <f t="shared" si="210"/>
        <v>COMOTHOldOEEUE</v>
      </c>
      <c r="G670" s="13" t="str">
        <f t="shared" si="210"/>
        <v>COMOTHOldOEEUE</v>
      </c>
      <c r="H670" s="14">
        <v>2025</v>
      </c>
      <c r="I670" s="14" t="str">
        <f>I669</f>
        <v>LO</v>
      </c>
      <c r="J670" s="14"/>
      <c r="K670" s="15">
        <f>-ROUNDDOWN(SUMIFS('COM RESID'!$O:$O,'COM RESID'!$H:$H,$E670,'COM RESID'!$I:$I,$F670)/SUMIFS('COM RESID'!$O:$O,'COM RESID'!$I:$I,$F670),3)*O670</f>
        <v>0</v>
      </c>
      <c r="L670" s="14"/>
      <c r="M670" s="14"/>
      <c r="N670" s="10"/>
      <c r="O670" s="20">
        <v>0.8</v>
      </c>
      <c r="Q670" s="11" t="str">
        <f t="shared" si="200"/>
        <v>*</v>
      </c>
      <c r="R670" s="12"/>
      <c r="S670" s="13" t="str">
        <f t="shared" si="202"/>
        <v>COMSTM</v>
      </c>
      <c r="T670" s="13" t="str">
        <f t="shared" si="203"/>
        <v>COMOTHOldOEEUE</v>
      </c>
      <c r="U670" s="13" t="str">
        <f t="shared" si="204"/>
        <v>COMOTHOldOEEUE</v>
      </c>
      <c r="V670" s="14">
        <v>2025</v>
      </c>
      <c r="W670" s="14" t="str">
        <f>W669</f>
        <v>UP</v>
      </c>
      <c r="X670" s="14"/>
      <c r="Y670" s="15">
        <f>-ROUNDUP(MIN(SUMIFS('COM RESID'!$O:$O,'COM RESID'!$H:$H,$E670,'COM RESID'!$I:$I,$F670)/SUMIFS('COM RESID'!$O:$O,'COM RESID'!$I:$I,$F670)*AC670,1),3)</f>
        <v>0</v>
      </c>
      <c r="Z670" s="14"/>
      <c r="AA670" s="14"/>
      <c r="AB670" s="10"/>
      <c r="AC670" s="20">
        <f>IF(S670="COMELC",IF(SUMIFS('COM RESID'!$O:$O,'COM RESID'!$H:$H,$E670,'COM RESID'!$I:$I,$F670)/SUMIFS('COM RESID'!$O:$O,'COM RESID'!$I:$I,$F670)*1.2&lt;0.25,0.25/(SUMIFS('COM RESID'!$O:$O,'COM RESID'!$H:$H,$E670,'COM RESID'!$I:$I,$F670)/SUMIFS('COM RESID'!$O:$O,'COM RESID'!$I:$I,$F670)),1.2),IF(ISNUMBER(SEARCH("WHEUE",T670)),IF(OR(S670="COMNGA",S670="COMFOI"),1,1.2),1.2))</f>
        <v>1.2</v>
      </c>
    </row>
    <row r="671" spans="1:29" x14ac:dyDescent="0.25">
      <c r="A671" s="10">
        <f>A670</f>
        <v>167</v>
      </c>
      <c r="B671" s="10"/>
      <c r="C671" s="11" t="str">
        <f>IF(C670="*",C670,"")</f>
        <v>*</v>
      </c>
      <c r="D671" s="12"/>
      <c r="E671" s="13" t="str">
        <f t="shared" si="210"/>
        <v>COMSTM</v>
      </c>
      <c r="F671" s="13" t="str">
        <f t="shared" si="210"/>
        <v>COMOTHOldOEEUE</v>
      </c>
      <c r="G671" s="13" t="str">
        <f t="shared" si="210"/>
        <v>COMOTHOldOEEUE</v>
      </c>
      <c r="H671" s="14">
        <v>2030</v>
      </c>
      <c r="I671" s="14" t="str">
        <f>I670</f>
        <v>LO</v>
      </c>
      <c r="J671" s="14"/>
      <c r="K671" s="15">
        <f>-ROUNDDOWN(SUMIFS('COM RESID'!$O:$O,'COM RESID'!$H:$H,$E671,'COM RESID'!$I:$I,$F671)/SUMIFS('COM RESID'!$O:$O,'COM RESID'!$I:$I,$F671),3)*O671</f>
        <v>0</v>
      </c>
      <c r="L671" s="14"/>
      <c r="M671" s="14"/>
      <c r="N671" s="10"/>
      <c r="O671" s="20">
        <v>0.2</v>
      </c>
      <c r="Q671" s="11" t="str">
        <f t="shared" si="200"/>
        <v>*</v>
      </c>
      <c r="R671" s="12"/>
      <c r="S671" s="13" t="str">
        <f t="shared" si="202"/>
        <v>COMSTM</v>
      </c>
      <c r="T671" s="13" t="str">
        <f t="shared" si="203"/>
        <v>COMOTHOldOEEUE</v>
      </c>
      <c r="U671" s="13" t="str">
        <f t="shared" si="204"/>
        <v>COMOTHOldOEEUE</v>
      </c>
      <c r="V671" s="14">
        <v>2030</v>
      </c>
      <c r="W671" s="14" t="str">
        <f>W670</f>
        <v>UP</v>
      </c>
      <c r="X671" s="14"/>
      <c r="Y671" s="15">
        <f>-ROUNDUP(MIN(SUMIFS('COM RESID'!$O:$O,'COM RESID'!$H:$H,$E671,'COM RESID'!$I:$I,$F671)/SUMIFS('COM RESID'!$O:$O,'COM RESID'!$I:$I,$F671)*AC671,1),3)</f>
        <v>0</v>
      </c>
      <c r="Z671" s="14"/>
      <c r="AA671" s="14"/>
      <c r="AB671" s="10"/>
      <c r="AC671" s="20">
        <f>IF(S671="COMELC",IF(SUMIFS('COM RESID'!$O:$O,'COM RESID'!$H:$H,$E671,'COM RESID'!$I:$I,$F671)/SUMIFS('COM RESID'!$O:$O,'COM RESID'!$I:$I,$F671)*1.5&lt;0.5,0.5/(SUMIFS('COM RESID'!$O:$O,'COM RESID'!$H:$H,$E671,'COM RESID'!$I:$I,$F671)/SUMIFS('COM RESID'!$O:$O,'COM RESID'!$I:$I,$F671)),1.5),IF(ISNUMBER(SEARCH("WHEUE",T670)),IF(OR(S670="COMNGA",S670="COMFOI"),0.9,1.5),1.5))</f>
        <v>1.5</v>
      </c>
    </row>
    <row r="672" spans="1:29" x14ac:dyDescent="0.25">
      <c r="A672" s="26">
        <f>A671</f>
        <v>167</v>
      </c>
      <c r="B672" s="26"/>
      <c r="C672" s="21" t="str">
        <f>IF(C671="*",C671,"")</f>
        <v>*</v>
      </c>
      <c r="D672" s="22"/>
      <c r="E672" s="23" t="str">
        <f t="shared" si="210"/>
        <v>COMSTM</v>
      </c>
      <c r="F672" s="23" t="str">
        <f t="shared" si="210"/>
        <v>COMOTHOldOEEUE</v>
      </c>
      <c r="G672" s="23" t="str">
        <f t="shared" si="210"/>
        <v>COMOTHOldOEEUE</v>
      </c>
      <c r="H672" s="24">
        <v>2050</v>
      </c>
      <c r="I672" s="24" t="str">
        <f>I671</f>
        <v>LO</v>
      </c>
      <c r="J672" s="24"/>
      <c r="K672" s="25">
        <f>-ROUNDDOWN(SUMIFS('COM RESID'!$O:$O,'COM RESID'!$H:$H,$E672,'COM RESID'!$I:$I,$F672)/SUMIFS('COM RESID'!$O:$O,'COM RESID'!$I:$I,$F672),3)*O672</f>
        <v>0</v>
      </c>
      <c r="L672" s="24"/>
      <c r="M672" s="24"/>
      <c r="N672" s="26"/>
      <c r="O672" s="27">
        <v>0</v>
      </c>
      <c r="Q672" s="21" t="str">
        <f t="shared" si="200"/>
        <v>*</v>
      </c>
      <c r="R672" s="22"/>
      <c r="S672" s="23" t="str">
        <f t="shared" si="202"/>
        <v>COMSTM</v>
      </c>
      <c r="T672" s="23" t="str">
        <f t="shared" si="203"/>
        <v>COMOTHOldOEEUE</v>
      </c>
      <c r="U672" s="23" t="str">
        <f t="shared" si="204"/>
        <v>COMOTHOldOEEUE</v>
      </c>
      <c r="V672" s="24">
        <v>2050</v>
      </c>
      <c r="W672" s="24" t="str">
        <f>W671</f>
        <v>UP</v>
      </c>
      <c r="X672" s="24"/>
      <c r="Y672" s="25">
        <f>-ROUNDUP(MIN(SUMIFS('COM RESID'!$O:$O,'COM RESID'!$H:$H,$E672,'COM RESID'!$I:$I,$F672)/SUMIFS('COM RESID'!$O:$O,'COM RESID'!$I:$I,$F672)*AC672,1),3)</f>
        <v>0</v>
      </c>
      <c r="Z672" s="24"/>
      <c r="AA672" s="24"/>
      <c r="AB672" s="26"/>
      <c r="AC672" s="27">
        <f>IF(S672="COMELC",IF(SUMIFS('COM RESID'!$O:$O,'COM RESID'!$H:$H,$E672,'COM RESID'!$I:$I,$F672)/SUMIFS('COM RESID'!$O:$O,'COM RESID'!$I:$I,$F672)*3&lt;1,1/(SUMIFS('COM RESID'!$O:$O,'COM RESID'!$H:$H,$E672,'COM RESID'!$I:$I,$F672)/SUMIFS('COM RESID'!$O:$O,'COM RESID'!$I:$I,$F672)),3),IF(ISNUMBER(SEARCH("WHEUE",T670)),IF(OR(S670="COMNGA",S670="COMFOI"),0.75,3),3))</f>
        <v>3</v>
      </c>
    </row>
    <row r="673" spans="1:29" x14ac:dyDescent="0.25">
      <c r="A673" s="19">
        <f>A669+1</f>
        <v>168</v>
      </c>
      <c r="B673" s="10"/>
      <c r="C673" s="11" t="str">
        <f>IF(E673="","",IF(_xlfn.XLOOKUP($A673,Selected_constraint_UC!$A:$A,Selected_constraint_UC!$D:$D)=1,"*",IF(SUMIFS('COM TECH'!$N:$N,'COM TECH'!$K:$K,E673,'COM TECH'!$L:$L,F673)=0,"*",IF(SUMIFS('COM RESID'!$O:$O,'COM RESID'!$H:$H,$E673,'COM RESID'!$I:$I,$F673)=0,"*","UC_MarketShare_"&amp;LEFT(F673,LEN(F673)-3)&amp;"_"&amp;RIGHT(E673,3)&amp;"_MIN"))))</f>
        <v>UC_MarketShare_COMOTHOldOE_ELC_MIN</v>
      </c>
      <c r="D673" s="12"/>
      <c r="E673" s="13" t="str">
        <f>_xlfn.XLOOKUP($A673,Selected_constraint_UC!$A:$A,Selected_constraint_UC!$B:$B)</f>
        <v>COMELC</v>
      </c>
      <c r="F673" s="13" t="str">
        <f>_xlfn.XLOOKUP($A673,Selected_constraint_UC!$A:$A,Selected_constraint_UC!$C:$C)</f>
        <v>COMOTHOldOEEUE</v>
      </c>
      <c r="G673" s="13" t="str">
        <f>F673</f>
        <v>COMOTHOldOEEUE</v>
      </c>
      <c r="H673" s="14">
        <v>2019</v>
      </c>
      <c r="I673" s="14" t="s">
        <v>3848</v>
      </c>
      <c r="J673" s="14">
        <v>1</v>
      </c>
      <c r="K673" s="15">
        <f>-ROUNDDOWN(SUMIFS('COM RESID'!$O:$O,'COM RESID'!$H:$H,$E673,'COM RESID'!$I:$I,$F673)/SUMIFS('COM RESID'!$O:$O,'COM RESID'!$I:$I,$F673),3)*O673</f>
        <v>-0.54782000000000008</v>
      </c>
      <c r="L673" s="14">
        <v>0</v>
      </c>
      <c r="M673" s="14">
        <v>5</v>
      </c>
      <c r="N673" s="10"/>
      <c r="O673" s="20">
        <v>0.98</v>
      </c>
      <c r="Q673" s="11" t="str">
        <f t="shared" si="200"/>
        <v>UC_MarketShare_COMOTHOldOE_ELC_MAX</v>
      </c>
      <c r="R673" s="12"/>
      <c r="S673" s="13" t="str">
        <f t="shared" si="202"/>
        <v>COMELC</v>
      </c>
      <c r="T673" s="13" t="str">
        <f t="shared" si="203"/>
        <v>COMOTHOldOEEUE</v>
      </c>
      <c r="U673" s="13" t="str">
        <f t="shared" si="204"/>
        <v>COMOTHOldOEEUE</v>
      </c>
      <c r="V673" s="14">
        <v>2019</v>
      </c>
      <c r="W673" s="14" t="s">
        <v>3849</v>
      </c>
      <c r="X673" s="14">
        <v>1</v>
      </c>
      <c r="Y673" s="15">
        <f>-ROUNDUP(MIN(SUMIFS('COM RESID'!$O:$O,'COM RESID'!$H:$H,$E673,'COM RESID'!$I:$I,$F673)/SUMIFS('COM RESID'!$O:$O,'COM RESID'!$I:$I,$F673)*AC673,1),3)</f>
        <v>-0.57099999999999995</v>
      </c>
      <c r="Z673" s="14">
        <v>0</v>
      </c>
      <c r="AA673" s="14">
        <v>5</v>
      </c>
      <c r="AB673" s="10"/>
      <c r="AC673" s="20">
        <v>1.02</v>
      </c>
    </row>
    <row r="674" spans="1:29" x14ac:dyDescent="0.25">
      <c r="A674" s="10">
        <f>A673</f>
        <v>168</v>
      </c>
      <c r="B674" s="10"/>
      <c r="C674" s="11" t="str">
        <f>IF(C673="*",C673,"")</f>
        <v/>
      </c>
      <c r="D674" s="12"/>
      <c r="E674" s="13" t="str">
        <f t="shared" ref="E674:G676" si="211">E673</f>
        <v>COMELC</v>
      </c>
      <c r="F674" s="13" t="str">
        <f t="shared" si="211"/>
        <v>COMOTHOldOEEUE</v>
      </c>
      <c r="G674" s="13" t="str">
        <f t="shared" si="211"/>
        <v>COMOTHOldOEEUE</v>
      </c>
      <c r="H674" s="14">
        <v>2025</v>
      </c>
      <c r="I674" s="14" t="str">
        <f>I673</f>
        <v>LO</v>
      </c>
      <c r="J674" s="14"/>
      <c r="K674" s="15">
        <f>-ROUNDDOWN(SUMIFS('COM RESID'!$O:$O,'COM RESID'!$H:$H,$E674,'COM RESID'!$I:$I,$F674)/SUMIFS('COM RESID'!$O:$O,'COM RESID'!$I:$I,$F674),3)*O674</f>
        <v>-0.44720000000000004</v>
      </c>
      <c r="L674" s="14"/>
      <c r="M674" s="14"/>
      <c r="N674" s="10"/>
      <c r="O674" s="20">
        <v>0.8</v>
      </c>
      <c r="Q674" s="11" t="str">
        <f t="shared" si="200"/>
        <v/>
      </c>
      <c r="R674" s="12"/>
      <c r="S674" s="13" t="str">
        <f t="shared" si="202"/>
        <v>COMELC</v>
      </c>
      <c r="T674" s="13" t="str">
        <f t="shared" si="203"/>
        <v>COMOTHOldOEEUE</v>
      </c>
      <c r="U674" s="13" t="str">
        <f t="shared" si="204"/>
        <v>COMOTHOldOEEUE</v>
      </c>
      <c r="V674" s="14">
        <v>2025</v>
      </c>
      <c r="W674" s="14" t="str">
        <f>W673</f>
        <v>UP</v>
      </c>
      <c r="X674" s="14"/>
      <c r="Y674" s="15">
        <f>-ROUNDUP(MIN(SUMIFS('COM RESID'!$O:$O,'COM RESID'!$H:$H,$E674,'COM RESID'!$I:$I,$F674)/SUMIFS('COM RESID'!$O:$O,'COM RESID'!$I:$I,$F674)*AC674,1),3)</f>
        <v>-0.67200000000000004</v>
      </c>
      <c r="Z674" s="14"/>
      <c r="AA674" s="14"/>
      <c r="AB674" s="10"/>
      <c r="AC674" s="20">
        <f>IF(S674="COMELC",IF(SUMIFS('COM RESID'!$O:$O,'COM RESID'!$H:$H,$E674,'COM RESID'!$I:$I,$F674)/SUMIFS('COM RESID'!$O:$O,'COM RESID'!$I:$I,$F674)*1.2&lt;0.25,0.25/(SUMIFS('COM RESID'!$O:$O,'COM RESID'!$H:$H,$E674,'COM RESID'!$I:$I,$F674)/SUMIFS('COM RESID'!$O:$O,'COM RESID'!$I:$I,$F674)),1.2),IF(ISNUMBER(SEARCH("WHEUE",T674)),IF(OR(S674="COMNGA",S674="COMFOI"),1,1.2),1.2))</f>
        <v>1.2</v>
      </c>
    </row>
    <row r="675" spans="1:29" x14ac:dyDescent="0.25">
      <c r="A675" s="10">
        <f>A674</f>
        <v>168</v>
      </c>
      <c r="B675" s="10"/>
      <c r="C675" s="11" t="str">
        <f>IF(C674="*",C674,"")</f>
        <v/>
      </c>
      <c r="D675" s="12"/>
      <c r="E675" s="13" t="str">
        <f t="shared" si="211"/>
        <v>COMELC</v>
      </c>
      <c r="F675" s="13" t="str">
        <f t="shared" si="211"/>
        <v>COMOTHOldOEEUE</v>
      </c>
      <c r="G675" s="13" t="str">
        <f t="shared" si="211"/>
        <v>COMOTHOldOEEUE</v>
      </c>
      <c r="H675" s="14">
        <v>2030</v>
      </c>
      <c r="I675" s="14" t="str">
        <f>I674</f>
        <v>LO</v>
      </c>
      <c r="J675" s="14"/>
      <c r="K675" s="15">
        <f>-ROUNDDOWN(SUMIFS('COM RESID'!$O:$O,'COM RESID'!$H:$H,$E675,'COM RESID'!$I:$I,$F675)/SUMIFS('COM RESID'!$O:$O,'COM RESID'!$I:$I,$F675),3)*O675</f>
        <v>-0.11180000000000001</v>
      </c>
      <c r="L675" s="14"/>
      <c r="M675" s="14"/>
      <c r="N675" s="10"/>
      <c r="O675" s="20">
        <v>0.2</v>
      </c>
      <c r="Q675" s="11" t="str">
        <f t="shared" si="200"/>
        <v/>
      </c>
      <c r="R675" s="12"/>
      <c r="S675" s="13" t="str">
        <f t="shared" si="202"/>
        <v>COMELC</v>
      </c>
      <c r="T675" s="13" t="str">
        <f t="shared" si="203"/>
        <v>COMOTHOldOEEUE</v>
      </c>
      <c r="U675" s="13" t="str">
        <f t="shared" si="204"/>
        <v>COMOTHOldOEEUE</v>
      </c>
      <c r="V675" s="14">
        <v>2030</v>
      </c>
      <c r="W675" s="14" t="str">
        <f>W674</f>
        <v>UP</v>
      </c>
      <c r="X675" s="14"/>
      <c r="Y675" s="15">
        <f>-ROUNDUP(MIN(SUMIFS('COM RESID'!$O:$O,'COM RESID'!$H:$H,$E675,'COM RESID'!$I:$I,$F675)/SUMIFS('COM RESID'!$O:$O,'COM RESID'!$I:$I,$F675)*AC675,1),3)</f>
        <v>-0.83899999999999997</v>
      </c>
      <c r="Z675" s="14"/>
      <c r="AA675" s="14"/>
      <c r="AB675" s="10"/>
      <c r="AC675" s="20">
        <f>IF(S675="COMELC",IF(SUMIFS('COM RESID'!$O:$O,'COM RESID'!$H:$H,$E675,'COM RESID'!$I:$I,$F675)/SUMIFS('COM RESID'!$O:$O,'COM RESID'!$I:$I,$F675)*1.5&lt;0.5,0.5/(SUMIFS('COM RESID'!$O:$O,'COM RESID'!$H:$H,$E675,'COM RESID'!$I:$I,$F675)/SUMIFS('COM RESID'!$O:$O,'COM RESID'!$I:$I,$F675)),1.5),IF(ISNUMBER(SEARCH("WHEUE",T674)),IF(OR(S674="COMNGA",S674="COMFOI"),0.9,1.5),1.5))</f>
        <v>1.5</v>
      </c>
    </row>
    <row r="676" spans="1:29" x14ac:dyDescent="0.25">
      <c r="A676" s="26">
        <f>A675</f>
        <v>168</v>
      </c>
      <c r="B676" s="26"/>
      <c r="C676" s="21" t="str">
        <f>IF(C675="*",C675,"")</f>
        <v/>
      </c>
      <c r="D676" s="22"/>
      <c r="E676" s="23" t="str">
        <f t="shared" si="211"/>
        <v>COMELC</v>
      </c>
      <c r="F676" s="23" t="str">
        <f t="shared" si="211"/>
        <v>COMOTHOldOEEUE</v>
      </c>
      <c r="G676" s="23" t="str">
        <f t="shared" si="211"/>
        <v>COMOTHOldOEEUE</v>
      </c>
      <c r="H676" s="24">
        <v>2050</v>
      </c>
      <c r="I676" s="24" t="str">
        <f>I675</f>
        <v>LO</v>
      </c>
      <c r="J676" s="24"/>
      <c r="K676" s="25">
        <f>-ROUNDDOWN(SUMIFS('COM RESID'!$O:$O,'COM RESID'!$H:$H,$E676,'COM RESID'!$I:$I,$F676)/SUMIFS('COM RESID'!$O:$O,'COM RESID'!$I:$I,$F676),3)*O676</f>
        <v>0</v>
      </c>
      <c r="L676" s="24"/>
      <c r="M676" s="24"/>
      <c r="N676" s="26"/>
      <c r="O676" s="27">
        <v>0</v>
      </c>
      <c r="Q676" s="21" t="str">
        <f t="shared" si="200"/>
        <v/>
      </c>
      <c r="R676" s="22"/>
      <c r="S676" s="23" t="str">
        <f t="shared" si="202"/>
        <v>COMELC</v>
      </c>
      <c r="T676" s="23" t="str">
        <f t="shared" si="203"/>
        <v>COMOTHOldOEEUE</v>
      </c>
      <c r="U676" s="23" t="str">
        <f t="shared" si="204"/>
        <v>COMOTHOldOEEUE</v>
      </c>
      <c r="V676" s="24">
        <v>2050</v>
      </c>
      <c r="W676" s="24" t="str">
        <f>W675</f>
        <v>UP</v>
      </c>
      <c r="X676" s="24"/>
      <c r="Y676" s="25">
        <f>-ROUNDUP(MIN(SUMIFS('COM RESID'!$O:$O,'COM RESID'!$H:$H,$E676,'COM RESID'!$I:$I,$F676)/SUMIFS('COM RESID'!$O:$O,'COM RESID'!$I:$I,$F676)*AC676,1),3)</f>
        <v>-1</v>
      </c>
      <c r="Z676" s="24"/>
      <c r="AA676" s="24"/>
      <c r="AB676" s="26"/>
      <c r="AC676" s="27">
        <f>IF(S676="COMELC",IF(SUMIFS('COM RESID'!$O:$O,'COM RESID'!$H:$H,$E676,'COM RESID'!$I:$I,$F676)/SUMIFS('COM RESID'!$O:$O,'COM RESID'!$I:$I,$F676)*3&lt;1,1/(SUMIFS('COM RESID'!$O:$O,'COM RESID'!$H:$H,$E676,'COM RESID'!$I:$I,$F676)/SUMIFS('COM RESID'!$O:$O,'COM RESID'!$I:$I,$F676)),3),IF(ISNUMBER(SEARCH("WHEUE",T674)),IF(OR(S674="COMNGA",S674="COMFOI"),0.75,3),3))</f>
        <v>3</v>
      </c>
    </row>
  </sheetData>
  <autoFilter ref="A4:AC67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C676"/>
  <sheetViews>
    <sheetView workbookViewId="0">
      <selection sqref="A1:XFD1048576"/>
    </sheetView>
  </sheetViews>
  <sheetFormatPr defaultColWidth="9.28515625" defaultRowHeight="15" x14ac:dyDescent="0.25"/>
  <cols>
    <col min="1" max="2" width="9.28515625" customWidth="1"/>
    <col min="3" max="3" width="40.28515625" bestFit="1" customWidth="1"/>
    <col min="4" max="4" width="12.28515625" bestFit="1" customWidth="1"/>
    <col min="5" max="5" width="28.5703125" bestFit="1" customWidth="1"/>
    <col min="6" max="6" width="28.5703125" customWidth="1"/>
    <col min="7" max="7" width="22" bestFit="1" customWidth="1"/>
    <col min="8" max="8" width="18" bestFit="1" customWidth="1"/>
    <col min="9" max="9" width="18" customWidth="1"/>
    <col min="10" max="10" width="7.42578125" bestFit="1" customWidth="1"/>
    <col min="11" max="11" width="11.5703125" bestFit="1" customWidth="1"/>
    <col min="12" max="12" width="14.42578125" bestFit="1" customWidth="1"/>
    <col min="13" max="13" width="16.42578125" bestFit="1" customWidth="1"/>
    <col min="14" max="16" width="9.28515625" customWidth="1"/>
    <col min="17" max="17" width="37.140625" bestFit="1" customWidth="1"/>
    <col min="18" max="18" width="12.28515625" bestFit="1" customWidth="1"/>
    <col min="19" max="19" width="28.5703125" bestFit="1" customWidth="1"/>
    <col min="20" max="20" width="28.5703125" customWidth="1"/>
    <col min="21" max="21" width="22.7109375" bestFit="1" customWidth="1"/>
    <col min="22" max="22" width="18" bestFit="1" customWidth="1"/>
    <col min="23" max="23" width="18" customWidth="1"/>
    <col min="24" max="24" width="7.42578125" bestFit="1" customWidth="1"/>
    <col min="25" max="25" width="11.5703125" bestFit="1" customWidth="1"/>
    <col min="26" max="26" width="14.42578125" bestFit="1" customWidth="1"/>
    <col min="27" max="27" width="16.42578125" bestFit="1" customWidth="1"/>
    <col min="28" max="28" width="9.28515625" customWidth="1"/>
  </cols>
  <sheetData>
    <row r="2" spans="1:29" s="10" customFormat="1" ht="12" customHeight="1" x14ac:dyDescent="0.2">
      <c r="C2" s="9" t="s">
        <v>3836</v>
      </c>
      <c r="Q2" s="9" t="s">
        <v>3836</v>
      </c>
    </row>
    <row r="3" spans="1:29" s="10" customFormat="1" ht="12" customHeight="1" x14ac:dyDescent="0.2">
      <c r="H3" s="9" t="s">
        <v>3837</v>
      </c>
      <c r="I3" s="9"/>
      <c r="V3" s="9" t="s">
        <v>3837</v>
      </c>
      <c r="W3" s="9"/>
    </row>
    <row r="4" spans="1:29" s="10" customFormat="1" ht="15.75" customHeight="1" thickBot="1" x14ac:dyDescent="0.25">
      <c r="C4" s="16" t="s">
        <v>3838</v>
      </c>
      <c r="D4" s="17" t="s">
        <v>3839</v>
      </c>
      <c r="E4" s="16" t="s">
        <v>3840</v>
      </c>
      <c r="F4" s="16" t="s">
        <v>3841</v>
      </c>
      <c r="G4" s="16" t="s">
        <v>3842</v>
      </c>
      <c r="H4" s="16" t="s">
        <v>30</v>
      </c>
      <c r="I4" s="16" t="s">
        <v>3843</v>
      </c>
      <c r="J4" s="16" t="s">
        <v>3844</v>
      </c>
      <c r="K4" s="18" t="s">
        <v>3845</v>
      </c>
      <c r="L4" s="18" t="s">
        <v>3846</v>
      </c>
      <c r="M4" s="18" t="s">
        <v>3847</v>
      </c>
      <c r="Q4" s="16" t="s">
        <v>3838</v>
      </c>
      <c r="R4" s="17" t="s">
        <v>3839</v>
      </c>
      <c r="S4" s="16" t="s">
        <v>3840</v>
      </c>
      <c r="T4" s="16" t="s">
        <v>3841</v>
      </c>
      <c r="U4" s="16" t="s">
        <v>3842</v>
      </c>
      <c r="V4" s="16" t="s">
        <v>30</v>
      </c>
      <c r="W4" s="30" t="s">
        <v>3843</v>
      </c>
      <c r="X4" s="16" t="s">
        <v>3844</v>
      </c>
      <c r="Y4" s="18" t="s">
        <v>3845</v>
      </c>
      <c r="Z4" s="18" t="s">
        <v>3846</v>
      </c>
      <c r="AA4" s="18" t="s">
        <v>3847</v>
      </c>
    </row>
    <row r="5" spans="1:29" s="10" customFormat="1" x14ac:dyDescent="0.25">
      <c r="A5" s="19">
        <v>1</v>
      </c>
      <c r="C5" s="11" t="str">
        <f>SUBSTITUTE(UC!C5,"Old","New")</f>
        <v>UC_MarketShare_COMHOTNewSH_ELC_MIN</v>
      </c>
      <c r="D5" s="12"/>
      <c r="E5" s="13" t="str">
        <f>_xlfn.XLOOKUP($A5,Selected_constraint_UC!$A:$A,Selected_constraint_UC!$B:$B)</f>
        <v>COMELC</v>
      </c>
      <c r="F5" s="13" t="str">
        <f>SUBSTITUTE(_xlfn.XLOOKUP($A5,Selected_constraint_UC!$A:$A,Selected_constraint_UC!$C:$C),"Old","New")</f>
        <v>COMHOTNewSHEUE</v>
      </c>
      <c r="G5" s="13" t="str">
        <f>F5</f>
        <v>COMHOTNewSHEUE</v>
      </c>
      <c r="H5" s="14">
        <v>2019</v>
      </c>
      <c r="I5" s="14" t="s">
        <v>3848</v>
      </c>
      <c r="J5" s="14">
        <v>1</v>
      </c>
      <c r="K5" s="15">
        <f>UC!K5</f>
        <v>-8.4279999999999994E-2</v>
      </c>
      <c r="L5" s="14">
        <v>0</v>
      </c>
      <c r="M5" s="14">
        <v>5</v>
      </c>
      <c r="O5" s="20"/>
      <c r="Q5" s="11" t="str">
        <f>SUBSTITUTE(UC!Q5,"Old","New")</f>
        <v>UC_MarketShare_COMHOTNewSH_ELC_MAX</v>
      </c>
      <c r="R5" s="12"/>
      <c r="S5" s="13" t="str">
        <f>E5</f>
        <v>COMELC</v>
      </c>
      <c r="T5" s="13" t="str">
        <f>F5</f>
        <v>COMHOTNewSHEUE</v>
      </c>
      <c r="U5" s="13" t="str">
        <f>G5</f>
        <v>COMHOTNewSHEUE</v>
      </c>
      <c r="V5" s="14">
        <f>H5</f>
        <v>2019</v>
      </c>
      <c r="W5" s="29" t="s">
        <v>3849</v>
      </c>
      <c r="X5" s="14">
        <v>1</v>
      </c>
      <c r="Y5" s="15">
        <f>UC!Y5</f>
        <v>-8.8999999999999996E-2</v>
      </c>
      <c r="Z5" s="14">
        <v>0</v>
      </c>
      <c r="AA5" s="14">
        <v>5</v>
      </c>
      <c r="AC5" s="20"/>
    </row>
    <row r="6" spans="1:29" s="10" customFormat="1" x14ac:dyDescent="0.25">
      <c r="A6" s="10">
        <f>A5</f>
        <v>1</v>
      </c>
      <c r="C6" s="11" t="str">
        <f>SUBSTITUTE(UC!C6,"Old","New")</f>
        <v/>
      </c>
      <c r="D6" s="12"/>
      <c r="E6" s="13" t="str">
        <f t="shared" ref="E6:G8" si="0">E5</f>
        <v>COMELC</v>
      </c>
      <c r="F6" s="13" t="str">
        <f t="shared" si="0"/>
        <v>COMHOTNewSHEUE</v>
      </c>
      <c r="G6" s="13" t="str">
        <f t="shared" si="0"/>
        <v>COMHOTNewSHEUE</v>
      </c>
      <c r="H6" s="14">
        <v>2025</v>
      </c>
      <c r="I6" s="14" t="str">
        <f>I5</f>
        <v>LO</v>
      </c>
      <c r="J6" s="14"/>
      <c r="K6" s="15">
        <f>UC!K6</f>
        <v>-6.88E-2</v>
      </c>
      <c r="L6" s="14"/>
      <c r="M6" s="14"/>
      <c r="O6" s="20"/>
      <c r="Q6" s="11" t="str">
        <f>SUBSTITUTE(UC!Q6,"Old","New")</f>
        <v/>
      </c>
      <c r="R6" s="12"/>
      <c r="S6" s="13" t="str">
        <f t="shared" ref="S6:S69" si="1">E6</f>
        <v>COMELC</v>
      </c>
      <c r="T6" s="13" t="str">
        <f t="shared" ref="T6:T69" si="2">F6</f>
        <v>COMHOTNewSHEUE</v>
      </c>
      <c r="U6" s="13" t="str">
        <f t="shared" ref="U6:U69" si="3">G6</f>
        <v>COMHOTNewSHEUE</v>
      </c>
      <c r="V6" s="14">
        <v>2025</v>
      </c>
      <c r="W6" s="14" t="str">
        <f>W5</f>
        <v>UP</v>
      </c>
      <c r="X6" s="14"/>
      <c r="Y6" s="15">
        <f>UC!Y6</f>
        <v>-0.25</v>
      </c>
      <c r="Z6" s="14"/>
      <c r="AA6" s="14"/>
      <c r="AC6" s="20"/>
    </row>
    <row r="7" spans="1:29" s="10" customFormat="1" x14ac:dyDescent="0.25">
      <c r="A7" s="10">
        <f>A6</f>
        <v>1</v>
      </c>
      <c r="C7" s="11" t="str">
        <f>SUBSTITUTE(UC!C7,"Old","New")</f>
        <v/>
      </c>
      <c r="D7" s="12"/>
      <c r="E7" s="13" t="str">
        <f t="shared" si="0"/>
        <v>COMELC</v>
      </c>
      <c r="F7" s="13" t="str">
        <f t="shared" si="0"/>
        <v>COMHOTNewSHEUE</v>
      </c>
      <c r="G7" s="13" t="str">
        <f t="shared" si="0"/>
        <v>COMHOTNewSHEUE</v>
      </c>
      <c r="H7" s="14">
        <v>2030</v>
      </c>
      <c r="I7" s="14" t="str">
        <f>I6</f>
        <v>LO</v>
      </c>
      <c r="J7" s="14"/>
      <c r="K7" s="15">
        <f>UC!K7</f>
        <v>-6.4500000000000002E-2</v>
      </c>
      <c r="L7" s="14"/>
      <c r="M7" s="14"/>
      <c r="O7" s="20"/>
      <c r="Q7" s="11" t="str">
        <f>SUBSTITUTE(UC!Q7,"Old","New")</f>
        <v/>
      </c>
      <c r="R7" s="12"/>
      <c r="S7" s="13" t="str">
        <f t="shared" si="1"/>
        <v>COMELC</v>
      </c>
      <c r="T7" s="13" t="str">
        <f t="shared" si="2"/>
        <v>COMHOTNewSHEUE</v>
      </c>
      <c r="U7" s="13" t="str">
        <f t="shared" si="3"/>
        <v>COMHOTNewSHEUE</v>
      </c>
      <c r="V7" s="14">
        <v>2030</v>
      </c>
      <c r="W7" s="14" t="str">
        <f>W6</f>
        <v>UP</v>
      </c>
      <c r="X7" s="14"/>
      <c r="Y7" s="15">
        <f>UC!Y7</f>
        <v>-0.5</v>
      </c>
      <c r="Z7" s="14"/>
      <c r="AA7" s="14"/>
      <c r="AC7" s="20"/>
    </row>
    <row r="8" spans="1:29" s="10" customFormat="1" x14ac:dyDescent="0.25">
      <c r="A8" s="26">
        <f>A7</f>
        <v>1</v>
      </c>
      <c r="B8" s="26"/>
      <c r="C8" s="21" t="str">
        <f>SUBSTITUTE(UC!C8,"Old","New")</f>
        <v/>
      </c>
      <c r="D8" s="22"/>
      <c r="E8" s="23" t="str">
        <f t="shared" si="0"/>
        <v>COMELC</v>
      </c>
      <c r="F8" s="23" t="str">
        <f t="shared" si="0"/>
        <v>COMHOTNewSHEUE</v>
      </c>
      <c r="G8" s="23" t="str">
        <f t="shared" si="0"/>
        <v>COMHOTNewSHEUE</v>
      </c>
      <c r="H8" s="24">
        <v>2050</v>
      </c>
      <c r="I8" s="24" t="str">
        <f>I7</f>
        <v>LO</v>
      </c>
      <c r="J8" s="24"/>
      <c r="K8" s="25">
        <f>UC!K8</f>
        <v>-6.4500000000000002E-2</v>
      </c>
      <c r="L8" s="24"/>
      <c r="M8" s="24"/>
      <c r="N8" s="26"/>
      <c r="O8" s="27"/>
      <c r="Q8" s="21" t="str">
        <f>SUBSTITUTE(UC!Q8,"Old","New")</f>
        <v/>
      </c>
      <c r="R8" s="22"/>
      <c r="S8" s="23" t="str">
        <f t="shared" si="1"/>
        <v>COMELC</v>
      </c>
      <c r="T8" s="23" t="str">
        <f t="shared" si="2"/>
        <v>COMHOTNewSHEUE</v>
      </c>
      <c r="U8" s="23" t="str">
        <f t="shared" si="3"/>
        <v>COMHOTNewSHEUE</v>
      </c>
      <c r="V8" s="24">
        <v>2050</v>
      </c>
      <c r="W8" s="14" t="str">
        <f>W7</f>
        <v>UP</v>
      </c>
      <c r="X8" s="24"/>
      <c r="Y8" s="25">
        <f>UC!Y8</f>
        <v>-1</v>
      </c>
      <c r="Z8" s="24"/>
      <c r="AA8" s="24"/>
      <c r="AB8" s="26"/>
      <c r="AC8" s="27"/>
    </row>
    <row r="9" spans="1:29" x14ac:dyDescent="0.25">
      <c r="A9" s="19">
        <f>A5+1</f>
        <v>2</v>
      </c>
      <c r="B9" s="10"/>
      <c r="C9" s="11" t="str">
        <f>SUBSTITUTE(UC!C9,"Old","New")</f>
        <v>UC_MarketShare_COMHOTNewSH_NGA_MIN</v>
      </c>
      <c r="D9" s="12"/>
      <c r="E9" s="13" t="str">
        <f>_xlfn.XLOOKUP($A9,Selected_constraint_UC!$A:$A,Selected_constraint_UC!$B:$B)</f>
        <v>COMNGA</v>
      </c>
      <c r="F9" s="13" t="str">
        <f>SUBSTITUTE(_xlfn.XLOOKUP($A9,Selected_constraint_UC!$A:$A,Selected_constraint_UC!$C:$C),"Old","New")</f>
        <v>COMHOTNewSHEUE</v>
      </c>
      <c r="G9" s="13" t="str">
        <f>F9</f>
        <v>COMHOTNewSHEUE</v>
      </c>
      <c r="H9" s="14">
        <v>2019</v>
      </c>
      <c r="I9" s="14" t="s">
        <v>3848</v>
      </c>
      <c r="J9" s="14">
        <v>1</v>
      </c>
      <c r="K9" s="15">
        <f>UC!K9</f>
        <v>-0.78595999999999999</v>
      </c>
      <c r="L9" s="14">
        <v>0</v>
      </c>
      <c r="M9" s="14">
        <v>5</v>
      </c>
      <c r="N9" s="10"/>
      <c r="O9" s="20"/>
      <c r="Q9" s="11" t="str">
        <f>SUBSTITUTE(UC!Q9,"Old","New")</f>
        <v>UC_MarketShare_COMHOTNewSH_NGA_MAX</v>
      </c>
      <c r="R9" s="12"/>
      <c r="S9" s="13" t="str">
        <f t="shared" si="1"/>
        <v>COMNGA</v>
      </c>
      <c r="T9" s="13" t="str">
        <f t="shared" si="2"/>
        <v>COMHOTNewSHEUE</v>
      </c>
      <c r="U9" s="13" t="str">
        <f t="shared" si="3"/>
        <v>COMHOTNewSHEUE</v>
      </c>
      <c r="V9" s="14">
        <f>H9</f>
        <v>2019</v>
      </c>
      <c r="W9" s="29" t="s">
        <v>3849</v>
      </c>
      <c r="X9" s="14">
        <v>1</v>
      </c>
      <c r="Y9" s="15">
        <f>UC!Y9</f>
        <v>-0.81899999999999995</v>
      </c>
      <c r="Z9" s="14">
        <v>0</v>
      </c>
      <c r="AA9" s="14">
        <v>5</v>
      </c>
      <c r="AB9" s="10"/>
      <c r="AC9" s="20"/>
    </row>
    <row r="10" spans="1:29" x14ac:dyDescent="0.25">
      <c r="A10" s="10">
        <f>A9</f>
        <v>2</v>
      </c>
      <c r="B10" s="10"/>
      <c r="C10" s="11" t="str">
        <f>SUBSTITUTE(UC!C10,"Old","New")</f>
        <v/>
      </c>
      <c r="D10" s="12"/>
      <c r="E10" s="13" t="str">
        <f t="shared" ref="E10:G12" si="4">E9</f>
        <v>COMNGA</v>
      </c>
      <c r="F10" s="13" t="str">
        <f t="shared" si="4"/>
        <v>COMHOTNewSHEUE</v>
      </c>
      <c r="G10" s="13" t="str">
        <f t="shared" si="4"/>
        <v>COMHOTNewSHEUE</v>
      </c>
      <c r="H10" s="14">
        <v>2025</v>
      </c>
      <c r="I10" s="14" t="str">
        <f>I9</f>
        <v>LO</v>
      </c>
      <c r="J10" s="14"/>
      <c r="K10" s="15">
        <f>UC!K10</f>
        <v>-0.64160000000000006</v>
      </c>
      <c r="L10" s="14"/>
      <c r="M10" s="14"/>
      <c r="N10" s="10"/>
      <c r="O10" s="20"/>
      <c r="Q10" s="11" t="str">
        <f>SUBSTITUTE(UC!Q10,"Old","New")</f>
        <v/>
      </c>
      <c r="R10" s="12"/>
      <c r="S10" s="13" t="str">
        <f t="shared" si="1"/>
        <v>COMNGA</v>
      </c>
      <c r="T10" s="13" t="str">
        <f t="shared" si="2"/>
        <v>COMHOTNewSHEUE</v>
      </c>
      <c r="U10" s="13" t="str">
        <f t="shared" si="3"/>
        <v>COMHOTNewSHEUE</v>
      </c>
      <c r="V10" s="14">
        <v>2025</v>
      </c>
      <c r="W10" s="14" t="str">
        <f>W9</f>
        <v>UP</v>
      </c>
      <c r="X10" s="14"/>
      <c r="Y10" s="15">
        <f>UC!Y10</f>
        <v>-0.96299999999999997</v>
      </c>
      <c r="Z10" s="14"/>
      <c r="AA10" s="14"/>
      <c r="AB10" s="10"/>
      <c r="AC10" s="20"/>
    </row>
    <row r="11" spans="1:29" x14ac:dyDescent="0.25">
      <c r="A11" s="10">
        <f>A10</f>
        <v>2</v>
      </c>
      <c r="B11" s="10"/>
      <c r="C11" s="11" t="str">
        <f>SUBSTITUTE(UC!C11,"Old","New")</f>
        <v/>
      </c>
      <c r="D11" s="12"/>
      <c r="E11" s="13" t="str">
        <f t="shared" si="4"/>
        <v>COMNGA</v>
      </c>
      <c r="F11" s="13" t="str">
        <f t="shared" si="4"/>
        <v>COMHOTNewSHEUE</v>
      </c>
      <c r="G11" s="13" t="str">
        <f t="shared" si="4"/>
        <v>COMHOTNewSHEUE</v>
      </c>
      <c r="H11" s="14">
        <v>2030</v>
      </c>
      <c r="I11" s="14" t="str">
        <f>I10</f>
        <v>LO</v>
      </c>
      <c r="J11" s="14"/>
      <c r="K11" s="15">
        <f>UC!K11</f>
        <v>-0.16040000000000001</v>
      </c>
      <c r="L11" s="14"/>
      <c r="M11" s="14"/>
      <c r="N11" s="10"/>
      <c r="O11" s="20"/>
      <c r="Q11" s="11" t="str">
        <f>SUBSTITUTE(UC!Q11,"Old","New")</f>
        <v/>
      </c>
      <c r="R11" s="12"/>
      <c r="S11" s="13" t="str">
        <f t="shared" si="1"/>
        <v>COMNGA</v>
      </c>
      <c r="T11" s="13" t="str">
        <f t="shared" si="2"/>
        <v>COMHOTNewSHEUE</v>
      </c>
      <c r="U11" s="13" t="str">
        <f t="shared" si="3"/>
        <v>COMHOTNewSHEUE</v>
      </c>
      <c r="V11" s="14">
        <v>2030</v>
      </c>
      <c r="W11" s="14" t="str">
        <f>W10</f>
        <v>UP</v>
      </c>
      <c r="X11" s="14"/>
      <c r="Y11" s="15">
        <f>UC!Y11</f>
        <v>-1</v>
      </c>
      <c r="Z11" s="14"/>
      <c r="AA11" s="14"/>
      <c r="AB11" s="10"/>
      <c r="AC11" s="20"/>
    </row>
    <row r="12" spans="1:29" x14ac:dyDescent="0.25">
      <c r="A12" s="26">
        <f>A11</f>
        <v>2</v>
      </c>
      <c r="B12" s="26"/>
      <c r="C12" s="21" t="str">
        <f>SUBSTITUTE(UC!C12,"Old","New")</f>
        <v/>
      </c>
      <c r="D12" s="22"/>
      <c r="E12" s="23" t="str">
        <f t="shared" si="4"/>
        <v>COMNGA</v>
      </c>
      <c r="F12" s="23" t="str">
        <f t="shared" si="4"/>
        <v>COMHOTNewSHEUE</v>
      </c>
      <c r="G12" s="23" t="str">
        <f t="shared" si="4"/>
        <v>COMHOTNewSHEUE</v>
      </c>
      <c r="H12" s="24">
        <v>2050</v>
      </c>
      <c r="I12" s="24" t="str">
        <f>I11</f>
        <v>LO</v>
      </c>
      <c r="J12" s="24"/>
      <c r="K12" s="25">
        <f>UC!K12</f>
        <v>0</v>
      </c>
      <c r="L12" s="24"/>
      <c r="M12" s="24"/>
      <c r="N12" s="26"/>
      <c r="O12" s="27"/>
      <c r="Q12" s="21" t="str">
        <f>SUBSTITUTE(UC!Q12,"Old","New")</f>
        <v/>
      </c>
      <c r="R12" s="22"/>
      <c r="S12" s="23" t="str">
        <f t="shared" si="1"/>
        <v>COMNGA</v>
      </c>
      <c r="T12" s="23" t="str">
        <f t="shared" si="2"/>
        <v>COMHOTNewSHEUE</v>
      </c>
      <c r="U12" s="23" t="str">
        <f t="shared" si="3"/>
        <v>COMHOTNewSHEUE</v>
      </c>
      <c r="V12" s="24">
        <v>2050</v>
      </c>
      <c r="W12" s="24" t="str">
        <f>W11</f>
        <v>UP</v>
      </c>
      <c r="X12" s="24"/>
      <c r="Y12" s="25">
        <f>UC!Y12</f>
        <v>-1</v>
      </c>
      <c r="Z12" s="24"/>
      <c r="AA12" s="24"/>
      <c r="AB12" s="26"/>
      <c r="AC12" s="27"/>
    </row>
    <row r="13" spans="1:29" x14ac:dyDescent="0.25">
      <c r="A13" s="19">
        <f>A9+1</f>
        <v>3</v>
      </c>
      <c r="B13" s="10"/>
      <c r="C13" s="11" t="str">
        <f>SUBSTITUTE(UC!C13,"Old","New")</f>
        <v>UC_MarketShare_COMHOTNewSH_FOI_MIN</v>
      </c>
      <c r="D13" s="12"/>
      <c r="E13" s="13" t="str">
        <f>_xlfn.XLOOKUP($A13,Selected_constraint_UC!$A:$A,Selected_constraint_UC!$B:$B)</f>
        <v>COMFOI</v>
      </c>
      <c r="F13" s="13" t="str">
        <f>SUBSTITUTE(_xlfn.XLOOKUP($A13,Selected_constraint_UC!$A:$A,Selected_constraint_UC!$C:$C),"Old","New")</f>
        <v>COMHOTNewSHEUE</v>
      </c>
      <c r="G13" s="13" t="str">
        <f>F13</f>
        <v>COMHOTNewSHEUE</v>
      </c>
      <c r="H13" s="14">
        <v>2019</v>
      </c>
      <c r="I13" s="14" t="s">
        <v>3848</v>
      </c>
      <c r="J13" s="14">
        <v>1</v>
      </c>
      <c r="K13" s="15">
        <f>UC!K13</f>
        <v>-6.762E-2</v>
      </c>
      <c r="L13" s="14">
        <v>0</v>
      </c>
      <c r="M13" s="14">
        <v>5</v>
      </c>
      <c r="N13" s="10"/>
      <c r="O13" s="20"/>
      <c r="Q13" s="11" t="str">
        <f>SUBSTITUTE(UC!Q13,"Old","New")</f>
        <v>UC_MarketShare_COMHOTNewSH_FOI_MAX</v>
      </c>
      <c r="R13" s="12"/>
      <c r="S13" s="13" t="str">
        <f t="shared" si="1"/>
        <v>COMFOI</v>
      </c>
      <c r="T13" s="13" t="str">
        <f t="shared" si="2"/>
        <v>COMHOTNewSHEUE</v>
      </c>
      <c r="U13" s="13" t="str">
        <f t="shared" si="3"/>
        <v>COMHOTNewSHEUE</v>
      </c>
      <c r="V13" s="14">
        <f>H13</f>
        <v>2019</v>
      </c>
      <c r="W13" s="29" t="s">
        <v>3849</v>
      </c>
      <c r="X13" s="14">
        <v>1</v>
      </c>
      <c r="Y13" s="15">
        <f>UC!Y13</f>
        <v>-7.1000000000000008E-2</v>
      </c>
      <c r="Z13" s="14">
        <v>0</v>
      </c>
      <c r="AA13" s="14">
        <v>5</v>
      </c>
      <c r="AB13" s="10"/>
      <c r="AC13" s="20"/>
    </row>
    <row r="14" spans="1:29" x14ac:dyDescent="0.25">
      <c r="A14" s="10">
        <f>A13</f>
        <v>3</v>
      </c>
      <c r="B14" s="10"/>
      <c r="C14" s="11" t="str">
        <f>SUBSTITUTE(UC!C14,"Old","New")</f>
        <v/>
      </c>
      <c r="D14" s="12"/>
      <c r="E14" s="13" t="str">
        <f t="shared" ref="E14:G16" si="5">E13</f>
        <v>COMFOI</v>
      </c>
      <c r="F14" s="13" t="str">
        <f t="shared" si="5"/>
        <v>COMHOTNewSHEUE</v>
      </c>
      <c r="G14" s="13" t="str">
        <f t="shared" si="5"/>
        <v>COMHOTNewSHEUE</v>
      </c>
      <c r="H14" s="14">
        <v>2025</v>
      </c>
      <c r="I14" s="14" t="str">
        <f>I13</f>
        <v>LO</v>
      </c>
      <c r="J14" s="14"/>
      <c r="K14" s="15">
        <f>UC!K14</f>
        <v>-5.5200000000000006E-2</v>
      </c>
      <c r="L14" s="14"/>
      <c r="M14" s="14"/>
      <c r="N14" s="10"/>
      <c r="O14" s="20"/>
      <c r="Q14" s="11" t="str">
        <f>SUBSTITUTE(UC!Q14,"Old","New")</f>
        <v/>
      </c>
      <c r="R14" s="12"/>
      <c r="S14" s="13" t="str">
        <f t="shared" si="1"/>
        <v>COMFOI</v>
      </c>
      <c r="T14" s="13" t="str">
        <f t="shared" si="2"/>
        <v>COMHOTNewSHEUE</v>
      </c>
      <c r="U14" s="13" t="str">
        <f t="shared" si="3"/>
        <v>COMHOTNewSHEUE</v>
      </c>
      <c r="V14" s="14">
        <v>2025</v>
      </c>
      <c r="W14" s="14" t="str">
        <f>W13</f>
        <v>UP</v>
      </c>
      <c r="X14" s="14"/>
      <c r="Y14" s="15">
        <f>UC!Y14</f>
        <v>-8.4000000000000005E-2</v>
      </c>
      <c r="Z14" s="14"/>
      <c r="AA14" s="14"/>
      <c r="AB14" s="10"/>
      <c r="AC14" s="20"/>
    </row>
    <row r="15" spans="1:29" x14ac:dyDescent="0.25">
      <c r="A15" s="10">
        <f>A14</f>
        <v>3</v>
      </c>
      <c r="B15" s="10"/>
      <c r="C15" s="11" t="str">
        <f>SUBSTITUTE(UC!C15,"Old","New")</f>
        <v/>
      </c>
      <c r="D15" s="12"/>
      <c r="E15" s="13" t="str">
        <f t="shared" si="5"/>
        <v>COMFOI</v>
      </c>
      <c r="F15" s="13" t="str">
        <f t="shared" si="5"/>
        <v>COMHOTNewSHEUE</v>
      </c>
      <c r="G15" s="13" t="str">
        <f t="shared" si="5"/>
        <v>COMHOTNewSHEUE</v>
      </c>
      <c r="H15" s="14">
        <v>2030</v>
      </c>
      <c r="I15" s="14" t="str">
        <f>I14</f>
        <v>LO</v>
      </c>
      <c r="J15" s="14"/>
      <c r="K15" s="15">
        <f>UC!K15</f>
        <v>-1.3800000000000002E-2</v>
      </c>
      <c r="L15" s="14"/>
      <c r="M15" s="14"/>
      <c r="N15" s="10"/>
      <c r="O15" s="20"/>
      <c r="Q15" s="11" t="str">
        <f>SUBSTITUTE(UC!Q15,"Old","New")</f>
        <v/>
      </c>
      <c r="R15" s="12"/>
      <c r="S15" s="13" t="str">
        <f t="shared" si="1"/>
        <v>COMFOI</v>
      </c>
      <c r="T15" s="13" t="str">
        <f t="shared" si="2"/>
        <v>COMHOTNewSHEUE</v>
      </c>
      <c r="U15" s="13" t="str">
        <f t="shared" si="3"/>
        <v>COMHOTNewSHEUE</v>
      </c>
      <c r="V15" s="14">
        <v>2030</v>
      </c>
      <c r="W15" s="14" t="str">
        <f>W14</f>
        <v>UP</v>
      </c>
      <c r="X15" s="14"/>
      <c r="Y15" s="15">
        <f>UC!Y15</f>
        <v>-0.105</v>
      </c>
      <c r="Z15" s="14"/>
      <c r="AA15" s="14"/>
      <c r="AB15" s="10"/>
      <c r="AC15" s="20"/>
    </row>
    <row r="16" spans="1:29" x14ac:dyDescent="0.25">
      <c r="A16" s="26">
        <f>A15</f>
        <v>3</v>
      </c>
      <c r="B16" s="26"/>
      <c r="C16" s="21" t="str">
        <f>SUBSTITUTE(UC!C16,"Old","New")</f>
        <v/>
      </c>
      <c r="D16" s="22"/>
      <c r="E16" s="23" t="str">
        <f t="shared" si="5"/>
        <v>COMFOI</v>
      </c>
      <c r="F16" s="23" t="str">
        <f t="shared" si="5"/>
        <v>COMHOTNewSHEUE</v>
      </c>
      <c r="G16" s="23" t="str">
        <f t="shared" si="5"/>
        <v>COMHOTNewSHEUE</v>
      </c>
      <c r="H16" s="24">
        <v>2050</v>
      </c>
      <c r="I16" s="24" t="str">
        <f>I15</f>
        <v>LO</v>
      </c>
      <c r="J16" s="24"/>
      <c r="K16" s="25">
        <f>UC!K16</f>
        <v>0</v>
      </c>
      <c r="L16" s="24"/>
      <c r="M16" s="24"/>
      <c r="N16" s="26"/>
      <c r="O16" s="27"/>
      <c r="Q16" s="21" t="str">
        <f>SUBSTITUTE(UC!Q16,"Old","New")</f>
        <v/>
      </c>
      <c r="R16" s="22"/>
      <c r="S16" s="23" t="str">
        <f t="shared" si="1"/>
        <v>COMFOI</v>
      </c>
      <c r="T16" s="23" t="str">
        <f t="shared" si="2"/>
        <v>COMHOTNewSHEUE</v>
      </c>
      <c r="U16" s="23" t="str">
        <f t="shared" si="3"/>
        <v>COMHOTNewSHEUE</v>
      </c>
      <c r="V16" s="24">
        <v>2050</v>
      </c>
      <c r="W16" s="24" t="str">
        <f>W15</f>
        <v>UP</v>
      </c>
      <c r="X16" s="24"/>
      <c r="Y16" s="25">
        <f>UC!Y16</f>
        <v>-0.20899999999999999</v>
      </c>
      <c r="Z16" s="24"/>
      <c r="AA16" s="24"/>
      <c r="AB16" s="26"/>
      <c r="AC16" s="27"/>
    </row>
    <row r="17" spans="1:29" x14ac:dyDescent="0.25">
      <c r="A17" s="19">
        <f>A13+1</f>
        <v>4</v>
      </c>
      <c r="B17" s="10"/>
      <c r="C17" s="11" t="str">
        <f>SUBSTITUTE(UC!C17,"Old","New")</f>
        <v>*</v>
      </c>
      <c r="D17" s="12"/>
      <c r="E17" s="13" t="str">
        <f>_xlfn.XLOOKUP($A17,Selected_constraint_UC!$A:$A,Selected_constraint_UC!$B:$B)</f>
        <v>COMLPG</v>
      </c>
      <c r="F17" s="13" t="str">
        <f>SUBSTITUTE(_xlfn.XLOOKUP($A17,Selected_constraint_UC!$A:$A,Selected_constraint_UC!$C:$C),"Old","New")</f>
        <v>COMHOTNewSHEUE</v>
      </c>
      <c r="G17" s="13" t="str">
        <f>F17</f>
        <v>COMHOTNewSHEUE</v>
      </c>
      <c r="H17" s="14">
        <v>2019</v>
      </c>
      <c r="I17" s="14" t="s">
        <v>3848</v>
      </c>
      <c r="J17" s="14">
        <v>1</v>
      </c>
      <c r="K17" s="15">
        <f>UC!K17</f>
        <v>0</v>
      </c>
      <c r="L17" s="14">
        <v>0</v>
      </c>
      <c r="M17" s="14">
        <v>5</v>
      </c>
      <c r="N17" s="10"/>
      <c r="O17" s="20"/>
      <c r="Q17" s="11" t="str">
        <f>SUBSTITUTE(UC!Q17,"Old","New")</f>
        <v>*</v>
      </c>
      <c r="R17" s="12"/>
      <c r="S17" s="13" t="str">
        <f t="shared" si="1"/>
        <v>COMLPG</v>
      </c>
      <c r="T17" s="13" t="str">
        <f t="shared" si="2"/>
        <v>COMHOTNewSHEUE</v>
      </c>
      <c r="U17" s="13" t="str">
        <f t="shared" si="3"/>
        <v>COMHOTNewSHEUE</v>
      </c>
      <c r="V17" s="14">
        <f>H17</f>
        <v>2019</v>
      </c>
      <c r="W17" s="29" t="s">
        <v>3849</v>
      </c>
      <c r="X17" s="14">
        <v>1</v>
      </c>
      <c r="Y17" s="15">
        <f>UC!Y17</f>
        <v>0</v>
      </c>
      <c r="Z17" s="14">
        <v>0</v>
      </c>
      <c r="AA17" s="14">
        <v>5</v>
      </c>
      <c r="AB17" s="10"/>
      <c r="AC17" s="20"/>
    </row>
    <row r="18" spans="1:29" x14ac:dyDescent="0.25">
      <c r="A18" s="10">
        <f>A17</f>
        <v>4</v>
      </c>
      <c r="B18" s="10"/>
      <c r="C18" s="11" t="str">
        <f>SUBSTITUTE(UC!C18,"Old","New")</f>
        <v>*</v>
      </c>
      <c r="D18" s="12"/>
      <c r="E18" s="13" t="str">
        <f t="shared" ref="E18:G20" si="6">E17</f>
        <v>COMLPG</v>
      </c>
      <c r="F18" s="13" t="str">
        <f t="shared" si="6"/>
        <v>COMHOTNewSHEUE</v>
      </c>
      <c r="G18" s="13" t="str">
        <f t="shared" si="6"/>
        <v>COMHOTNewSHEUE</v>
      </c>
      <c r="H18" s="14">
        <v>2025</v>
      </c>
      <c r="I18" s="14" t="str">
        <f>I17</f>
        <v>LO</v>
      </c>
      <c r="J18" s="14"/>
      <c r="K18" s="15">
        <f>UC!K18</f>
        <v>0</v>
      </c>
      <c r="L18" s="14"/>
      <c r="M18" s="14"/>
      <c r="N18" s="10"/>
      <c r="O18" s="20"/>
      <c r="Q18" s="11" t="str">
        <f>SUBSTITUTE(UC!Q18,"Old","New")</f>
        <v>*</v>
      </c>
      <c r="R18" s="12"/>
      <c r="S18" s="13" t="str">
        <f t="shared" si="1"/>
        <v>COMLPG</v>
      </c>
      <c r="T18" s="13" t="str">
        <f t="shared" si="2"/>
        <v>COMHOTNewSHEUE</v>
      </c>
      <c r="U18" s="13" t="str">
        <f t="shared" si="3"/>
        <v>COMHOTNewSHEUE</v>
      </c>
      <c r="V18" s="14">
        <v>2025</v>
      </c>
      <c r="W18" s="14" t="str">
        <f>W17</f>
        <v>UP</v>
      </c>
      <c r="X18" s="14"/>
      <c r="Y18" s="15">
        <f>UC!Y18</f>
        <v>0</v>
      </c>
      <c r="Z18" s="14"/>
      <c r="AA18" s="14"/>
      <c r="AB18" s="10"/>
      <c r="AC18" s="20"/>
    </row>
    <row r="19" spans="1:29" x14ac:dyDescent="0.25">
      <c r="A19" s="10">
        <f>A18</f>
        <v>4</v>
      </c>
      <c r="B19" s="10"/>
      <c r="C19" s="11" t="str">
        <f>SUBSTITUTE(UC!C19,"Old","New")</f>
        <v>*</v>
      </c>
      <c r="D19" s="12"/>
      <c r="E19" s="13" t="str">
        <f t="shared" si="6"/>
        <v>COMLPG</v>
      </c>
      <c r="F19" s="13" t="str">
        <f t="shared" si="6"/>
        <v>COMHOTNewSHEUE</v>
      </c>
      <c r="G19" s="13" t="str">
        <f t="shared" si="6"/>
        <v>COMHOTNewSHEUE</v>
      </c>
      <c r="H19" s="14">
        <v>2030</v>
      </c>
      <c r="I19" s="14" t="str">
        <f>I18</f>
        <v>LO</v>
      </c>
      <c r="J19" s="14"/>
      <c r="K19" s="15">
        <f>UC!K19</f>
        <v>0</v>
      </c>
      <c r="L19" s="14"/>
      <c r="M19" s="14"/>
      <c r="N19" s="10"/>
      <c r="O19" s="20"/>
      <c r="Q19" s="11" t="str">
        <f>SUBSTITUTE(UC!Q19,"Old","New")</f>
        <v>*</v>
      </c>
      <c r="R19" s="12"/>
      <c r="S19" s="13" t="str">
        <f t="shared" si="1"/>
        <v>COMLPG</v>
      </c>
      <c r="T19" s="13" t="str">
        <f t="shared" si="2"/>
        <v>COMHOTNewSHEUE</v>
      </c>
      <c r="U19" s="13" t="str">
        <f t="shared" si="3"/>
        <v>COMHOTNewSHEUE</v>
      </c>
      <c r="V19" s="14">
        <v>2030</v>
      </c>
      <c r="W19" s="14" t="str">
        <f>W18</f>
        <v>UP</v>
      </c>
      <c r="X19" s="14"/>
      <c r="Y19" s="15">
        <f>UC!Y19</f>
        <v>0</v>
      </c>
      <c r="Z19" s="14"/>
      <c r="AA19" s="14"/>
      <c r="AB19" s="10"/>
      <c r="AC19" s="20"/>
    </row>
    <row r="20" spans="1:29" x14ac:dyDescent="0.25">
      <c r="A20" s="26">
        <f>A19</f>
        <v>4</v>
      </c>
      <c r="B20" s="26"/>
      <c r="C20" s="21" t="str">
        <f>SUBSTITUTE(UC!C20,"Old","New")</f>
        <v>*</v>
      </c>
      <c r="D20" s="22"/>
      <c r="E20" s="23" t="str">
        <f t="shared" si="6"/>
        <v>COMLPG</v>
      </c>
      <c r="F20" s="23" t="str">
        <f t="shared" si="6"/>
        <v>COMHOTNewSHEUE</v>
      </c>
      <c r="G20" s="23" t="str">
        <f t="shared" si="6"/>
        <v>COMHOTNewSHEUE</v>
      </c>
      <c r="H20" s="24">
        <v>2050</v>
      </c>
      <c r="I20" s="24" t="str">
        <f>I19</f>
        <v>LO</v>
      </c>
      <c r="J20" s="24"/>
      <c r="K20" s="25">
        <f>UC!K20</f>
        <v>0</v>
      </c>
      <c r="L20" s="24"/>
      <c r="M20" s="24"/>
      <c r="N20" s="26"/>
      <c r="O20" s="27"/>
      <c r="Q20" s="21" t="str">
        <f>SUBSTITUTE(UC!Q20,"Old","New")</f>
        <v>*</v>
      </c>
      <c r="R20" s="22"/>
      <c r="S20" s="23" t="str">
        <f t="shared" si="1"/>
        <v>COMLPG</v>
      </c>
      <c r="T20" s="23" t="str">
        <f t="shared" si="2"/>
        <v>COMHOTNewSHEUE</v>
      </c>
      <c r="U20" s="23" t="str">
        <f t="shared" si="3"/>
        <v>COMHOTNewSHEUE</v>
      </c>
      <c r="V20" s="24">
        <v>2050</v>
      </c>
      <c r="W20" s="24" t="str">
        <f>W19</f>
        <v>UP</v>
      </c>
      <c r="X20" s="24"/>
      <c r="Y20" s="25">
        <f>UC!Y20</f>
        <v>0</v>
      </c>
      <c r="Z20" s="24"/>
      <c r="AA20" s="24"/>
      <c r="AB20" s="26"/>
      <c r="AC20" s="27"/>
    </row>
    <row r="21" spans="1:29" x14ac:dyDescent="0.25">
      <c r="A21" s="19">
        <f>A17+1</f>
        <v>5</v>
      </c>
      <c r="B21" s="10"/>
      <c r="C21" s="11" t="str">
        <f>SUBSTITUTE(UC!C21,"Old","New")</f>
        <v>*</v>
      </c>
      <c r="D21" s="12"/>
      <c r="E21" s="13" t="str">
        <f>_xlfn.XLOOKUP($A21,Selected_constraint_UC!$A:$A,Selected_constraint_UC!$B:$B)</f>
        <v>COMSTM</v>
      </c>
      <c r="F21" s="13" t="str">
        <f>SUBSTITUTE(_xlfn.XLOOKUP($A21,Selected_constraint_UC!$A:$A,Selected_constraint_UC!$C:$C),"Old","New")</f>
        <v>COMHOTNewSHEUE</v>
      </c>
      <c r="G21" s="13" t="str">
        <f>F21</f>
        <v>COMHOTNewSHEUE</v>
      </c>
      <c r="H21" s="14">
        <v>2019</v>
      </c>
      <c r="I21" s="14" t="s">
        <v>3848</v>
      </c>
      <c r="J21" s="14">
        <v>1</v>
      </c>
      <c r="K21" s="15">
        <f>UC!K21</f>
        <v>-4.018E-2</v>
      </c>
      <c r="L21" s="14">
        <v>0</v>
      </c>
      <c r="M21" s="14">
        <v>5</v>
      </c>
      <c r="N21" s="10"/>
      <c r="O21" s="20"/>
      <c r="Q21" s="11" t="str">
        <f>SUBSTITUTE(UC!Q21,"Old","New")</f>
        <v>*</v>
      </c>
      <c r="R21" s="12"/>
      <c r="S21" s="13" t="str">
        <f t="shared" si="1"/>
        <v>COMSTM</v>
      </c>
      <c r="T21" s="13" t="str">
        <f t="shared" si="2"/>
        <v>COMHOTNewSHEUE</v>
      </c>
      <c r="U21" s="13" t="str">
        <f t="shared" si="3"/>
        <v>COMHOTNewSHEUE</v>
      </c>
      <c r="V21" s="14">
        <f>H21</f>
        <v>2019</v>
      </c>
      <c r="W21" s="29" t="s">
        <v>3849</v>
      </c>
      <c r="X21" s="14">
        <v>1</v>
      </c>
      <c r="Y21" s="15">
        <f>UC!Y21</f>
        <v>-4.3000000000000003E-2</v>
      </c>
      <c r="Z21" s="14">
        <v>0</v>
      </c>
      <c r="AA21" s="14">
        <v>5</v>
      </c>
      <c r="AB21" s="10"/>
      <c r="AC21" s="20"/>
    </row>
    <row r="22" spans="1:29" x14ac:dyDescent="0.25">
      <c r="A22" s="10">
        <f>A21</f>
        <v>5</v>
      </c>
      <c r="B22" s="10"/>
      <c r="C22" s="11" t="str">
        <f>SUBSTITUTE(UC!C22,"Old","New")</f>
        <v>*</v>
      </c>
      <c r="D22" s="12"/>
      <c r="E22" s="13" t="str">
        <f t="shared" ref="E22:G24" si="7">E21</f>
        <v>COMSTM</v>
      </c>
      <c r="F22" s="13" t="str">
        <f t="shared" si="7"/>
        <v>COMHOTNewSHEUE</v>
      </c>
      <c r="G22" s="13" t="str">
        <f t="shared" si="7"/>
        <v>COMHOTNewSHEUE</v>
      </c>
      <c r="H22" s="14">
        <v>2025</v>
      </c>
      <c r="I22" s="14" t="str">
        <f>I21</f>
        <v>LO</v>
      </c>
      <c r="J22" s="14"/>
      <c r="K22" s="15">
        <f>UC!K22</f>
        <v>-3.2800000000000003E-2</v>
      </c>
      <c r="L22" s="14"/>
      <c r="M22" s="14"/>
      <c r="N22" s="10"/>
      <c r="O22" s="20"/>
      <c r="Q22" s="11" t="str">
        <f>SUBSTITUTE(UC!Q22,"Old","New")</f>
        <v>*</v>
      </c>
      <c r="R22" s="12"/>
      <c r="S22" s="13" t="str">
        <f t="shared" si="1"/>
        <v>COMSTM</v>
      </c>
      <c r="T22" s="13" t="str">
        <f t="shared" si="2"/>
        <v>COMHOTNewSHEUE</v>
      </c>
      <c r="U22" s="13" t="str">
        <f t="shared" si="3"/>
        <v>COMHOTNewSHEUE</v>
      </c>
      <c r="V22" s="14">
        <v>2025</v>
      </c>
      <c r="W22" s="14" t="str">
        <f>W21</f>
        <v>UP</v>
      </c>
      <c r="X22" s="14"/>
      <c r="Y22" s="15">
        <f>UC!Y22</f>
        <v>-0.05</v>
      </c>
      <c r="Z22" s="14"/>
      <c r="AA22" s="14"/>
      <c r="AB22" s="10"/>
      <c r="AC22" s="20"/>
    </row>
    <row r="23" spans="1:29" x14ac:dyDescent="0.25">
      <c r="A23" s="10">
        <f>A22</f>
        <v>5</v>
      </c>
      <c r="B23" s="10"/>
      <c r="C23" s="11" t="str">
        <f>SUBSTITUTE(UC!C23,"Old","New")</f>
        <v>*</v>
      </c>
      <c r="D23" s="12"/>
      <c r="E23" s="13" t="str">
        <f t="shared" si="7"/>
        <v>COMSTM</v>
      </c>
      <c r="F23" s="13" t="str">
        <f t="shared" si="7"/>
        <v>COMHOTNewSHEUE</v>
      </c>
      <c r="G23" s="13" t="str">
        <f t="shared" si="7"/>
        <v>COMHOTNewSHEUE</v>
      </c>
      <c r="H23" s="14">
        <v>2030</v>
      </c>
      <c r="I23" s="14" t="str">
        <f>I22</f>
        <v>LO</v>
      </c>
      <c r="J23" s="14"/>
      <c r="K23" s="15">
        <f>UC!K23</f>
        <v>-8.2000000000000007E-3</v>
      </c>
      <c r="L23" s="14"/>
      <c r="M23" s="14"/>
      <c r="N23" s="10"/>
      <c r="O23" s="20"/>
      <c r="Q23" s="11" t="str">
        <f>SUBSTITUTE(UC!Q23,"Old","New")</f>
        <v>*</v>
      </c>
      <c r="R23" s="12"/>
      <c r="S23" s="13" t="str">
        <f t="shared" si="1"/>
        <v>COMSTM</v>
      </c>
      <c r="T23" s="13" t="str">
        <f t="shared" si="2"/>
        <v>COMHOTNewSHEUE</v>
      </c>
      <c r="U23" s="13" t="str">
        <f t="shared" si="3"/>
        <v>COMHOTNewSHEUE</v>
      </c>
      <c r="V23" s="14">
        <v>2030</v>
      </c>
      <c r="W23" s="14" t="str">
        <f>W22</f>
        <v>UP</v>
      </c>
      <c r="X23" s="14"/>
      <c r="Y23" s="15">
        <f>UC!Y23</f>
        <v>-6.3E-2</v>
      </c>
      <c r="Z23" s="14"/>
      <c r="AA23" s="14"/>
      <c r="AB23" s="10"/>
      <c r="AC23" s="20"/>
    </row>
    <row r="24" spans="1:29" x14ac:dyDescent="0.25">
      <c r="A24" s="26">
        <f>A23</f>
        <v>5</v>
      </c>
      <c r="B24" s="26"/>
      <c r="C24" s="21" t="str">
        <f>SUBSTITUTE(UC!C24,"Old","New")</f>
        <v>*</v>
      </c>
      <c r="D24" s="22"/>
      <c r="E24" s="23" t="str">
        <f t="shared" si="7"/>
        <v>COMSTM</v>
      </c>
      <c r="F24" s="23" t="str">
        <f t="shared" si="7"/>
        <v>COMHOTNewSHEUE</v>
      </c>
      <c r="G24" s="23" t="str">
        <f t="shared" si="7"/>
        <v>COMHOTNewSHEUE</v>
      </c>
      <c r="H24" s="24">
        <v>2050</v>
      </c>
      <c r="I24" s="24" t="str">
        <f>I23</f>
        <v>LO</v>
      </c>
      <c r="J24" s="24"/>
      <c r="K24" s="25">
        <f>UC!K24</f>
        <v>0</v>
      </c>
      <c r="L24" s="24"/>
      <c r="M24" s="24"/>
      <c r="N24" s="26"/>
      <c r="O24" s="27"/>
      <c r="Q24" s="21" t="str">
        <f>SUBSTITUTE(UC!Q24,"Old","New")</f>
        <v>*</v>
      </c>
      <c r="R24" s="22"/>
      <c r="S24" s="23" t="str">
        <f t="shared" si="1"/>
        <v>COMSTM</v>
      </c>
      <c r="T24" s="23" t="str">
        <f t="shared" si="2"/>
        <v>COMHOTNewSHEUE</v>
      </c>
      <c r="U24" s="23" t="str">
        <f t="shared" si="3"/>
        <v>COMHOTNewSHEUE</v>
      </c>
      <c r="V24" s="24">
        <v>2050</v>
      </c>
      <c r="W24" s="24" t="str">
        <f>W23</f>
        <v>UP</v>
      </c>
      <c r="X24" s="24"/>
      <c r="Y24" s="25">
        <f>UC!Y24</f>
        <v>-0.125</v>
      </c>
      <c r="Z24" s="24"/>
      <c r="AA24" s="24"/>
      <c r="AB24" s="26"/>
      <c r="AC24" s="27"/>
    </row>
    <row r="25" spans="1:29" x14ac:dyDescent="0.25">
      <c r="A25" s="19">
        <f>A21+1</f>
        <v>6</v>
      </c>
      <c r="B25" s="10"/>
      <c r="C25" s="11" t="str">
        <f>SUBSTITUTE(UC!C25,"Old","New")</f>
        <v>UC_MarketShare_COMHOTNewSC_ELC_MIN</v>
      </c>
      <c r="D25" s="12"/>
      <c r="E25" s="13" t="str">
        <f>_xlfn.XLOOKUP($A25,Selected_constraint_UC!$A:$A,Selected_constraint_UC!$B:$B)</f>
        <v>COMELC</v>
      </c>
      <c r="F25" s="13" t="str">
        <f>SUBSTITUTE(_xlfn.XLOOKUP($A25,Selected_constraint_UC!$A:$A,Selected_constraint_UC!$C:$C),"Old","New")</f>
        <v>COMHOTNewSCEUE</v>
      </c>
      <c r="G25" s="13" t="str">
        <f>F25</f>
        <v>COMHOTNewSCEUE</v>
      </c>
      <c r="H25" s="14">
        <v>2019</v>
      </c>
      <c r="I25" s="14" t="s">
        <v>3848</v>
      </c>
      <c r="J25" s="14">
        <v>1</v>
      </c>
      <c r="K25" s="15">
        <f>UC!K25</f>
        <v>-0.98</v>
      </c>
      <c r="L25" s="14">
        <v>0</v>
      </c>
      <c r="M25" s="14">
        <v>5</v>
      </c>
      <c r="N25" s="10"/>
      <c r="O25" s="20"/>
      <c r="Q25" s="11" t="str">
        <f>SUBSTITUTE(UC!Q25,"Old","New")</f>
        <v>UC_MarketShare_COMHOTNewSC_ELC_MAX</v>
      </c>
      <c r="R25" s="12"/>
      <c r="S25" s="13" t="str">
        <f t="shared" si="1"/>
        <v>COMELC</v>
      </c>
      <c r="T25" s="13" t="str">
        <f t="shared" si="2"/>
        <v>COMHOTNewSCEUE</v>
      </c>
      <c r="U25" s="13" t="str">
        <f t="shared" si="3"/>
        <v>COMHOTNewSCEUE</v>
      </c>
      <c r="V25" s="14">
        <f>H25</f>
        <v>2019</v>
      </c>
      <c r="W25" s="29" t="s">
        <v>3849</v>
      </c>
      <c r="X25" s="14">
        <v>1</v>
      </c>
      <c r="Y25" s="15">
        <f>UC!Y25</f>
        <v>-1</v>
      </c>
      <c r="Z25" s="14">
        <v>0</v>
      </c>
      <c r="AA25" s="14">
        <v>5</v>
      </c>
      <c r="AB25" s="10"/>
      <c r="AC25" s="20"/>
    </row>
    <row r="26" spans="1:29" x14ac:dyDescent="0.25">
      <c r="A26" s="10">
        <f>A25</f>
        <v>6</v>
      </c>
      <c r="B26" s="10"/>
      <c r="C26" s="11" t="str">
        <f>SUBSTITUTE(UC!C26,"Old","New")</f>
        <v/>
      </c>
      <c r="D26" s="12"/>
      <c r="E26" s="13" t="str">
        <f t="shared" ref="E26:G28" si="8">E25</f>
        <v>COMELC</v>
      </c>
      <c r="F26" s="13" t="str">
        <f t="shared" si="8"/>
        <v>COMHOTNewSCEUE</v>
      </c>
      <c r="G26" s="13" t="str">
        <f t="shared" si="8"/>
        <v>COMHOTNewSCEUE</v>
      </c>
      <c r="H26" s="14">
        <v>2025</v>
      </c>
      <c r="I26" s="14" t="str">
        <f>I25</f>
        <v>LO</v>
      </c>
      <c r="J26" s="14"/>
      <c r="K26" s="15">
        <f>UC!K26</f>
        <v>-0.8</v>
      </c>
      <c r="L26" s="14"/>
      <c r="M26" s="14"/>
      <c r="N26" s="10"/>
      <c r="O26" s="20"/>
      <c r="Q26" s="11" t="str">
        <f>SUBSTITUTE(UC!Q26,"Old","New")</f>
        <v/>
      </c>
      <c r="R26" s="12"/>
      <c r="S26" s="13" t="str">
        <f t="shared" si="1"/>
        <v>COMELC</v>
      </c>
      <c r="T26" s="13" t="str">
        <f t="shared" si="2"/>
        <v>COMHOTNewSCEUE</v>
      </c>
      <c r="U26" s="13" t="str">
        <f t="shared" si="3"/>
        <v>COMHOTNewSCEUE</v>
      </c>
      <c r="V26" s="14">
        <v>2025</v>
      </c>
      <c r="W26" s="14" t="str">
        <f>W25</f>
        <v>UP</v>
      </c>
      <c r="X26" s="14"/>
      <c r="Y26" s="15">
        <f>UC!Y26</f>
        <v>-1</v>
      </c>
      <c r="Z26" s="14"/>
      <c r="AA26" s="14"/>
      <c r="AB26" s="10"/>
      <c r="AC26" s="20"/>
    </row>
    <row r="27" spans="1:29" x14ac:dyDescent="0.25">
      <c r="A27" s="10">
        <f>A26</f>
        <v>6</v>
      </c>
      <c r="B27" s="10"/>
      <c r="C27" s="11" t="str">
        <f>SUBSTITUTE(UC!C27,"Old","New")</f>
        <v/>
      </c>
      <c r="D27" s="12"/>
      <c r="E27" s="13" t="str">
        <f t="shared" si="8"/>
        <v>COMELC</v>
      </c>
      <c r="F27" s="13" t="str">
        <f t="shared" si="8"/>
        <v>COMHOTNewSCEUE</v>
      </c>
      <c r="G27" s="13" t="str">
        <f t="shared" si="8"/>
        <v>COMHOTNewSCEUE</v>
      </c>
      <c r="H27" s="14">
        <v>2030</v>
      </c>
      <c r="I27" s="14" t="str">
        <f>I26</f>
        <v>LO</v>
      </c>
      <c r="J27" s="14"/>
      <c r="K27" s="15">
        <f>UC!K27</f>
        <v>-0.75</v>
      </c>
      <c r="L27" s="14"/>
      <c r="M27" s="14"/>
      <c r="N27" s="10"/>
      <c r="O27" s="20"/>
      <c r="Q27" s="11" t="str">
        <f>SUBSTITUTE(UC!Q27,"Old","New")</f>
        <v/>
      </c>
      <c r="R27" s="12"/>
      <c r="S27" s="13" t="str">
        <f t="shared" si="1"/>
        <v>COMELC</v>
      </c>
      <c r="T27" s="13" t="str">
        <f t="shared" si="2"/>
        <v>COMHOTNewSCEUE</v>
      </c>
      <c r="U27" s="13" t="str">
        <f t="shared" si="3"/>
        <v>COMHOTNewSCEUE</v>
      </c>
      <c r="V27" s="14">
        <v>2030</v>
      </c>
      <c r="W27" s="14" t="str">
        <f>W26</f>
        <v>UP</v>
      </c>
      <c r="X27" s="14"/>
      <c r="Y27" s="15">
        <f>UC!Y27</f>
        <v>-1</v>
      </c>
      <c r="Z27" s="14"/>
      <c r="AA27" s="14"/>
      <c r="AB27" s="10"/>
      <c r="AC27" s="20"/>
    </row>
    <row r="28" spans="1:29" x14ac:dyDescent="0.25">
      <c r="A28" s="26">
        <f>A27</f>
        <v>6</v>
      </c>
      <c r="B28" s="26"/>
      <c r="C28" s="21" t="str">
        <f>SUBSTITUTE(UC!C28,"Old","New")</f>
        <v/>
      </c>
      <c r="D28" s="22"/>
      <c r="E28" s="23" t="str">
        <f t="shared" si="8"/>
        <v>COMELC</v>
      </c>
      <c r="F28" s="23" t="str">
        <f t="shared" si="8"/>
        <v>COMHOTNewSCEUE</v>
      </c>
      <c r="G28" s="23" t="str">
        <f t="shared" si="8"/>
        <v>COMHOTNewSCEUE</v>
      </c>
      <c r="H28" s="24">
        <v>2050</v>
      </c>
      <c r="I28" s="24" t="str">
        <f>I27</f>
        <v>LO</v>
      </c>
      <c r="J28" s="24"/>
      <c r="K28" s="25">
        <f>UC!K28</f>
        <v>-0.75</v>
      </c>
      <c r="L28" s="24"/>
      <c r="M28" s="24"/>
      <c r="N28" s="26"/>
      <c r="O28" s="27"/>
      <c r="Q28" s="21" t="str">
        <f>SUBSTITUTE(UC!Q28,"Old","New")</f>
        <v/>
      </c>
      <c r="R28" s="22"/>
      <c r="S28" s="23" t="str">
        <f t="shared" si="1"/>
        <v>COMELC</v>
      </c>
      <c r="T28" s="23" t="str">
        <f t="shared" si="2"/>
        <v>COMHOTNewSCEUE</v>
      </c>
      <c r="U28" s="23" t="str">
        <f t="shared" si="3"/>
        <v>COMHOTNewSCEUE</v>
      </c>
      <c r="V28" s="24">
        <v>2050</v>
      </c>
      <c r="W28" s="24" t="str">
        <f>W27</f>
        <v>UP</v>
      </c>
      <c r="X28" s="24"/>
      <c r="Y28" s="25">
        <f>UC!Y28</f>
        <v>-1</v>
      </c>
      <c r="Z28" s="24"/>
      <c r="AA28" s="24"/>
      <c r="AB28" s="26"/>
      <c r="AC28" s="27"/>
    </row>
    <row r="29" spans="1:29" x14ac:dyDescent="0.25">
      <c r="A29" s="19">
        <f>A25+1</f>
        <v>7</v>
      </c>
      <c r="B29" s="10"/>
      <c r="C29" s="11" t="str">
        <f>SUBSTITUTE(UC!C29,"Old","New")</f>
        <v>*</v>
      </c>
      <c r="D29" s="12"/>
      <c r="E29" s="13" t="str">
        <f>_xlfn.XLOOKUP($A29,Selected_constraint_UC!$A:$A,Selected_constraint_UC!$B:$B)</f>
        <v>COMELC</v>
      </c>
      <c r="F29" s="13" t="str">
        <f>SUBSTITUTE(_xlfn.XLOOKUP($A29,Selected_constraint_UC!$A:$A,Selected_constraint_UC!$C:$C),"Old","New")</f>
        <v>COMHOTNewVTEUE</v>
      </c>
      <c r="G29" s="13" t="str">
        <f>F29</f>
        <v>COMHOTNewVTEUE</v>
      </c>
      <c r="H29" s="14">
        <v>2019</v>
      </c>
      <c r="I29" s="14" t="s">
        <v>3848</v>
      </c>
      <c r="J29" s="14">
        <v>1</v>
      </c>
      <c r="K29" s="15">
        <f>UC!K29</f>
        <v>-0.98</v>
      </c>
      <c r="L29" s="14">
        <v>0</v>
      </c>
      <c r="M29" s="14">
        <v>5</v>
      </c>
      <c r="N29" s="10"/>
      <c r="O29" s="20"/>
      <c r="Q29" s="11" t="str">
        <f>SUBSTITUTE(UC!Q29,"Old","New")</f>
        <v>*</v>
      </c>
      <c r="R29" s="12"/>
      <c r="S29" s="13" t="str">
        <f t="shared" si="1"/>
        <v>COMELC</v>
      </c>
      <c r="T29" s="13" t="str">
        <f t="shared" si="2"/>
        <v>COMHOTNewVTEUE</v>
      </c>
      <c r="U29" s="13" t="str">
        <f t="shared" si="3"/>
        <v>COMHOTNewVTEUE</v>
      </c>
      <c r="V29" s="14">
        <f>H29</f>
        <v>2019</v>
      </c>
      <c r="W29" s="29" t="s">
        <v>3849</v>
      </c>
      <c r="X29" s="14">
        <v>1</v>
      </c>
      <c r="Y29" s="15">
        <f>UC!Y29</f>
        <v>-1</v>
      </c>
      <c r="Z29" s="14">
        <v>0</v>
      </c>
      <c r="AA29" s="14">
        <v>5</v>
      </c>
      <c r="AB29" s="10"/>
      <c r="AC29" s="20"/>
    </row>
    <row r="30" spans="1:29" x14ac:dyDescent="0.25">
      <c r="A30" s="10">
        <f>A29</f>
        <v>7</v>
      </c>
      <c r="B30" s="10"/>
      <c r="C30" s="11" t="str">
        <f>SUBSTITUTE(UC!C30,"Old","New")</f>
        <v>*</v>
      </c>
      <c r="D30" s="12"/>
      <c r="E30" s="13" t="str">
        <f t="shared" ref="E30:G32" si="9">E29</f>
        <v>COMELC</v>
      </c>
      <c r="F30" s="13" t="str">
        <f t="shared" si="9"/>
        <v>COMHOTNewVTEUE</v>
      </c>
      <c r="G30" s="13" t="str">
        <f t="shared" si="9"/>
        <v>COMHOTNewVTEUE</v>
      </c>
      <c r="H30" s="14">
        <v>2025</v>
      </c>
      <c r="I30" s="14" t="str">
        <f>I29</f>
        <v>LO</v>
      </c>
      <c r="J30" s="14"/>
      <c r="K30" s="15">
        <f>UC!K30</f>
        <v>-0.8</v>
      </c>
      <c r="L30" s="14"/>
      <c r="M30" s="14"/>
      <c r="N30" s="10"/>
      <c r="O30" s="20"/>
      <c r="Q30" s="11" t="str">
        <f>SUBSTITUTE(UC!Q30,"Old","New")</f>
        <v>*</v>
      </c>
      <c r="R30" s="12"/>
      <c r="S30" s="13" t="str">
        <f t="shared" si="1"/>
        <v>COMELC</v>
      </c>
      <c r="T30" s="13" t="str">
        <f t="shared" si="2"/>
        <v>COMHOTNewVTEUE</v>
      </c>
      <c r="U30" s="13" t="str">
        <f t="shared" si="3"/>
        <v>COMHOTNewVTEUE</v>
      </c>
      <c r="V30" s="14">
        <v>2025</v>
      </c>
      <c r="W30" s="14" t="str">
        <f>W29</f>
        <v>UP</v>
      </c>
      <c r="X30" s="14"/>
      <c r="Y30" s="15">
        <f>UC!Y30</f>
        <v>-1</v>
      </c>
      <c r="Z30" s="14"/>
      <c r="AA30" s="14"/>
      <c r="AB30" s="10"/>
      <c r="AC30" s="20"/>
    </row>
    <row r="31" spans="1:29" x14ac:dyDescent="0.25">
      <c r="A31" s="10">
        <f>A30</f>
        <v>7</v>
      </c>
      <c r="B31" s="10"/>
      <c r="C31" s="11" t="str">
        <f>SUBSTITUTE(UC!C31,"Old","New")</f>
        <v>*</v>
      </c>
      <c r="D31" s="12"/>
      <c r="E31" s="13" t="str">
        <f t="shared" si="9"/>
        <v>COMELC</v>
      </c>
      <c r="F31" s="13" t="str">
        <f t="shared" si="9"/>
        <v>COMHOTNewVTEUE</v>
      </c>
      <c r="G31" s="13" t="str">
        <f t="shared" si="9"/>
        <v>COMHOTNewVTEUE</v>
      </c>
      <c r="H31" s="14">
        <v>2030</v>
      </c>
      <c r="I31" s="14" t="str">
        <f>I30</f>
        <v>LO</v>
      </c>
      <c r="J31" s="14"/>
      <c r="K31" s="15">
        <f>UC!K31</f>
        <v>-0.2</v>
      </c>
      <c r="L31" s="14"/>
      <c r="M31" s="14"/>
      <c r="N31" s="10"/>
      <c r="O31" s="20"/>
      <c r="Q31" s="11" t="str">
        <f>SUBSTITUTE(UC!Q31,"Old","New")</f>
        <v>*</v>
      </c>
      <c r="R31" s="12"/>
      <c r="S31" s="13" t="str">
        <f t="shared" si="1"/>
        <v>COMELC</v>
      </c>
      <c r="T31" s="13" t="str">
        <f t="shared" si="2"/>
        <v>COMHOTNewVTEUE</v>
      </c>
      <c r="U31" s="13" t="str">
        <f t="shared" si="3"/>
        <v>COMHOTNewVTEUE</v>
      </c>
      <c r="V31" s="14">
        <v>2030</v>
      </c>
      <c r="W31" s="14" t="str">
        <f>W30</f>
        <v>UP</v>
      </c>
      <c r="X31" s="14"/>
      <c r="Y31" s="15">
        <f>UC!Y31</f>
        <v>-1</v>
      </c>
      <c r="Z31" s="14"/>
      <c r="AA31" s="14"/>
      <c r="AB31" s="10"/>
      <c r="AC31" s="20"/>
    </row>
    <row r="32" spans="1:29" x14ac:dyDescent="0.25">
      <c r="A32" s="26">
        <f>A31</f>
        <v>7</v>
      </c>
      <c r="B32" s="26"/>
      <c r="C32" s="21" t="str">
        <f>SUBSTITUTE(UC!C32,"Old","New")</f>
        <v>*</v>
      </c>
      <c r="D32" s="22"/>
      <c r="E32" s="23" t="str">
        <f t="shared" si="9"/>
        <v>COMELC</v>
      </c>
      <c r="F32" s="23" t="str">
        <f t="shared" si="9"/>
        <v>COMHOTNewVTEUE</v>
      </c>
      <c r="G32" s="23" t="str">
        <f t="shared" si="9"/>
        <v>COMHOTNewVTEUE</v>
      </c>
      <c r="H32" s="24">
        <v>2050</v>
      </c>
      <c r="I32" s="24" t="str">
        <f>I31</f>
        <v>LO</v>
      </c>
      <c r="J32" s="24"/>
      <c r="K32" s="25">
        <f>UC!K32</f>
        <v>0</v>
      </c>
      <c r="L32" s="24"/>
      <c r="M32" s="24"/>
      <c r="N32" s="26"/>
      <c r="O32" s="27"/>
      <c r="Q32" s="21" t="str">
        <f>SUBSTITUTE(UC!Q32,"Old","New")</f>
        <v>*</v>
      </c>
      <c r="R32" s="22"/>
      <c r="S32" s="23" t="str">
        <f t="shared" si="1"/>
        <v>COMELC</v>
      </c>
      <c r="T32" s="23" t="str">
        <f t="shared" si="2"/>
        <v>COMHOTNewVTEUE</v>
      </c>
      <c r="U32" s="23" t="str">
        <f t="shared" si="3"/>
        <v>COMHOTNewVTEUE</v>
      </c>
      <c r="V32" s="24">
        <v>2050</v>
      </c>
      <c r="W32" s="24" t="str">
        <f>W31</f>
        <v>UP</v>
      </c>
      <c r="X32" s="24"/>
      <c r="Y32" s="25">
        <f>UC!Y32</f>
        <v>-1</v>
      </c>
      <c r="Z32" s="24"/>
      <c r="AA32" s="24"/>
      <c r="AB32" s="26"/>
      <c r="AC32" s="27"/>
    </row>
    <row r="33" spans="1:29" x14ac:dyDescent="0.25">
      <c r="A33" s="19">
        <f>A29+1</f>
        <v>8</v>
      </c>
      <c r="B33" s="10"/>
      <c r="C33" s="11" t="str">
        <f>SUBSTITUTE(UC!C33,"Old","New")</f>
        <v>UC_MarketShare_COMHOTNewWH_FOI_MIN</v>
      </c>
      <c r="D33" s="12"/>
      <c r="E33" s="13" t="str">
        <f>_xlfn.XLOOKUP($A33,Selected_constraint_UC!$A:$A,Selected_constraint_UC!$B:$B)</f>
        <v>COMFOI</v>
      </c>
      <c r="F33" s="13" t="str">
        <f>SUBSTITUTE(_xlfn.XLOOKUP($A33,Selected_constraint_UC!$A:$A,Selected_constraint_UC!$C:$C),"Old","New")</f>
        <v>COMHOTNewWHEUE</v>
      </c>
      <c r="G33" s="13" t="str">
        <f>F33</f>
        <v>COMHOTNewWHEUE</v>
      </c>
      <c r="H33" s="14">
        <v>2019</v>
      </c>
      <c r="I33" s="14" t="s">
        <v>3848</v>
      </c>
      <c r="J33" s="14">
        <v>1</v>
      </c>
      <c r="K33" s="15">
        <f>UC!K33</f>
        <v>-0.11074000000000001</v>
      </c>
      <c r="L33" s="14">
        <v>0</v>
      </c>
      <c r="M33" s="14">
        <v>5</v>
      </c>
      <c r="N33" s="10"/>
      <c r="O33" s="20"/>
      <c r="Q33" s="11" t="str">
        <f>SUBSTITUTE(UC!Q33,"Old","New")</f>
        <v>UC_MarketShare_COMHOTNewWH_FOI_MAX</v>
      </c>
      <c r="R33" s="12"/>
      <c r="S33" s="13" t="str">
        <f t="shared" si="1"/>
        <v>COMFOI</v>
      </c>
      <c r="T33" s="13" t="str">
        <f t="shared" si="2"/>
        <v>COMHOTNewWHEUE</v>
      </c>
      <c r="U33" s="13" t="str">
        <f t="shared" si="3"/>
        <v>COMHOTNewWHEUE</v>
      </c>
      <c r="V33" s="14">
        <f>H33</f>
        <v>2019</v>
      </c>
      <c r="W33" s="29" t="s">
        <v>3849</v>
      </c>
      <c r="X33" s="14">
        <v>1</v>
      </c>
      <c r="Y33" s="15">
        <f>UC!Y33</f>
        <v>-0.11600000000000001</v>
      </c>
      <c r="Z33" s="14">
        <v>0</v>
      </c>
      <c r="AA33" s="14">
        <v>5</v>
      </c>
      <c r="AB33" s="10"/>
      <c r="AC33" s="20"/>
    </row>
    <row r="34" spans="1:29" x14ac:dyDescent="0.25">
      <c r="A34" s="10">
        <f>A33</f>
        <v>8</v>
      </c>
      <c r="B34" s="10"/>
      <c r="C34" s="11" t="str">
        <f>SUBSTITUTE(UC!C34,"Old","New")</f>
        <v/>
      </c>
      <c r="D34" s="12"/>
      <c r="E34" s="13" t="str">
        <f t="shared" ref="E34:G36" si="10">E33</f>
        <v>COMFOI</v>
      </c>
      <c r="F34" s="13" t="str">
        <f t="shared" si="10"/>
        <v>COMHOTNewWHEUE</v>
      </c>
      <c r="G34" s="13" t="str">
        <f t="shared" si="10"/>
        <v>COMHOTNewWHEUE</v>
      </c>
      <c r="H34" s="14">
        <v>2025</v>
      </c>
      <c r="I34" s="14" t="str">
        <f>I33</f>
        <v>LO</v>
      </c>
      <c r="J34" s="14"/>
      <c r="K34" s="15">
        <f>UC!K34</f>
        <v>-9.0400000000000008E-2</v>
      </c>
      <c r="L34" s="14"/>
      <c r="M34" s="14"/>
      <c r="N34" s="10"/>
      <c r="O34" s="20"/>
      <c r="Q34" s="11" t="str">
        <f>SUBSTITUTE(UC!Q34,"Old","New")</f>
        <v/>
      </c>
      <c r="R34" s="12"/>
      <c r="S34" s="13" t="str">
        <f t="shared" si="1"/>
        <v>COMFOI</v>
      </c>
      <c r="T34" s="13" t="str">
        <f t="shared" si="2"/>
        <v>COMHOTNewWHEUE</v>
      </c>
      <c r="U34" s="13" t="str">
        <f t="shared" si="3"/>
        <v>COMHOTNewWHEUE</v>
      </c>
      <c r="V34" s="14">
        <v>2025</v>
      </c>
      <c r="W34" s="14" t="str">
        <f>W33</f>
        <v>UP</v>
      </c>
      <c r="X34" s="14"/>
      <c r="Y34" s="15">
        <f>UC!Y34</f>
        <v>-0.114</v>
      </c>
      <c r="Z34" s="14"/>
      <c r="AA34" s="14"/>
      <c r="AB34" s="10"/>
      <c r="AC34" s="20"/>
    </row>
    <row r="35" spans="1:29" x14ac:dyDescent="0.25">
      <c r="A35" s="10">
        <f>A34</f>
        <v>8</v>
      </c>
      <c r="B35" s="10"/>
      <c r="C35" s="11" t="str">
        <f>SUBSTITUTE(UC!C35,"Old","New")</f>
        <v/>
      </c>
      <c r="D35" s="12"/>
      <c r="E35" s="13" t="str">
        <f t="shared" si="10"/>
        <v>COMFOI</v>
      </c>
      <c r="F35" s="13" t="str">
        <f t="shared" si="10"/>
        <v>COMHOTNewWHEUE</v>
      </c>
      <c r="G35" s="13" t="str">
        <f t="shared" si="10"/>
        <v>COMHOTNewWHEUE</v>
      </c>
      <c r="H35" s="14">
        <v>2030</v>
      </c>
      <c r="I35" s="14" t="str">
        <f>I34</f>
        <v>LO</v>
      </c>
      <c r="J35" s="14"/>
      <c r="K35" s="15">
        <f>UC!K35</f>
        <v>-2.2600000000000002E-2</v>
      </c>
      <c r="L35" s="14"/>
      <c r="M35" s="14"/>
      <c r="N35" s="10"/>
      <c r="O35" s="20"/>
      <c r="Q35" s="11" t="str">
        <f>SUBSTITUTE(UC!Q35,"Old","New")</f>
        <v/>
      </c>
      <c r="R35" s="12"/>
      <c r="S35" s="13" t="str">
        <f t="shared" si="1"/>
        <v>COMFOI</v>
      </c>
      <c r="T35" s="13" t="str">
        <f t="shared" si="2"/>
        <v>COMHOTNewWHEUE</v>
      </c>
      <c r="U35" s="13" t="str">
        <f t="shared" si="3"/>
        <v>COMHOTNewWHEUE</v>
      </c>
      <c r="V35" s="14">
        <v>2030</v>
      </c>
      <c r="W35" s="14" t="str">
        <f>W34</f>
        <v>UP</v>
      </c>
      <c r="X35" s="14"/>
      <c r="Y35" s="15">
        <f>UC!Y35</f>
        <v>-0.10299999999999999</v>
      </c>
      <c r="Z35" s="14"/>
      <c r="AA35" s="14"/>
      <c r="AB35" s="10"/>
      <c r="AC35" s="20"/>
    </row>
    <row r="36" spans="1:29" x14ac:dyDescent="0.25">
      <c r="A36" s="26">
        <f>A35</f>
        <v>8</v>
      </c>
      <c r="B36" s="26"/>
      <c r="C36" s="21" t="str">
        <f>SUBSTITUTE(UC!C36,"Old","New")</f>
        <v/>
      </c>
      <c r="D36" s="22"/>
      <c r="E36" s="23" t="str">
        <f t="shared" si="10"/>
        <v>COMFOI</v>
      </c>
      <c r="F36" s="23" t="str">
        <f t="shared" si="10"/>
        <v>COMHOTNewWHEUE</v>
      </c>
      <c r="G36" s="23" t="str">
        <f t="shared" si="10"/>
        <v>COMHOTNewWHEUE</v>
      </c>
      <c r="H36" s="24">
        <v>2050</v>
      </c>
      <c r="I36" s="24" t="str">
        <f>I35</f>
        <v>LO</v>
      </c>
      <c r="J36" s="24"/>
      <c r="K36" s="25">
        <f>UC!K36</f>
        <v>0</v>
      </c>
      <c r="L36" s="24"/>
      <c r="M36" s="24"/>
      <c r="N36" s="26"/>
      <c r="O36" s="27"/>
      <c r="Q36" s="21" t="str">
        <f>SUBSTITUTE(UC!Q36,"Old","New")</f>
        <v/>
      </c>
      <c r="R36" s="22"/>
      <c r="S36" s="23" t="str">
        <f t="shared" si="1"/>
        <v>COMFOI</v>
      </c>
      <c r="T36" s="23" t="str">
        <f t="shared" si="2"/>
        <v>COMHOTNewWHEUE</v>
      </c>
      <c r="U36" s="23" t="str">
        <f t="shared" si="3"/>
        <v>COMHOTNewWHEUE</v>
      </c>
      <c r="V36" s="24">
        <v>2050</v>
      </c>
      <c r="W36" s="24" t="str">
        <f>W35</f>
        <v>UP</v>
      </c>
      <c r="X36" s="24"/>
      <c r="Y36" s="25">
        <f>UC!Y36</f>
        <v>-8.6000000000000007E-2</v>
      </c>
      <c r="Z36" s="24"/>
      <c r="AA36" s="24"/>
      <c r="AB36" s="26"/>
      <c r="AC36" s="27"/>
    </row>
    <row r="37" spans="1:29" x14ac:dyDescent="0.25">
      <c r="A37" s="19">
        <f>A33+1</f>
        <v>9</v>
      </c>
      <c r="B37" s="10"/>
      <c r="C37" s="11" t="str">
        <f>SUBSTITUTE(UC!C37,"Old","New")</f>
        <v>UC_MarketShare_COMHOTNewWH_NGA_MIN</v>
      </c>
      <c r="D37" s="12"/>
      <c r="E37" s="13" t="str">
        <f>_xlfn.XLOOKUP($A37,Selected_constraint_UC!$A:$A,Selected_constraint_UC!$B:$B)</f>
        <v>COMNGA</v>
      </c>
      <c r="F37" s="13" t="str">
        <f>SUBSTITUTE(_xlfn.XLOOKUP($A37,Selected_constraint_UC!$A:$A,Selected_constraint_UC!$C:$C),"Old","New")</f>
        <v>COMHOTNewWHEUE</v>
      </c>
      <c r="G37" s="13" t="str">
        <f>F37</f>
        <v>COMHOTNewWHEUE</v>
      </c>
      <c r="H37" s="14">
        <v>2019</v>
      </c>
      <c r="I37" s="14" t="s">
        <v>3848</v>
      </c>
      <c r="J37" s="14">
        <v>1</v>
      </c>
      <c r="K37" s="15">
        <f>UC!K37</f>
        <v>-0.76439999999999997</v>
      </c>
      <c r="L37" s="14">
        <v>0</v>
      </c>
      <c r="M37" s="14">
        <v>5</v>
      </c>
      <c r="N37" s="10"/>
      <c r="O37" s="20"/>
      <c r="Q37" s="11" t="str">
        <f>SUBSTITUTE(UC!Q37,"Old","New")</f>
        <v>UC_MarketShare_COMHOTNewWH_NGA_MAX</v>
      </c>
      <c r="R37" s="12"/>
      <c r="S37" s="13" t="str">
        <f t="shared" si="1"/>
        <v>COMNGA</v>
      </c>
      <c r="T37" s="13" t="str">
        <f t="shared" si="2"/>
        <v>COMHOTNewWHEUE</v>
      </c>
      <c r="U37" s="13" t="str">
        <f t="shared" si="3"/>
        <v>COMHOTNewWHEUE</v>
      </c>
      <c r="V37" s="14">
        <f>H37</f>
        <v>2019</v>
      </c>
      <c r="W37" s="29" t="s">
        <v>3849</v>
      </c>
      <c r="X37" s="14">
        <v>1</v>
      </c>
      <c r="Y37" s="15">
        <f>UC!Y37</f>
        <v>-0.79700000000000004</v>
      </c>
      <c r="Z37" s="14">
        <v>0</v>
      </c>
      <c r="AA37" s="14">
        <v>5</v>
      </c>
      <c r="AB37" s="10"/>
      <c r="AC37" s="20"/>
    </row>
    <row r="38" spans="1:29" x14ac:dyDescent="0.25">
      <c r="A38" s="10">
        <f>A37</f>
        <v>9</v>
      </c>
      <c r="B38" s="10"/>
      <c r="C38" s="11" t="str">
        <f>SUBSTITUTE(UC!C38,"Old","New")</f>
        <v/>
      </c>
      <c r="D38" s="12"/>
      <c r="E38" s="13" t="str">
        <f t="shared" ref="E38:G40" si="11">E37</f>
        <v>COMNGA</v>
      </c>
      <c r="F38" s="13" t="str">
        <f t="shared" si="11"/>
        <v>COMHOTNewWHEUE</v>
      </c>
      <c r="G38" s="13" t="str">
        <f t="shared" si="11"/>
        <v>COMHOTNewWHEUE</v>
      </c>
      <c r="H38" s="14">
        <v>2025</v>
      </c>
      <c r="I38" s="14" t="str">
        <f>I37</f>
        <v>LO</v>
      </c>
      <c r="J38" s="14"/>
      <c r="K38" s="15">
        <f>UC!K38</f>
        <v>-0.62400000000000011</v>
      </c>
      <c r="L38" s="14"/>
      <c r="M38" s="14"/>
      <c r="N38" s="10"/>
      <c r="O38" s="20"/>
      <c r="Q38" s="11" t="str">
        <f>SUBSTITUTE(UC!Q38,"Old","New")</f>
        <v/>
      </c>
      <c r="R38" s="12"/>
      <c r="S38" s="13" t="str">
        <f t="shared" si="1"/>
        <v>COMNGA</v>
      </c>
      <c r="T38" s="13" t="str">
        <f t="shared" si="2"/>
        <v>COMHOTNewWHEUE</v>
      </c>
      <c r="U38" s="13" t="str">
        <f t="shared" si="3"/>
        <v>COMHOTNewWHEUE</v>
      </c>
      <c r="V38" s="14">
        <v>2025</v>
      </c>
      <c r="W38" s="14" t="str">
        <f>W37</f>
        <v>UP</v>
      </c>
      <c r="X38" s="14"/>
      <c r="Y38" s="15">
        <f>UC!Y38</f>
        <v>-0.78100000000000003</v>
      </c>
      <c r="Z38" s="14"/>
      <c r="AA38" s="14"/>
      <c r="AB38" s="10"/>
      <c r="AC38" s="20"/>
    </row>
    <row r="39" spans="1:29" x14ac:dyDescent="0.25">
      <c r="A39" s="10">
        <f>A38</f>
        <v>9</v>
      </c>
      <c r="B39" s="10"/>
      <c r="C39" s="11" t="str">
        <f>SUBSTITUTE(UC!C39,"Old","New")</f>
        <v/>
      </c>
      <c r="D39" s="12"/>
      <c r="E39" s="13" t="str">
        <f t="shared" si="11"/>
        <v>COMNGA</v>
      </c>
      <c r="F39" s="13" t="str">
        <f t="shared" si="11"/>
        <v>COMHOTNewWHEUE</v>
      </c>
      <c r="G39" s="13" t="str">
        <f t="shared" si="11"/>
        <v>COMHOTNewWHEUE</v>
      </c>
      <c r="H39" s="14">
        <v>2030</v>
      </c>
      <c r="I39" s="14" t="str">
        <f>I38</f>
        <v>LO</v>
      </c>
      <c r="J39" s="14"/>
      <c r="K39" s="15">
        <f>UC!K39</f>
        <v>-0.15600000000000003</v>
      </c>
      <c r="L39" s="14"/>
      <c r="M39" s="14"/>
      <c r="N39" s="10"/>
      <c r="O39" s="20"/>
      <c r="Q39" s="11" t="str">
        <f>SUBSTITUTE(UC!Q39,"Old","New")</f>
        <v/>
      </c>
      <c r="R39" s="12"/>
      <c r="S39" s="13" t="str">
        <f t="shared" si="1"/>
        <v>COMNGA</v>
      </c>
      <c r="T39" s="13" t="str">
        <f t="shared" si="2"/>
        <v>COMHOTNewWHEUE</v>
      </c>
      <c r="U39" s="13" t="str">
        <f t="shared" si="3"/>
        <v>COMHOTNewWHEUE</v>
      </c>
      <c r="V39" s="14">
        <v>2030</v>
      </c>
      <c r="W39" s="14" t="str">
        <f>W38</f>
        <v>UP</v>
      </c>
      <c r="X39" s="14"/>
      <c r="Y39" s="15">
        <f>UC!Y39</f>
        <v>-0.70299999999999996</v>
      </c>
      <c r="Z39" s="14"/>
      <c r="AA39" s="14"/>
      <c r="AB39" s="10"/>
      <c r="AC39" s="20"/>
    </row>
    <row r="40" spans="1:29" x14ac:dyDescent="0.25">
      <c r="A40" s="26">
        <f>A39</f>
        <v>9</v>
      </c>
      <c r="B40" s="26"/>
      <c r="C40" s="21" t="str">
        <f>SUBSTITUTE(UC!C40,"Old","New")</f>
        <v/>
      </c>
      <c r="D40" s="22"/>
      <c r="E40" s="23" t="str">
        <f t="shared" si="11"/>
        <v>COMNGA</v>
      </c>
      <c r="F40" s="23" t="str">
        <f t="shared" si="11"/>
        <v>COMHOTNewWHEUE</v>
      </c>
      <c r="G40" s="23" t="str">
        <f t="shared" si="11"/>
        <v>COMHOTNewWHEUE</v>
      </c>
      <c r="H40" s="24">
        <v>2050</v>
      </c>
      <c r="I40" s="24" t="str">
        <f>I39</f>
        <v>LO</v>
      </c>
      <c r="J40" s="24"/>
      <c r="K40" s="25">
        <f>UC!K40</f>
        <v>0</v>
      </c>
      <c r="L40" s="24"/>
      <c r="M40" s="24"/>
      <c r="N40" s="26"/>
      <c r="O40" s="27"/>
      <c r="Q40" s="21" t="str">
        <f>SUBSTITUTE(UC!Q40,"Old","New")</f>
        <v/>
      </c>
      <c r="R40" s="22"/>
      <c r="S40" s="23" t="str">
        <f t="shared" si="1"/>
        <v>COMNGA</v>
      </c>
      <c r="T40" s="23" t="str">
        <f t="shared" si="2"/>
        <v>COMHOTNewWHEUE</v>
      </c>
      <c r="U40" s="23" t="str">
        <f t="shared" si="3"/>
        <v>COMHOTNewWHEUE</v>
      </c>
      <c r="V40" s="24">
        <v>2050</v>
      </c>
      <c r="W40" s="24" t="str">
        <f>W39</f>
        <v>UP</v>
      </c>
      <c r="X40" s="24"/>
      <c r="Y40" s="25">
        <f>UC!Y40</f>
        <v>-0.58599999999999997</v>
      </c>
      <c r="Z40" s="24"/>
      <c r="AA40" s="24"/>
      <c r="AB40" s="26"/>
      <c r="AC40" s="27"/>
    </row>
    <row r="41" spans="1:29" x14ac:dyDescent="0.25">
      <c r="A41" s="19">
        <f>A37+1</f>
        <v>10</v>
      </c>
      <c r="B41" s="10"/>
      <c r="C41" s="11" t="str">
        <f>SUBSTITUTE(UC!C41,"Old","New")</f>
        <v>*</v>
      </c>
      <c r="D41" s="12"/>
      <c r="E41" s="13" t="str">
        <f>_xlfn.XLOOKUP($A41,Selected_constraint_UC!$A:$A,Selected_constraint_UC!$B:$B)</f>
        <v>COMSTM</v>
      </c>
      <c r="F41" s="13" t="str">
        <f>SUBSTITUTE(_xlfn.XLOOKUP($A41,Selected_constraint_UC!$A:$A,Selected_constraint_UC!$C:$C),"Old","New")</f>
        <v>COMHOTNewWHEUE</v>
      </c>
      <c r="G41" s="13" t="str">
        <f>F41</f>
        <v>COMHOTNewWHEUE</v>
      </c>
      <c r="H41" s="14">
        <v>2019</v>
      </c>
      <c r="I41" s="14" t="s">
        <v>3848</v>
      </c>
      <c r="J41" s="14">
        <v>1</v>
      </c>
      <c r="K41" s="15">
        <f>UC!K41</f>
        <v>-3.3320000000000002E-2</v>
      </c>
      <c r="L41" s="14">
        <v>0</v>
      </c>
      <c r="M41" s="14">
        <v>5</v>
      </c>
      <c r="N41" s="10"/>
      <c r="O41" s="20"/>
      <c r="Q41" s="11" t="str">
        <f>SUBSTITUTE(UC!Q41,"Old","New")</f>
        <v>*</v>
      </c>
      <c r="R41" s="12"/>
      <c r="S41" s="13" t="str">
        <f t="shared" si="1"/>
        <v>COMSTM</v>
      </c>
      <c r="T41" s="13" t="str">
        <f t="shared" si="2"/>
        <v>COMHOTNewWHEUE</v>
      </c>
      <c r="U41" s="13" t="str">
        <f t="shared" si="3"/>
        <v>COMHOTNewWHEUE</v>
      </c>
      <c r="V41" s="14">
        <f>H41</f>
        <v>2019</v>
      </c>
      <c r="W41" s="29" t="s">
        <v>3849</v>
      </c>
      <c r="X41" s="14">
        <v>1</v>
      </c>
      <c r="Y41" s="15">
        <f>UC!Y41</f>
        <v>-3.6000000000000004E-2</v>
      </c>
      <c r="Z41" s="14">
        <v>0</v>
      </c>
      <c r="AA41" s="14">
        <v>5</v>
      </c>
      <c r="AB41" s="10"/>
      <c r="AC41" s="20"/>
    </row>
    <row r="42" spans="1:29" x14ac:dyDescent="0.25">
      <c r="A42" s="10">
        <f>A41</f>
        <v>10</v>
      </c>
      <c r="B42" s="10"/>
      <c r="C42" s="11" t="str">
        <f>SUBSTITUTE(UC!C42,"Old","New")</f>
        <v>*</v>
      </c>
      <c r="D42" s="12"/>
      <c r="E42" s="13" t="str">
        <f t="shared" ref="E42:G44" si="12">E41</f>
        <v>COMSTM</v>
      </c>
      <c r="F42" s="13" t="str">
        <f t="shared" si="12"/>
        <v>COMHOTNewWHEUE</v>
      </c>
      <c r="G42" s="13" t="str">
        <f t="shared" si="12"/>
        <v>COMHOTNewWHEUE</v>
      </c>
      <c r="H42" s="14">
        <v>2025</v>
      </c>
      <c r="I42" s="14" t="str">
        <f>I41</f>
        <v>LO</v>
      </c>
      <c r="J42" s="14"/>
      <c r="K42" s="15">
        <f>UC!K42</f>
        <v>-2.7200000000000002E-2</v>
      </c>
      <c r="L42" s="14"/>
      <c r="M42" s="14"/>
      <c r="N42" s="10"/>
      <c r="O42" s="20"/>
      <c r="Q42" s="11" t="str">
        <f>SUBSTITUTE(UC!Q42,"Old","New")</f>
        <v>*</v>
      </c>
      <c r="R42" s="12"/>
      <c r="S42" s="13" t="str">
        <f t="shared" si="1"/>
        <v>COMSTM</v>
      </c>
      <c r="T42" s="13" t="str">
        <f t="shared" si="2"/>
        <v>COMHOTNewWHEUE</v>
      </c>
      <c r="U42" s="13" t="str">
        <f t="shared" si="3"/>
        <v>COMHOTNewWHEUE</v>
      </c>
      <c r="V42" s="14">
        <v>2025</v>
      </c>
      <c r="W42" s="14" t="str">
        <f>W41</f>
        <v>UP</v>
      </c>
      <c r="X42" s="14"/>
      <c r="Y42" s="15">
        <f>UC!Y42</f>
        <v>-4.2000000000000003E-2</v>
      </c>
      <c r="Z42" s="14"/>
      <c r="AA42" s="14"/>
      <c r="AB42" s="10"/>
      <c r="AC42" s="20"/>
    </row>
    <row r="43" spans="1:29" x14ac:dyDescent="0.25">
      <c r="A43" s="10">
        <f>A42</f>
        <v>10</v>
      </c>
      <c r="B43" s="10"/>
      <c r="C43" s="11" t="str">
        <f>SUBSTITUTE(UC!C43,"Old","New")</f>
        <v>*</v>
      </c>
      <c r="D43" s="12"/>
      <c r="E43" s="13" t="str">
        <f t="shared" si="12"/>
        <v>COMSTM</v>
      </c>
      <c r="F43" s="13" t="str">
        <f t="shared" si="12"/>
        <v>COMHOTNewWHEUE</v>
      </c>
      <c r="G43" s="13" t="str">
        <f t="shared" si="12"/>
        <v>COMHOTNewWHEUE</v>
      </c>
      <c r="H43" s="14">
        <v>2030</v>
      </c>
      <c r="I43" s="14" t="str">
        <f>I42</f>
        <v>LO</v>
      </c>
      <c r="J43" s="14"/>
      <c r="K43" s="15">
        <f>UC!K43</f>
        <v>-6.8000000000000005E-3</v>
      </c>
      <c r="L43" s="14"/>
      <c r="M43" s="14"/>
      <c r="N43" s="10"/>
      <c r="O43" s="20"/>
      <c r="Q43" s="11" t="str">
        <f>SUBSTITUTE(UC!Q43,"Old","New")</f>
        <v>*</v>
      </c>
      <c r="R43" s="12"/>
      <c r="S43" s="13" t="str">
        <f t="shared" si="1"/>
        <v>COMSTM</v>
      </c>
      <c r="T43" s="13" t="str">
        <f t="shared" si="2"/>
        <v>COMHOTNewWHEUE</v>
      </c>
      <c r="U43" s="13" t="str">
        <f t="shared" si="3"/>
        <v>COMHOTNewWHEUE</v>
      </c>
      <c r="V43" s="14">
        <v>2030</v>
      </c>
      <c r="W43" s="14" t="str">
        <f>W42</f>
        <v>UP</v>
      </c>
      <c r="X43" s="14"/>
      <c r="Y43" s="15">
        <f>UC!Y43</f>
        <v>-5.2999999999999999E-2</v>
      </c>
      <c r="Z43" s="14"/>
      <c r="AA43" s="14"/>
      <c r="AB43" s="10"/>
      <c r="AC43" s="20"/>
    </row>
    <row r="44" spans="1:29" x14ac:dyDescent="0.25">
      <c r="A44" s="26">
        <f>A43</f>
        <v>10</v>
      </c>
      <c r="B44" s="26"/>
      <c r="C44" s="21" t="str">
        <f>SUBSTITUTE(UC!C44,"Old","New")</f>
        <v>*</v>
      </c>
      <c r="D44" s="22"/>
      <c r="E44" s="23" t="str">
        <f t="shared" si="12"/>
        <v>COMSTM</v>
      </c>
      <c r="F44" s="23" t="str">
        <f t="shared" si="12"/>
        <v>COMHOTNewWHEUE</v>
      </c>
      <c r="G44" s="23" t="str">
        <f t="shared" si="12"/>
        <v>COMHOTNewWHEUE</v>
      </c>
      <c r="H44" s="24">
        <v>2050</v>
      </c>
      <c r="I44" s="24" t="str">
        <f>I43</f>
        <v>LO</v>
      </c>
      <c r="J44" s="24"/>
      <c r="K44" s="25">
        <f>UC!K44</f>
        <v>0</v>
      </c>
      <c r="L44" s="24"/>
      <c r="M44" s="24"/>
      <c r="N44" s="26"/>
      <c r="O44" s="27"/>
      <c r="Q44" s="21" t="str">
        <f>SUBSTITUTE(UC!Q44,"Old","New")</f>
        <v>*</v>
      </c>
      <c r="R44" s="22"/>
      <c r="S44" s="23" t="str">
        <f t="shared" si="1"/>
        <v>COMSTM</v>
      </c>
      <c r="T44" s="23" t="str">
        <f t="shared" si="2"/>
        <v>COMHOTNewWHEUE</v>
      </c>
      <c r="U44" s="23" t="str">
        <f t="shared" si="3"/>
        <v>COMHOTNewWHEUE</v>
      </c>
      <c r="V44" s="24">
        <v>2050</v>
      </c>
      <c r="W44" s="24" t="str">
        <f>W43</f>
        <v>UP</v>
      </c>
      <c r="X44" s="24"/>
      <c r="Y44" s="25">
        <f>UC!Y44</f>
        <v>-0.105</v>
      </c>
      <c r="Z44" s="24"/>
      <c r="AA44" s="24"/>
      <c r="AB44" s="26"/>
      <c r="AC44" s="27"/>
    </row>
    <row r="45" spans="1:29" x14ac:dyDescent="0.25">
      <c r="A45" s="19">
        <f>A41+1</f>
        <v>11</v>
      </c>
      <c r="B45" s="10"/>
      <c r="C45" s="11" t="str">
        <f>SUBSTITUTE(UC!C45,"Old","New")</f>
        <v>UC_MarketShare_COMHOTNewWH_ELC_MIN</v>
      </c>
      <c r="D45" s="12"/>
      <c r="E45" s="13" t="str">
        <f>_xlfn.XLOOKUP($A45,Selected_constraint_UC!$A:$A,Selected_constraint_UC!$B:$B)</f>
        <v>COMELC</v>
      </c>
      <c r="F45" s="13" t="str">
        <f>SUBSTITUTE(_xlfn.XLOOKUP($A45,Selected_constraint_UC!$A:$A,Selected_constraint_UC!$C:$C),"Old","New")</f>
        <v>COMHOTNewWHEUE</v>
      </c>
      <c r="G45" s="13" t="str">
        <f>F45</f>
        <v>COMHOTNewWHEUE</v>
      </c>
      <c r="H45" s="14">
        <v>2019</v>
      </c>
      <c r="I45" s="14" t="s">
        <v>3848</v>
      </c>
      <c r="J45" s="14">
        <v>1</v>
      </c>
      <c r="K45" s="15">
        <f>UC!K45</f>
        <v>-6.9579999999999989E-2</v>
      </c>
      <c r="L45" s="14">
        <v>0</v>
      </c>
      <c r="M45" s="14">
        <v>5</v>
      </c>
      <c r="N45" s="10"/>
      <c r="O45" s="20"/>
      <c r="Q45" s="11" t="str">
        <f>SUBSTITUTE(UC!Q45,"Old","New")</f>
        <v>UC_MarketShare_COMHOTNewWH_ELC_MAX</v>
      </c>
      <c r="R45" s="12"/>
      <c r="S45" s="13" t="str">
        <f t="shared" si="1"/>
        <v>COMELC</v>
      </c>
      <c r="T45" s="13" t="str">
        <f t="shared" si="2"/>
        <v>COMHOTNewWHEUE</v>
      </c>
      <c r="U45" s="13" t="str">
        <f t="shared" si="3"/>
        <v>COMHOTNewWHEUE</v>
      </c>
      <c r="V45" s="14">
        <f>H45</f>
        <v>2019</v>
      </c>
      <c r="W45" s="29" t="s">
        <v>3849</v>
      </c>
      <c r="X45" s="14">
        <v>1</v>
      </c>
      <c r="Y45" s="15">
        <f>UC!Y45</f>
        <v>-7.2999999999999995E-2</v>
      </c>
      <c r="Z45" s="14">
        <v>0</v>
      </c>
      <c r="AA45" s="14">
        <v>5</v>
      </c>
      <c r="AB45" s="10"/>
      <c r="AC45" s="20"/>
    </row>
    <row r="46" spans="1:29" x14ac:dyDescent="0.25">
      <c r="A46" s="10">
        <f>A45</f>
        <v>11</v>
      </c>
      <c r="B46" s="10"/>
      <c r="C46" s="11" t="str">
        <f>SUBSTITUTE(UC!C46,"Old","New")</f>
        <v/>
      </c>
      <c r="D46" s="12"/>
      <c r="E46" s="13" t="str">
        <f t="shared" ref="E46:G48" si="13">E45</f>
        <v>COMELC</v>
      </c>
      <c r="F46" s="13" t="str">
        <f t="shared" si="13"/>
        <v>COMHOTNewWHEUE</v>
      </c>
      <c r="G46" s="13" t="str">
        <f t="shared" si="13"/>
        <v>COMHOTNewWHEUE</v>
      </c>
      <c r="H46" s="14">
        <v>2025</v>
      </c>
      <c r="I46" s="14" t="str">
        <f>I45</f>
        <v>LO</v>
      </c>
      <c r="J46" s="14"/>
      <c r="K46" s="15">
        <f>UC!K46</f>
        <v>-5.6799999999999996E-2</v>
      </c>
      <c r="L46" s="14"/>
      <c r="M46" s="14"/>
      <c r="N46" s="10"/>
      <c r="O46" s="20"/>
      <c r="Q46" s="11" t="str">
        <f>SUBSTITUTE(UC!Q46,"Old","New")</f>
        <v/>
      </c>
      <c r="R46" s="12"/>
      <c r="S46" s="13" t="str">
        <f t="shared" si="1"/>
        <v>COMELC</v>
      </c>
      <c r="T46" s="13" t="str">
        <f t="shared" si="2"/>
        <v>COMHOTNewWHEUE</v>
      </c>
      <c r="U46" s="13" t="str">
        <f t="shared" si="3"/>
        <v>COMHOTNewWHEUE</v>
      </c>
      <c r="V46" s="14">
        <v>2025</v>
      </c>
      <c r="W46" s="14" t="str">
        <f>W45</f>
        <v>UP</v>
      </c>
      <c r="X46" s="14"/>
      <c r="Y46" s="15">
        <f>UC!Y46</f>
        <v>-0.25</v>
      </c>
      <c r="Z46" s="14"/>
      <c r="AA46" s="14"/>
      <c r="AB46" s="10"/>
      <c r="AC46" s="20"/>
    </row>
    <row r="47" spans="1:29" x14ac:dyDescent="0.25">
      <c r="A47" s="10">
        <f>A46</f>
        <v>11</v>
      </c>
      <c r="B47" s="10"/>
      <c r="C47" s="11" t="str">
        <f>SUBSTITUTE(UC!C47,"Old","New")</f>
        <v/>
      </c>
      <c r="D47" s="12"/>
      <c r="E47" s="13" t="str">
        <f t="shared" si="13"/>
        <v>COMELC</v>
      </c>
      <c r="F47" s="13" t="str">
        <f t="shared" si="13"/>
        <v>COMHOTNewWHEUE</v>
      </c>
      <c r="G47" s="13" t="str">
        <f t="shared" si="13"/>
        <v>COMHOTNewWHEUE</v>
      </c>
      <c r="H47" s="14">
        <v>2030</v>
      </c>
      <c r="I47" s="14" t="str">
        <f>I46</f>
        <v>LO</v>
      </c>
      <c r="J47" s="14"/>
      <c r="K47" s="15">
        <f>UC!K47</f>
        <v>-5.3249999999999992E-2</v>
      </c>
      <c r="L47" s="14"/>
      <c r="M47" s="14"/>
      <c r="N47" s="10"/>
      <c r="O47" s="20"/>
      <c r="Q47" s="11" t="str">
        <f>SUBSTITUTE(UC!Q47,"Old","New")</f>
        <v/>
      </c>
      <c r="R47" s="12"/>
      <c r="S47" s="13" t="str">
        <f t="shared" si="1"/>
        <v>COMELC</v>
      </c>
      <c r="T47" s="13" t="str">
        <f t="shared" si="2"/>
        <v>COMHOTNewWHEUE</v>
      </c>
      <c r="U47" s="13" t="str">
        <f t="shared" si="3"/>
        <v>COMHOTNewWHEUE</v>
      </c>
      <c r="V47" s="14">
        <v>2030</v>
      </c>
      <c r="W47" s="14" t="str">
        <f>W46</f>
        <v>UP</v>
      </c>
      <c r="X47" s="14"/>
      <c r="Y47" s="15">
        <f>UC!Y47</f>
        <v>-0.5</v>
      </c>
      <c r="Z47" s="14"/>
      <c r="AA47" s="14"/>
      <c r="AB47" s="10"/>
      <c r="AC47" s="20"/>
    </row>
    <row r="48" spans="1:29" x14ac:dyDescent="0.25">
      <c r="A48" s="26">
        <f>A47</f>
        <v>11</v>
      </c>
      <c r="B48" s="26"/>
      <c r="C48" s="21" t="str">
        <f>SUBSTITUTE(UC!C48,"Old","New")</f>
        <v/>
      </c>
      <c r="D48" s="22"/>
      <c r="E48" s="23" t="str">
        <f t="shared" si="13"/>
        <v>COMELC</v>
      </c>
      <c r="F48" s="23" t="str">
        <f t="shared" si="13"/>
        <v>COMHOTNewWHEUE</v>
      </c>
      <c r="G48" s="23" t="str">
        <f t="shared" si="13"/>
        <v>COMHOTNewWHEUE</v>
      </c>
      <c r="H48" s="24">
        <v>2050</v>
      </c>
      <c r="I48" s="24" t="str">
        <f>I47</f>
        <v>LO</v>
      </c>
      <c r="J48" s="24"/>
      <c r="K48" s="25">
        <f>UC!K48</f>
        <v>-5.3249999999999992E-2</v>
      </c>
      <c r="L48" s="24"/>
      <c r="M48" s="24"/>
      <c r="N48" s="26"/>
      <c r="O48" s="27"/>
      <c r="Q48" s="21" t="str">
        <f>SUBSTITUTE(UC!Q48,"Old","New")</f>
        <v/>
      </c>
      <c r="R48" s="22"/>
      <c r="S48" s="23" t="str">
        <f t="shared" si="1"/>
        <v>COMELC</v>
      </c>
      <c r="T48" s="23" t="str">
        <f t="shared" si="2"/>
        <v>COMHOTNewWHEUE</v>
      </c>
      <c r="U48" s="23" t="str">
        <f t="shared" si="3"/>
        <v>COMHOTNewWHEUE</v>
      </c>
      <c r="V48" s="24">
        <v>2050</v>
      </c>
      <c r="W48" s="24" t="str">
        <f>W47</f>
        <v>UP</v>
      </c>
      <c r="X48" s="24"/>
      <c r="Y48" s="25">
        <f>UC!Y48</f>
        <v>-1</v>
      </c>
      <c r="Z48" s="24"/>
      <c r="AA48" s="24"/>
      <c r="AB48" s="26"/>
      <c r="AC48" s="27"/>
    </row>
    <row r="49" spans="1:29" x14ac:dyDescent="0.25">
      <c r="A49" s="19">
        <f>A45+1</f>
        <v>12</v>
      </c>
      <c r="B49" s="10"/>
      <c r="C49" s="11" t="str">
        <f>SUBSTITUTE(UC!C49,"Old","New")</f>
        <v>*</v>
      </c>
      <c r="D49" s="12"/>
      <c r="E49" s="13" t="str">
        <f>_xlfn.XLOOKUP($A49,Selected_constraint_UC!$A:$A,Selected_constraint_UC!$B:$B)</f>
        <v>COMELC</v>
      </c>
      <c r="F49" s="13" t="str">
        <f>SUBSTITUTE(_xlfn.XLOOKUP($A49,Selected_constraint_UC!$A:$A,Selected_constraint_UC!$C:$C),"Old","New")</f>
        <v>COMHOTNewLTEUE</v>
      </c>
      <c r="G49" s="13" t="str">
        <f>F49</f>
        <v>COMHOTNewLTEUE</v>
      </c>
      <c r="H49" s="14">
        <v>2019</v>
      </c>
      <c r="I49" s="14" t="s">
        <v>3848</v>
      </c>
      <c r="J49" s="14">
        <v>1</v>
      </c>
      <c r="K49" s="15">
        <f>UC!K49</f>
        <v>-0.98</v>
      </c>
      <c r="L49" s="14">
        <v>0</v>
      </c>
      <c r="M49" s="14">
        <v>5</v>
      </c>
      <c r="N49" s="10"/>
      <c r="O49" s="20"/>
      <c r="Q49" s="11" t="str">
        <f>SUBSTITUTE(UC!Q49,"Old","New")</f>
        <v>*</v>
      </c>
      <c r="R49" s="12"/>
      <c r="S49" s="13" t="str">
        <f t="shared" si="1"/>
        <v>COMELC</v>
      </c>
      <c r="T49" s="13" t="str">
        <f t="shared" si="2"/>
        <v>COMHOTNewLTEUE</v>
      </c>
      <c r="U49" s="13" t="str">
        <f t="shared" si="3"/>
        <v>COMHOTNewLTEUE</v>
      </c>
      <c r="V49" s="14">
        <f>H49</f>
        <v>2019</v>
      </c>
      <c r="W49" s="29" t="s">
        <v>3849</v>
      </c>
      <c r="X49" s="14">
        <v>1</v>
      </c>
      <c r="Y49" s="15">
        <f>UC!Y49</f>
        <v>-1</v>
      </c>
      <c r="Z49" s="14">
        <v>0</v>
      </c>
      <c r="AA49" s="14">
        <v>5</v>
      </c>
      <c r="AB49" s="10"/>
      <c r="AC49" s="20"/>
    </row>
    <row r="50" spans="1:29" x14ac:dyDescent="0.25">
      <c r="A50" s="10">
        <f>A49</f>
        <v>12</v>
      </c>
      <c r="B50" s="10"/>
      <c r="C50" s="11" t="str">
        <f>SUBSTITUTE(UC!C50,"Old","New")</f>
        <v>*</v>
      </c>
      <c r="D50" s="12"/>
      <c r="E50" s="13" t="str">
        <f t="shared" ref="E50:G52" si="14">E49</f>
        <v>COMELC</v>
      </c>
      <c r="F50" s="13" t="str">
        <f t="shared" si="14"/>
        <v>COMHOTNewLTEUE</v>
      </c>
      <c r="G50" s="13" t="str">
        <f t="shared" si="14"/>
        <v>COMHOTNewLTEUE</v>
      </c>
      <c r="H50" s="14">
        <v>2025</v>
      </c>
      <c r="I50" s="14" t="str">
        <f>I49</f>
        <v>LO</v>
      </c>
      <c r="J50" s="14"/>
      <c r="K50" s="15">
        <f>UC!K50</f>
        <v>-0.8</v>
      </c>
      <c r="L50" s="14"/>
      <c r="M50" s="14"/>
      <c r="N50" s="10"/>
      <c r="O50" s="20"/>
      <c r="Q50" s="11" t="str">
        <f>SUBSTITUTE(UC!Q50,"Old","New")</f>
        <v>*</v>
      </c>
      <c r="R50" s="12"/>
      <c r="S50" s="13" t="str">
        <f t="shared" si="1"/>
        <v>COMELC</v>
      </c>
      <c r="T50" s="13" t="str">
        <f t="shared" si="2"/>
        <v>COMHOTNewLTEUE</v>
      </c>
      <c r="U50" s="13" t="str">
        <f t="shared" si="3"/>
        <v>COMHOTNewLTEUE</v>
      </c>
      <c r="V50" s="14">
        <v>2025</v>
      </c>
      <c r="W50" s="14" t="str">
        <f>W49</f>
        <v>UP</v>
      </c>
      <c r="X50" s="14"/>
      <c r="Y50" s="15">
        <f>UC!Y50</f>
        <v>-1</v>
      </c>
      <c r="Z50" s="14"/>
      <c r="AA50" s="14"/>
      <c r="AB50" s="10"/>
      <c r="AC50" s="20"/>
    </row>
    <row r="51" spans="1:29" x14ac:dyDescent="0.25">
      <c r="A51" s="10">
        <f>A50</f>
        <v>12</v>
      </c>
      <c r="B51" s="10"/>
      <c r="C51" s="11" t="str">
        <f>SUBSTITUTE(UC!C51,"Old","New")</f>
        <v>*</v>
      </c>
      <c r="D51" s="12"/>
      <c r="E51" s="13" t="str">
        <f t="shared" si="14"/>
        <v>COMELC</v>
      </c>
      <c r="F51" s="13" t="str">
        <f t="shared" si="14"/>
        <v>COMHOTNewLTEUE</v>
      </c>
      <c r="G51" s="13" t="str">
        <f t="shared" si="14"/>
        <v>COMHOTNewLTEUE</v>
      </c>
      <c r="H51" s="14">
        <v>2030</v>
      </c>
      <c r="I51" s="14" t="str">
        <f>I50</f>
        <v>LO</v>
      </c>
      <c r="J51" s="14"/>
      <c r="K51" s="15">
        <f>UC!K51</f>
        <v>-0.2</v>
      </c>
      <c r="L51" s="14"/>
      <c r="M51" s="14"/>
      <c r="N51" s="10"/>
      <c r="O51" s="20"/>
      <c r="Q51" s="11" t="str">
        <f>SUBSTITUTE(UC!Q51,"Old","New")</f>
        <v>*</v>
      </c>
      <c r="R51" s="12"/>
      <c r="S51" s="13" t="str">
        <f t="shared" si="1"/>
        <v>COMELC</v>
      </c>
      <c r="T51" s="13" t="str">
        <f t="shared" si="2"/>
        <v>COMHOTNewLTEUE</v>
      </c>
      <c r="U51" s="13" t="str">
        <f t="shared" si="3"/>
        <v>COMHOTNewLTEUE</v>
      </c>
      <c r="V51" s="14">
        <v>2030</v>
      </c>
      <c r="W51" s="14" t="str">
        <f>W50</f>
        <v>UP</v>
      </c>
      <c r="X51" s="14"/>
      <c r="Y51" s="15">
        <f>UC!Y51</f>
        <v>-1</v>
      </c>
      <c r="Z51" s="14"/>
      <c r="AA51" s="14"/>
      <c r="AB51" s="10"/>
      <c r="AC51" s="20"/>
    </row>
    <row r="52" spans="1:29" x14ac:dyDescent="0.25">
      <c r="A52" s="26">
        <f>A51</f>
        <v>12</v>
      </c>
      <c r="B52" s="26"/>
      <c r="C52" s="21" t="str">
        <f>SUBSTITUTE(UC!C52,"Old","New")</f>
        <v>*</v>
      </c>
      <c r="D52" s="22"/>
      <c r="E52" s="23" t="str">
        <f t="shared" si="14"/>
        <v>COMELC</v>
      </c>
      <c r="F52" s="23" t="str">
        <f t="shared" si="14"/>
        <v>COMHOTNewLTEUE</v>
      </c>
      <c r="G52" s="23" t="str">
        <f t="shared" si="14"/>
        <v>COMHOTNewLTEUE</v>
      </c>
      <c r="H52" s="24">
        <v>2050</v>
      </c>
      <c r="I52" s="24" t="str">
        <f>I51</f>
        <v>LO</v>
      </c>
      <c r="J52" s="24"/>
      <c r="K52" s="25">
        <f>UC!K52</f>
        <v>0</v>
      </c>
      <c r="L52" s="24"/>
      <c r="M52" s="24"/>
      <c r="N52" s="26"/>
      <c r="O52" s="27"/>
      <c r="Q52" s="21" t="str">
        <f>SUBSTITUTE(UC!Q52,"Old","New")</f>
        <v>*</v>
      </c>
      <c r="R52" s="22"/>
      <c r="S52" s="23" t="str">
        <f t="shared" si="1"/>
        <v>COMELC</v>
      </c>
      <c r="T52" s="23" t="str">
        <f t="shared" si="2"/>
        <v>COMHOTNewLTEUE</v>
      </c>
      <c r="U52" s="23" t="str">
        <f t="shared" si="3"/>
        <v>COMHOTNewLTEUE</v>
      </c>
      <c r="V52" s="24">
        <v>2050</v>
      </c>
      <c r="W52" s="24" t="str">
        <f>W51</f>
        <v>UP</v>
      </c>
      <c r="X52" s="24"/>
      <c r="Y52" s="25">
        <f>UC!Y52</f>
        <v>-1</v>
      </c>
      <c r="Z52" s="24"/>
      <c r="AA52" s="24"/>
      <c r="AB52" s="26"/>
      <c r="AC52" s="27"/>
    </row>
    <row r="53" spans="1:29" x14ac:dyDescent="0.25">
      <c r="A53" s="19">
        <f>A49+1</f>
        <v>13</v>
      </c>
      <c r="B53" s="10"/>
      <c r="C53" s="11" t="str">
        <f>SUBSTITUTE(UC!C53,"Old","New")</f>
        <v>*</v>
      </c>
      <c r="D53" s="12"/>
      <c r="E53" s="13" t="str">
        <f>_xlfn.XLOOKUP($A53,Selected_constraint_UC!$A:$A,Selected_constraint_UC!$B:$B)</f>
        <v>COMFOI</v>
      </c>
      <c r="F53" s="13" t="str">
        <f>SUBSTITUTE(_xlfn.XLOOKUP($A53,Selected_constraint_UC!$A:$A,Selected_constraint_UC!$C:$C),"Old","New")</f>
        <v>COMHOTNewCKEUE</v>
      </c>
      <c r="G53" s="13" t="str">
        <f>F53</f>
        <v>COMHOTNewCKEUE</v>
      </c>
      <c r="H53" s="14">
        <v>2019</v>
      </c>
      <c r="I53" s="14" t="s">
        <v>3848</v>
      </c>
      <c r="J53" s="14">
        <v>1</v>
      </c>
      <c r="K53" s="15">
        <f>UC!K53</f>
        <v>0</v>
      </c>
      <c r="L53" s="14">
        <v>0</v>
      </c>
      <c r="M53" s="14">
        <v>5</v>
      </c>
      <c r="N53" s="10"/>
      <c r="O53" s="20"/>
      <c r="Q53" s="11" t="str">
        <f>SUBSTITUTE(UC!Q53,"Old","New")</f>
        <v>*</v>
      </c>
      <c r="R53" s="12"/>
      <c r="S53" s="13" t="str">
        <f t="shared" si="1"/>
        <v>COMFOI</v>
      </c>
      <c r="T53" s="13" t="str">
        <f t="shared" si="2"/>
        <v>COMHOTNewCKEUE</v>
      </c>
      <c r="U53" s="13" t="str">
        <f t="shared" si="3"/>
        <v>COMHOTNewCKEUE</v>
      </c>
      <c r="V53" s="14">
        <f>H53</f>
        <v>2019</v>
      </c>
      <c r="W53" s="29" t="s">
        <v>3849</v>
      </c>
      <c r="X53" s="14">
        <v>1</v>
      </c>
      <c r="Y53" s="15">
        <f>UC!Y53</f>
        <v>0</v>
      </c>
      <c r="Z53" s="14">
        <v>0</v>
      </c>
      <c r="AA53" s="14">
        <v>5</v>
      </c>
      <c r="AB53" s="10"/>
      <c r="AC53" s="20"/>
    </row>
    <row r="54" spans="1:29" x14ac:dyDescent="0.25">
      <c r="A54" s="10">
        <f>A53</f>
        <v>13</v>
      </c>
      <c r="B54" s="10"/>
      <c r="C54" s="11" t="str">
        <f>SUBSTITUTE(UC!C54,"Old","New")</f>
        <v>*</v>
      </c>
      <c r="D54" s="12"/>
      <c r="E54" s="13" t="str">
        <f t="shared" ref="E54:G56" si="15">E53</f>
        <v>COMFOI</v>
      </c>
      <c r="F54" s="13" t="str">
        <f t="shared" si="15"/>
        <v>COMHOTNewCKEUE</v>
      </c>
      <c r="G54" s="13" t="str">
        <f t="shared" si="15"/>
        <v>COMHOTNewCKEUE</v>
      </c>
      <c r="H54" s="14">
        <v>2025</v>
      </c>
      <c r="I54" s="14" t="str">
        <f>I53</f>
        <v>LO</v>
      </c>
      <c r="J54" s="14"/>
      <c r="K54" s="15">
        <f>UC!K54</f>
        <v>0</v>
      </c>
      <c r="L54" s="14"/>
      <c r="M54" s="14"/>
      <c r="N54" s="10"/>
      <c r="O54" s="20"/>
      <c r="Q54" s="11" t="str">
        <f>SUBSTITUTE(UC!Q54,"Old","New")</f>
        <v>*</v>
      </c>
      <c r="R54" s="12"/>
      <c r="S54" s="13" t="str">
        <f t="shared" si="1"/>
        <v>COMFOI</v>
      </c>
      <c r="T54" s="13" t="str">
        <f t="shared" si="2"/>
        <v>COMHOTNewCKEUE</v>
      </c>
      <c r="U54" s="13" t="str">
        <f t="shared" si="3"/>
        <v>COMHOTNewCKEUE</v>
      </c>
      <c r="V54" s="14">
        <v>2025</v>
      </c>
      <c r="W54" s="14" t="str">
        <f>W53</f>
        <v>UP</v>
      </c>
      <c r="X54" s="14"/>
      <c r="Y54" s="15">
        <f>UC!Y54</f>
        <v>0</v>
      </c>
      <c r="Z54" s="14"/>
      <c r="AA54" s="14"/>
      <c r="AB54" s="10"/>
      <c r="AC54" s="20"/>
    </row>
    <row r="55" spans="1:29" x14ac:dyDescent="0.25">
      <c r="A55" s="10">
        <f>A54</f>
        <v>13</v>
      </c>
      <c r="B55" s="10"/>
      <c r="C55" s="11" t="str">
        <f>SUBSTITUTE(UC!C55,"Old","New")</f>
        <v>*</v>
      </c>
      <c r="D55" s="12"/>
      <c r="E55" s="13" t="str">
        <f t="shared" si="15"/>
        <v>COMFOI</v>
      </c>
      <c r="F55" s="13" t="str">
        <f t="shared" si="15"/>
        <v>COMHOTNewCKEUE</v>
      </c>
      <c r="G55" s="13" t="str">
        <f t="shared" si="15"/>
        <v>COMHOTNewCKEUE</v>
      </c>
      <c r="H55" s="14">
        <v>2030</v>
      </c>
      <c r="I55" s="14" t="str">
        <f>I54</f>
        <v>LO</v>
      </c>
      <c r="J55" s="14"/>
      <c r="K55" s="15">
        <f>UC!K55</f>
        <v>0</v>
      </c>
      <c r="L55" s="14"/>
      <c r="M55" s="14"/>
      <c r="N55" s="10"/>
      <c r="O55" s="20"/>
      <c r="Q55" s="11" t="str">
        <f>SUBSTITUTE(UC!Q55,"Old","New")</f>
        <v>*</v>
      </c>
      <c r="R55" s="12"/>
      <c r="S55" s="13" t="str">
        <f t="shared" si="1"/>
        <v>COMFOI</v>
      </c>
      <c r="T55" s="13" t="str">
        <f t="shared" si="2"/>
        <v>COMHOTNewCKEUE</v>
      </c>
      <c r="U55" s="13" t="str">
        <f t="shared" si="3"/>
        <v>COMHOTNewCKEUE</v>
      </c>
      <c r="V55" s="14">
        <v>2030</v>
      </c>
      <c r="W55" s="14" t="str">
        <f>W54</f>
        <v>UP</v>
      </c>
      <c r="X55" s="14"/>
      <c r="Y55" s="15">
        <f>UC!Y55</f>
        <v>0</v>
      </c>
      <c r="Z55" s="14"/>
      <c r="AA55" s="14"/>
      <c r="AB55" s="10"/>
      <c r="AC55" s="20"/>
    </row>
    <row r="56" spans="1:29" x14ac:dyDescent="0.25">
      <c r="A56" s="26">
        <f>A55</f>
        <v>13</v>
      </c>
      <c r="B56" s="26"/>
      <c r="C56" s="21" t="str">
        <f>SUBSTITUTE(UC!C56,"Old","New")</f>
        <v>*</v>
      </c>
      <c r="D56" s="22"/>
      <c r="E56" s="23" t="str">
        <f t="shared" si="15"/>
        <v>COMFOI</v>
      </c>
      <c r="F56" s="23" t="str">
        <f t="shared" si="15"/>
        <v>COMHOTNewCKEUE</v>
      </c>
      <c r="G56" s="23" t="str">
        <f t="shared" si="15"/>
        <v>COMHOTNewCKEUE</v>
      </c>
      <c r="H56" s="24">
        <v>2050</v>
      </c>
      <c r="I56" s="24" t="str">
        <f>I55</f>
        <v>LO</v>
      </c>
      <c r="J56" s="24"/>
      <c r="K56" s="25">
        <f>UC!K56</f>
        <v>0</v>
      </c>
      <c r="L56" s="24"/>
      <c r="M56" s="24"/>
      <c r="N56" s="26"/>
      <c r="O56" s="27"/>
      <c r="Q56" s="21" t="str">
        <f>SUBSTITUTE(UC!Q56,"Old","New")</f>
        <v>*</v>
      </c>
      <c r="R56" s="22"/>
      <c r="S56" s="23" t="str">
        <f t="shared" si="1"/>
        <v>COMFOI</v>
      </c>
      <c r="T56" s="23" t="str">
        <f t="shared" si="2"/>
        <v>COMHOTNewCKEUE</v>
      </c>
      <c r="U56" s="23" t="str">
        <f t="shared" si="3"/>
        <v>COMHOTNewCKEUE</v>
      </c>
      <c r="V56" s="24">
        <v>2050</v>
      </c>
      <c r="W56" s="24" t="str">
        <f>W55</f>
        <v>UP</v>
      </c>
      <c r="X56" s="24"/>
      <c r="Y56" s="25">
        <f>UC!Y56</f>
        <v>0</v>
      </c>
      <c r="Z56" s="24"/>
      <c r="AA56" s="24"/>
      <c r="AB56" s="26"/>
      <c r="AC56" s="27"/>
    </row>
    <row r="57" spans="1:29" x14ac:dyDescent="0.25">
      <c r="A57" s="19">
        <f>A53+1</f>
        <v>14</v>
      </c>
      <c r="B57" s="10"/>
      <c r="C57" s="11" t="str">
        <f>SUBSTITUTE(UC!C57,"Old","New")</f>
        <v>*</v>
      </c>
      <c r="D57" s="12"/>
      <c r="E57" s="13" t="str">
        <f>_xlfn.XLOOKUP($A57,Selected_constraint_UC!$A:$A,Selected_constraint_UC!$B:$B)</f>
        <v>COMNGA</v>
      </c>
      <c r="F57" s="13" t="str">
        <f>SUBSTITUTE(_xlfn.XLOOKUP($A57,Selected_constraint_UC!$A:$A,Selected_constraint_UC!$C:$C),"Old","New")</f>
        <v>COMHOTNewCKEUE</v>
      </c>
      <c r="G57" s="13" t="str">
        <f>F57</f>
        <v>COMHOTNewCKEUE</v>
      </c>
      <c r="H57" s="14">
        <v>2019</v>
      </c>
      <c r="I57" s="14" t="s">
        <v>3848</v>
      </c>
      <c r="J57" s="14">
        <v>1</v>
      </c>
      <c r="K57" s="15">
        <f>UC!K57</f>
        <v>-0.84867999999999999</v>
      </c>
      <c r="L57" s="14">
        <v>0</v>
      </c>
      <c r="M57" s="14">
        <v>5</v>
      </c>
      <c r="N57" s="10"/>
      <c r="O57" s="20"/>
      <c r="Q57" s="11" t="str">
        <f>SUBSTITUTE(UC!Q57,"Old","New")</f>
        <v>*</v>
      </c>
      <c r="R57" s="12"/>
      <c r="S57" s="13" t="str">
        <f t="shared" si="1"/>
        <v>COMNGA</v>
      </c>
      <c r="T57" s="13" t="str">
        <f t="shared" si="2"/>
        <v>COMHOTNewCKEUE</v>
      </c>
      <c r="U57" s="13" t="str">
        <f t="shared" si="3"/>
        <v>COMHOTNewCKEUE</v>
      </c>
      <c r="V57" s="14">
        <f>H57</f>
        <v>2019</v>
      </c>
      <c r="W57" s="29" t="s">
        <v>3849</v>
      </c>
      <c r="X57" s="14">
        <v>1</v>
      </c>
      <c r="Y57" s="15">
        <f>UC!Y57</f>
        <v>-0.88500000000000001</v>
      </c>
      <c r="Z57" s="14">
        <v>0</v>
      </c>
      <c r="AA57" s="14">
        <v>5</v>
      </c>
      <c r="AB57" s="10"/>
      <c r="AC57" s="20"/>
    </row>
    <row r="58" spans="1:29" x14ac:dyDescent="0.25">
      <c r="A58" s="10">
        <f>A57</f>
        <v>14</v>
      </c>
      <c r="B58" s="10"/>
      <c r="C58" s="11" t="str">
        <f>SUBSTITUTE(UC!C58,"Old","New")</f>
        <v>*</v>
      </c>
      <c r="D58" s="12"/>
      <c r="E58" s="13" t="str">
        <f t="shared" ref="E58:G60" si="16">E57</f>
        <v>COMNGA</v>
      </c>
      <c r="F58" s="13" t="str">
        <f t="shared" si="16"/>
        <v>COMHOTNewCKEUE</v>
      </c>
      <c r="G58" s="13" t="str">
        <f t="shared" si="16"/>
        <v>COMHOTNewCKEUE</v>
      </c>
      <c r="H58" s="14">
        <v>2025</v>
      </c>
      <c r="I58" s="14" t="str">
        <f>I57</f>
        <v>LO</v>
      </c>
      <c r="J58" s="14"/>
      <c r="K58" s="15">
        <f>UC!K58</f>
        <v>-0.69280000000000008</v>
      </c>
      <c r="L58" s="14"/>
      <c r="M58" s="14"/>
      <c r="N58" s="10"/>
      <c r="O58" s="20"/>
      <c r="Q58" s="11" t="str">
        <f>SUBSTITUTE(UC!Q58,"Old","New")</f>
        <v>*</v>
      </c>
      <c r="R58" s="12"/>
      <c r="S58" s="13" t="str">
        <f t="shared" si="1"/>
        <v>COMNGA</v>
      </c>
      <c r="T58" s="13" t="str">
        <f t="shared" si="2"/>
        <v>COMHOTNewCKEUE</v>
      </c>
      <c r="U58" s="13" t="str">
        <f t="shared" si="3"/>
        <v>COMHOTNewCKEUE</v>
      </c>
      <c r="V58" s="14">
        <v>2025</v>
      </c>
      <c r="W58" s="14" t="str">
        <f>W57</f>
        <v>UP</v>
      </c>
      <c r="X58" s="14"/>
      <c r="Y58" s="15">
        <f>UC!Y58</f>
        <v>-1</v>
      </c>
      <c r="Z58" s="14"/>
      <c r="AA58" s="14"/>
      <c r="AB58" s="10"/>
      <c r="AC58" s="20"/>
    </row>
    <row r="59" spans="1:29" x14ac:dyDescent="0.25">
      <c r="A59" s="10">
        <f>A58</f>
        <v>14</v>
      </c>
      <c r="B59" s="10"/>
      <c r="C59" s="11" t="str">
        <f>SUBSTITUTE(UC!C59,"Old","New")</f>
        <v>*</v>
      </c>
      <c r="D59" s="12"/>
      <c r="E59" s="13" t="str">
        <f t="shared" si="16"/>
        <v>COMNGA</v>
      </c>
      <c r="F59" s="13" t="str">
        <f t="shared" si="16"/>
        <v>COMHOTNewCKEUE</v>
      </c>
      <c r="G59" s="13" t="str">
        <f t="shared" si="16"/>
        <v>COMHOTNewCKEUE</v>
      </c>
      <c r="H59" s="14">
        <v>2030</v>
      </c>
      <c r="I59" s="14" t="str">
        <f>I58</f>
        <v>LO</v>
      </c>
      <c r="J59" s="14"/>
      <c r="K59" s="15">
        <f>UC!K59</f>
        <v>-0.17320000000000002</v>
      </c>
      <c r="L59" s="14"/>
      <c r="M59" s="14"/>
      <c r="N59" s="10"/>
      <c r="O59" s="20"/>
      <c r="Q59" s="11" t="str">
        <f>SUBSTITUTE(UC!Q59,"Old","New")</f>
        <v>*</v>
      </c>
      <c r="R59" s="12"/>
      <c r="S59" s="13" t="str">
        <f t="shared" si="1"/>
        <v>COMNGA</v>
      </c>
      <c r="T59" s="13" t="str">
        <f t="shared" si="2"/>
        <v>COMHOTNewCKEUE</v>
      </c>
      <c r="U59" s="13" t="str">
        <f t="shared" si="3"/>
        <v>COMHOTNewCKEUE</v>
      </c>
      <c r="V59" s="14">
        <v>2030</v>
      </c>
      <c r="W59" s="14" t="str">
        <f>W58</f>
        <v>UP</v>
      </c>
      <c r="X59" s="14"/>
      <c r="Y59" s="15">
        <f>UC!Y59</f>
        <v>-1</v>
      </c>
      <c r="Z59" s="14"/>
      <c r="AA59" s="14"/>
      <c r="AB59" s="10"/>
      <c r="AC59" s="20"/>
    </row>
    <row r="60" spans="1:29" x14ac:dyDescent="0.25">
      <c r="A60" s="26">
        <f>A59</f>
        <v>14</v>
      </c>
      <c r="B60" s="26"/>
      <c r="C60" s="21" t="str">
        <f>SUBSTITUTE(UC!C60,"Old","New")</f>
        <v>*</v>
      </c>
      <c r="D60" s="22"/>
      <c r="E60" s="23" t="str">
        <f t="shared" si="16"/>
        <v>COMNGA</v>
      </c>
      <c r="F60" s="23" t="str">
        <f t="shared" si="16"/>
        <v>COMHOTNewCKEUE</v>
      </c>
      <c r="G60" s="23" t="str">
        <f t="shared" si="16"/>
        <v>COMHOTNewCKEUE</v>
      </c>
      <c r="H60" s="24">
        <v>2050</v>
      </c>
      <c r="I60" s="24" t="str">
        <f>I59</f>
        <v>LO</v>
      </c>
      <c r="J60" s="24"/>
      <c r="K60" s="25">
        <f>UC!K60</f>
        <v>0</v>
      </c>
      <c r="L60" s="24"/>
      <c r="M60" s="24"/>
      <c r="N60" s="26"/>
      <c r="O60" s="27"/>
      <c r="Q60" s="21" t="str">
        <f>SUBSTITUTE(UC!Q60,"Old","New")</f>
        <v>*</v>
      </c>
      <c r="R60" s="22"/>
      <c r="S60" s="23" t="str">
        <f t="shared" si="1"/>
        <v>COMNGA</v>
      </c>
      <c r="T60" s="23" t="str">
        <f t="shared" si="2"/>
        <v>COMHOTNewCKEUE</v>
      </c>
      <c r="U60" s="23" t="str">
        <f t="shared" si="3"/>
        <v>COMHOTNewCKEUE</v>
      </c>
      <c r="V60" s="24">
        <v>2050</v>
      </c>
      <c r="W60" s="24" t="str">
        <f>W59</f>
        <v>UP</v>
      </c>
      <c r="X60" s="24"/>
      <c r="Y60" s="25">
        <f>UC!Y60</f>
        <v>-1</v>
      </c>
      <c r="Z60" s="24"/>
      <c r="AA60" s="24"/>
      <c r="AB60" s="26"/>
      <c r="AC60" s="27"/>
    </row>
    <row r="61" spans="1:29" x14ac:dyDescent="0.25">
      <c r="A61" s="19">
        <f>A57+1</f>
        <v>15</v>
      </c>
      <c r="B61" s="10"/>
      <c r="C61" s="11" t="str">
        <f>SUBSTITUTE(UC!C61,"Old","New")</f>
        <v>*</v>
      </c>
      <c r="D61" s="12"/>
      <c r="E61" s="13" t="str">
        <f>_xlfn.XLOOKUP($A61,Selected_constraint_UC!$A:$A,Selected_constraint_UC!$B:$B)</f>
        <v>COMSTM</v>
      </c>
      <c r="F61" s="13" t="str">
        <f>SUBSTITUTE(_xlfn.XLOOKUP($A61,Selected_constraint_UC!$A:$A,Selected_constraint_UC!$C:$C),"Old","New")</f>
        <v>COMHOTNewCKEUE</v>
      </c>
      <c r="G61" s="13" t="str">
        <f>F61</f>
        <v>COMHOTNewCKEUE</v>
      </c>
      <c r="H61" s="14">
        <v>2019</v>
      </c>
      <c r="I61" s="14" t="s">
        <v>3848</v>
      </c>
      <c r="J61" s="14">
        <v>1</v>
      </c>
      <c r="K61" s="15">
        <f>UC!K61</f>
        <v>-9.7999999999999997E-4</v>
      </c>
      <c r="L61" s="14">
        <v>0</v>
      </c>
      <c r="M61" s="14">
        <v>5</v>
      </c>
      <c r="N61" s="10"/>
      <c r="O61" s="20"/>
      <c r="Q61" s="11" t="str">
        <f>SUBSTITUTE(UC!Q61,"Old","New")</f>
        <v>*</v>
      </c>
      <c r="R61" s="12"/>
      <c r="S61" s="13" t="str">
        <f t="shared" si="1"/>
        <v>COMSTM</v>
      </c>
      <c r="T61" s="13" t="str">
        <f t="shared" si="2"/>
        <v>COMHOTNewCKEUE</v>
      </c>
      <c r="U61" s="13" t="str">
        <f t="shared" si="3"/>
        <v>COMHOTNewCKEUE</v>
      </c>
      <c r="V61" s="14">
        <f>H61</f>
        <v>2019</v>
      </c>
      <c r="W61" s="29" t="s">
        <v>3849</v>
      </c>
      <c r="X61" s="14">
        <v>1</v>
      </c>
      <c r="Y61" s="15">
        <f>UC!Y61</f>
        <v>-2E-3</v>
      </c>
      <c r="Z61" s="14">
        <v>0</v>
      </c>
      <c r="AA61" s="14">
        <v>5</v>
      </c>
      <c r="AB61" s="10"/>
      <c r="AC61" s="20"/>
    </row>
    <row r="62" spans="1:29" x14ac:dyDescent="0.25">
      <c r="A62" s="10">
        <f>A61</f>
        <v>15</v>
      </c>
      <c r="B62" s="10"/>
      <c r="C62" s="11" t="str">
        <f>SUBSTITUTE(UC!C62,"Old","New")</f>
        <v>*</v>
      </c>
      <c r="D62" s="12"/>
      <c r="E62" s="13" t="str">
        <f t="shared" ref="E62:G64" si="17">E61</f>
        <v>COMSTM</v>
      </c>
      <c r="F62" s="13" t="str">
        <f t="shared" si="17"/>
        <v>COMHOTNewCKEUE</v>
      </c>
      <c r="G62" s="13" t="str">
        <f t="shared" si="17"/>
        <v>COMHOTNewCKEUE</v>
      </c>
      <c r="H62" s="14">
        <v>2025</v>
      </c>
      <c r="I62" s="14" t="str">
        <f>I61</f>
        <v>LO</v>
      </c>
      <c r="J62" s="14"/>
      <c r="K62" s="15">
        <f>UC!K62</f>
        <v>-8.0000000000000004E-4</v>
      </c>
      <c r="L62" s="14"/>
      <c r="M62" s="14"/>
      <c r="N62" s="10"/>
      <c r="O62" s="20"/>
      <c r="Q62" s="11" t="str">
        <f>SUBSTITUTE(UC!Q62,"Old","New")</f>
        <v>*</v>
      </c>
      <c r="R62" s="12"/>
      <c r="S62" s="13" t="str">
        <f t="shared" si="1"/>
        <v>COMSTM</v>
      </c>
      <c r="T62" s="13" t="str">
        <f t="shared" si="2"/>
        <v>COMHOTNewCKEUE</v>
      </c>
      <c r="U62" s="13" t="str">
        <f t="shared" si="3"/>
        <v>COMHOTNewCKEUE</v>
      </c>
      <c r="V62" s="14">
        <v>2025</v>
      </c>
      <c r="W62" s="14" t="str">
        <f>W61</f>
        <v>UP</v>
      </c>
      <c r="X62" s="14"/>
      <c r="Y62" s="15">
        <f>UC!Y62</f>
        <v>-2E-3</v>
      </c>
      <c r="Z62" s="14"/>
      <c r="AA62" s="14"/>
      <c r="AB62" s="10"/>
      <c r="AC62" s="20"/>
    </row>
    <row r="63" spans="1:29" x14ac:dyDescent="0.25">
      <c r="A63" s="10">
        <f>A62</f>
        <v>15</v>
      </c>
      <c r="B63" s="10"/>
      <c r="C63" s="11" t="str">
        <f>SUBSTITUTE(UC!C63,"Old","New")</f>
        <v>*</v>
      </c>
      <c r="D63" s="12"/>
      <c r="E63" s="13" t="str">
        <f t="shared" si="17"/>
        <v>COMSTM</v>
      </c>
      <c r="F63" s="13" t="str">
        <f t="shared" si="17"/>
        <v>COMHOTNewCKEUE</v>
      </c>
      <c r="G63" s="13" t="str">
        <f t="shared" si="17"/>
        <v>COMHOTNewCKEUE</v>
      </c>
      <c r="H63" s="14">
        <v>2030</v>
      </c>
      <c r="I63" s="14" t="str">
        <f>I62</f>
        <v>LO</v>
      </c>
      <c r="J63" s="14"/>
      <c r="K63" s="15">
        <f>UC!K63</f>
        <v>-2.0000000000000001E-4</v>
      </c>
      <c r="L63" s="14"/>
      <c r="M63" s="14"/>
      <c r="N63" s="10"/>
      <c r="O63" s="20"/>
      <c r="Q63" s="11" t="str">
        <f>SUBSTITUTE(UC!Q63,"Old","New")</f>
        <v>*</v>
      </c>
      <c r="R63" s="12"/>
      <c r="S63" s="13" t="str">
        <f t="shared" si="1"/>
        <v>COMSTM</v>
      </c>
      <c r="T63" s="13" t="str">
        <f t="shared" si="2"/>
        <v>COMHOTNewCKEUE</v>
      </c>
      <c r="U63" s="13" t="str">
        <f t="shared" si="3"/>
        <v>COMHOTNewCKEUE</v>
      </c>
      <c r="V63" s="14">
        <v>2030</v>
      </c>
      <c r="W63" s="14" t="str">
        <f>W62</f>
        <v>UP</v>
      </c>
      <c r="X63" s="14"/>
      <c r="Y63" s="15">
        <f>UC!Y63</f>
        <v>-2E-3</v>
      </c>
      <c r="Z63" s="14"/>
      <c r="AA63" s="14"/>
      <c r="AB63" s="10"/>
      <c r="AC63" s="20"/>
    </row>
    <row r="64" spans="1:29" x14ac:dyDescent="0.25">
      <c r="A64" s="26">
        <f>A63</f>
        <v>15</v>
      </c>
      <c r="B64" s="26"/>
      <c r="C64" s="21" t="str">
        <f>SUBSTITUTE(UC!C64,"Old","New")</f>
        <v>*</v>
      </c>
      <c r="D64" s="22"/>
      <c r="E64" s="23" t="str">
        <f t="shared" si="17"/>
        <v>COMSTM</v>
      </c>
      <c r="F64" s="23" t="str">
        <f t="shared" si="17"/>
        <v>COMHOTNewCKEUE</v>
      </c>
      <c r="G64" s="23" t="str">
        <f t="shared" si="17"/>
        <v>COMHOTNewCKEUE</v>
      </c>
      <c r="H64" s="24">
        <v>2050</v>
      </c>
      <c r="I64" s="24" t="str">
        <f>I63</f>
        <v>LO</v>
      </c>
      <c r="J64" s="24"/>
      <c r="K64" s="25">
        <f>UC!K64</f>
        <v>0</v>
      </c>
      <c r="L64" s="24"/>
      <c r="M64" s="24"/>
      <c r="N64" s="26"/>
      <c r="O64" s="27"/>
      <c r="Q64" s="21" t="str">
        <f>SUBSTITUTE(UC!Q64,"Old","New")</f>
        <v>*</v>
      </c>
      <c r="R64" s="22"/>
      <c r="S64" s="23" t="str">
        <f t="shared" si="1"/>
        <v>COMSTM</v>
      </c>
      <c r="T64" s="23" t="str">
        <f t="shared" si="2"/>
        <v>COMHOTNewCKEUE</v>
      </c>
      <c r="U64" s="23" t="str">
        <f t="shared" si="3"/>
        <v>COMHOTNewCKEUE</v>
      </c>
      <c r="V64" s="24">
        <v>2050</v>
      </c>
      <c r="W64" s="24" t="str">
        <f>W63</f>
        <v>UP</v>
      </c>
      <c r="X64" s="24"/>
      <c r="Y64" s="25">
        <f>UC!Y64</f>
        <v>-4.0000000000000001E-3</v>
      </c>
      <c r="Z64" s="24"/>
      <c r="AA64" s="24"/>
      <c r="AB64" s="26"/>
      <c r="AC64" s="27"/>
    </row>
    <row r="65" spans="1:29" x14ac:dyDescent="0.25">
      <c r="A65" s="19">
        <f>A61+1</f>
        <v>16</v>
      </c>
      <c r="B65" s="10"/>
      <c r="C65" s="11" t="str">
        <f>SUBSTITUTE(UC!C65,"Old","New")</f>
        <v>*</v>
      </c>
      <c r="D65" s="12"/>
      <c r="E65" s="13" t="str">
        <f>_xlfn.XLOOKUP($A65,Selected_constraint_UC!$A:$A,Selected_constraint_UC!$B:$B)</f>
        <v>COMELC</v>
      </c>
      <c r="F65" s="13" t="str">
        <f>SUBSTITUTE(_xlfn.XLOOKUP($A65,Selected_constraint_UC!$A:$A,Selected_constraint_UC!$C:$C),"Old","New")</f>
        <v>COMHOTNewCKEUE</v>
      </c>
      <c r="G65" s="13" t="str">
        <f>F65</f>
        <v>COMHOTNewCKEUE</v>
      </c>
      <c r="H65" s="14">
        <v>2019</v>
      </c>
      <c r="I65" s="14" t="s">
        <v>3848</v>
      </c>
      <c r="J65" s="14">
        <v>1</v>
      </c>
      <c r="K65" s="15">
        <f>UC!K65</f>
        <v>-0.12936</v>
      </c>
      <c r="L65" s="14">
        <v>0</v>
      </c>
      <c r="M65" s="14">
        <v>5</v>
      </c>
      <c r="N65" s="10"/>
      <c r="O65" s="20"/>
      <c r="Q65" s="11" t="str">
        <f>SUBSTITUTE(UC!Q65,"Old","New")</f>
        <v>*</v>
      </c>
      <c r="R65" s="12"/>
      <c r="S65" s="13" t="str">
        <f t="shared" si="1"/>
        <v>COMELC</v>
      </c>
      <c r="T65" s="13" t="str">
        <f t="shared" si="2"/>
        <v>COMHOTNewCKEUE</v>
      </c>
      <c r="U65" s="13" t="str">
        <f t="shared" si="3"/>
        <v>COMHOTNewCKEUE</v>
      </c>
      <c r="V65" s="14">
        <f>H65</f>
        <v>2019</v>
      </c>
      <c r="W65" s="29" t="s">
        <v>3849</v>
      </c>
      <c r="X65" s="14">
        <v>1</v>
      </c>
      <c r="Y65" s="15">
        <f>UC!Y65</f>
        <v>-0.13500000000000001</v>
      </c>
      <c r="Z65" s="14">
        <v>0</v>
      </c>
      <c r="AA65" s="14">
        <v>5</v>
      </c>
      <c r="AB65" s="10"/>
      <c r="AC65" s="20"/>
    </row>
    <row r="66" spans="1:29" x14ac:dyDescent="0.25">
      <c r="A66" s="10">
        <f>A65</f>
        <v>16</v>
      </c>
      <c r="B66" s="10"/>
      <c r="C66" s="11" t="str">
        <f>SUBSTITUTE(UC!C66,"Old","New")</f>
        <v>*</v>
      </c>
      <c r="D66" s="12"/>
      <c r="E66" s="13" t="str">
        <f t="shared" ref="E66:G68" si="18">E65</f>
        <v>COMELC</v>
      </c>
      <c r="F66" s="13" t="str">
        <f t="shared" si="18"/>
        <v>COMHOTNewCKEUE</v>
      </c>
      <c r="G66" s="13" t="str">
        <f t="shared" si="18"/>
        <v>COMHOTNewCKEUE</v>
      </c>
      <c r="H66" s="14">
        <v>2025</v>
      </c>
      <c r="I66" s="14" t="str">
        <f>I65</f>
        <v>LO</v>
      </c>
      <c r="J66" s="14"/>
      <c r="K66" s="15">
        <f>UC!K66</f>
        <v>-0.10560000000000001</v>
      </c>
      <c r="L66" s="14"/>
      <c r="M66" s="14"/>
      <c r="N66" s="10"/>
      <c r="O66" s="20"/>
      <c r="Q66" s="11" t="str">
        <f>SUBSTITUTE(UC!Q66,"Old","New")</f>
        <v>*</v>
      </c>
      <c r="R66" s="12"/>
      <c r="S66" s="13" t="str">
        <f t="shared" si="1"/>
        <v>COMELC</v>
      </c>
      <c r="T66" s="13" t="str">
        <f t="shared" si="2"/>
        <v>COMHOTNewCKEUE</v>
      </c>
      <c r="U66" s="13" t="str">
        <f t="shared" si="3"/>
        <v>COMHOTNewCKEUE</v>
      </c>
      <c r="V66" s="14">
        <v>2025</v>
      </c>
      <c r="W66" s="14" t="str">
        <f>W65</f>
        <v>UP</v>
      </c>
      <c r="X66" s="14"/>
      <c r="Y66" s="15">
        <f>UC!Y66</f>
        <v>-0.25</v>
      </c>
      <c r="Z66" s="14"/>
      <c r="AA66" s="14"/>
      <c r="AB66" s="10"/>
      <c r="AC66" s="20"/>
    </row>
    <row r="67" spans="1:29" x14ac:dyDescent="0.25">
      <c r="A67" s="10">
        <f>A66</f>
        <v>16</v>
      </c>
      <c r="B67" s="10"/>
      <c r="C67" s="11" t="str">
        <f>SUBSTITUTE(UC!C67,"Old","New")</f>
        <v>*</v>
      </c>
      <c r="D67" s="12"/>
      <c r="E67" s="13" t="str">
        <f t="shared" si="18"/>
        <v>COMELC</v>
      </c>
      <c r="F67" s="13" t="str">
        <f t="shared" si="18"/>
        <v>COMHOTNewCKEUE</v>
      </c>
      <c r="G67" s="13" t="str">
        <f t="shared" si="18"/>
        <v>COMHOTNewCKEUE</v>
      </c>
      <c r="H67" s="14">
        <v>2030</v>
      </c>
      <c r="I67" s="14" t="str">
        <f>I66</f>
        <v>LO</v>
      </c>
      <c r="J67" s="14"/>
      <c r="K67" s="15">
        <f>UC!K67</f>
        <v>-2.6400000000000003E-2</v>
      </c>
      <c r="L67" s="14"/>
      <c r="M67" s="14"/>
      <c r="N67" s="10"/>
      <c r="O67" s="20"/>
      <c r="Q67" s="11" t="str">
        <f>SUBSTITUTE(UC!Q67,"Old","New")</f>
        <v>*</v>
      </c>
      <c r="R67" s="12"/>
      <c r="S67" s="13" t="str">
        <f t="shared" si="1"/>
        <v>COMELC</v>
      </c>
      <c r="T67" s="13" t="str">
        <f t="shared" si="2"/>
        <v>COMHOTNewCKEUE</v>
      </c>
      <c r="U67" s="13" t="str">
        <f t="shared" si="3"/>
        <v>COMHOTNewCKEUE</v>
      </c>
      <c r="V67" s="14">
        <v>2030</v>
      </c>
      <c r="W67" s="14" t="str">
        <f>W66</f>
        <v>UP</v>
      </c>
      <c r="X67" s="14"/>
      <c r="Y67" s="15">
        <f>UC!Y67</f>
        <v>-0.5</v>
      </c>
      <c r="Z67" s="14"/>
      <c r="AA67" s="14"/>
      <c r="AB67" s="10"/>
      <c r="AC67" s="20"/>
    </row>
    <row r="68" spans="1:29" x14ac:dyDescent="0.25">
      <c r="A68" s="26">
        <f>A67</f>
        <v>16</v>
      </c>
      <c r="B68" s="26"/>
      <c r="C68" s="21" t="str">
        <f>SUBSTITUTE(UC!C68,"Old","New")</f>
        <v>*</v>
      </c>
      <c r="D68" s="22"/>
      <c r="E68" s="23" t="str">
        <f t="shared" si="18"/>
        <v>COMELC</v>
      </c>
      <c r="F68" s="23" t="str">
        <f t="shared" si="18"/>
        <v>COMHOTNewCKEUE</v>
      </c>
      <c r="G68" s="23" t="str">
        <f t="shared" si="18"/>
        <v>COMHOTNewCKEUE</v>
      </c>
      <c r="H68" s="24">
        <v>2050</v>
      </c>
      <c r="I68" s="24" t="str">
        <f>I67</f>
        <v>LO</v>
      </c>
      <c r="J68" s="24"/>
      <c r="K68" s="25">
        <f>UC!K68</f>
        <v>0</v>
      </c>
      <c r="L68" s="24"/>
      <c r="M68" s="24"/>
      <c r="N68" s="26"/>
      <c r="O68" s="27"/>
      <c r="Q68" s="21" t="str">
        <f>SUBSTITUTE(UC!Q68,"Old","New")</f>
        <v>*</v>
      </c>
      <c r="R68" s="22"/>
      <c r="S68" s="23" t="str">
        <f t="shared" si="1"/>
        <v>COMELC</v>
      </c>
      <c r="T68" s="23" t="str">
        <f t="shared" si="2"/>
        <v>COMHOTNewCKEUE</v>
      </c>
      <c r="U68" s="23" t="str">
        <f t="shared" si="3"/>
        <v>COMHOTNewCKEUE</v>
      </c>
      <c r="V68" s="24">
        <v>2050</v>
      </c>
      <c r="W68" s="24" t="str">
        <f>W67</f>
        <v>UP</v>
      </c>
      <c r="X68" s="24"/>
      <c r="Y68" s="25">
        <f>UC!Y68</f>
        <v>-1</v>
      </c>
      <c r="Z68" s="24"/>
      <c r="AA68" s="24"/>
      <c r="AB68" s="26"/>
      <c r="AC68" s="27"/>
    </row>
    <row r="69" spans="1:29" x14ac:dyDescent="0.25">
      <c r="A69" s="19">
        <f>A65+1</f>
        <v>17</v>
      </c>
      <c r="B69" s="10"/>
      <c r="C69" s="11" t="str">
        <f>SUBSTITUTE(UC!C69,"Old","New")</f>
        <v>*</v>
      </c>
      <c r="D69" s="12"/>
      <c r="E69" s="13" t="str">
        <f>_xlfn.XLOOKUP($A69,Selected_constraint_UC!$A:$A,Selected_constraint_UC!$B:$B)</f>
        <v>COMELC</v>
      </c>
      <c r="F69" s="13" t="str">
        <f>SUBSTITUTE(_xlfn.XLOOKUP($A69,Selected_constraint_UC!$A:$A,Selected_constraint_UC!$C:$C),"Old","New")</f>
        <v>COMHOTNewREEUE</v>
      </c>
      <c r="G69" s="13" t="str">
        <f>F69</f>
        <v>COMHOTNewREEUE</v>
      </c>
      <c r="H69" s="14">
        <v>2019</v>
      </c>
      <c r="I69" s="14" t="s">
        <v>3848</v>
      </c>
      <c r="J69" s="14">
        <v>1</v>
      </c>
      <c r="K69" s="15">
        <f>UC!K69</f>
        <v>-0.98</v>
      </c>
      <c r="L69" s="14">
        <v>0</v>
      </c>
      <c r="M69" s="14">
        <v>5</v>
      </c>
      <c r="N69" s="10"/>
      <c r="O69" s="20"/>
      <c r="Q69" s="11" t="str">
        <f>SUBSTITUTE(UC!Q69,"Old","New")</f>
        <v>*</v>
      </c>
      <c r="R69" s="12"/>
      <c r="S69" s="13" t="str">
        <f t="shared" si="1"/>
        <v>COMELC</v>
      </c>
      <c r="T69" s="13" t="str">
        <f t="shared" si="2"/>
        <v>COMHOTNewREEUE</v>
      </c>
      <c r="U69" s="13" t="str">
        <f t="shared" si="3"/>
        <v>COMHOTNewREEUE</v>
      </c>
      <c r="V69" s="14">
        <f>H69</f>
        <v>2019</v>
      </c>
      <c r="W69" s="29" t="s">
        <v>3849</v>
      </c>
      <c r="X69" s="14">
        <v>1</v>
      </c>
      <c r="Y69" s="15">
        <f>UC!Y69</f>
        <v>-1</v>
      </c>
      <c r="Z69" s="14">
        <v>0</v>
      </c>
      <c r="AA69" s="14">
        <v>5</v>
      </c>
      <c r="AB69" s="10"/>
      <c r="AC69" s="20"/>
    </row>
    <row r="70" spans="1:29" x14ac:dyDescent="0.25">
      <c r="A70" s="10">
        <f>A69</f>
        <v>17</v>
      </c>
      <c r="B70" s="10"/>
      <c r="C70" s="11" t="str">
        <f>SUBSTITUTE(UC!C70,"Old","New")</f>
        <v>*</v>
      </c>
      <c r="D70" s="12"/>
      <c r="E70" s="13" t="str">
        <f t="shared" ref="E70:G72" si="19">E69</f>
        <v>COMELC</v>
      </c>
      <c r="F70" s="13" t="str">
        <f t="shared" si="19"/>
        <v>COMHOTNewREEUE</v>
      </c>
      <c r="G70" s="13" t="str">
        <f t="shared" si="19"/>
        <v>COMHOTNewREEUE</v>
      </c>
      <c r="H70" s="14">
        <v>2025</v>
      </c>
      <c r="I70" s="14" t="str">
        <f>I69</f>
        <v>LO</v>
      </c>
      <c r="J70" s="14"/>
      <c r="K70" s="15">
        <f>UC!K70</f>
        <v>-0.8</v>
      </c>
      <c r="L70" s="14"/>
      <c r="M70" s="14"/>
      <c r="N70" s="10"/>
      <c r="O70" s="20"/>
      <c r="Q70" s="11" t="str">
        <f>SUBSTITUTE(UC!Q70,"Old","New")</f>
        <v>*</v>
      </c>
      <c r="R70" s="12"/>
      <c r="S70" s="13" t="str">
        <f t="shared" ref="S70:S133" si="20">E70</f>
        <v>COMELC</v>
      </c>
      <c r="T70" s="13" t="str">
        <f t="shared" ref="T70:T133" si="21">F70</f>
        <v>COMHOTNewREEUE</v>
      </c>
      <c r="U70" s="13" t="str">
        <f t="shared" ref="U70:U133" si="22">G70</f>
        <v>COMHOTNewREEUE</v>
      </c>
      <c r="V70" s="14">
        <v>2025</v>
      </c>
      <c r="W70" s="14" t="str">
        <f>W69</f>
        <v>UP</v>
      </c>
      <c r="X70" s="14"/>
      <c r="Y70" s="15">
        <f>UC!Y70</f>
        <v>-1</v>
      </c>
      <c r="Z70" s="14"/>
      <c r="AA70" s="14"/>
      <c r="AB70" s="10"/>
      <c r="AC70" s="20"/>
    </row>
    <row r="71" spans="1:29" x14ac:dyDescent="0.25">
      <c r="A71" s="10">
        <f>A70</f>
        <v>17</v>
      </c>
      <c r="B71" s="10"/>
      <c r="C71" s="11" t="str">
        <f>SUBSTITUTE(UC!C71,"Old","New")</f>
        <v>*</v>
      </c>
      <c r="D71" s="12"/>
      <c r="E71" s="13" t="str">
        <f t="shared" si="19"/>
        <v>COMELC</v>
      </c>
      <c r="F71" s="13" t="str">
        <f t="shared" si="19"/>
        <v>COMHOTNewREEUE</v>
      </c>
      <c r="G71" s="13" t="str">
        <f t="shared" si="19"/>
        <v>COMHOTNewREEUE</v>
      </c>
      <c r="H71" s="14">
        <v>2030</v>
      </c>
      <c r="I71" s="14" t="str">
        <f>I70</f>
        <v>LO</v>
      </c>
      <c r="J71" s="14"/>
      <c r="K71" s="15">
        <f>UC!K71</f>
        <v>-0.2</v>
      </c>
      <c r="L71" s="14"/>
      <c r="M71" s="14"/>
      <c r="N71" s="10"/>
      <c r="O71" s="20"/>
      <c r="Q71" s="11" t="str">
        <f>SUBSTITUTE(UC!Q71,"Old","New")</f>
        <v>*</v>
      </c>
      <c r="R71" s="12"/>
      <c r="S71" s="13" t="str">
        <f t="shared" si="20"/>
        <v>COMELC</v>
      </c>
      <c r="T71" s="13" t="str">
        <f t="shared" si="21"/>
        <v>COMHOTNewREEUE</v>
      </c>
      <c r="U71" s="13" t="str">
        <f t="shared" si="22"/>
        <v>COMHOTNewREEUE</v>
      </c>
      <c r="V71" s="14">
        <v>2030</v>
      </c>
      <c r="W71" s="14" t="str">
        <f>W70</f>
        <v>UP</v>
      </c>
      <c r="X71" s="14"/>
      <c r="Y71" s="15">
        <f>UC!Y71</f>
        <v>-1</v>
      </c>
      <c r="Z71" s="14"/>
      <c r="AA71" s="14"/>
      <c r="AB71" s="10"/>
      <c r="AC71" s="20"/>
    </row>
    <row r="72" spans="1:29" x14ac:dyDescent="0.25">
      <c r="A72" s="26">
        <f>A71</f>
        <v>17</v>
      </c>
      <c r="B72" s="26"/>
      <c r="C72" s="21" t="str">
        <f>SUBSTITUTE(UC!C72,"Old","New")</f>
        <v>*</v>
      </c>
      <c r="D72" s="22"/>
      <c r="E72" s="23" t="str">
        <f t="shared" si="19"/>
        <v>COMELC</v>
      </c>
      <c r="F72" s="23" t="str">
        <f t="shared" si="19"/>
        <v>COMHOTNewREEUE</v>
      </c>
      <c r="G72" s="23" t="str">
        <f t="shared" si="19"/>
        <v>COMHOTNewREEUE</v>
      </c>
      <c r="H72" s="24">
        <v>2050</v>
      </c>
      <c r="I72" s="24" t="str">
        <f>I71</f>
        <v>LO</v>
      </c>
      <c r="J72" s="24"/>
      <c r="K72" s="25">
        <f>UC!K72</f>
        <v>0</v>
      </c>
      <c r="L72" s="24"/>
      <c r="M72" s="24"/>
      <c r="N72" s="26"/>
      <c r="O72" s="27"/>
      <c r="Q72" s="21" t="str">
        <f>SUBSTITUTE(UC!Q72,"Old","New")</f>
        <v>*</v>
      </c>
      <c r="R72" s="22"/>
      <c r="S72" s="23" t="str">
        <f t="shared" si="20"/>
        <v>COMELC</v>
      </c>
      <c r="T72" s="23" t="str">
        <f t="shared" si="21"/>
        <v>COMHOTNewREEUE</v>
      </c>
      <c r="U72" s="23" t="str">
        <f t="shared" si="22"/>
        <v>COMHOTNewREEUE</v>
      </c>
      <c r="V72" s="24">
        <v>2050</v>
      </c>
      <c r="W72" s="24" t="str">
        <f>W71</f>
        <v>UP</v>
      </c>
      <c r="X72" s="24"/>
      <c r="Y72" s="25">
        <f>UC!Y72</f>
        <v>-1</v>
      </c>
      <c r="Z72" s="24"/>
      <c r="AA72" s="24"/>
      <c r="AB72" s="26"/>
      <c r="AC72" s="27"/>
    </row>
    <row r="73" spans="1:29" x14ac:dyDescent="0.25">
      <c r="A73" s="19">
        <f>A69+1</f>
        <v>18</v>
      </c>
      <c r="B73" s="10"/>
      <c r="C73" s="11" t="str">
        <f>SUBSTITUTE(UC!C73,"Old","New")</f>
        <v>*</v>
      </c>
      <c r="D73" s="12"/>
      <c r="E73" s="13" t="str">
        <f>_xlfn.XLOOKUP($A73,Selected_constraint_UC!$A:$A,Selected_constraint_UC!$B:$B)</f>
        <v>COMFOI</v>
      </c>
      <c r="F73" s="13" t="str">
        <f>SUBSTITUTE(_xlfn.XLOOKUP($A73,Selected_constraint_UC!$A:$A,Selected_constraint_UC!$C:$C),"Old","New")</f>
        <v>COMHOTNewOEEUE</v>
      </c>
      <c r="G73" s="13" t="str">
        <f>F73</f>
        <v>COMHOTNewOEEUE</v>
      </c>
      <c r="H73" s="14">
        <v>2019</v>
      </c>
      <c r="I73" s="14" t="s">
        <v>3848</v>
      </c>
      <c r="J73" s="14">
        <v>1</v>
      </c>
      <c r="K73" s="15">
        <f>UC!K73</f>
        <v>-6.9579999999999989E-2</v>
      </c>
      <c r="L73" s="14">
        <v>0</v>
      </c>
      <c r="M73" s="14">
        <v>5</v>
      </c>
      <c r="N73" s="10"/>
      <c r="O73" s="20"/>
      <c r="Q73" s="11" t="str">
        <f>SUBSTITUTE(UC!Q73,"Old","New")</f>
        <v>*</v>
      </c>
      <c r="R73" s="12"/>
      <c r="S73" s="13" t="str">
        <f t="shared" si="20"/>
        <v>COMFOI</v>
      </c>
      <c r="T73" s="13" t="str">
        <f t="shared" si="21"/>
        <v>COMHOTNewOEEUE</v>
      </c>
      <c r="U73" s="13" t="str">
        <f t="shared" si="22"/>
        <v>COMHOTNewOEEUE</v>
      </c>
      <c r="V73" s="14">
        <f>H73</f>
        <v>2019</v>
      </c>
      <c r="W73" s="29" t="s">
        <v>3849</v>
      </c>
      <c r="X73" s="14">
        <v>1</v>
      </c>
      <c r="Y73" s="15">
        <f>UC!Y73</f>
        <v>-7.2999999999999995E-2</v>
      </c>
      <c r="Z73" s="14">
        <v>0</v>
      </c>
      <c r="AA73" s="14">
        <v>5</v>
      </c>
      <c r="AB73" s="10"/>
      <c r="AC73" s="20"/>
    </row>
    <row r="74" spans="1:29" x14ac:dyDescent="0.25">
      <c r="A74" s="10">
        <f>A73</f>
        <v>18</v>
      </c>
      <c r="B74" s="10"/>
      <c r="C74" s="11" t="str">
        <f>SUBSTITUTE(UC!C74,"Old","New")</f>
        <v>*</v>
      </c>
      <c r="D74" s="12"/>
      <c r="E74" s="13" t="str">
        <f t="shared" ref="E74:G76" si="23">E73</f>
        <v>COMFOI</v>
      </c>
      <c r="F74" s="13" t="str">
        <f t="shared" si="23"/>
        <v>COMHOTNewOEEUE</v>
      </c>
      <c r="G74" s="13" t="str">
        <f t="shared" si="23"/>
        <v>COMHOTNewOEEUE</v>
      </c>
      <c r="H74" s="14">
        <v>2025</v>
      </c>
      <c r="I74" s="14" t="str">
        <f>I73</f>
        <v>LO</v>
      </c>
      <c r="J74" s="14"/>
      <c r="K74" s="15">
        <f>UC!K74</f>
        <v>-5.6799999999999996E-2</v>
      </c>
      <c r="L74" s="14"/>
      <c r="M74" s="14"/>
      <c r="N74" s="10"/>
      <c r="O74" s="20"/>
      <c r="Q74" s="11" t="str">
        <f>SUBSTITUTE(UC!Q74,"Old","New")</f>
        <v>*</v>
      </c>
      <c r="R74" s="12"/>
      <c r="S74" s="13" t="str">
        <f t="shared" si="20"/>
        <v>COMFOI</v>
      </c>
      <c r="T74" s="13" t="str">
        <f t="shared" si="21"/>
        <v>COMHOTNewOEEUE</v>
      </c>
      <c r="U74" s="13" t="str">
        <f t="shared" si="22"/>
        <v>COMHOTNewOEEUE</v>
      </c>
      <c r="V74" s="14">
        <v>2025</v>
      </c>
      <c r="W74" s="14" t="str">
        <f>W73</f>
        <v>UP</v>
      </c>
      <c r="X74" s="14"/>
      <c r="Y74" s="15">
        <f>UC!Y74</f>
        <v>-8.6000000000000007E-2</v>
      </c>
      <c r="Z74" s="14"/>
      <c r="AA74" s="14"/>
      <c r="AB74" s="10"/>
      <c r="AC74" s="20"/>
    </row>
    <row r="75" spans="1:29" x14ac:dyDescent="0.25">
      <c r="A75" s="10">
        <f>A74</f>
        <v>18</v>
      </c>
      <c r="B75" s="10"/>
      <c r="C75" s="11" t="str">
        <f>SUBSTITUTE(UC!C75,"Old","New")</f>
        <v>*</v>
      </c>
      <c r="D75" s="12"/>
      <c r="E75" s="13" t="str">
        <f t="shared" si="23"/>
        <v>COMFOI</v>
      </c>
      <c r="F75" s="13" t="str">
        <f t="shared" si="23"/>
        <v>COMHOTNewOEEUE</v>
      </c>
      <c r="G75" s="13" t="str">
        <f t="shared" si="23"/>
        <v>COMHOTNewOEEUE</v>
      </c>
      <c r="H75" s="14">
        <v>2030</v>
      </c>
      <c r="I75" s="14" t="str">
        <f>I74</f>
        <v>LO</v>
      </c>
      <c r="J75" s="14"/>
      <c r="K75" s="15">
        <f>UC!K75</f>
        <v>-1.4199999999999999E-2</v>
      </c>
      <c r="L75" s="14"/>
      <c r="M75" s="14"/>
      <c r="N75" s="10"/>
      <c r="O75" s="20"/>
      <c r="Q75" s="11" t="str">
        <f>SUBSTITUTE(UC!Q75,"Old","New")</f>
        <v>*</v>
      </c>
      <c r="R75" s="12"/>
      <c r="S75" s="13" t="str">
        <f t="shared" si="20"/>
        <v>COMFOI</v>
      </c>
      <c r="T75" s="13" t="str">
        <f t="shared" si="21"/>
        <v>COMHOTNewOEEUE</v>
      </c>
      <c r="U75" s="13" t="str">
        <f t="shared" si="22"/>
        <v>COMHOTNewOEEUE</v>
      </c>
      <c r="V75" s="14">
        <v>2030</v>
      </c>
      <c r="W75" s="14" t="str">
        <f>W74</f>
        <v>UP</v>
      </c>
      <c r="X75" s="14"/>
      <c r="Y75" s="15">
        <f>UC!Y75</f>
        <v>-0.108</v>
      </c>
      <c r="Z75" s="14"/>
      <c r="AA75" s="14"/>
      <c r="AB75" s="10"/>
      <c r="AC75" s="20"/>
    </row>
    <row r="76" spans="1:29" x14ac:dyDescent="0.25">
      <c r="A76" s="26">
        <f>A75</f>
        <v>18</v>
      </c>
      <c r="B76" s="26"/>
      <c r="C76" s="21" t="str">
        <f>SUBSTITUTE(UC!C76,"Old","New")</f>
        <v>*</v>
      </c>
      <c r="D76" s="22"/>
      <c r="E76" s="23" t="str">
        <f t="shared" si="23"/>
        <v>COMFOI</v>
      </c>
      <c r="F76" s="23" t="str">
        <f t="shared" si="23"/>
        <v>COMHOTNewOEEUE</v>
      </c>
      <c r="G76" s="23" t="str">
        <f t="shared" si="23"/>
        <v>COMHOTNewOEEUE</v>
      </c>
      <c r="H76" s="24">
        <v>2050</v>
      </c>
      <c r="I76" s="24" t="str">
        <f>I75</f>
        <v>LO</v>
      </c>
      <c r="J76" s="24"/>
      <c r="K76" s="25">
        <f>UC!K76</f>
        <v>0</v>
      </c>
      <c r="L76" s="24"/>
      <c r="M76" s="24"/>
      <c r="N76" s="26"/>
      <c r="O76" s="27"/>
      <c r="Q76" s="21" t="str">
        <f>SUBSTITUTE(UC!Q76,"Old","New")</f>
        <v>*</v>
      </c>
      <c r="R76" s="22"/>
      <c r="S76" s="23" t="str">
        <f t="shared" si="20"/>
        <v>COMFOI</v>
      </c>
      <c r="T76" s="23" t="str">
        <f t="shared" si="21"/>
        <v>COMHOTNewOEEUE</v>
      </c>
      <c r="U76" s="23" t="str">
        <f t="shared" si="22"/>
        <v>COMHOTNewOEEUE</v>
      </c>
      <c r="V76" s="24">
        <v>2050</v>
      </c>
      <c r="W76" s="24" t="str">
        <f>W75</f>
        <v>UP</v>
      </c>
      <c r="X76" s="24"/>
      <c r="Y76" s="25">
        <f>UC!Y76</f>
        <v>-0.215</v>
      </c>
      <c r="Z76" s="24"/>
      <c r="AA76" s="24"/>
      <c r="AB76" s="26"/>
      <c r="AC76" s="27"/>
    </row>
    <row r="77" spans="1:29" x14ac:dyDescent="0.25">
      <c r="A77" s="19">
        <f>A73+1</f>
        <v>19</v>
      </c>
      <c r="B77" s="10"/>
      <c r="C77" s="11" t="str">
        <f>SUBSTITUTE(UC!C77,"Old","New")</f>
        <v>UC_MarketShare_COMHOTNewOE_NGA_MIN</v>
      </c>
      <c r="D77" s="12"/>
      <c r="E77" s="13" t="str">
        <f>_xlfn.XLOOKUP($A77,Selected_constraint_UC!$A:$A,Selected_constraint_UC!$B:$B)</f>
        <v>COMNGA</v>
      </c>
      <c r="F77" s="13" t="str">
        <f>SUBSTITUTE(_xlfn.XLOOKUP($A77,Selected_constraint_UC!$A:$A,Selected_constraint_UC!$C:$C),"Old","New")</f>
        <v>COMHOTNewOEEUE</v>
      </c>
      <c r="G77" s="13" t="str">
        <f>F77</f>
        <v>COMHOTNewOEEUE</v>
      </c>
      <c r="H77" s="14">
        <v>2019</v>
      </c>
      <c r="I77" s="14" t="s">
        <v>3848</v>
      </c>
      <c r="J77" s="14">
        <v>1</v>
      </c>
      <c r="K77" s="15">
        <f>UC!K77</f>
        <v>-0.40375999999999995</v>
      </c>
      <c r="L77" s="14">
        <v>0</v>
      </c>
      <c r="M77" s="14">
        <v>5</v>
      </c>
      <c r="N77" s="10"/>
      <c r="O77" s="20"/>
      <c r="Q77" s="11" t="str">
        <f>SUBSTITUTE(UC!Q77,"Old","New")</f>
        <v>UC_MarketShare_COMHOTNewOE_NGA_MAX</v>
      </c>
      <c r="R77" s="12"/>
      <c r="S77" s="13" t="str">
        <f t="shared" si="20"/>
        <v>COMNGA</v>
      </c>
      <c r="T77" s="13" t="str">
        <f t="shared" si="21"/>
        <v>COMHOTNewOEEUE</v>
      </c>
      <c r="U77" s="13" t="str">
        <f t="shared" si="22"/>
        <v>COMHOTNewOEEUE</v>
      </c>
      <c r="V77" s="14">
        <f>H77</f>
        <v>2019</v>
      </c>
      <c r="W77" s="29" t="s">
        <v>3849</v>
      </c>
      <c r="X77" s="14">
        <v>1</v>
      </c>
      <c r="Y77" s="15">
        <f>UC!Y77</f>
        <v>-0.42199999999999999</v>
      </c>
      <c r="Z77" s="14">
        <v>0</v>
      </c>
      <c r="AA77" s="14">
        <v>5</v>
      </c>
      <c r="AB77" s="10"/>
      <c r="AC77" s="20"/>
    </row>
    <row r="78" spans="1:29" x14ac:dyDescent="0.25">
      <c r="A78" s="10">
        <f>A77</f>
        <v>19</v>
      </c>
      <c r="B78" s="10"/>
      <c r="C78" s="11" t="str">
        <f>SUBSTITUTE(UC!C78,"Old","New")</f>
        <v/>
      </c>
      <c r="D78" s="12"/>
      <c r="E78" s="13" t="str">
        <f t="shared" ref="E78:G80" si="24">E77</f>
        <v>COMNGA</v>
      </c>
      <c r="F78" s="13" t="str">
        <f t="shared" si="24"/>
        <v>COMHOTNewOEEUE</v>
      </c>
      <c r="G78" s="13" t="str">
        <f t="shared" si="24"/>
        <v>COMHOTNewOEEUE</v>
      </c>
      <c r="H78" s="14">
        <v>2025</v>
      </c>
      <c r="I78" s="14" t="str">
        <f>I77</f>
        <v>LO</v>
      </c>
      <c r="J78" s="14"/>
      <c r="K78" s="15">
        <f>UC!K78</f>
        <v>-0.3296</v>
      </c>
      <c r="L78" s="14"/>
      <c r="M78" s="14"/>
      <c r="N78" s="10"/>
      <c r="O78" s="20"/>
      <c r="Q78" s="11" t="str">
        <f>SUBSTITUTE(UC!Q78,"Old","New")</f>
        <v/>
      </c>
      <c r="R78" s="12"/>
      <c r="S78" s="13" t="str">
        <f t="shared" si="20"/>
        <v>COMNGA</v>
      </c>
      <c r="T78" s="13" t="str">
        <f t="shared" si="21"/>
        <v>COMHOTNewOEEUE</v>
      </c>
      <c r="U78" s="13" t="str">
        <f t="shared" si="22"/>
        <v>COMHOTNewOEEUE</v>
      </c>
      <c r="V78" s="14">
        <v>2025</v>
      </c>
      <c r="W78" s="14" t="str">
        <f>W77</f>
        <v>UP</v>
      </c>
      <c r="X78" s="14"/>
      <c r="Y78" s="15">
        <f>UC!Y78</f>
        <v>-0.496</v>
      </c>
      <c r="Z78" s="14"/>
      <c r="AA78" s="14"/>
      <c r="AB78" s="10"/>
      <c r="AC78" s="20"/>
    </row>
    <row r="79" spans="1:29" x14ac:dyDescent="0.25">
      <c r="A79" s="10">
        <f>A78</f>
        <v>19</v>
      </c>
      <c r="B79" s="10"/>
      <c r="C79" s="11" t="str">
        <f>SUBSTITUTE(UC!C79,"Old","New")</f>
        <v/>
      </c>
      <c r="D79" s="12"/>
      <c r="E79" s="13" t="str">
        <f t="shared" si="24"/>
        <v>COMNGA</v>
      </c>
      <c r="F79" s="13" t="str">
        <f t="shared" si="24"/>
        <v>COMHOTNewOEEUE</v>
      </c>
      <c r="G79" s="13" t="str">
        <f t="shared" si="24"/>
        <v>COMHOTNewOEEUE</v>
      </c>
      <c r="H79" s="14">
        <v>2030</v>
      </c>
      <c r="I79" s="14" t="str">
        <f>I78</f>
        <v>LO</v>
      </c>
      <c r="J79" s="14"/>
      <c r="K79" s="15">
        <f>UC!K79</f>
        <v>-8.2400000000000001E-2</v>
      </c>
      <c r="L79" s="14"/>
      <c r="M79" s="14"/>
      <c r="N79" s="10"/>
      <c r="O79" s="20"/>
      <c r="Q79" s="11" t="str">
        <f>SUBSTITUTE(UC!Q79,"Old","New")</f>
        <v/>
      </c>
      <c r="R79" s="12"/>
      <c r="S79" s="13" t="str">
        <f t="shared" si="20"/>
        <v>COMNGA</v>
      </c>
      <c r="T79" s="13" t="str">
        <f t="shared" si="21"/>
        <v>COMHOTNewOEEUE</v>
      </c>
      <c r="U79" s="13" t="str">
        <f t="shared" si="22"/>
        <v>COMHOTNewOEEUE</v>
      </c>
      <c r="V79" s="14">
        <v>2030</v>
      </c>
      <c r="W79" s="14" t="str">
        <f>W78</f>
        <v>UP</v>
      </c>
      <c r="X79" s="14"/>
      <c r="Y79" s="15">
        <f>UC!Y79</f>
        <v>-0.62</v>
      </c>
      <c r="Z79" s="14"/>
      <c r="AA79" s="14"/>
      <c r="AB79" s="10"/>
      <c r="AC79" s="20"/>
    </row>
    <row r="80" spans="1:29" x14ac:dyDescent="0.25">
      <c r="A80" s="26">
        <f>A79</f>
        <v>19</v>
      </c>
      <c r="B80" s="26"/>
      <c r="C80" s="21" t="str">
        <f>SUBSTITUTE(UC!C80,"Old","New")</f>
        <v/>
      </c>
      <c r="D80" s="22"/>
      <c r="E80" s="23" t="str">
        <f t="shared" si="24"/>
        <v>COMNGA</v>
      </c>
      <c r="F80" s="23" t="str">
        <f t="shared" si="24"/>
        <v>COMHOTNewOEEUE</v>
      </c>
      <c r="G80" s="23" t="str">
        <f t="shared" si="24"/>
        <v>COMHOTNewOEEUE</v>
      </c>
      <c r="H80" s="24">
        <v>2050</v>
      </c>
      <c r="I80" s="24" t="str">
        <f>I79</f>
        <v>LO</v>
      </c>
      <c r="J80" s="24"/>
      <c r="K80" s="25">
        <f>UC!K80</f>
        <v>0</v>
      </c>
      <c r="L80" s="24"/>
      <c r="M80" s="24"/>
      <c r="N80" s="26"/>
      <c r="O80" s="27"/>
      <c r="Q80" s="21" t="str">
        <f>SUBSTITUTE(UC!Q80,"Old","New")</f>
        <v/>
      </c>
      <c r="R80" s="22"/>
      <c r="S80" s="23" t="str">
        <f t="shared" si="20"/>
        <v>COMNGA</v>
      </c>
      <c r="T80" s="23" t="str">
        <f t="shared" si="21"/>
        <v>COMHOTNewOEEUE</v>
      </c>
      <c r="U80" s="23" t="str">
        <f t="shared" si="22"/>
        <v>COMHOTNewOEEUE</v>
      </c>
      <c r="V80" s="24">
        <v>2050</v>
      </c>
      <c r="W80" s="24" t="str">
        <f>W79</f>
        <v>UP</v>
      </c>
      <c r="X80" s="24"/>
      <c r="Y80" s="25">
        <f>UC!Y80</f>
        <v>-1</v>
      </c>
      <c r="Z80" s="24"/>
      <c r="AA80" s="24"/>
      <c r="AB80" s="26"/>
      <c r="AC80" s="27"/>
    </row>
    <row r="81" spans="1:29" x14ac:dyDescent="0.25">
      <c r="A81" s="19">
        <f>A77+1</f>
        <v>20</v>
      </c>
      <c r="B81" s="10"/>
      <c r="C81" s="11" t="str">
        <f>SUBSTITUTE(UC!C81,"Old","New")</f>
        <v>*</v>
      </c>
      <c r="D81" s="12"/>
      <c r="E81" s="13" t="str">
        <f>_xlfn.XLOOKUP($A81,Selected_constraint_UC!$A:$A,Selected_constraint_UC!$B:$B)</f>
        <v>COMSTM</v>
      </c>
      <c r="F81" s="13" t="str">
        <f>SUBSTITUTE(_xlfn.XLOOKUP($A81,Selected_constraint_UC!$A:$A,Selected_constraint_UC!$C:$C),"Old","New")</f>
        <v>COMHOTNewOEEUE</v>
      </c>
      <c r="G81" s="13" t="str">
        <f>F81</f>
        <v>COMHOTNewOEEUE</v>
      </c>
      <c r="H81" s="14">
        <v>2019</v>
      </c>
      <c r="I81" s="14" t="s">
        <v>3848</v>
      </c>
      <c r="J81" s="14">
        <v>1</v>
      </c>
      <c r="K81" s="15">
        <f>UC!K81</f>
        <v>0</v>
      </c>
      <c r="L81" s="14">
        <v>0</v>
      </c>
      <c r="M81" s="14">
        <v>5</v>
      </c>
      <c r="N81" s="10"/>
      <c r="O81" s="20"/>
      <c r="Q81" s="11" t="str">
        <f>SUBSTITUTE(UC!Q81,"Old","New")</f>
        <v>*</v>
      </c>
      <c r="R81" s="12"/>
      <c r="S81" s="13" t="str">
        <f t="shared" si="20"/>
        <v>COMSTM</v>
      </c>
      <c r="T81" s="13" t="str">
        <f t="shared" si="21"/>
        <v>COMHOTNewOEEUE</v>
      </c>
      <c r="U81" s="13" t="str">
        <f t="shared" si="22"/>
        <v>COMHOTNewOEEUE</v>
      </c>
      <c r="V81" s="14">
        <f>H81</f>
        <v>2019</v>
      </c>
      <c r="W81" s="29" t="s">
        <v>3849</v>
      </c>
      <c r="X81" s="14">
        <v>1</v>
      </c>
      <c r="Y81" s="15">
        <f>UC!Y81</f>
        <v>0</v>
      </c>
      <c r="Z81" s="14">
        <v>0</v>
      </c>
      <c r="AA81" s="14">
        <v>5</v>
      </c>
      <c r="AB81" s="10"/>
      <c r="AC81" s="20"/>
    </row>
    <row r="82" spans="1:29" x14ac:dyDescent="0.25">
      <c r="A82" s="10">
        <f>A81</f>
        <v>20</v>
      </c>
      <c r="B82" s="10"/>
      <c r="C82" s="11" t="str">
        <f>SUBSTITUTE(UC!C82,"Old","New")</f>
        <v>*</v>
      </c>
      <c r="D82" s="12"/>
      <c r="E82" s="13" t="str">
        <f t="shared" ref="E82:G84" si="25">E81</f>
        <v>COMSTM</v>
      </c>
      <c r="F82" s="13" t="str">
        <f t="shared" si="25"/>
        <v>COMHOTNewOEEUE</v>
      </c>
      <c r="G82" s="13" t="str">
        <f t="shared" si="25"/>
        <v>COMHOTNewOEEUE</v>
      </c>
      <c r="H82" s="14">
        <v>2025</v>
      </c>
      <c r="I82" s="14" t="str">
        <f>I81</f>
        <v>LO</v>
      </c>
      <c r="J82" s="14"/>
      <c r="K82" s="15">
        <f>UC!K82</f>
        <v>0</v>
      </c>
      <c r="L82" s="14"/>
      <c r="M82" s="14"/>
      <c r="N82" s="10"/>
      <c r="O82" s="20"/>
      <c r="Q82" s="11" t="str">
        <f>SUBSTITUTE(UC!Q82,"Old","New")</f>
        <v>*</v>
      </c>
      <c r="R82" s="12"/>
      <c r="S82" s="13" t="str">
        <f t="shared" si="20"/>
        <v>COMSTM</v>
      </c>
      <c r="T82" s="13" t="str">
        <f t="shared" si="21"/>
        <v>COMHOTNewOEEUE</v>
      </c>
      <c r="U82" s="13" t="str">
        <f t="shared" si="22"/>
        <v>COMHOTNewOEEUE</v>
      </c>
      <c r="V82" s="14">
        <v>2025</v>
      </c>
      <c r="W82" s="14" t="str">
        <f>W81</f>
        <v>UP</v>
      </c>
      <c r="X82" s="14"/>
      <c r="Y82" s="15">
        <f>UC!Y82</f>
        <v>0</v>
      </c>
      <c r="Z82" s="14"/>
      <c r="AA82" s="14"/>
      <c r="AB82" s="10"/>
      <c r="AC82" s="20"/>
    </row>
    <row r="83" spans="1:29" x14ac:dyDescent="0.25">
      <c r="A83" s="10">
        <f>A82</f>
        <v>20</v>
      </c>
      <c r="B83" s="10"/>
      <c r="C83" s="11" t="str">
        <f>SUBSTITUTE(UC!C83,"Old","New")</f>
        <v>*</v>
      </c>
      <c r="D83" s="12"/>
      <c r="E83" s="13" t="str">
        <f t="shared" si="25"/>
        <v>COMSTM</v>
      </c>
      <c r="F83" s="13" t="str">
        <f t="shared" si="25"/>
        <v>COMHOTNewOEEUE</v>
      </c>
      <c r="G83" s="13" t="str">
        <f t="shared" si="25"/>
        <v>COMHOTNewOEEUE</v>
      </c>
      <c r="H83" s="14">
        <v>2030</v>
      </c>
      <c r="I83" s="14" t="str">
        <f>I82</f>
        <v>LO</v>
      </c>
      <c r="J83" s="14"/>
      <c r="K83" s="15">
        <f>UC!K83</f>
        <v>0</v>
      </c>
      <c r="L83" s="14"/>
      <c r="M83" s="14"/>
      <c r="N83" s="10"/>
      <c r="O83" s="20"/>
      <c r="Q83" s="11" t="str">
        <f>SUBSTITUTE(UC!Q83,"Old","New")</f>
        <v>*</v>
      </c>
      <c r="R83" s="12"/>
      <c r="S83" s="13" t="str">
        <f t="shared" si="20"/>
        <v>COMSTM</v>
      </c>
      <c r="T83" s="13" t="str">
        <f t="shared" si="21"/>
        <v>COMHOTNewOEEUE</v>
      </c>
      <c r="U83" s="13" t="str">
        <f t="shared" si="22"/>
        <v>COMHOTNewOEEUE</v>
      </c>
      <c r="V83" s="14">
        <v>2030</v>
      </c>
      <c r="W83" s="14" t="str">
        <f>W82</f>
        <v>UP</v>
      </c>
      <c r="X83" s="14"/>
      <c r="Y83" s="15">
        <f>UC!Y83</f>
        <v>0</v>
      </c>
      <c r="Z83" s="14"/>
      <c r="AA83" s="14"/>
      <c r="AB83" s="10"/>
      <c r="AC83" s="20"/>
    </row>
    <row r="84" spans="1:29" x14ac:dyDescent="0.25">
      <c r="A84" s="26">
        <f>A83</f>
        <v>20</v>
      </c>
      <c r="B84" s="26"/>
      <c r="C84" s="21" t="str">
        <f>SUBSTITUTE(UC!C84,"Old","New")</f>
        <v>*</v>
      </c>
      <c r="D84" s="22"/>
      <c r="E84" s="23" t="str">
        <f t="shared" si="25"/>
        <v>COMSTM</v>
      </c>
      <c r="F84" s="23" t="str">
        <f t="shared" si="25"/>
        <v>COMHOTNewOEEUE</v>
      </c>
      <c r="G84" s="23" t="str">
        <f t="shared" si="25"/>
        <v>COMHOTNewOEEUE</v>
      </c>
      <c r="H84" s="24">
        <v>2050</v>
      </c>
      <c r="I84" s="24" t="str">
        <f>I83</f>
        <v>LO</v>
      </c>
      <c r="J84" s="24"/>
      <c r="K84" s="25">
        <f>UC!K84</f>
        <v>0</v>
      </c>
      <c r="L84" s="24"/>
      <c r="M84" s="24"/>
      <c r="N84" s="26"/>
      <c r="O84" s="27"/>
      <c r="Q84" s="21" t="str">
        <f>SUBSTITUTE(UC!Q84,"Old","New")</f>
        <v>*</v>
      </c>
      <c r="R84" s="22"/>
      <c r="S84" s="23" t="str">
        <f t="shared" si="20"/>
        <v>COMSTM</v>
      </c>
      <c r="T84" s="23" t="str">
        <f t="shared" si="21"/>
        <v>COMHOTNewOEEUE</v>
      </c>
      <c r="U84" s="23" t="str">
        <f t="shared" si="22"/>
        <v>COMHOTNewOEEUE</v>
      </c>
      <c r="V84" s="24">
        <v>2050</v>
      </c>
      <c r="W84" s="24" t="str">
        <f>W83</f>
        <v>UP</v>
      </c>
      <c r="X84" s="24"/>
      <c r="Y84" s="25">
        <f>UC!Y84</f>
        <v>0</v>
      </c>
      <c r="Z84" s="24"/>
      <c r="AA84" s="24"/>
      <c r="AB84" s="26"/>
      <c r="AC84" s="27"/>
    </row>
    <row r="85" spans="1:29" x14ac:dyDescent="0.25">
      <c r="A85" s="19">
        <f>A81+1</f>
        <v>21</v>
      </c>
      <c r="B85" s="10"/>
      <c r="C85" s="11" t="str">
        <f>SUBSTITUTE(UC!C85,"Old","New")</f>
        <v>UC_MarketShare_COMHOTNewOE_ELC_MIN</v>
      </c>
      <c r="D85" s="12"/>
      <c r="E85" s="13" t="str">
        <f>_xlfn.XLOOKUP($A85,Selected_constraint_UC!$A:$A,Selected_constraint_UC!$B:$B)</f>
        <v>COMELC</v>
      </c>
      <c r="F85" s="13" t="str">
        <f>SUBSTITUTE(_xlfn.XLOOKUP($A85,Selected_constraint_UC!$A:$A,Selected_constraint_UC!$C:$C),"Old","New")</f>
        <v>COMHOTNewOEEUE</v>
      </c>
      <c r="G85" s="13" t="str">
        <f>F85</f>
        <v>COMHOTNewOEEUE</v>
      </c>
      <c r="H85" s="14">
        <v>2019</v>
      </c>
      <c r="I85" s="14" t="s">
        <v>3848</v>
      </c>
      <c r="J85" s="14">
        <v>1</v>
      </c>
      <c r="K85" s="15">
        <f>UC!K85</f>
        <v>-0.50470000000000004</v>
      </c>
      <c r="L85" s="14">
        <v>0</v>
      </c>
      <c r="M85" s="14">
        <v>5</v>
      </c>
      <c r="N85" s="10"/>
      <c r="O85" s="20"/>
      <c r="Q85" s="11" t="str">
        <f>SUBSTITUTE(UC!Q85,"Old","New")</f>
        <v>UC_MarketShare_COMHOTNewOE_ELC_MAX</v>
      </c>
      <c r="R85" s="12"/>
      <c r="S85" s="13" t="str">
        <f t="shared" si="20"/>
        <v>COMELC</v>
      </c>
      <c r="T85" s="13" t="str">
        <f t="shared" si="21"/>
        <v>COMHOTNewOEEUE</v>
      </c>
      <c r="U85" s="13" t="str">
        <f t="shared" si="22"/>
        <v>COMHOTNewOEEUE</v>
      </c>
      <c r="V85" s="14">
        <f>H85</f>
        <v>2019</v>
      </c>
      <c r="W85" s="29" t="s">
        <v>3849</v>
      </c>
      <c r="X85" s="14">
        <v>1</v>
      </c>
      <c r="Y85" s="15">
        <f>UC!Y85</f>
        <v>-0.52700000000000002</v>
      </c>
      <c r="Z85" s="14">
        <v>0</v>
      </c>
      <c r="AA85" s="14">
        <v>5</v>
      </c>
      <c r="AB85" s="10"/>
      <c r="AC85" s="20"/>
    </row>
    <row r="86" spans="1:29" x14ac:dyDescent="0.25">
      <c r="A86" s="10">
        <f>A85</f>
        <v>21</v>
      </c>
      <c r="B86" s="10"/>
      <c r="C86" s="11" t="str">
        <f>SUBSTITUTE(UC!C86,"Old","New")</f>
        <v/>
      </c>
      <c r="D86" s="12"/>
      <c r="E86" s="13" t="str">
        <f t="shared" ref="E86:G88" si="26">E85</f>
        <v>COMELC</v>
      </c>
      <c r="F86" s="13" t="str">
        <f t="shared" si="26"/>
        <v>COMHOTNewOEEUE</v>
      </c>
      <c r="G86" s="13" t="str">
        <f t="shared" si="26"/>
        <v>COMHOTNewOEEUE</v>
      </c>
      <c r="H86" s="14">
        <v>2025</v>
      </c>
      <c r="I86" s="14" t="str">
        <f>I85</f>
        <v>LO</v>
      </c>
      <c r="J86" s="14"/>
      <c r="K86" s="15">
        <f>UC!K86</f>
        <v>-0.41200000000000003</v>
      </c>
      <c r="L86" s="14"/>
      <c r="M86" s="14"/>
      <c r="N86" s="10"/>
      <c r="O86" s="20"/>
      <c r="Q86" s="11" t="str">
        <f>SUBSTITUTE(UC!Q86,"Old","New")</f>
        <v/>
      </c>
      <c r="R86" s="12"/>
      <c r="S86" s="13" t="str">
        <f t="shared" si="20"/>
        <v>COMELC</v>
      </c>
      <c r="T86" s="13" t="str">
        <f t="shared" si="21"/>
        <v>COMHOTNewOEEUE</v>
      </c>
      <c r="U86" s="13" t="str">
        <f t="shared" si="22"/>
        <v>COMHOTNewOEEUE</v>
      </c>
      <c r="V86" s="14">
        <v>2025</v>
      </c>
      <c r="W86" s="14" t="str">
        <f>W85</f>
        <v>UP</v>
      </c>
      <c r="X86" s="14"/>
      <c r="Y86" s="15">
        <f>UC!Y86</f>
        <v>-0.61899999999999999</v>
      </c>
      <c r="Z86" s="14"/>
      <c r="AA86" s="14"/>
      <c r="AB86" s="10"/>
      <c r="AC86" s="20"/>
    </row>
    <row r="87" spans="1:29" x14ac:dyDescent="0.25">
      <c r="A87" s="10">
        <f>A86</f>
        <v>21</v>
      </c>
      <c r="B87" s="10"/>
      <c r="C87" s="11" t="str">
        <f>SUBSTITUTE(UC!C87,"Old","New")</f>
        <v/>
      </c>
      <c r="D87" s="12"/>
      <c r="E87" s="13" t="str">
        <f t="shared" si="26"/>
        <v>COMELC</v>
      </c>
      <c r="F87" s="13" t="str">
        <f t="shared" si="26"/>
        <v>COMHOTNewOEEUE</v>
      </c>
      <c r="G87" s="13" t="str">
        <f t="shared" si="26"/>
        <v>COMHOTNewOEEUE</v>
      </c>
      <c r="H87" s="14">
        <v>2030</v>
      </c>
      <c r="I87" s="14" t="str">
        <f>I86</f>
        <v>LO</v>
      </c>
      <c r="J87" s="14"/>
      <c r="K87" s="15">
        <f>UC!K87</f>
        <v>-0.10300000000000001</v>
      </c>
      <c r="L87" s="14"/>
      <c r="M87" s="14"/>
      <c r="N87" s="10"/>
      <c r="O87" s="20"/>
      <c r="Q87" s="11" t="str">
        <f>SUBSTITUTE(UC!Q87,"Old","New")</f>
        <v/>
      </c>
      <c r="R87" s="12"/>
      <c r="S87" s="13" t="str">
        <f t="shared" si="20"/>
        <v>COMELC</v>
      </c>
      <c r="T87" s="13" t="str">
        <f t="shared" si="21"/>
        <v>COMHOTNewOEEUE</v>
      </c>
      <c r="U87" s="13" t="str">
        <f t="shared" si="22"/>
        <v>COMHOTNewOEEUE</v>
      </c>
      <c r="V87" s="14">
        <v>2030</v>
      </c>
      <c r="W87" s="14" t="str">
        <f>W86</f>
        <v>UP</v>
      </c>
      <c r="X87" s="14"/>
      <c r="Y87" s="15">
        <f>UC!Y87</f>
        <v>-0.77400000000000002</v>
      </c>
      <c r="Z87" s="14"/>
      <c r="AA87" s="14"/>
      <c r="AB87" s="10"/>
      <c r="AC87" s="20"/>
    </row>
    <row r="88" spans="1:29" x14ac:dyDescent="0.25">
      <c r="A88" s="26">
        <f>A87</f>
        <v>21</v>
      </c>
      <c r="B88" s="26"/>
      <c r="C88" s="21" t="str">
        <f>SUBSTITUTE(UC!C88,"Old","New")</f>
        <v/>
      </c>
      <c r="D88" s="22"/>
      <c r="E88" s="23" t="str">
        <f t="shared" si="26"/>
        <v>COMELC</v>
      </c>
      <c r="F88" s="23" t="str">
        <f t="shared" si="26"/>
        <v>COMHOTNewOEEUE</v>
      </c>
      <c r="G88" s="23" t="str">
        <f t="shared" si="26"/>
        <v>COMHOTNewOEEUE</v>
      </c>
      <c r="H88" s="24">
        <v>2050</v>
      </c>
      <c r="I88" s="24" t="str">
        <f>I87</f>
        <v>LO</v>
      </c>
      <c r="J88" s="24"/>
      <c r="K88" s="25">
        <f>UC!K88</f>
        <v>0</v>
      </c>
      <c r="L88" s="24"/>
      <c r="M88" s="24"/>
      <c r="N88" s="26"/>
      <c r="O88" s="27"/>
      <c r="Q88" s="21" t="str">
        <f>SUBSTITUTE(UC!Q88,"Old","New")</f>
        <v/>
      </c>
      <c r="R88" s="22"/>
      <c r="S88" s="23" t="str">
        <f t="shared" si="20"/>
        <v>COMELC</v>
      </c>
      <c r="T88" s="23" t="str">
        <f t="shared" si="21"/>
        <v>COMHOTNewOEEUE</v>
      </c>
      <c r="U88" s="23" t="str">
        <f t="shared" si="22"/>
        <v>COMHOTNewOEEUE</v>
      </c>
      <c r="V88" s="24">
        <v>2050</v>
      </c>
      <c r="W88" s="24" t="str">
        <f>W87</f>
        <v>UP</v>
      </c>
      <c r="X88" s="24"/>
      <c r="Y88" s="25">
        <f>UC!Y88</f>
        <v>-1</v>
      </c>
      <c r="Z88" s="24"/>
      <c r="AA88" s="24"/>
      <c r="AB88" s="26"/>
      <c r="AC88" s="27"/>
    </row>
    <row r="89" spans="1:29" x14ac:dyDescent="0.25">
      <c r="A89" s="19">
        <f>A85+1</f>
        <v>22</v>
      </c>
      <c r="B89" s="10"/>
      <c r="C89" s="11" t="str">
        <f>SUBSTITUTE(UC!C89,"Old","New")</f>
        <v>UC_MarketShare_COMRETNewSH_ELC_MIN</v>
      </c>
      <c r="D89" s="12"/>
      <c r="E89" s="13" t="str">
        <f>_xlfn.XLOOKUP($A89,Selected_constraint_UC!$A:$A,Selected_constraint_UC!$B:$B)</f>
        <v>COMELC</v>
      </c>
      <c r="F89" s="13" t="str">
        <f>SUBSTITUTE(_xlfn.XLOOKUP($A89,Selected_constraint_UC!$A:$A,Selected_constraint_UC!$C:$C),"Old","New")</f>
        <v>COMRETNewSHEUE</v>
      </c>
      <c r="G89" s="13" t="str">
        <f>F89</f>
        <v>COMRETNewSHEUE</v>
      </c>
      <c r="H89" s="14">
        <v>2019</v>
      </c>
      <c r="I89" s="14" t="s">
        <v>3848</v>
      </c>
      <c r="J89" s="14">
        <v>1</v>
      </c>
      <c r="K89" s="15">
        <f>UC!K89</f>
        <v>-0.11466</v>
      </c>
      <c r="L89" s="14">
        <v>0</v>
      </c>
      <c r="M89" s="14">
        <v>5</v>
      </c>
      <c r="N89" s="10"/>
      <c r="O89" s="20"/>
      <c r="Q89" s="11" t="str">
        <f>SUBSTITUTE(UC!Q89,"Old","New")</f>
        <v>UC_MarketShare_COMRETNewSH_ELC_MAX</v>
      </c>
      <c r="R89" s="12"/>
      <c r="S89" s="13" t="str">
        <f t="shared" si="20"/>
        <v>COMELC</v>
      </c>
      <c r="T89" s="13" t="str">
        <f t="shared" si="21"/>
        <v>COMRETNewSHEUE</v>
      </c>
      <c r="U89" s="13" t="str">
        <f t="shared" si="22"/>
        <v>COMRETNewSHEUE</v>
      </c>
      <c r="V89" s="14">
        <f>H89</f>
        <v>2019</v>
      </c>
      <c r="W89" s="29" t="s">
        <v>3849</v>
      </c>
      <c r="X89" s="14">
        <v>1</v>
      </c>
      <c r="Y89" s="15">
        <f>UC!Y89</f>
        <v>-0.12</v>
      </c>
      <c r="Z89" s="14">
        <v>0</v>
      </c>
      <c r="AA89" s="14">
        <v>5</v>
      </c>
      <c r="AB89" s="10"/>
      <c r="AC89" s="20"/>
    </row>
    <row r="90" spans="1:29" x14ac:dyDescent="0.25">
      <c r="A90" s="10">
        <f>A89</f>
        <v>22</v>
      </c>
      <c r="B90" s="10"/>
      <c r="C90" s="11" t="str">
        <f>SUBSTITUTE(UC!C90,"Old","New")</f>
        <v/>
      </c>
      <c r="D90" s="12"/>
      <c r="E90" s="13" t="str">
        <f t="shared" ref="E90:G92" si="27">E89</f>
        <v>COMELC</v>
      </c>
      <c r="F90" s="13" t="str">
        <f t="shared" si="27"/>
        <v>COMRETNewSHEUE</v>
      </c>
      <c r="G90" s="13" t="str">
        <f t="shared" si="27"/>
        <v>COMRETNewSHEUE</v>
      </c>
      <c r="H90" s="14">
        <v>2025</v>
      </c>
      <c r="I90" s="14" t="str">
        <f>I89</f>
        <v>LO</v>
      </c>
      <c r="J90" s="14"/>
      <c r="K90" s="15">
        <f>UC!K90</f>
        <v>-9.3600000000000017E-2</v>
      </c>
      <c r="L90" s="14"/>
      <c r="M90" s="14"/>
      <c r="N90" s="10"/>
      <c r="O90" s="20"/>
      <c r="Q90" s="11" t="str">
        <f>SUBSTITUTE(UC!Q90,"Old","New")</f>
        <v/>
      </c>
      <c r="R90" s="12"/>
      <c r="S90" s="13" t="str">
        <f t="shared" si="20"/>
        <v>COMELC</v>
      </c>
      <c r="T90" s="13" t="str">
        <f t="shared" si="21"/>
        <v>COMRETNewSHEUE</v>
      </c>
      <c r="U90" s="13" t="str">
        <f t="shared" si="22"/>
        <v>COMRETNewSHEUE</v>
      </c>
      <c r="V90" s="14">
        <v>2025</v>
      </c>
      <c r="W90" s="14" t="str">
        <f>W89</f>
        <v>UP</v>
      </c>
      <c r="X90" s="14"/>
      <c r="Y90" s="15">
        <f>UC!Y90</f>
        <v>-0.25</v>
      </c>
      <c r="Z90" s="14"/>
      <c r="AA90" s="14"/>
      <c r="AB90" s="10"/>
      <c r="AC90" s="20"/>
    </row>
    <row r="91" spans="1:29" x14ac:dyDescent="0.25">
      <c r="A91" s="10">
        <f>A90</f>
        <v>22</v>
      </c>
      <c r="B91" s="10"/>
      <c r="C91" s="11" t="str">
        <f>SUBSTITUTE(UC!C91,"Old","New")</f>
        <v/>
      </c>
      <c r="D91" s="12"/>
      <c r="E91" s="13" t="str">
        <f t="shared" si="27"/>
        <v>COMELC</v>
      </c>
      <c r="F91" s="13" t="str">
        <f t="shared" si="27"/>
        <v>COMRETNewSHEUE</v>
      </c>
      <c r="G91" s="13" t="str">
        <f t="shared" si="27"/>
        <v>COMRETNewSHEUE</v>
      </c>
      <c r="H91" s="14">
        <v>2030</v>
      </c>
      <c r="I91" s="14" t="str">
        <f>I90</f>
        <v>LO</v>
      </c>
      <c r="J91" s="14"/>
      <c r="K91" s="15">
        <f>UC!K91</f>
        <v>-8.7750000000000009E-2</v>
      </c>
      <c r="L91" s="14"/>
      <c r="M91" s="14"/>
      <c r="N91" s="10"/>
      <c r="O91" s="20"/>
      <c r="Q91" s="11" t="str">
        <f>SUBSTITUTE(UC!Q91,"Old","New")</f>
        <v/>
      </c>
      <c r="R91" s="12"/>
      <c r="S91" s="13" t="str">
        <f t="shared" si="20"/>
        <v>COMELC</v>
      </c>
      <c r="T91" s="13" t="str">
        <f t="shared" si="21"/>
        <v>COMRETNewSHEUE</v>
      </c>
      <c r="U91" s="13" t="str">
        <f t="shared" si="22"/>
        <v>COMRETNewSHEUE</v>
      </c>
      <c r="V91" s="14">
        <v>2030</v>
      </c>
      <c r="W91" s="14" t="str">
        <f>W90</f>
        <v>UP</v>
      </c>
      <c r="X91" s="14"/>
      <c r="Y91" s="15">
        <f>UC!Y91</f>
        <v>-0.5</v>
      </c>
      <c r="Z91" s="14"/>
      <c r="AA91" s="14"/>
      <c r="AB91" s="10"/>
      <c r="AC91" s="20"/>
    </row>
    <row r="92" spans="1:29" x14ac:dyDescent="0.25">
      <c r="A92" s="26">
        <f>A91</f>
        <v>22</v>
      </c>
      <c r="B92" s="26"/>
      <c r="C92" s="21" t="str">
        <f>SUBSTITUTE(UC!C92,"Old","New")</f>
        <v/>
      </c>
      <c r="D92" s="22"/>
      <c r="E92" s="23" t="str">
        <f t="shared" si="27"/>
        <v>COMELC</v>
      </c>
      <c r="F92" s="23" t="str">
        <f t="shared" si="27"/>
        <v>COMRETNewSHEUE</v>
      </c>
      <c r="G92" s="23" t="str">
        <f t="shared" si="27"/>
        <v>COMRETNewSHEUE</v>
      </c>
      <c r="H92" s="24">
        <v>2050</v>
      </c>
      <c r="I92" s="24" t="str">
        <f>I91</f>
        <v>LO</v>
      </c>
      <c r="J92" s="24"/>
      <c r="K92" s="25">
        <f>UC!K92</f>
        <v>-8.7750000000000009E-2</v>
      </c>
      <c r="L92" s="24"/>
      <c r="M92" s="24"/>
      <c r="N92" s="26"/>
      <c r="O92" s="27"/>
      <c r="Q92" s="21" t="str">
        <f>SUBSTITUTE(UC!Q92,"Old","New")</f>
        <v/>
      </c>
      <c r="R92" s="22"/>
      <c r="S92" s="23" t="str">
        <f t="shared" si="20"/>
        <v>COMELC</v>
      </c>
      <c r="T92" s="23" t="str">
        <f t="shared" si="21"/>
        <v>COMRETNewSHEUE</v>
      </c>
      <c r="U92" s="23" t="str">
        <f t="shared" si="22"/>
        <v>COMRETNewSHEUE</v>
      </c>
      <c r="V92" s="24">
        <v>2050</v>
      </c>
      <c r="W92" s="24" t="str">
        <f>W91</f>
        <v>UP</v>
      </c>
      <c r="X92" s="24"/>
      <c r="Y92" s="25">
        <f>UC!Y92</f>
        <v>-1</v>
      </c>
      <c r="Z92" s="24"/>
      <c r="AA92" s="24"/>
      <c r="AB92" s="26"/>
      <c r="AC92" s="27"/>
    </row>
    <row r="93" spans="1:29" x14ac:dyDescent="0.25">
      <c r="A93" s="19">
        <f>A89+1</f>
        <v>23</v>
      </c>
      <c r="B93" s="10"/>
      <c r="C93" s="11" t="str">
        <f>SUBSTITUTE(UC!C93,"Old","New")</f>
        <v>UC_MarketShare_COMRETNewSH_NGA_MIN</v>
      </c>
      <c r="D93" s="12"/>
      <c r="E93" s="13" t="str">
        <f>_xlfn.XLOOKUP($A93,Selected_constraint_UC!$A:$A,Selected_constraint_UC!$B:$B)</f>
        <v>COMNGA</v>
      </c>
      <c r="F93" s="13" t="str">
        <f>SUBSTITUTE(_xlfn.XLOOKUP($A93,Selected_constraint_UC!$A:$A,Selected_constraint_UC!$C:$C),"Old","New")</f>
        <v>COMRETNewSHEUE</v>
      </c>
      <c r="G93" s="13" t="str">
        <f>F93</f>
        <v>COMRETNewSHEUE</v>
      </c>
      <c r="H93" s="14">
        <v>2019</v>
      </c>
      <c r="I93" s="14" t="s">
        <v>3848</v>
      </c>
      <c r="J93" s="14">
        <v>1</v>
      </c>
      <c r="K93" s="15">
        <f>UC!K93</f>
        <v>-0.74185999999999996</v>
      </c>
      <c r="L93" s="14">
        <v>0</v>
      </c>
      <c r="M93" s="14">
        <v>5</v>
      </c>
      <c r="N93" s="10"/>
      <c r="O93" s="20"/>
      <c r="Q93" s="11" t="str">
        <f>SUBSTITUTE(UC!Q93,"Old","New")</f>
        <v>UC_MarketShare_COMRETNewSH_NGA_MAX</v>
      </c>
      <c r="R93" s="12"/>
      <c r="S93" s="13" t="str">
        <f t="shared" si="20"/>
        <v>COMNGA</v>
      </c>
      <c r="T93" s="13" t="str">
        <f t="shared" si="21"/>
        <v>COMRETNewSHEUE</v>
      </c>
      <c r="U93" s="13" t="str">
        <f t="shared" si="22"/>
        <v>COMRETNewSHEUE</v>
      </c>
      <c r="V93" s="14">
        <f>H93</f>
        <v>2019</v>
      </c>
      <c r="W93" s="29" t="s">
        <v>3849</v>
      </c>
      <c r="X93" s="14">
        <v>1</v>
      </c>
      <c r="Y93" s="15">
        <f>UC!Y93</f>
        <v>-0.77300000000000002</v>
      </c>
      <c r="Z93" s="14">
        <v>0</v>
      </c>
      <c r="AA93" s="14">
        <v>5</v>
      </c>
      <c r="AB93" s="10"/>
      <c r="AC93" s="20"/>
    </row>
    <row r="94" spans="1:29" x14ac:dyDescent="0.25">
      <c r="A94" s="10">
        <f>A93</f>
        <v>23</v>
      </c>
      <c r="B94" s="10"/>
      <c r="C94" s="11" t="str">
        <f>SUBSTITUTE(UC!C94,"Old","New")</f>
        <v/>
      </c>
      <c r="D94" s="12"/>
      <c r="E94" s="13" t="str">
        <f t="shared" ref="E94:G96" si="28">E93</f>
        <v>COMNGA</v>
      </c>
      <c r="F94" s="13" t="str">
        <f t="shared" si="28"/>
        <v>COMRETNewSHEUE</v>
      </c>
      <c r="G94" s="13" t="str">
        <f t="shared" si="28"/>
        <v>COMRETNewSHEUE</v>
      </c>
      <c r="H94" s="14">
        <v>2025</v>
      </c>
      <c r="I94" s="14" t="str">
        <f>I93</f>
        <v>LO</v>
      </c>
      <c r="J94" s="14"/>
      <c r="K94" s="15">
        <f>UC!K94</f>
        <v>-0.60560000000000003</v>
      </c>
      <c r="L94" s="14"/>
      <c r="M94" s="14"/>
      <c r="N94" s="10"/>
      <c r="O94" s="20"/>
      <c r="Q94" s="11" t="str">
        <f>SUBSTITUTE(UC!Q94,"Old","New")</f>
        <v/>
      </c>
      <c r="R94" s="12"/>
      <c r="S94" s="13" t="str">
        <f t="shared" si="20"/>
        <v>COMNGA</v>
      </c>
      <c r="T94" s="13" t="str">
        <f t="shared" si="21"/>
        <v>COMRETNewSHEUE</v>
      </c>
      <c r="U94" s="13" t="str">
        <f t="shared" si="22"/>
        <v>COMRETNewSHEUE</v>
      </c>
      <c r="V94" s="14">
        <v>2025</v>
      </c>
      <c r="W94" s="14" t="str">
        <f>W93</f>
        <v>UP</v>
      </c>
      <c r="X94" s="14"/>
      <c r="Y94" s="15">
        <f>UC!Y94</f>
        <v>-0.90900000000000003</v>
      </c>
      <c r="Z94" s="14"/>
      <c r="AA94" s="14"/>
      <c r="AB94" s="10"/>
      <c r="AC94" s="20"/>
    </row>
    <row r="95" spans="1:29" x14ac:dyDescent="0.25">
      <c r="A95" s="10">
        <f>A94</f>
        <v>23</v>
      </c>
      <c r="B95" s="10"/>
      <c r="C95" s="11" t="str">
        <f>SUBSTITUTE(UC!C95,"Old","New")</f>
        <v/>
      </c>
      <c r="D95" s="12"/>
      <c r="E95" s="13" t="str">
        <f t="shared" si="28"/>
        <v>COMNGA</v>
      </c>
      <c r="F95" s="13" t="str">
        <f t="shared" si="28"/>
        <v>COMRETNewSHEUE</v>
      </c>
      <c r="G95" s="13" t="str">
        <f t="shared" si="28"/>
        <v>COMRETNewSHEUE</v>
      </c>
      <c r="H95" s="14">
        <v>2030</v>
      </c>
      <c r="I95" s="14" t="str">
        <f>I94</f>
        <v>LO</v>
      </c>
      <c r="J95" s="14"/>
      <c r="K95" s="15">
        <f>UC!K95</f>
        <v>-0.15140000000000001</v>
      </c>
      <c r="L95" s="14"/>
      <c r="M95" s="14"/>
      <c r="N95" s="10"/>
      <c r="O95" s="20"/>
      <c r="Q95" s="11" t="str">
        <f>SUBSTITUTE(UC!Q95,"Old","New")</f>
        <v/>
      </c>
      <c r="R95" s="12"/>
      <c r="S95" s="13" t="str">
        <f t="shared" si="20"/>
        <v>COMNGA</v>
      </c>
      <c r="T95" s="13" t="str">
        <f t="shared" si="21"/>
        <v>COMRETNewSHEUE</v>
      </c>
      <c r="U95" s="13" t="str">
        <f t="shared" si="22"/>
        <v>COMRETNewSHEUE</v>
      </c>
      <c r="V95" s="14">
        <v>2030</v>
      </c>
      <c r="W95" s="14" t="str">
        <f>W94</f>
        <v>UP</v>
      </c>
      <c r="X95" s="14"/>
      <c r="Y95" s="15">
        <f>UC!Y95</f>
        <v>-1</v>
      </c>
      <c r="Z95" s="14"/>
      <c r="AA95" s="14"/>
      <c r="AB95" s="10"/>
      <c r="AC95" s="20"/>
    </row>
    <row r="96" spans="1:29" x14ac:dyDescent="0.25">
      <c r="A96" s="26">
        <f>A95</f>
        <v>23</v>
      </c>
      <c r="B96" s="26"/>
      <c r="C96" s="21" t="str">
        <f>SUBSTITUTE(UC!C96,"Old","New")</f>
        <v/>
      </c>
      <c r="D96" s="22"/>
      <c r="E96" s="23" t="str">
        <f t="shared" si="28"/>
        <v>COMNGA</v>
      </c>
      <c r="F96" s="23" t="str">
        <f t="shared" si="28"/>
        <v>COMRETNewSHEUE</v>
      </c>
      <c r="G96" s="23" t="str">
        <f t="shared" si="28"/>
        <v>COMRETNewSHEUE</v>
      </c>
      <c r="H96" s="24">
        <v>2050</v>
      </c>
      <c r="I96" s="24" t="str">
        <f>I95</f>
        <v>LO</v>
      </c>
      <c r="J96" s="24"/>
      <c r="K96" s="25">
        <f>UC!K96</f>
        <v>0</v>
      </c>
      <c r="L96" s="24"/>
      <c r="M96" s="24"/>
      <c r="N96" s="26"/>
      <c r="O96" s="27"/>
      <c r="Q96" s="21" t="str">
        <f>SUBSTITUTE(UC!Q96,"Old","New")</f>
        <v/>
      </c>
      <c r="R96" s="22"/>
      <c r="S96" s="23" t="str">
        <f t="shared" si="20"/>
        <v>COMNGA</v>
      </c>
      <c r="T96" s="23" t="str">
        <f t="shared" si="21"/>
        <v>COMRETNewSHEUE</v>
      </c>
      <c r="U96" s="23" t="str">
        <f t="shared" si="22"/>
        <v>COMRETNewSHEUE</v>
      </c>
      <c r="V96" s="24">
        <v>2050</v>
      </c>
      <c r="W96" s="24" t="str">
        <f>W95</f>
        <v>UP</v>
      </c>
      <c r="X96" s="24"/>
      <c r="Y96" s="25">
        <f>UC!Y96</f>
        <v>-1</v>
      </c>
      <c r="Z96" s="24"/>
      <c r="AA96" s="24"/>
      <c r="AB96" s="26"/>
      <c r="AC96" s="27"/>
    </row>
    <row r="97" spans="1:29" x14ac:dyDescent="0.25">
      <c r="A97" s="19">
        <f>A93+1</f>
        <v>24</v>
      </c>
      <c r="B97" s="10"/>
      <c r="C97" s="11" t="str">
        <f>SUBSTITUTE(UC!C97,"Old","New")</f>
        <v>UC_MarketShare_COMRETNewSH_FOI_MIN</v>
      </c>
      <c r="D97" s="12"/>
      <c r="E97" s="13" t="str">
        <f>_xlfn.XLOOKUP($A97,Selected_constraint_UC!$A:$A,Selected_constraint_UC!$B:$B)</f>
        <v>COMFOI</v>
      </c>
      <c r="F97" s="13" t="str">
        <f>SUBSTITUTE(_xlfn.XLOOKUP($A97,Selected_constraint_UC!$A:$A,Selected_constraint_UC!$C:$C),"Old","New")</f>
        <v>COMRETNewSHEUE</v>
      </c>
      <c r="G97" s="13" t="str">
        <f>F97</f>
        <v>COMRETNewSHEUE</v>
      </c>
      <c r="H97" s="14">
        <v>2019</v>
      </c>
      <c r="I97" s="14" t="s">
        <v>3848</v>
      </c>
      <c r="J97" s="14">
        <v>1</v>
      </c>
      <c r="K97" s="15">
        <f>UC!K97</f>
        <v>-9.1139999999999999E-2</v>
      </c>
      <c r="L97" s="14">
        <v>0</v>
      </c>
      <c r="M97" s="14">
        <v>5</v>
      </c>
      <c r="N97" s="10"/>
      <c r="O97" s="20"/>
      <c r="Q97" s="11" t="str">
        <f>SUBSTITUTE(UC!Q97,"Old","New")</f>
        <v>UC_MarketShare_COMRETNewSH_FOI_MAX</v>
      </c>
      <c r="R97" s="12"/>
      <c r="S97" s="13" t="str">
        <f t="shared" si="20"/>
        <v>COMFOI</v>
      </c>
      <c r="T97" s="13" t="str">
        <f t="shared" si="21"/>
        <v>COMRETNewSHEUE</v>
      </c>
      <c r="U97" s="13" t="str">
        <f t="shared" si="22"/>
        <v>COMRETNewSHEUE</v>
      </c>
      <c r="V97" s="14">
        <f>H97</f>
        <v>2019</v>
      </c>
      <c r="W97" s="29" t="s">
        <v>3849</v>
      </c>
      <c r="X97" s="14">
        <v>1</v>
      </c>
      <c r="Y97" s="15">
        <f>UC!Y97</f>
        <v>-9.6000000000000002E-2</v>
      </c>
      <c r="Z97" s="14">
        <v>0</v>
      </c>
      <c r="AA97" s="14">
        <v>5</v>
      </c>
      <c r="AB97" s="10"/>
      <c r="AC97" s="20"/>
    </row>
    <row r="98" spans="1:29" x14ac:dyDescent="0.25">
      <c r="A98" s="10">
        <f>A97</f>
        <v>24</v>
      </c>
      <c r="B98" s="10"/>
      <c r="C98" s="11" t="str">
        <f>SUBSTITUTE(UC!C98,"Old","New")</f>
        <v/>
      </c>
      <c r="D98" s="12"/>
      <c r="E98" s="13" t="str">
        <f t="shared" ref="E98:G100" si="29">E97</f>
        <v>COMFOI</v>
      </c>
      <c r="F98" s="13" t="str">
        <f t="shared" si="29"/>
        <v>COMRETNewSHEUE</v>
      </c>
      <c r="G98" s="13" t="str">
        <f t="shared" si="29"/>
        <v>COMRETNewSHEUE</v>
      </c>
      <c r="H98" s="14">
        <v>2025</v>
      </c>
      <c r="I98" s="14" t="str">
        <f>I97</f>
        <v>LO</v>
      </c>
      <c r="J98" s="14"/>
      <c r="K98" s="15">
        <f>UC!K98</f>
        <v>-7.4400000000000008E-2</v>
      </c>
      <c r="L98" s="14"/>
      <c r="M98" s="14"/>
      <c r="N98" s="10"/>
      <c r="O98" s="20"/>
      <c r="Q98" s="11" t="str">
        <f>SUBSTITUTE(UC!Q98,"Old","New")</f>
        <v/>
      </c>
      <c r="R98" s="12"/>
      <c r="S98" s="13" t="str">
        <f t="shared" si="20"/>
        <v>COMFOI</v>
      </c>
      <c r="T98" s="13" t="str">
        <f t="shared" si="21"/>
        <v>COMRETNewSHEUE</v>
      </c>
      <c r="U98" s="13" t="str">
        <f t="shared" si="22"/>
        <v>COMRETNewSHEUE</v>
      </c>
      <c r="V98" s="14">
        <v>2025</v>
      </c>
      <c r="W98" s="14" t="str">
        <f>W97</f>
        <v>UP</v>
      </c>
      <c r="X98" s="14"/>
      <c r="Y98" s="15">
        <f>UC!Y98</f>
        <v>-0.112</v>
      </c>
      <c r="Z98" s="14"/>
      <c r="AA98" s="14"/>
      <c r="AB98" s="10"/>
      <c r="AC98" s="20"/>
    </row>
    <row r="99" spans="1:29" x14ac:dyDescent="0.25">
      <c r="A99" s="10">
        <f>A98</f>
        <v>24</v>
      </c>
      <c r="B99" s="10"/>
      <c r="C99" s="11" t="str">
        <f>SUBSTITUTE(UC!C99,"Old","New")</f>
        <v/>
      </c>
      <c r="D99" s="12"/>
      <c r="E99" s="13" t="str">
        <f t="shared" si="29"/>
        <v>COMFOI</v>
      </c>
      <c r="F99" s="13" t="str">
        <f t="shared" si="29"/>
        <v>COMRETNewSHEUE</v>
      </c>
      <c r="G99" s="13" t="str">
        <f t="shared" si="29"/>
        <v>COMRETNewSHEUE</v>
      </c>
      <c r="H99" s="14">
        <v>2030</v>
      </c>
      <c r="I99" s="14" t="str">
        <f>I98</f>
        <v>LO</v>
      </c>
      <c r="J99" s="14"/>
      <c r="K99" s="15">
        <f>UC!K99</f>
        <v>-1.8600000000000002E-2</v>
      </c>
      <c r="L99" s="14"/>
      <c r="M99" s="14"/>
      <c r="N99" s="10"/>
      <c r="O99" s="20"/>
      <c r="Q99" s="11" t="str">
        <f>SUBSTITUTE(UC!Q99,"Old","New")</f>
        <v/>
      </c>
      <c r="R99" s="12"/>
      <c r="S99" s="13" t="str">
        <f t="shared" si="20"/>
        <v>COMFOI</v>
      </c>
      <c r="T99" s="13" t="str">
        <f t="shared" si="21"/>
        <v>COMRETNewSHEUE</v>
      </c>
      <c r="U99" s="13" t="str">
        <f t="shared" si="22"/>
        <v>COMRETNewSHEUE</v>
      </c>
      <c r="V99" s="14">
        <v>2030</v>
      </c>
      <c r="W99" s="14" t="str">
        <f>W98</f>
        <v>UP</v>
      </c>
      <c r="X99" s="14"/>
      <c r="Y99" s="15">
        <f>UC!Y99</f>
        <v>-0.14000000000000001</v>
      </c>
      <c r="Z99" s="14"/>
      <c r="AA99" s="14"/>
      <c r="AB99" s="10"/>
      <c r="AC99" s="20"/>
    </row>
    <row r="100" spans="1:29" x14ac:dyDescent="0.25">
      <c r="A100" s="26">
        <f>A99</f>
        <v>24</v>
      </c>
      <c r="B100" s="26"/>
      <c r="C100" s="21" t="str">
        <f>SUBSTITUTE(UC!C100,"Old","New")</f>
        <v/>
      </c>
      <c r="D100" s="22"/>
      <c r="E100" s="23" t="str">
        <f t="shared" si="29"/>
        <v>COMFOI</v>
      </c>
      <c r="F100" s="23" t="str">
        <f t="shared" si="29"/>
        <v>COMRETNewSHEUE</v>
      </c>
      <c r="G100" s="23" t="str">
        <f t="shared" si="29"/>
        <v>COMRETNewSHEUE</v>
      </c>
      <c r="H100" s="24">
        <v>2050</v>
      </c>
      <c r="I100" s="24" t="str">
        <f>I99</f>
        <v>LO</v>
      </c>
      <c r="J100" s="24"/>
      <c r="K100" s="25">
        <f>UC!K100</f>
        <v>0</v>
      </c>
      <c r="L100" s="24"/>
      <c r="M100" s="24"/>
      <c r="N100" s="26"/>
      <c r="O100" s="27"/>
      <c r="Q100" s="21" t="str">
        <f>SUBSTITUTE(UC!Q100,"Old","New")</f>
        <v/>
      </c>
      <c r="R100" s="22"/>
      <c r="S100" s="23" t="str">
        <f t="shared" si="20"/>
        <v>COMFOI</v>
      </c>
      <c r="T100" s="23" t="str">
        <f t="shared" si="21"/>
        <v>COMRETNewSHEUE</v>
      </c>
      <c r="U100" s="23" t="str">
        <f t="shared" si="22"/>
        <v>COMRETNewSHEUE</v>
      </c>
      <c r="V100" s="24">
        <v>2050</v>
      </c>
      <c r="W100" s="24" t="str">
        <f>W99</f>
        <v>UP</v>
      </c>
      <c r="X100" s="24"/>
      <c r="Y100" s="25">
        <f>UC!Y100</f>
        <v>-0.28000000000000003</v>
      </c>
      <c r="Z100" s="24"/>
      <c r="AA100" s="24"/>
      <c r="AB100" s="26"/>
      <c r="AC100" s="27"/>
    </row>
    <row r="101" spans="1:29" x14ac:dyDescent="0.25">
      <c r="A101" s="19">
        <f>A97+1</f>
        <v>25</v>
      </c>
      <c r="B101" s="10"/>
      <c r="C101" s="11" t="str">
        <f>SUBSTITUTE(UC!C101,"Old","New")</f>
        <v>*</v>
      </c>
      <c r="D101" s="12"/>
      <c r="E101" s="13" t="str">
        <f>_xlfn.XLOOKUP($A101,Selected_constraint_UC!$A:$A,Selected_constraint_UC!$B:$B)</f>
        <v>COMLPG</v>
      </c>
      <c r="F101" s="13" t="str">
        <f>SUBSTITUTE(_xlfn.XLOOKUP($A101,Selected_constraint_UC!$A:$A,Selected_constraint_UC!$C:$C),"Old","New")</f>
        <v>COMRETNewSHEUE</v>
      </c>
      <c r="G101" s="13" t="str">
        <f>F101</f>
        <v>COMRETNewSHEUE</v>
      </c>
      <c r="H101" s="14">
        <v>2019</v>
      </c>
      <c r="I101" s="14" t="s">
        <v>3848</v>
      </c>
      <c r="J101" s="14">
        <v>1</v>
      </c>
      <c r="K101" s="15">
        <f>UC!K101</f>
        <v>0</v>
      </c>
      <c r="L101" s="14">
        <v>0</v>
      </c>
      <c r="M101" s="14">
        <v>5</v>
      </c>
      <c r="N101" s="10"/>
      <c r="O101" s="20"/>
      <c r="Q101" s="11" t="str">
        <f>SUBSTITUTE(UC!Q101,"Old","New")</f>
        <v>*</v>
      </c>
      <c r="R101" s="12"/>
      <c r="S101" s="13" t="str">
        <f t="shared" si="20"/>
        <v>COMLPG</v>
      </c>
      <c r="T101" s="13" t="str">
        <f t="shared" si="21"/>
        <v>COMRETNewSHEUE</v>
      </c>
      <c r="U101" s="13" t="str">
        <f t="shared" si="22"/>
        <v>COMRETNewSHEUE</v>
      </c>
      <c r="V101" s="14">
        <f>H101</f>
        <v>2019</v>
      </c>
      <c r="W101" s="29" t="s">
        <v>3849</v>
      </c>
      <c r="X101" s="14">
        <v>1</v>
      </c>
      <c r="Y101" s="15">
        <f>UC!Y101</f>
        <v>0</v>
      </c>
      <c r="Z101" s="14">
        <v>0</v>
      </c>
      <c r="AA101" s="14">
        <v>5</v>
      </c>
      <c r="AB101" s="10"/>
      <c r="AC101" s="20"/>
    </row>
    <row r="102" spans="1:29" x14ac:dyDescent="0.25">
      <c r="A102" s="10">
        <f>A101</f>
        <v>25</v>
      </c>
      <c r="B102" s="10"/>
      <c r="C102" s="11" t="str">
        <f>SUBSTITUTE(UC!C102,"Old","New")</f>
        <v>*</v>
      </c>
      <c r="D102" s="12"/>
      <c r="E102" s="13" t="str">
        <f t="shared" ref="E102:G104" si="30">E101</f>
        <v>COMLPG</v>
      </c>
      <c r="F102" s="13" t="str">
        <f t="shared" si="30"/>
        <v>COMRETNewSHEUE</v>
      </c>
      <c r="G102" s="13" t="str">
        <f t="shared" si="30"/>
        <v>COMRETNewSHEUE</v>
      </c>
      <c r="H102" s="14">
        <v>2025</v>
      </c>
      <c r="I102" s="14" t="str">
        <f>I101</f>
        <v>LO</v>
      </c>
      <c r="J102" s="14"/>
      <c r="K102" s="15">
        <f>UC!K102</f>
        <v>0</v>
      </c>
      <c r="L102" s="14"/>
      <c r="M102" s="14"/>
      <c r="N102" s="10"/>
      <c r="O102" s="20"/>
      <c r="Q102" s="11" t="str">
        <f>SUBSTITUTE(UC!Q102,"Old","New")</f>
        <v>*</v>
      </c>
      <c r="R102" s="12"/>
      <c r="S102" s="13" t="str">
        <f t="shared" si="20"/>
        <v>COMLPG</v>
      </c>
      <c r="T102" s="13" t="str">
        <f t="shared" si="21"/>
        <v>COMRETNewSHEUE</v>
      </c>
      <c r="U102" s="13" t="str">
        <f t="shared" si="22"/>
        <v>COMRETNewSHEUE</v>
      </c>
      <c r="V102" s="14">
        <v>2025</v>
      </c>
      <c r="W102" s="14" t="str">
        <f>W101</f>
        <v>UP</v>
      </c>
      <c r="X102" s="14"/>
      <c r="Y102" s="15">
        <f>UC!Y102</f>
        <v>0</v>
      </c>
      <c r="Z102" s="14"/>
      <c r="AA102" s="14"/>
      <c r="AB102" s="10"/>
      <c r="AC102" s="20"/>
    </row>
    <row r="103" spans="1:29" x14ac:dyDescent="0.25">
      <c r="A103" s="10">
        <f>A102</f>
        <v>25</v>
      </c>
      <c r="B103" s="10"/>
      <c r="C103" s="11" t="str">
        <f>SUBSTITUTE(UC!C103,"Old","New")</f>
        <v>*</v>
      </c>
      <c r="D103" s="12"/>
      <c r="E103" s="13" t="str">
        <f t="shared" si="30"/>
        <v>COMLPG</v>
      </c>
      <c r="F103" s="13" t="str">
        <f t="shared" si="30"/>
        <v>COMRETNewSHEUE</v>
      </c>
      <c r="G103" s="13" t="str">
        <f t="shared" si="30"/>
        <v>COMRETNewSHEUE</v>
      </c>
      <c r="H103" s="14">
        <v>2030</v>
      </c>
      <c r="I103" s="14" t="str">
        <f>I102</f>
        <v>LO</v>
      </c>
      <c r="J103" s="14"/>
      <c r="K103" s="15">
        <f>UC!K103</f>
        <v>0</v>
      </c>
      <c r="L103" s="14"/>
      <c r="M103" s="14"/>
      <c r="N103" s="10"/>
      <c r="O103" s="20"/>
      <c r="Q103" s="11" t="str">
        <f>SUBSTITUTE(UC!Q103,"Old","New")</f>
        <v>*</v>
      </c>
      <c r="R103" s="12"/>
      <c r="S103" s="13" t="str">
        <f t="shared" si="20"/>
        <v>COMLPG</v>
      </c>
      <c r="T103" s="13" t="str">
        <f t="shared" si="21"/>
        <v>COMRETNewSHEUE</v>
      </c>
      <c r="U103" s="13" t="str">
        <f t="shared" si="22"/>
        <v>COMRETNewSHEUE</v>
      </c>
      <c r="V103" s="14">
        <v>2030</v>
      </c>
      <c r="W103" s="14" t="str">
        <f>W102</f>
        <v>UP</v>
      </c>
      <c r="X103" s="14"/>
      <c r="Y103" s="15">
        <f>UC!Y103</f>
        <v>0</v>
      </c>
      <c r="Z103" s="14"/>
      <c r="AA103" s="14"/>
      <c r="AB103" s="10"/>
      <c r="AC103" s="20"/>
    </row>
    <row r="104" spans="1:29" x14ac:dyDescent="0.25">
      <c r="A104" s="26">
        <f>A103</f>
        <v>25</v>
      </c>
      <c r="B104" s="26"/>
      <c r="C104" s="21" t="str">
        <f>SUBSTITUTE(UC!C104,"Old","New")</f>
        <v>*</v>
      </c>
      <c r="D104" s="22"/>
      <c r="E104" s="23" t="str">
        <f t="shared" si="30"/>
        <v>COMLPG</v>
      </c>
      <c r="F104" s="23" t="str">
        <f t="shared" si="30"/>
        <v>COMRETNewSHEUE</v>
      </c>
      <c r="G104" s="23" t="str">
        <f t="shared" si="30"/>
        <v>COMRETNewSHEUE</v>
      </c>
      <c r="H104" s="24">
        <v>2050</v>
      </c>
      <c r="I104" s="24" t="str">
        <f>I103</f>
        <v>LO</v>
      </c>
      <c r="J104" s="24"/>
      <c r="K104" s="25">
        <f>UC!K104</f>
        <v>0</v>
      </c>
      <c r="L104" s="24"/>
      <c r="M104" s="24"/>
      <c r="N104" s="26"/>
      <c r="O104" s="27"/>
      <c r="Q104" s="21" t="str">
        <f>SUBSTITUTE(UC!Q104,"Old","New")</f>
        <v>*</v>
      </c>
      <c r="R104" s="22"/>
      <c r="S104" s="23" t="str">
        <f t="shared" si="20"/>
        <v>COMLPG</v>
      </c>
      <c r="T104" s="23" t="str">
        <f t="shared" si="21"/>
        <v>COMRETNewSHEUE</v>
      </c>
      <c r="U104" s="23" t="str">
        <f t="shared" si="22"/>
        <v>COMRETNewSHEUE</v>
      </c>
      <c r="V104" s="24">
        <v>2050</v>
      </c>
      <c r="W104" s="24" t="str">
        <f>W103</f>
        <v>UP</v>
      </c>
      <c r="X104" s="24"/>
      <c r="Y104" s="25">
        <f>UC!Y104</f>
        <v>0</v>
      </c>
      <c r="Z104" s="24"/>
      <c r="AA104" s="24"/>
      <c r="AB104" s="26"/>
      <c r="AC104" s="27"/>
    </row>
    <row r="105" spans="1:29" x14ac:dyDescent="0.25">
      <c r="A105" s="19">
        <f>A101+1</f>
        <v>26</v>
      </c>
      <c r="B105" s="10"/>
      <c r="C105" s="11" t="str">
        <f>SUBSTITUTE(UC!C105,"Old","New")</f>
        <v>*</v>
      </c>
      <c r="D105" s="12"/>
      <c r="E105" s="13" t="str">
        <f>_xlfn.XLOOKUP($A105,Selected_constraint_UC!$A:$A,Selected_constraint_UC!$B:$B)</f>
        <v>COMSTM</v>
      </c>
      <c r="F105" s="13" t="str">
        <f>SUBSTITUTE(_xlfn.XLOOKUP($A105,Selected_constraint_UC!$A:$A,Selected_constraint_UC!$C:$C),"Old","New")</f>
        <v>COMRETNewSHEUE</v>
      </c>
      <c r="G105" s="13" t="str">
        <f>F105</f>
        <v>COMRETNewSHEUE</v>
      </c>
      <c r="H105" s="14">
        <v>2019</v>
      </c>
      <c r="I105" s="14" t="s">
        <v>3848</v>
      </c>
      <c r="J105" s="14">
        <v>1</v>
      </c>
      <c r="K105" s="15">
        <f>UC!K105</f>
        <v>-3.1359999999999999E-2</v>
      </c>
      <c r="L105" s="14">
        <v>0</v>
      </c>
      <c r="M105" s="14">
        <v>5</v>
      </c>
      <c r="N105" s="10"/>
      <c r="O105" s="20"/>
      <c r="Q105" s="11" t="str">
        <f>SUBSTITUTE(UC!Q105,"Old","New")</f>
        <v>*</v>
      </c>
      <c r="R105" s="12"/>
      <c r="S105" s="13" t="str">
        <f t="shared" si="20"/>
        <v>COMSTM</v>
      </c>
      <c r="T105" s="13" t="str">
        <f t="shared" si="21"/>
        <v>COMRETNewSHEUE</v>
      </c>
      <c r="U105" s="13" t="str">
        <f t="shared" si="22"/>
        <v>COMRETNewSHEUE</v>
      </c>
      <c r="V105" s="14">
        <f>H105</f>
        <v>2019</v>
      </c>
      <c r="W105" s="29" t="s">
        <v>3849</v>
      </c>
      <c r="X105" s="14">
        <v>1</v>
      </c>
      <c r="Y105" s="15">
        <f>UC!Y105</f>
        <v>-3.3000000000000002E-2</v>
      </c>
      <c r="Z105" s="14">
        <v>0</v>
      </c>
      <c r="AA105" s="14">
        <v>5</v>
      </c>
      <c r="AB105" s="10"/>
      <c r="AC105" s="20"/>
    </row>
    <row r="106" spans="1:29" x14ac:dyDescent="0.25">
      <c r="A106" s="10">
        <f>A105</f>
        <v>26</v>
      </c>
      <c r="B106" s="10"/>
      <c r="C106" s="11" t="str">
        <f>SUBSTITUTE(UC!C106,"Old","New")</f>
        <v>*</v>
      </c>
      <c r="D106" s="12"/>
      <c r="E106" s="13" t="str">
        <f t="shared" ref="E106:G108" si="31">E105</f>
        <v>COMSTM</v>
      </c>
      <c r="F106" s="13" t="str">
        <f t="shared" si="31"/>
        <v>COMRETNewSHEUE</v>
      </c>
      <c r="G106" s="13" t="str">
        <f t="shared" si="31"/>
        <v>COMRETNewSHEUE</v>
      </c>
      <c r="H106" s="14">
        <v>2025</v>
      </c>
      <c r="I106" s="14" t="str">
        <f>I105</f>
        <v>LO</v>
      </c>
      <c r="J106" s="14"/>
      <c r="K106" s="15">
        <f>UC!K106</f>
        <v>-2.5600000000000001E-2</v>
      </c>
      <c r="L106" s="14"/>
      <c r="M106" s="14"/>
      <c r="N106" s="10"/>
      <c r="O106" s="20"/>
      <c r="Q106" s="11" t="str">
        <f>SUBSTITUTE(UC!Q106,"Old","New")</f>
        <v>*</v>
      </c>
      <c r="R106" s="12"/>
      <c r="S106" s="13" t="str">
        <f t="shared" si="20"/>
        <v>COMSTM</v>
      </c>
      <c r="T106" s="13" t="str">
        <f t="shared" si="21"/>
        <v>COMRETNewSHEUE</v>
      </c>
      <c r="U106" s="13" t="str">
        <f t="shared" si="22"/>
        <v>COMRETNewSHEUE</v>
      </c>
      <c r="V106" s="14">
        <v>2025</v>
      </c>
      <c r="W106" s="14" t="str">
        <f>W105</f>
        <v>UP</v>
      </c>
      <c r="X106" s="14"/>
      <c r="Y106" s="15">
        <f>UC!Y106</f>
        <v>-3.9E-2</v>
      </c>
      <c r="Z106" s="14"/>
      <c r="AA106" s="14"/>
      <c r="AB106" s="10"/>
      <c r="AC106" s="20"/>
    </row>
    <row r="107" spans="1:29" x14ac:dyDescent="0.25">
      <c r="A107" s="10">
        <f>A106</f>
        <v>26</v>
      </c>
      <c r="B107" s="10"/>
      <c r="C107" s="11" t="str">
        <f>SUBSTITUTE(UC!C107,"Old","New")</f>
        <v>*</v>
      </c>
      <c r="D107" s="12"/>
      <c r="E107" s="13" t="str">
        <f t="shared" si="31"/>
        <v>COMSTM</v>
      </c>
      <c r="F107" s="13" t="str">
        <f t="shared" si="31"/>
        <v>COMRETNewSHEUE</v>
      </c>
      <c r="G107" s="13" t="str">
        <f t="shared" si="31"/>
        <v>COMRETNewSHEUE</v>
      </c>
      <c r="H107" s="14">
        <v>2030</v>
      </c>
      <c r="I107" s="14" t="str">
        <f>I106</f>
        <v>LO</v>
      </c>
      <c r="J107" s="14"/>
      <c r="K107" s="15">
        <f>UC!K107</f>
        <v>-6.4000000000000003E-3</v>
      </c>
      <c r="L107" s="14"/>
      <c r="M107" s="14"/>
      <c r="N107" s="10"/>
      <c r="O107" s="20"/>
      <c r="Q107" s="11" t="str">
        <f>SUBSTITUTE(UC!Q107,"Old","New")</f>
        <v>*</v>
      </c>
      <c r="R107" s="12"/>
      <c r="S107" s="13" t="str">
        <f t="shared" si="20"/>
        <v>COMSTM</v>
      </c>
      <c r="T107" s="13" t="str">
        <f t="shared" si="21"/>
        <v>COMRETNewSHEUE</v>
      </c>
      <c r="U107" s="13" t="str">
        <f t="shared" si="22"/>
        <v>COMRETNewSHEUE</v>
      </c>
      <c r="V107" s="14">
        <v>2030</v>
      </c>
      <c r="W107" s="14" t="str">
        <f>W106</f>
        <v>UP</v>
      </c>
      <c r="X107" s="14"/>
      <c r="Y107" s="15">
        <f>UC!Y107</f>
        <v>-4.9000000000000002E-2</v>
      </c>
      <c r="Z107" s="14"/>
      <c r="AA107" s="14"/>
      <c r="AB107" s="10"/>
      <c r="AC107" s="20"/>
    </row>
    <row r="108" spans="1:29" x14ac:dyDescent="0.25">
      <c r="A108" s="26">
        <f>A107</f>
        <v>26</v>
      </c>
      <c r="B108" s="26"/>
      <c r="C108" s="21" t="str">
        <f>SUBSTITUTE(UC!C108,"Old","New")</f>
        <v>*</v>
      </c>
      <c r="D108" s="22"/>
      <c r="E108" s="23" t="str">
        <f t="shared" si="31"/>
        <v>COMSTM</v>
      </c>
      <c r="F108" s="23" t="str">
        <f t="shared" si="31"/>
        <v>COMRETNewSHEUE</v>
      </c>
      <c r="G108" s="23" t="str">
        <f t="shared" si="31"/>
        <v>COMRETNewSHEUE</v>
      </c>
      <c r="H108" s="24">
        <v>2050</v>
      </c>
      <c r="I108" s="24" t="str">
        <f>I107</f>
        <v>LO</v>
      </c>
      <c r="J108" s="24"/>
      <c r="K108" s="25">
        <f>UC!K108</f>
        <v>0</v>
      </c>
      <c r="L108" s="24"/>
      <c r="M108" s="24"/>
      <c r="N108" s="26"/>
      <c r="O108" s="27"/>
      <c r="Q108" s="21" t="str">
        <f>SUBSTITUTE(UC!Q108,"Old","New")</f>
        <v>*</v>
      </c>
      <c r="R108" s="22"/>
      <c r="S108" s="23" t="str">
        <f t="shared" si="20"/>
        <v>COMSTM</v>
      </c>
      <c r="T108" s="23" t="str">
        <f t="shared" si="21"/>
        <v>COMRETNewSHEUE</v>
      </c>
      <c r="U108" s="23" t="str">
        <f t="shared" si="22"/>
        <v>COMRETNewSHEUE</v>
      </c>
      <c r="V108" s="24">
        <v>2050</v>
      </c>
      <c r="W108" s="24" t="str">
        <f>W107</f>
        <v>UP</v>
      </c>
      <c r="X108" s="24"/>
      <c r="Y108" s="25">
        <f>UC!Y108</f>
        <v>-9.7000000000000003E-2</v>
      </c>
      <c r="Z108" s="24"/>
      <c r="AA108" s="24"/>
      <c r="AB108" s="26"/>
      <c r="AC108" s="27"/>
    </row>
    <row r="109" spans="1:29" x14ac:dyDescent="0.25">
      <c r="A109" s="19">
        <f>A105+1</f>
        <v>27</v>
      </c>
      <c r="B109" s="10"/>
      <c r="C109" s="11" t="str">
        <f>SUBSTITUTE(UC!C109,"Old","New")</f>
        <v>UC_MarketShare_COMRETNewSC_ELC_MIN</v>
      </c>
      <c r="D109" s="12"/>
      <c r="E109" s="13" t="str">
        <f>_xlfn.XLOOKUP($A109,Selected_constraint_UC!$A:$A,Selected_constraint_UC!$B:$B)</f>
        <v>COMELC</v>
      </c>
      <c r="F109" s="13" t="str">
        <f>SUBSTITUTE(_xlfn.XLOOKUP($A109,Selected_constraint_UC!$A:$A,Selected_constraint_UC!$C:$C),"Old","New")</f>
        <v>COMRETNewSCEUE</v>
      </c>
      <c r="G109" s="13" t="str">
        <f>F109</f>
        <v>COMRETNewSCEUE</v>
      </c>
      <c r="H109" s="14">
        <v>2019</v>
      </c>
      <c r="I109" s="14" t="s">
        <v>3848</v>
      </c>
      <c r="J109" s="14">
        <v>1</v>
      </c>
      <c r="K109" s="15">
        <f>UC!K109</f>
        <v>-0.98</v>
      </c>
      <c r="L109" s="14">
        <v>0</v>
      </c>
      <c r="M109" s="14">
        <v>5</v>
      </c>
      <c r="N109" s="10"/>
      <c r="O109" s="20"/>
      <c r="Q109" s="11" t="str">
        <f>SUBSTITUTE(UC!Q109,"Old","New")</f>
        <v>UC_MarketShare_COMRETNewSC_ELC_MAX</v>
      </c>
      <c r="R109" s="12"/>
      <c r="S109" s="13" t="str">
        <f t="shared" si="20"/>
        <v>COMELC</v>
      </c>
      <c r="T109" s="13" t="str">
        <f t="shared" si="21"/>
        <v>COMRETNewSCEUE</v>
      </c>
      <c r="U109" s="13" t="str">
        <f t="shared" si="22"/>
        <v>COMRETNewSCEUE</v>
      </c>
      <c r="V109" s="14">
        <f>H109</f>
        <v>2019</v>
      </c>
      <c r="W109" s="29" t="s">
        <v>3849</v>
      </c>
      <c r="X109" s="14">
        <v>1</v>
      </c>
      <c r="Y109" s="15">
        <f>UC!Y109</f>
        <v>-1</v>
      </c>
      <c r="Z109" s="14">
        <v>0</v>
      </c>
      <c r="AA109" s="14">
        <v>5</v>
      </c>
      <c r="AB109" s="10"/>
      <c r="AC109" s="20"/>
    </row>
    <row r="110" spans="1:29" x14ac:dyDescent="0.25">
      <c r="A110" s="10">
        <f>A109</f>
        <v>27</v>
      </c>
      <c r="B110" s="10"/>
      <c r="C110" s="11" t="str">
        <f>SUBSTITUTE(UC!C110,"Old","New")</f>
        <v/>
      </c>
      <c r="D110" s="12"/>
      <c r="E110" s="13" t="str">
        <f t="shared" ref="E110:G112" si="32">E109</f>
        <v>COMELC</v>
      </c>
      <c r="F110" s="13" t="str">
        <f t="shared" si="32"/>
        <v>COMRETNewSCEUE</v>
      </c>
      <c r="G110" s="13" t="str">
        <f t="shared" si="32"/>
        <v>COMRETNewSCEUE</v>
      </c>
      <c r="H110" s="14">
        <v>2025</v>
      </c>
      <c r="I110" s="14" t="str">
        <f>I109</f>
        <v>LO</v>
      </c>
      <c r="J110" s="14"/>
      <c r="K110" s="15">
        <f>UC!K110</f>
        <v>-0.8</v>
      </c>
      <c r="L110" s="14"/>
      <c r="M110" s="14"/>
      <c r="N110" s="10"/>
      <c r="O110" s="20"/>
      <c r="Q110" s="11" t="str">
        <f>SUBSTITUTE(UC!Q110,"Old","New")</f>
        <v/>
      </c>
      <c r="R110" s="12"/>
      <c r="S110" s="13" t="str">
        <f t="shared" si="20"/>
        <v>COMELC</v>
      </c>
      <c r="T110" s="13" t="str">
        <f t="shared" si="21"/>
        <v>COMRETNewSCEUE</v>
      </c>
      <c r="U110" s="13" t="str">
        <f t="shared" si="22"/>
        <v>COMRETNewSCEUE</v>
      </c>
      <c r="V110" s="14">
        <v>2025</v>
      </c>
      <c r="W110" s="14" t="str">
        <f>W109</f>
        <v>UP</v>
      </c>
      <c r="X110" s="14"/>
      <c r="Y110" s="15">
        <f>UC!Y110</f>
        <v>-1</v>
      </c>
      <c r="Z110" s="14"/>
      <c r="AA110" s="14"/>
      <c r="AB110" s="10"/>
      <c r="AC110" s="20"/>
    </row>
    <row r="111" spans="1:29" x14ac:dyDescent="0.25">
      <c r="A111" s="10">
        <f>A110</f>
        <v>27</v>
      </c>
      <c r="B111" s="10"/>
      <c r="C111" s="11" t="str">
        <f>SUBSTITUTE(UC!C111,"Old","New")</f>
        <v/>
      </c>
      <c r="D111" s="12"/>
      <c r="E111" s="13" t="str">
        <f t="shared" si="32"/>
        <v>COMELC</v>
      </c>
      <c r="F111" s="13" t="str">
        <f t="shared" si="32"/>
        <v>COMRETNewSCEUE</v>
      </c>
      <c r="G111" s="13" t="str">
        <f t="shared" si="32"/>
        <v>COMRETNewSCEUE</v>
      </c>
      <c r="H111" s="14">
        <v>2030</v>
      </c>
      <c r="I111" s="14" t="str">
        <f>I110</f>
        <v>LO</v>
      </c>
      <c r="J111" s="14"/>
      <c r="K111" s="15">
        <f>UC!K111</f>
        <v>-0.75</v>
      </c>
      <c r="L111" s="14"/>
      <c r="M111" s="14"/>
      <c r="N111" s="10"/>
      <c r="O111" s="20"/>
      <c r="Q111" s="11" t="str">
        <f>SUBSTITUTE(UC!Q111,"Old","New")</f>
        <v/>
      </c>
      <c r="R111" s="12"/>
      <c r="S111" s="13" t="str">
        <f t="shared" si="20"/>
        <v>COMELC</v>
      </c>
      <c r="T111" s="13" t="str">
        <f t="shared" si="21"/>
        <v>COMRETNewSCEUE</v>
      </c>
      <c r="U111" s="13" t="str">
        <f t="shared" si="22"/>
        <v>COMRETNewSCEUE</v>
      </c>
      <c r="V111" s="14">
        <v>2030</v>
      </c>
      <c r="W111" s="14" t="str">
        <f>W110</f>
        <v>UP</v>
      </c>
      <c r="X111" s="14"/>
      <c r="Y111" s="15">
        <f>UC!Y111</f>
        <v>-1</v>
      </c>
      <c r="Z111" s="14"/>
      <c r="AA111" s="14"/>
      <c r="AB111" s="10"/>
      <c r="AC111" s="20"/>
    </row>
    <row r="112" spans="1:29" x14ac:dyDescent="0.25">
      <c r="A112" s="26">
        <f>A111</f>
        <v>27</v>
      </c>
      <c r="B112" s="26"/>
      <c r="C112" s="21" t="str">
        <f>SUBSTITUTE(UC!C112,"Old","New")</f>
        <v/>
      </c>
      <c r="D112" s="22"/>
      <c r="E112" s="23" t="str">
        <f t="shared" si="32"/>
        <v>COMELC</v>
      </c>
      <c r="F112" s="23" t="str">
        <f t="shared" si="32"/>
        <v>COMRETNewSCEUE</v>
      </c>
      <c r="G112" s="23" t="str">
        <f t="shared" si="32"/>
        <v>COMRETNewSCEUE</v>
      </c>
      <c r="H112" s="24">
        <v>2050</v>
      </c>
      <c r="I112" s="24" t="str">
        <f>I111</f>
        <v>LO</v>
      </c>
      <c r="J112" s="24"/>
      <c r="K112" s="25">
        <f>UC!K112</f>
        <v>-0.75</v>
      </c>
      <c r="L112" s="24"/>
      <c r="M112" s="24"/>
      <c r="N112" s="26"/>
      <c r="O112" s="27"/>
      <c r="Q112" s="21" t="str">
        <f>SUBSTITUTE(UC!Q112,"Old","New")</f>
        <v/>
      </c>
      <c r="R112" s="22"/>
      <c r="S112" s="23" t="str">
        <f t="shared" si="20"/>
        <v>COMELC</v>
      </c>
      <c r="T112" s="23" t="str">
        <f t="shared" si="21"/>
        <v>COMRETNewSCEUE</v>
      </c>
      <c r="U112" s="23" t="str">
        <f t="shared" si="22"/>
        <v>COMRETNewSCEUE</v>
      </c>
      <c r="V112" s="24">
        <v>2050</v>
      </c>
      <c r="W112" s="24" t="str">
        <f>W111</f>
        <v>UP</v>
      </c>
      <c r="X112" s="24"/>
      <c r="Y112" s="25">
        <f>UC!Y112</f>
        <v>-1</v>
      </c>
      <c r="Z112" s="24"/>
      <c r="AA112" s="24"/>
      <c r="AB112" s="26"/>
      <c r="AC112" s="27"/>
    </row>
    <row r="113" spans="1:29" x14ac:dyDescent="0.25">
      <c r="A113" s="19">
        <f>A109+1</f>
        <v>28</v>
      </c>
      <c r="B113" s="10"/>
      <c r="C113" s="11" t="str">
        <f>SUBSTITUTE(UC!C113,"Old","New")</f>
        <v>*</v>
      </c>
      <c r="D113" s="12"/>
      <c r="E113" s="13" t="str">
        <f>_xlfn.XLOOKUP($A113,Selected_constraint_UC!$A:$A,Selected_constraint_UC!$B:$B)</f>
        <v>COMELC</v>
      </c>
      <c r="F113" s="13" t="str">
        <f>SUBSTITUTE(_xlfn.XLOOKUP($A113,Selected_constraint_UC!$A:$A,Selected_constraint_UC!$C:$C),"Old","New")</f>
        <v>COMRETNewVTEUE</v>
      </c>
      <c r="G113" s="13" t="str">
        <f>F113</f>
        <v>COMRETNewVTEUE</v>
      </c>
      <c r="H113" s="14">
        <v>2019</v>
      </c>
      <c r="I113" s="14" t="s">
        <v>3848</v>
      </c>
      <c r="J113" s="14">
        <v>1</v>
      </c>
      <c r="K113" s="15">
        <f>UC!K113</f>
        <v>-0.98</v>
      </c>
      <c r="L113" s="14">
        <v>0</v>
      </c>
      <c r="M113" s="14">
        <v>5</v>
      </c>
      <c r="N113" s="10"/>
      <c r="O113" s="20"/>
      <c r="Q113" s="11" t="str">
        <f>SUBSTITUTE(UC!Q113,"Old","New")</f>
        <v>*</v>
      </c>
      <c r="R113" s="12"/>
      <c r="S113" s="13" t="str">
        <f t="shared" si="20"/>
        <v>COMELC</v>
      </c>
      <c r="T113" s="13" t="str">
        <f t="shared" si="21"/>
        <v>COMRETNewVTEUE</v>
      </c>
      <c r="U113" s="13" t="str">
        <f t="shared" si="22"/>
        <v>COMRETNewVTEUE</v>
      </c>
      <c r="V113" s="14">
        <f>H113</f>
        <v>2019</v>
      </c>
      <c r="W113" s="29" t="s">
        <v>3849</v>
      </c>
      <c r="X113" s="14">
        <v>1</v>
      </c>
      <c r="Y113" s="15">
        <f>UC!Y113</f>
        <v>-1</v>
      </c>
      <c r="Z113" s="14">
        <v>0</v>
      </c>
      <c r="AA113" s="14">
        <v>5</v>
      </c>
      <c r="AB113" s="10"/>
      <c r="AC113" s="20"/>
    </row>
    <row r="114" spans="1:29" x14ac:dyDescent="0.25">
      <c r="A114" s="10">
        <f>A113</f>
        <v>28</v>
      </c>
      <c r="B114" s="10"/>
      <c r="C114" s="11" t="str">
        <f>SUBSTITUTE(UC!C114,"Old","New")</f>
        <v>*</v>
      </c>
      <c r="D114" s="12"/>
      <c r="E114" s="13" t="str">
        <f t="shared" ref="E114:G116" si="33">E113</f>
        <v>COMELC</v>
      </c>
      <c r="F114" s="13" t="str">
        <f t="shared" si="33"/>
        <v>COMRETNewVTEUE</v>
      </c>
      <c r="G114" s="13" t="str">
        <f t="shared" si="33"/>
        <v>COMRETNewVTEUE</v>
      </c>
      <c r="H114" s="14">
        <v>2025</v>
      </c>
      <c r="I114" s="14" t="str">
        <f>I113</f>
        <v>LO</v>
      </c>
      <c r="J114" s="14"/>
      <c r="K114" s="15">
        <f>UC!K114</f>
        <v>-0.8</v>
      </c>
      <c r="L114" s="14"/>
      <c r="M114" s="14"/>
      <c r="N114" s="10"/>
      <c r="O114" s="20"/>
      <c r="Q114" s="11" t="str">
        <f>SUBSTITUTE(UC!Q114,"Old","New")</f>
        <v>*</v>
      </c>
      <c r="R114" s="12"/>
      <c r="S114" s="13" t="str">
        <f t="shared" si="20"/>
        <v>COMELC</v>
      </c>
      <c r="T114" s="13" t="str">
        <f t="shared" si="21"/>
        <v>COMRETNewVTEUE</v>
      </c>
      <c r="U114" s="13" t="str">
        <f t="shared" si="22"/>
        <v>COMRETNewVTEUE</v>
      </c>
      <c r="V114" s="14">
        <v>2025</v>
      </c>
      <c r="W114" s="14" t="str">
        <f>W113</f>
        <v>UP</v>
      </c>
      <c r="X114" s="14"/>
      <c r="Y114" s="15">
        <f>UC!Y114</f>
        <v>-1</v>
      </c>
      <c r="Z114" s="14"/>
      <c r="AA114" s="14"/>
      <c r="AB114" s="10"/>
      <c r="AC114" s="20"/>
    </row>
    <row r="115" spans="1:29" x14ac:dyDescent="0.25">
      <c r="A115" s="10">
        <f>A114</f>
        <v>28</v>
      </c>
      <c r="B115" s="10"/>
      <c r="C115" s="11" t="str">
        <f>SUBSTITUTE(UC!C115,"Old","New")</f>
        <v>*</v>
      </c>
      <c r="D115" s="12"/>
      <c r="E115" s="13" t="str">
        <f t="shared" si="33"/>
        <v>COMELC</v>
      </c>
      <c r="F115" s="13" t="str">
        <f t="shared" si="33"/>
        <v>COMRETNewVTEUE</v>
      </c>
      <c r="G115" s="13" t="str">
        <f t="shared" si="33"/>
        <v>COMRETNewVTEUE</v>
      </c>
      <c r="H115" s="14">
        <v>2030</v>
      </c>
      <c r="I115" s="14" t="str">
        <f>I114</f>
        <v>LO</v>
      </c>
      <c r="J115" s="14"/>
      <c r="K115" s="15">
        <f>UC!K115</f>
        <v>-0.2</v>
      </c>
      <c r="L115" s="14"/>
      <c r="M115" s="14"/>
      <c r="N115" s="10"/>
      <c r="O115" s="20"/>
      <c r="Q115" s="11" t="str">
        <f>SUBSTITUTE(UC!Q115,"Old","New")</f>
        <v>*</v>
      </c>
      <c r="R115" s="12"/>
      <c r="S115" s="13" t="str">
        <f t="shared" si="20"/>
        <v>COMELC</v>
      </c>
      <c r="T115" s="13" t="str">
        <f t="shared" si="21"/>
        <v>COMRETNewVTEUE</v>
      </c>
      <c r="U115" s="13" t="str">
        <f t="shared" si="22"/>
        <v>COMRETNewVTEUE</v>
      </c>
      <c r="V115" s="14">
        <v>2030</v>
      </c>
      <c r="W115" s="14" t="str">
        <f>W114</f>
        <v>UP</v>
      </c>
      <c r="X115" s="14"/>
      <c r="Y115" s="15">
        <f>UC!Y115</f>
        <v>-1</v>
      </c>
      <c r="Z115" s="14"/>
      <c r="AA115" s="14"/>
      <c r="AB115" s="10"/>
      <c r="AC115" s="20"/>
    </row>
    <row r="116" spans="1:29" x14ac:dyDescent="0.25">
      <c r="A116" s="26">
        <f>A115</f>
        <v>28</v>
      </c>
      <c r="B116" s="26"/>
      <c r="C116" s="21" t="str">
        <f>SUBSTITUTE(UC!C116,"Old","New")</f>
        <v>*</v>
      </c>
      <c r="D116" s="22"/>
      <c r="E116" s="23" t="str">
        <f t="shared" si="33"/>
        <v>COMELC</v>
      </c>
      <c r="F116" s="23" t="str">
        <f t="shared" si="33"/>
        <v>COMRETNewVTEUE</v>
      </c>
      <c r="G116" s="23" t="str">
        <f t="shared" si="33"/>
        <v>COMRETNewVTEUE</v>
      </c>
      <c r="H116" s="24">
        <v>2050</v>
      </c>
      <c r="I116" s="24" t="str">
        <f>I115</f>
        <v>LO</v>
      </c>
      <c r="J116" s="24"/>
      <c r="K116" s="25">
        <f>UC!K116</f>
        <v>0</v>
      </c>
      <c r="L116" s="24"/>
      <c r="M116" s="24"/>
      <c r="N116" s="26"/>
      <c r="O116" s="27"/>
      <c r="Q116" s="21" t="str">
        <f>SUBSTITUTE(UC!Q116,"Old","New")</f>
        <v>*</v>
      </c>
      <c r="R116" s="22"/>
      <c r="S116" s="23" t="str">
        <f t="shared" si="20"/>
        <v>COMELC</v>
      </c>
      <c r="T116" s="23" t="str">
        <f t="shared" si="21"/>
        <v>COMRETNewVTEUE</v>
      </c>
      <c r="U116" s="23" t="str">
        <f t="shared" si="22"/>
        <v>COMRETNewVTEUE</v>
      </c>
      <c r="V116" s="24">
        <v>2050</v>
      </c>
      <c r="W116" s="24" t="str">
        <f>W115</f>
        <v>UP</v>
      </c>
      <c r="X116" s="24"/>
      <c r="Y116" s="25">
        <f>UC!Y116</f>
        <v>-1</v>
      </c>
      <c r="Z116" s="24"/>
      <c r="AA116" s="24"/>
      <c r="AB116" s="26"/>
      <c r="AC116" s="27"/>
    </row>
    <row r="117" spans="1:29" x14ac:dyDescent="0.25">
      <c r="A117" s="19">
        <f>A113+1</f>
        <v>29</v>
      </c>
      <c r="B117" s="10"/>
      <c r="C117" s="11" t="str">
        <f>SUBSTITUTE(UC!C117,"Old","New")</f>
        <v>UC_MarketShare_COMRETNewWH_FOI_MIN</v>
      </c>
      <c r="D117" s="12"/>
      <c r="E117" s="13" t="str">
        <f>_xlfn.XLOOKUP($A117,Selected_constraint_UC!$A:$A,Selected_constraint_UC!$B:$B)</f>
        <v>COMFOI</v>
      </c>
      <c r="F117" s="13" t="str">
        <f>SUBSTITUTE(_xlfn.XLOOKUP($A117,Selected_constraint_UC!$A:$A,Selected_constraint_UC!$C:$C),"Old","New")</f>
        <v>COMRETNewWHEUE</v>
      </c>
      <c r="G117" s="13" t="str">
        <f>F117</f>
        <v>COMRETNewWHEUE</v>
      </c>
      <c r="H117" s="14">
        <v>2019</v>
      </c>
      <c r="I117" s="14" t="s">
        <v>3848</v>
      </c>
      <c r="J117" s="14">
        <v>1</v>
      </c>
      <c r="K117" s="15">
        <f>UC!K117</f>
        <v>-6.8599999999999998E-3</v>
      </c>
      <c r="L117" s="14">
        <v>0</v>
      </c>
      <c r="M117" s="14">
        <v>5</v>
      </c>
      <c r="N117" s="10"/>
      <c r="O117" s="20"/>
      <c r="Q117" s="11" t="str">
        <f>SUBSTITUTE(UC!Q117,"Old","New")</f>
        <v>UC_MarketShare_COMRETNewWH_FOI_MAX</v>
      </c>
      <c r="R117" s="12"/>
      <c r="S117" s="13" t="str">
        <f t="shared" si="20"/>
        <v>COMFOI</v>
      </c>
      <c r="T117" s="13" t="str">
        <f t="shared" si="21"/>
        <v>COMRETNewWHEUE</v>
      </c>
      <c r="U117" s="13" t="str">
        <f t="shared" si="22"/>
        <v>COMRETNewWHEUE</v>
      </c>
      <c r="V117" s="14">
        <f>H117</f>
        <v>2019</v>
      </c>
      <c r="W117" s="29" t="s">
        <v>3849</v>
      </c>
      <c r="X117" s="14">
        <v>1</v>
      </c>
      <c r="Y117" s="15">
        <f>UC!Y117</f>
        <v>-9.0000000000000011E-3</v>
      </c>
      <c r="Z117" s="14">
        <v>0</v>
      </c>
      <c r="AA117" s="14">
        <v>5</v>
      </c>
      <c r="AB117" s="10"/>
      <c r="AC117" s="20"/>
    </row>
    <row r="118" spans="1:29" x14ac:dyDescent="0.25">
      <c r="A118" s="10">
        <f>A117</f>
        <v>29</v>
      </c>
      <c r="B118" s="10"/>
      <c r="C118" s="11" t="str">
        <f>SUBSTITUTE(UC!C118,"Old","New")</f>
        <v/>
      </c>
      <c r="D118" s="12"/>
      <c r="E118" s="13" t="str">
        <f t="shared" ref="E118:G120" si="34">E117</f>
        <v>COMFOI</v>
      </c>
      <c r="F118" s="13" t="str">
        <f t="shared" si="34"/>
        <v>COMRETNewWHEUE</v>
      </c>
      <c r="G118" s="13" t="str">
        <f t="shared" si="34"/>
        <v>COMRETNewWHEUE</v>
      </c>
      <c r="H118" s="14">
        <v>2025</v>
      </c>
      <c r="I118" s="14" t="str">
        <f>I117</f>
        <v>LO</v>
      </c>
      <c r="J118" s="14"/>
      <c r="K118" s="15">
        <f>UC!K118</f>
        <v>-5.6000000000000008E-3</v>
      </c>
      <c r="L118" s="14"/>
      <c r="M118" s="14"/>
      <c r="N118" s="10"/>
      <c r="O118" s="20"/>
      <c r="Q118" s="11" t="str">
        <f>SUBSTITUTE(UC!Q118,"Old","New")</f>
        <v/>
      </c>
      <c r="R118" s="12"/>
      <c r="S118" s="13" t="str">
        <f t="shared" si="20"/>
        <v>COMFOI</v>
      </c>
      <c r="T118" s="13" t="str">
        <f t="shared" si="21"/>
        <v>COMRETNewWHEUE</v>
      </c>
      <c r="U118" s="13" t="str">
        <f t="shared" si="22"/>
        <v>COMRETNewWHEUE</v>
      </c>
      <c r="V118" s="14">
        <v>2025</v>
      </c>
      <c r="W118" s="14" t="str">
        <f>W117</f>
        <v>UP</v>
      </c>
      <c r="X118" s="14"/>
      <c r="Y118" s="15">
        <f>UC!Y118</f>
        <v>-8.0000000000000002E-3</v>
      </c>
      <c r="Z118" s="14"/>
      <c r="AA118" s="14"/>
      <c r="AB118" s="10"/>
      <c r="AC118" s="20"/>
    </row>
    <row r="119" spans="1:29" x14ac:dyDescent="0.25">
      <c r="A119" s="10">
        <f>A118</f>
        <v>29</v>
      </c>
      <c r="B119" s="10"/>
      <c r="C119" s="11" t="str">
        <f>SUBSTITUTE(UC!C119,"Old","New")</f>
        <v/>
      </c>
      <c r="D119" s="12"/>
      <c r="E119" s="13" t="str">
        <f t="shared" si="34"/>
        <v>COMFOI</v>
      </c>
      <c r="F119" s="13" t="str">
        <f t="shared" si="34"/>
        <v>COMRETNewWHEUE</v>
      </c>
      <c r="G119" s="13" t="str">
        <f t="shared" si="34"/>
        <v>COMRETNewWHEUE</v>
      </c>
      <c r="H119" s="14">
        <v>2030</v>
      </c>
      <c r="I119" s="14" t="str">
        <f>I118</f>
        <v>LO</v>
      </c>
      <c r="J119" s="14"/>
      <c r="K119" s="15">
        <f>UC!K119</f>
        <v>-1.4000000000000002E-3</v>
      </c>
      <c r="L119" s="14"/>
      <c r="M119" s="14"/>
      <c r="N119" s="10"/>
      <c r="O119" s="20"/>
      <c r="Q119" s="11" t="str">
        <f>SUBSTITUTE(UC!Q119,"Old","New")</f>
        <v/>
      </c>
      <c r="R119" s="12"/>
      <c r="S119" s="13" t="str">
        <f t="shared" si="20"/>
        <v>COMFOI</v>
      </c>
      <c r="T119" s="13" t="str">
        <f t="shared" si="21"/>
        <v>COMRETNewWHEUE</v>
      </c>
      <c r="U119" s="13" t="str">
        <f t="shared" si="22"/>
        <v>COMRETNewWHEUE</v>
      </c>
      <c r="V119" s="14">
        <v>2030</v>
      </c>
      <c r="W119" s="14" t="str">
        <f>W118</f>
        <v>UP</v>
      </c>
      <c r="X119" s="14"/>
      <c r="Y119" s="15">
        <f>UC!Y119</f>
        <v>-8.0000000000000002E-3</v>
      </c>
      <c r="Z119" s="14"/>
      <c r="AA119" s="14"/>
      <c r="AB119" s="10"/>
      <c r="AC119" s="20"/>
    </row>
    <row r="120" spans="1:29" x14ac:dyDescent="0.25">
      <c r="A120" s="26">
        <f>A119</f>
        <v>29</v>
      </c>
      <c r="B120" s="26"/>
      <c r="C120" s="21" t="str">
        <f>SUBSTITUTE(UC!C120,"Old","New")</f>
        <v/>
      </c>
      <c r="D120" s="22"/>
      <c r="E120" s="23" t="str">
        <f t="shared" si="34"/>
        <v>COMFOI</v>
      </c>
      <c r="F120" s="23" t="str">
        <f t="shared" si="34"/>
        <v>COMRETNewWHEUE</v>
      </c>
      <c r="G120" s="23" t="str">
        <f t="shared" si="34"/>
        <v>COMRETNewWHEUE</v>
      </c>
      <c r="H120" s="24">
        <v>2050</v>
      </c>
      <c r="I120" s="24" t="str">
        <f>I119</f>
        <v>LO</v>
      </c>
      <c r="J120" s="24"/>
      <c r="K120" s="25">
        <f>UC!K120</f>
        <v>0</v>
      </c>
      <c r="L120" s="24"/>
      <c r="M120" s="24"/>
      <c r="N120" s="26"/>
      <c r="O120" s="27"/>
      <c r="Q120" s="21" t="str">
        <f>SUBSTITUTE(UC!Q120,"Old","New")</f>
        <v/>
      </c>
      <c r="R120" s="22"/>
      <c r="S120" s="23" t="str">
        <f t="shared" si="20"/>
        <v>COMFOI</v>
      </c>
      <c r="T120" s="23" t="str">
        <f t="shared" si="21"/>
        <v>COMRETNewWHEUE</v>
      </c>
      <c r="U120" s="23" t="str">
        <f t="shared" si="22"/>
        <v>COMRETNewWHEUE</v>
      </c>
      <c r="V120" s="24">
        <v>2050</v>
      </c>
      <c r="W120" s="24" t="str">
        <f>W119</f>
        <v>UP</v>
      </c>
      <c r="X120" s="24"/>
      <c r="Y120" s="25">
        <f>UC!Y120</f>
        <v>-6.0000000000000001E-3</v>
      </c>
      <c r="Z120" s="24"/>
      <c r="AA120" s="24"/>
      <c r="AB120" s="26"/>
      <c r="AC120" s="27"/>
    </row>
    <row r="121" spans="1:29" x14ac:dyDescent="0.25">
      <c r="A121" s="19">
        <f>A117+1</f>
        <v>30</v>
      </c>
      <c r="B121" s="10"/>
      <c r="C121" s="11" t="str">
        <f>SUBSTITUTE(UC!C121,"Old","New")</f>
        <v>UC_MarketShare_COMRETNewWH_NGA_MIN</v>
      </c>
      <c r="D121" s="12"/>
      <c r="E121" s="13" t="str">
        <f>_xlfn.XLOOKUP($A121,Selected_constraint_UC!$A:$A,Selected_constraint_UC!$B:$B)</f>
        <v>COMNGA</v>
      </c>
      <c r="F121" s="13" t="str">
        <f>SUBSTITUTE(_xlfn.XLOOKUP($A121,Selected_constraint_UC!$A:$A,Selected_constraint_UC!$C:$C),"Old","New")</f>
        <v>COMRETNewWHEUE</v>
      </c>
      <c r="G121" s="13" t="str">
        <f>F121</f>
        <v>COMRETNewWHEUE</v>
      </c>
      <c r="H121" s="14">
        <v>2019</v>
      </c>
      <c r="I121" s="14" t="s">
        <v>3848</v>
      </c>
      <c r="J121" s="14">
        <v>1</v>
      </c>
      <c r="K121" s="15">
        <f>UC!K121</f>
        <v>-0.75263999999999998</v>
      </c>
      <c r="L121" s="14">
        <v>0</v>
      </c>
      <c r="M121" s="14">
        <v>5</v>
      </c>
      <c r="N121" s="10"/>
      <c r="O121" s="20"/>
      <c r="Q121" s="11" t="str">
        <f>SUBSTITUTE(UC!Q121,"Old","New")</f>
        <v>UC_MarketShare_COMRETNewWH_NGA_MAX</v>
      </c>
      <c r="R121" s="12"/>
      <c r="S121" s="13" t="str">
        <f t="shared" si="20"/>
        <v>COMNGA</v>
      </c>
      <c r="T121" s="13" t="str">
        <f t="shared" si="21"/>
        <v>COMRETNewWHEUE</v>
      </c>
      <c r="U121" s="13" t="str">
        <f t="shared" si="22"/>
        <v>COMRETNewWHEUE</v>
      </c>
      <c r="V121" s="14">
        <f>H121</f>
        <v>2019</v>
      </c>
      <c r="W121" s="29" t="s">
        <v>3849</v>
      </c>
      <c r="X121" s="14">
        <v>1</v>
      </c>
      <c r="Y121" s="15">
        <f>UC!Y121</f>
        <v>-0.78400000000000003</v>
      </c>
      <c r="Z121" s="14">
        <v>0</v>
      </c>
      <c r="AA121" s="14">
        <v>5</v>
      </c>
      <c r="AB121" s="10"/>
      <c r="AC121" s="20"/>
    </row>
    <row r="122" spans="1:29" x14ac:dyDescent="0.25">
      <c r="A122" s="10">
        <f>A121</f>
        <v>30</v>
      </c>
      <c r="B122" s="10"/>
      <c r="C122" s="11" t="str">
        <f>SUBSTITUTE(UC!C122,"Old","New")</f>
        <v/>
      </c>
      <c r="D122" s="12"/>
      <c r="E122" s="13" t="str">
        <f t="shared" ref="E122:G124" si="35">E121</f>
        <v>COMNGA</v>
      </c>
      <c r="F122" s="13" t="str">
        <f t="shared" si="35"/>
        <v>COMRETNewWHEUE</v>
      </c>
      <c r="G122" s="13" t="str">
        <f t="shared" si="35"/>
        <v>COMRETNewWHEUE</v>
      </c>
      <c r="H122" s="14">
        <v>2025</v>
      </c>
      <c r="I122" s="14" t="str">
        <f>I121</f>
        <v>LO</v>
      </c>
      <c r="J122" s="14"/>
      <c r="K122" s="15">
        <f>UC!K122</f>
        <v>-0.61440000000000006</v>
      </c>
      <c r="L122" s="14"/>
      <c r="M122" s="14"/>
      <c r="N122" s="10"/>
      <c r="O122" s="20"/>
      <c r="Q122" s="11" t="str">
        <f>SUBSTITUTE(UC!Q122,"Old","New")</f>
        <v/>
      </c>
      <c r="R122" s="12"/>
      <c r="S122" s="13" t="str">
        <f t="shared" si="20"/>
        <v>COMNGA</v>
      </c>
      <c r="T122" s="13" t="str">
        <f t="shared" si="21"/>
        <v>COMRETNewWHEUE</v>
      </c>
      <c r="U122" s="13" t="str">
        <f t="shared" si="22"/>
        <v>COMRETNewWHEUE</v>
      </c>
      <c r="V122" s="14">
        <v>2025</v>
      </c>
      <c r="W122" s="14" t="str">
        <f>W121</f>
        <v>UP</v>
      </c>
      <c r="X122" s="14"/>
      <c r="Y122" s="15">
        <f>UC!Y122</f>
        <v>-0.76900000000000002</v>
      </c>
      <c r="Z122" s="14"/>
      <c r="AA122" s="14"/>
      <c r="AB122" s="10"/>
      <c r="AC122" s="20"/>
    </row>
    <row r="123" spans="1:29" x14ac:dyDescent="0.25">
      <c r="A123" s="10">
        <f>A122</f>
        <v>30</v>
      </c>
      <c r="B123" s="10"/>
      <c r="C123" s="11" t="str">
        <f>SUBSTITUTE(UC!C123,"Old","New")</f>
        <v/>
      </c>
      <c r="D123" s="12"/>
      <c r="E123" s="13" t="str">
        <f t="shared" si="35"/>
        <v>COMNGA</v>
      </c>
      <c r="F123" s="13" t="str">
        <f t="shared" si="35"/>
        <v>COMRETNewWHEUE</v>
      </c>
      <c r="G123" s="13" t="str">
        <f t="shared" si="35"/>
        <v>COMRETNewWHEUE</v>
      </c>
      <c r="H123" s="14">
        <v>2030</v>
      </c>
      <c r="I123" s="14" t="str">
        <f>I122</f>
        <v>LO</v>
      </c>
      <c r="J123" s="14"/>
      <c r="K123" s="15">
        <f>UC!K123</f>
        <v>-0.15360000000000001</v>
      </c>
      <c r="L123" s="14"/>
      <c r="M123" s="14"/>
      <c r="N123" s="10"/>
      <c r="O123" s="20"/>
      <c r="Q123" s="11" t="str">
        <f>SUBSTITUTE(UC!Q123,"Old","New")</f>
        <v/>
      </c>
      <c r="R123" s="12"/>
      <c r="S123" s="13" t="str">
        <f t="shared" si="20"/>
        <v>COMNGA</v>
      </c>
      <c r="T123" s="13" t="str">
        <f t="shared" si="21"/>
        <v>COMRETNewWHEUE</v>
      </c>
      <c r="U123" s="13" t="str">
        <f t="shared" si="22"/>
        <v>COMRETNewWHEUE</v>
      </c>
      <c r="V123" s="14">
        <v>2030</v>
      </c>
      <c r="W123" s="14" t="str">
        <f>W122</f>
        <v>UP</v>
      </c>
      <c r="X123" s="14"/>
      <c r="Y123" s="15">
        <f>UC!Y123</f>
        <v>-0.69199999999999995</v>
      </c>
      <c r="Z123" s="14"/>
      <c r="AA123" s="14"/>
      <c r="AB123" s="10"/>
      <c r="AC123" s="20"/>
    </row>
    <row r="124" spans="1:29" x14ac:dyDescent="0.25">
      <c r="A124" s="26">
        <f>A123</f>
        <v>30</v>
      </c>
      <c r="B124" s="26"/>
      <c r="C124" s="21" t="str">
        <f>SUBSTITUTE(UC!C124,"Old","New")</f>
        <v/>
      </c>
      <c r="D124" s="22"/>
      <c r="E124" s="23" t="str">
        <f t="shared" si="35"/>
        <v>COMNGA</v>
      </c>
      <c r="F124" s="23" t="str">
        <f t="shared" si="35"/>
        <v>COMRETNewWHEUE</v>
      </c>
      <c r="G124" s="23" t="str">
        <f t="shared" si="35"/>
        <v>COMRETNewWHEUE</v>
      </c>
      <c r="H124" s="24">
        <v>2050</v>
      </c>
      <c r="I124" s="24" t="str">
        <f>I123</f>
        <v>LO</v>
      </c>
      <c r="J124" s="24"/>
      <c r="K124" s="25">
        <f>UC!K124</f>
        <v>0</v>
      </c>
      <c r="L124" s="24"/>
      <c r="M124" s="24"/>
      <c r="N124" s="26"/>
      <c r="O124" s="27"/>
      <c r="Q124" s="21" t="str">
        <f>SUBSTITUTE(UC!Q124,"Old","New")</f>
        <v/>
      </c>
      <c r="R124" s="22"/>
      <c r="S124" s="23" t="str">
        <f t="shared" si="20"/>
        <v>COMNGA</v>
      </c>
      <c r="T124" s="23" t="str">
        <f t="shared" si="21"/>
        <v>COMRETNewWHEUE</v>
      </c>
      <c r="U124" s="23" t="str">
        <f t="shared" si="22"/>
        <v>COMRETNewWHEUE</v>
      </c>
      <c r="V124" s="24">
        <v>2050</v>
      </c>
      <c r="W124" s="24" t="str">
        <f>W123</f>
        <v>UP</v>
      </c>
      <c r="X124" s="24"/>
      <c r="Y124" s="25">
        <f>UC!Y124</f>
        <v>-0.57699999999999996</v>
      </c>
      <c r="Z124" s="24"/>
      <c r="AA124" s="24"/>
      <c r="AB124" s="26"/>
      <c r="AC124" s="27"/>
    </row>
    <row r="125" spans="1:29" x14ac:dyDescent="0.25">
      <c r="A125" s="19">
        <f>A121+1</f>
        <v>31</v>
      </c>
      <c r="B125" s="10"/>
      <c r="C125" s="11" t="str">
        <f>SUBSTITUTE(UC!C125,"Old","New")</f>
        <v>*</v>
      </c>
      <c r="D125" s="12"/>
      <c r="E125" s="13" t="str">
        <f>_xlfn.XLOOKUP($A125,Selected_constraint_UC!$A:$A,Selected_constraint_UC!$B:$B)</f>
        <v>COMSTM</v>
      </c>
      <c r="F125" s="13" t="str">
        <f>SUBSTITUTE(_xlfn.XLOOKUP($A125,Selected_constraint_UC!$A:$A,Selected_constraint_UC!$C:$C),"Old","New")</f>
        <v>COMRETNewWHEUE</v>
      </c>
      <c r="G125" s="13" t="str">
        <f>F125</f>
        <v>COMRETNewWHEUE</v>
      </c>
      <c r="H125" s="14">
        <v>2019</v>
      </c>
      <c r="I125" s="14" t="s">
        <v>3848</v>
      </c>
      <c r="J125" s="14">
        <v>1</v>
      </c>
      <c r="K125" s="15">
        <f>UC!K125</f>
        <v>0</v>
      </c>
      <c r="L125" s="14">
        <v>0</v>
      </c>
      <c r="M125" s="14">
        <v>5</v>
      </c>
      <c r="N125" s="10"/>
      <c r="O125" s="20"/>
      <c r="Q125" s="11" t="str">
        <f>SUBSTITUTE(UC!Q125,"Old","New")</f>
        <v>*</v>
      </c>
      <c r="R125" s="12"/>
      <c r="S125" s="13" t="str">
        <f t="shared" si="20"/>
        <v>COMSTM</v>
      </c>
      <c r="T125" s="13" t="str">
        <f t="shared" si="21"/>
        <v>COMRETNewWHEUE</v>
      </c>
      <c r="U125" s="13" t="str">
        <f t="shared" si="22"/>
        <v>COMRETNewWHEUE</v>
      </c>
      <c r="V125" s="14">
        <f>H125</f>
        <v>2019</v>
      </c>
      <c r="W125" s="29" t="s">
        <v>3849</v>
      </c>
      <c r="X125" s="14">
        <v>1</v>
      </c>
      <c r="Y125" s="15">
        <f>UC!Y125</f>
        <v>0</v>
      </c>
      <c r="Z125" s="14">
        <v>0</v>
      </c>
      <c r="AA125" s="14">
        <v>5</v>
      </c>
      <c r="AB125" s="10"/>
      <c r="AC125" s="20"/>
    </row>
    <row r="126" spans="1:29" x14ac:dyDescent="0.25">
      <c r="A126" s="10">
        <f>A125</f>
        <v>31</v>
      </c>
      <c r="B126" s="10"/>
      <c r="C126" s="11" t="str">
        <f>SUBSTITUTE(UC!C126,"Old","New")</f>
        <v>*</v>
      </c>
      <c r="D126" s="12"/>
      <c r="E126" s="13" t="str">
        <f t="shared" ref="E126:G128" si="36">E125</f>
        <v>COMSTM</v>
      </c>
      <c r="F126" s="13" t="str">
        <f t="shared" si="36"/>
        <v>COMRETNewWHEUE</v>
      </c>
      <c r="G126" s="13" t="str">
        <f t="shared" si="36"/>
        <v>COMRETNewWHEUE</v>
      </c>
      <c r="H126" s="14">
        <v>2025</v>
      </c>
      <c r="I126" s="14" t="str">
        <f>I125</f>
        <v>LO</v>
      </c>
      <c r="J126" s="14"/>
      <c r="K126" s="15">
        <f>UC!K126</f>
        <v>0</v>
      </c>
      <c r="L126" s="14"/>
      <c r="M126" s="14"/>
      <c r="N126" s="10"/>
      <c r="O126" s="20"/>
      <c r="Q126" s="11" t="str">
        <f>SUBSTITUTE(UC!Q126,"Old","New")</f>
        <v>*</v>
      </c>
      <c r="R126" s="12"/>
      <c r="S126" s="13" t="str">
        <f t="shared" si="20"/>
        <v>COMSTM</v>
      </c>
      <c r="T126" s="13" t="str">
        <f t="shared" si="21"/>
        <v>COMRETNewWHEUE</v>
      </c>
      <c r="U126" s="13" t="str">
        <f t="shared" si="22"/>
        <v>COMRETNewWHEUE</v>
      </c>
      <c r="V126" s="14">
        <v>2025</v>
      </c>
      <c r="W126" s="14" t="str">
        <f>W125</f>
        <v>UP</v>
      </c>
      <c r="X126" s="14"/>
      <c r="Y126" s="15">
        <f>UC!Y126</f>
        <v>0</v>
      </c>
      <c r="Z126" s="14"/>
      <c r="AA126" s="14"/>
      <c r="AB126" s="10"/>
      <c r="AC126" s="20"/>
    </row>
    <row r="127" spans="1:29" x14ac:dyDescent="0.25">
      <c r="A127" s="10">
        <f>A126</f>
        <v>31</v>
      </c>
      <c r="B127" s="10"/>
      <c r="C127" s="11" t="str">
        <f>SUBSTITUTE(UC!C127,"Old","New")</f>
        <v>*</v>
      </c>
      <c r="D127" s="12"/>
      <c r="E127" s="13" t="str">
        <f t="shared" si="36"/>
        <v>COMSTM</v>
      </c>
      <c r="F127" s="13" t="str">
        <f t="shared" si="36"/>
        <v>COMRETNewWHEUE</v>
      </c>
      <c r="G127" s="13" t="str">
        <f t="shared" si="36"/>
        <v>COMRETNewWHEUE</v>
      </c>
      <c r="H127" s="14">
        <v>2030</v>
      </c>
      <c r="I127" s="14" t="str">
        <f>I126</f>
        <v>LO</v>
      </c>
      <c r="J127" s="14"/>
      <c r="K127" s="15">
        <f>UC!K127</f>
        <v>0</v>
      </c>
      <c r="L127" s="14"/>
      <c r="M127" s="14"/>
      <c r="N127" s="10"/>
      <c r="O127" s="20"/>
      <c r="Q127" s="11" t="str">
        <f>SUBSTITUTE(UC!Q127,"Old","New")</f>
        <v>*</v>
      </c>
      <c r="R127" s="12"/>
      <c r="S127" s="13" t="str">
        <f t="shared" si="20"/>
        <v>COMSTM</v>
      </c>
      <c r="T127" s="13" t="str">
        <f t="shared" si="21"/>
        <v>COMRETNewWHEUE</v>
      </c>
      <c r="U127" s="13" t="str">
        <f t="shared" si="22"/>
        <v>COMRETNewWHEUE</v>
      </c>
      <c r="V127" s="14">
        <v>2030</v>
      </c>
      <c r="W127" s="14" t="str">
        <f>W126</f>
        <v>UP</v>
      </c>
      <c r="X127" s="14"/>
      <c r="Y127" s="15">
        <f>UC!Y127</f>
        <v>0</v>
      </c>
      <c r="Z127" s="14"/>
      <c r="AA127" s="14"/>
      <c r="AB127" s="10"/>
      <c r="AC127" s="20"/>
    </row>
    <row r="128" spans="1:29" x14ac:dyDescent="0.25">
      <c r="A128" s="26">
        <f>A127</f>
        <v>31</v>
      </c>
      <c r="B128" s="26"/>
      <c r="C128" s="21" t="str">
        <f>SUBSTITUTE(UC!C128,"Old","New")</f>
        <v>*</v>
      </c>
      <c r="D128" s="22"/>
      <c r="E128" s="23" t="str">
        <f t="shared" si="36"/>
        <v>COMSTM</v>
      </c>
      <c r="F128" s="23" t="str">
        <f t="shared" si="36"/>
        <v>COMRETNewWHEUE</v>
      </c>
      <c r="G128" s="23" t="str">
        <f t="shared" si="36"/>
        <v>COMRETNewWHEUE</v>
      </c>
      <c r="H128" s="24">
        <v>2050</v>
      </c>
      <c r="I128" s="24" t="str">
        <f>I127</f>
        <v>LO</v>
      </c>
      <c r="J128" s="24"/>
      <c r="K128" s="25">
        <f>UC!K128</f>
        <v>0</v>
      </c>
      <c r="L128" s="24"/>
      <c r="M128" s="24"/>
      <c r="N128" s="26"/>
      <c r="O128" s="27"/>
      <c r="Q128" s="21" t="str">
        <f>SUBSTITUTE(UC!Q128,"Old","New")</f>
        <v>*</v>
      </c>
      <c r="R128" s="22"/>
      <c r="S128" s="23" t="str">
        <f t="shared" si="20"/>
        <v>COMSTM</v>
      </c>
      <c r="T128" s="23" t="str">
        <f t="shared" si="21"/>
        <v>COMRETNewWHEUE</v>
      </c>
      <c r="U128" s="23" t="str">
        <f t="shared" si="22"/>
        <v>COMRETNewWHEUE</v>
      </c>
      <c r="V128" s="24">
        <v>2050</v>
      </c>
      <c r="W128" s="24" t="str">
        <f>W127</f>
        <v>UP</v>
      </c>
      <c r="X128" s="24"/>
      <c r="Y128" s="25">
        <f>UC!Y128</f>
        <v>0</v>
      </c>
      <c r="Z128" s="24"/>
      <c r="AA128" s="24"/>
      <c r="AB128" s="26"/>
      <c r="AC128" s="27"/>
    </row>
    <row r="129" spans="1:29" x14ac:dyDescent="0.25">
      <c r="A129" s="19">
        <f>A125+1</f>
        <v>32</v>
      </c>
      <c r="B129" s="10"/>
      <c r="C129" s="11" t="str">
        <f>SUBSTITUTE(UC!C129,"Old","New")</f>
        <v>UC_MarketShare_COMRETNewWH_ELC_MIN</v>
      </c>
      <c r="D129" s="12"/>
      <c r="E129" s="13" t="str">
        <f>_xlfn.XLOOKUP($A129,Selected_constraint_UC!$A:$A,Selected_constraint_UC!$B:$B)</f>
        <v>COMELC</v>
      </c>
      <c r="F129" s="13" t="str">
        <f>SUBSTITUTE(_xlfn.XLOOKUP($A129,Selected_constraint_UC!$A:$A,Selected_constraint_UC!$C:$C),"Old","New")</f>
        <v>COMRETNewWHEUE</v>
      </c>
      <c r="G129" s="13" t="str">
        <f>F129</f>
        <v>COMRETNewWHEUE</v>
      </c>
      <c r="H129" s="14">
        <v>2019</v>
      </c>
      <c r="I129" s="14" t="s">
        <v>3848</v>
      </c>
      <c r="J129" s="14">
        <v>1</v>
      </c>
      <c r="K129" s="15">
        <f>UC!K129</f>
        <v>-0.21854000000000001</v>
      </c>
      <c r="L129" s="14">
        <v>0</v>
      </c>
      <c r="M129" s="14">
        <v>5</v>
      </c>
      <c r="N129" s="10"/>
      <c r="O129" s="20"/>
      <c r="Q129" s="11" t="str">
        <f>SUBSTITUTE(UC!Q129,"Old","New")</f>
        <v>UC_MarketShare_COMRETNewWH_ELC_MAX</v>
      </c>
      <c r="R129" s="12"/>
      <c r="S129" s="13" t="str">
        <f t="shared" si="20"/>
        <v>COMELC</v>
      </c>
      <c r="T129" s="13" t="str">
        <f t="shared" si="21"/>
        <v>COMRETNewWHEUE</v>
      </c>
      <c r="U129" s="13" t="str">
        <f t="shared" si="22"/>
        <v>COMRETNewWHEUE</v>
      </c>
      <c r="V129" s="14">
        <f>H129</f>
        <v>2019</v>
      </c>
      <c r="W129" s="29" t="s">
        <v>3849</v>
      </c>
      <c r="X129" s="14">
        <v>1</v>
      </c>
      <c r="Y129" s="15">
        <f>UC!Y129</f>
        <v>-0.22900000000000001</v>
      </c>
      <c r="Z129" s="14">
        <v>0</v>
      </c>
      <c r="AA129" s="14">
        <v>5</v>
      </c>
      <c r="AB129" s="10"/>
      <c r="AC129" s="20"/>
    </row>
    <row r="130" spans="1:29" x14ac:dyDescent="0.25">
      <c r="A130" s="10">
        <f>A129</f>
        <v>32</v>
      </c>
      <c r="B130" s="10"/>
      <c r="C130" s="11" t="str">
        <f>SUBSTITUTE(UC!C130,"Old","New")</f>
        <v/>
      </c>
      <c r="D130" s="12"/>
      <c r="E130" s="13" t="str">
        <f t="shared" ref="E130:G132" si="37">E129</f>
        <v>COMELC</v>
      </c>
      <c r="F130" s="13" t="str">
        <f t="shared" si="37"/>
        <v>COMRETNewWHEUE</v>
      </c>
      <c r="G130" s="13" t="str">
        <f t="shared" si="37"/>
        <v>COMRETNewWHEUE</v>
      </c>
      <c r="H130" s="14">
        <v>2025</v>
      </c>
      <c r="I130" s="14" t="str">
        <f>I129</f>
        <v>LO</v>
      </c>
      <c r="J130" s="14"/>
      <c r="K130" s="15">
        <f>UC!K130</f>
        <v>-0.1784</v>
      </c>
      <c r="L130" s="14"/>
      <c r="M130" s="14"/>
      <c r="N130" s="10"/>
      <c r="O130" s="20"/>
      <c r="Q130" s="11" t="str">
        <f>SUBSTITUTE(UC!Q130,"Old","New")</f>
        <v/>
      </c>
      <c r="R130" s="12"/>
      <c r="S130" s="13" t="str">
        <f t="shared" si="20"/>
        <v>COMELC</v>
      </c>
      <c r="T130" s="13" t="str">
        <f t="shared" si="21"/>
        <v>COMRETNewWHEUE</v>
      </c>
      <c r="U130" s="13" t="str">
        <f t="shared" si="22"/>
        <v>COMRETNewWHEUE</v>
      </c>
      <c r="V130" s="14">
        <v>2025</v>
      </c>
      <c r="W130" s="14" t="str">
        <f>W129</f>
        <v>UP</v>
      </c>
      <c r="X130" s="14"/>
      <c r="Y130" s="15">
        <f>UC!Y130</f>
        <v>-0.26900000000000002</v>
      </c>
      <c r="Z130" s="14"/>
      <c r="AA130" s="14"/>
      <c r="AB130" s="10"/>
      <c r="AC130" s="20"/>
    </row>
    <row r="131" spans="1:29" x14ac:dyDescent="0.25">
      <c r="A131" s="10">
        <f>A130</f>
        <v>32</v>
      </c>
      <c r="B131" s="10"/>
      <c r="C131" s="11" t="str">
        <f>SUBSTITUTE(UC!C131,"Old","New")</f>
        <v/>
      </c>
      <c r="D131" s="12"/>
      <c r="E131" s="13" t="str">
        <f t="shared" si="37"/>
        <v>COMELC</v>
      </c>
      <c r="F131" s="13" t="str">
        <f t="shared" si="37"/>
        <v>COMRETNewWHEUE</v>
      </c>
      <c r="G131" s="13" t="str">
        <f t="shared" si="37"/>
        <v>COMRETNewWHEUE</v>
      </c>
      <c r="H131" s="14">
        <v>2030</v>
      </c>
      <c r="I131" s="14" t="str">
        <f>I130</f>
        <v>LO</v>
      </c>
      <c r="J131" s="14"/>
      <c r="K131" s="15">
        <f>UC!K131</f>
        <v>-0.16725000000000001</v>
      </c>
      <c r="L131" s="14"/>
      <c r="M131" s="14"/>
      <c r="N131" s="10"/>
      <c r="O131" s="20"/>
      <c r="Q131" s="11" t="str">
        <f>SUBSTITUTE(UC!Q131,"Old","New")</f>
        <v/>
      </c>
      <c r="R131" s="12"/>
      <c r="S131" s="13" t="str">
        <f t="shared" si="20"/>
        <v>COMELC</v>
      </c>
      <c r="T131" s="13" t="str">
        <f t="shared" si="21"/>
        <v>COMRETNewWHEUE</v>
      </c>
      <c r="U131" s="13" t="str">
        <f t="shared" si="22"/>
        <v>COMRETNewWHEUE</v>
      </c>
      <c r="V131" s="14">
        <v>2030</v>
      </c>
      <c r="W131" s="14" t="str">
        <f>W130</f>
        <v>UP</v>
      </c>
      <c r="X131" s="14"/>
      <c r="Y131" s="15">
        <f>UC!Y131</f>
        <v>-0.5</v>
      </c>
      <c r="Z131" s="14"/>
      <c r="AA131" s="14"/>
      <c r="AB131" s="10"/>
      <c r="AC131" s="20"/>
    </row>
    <row r="132" spans="1:29" x14ac:dyDescent="0.25">
      <c r="A132" s="26">
        <f>A131</f>
        <v>32</v>
      </c>
      <c r="B132" s="26"/>
      <c r="C132" s="21" t="str">
        <f>SUBSTITUTE(UC!C132,"Old","New")</f>
        <v/>
      </c>
      <c r="D132" s="22"/>
      <c r="E132" s="23" t="str">
        <f t="shared" si="37"/>
        <v>COMELC</v>
      </c>
      <c r="F132" s="23" t="str">
        <f t="shared" si="37"/>
        <v>COMRETNewWHEUE</v>
      </c>
      <c r="G132" s="23" t="str">
        <f t="shared" si="37"/>
        <v>COMRETNewWHEUE</v>
      </c>
      <c r="H132" s="24">
        <v>2050</v>
      </c>
      <c r="I132" s="24" t="str">
        <f>I131</f>
        <v>LO</v>
      </c>
      <c r="J132" s="24"/>
      <c r="K132" s="25">
        <f>UC!K132</f>
        <v>-0.16725000000000001</v>
      </c>
      <c r="L132" s="24"/>
      <c r="M132" s="24"/>
      <c r="N132" s="26"/>
      <c r="O132" s="27"/>
      <c r="Q132" s="21" t="str">
        <f>SUBSTITUTE(UC!Q132,"Old","New")</f>
        <v/>
      </c>
      <c r="R132" s="22"/>
      <c r="S132" s="23" t="str">
        <f t="shared" si="20"/>
        <v>COMELC</v>
      </c>
      <c r="T132" s="23" t="str">
        <f t="shared" si="21"/>
        <v>COMRETNewWHEUE</v>
      </c>
      <c r="U132" s="23" t="str">
        <f t="shared" si="22"/>
        <v>COMRETNewWHEUE</v>
      </c>
      <c r="V132" s="24">
        <v>2050</v>
      </c>
      <c r="W132" s="24" t="str">
        <f>W131</f>
        <v>UP</v>
      </c>
      <c r="X132" s="24"/>
      <c r="Y132" s="25">
        <f>UC!Y132</f>
        <v>-1</v>
      </c>
      <c r="Z132" s="24"/>
      <c r="AA132" s="24"/>
      <c r="AB132" s="26"/>
      <c r="AC132" s="27"/>
    </row>
    <row r="133" spans="1:29" x14ac:dyDescent="0.25">
      <c r="A133" s="19">
        <f>A129+1</f>
        <v>33</v>
      </c>
      <c r="B133" s="10"/>
      <c r="C133" s="11" t="str">
        <f>SUBSTITUTE(UC!C133,"Old","New")</f>
        <v>*</v>
      </c>
      <c r="D133" s="12"/>
      <c r="E133" s="13" t="str">
        <f>_xlfn.XLOOKUP($A133,Selected_constraint_UC!$A:$A,Selected_constraint_UC!$B:$B)</f>
        <v>COMELC</v>
      </c>
      <c r="F133" s="13" t="str">
        <f>SUBSTITUTE(_xlfn.XLOOKUP($A133,Selected_constraint_UC!$A:$A,Selected_constraint_UC!$C:$C),"Old","New")</f>
        <v>COMRETNewLTEUE</v>
      </c>
      <c r="G133" s="13" t="str">
        <f>F133</f>
        <v>COMRETNewLTEUE</v>
      </c>
      <c r="H133" s="14">
        <v>2019</v>
      </c>
      <c r="I133" s="14" t="s">
        <v>3848</v>
      </c>
      <c r="J133" s="14">
        <v>1</v>
      </c>
      <c r="K133" s="15">
        <f>UC!K133</f>
        <v>-0.98</v>
      </c>
      <c r="L133" s="14">
        <v>0</v>
      </c>
      <c r="M133" s="14">
        <v>5</v>
      </c>
      <c r="N133" s="10"/>
      <c r="O133" s="20"/>
      <c r="Q133" s="11" t="str">
        <f>SUBSTITUTE(UC!Q133,"Old","New")</f>
        <v>*</v>
      </c>
      <c r="R133" s="12"/>
      <c r="S133" s="13" t="str">
        <f t="shared" si="20"/>
        <v>COMELC</v>
      </c>
      <c r="T133" s="13" t="str">
        <f t="shared" si="21"/>
        <v>COMRETNewLTEUE</v>
      </c>
      <c r="U133" s="13" t="str">
        <f t="shared" si="22"/>
        <v>COMRETNewLTEUE</v>
      </c>
      <c r="V133" s="14">
        <f>H133</f>
        <v>2019</v>
      </c>
      <c r="W133" s="29" t="s">
        <v>3849</v>
      </c>
      <c r="X133" s="14">
        <v>1</v>
      </c>
      <c r="Y133" s="15">
        <f>UC!Y133</f>
        <v>-1</v>
      </c>
      <c r="Z133" s="14">
        <v>0</v>
      </c>
      <c r="AA133" s="14">
        <v>5</v>
      </c>
      <c r="AB133" s="10"/>
      <c r="AC133" s="20"/>
    </row>
    <row r="134" spans="1:29" x14ac:dyDescent="0.25">
      <c r="A134" s="10">
        <f>A133</f>
        <v>33</v>
      </c>
      <c r="B134" s="10"/>
      <c r="C134" s="11" t="str">
        <f>SUBSTITUTE(UC!C134,"Old","New")</f>
        <v>*</v>
      </c>
      <c r="D134" s="12"/>
      <c r="E134" s="13" t="str">
        <f t="shared" ref="E134:G136" si="38">E133</f>
        <v>COMELC</v>
      </c>
      <c r="F134" s="13" t="str">
        <f t="shared" si="38"/>
        <v>COMRETNewLTEUE</v>
      </c>
      <c r="G134" s="13" t="str">
        <f t="shared" si="38"/>
        <v>COMRETNewLTEUE</v>
      </c>
      <c r="H134" s="14">
        <v>2025</v>
      </c>
      <c r="I134" s="14" t="str">
        <f>I133</f>
        <v>LO</v>
      </c>
      <c r="J134" s="14"/>
      <c r="K134" s="15">
        <f>UC!K134</f>
        <v>-0.8</v>
      </c>
      <c r="L134" s="14"/>
      <c r="M134" s="14"/>
      <c r="N134" s="10"/>
      <c r="O134" s="20"/>
      <c r="Q134" s="11" t="str">
        <f>SUBSTITUTE(UC!Q134,"Old","New")</f>
        <v>*</v>
      </c>
      <c r="R134" s="12"/>
      <c r="S134" s="13" t="str">
        <f t="shared" ref="S134:S197" si="39">E134</f>
        <v>COMELC</v>
      </c>
      <c r="T134" s="13" t="str">
        <f t="shared" ref="T134:T197" si="40">F134</f>
        <v>COMRETNewLTEUE</v>
      </c>
      <c r="U134" s="13" t="str">
        <f t="shared" ref="U134:U197" si="41">G134</f>
        <v>COMRETNewLTEUE</v>
      </c>
      <c r="V134" s="14">
        <v>2025</v>
      </c>
      <c r="W134" s="14" t="str">
        <f>W133</f>
        <v>UP</v>
      </c>
      <c r="X134" s="14"/>
      <c r="Y134" s="15">
        <f>UC!Y134</f>
        <v>-1</v>
      </c>
      <c r="Z134" s="14"/>
      <c r="AA134" s="14"/>
      <c r="AB134" s="10"/>
      <c r="AC134" s="20"/>
    </row>
    <row r="135" spans="1:29" x14ac:dyDescent="0.25">
      <c r="A135" s="10">
        <f>A134</f>
        <v>33</v>
      </c>
      <c r="B135" s="10"/>
      <c r="C135" s="11" t="str">
        <f>SUBSTITUTE(UC!C135,"Old","New")</f>
        <v>*</v>
      </c>
      <c r="D135" s="12"/>
      <c r="E135" s="13" t="str">
        <f t="shared" si="38"/>
        <v>COMELC</v>
      </c>
      <c r="F135" s="13" t="str">
        <f t="shared" si="38"/>
        <v>COMRETNewLTEUE</v>
      </c>
      <c r="G135" s="13" t="str">
        <f t="shared" si="38"/>
        <v>COMRETNewLTEUE</v>
      </c>
      <c r="H135" s="14">
        <v>2030</v>
      </c>
      <c r="I135" s="14" t="str">
        <f>I134</f>
        <v>LO</v>
      </c>
      <c r="J135" s="14"/>
      <c r="K135" s="15">
        <f>UC!K135</f>
        <v>-0.2</v>
      </c>
      <c r="L135" s="14"/>
      <c r="M135" s="14"/>
      <c r="N135" s="10"/>
      <c r="O135" s="20"/>
      <c r="Q135" s="11" t="str">
        <f>SUBSTITUTE(UC!Q135,"Old","New")</f>
        <v>*</v>
      </c>
      <c r="R135" s="12"/>
      <c r="S135" s="13" t="str">
        <f t="shared" si="39"/>
        <v>COMELC</v>
      </c>
      <c r="T135" s="13" t="str">
        <f t="shared" si="40"/>
        <v>COMRETNewLTEUE</v>
      </c>
      <c r="U135" s="13" t="str">
        <f t="shared" si="41"/>
        <v>COMRETNewLTEUE</v>
      </c>
      <c r="V135" s="14">
        <v>2030</v>
      </c>
      <c r="W135" s="14" t="str">
        <f>W134</f>
        <v>UP</v>
      </c>
      <c r="X135" s="14"/>
      <c r="Y135" s="15">
        <f>UC!Y135</f>
        <v>-1</v>
      </c>
      <c r="Z135" s="14"/>
      <c r="AA135" s="14"/>
      <c r="AB135" s="10"/>
      <c r="AC135" s="20"/>
    </row>
    <row r="136" spans="1:29" x14ac:dyDescent="0.25">
      <c r="A136" s="26">
        <f>A135</f>
        <v>33</v>
      </c>
      <c r="B136" s="26"/>
      <c r="C136" s="21" t="str">
        <f>SUBSTITUTE(UC!C136,"Old","New")</f>
        <v>*</v>
      </c>
      <c r="D136" s="22"/>
      <c r="E136" s="23" t="str">
        <f t="shared" si="38"/>
        <v>COMELC</v>
      </c>
      <c r="F136" s="23" t="str">
        <f t="shared" si="38"/>
        <v>COMRETNewLTEUE</v>
      </c>
      <c r="G136" s="23" t="str">
        <f t="shared" si="38"/>
        <v>COMRETNewLTEUE</v>
      </c>
      <c r="H136" s="24">
        <v>2050</v>
      </c>
      <c r="I136" s="24" t="str">
        <f>I135</f>
        <v>LO</v>
      </c>
      <c r="J136" s="24"/>
      <c r="K136" s="25">
        <f>UC!K136</f>
        <v>0</v>
      </c>
      <c r="L136" s="24"/>
      <c r="M136" s="24"/>
      <c r="N136" s="26"/>
      <c r="O136" s="27"/>
      <c r="Q136" s="21" t="str">
        <f>SUBSTITUTE(UC!Q136,"Old","New")</f>
        <v>*</v>
      </c>
      <c r="R136" s="22"/>
      <c r="S136" s="23" t="str">
        <f t="shared" si="39"/>
        <v>COMELC</v>
      </c>
      <c r="T136" s="23" t="str">
        <f t="shared" si="40"/>
        <v>COMRETNewLTEUE</v>
      </c>
      <c r="U136" s="23" t="str">
        <f t="shared" si="41"/>
        <v>COMRETNewLTEUE</v>
      </c>
      <c r="V136" s="24">
        <v>2050</v>
      </c>
      <c r="W136" s="24" t="str">
        <f>W135</f>
        <v>UP</v>
      </c>
      <c r="X136" s="24"/>
      <c r="Y136" s="25">
        <f>UC!Y136</f>
        <v>-1</v>
      </c>
      <c r="Z136" s="24"/>
      <c r="AA136" s="24"/>
      <c r="AB136" s="26"/>
      <c r="AC136" s="27"/>
    </row>
    <row r="137" spans="1:29" x14ac:dyDescent="0.25">
      <c r="A137" s="19">
        <f>A133+1</f>
        <v>34</v>
      </c>
      <c r="B137" s="10"/>
      <c r="C137" s="11" t="str">
        <f>SUBSTITUTE(UC!C137,"Old","New")</f>
        <v>*</v>
      </c>
      <c r="D137" s="12"/>
      <c r="E137" s="13" t="str">
        <f>_xlfn.XLOOKUP($A137,Selected_constraint_UC!$A:$A,Selected_constraint_UC!$B:$B)</f>
        <v>COMFOI</v>
      </c>
      <c r="F137" s="13" t="str">
        <f>SUBSTITUTE(_xlfn.XLOOKUP($A137,Selected_constraint_UC!$A:$A,Selected_constraint_UC!$C:$C),"Old","New")</f>
        <v>COMRETNewCKEUE</v>
      </c>
      <c r="G137" s="13" t="str">
        <f>F137</f>
        <v>COMRETNewCKEUE</v>
      </c>
      <c r="H137" s="14">
        <v>2019</v>
      </c>
      <c r="I137" s="14" t="s">
        <v>3848</v>
      </c>
      <c r="J137" s="14">
        <v>1</v>
      </c>
      <c r="K137" s="15">
        <f>UC!K137</f>
        <v>0</v>
      </c>
      <c r="L137" s="14">
        <v>0</v>
      </c>
      <c r="M137" s="14">
        <v>5</v>
      </c>
      <c r="N137" s="10"/>
      <c r="O137" s="20"/>
      <c r="Q137" s="11" t="str">
        <f>SUBSTITUTE(UC!Q137,"Old","New")</f>
        <v>*</v>
      </c>
      <c r="R137" s="12"/>
      <c r="S137" s="13" t="str">
        <f t="shared" si="39"/>
        <v>COMFOI</v>
      </c>
      <c r="T137" s="13" t="str">
        <f t="shared" si="40"/>
        <v>COMRETNewCKEUE</v>
      </c>
      <c r="U137" s="13" t="str">
        <f t="shared" si="41"/>
        <v>COMRETNewCKEUE</v>
      </c>
      <c r="V137" s="14">
        <f>H137</f>
        <v>2019</v>
      </c>
      <c r="W137" s="29" t="s">
        <v>3849</v>
      </c>
      <c r="X137" s="14">
        <v>1</v>
      </c>
      <c r="Y137" s="15">
        <f>UC!Y137</f>
        <v>0</v>
      </c>
      <c r="Z137" s="14">
        <v>0</v>
      </c>
      <c r="AA137" s="14">
        <v>5</v>
      </c>
      <c r="AB137" s="10"/>
      <c r="AC137" s="20"/>
    </row>
    <row r="138" spans="1:29" x14ac:dyDescent="0.25">
      <c r="A138" s="10">
        <f>A137</f>
        <v>34</v>
      </c>
      <c r="B138" s="10"/>
      <c r="C138" s="11" t="str">
        <f>SUBSTITUTE(UC!C138,"Old","New")</f>
        <v>*</v>
      </c>
      <c r="D138" s="12"/>
      <c r="E138" s="13" t="str">
        <f t="shared" ref="E138:G140" si="42">E137</f>
        <v>COMFOI</v>
      </c>
      <c r="F138" s="13" t="str">
        <f t="shared" si="42"/>
        <v>COMRETNewCKEUE</v>
      </c>
      <c r="G138" s="13" t="str">
        <f t="shared" si="42"/>
        <v>COMRETNewCKEUE</v>
      </c>
      <c r="H138" s="14">
        <v>2025</v>
      </c>
      <c r="I138" s="14" t="str">
        <f>I137</f>
        <v>LO</v>
      </c>
      <c r="J138" s="14"/>
      <c r="K138" s="15">
        <f>UC!K138</f>
        <v>0</v>
      </c>
      <c r="L138" s="14"/>
      <c r="M138" s="14"/>
      <c r="N138" s="10"/>
      <c r="O138" s="20"/>
      <c r="Q138" s="11" t="str">
        <f>SUBSTITUTE(UC!Q138,"Old","New")</f>
        <v>*</v>
      </c>
      <c r="R138" s="12"/>
      <c r="S138" s="13" t="str">
        <f t="shared" si="39"/>
        <v>COMFOI</v>
      </c>
      <c r="T138" s="13" t="str">
        <f t="shared" si="40"/>
        <v>COMRETNewCKEUE</v>
      </c>
      <c r="U138" s="13" t="str">
        <f t="shared" si="41"/>
        <v>COMRETNewCKEUE</v>
      </c>
      <c r="V138" s="14">
        <v>2025</v>
      </c>
      <c r="W138" s="14" t="str">
        <f>W137</f>
        <v>UP</v>
      </c>
      <c r="X138" s="14"/>
      <c r="Y138" s="15">
        <f>UC!Y138</f>
        <v>0</v>
      </c>
      <c r="Z138" s="14"/>
      <c r="AA138" s="14"/>
      <c r="AB138" s="10"/>
      <c r="AC138" s="20"/>
    </row>
    <row r="139" spans="1:29" x14ac:dyDescent="0.25">
      <c r="A139" s="10">
        <f>A138</f>
        <v>34</v>
      </c>
      <c r="B139" s="10"/>
      <c r="C139" s="11" t="str">
        <f>SUBSTITUTE(UC!C139,"Old","New")</f>
        <v>*</v>
      </c>
      <c r="D139" s="12"/>
      <c r="E139" s="13" t="str">
        <f t="shared" si="42"/>
        <v>COMFOI</v>
      </c>
      <c r="F139" s="13" t="str">
        <f t="shared" si="42"/>
        <v>COMRETNewCKEUE</v>
      </c>
      <c r="G139" s="13" t="str">
        <f t="shared" si="42"/>
        <v>COMRETNewCKEUE</v>
      </c>
      <c r="H139" s="14">
        <v>2030</v>
      </c>
      <c r="I139" s="14" t="str">
        <f>I138</f>
        <v>LO</v>
      </c>
      <c r="J139" s="14"/>
      <c r="K139" s="15">
        <f>UC!K139</f>
        <v>0</v>
      </c>
      <c r="L139" s="14"/>
      <c r="M139" s="14"/>
      <c r="N139" s="10"/>
      <c r="O139" s="20"/>
      <c r="Q139" s="11" t="str">
        <f>SUBSTITUTE(UC!Q139,"Old","New")</f>
        <v>*</v>
      </c>
      <c r="R139" s="12"/>
      <c r="S139" s="13" t="str">
        <f t="shared" si="39"/>
        <v>COMFOI</v>
      </c>
      <c r="T139" s="13" t="str">
        <f t="shared" si="40"/>
        <v>COMRETNewCKEUE</v>
      </c>
      <c r="U139" s="13" t="str">
        <f t="shared" si="41"/>
        <v>COMRETNewCKEUE</v>
      </c>
      <c r="V139" s="14">
        <v>2030</v>
      </c>
      <c r="W139" s="14" t="str">
        <f>W138</f>
        <v>UP</v>
      </c>
      <c r="X139" s="14"/>
      <c r="Y139" s="15">
        <f>UC!Y139</f>
        <v>0</v>
      </c>
      <c r="Z139" s="14"/>
      <c r="AA139" s="14"/>
      <c r="AB139" s="10"/>
      <c r="AC139" s="20"/>
    </row>
    <row r="140" spans="1:29" x14ac:dyDescent="0.25">
      <c r="A140" s="26">
        <f>A139</f>
        <v>34</v>
      </c>
      <c r="B140" s="26"/>
      <c r="C140" s="21" t="str">
        <f>SUBSTITUTE(UC!C140,"Old","New")</f>
        <v>*</v>
      </c>
      <c r="D140" s="22"/>
      <c r="E140" s="23" t="str">
        <f t="shared" si="42"/>
        <v>COMFOI</v>
      </c>
      <c r="F140" s="23" t="str">
        <f t="shared" si="42"/>
        <v>COMRETNewCKEUE</v>
      </c>
      <c r="G140" s="23" t="str">
        <f t="shared" si="42"/>
        <v>COMRETNewCKEUE</v>
      </c>
      <c r="H140" s="24">
        <v>2050</v>
      </c>
      <c r="I140" s="24" t="str">
        <f>I139</f>
        <v>LO</v>
      </c>
      <c r="J140" s="24"/>
      <c r="K140" s="25">
        <f>UC!K140</f>
        <v>0</v>
      </c>
      <c r="L140" s="24"/>
      <c r="M140" s="24"/>
      <c r="N140" s="26"/>
      <c r="O140" s="27"/>
      <c r="Q140" s="21" t="str">
        <f>SUBSTITUTE(UC!Q140,"Old","New")</f>
        <v>*</v>
      </c>
      <c r="R140" s="22"/>
      <c r="S140" s="23" t="str">
        <f t="shared" si="39"/>
        <v>COMFOI</v>
      </c>
      <c r="T140" s="23" t="str">
        <f t="shared" si="40"/>
        <v>COMRETNewCKEUE</v>
      </c>
      <c r="U140" s="23" t="str">
        <f t="shared" si="41"/>
        <v>COMRETNewCKEUE</v>
      </c>
      <c r="V140" s="24">
        <v>2050</v>
      </c>
      <c r="W140" s="24" t="str">
        <f>W139</f>
        <v>UP</v>
      </c>
      <c r="X140" s="24"/>
      <c r="Y140" s="25">
        <f>UC!Y140</f>
        <v>0</v>
      </c>
      <c r="Z140" s="24"/>
      <c r="AA140" s="24"/>
      <c r="AB140" s="26"/>
      <c r="AC140" s="27"/>
    </row>
    <row r="141" spans="1:29" x14ac:dyDescent="0.25">
      <c r="A141" s="19">
        <f>A137+1</f>
        <v>35</v>
      </c>
      <c r="B141" s="10"/>
      <c r="C141" s="11" t="str">
        <f>SUBSTITUTE(UC!C141,"Old","New")</f>
        <v>*</v>
      </c>
      <c r="D141" s="12"/>
      <c r="E141" s="13" t="str">
        <f>_xlfn.XLOOKUP($A141,Selected_constraint_UC!$A:$A,Selected_constraint_UC!$B:$B)</f>
        <v>COMNGA</v>
      </c>
      <c r="F141" s="13" t="str">
        <f>SUBSTITUTE(_xlfn.XLOOKUP($A141,Selected_constraint_UC!$A:$A,Selected_constraint_UC!$C:$C),"Old","New")</f>
        <v>COMRETNewCKEUE</v>
      </c>
      <c r="G141" s="13" t="str">
        <f>F141</f>
        <v>COMRETNewCKEUE</v>
      </c>
      <c r="H141" s="14">
        <v>2019</v>
      </c>
      <c r="I141" s="14" t="s">
        <v>3848</v>
      </c>
      <c r="J141" s="14">
        <v>1</v>
      </c>
      <c r="K141" s="15">
        <f>UC!K141</f>
        <v>-0.90454000000000001</v>
      </c>
      <c r="L141" s="14">
        <v>0</v>
      </c>
      <c r="M141" s="14">
        <v>5</v>
      </c>
      <c r="N141" s="10"/>
      <c r="O141" s="20"/>
      <c r="Q141" s="11" t="str">
        <f>SUBSTITUTE(UC!Q141,"Old","New")</f>
        <v>*</v>
      </c>
      <c r="R141" s="12"/>
      <c r="S141" s="13" t="str">
        <f t="shared" si="39"/>
        <v>COMNGA</v>
      </c>
      <c r="T141" s="13" t="str">
        <f t="shared" si="40"/>
        <v>COMRETNewCKEUE</v>
      </c>
      <c r="U141" s="13" t="str">
        <f t="shared" si="41"/>
        <v>COMRETNewCKEUE</v>
      </c>
      <c r="V141" s="14">
        <f>H141</f>
        <v>2019</v>
      </c>
      <c r="W141" s="29" t="s">
        <v>3849</v>
      </c>
      <c r="X141" s="14">
        <v>1</v>
      </c>
      <c r="Y141" s="15">
        <f>UC!Y141</f>
        <v>-0.94199999999999995</v>
      </c>
      <c r="Z141" s="14">
        <v>0</v>
      </c>
      <c r="AA141" s="14">
        <v>5</v>
      </c>
      <c r="AB141" s="10"/>
      <c r="AC141" s="20"/>
    </row>
    <row r="142" spans="1:29" x14ac:dyDescent="0.25">
      <c r="A142" s="10">
        <f>A141</f>
        <v>35</v>
      </c>
      <c r="B142" s="10"/>
      <c r="C142" s="11" t="str">
        <f>SUBSTITUTE(UC!C142,"Old","New")</f>
        <v>*</v>
      </c>
      <c r="D142" s="12"/>
      <c r="E142" s="13" t="str">
        <f t="shared" ref="E142:G144" si="43">E141</f>
        <v>COMNGA</v>
      </c>
      <c r="F142" s="13" t="str">
        <f t="shared" si="43"/>
        <v>COMRETNewCKEUE</v>
      </c>
      <c r="G142" s="13" t="str">
        <f t="shared" si="43"/>
        <v>COMRETNewCKEUE</v>
      </c>
      <c r="H142" s="14">
        <v>2025</v>
      </c>
      <c r="I142" s="14" t="str">
        <f>I141</f>
        <v>LO</v>
      </c>
      <c r="J142" s="14"/>
      <c r="K142" s="15">
        <f>UC!K142</f>
        <v>-0.73840000000000006</v>
      </c>
      <c r="L142" s="14"/>
      <c r="M142" s="14"/>
      <c r="N142" s="10"/>
      <c r="O142" s="20"/>
      <c r="Q142" s="11" t="str">
        <f>SUBSTITUTE(UC!Q142,"Old","New")</f>
        <v>*</v>
      </c>
      <c r="R142" s="12"/>
      <c r="S142" s="13" t="str">
        <f t="shared" si="39"/>
        <v>COMNGA</v>
      </c>
      <c r="T142" s="13" t="str">
        <f t="shared" si="40"/>
        <v>COMRETNewCKEUE</v>
      </c>
      <c r="U142" s="13" t="str">
        <f t="shared" si="41"/>
        <v>COMRETNewCKEUE</v>
      </c>
      <c r="V142" s="14">
        <v>2025</v>
      </c>
      <c r="W142" s="14" t="str">
        <f>W141</f>
        <v>UP</v>
      </c>
      <c r="X142" s="14"/>
      <c r="Y142" s="15">
        <f>UC!Y142</f>
        <v>-1</v>
      </c>
      <c r="Z142" s="14"/>
      <c r="AA142" s="14"/>
      <c r="AB142" s="10"/>
      <c r="AC142" s="20"/>
    </row>
    <row r="143" spans="1:29" x14ac:dyDescent="0.25">
      <c r="A143" s="10">
        <f>A142</f>
        <v>35</v>
      </c>
      <c r="B143" s="10"/>
      <c r="C143" s="11" t="str">
        <f>SUBSTITUTE(UC!C143,"Old","New")</f>
        <v>*</v>
      </c>
      <c r="D143" s="12"/>
      <c r="E143" s="13" t="str">
        <f t="shared" si="43"/>
        <v>COMNGA</v>
      </c>
      <c r="F143" s="13" t="str">
        <f t="shared" si="43"/>
        <v>COMRETNewCKEUE</v>
      </c>
      <c r="G143" s="13" t="str">
        <f t="shared" si="43"/>
        <v>COMRETNewCKEUE</v>
      </c>
      <c r="H143" s="14">
        <v>2030</v>
      </c>
      <c r="I143" s="14" t="str">
        <f>I142</f>
        <v>LO</v>
      </c>
      <c r="J143" s="14"/>
      <c r="K143" s="15">
        <f>UC!K143</f>
        <v>-0.18460000000000001</v>
      </c>
      <c r="L143" s="14"/>
      <c r="M143" s="14"/>
      <c r="N143" s="10"/>
      <c r="O143" s="20"/>
      <c r="Q143" s="11" t="str">
        <f>SUBSTITUTE(UC!Q143,"Old","New")</f>
        <v>*</v>
      </c>
      <c r="R143" s="12"/>
      <c r="S143" s="13" t="str">
        <f t="shared" si="39"/>
        <v>COMNGA</v>
      </c>
      <c r="T143" s="13" t="str">
        <f t="shared" si="40"/>
        <v>COMRETNewCKEUE</v>
      </c>
      <c r="U143" s="13" t="str">
        <f t="shared" si="41"/>
        <v>COMRETNewCKEUE</v>
      </c>
      <c r="V143" s="14">
        <v>2030</v>
      </c>
      <c r="W143" s="14" t="str">
        <f>W142</f>
        <v>UP</v>
      </c>
      <c r="X143" s="14"/>
      <c r="Y143" s="15">
        <f>UC!Y143</f>
        <v>-1</v>
      </c>
      <c r="Z143" s="14"/>
      <c r="AA143" s="14"/>
      <c r="AB143" s="10"/>
      <c r="AC143" s="20"/>
    </row>
    <row r="144" spans="1:29" x14ac:dyDescent="0.25">
      <c r="A144" s="26">
        <f>A143</f>
        <v>35</v>
      </c>
      <c r="B144" s="26"/>
      <c r="C144" s="21" t="str">
        <f>SUBSTITUTE(UC!C144,"Old","New")</f>
        <v>*</v>
      </c>
      <c r="D144" s="22"/>
      <c r="E144" s="23" t="str">
        <f t="shared" si="43"/>
        <v>COMNGA</v>
      </c>
      <c r="F144" s="23" t="str">
        <f t="shared" si="43"/>
        <v>COMRETNewCKEUE</v>
      </c>
      <c r="G144" s="23" t="str">
        <f t="shared" si="43"/>
        <v>COMRETNewCKEUE</v>
      </c>
      <c r="H144" s="24">
        <v>2050</v>
      </c>
      <c r="I144" s="24" t="str">
        <f>I143</f>
        <v>LO</v>
      </c>
      <c r="J144" s="24"/>
      <c r="K144" s="25">
        <f>UC!K144</f>
        <v>0</v>
      </c>
      <c r="L144" s="24"/>
      <c r="M144" s="24"/>
      <c r="N144" s="26"/>
      <c r="O144" s="27"/>
      <c r="Q144" s="21" t="str">
        <f>SUBSTITUTE(UC!Q144,"Old","New")</f>
        <v>*</v>
      </c>
      <c r="R144" s="22"/>
      <c r="S144" s="23" t="str">
        <f t="shared" si="39"/>
        <v>COMNGA</v>
      </c>
      <c r="T144" s="23" t="str">
        <f t="shared" si="40"/>
        <v>COMRETNewCKEUE</v>
      </c>
      <c r="U144" s="23" t="str">
        <f t="shared" si="41"/>
        <v>COMRETNewCKEUE</v>
      </c>
      <c r="V144" s="24">
        <v>2050</v>
      </c>
      <c r="W144" s="24" t="str">
        <f>W143</f>
        <v>UP</v>
      </c>
      <c r="X144" s="24"/>
      <c r="Y144" s="25">
        <f>UC!Y144</f>
        <v>-1</v>
      </c>
      <c r="Z144" s="24"/>
      <c r="AA144" s="24"/>
      <c r="AB144" s="26"/>
      <c r="AC144" s="27"/>
    </row>
    <row r="145" spans="1:29" x14ac:dyDescent="0.25">
      <c r="A145" s="19">
        <f>A141+1</f>
        <v>36</v>
      </c>
      <c r="B145" s="10"/>
      <c r="C145" s="11" t="str">
        <f>SUBSTITUTE(UC!C145,"Old","New")</f>
        <v>*</v>
      </c>
      <c r="D145" s="12"/>
      <c r="E145" s="13" t="str">
        <f>_xlfn.XLOOKUP($A145,Selected_constraint_UC!$A:$A,Selected_constraint_UC!$B:$B)</f>
        <v>COMSTM</v>
      </c>
      <c r="F145" s="13" t="str">
        <f>SUBSTITUTE(_xlfn.XLOOKUP($A145,Selected_constraint_UC!$A:$A,Selected_constraint_UC!$C:$C),"Old","New")</f>
        <v>COMRETNewCKEUE</v>
      </c>
      <c r="G145" s="13" t="str">
        <f>F145</f>
        <v>COMRETNewCKEUE</v>
      </c>
      <c r="H145" s="14">
        <v>2019</v>
      </c>
      <c r="I145" s="14" t="s">
        <v>3848</v>
      </c>
      <c r="J145" s="14">
        <v>1</v>
      </c>
      <c r="K145" s="15">
        <f>UC!K145</f>
        <v>0</v>
      </c>
      <c r="L145" s="14">
        <v>0</v>
      </c>
      <c r="M145" s="14">
        <v>5</v>
      </c>
      <c r="N145" s="10"/>
      <c r="O145" s="20"/>
      <c r="Q145" s="11" t="str">
        <f>SUBSTITUTE(UC!Q145,"Old","New")</f>
        <v>*</v>
      </c>
      <c r="R145" s="12"/>
      <c r="S145" s="13" t="str">
        <f t="shared" si="39"/>
        <v>COMSTM</v>
      </c>
      <c r="T145" s="13" t="str">
        <f t="shared" si="40"/>
        <v>COMRETNewCKEUE</v>
      </c>
      <c r="U145" s="13" t="str">
        <f t="shared" si="41"/>
        <v>COMRETNewCKEUE</v>
      </c>
      <c r="V145" s="14">
        <f>H145</f>
        <v>2019</v>
      </c>
      <c r="W145" s="29" t="s">
        <v>3849</v>
      </c>
      <c r="X145" s="14">
        <v>1</v>
      </c>
      <c r="Y145" s="15">
        <f>UC!Y145</f>
        <v>0</v>
      </c>
      <c r="Z145" s="14">
        <v>0</v>
      </c>
      <c r="AA145" s="14">
        <v>5</v>
      </c>
      <c r="AB145" s="10"/>
      <c r="AC145" s="20"/>
    </row>
    <row r="146" spans="1:29" x14ac:dyDescent="0.25">
      <c r="A146" s="10">
        <f>A145</f>
        <v>36</v>
      </c>
      <c r="B146" s="10"/>
      <c r="C146" s="11" t="str">
        <f>SUBSTITUTE(UC!C146,"Old","New")</f>
        <v>*</v>
      </c>
      <c r="D146" s="12"/>
      <c r="E146" s="13" t="str">
        <f t="shared" ref="E146:G148" si="44">E145</f>
        <v>COMSTM</v>
      </c>
      <c r="F146" s="13" t="str">
        <f t="shared" si="44"/>
        <v>COMRETNewCKEUE</v>
      </c>
      <c r="G146" s="13" t="str">
        <f t="shared" si="44"/>
        <v>COMRETNewCKEUE</v>
      </c>
      <c r="H146" s="14">
        <v>2025</v>
      </c>
      <c r="I146" s="14" t="str">
        <f>I145</f>
        <v>LO</v>
      </c>
      <c r="J146" s="14"/>
      <c r="K146" s="15">
        <f>UC!K146</f>
        <v>0</v>
      </c>
      <c r="L146" s="14"/>
      <c r="M146" s="14"/>
      <c r="N146" s="10"/>
      <c r="O146" s="20"/>
      <c r="Q146" s="11" t="str">
        <f>SUBSTITUTE(UC!Q146,"Old","New")</f>
        <v>*</v>
      </c>
      <c r="R146" s="12"/>
      <c r="S146" s="13" t="str">
        <f t="shared" si="39"/>
        <v>COMSTM</v>
      </c>
      <c r="T146" s="13" t="str">
        <f t="shared" si="40"/>
        <v>COMRETNewCKEUE</v>
      </c>
      <c r="U146" s="13" t="str">
        <f t="shared" si="41"/>
        <v>COMRETNewCKEUE</v>
      </c>
      <c r="V146" s="14">
        <v>2025</v>
      </c>
      <c r="W146" s="14" t="str">
        <f>W145</f>
        <v>UP</v>
      </c>
      <c r="X146" s="14"/>
      <c r="Y146" s="15">
        <f>UC!Y146</f>
        <v>0</v>
      </c>
      <c r="Z146" s="14"/>
      <c r="AA146" s="14"/>
      <c r="AB146" s="10"/>
      <c r="AC146" s="20"/>
    </row>
    <row r="147" spans="1:29" x14ac:dyDescent="0.25">
      <c r="A147" s="10">
        <f>A146</f>
        <v>36</v>
      </c>
      <c r="B147" s="10"/>
      <c r="C147" s="11" t="str">
        <f>SUBSTITUTE(UC!C147,"Old","New")</f>
        <v>*</v>
      </c>
      <c r="D147" s="12"/>
      <c r="E147" s="13" t="str">
        <f t="shared" si="44"/>
        <v>COMSTM</v>
      </c>
      <c r="F147" s="13" t="str">
        <f t="shared" si="44"/>
        <v>COMRETNewCKEUE</v>
      </c>
      <c r="G147" s="13" t="str">
        <f t="shared" si="44"/>
        <v>COMRETNewCKEUE</v>
      </c>
      <c r="H147" s="14">
        <v>2030</v>
      </c>
      <c r="I147" s="14" t="str">
        <f>I146</f>
        <v>LO</v>
      </c>
      <c r="J147" s="14"/>
      <c r="K147" s="15">
        <f>UC!K147</f>
        <v>0</v>
      </c>
      <c r="L147" s="14"/>
      <c r="M147" s="14"/>
      <c r="N147" s="10"/>
      <c r="O147" s="20"/>
      <c r="Q147" s="11" t="str">
        <f>SUBSTITUTE(UC!Q147,"Old","New")</f>
        <v>*</v>
      </c>
      <c r="R147" s="12"/>
      <c r="S147" s="13" t="str">
        <f t="shared" si="39"/>
        <v>COMSTM</v>
      </c>
      <c r="T147" s="13" t="str">
        <f t="shared" si="40"/>
        <v>COMRETNewCKEUE</v>
      </c>
      <c r="U147" s="13" t="str">
        <f t="shared" si="41"/>
        <v>COMRETNewCKEUE</v>
      </c>
      <c r="V147" s="14">
        <v>2030</v>
      </c>
      <c r="W147" s="14" t="str">
        <f>W146</f>
        <v>UP</v>
      </c>
      <c r="X147" s="14"/>
      <c r="Y147" s="15">
        <f>UC!Y147</f>
        <v>0</v>
      </c>
      <c r="Z147" s="14"/>
      <c r="AA147" s="14"/>
      <c r="AB147" s="10"/>
      <c r="AC147" s="20"/>
    </row>
    <row r="148" spans="1:29" x14ac:dyDescent="0.25">
      <c r="A148" s="26">
        <f>A147</f>
        <v>36</v>
      </c>
      <c r="B148" s="26"/>
      <c r="C148" s="21" t="str">
        <f>SUBSTITUTE(UC!C148,"Old","New")</f>
        <v>*</v>
      </c>
      <c r="D148" s="22"/>
      <c r="E148" s="23" t="str">
        <f t="shared" si="44"/>
        <v>COMSTM</v>
      </c>
      <c r="F148" s="23" t="str">
        <f t="shared" si="44"/>
        <v>COMRETNewCKEUE</v>
      </c>
      <c r="G148" s="23" t="str">
        <f t="shared" si="44"/>
        <v>COMRETNewCKEUE</v>
      </c>
      <c r="H148" s="24">
        <v>2050</v>
      </c>
      <c r="I148" s="24" t="str">
        <f>I147</f>
        <v>LO</v>
      </c>
      <c r="J148" s="24"/>
      <c r="K148" s="25">
        <f>UC!K148</f>
        <v>0</v>
      </c>
      <c r="L148" s="24"/>
      <c r="M148" s="24"/>
      <c r="N148" s="26"/>
      <c r="O148" s="27"/>
      <c r="Q148" s="21" t="str">
        <f>SUBSTITUTE(UC!Q148,"Old","New")</f>
        <v>*</v>
      </c>
      <c r="R148" s="22"/>
      <c r="S148" s="23" t="str">
        <f t="shared" si="39"/>
        <v>COMSTM</v>
      </c>
      <c r="T148" s="23" t="str">
        <f t="shared" si="40"/>
        <v>COMRETNewCKEUE</v>
      </c>
      <c r="U148" s="23" t="str">
        <f t="shared" si="41"/>
        <v>COMRETNewCKEUE</v>
      </c>
      <c r="V148" s="24">
        <v>2050</v>
      </c>
      <c r="W148" s="24" t="str">
        <f>W147</f>
        <v>UP</v>
      </c>
      <c r="X148" s="24"/>
      <c r="Y148" s="25">
        <f>UC!Y148</f>
        <v>0</v>
      </c>
      <c r="Z148" s="24"/>
      <c r="AA148" s="24"/>
      <c r="AB148" s="26"/>
      <c r="AC148" s="27"/>
    </row>
    <row r="149" spans="1:29" x14ac:dyDescent="0.25">
      <c r="A149" s="19">
        <f>A145+1</f>
        <v>37</v>
      </c>
      <c r="B149" s="10"/>
      <c r="C149" s="11" t="str">
        <f>SUBSTITUTE(UC!C149,"Old","New")</f>
        <v>*</v>
      </c>
      <c r="D149" s="12"/>
      <c r="E149" s="13" t="str">
        <f>_xlfn.XLOOKUP($A149,Selected_constraint_UC!$A:$A,Selected_constraint_UC!$B:$B)</f>
        <v>COMELC</v>
      </c>
      <c r="F149" s="13" t="str">
        <f>SUBSTITUTE(_xlfn.XLOOKUP($A149,Selected_constraint_UC!$A:$A,Selected_constraint_UC!$C:$C),"Old","New")</f>
        <v>COMRETNewCKEUE</v>
      </c>
      <c r="G149" s="13" t="str">
        <f>F149</f>
        <v>COMRETNewCKEUE</v>
      </c>
      <c r="H149" s="14">
        <v>2019</v>
      </c>
      <c r="I149" s="14" t="s">
        <v>3848</v>
      </c>
      <c r="J149" s="14">
        <v>1</v>
      </c>
      <c r="K149" s="15">
        <f>UC!K149</f>
        <v>-7.4479999999999991E-2</v>
      </c>
      <c r="L149" s="14">
        <v>0</v>
      </c>
      <c r="M149" s="14">
        <v>5</v>
      </c>
      <c r="N149" s="10"/>
      <c r="O149" s="20"/>
      <c r="Q149" s="11" t="str">
        <f>SUBSTITUTE(UC!Q149,"Old","New")</f>
        <v>*</v>
      </c>
      <c r="R149" s="12"/>
      <c r="S149" s="13" t="str">
        <f t="shared" si="39"/>
        <v>COMELC</v>
      </c>
      <c r="T149" s="13" t="str">
        <f t="shared" si="40"/>
        <v>COMRETNewCKEUE</v>
      </c>
      <c r="U149" s="13" t="str">
        <f t="shared" si="41"/>
        <v>COMRETNewCKEUE</v>
      </c>
      <c r="V149" s="14">
        <f>H149</f>
        <v>2019</v>
      </c>
      <c r="W149" s="29" t="s">
        <v>3849</v>
      </c>
      <c r="X149" s="14">
        <v>1</v>
      </c>
      <c r="Y149" s="15">
        <f>UC!Y149</f>
        <v>-7.9000000000000001E-2</v>
      </c>
      <c r="Z149" s="14">
        <v>0</v>
      </c>
      <c r="AA149" s="14">
        <v>5</v>
      </c>
      <c r="AB149" s="10"/>
      <c r="AC149" s="20"/>
    </row>
    <row r="150" spans="1:29" x14ac:dyDescent="0.25">
      <c r="A150" s="10">
        <f>A149</f>
        <v>37</v>
      </c>
      <c r="B150" s="10"/>
      <c r="C150" s="11" t="str">
        <f>SUBSTITUTE(UC!C150,"Old","New")</f>
        <v>*</v>
      </c>
      <c r="D150" s="12"/>
      <c r="E150" s="13" t="str">
        <f t="shared" ref="E150:G152" si="45">E149</f>
        <v>COMELC</v>
      </c>
      <c r="F150" s="13" t="str">
        <f t="shared" si="45"/>
        <v>COMRETNewCKEUE</v>
      </c>
      <c r="G150" s="13" t="str">
        <f t="shared" si="45"/>
        <v>COMRETNewCKEUE</v>
      </c>
      <c r="H150" s="14">
        <v>2025</v>
      </c>
      <c r="I150" s="14" t="str">
        <f>I149</f>
        <v>LO</v>
      </c>
      <c r="J150" s="14"/>
      <c r="K150" s="15">
        <f>UC!K150</f>
        <v>-6.08E-2</v>
      </c>
      <c r="L150" s="14"/>
      <c r="M150" s="14"/>
      <c r="N150" s="10"/>
      <c r="O150" s="20"/>
      <c r="Q150" s="11" t="str">
        <f>SUBSTITUTE(UC!Q150,"Old","New")</f>
        <v>*</v>
      </c>
      <c r="R150" s="12"/>
      <c r="S150" s="13" t="str">
        <f t="shared" si="39"/>
        <v>COMELC</v>
      </c>
      <c r="T150" s="13" t="str">
        <f t="shared" si="40"/>
        <v>COMRETNewCKEUE</v>
      </c>
      <c r="U150" s="13" t="str">
        <f t="shared" si="41"/>
        <v>COMRETNewCKEUE</v>
      </c>
      <c r="V150" s="14">
        <v>2025</v>
      </c>
      <c r="W150" s="14" t="str">
        <f>W149</f>
        <v>UP</v>
      </c>
      <c r="X150" s="14"/>
      <c r="Y150" s="15">
        <f>UC!Y150</f>
        <v>-0.25</v>
      </c>
      <c r="Z150" s="14"/>
      <c r="AA150" s="14"/>
      <c r="AB150" s="10"/>
      <c r="AC150" s="20"/>
    </row>
    <row r="151" spans="1:29" x14ac:dyDescent="0.25">
      <c r="A151" s="10">
        <f>A150</f>
        <v>37</v>
      </c>
      <c r="B151" s="10"/>
      <c r="C151" s="11" t="str">
        <f>SUBSTITUTE(UC!C151,"Old","New")</f>
        <v>*</v>
      </c>
      <c r="D151" s="12"/>
      <c r="E151" s="13" t="str">
        <f t="shared" si="45"/>
        <v>COMELC</v>
      </c>
      <c r="F151" s="13" t="str">
        <f t="shared" si="45"/>
        <v>COMRETNewCKEUE</v>
      </c>
      <c r="G151" s="13" t="str">
        <f t="shared" si="45"/>
        <v>COMRETNewCKEUE</v>
      </c>
      <c r="H151" s="14">
        <v>2030</v>
      </c>
      <c r="I151" s="14" t="str">
        <f>I150</f>
        <v>LO</v>
      </c>
      <c r="J151" s="14"/>
      <c r="K151" s="15">
        <f>UC!K151</f>
        <v>-1.52E-2</v>
      </c>
      <c r="L151" s="14"/>
      <c r="M151" s="14"/>
      <c r="N151" s="10"/>
      <c r="O151" s="20"/>
      <c r="Q151" s="11" t="str">
        <f>SUBSTITUTE(UC!Q151,"Old","New")</f>
        <v>*</v>
      </c>
      <c r="R151" s="12"/>
      <c r="S151" s="13" t="str">
        <f t="shared" si="39"/>
        <v>COMELC</v>
      </c>
      <c r="T151" s="13" t="str">
        <f t="shared" si="40"/>
        <v>COMRETNewCKEUE</v>
      </c>
      <c r="U151" s="13" t="str">
        <f t="shared" si="41"/>
        <v>COMRETNewCKEUE</v>
      </c>
      <c r="V151" s="14">
        <v>2030</v>
      </c>
      <c r="W151" s="14" t="str">
        <f>W150</f>
        <v>UP</v>
      </c>
      <c r="X151" s="14"/>
      <c r="Y151" s="15">
        <f>UC!Y151</f>
        <v>-0.5</v>
      </c>
      <c r="Z151" s="14"/>
      <c r="AA151" s="14"/>
      <c r="AB151" s="10"/>
      <c r="AC151" s="20"/>
    </row>
    <row r="152" spans="1:29" x14ac:dyDescent="0.25">
      <c r="A152" s="26">
        <f>A151</f>
        <v>37</v>
      </c>
      <c r="B152" s="26"/>
      <c r="C152" s="21" t="str">
        <f>SUBSTITUTE(UC!C152,"Old","New")</f>
        <v>*</v>
      </c>
      <c r="D152" s="22"/>
      <c r="E152" s="23" t="str">
        <f t="shared" si="45"/>
        <v>COMELC</v>
      </c>
      <c r="F152" s="23" t="str">
        <f t="shared" si="45"/>
        <v>COMRETNewCKEUE</v>
      </c>
      <c r="G152" s="23" t="str">
        <f t="shared" si="45"/>
        <v>COMRETNewCKEUE</v>
      </c>
      <c r="H152" s="24">
        <v>2050</v>
      </c>
      <c r="I152" s="24" t="str">
        <f>I151</f>
        <v>LO</v>
      </c>
      <c r="J152" s="24"/>
      <c r="K152" s="25">
        <f>UC!K152</f>
        <v>0</v>
      </c>
      <c r="L152" s="24"/>
      <c r="M152" s="24"/>
      <c r="N152" s="26"/>
      <c r="O152" s="27"/>
      <c r="Q152" s="21" t="str">
        <f>SUBSTITUTE(UC!Q152,"Old","New")</f>
        <v>*</v>
      </c>
      <c r="R152" s="22"/>
      <c r="S152" s="23" t="str">
        <f t="shared" si="39"/>
        <v>COMELC</v>
      </c>
      <c r="T152" s="23" t="str">
        <f t="shared" si="40"/>
        <v>COMRETNewCKEUE</v>
      </c>
      <c r="U152" s="23" t="str">
        <f t="shared" si="41"/>
        <v>COMRETNewCKEUE</v>
      </c>
      <c r="V152" s="24">
        <v>2050</v>
      </c>
      <c r="W152" s="24" t="str">
        <f>W151</f>
        <v>UP</v>
      </c>
      <c r="X152" s="24"/>
      <c r="Y152" s="25">
        <f>UC!Y152</f>
        <v>-1</v>
      </c>
      <c r="Z152" s="24"/>
      <c r="AA152" s="24"/>
      <c r="AB152" s="26"/>
      <c r="AC152" s="27"/>
    </row>
    <row r="153" spans="1:29" x14ac:dyDescent="0.25">
      <c r="A153" s="19">
        <f>A149+1</f>
        <v>38</v>
      </c>
      <c r="B153" s="10"/>
      <c r="C153" s="11" t="str">
        <f>SUBSTITUTE(UC!C153,"Old","New")</f>
        <v>*</v>
      </c>
      <c r="D153" s="12"/>
      <c r="E153" s="13" t="str">
        <f>_xlfn.XLOOKUP($A153,Selected_constraint_UC!$A:$A,Selected_constraint_UC!$B:$B)</f>
        <v>COMELC</v>
      </c>
      <c r="F153" s="13" t="str">
        <f>SUBSTITUTE(_xlfn.XLOOKUP($A153,Selected_constraint_UC!$A:$A,Selected_constraint_UC!$C:$C),"Old","New")</f>
        <v>COMRETNewREEUE</v>
      </c>
      <c r="G153" s="13" t="str">
        <f>F153</f>
        <v>COMRETNewREEUE</v>
      </c>
      <c r="H153" s="14">
        <v>2019</v>
      </c>
      <c r="I153" s="14" t="s">
        <v>3848</v>
      </c>
      <c r="J153" s="14">
        <v>1</v>
      </c>
      <c r="K153" s="15">
        <f>UC!K153</f>
        <v>-0.98</v>
      </c>
      <c r="L153" s="14">
        <v>0</v>
      </c>
      <c r="M153" s="14">
        <v>5</v>
      </c>
      <c r="N153" s="10"/>
      <c r="O153" s="20"/>
      <c r="Q153" s="11" t="str">
        <f>SUBSTITUTE(UC!Q153,"Old","New")</f>
        <v>*</v>
      </c>
      <c r="R153" s="12"/>
      <c r="S153" s="13" t="str">
        <f t="shared" si="39"/>
        <v>COMELC</v>
      </c>
      <c r="T153" s="13" t="str">
        <f t="shared" si="40"/>
        <v>COMRETNewREEUE</v>
      </c>
      <c r="U153" s="13" t="str">
        <f t="shared" si="41"/>
        <v>COMRETNewREEUE</v>
      </c>
      <c r="V153" s="14">
        <f>H153</f>
        <v>2019</v>
      </c>
      <c r="W153" s="29" t="s">
        <v>3849</v>
      </c>
      <c r="X153" s="14">
        <v>1</v>
      </c>
      <c r="Y153" s="15">
        <f>UC!Y153</f>
        <v>-1</v>
      </c>
      <c r="Z153" s="14">
        <v>0</v>
      </c>
      <c r="AA153" s="14">
        <v>5</v>
      </c>
      <c r="AB153" s="10"/>
      <c r="AC153" s="20"/>
    </row>
    <row r="154" spans="1:29" x14ac:dyDescent="0.25">
      <c r="A154" s="10">
        <f>A153</f>
        <v>38</v>
      </c>
      <c r="B154" s="10"/>
      <c r="C154" s="11" t="str">
        <f>SUBSTITUTE(UC!C154,"Old","New")</f>
        <v>*</v>
      </c>
      <c r="D154" s="12"/>
      <c r="E154" s="13" t="str">
        <f t="shared" ref="E154:G156" si="46">E153</f>
        <v>COMELC</v>
      </c>
      <c r="F154" s="13" t="str">
        <f t="shared" si="46"/>
        <v>COMRETNewREEUE</v>
      </c>
      <c r="G154" s="13" t="str">
        <f t="shared" si="46"/>
        <v>COMRETNewREEUE</v>
      </c>
      <c r="H154" s="14">
        <v>2025</v>
      </c>
      <c r="I154" s="14" t="str">
        <f>I153</f>
        <v>LO</v>
      </c>
      <c r="J154" s="14"/>
      <c r="K154" s="15">
        <f>UC!K154</f>
        <v>-0.8</v>
      </c>
      <c r="L154" s="14"/>
      <c r="M154" s="14"/>
      <c r="N154" s="10"/>
      <c r="O154" s="20"/>
      <c r="Q154" s="11" t="str">
        <f>SUBSTITUTE(UC!Q154,"Old","New")</f>
        <v>*</v>
      </c>
      <c r="R154" s="12"/>
      <c r="S154" s="13" t="str">
        <f t="shared" si="39"/>
        <v>COMELC</v>
      </c>
      <c r="T154" s="13" t="str">
        <f t="shared" si="40"/>
        <v>COMRETNewREEUE</v>
      </c>
      <c r="U154" s="13" t="str">
        <f t="shared" si="41"/>
        <v>COMRETNewREEUE</v>
      </c>
      <c r="V154" s="14">
        <v>2025</v>
      </c>
      <c r="W154" s="14" t="str">
        <f>W153</f>
        <v>UP</v>
      </c>
      <c r="X154" s="14"/>
      <c r="Y154" s="15">
        <f>UC!Y154</f>
        <v>-1</v>
      </c>
      <c r="Z154" s="14"/>
      <c r="AA154" s="14"/>
      <c r="AB154" s="10"/>
      <c r="AC154" s="20"/>
    </row>
    <row r="155" spans="1:29" x14ac:dyDescent="0.25">
      <c r="A155" s="10">
        <f>A154</f>
        <v>38</v>
      </c>
      <c r="B155" s="10"/>
      <c r="C155" s="11" t="str">
        <f>SUBSTITUTE(UC!C155,"Old","New")</f>
        <v>*</v>
      </c>
      <c r="D155" s="12"/>
      <c r="E155" s="13" t="str">
        <f t="shared" si="46"/>
        <v>COMELC</v>
      </c>
      <c r="F155" s="13" t="str">
        <f t="shared" si="46"/>
        <v>COMRETNewREEUE</v>
      </c>
      <c r="G155" s="13" t="str">
        <f t="shared" si="46"/>
        <v>COMRETNewREEUE</v>
      </c>
      <c r="H155" s="14">
        <v>2030</v>
      </c>
      <c r="I155" s="14" t="str">
        <f>I154</f>
        <v>LO</v>
      </c>
      <c r="J155" s="14"/>
      <c r="K155" s="15">
        <f>UC!K155</f>
        <v>-0.2</v>
      </c>
      <c r="L155" s="14"/>
      <c r="M155" s="14"/>
      <c r="N155" s="10"/>
      <c r="O155" s="20"/>
      <c r="Q155" s="11" t="str">
        <f>SUBSTITUTE(UC!Q155,"Old","New")</f>
        <v>*</v>
      </c>
      <c r="R155" s="12"/>
      <c r="S155" s="13" t="str">
        <f t="shared" si="39"/>
        <v>COMELC</v>
      </c>
      <c r="T155" s="13" t="str">
        <f t="shared" si="40"/>
        <v>COMRETNewREEUE</v>
      </c>
      <c r="U155" s="13" t="str">
        <f t="shared" si="41"/>
        <v>COMRETNewREEUE</v>
      </c>
      <c r="V155" s="14">
        <v>2030</v>
      </c>
      <c r="W155" s="14" t="str">
        <f>W154</f>
        <v>UP</v>
      </c>
      <c r="X155" s="14"/>
      <c r="Y155" s="15">
        <f>UC!Y155</f>
        <v>-1</v>
      </c>
      <c r="Z155" s="14"/>
      <c r="AA155" s="14"/>
      <c r="AB155" s="10"/>
      <c r="AC155" s="20"/>
    </row>
    <row r="156" spans="1:29" x14ac:dyDescent="0.25">
      <c r="A156" s="26">
        <f>A155</f>
        <v>38</v>
      </c>
      <c r="B156" s="26"/>
      <c r="C156" s="21" t="str">
        <f>SUBSTITUTE(UC!C156,"Old","New")</f>
        <v>*</v>
      </c>
      <c r="D156" s="22"/>
      <c r="E156" s="23" t="str">
        <f t="shared" si="46"/>
        <v>COMELC</v>
      </c>
      <c r="F156" s="23" t="str">
        <f t="shared" si="46"/>
        <v>COMRETNewREEUE</v>
      </c>
      <c r="G156" s="23" t="str">
        <f t="shared" si="46"/>
        <v>COMRETNewREEUE</v>
      </c>
      <c r="H156" s="24">
        <v>2050</v>
      </c>
      <c r="I156" s="24" t="str">
        <f>I155</f>
        <v>LO</v>
      </c>
      <c r="J156" s="24"/>
      <c r="K156" s="25">
        <f>UC!K156</f>
        <v>0</v>
      </c>
      <c r="L156" s="24"/>
      <c r="M156" s="24"/>
      <c r="N156" s="26"/>
      <c r="O156" s="27"/>
      <c r="Q156" s="21" t="str">
        <f>SUBSTITUTE(UC!Q156,"Old","New")</f>
        <v>*</v>
      </c>
      <c r="R156" s="22"/>
      <c r="S156" s="23" t="str">
        <f t="shared" si="39"/>
        <v>COMELC</v>
      </c>
      <c r="T156" s="23" t="str">
        <f t="shared" si="40"/>
        <v>COMRETNewREEUE</v>
      </c>
      <c r="U156" s="23" t="str">
        <f t="shared" si="41"/>
        <v>COMRETNewREEUE</v>
      </c>
      <c r="V156" s="24">
        <v>2050</v>
      </c>
      <c r="W156" s="24" t="str">
        <f>W155</f>
        <v>UP</v>
      </c>
      <c r="X156" s="24"/>
      <c r="Y156" s="25">
        <f>UC!Y156</f>
        <v>-1</v>
      </c>
      <c r="Z156" s="24"/>
      <c r="AA156" s="24"/>
      <c r="AB156" s="26"/>
      <c r="AC156" s="27"/>
    </row>
    <row r="157" spans="1:29" x14ac:dyDescent="0.25">
      <c r="A157" s="19">
        <f>A153+1</f>
        <v>39</v>
      </c>
      <c r="B157" s="10"/>
      <c r="C157" s="11" t="str">
        <f>SUBSTITUTE(UC!C157,"Old","New")</f>
        <v>*</v>
      </c>
      <c r="D157" s="12"/>
      <c r="E157" s="13" t="str">
        <f>_xlfn.XLOOKUP($A157,Selected_constraint_UC!$A:$A,Selected_constraint_UC!$B:$B)</f>
        <v>COMFOI</v>
      </c>
      <c r="F157" s="13" t="str">
        <f>SUBSTITUTE(_xlfn.XLOOKUP($A157,Selected_constraint_UC!$A:$A,Selected_constraint_UC!$C:$C),"Old","New")</f>
        <v>COMRETNewOEEUE</v>
      </c>
      <c r="G157" s="13" t="str">
        <f>F157</f>
        <v>COMRETNewOEEUE</v>
      </c>
      <c r="H157" s="14">
        <v>2019</v>
      </c>
      <c r="I157" s="14" t="s">
        <v>3848</v>
      </c>
      <c r="J157" s="14">
        <v>1</v>
      </c>
      <c r="K157" s="15">
        <f>UC!K157</f>
        <v>-8.4279999999999994E-2</v>
      </c>
      <c r="L157" s="14">
        <v>0</v>
      </c>
      <c r="M157" s="14">
        <v>5</v>
      </c>
      <c r="N157" s="10"/>
      <c r="O157" s="20"/>
      <c r="Q157" s="11" t="str">
        <f>SUBSTITUTE(UC!Q157,"Old","New")</f>
        <v>*</v>
      </c>
      <c r="R157" s="12"/>
      <c r="S157" s="13" t="str">
        <f t="shared" si="39"/>
        <v>COMFOI</v>
      </c>
      <c r="T157" s="13" t="str">
        <f t="shared" si="40"/>
        <v>COMRETNewOEEUE</v>
      </c>
      <c r="U157" s="13" t="str">
        <f t="shared" si="41"/>
        <v>COMRETNewOEEUE</v>
      </c>
      <c r="V157" s="14">
        <f>H157</f>
        <v>2019</v>
      </c>
      <c r="W157" s="29" t="s">
        <v>3849</v>
      </c>
      <c r="X157" s="14">
        <v>1</v>
      </c>
      <c r="Y157" s="15">
        <f>UC!Y157</f>
        <v>-8.8999999999999996E-2</v>
      </c>
      <c r="Z157" s="14">
        <v>0</v>
      </c>
      <c r="AA157" s="14">
        <v>5</v>
      </c>
      <c r="AB157" s="10"/>
      <c r="AC157" s="20"/>
    </row>
    <row r="158" spans="1:29" x14ac:dyDescent="0.25">
      <c r="A158" s="10">
        <f>A157</f>
        <v>39</v>
      </c>
      <c r="B158" s="10"/>
      <c r="C158" s="11" t="str">
        <f>SUBSTITUTE(UC!C158,"Old","New")</f>
        <v>*</v>
      </c>
      <c r="D158" s="12"/>
      <c r="E158" s="13" t="str">
        <f t="shared" ref="E158:G160" si="47">E157</f>
        <v>COMFOI</v>
      </c>
      <c r="F158" s="13" t="str">
        <f t="shared" si="47"/>
        <v>COMRETNewOEEUE</v>
      </c>
      <c r="G158" s="13" t="str">
        <f t="shared" si="47"/>
        <v>COMRETNewOEEUE</v>
      </c>
      <c r="H158" s="14">
        <v>2025</v>
      </c>
      <c r="I158" s="14" t="str">
        <f>I157</f>
        <v>LO</v>
      </c>
      <c r="J158" s="14"/>
      <c r="K158" s="15">
        <f>UC!K158</f>
        <v>-6.88E-2</v>
      </c>
      <c r="L158" s="14"/>
      <c r="M158" s="14"/>
      <c r="N158" s="10"/>
      <c r="O158" s="20"/>
      <c r="Q158" s="11" t="str">
        <f>SUBSTITUTE(UC!Q158,"Old","New")</f>
        <v>*</v>
      </c>
      <c r="R158" s="12"/>
      <c r="S158" s="13" t="str">
        <f t="shared" si="39"/>
        <v>COMFOI</v>
      </c>
      <c r="T158" s="13" t="str">
        <f t="shared" si="40"/>
        <v>COMRETNewOEEUE</v>
      </c>
      <c r="U158" s="13" t="str">
        <f t="shared" si="41"/>
        <v>COMRETNewOEEUE</v>
      </c>
      <c r="V158" s="14">
        <v>2025</v>
      </c>
      <c r="W158" s="14" t="str">
        <f>W157</f>
        <v>UP</v>
      </c>
      <c r="X158" s="14"/>
      <c r="Y158" s="15">
        <f>UC!Y158</f>
        <v>-0.105</v>
      </c>
      <c r="Z158" s="14"/>
      <c r="AA158" s="14"/>
      <c r="AB158" s="10"/>
      <c r="AC158" s="20"/>
    </row>
    <row r="159" spans="1:29" x14ac:dyDescent="0.25">
      <c r="A159" s="10">
        <f>A158</f>
        <v>39</v>
      </c>
      <c r="B159" s="10"/>
      <c r="C159" s="11" t="str">
        <f>SUBSTITUTE(UC!C159,"Old","New")</f>
        <v>*</v>
      </c>
      <c r="D159" s="12"/>
      <c r="E159" s="13" t="str">
        <f t="shared" si="47"/>
        <v>COMFOI</v>
      </c>
      <c r="F159" s="13" t="str">
        <f t="shared" si="47"/>
        <v>COMRETNewOEEUE</v>
      </c>
      <c r="G159" s="13" t="str">
        <f t="shared" si="47"/>
        <v>COMRETNewOEEUE</v>
      </c>
      <c r="H159" s="14">
        <v>2030</v>
      </c>
      <c r="I159" s="14" t="str">
        <f>I158</f>
        <v>LO</v>
      </c>
      <c r="J159" s="14"/>
      <c r="K159" s="15">
        <f>UC!K159</f>
        <v>-1.72E-2</v>
      </c>
      <c r="L159" s="14"/>
      <c r="M159" s="14"/>
      <c r="N159" s="10"/>
      <c r="O159" s="20"/>
      <c r="Q159" s="11" t="str">
        <f>SUBSTITUTE(UC!Q159,"Old","New")</f>
        <v>*</v>
      </c>
      <c r="R159" s="12"/>
      <c r="S159" s="13" t="str">
        <f t="shared" si="39"/>
        <v>COMFOI</v>
      </c>
      <c r="T159" s="13" t="str">
        <f t="shared" si="40"/>
        <v>COMRETNewOEEUE</v>
      </c>
      <c r="U159" s="13" t="str">
        <f t="shared" si="41"/>
        <v>COMRETNewOEEUE</v>
      </c>
      <c r="V159" s="14">
        <v>2030</v>
      </c>
      <c r="W159" s="14" t="str">
        <f>W158</f>
        <v>UP</v>
      </c>
      <c r="X159" s="14"/>
      <c r="Y159" s="15">
        <f>UC!Y159</f>
        <v>-0.13100000000000001</v>
      </c>
      <c r="Z159" s="14"/>
      <c r="AA159" s="14"/>
      <c r="AB159" s="10"/>
      <c r="AC159" s="20"/>
    </row>
    <row r="160" spans="1:29" x14ac:dyDescent="0.25">
      <c r="A160" s="26">
        <f>A159</f>
        <v>39</v>
      </c>
      <c r="B160" s="26"/>
      <c r="C160" s="21" t="str">
        <f>SUBSTITUTE(UC!C160,"Old","New")</f>
        <v>*</v>
      </c>
      <c r="D160" s="22"/>
      <c r="E160" s="23" t="str">
        <f t="shared" si="47"/>
        <v>COMFOI</v>
      </c>
      <c r="F160" s="23" t="str">
        <f t="shared" si="47"/>
        <v>COMRETNewOEEUE</v>
      </c>
      <c r="G160" s="23" t="str">
        <f t="shared" si="47"/>
        <v>COMRETNewOEEUE</v>
      </c>
      <c r="H160" s="24">
        <v>2050</v>
      </c>
      <c r="I160" s="24" t="str">
        <f>I159</f>
        <v>LO</v>
      </c>
      <c r="J160" s="24"/>
      <c r="K160" s="25">
        <f>UC!K160</f>
        <v>0</v>
      </c>
      <c r="L160" s="24"/>
      <c r="M160" s="24"/>
      <c r="N160" s="26"/>
      <c r="O160" s="27"/>
      <c r="Q160" s="21" t="str">
        <f>SUBSTITUTE(UC!Q160,"Old","New")</f>
        <v>*</v>
      </c>
      <c r="R160" s="22"/>
      <c r="S160" s="23" t="str">
        <f t="shared" si="39"/>
        <v>COMFOI</v>
      </c>
      <c r="T160" s="23" t="str">
        <f t="shared" si="40"/>
        <v>COMRETNewOEEUE</v>
      </c>
      <c r="U160" s="23" t="str">
        <f t="shared" si="41"/>
        <v>COMRETNewOEEUE</v>
      </c>
      <c r="V160" s="24">
        <v>2050</v>
      </c>
      <c r="W160" s="24" t="str">
        <f>W159</f>
        <v>UP</v>
      </c>
      <c r="X160" s="24"/>
      <c r="Y160" s="25">
        <f>UC!Y160</f>
        <v>-0.26100000000000001</v>
      </c>
      <c r="Z160" s="24"/>
      <c r="AA160" s="24"/>
      <c r="AB160" s="26"/>
      <c r="AC160" s="27"/>
    </row>
    <row r="161" spans="1:29" x14ac:dyDescent="0.25">
      <c r="A161" s="19">
        <f>A157+1</f>
        <v>40</v>
      </c>
      <c r="B161" s="10"/>
      <c r="C161" s="11" t="str">
        <f>SUBSTITUTE(UC!C161,"Old","New")</f>
        <v>UC_MarketShare_COMRETNewOE_NGA_MIN</v>
      </c>
      <c r="D161" s="12"/>
      <c r="E161" s="13" t="str">
        <f>_xlfn.XLOOKUP($A161,Selected_constraint_UC!$A:$A,Selected_constraint_UC!$B:$B)</f>
        <v>COMNGA</v>
      </c>
      <c r="F161" s="13" t="str">
        <f>SUBSTITUTE(_xlfn.XLOOKUP($A161,Selected_constraint_UC!$A:$A,Selected_constraint_UC!$C:$C),"Old","New")</f>
        <v>COMRETNewOEEUE</v>
      </c>
      <c r="G161" s="13" t="str">
        <f>F161</f>
        <v>COMRETNewOEEUE</v>
      </c>
      <c r="H161" s="14">
        <v>2019</v>
      </c>
      <c r="I161" s="14" t="s">
        <v>3848</v>
      </c>
      <c r="J161" s="14">
        <v>1</v>
      </c>
      <c r="K161" s="15">
        <f>UC!K161</f>
        <v>-0.20383999999999999</v>
      </c>
      <c r="L161" s="14">
        <v>0</v>
      </c>
      <c r="M161" s="14">
        <v>5</v>
      </c>
      <c r="N161" s="10"/>
      <c r="O161" s="20"/>
      <c r="Q161" s="11" t="str">
        <f>SUBSTITUTE(UC!Q161,"Old","New")</f>
        <v>UC_MarketShare_COMRETNewOE_NGA_MAX</v>
      </c>
      <c r="R161" s="12"/>
      <c r="S161" s="13" t="str">
        <f t="shared" si="39"/>
        <v>COMNGA</v>
      </c>
      <c r="T161" s="13" t="str">
        <f t="shared" si="40"/>
        <v>COMRETNewOEEUE</v>
      </c>
      <c r="U161" s="13" t="str">
        <f t="shared" si="41"/>
        <v>COMRETNewOEEUE</v>
      </c>
      <c r="V161" s="14">
        <f>H161</f>
        <v>2019</v>
      </c>
      <c r="W161" s="29" t="s">
        <v>3849</v>
      </c>
      <c r="X161" s="14">
        <v>1</v>
      </c>
      <c r="Y161" s="15">
        <f>UC!Y161</f>
        <v>-0.21299999999999999</v>
      </c>
      <c r="Z161" s="14">
        <v>0</v>
      </c>
      <c r="AA161" s="14">
        <v>5</v>
      </c>
      <c r="AB161" s="10"/>
      <c r="AC161" s="20"/>
    </row>
    <row r="162" spans="1:29" x14ac:dyDescent="0.25">
      <c r="A162" s="10">
        <f>A161</f>
        <v>40</v>
      </c>
      <c r="B162" s="10"/>
      <c r="C162" s="11" t="str">
        <f>SUBSTITUTE(UC!C162,"Old","New")</f>
        <v/>
      </c>
      <c r="D162" s="12"/>
      <c r="E162" s="13" t="str">
        <f t="shared" ref="E162:G164" si="48">E161</f>
        <v>COMNGA</v>
      </c>
      <c r="F162" s="13" t="str">
        <f t="shared" si="48"/>
        <v>COMRETNewOEEUE</v>
      </c>
      <c r="G162" s="13" t="str">
        <f t="shared" si="48"/>
        <v>COMRETNewOEEUE</v>
      </c>
      <c r="H162" s="14">
        <v>2025</v>
      </c>
      <c r="I162" s="14" t="str">
        <f>I161</f>
        <v>LO</v>
      </c>
      <c r="J162" s="14"/>
      <c r="K162" s="15">
        <f>UC!K162</f>
        <v>-0.16639999999999999</v>
      </c>
      <c r="L162" s="14"/>
      <c r="M162" s="14"/>
      <c r="N162" s="10"/>
      <c r="O162" s="20"/>
      <c r="Q162" s="11" t="str">
        <f>SUBSTITUTE(UC!Q162,"Old","New")</f>
        <v/>
      </c>
      <c r="R162" s="12"/>
      <c r="S162" s="13" t="str">
        <f t="shared" si="39"/>
        <v>COMNGA</v>
      </c>
      <c r="T162" s="13" t="str">
        <f t="shared" si="40"/>
        <v>COMRETNewOEEUE</v>
      </c>
      <c r="U162" s="13" t="str">
        <f t="shared" si="41"/>
        <v>COMRETNewOEEUE</v>
      </c>
      <c r="V162" s="14">
        <v>2025</v>
      </c>
      <c r="W162" s="14" t="str">
        <f>W161</f>
        <v>UP</v>
      </c>
      <c r="X162" s="14"/>
      <c r="Y162" s="15">
        <f>UC!Y162</f>
        <v>-0.25</v>
      </c>
      <c r="Z162" s="14"/>
      <c r="AA162" s="14"/>
      <c r="AB162" s="10"/>
      <c r="AC162" s="20"/>
    </row>
    <row r="163" spans="1:29" x14ac:dyDescent="0.25">
      <c r="A163" s="10">
        <f>A162</f>
        <v>40</v>
      </c>
      <c r="B163" s="10"/>
      <c r="C163" s="11" t="str">
        <f>SUBSTITUTE(UC!C163,"Old","New")</f>
        <v/>
      </c>
      <c r="D163" s="12"/>
      <c r="E163" s="13" t="str">
        <f t="shared" si="48"/>
        <v>COMNGA</v>
      </c>
      <c r="F163" s="13" t="str">
        <f t="shared" si="48"/>
        <v>COMRETNewOEEUE</v>
      </c>
      <c r="G163" s="13" t="str">
        <f t="shared" si="48"/>
        <v>COMRETNewOEEUE</v>
      </c>
      <c r="H163" s="14">
        <v>2030</v>
      </c>
      <c r="I163" s="14" t="str">
        <f>I162</f>
        <v>LO</v>
      </c>
      <c r="J163" s="14"/>
      <c r="K163" s="15">
        <f>UC!K163</f>
        <v>-4.1599999999999998E-2</v>
      </c>
      <c r="L163" s="14"/>
      <c r="M163" s="14"/>
      <c r="N163" s="10"/>
      <c r="O163" s="20"/>
      <c r="Q163" s="11" t="str">
        <f>SUBSTITUTE(UC!Q163,"Old","New")</f>
        <v/>
      </c>
      <c r="R163" s="12"/>
      <c r="S163" s="13" t="str">
        <f t="shared" si="39"/>
        <v>COMNGA</v>
      </c>
      <c r="T163" s="13" t="str">
        <f t="shared" si="40"/>
        <v>COMRETNewOEEUE</v>
      </c>
      <c r="U163" s="13" t="str">
        <f t="shared" si="41"/>
        <v>COMRETNewOEEUE</v>
      </c>
      <c r="V163" s="14">
        <v>2030</v>
      </c>
      <c r="W163" s="14" t="str">
        <f>W162</f>
        <v>UP</v>
      </c>
      <c r="X163" s="14"/>
      <c r="Y163" s="15">
        <f>UC!Y163</f>
        <v>-0.313</v>
      </c>
      <c r="Z163" s="14"/>
      <c r="AA163" s="14"/>
      <c r="AB163" s="10"/>
      <c r="AC163" s="20"/>
    </row>
    <row r="164" spans="1:29" x14ac:dyDescent="0.25">
      <c r="A164" s="26">
        <f>A163</f>
        <v>40</v>
      </c>
      <c r="B164" s="26"/>
      <c r="C164" s="21" t="str">
        <f>SUBSTITUTE(UC!C164,"Old","New")</f>
        <v/>
      </c>
      <c r="D164" s="22"/>
      <c r="E164" s="23" t="str">
        <f t="shared" si="48"/>
        <v>COMNGA</v>
      </c>
      <c r="F164" s="23" t="str">
        <f t="shared" si="48"/>
        <v>COMRETNewOEEUE</v>
      </c>
      <c r="G164" s="23" t="str">
        <f t="shared" si="48"/>
        <v>COMRETNewOEEUE</v>
      </c>
      <c r="H164" s="24">
        <v>2050</v>
      </c>
      <c r="I164" s="24" t="str">
        <f>I163</f>
        <v>LO</v>
      </c>
      <c r="J164" s="24"/>
      <c r="K164" s="25">
        <f>UC!K164</f>
        <v>0</v>
      </c>
      <c r="L164" s="24"/>
      <c r="M164" s="24"/>
      <c r="N164" s="26"/>
      <c r="O164" s="27"/>
      <c r="Q164" s="21" t="str">
        <f>SUBSTITUTE(UC!Q164,"Old","New")</f>
        <v/>
      </c>
      <c r="R164" s="22"/>
      <c r="S164" s="23" t="str">
        <f t="shared" si="39"/>
        <v>COMNGA</v>
      </c>
      <c r="T164" s="23" t="str">
        <f t="shared" si="40"/>
        <v>COMRETNewOEEUE</v>
      </c>
      <c r="U164" s="23" t="str">
        <f t="shared" si="41"/>
        <v>COMRETNewOEEUE</v>
      </c>
      <c r="V164" s="24">
        <v>2050</v>
      </c>
      <c r="W164" s="24" t="str">
        <f>W163</f>
        <v>UP</v>
      </c>
      <c r="X164" s="24"/>
      <c r="Y164" s="25">
        <f>UC!Y164</f>
        <v>-0.625</v>
      </c>
      <c r="Z164" s="24"/>
      <c r="AA164" s="24"/>
      <c r="AB164" s="26"/>
      <c r="AC164" s="27"/>
    </row>
    <row r="165" spans="1:29" x14ac:dyDescent="0.25">
      <c r="A165" s="19">
        <f>A161+1</f>
        <v>41</v>
      </c>
      <c r="B165" s="10"/>
      <c r="C165" s="11" t="str">
        <f>SUBSTITUTE(UC!C165,"Old","New")</f>
        <v>*</v>
      </c>
      <c r="D165" s="12"/>
      <c r="E165" s="13" t="str">
        <f>_xlfn.XLOOKUP($A165,Selected_constraint_UC!$A:$A,Selected_constraint_UC!$B:$B)</f>
        <v>COMSTM</v>
      </c>
      <c r="F165" s="13" t="str">
        <f>SUBSTITUTE(_xlfn.XLOOKUP($A165,Selected_constraint_UC!$A:$A,Selected_constraint_UC!$C:$C),"Old","New")</f>
        <v>COMRETNewOEEUE</v>
      </c>
      <c r="G165" s="13" t="str">
        <f>F165</f>
        <v>COMRETNewOEEUE</v>
      </c>
      <c r="H165" s="14">
        <v>2019</v>
      </c>
      <c r="I165" s="14" t="s">
        <v>3848</v>
      </c>
      <c r="J165" s="14">
        <v>1</v>
      </c>
      <c r="K165" s="15">
        <f>UC!K165</f>
        <v>0</v>
      </c>
      <c r="L165" s="14">
        <v>0</v>
      </c>
      <c r="M165" s="14">
        <v>5</v>
      </c>
      <c r="N165" s="10"/>
      <c r="O165" s="20"/>
      <c r="Q165" s="11" t="str">
        <f>SUBSTITUTE(UC!Q165,"Old","New")</f>
        <v>*</v>
      </c>
      <c r="R165" s="12"/>
      <c r="S165" s="13" t="str">
        <f t="shared" si="39"/>
        <v>COMSTM</v>
      </c>
      <c r="T165" s="13" t="str">
        <f t="shared" si="40"/>
        <v>COMRETNewOEEUE</v>
      </c>
      <c r="U165" s="13" t="str">
        <f t="shared" si="41"/>
        <v>COMRETNewOEEUE</v>
      </c>
      <c r="V165" s="14">
        <f>H165</f>
        <v>2019</v>
      </c>
      <c r="W165" s="29" t="s">
        <v>3849</v>
      </c>
      <c r="X165" s="14">
        <v>1</v>
      </c>
      <c r="Y165" s="15">
        <f>UC!Y165</f>
        <v>0</v>
      </c>
      <c r="Z165" s="14">
        <v>0</v>
      </c>
      <c r="AA165" s="14">
        <v>5</v>
      </c>
      <c r="AB165" s="10"/>
      <c r="AC165" s="20"/>
    </row>
    <row r="166" spans="1:29" x14ac:dyDescent="0.25">
      <c r="A166" s="10">
        <f>A165</f>
        <v>41</v>
      </c>
      <c r="B166" s="10"/>
      <c r="C166" s="11" t="str">
        <f>SUBSTITUTE(UC!C166,"Old","New")</f>
        <v>*</v>
      </c>
      <c r="D166" s="12"/>
      <c r="E166" s="13" t="str">
        <f t="shared" ref="E166:G168" si="49">E165</f>
        <v>COMSTM</v>
      </c>
      <c r="F166" s="13" t="str">
        <f t="shared" si="49"/>
        <v>COMRETNewOEEUE</v>
      </c>
      <c r="G166" s="13" t="str">
        <f t="shared" si="49"/>
        <v>COMRETNewOEEUE</v>
      </c>
      <c r="H166" s="14">
        <v>2025</v>
      </c>
      <c r="I166" s="14" t="str">
        <f>I165</f>
        <v>LO</v>
      </c>
      <c r="J166" s="14"/>
      <c r="K166" s="15">
        <f>UC!K166</f>
        <v>0</v>
      </c>
      <c r="L166" s="14"/>
      <c r="M166" s="14"/>
      <c r="N166" s="10"/>
      <c r="O166" s="20"/>
      <c r="Q166" s="11" t="str">
        <f>SUBSTITUTE(UC!Q166,"Old","New")</f>
        <v>*</v>
      </c>
      <c r="R166" s="12"/>
      <c r="S166" s="13" t="str">
        <f t="shared" si="39"/>
        <v>COMSTM</v>
      </c>
      <c r="T166" s="13" t="str">
        <f t="shared" si="40"/>
        <v>COMRETNewOEEUE</v>
      </c>
      <c r="U166" s="13" t="str">
        <f t="shared" si="41"/>
        <v>COMRETNewOEEUE</v>
      </c>
      <c r="V166" s="14">
        <v>2025</v>
      </c>
      <c r="W166" s="14" t="str">
        <f>W165</f>
        <v>UP</v>
      </c>
      <c r="X166" s="14"/>
      <c r="Y166" s="15">
        <f>UC!Y166</f>
        <v>0</v>
      </c>
      <c r="Z166" s="14"/>
      <c r="AA166" s="14"/>
      <c r="AB166" s="10"/>
      <c r="AC166" s="20"/>
    </row>
    <row r="167" spans="1:29" x14ac:dyDescent="0.25">
      <c r="A167" s="10">
        <f>A166</f>
        <v>41</v>
      </c>
      <c r="B167" s="10"/>
      <c r="C167" s="11" t="str">
        <f>SUBSTITUTE(UC!C167,"Old","New")</f>
        <v>*</v>
      </c>
      <c r="D167" s="12"/>
      <c r="E167" s="13" t="str">
        <f t="shared" si="49"/>
        <v>COMSTM</v>
      </c>
      <c r="F167" s="13" t="str">
        <f t="shared" si="49"/>
        <v>COMRETNewOEEUE</v>
      </c>
      <c r="G167" s="13" t="str">
        <f t="shared" si="49"/>
        <v>COMRETNewOEEUE</v>
      </c>
      <c r="H167" s="14">
        <v>2030</v>
      </c>
      <c r="I167" s="14" t="str">
        <f>I166</f>
        <v>LO</v>
      </c>
      <c r="J167" s="14"/>
      <c r="K167" s="15">
        <f>UC!K167</f>
        <v>0</v>
      </c>
      <c r="L167" s="14"/>
      <c r="M167" s="14"/>
      <c r="N167" s="10"/>
      <c r="O167" s="20"/>
      <c r="Q167" s="11" t="str">
        <f>SUBSTITUTE(UC!Q167,"Old","New")</f>
        <v>*</v>
      </c>
      <c r="R167" s="12"/>
      <c r="S167" s="13" t="str">
        <f t="shared" si="39"/>
        <v>COMSTM</v>
      </c>
      <c r="T167" s="13" t="str">
        <f t="shared" si="40"/>
        <v>COMRETNewOEEUE</v>
      </c>
      <c r="U167" s="13" t="str">
        <f t="shared" si="41"/>
        <v>COMRETNewOEEUE</v>
      </c>
      <c r="V167" s="14">
        <v>2030</v>
      </c>
      <c r="W167" s="14" t="str">
        <f>W166</f>
        <v>UP</v>
      </c>
      <c r="X167" s="14"/>
      <c r="Y167" s="15">
        <f>UC!Y167</f>
        <v>0</v>
      </c>
      <c r="Z167" s="14"/>
      <c r="AA167" s="14"/>
      <c r="AB167" s="10"/>
      <c r="AC167" s="20"/>
    </row>
    <row r="168" spans="1:29" x14ac:dyDescent="0.25">
      <c r="A168" s="26">
        <f>A167</f>
        <v>41</v>
      </c>
      <c r="B168" s="26"/>
      <c r="C168" s="21" t="str">
        <f>SUBSTITUTE(UC!C168,"Old","New")</f>
        <v>*</v>
      </c>
      <c r="D168" s="22"/>
      <c r="E168" s="23" t="str">
        <f t="shared" si="49"/>
        <v>COMSTM</v>
      </c>
      <c r="F168" s="23" t="str">
        <f t="shared" si="49"/>
        <v>COMRETNewOEEUE</v>
      </c>
      <c r="G168" s="23" t="str">
        <f t="shared" si="49"/>
        <v>COMRETNewOEEUE</v>
      </c>
      <c r="H168" s="24">
        <v>2050</v>
      </c>
      <c r="I168" s="24" t="str">
        <f>I167</f>
        <v>LO</v>
      </c>
      <c r="J168" s="24"/>
      <c r="K168" s="25">
        <f>UC!K168</f>
        <v>0</v>
      </c>
      <c r="L168" s="24"/>
      <c r="M168" s="24"/>
      <c r="N168" s="26"/>
      <c r="O168" s="27"/>
      <c r="Q168" s="21" t="str">
        <f>SUBSTITUTE(UC!Q168,"Old","New")</f>
        <v>*</v>
      </c>
      <c r="R168" s="22"/>
      <c r="S168" s="23" t="str">
        <f t="shared" si="39"/>
        <v>COMSTM</v>
      </c>
      <c r="T168" s="23" t="str">
        <f t="shared" si="40"/>
        <v>COMRETNewOEEUE</v>
      </c>
      <c r="U168" s="23" t="str">
        <f t="shared" si="41"/>
        <v>COMRETNewOEEUE</v>
      </c>
      <c r="V168" s="24">
        <v>2050</v>
      </c>
      <c r="W168" s="24" t="str">
        <f>W167</f>
        <v>UP</v>
      </c>
      <c r="X168" s="24"/>
      <c r="Y168" s="25">
        <f>UC!Y168</f>
        <v>0</v>
      </c>
      <c r="Z168" s="24"/>
      <c r="AA168" s="24"/>
      <c r="AB168" s="26"/>
      <c r="AC168" s="27"/>
    </row>
    <row r="169" spans="1:29" x14ac:dyDescent="0.25">
      <c r="A169" s="19">
        <f>A165+1</f>
        <v>42</v>
      </c>
      <c r="B169" s="10"/>
      <c r="C169" s="11" t="str">
        <f>SUBSTITUTE(UC!C169,"Old","New")</f>
        <v>UC_MarketShare_COMRETNewOE_ELC_MIN</v>
      </c>
      <c r="D169" s="12"/>
      <c r="E169" s="13" t="str">
        <f>_xlfn.XLOOKUP($A169,Selected_constraint_UC!$A:$A,Selected_constraint_UC!$B:$B)</f>
        <v>COMELC</v>
      </c>
      <c r="F169" s="13" t="str">
        <f>SUBSTITUTE(_xlfn.XLOOKUP($A169,Selected_constraint_UC!$A:$A,Selected_constraint_UC!$C:$C),"Old","New")</f>
        <v>COMRETNewOEEUE</v>
      </c>
      <c r="G169" s="13" t="str">
        <f>F169</f>
        <v>COMRETNewOEEUE</v>
      </c>
      <c r="H169" s="14">
        <v>2019</v>
      </c>
      <c r="I169" s="14" t="s">
        <v>3848</v>
      </c>
      <c r="J169" s="14">
        <v>1</v>
      </c>
      <c r="K169" s="15">
        <f>UC!K169</f>
        <v>-0.69089999999999996</v>
      </c>
      <c r="L169" s="14">
        <v>0</v>
      </c>
      <c r="M169" s="14">
        <v>5</v>
      </c>
      <c r="N169" s="10"/>
      <c r="O169" s="20"/>
      <c r="Q169" s="11" t="str">
        <f>SUBSTITUTE(UC!Q169,"Old","New")</f>
        <v>UC_MarketShare_COMRETNewOE_ELC_MAX</v>
      </c>
      <c r="R169" s="12"/>
      <c r="S169" s="13" t="str">
        <f t="shared" si="39"/>
        <v>COMELC</v>
      </c>
      <c r="T169" s="13" t="str">
        <f t="shared" si="40"/>
        <v>COMRETNewOEEUE</v>
      </c>
      <c r="U169" s="13" t="str">
        <f t="shared" si="41"/>
        <v>COMRETNewOEEUE</v>
      </c>
      <c r="V169" s="14">
        <f>H169</f>
        <v>2019</v>
      </c>
      <c r="W169" s="29" t="s">
        <v>3849</v>
      </c>
      <c r="X169" s="14">
        <v>1</v>
      </c>
      <c r="Y169" s="15">
        <f>UC!Y169</f>
        <v>-0.72</v>
      </c>
      <c r="Z169" s="14">
        <v>0</v>
      </c>
      <c r="AA169" s="14">
        <v>5</v>
      </c>
      <c r="AB169" s="10"/>
      <c r="AC169" s="20"/>
    </row>
    <row r="170" spans="1:29" x14ac:dyDescent="0.25">
      <c r="A170" s="10">
        <f>A169</f>
        <v>42</v>
      </c>
      <c r="B170" s="10"/>
      <c r="C170" s="11" t="str">
        <f>SUBSTITUTE(UC!C170,"Old","New")</f>
        <v/>
      </c>
      <c r="D170" s="12"/>
      <c r="E170" s="13" t="str">
        <f t="shared" ref="E170:G172" si="50">E169</f>
        <v>COMELC</v>
      </c>
      <c r="F170" s="13" t="str">
        <f t="shared" si="50"/>
        <v>COMRETNewOEEUE</v>
      </c>
      <c r="G170" s="13" t="str">
        <f t="shared" si="50"/>
        <v>COMRETNewOEEUE</v>
      </c>
      <c r="H170" s="14">
        <v>2025</v>
      </c>
      <c r="I170" s="14" t="str">
        <f>I169</f>
        <v>LO</v>
      </c>
      <c r="J170" s="14"/>
      <c r="K170" s="15">
        <f>UC!K170</f>
        <v>-0.56399999999999995</v>
      </c>
      <c r="L170" s="14"/>
      <c r="M170" s="14"/>
      <c r="N170" s="10"/>
      <c r="O170" s="20"/>
      <c r="Q170" s="11" t="str">
        <f>SUBSTITUTE(UC!Q170,"Old","New")</f>
        <v/>
      </c>
      <c r="R170" s="12"/>
      <c r="S170" s="13" t="str">
        <f t="shared" si="39"/>
        <v>COMELC</v>
      </c>
      <c r="T170" s="13" t="str">
        <f t="shared" si="40"/>
        <v>COMRETNewOEEUE</v>
      </c>
      <c r="U170" s="13" t="str">
        <f t="shared" si="41"/>
        <v>COMRETNewOEEUE</v>
      </c>
      <c r="V170" s="14">
        <v>2025</v>
      </c>
      <c r="W170" s="14" t="str">
        <f>W169</f>
        <v>UP</v>
      </c>
      <c r="X170" s="14"/>
      <c r="Y170" s="15">
        <f>UC!Y170</f>
        <v>-0.84699999999999998</v>
      </c>
      <c r="Z170" s="14"/>
      <c r="AA170" s="14"/>
      <c r="AB170" s="10"/>
      <c r="AC170" s="20"/>
    </row>
    <row r="171" spans="1:29" x14ac:dyDescent="0.25">
      <c r="A171" s="10">
        <f>A170</f>
        <v>42</v>
      </c>
      <c r="B171" s="10"/>
      <c r="C171" s="11" t="str">
        <f>SUBSTITUTE(UC!C171,"Old","New")</f>
        <v/>
      </c>
      <c r="D171" s="12"/>
      <c r="E171" s="13" t="str">
        <f t="shared" si="50"/>
        <v>COMELC</v>
      </c>
      <c r="F171" s="13" t="str">
        <f t="shared" si="50"/>
        <v>COMRETNewOEEUE</v>
      </c>
      <c r="G171" s="13" t="str">
        <f t="shared" si="50"/>
        <v>COMRETNewOEEUE</v>
      </c>
      <c r="H171" s="14">
        <v>2030</v>
      </c>
      <c r="I171" s="14" t="str">
        <f>I170</f>
        <v>LO</v>
      </c>
      <c r="J171" s="14"/>
      <c r="K171" s="15">
        <f>UC!K171</f>
        <v>-0.14099999999999999</v>
      </c>
      <c r="L171" s="14"/>
      <c r="M171" s="14"/>
      <c r="N171" s="10"/>
      <c r="O171" s="20"/>
      <c r="Q171" s="11" t="str">
        <f>SUBSTITUTE(UC!Q171,"Old","New")</f>
        <v/>
      </c>
      <c r="R171" s="12"/>
      <c r="S171" s="13" t="str">
        <f t="shared" si="39"/>
        <v>COMELC</v>
      </c>
      <c r="T171" s="13" t="str">
        <f t="shared" si="40"/>
        <v>COMRETNewOEEUE</v>
      </c>
      <c r="U171" s="13" t="str">
        <f t="shared" si="41"/>
        <v>COMRETNewOEEUE</v>
      </c>
      <c r="V171" s="14">
        <v>2030</v>
      </c>
      <c r="W171" s="14" t="str">
        <f>W170</f>
        <v>UP</v>
      </c>
      <c r="X171" s="14"/>
      <c r="Y171" s="15">
        <f>UC!Y171</f>
        <v>-1</v>
      </c>
      <c r="Z171" s="14"/>
      <c r="AA171" s="14"/>
      <c r="AB171" s="10"/>
      <c r="AC171" s="20"/>
    </row>
    <row r="172" spans="1:29" x14ac:dyDescent="0.25">
      <c r="A172" s="26">
        <f>A171</f>
        <v>42</v>
      </c>
      <c r="B172" s="26"/>
      <c r="C172" s="21" t="str">
        <f>SUBSTITUTE(UC!C172,"Old","New")</f>
        <v/>
      </c>
      <c r="D172" s="22"/>
      <c r="E172" s="23" t="str">
        <f t="shared" si="50"/>
        <v>COMELC</v>
      </c>
      <c r="F172" s="23" t="str">
        <f t="shared" si="50"/>
        <v>COMRETNewOEEUE</v>
      </c>
      <c r="G172" s="23" t="str">
        <f t="shared" si="50"/>
        <v>COMRETNewOEEUE</v>
      </c>
      <c r="H172" s="24">
        <v>2050</v>
      </c>
      <c r="I172" s="24" t="str">
        <f>I171</f>
        <v>LO</v>
      </c>
      <c r="J172" s="24"/>
      <c r="K172" s="25">
        <f>UC!K172</f>
        <v>0</v>
      </c>
      <c r="L172" s="24"/>
      <c r="M172" s="24"/>
      <c r="N172" s="26"/>
      <c r="O172" s="27"/>
      <c r="Q172" s="21" t="str">
        <f>SUBSTITUTE(UC!Q172,"Old","New")</f>
        <v/>
      </c>
      <c r="R172" s="22"/>
      <c r="S172" s="23" t="str">
        <f t="shared" si="39"/>
        <v>COMELC</v>
      </c>
      <c r="T172" s="23" t="str">
        <f t="shared" si="40"/>
        <v>COMRETNewOEEUE</v>
      </c>
      <c r="U172" s="23" t="str">
        <f t="shared" si="41"/>
        <v>COMRETNewOEEUE</v>
      </c>
      <c r="V172" s="24">
        <v>2050</v>
      </c>
      <c r="W172" s="24" t="str">
        <f>W171</f>
        <v>UP</v>
      </c>
      <c r="X172" s="24"/>
      <c r="Y172" s="25">
        <f>UC!Y172</f>
        <v>-1</v>
      </c>
      <c r="Z172" s="24"/>
      <c r="AA172" s="24"/>
      <c r="AB172" s="26"/>
      <c r="AC172" s="27"/>
    </row>
    <row r="173" spans="1:29" x14ac:dyDescent="0.25">
      <c r="A173" s="19">
        <f>A169+1</f>
        <v>43</v>
      </c>
      <c r="B173" s="10"/>
      <c r="C173" s="11" t="str">
        <f>SUBSTITUTE(UC!C173,"Old","New")</f>
        <v>UC_MarketShare_COMOFFNewSH_ELC_MIN</v>
      </c>
      <c r="D173" s="12"/>
      <c r="E173" s="13" t="str">
        <f>_xlfn.XLOOKUP($A173,Selected_constraint_UC!$A:$A,Selected_constraint_UC!$B:$B)</f>
        <v>COMELC</v>
      </c>
      <c r="F173" s="13" t="str">
        <f>SUBSTITUTE(_xlfn.XLOOKUP($A173,Selected_constraint_UC!$A:$A,Selected_constraint_UC!$C:$C),"Old","New")</f>
        <v>COMOFFNewSHEUE</v>
      </c>
      <c r="G173" s="13" t="str">
        <f>F173</f>
        <v>COMOFFNewSHEUE</v>
      </c>
      <c r="H173" s="14">
        <v>2019</v>
      </c>
      <c r="I173" s="14" t="s">
        <v>3848</v>
      </c>
      <c r="J173" s="14">
        <v>1</v>
      </c>
      <c r="K173" s="15">
        <f>UC!K173</f>
        <v>-3.8219999999999997E-2</v>
      </c>
      <c r="L173" s="14">
        <v>0</v>
      </c>
      <c r="M173" s="14">
        <v>5</v>
      </c>
      <c r="N173" s="10"/>
      <c r="O173" s="20"/>
      <c r="Q173" s="11" t="str">
        <f>SUBSTITUTE(UC!Q173,"Old","New")</f>
        <v>UC_MarketShare_COMOFFNewSH_ELC_MAX</v>
      </c>
      <c r="R173" s="12"/>
      <c r="S173" s="13" t="str">
        <f t="shared" si="39"/>
        <v>COMELC</v>
      </c>
      <c r="T173" s="13" t="str">
        <f t="shared" si="40"/>
        <v>COMOFFNewSHEUE</v>
      </c>
      <c r="U173" s="13" t="str">
        <f t="shared" si="41"/>
        <v>COMOFFNewSHEUE</v>
      </c>
      <c r="V173" s="14">
        <f>H173</f>
        <v>2019</v>
      </c>
      <c r="W173" s="29" t="s">
        <v>3849</v>
      </c>
      <c r="X173" s="14">
        <v>1</v>
      </c>
      <c r="Y173" s="15">
        <f>UC!Y173</f>
        <v>-4.1000000000000002E-2</v>
      </c>
      <c r="Z173" s="14">
        <v>0</v>
      </c>
      <c r="AA173" s="14">
        <v>5</v>
      </c>
      <c r="AB173" s="10"/>
      <c r="AC173" s="20"/>
    </row>
    <row r="174" spans="1:29" x14ac:dyDescent="0.25">
      <c r="A174" s="10">
        <f>A173</f>
        <v>43</v>
      </c>
      <c r="B174" s="10"/>
      <c r="C174" s="11" t="str">
        <f>SUBSTITUTE(UC!C174,"Old","New")</f>
        <v/>
      </c>
      <c r="D174" s="12"/>
      <c r="E174" s="13" t="str">
        <f t="shared" ref="E174:G176" si="51">E173</f>
        <v>COMELC</v>
      </c>
      <c r="F174" s="13" t="str">
        <f t="shared" si="51"/>
        <v>COMOFFNewSHEUE</v>
      </c>
      <c r="G174" s="13" t="str">
        <f t="shared" si="51"/>
        <v>COMOFFNewSHEUE</v>
      </c>
      <c r="H174" s="14">
        <v>2025</v>
      </c>
      <c r="I174" s="14" t="str">
        <f>I173</f>
        <v>LO</v>
      </c>
      <c r="J174" s="14"/>
      <c r="K174" s="15">
        <f>UC!K174</f>
        <v>-3.1200000000000002E-2</v>
      </c>
      <c r="L174" s="14"/>
      <c r="M174" s="14"/>
      <c r="N174" s="10"/>
      <c r="O174" s="20"/>
      <c r="Q174" s="11" t="str">
        <f>SUBSTITUTE(UC!Q174,"Old","New")</f>
        <v/>
      </c>
      <c r="R174" s="12"/>
      <c r="S174" s="13" t="str">
        <f t="shared" si="39"/>
        <v>COMELC</v>
      </c>
      <c r="T174" s="13" t="str">
        <f t="shared" si="40"/>
        <v>COMOFFNewSHEUE</v>
      </c>
      <c r="U174" s="13" t="str">
        <f t="shared" si="41"/>
        <v>COMOFFNewSHEUE</v>
      </c>
      <c r="V174" s="14">
        <v>2025</v>
      </c>
      <c r="W174" s="14" t="str">
        <f>W173</f>
        <v>UP</v>
      </c>
      <c r="X174" s="14"/>
      <c r="Y174" s="15">
        <f>UC!Y174</f>
        <v>-0.25</v>
      </c>
      <c r="Z174" s="14"/>
      <c r="AA174" s="14"/>
      <c r="AB174" s="10"/>
      <c r="AC174" s="20"/>
    </row>
    <row r="175" spans="1:29" x14ac:dyDescent="0.25">
      <c r="A175" s="10">
        <f>A174</f>
        <v>43</v>
      </c>
      <c r="B175" s="10"/>
      <c r="C175" s="11" t="str">
        <f>SUBSTITUTE(UC!C175,"Old","New")</f>
        <v/>
      </c>
      <c r="D175" s="12"/>
      <c r="E175" s="13" t="str">
        <f t="shared" si="51"/>
        <v>COMELC</v>
      </c>
      <c r="F175" s="13" t="str">
        <f t="shared" si="51"/>
        <v>COMOFFNewSHEUE</v>
      </c>
      <c r="G175" s="13" t="str">
        <f t="shared" si="51"/>
        <v>COMOFFNewSHEUE</v>
      </c>
      <c r="H175" s="14">
        <v>2030</v>
      </c>
      <c r="I175" s="14" t="str">
        <f>I174</f>
        <v>LO</v>
      </c>
      <c r="J175" s="14"/>
      <c r="K175" s="15">
        <f>UC!K175</f>
        <v>-2.9249999999999998E-2</v>
      </c>
      <c r="L175" s="14"/>
      <c r="M175" s="14"/>
      <c r="N175" s="10"/>
      <c r="O175" s="20"/>
      <c r="Q175" s="11" t="str">
        <f>SUBSTITUTE(UC!Q175,"Old","New")</f>
        <v/>
      </c>
      <c r="R175" s="12"/>
      <c r="S175" s="13" t="str">
        <f t="shared" si="39"/>
        <v>COMELC</v>
      </c>
      <c r="T175" s="13" t="str">
        <f t="shared" si="40"/>
        <v>COMOFFNewSHEUE</v>
      </c>
      <c r="U175" s="13" t="str">
        <f t="shared" si="41"/>
        <v>COMOFFNewSHEUE</v>
      </c>
      <c r="V175" s="14">
        <v>2030</v>
      </c>
      <c r="W175" s="14" t="str">
        <f>W174</f>
        <v>UP</v>
      </c>
      <c r="X175" s="14"/>
      <c r="Y175" s="15">
        <f>UC!Y175</f>
        <v>-0.5</v>
      </c>
      <c r="Z175" s="14"/>
      <c r="AA175" s="14"/>
      <c r="AB175" s="10"/>
      <c r="AC175" s="20"/>
    </row>
    <row r="176" spans="1:29" x14ac:dyDescent="0.25">
      <c r="A176" s="26">
        <f>A175</f>
        <v>43</v>
      </c>
      <c r="B176" s="26"/>
      <c r="C176" s="21" t="str">
        <f>SUBSTITUTE(UC!C176,"Old","New")</f>
        <v/>
      </c>
      <c r="D176" s="22"/>
      <c r="E176" s="23" t="str">
        <f t="shared" si="51"/>
        <v>COMELC</v>
      </c>
      <c r="F176" s="23" t="str">
        <f t="shared" si="51"/>
        <v>COMOFFNewSHEUE</v>
      </c>
      <c r="G176" s="23" t="str">
        <f t="shared" si="51"/>
        <v>COMOFFNewSHEUE</v>
      </c>
      <c r="H176" s="24">
        <v>2050</v>
      </c>
      <c r="I176" s="24" t="str">
        <f>I175</f>
        <v>LO</v>
      </c>
      <c r="J176" s="24"/>
      <c r="K176" s="25">
        <f>UC!K176</f>
        <v>-2.9249999999999998E-2</v>
      </c>
      <c r="L176" s="24"/>
      <c r="M176" s="24"/>
      <c r="N176" s="26"/>
      <c r="O176" s="27"/>
      <c r="Q176" s="21" t="str">
        <f>SUBSTITUTE(UC!Q176,"Old","New")</f>
        <v/>
      </c>
      <c r="R176" s="22"/>
      <c r="S176" s="23" t="str">
        <f t="shared" si="39"/>
        <v>COMELC</v>
      </c>
      <c r="T176" s="23" t="str">
        <f t="shared" si="40"/>
        <v>COMOFFNewSHEUE</v>
      </c>
      <c r="U176" s="23" t="str">
        <f t="shared" si="41"/>
        <v>COMOFFNewSHEUE</v>
      </c>
      <c r="V176" s="24">
        <v>2050</v>
      </c>
      <c r="W176" s="24" t="str">
        <f>W175</f>
        <v>UP</v>
      </c>
      <c r="X176" s="24"/>
      <c r="Y176" s="25">
        <f>UC!Y176</f>
        <v>-1</v>
      </c>
      <c r="Z176" s="24"/>
      <c r="AA176" s="24"/>
      <c r="AB176" s="26"/>
      <c r="AC176" s="27"/>
    </row>
    <row r="177" spans="1:29" x14ac:dyDescent="0.25">
      <c r="A177" s="19">
        <f>A173+1</f>
        <v>44</v>
      </c>
      <c r="B177" s="10"/>
      <c r="C177" s="11" t="str">
        <f>SUBSTITUTE(UC!C177,"Old","New")</f>
        <v>UC_MarketShare_COMOFFNewSH_NGA_MIN</v>
      </c>
      <c r="D177" s="12"/>
      <c r="E177" s="13" t="str">
        <f>_xlfn.XLOOKUP($A177,Selected_constraint_UC!$A:$A,Selected_constraint_UC!$B:$B)</f>
        <v>COMNGA</v>
      </c>
      <c r="F177" s="13" t="str">
        <f>SUBSTITUTE(_xlfn.XLOOKUP($A177,Selected_constraint_UC!$A:$A,Selected_constraint_UC!$C:$C),"Old","New")</f>
        <v>COMOFFNewSHEUE</v>
      </c>
      <c r="G177" s="13" t="str">
        <f>F177</f>
        <v>COMOFFNewSHEUE</v>
      </c>
      <c r="H177" s="14">
        <v>2019</v>
      </c>
      <c r="I177" s="14" t="s">
        <v>3848</v>
      </c>
      <c r="J177" s="14">
        <v>1</v>
      </c>
      <c r="K177" s="15">
        <f>UC!K177</f>
        <v>-0.86534</v>
      </c>
      <c r="L177" s="14">
        <v>0</v>
      </c>
      <c r="M177" s="14">
        <v>5</v>
      </c>
      <c r="N177" s="10"/>
      <c r="O177" s="20"/>
      <c r="Q177" s="11" t="str">
        <f>SUBSTITUTE(UC!Q177,"Old","New")</f>
        <v>UC_MarketShare_COMOFFNewSH_NGA_MAX</v>
      </c>
      <c r="R177" s="12"/>
      <c r="S177" s="13" t="str">
        <f t="shared" si="39"/>
        <v>COMNGA</v>
      </c>
      <c r="T177" s="13" t="str">
        <f t="shared" si="40"/>
        <v>COMOFFNewSHEUE</v>
      </c>
      <c r="U177" s="13" t="str">
        <f t="shared" si="41"/>
        <v>COMOFFNewSHEUE</v>
      </c>
      <c r="V177" s="14">
        <f>H177</f>
        <v>2019</v>
      </c>
      <c r="W177" s="29" t="s">
        <v>3849</v>
      </c>
      <c r="X177" s="14">
        <v>1</v>
      </c>
      <c r="Y177" s="15">
        <f>UC!Y177</f>
        <v>-0.90200000000000002</v>
      </c>
      <c r="Z177" s="14">
        <v>0</v>
      </c>
      <c r="AA177" s="14">
        <v>5</v>
      </c>
      <c r="AB177" s="10"/>
      <c r="AC177" s="20"/>
    </row>
    <row r="178" spans="1:29" x14ac:dyDescent="0.25">
      <c r="A178" s="10">
        <f>A177</f>
        <v>44</v>
      </c>
      <c r="B178" s="10"/>
      <c r="C178" s="11" t="str">
        <f>SUBSTITUTE(UC!C178,"Old","New")</f>
        <v/>
      </c>
      <c r="D178" s="12"/>
      <c r="E178" s="13" t="str">
        <f t="shared" ref="E178:G180" si="52">E177</f>
        <v>COMNGA</v>
      </c>
      <c r="F178" s="13" t="str">
        <f t="shared" si="52"/>
        <v>COMOFFNewSHEUE</v>
      </c>
      <c r="G178" s="13" t="str">
        <f t="shared" si="52"/>
        <v>COMOFFNewSHEUE</v>
      </c>
      <c r="H178" s="14">
        <v>2025</v>
      </c>
      <c r="I178" s="14" t="str">
        <f>I177</f>
        <v>LO</v>
      </c>
      <c r="J178" s="14"/>
      <c r="K178" s="15">
        <f>UC!K178</f>
        <v>-0.70640000000000003</v>
      </c>
      <c r="L178" s="14"/>
      <c r="M178" s="14"/>
      <c r="N178" s="10"/>
      <c r="O178" s="20"/>
      <c r="Q178" s="11" t="str">
        <f>SUBSTITUTE(UC!Q178,"Old","New")</f>
        <v/>
      </c>
      <c r="R178" s="12"/>
      <c r="S178" s="13" t="str">
        <f t="shared" si="39"/>
        <v>COMNGA</v>
      </c>
      <c r="T178" s="13" t="str">
        <f t="shared" si="40"/>
        <v>COMOFFNewSHEUE</v>
      </c>
      <c r="U178" s="13" t="str">
        <f t="shared" si="41"/>
        <v>COMOFFNewSHEUE</v>
      </c>
      <c r="V178" s="14">
        <v>2025</v>
      </c>
      <c r="W178" s="14" t="str">
        <f>W177</f>
        <v>UP</v>
      </c>
      <c r="X178" s="14"/>
      <c r="Y178" s="15">
        <f>UC!Y178</f>
        <v>-1</v>
      </c>
      <c r="Z178" s="14"/>
      <c r="AA178" s="14"/>
      <c r="AB178" s="10"/>
      <c r="AC178" s="20"/>
    </row>
    <row r="179" spans="1:29" x14ac:dyDescent="0.25">
      <c r="A179" s="10">
        <f>A178</f>
        <v>44</v>
      </c>
      <c r="B179" s="10"/>
      <c r="C179" s="11" t="str">
        <f>SUBSTITUTE(UC!C179,"Old","New")</f>
        <v/>
      </c>
      <c r="D179" s="12"/>
      <c r="E179" s="13" t="str">
        <f t="shared" si="52"/>
        <v>COMNGA</v>
      </c>
      <c r="F179" s="13" t="str">
        <f t="shared" si="52"/>
        <v>COMOFFNewSHEUE</v>
      </c>
      <c r="G179" s="13" t="str">
        <f t="shared" si="52"/>
        <v>COMOFFNewSHEUE</v>
      </c>
      <c r="H179" s="14">
        <v>2030</v>
      </c>
      <c r="I179" s="14" t="str">
        <f>I178</f>
        <v>LO</v>
      </c>
      <c r="J179" s="14"/>
      <c r="K179" s="15">
        <f>UC!K179</f>
        <v>-0.17660000000000001</v>
      </c>
      <c r="L179" s="14"/>
      <c r="M179" s="14"/>
      <c r="N179" s="10"/>
      <c r="O179" s="20"/>
      <c r="Q179" s="11" t="str">
        <f>SUBSTITUTE(UC!Q179,"Old","New")</f>
        <v/>
      </c>
      <c r="R179" s="12"/>
      <c r="S179" s="13" t="str">
        <f t="shared" si="39"/>
        <v>COMNGA</v>
      </c>
      <c r="T179" s="13" t="str">
        <f t="shared" si="40"/>
        <v>COMOFFNewSHEUE</v>
      </c>
      <c r="U179" s="13" t="str">
        <f t="shared" si="41"/>
        <v>COMOFFNewSHEUE</v>
      </c>
      <c r="V179" s="14">
        <v>2030</v>
      </c>
      <c r="W179" s="14" t="str">
        <f>W178</f>
        <v>UP</v>
      </c>
      <c r="X179" s="14"/>
      <c r="Y179" s="15">
        <f>UC!Y179</f>
        <v>-1</v>
      </c>
      <c r="Z179" s="14"/>
      <c r="AA179" s="14"/>
      <c r="AB179" s="10"/>
      <c r="AC179" s="20"/>
    </row>
    <row r="180" spans="1:29" x14ac:dyDescent="0.25">
      <c r="A180" s="26">
        <f>A179</f>
        <v>44</v>
      </c>
      <c r="B180" s="26"/>
      <c r="C180" s="21" t="str">
        <f>SUBSTITUTE(UC!C180,"Old","New")</f>
        <v/>
      </c>
      <c r="D180" s="22"/>
      <c r="E180" s="23" t="str">
        <f t="shared" si="52"/>
        <v>COMNGA</v>
      </c>
      <c r="F180" s="23" t="str">
        <f t="shared" si="52"/>
        <v>COMOFFNewSHEUE</v>
      </c>
      <c r="G180" s="23" t="str">
        <f t="shared" si="52"/>
        <v>COMOFFNewSHEUE</v>
      </c>
      <c r="H180" s="24">
        <v>2050</v>
      </c>
      <c r="I180" s="24" t="str">
        <f>I179</f>
        <v>LO</v>
      </c>
      <c r="J180" s="24"/>
      <c r="K180" s="25">
        <f>UC!K180</f>
        <v>0</v>
      </c>
      <c r="L180" s="24"/>
      <c r="M180" s="24"/>
      <c r="N180" s="26"/>
      <c r="O180" s="27"/>
      <c r="Q180" s="21" t="str">
        <f>SUBSTITUTE(UC!Q180,"Old","New")</f>
        <v/>
      </c>
      <c r="R180" s="22"/>
      <c r="S180" s="23" t="str">
        <f t="shared" si="39"/>
        <v>COMNGA</v>
      </c>
      <c r="T180" s="23" t="str">
        <f t="shared" si="40"/>
        <v>COMOFFNewSHEUE</v>
      </c>
      <c r="U180" s="23" t="str">
        <f t="shared" si="41"/>
        <v>COMOFFNewSHEUE</v>
      </c>
      <c r="V180" s="24">
        <v>2050</v>
      </c>
      <c r="W180" s="24" t="str">
        <f>W179</f>
        <v>UP</v>
      </c>
      <c r="X180" s="24"/>
      <c r="Y180" s="25">
        <f>UC!Y180</f>
        <v>-1</v>
      </c>
      <c r="Z180" s="24"/>
      <c r="AA180" s="24"/>
      <c r="AB180" s="26"/>
      <c r="AC180" s="27"/>
    </row>
    <row r="181" spans="1:29" x14ac:dyDescent="0.25">
      <c r="A181" s="19">
        <f>A177+1</f>
        <v>45</v>
      </c>
      <c r="B181" s="10"/>
      <c r="C181" s="11" t="str">
        <f>SUBSTITUTE(UC!C181,"Old","New")</f>
        <v>UC_MarketShare_COMOFFNewSH_FOI_MIN</v>
      </c>
      <c r="D181" s="12"/>
      <c r="E181" s="13" t="str">
        <f>_xlfn.XLOOKUP($A181,Selected_constraint_UC!$A:$A,Selected_constraint_UC!$B:$B)</f>
        <v>COMFOI</v>
      </c>
      <c r="F181" s="13" t="str">
        <f>SUBSTITUTE(_xlfn.XLOOKUP($A181,Selected_constraint_UC!$A:$A,Selected_constraint_UC!$C:$C),"Old","New")</f>
        <v>COMOFFNewSHEUE</v>
      </c>
      <c r="G181" s="13" t="str">
        <f>F181</f>
        <v>COMOFFNewSHEUE</v>
      </c>
      <c r="H181" s="14">
        <v>2019</v>
      </c>
      <c r="I181" s="14" t="s">
        <v>3848</v>
      </c>
      <c r="J181" s="14">
        <v>1</v>
      </c>
      <c r="K181" s="15">
        <f>UC!K181</f>
        <v>-5.4879999999999998E-2</v>
      </c>
      <c r="L181" s="14">
        <v>0</v>
      </c>
      <c r="M181" s="14">
        <v>5</v>
      </c>
      <c r="N181" s="10"/>
      <c r="O181" s="20"/>
      <c r="Q181" s="11" t="str">
        <f>SUBSTITUTE(UC!Q181,"Old","New")</f>
        <v>UC_MarketShare_COMOFFNewSH_FOI_MAX</v>
      </c>
      <c r="R181" s="12"/>
      <c r="S181" s="13" t="str">
        <f t="shared" si="39"/>
        <v>COMFOI</v>
      </c>
      <c r="T181" s="13" t="str">
        <f t="shared" si="40"/>
        <v>COMOFFNewSHEUE</v>
      </c>
      <c r="U181" s="13" t="str">
        <f t="shared" si="41"/>
        <v>COMOFFNewSHEUE</v>
      </c>
      <c r="V181" s="14">
        <f>H181</f>
        <v>2019</v>
      </c>
      <c r="W181" s="29" t="s">
        <v>3849</v>
      </c>
      <c r="X181" s="14">
        <v>1</v>
      </c>
      <c r="Y181" s="15">
        <f>UC!Y181</f>
        <v>-5.8000000000000003E-2</v>
      </c>
      <c r="Z181" s="14">
        <v>0</v>
      </c>
      <c r="AA181" s="14">
        <v>5</v>
      </c>
      <c r="AB181" s="10"/>
      <c r="AC181" s="20"/>
    </row>
    <row r="182" spans="1:29" x14ac:dyDescent="0.25">
      <c r="A182" s="10">
        <f>A181</f>
        <v>45</v>
      </c>
      <c r="B182" s="10"/>
      <c r="C182" s="11" t="str">
        <f>SUBSTITUTE(UC!C182,"Old","New")</f>
        <v/>
      </c>
      <c r="D182" s="12"/>
      <c r="E182" s="13" t="str">
        <f t="shared" ref="E182:G184" si="53">E181</f>
        <v>COMFOI</v>
      </c>
      <c r="F182" s="13" t="str">
        <f t="shared" si="53"/>
        <v>COMOFFNewSHEUE</v>
      </c>
      <c r="G182" s="13" t="str">
        <f t="shared" si="53"/>
        <v>COMOFFNewSHEUE</v>
      </c>
      <c r="H182" s="14">
        <v>2025</v>
      </c>
      <c r="I182" s="14" t="str">
        <f>I181</f>
        <v>LO</v>
      </c>
      <c r="J182" s="14"/>
      <c r="K182" s="15">
        <f>UC!K182</f>
        <v>-4.4800000000000006E-2</v>
      </c>
      <c r="L182" s="14"/>
      <c r="M182" s="14"/>
      <c r="N182" s="10"/>
      <c r="O182" s="20"/>
      <c r="Q182" s="11" t="str">
        <f>SUBSTITUTE(UC!Q182,"Old","New")</f>
        <v/>
      </c>
      <c r="R182" s="12"/>
      <c r="S182" s="13" t="str">
        <f t="shared" si="39"/>
        <v>COMFOI</v>
      </c>
      <c r="T182" s="13" t="str">
        <f t="shared" si="40"/>
        <v>COMOFFNewSHEUE</v>
      </c>
      <c r="U182" s="13" t="str">
        <f t="shared" si="41"/>
        <v>COMOFFNewSHEUE</v>
      </c>
      <c r="V182" s="14">
        <v>2025</v>
      </c>
      <c r="W182" s="14" t="str">
        <f>W181</f>
        <v>UP</v>
      </c>
      <c r="X182" s="14"/>
      <c r="Y182" s="15">
        <f>UC!Y182</f>
        <v>-6.8000000000000005E-2</v>
      </c>
      <c r="Z182" s="14"/>
      <c r="AA182" s="14"/>
      <c r="AB182" s="10"/>
      <c r="AC182" s="20"/>
    </row>
    <row r="183" spans="1:29" x14ac:dyDescent="0.25">
      <c r="A183" s="10">
        <f>A182</f>
        <v>45</v>
      </c>
      <c r="B183" s="10"/>
      <c r="C183" s="11" t="str">
        <f>SUBSTITUTE(UC!C183,"Old","New")</f>
        <v/>
      </c>
      <c r="D183" s="12"/>
      <c r="E183" s="13" t="str">
        <f t="shared" si="53"/>
        <v>COMFOI</v>
      </c>
      <c r="F183" s="13" t="str">
        <f t="shared" si="53"/>
        <v>COMOFFNewSHEUE</v>
      </c>
      <c r="G183" s="13" t="str">
        <f t="shared" si="53"/>
        <v>COMOFFNewSHEUE</v>
      </c>
      <c r="H183" s="14">
        <v>2030</v>
      </c>
      <c r="I183" s="14" t="str">
        <f>I182</f>
        <v>LO</v>
      </c>
      <c r="J183" s="14"/>
      <c r="K183" s="15">
        <f>UC!K183</f>
        <v>-1.1200000000000002E-2</v>
      </c>
      <c r="L183" s="14"/>
      <c r="M183" s="14"/>
      <c r="N183" s="10"/>
      <c r="O183" s="20"/>
      <c r="Q183" s="11" t="str">
        <f>SUBSTITUTE(UC!Q183,"Old","New")</f>
        <v/>
      </c>
      <c r="R183" s="12"/>
      <c r="S183" s="13" t="str">
        <f t="shared" si="39"/>
        <v>COMFOI</v>
      </c>
      <c r="T183" s="13" t="str">
        <f t="shared" si="40"/>
        <v>COMOFFNewSHEUE</v>
      </c>
      <c r="U183" s="13" t="str">
        <f t="shared" si="41"/>
        <v>COMOFFNewSHEUE</v>
      </c>
      <c r="V183" s="14">
        <v>2030</v>
      </c>
      <c r="W183" s="14" t="str">
        <f>W182</f>
        <v>UP</v>
      </c>
      <c r="X183" s="14"/>
      <c r="Y183" s="15">
        <f>UC!Y183</f>
        <v>-8.5000000000000006E-2</v>
      </c>
      <c r="Z183" s="14"/>
      <c r="AA183" s="14"/>
      <c r="AB183" s="10"/>
      <c r="AC183" s="20"/>
    </row>
    <row r="184" spans="1:29" x14ac:dyDescent="0.25">
      <c r="A184" s="26">
        <f>A183</f>
        <v>45</v>
      </c>
      <c r="B184" s="26"/>
      <c r="C184" s="21" t="str">
        <f>SUBSTITUTE(UC!C184,"Old","New")</f>
        <v/>
      </c>
      <c r="D184" s="22"/>
      <c r="E184" s="23" t="str">
        <f t="shared" si="53"/>
        <v>COMFOI</v>
      </c>
      <c r="F184" s="23" t="str">
        <f t="shared" si="53"/>
        <v>COMOFFNewSHEUE</v>
      </c>
      <c r="G184" s="23" t="str">
        <f t="shared" si="53"/>
        <v>COMOFFNewSHEUE</v>
      </c>
      <c r="H184" s="24">
        <v>2050</v>
      </c>
      <c r="I184" s="24" t="str">
        <f>I183</f>
        <v>LO</v>
      </c>
      <c r="J184" s="24"/>
      <c r="K184" s="25">
        <f>UC!K184</f>
        <v>0</v>
      </c>
      <c r="L184" s="24"/>
      <c r="M184" s="24"/>
      <c r="N184" s="26"/>
      <c r="O184" s="27"/>
      <c r="Q184" s="21" t="str">
        <f>SUBSTITUTE(UC!Q184,"Old","New")</f>
        <v/>
      </c>
      <c r="R184" s="22"/>
      <c r="S184" s="23" t="str">
        <f t="shared" si="39"/>
        <v>COMFOI</v>
      </c>
      <c r="T184" s="23" t="str">
        <f t="shared" si="40"/>
        <v>COMOFFNewSHEUE</v>
      </c>
      <c r="U184" s="23" t="str">
        <f t="shared" si="41"/>
        <v>COMOFFNewSHEUE</v>
      </c>
      <c r="V184" s="24">
        <v>2050</v>
      </c>
      <c r="W184" s="24" t="str">
        <f>W183</f>
        <v>UP</v>
      </c>
      <c r="X184" s="24"/>
      <c r="Y184" s="25">
        <f>UC!Y184</f>
        <v>-0.17</v>
      </c>
      <c r="Z184" s="24"/>
      <c r="AA184" s="24"/>
      <c r="AB184" s="26"/>
      <c r="AC184" s="27"/>
    </row>
    <row r="185" spans="1:29" x14ac:dyDescent="0.25">
      <c r="A185" s="19">
        <f>A181+1</f>
        <v>46</v>
      </c>
      <c r="B185" s="10"/>
      <c r="C185" s="11" t="str">
        <f>SUBSTITUTE(UC!C185,"Old","New")</f>
        <v>*</v>
      </c>
      <c r="D185" s="12"/>
      <c r="E185" s="13" t="str">
        <f>_xlfn.XLOOKUP($A185,Selected_constraint_UC!$A:$A,Selected_constraint_UC!$B:$B)</f>
        <v>COMLPG</v>
      </c>
      <c r="F185" s="13" t="str">
        <f>SUBSTITUTE(_xlfn.XLOOKUP($A185,Selected_constraint_UC!$A:$A,Selected_constraint_UC!$C:$C),"Old","New")</f>
        <v>COMOFFNewSHEUE</v>
      </c>
      <c r="G185" s="13" t="str">
        <f>F185</f>
        <v>COMOFFNewSHEUE</v>
      </c>
      <c r="H185" s="14">
        <v>2019</v>
      </c>
      <c r="I185" s="14" t="s">
        <v>3848</v>
      </c>
      <c r="J185" s="14">
        <v>1</v>
      </c>
      <c r="K185" s="15">
        <f>UC!K185</f>
        <v>0</v>
      </c>
      <c r="L185" s="14">
        <v>0</v>
      </c>
      <c r="M185" s="14">
        <v>5</v>
      </c>
      <c r="N185" s="10"/>
      <c r="O185" s="20"/>
      <c r="Q185" s="11" t="str">
        <f>SUBSTITUTE(UC!Q185,"Old","New")</f>
        <v>*</v>
      </c>
      <c r="R185" s="12"/>
      <c r="S185" s="13" t="str">
        <f t="shared" si="39"/>
        <v>COMLPG</v>
      </c>
      <c r="T185" s="13" t="str">
        <f t="shared" si="40"/>
        <v>COMOFFNewSHEUE</v>
      </c>
      <c r="U185" s="13" t="str">
        <f t="shared" si="41"/>
        <v>COMOFFNewSHEUE</v>
      </c>
      <c r="V185" s="14">
        <f>H185</f>
        <v>2019</v>
      </c>
      <c r="W185" s="29" t="s">
        <v>3849</v>
      </c>
      <c r="X185" s="14">
        <v>1</v>
      </c>
      <c r="Y185" s="15">
        <f>UC!Y185</f>
        <v>0</v>
      </c>
      <c r="Z185" s="14">
        <v>0</v>
      </c>
      <c r="AA185" s="14">
        <v>5</v>
      </c>
      <c r="AB185" s="10"/>
      <c r="AC185" s="20"/>
    </row>
    <row r="186" spans="1:29" x14ac:dyDescent="0.25">
      <c r="A186" s="10">
        <f>A185</f>
        <v>46</v>
      </c>
      <c r="B186" s="10"/>
      <c r="C186" s="11" t="str">
        <f>SUBSTITUTE(UC!C186,"Old","New")</f>
        <v>*</v>
      </c>
      <c r="D186" s="12"/>
      <c r="E186" s="13" t="str">
        <f t="shared" ref="E186:G188" si="54">E185</f>
        <v>COMLPG</v>
      </c>
      <c r="F186" s="13" t="str">
        <f t="shared" si="54"/>
        <v>COMOFFNewSHEUE</v>
      </c>
      <c r="G186" s="13" t="str">
        <f t="shared" si="54"/>
        <v>COMOFFNewSHEUE</v>
      </c>
      <c r="H186" s="14">
        <v>2025</v>
      </c>
      <c r="I186" s="14" t="str">
        <f>I185</f>
        <v>LO</v>
      </c>
      <c r="J186" s="14"/>
      <c r="K186" s="15">
        <f>UC!K186</f>
        <v>0</v>
      </c>
      <c r="L186" s="14"/>
      <c r="M186" s="14"/>
      <c r="N186" s="10"/>
      <c r="O186" s="20"/>
      <c r="Q186" s="11" t="str">
        <f>SUBSTITUTE(UC!Q186,"Old","New")</f>
        <v>*</v>
      </c>
      <c r="R186" s="12"/>
      <c r="S186" s="13" t="str">
        <f t="shared" si="39"/>
        <v>COMLPG</v>
      </c>
      <c r="T186" s="13" t="str">
        <f t="shared" si="40"/>
        <v>COMOFFNewSHEUE</v>
      </c>
      <c r="U186" s="13" t="str">
        <f t="shared" si="41"/>
        <v>COMOFFNewSHEUE</v>
      </c>
      <c r="V186" s="14">
        <v>2025</v>
      </c>
      <c r="W186" s="14" t="str">
        <f>W185</f>
        <v>UP</v>
      </c>
      <c r="X186" s="14"/>
      <c r="Y186" s="15">
        <f>UC!Y186</f>
        <v>0</v>
      </c>
      <c r="Z186" s="14"/>
      <c r="AA186" s="14"/>
      <c r="AB186" s="10"/>
      <c r="AC186" s="20"/>
    </row>
    <row r="187" spans="1:29" x14ac:dyDescent="0.25">
      <c r="A187" s="10">
        <f>A186</f>
        <v>46</v>
      </c>
      <c r="B187" s="10"/>
      <c r="C187" s="11" t="str">
        <f>SUBSTITUTE(UC!C187,"Old","New")</f>
        <v>*</v>
      </c>
      <c r="D187" s="12"/>
      <c r="E187" s="13" t="str">
        <f t="shared" si="54"/>
        <v>COMLPG</v>
      </c>
      <c r="F187" s="13" t="str">
        <f t="shared" si="54"/>
        <v>COMOFFNewSHEUE</v>
      </c>
      <c r="G187" s="13" t="str">
        <f t="shared" si="54"/>
        <v>COMOFFNewSHEUE</v>
      </c>
      <c r="H187" s="14">
        <v>2030</v>
      </c>
      <c r="I187" s="14" t="str">
        <f>I186</f>
        <v>LO</v>
      </c>
      <c r="J187" s="14"/>
      <c r="K187" s="15">
        <f>UC!K187</f>
        <v>0</v>
      </c>
      <c r="L187" s="14"/>
      <c r="M187" s="14"/>
      <c r="N187" s="10"/>
      <c r="O187" s="20"/>
      <c r="Q187" s="11" t="str">
        <f>SUBSTITUTE(UC!Q187,"Old","New")</f>
        <v>*</v>
      </c>
      <c r="R187" s="12"/>
      <c r="S187" s="13" t="str">
        <f t="shared" si="39"/>
        <v>COMLPG</v>
      </c>
      <c r="T187" s="13" t="str">
        <f t="shared" si="40"/>
        <v>COMOFFNewSHEUE</v>
      </c>
      <c r="U187" s="13" t="str">
        <f t="shared" si="41"/>
        <v>COMOFFNewSHEUE</v>
      </c>
      <c r="V187" s="14">
        <v>2030</v>
      </c>
      <c r="W187" s="14" t="str">
        <f>W186</f>
        <v>UP</v>
      </c>
      <c r="X187" s="14"/>
      <c r="Y187" s="15">
        <f>UC!Y187</f>
        <v>0</v>
      </c>
      <c r="Z187" s="14"/>
      <c r="AA187" s="14"/>
      <c r="AB187" s="10"/>
      <c r="AC187" s="20"/>
    </row>
    <row r="188" spans="1:29" x14ac:dyDescent="0.25">
      <c r="A188" s="26">
        <f>A187</f>
        <v>46</v>
      </c>
      <c r="B188" s="26"/>
      <c r="C188" s="21" t="str">
        <f>SUBSTITUTE(UC!C188,"Old","New")</f>
        <v>*</v>
      </c>
      <c r="D188" s="22"/>
      <c r="E188" s="23" t="str">
        <f t="shared" si="54"/>
        <v>COMLPG</v>
      </c>
      <c r="F188" s="23" t="str">
        <f t="shared" si="54"/>
        <v>COMOFFNewSHEUE</v>
      </c>
      <c r="G188" s="23" t="str">
        <f t="shared" si="54"/>
        <v>COMOFFNewSHEUE</v>
      </c>
      <c r="H188" s="24">
        <v>2050</v>
      </c>
      <c r="I188" s="24" t="str">
        <f>I187</f>
        <v>LO</v>
      </c>
      <c r="J188" s="24"/>
      <c r="K188" s="25">
        <f>UC!K188</f>
        <v>0</v>
      </c>
      <c r="L188" s="24"/>
      <c r="M188" s="24"/>
      <c r="N188" s="26"/>
      <c r="O188" s="27"/>
      <c r="Q188" s="21" t="str">
        <f>SUBSTITUTE(UC!Q188,"Old","New")</f>
        <v>*</v>
      </c>
      <c r="R188" s="22"/>
      <c r="S188" s="23" t="str">
        <f t="shared" si="39"/>
        <v>COMLPG</v>
      </c>
      <c r="T188" s="23" t="str">
        <f t="shared" si="40"/>
        <v>COMOFFNewSHEUE</v>
      </c>
      <c r="U188" s="23" t="str">
        <f t="shared" si="41"/>
        <v>COMOFFNewSHEUE</v>
      </c>
      <c r="V188" s="24">
        <v>2050</v>
      </c>
      <c r="W188" s="24" t="str">
        <f>W187</f>
        <v>UP</v>
      </c>
      <c r="X188" s="24"/>
      <c r="Y188" s="25">
        <f>UC!Y188</f>
        <v>0</v>
      </c>
      <c r="Z188" s="24"/>
      <c r="AA188" s="24"/>
      <c r="AB188" s="26"/>
      <c r="AC188" s="27"/>
    </row>
    <row r="189" spans="1:29" x14ac:dyDescent="0.25">
      <c r="A189" s="19">
        <f>A185+1</f>
        <v>47</v>
      </c>
      <c r="B189" s="10"/>
      <c r="C189" s="11" t="str">
        <f>SUBSTITUTE(UC!C189,"Old","New")</f>
        <v>*</v>
      </c>
      <c r="D189" s="12"/>
      <c r="E189" s="13" t="str">
        <f>_xlfn.XLOOKUP($A189,Selected_constraint_UC!$A:$A,Selected_constraint_UC!$B:$B)</f>
        <v>COMSTM</v>
      </c>
      <c r="F189" s="13" t="str">
        <f>SUBSTITUTE(_xlfn.XLOOKUP($A189,Selected_constraint_UC!$A:$A,Selected_constraint_UC!$C:$C),"Old","New")</f>
        <v>COMOFFNewSHEUE</v>
      </c>
      <c r="G189" s="13" t="str">
        <f>F189</f>
        <v>COMOFFNewSHEUE</v>
      </c>
      <c r="H189" s="14">
        <v>2019</v>
      </c>
      <c r="I189" s="14" t="s">
        <v>3848</v>
      </c>
      <c r="J189" s="14">
        <v>1</v>
      </c>
      <c r="K189" s="15">
        <f>UC!K189</f>
        <v>-1.9599999999999999E-2</v>
      </c>
      <c r="L189" s="14">
        <v>0</v>
      </c>
      <c r="M189" s="14">
        <v>5</v>
      </c>
      <c r="N189" s="10"/>
      <c r="O189" s="20"/>
      <c r="Q189" s="11" t="str">
        <f>SUBSTITUTE(UC!Q189,"Old","New")</f>
        <v>*</v>
      </c>
      <c r="R189" s="12"/>
      <c r="S189" s="13" t="str">
        <f t="shared" si="39"/>
        <v>COMSTM</v>
      </c>
      <c r="T189" s="13" t="str">
        <f t="shared" si="40"/>
        <v>COMOFFNewSHEUE</v>
      </c>
      <c r="U189" s="13" t="str">
        <f t="shared" si="41"/>
        <v>COMOFFNewSHEUE</v>
      </c>
      <c r="V189" s="14">
        <f>H189</f>
        <v>2019</v>
      </c>
      <c r="W189" s="29" t="s">
        <v>3849</v>
      </c>
      <c r="X189" s="14">
        <v>1</v>
      </c>
      <c r="Y189" s="15">
        <f>UC!Y189</f>
        <v>-2.1000000000000001E-2</v>
      </c>
      <c r="Z189" s="14">
        <v>0</v>
      </c>
      <c r="AA189" s="14">
        <v>5</v>
      </c>
      <c r="AB189" s="10"/>
      <c r="AC189" s="20"/>
    </row>
    <row r="190" spans="1:29" x14ac:dyDescent="0.25">
      <c r="A190" s="10">
        <f>A189</f>
        <v>47</v>
      </c>
      <c r="B190" s="10"/>
      <c r="C190" s="11" t="str">
        <f>SUBSTITUTE(UC!C190,"Old","New")</f>
        <v>*</v>
      </c>
      <c r="D190" s="12"/>
      <c r="E190" s="13" t="str">
        <f t="shared" ref="E190:G192" si="55">E189</f>
        <v>COMSTM</v>
      </c>
      <c r="F190" s="13" t="str">
        <f t="shared" si="55"/>
        <v>COMOFFNewSHEUE</v>
      </c>
      <c r="G190" s="13" t="str">
        <f t="shared" si="55"/>
        <v>COMOFFNewSHEUE</v>
      </c>
      <c r="H190" s="14">
        <v>2025</v>
      </c>
      <c r="I190" s="14" t="str">
        <f>I189</f>
        <v>LO</v>
      </c>
      <c r="J190" s="14"/>
      <c r="K190" s="15">
        <f>UC!K190</f>
        <v>-1.6E-2</v>
      </c>
      <c r="L190" s="14"/>
      <c r="M190" s="14"/>
      <c r="N190" s="10"/>
      <c r="O190" s="20"/>
      <c r="Q190" s="11" t="str">
        <f>SUBSTITUTE(UC!Q190,"Old","New")</f>
        <v>*</v>
      </c>
      <c r="R190" s="12"/>
      <c r="S190" s="13" t="str">
        <f t="shared" si="39"/>
        <v>COMSTM</v>
      </c>
      <c r="T190" s="13" t="str">
        <f t="shared" si="40"/>
        <v>COMOFFNewSHEUE</v>
      </c>
      <c r="U190" s="13" t="str">
        <f t="shared" si="41"/>
        <v>COMOFFNewSHEUE</v>
      </c>
      <c r="V190" s="14">
        <v>2025</v>
      </c>
      <c r="W190" s="14" t="str">
        <f>W189</f>
        <v>UP</v>
      </c>
      <c r="X190" s="14"/>
      <c r="Y190" s="15">
        <f>UC!Y190</f>
        <v>-2.5000000000000001E-2</v>
      </c>
      <c r="Z190" s="14"/>
      <c r="AA190" s="14"/>
      <c r="AB190" s="10"/>
      <c r="AC190" s="20"/>
    </row>
    <row r="191" spans="1:29" x14ac:dyDescent="0.25">
      <c r="A191" s="10">
        <f>A190</f>
        <v>47</v>
      </c>
      <c r="B191" s="10"/>
      <c r="C191" s="11" t="str">
        <f>SUBSTITUTE(UC!C191,"Old","New")</f>
        <v>*</v>
      </c>
      <c r="D191" s="12"/>
      <c r="E191" s="13" t="str">
        <f t="shared" si="55"/>
        <v>COMSTM</v>
      </c>
      <c r="F191" s="13" t="str">
        <f t="shared" si="55"/>
        <v>COMOFFNewSHEUE</v>
      </c>
      <c r="G191" s="13" t="str">
        <f t="shared" si="55"/>
        <v>COMOFFNewSHEUE</v>
      </c>
      <c r="H191" s="14">
        <v>2030</v>
      </c>
      <c r="I191" s="14" t="str">
        <f>I190</f>
        <v>LO</v>
      </c>
      <c r="J191" s="14"/>
      <c r="K191" s="15">
        <f>UC!K191</f>
        <v>-4.0000000000000001E-3</v>
      </c>
      <c r="L191" s="14"/>
      <c r="M191" s="14"/>
      <c r="N191" s="10"/>
      <c r="O191" s="20"/>
      <c r="Q191" s="11" t="str">
        <f>SUBSTITUTE(UC!Q191,"Old","New")</f>
        <v>*</v>
      </c>
      <c r="R191" s="12"/>
      <c r="S191" s="13" t="str">
        <f t="shared" si="39"/>
        <v>COMSTM</v>
      </c>
      <c r="T191" s="13" t="str">
        <f t="shared" si="40"/>
        <v>COMOFFNewSHEUE</v>
      </c>
      <c r="U191" s="13" t="str">
        <f t="shared" si="41"/>
        <v>COMOFFNewSHEUE</v>
      </c>
      <c r="V191" s="14">
        <v>2030</v>
      </c>
      <c r="W191" s="14" t="str">
        <f>W190</f>
        <v>UP</v>
      </c>
      <c r="X191" s="14"/>
      <c r="Y191" s="15">
        <f>UC!Y191</f>
        <v>-3.1E-2</v>
      </c>
      <c r="Z191" s="14"/>
      <c r="AA191" s="14"/>
      <c r="AB191" s="10"/>
      <c r="AC191" s="20"/>
    </row>
    <row r="192" spans="1:29" x14ac:dyDescent="0.25">
      <c r="A192" s="26">
        <f>A191</f>
        <v>47</v>
      </c>
      <c r="B192" s="26"/>
      <c r="C192" s="21" t="str">
        <f>SUBSTITUTE(UC!C192,"Old","New")</f>
        <v>*</v>
      </c>
      <c r="D192" s="22"/>
      <c r="E192" s="23" t="str">
        <f t="shared" si="55"/>
        <v>COMSTM</v>
      </c>
      <c r="F192" s="23" t="str">
        <f t="shared" si="55"/>
        <v>COMOFFNewSHEUE</v>
      </c>
      <c r="G192" s="23" t="str">
        <f t="shared" si="55"/>
        <v>COMOFFNewSHEUE</v>
      </c>
      <c r="H192" s="24">
        <v>2050</v>
      </c>
      <c r="I192" s="24" t="str">
        <f>I191</f>
        <v>LO</v>
      </c>
      <c r="J192" s="24"/>
      <c r="K192" s="25">
        <f>UC!K192</f>
        <v>0</v>
      </c>
      <c r="L192" s="24"/>
      <c r="M192" s="24"/>
      <c r="N192" s="26"/>
      <c r="O192" s="27"/>
      <c r="Q192" s="21" t="str">
        <f>SUBSTITUTE(UC!Q192,"Old","New")</f>
        <v>*</v>
      </c>
      <c r="R192" s="22"/>
      <c r="S192" s="23" t="str">
        <f t="shared" si="39"/>
        <v>COMSTM</v>
      </c>
      <c r="T192" s="23" t="str">
        <f t="shared" si="40"/>
        <v>COMOFFNewSHEUE</v>
      </c>
      <c r="U192" s="23" t="str">
        <f t="shared" si="41"/>
        <v>COMOFFNewSHEUE</v>
      </c>
      <c r="V192" s="24">
        <v>2050</v>
      </c>
      <c r="W192" s="24" t="str">
        <f>W191</f>
        <v>UP</v>
      </c>
      <c r="X192" s="24"/>
      <c r="Y192" s="25">
        <f>UC!Y192</f>
        <v>-6.2E-2</v>
      </c>
      <c r="Z192" s="24"/>
      <c r="AA192" s="24"/>
      <c r="AB192" s="26"/>
      <c r="AC192" s="27"/>
    </row>
    <row r="193" spans="1:29" x14ac:dyDescent="0.25">
      <c r="A193" s="19">
        <f>A189+1</f>
        <v>48</v>
      </c>
      <c r="B193" s="10"/>
      <c r="C193" s="11" t="str">
        <f>SUBSTITUTE(UC!C193,"Old","New")</f>
        <v>UC_MarketShare_COMOFFNewSC_ELC_MIN</v>
      </c>
      <c r="D193" s="12"/>
      <c r="E193" s="13" t="str">
        <f>_xlfn.XLOOKUP($A193,Selected_constraint_UC!$A:$A,Selected_constraint_UC!$B:$B)</f>
        <v>COMELC</v>
      </c>
      <c r="F193" s="13" t="str">
        <f>SUBSTITUTE(_xlfn.XLOOKUP($A193,Selected_constraint_UC!$A:$A,Selected_constraint_UC!$C:$C),"Old","New")</f>
        <v>COMOFFNewSCEUE</v>
      </c>
      <c r="G193" s="13" t="str">
        <f>F193</f>
        <v>COMOFFNewSCEUE</v>
      </c>
      <c r="H193" s="14">
        <v>2019</v>
      </c>
      <c r="I193" s="14" t="s">
        <v>3848</v>
      </c>
      <c r="J193" s="14">
        <v>1</v>
      </c>
      <c r="K193" s="15">
        <f>UC!K193</f>
        <v>-0.98</v>
      </c>
      <c r="L193" s="14">
        <v>0</v>
      </c>
      <c r="M193" s="14">
        <v>5</v>
      </c>
      <c r="N193" s="10"/>
      <c r="O193" s="20"/>
      <c r="Q193" s="11" t="str">
        <f>SUBSTITUTE(UC!Q193,"Old","New")</f>
        <v>UC_MarketShare_COMOFFNewSC_ELC_MAX</v>
      </c>
      <c r="R193" s="12"/>
      <c r="S193" s="13" t="str">
        <f t="shared" si="39"/>
        <v>COMELC</v>
      </c>
      <c r="T193" s="13" t="str">
        <f t="shared" si="40"/>
        <v>COMOFFNewSCEUE</v>
      </c>
      <c r="U193" s="13" t="str">
        <f t="shared" si="41"/>
        <v>COMOFFNewSCEUE</v>
      </c>
      <c r="V193" s="14">
        <f>H193</f>
        <v>2019</v>
      </c>
      <c r="W193" s="29" t="s">
        <v>3849</v>
      </c>
      <c r="X193" s="14">
        <v>1</v>
      </c>
      <c r="Y193" s="15">
        <f>UC!Y193</f>
        <v>-1</v>
      </c>
      <c r="Z193" s="14">
        <v>0</v>
      </c>
      <c r="AA193" s="14">
        <v>5</v>
      </c>
      <c r="AB193" s="10"/>
      <c r="AC193" s="20"/>
    </row>
    <row r="194" spans="1:29" x14ac:dyDescent="0.25">
      <c r="A194" s="10">
        <f>A193</f>
        <v>48</v>
      </c>
      <c r="B194" s="10"/>
      <c r="C194" s="11" t="str">
        <f>SUBSTITUTE(UC!C194,"Old","New")</f>
        <v/>
      </c>
      <c r="D194" s="12"/>
      <c r="E194" s="13" t="str">
        <f t="shared" ref="E194:G196" si="56">E193</f>
        <v>COMELC</v>
      </c>
      <c r="F194" s="13" t="str">
        <f t="shared" si="56"/>
        <v>COMOFFNewSCEUE</v>
      </c>
      <c r="G194" s="13" t="str">
        <f t="shared" si="56"/>
        <v>COMOFFNewSCEUE</v>
      </c>
      <c r="H194" s="14">
        <v>2025</v>
      </c>
      <c r="I194" s="14" t="str">
        <f>I193</f>
        <v>LO</v>
      </c>
      <c r="J194" s="14"/>
      <c r="K194" s="15">
        <f>UC!K194</f>
        <v>-0.8</v>
      </c>
      <c r="L194" s="14"/>
      <c r="M194" s="14"/>
      <c r="N194" s="10"/>
      <c r="O194" s="20"/>
      <c r="Q194" s="11" t="str">
        <f>SUBSTITUTE(UC!Q194,"Old","New")</f>
        <v/>
      </c>
      <c r="R194" s="12"/>
      <c r="S194" s="13" t="str">
        <f t="shared" si="39"/>
        <v>COMELC</v>
      </c>
      <c r="T194" s="13" t="str">
        <f t="shared" si="40"/>
        <v>COMOFFNewSCEUE</v>
      </c>
      <c r="U194" s="13" t="str">
        <f t="shared" si="41"/>
        <v>COMOFFNewSCEUE</v>
      </c>
      <c r="V194" s="14">
        <v>2025</v>
      </c>
      <c r="W194" s="14" t="str">
        <f>W193</f>
        <v>UP</v>
      </c>
      <c r="X194" s="14"/>
      <c r="Y194" s="15">
        <f>UC!Y194</f>
        <v>-1</v>
      </c>
      <c r="Z194" s="14"/>
      <c r="AA194" s="14"/>
      <c r="AB194" s="10"/>
      <c r="AC194" s="20"/>
    </row>
    <row r="195" spans="1:29" x14ac:dyDescent="0.25">
      <c r="A195" s="10">
        <f>A194</f>
        <v>48</v>
      </c>
      <c r="B195" s="10"/>
      <c r="C195" s="11" t="str">
        <f>SUBSTITUTE(UC!C195,"Old","New")</f>
        <v/>
      </c>
      <c r="D195" s="12"/>
      <c r="E195" s="13" t="str">
        <f t="shared" si="56"/>
        <v>COMELC</v>
      </c>
      <c r="F195" s="13" t="str">
        <f t="shared" si="56"/>
        <v>COMOFFNewSCEUE</v>
      </c>
      <c r="G195" s="13" t="str">
        <f t="shared" si="56"/>
        <v>COMOFFNewSCEUE</v>
      </c>
      <c r="H195" s="14">
        <v>2030</v>
      </c>
      <c r="I195" s="14" t="str">
        <f>I194</f>
        <v>LO</v>
      </c>
      <c r="J195" s="14"/>
      <c r="K195" s="15">
        <f>UC!K195</f>
        <v>-0.75</v>
      </c>
      <c r="L195" s="14"/>
      <c r="M195" s="14"/>
      <c r="N195" s="10"/>
      <c r="O195" s="20"/>
      <c r="Q195" s="11" t="str">
        <f>SUBSTITUTE(UC!Q195,"Old","New")</f>
        <v/>
      </c>
      <c r="R195" s="12"/>
      <c r="S195" s="13" t="str">
        <f t="shared" si="39"/>
        <v>COMELC</v>
      </c>
      <c r="T195" s="13" t="str">
        <f t="shared" si="40"/>
        <v>COMOFFNewSCEUE</v>
      </c>
      <c r="U195" s="13" t="str">
        <f t="shared" si="41"/>
        <v>COMOFFNewSCEUE</v>
      </c>
      <c r="V195" s="14">
        <v>2030</v>
      </c>
      <c r="W195" s="14" t="str">
        <f>W194</f>
        <v>UP</v>
      </c>
      <c r="X195" s="14"/>
      <c r="Y195" s="15">
        <f>UC!Y195</f>
        <v>-1</v>
      </c>
      <c r="Z195" s="14"/>
      <c r="AA195" s="14"/>
      <c r="AB195" s="10"/>
      <c r="AC195" s="20"/>
    </row>
    <row r="196" spans="1:29" x14ac:dyDescent="0.25">
      <c r="A196" s="26">
        <f>A195</f>
        <v>48</v>
      </c>
      <c r="B196" s="26"/>
      <c r="C196" s="21" t="str">
        <f>SUBSTITUTE(UC!C196,"Old","New")</f>
        <v/>
      </c>
      <c r="D196" s="22"/>
      <c r="E196" s="23" t="str">
        <f t="shared" si="56"/>
        <v>COMELC</v>
      </c>
      <c r="F196" s="23" t="str">
        <f t="shared" si="56"/>
        <v>COMOFFNewSCEUE</v>
      </c>
      <c r="G196" s="23" t="str">
        <f t="shared" si="56"/>
        <v>COMOFFNewSCEUE</v>
      </c>
      <c r="H196" s="24">
        <v>2050</v>
      </c>
      <c r="I196" s="24" t="str">
        <f>I195</f>
        <v>LO</v>
      </c>
      <c r="J196" s="24"/>
      <c r="K196" s="25">
        <f>UC!K196</f>
        <v>-0.75</v>
      </c>
      <c r="L196" s="24"/>
      <c r="M196" s="24"/>
      <c r="N196" s="26"/>
      <c r="O196" s="27"/>
      <c r="Q196" s="21" t="str">
        <f>SUBSTITUTE(UC!Q196,"Old","New")</f>
        <v/>
      </c>
      <c r="R196" s="22"/>
      <c r="S196" s="23" t="str">
        <f t="shared" si="39"/>
        <v>COMELC</v>
      </c>
      <c r="T196" s="23" t="str">
        <f t="shared" si="40"/>
        <v>COMOFFNewSCEUE</v>
      </c>
      <c r="U196" s="23" t="str">
        <f t="shared" si="41"/>
        <v>COMOFFNewSCEUE</v>
      </c>
      <c r="V196" s="24">
        <v>2050</v>
      </c>
      <c r="W196" s="24" t="str">
        <f>W195</f>
        <v>UP</v>
      </c>
      <c r="X196" s="24"/>
      <c r="Y196" s="25">
        <f>UC!Y196</f>
        <v>-1</v>
      </c>
      <c r="Z196" s="24"/>
      <c r="AA196" s="24"/>
      <c r="AB196" s="26"/>
      <c r="AC196" s="27"/>
    </row>
    <row r="197" spans="1:29" x14ac:dyDescent="0.25">
      <c r="A197" s="19">
        <f>A193+1</f>
        <v>49</v>
      </c>
      <c r="B197" s="10"/>
      <c r="C197" s="11" t="str">
        <f>SUBSTITUTE(UC!C197,"Old","New")</f>
        <v>*</v>
      </c>
      <c r="D197" s="12"/>
      <c r="E197" s="13" t="str">
        <f>_xlfn.XLOOKUP($A197,Selected_constraint_UC!$A:$A,Selected_constraint_UC!$B:$B)</f>
        <v>COMELC</v>
      </c>
      <c r="F197" s="13" t="str">
        <f>SUBSTITUTE(_xlfn.XLOOKUP($A197,Selected_constraint_UC!$A:$A,Selected_constraint_UC!$C:$C),"Old","New")</f>
        <v>COMOFFNewVTEUE</v>
      </c>
      <c r="G197" s="13" t="str">
        <f>F197</f>
        <v>COMOFFNewVTEUE</v>
      </c>
      <c r="H197" s="14">
        <v>2019</v>
      </c>
      <c r="I197" s="14" t="s">
        <v>3848</v>
      </c>
      <c r="J197" s="14">
        <v>1</v>
      </c>
      <c r="K197" s="15">
        <f>UC!K197</f>
        <v>-0.98</v>
      </c>
      <c r="L197" s="14">
        <v>0</v>
      </c>
      <c r="M197" s="14">
        <v>5</v>
      </c>
      <c r="N197" s="10"/>
      <c r="O197" s="20"/>
      <c r="Q197" s="11" t="str">
        <f>SUBSTITUTE(UC!Q197,"Old","New")</f>
        <v>*</v>
      </c>
      <c r="R197" s="12"/>
      <c r="S197" s="13" t="str">
        <f t="shared" si="39"/>
        <v>COMELC</v>
      </c>
      <c r="T197" s="13" t="str">
        <f t="shared" si="40"/>
        <v>COMOFFNewVTEUE</v>
      </c>
      <c r="U197" s="13" t="str">
        <f t="shared" si="41"/>
        <v>COMOFFNewVTEUE</v>
      </c>
      <c r="V197" s="14">
        <f>H197</f>
        <v>2019</v>
      </c>
      <c r="W197" s="29" t="s">
        <v>3849</v>
      </c>
      <c r="X197" s="14">
        <v>1</v>
      </c>
      <c r="Y197" s="15">
        <f>UC!Y197</f>
        <v>-1</v>
      </c>
      <c r="Z197" s="14">
        <v>0</v>
      </c>
      <c r="AA197" s="14">
        <v>5</v>
      </c>
      <c r="AB197" s="10"/>
      <c r="AC197" s="20"/>
    </row>
    <row r="198" spans="1:29" x14ac:dyDescent="0.25">
      <c r="A198" s="10">
        <f>A197</f>
        <v>49</v>
      </c>
      <c r="B198" s="10"/>
      <c r="C198" s="11" t="str">
        <f>SUBSTITUTE(UC!C198,"Old","New")</f>
        <v>*</v>
      </c>
      <c r="D198" s="12"/>
      <c r="E198" s="13" t="str">
        <f t="shared" ref="E198:G200" si="57">E197</f>
        <v>COMELC</v>
      </c>
      <c r="F198" s="13" t="str">
        <f t="shared" si="57"/>
        <v>COMOFFNewVTEUE</v>
      </c>
      <c r="G198" s="13" t="str">
        <f t="shared" si="57"/>
        <v>COMOFFNewVTEUE</v>
      </c>
      <c r="H198" s="14">
        <v>2025</v>
      </c>
      <c r="I198" s="14" t="str">
        <f>I197</f>
        <v>LO</v>
      </c>
      <c r="J198" s="14"/>
      <c r="K198" s="15">
        <f>UC!K198</f>
        <v>-0.8</v>
      </c>
      <c r="L198" s="14"/>
      <c r="M198" s="14"/>
      <c r="N198" s="10"/>
      <c r="O198" s="20"/>
      <c r="Q198" s="11" t="str">
        <f>SUBSTITUTE(UC!Q198,"Old","New")</f>
        <v>*</v>
      </c>
      <c r="R198" s="12"/>
      <c r="S198" s="13" t="str">
        <f t="shared" ref="S198:S261" si="58">E198</f>
        <v>COMELC</v>
      </c>
      <c r="T198" s="13" t="str">
        <f t="shared" ref="T198:T261" si="59">F198</f>
        <v>COMOFFNewVTEUE</v>
      </c>
      <c r="U198" s="13" t="str">
        <f t="shared" ref="U198:U261" si="60">G198</f>
        <v>COMOFFNewVTEUE</v>
      </c>
      <c r="V198" s="14">
        <v>2025</v>
      </c>
      <c r="W198" s="14" t="str">
        <f>W197</f>
        <v>UP</v>
      </c>
      <c r="X198" s="14"/>
      <c r="Y198" s="15">
        <f>UC!Y198</f>
        <v>-1</v>
      </c>
      <c r="Z198" s="14"/>
      <c r="AA198" s="14"/>
      <c r="AB198" s="10"/>
      <c r="AC198" s="20"/>
    </row>
    <row r="199" spans="1:29" x14ac:dyDescent="0.25">
      <c r="A199" s="10">
        <f>A198</f>
        <v>49</v>
      </c>
      <c r="B199" s="10"/>
      <c r="C199" s="11" t="str">
        <f>SUBSTITUTE(UC!C199,"Old","New")</f>
        <v>*</v>
      </c>
      <c r="D199" s="12"/>
      <c r="E199" s="13" t="str">
        <f t="shared" si="57"/>
        <v>COMELC</v>
      </c>
      <c r="F199" s="13" t="str">
        <f t="shared" si="57"/>
        <v>COMOFFNewVTEUE</v>
      </c>
      <c r="G199" s="13" t="str">
        <f t="shared" si="57"/>
        <v>COMOFFNewVTEUE</v>
      </c>
      <c r="H199" s="14">
        <v>2030</v>
      </c>
      <c r="I199" s="14" t="str">
        <f>I198</f>
        <v>LO</v>
      </c>
      <c r="J199" s="14"/>
      <c r="K199" s="15">
        <f>UC!K199</f>
        <v>-0.2</v>
      </c>
      <c r="L199" s="14"/>
      <c r="M199" s="14"/>
      <c r="N199" s="10"/>
      <c r="O199" s="20"/>
      <c r="Q199" s="11" t="str">
        <f>SUBSTITUTE(UC!Q199,"Old","New")</f>
        <v>*</v>
      </c>
      <c r="R199" s="12"/>
      <c r="S199" s="13" t="str">
        <f t="shared" si="58"/>
        <v>COMELC</v>
      </c>
      <c r="T199" s="13" t="str">
        <f t="shared" si="59"/>
        <v>COMOFFNewVTEUE</v>
      </c>
      <c r="U199" s="13" t="str">
        <f t="shared" si="60"/>
        <v>COMOFFNewVTEUE</v>
      </c>
      <c r="V199" s="14">
        <v>2030</v>
      </c>
      <c r="W199" s="14" t="str">
        <f>W198</f>
        <v>UP</v>
      </c>
      <c r="X199" s="14"/>
      <c r="Y199" s="15">
        <f>UC!Y199</f>
        <v>-1</v>
      </c>
      <c r="Z199" s="14"/>
      <c r="AA199" s="14"/>
      <c r="AB199" s="10"/>
      <c r="AC199" s="20"/>
    </row>
    <row r="200" spans="1:29" x14ac:dyDescent="0.25">
      <c r="A200" s="26">
        <f>A199</f>
        <v>49</v>
      </c>
      <c r="B200" s="26"/>
      <c r="C200" s="21" t="str">
        <f>SUBSTITUTE(UC!C200,"Old","New")</f>
        <v>*</v>
      </c>
      <c r="D200" s="22"/>
      <c r="E200" s="23" t="str">
        <f t="shared" si="57"/>
        <v>COMELC</v>
      </c>
      <c r="F200" s="23" t="str">
        <f t="shared" si="57"/>
        <v>COMOFFNewVTEUE</v>
      </c>
      <c r="G200" s="23" t="str">
        <f t="shared" si="57"/>
        <v>COMOFFNewVTEUE</v>
      </c>
      <c r="H200" s="24">
        <v>2050</v>
      </c>
      <c r="I200" s="24" t="str">
        <f>I199</f>
        <v>LO</v>
      </c>
      <c r="J200" s="24"/>
      <c r="K200" s="25">
        <f>UC!K200</f>
        <v>0</v>
      </c>
      <c r="L200" s="24"/>
      <c r="M200" s="24"/>
      <c r="N200" s="26"/>
      <c r="O200" s="27"/>
      <c r="Q200" s="21" t="str">
        <f>SUBSTITUTE(UC!Q200,"Old","New")</f>
        <v>*</v>
      </c>
      <c r="R200" s="22"/>
      <c r="S200" s="23" t="str">
        <f t="shared" si="58"/>
        <v>COMELC</v>
      </c>
      <c r="T200" s="23" t="str">
        <f t="shared" si="59"/>
        <v>COMOFFNewVTEUE</v>
      </c>
      <c r="U200" s="23" t="str">
        <f t="shared" si="60"/>
        <v>COMOFFNewVTEUE</v>
      </c>
      <c r="V200" s="24">
        <v>2050</v>
      </c>
      <c r="W200" s="24" t="str">
        <f>W199</f>
        <v>UP</v>
      </c>
      <c r="X200" s="24"/>
      <c r="Y200" s="25">
        <f>UC!Y200</f>
        <v>-1</v>
      </c>
      <c r="Z200" s="24"/>
      <c r="AA200" s="24"/>
      <c r="AB200" s="26"/>
      <c r="AC200" s="27"/>
    </row>
    <row r="201" spans="1:29" x14ac:dyDescent="0.25">
      <c r="A201" s="19">
        <f>A197+1</f>
        <v>50</v>
      </c>
      <c r="B201" s="10"/>
      <c r="C201" s="11" t="str">
        <f>SUBSTITUTE(UC!C201,"Old","New")</f>
        <v>UC_MarketShare_COMOFFNewWH_FOI_MIN</v>
      </c>
      <c r="D201" s="12"/>
      <c r="E201" s="13" t="str">
        <f>_xlfn.XLOOKUP($A201,Selected_constraint_UC!$A:$A,Selected_constraint_UC!$B:$B)</f>
        <v>COMFOI</v>
      </c>
      <c r="F201" s="13" t="str">
        <f>SUBSTITUTE(_xlfn.XLOOKUP($A201,Selected_constraint_UC!$A:$A,Selected_constraint_UC!$C:$C),"Old","New")</f>
        <v>COMOFFNewWHEUE</v>
      </c>
      <c r="G201" s="13" t="str">
        <f>F201</f>
        <v>COMOFFNewWHEUE</v>
      </c>
      <c r="H201" s="14">
        <v>2019</v>
      </c>
      <c r="I201" s="14" t="s">
        <v>3848</v>
      </c>
      <c r="J201" s="14">
        <v>1</v>
      </c>
      <c r="K201" s="15">
        <f>UC!K201</f>
        <v>-6.8600000000000008E-2</v>
      </c>
      <c r="L201" s="14">
        <v>0</v>
      </c>
      <c r="M201" s="14">
        <v>5</v>
      </c>
      <c r="N201" s="10"/>
      <c r="O201" s="20"/>
      <c r="Q201" s="11" t="str">
        <f>SUBSTITUTE(UC!Q201,"Old","New")</f>
        <v>UC_MarketShare_COMOFFNewWH_FOI_MAX</v>
      </c>
      <c r="R201" s="12"/>
      <c r="S201" s="13" t="str">
        <f t="shared" si="58"/>
        <v>COMFOI</v>
      </c>
      <c r="T201" s="13" t="str">
        <f t="shared" si="59"/>
        <v>COMOFFNewWHEUE</v>
      </c>
      <c r="U201" s="13" t="str">
        <f t="shared" si="60"/>
        <v>COMOFFNewWHEUE</v>
      </c>
      <c r="V201" s="14">
        <f>H201</f>
        <v>2019</v>
      </c>
      <c r="W201" s="29" t="s">
        <v>3849</v>
      </c>
      <c r="X201" s="14">
        <v>1</v>
      </c>
      <c r="Y201" s="15">
        <f>UC!Y201</f>
        <v>-7.1999999999999995E-2</v>
      </c>
      <c r="Z201" s="14">
        <v>0</v>
      </c>
      <c r="AA201" s="14">
        <v>5</v>
      </c>
      <c r="AB201" s="10"/>
      <c r="AC201" s="20"/>
    </row>
    <row r="202" spans="1:29" x14ac:dyDescent="0.25">
      <c r="A202" s="10">
        <f>A201</f>
        <v>50</v>
      </c>
      <c r="B202" s="10"/>
      <c r="C202" s="11" t="str">
        <f>SUBSTITUTE(UC!C202,"Old","New")</f>
        <v/>
      </c>
      <c r="D202" s="12"/>
      <c r="E202" s="13" t="str">
        <f t="shared" ref="E202:G204" si="61">E201</f>
        <v>COMFOI</v>
      </c>
      <c r="F202" s="13" t="str">
        <f t="shared" si="61"/>
        <v>COMOFFNewWHEUE</v>
      </c>
      <c r="G202" s="13" t="str">
        <f t="shared" si="61"/>
        <v>COMOFFNewWHEUE</v>
      </c>
      <c r="H202" s="14">
        <v>2025</v>
      </c>
      <c r="I202" s="14" t="str">
        <f>I201</f>
        <v>LO</v>
      </c>
      <c r="J202" s="14"/>
      <c r="K202" s="15">
        <f>UC!K202</f>
        <v>-5.6000000000000008E-2</v>
      </c>
      <c r="L202" s="14"/>
      <c r="M202" s="14"/>
      <c r="N202" s="10"/>
      <c r="O202" s="20"/>
      <c r="Q202" s="11" t="str">
        <f>SUBSTITUTE(UC!Q202,"Old","New")</f>
        <v/>
      </c>
      <c r="R202" s="12"/>
      <c r="S202" s="13" t="str">
        <f t="shared" si="58"/>
        <v>COMFOI</v>
      </c>
      <c r="T202" s="13" t="str">
        <f t="shared" si="59"/>
        <v>COMOFFNewWHEUE</v>
      </c>
      <c r="U202" s="13" t="str">
        <f t="shared" si="60"/>
        <v>COMOFFNewWHEUE</v>
      </c>
      <c r="V202" s="14">
        <v>2025</v>
      </c>
      <c r="W202" s="14" t="str">
        <f>W201</f>
        <v>UP</v>
      </c>
      <c r="X202" s="14"/>
      <c r="Y202" s="15">
        <f>UC!Y202</f>
        <v>-7.1000000000000008E-2</v>
      </c>
      <c r="Z202" s="14"/>
      <c r="AA202" s="14"/>
      <c r="AB202" s="10"/>
      <c r="AC202" s="20"/>
    </row>
    <row r="203" spans="1:29" x14ac:dyDescent="0.25">
      <c r="A203" s="10">
        <f>A202</f>
        <v>50</v>
      </c>
      <c r="B203" s="10"/>
      <c r="C203" s="11" t="str">
        <f>SUBSTITUTE(UC!C203,"Old","New")</f>
        <v/>
      </c>
      <c r="D203" s="12"/>
      <c r="E203" s="13" t="str">
        <f t="shared" si="61"/>
        <v>COMFOI</v>
      </c>
      <c r="F203" s="13" t="str">
        <f t="shared" si="61"/>
        <v>COMOFFNewWHEUE</v>
      </c>
      <c r="G203" s="13" t="str">
        <f t="shared" si="61"/>
        <v>COMOFFNewWHEUE</v>
      </c>
      <c r="H203" s="14">
        <v>2030</v>
      </c>
      <c r="I203" s="14" t="str">
        <f>I202</f>
        <v>LO</v>
      </c>
      <c r="J203" s="14"/>
      <c r="K203" s="15">
        <f>UC!K203</f>
        <v>-1.4000000000000002E-2</v>
      </c>
      <c r="L203" s="14"/>
      <c r="M203" s="14"/>
      <c r="N203" s="10"/>
      <c r="O203" s="20"/>
      <c r="Q203" s="11" t="str">
        <f>SUBSTITUTE(UC!Q203,"Old","New")</f>
        <v/>
      </c>
      <c r="R203" s="12"/>
      <c r="S203" s="13" t="str">
        <f t="shared" si="58"/>
        <v>COMFOI</v>
      </c>
      <c r="T203" s="13" t="str">
        <f t="shared" si="59"/>
        <v>COMOFFNewWHEUE</v>
      </c>
      <c r="U203" s="13" t="str">
        <f t="shared" si="60"/>
        <v>COMOFFNewWHEUE</v>
      </c>
      <c r="V203" s="14">
        <v>2030</v>
      </c>
      <c r="W203" s="14" t="str">
        <f>W202</f>
        <v>UP</v>
      </c>
      <c r="X203" s="14"/>
      <c r="Y203" s="15">
        <f>UC!Y203</f>
        <v>-6.4000000000000001E-2</v>
      </c>
      <c r="Z203" s="14"/>
      <c r="AA203" s="14"/>
      <c r="AB203" s="10"/>
      <c r="AC203" s="20"/>
    </row>
    <row r="204" spans="1:29" x14ac:dyDescent="0.25">
      <c r="A204" s="26">
        <f>A203</f>
        <v>50</v>
      </c>
      <c r="B204" s="26"/>
      <c r="C204" s="21" t="str">
        <f>SUBSTITUTE(UC!C204,"Old","New")</f>
        <v/>
      </c>
      <c r="D204" s="22"/>
      <c r="E204" s="23" t="str">
        <f t="shared" si="61"/>
        <v>COMFOI</v>
      </c>
      <c r="F204" s="23" t="str">
        <f t="shared" si="61"/>
        <v>COMOFFNewWHEUE</v>
      </c>
      <c r="G204" s="23" t="str">
        <f t="shared" si="61"/>
        <v>COMOFFNewWHEUE</v>
      </c>
      <c r="H204" s="24">
        <v>2050</v>
      </c>
      <c r="I204" s="24" t="str">
        <f>I203</f>
        <v>LO</v>
      </c>
      <c r="J204" s="24"/>
      <c r="K204" s="25">
        <f>UC!K204</f>
        <v>0</v>
      </c>
      <c r="L204" s="24"/>
      <c r="M204" s="24"/>
      <c r="N204" s="26"/>
      <c r="O204" s="27"/>
      <c r="Q204" s="21" t="str">
        <f>SUBSTITUTE(UC!Q204,"Old","New")</f>
        <v/>
      </c>
      <c r="R204" s="22"/>
      <c r="S204" s="23" t="str">
        <f t="shared" si="58"/>
        <v>COMFOI</v>
      </c>
      <c r="T204" s="23" t="str">
        <f t="shared" si="59"/>
        <v>COMOFFNewWHEUE</v>
      </c>
      <c r="U204" s="23" t="str">
        <f t="shared" si="60"/>
        <v>COMOFFNewWHEUE</v>
      </c>
      <c r="V204" s="24">
        <v>2050</v>
      </c>
      <c r="W204" s="24" t="str">
        <f>W203</f>
        <v>UP</v>
      </c>
      <c r="X204" s="24"/>
      <c r="Y204" s="25">
        <f>UC!Y204</f>
        <v>-5.2999999999999999E-2</v>
      </c>
      <c r="Z204" s="24"/>
      <c r="AA204" s="24"/>
      <c r="AB204" s="26"/>
      <c r="AC204" s="27"/>
    </row>
    <row r="205" spans="1:29" x14ac:dyDescent="0.25">
      <c r="A205" s="19">
        <f>A201+1</f>
        <v>51</v>
      </c>
      <c r="B205" s="10"/>
      <c r="C205" s="11" t="str">
        <f>SUBSTITUTE(UC!C205,"Old","New")</f>
        <v>UC_MarketShare_COMOFFNewWH_NGA_MIN</v>
      </c>
      <c r="D205" s="12"/>
      <c r="E205" s="13" t="str">
        <f>_xlfn.XLOOKUP($A205,Selected_constraint_UC!$A:$A,Selected_constraint_UC!$B:$B)</f>
        <v>COMNGA</v>
      </c>
      <c r="F205" s="13" t="str">
        <f>SUBSTITUTE(_xlfn.XLOOKUP($A205,Selected_constraint_UC!$A:$A,Selected_constraint_UC!$C:$C),"Old","New")</f>
        <v>COMOFFNewWHEUE</v>
      </c>
      <c r="G205" s="13" t="str">
        <f>F205</f>
        <v>COMOFFNewWHEUE</v>
      </c>
      <c r="H205" s="14">
        <v>2019</v>
      </c>
      <c r="I205" s="14" t="s">
        <v>3848</v>
      </c>
      <c r="J205" s="14">
        <v>1</v>
      </c>
      <c r="K205" s="15">
        <f>UC!K205</f>
        <v>-0.63994000000000006</v>
      </c>
      <c r="L205" s="14">
        <v>0</v>
      </c>
      <c r="M205" s="14">
        <v>5</v>
      </c>
      <c r="N205" s="10"/>
      <c r="O205" s="20"/>
      <c r="Q205" s="11" t="str">
        <f>SUBSTITUTE(UC!Q205,"Old","New")</f>
        <v>UC_MarketShare_COMOFFNewWH_NGA_MAX</v>
      </c>
      <c r="R205" s="12"/>
      <c r="S205" s="13" t="str">
        <f t="shared" si="58"/>
        <v>COMNGA</v>
      </c>
      <c r="T205" s="13" t="str">
        <f t="shared" si="59"/>
        <v>COMOFFNewWHEUE</v>
      </c>
      <c r="U205" s="13" t="str">
        <f t="shared" si="60"/>
        <v>COMOFFNewWHEUE</v>
      </c>
      <c r="V205" s="14">
        <f>H205</f>
        <v>2019</v>
      </c>
      <c r="W205" s="29" t="s">
        <v>3849</v>
      </c>
      <c r="X205" s="14">
        <v>1</v>
      </c>
      <c r="Y205" s="15">
        <f>UC!Y205</f>
        <v>-0.66700000000000004</v>
      </c>
      <c r="Z205" s="14">
        <v>0</v>
      </c>
      <c r="AA205" s="14">
        <v>5</v>
      </c>
      <c r="AB205" s="10"/>
      <c r="AC205" s="20"/>
    </row>
    <row r="206" spans="1:29" x14ac:dyDescent="0.25">
      <c r="A206" s="10">
        <f>A205</f>
        <v>51</v>
      </c>
      <c r="B206" s="10"/>
      <c r="C206" s="11" t="str">
        <f>SUBSTITUTE(UC!C206,"Old","New")</f>
        <v/>
      </c>
      <c r="D206" s="12"/>
      <c r="E206" s="13" t="str">
        <f t="shared" ref="E206:G208" si="62">E205</f>
        <v>COMNGA</v>
      </c>
      <c r="F206" s="13" t="str">
        <f t="shared" si="62"/>
        <v>COMOFFNewWHEUE</v>
      </c>
      <c r="G206" s="13" t="str">
        <f t="shared" si="62"/>
        <v>COMOFFNewWHEUE</v>
      </c>
      <c r="H206" s="14">
        <v>2025</v>
      </c>
      <c r="I206" s="14" t="str">
        <f>I205</f>
        <v>LO</v>
      </c>
      <c r="J206" s="14"/>
      <c r="K206" s="15">
        <f>UC!K206</f>
        <v>-0.52240000000000009</v>
      </c>
      <c r="L206" s="14"/>
      <c r="M206" s="14"/>
      <c r="N206" s="10"/>
      <c r="O206" s="20"/>
      <c r="Q206" s="11" t="str">
        <f>SUBSTITUTE(UC!Q206,"Old","New")</f>
        <v/>
      </c>
      <c r="R206" s="12"/>
      <c r="S206" s="13" t="str">
        <f t="shared" si="58"/>
        <v>COMNGA</v>
      </c>
      <c r="T206" s="13" t="str">
        <f t="shared" si="59"/>
        <v>COMOFFNewWHEUE</v>
      </c>
      <c r="U206" s="13" t="str">
        <f t="shared" si="60"/>
        <v>COMOFFNewWHEUE</v>
      </c>
      <c r="V206" s="14">
        <v>2025</v>
      </c>
      <c r="W206" s="14" t="str">
        <f>W205</f>
        <v>UP</v>
      </c>
      <c r="X206" s="14"/>
      <c r="Y206" s="15">
        <f>UC!Y206</f>
        <v>-0.65400000000000003</v>
      </c>
      <c r="Z206" s="14"/>
      <c r="AA206" s="14"/>
      <c r="AB206" s="10"/>
      <c r="AC206" s="20"/>
    </row>
    <row r="207" spans="1:29" x14ac:dyDescent="0.25">
      <c r="A207" s="10">
        <f>A206</f>
        <v>51</v>
      </c>
      <c r="B207" s="10"/>
      <c r="C207" s="11" t="str">
        <f>SUBSTITUTE(UC!C207,"Old","New")</f>
        <v/>
      </c>
      <c r="D207" s="12"/>
      <c r="E207" s="13" t="str">
        <f t="shared" si="62"/>
        <v>COMNGA</v>
      </c>
      <c r="F207" s="13" t="str">
        <f t="shared" si="62"/>
        <v>COMOFFNewWHEUE</v>
      </c>
      <c r="G207" s="13" t="str">
        <f t="shared" si="62"/>
        <v>COMOFFNewWHEUE</v>
      </c>
      <c r="H207" s="14">
        <v>2030</v>
      </c>
      <c r="I207" s="14" t="str">
        <f>I206</f>
        <v>LO</v>
      </c>
      <c r="J207" s="14"/>
      <c r="K207" s="15">
        <f>UC!K207</f>
        <v>-0.13060000000000002</v>
      </c>
      <c r="L207" s="14"/>
      <c r="M207" s="14"/>
      <c r="N207" s="10"/>
      <c r="O207" s="20"/>
      <c r="Q207" s="11" t="str">
        <f>SUBSTITUTE(UC!Q207,"Old","New")</f>
        <v/>
      </c>
      <c r="R207" s="12"/>
      <c r="S207" s="13" t="str">
        <f t="shared" si="58"/>
        <v>COMNGA</v>
      </c>
      <c r="T207" s="13" t="str">
        <f t="shared" si="59"/>
        <v>COMOFFNewWHEUE</v>
      </c>
      <c r="U207" s="13" t="str">
        <f t="shared" si="60"/>
        <v>COMOFFNewWHEUE</v>
      </c>
      <c r="V207" s="14">
        <v>2030</v>
      </c>
      <c r="W207" s="14" t="str">
        <f>W206</f>
        <v>UP</v>
      </c>
      <c r="X207" s="14"/>
      <c r="Y207" s="15">
        <f>UC!Y207</f>
        <v>-0.58899999999999997</v>
      </c>
      <c r="Z207" s="14"/>
      <c r="AA207" s="14"/>
      <c r="AB207" s="10"/>
      <c r="AC207" s="20"/>
    </row>
    <row r="208" spans="1:29" x14ac:dyDescent="0.25">
      <c r="A208" s="26">
        <f>A207</f>
        <v>51</v>
      </c>
      <c r="B208" s="26"/>
      <c r="C208" s="21" t="str">
        <f>SUBSTITUTE(UC!C208,"Old","New")</f>
        <v/>
      </c>
      <c r="D208" s="22"/>
      <c r="E208" s="23" t="str">
        <f t="shared" si="62"/>
        <v>COMNGA</v>
      </c>
      <c r="F208" s="23" t="str">
        <f t="shared" si="62"/>
        <v>COMOFFNewWHEUE</v>
      </c>
      <c r="G208" s="23" t="str">
        <f t="shared" si="62"/>
        <v>COMOFFNewWHEUE</v>
      </c>
      <c r="H208" s="24">
        <v>2050</v>
      </c>
      <c r="I208" s="24" t="str">
        <f>I207</f>
        <v>LO</v>
      </c>
      <c r="J208" s="24"/>
      <c r="K208" s="25">
        <f>UC!K208</f>
        <v>0</v>
      </c>
      <c r="L208" s="24"/>
      <c r="M208" s="24"/>
      <c r="N208" s="26"/>
      <c r="O208" s="27"/>
      <c r="Q208" s="21" t="str">
        <f>SUBSTITUTE(UC!Q208,"Old","New")</f>
        <v/>
      </c>
      <c r="R208" s="22"/>
      <c r="S208" s="23" t="str">
        <f t="shared" si="58"/>
        <v>COMNGA</v>
      </c>
      <c r="T208" s="23" t="str">
        <f t="shared" si="59"/>
        <v>COMOFFNewWHEUE</v>
      </c>
      <c r="U208" s="23" t="str">
        <f t="shared" si="60"/>
        <v>COMOFFNewWHEUE</v>
      </c>
      <c r="V208" s="24">
        <v>2050</v>
      </c>
      <c r="W208" s="24" t="str">
        <f>W207</f>
        <v>UP</v>
      </c>
      <c r="X208" s="24"/>
      <c r="Y208" s="25">
        <f>UC!Y208</f>
        <v>-0.49099999999999999</v>
      </c>
      <c r="Z208" s="24"/>
      <c r="AA208" s="24"/>
      <c r="AB208" s="26"/>
      <c r="AC208" s="27"/>
    </row>
    <row r="209" spans="1:29" x14ac:dyDescent="0.25">
      <c r="A209" s="19">
        <f>A205+1</f>
        <v>52</v>
      </c>
      <c r="B209" s="10"/>
      <c r="C209" s="11" t="str">
        <f>SUBSTITUTE(UC!C209,"Old","New")</f>
        <v>*</v>
      </c>
      <c r="D209" s="12"/>
      <c r="E209" s="13" t="str">
        <f>_xlfn.XLOOKUP($A209,Selected_constraint_UC!$A:$A,Selected_constraint_UC!$B:$B)</f>
        <v>COMSTM</v>
      </c>
      <c r="F209" s="13" t="str">
        <f>SUBSTITUTE(_xlfn.XLOOKUP($A209,Selected_constraint_UC!$A:$A,Selected_constraint_UC!$C:$C),"Old","New")</f>
        <v>COMOFFNewWHEUE</v>
      </c>
      <c r="G209" s="13" t="str">
        <f>F209</f>
        <v>COMOFFNewWHEUE</v>
      </c>
      <c r="H209" s="14">
        <v>2019</v>
      </c>
      <c r="I209" s="14" t="s">
        <v>3848</v>
      </c>
      <c r="J209" s="14">
        <v>1</v>
      </c>
      <c r="K209" s="15">
        <f>UC!K209</f>
        <v>-3.2340000000000001E-2</v>
      </c>
      <c r="L209" s="14">
        <v>0</v>
      </c>
      <c r="M209" s="14">
        <v>5</v>
      </c>
      <c r="N209" s="10"/>
      <c r="O209" s="20"/>
      <c r="Q209" s="11" t="str">
        <f>SUBSTITUTE(UC!Q209,"Old","New")</f>
        <v>*</v>
      </c>
      <c r="R209" s="12"/>
      <c r="S209" s="13" t="str">
        <f t="shared" si="58"/>
        <v>COMSTM</v>
      </c>
      <c r="T209" s="13" t="str">
        <f t="shared" si="59"/>
        <v>COMOFFNewWHEUE</v>
      </c>
      <c r="U209" s="13" t="str">
        <f t="shared" si="60"/>
        <v>COMOFFNewWHEUE</v>
      </c>
      <c r="V209" s="14">
        <f>H209</f>
        <v>2019</v>
      </c>
      <c r="W209" s="29" t="s">
        <v>3849</v>
      </c>
      <c r="X209" s="14">
        <v>1</v>
      </c>
      <c r="Y209" s="15">
        <f>UC!Y209</f>
        <v>-3.5000000000000003E-2</v>
      </c>
      <c r="Z209" s="14">
        <v>0</v>
      </c>
      <c r="AA209" s="14">
        <v>5</v>
      </c>
      <c r="AB209" s="10"/>
      <c r="AC209" s="20"/>
    </row>
    <row r="210" spans="1:29" x14ac:dyDescent="0.25">
      <c r="A210" s="10">
        <f>A209</f>
        <v>52</v>
      </c>
      <c r="B210" s="10"/>
      <c r="C210" s="11" t="str">
        <f>SUBSTITUTE(UC!C210,"Old","New")</f>
        <v>*</v>
      </c>
      <c r="D210" s="12"/>
      <c r="E210" s="13" t="str">
        <f t="shared" ref="E210:G212" si="63">E209</f>
        <v>COMSTM</v>
      </c>
      <c r="F210" s="13" t="str">
        <f t="shared" si="63"/>
        <v>COMOFFNewWHEUE</v>
      </c>
      <c r="G210" s="13" t="str">
        <f t="shared" si="63"/>
        <v>COMOFFNewWHEUE</v>
      </c>
      <c r="H210" s="14">
        <v>2025</v>
      </c>
      <c r="I210" s="14" t="str">
        <f>I209</f>
        <v>LO</v>
      </c>
      <c r="J210" s="14"/>
      <c r="K210" s="15">
        <f>UC!K210</f>
        <v>-2.6400000000000003E-2</v>
      </c>
      <c r="L210" s="14"/>
      <c r="M210" s="14"/>
      <c r="N210" s="10"/>
      <c r="O210" s="20"/>
      <c r="Q210" s="11" t="str">
        <f>SUBSTITUTE(UC!Q210,"Old","New")</f>
        <v>*</v>
      </c>
      <c r="R210" s="12"/>
      <c r="S210" s="13" t="str">
        <f t="shared" si="58"/>
        <v>COMSTM</v>
      </c>
      <c r="T210" s="13" t="str">
        <f t="shared" si="59"/>
        <v>COMOFFNewWHEUE</v>
      </c>
      <c r="U210" s="13" t="str">
        <f t="shared" si="60"/>
        <v>COMOFFNewWHEUE</v>
      </c>
      <c r="V210" s="14">
        <v>2025</v>
      </c>
      <c r="W210" s="14" t="str">
        <f>W209</f>
        <v>UP</v>
      </c>
      <c r="X210" s="14"/>
      <c r="Y210" s="15">
        <f>UC!Y210</f>
        <v>-4.1000000000000002E-2</v>
      </c>
      <c r="Z210" s="14"/>
      <c r="AA210" s="14"/>
      <c r="AB210" s="10"/>
      <c r="AC210" s="20"/>
    </row>
    <row r="211" spans="1:29" x14ac:dyDescent="0.25">
      <c r="A211" s="10">
        <f>A210</f>
        <v>52</v>
      </c>
      <c r="B211" s="10"/>
      <c r="C211" s="11" t="str">
        <f>SUBSTITUTE(UC!C211,"Old","New")</f>
        <v>*</v>
      </c>
      <c r="D211" s="12"/>
      <c r="E211" s="13" t="str">
        <f t="shared" si="63"/>
        <v>COMSTM</v>
      </c>
      <c r="F211" s="13" t="str">
        <f t="shared" si="63"/>
        <v>COMOFFNewWHEUE</v>
      </c>
      <c r="G211" s="13" t="str">
        <f t="shared" si="63"/>
        <v>COMOFFNewWHEUE</v>
      </c>
      <c r="H211" s="14">
        <v>2030</v>
      </c>
      <c r="I211" s="14" t="str">
        <f>I210</f>
        <v>LO</v>
      </c>
      <c r="J211" s="14"/>
      <c r="K211" s="15">
        <f>UC!K211</f>
        <v>-6.6000000000000008E-3</v>
      </c>
      <c r="L211" s="14"/>
      <c r="M211" s="14"/>
      <c r="N211" s="10"/>
      <c r="O211" s="20"/>
      <c r="Q211" s="11" t="str">
        <f>SUBSTITUTE(UC!Q211,"Old","New")</f>
        <v>*</v>
      </c>
      <c r="R211" s="12"/>
      <c r="S211" s="13" t="str">
        <f t="shared" si="58"/>
        <v>COMSTM</v>
      </c>
      <c r="T211" s="13" t="str">
        <f t="shared" si="59"/>
        <v>COMOFFNewWHEUE</v>
      </c>
      <c r="U211" s="13" t="str">
        <f t="shared" si="60"/>
        <v>COMOFFNewWHEUE</v>
      </c>
      <c r="V211" s="14">
        <v>2030</v>
      </c>
      <c r="W211" s="14" t="str">
        <f>W210</f>
        <v>UP</v>
      </c>
      <c r="X211" s="14"/>
      <c r="Y211" s="15">
        <f>UC!Y211</f>
        <v>-5.1000000000000004E-2</v>
      </c>
      <c r="Z211" s="14"/>
      <c r="AA211" s="14"/>
      <c r="AB211" s="10"/>
      <c r="AC211" s="20"/>
    </row>
    <row r="212" spans="1:29" x14ac:dyDescent="0.25">
      <c r="A212" s="26">
        <f>A211</f>
        <v>52</v>
      </c>
      <c r="B212" s="26"/>
      <c r="C212" s="21" t="str">
        <f>SUBSTITUTE(UC!C212,"Old","New")</f>
        <v>*</v>
      </c>
      <c r="D212" s="22"/>
      <c r="E212" s="23" t="str">
        <f t="shared" si="63"/>
        <v>COMSTM</v>
      </c>
      <c r="F212" s="23" t="str">
        <f t="shared" si="63"/>
        <v>COMOFFNewWHEUE</v>
      </c>
      <c r="G212" s="23" t="str">
        <f t="shared" si="63"/>
        <v>COMOFFNewWHEUE</v>
      </c>
      <c r="H212" s="24">
        <v>2050</v>
      </c>
      <c r="I212" s="24" t="str">
        <f>I211</f>
        <v>LO</v>
      </c>
      <c r="J212" s="24"/>
      <c r="K212" s="25">
        <f>UC!K212</f>
        <v>0</v>
      </c>
      <c r="L212" s="24"/>
      <c r="M212" s="24"/>
      <c r="N212" s="26"/>
      <c r="O212" s="27"/>
      <c r="Q212" s="21" t="str">
        <f>SUBSTITUTE(UC!Q212,"Old","New")</f>
        <v>*</v>
      </c>
      <c r="R212" s="22"/>
      <c r="S212" s="23" t="str">
        <f t="shared" si="58"/>
        <v>COMSTM</v>
      </c>
      <c r="T212" s="23" t="str">
        <f t="shared" si="59"/>
        <v>COMOFFNewWHEUE</v>
      </c>
      <c r="U212" s="23" t="str">
        <f t="shared" si="60"/>
        <v>COMOFFNewWHEUE</v>
      </c>
      <c r="V212" s="24">
        <v>2050</v>
      </c>
      <c r="W212" s="24" t="str">
        <f>W211</f>
        <v>UP</v>
      </c>
      <c r="X212" s="24"/>
      <c r="Y212" s="25">
        <f>UC!Y212</f>
        <v>-0.10200000000000001</v>
      </c>
      <c r="Z212" s="24"/>
      <c r="AA212" s="24"/>
      <c r="AB212" s="26"/>
      <c r="AC212" s="27"/>
    </row>
    <row r="213" spans="1:29" x14ac:dyDescent="0.25">
      <c r="A213" s="19">
        <f>A209+1</f>
        <v>53</v>
      </c>
      <c r="B213" s="10"/>
      <c r="C213" s="11" t="str">
        <f>SUBSTITUTE(UC!C213,"Old","New")</f>
        <v>UC_MarketShare_COMOFFNewWH_ELC_MIN</v>
      </c>
      <c r="D213" s="12"/>
      <c r="E213" s="13" t="str">
        <f>_xlfn.XLOOKUP($A213,Selected_constraint_UC!$A:$A,Selected_constraint_UC!$B:$B)</f>
        <v>COMELC</v>
      </c>
      <c r="F213" s="13" t="str">
        <f>SUBSTITUTE(_xlfn.XLOOKUP($A213,Selected_constraint_UC!$A:$A,Selected_constraint_UC!$C:$C),"Old","New")</f>
        <v>COMOFFNewWHEUE</v>
      </c>
      <c r="G213" s="13" t="str">
        <f>F213</f>
        <v>COMOFFNewWHEUE</v>
      </c>
      <c r="H213" s="14">
        <v>2019</v>
      </c>
      <c r="I213" s="14" t="s">
        <v>3848</v>
      </c>
      <c r="J213" s="14">
        <v>1</v>
      </c>
      <c r="K213" s="15">
        <f>UC!K213</f>
        <v>-0.23618</v>
      </c>
      <c r="L213" s="14">
        <v>0</v>
      </c>
      <c r="M213" s="14">
        <v>5</v>
      </c>
      <c r="N213" s="10"/>
      <c r="O213" s="20"/>
      <c r="Q213" s="11" t="str">
        <f>SUBSTITUTE(UC!Q213,"Old","New")</f>
        <v>UC_MarketShare_COMOFFNewWH_ELC_MAX</v>
      </c>
      <c r="R213" s="12"/>
      <c r="S213" s="13" t="str">
        <f t="shared" si="58"/>
        <v>COMELC</v>
      </c>
      <c r="T213" s="13" t="str">
        <f t="shared" si="59"/>
        <v>COMOFFNewWHEUE</v>
      </c>
      <c r="U213" s="13" t="str">
        <f t="shared" si="60"/>
        <v>COMOFFNewWHEUE</v>
      </c>
      <c r="V213" s="14">
        <f>H213</f>
        <v>2019</v>
      </c>
      <c r="W213" s="29" t="s">
        <v>3849</v>
      </c>
      <c r="X213" s="14">
        <v>1</v>
      </c>
      <c r="Y213" s="15">
        <f>UC!Y213</f>
        <v>-0.247</v>
      </c>
      <c r="Z213" s="14">
        <v>0</v>
      </c>
      <c r="AA213" s="14">
        <v>5</v>
      </c>
      <c r="AB213" s="10"/>
      <c r="AC213" s="20"/>
    </row>
    <row r="214" spans="1:29" x14ac:dyDescent="0.25">
      <c r="A214" s="10">
        <f>A213</f>
        <v>53</v>
      </c>
      <c r="B214" s="10"/>
      <c r="C214" s="11" t="str">
        <f>SUBSTITUTE(UC!C214,"Old","New")</f>
        <v/>
      </c>
      <c r="D214" s="12"/>
      <c r="E214" s="13" t="str">
        <f t="shared" ref="E214:G216" si="64">E213</f>
        <v>COMELC</v>
      </c>
      <c r="F214" s="13" t="str">
        <f t="shared" si="64"/>
        <v>COMOFFNewWHEUE</v>
      </c>
      <c r="G214" s="13" t="str">
        <f t="shared" si="64"/>
        <v>COMOFFNewWHEUE</v>
      </c>
      <c r="H214" s="14">
        <v>2025</v>
      </c>
      <c r="I214" s="14" t="str">
        <f>I213</f>
        <v>LO</v>
      </c>
      <c r="J214" s="14"/>
      <c r="K214" s="15">
        <f>UC!K214</f>
        <v>-0.1928</v>
      </c>
      <c r="L214" s="14"/>
      <c r="M214" s="14"/>
      <c r="N214" s="10"/>
      <c r="O214" s="20"/>
      <c r="Q214" s="11" t="str">
        <f>SUBSTITUTE(UC!Q214,"Old","New")</f>
        <v/>
      </c>
      <c r="R214" s="12"/>
      <c r="S214" s="13" t="str">
        <f t="shared" si="58"/>
        <v>COMELC</v>
      </c>
      <c r="T214" s="13" t="str">
        <f t="shared" si="59"/>
        <v>COMOFFNewWHEUE</v>
      </c>
      <c r="U214" s="13" t="str">
        <f t="shared" si="60"/>
        <v>COMOFFNewWHEUE</v>
      </c>
      <c r="V214" s="14">
        <v>2025</v>
      </c>
      <c r="W214" s="14" t="str">
        <f>W213</f>
        <v>UP</v>
      </c>
      <c r="X214" s="14"/>
      <c r="Y214" s="15">
        <f>UC!Y214</f>
        <v>-0.29099999999999998</v>
      </c>
      <c r="Z214" s="14"/>
      <c r="AA214" s="14"/>
      <c r="AB214" s="10"/>
      <c r="AC214" s="20"/>
    </row>
    <row r="215" spans="1:29" x14ac:dyDescent="0.25">
      <c r="A215" s="10">
        <f>A214</f>
        <v>53</v>
      </c>
      <c r="B215" s="10"/>
      <c r="C215" s="11" t="str">
        <f>SUBSTITUTE(UC!C215,"Old","New")</f>
        <v/>
      </c>
      <c r="D215" s="12"/>
      <c r="E215" s="13" t="str">
        <f t="shared" si="64"/>
        <v>COMELC</v>
      </c>
      <c r="F215" s="13" t="str">
        <f t="shared" si="64"/>
        <v>COMOFFNewWHEUE</v>
      </c>
      <c r="G215" s="13" t="str">
        <f t="shared" si="64"/>
        <v>COMOFFNewWHEUE</v>
      </c>
      <c r="H215" s="14">
        <v>2030</v>
      </c>
      <c r="I215" s="14" t="str">
        <f>I214</f>
        <v>LO</v>
      </c>
      <c r="J215" s="14"/>
      <c r="K215" s="15">
        <f>UC!K215</f>
        <v>-0.18074999999999999</v>
      </c>
      <c r="L215" s="14"/>
      <c r="M215" s="14"/>
      <c r="N215" s="10"/>
      <c r="O215" s="20"/>
      <c r="Q215" s="11" t="str">
        <f>SUBSTITUTE(UC!Q215,"Old","New")</f>
        <v/>
      </c>
      <c r="R215" s="12"/>
      <c r="S215" s="13" t="str">
        <f t="shared" si="58"/>
        <v>COMELC</v>
      </c>
      <c r="T215" s="13" t="str">
        <f t="shared" si="59"/>
        <v>COMOFFNewWHEUE</v>
      </c>
      <c r="U215" s="13" t="str">
        <f t="shared" si="60"/>
        <v>COMOFFNewWHEUE</v>
      </c>
      <c r="V215" s="14">
        <v>2030</v>
      </c>
      <c r="W215" s="14" t="str">
        <f>W214</f>
        <v>UP</v>
      </c>
      <c r="X215" s="14"/>
      <c r="Y215" s="15">
        <f>UC!Y215</f>
        <v>-0.5</v>
      </c>
      <c r="Z215" s="14"/>
      <c r="AA215" s="14"/>
      <c r="AB215" s="10"/>
      <c r="AC215" s="20"/>
    </row>
    <row r="216" spans="1:29" x14ac:dyDescent="0.25">
      <c r="A216" s="26">
        <f>A215</f>
        <v>53</v>
      </c>
      <c r="B216" s="26"/>
      <c r="C216" s="21" t="str">
        <f>SUBSTITUTE(UC!C216,"Old","New")</f>
        <v/>
      </c>
      <c r="D216" s="22"/>
      <c r="E216" s="23" t="str">
        <f t="shared" si="64"/>
        <v>COMELC</v>
      </c>
      <c r="F216" s="23" t="str">
        <f t="shared" si="64"/>
        <v>COMOFFNewWHEUE</v>
      </c>
      <c r="G216" s="23" t="str">
        <f t="shared" si="64"/>
        <v>COMOFFNewWHEUE</v>
      </c>
      <c r="H216" s="24">
        <v>2050</v>
      </c>
      <c r="I216" s="24" t="str">
        <f>I215</f>
        <v>LO</v>
      </c>
      <c r="J216" s="24"/>
      <c r="K216" s="25">
        <f>UC!K216</f>
        <v>-0.18074999999999999</v>
      </c>
      <c r="L216" s="24"/>
      <c r="M216" s="24"/>
      <c r="N216" s="26"/>
      <c r="O216" s="27"/>
      <c r="Q216" s="21" t="str">
        <f>SUBSTITUTE(UC!Q216,"Old","New")</f>
        <v/>
      </c>
      <c r="R216" s="22"/>
      <c r="S216" s="23" t="str">
        <f t="shared" si="58"/>
        <v>COMELC</v>
      </c>
      <c r="T216" s="23" t="str">
        <f t="shared" si="59"/>
        <v>COMOFFNewWHEUE</v>
      </c>
      <c r="U216" s="23" t="str">
        <f t="shared" si="60"/>
        <v>COMOFFNewWHEUE</v>
      </c>
      <c r="V216" s="24">
        <v>2050</v>
      </c>
      <c r="W216" s="24" t="str">
        <f>W215</f>
        <v>UP</v>
      </c>
      <c r="X216" s="24"/>
      <c r="Y216" s="25">
        <f>UC!Y216</f>
        <v>-1</v>
      </c>
      <c r="Z216" s="24"/>
      <c r="AA216" s="24"/>
      <c r="AB216" s="26"/>
      <c r="AC216" s="27"/>
    </row>
    <row r="217" spans="1:29" x14ac:dyDescent="0.25">
      <c r="A217" s="19">
        <f>A213+1</f>
        <v>54</v>
      </c>
      <c r="B217" s="10"/>
      <c r="C217" s="11" t="str">
        <f>SUBSTITUTE(UC!C217,"Old","New")</f>
        <v>*</v>
      </c>
      <c r="D217" s="12"/>
      <c r="E217" s="13" t="str">
        <f>_xlfn.XLOOKUP($A217,Selected_constraint_UC!$A:$A,Selected_constraint_UC!$B:$B)</f>
        <v>COMELC</v>
      </c>
      <c r="F217" s="13" t="str">
        <f>SUBSTITUTE(_xlfn.XLOOKUP($A217,Selected_constraint_UC!$A:$A,Selected_constraint_UC!$C:$C),"Old","New")</f>
        <v>COMOFFNewLTEUE</v>
      </c>
      <c r="G217" s="13" t="str">
        <f>F217</f>
        <v>COMOFFNewLTEUE</v>
      </c>
      <c r="H217" s="14">
        <v>2019</v>
      </c>
      <c r="I217" s="14" t="s">
        <v>3848</v>
      </c>
      <c r="J217" s="14">
        <v>1</v>
      </c>
      <c r="K217" s="15">
        <f>UC!K217</f>
        <v>-0.98</v>
      </c>
      <c r="L217" s="14">
        <v>0</v>
      </c>
      <c r="M217" s="14">
        <v>5</v>
      </c>
      <c r="N217" s="10"/>
      <c r="O217" s="20"/>
      <c r="Q217" s="11" t="str">
        <f>SUBSTITUTE(UC!Q217,"Old","New")</f>
        <v>*</v>
      </c>
      <c r="R217" s="12"/>
      <c r="S217" s="13" t="str">
        <f t="shared" si="58"/>
        <v>COMELC</v>
      </c>
      <c r="T217" s="13" t="str">
        <f t="shared" si="59"/>
        <v>COMOFFNewLTEUE</v>
      </c>
      <c r="U217" s="13" t="str">
        <f t="shared" si="60"/>
        <v>COMOFFNewLTEUE</v>
      </c>
      <c r="V217" s="14">
        <f>H217</f>
        <v>2019</v>
      </c>
      <c r="W217" s="29" t="s">
        <v>3849</v>
      </c>
      <c r="X217" s="14">
        <v>1</v>
      </c>
      <c r="Y217" s="15">
        <f>UC!Y217</f>
        <v>-1</v>
      </c>
      <c r="Z217" s="14">
        <v>0</v>
      </c>
      <c r="AA217" s="14">
        <v>5</v>
      </c>
      <c r="AB217" s="10"/>
      <c r="AC217" s="20"/>
    </row>
    <row r="218" spans="1:29" x14ac:dyDescent="0.25">
      <c r="A218" s="10">
        <f>A217</f>
        <v>54</v>
      </c>
      <c r="B218" s="10"/>
      <c r="C218" s="11" t="str">
        <f>SUBSTITUTE(UC!C218,"Old","New")</f>
        <v>*</v>
      </c>
      <c r="D218" s="12"/>
      <c r="E218" s="13" t="str">
        <f t="shared" ref="E218:G220" si="65">E217</f>
        <v>COMELC</v>
      </c>
      <c r="F218" s="13" t="str">
        <f t="shared" si="65"/>
        <v>COMOFFNewLTEUE</v>
      </c>
      <c r="G218" s="13" t="str">
        <f t="shared" si="65"/>
        <v>COMOFFNewLTEUE</v>
      </c>
      <c r="H218" s="14">
        <v>2025</v>
      </c>
      <c r="I218" s="14" t="str">
        <f>I217</f>
        <v>LO</v>
      </c>
      <c r="J218" s="14"/>
      <c r="K218" s="15">
        <f>UC!K218</f>
        <v>-0.8</v>
      </c>
      <c r="L218" s="14"/>
      <c r="M218" s="14"/>
      <c r="N218" s="10"/>
      <c r="O218" s="20"/>
      <c r="Q218" s="11" t="str">
        <f>SUBSTITUTE(UC!Q218,"Old","New")</f>
        <v>*</v>
      </c>
      <c r="R218" s="12"/>
      <c r="S218" s="13" t="str">
        <f t="shared" si="58"/>
        <v>COMELC</v>
      </c>
      <c r="T218" s="13" t="str">
        <f t="shared" si="59"/>
        <v>COMOFFNewLTEUE</v>
      </c>
      <c r="U218" s="13" t="str">
        <f t="shared" si="60"/>
        <v>COMOFFNewLTEUE</v>
      </c>
      <c r="V218" s="14">
        <v>2025</v>
      </c>
      <c r="W218" s="14" t="str">
        <f>W217</f>
        <v>UP</v>
      </c>
      <c r="X218" s="14"/>
      <c r="Y218" s="15">
        <f>UC!Y218</f>
        <v>-1</v>
      </c>
      <c r="Z218" s="14"/>
      <c r="AA218" s="14"/>
      <c r="AB218" s="10"/>
      <c r="AC218" s="20"/>
    </row>
    <row r="219" spans="1:29" x14ac:dyDescent="0.25">
      <c r="A219" s="10">
        <f>A218</f>
        <v>54</v>
      </c>
      <c r="B219" s="10"/>
      <c r="C219" s="11" t="str">
        <f>SUBSTITUTE(UC!C219,"Old","New")</f>
        <v>*</v>
      </c>
      <c r="D219" s="12"/>
      <c r="E219" s="13" t="str">
        <f t="shared" si="65"/>
        <v>COMELC</v>
      </c>
      <c r="F219" s="13" t="str">
        <f t="shared" si="65"/>
        <v>COMOFFNewLTEUE</v>
      </c>
      <c r="G219" s="13" t="str">
        <f t="shared" si="65"/>
        <v>COMOFFNewLTEUE</v>
      </c>
      <c r="H219" s="14">
        <v>2030</v>
      </c>
      <c r="I219" s="14" t="str">
        <f>I218</f>
        <v>LO</v>
      </c>
      <c r="J219" s="14"/>
      <c r="K219" s="15">
        <f>UC!K219</f>
        <v>-0.2</v>
      </c>
      <c r="L219" s="14"/>
      <c r="M219" s="14"/>
      <c r="N219" s="10"/>
      <c r="O219" s="20"/>
      <c r="Q219" s="11" t="str">
        <f>SUBSTITUTE(UC!Q219,"Old","New")</f>
        <v>*</v>
      </c>
      <c r="R219" s="12"/>
      <c r="S219" s="13" t="str">
        <f t="shared" si="58"/>
        <v>COMELC</v>
      </c>
      <c r="T219" s="13" t="str">
        <f t="shared" si="59"/>
        <v>COMOFFNewLTEUE</v>
      </c>
      <c r="U219" s="13" t="str">
        <f t="shared" si="60"/>
        <v>COMOFFNewLTEUE</v>
      </c>
      <c r="V219" s="14">
        <v>2030</v>
      </c>
      <c r="W219" s="14" t="str">
        <f>W218</f>
        <v>UP</v>
      </c>
      <c r="X219" s="14"/>
      <c r="Y219" s="15">
        <f>UC!Y219</f>
        <v>-1</v>
      </c>
      <c r="Z219" s="14"/>
      <c r="AA219" s="14"/>
      <c r="AB219" s="10"/>
      <c r="AC219" s="20"/>
    </row>
    <row r="220" spans="1:29" x14ac:dyDescent="0.25">
      <c r="A220" s="26">
        <f>A219</f>
        <v>54</v>
      </c>
      <c r="B220" s="26"/>
      <c r="C220" s="21" t="str">
        <f>SUBSTITUTE(UC!C220,"Old","New")</f>
        <v>*</v>
      </c>
      <c r="D220" s="22"/>
      <c r="E220" s="23" t="str">
        <f t="shared" si="65"/>
        <v>COMELC</v>
      </c>
      <c r="F220" s="23" t="str">
        <f t="shared" si="65"/>
        <v>COMOFFNewLTEUE</v>
      </c>
      <c r="G220" s="23" t="str">
        <f t="shared" si="65"/>
        <v>COMOFFNewLTEUE</v>
      </c>
      <c r="H220" s="24">
        <v>2050</v>
      </c>
      <c r="I220" s="24" t="str">
        <f>I219</f>
        <v>LO</v>
      </c>
      <c r="J220" s="24"/>
      <c r="K220" s="25">
        <f>UC!K220</f>
        <v>0</v>
      </c>
      <c r="L220" s="24"/>
      <c r="M220" s="24"/>
      <c r="N220" s="26"/>
      <c r="O220" s="27"/>
      <c r="Q220" s="21" t="str">
        <f>SUBSTITUTE(UC!Q220,"Old","New")</f>
        <v>*</v>
      </c>
      <c r="R220" s="22"/>
      <c r="S220" s="23" t="str">
        <f t="shared" si="58"/>
        <v>COMELC</v>
      </c>
      <c r="T220" s="23" t="str">
        <f t="shared" si="59"/>
        <v>COMOFFNewLTEUE</v>
      </c>
      <c r="U220" s="23" t="str">
        <f t="shared" si="60"/>
        <v>COMOFFNewLTEUE</v>
      </c>
      <c r="V220" s="24">
        <v>2050</v>
      </c>
      <c r="W220" s="24" t="str">
        <f>W219</f>
        <v>UP</v>
      </c>
      <c r="X220" s="24"/>
      <c r="Y220" s="25">
        <f>UC!Y220</f>
        <v>-1</v>
      </c>
      <c r="Z220" s="24"/>
      <c r="AA220" s="24"/>
      <c r="AB220" s="26"/>
      <c r="AC220" s="27"/>
    </row>
    <row r="221" spans="1:29" x14ac:dyDescent="0.25">
      <c r="A221" s="19">
        <f>A217+1</f>
        <v>55</v>
      </c>
      <c r="B221" s="10"/>
      <c r="C221" s="11" t="str">
        <f>SUBSTITUTE(UC!C221,"Old","New")</f>
        <v>*</v>
      </c>
      <c r="D221" s="12"/>
      <c r="E221" s="13" t="str">
        <f>_xlfn.XLOOKUP($A221,Selected_constraint_UC!$A:$A,Selected_constraint_UC!$B:$B)</f>
        <v>COMFOI</v>
      </c>
      <c r="F221" s="13" t="str">
        <f>SUBSTITUTE(_xlfn.XLOOKUP($A221,Selected_constraint_UC!$A:$A,Selected_constraint_UC!$C:$C),"Old","New")</f>
        <v>COMOFFNewCKEUE</v>
      </c>
      <c r="G221" s="13" t="str">
        <f>F221</f>
        <v>COMOFFNewCKEUE</v>
      </c>
      <c r="H221" s="14">
        <v>2019</v>
      </c>
      <c r="I221" s="14" t="s">
        <v>3848</v>
      </c>
      <c r="J221" s="14">
        <v>1</v>
      </c>
      <c r="K221" s="15">
        <f>UC!K221</f>
        <v>0</v>
      </c>
      <c r="L221" s="14">
        <v>0</v>
      </c>
      <c r="M221" s="14">
        <v>5</v>
      </c>
      <c r="N221" s="10"/>
      <c r="O221" s="20"/>
      <c r="Q221" s="11" t="str">
        <f>SUBSTITUTE(UC!Q221,"Old","New")</f>
        <v>*</v>
      </c>
      <c r="R221" s="12"/>
      <c r="S221" s="13" t="str">
        <f t="shared" si="58"/>
        <v>COMFOI</v>
      </c>
      <c r="T221" s="13" t="str">
        <f t="shared" si="59"/>
        <v>COMOFFNewCKEUE</v>
      </c>
      <c r="U221" s="13" t="str">
        <f t="shared" si="60"/>
        <v>COMOFFNewCKEUE</v>
      </c>
      <c r="V221" s="14">
        <f>H221</f>
        <v>2019</v>
      </c>
      <c r="W221" s="29" t="s">
        <v>3849</v>
      </c>
      <c r="X221" s="14">
        <v>1</v>
      </c>
      <c r="Y221" s="15">
        <f>UC!Y221</f>
        <v>0</v>
      </c>
      <c r="Z221" s="14">
        <v>0</v>
      </c>
      <c r="AA221" s="14">
        <v>5</v>
      </c>
      <c r="AB221" s="10"/>
      <c r="AC221" s="20"/>
    </row>
    <row r="222" spans="1:29" x14ac:dyDescent="0.25">
      <c r="A222" s="10">
        <f>A221</f>
        <v>55</v>
      </c>
      <c r="B222" s="10"/>
      <c r="C222" s="11" t="str">
        <f>SUBSTITUTE(UC!C222,"Old","New")</f>
        <v>*</v>
      </c>
      <c r="D222" s="12"/>
      <c r="E222" s="13" t="str">
        <f t="shared" ref="E222:G224" si="66">E221</f>
        <v>COMFOI</v>
      </c>
      <c r="F222" s="13" t="str">
        <f t="shared" si="66"/>
        <v>COMOFFNewCKEUE</v>
      </c>
      <c r="G222" s="13" t="str">
        <f t="shared" si="66"/>
        <v>COMOFFNewCKEUE</v>
      </c>
      <c r="H222" s="14">
        <v>2025</v>
      </c>
      <c r="I222" s="14" t="str">
        <f>I221</f>
        <v>LO</v>
      </c>
      <c r="J222" s="14"/>
      <c r="K222" s="15">
        <f>UC!K222</f>
        <v>0</v>
      </c>
      <c r="L222" s="14"/>
      <c r="M222" s="14"/>
      <c r="N222" s="10"/>
      <c r="O222" s="20"/>
      <c r="Q222" s="11" t="str">
        <f>SUBSTITUTE(UC!Q222,"Old","New")</f>
        <v>*</v>
      </c>
      <c r="R222" s="12"/>
      <c r="S222" s="13" t="str">
        <f t="shared" si="58"/>
        <v>COMFOI</v>
      </c>
      <c r="T222" s="13" t="str">
        <f t="shared" si="59"/>
        <v>COMOFFNewCKEUE</v>
      </c>
      <c r="U222" s="13" t="str">
        <f t="shared" si="60"/>
        <v>COMOFFNewCKEUE</v>
      </c>
      <c r="V222" s="14">
        <v>2025</v>
      </c>
      <c r="W222" s="14" t="str">
        <f>W221</f>
        <v>UP</v>
      </c>
      <c r="X222" s="14"/>
      <c r="Y222" s="15">
        <f>UC!Y222</f>
        <v>0</v>
      </c>
      <c r="Z222" s="14"/>
      <c r="AA222" s="14"/>
      <c r="AB222" s="10"/>
      <c r="AC222" s="20"/>
    </row>
    <row r="223" spans="1:29" x14ac:dyDescent="0.25">
      <c r="A223" s="10">
        <f>A222</f>
        <v>55</v>
      </c>
      <c r="B223" s="10"/>
      <c r="C223" s="11" t="str">
        <f>SUBSTITUTE(UC!C223,"Old","New")</f>
        <v>*</v>
      </c>
      <c r="D223" s="12"/>
      <c r="E223" s="13" t="str">
        <f t="shared" si="66"/>
        <v>COMFOI</v>
      </c>
      <c r="F223" s="13" t="str">
        <f t="shared" si="66"/>
        <v>COMOFFNewCKEUE</v>
      </c>
      <c r="G223" s="13" t="str">
        <f t="shared" si="66"/>
        <v>COMOFFNewCKEUE</v>
      </c>
      <c r="H223" s="14">
        <v>2030</v>
      </c>
      <c r="I223" s="14" t="str">
        <f>I222</f>
        <v>LO</v>
      </c>
      <c r="J223" s="14"/>
      <c r="K223" s="15">
        <f>UC!K223</f>
        <v>0</v>
      </c>
      <c r="L223" s="14"/>
      <c r="M223" s="14"/>
      <c r="N223" s="10"/>
      <c r="O223" s="20"/>
      <c r="Q223" s="11" t="str">
        <f>SUBSTITUTE(UC!Q223,"Old","New")</f>
        <v>*</v>
      </c>
      <c r="R223" s="12"/>
      <c r="S223" s="13" t="str">
        <f t="shared" si="58"/>
        <v>COMFOI</v>
      </c>
      <c r="T223" s="13" t="str">
        <f t="shared" si="59"/>
        <v>COMOFFNewCKEUE</v>
      </c>
      <c r="U223" s="13" t="str">
        <f t="shared" si="60"/>
        <v>COMOFFNewCKEUE</v>
      </c>
      <c r="V223" s="14">
        <v>2030</v>
      </c>
      <c r="W223" s="14" t="str">
        <f>W222</f>
        <v>UP</v>
      </c>
      <c r="X223" s="14"/>
      <c r="Y223" s="15">
        <f>UC!Y223</f>
        <v>0</v>
      </c>
      <c r="Z223" s="14"/>
      <c r="AA223" s="14"/>
      <c r="AB223" s="10"/>
      <c r="AC223" s="20"/>
    </row>
    <row r="224" spans="1:29" x14ac:dyDescent="0.25">
      <c r="A224" s="26">
        <f>A223</f>
        <v>55</v>
      </c>
      <c r="B224" s="26"/>
      <c r="C224" s="21" t="str">
        <f>SUBSTITUTE(UC!C224,"Old","New")</f>
        <v>*</v>
      </c>
      <c r="D224" s="22"/>
      <c r="E224" s="23" t="str">
        <f t="shared" si="66"/>
        <v>COMFOI</v>
      </c>
      <c r="F224" s="23" t="str">
        <f t="shared" si="66"/>
        <v>COMOFFNewCKEUE</v>
      </c>
      <c r="G224" s="23" t="str">
        <f t="shared" si="66"/>
        <v>COMOFFNewCKEUE</v>
      </c>
      <c r="H224" s="24">
        <v>2050</v>
      </c>
      <c r="I224" s="24" t="str">
        <f>I223</f>
        <v>LO</v>
      </c>
      <c r="J224" s="24"/>
      <c r="K224" s="25">
        <f>UC!K224</f>
        <v>0</v>
      </c>
      <c r="L224" s="24"/>
      <c r="M224" s="24"/>
      <c r="N224" s="26"/>
      <c r="O224" s="27"/>
      <c r="Q224" s="21" t="str">
        <f>SUBSTITUTE(UC!Q224,"Old","New")</f>
        <v>*</v>
      </c>
      <c r="R224" s="22"/>
      <c r="S224" s="23" t="str">
        <f t="shared" si="58"/>
        <v>COMFOI</v>
      </c>
      <c r="T224" s="23" t="str">
        <f t="shared" si="59"/>
        <v>COMOFFNewCKEUE</v>
      </c>
      <c r="U224" s="23" t="str">
        <f t="shared" si="60"/>
        <v>COMOFFNewCKEUE</v>
      </c>
      <c r="V224" s="24">
        <v>2050</v>
      </c>
      <c r="W224" s="24" t="str">
        <f>W223</f>
        <v>UP</v>
      </c>
      <c r="X224" s="24"/>
      <c r="Y224" s="25">
        <f>UC!Y224</f>
        <v>0</v>
      </c>
      <c r="Z224" s="24"/>
      <c r="AA224" s="24"/>
      <c r="AB224" s="26"/>
      <c r="AC224" s="27"/>
    </row>
    <row r="225" spans="1:29" x14ac:dyDescent="0.25">
      <c r="A225" s="19">
        <f>A221+1</f>
        <v>56</v>
      </c>
      <c r="B225" s="10"/>
      <c r="C225" s="11" t="str">
        <f>SUBSTITUTE(UC!C225,"Old","New")</f>
        <v>*</v>
      </c>
      <c r="D225" s="12"/>
      <c r="E225" s="13" t="str">
        <f>_xlfn.XLOOKUP($A225,Selected_constraint_UC!$A:$A,Selected_constraint_UC!$B:$B)</f>
        <v>COMNGA</v>
      </c>
      <c r="F225" s="13" t="str">
        <f>SUBSTITUTE(_xlfn.XLOOKUP($A225,Selected_constraint_UC!$A:$A,Selected_constraint_UC!$C:$C),"Old","New")</f>
        <v>COMOFFNewCKEUE</v>
      </c>
      <c r="G225" s="13" t="str">
        <f>F225</f>
        <v>COMOFFNewCKEUE</v>
      </c>
      <c r="H225" s="14">
        <v>2019</v>
      </c>
      <c r="I225" s="14" t="s">
        <v>3848</v>
      </c>
      <c r="J225" s="14">
        <v>1</v>
      </c>
      <c r="K225" s="15">
        <f>UC!K225</f>
        <v>-0.94472</v>
      </c>
      <c r="L225" s="14">
        <v>0</v>
      </c>
      <c r="M225" s="14">
        <v>5</v>
      </c>
      <c r="N225" s="10"/>
      <c r="O225" s="20"/>
      <c r="Q225" s="11" t="str">
        <f>SUBSTITUTE(UC!Q225,"Old","New")</f>
        <v>*</v>
      </c>
      <c r="R225" s="12"/>
      <c r="S225" s="13" t="str">
        <f t="shared" si="58"/>
        <v>COMNGA</v>
      </c>
      <c r="T225" s="13" t="str">
        <f t="shared" si="59"/>
        <v>COMOFFNewCKEUE</v>
      </c>
      <c r="U225" s="13" t="str">
        <f t="shared" si="60"/>
        <v>COMOFFNewCKEUE</v>
      </c>
      <c r="V225" s="14">
        <f>H225</f>
        <v>2019</v>
      </c>
      <c r="W225" s="29" t="s">
        <v>3849</v>
      </c>
      <c r="X225" s="14">
        <v>1</v>
      </c>
      <c r="Y225" s="15">
        <f>UC!Y225</f>
        <v>-0.98399999999999999</v>
      </c>
      <c r="Z225" s="14">
        <v>0</v>
      </c>
      <c r="AA225" s="14">
        <v>5</v>
      </c>
      <c r="AB225" s="10"/>
      <c r="AC225" s="20"/>
    </row>
    <row r="226" spans="1:29" x14ac:dyDescent="0.25">
      <c r="A226" s="10">
        <f>A225</f>
        <v>56</v>
      </c>
      <c r="B226" s="10"/>
      <c r="C226" s="11" t="str">
        <f>SUBSTITUTE(UC!C226,"Old","New")</f>
        <v>*</v>
      </c>
      <c r="D226" s="12"/>
      <c r="E226" s="13" t="str">
        <f t="shared" ref="E226:G228" si="67">E225</f>
        <v>COMNGA</v>
      </c>
      <c r="F226" s="13" t="str">
        <f t="shared" si="67"/>
        <v>COMOFFNewCKEUE</v>
      </c>
      <c r="G226" s="13" t="str">
        <f t="shared" si="67"/>
        <v>COMOFFNewCKEUE</v>
      </c>
      <c r="H226" s="14">
        <v>2025</v>
      </c>
      <c r="I226" s="14" t="str">
        <f>I225</f>
        <v>LO</v>
      </c>
      <c r="J226" s="14"/>
      <c r="K226" s="15">
        <f>UC!K226</f>
        <v>-0.7712</v>
      </c>
      <c r="L226" s="14"/>
      <c r="M226" s="14"/>
      <c r="N226" s="10"/>
      <c r="O226" s="20"/>
      <c r="Q226" s="11" t="str">
        <f>SUBSTITUTE(UC!Q226,"Old","New")</f>
        <v>*</v>
      </c>
      <c r="R226" s="12"/>
      <c r="S226" s="13" t="str">
        <f t="shared" si="58"/>
        <v>COMNGA</v>
      </c>
      <c r="T226" s="13" t="str">
        <f t="shared" si="59"/>
        <v>COMOFFNewCKEUE</v>
      </c>
      <c r="U226" s="13" t="str">
        <f t="shared" si="60"/>
        <v>COMOFFNewCKEUE</v>
      </c>
      <c r="V226" s="14">
        <v>2025</v>
      </c>
      <c r="W226" s="14" t="str">
        <f>W225</f>
        <v>UP</v>
      </c>
      <c r="X226" s="14"/>
      <c r="Y226" s="15">
        <f>UC!Y226</f>
        <v>-1</v>
      </c>
      <c r="Z226" s="14"/>
      <c r="AA226" s="14"/>
      <c r="AB226" s="10"/>
      <c r="AC226" s="20"/>
    </row>
    <row r="227" spans="1:29" x14ac:dyDescent="0.25">
      <c r="A227" s="10">
        <f>A226</f>
        <v>56</v>
      </c>
      <c r="B227" s="10"/>
      <c r="C227" s="11" t="str">
        <f>SUBSTITUTE(UC!C227,"Old","New")</f>
        <v>*</v>
      </c>
      <c r="D227" s="12"/>
      <c r="E227" s="13" t="str">
        <f t="shared" si="67"/>
        <v>COMNGA</v>
      </c>
      <c r="F227" s="13" t="str">
        <f t="shared" si="67"/>
        <v>COMOFFNewCKEUE</v>
      </c>
      <c r="G227" s="13" t="str">
        <f t="shared" si="67"/>
        <v>COMOFFNewCKEUE</v>
      </c>
      <c r="H227" s="14">
        <v>2030</v>
      </c>
      <c r="I227" s="14" t="str">
        <f>I226</f>
        <v>LO</v>
      </c>
      <c r="J227" s="14"/>
      <c r="K227" s="15">
        <f>UC!K227</f>
        <v>-0.1928</v>
      </c>
      <c r="L227" s="14"/>
      <c r="M227" s="14"/>
      <c r="N227" s="10"/>
      <c r="O227" s="20"/>
      <c r="Q227" s="11" t="str">
        <f>SUBSTITUTE(UC!Q227,"Old","New")</f>
        <v>*</v>
      </c>
      <c r="R227" s="12"/>
      <c r="S227" s="13" t="str">
        <f t="shared" si="58"/>
        <v>COMNGA</v>
      </c>
      <c r="T227" s="13" t="str">
        <f t="shared" si="59"/>
        <v>COMOFFNewCKEUE</v>
      </c>
      <c r="U227" s="13" t="str">
        <f t="shared" si="60"/>
        <v>COMOFFNewCKEUE</v>
      </c>
      <c r="V227" s="14">
        <v>2030</v>
      </c>
      <c r="W227" s="14" t="str">
        <f>W226</f>
        <v>UP</v>
      </c>
      <c r="X227" s="14"/>
      <c r="Y227" s="15">
        <f>UC!Y227</f>
        <v>-1</v>
      </c>
      <c r="Z227" s="14"/>
      <c r="AA227" s="14"/>
      <c r="AB227" s="10"/>
      <c r="AC227" s="20"/>
    </row>
    <row r="228" spans="1:29" x14ac:dyDescent="0.25">
      <c r="A228" s="26">
        <f>A227</f>
        <v>56</v>
      </c>
      <c r="B228" s="26"/>
      <c r="C228" s="21" t="str">
        <f>SUBSTITUTE(UC!C228,"Old","New")</f>
        <v>*</v>
      </c>
      <c r="D228" s="22"/>
      <c r="E228" s="23" t="str">
        <f t="shared" si="67"/>
        <v>COMNGA</v>
      </c>
      <c r="F228" s="23" t="str">
        <f t="shared" si="67"/>
        <v>COMOFFNewCKEUE</v>
      </c>
      <c r="G228" s="23" t="str">
        <f t="shared" si="67"/>
        <v>COMOFFNewCKEUE</v>
      </c>
      <c r="H228" s="24">
        <v>2050</v>
      </c>
      <c r="I228" s="24" t="str">
        <f>I227</f>
        <v>LO</v>
      </c>
      <c r="J228" s="24"/>
      <c r="K228" s="25">
        <f>UC!K228</f>
        <v>0</v>
      </c>
      <c r="L228" s="24"/>
      <c r="M228" s="24"/>
      <c r="N228" s="26"/>
      <c r="O228" s="27"/>
      <c r="Q228" s="21" t="str">
        <f>SUBSTITUTE(UC!Q228,"Old","New")</f>
        <v>*</v>
      </c>
      <c r="R228" s="22"/>
      <c r="S228" s="23" t="str">
        <f t="shared" si="58"/>
        <v>COMNGA</v>
      </c>
      <c r="T228" s="23" t="str">
        <f t="shared" si="59"/>
        <v>COMOFFNewCKEUE</v>
      </c>
      <c r="U228" s="23" t="str">
        <f t="shared" si="60"/>
        <v>COMOFFNewCKEUE</v>
      </c>
      <c r="V228" s="24">
        <v>2050</v>
      </c>
      <c r="W228" s="24" t="str">
        <f>W227</f>
        <v>UP</v>
      </c>
      <c r="X228" s="24"/>
      <c r="Y228" s="25">
        <f>UC!Y228</f>
        <v>-1</v>
      </c>
      <c r="Z228" s="24"/>
      <c r="AA228" s="24"/>
      <c r="AB228" s="26"/>
      <c r="AC228" s="27"/>
    </row>
    <row r="229" spans="1:29" x14ac:dyDescent="0.25">
      <c r="A229" s="19">
        <f>A225+1</f>
        <v>57</v>
      </c>
      <c r="B229" s="10"/>
      <c r="C229" s="11" t="str">
        <f>SUBSTITUTE(UC!C229,"Old","New")</f>
        <v>*</v>
      </c>
      <c r="D229" s="12"/>
      <c r="E229" s="13" t="str">
        <f>_xlfn.XLOOKUP($A229,Selected_constraint_UC!$A:$A,Selected_constraint_UC!$B:$B)</f>
        <v>COMSTM</v>
      </c>
      <c r="F229" s="13" t="str">
        <f>SUBSTITUTE(_xlfn.XLOOKUP($A229,Selected_constraint_UC!$A:$A,Selected_constraint_UC!$C:$C),"Old","New")</f>
        <v>COMOFFNewCKEUE</v>
      </c>
      <c r="G229" s="13" t="str">
        <f>F229</f>
        <v>COMOFFNewCKEUE</v>
      </c>
      <c r="H229" s="14">
        <v>2019</v>
      </c>
      <c r="I229" s="14" t="s">
        <v>3848</v>
      </c>
      <c r="J229" s="14">
        <v>1</v>
      </c>
      <c r="K229" s="15">
        <f>UC!K229</f>
        <v>0</v>
      </c>
      <c r="L229" s="14">
        <v>0</v>
      </c>
      <c r="M229" s="14">
        <v>5</v>
      </c>
      <c r="N229" s="10"/>
      <c r="O229" s="20"/>
      <c r="Q229" s="11" t="str">
        <f>SUBSTITUTE(UC!Q229,"Old","New")</f>
        <v>*</v>
      </c>
      <c r="R229" s="12"/>
      <c r="S229" s="13" t="str">
        <f t="shared" si="58"/>
        <v>COMSTM</v>
      </c>
      <c r="T229" s="13" t="str">
        <f t="shared" si="59"/>
        <v>COMOFFNewCKEUE</v>
      </c>
      <c r="U229" s="13" t="str">
        <f t="shared" si="60"/>
        <v>COMOFFNewCKEUE</v>
      </c>
      <c r="V229" s="14">
        <f>H229</f>
        <v>2019</v>
      </c>
      <c r="W229" s="29" t="s">
        <v>3849</v>
      </c>
      <c r="X229" s="14">
        <v>1</v>
      </c>
      <c r="Y229" s="15">
        <f>UC!Y229</f>
        <v>-1E-3</v>
      </c>
      <c r="Z229" s="14">
        <v>0</v>
      </c>
      <c r="AA229" s="14">
        <v>5</v>
      </c>
      <c r="AB229" s="10"/>
      <c r="AC229" s="20"/>
    </row>
    <row r="230" spans="1:29" x14ac:dyDescent="0.25">
      <c r="A230" s="10">
        <f>A229</f>
        <v>57</v>
      </c>
      <c r="B230" s="10"/>
      <c r="C230" s="11" t="str">
        <f>SUBSTITUTE(UC!C230,"Old","New")</f>
        <v>*</v>
      </c>
      <c r="D230" s="12"/>
      <c r="E230" s="13" t="str">
        <f t="shared" ref="E230:G232" si="68">E229</f>
        <v>COMSTM</v>
      </c>
      <c r="F230" s="13" t="str">
        <f t="shared" si="68"/>
        <v>COMOFFNewCKEUE</v>
      </c>
      <c r="G230" s="13" t="str">
        <f t="shared" si="68"/>
        <v>COMOFFNewCKEUE</v>
      </c>
      <c r="H230" s="14">
        <v>2025</v>
      </c>
      <c r="I230" s="14" t="str">
        <f>I229</f>
        <v>LO</v>
      </c>
      <c r="J230" s="14"/>
      <c r="K230" s="15">
        <f>UC!K230</f>
        <v>0</v>
      </c>
      <c r="L230" s="14"/>
      <c r="M230" s="14"/>
      <c r="N230" s="10"/>
      <c r="O230" s="20"/>
      <c r="Q230" s="11" t="str">
        <f>SUBSTITUTE(UC!Q230,"Old","New")</f>
        <v>*</v>
      </c>
      <c r="R230" s="12"/>
      <c r="S230" s="13" t="str">
        <f t="shared" si="58"/>
        <v>COMSTM</v>
      </c>
      <c r="T230" s="13" t="str">
        <f t="shared" si="59"/>
        <v>COMOFFNewCKEUE</v>
      </c>
      <c r="U230" s="13" t="str">
        <f t="shared" si="60"/>
        <v>COMOFFNewCKEUE</v>
      </c>
      <c r="V230" s="14">
        <v>2025</v>
      </c>
      <c r="W230" s="14" t="str">
        <f>W229</f>
        <v>UP</v>
      </c>
      <c r="X230" s="14"/>
      <c r="Y230" s="15">
        <f>UC!Y230</f>
        <v>-1E-3</v>
      </c>
      <c r="Z230" s="14"/>
      <c r="AA230" s="14"/>
      <c r="AB230" s="10"/>
      <c r="AC230" s="20"/>
    </row>
    <row r="231" spans="1:29" x14ac:dyDescent="0.25">
      <c r="A231" s="10">
        <f>A230</f>
        <v>57</v>
      </c>
      <c r="B231" s="10"/>
      <c r="C231" s="11" t="str">
        <f>SUBSTITUTE(UC!C231,"Old","New")</f>
        <v>*</v>
      </c>
      <c r="D231" s="12"/>
      <c r="E231" s="13" t="str">
        <f t="shared" si="68"/>
        <v>COMSTM</v>
      </c>
      <c r="F231" s="13" t="str">
        <f t="shared" si="68"/>
        <v>COMOFFNewCKEUE</v>
      </c>
      <c r="G231" s="13" t="str">
        <f t="shared" si="68"/>
        <v>COMOFFNewCKEUE</v>
      </c>
      <c r="H231" s="14">
        <v>2030</v>
      </c>
      <c r="I231" s="14" t="str">
        <f>I230</f>
        <v>LO</v>
      </c>
      <c r="J231" s="14"/>
      <c r="K231" s="15">
        <f>UC!K231</f>
        <v>0</v>
      </c>
      <c r="L231" s="14"/>
      <c r="M231" s="14"/>
      <c r="N231" s="10"/>
      <c r="O231" s="20"/>
      <c r="Q231" s="11" t="str">
        <f>SUBSTITUTE(UC!Q231,"Old","New")</f>
        <v>*</v>
      </c>
      <c r="R231" s="12"/>
      <c r="S231" s="13" t="str">
        <f t="shared" si="58"/>
        <v>COMSTM</v>
      </c>
      <c r="T231" s="13" t="str">
        <f t="shared" si="59"/>
        <v>COMOFFNewCKEUE</v>
      </c>
      <c r="U231" s="13" t="str">
        <f t="shared" si="60"/>
        <v>COMOFFNewCKEUE</v>
      </c>
      <c r="V231" s="14">
        <v>2030</v>
      </c>
      <c r="W231" s="14" t="str">
        <f>W230</f>
        <v>UP</v>
      </c>
      <c r="X231" s="14"/>
      <c r="Y231" s="15">
        <f>UC!Y231</f>
        <v>-1E-3</v>
      </c>
      <c r="Z231" s="14"/>
      <c r="AA231" s="14"/>
      <c r="AB231" s="10"/>
      <c r="AC231" s="20"/>
    </row>
    <row r="232" spans="1:29" x14ac:dyDescent="0.25">
      <c r="A232" s="26">
        <f>A231</f>
        <v>57</v>
      </c>
      <c r="B232" s="26"/>
      <c r="C232" s="21" t="str">
        <f>SUBSTITUTE(UC!C232,"Old","New")</f>
        <v>*</v>
      </c>
      <c r="D232" s="22"/>
      <c r="E232" s="23" t="str">
        <f t="shared" si="68"/>
        <v>COMSTM</v>
      </c>
      <c r="F232" s="23" t="str">
        <f t="shared" si="68"/>
        <v>COMOFFNewCKEUE</v>
      </c>
      <c r="G232" s="23" t="str">
        <f t="shared" si="68"/>
        <v>COMOFFNewCKEUE</v>
      </c>
      <c r="H232" s="24">
        <v>2050</v>
      </c>
      <c r="I232" s="24" t="str">
        <f>I231</f>
        <v>LO</v>
      </c>
      <c r="J232" s="24"/>
      <c r="K232" s="25">
        <f>UC!K232</f>
        <v>0</v>
      </c>
      <c r="L232" s="24"/>
      <c r="M232" s="24"/>
      <c r="N232" s="26"/>
      <c r="O232" s="27"/>
      <c r="Q232" s="21" t="str">
        <f>SUBSTITUTE(UC!Q232,"Old","New")</f>
        <v>*</v>
      </c>
      <c r="R232" s="22"/>
      <c r="S232" s="23" t="str">
        <f t="shared" si="58"/>
        <v>COMSTM</v>
      </c>
      <c r="T232" s="23" t="str">
        <f t="shared" si="59"/>
        <v>COMOFFNewCKEUE</v>
      </c>
      <c r="U232" s="23" t="str">
        <f t="shared" si="60"/>
        <v>COMOFFNewCKEUE</v>
      </c>
      <c r="V232" s="24">
        <v>2050</v>
      </c>
      <c r="W232" s="24" t="str">
        <f>W231</f>
        <v>UP</v>
      </c>
      <c r="X232" s="24"/>
      <c r="Y232" s="25">
        <f>UC!Y232</f>
        <v>-2E-3</v>
      </c>
      <c r="Z232" s="24"/>
      <c r="AA232" s="24"/>
      <c r="AB232" s="26"/>
      <c r="AC232" s="27"/>
    </row>
    <row r="233" spans="1:29" x14ac:dyDescent="0.25">
      <c r="A233" s="19">
        <f>A229+1</f>
        <v>58</v>
      </c>
      <c r="B233" s="10"/>
      <c r="C233" s="11" t="str">
        <f>SUBSTITUTE(UC!C233,"Old","New")</f>
        <v>*</v>
      </c>
      <c r="D233" s="12"/>
      <c r="E233" s="13" t="str">
        <f>_xlfn.XLOOKUP($A233,Selected_constraint_UC!$A:$A,Selected_constraint_UC!$B:$B)</f>
        <v>COMELC</v>
      </c>
      <c r="F233" s="13" t="str">
        <f>SUBSTITUTE(_xlfn.XLOOKUP($A233,Selected_constraint_UC!$A:$A,Selected_constraint_UC!$C:$C),"Old","New")</f>
        <v>COMOFFNewCKEUE</v>
      </c>
      <c r="G233" s="13" t="str">
        <f>F233</f>
        <v>COMOFFNewCKEUE</v>
      </c>
      <c r="H233" s="14">
        <v>2019</v>
      </c>
      <c r="I233" s="14" t="s">
        <v>3848</v>
      </c>
      <c r="J233" s="14">
        <v>1</v>
      </c>
      <c r="K233" s="15">
        <f>UC!K233</f>
        <v>-3.4300000000000004E-2</v>
      </c>
      <c r="L233" s="14">
        <v>0</v>
      </c>
      <c r="M233" s="14">
        <v>5</v>
      </c>
      <c r="N233" s="10"/>
      <c r="O233" s="20"/>
      <c r="Q233" s="11" t="str">
        <f>SUBSTITUTE(UC!Q233,"Old","New")</f>
        <v>*</v>
      </c>
      <c r="R233" s="12"/>
      <c r="S233" s="13" t="str">
        <f t="shared" si="58"/>
        <v>COMELC</v>
      </c>
      <c r="T233" s="13" t="str">
        <f t="shared" si="59"/>
        <v>COMOFFNewCKEUE</v>
      </c>
      <c r="U233" s="13" t="str">
        <f t="shared" si="60"/>
        <v>COMOFFNewCKEUE</v>
      </c>
      <c r="V233" s="14">
        <f>H233</f>
        <v>2019</v>
      </c>
      <c r="W233" s="29" t="s">
        <v>3849</v>
      </c>
      <c r="X233" s="14">
        <v>1</v>
      </c>
      <c r="Y233" s="15">
        <f>UC!Y233</f>
        <v>-3.6000000000000004E-2</v>
      </c>
      <c r="Z233" s="14">
        <v>0</v>
      </c>
      <c r="AA233" s="14">
        <v>5</v>
      </c>
      <c r="AB233" s="10"/>
      <c r="AC233" s="20"/>
    </row>
    <row r="234" spans="1:29" x14ac:dyDescent="0.25">
      <c r="A234" s="10">
        <f>A233</f>
        <v>58</v>
      </c>
      <c r="B234" s="10"/>
      <c r="C234" s="11" t="str">
        <f>SUBSTITUTE(UC!C234,"Old","New")</f>
        <v>*</v>
      </c>
      <c r="D234" s="12"/>
      <c r="E234" s="13" t="str">
        <f t="shared" ref="E234:G236" si="69">E233</f>
        <v>COMELC</v>
      </c>
      <c r="F234" s="13" t="str">
        <f t="shared" si="69"/>
        <v>COMOFFNewCKEUE</v>
      </c>
      <c r="G234" s="13" t="str">
        <f t="shared" si="69"/>
        <v>COMOFFNewCKEUE</v>
      </c>
      <c r="H234" s="14">
        <v>2025</v>
      </c>
      <c r="I234" s="14" t="str">
        <f>I233</f>
        <v>LO</v>
      </c>
      <c r="J234" s="14"/>
      <c r="K234" s="15">
        <f>UC!K234</f>
        <v>-2.8000000000000004E-2</v>
      </c>
      <c r="L234" s="14"/>
      <c r="M234" s="14"/>
      <c r="N234" s="10"/>
      <c r="O234" s="20"/>
      <c r="Q234" s="11" t="str">
        <f>SUBSTITUTE(UC!Q234,"Old","New")</f>
        <v>*</v>
      </c>
      <c r="R234" s="12"/>
      <c r="S234" s="13" t="str">
        <f t="shared" si="58"/>
        <v>COMELC</v>
      </c>
      <c r="T234" s="13" t="str">
        <f t="shared" si="59"/>
        <v>COMOFFNewCKEUE</v>
      </c>
      <c r="U234" s="13" t="str">
        <f t="shared" si="60"/>
        <v>COMOFFNewCKEUE</v>
      </c>
      <c r="V234" s="14">
        <v>2025</v>
      </c>
      <c r="W234" s="14" t="str">
        <f>W233</f>
        <v>UP</v>
      </c>
      <c r="X234" s="14"/>
      <c r="Y234" s="15">
        <f>UC!Y234</f>
        <v>-0.25</v>
      </c>
      <c r="Z234" s="14"/>
      <c r="AA234" s="14"/>
      <c r="AB234" s="10"/>
      <c r="AC234" s="20"/>
    </row>
    <row r="235" spans="1:29" x14ac:dyDescent="0.25">
      <c r="A235" s="10">
        <f>A234</f>
        <v>58</v>
      </c>
      <c r="B235" s="10"/>
      <c r="C235" s="11" t="str">
        <f>SUBSTITUTE(UC!C235,"Old","New")</f>
        <v>*</v>
      </c>
      <c r="D235" s="12"/>
      <c r="E235" s="13" t="str">
        <f t="shared" si="69"/>
        <v>COMELC</v>
      </c>
      <c r="F235" s="13" t="str">
        <f t="shared" si="69"/>
        <v>COMOFFNewCKEUE</v>
      </c>
      <c r="G235" s="13" t="str">
        <f t="shared" si="69"/>
        <v>COMOFFNewCKEUE</v>
      </c>
      <c r="H235" s="14">
        <v>2030</v>
      </c>
      <c r="I235" s="14" t="str">
        <f>I234</f>
        <v>LO</v>
      </c>
      <c r="J235" s="14"/>
      <c r="K235" s="15">
        <f>UC!K235</f>
        <v>-7.000000000000001E-3</v>
      </c>
      <c r="L235" s="14"/>
      <c r="M235" s="14"/>
      <c r="N235" s="10"/>
      <c r="O235" s="20"/>
      <c r="Q235" s="11" t="str">
        <f>SUBSTITUTE(UC!Q235,"Old","New")</f>
        <v>*</v>
      </c>
      <c r="R235" s="12"/>
      <c r="S235" s="13" t="str">
        <f t="shared" si="58"/>
        <v>COMELC</v>
      </c>
      <c r="T235" s="13" t="str">
        <f t="shared" si="59"/>
        <v>COMOFFNewCKEUE</v>
      </c>
      <c r="U235" s="13" t="str">
        <f t="shared" si="60"/>
        <v>COMOFFNewCKEUE</v>
      </c>
      <c r="V235" s="14">
        <v>2030</v>
      </c>
      <c r="W235" s="14" t="str">
        <f>W234</f>
        <v>UP</v>
      </c>
      <c r="X235" s="14"/>
      <c r="Y235" s="15">
        <f>UC!Y235</f>
        <v>-0.5</v>
      </c>
      <c r="Z235" s="14"/>
      <c r="AA235" s="14"/>
      <c r="AB235" s="10"/>
      <c r="AC235" s="20"/>
    </row>
    <row r="236" spans="1:29" x14ac:dyDescent="0.25">
      <c r="A236" s="26">
        <f>A235</f>
        <v>58</v>
      </c>
      <c r="B236" s="26"/>
      <c r="C236" s="21" t="str">
        <f>SUBSTITUTE(UC!C236,"Old","New")</f>
        <v>*</v>
      </c>
      <c r="D236" s="22"/>
      <c r="E236" s="23" t="str">
        <f t="shared" si="69"/>
        <v>COMELC</v>
      </c>
      <c r="F236" s="23" t="str">
        <f t="shared" si="69"/>
        <v>COMOFFNewCKEUE</v>
      </c>
      <c r="G236" s="23" t="str">
        <f t="shared" si="69"/>
        <v>COMOFFNewCKEUE</v>
      </c>
      <c r="H236" s="24">
        <v>2050</v>
      </c>
      <c r="I236" s="24" t="str">
        <f>I235</f>
        <v>LO</v>
      </c>
      <c r="J236" s="24"/>
      <c r="K236" s="25">
        <f>UC!K236</f>
        <v>0</v>
      </c>
      <c r="L236" s="24"/>
      <c r="M236" s="24"/>
      <c r="N236" s="26"/>
      <c r="O236" s="27"/>
      <c r="Q236" s="21" t="str">
        <f>SUBSTITUTE(UC!Q236,"Old","New")</f>
        <v>*</v>
      </c>
      <c r="R236" s="22"/>
      <c r="S236" s="23" t="str">
        <f t="shared" si="58"/>
        <v>COMELC</v>
      </c>
      <c r="T236" s="23" t="str">
        <f t="shared" si="59"/>
        <v>COMOFFNewCKEUE</v>
      </c>
      <c r="U236" s="23" t="str">
        <f t="shared" si="60"/>
        <v>COMOFFNewCKEUE</v>
      </c>
      <c r="V236" s="24">
        <v>2050</v>
      </c>
      <c r="W236" s="24" t="str">
        <f>W235</f>
        <v>UP</v>
      </c>
      <c r="X236" s="24"/>
      <c r="Y236" s="25">
        <f>UC!Y236</f>
        <v>-1</v>
      </c>
      <c r="Z236" s="24"/>
      <c r="AA236" s="24"/>
      <c r="AB236" s="26"/>
      <c r="AC236" s="27"/>
    </row>
    <row r="237" spans="1:29" x14ac:dyDescent="0.25">
      <c r="A237" s="19">
        <f>A233+1</f>
        <v>59</v>
      </c>
      <c r="B237" s="10"/>
      <c r="C237" s="11" t="str">
        <f>SUBSTITUTE(UC!C237,"Old","New")</f>
        <v>*</v>
      </c>
      <c r="D237" s="12"/>
      <c r="E237" s="13" t="str">
        <f>_xlfn.XLOOKUP($A237,Selected_constraint_UC!$A:$A,Selected_constraint_UC!$B:$B)</f>
        <v>COMELC</v>
      </c>
      <c r="F237" s="13" t="str">
        <f>SUBSTITUTE(_xlfn.XLOOKUP($A237,Selected_constraint_UC!$A:$A,Selected_constraint_UC!$C:$C),"Old","New")</f>
        <v>COMOFFNewREEUE</v>
      </c>
      <c r="G237" s="13" t="str">
        <f>F237</f>
        <v>COMOFFNewREEUE</v>
      </c>
      <c r="H237" s="14">
        <v>2019</v>
      </c>
      <c r="I237" s="14" t="s">
        <v>3848</v>
      </c>
      <c r="J237" s="14">
        <v>1</v>
      </c>
      <c r="K237" s="15">
        <f>UC!K237</f>
        <v>-0.98</v>
      </c>
      <c r="L237" s="14">
        <v>0</v>
      </c>
      <c r="M237" s="14">
        <v>5</v>
      </c>
      <c r="N237" s="10"/>
      <c r="O237" s="20"/>
      <c r="Q237" s="11" t="str">
        <f>SUBSTITUTE(UC!Q237,"Old","New")</f>
        <v>*</v>
      </c>
      <c r="R237" s="12"/>
      <c r="S237" s="13" t="str">
        <f t="shared" si="58"/>
        <v>COMELC</v>
      </c>
      <c r="T237" s="13" t="str">
        <f t="shared" si="59"/>
        <v>COMOFFNewREEUE</v>
      </c>
      <c r="U237" s="13" t="str">
        <f t="shared" si="60"/>
        <v>COMOFFNewREEUE</v>
      </c>
      <c r="V237" s="14">
        <f>H237</f>
        <v>2019</v>
      </c>
      <c r="W237" s="29" t="s">
        <v>3849</v>
      </c>
      <c r="X237" s="14">
        <v>1</v>
      </c>
      <c r="Y237" s="15">
        <f>UC!Y237</f>
        <v>-1</v>
      </c>
      <c r="Z237" s="14">
        <v>0</v>
      </c>
      <c r="AA237" s="14">
        <v>5</v>
      </c>
      <c r="AB237" s="10"/>
      <c r="AC237" s="20"/>
    </row>
    <row r="238" spans="1:29" x14ac:dyDescent="0.25">
      <c r="A238" s="10">
        <f>A237</f>
        <v>59</v>
      </c>
      <c r="B238" s="10"/>
      <c r="C238" s="11" t="str">
        <f>SUBSTITUTE(UC!C238,"Old","New")</f>
        <v>*</v>
      </c>
      <c r="D238" s="12"/>
      <c r="E238" s="13" t="str">
        <f t="shared" ref="E238:G240" si="70">E237</f>
        <v>COMELC</v>
      </c>
      <c r="F238" s="13" t="str">
        <f t="shared" si="70"/>
        <v>COMOFFNewREEUE</v>
      </c>
      <c r="G238" s="13" t="str">
        <f t="shared" si="70"/>
        <v>COMOFFNewREEUE</v>
      </c>
      <c r="H238" s="14">
        <v>2025</v>
      </c>
      <c r="I238" s="14" t="str">
        <f>I237</f>
        <v>LO</v>
      </c>
      <c r="J238" s="14"/>
      <c r="K238" s="15">
        <f>UC!K238</f>
        <v>-0.8</v>
      </c>
      <c r="L238" s="14"/>
      <c r="M238" s="14"/>
      <c r="N238" s="10"/>
      <c r="O238" s="20"/>
      <c r="Q238" s="11" t="str">
        <f>SUBSTITUTE(UC!Q238,"Old","New")</f>
        <v>*</v>
      </c>
      <c r="R238" s="12"/>
      <c r="S238" s="13" t="str">
        <f t="shared" si="58"/>
        <v>COMELC</v>
      </c>
      <c r="T238" s="13" t="str">
        <f t="shared" si="59"/>
        <v>COMOFFNewREEUE</v>
      </c>
      <c r="U238" s="13" t="str">
        <f t="shared" si="60"/>
        <v>COMOFFNewREEUE</v>
      </c>
      <c r="V238" s="14">
        <v>2025</v>
      </c>
      <c r="W238" s="14" t="str">
        <f>W237</f>
        <v>UP</v>
      </c>
      <c r="X238" s="14"/>
      <c r="Y238" s="15">
        <f>UC!Y238</f>
        <v>-1</v>
      </c>
      <c r="Z238" s="14"/>
      <c r="AA238" s="14"/>
      <c r="AB238" s="10"/>
      <c r="AC238" s="20"/>
    </row>
    <row r="239" spans="1:29" x14ac:dyDescent="0.25">
      <c r="A239" s="10">
        <f>A238</f>
        <v>59</v>
      </c>
      <c r="B239" s="10"/>
      <c r="C239" s="11" t="str">
        <f>SUBSTITUTE(UC!C239,"Old","New")</f>
        <v>*</v>
      </c>
      <c r="D239" s="12"/>
      <c r="E239" s="13" t="str">
        <f t="shared" si="70"/>
        <v>COMELC</v>
      </c>
      <c r="F239" s="13" t="str">
        <f t="shared" si="70"/>
        <v>COMOFFNewREEUE</v>
      </c>
      <c r="G239" s="13" t="str">
        <f t="shared" si="70"/>
        <v>COMOFFNewREEUE</v>
      </c>
      <c r="H239" s="14">
        <v>2030</v>
      </c>
      <c r="I239" s="14" t="str">
        <f>I238</f>
        <v>LO</v>
      </c>
      <c r="J239" s="14"/>
      <c r="K239" s="15">
        <f>UC!K239</f>
        <v>-0.2</v>
      </c>
      <c r="L239" s="14"/>
      <c r="M239" s="14"/>
      <c r="N239" s="10"/>
      <c r="O239" s="20"/>
      <c r="Q239" s="11" t="str">
        <f>SUBSTITUTE(UC!Q239,"Old","New")</f>
        <v>*</v>
      </c>
      <c r="R239" s="12"/>
      <c r="S239" s="13" t="str">
        <f t="shared" si="58"/>
        <v>COMELC</v>
      </c>
      <c r="T239" s="13" t="str">
        <f t="shared" si="59"/>
        <v>COMOFFNewREEUE</v>
      </c>
      <c r="U239" s="13" t="str">
        <f t="shared" si="60"/>
        <v>COMOFFNewREEUE</v>
      </c>
      <c r="V239" s="14">
        <v>2030</v>
      </c>
      <c r="W239" s="14" t="str">
        <f>W238</f>
        <v>UP</v>
      </c>
      <c r="X239" s="14"/>
      <c r="Y239" s="15">
        <f>UC!Y239</f>
        <v>-1</v>
      </c>
      <c r="Z239" s="14"/>
      <c r="AA239" s="14"/>
      <c r="AB239" s="10"/>
      <c r="AC239" s="20"/>
    </row>
    <row r="240" spans="1:29" x14ac:dyDescent="0.25">
      <c r="A240" s="26">
        <f>A239</f>
        <v>59</v>
      </c>
      <c r="B240" s="26"/>
      <c r="C240" s="21" t="str">
        <f>SUBSTITUTE(UC!C240,"Old","New")</f>
        <v>*</v>
      </c>
      <c r="D240" s="22"/>
      <c r="E240" s="23" t="str">
        <f t="shared" si="70"/>
        <v>COMELC</v>
      </c>
      <c r="F240" s="23" t="str">
        <f t="shared" si="70"/>
        <v>COMOFFNewREEUE</v>
      </c>
      <c r="G240" s="23" t="str">
        <f t="shared" si="70"/>
        <v>COMOFFNewREEUE</v>
      </c>
      <c r="H240" s="24">
        <v>2050</v>
      </c>
      <c r="I240" s="24" t="str">
        <f>I239</f>
        <v>LO</v>
      </c>
      <c r="J240" s="24"/>
      <c r="K240" s="25">
        <f>UC!K240</f>
        <v>0</v>
      </c>
      <c r="L240" s="24"/>
      <c r="M240" s="24"/>
      <c r="N240" s="26"/>
      <c r="O240" s="27"/>
      <c r="Q240" s="21" t="str">
        <f>SUBSTITUTE(UC!Q240,"Old","New")</f>
        <v>*</v>
      </c>
      <c r="R240" s="22"/>
      <c r="S240" s="23" t="str">
        <f t="shared" si="58"/>
        <v>COMELC</v>
      </c>
      <c r="T240" s="23" t="str">
        <f t="shared" si="59"/>
        <v>COMOFFNewREEUE</v>
      </c>
      <c r="U240" s="23" t="str">
        <f t="shared" si="60"/>
        <v>COMOFFNewREEUE</v>
      </c>
      <c r="V240" s="24">
        <v>2050</v>
      </c>
      <c r="W240" s="24" t="str">
        <f>W239</f>
        <v>UP</v>
      </c>
      <c r="X240" s="24"/>
      <c r="Y240" s="25">
        <f>UC!Y240</f>
        <v>-1</v>
      </c>
      <c r="Z240" s="24"/>
      <c r="AA240" s="24"/>
      <c r="AB240" s="26"/>
      <c r="AC240" s="27"/>
    </row>
    <row r="241" spans="1:29" x14ac:dyDescent="0.25">
      <c r="A241" s="19">
        <f>A237+1</f>
        <v>60</v>
      </c>
      <c r="B241" s="10"/>
      <c r="C241" s="11" t="str">
        <f>SUBSTITUTE(UC!C241,"Old","New")</f>
        <v>*</v>
      </c>
      <c r="D241" s="12"/>
      <c r="E241" s="13" t="str">
        <f>_xlfn.XLOOKUP($A241,Selected_constraint_UC!$A:$A,Selected_constraint_UC!$B:$B)</f>
        <v>COMFOI</v>
      </c>
      <c r="F241" s="13" t="str">
        <f>SUBSTITUTE(_xlfn.XLOOKUP($A241,Selected_constraint_UC!$A:$A,Selected_constraint_UC!$C:$C),"Old","New")</f>
        <v>COMOFFNewOEEUE</v>
      </c>
      <c r="G241" s="13" t="str">
        <f>F241</f>
        <v>COMOFFNewOEEUE</v>
      </c>
      <c r="H241" s="14">
        <v>2019</v>
      </c>
      <c r="I241" s="14" t="s">
        <v>3848</v>
      </c>
      <c r="J241" s="14">
        <v>1</v>
      </c>
      <c r="K241" s="15">
        <f>UC!K241</f>
        <v>-0.10192</v>
      </c>
      <c r="L241" s="14">
        <v>0</v>
      </c>
      <c r="M241" s="14">
        <v>5</v>
      </c>
      <c r="N241" s="10"/>
      <c r="O241" s="20"/>
      <c r="Q241" s="11" t="str">
        <f>SUBSTITUTE(UC!Q241,"Old","New")</f>
        <v>*</v>
      </c>
      <c r="R241" s="12"/>
      <c r="S241" s="13" t="str">
        <f t="shared" si="58"/>
        <v>COMFOI</v>
      </c>
      <c r="T241" s="13" t="str">
        <f t="shared" si="59"/>
        <v>COMOFFNewOEEUE</v>
      </c>
      <c r="U241" s="13" t="str">
        <f t="shared" si="60"/>
        <v>COMOFFNewOEEUE</v>
      </c>
      <c r="V241" s="14">
        <f>H241</f>
        <v>2019</v>
      </c>
      <c r="W241" s="29" t="s">
        <v>3849</v>
      </c>
      <c r="X241" s="14">
        <v>1</v>
      </c>
      <c r="Y241" s="15">
        <f>UC!Y241</f>
        <v>-0.107</v>
      </c>
      <c r="Z241" s="14">
        <v>0</v>
      </c>
      <c r="AA241" s="14">
        <v>5</v>
      </c>
      <c r="AB241" s="10"/>
      <c r="AC241" s="20"/>
    </row>
    <row r="242" spans="1:29" x14ac:dyDescent="0.25">
      <c r="A242" s="10">
        <f>A241</f>
        <v>60</v>
      </c>
      <c r="B242" s="10"/>
      <c r="C242" s="11" t="str">
        <f>SUBSTITUTE(UC!C242,"Old","New")</f>
        <v>*</v>
      </c>
      <c r="D242" s="12"/>
      <c r="E242" s="13" t="str">
        <f t="shared" ref="E242:G244" si="71">E241</f>
        <v>COMFOI</v>
      </c>
      <c r="F242" s="13" t="str">
        <f t="shared" si="71"/>
        <v>COMOFFNewOEEUE</v>
      </c>
      <c r="G242" s="13" t="str">
        <f t="shared" si="71"/>
        <v>COMOFFNewOEEUE</v>
      </c>
      <c r="H242" s="14">
        <v>2025</v>
      </c>
      <c r="I242" s="14" t="str">
        <f>I241</f>
        <v>LO</v>
      </c>
      <c r="J242" s="14"/>
      <c r="K242" s="15">
        <f>UC!K242</f>
        <v>-8.3199999999999996E-2</v>
      </c>
      <c r="L242" s="14"/>
      <c r="M242" s="14"/>
      <c r="N242" s="10"/>
      <c r="O242" s="20"/>
      <c r="Q242" s="11" t="str">
        <f>SUBSTITUTE(UC!Q242,"Old","New")</f>
        <v>*</v>
      </c>
      <c r="R242" s="12"/>
      <c r="S242" s="13" t="str">
        <f t="shared" si="58"/>
        <v>COMFOI</v>
      </c>
      <c r="T242" s="13" t="str">
        <f t="shared" si="59"/>
        <v>COMOFFNewOEEUE</v>
      </c>
      <c r="U242" s="13" t="str">
        <f t="shared" si="60"/>
        <v>COMOFFNewOEEUE</v>
      </c>
      <c r="V242" s="14">
        <v>2025</v>
      </c>
      <c r="W242" s="14" t="str">
        <f>W241</f>
        <v>UP</v>
      </c>
      <c r="X242" s="14"/>
      <c r="Y242" s="15">
        <f>UC!Y242</f>
        <v>-0.126</v>
      </c>
      <c r="Z242" s="14"/>
      <c r="AA242" s="14"/>
      <c r="AB242" s="10"/>
      <c r="AC242" s="20"/>
    </row>
    <row r="243" spans="1:29" x14ac:dyDescent="0.25">
      <c r="A243" s="10">
        <f>A242</f>
        <v>60</v>
      </c>
      <c r="B243" s="10"/>
      <c r="C243" s="11" t="str">
        <f>SUBSTITUTE(UC!C243,"Old","New")</f>
        <v>*</v>
      </c>
      <c r="D243" s="12"/>
      <c r="E243" s="13" t="str">
        <f t="shared" si="71"/>
        <v>COMFOI</v>
      </c>
      <c r="F243" s="13" t="str">
        <f t="shared" si="71"/>
        <v>COMOFFNewOEEUE</v>
      </c>
      <c r="G243" s="13" t="str">
        <f t="shared" si="71"/>
        <v>COMOFFNewOEEUE</v>
      </c>
      <c r="H243" s="14">
        <v>2030</v>
      </c>
      <c r="I243" s="14" t="str">
        <f>I242</f>
        <v>LO</v>
      </c>
      <c r="J243" s="14"/>
      <c r="K243" s="15">
        <f>UC!K243</f>
        <v>-2.0799999999999999E-2</v>
      </c>
      <c r="L243" s="14"/>
      <c r="M243" s="14"/>
      <c r="N243" s="10"/>
      <c r="O243" s="20"/>
      <c r="Q243" s="11" t="str">
        <f>SUBSTITUTE(UC!Q243,"Old","New")</f>
        <v>*</v>
      </c>
      <c r="R243" s="12"/>
      <c r="S243" s="13" t="str">
        <f t="shared" si="58"/>
        <v>COMFOI</v>
      </c>
      <c r="T243" s="13" t="str">
        <f t="shared" si="59"/>
        <v>COMOFFNewOEEUE</v>
      </c>
      <c r="U243" s="13" t="str">
        <f t="shared" si="60"/>
        <v>COMOFFNewOEEUE</v>
      </c>
      <c r="V243" s="14">
        <v>2030</v>
      </c>
      <c r="W243" s="14" t="str">
        <f>W242</f>
        <v>UP</v>
      </c>
      <c r="X243" s="14"/>
      <c r="Y243" s="15">
        <f>UC!Y243</f>
        <v>-0.157</v>
      </c>
      <c r="Z243" s="14"/>
      <c r="AA243" s="14"/>
      <c r="AB243" s="10"/>
      <c r="AC243" s="20"/>
    </row>
    <row r="244" spans="1:29" x14ac:dyDescent="0.25">
      <c r="A244" s="26">
        <f>A243</f>
        <v>60</v>
      </c>
      <c r="B244" s="26"/>
      <c r="C244" s="21" t="str">
        <f>SUBSTITUTE(UC!C244,"Old","New")</f>
        <v>*</v>
      </c>
      <c r="D244" s="22"/>
      <c r="E244" s="23" t="str">
        <f t="shared" si="71"/>
        <v>COMFOI</v>
      </c>
      <c r="F244" s="23" t="str">
        <f t="shared" si="71"/>
        <v>COMOFFNewOEEUE</v>
      </c>
      <c r="G244" s="23" t="str">
        <f t="shared" si="71"/>
        <v>COMOFFNewOEEUE</v>
      </c>
      <c r="H244" s="24">
        <v>2050</v>
      </c>
      <c r="I244" s="24" t="str">
        <f>I243</f>
        <v>LO</v>
      </c>
      <c r="J244" s="24"/>
      <c r="K244" s="25">
        <f>UC!K244</f>
        <v>0</v>
      </c>
      <c r="L244" s="24"/>
      <c r="M244" s="24"/>
      <c r="N244" s="26"/>
      <c r="O244" s="27"/>
      <c r="Q244" s="21" t="str">
        <f>SUBSTITUTE(UC!Q244,"Old","New")</f>
        <v>*</v>
      </c>
      <c r="R244" s="22"/>
      <c r="S244" s="23" t="str">
        <f t="shared" si="58"/>
        <v>COMFOI</v>
      </c>
      <c r="T244" s="23" t="str">
        <f t="shared" si="59"/>
        <v>COMOFFNewOEEUE</v>
      </c>
      <c r="U244" s="23" t="str">
        <f t="shared" si="60"/>
        <v>COMOFFNewOEEUE</v>
      </c>
      <c r="V244" s="24">
        <v>2050</v>
      </c>
      <c r="W244" s="24" t="str">
        <f>W243</f>
        <v>UP</v>
      </c>
      <c r="X244" s="24"/>
      <c r="Y244" s="25">
        <f>UC!Y244</f>
        <v>-0.314</v>
      </c>
      <c r="Z244" s="24"/>
      <c r="AA244" s="24"/>
      <c r="AB244" s="26"/>
      <c r="AC244" s="27"/>
    </row>
    <row r="245" spans="1:29" x14ac:dyDescent="0.25">
      <c r="A245" s="19">
        <f>A241+1</f>
        <v>61</v>
      </c>
      <c r="B245" s="10"/>
      <c r="C245" s="11" t="str">
        <f>SUBSTITUTE(UC!C245,"Old","New")</f>
        <v>UC_MarketShare_COMOFFNewOE_NGA_MIN</v>
      </c>
      <c r="D245" s="12"/>
      <c r="E245" s="13" t="str">
        <f>_xlfn.XLOOKUP($A245,Selected_constraint_UC!$A:$A,Selected_constraint_UC!$B:$B)</f>
        <v>COMNGA</v>
      </c>
      <c r="F245" s="13" t="str">
        <f>SUBSTITUTE(_xlfn.XLOOKUP($A245,Selected_constraint_UC!$A:$A,Selected_constraint_UC!$C:$C),"Old","New")</f>
        <v>COMOFFNewOEEUE</v>
      </c>
      <c r="G245" s="13" t="str">
        <f>F245</f>
        <v>COMOFFNewOEEUE</v>
      </c>
      <c r="H245" s="14">
        <v>2019</v>
      </c>
      <c r="I245" s="14" t="s">
        <v>3848</v>
      </c>
      <c r="J245" s="14">
        <v>1</v>
      </c>
      <c r="K245" s="15">
        <f>UC!K245</f>
        <v>-9.5060000000000006E-2</v>
      </c>
      <c r="L245" s="14">
        <v>0</v>
      </c>
      <c r="M245" s="14">
        <v>5</v>
      </c>
      <c r="N245" s="10"/>
      <c r="O245" s="20"/>
      <c r="Q245" s="11" t="str">
        <f>SUBSTITUTE(UC!Q245,"Old","New")</f>
        <v>UC_MarketShare_COMOFFNewOE_NGA_MAX</v>
      </c>
      <c r="R245" s="12"/>
      <c r="S245" s="13" t="str">
        <f t="shared" si="58"/>
        <v>COMNGA</v>
      </c>
      <c r="T245" s="13" t="str">
        <f t="shared" si="59"/>
        <v>COMOFFNewOEEUE</v>
      </c>
      <c r="U245" s="13" t="str">
        <f t="shared" si="60"/>
        <v>COMOFFNewOEEUE</v>
      </c>
      <c r="V245" s="14">
        <f>H245</f>
        <v>2019</v>
      </c>
      <c r="W245" s="29" t="s">
        <v>3849</v>
      </c>
      <c r="X245" s="14">
        <v>1</v>
      </c>
      <c r="Y245" s="15">
        <f>UC!Y245</f>
        <v>-0.1</v>
      </c>
      <c r="Z245" s="14">
        <v>0</v>
      </c>
      <c r="AA245" s="14">
        <v>5</v>
      </c>
      <c r="AB245" s="10"/>
      <c r="AC245" s="20"/>
    </row>
    <row r="246" spans="1:29" x14ac:dyDescent="0.25">
      <c r="A246" s="10">
        <f>A245</f>
        <v>61</v>
      </c>
      <c r="B246" s="10"/>
      <c r="C246" s="11" t="str">
        <f>SUBSTITUTE(UC!C246,"Old","New")</f>
        <v/>
      </c>
      <c r="D246" s="12"/>
      <c r="E246" s="13" t="str">
        <f t="shared" ref="E246:G248" si="72">E245</f>
        <v>COMNGA</v>
      </c>
      <c r="F246" s="13" t="str">
        <f t="shared" si="72"/>
        <v>COMOFFNewOEEUE</v>
      </c>
      <c r="G246" s="13" t="str">
        <f t="shared" si="72"/>
        <v>COMOFFNewOEEUE</v>
      </c>
      <c r="H246" s="14">
        <v>2025</v>
      </c>
      <c r="I246" s="14" t="str">
        <f>I245</f>
        <v>LO</v>
      </c>
      <c r="J246" s="14"/>
      <c r="K246" s="15">
        <f>UC!K246</f>
        <v>-7.7600000000000002E-2</v>
      </c>
      <c r="L246" s="14"/>
      <c r="M246" s="14"/>
      <c r="N246" s="10"/>
      <c r="O246" s="20"/>
      <c r="Q246" s="11" t="str">
        <f>SUBSTITUTE(UC!Q246,"Old","New")</f>
        <v/>
      </c>
      <c r="R246" s="12"/>
      <c r="S246" s="13" t="str">
        <f t="shared" si="58"/>
        <v>COMNGA</v>
      </c>
      <c r="T246" s="13" t="str">
        <f t="shared" si="59"/>
        <v>COMOFFNewOEEUE</v>
      </c>
      <c r="U246" s="13" t="str">
        <f t="shared" si="60"/>
        <v>COMOFFNewOEEUE</v>
      </c>
      <c r="V246" s="14">
        <v>2025</v>
      </c>
      <c r="W246" s="14" t="str">
        <f>W245</f>
        <v>UP</v>
      </c>
      <c r="X246" s="14"/>
      <c r="Y246" s="15">
        <f>UC!Y246</f>
        <v>-0.11800000000000001</v>
      </c>
      <c r="Z246" s="14"/>
      <c r="AA246" s="14"/>
      <c r="AB246" s="10"/>
      <c r="AC246" s="20"/>
    </row>
    <row r="247" spans="1:29" x14ac:dyDescent="0.25">
      <c r="A247" s="10">
        <f>A246</f>
        <v>61</v>
      </c>
      <c r="B247" s="10"/>
      <c r="C247" s="11" t="str">
        <f>SUBSTITUTE(UC!C247,"Old","New")</f>
        <v/>
      </c>
      <c r="D247" s="12"/>
      <c r="E247" s="13" t="str">
        <f t="shared" si="72"/>
        <v>COMNGA</v>
      </c>
      <c r="F247" s="13" t="str">
        <f t="shared" si="72"/>
        <v>COMOFFNewOEEUE</v>
      </c>
      <c r="G247" s="13" t="str">
        <f t="shared" si="72"/>
        <v>COMOFFNewOEEUE</v>
      </c>
      <c r="H247" s="14">
        <v>2030</v>
      </c>
      <c r="I247" s="14" t="str">
        <f>I246</f>
        <v>LO</v>
      </c>
      <c r="J247" s="14"/>
      <c r="K247" s="15">
        <f>UC!K247</f>
        <v>-1.9400000000000001E-2</v>
      </c>
      <c r="L247" s="14"/>
      <c r="M247" s="14"/>
      <c r="N247" s="10"/>
      <c r="O247" s="20"/>
      <c r="Q247" s="11" t="str">
        <f>SUBSTITUTE(UC!Q247,"Old","New")</f>
        <v/>
      </c>
      <c r="R247" s="12"/>
      <c r="S247" s="13" t="str">
        <f t="shared" si="58"/>
        <v>COMNGA</v>
      </c>
      <c r="T247" s="13" t="str">
        <f t="shared" si="59"/>
        <v>COMOFFNewOEEUE</v>
      </c>
      <c r="U247" s="13" t="str">
        <f t="shared" si="60"/>
        <v>COMOFFNewOEEUE</v>
      </c>
      <c r="V247" s="14">
        <v>2030</v>
      </c>
      <c r="W247" s="14" t="str">
        <f>W246</f>
        <v>UP</v>
      </c>
      <c r="X247" s="14"/>
      <c r="Y247" s="15">
        <f>UC!Y247</f>
        <v>-0.14699999999999999</v>
      </c>
      <c r="Z247" s="14"/>
      <c r="AA247" s="14"/>
      <c r="AB247" s="10"/>
      <c r="AC247" s="20"/>
    </row>
    <row r="248" spans="1:29" x14ac:dyDescent="0.25">
      <c r="A248" s="26">
        <f>A247</f>
        <v>61</v>
      </c>
      <c r="B248" s="26"/>
      <c r="C248" s="21" t="str">
        <f>SUBSTITUTE(UC!C248,"Old","New")</f>
        <v/>
      </c>
      <c r="D248" s="22"/>
      <c r="E248" s="23" t="str">
        <f t="shared" si="72"/>
        <v>COMNGA</v>
      </c>
      <c r="F248" s="23" t="str">
        <f t="shared" si="72"/>
        <v>COMOFFNewOEEUE</v>
      </c>
      <c r="G248" s="23" t="str">
        <f t="shared" si="72"/>
        <v>COMOFFNewOEEUE</v>
      </c>
      <c r="H248" s="24">
        <v>2050</v>
      </c>
      <c r="I248" s="24" t="str">
        <f>I247</f>
        <v>LO</v>
      </c>
      <c r="J248" s="24"/>
      <c r="K248" s="25">
        <f>UC!K248</f>
        <v>0</v>
      </c>
      <c r="L248" s="24"/>
      <c r="M248" s="24"/>
      <c r="N248" s="26"/>
      <c r="O248" s="27"/>
      <c r="Q248" s="21" t="str">
        <f>SUBSTITUTE(UC!Q248,"Old","New")</f>
        <v/>
      </c>
      <c r="R248" s="22"/>
      <c r="S248" s="23" t="str">
        <f t="shared" si="58"/>
        <v>COMNGA</v>
      </c>
      <c r="T248" s="23" t="str">
        <f t="shared" si="59"/>
        <v>COMOFFNewOEEUE</v>
      </c>
      <c r="U248" s="23" t="str">
        <f t="shared" si="60"/>
        <v>COMOFFNewOEEUE</v>
      </c>
      <c r="V248" s="24">
        <v>2050</v>
      </c>
      <c r="W248" s="24" t="str">
        <f>W247</f>
        <v>UP</v>
      </c>
      <c r="X248" s="24"/>
      <c r="Y248" s="25">
        <f>UC!Y248</f>
        <v>-0.29399999999999998</v>
      </c>
      <c r="Z248" s="24"/>
      <c r="AA248" s="24"/>
      <c r="AB248" s="26"/>
      <c r="AC248" s="27"/>
    </row>
    <row r="249" spans="1:29" x14ac:dyDescent="0.25">
      <c r="A249" s="19">
        <f>A245+1</f>
        <v>62</v>
      </c>
      <c r="B249" s="10"/>
      <c r="C249" s="11" t="str">
        <f>SUBSTITUTE(UC!C249,"Old","New")</f>
        <v>*</v>
      </c>
      <c r="D249" s="12"/>
      <c r="E249" s="13" t="str">
        <f>_xlfn.XLOOKUP($A249,Selected_constraint_UC!$A:$A,Selected_constraint_UC!$B:$B)</f>
        <v>COMSTM</v>
      </c>
      <c r="F249" s="13" t="str">
        <f>SUBSTITUTE(_xlfn.XLOOKUP($A249,Selected_constraint_UC!$A:$A,Selected_constraint_UC!$C:$C),"Old","New")</f>
        <v>COMOFFNewOEEUE</v>
      </c>
      <c r="G249" s="13" t="str">
        <f>F249</f>
        <v>COMOFFNewOEEUE</v>
      </c>
      <c r="H249" s="14">
        <v>2019</v>
      </c>
      <c r="I249" s="14" t="s">
        <v>3848</v>
      </c>
      <c r="J249" s="14">
        <v>1</v>
      </c>
      <c r="K249" s="15">
        <f>UC!K249</f>
        <v>0</v>
      </c>
      <c r="L249" s="14">
        <v>0</v>
      </c>
      <c r="M249" s="14">
        <v>5</v>
      </c>
      <c r="N249" s="10"/>
      <c r="O249" s="20"/>
      <c r="Q249" s="11" t="str">
        <f>SUBSTITUTE(UC!Q249,"Old","New")</f>
        <v>*</v>
      </c>
      <c r="R249" s="12"/>
      <c r="S249" s="13" t="str">
        <f t="shared" si="58"/>
        <v>COMSTM</v>
      </c>
      <c r="T249" s="13" t="str">
        <f t="shared" si="59"/>
        <v>COMOFFNewOEEUE</v>
      </c>
      <c r="U249" s="13" t="str">
        <f t="shared" si="60"/>
        <v>COMOFFNewOEEUE</v>
      </c>
      <c r="V249" s="14">
        <f>H249</f>
        <v>2019</v>
      </c>
      <c r="W249" s="29" t="s">
        <v>3849</v>
      </c>
      <c r="X249" s="14">
        <v>1</v>
      </c>
      <c r="Y249" s="15">
        <f>UC!Y249</f>
        <v>0</v>
      </c>
      <c r="Z249" s="14">
        <v>0</v>
      </c>
      <c r="AA249" s="14">
        <v>5</v>
      </c>
      <c r="AB249" s="10"/>
      <c r="AC249" s="20"/>
    </row>
    <row r="250" spans="1:29" x14ac:dyDescent="0.25">
      <c r="A250" s="10">
        <f>A249</f>
        <v>62</v>
      </c>
      <c r="B250" s="10"/>
      <c r="C250" s="11" t="str">
        <f>SUBSTITUTE(UC!C250,"Old","New")</f>
        <v>*</v>
      </c>
      <c r="D250" s="12"/>
      <c r="E250" s="13" t="str">
        <f t="shared" ref="E250:G252" si="73">E249</f>
        <v>COMSTM</v>
      </c>
      <c r="F250" s="13" t="str">
        <f t="shared" si="73"/>
        <v>COMOFFNewOEEUE</v>
      </c>
      <c r="G250" s="13" t="str">
        <f t="shared" si="73"/>
        <v>COMOFFNewOEEUE</v>
      </c>
      <c r="H250" s="14">
        <v>2025</v>
      </c>
      <c r="I250" s="14" t="str">
        <f>I249</f>
        <v>LO</v>
      </c>
      <c r="J250" s="14"/>
      <c r="K250" s="15">
        <f>UC!K250</f>
        <v>0</v>
      </c>
      <c r="L250" s="14"/>
      <c r="M250" s="14"/>
      <c r="N250" s="10"/>
      <c r="O250" s="20"/>
      <c r="Q250" s="11" t="str">
        <f>SUBSTITUTE(UC!Q250,"Old","New")</f>
        <v>*</v>
      </c>
      <c r="R250" s="12"/>
      <c r="S250" s="13" t="str">
        <f t="shared" si="58"/>
        <v>COMSTM</v>
      </c>
      <c r="T250" s="13" t="str">
        <f t="shared" si="59"/>
        <v>COMOFFNewOEEUE</v>
      </c>
      <c r="U250" s="13" t="str">
        <f t="shared" si="60"/>
        <v>COMOFFNewOEEUE</v>
      </c>
      <c r="V250" s="14">
        <v>2025</v>
      </c>
      <c r="W250" s="14" t="str">
        <f>W249</f>
        <v>UP</v>
      </c>
      <c r="X250" s="14"/>
      <c r="Y250" s="15">
        <f>UC!Y250</f>
        <v>0</v>
      </c>
      <c r="Z250" s="14"/>
      <c r="AA250" s="14"/>
      <c r="AB250" s="10"/>
      <c r="AC250" s="20"/>
    </row>
    <row r="251" spans="1:29" x14ac:dyDescent="0.25">
      <c r="A251" s="10">
        <f>A250</f>
        <v>62</v>
      </c>
      <c r="B251" s="10"/>
      <c r="C251" s="11" t="str">
        <f>SUBSTITUTE(UC!C251,"Old","New")</f>
        <v>*</v>
      </c>
      <c r="D251" s="12"/>
      <c r="E251" s="13" t="str">
        <f t="shared" si="73"/>
        <v>COMSTM</v>
      </c>
      <c r="F251" s="13" t="str">
        <f t="shared" si="73"/>
        <v>COMOFFNewOEEUE</v>
      </c>
      <c r="G251" s="13" t="str">
        <f t="shared" si="73"/>
        <v>COMOFFNewOEEUE</v>
      </c>
      <c r="H251" s="14">
        <v>2030</v>
      </c>
      <c r="I251" s="14" t="str">
        <f>I250</f>
        <v>LO</v>
      </c>
      <c r="J251" s="14"/>
      <c r="K251" s="15">
        <f>UC!K251</f>
        <v>0</v>
      </c>
      <c r="L251" s="14"/>
      <c r="M251" s="14"/>
      <c r="N251" s="10"/>
      <c r="O251" s="20"/>
      <c r="Q251" s="11" t="str">
        <f>SUBSTITUTE(UC!Q251,"Old","New")</f>
        <v>*</v>
      </c>
      <c r="R251" s="12"/>
      <c r="S251" s="13" t="str">
        <f t="shared" si="58"/>
        <v>COMSTM</v>
      </c>
      <c r="T251" s="13" t="str">
        <f t="shared" si="59"/>
        <v>COMOFFNewOEEUE</v>
      </c>
      <c r="U251" s="13" t="str">
        <f t="shared" si="60"/>
        <v>COMOFFNewOEEUE</v>
      </c>
      <c r="V251" s="14">
        <v>2030</v>
      </c>
      <c r="W251" s="14" t="str">
        <f>W250</f>
        <v>UP</v>
      </c>
      <c r="X251" s="14"/>
      <c r="Y251" s="15">
        <f>UC!Y251</f>
        <v>0</v>
      </c>
      <c r="Z251" s="14"/>
      <c r="AA251" s="14"/>
      <c r="AB251" s="10"/>
      <c r="AC251" s="20"/>
    </row>
    <row r="252" spans="1:29" x14ac:dyDescent="0.25">
      <c r="A252" s="26">
        <f>A251</f>
        <v>62</v>
      </c>
      <c r="B252" s="26"/>
      <c r="C252" s="21" t="str">
        <f>SUBSTITUTE(UC!C252,"Old","New")</f>
        <v>*</v>
      </c>
      <c r="D252" s="22"/>
      <c r="E252" s="23" t="str">
        <f t="shared" si="73"/>
        <v>COMSTM</v>
      </c>
      <c r="F252" s="23" t="str">
        <f t="shared" si="73"/>
        <v>COMOFFNewOEEUE</v>
      </c>
      <c r="G252" s="23" t="str">
        <f t="shared" si="73"/>
        <v>COMOFFNewOEEUE</v>
      </c>
      <c r="H252" s="24">
        <v>2050</v>
      </c>
      <c r="I252" s="24" t="str">
        <f>I251</f>
        <v>LO</v>
      </c>
      <c r="J252" s="24"/>
      <c r="K252" s="25">
        <f>UC!K252</f>
        <v>0</v>
      </c>
      <c r="L252" s="24"/>
      <c r="M252" s="24"/>
      <c r="N252" s="26"/>
      <c r="O252" s="27"/>
      <c r="Q252" s="21" t="str">
        <f>SUBSTITUTE(UC!Q252,"Old","New")</f>
        <v>*</v>
      </c>
      <c r="R252" s="22"/>
      <c r="S252" s="23" t="str">
        <f t="shared" si="58"/>
        <v>COMSTM</v>
      </c>
      <c r="T252" s="23" t="str">
        <f t="shared" si="59"/>
        <v>COMOFFNewOEEUE</v>
      </c>
      <c r="U252" s="23" t="str">
        <f t="shared" si="60"/>
        <v>COMOFFNewOEEUE</v>
      </c>
      <c r="V252" s="24">
        <v>2050</v>
      </c>
      <c r="W252" s="24" t="str">
        <f>W251</f>
        <v>UP</v>
      </c>
      <c r="X252" s="24"/>
      <c r="Y252" s="25">
        <f>UC!Y252</f>
        <v>0</v>
      </c>
      <c r="Z252" s="24"/>
      <c r="AA252" s="24"/>
      <c r="AB252" s="26"/>
      <c r="AC252" s="27"/>
    </row>
    <row r="253" spans="1:29" x14ac:dyDescent="0.25">
      <c r="A253" s="19">
        <f>A249+1</f>
        <v>63</v>
      </c>
      <c r="B253" s="10"/>
      <c r="C253" s="11" t="str">
        <f>SUBSTITUTE(UC!C253,"Old","New")</f>
        <v>UC_MarketShare_COMOFFNewOE_ELC_MIN</v>
      </c>
      <c r="D253" s="12"/>
      <c r="E253" s="13" t="str">
        <f>_xlfn.XLOOKUP($A253,Selected_constraint_UC!$A:$A,Selected_constraint_UC!$B:$B)</f>
        <v>COMELC</v>
      </c>
      <c r="F253" s="13" t="str">
        <f>SUBSTITUTE(_xlfn.XLOOKUP($A253,Selected_constraint_UC!$A:$A,Selected_constraint_UC!$C:$C),"Old","New")</f>
        <v>COMOFFNewOEEUE</v>
      </c>
      <c r="G253" s="13" t="str">
        <f>F253</f>
        <v>COMOFFNewOEEUE</v>
      </c>
      <c r="H253" s="14">
        <v>2019</v>
      </c>
      <c r="I253" s="14" t="s">
        <v>3848</v>
      </c>
      <c r="J253" s="14">
        <v>1</v>
      </c>
      <c r="K253" s="15">
        <f>UC!K253</f>
        <v>-0.78105999999999998</v>
      </c>
      <c r="L253" s="14">
        <v>0</v>
      </c>
      <c r="M253" s="14">
        <v>5</v>
      </c>
      <c r="N253" s="10"/>
      <c r="O253" s="20"/>
      <c r="Q253" s="11" t="str">
        <f>SUBSTITUTE(UC!Q253,"Old","New")</f>
        <v>UC_MarketShare_COMOFFNewOE_ELC_MAX</v>
      </c>
      <c r="R253" s="12"/>
      <c r="S253" s="13" t="str">
        <f t="shared" si="58"/>
        <v>COMELC</v>
      </c>
      <c r="T253" s="13" t="str">
        <f t="shared" si="59"/>
        <v>COMOFFNewOEEUE</v>
      </c>
      <c r="U253" s="13" t="str">
        <f t="shared" si="60"/>
        <v>COMOFFNewOEEUE</v>
      </c>
      <c r="V253" s="14">
        <f>H253</f>
        <v>2019</v>
      </c>
      <c r="W253" s="29" t="s">
        <v>3849</v>
      </c>
      <c r="X253" s="14">
        <v>1</v>
      </c>
      <c r="Y253" s="15">
        <f>UC!Y253</f>
        <v>-0.81399999999999995</v>
      </c>
      <c r="Z253" s="14">
        <v>0</v>
      </c>
      <c r="AA253" s="14">
        <v>5</v>
      </c>
      <c r="AB253" s="10"/>
      <c r="AC253" s="20"/>
    </row>
    <row r="254" spans="1:29" x14ac:dyDescent="0.25">
      <c r="A254" s="10">
        <f>A253</f>
        <v>63</v>
      </c>
      <c r="B254" s="10"/>
      <c r="C254" s="11" t="str">
        <f>SUBSTITUTE(UC!C254,"Old","New")</f>
        <v/>
      </c>
      <c r="D254" s="12"/>
      <c r="E254" s="13" t="str">
        <f t="shared" ref="E254:G256" si="74">E253</f>
        <v>COMELC</v>
      </c>
      <c r="F254" s="13" t="str">
        <f t="shared" si="74"/>
        <v>COMOFFNewOEEUE</v>
      </c>
      <c r="G254" s="13" t="str">
        <f t="shared" si="74"/>
        <v>COMOFFNewOEEUE</v>
      </c>
      <c r="H254" s="14">
        <v>2025</v>
      </c>
      <c r="I254" s="14" t="str">
        <f>I253</f>
        <v>LO</v>
      </c>
      <c r="J254" s="14"/>
      <c r="K254" s="15">
        <f>UC!K254</f>
        <v>-0.63760000000000006</v>
      </c>
      <c r="L254" s="14"/>
      <c r="M254" s="14"/>
      <c r="N254" s="10"/>
      <c r="O254" s="20"/>
      <c r="Q254" s="11" t="str">
        <f>SUBSTITUTE(UC!Q254,"Old","New")</f>
        <v/>
      </c>
      <c r="R254" s="12"/>
      <c r="S254" s="13" t="str">
        <f t="shared" si="58"/>
        <v>COMELC</v>
      </c>
      <c r="T254" s="13" t="str">
        <f t="shared" si="59"/>
        <v>COMOFFNewOEEUE</v>
      </c>
      <c r="U254" s="13" t="str">
        <f t="shared" si="60"/>
        <v>COMOFFNewOEEUE</v>
      </c>
      <c r="V254" s="14">
        <v>2025</v>
      </c>
      <c r="W254" s="14" t="str">
        <f>W253</f>
        <v>UP</v>
      </c>
      <c r="X254" s="14"/>
      <c r="Y254" s="15">
        <f>UC!Y254</f>
        <v>-0.95799999999999996</v>
      </c>
      <c r="Z254" s="14"/>
      <c r="AA254" s="14"/>
      <c r="AB254" s="10"/>
      <c r="AC254" s="20"/>
    </row>
    <row r="255" spans="1:29" x14ac:dyDescent="0.25">
      <c r="A255" s="10">
        <f>A254</f>
        <v>63</v>
      </c>
      <c r="B255" s="10"/>
      <c r="C255" s="11" t="str">
        <f>SUBSTITUTE(UC!C255,"Old","New")</f>
        <v/>
      </c>
      <c r="D255" s="12"/>
      <c r="E255" s="13" t="str">
        <f t="shared" si="74"/>
        <v>COMELC</v>
      </c>
      <c r="F255" s="13" t="str">
        <f t="shared" si="74"/>
        <v>COMOFFNewOEEUE</v>
      </c>
      <c r="G255" s="13" t="str">
        <f t="shared" si="74"/>
        <v>COMOFFNewOEEUE</v>
      </c>
      <c r="H255" s="14">
        <v>2030</v>
      </c>
      <c r="I255" s="14" t="str">
        <f>I254</f>
        <v>LO</v>
      </c>
      <c r="J255" s="14"/>
      <c r="K255" s="15">
        <f>UC!K255</f>
        <v>-0.15940000000000001</v>
      </c>
      <c r="L255" s="14"/>
      <c r="M255" s="14"/>
      <c r="N255" s="10"/>
      <c r="O255" s="20"/>
      <c r="Q255" s="11" t="str">
        <f>SUBSTITUTE(UC!Q255,"Old","New")</f>
        <v/>
      </c>
      <c r="R255" s="12"/>
      <c r="S255" s="13" t="str">
        <f t="shared" si="58"/>
        <v>COMELC</v>
      </c>
      <c r="T255" s="13" t="str">
        <f t="shared" si="59"/>
        <v>COMOFFNewOEEUE</v>
      </c>
      <c r="U255" s="13" t="str">
        <f t="shared" si="60"/>
        <v>COMOFFNewOEEUE</v>
      </c>
      <c r="V255" s="14">
        <v>2030</v>
      </c>
      <c r="W255" s="14" t="str">
        <f>W254</f>
        <v>UP</v>
      </c>
      <c r="X255" s="14"/>
      <c r="Y255" s="15">
        <f>UC!Y255</f>
        <v>-1</v>
      </c>
      <c r="Z255" s="14"/>
      <c r="AA255" s="14"/>
      <c r="AB255" s="10"/>
      <c r="AC255" s="20"/>
    </row>
    <row r="256" spans="1:29" x14ac:dyDescent="0.25">
      <c r="A256" s="26">
        <f>A255</f>
        <v>63</v>
      </c>
      <c r="B256" s="26"/>
      <c r="C256" s="21" t="str">
        <f>SUBSTITUTE(UC!C256,"Old","New")</f>
        <v/>
      </c>
      <c r="D256" s="22"/>
      <c r="E256" s="23" t="str">
        <f t="shared" si="74"/>
        <v>COMELC</v>
      </c>
      <c r="F256" s="23" t="str">
        <f t="shared" si="74"/>
        <v>COMOFFNewOEEUE</v>
      </c>
      <c r="G256" s="23" t="str">
        <f t="shared" si="74"/>
        <v>COMOFFNewOEEUE</v>
      </c>
      <c r="H256" s="24">
        <v>2050</v>
      </c>
      <c r="I256" s="24" t="str">
        <f>I255</f>
        <v>LO</v>
      </c>
      <c r="J256" s="24"/>
      <c r="K256" s="25">
        <f>UC!K256</f>
        <v>0</v>
      </c>
      <c r="L256" s="24"/>
      <c r="M256" s="24"/>
      <c r="N256" s="26"/>
      <c r="O256" s="27"/>
      <c r="Q256" s="21" t="str">
        <f>SUBSTITUTE(UC!Q256,"Old","New")</f>
        <v/>
      </c>
      <c r="R256" s="22"/>
      <c r="S256" s="23" t="str">
        <f t="shared" si="58"/>
        <v>COMELC</v>
      </c>
      <c r="T256" s="23" t="str">
        <f t="shared" si="59"/>
        <v>COMOFFNewOEEUE</v>
      </c>
      <c r="U256" s="23" t="str">
        <f t="shared" si="60"/>
        <v>COMOFFNewOEEUE</v>
      </c>
      <c r="V256" s="24">
        <v>2050</v>
      </c>
      <c r="W256" s="24" t="str">
        <f>W255</f>
        <v>UP</v>
      </c>
      <c r="X256" s="24"/>
      <c r="Y256" s="25">
        <f>UC!Y256</f>
        <v>-1</v>
      </c>
      <c r="Z256" s="24"/>
      <c r="AA256" s="24"/>
      <c r="AB256" s="26"/>
      <c r="AC256" s="27"/>
    </row>
    <row r="257" spans="1:29" x14ac:dyDescent="0.25">
      <c r="A257" s="19">
        <f>A253+1</f>
        <v>64</v>
      </c>
      <c r="B257" s="10"/>
      <c r="C257" s="11" t="str">
        <f>SUBSTITUTE(UC!C257,"Old","New")</f>
        <v>UC_MarketShare_COMHOPNewSH_ELC_MIN</v>
      </c>
      <c r="D257" s="12"/>
      <c r="E257" s="13" t="str">
        <f>_xlfn.XLOOKUP($A257,Selected_constraint_UC!$A:$A,Selected_constraint_UC!$B:$B)</f>
        <v>COMELC</v>
      </c>
      <c r="F257" s="13" t="str">
        <f>SUBSTITUTE(_xlfn.XLOOKUP($A257,Selected_constraint_UC!$A:$A,Selected_constraint_UC!$C:$C),"Old","New")</f>
        <v>COMHOPNewSHEUE</v>
      </c>
      <c r="G257" s="13" t="str">
        <f>F257</f>
        <v>COMHOPNewSHEUE</v>
      </c>
      <c r="H257" s="14">
        <v>2019</v>
      </c>
      <c r="I257" s="14" t="s">
        <v>3848</v>
      </c>
      <c r="J257" s="14">
        <v>1</v>
      </c>
      <c r="K257" s="15">
        <f>UC!K257</f>
        <v>-2.2539999999999998E-2</v>
      </c>
      <c r="L257" s="14">
        <v>0</v>
      </c>
      <c r="M257" s="14">
        <v>5</v>
      </c>
      <c r="N257" s="10"/>
      <c r="O257" s="20"/>
      <c r="Q257" s="11" t="str">
        <f>SUBSTITUTE(UC!Q257,"Old","New")</f>
        <v>UC_MarketShare_COMHOPNewSH_ELC_MAX</v>
      </c>
      <c r="R257" s="12"/>
      <c r="S257" s="13" t="str">
        <f t="shared" si="58"/>
        <v>COMELC</v>
      </c>
      <c r="T257" s="13" t="str">
        <f t="shared" si="59"/>
        <v>COMHOPNewSHEUE</v>
      </c>
      <c r="U257" s="13" t="str">
        <f t="shared" si="60"/>
        <v>COMHOPNewSHEUE</v>
      </c>
      <c r="V257" s="14">
        <f>H257</f>
        <v>2019</v>
      </c>
      <c r="W257" s="29" t="s">
        <v>3849</v>
      </c>
      <c r="X257" s="14">
        <v>1</v>
      </c>
      <c r="Y257" s="15">
        <f>UC!Y257</f>
        <v>-2.5000000000000001E-2</v>
      </c>
      <c r="Z257" s="14">
        <v>0</v>
      </c>
      <c r="AA257" s="14">
        <v>5</v>
      </c>
      <c r="AB257" s="10"/>
      <c r="AC257" s="20"/>
    </row>
    <row r="258" spans="1:29" x14ac:dyDescent="0.25">
      <c r="A258" s="10">
        <f>A257</f>
        <v>64</v>
      </c>
      <c r="B258" s="10"/>
      <c r="C258" s="11" t="str">
        <f>SUBSTITUTE(UC!C258,"Old","New")</f>
        <v/>
      </c>
      <c r="D258" s="12"/>
      <c r="E258" s="13" t="str">
        <f t="shared" ref="E258:G260" si="75">E257</f>
        <v>COMELC</v>
      </c>
      <c r="F258" s="13" t="str">
        <f t="shared" si="75"/>
        <v>COMHOPNewSHEUE</v>
      </c>
      <c r="G258" s="13" t="str">
        <f t="shared" si="75"/>
        <v>COMHOPNewSHEUE</v>
      </c>
      <c r="H258" s="14">
        <v>2025</v>
      </c>
      <c r="I258" s="14" t="str">
        <f>I257</f>
        <v>LO</v>
      </c>
      <c r="J258" s="14"/>
      <c r="K258" s="15">
        <f>UC!K258</f>
        <v>-1.84E-2</v>
      </c>
      <c r="L258" s="14"/>
      <c r="M258" s="14"/>
      <c r="N258" s="10"/>
      <c r="O258" s="20"/>
      <c r="Q258" s="11" t="str">
        <f>SUBSTITUTE(UC!Q258,"Old","New")</f>
        <v/>
      </c>
      <c r="R258" s="12"/>
      <c r="S258" s="13" t="str">
        <f t="shared" si="58"/>
        <v>COMELC</v>
      </c>
      <c r="T258" s="13" t="str">
        <f t="shared" si="59"/>
        <v>COMHOPNewSHEUE</v>
      </c>
      <c r="U258" s="13" t="str">
        <f t="shared" si="60"/>
        <v>COMHOPNewSHEUE</v>
      </c>
      <c r="V258" s="14">
        <v>2025</v>
      </c>
      <c r="W258" s="14" t="str">
        <f>W257</f>
        <v>UP</v>
      </c>
      <c r="X258" s="14"/>
      <c r="Y258" s="15">
        <f>UC!Y258</f>
        <v>-0.25</v>
      </c>
      <c r="Z258" s="14"/>
      <c r="AA258" s="14"/>
      <c r="AB258" s="10"/>
      <c r="AC258" s="20"/>
    </row>
    <row r="259" spans="1:29" x14ac:dyDescent="0.25">
      <c r="A259" s="10">
        <f>A258</f>
        <v>64</v>
      </c>
      <c r="B259" s="10"/>
      <c r="C259" s="11" t="str">
        <f>SUBSTITUTE(UC!C259,"Old","New")</f>
        <v/>
      </c>
      <c r="D259" s="12"/>
      <c r="E259" s="13" t="str">
        <f t="shared" si="75"/>
        <v>COMELC</v>
      </c>
      <c r="F259" s="13" t="str">
        <f t="shared" si="75"/>
        <v>COMHOPNewSHEUE</v>
      </c>
      <c r="G259" s="13" t="str">
        <f t="shared" si="75"/>
        <v>COMHOPNewSHEUE</v>
      </c>
      <c r="H259" s="14">
        <v>2030</v>
      </c>
      <c r="I259" s="14" t="str">
        <f>I258</f>
        <v>LO</v>
      </c>
      <c r="J259" s="14"/>
      <c r="K259" s="15">
        <f>UC!K259</f>
        <v>-1.7250000000000001E-2</v>
      </c>
      <c r="L259" s="14"/>
      <c r="M259" s="14"/>
      <c r="N259" s="10"/>
      <c r="O259" s="20"/>
      <c r="Q259" s="11" t="str">
        <f>SUBSTITUTE(UC!Q259,"Old","New")</f>
        <v/>
      </c>
      <c r="R259" s="12"/>
      <c r="S259" s="13" t="str">
        <f t="shared" si="58"/>
        <v>COMELC</v>
      </c>
      <c r="T259" s="13" t="str">
        <f t="shared" si="59"/>
        <v>COMHOPNewSHEUE</v>
      </c>
      <c r="U259" s="13" t="str">
        <f t="shared" si="60"/>
        <v>COMHOPNewSHEUE</v>
      </c>
      <c r="V259" s="14">
        <v>2030</v>
      </c>
      <c r="W259" s="14" t="str">
        <f>W258</f>
        <v>UP</v>
      </c>
      <c r="X259" s="14"/>
      <c r="Y259" s="15">
        <f>UC!Y259</f>
        <v>-0.5</v>
      </c>
      <c r="Z259" s="14"/>
      <c r="AA259" s="14"/>
      <c r="AB259" s="10"/>
      <c r="AC259" s="20"/>
    </row>
    <row r="260" spans="1:29" x14ac:dyDescent="0.25">
      <c r="A260" s="26">
        <f>A259</f>
        <v>64</v>
      </c>
      <c r="B260" s="26"/>
      <c r="C260" s="21" t="str">
        <f>SUBSTITUTE(UC!C260,"Old","New")</f>
        <v/>
      </c>
      <c r="D260" s="22"/>
      <c r="E260" s="23" t="str">
        <f t="shared" si="75"/>
        <v>COMELC</v>
      </c>
      <c r="F260" s="23" t="str">
        <f t="shared" si="75"/>
        <v>COMHOPNewSHEUE</v>
      </c>
      <c r="G260" s="23" t="str">
        <f t="shared" si="75"/>
        <v>COMHOPNewSHEUE</v>
      </c>
      <c r="H260" s="24">
        <v>2050</v>
      </c>
      <c r="I260" s="24" t="str">
        <f>I259</f>
        <v>LO</v>
      </c>
      <c r="J260" s="24"/>
      <c r="K260" s="25">
        <f>UC!K260</f>
        <v>-1.7250000000000001E-2</v>
      </c>
      <c r="L260" s="24"/>
      <c r="M260" s="24"/>
      <c r="N260" s="26"/>
      <c r="O260" s="27"/>
      <c r="Q260" s="21" t="str">
        <f>SUBSTITUTE(UC!Q260,"Old","New")</f>
        <v/>
      </c>
      <c r="R260" s="22"/>
      <c r="S260" s="23" t="str">
        <f t="shared" si="58"/>
        <v>COMELC</v>
      </c>
      <c r="T260" s="23" t="str">
        <f t="shared" si="59"/>
        <v>COMHOPNewSHEUE</v>
      </c>
      <c r="U260" s="23" t="str">
        <f t="shared" si="60"/>
        <v>COMHOPNewSHEUE</v>
      </c>
      <c r="V260" s="24">
        <v>2050</v>
      </c>
      <c r="W260" s="24" t="str">
        <f>W259</f>
        <v>UP</v>
      </c>
      <c r="X260" s="24"/>
      <c r="Y260" s="25">
        <f>UC!Y260</f>
        <v>-1</v>
      </c>
      <c r="Z260" s="24"/>
      <c r="AA260" s="24"/>
      <c r="AB260" s="26"/>
      <c r="AC260" s="27"/>
    </row>
    <row r="261" spans="1:29" x14ac:dyDescent="0.25">
      <c r="A261" s="19">
        <f>A257+1</f>
        <v>65</v>
      </c>
      <c r="B261" s="10"/>
      <c r="C261" s="11" t="str">
        <f>SUBSTITUTE(UC!C261,"Old","New")</f>
        <v>UC_MarketShare_COMHOPNewSH_NGA_MIN</v>
      </c>
      <c r="D261" s="12"/>
      <c r="E261" s="13" t="str">
        <f>_xlfn.XLOOKUP($A261,Selected_constraint_UC!$A:$A,Selected_constraint_UC!$B:$B)</f>
        <v>COMNGA</v>
      </c>
      <c r="F261" s="13" t="str">
        <f>SUBSTITUTE(_xlfn.XLOOKUP($A261,Selected_constraint_UC!$A:$A,Selected_constraint_UC!$C:$C),"Old","New")</f>
        <v>COMHOPNewSHEUE</v>
      </c>
      <c r="G261" s="13" t="str">
        <f>F261</f>
        <v>COMHOPNewSHEUE</v>
      </c>
      <c r="H261" s="14">
        <v>2019</v>
      </c>
      <c r="I261" s="14" t="s">
        <v>3848</v>
      </c>
      <c r="J261" s="14">
        <v>1</v>
      </c>
      <c r="K261" s="15">
        <f>UC!K261</f>
        <v>-0.88983999999999996</v>
      </c>
      <c r="L261" s="14">
        <v>0</v>
      </c>
      <c r="M261" s="14">
        <v>5</v>
      </c>
      <c r="N261" s="10"/>
      <c r="O261" s="20"/>
      <c r="Q261" s="11" t="str">
        <f>SUBSTITUTE(UC!Q261,"Old","New")</f>
        <v>UC_MarketShare_COMHOPNewSH_NGA_MAX</v>
      </c>
      <c r="R261" s="12"/>
      <c r="S261" s="13" t="str">
        <f t="shared" si="58"/>
        <v>COMNGA</v>
      </c>
      <c r="T261" s="13" t="str">
        <f t="shared" si="59"/>
        <v>COMHOPNewSHEUE</v>
      </c>
      <c r="U261" s="13" t="str">
        <f t="shared" si="60"/>
        <v>COMHOPNewSHEUE</v>
      </c>
      <c r="V261" s="14">
        <f>H261</f>
        <v>2019</v>
      </c>
      <c r="W261" s="29" t="s">
        <v>3849</v>
      </c>
      <c r="X261" s="14">
        <v>1</v>
      </c>
      <c r="Y261" s="15">
        <f>UC!Y261</f>
        <v>-0.92800000000000005</v>
      </c>
      <c r="Z261" s="14">
        <v>0</v>
      </c>
      <c r="AA261" s="14">
        <v>5</v>
      </c>
      <c r="AB261" s="10"/>
      <c r="AC261" s="20"/>
    </row>
    <row r="262" spans="1:29" x14ac:dyDescent="0.25">
      <c r="A262" s="10">
        <f>A261</f>
        <v>65</v>
      </c>
      <c r="B262" s="10"/>
      <c r="C262" s="11" t="str">
        <f>SUBSTITUTE(UC!C262,"Old","New")</f>
        <v/>
      </c>
      <c r="D262" s="12"/>
      <c r="E262" s="13" t="str">
        <f t="shared" ref="E262:G264" si="76">E261</f>
        <v>COMNGA</v>
      </c>
      <c r="F262" s="13" t="str">
        <f t="shared" si="76"/>
        <v>COMHOPNewSHEUE</v>
      </c>
      <c r="G262" s="13" t="str">
        <f t="shared" si="76"/>
        <v>COMHOPNewSHEUE</v>
      </c>
      <c r="H262" s="14">
        <v>2025</v>
      </c>
      <c r="I262" s="14" t="str">
        <f>I261</f>
        <v>LO</v>
      </c>
      <c r="J262" s="14"/>
      <c r="K262" s="15">
        <f>UC!K262</f>
        <v>-0.72640000000000005</v>
      </c>
      <c r="L262" s="14"/>
      <c r="M262" s="14"/>
      <c r="N262" s="10"/>
      <c r="O262" s="20"/>
      <c r="Q262" s="11" t="str">
        <f>SUBSTITUTE(UC!Q262,"Old","New")</f>
        <v/>
      </c>
      <c r="R262" s="12"/>
      <c r="S262" s="13" t="str">
        <f t="shared" ref="S262:S325" si="77">E262</f>
        <v>COMNGA</v>
      </c>
      <c r="T262" s="13" t="str">
        <f t="shared" ref="T262:T325" si="78">F262</f>
        <v>COMHOPNewSHEUE</v>
      </c>
      <c r="U262" s="13" t="str">
        <f t="shared" ref="U262:U325" si="79">G262</f>
        <v>COMHOPNewSHEUE</v>
      </c>
      <c r="V262" s="14">
        <v>2025</v>
      </c>
      <c r="W262" s="14" t="str">
        <f>W261</f>
        <v>UP</v>
      </c>
      <c r="X262" s="14"/>
      <c r="Y262" s="15">
        <f>UC!Y262</f>
        <v>-1</v>
      </c>
      <c r="Z262" s="14"/>
      <c r="AA262" s="14"/>
      <c r="AB262" s="10"/>
      <c r="AC262" s="20"/>
    </row>
    <row r="263" spans="1:29" x14ac:dyDescent="0.25">
      <c r="A263" s="10">
        <f>A262</f>
        <v>65</v>
      </c>
      <c r="B263" s="10"/>
      <c r="C263" s="11" t="str">
        <f>SUBSTITUTE(UC!C263,"Old","New")</f>
        <v/>
      </c>
      <c r="D263" s="12"/>
      <c r="E263" s="13" t="str">
        <f t="shared" si="76"/>
        <v>COMNGA</v>
      </c>
      <c r="F263" s="13" t="str">
        <f t="shared" si="76"/>
        <v>COMHOPNewSHEUE</v>
      </c>
      <c r="G263" s="13" t="str">
        <f t="shared" si="76"/>
        <v>COMHOPNewSHEUE</v>
      </c>
      <c r="H263" s="14">
        <v>2030</v>
      </c>
      <c r="I263" s="14" t="str">
        <f>I262</f>
        <v>LO</v>
      </c>
      <c r="J263" s="14"/>
      <c r="K263" s="15">
        <f>UC!K263</f>
        <v>-0.18160000000000001</v>
      </c>
      <c r="L263" s="14"/>
      <c r="M263" s="14"/>
      <c r="N263" s="10"/>
      <c r="O263" s="20"/>
      <c r="Q263" s="11" t="str">
        <f>SUBSTITUTE(UC!Q263,"Old","New")</f>
        <v/>
      </c>
      <c r="R263" s="12"/>
      <c r="S263" s="13" t="str">
        <f t="shared" si="77"/>
        <v>COMNGA</v>
      </c>
      <c r="T263" s="13" t="str">
        <f t="shared" si="78"/>
        <v>COMHOPNewSHEUE</v>
      </c>
      <c r="U263" s="13" t="str">
        <f t="shared" si="79"/>
        <v>COMHOPNewSHEUE</v>
      </c>
      <c r="V263" s="14">
        <v>2030</v>
      </c>
      <c r="W263" s="14" t="str">
        <f>W262</f>
        <v>UP</v>
      </c>
      <c r="X263" s="14"/>
      <c r="Y263" s="15">
        <f>UC!Y263</f>
        <v>-1</v>
      </c>
      <c r="Z263" s="14"/>
      <c r="AA263" s="14"/>
      <c r="AB263" s="10"/>
      <c r="AC263" s="20"/>
    </row>
    <row r="264" spans="1:29" x14ac:dyDescent="0.25">
      <c r="A264" s="26">
        <f>A263</f>
        <v>65</v>
      </c>
      <c r="B264" s="26"/>
      <c r="C264" s="21" t="str">
        <f>SUBSTITUTE(UC!C264,"Old","New")</f>
        <v/>
      </c>
      <c r="D264" s="22"/>
      <c r="E264" s="23" t="str">
        <f t="shared" si="76"/>
        <v>COMNGA</v>
      </c>
      <c r="F264" s="23" t="str">
        <f t="shared" si="76"/>
        <v>COMHOPNewSHEUE</v>
      </c>
      <c r="G264" s="23" t="str">
        <f t="shared" si="76"/>
        <v>COMHOPNewSHEUE</v>
      </c>
      <c r="H264" s="24">
        <v>2050</v>
      </c>
      <c r="I264" s="24" t="str">
        <f>I263</f>
        <v>LO</v>
      </c>
      <c r="J264" s="24"/>
      <c r="K264" s="25">
        <f>UC!K264</f>
        <v>0</v>
      </c>
      <c r="L264" s="24"/>
      <c r="M264" s="24"/>
      <c r="N264" s="26"/>
      <c r="O264" s="27"/>
      <c r="Q264" s="21" t="str">
        <f>SUBSTITUTE(UC!Q264,"Old","New")</f>
        <v/>
      </c>
      <c r="R264" s="22"/>
      <c r="S264" s="23" t="str">
        <f t="shared" si="77"/>
        <v>COMNGA</v>
      </c>
      <c r="T264" s="23" t="str">
        <f t="shared" si="78"/>
        <v>COMHOPNewSHEUE</v>
      </c>
      <c r="U264" s="23" t="str">
        <f t="shared" si="79"/>
        <v>COMHOPNewSHEUE</v>
      </c>
      <c r="V264" s="24">
        <v>2050</v>
      </c>
      <c r="W264" s="24" t="str">
        <f>W263</f>
        <v>UP</v>
      </c>
      <c r="X264" s="24"/>
      <c r="Y264" s="25">
        <f>UC!Y264</f>
        <v>-1</v>
      </c>
      <c r="Z264" s="24"/>
      <c r="AA264" s="24"/>
      <c r="AB264" s="26"/>
      <c r="AC264" s="27"/>
    </row>
    <row r="265" spans="1:29" x14ac:dyDescent="0.25">
      <c r="A265" s="19">
        <f>A261+1</f>
        <v>66</v>
      </c>
      <c r="B265" s="10"/>
      <c r="C265" s="11" t="str">
        <f>SUBSTITUTE(UC!C265,"Old","New")</f>
        <v>UC_MarketShare_COMHOPNewSH_FOI_MIN</v>
      </c>
      <c r="D265" s="12"/>
      <c r="E265" s="13" t="str">
        <f>_xlfn.XLOOKUP($A265,Selected_constraint_UC!$A:$A,Selected_constraint_UC!$B:$B)</f>
        <v>COMFOI</v>
      </c>
      <c r="F265" s="13" t="str">
        <f>SUBSTITUTE(_xlfn.XLOOKUP($A265,Selected_constraint_UC!$A:$A,Selected_constraint_UC!$C:$C),"Old","New")</f>
        <v>COMHOPNewSHEUE</v>
      </c>
      <c r="G265" s="13" t="str">
        <f>F265</f>
        <v>COMHOPNewSHEUE</v>
      </c>
      <c r="H265" s="14">
        <v>2019</v>
      </c>
      <c r="I265" s="14" t="s">
        <v>3848</v>
      </c>
      <c r="J265" s="14">
        <v>1</v>
      </c>
      <c r="K265" s="15">
        <f>UC!K265</f>
        <v>-3.8219999999999997E-2</v>
      </c>
      <c r="L265" s="14">
        <v>0</v>
      </c>
      <c r="M265" s="14">
        <v>5</v>
      </c>
      <c r="N265" s="10"/>
      <c r="O265" s="20"/>
      <c r="Q265" s="11" t="str">
        <f>SUBSTITUTE(UC!Q265,"Old","New")</f>
        <v>UC_MarketShare_COMHOPNewSH_FOI_MAX</v>
      </c>
      <c r="R265" s="12"/>
      <c r="S265" s="13" t="str">
        <f t="shared" si="77"/>
        <v>COMFOI</v>
      </c>
      <c r="T265" s="13" t="str">
        <f t="shared" si="78"/>
        <v>COMHOPNewSHEUE</v>
      </c>
      <c r="U265" s="13" t="str">
        <f t="shared" si="79"/>
        <v>COMHOPNewSHEUE</v>
      </c>
      <c r="V265" s="14">
        <f>H265</f>
        <v>2019</v>
      </c>
      <c r="W265" s="29" t="s">
        <v>3849</v>
      </c>
      <c r="X265" s="14">
        <v>1</v>
      </c>
      <c r="Y265" s="15">
        <f>UC!Y265</f>
        <v>-4.1000000000000002E-2</v>
      </c>
      <c r="Z265" s="14">
        <v>0</v>
      </c>
      <c r="AA265" s="14">
        <v>5</v>
      </c>
      <c r="AB265" s="10"/>
      <c r="AC265" s="20"/>
    </row>
    <row r="266" spans="1:29" x14ac:dyDescent="0.25">
      <c r="A266" s="10">
        <f>A265</f>
        <v>66</v>
      </c>
      <c r="B266" s="10"/>
      <c r="C266" s="11" t="str">
        <f>SUBSTITUTE(UC!C266,"Old","New")</f>
        <v/>
      </c>
      <c r="D266" s="12"/>
      <c r="E266" s="13" t="str">
        <f t="shared" ref="E266:G268" si="80">E265</f>
        <v>COMFOI</v>
      </c>
      <c r="F266" s="13" t="str">
        <f t="shared" si="80"/>
        <v>COMHOPNewSHEUE</v>
      </c>
      <c r="G266" s="13" t="str">
        <f t="shared" si="80"/>
        <v>COMHOPNewSHEUE</v>
      </c>
      <c r="H266" s="14">
        <v>2025</v>
      </c>
      <c r="I266" s="14" t="str">
        <f>I265</f>
        <v>LO</v>
      </c>
      <c r="J266" s="14"/>
      <c r="K266" s="15">
        <f>UC!K266</f>
        <v>-3.1200000000000002E-2</v>
      </c>
      <c r="L266" s="14"/>
      <c r="M266" s="14"/>
      <c r="N266" s="10"/>
      <c r="O266" s="20"/>
      <c r="Q266" s="11" t="str">
        <f>SUBSTITUTE(UC!Q266,"Old","New")</f>
        <v/>
      </c>
      <c r="R266" s="12"/>
      <c r="S266" s="13" t="str">
        <f t="shared" si="77"/>
        <v>COMFOI</v>
      </c>
      <c r="T266" s="13" t="str">
        <f t="shared" si="78"/>
        <v>COMHOPNewSHEUE</v>
      </c>
      <c r="U266" s="13" t="str">
        <f t="shared" si="79"/>
        <v>COMHOPNewSHEUE</v>
      </c>
      <c r="V266" s="14">
        <v>2025</v>
      </c>
      <c r="W266" s="14" t="str">
        <f>W265</f>
        <v>UP</v>
      </c>
      <c r="X266" s="14"/>
      <c r="Y266" s="15">
        <f>UC!Y266</f>
        <v>-4.8000000000000001E-2</v>
      </c>
      <c r="Z266" s="14"/>
      <c r="AA266" s="14"/>
      <c r="AB266" s="10"/>
      <c r="AC266" s="20"/>
    </row>
    <row r="267" spans="1:29" x14ac:dyDescent="0.25">
      <c r="A267" s="10">
        <f>A266</f>
        <v>66</v>
      </c>
      <c r="B267" s="10"/>
      <c r="C267" s="11" t="str">
        <f>SUBSTITUTE(UC!C267,"Old","New")</f>
        <v/>
      </c>
      <c r="D267" s="12"/>
      <c r="E267" s="13" t="str">
        <f t="shared" si="80"/>
        <v>COMFOI</v>
      </c>
      <c r="F267" s="13" t="str">
        <f t="shared" si="80"/>
        <v>COMHOPNewSHEUE</v>
      </c>
      <c r="G267" s="13" t="str">
        <f t="shared" si="80"/>
        <v>COMHOPNewSHEUE</v>
      </c>
      <c r="H267" s="14">
        <v>2030</v>
      </c>
      <c r="I267" s="14" t="str">
        <f>I266</f>
        <v>LO</v>
      </c>
      <c r="J267" s="14"/>
      <c r="K267" s="15">
        <f>UC!K267</f>
        <v>-7.8000000000000005E-3</v>
      </c>
      <c r="L267" s="14"/>
      <c r="M267" s="14"/>
      <c r="N267" s="10"/>
      <c r="O267" s="20"/>
      <c r="Q267" s="11" t="str">
        <f>SUBSTITUTE(UC!Q267,"Old","New")</f>
        <v/>
      </c>
      <c r="R267" s="12"/>
      <c r="S267" s="13" t="str">
        <f t="shared" si="77"/>
        <v>COMFOI</v>
      </c>
      <c r="T267" s="13" t="str">
        <f t="shared" si="78"/>
        <v>COMHOPNewSHEUE</v>
      </c>
      <c r="U267" s="13" t="str">
        <f t="shared" si="79"/>
        <v>COMHOPNewSHEUE</v>
      </c>
      <c r="V267" s="14">
        <v>2030</v>
      </c>
      <c r="W267" s="14" t="str">
        <f>W266</f>
        <v>UP</v>
      </c>
      <c r="X267" s="14"/>
      <c r="Y267" s="15">
        <f>UC!Y267</f>
        <v>-5.9000000000000004E-2</v>
      </c>
      <c r="Z267" s="14"/>
      <c r="AA267" s="14"/>
      <c r="AB267" s="10"/>
      <c r="AC267" s="20"/>
    </row>
    <row r="268" spans="1:29" x14ac:dyDescent="0.25">
      <c r="A268" s="26">
        <f>A267</f>
        <v>66</v>
      </c>
      <c r="B268" s="26"/>
      <c r="C268" s="21" t="str">
        <f>SUBSTITUTE(UC!C268,"Old","New")</f>
        <v/>
      </c>
      <c r="D268" s="22"/>
      <c r="E268" s="23" t="str">
        <f t="shared" si="80"/>
        <v>COMFOI</v>
      </c>
      <c r="F268" s="23" t="str">
        <f t="shared" si="80"/>
        <v>COMHOPNewSHEUE</v>
      </c>
      <c r="G268" s="23" t="str">
        <f t="shared" si="80"/>
        <v>COMHOPNewSHEUE</v>
      </c>
      <c r="H268" s="24">
        <v>2050</v>
      </c>
      <c r="I268" s="24" t="str">
        <f>I267</f>
        <v>LO</v>
      </c>
      <c r="J268" s="24"/>
      <c r="K268" s="25">
        <f>UC!K268</f>
        <v>0</v>
      </c>
      <c r="L268" s="24"/>
      <c r="M268" s="24"/>
      <c r="N268" s="26"/>
      <c r="O268" s="27"/>
      <c r="Q268" s="21" t="str">
        <f>SUBSTITUTE(UC!Q268,"Old","New")</f>
        <v/>
      </c>
      <c r="R268" s="22"/>
      <c r="S268" s="23" t="str">
        <f t="shared" si="77"/>
        <v>COMFOI</v>
      </c>
      <c r="T268" s="23" t="str">
        <f t="shared" si="78"/>
        <v>COMHOPNewSHEUE</v>
      </c>
      <c r="U268" s="23" t="str">
        <f t="shared" si="79"/>
        <v>COMHOPNewSHEUE</v>
      </c>
      <c r="V268" s="24">
        <v>2050</v>
      </c>
      <c r="W268" s="24" t="str">
        <f>W267</f>
        <v>UP</v>
      </c>
      <c r="X268" s="24"/>
      <c r="Y268" s="25">
        <f>UC!Y268</f>
        <v>-0.11800000000000001</v>
      </c>
      <c r="Z268" s="24"/>
      <c r="AA268" s="24"/>
      <c r="AB268" s="26"/>
      <c r="AC268" s="27"/>
    </row>
    <row r="269" spans="1:29" x14ac:dyDescent="0.25">
      <c r="A269" s="19">
        <f>A265+1</f>
        <v>67</v>
      </c>
      <c r="B269" s="10"/>
      <c r="C269" s="11" t="str">
        <f>SUBSTITUTE(UC!C269,"Old","New")</f>
        <v>*</v>
      </c>
      <c r="D269" s="12"/>
      <c r="E269" s="13" t="str">
        <f>_xlfn.XLOOKUP($A269,Selected_constraint_UC!$A:$A,Selected_constraint_UC!$B:$B)</f>
        <v>COMLPG</v>
      </c>
      <c r="F269" s="13" t="str">
        <f>SUBSTITUTE(_xlfn.XLOOKUP($A269,Selected_constraint_UC!$A:$A,Selected_constraint_UC!$C:$C),"Old","New")</f>
        <v>COMHOPNewSHEUE</v>
      </c>
      <c r="G269" s="13" t="str">
        <f>F269</f>
        <v>COMHOPNewSHEUE</v>
      </c>
      <c r="H269" s="14">
        <v>2019</v>
      </c>
      <c r="I269" s="14" t="s">
        <v>3848</v>
      </c>
      <c r="J269" s="14">
        <v>1</v>
      </c>
      <c r="K269" s="15">
        <f>UC!K269</f>
        <v>0</v>
      </c>
      <c r="L269" s="14">
        <v>0</v>
      </c>
      <c r="M269" s="14">
        <v>5</v>
      </c>
      <c r="N269" s="10"/>
      <c r="O269" s="20"/>
      <c r="Q269" s="11" t="str">
        <f>SUBSTITUTE(UC!Q269,"Old","New")</f>
        <v>*</v>
      </c>
      <c r="R269" s="12"/>
      <c r="S269" s="13" t="str">
        <f t="shared" si="77"/>
        <v>COMLPG</v>
      </c>
      <c r="T269" s="13" t="str">
        <f t="shared" si="78"/>
        <v>COMHOPNewSHEUE</v>
      </c>
      <c r="U269" s="13" t="str">
        <f t="shared" si="79"/>
        <v>COMHOPNewSHEUE</v>
      </c>
      <c r="V269" s="14">
        <f>H269</f>
        <v>2019</v>
      </c>
      <c r="W269" s="29" t="s">
        <v>3849</v>
      </c>
      <c r="X269" s="14">
        <v>1</v>
      </c>
      <c r="Y269" s="15">
        <f>UC!Y269</f>
        <v>0</v>
      </c>
      <c r="Z269" s="14">
        <v>0</v>
      </c>
      <c r="AA269" s="14">
        <v>5</v>
      </c>
      <c r="AB269" s="10"/>
      <c r="AC269" s="20"/>
    </row>
    <row r="270" spans="1:29" x14ac:dyDescent="0.25">
      <c r="A270" s="10">
        <f>A269</f>
        <v>67</v>
      </c>
      <c r="B270" s="10"/>
      <c r="C270" s="11" t="str">
        <f>SUBSTITUTE(UC!C270,"Old","New")</f>
        <v>*</v>
      </c>
      <c r="D270" s="12"/>
      <c r="E270" s="13" t="str">
        <f t="shared" ref="E270:G272" si="81">E269</f>
        <v>COMLPG</v>
      </c>
      <c r="F270" s="13" t="str">
        <f t="shared" si="81"/>
        <v>COMHOPNewSHEUE</v>
      </c>
      <c r="G270" s="13" t="str">
        <f t="shared" si="81"/>
        <v>COMHOPNewSHEUE</v>
      </c>
      <c r="H270" s="14">
        <v>2025</v>
      </c>
      <c r="I270" s="14" t="str">
        <f>I269</f>
        <v>LO</v>
      </c>
      <c r="J270" s="14"/>
      <c r="K270" s="15">
        <f>UC!K270</f>
        <v>0</v>
      </c>
      <c r="L270" s="14"/>
      <c r="M270" s="14"/>
      <c r="N270" s="10"/>
      <c r="O270" s="20"/>
      <c r="Q270" s="11" t="str">
        <f>SUBSTITUTE(UC!Q270,"Old","New")</f>
        <v>*</v>
      </c>
      <c r="R270" s="12"/>
      <c r="S270" s="13" t="str">
        <f t="shared" si="77"/>
        <v>COMLPG</v>
      </c>
      <c r="T270" s="13" t="str">
        <f t="shared" si="78"/>
        <v>COMHOPNewSHEUE</v>
      </c>
      <c r="U270" s="13" t="str">
        <f t="shared" si="79"/>
        <v>COMHOPNewSHEUE</v>
      </c>
      <c r="V270" s="14">
        <v>2025</v>
      </c>
      <c r="W270" s="14" t="str">
        <f>W269</f>
        <v>UP</v>
      </c>
      <c r="X270" s="14"/>
      <c r="Y270" s="15">
        <f>UC!Y270</f>
        <v>0</v>
      </c>
      <c r="Z270" s="14"/>
      <c r="AA270" s="14"/>
      <c r="AB270" s="10"/>
      <c r="AC270" s="20"/>
    </row>
    <row r="271" spans="1:29" x14ac:dyDescent="0.25">
      <c r="A271" s="10">
        <f>A270</f>
        <v>67</v>
      </c>
      <c r="B271" s="10"/>
      <c r="C271" s="11" t="str">
        <f>SUBSTITUTE(UC!C271,"Old","New")</f>
        <v>*</v>
      </c>
      <c r="D271" s="12"/>
      <c r="E271" s="13" t="str">
        <f t="shared" si="81"/>
        <v>COMLPG</v>
      </c>
      <c r="F271" s="13" t="str">
        <f t="shared" si="81"/>
        <v>COMHOPNewSHEUE</v>
      </c>
      <c r="G271" s="13" t="str">
        <f t="shared" si="81"/>
        <v>COMHOPNewSHEUE</v>
      </c>
      <c r="H271" s="14">
        <v>2030</v>
      </c>
      <c r="I271" s="14" t="str">
        <f>I270</f>
        <v>LO</v>
      </c>
      <c r="J271" s="14"/>
      <c r="K271" s="15">
        <f>UC!K271</f>
        <v>0</v>
      </c>
      <c r="L271" s="14"/>
      <c r="M271" s="14"/>
      <c r="N271" s="10"/>
      <c r="O271" s="20"/>
      <c r="Q271" s="11" t="str">
        <f>SUBSTITUTE(UC!Q271,"Old","New")</f>
        <v>*</v>
      </c>
      <c r="R271" s="12"/>
      <c r="S271" s="13" t="str">
        <f t="shared" si="77"/>
        <v>COMLPG</v>
      </c>
      <c r="T271" s="13" t="str">
        <f t="shared" si="78"/>
        <v>COMHOPNewSHEUE</v>
      </c>
      <c r="U271" s="13" t="str">
        <f t="shared" si="79"/>
        <v>COMHOPNewSHEUE</v>
      </c>
      <c r="V271" s="14">
        <v>2030</v>
      </c>
      <c r="W271" s="14" t="str">
        <f>W270</f>
        <v>UP</v>
      </c>
      <c r="X271" s="14"/>
      <c r="Y271" s="15">
        <f>UC!Y271</f>
        <v>0</v>
      </c>
      <c r="Z271" s="14"/>
      <c r="AA271" s="14"/>
      <c r="AB271" s="10"/>
      <c r="AC271" s="20"/>
    </row>
    <row r="272" spans="1:29" x14ac:dyDescent="0.25">
      <c r="A272" s="26">
        <f>A271</f>
        <v>67</v>
      </c>
      <c r="B272" s="26"/>
      <c r="C272" s="21" t="str">
        <f>SUBSTITUTE(UC!C272,"Old","New")</f>
        <v>*</v>
      </c>
      <c r="D272" s="22"/>
      <c r="E272" s="23" t="str">
        <f t="shared" si="81"/>
        <v>COMLPG</v>
      </c>
      <c r="F272" s="23" t="str">
        <f t="shared" si="81"/>
        <v>COMHOPNewSHEUE</v>
      </c>
      <c r="G272" s="23" t="str">
        <f t="shared" si="81"/>
        <v>COMHOPNewSHEUE</v>
      </c>
      <c r="H272" s="24">
        <v>2050</v>
      </c>
      <c r="I272" s="24" t="str">
        <f>I271</f>
        <v>LO</v>
      </c>
      <c r="J272" s="24"/>
      <c r="K272" s="25">
        <f>UC!K272</f>
        <v>0</v>
      </c>
      <c r="L272" s="24"/>
      <c r="M272" s="24"/>
      <c r="N272" s="26"/>
      <c r="O272" s="27"/>
      <c r="Q272" s="21" t="str">
        <f>SUBSTITUTE(UC!Q272,"Old","New")</f>
        <v>*</v>
      </c>
      <c r="R272" s="22"/>
      <c r="S272" s="23" t="str">
        <f t="shared" si="77"/>
        <v>COMLPG</v>
      </c>
      <c r="T272" s="23" t="str">
        <f t="shared" si="78"/>
        <v>COMHOPNewSHEUE</v>
      </c>
      <c r="U272" s="23" t="str">
        <f t="shared" si="79"/>
        <v>COMHOPNewSHEUE</v>
      </c>
      <c r="V272" s="24">
        <v>2050</v>
      </c>
      <c r="W272" s="24" t="str">
        <f>W271</f>
        <v>UP</v>
      </c>
      <c r="X272" s="24"/>
      <c r="Y272" s="25">
        <f>UC!Y272</f>
        <v>0</v>
      </c>
      <c r="Z272" s="24"/>
      <c r="AA272" s="24"/>
      <c r="AB272" s="26"/>
      <c r="AC272" s="27"/>
    </row>
    <row r="273" spans="1:29" x14ac:dyDescent="0.25">
      <c r="A273" s="19">
        <f>A269+1</f>
        <v>68</v>
      </c>
      <c r="B273" s="10"/>
      <c r="C273" s="11" t="str">
        <f>SUBSTITUTE(UC!C273,"Old","New")</f>
        <v>*</v>
      </c>
      <c r="D273" s="12"/>
      <c r="E273" s="13" t="str">
        <f>_xlfn.XLOOKUP($A273,Selected_constraint_UC!$A:$A,Selected_constraint_UC!$B:$B)</f>
        <v>COMSTM</v>
      </c>
      <c r="F273" s="13" t="str">
        <f>SUBSTITUTE(_xlfn.XLOOKUP($A273,Selected_constraint_UC!$A:$A,Selected_constraint_UC!$C:$C),"Old","New")</f>
        <v>COMHOPNewSHEUE</v>
      </c>
      <c r="G273" s="13" t="str">
        <f>F273</f>
        <v>COMHOPNewSHEUE</v>
      </c>
      <c r="H273" s="14">
        <v>2019</v>
      </c>
      <c r="I273" s="14" t="s">
        <v>3848</v>
      </c>
      <c r="J273" s="14">
        <v>1</v>
      </c>
      <c r="K273" s="15">
        <f>UC!K273</f>
        <v>-2.7439999999999999E-2</v>
      </c>
      <c r="L273" s="14">
        <v>0</v>
      </c>
      <c r="M273" s="14">
        <v>5</v>
      </c>
      <c r="N273" s="10"/>
      <c r="O273" s="20"/>
      <c r="Q273" s="11" t="str">
        <f>SUBSTITUTE(UC!Q273,"Old","New")</f>
        <v>*</v>
      </c>
      <c r="R273" s="12"/>
      <c r="S273" s="13" t="str">
        <f t="shared" si="77"/>
        <v>COMSTM</v>
      </c>
      <c r="T273" s="13" t="str">
        <f t="shared" si="78"/>
        <v>COMHOPNewSHEUE</v>
      </c>
      <c r="U273" s="13" t="str">
        <f t="shared" si="79"/>
        <v>COMHOPNewSHEUE</v>
      </c>
      <c r="V273" s="14">
        <f>H273</f>
        <v>2019</v>
      </c>
      <c r="W273" s="29" t="s">
        <v>3849</v>
      </c>
      <c r="X273" s="14">
        <v>1</v>
      </c>
      <c r="Y273" s="15">
        <f>UC!Y273</f>
        <v>-2.9000000000000001E-2</v>
      </c>
      <c r="Z273" s="14">
        <v>0</v>
      </c>
      <c r="AA273" s="14">
        <v>5</v>
      </c>
      <c r="AB273" s="10"/>
      <c r="AC273" s="20"/>
    </row>
    <row r="274" spans="1:29" x14ac:dyDescent="0.25">
      <c r="A274" s="10">
        <f>A273</f>
        <v>68</v>
      </c>
      <c r="B274" s="10"/>
      <c r="C274" s="11" t="str">
        <f>SUBSTITUTE(UC!C274,"Old","New")</f>
        <v>*</v>
      </c>
      <c r="D274" s="12"/>
      <c r="E274" s="13" t="str">
        <f t="shared" ref="E274:G276" si="82">E273</f>
        <v>COMSTM</v>
      </c>
      <c r="F274" s="13" t="str">
        <f t="shared" si="82"/>
        <v>COMHOPNewSHEUE</v>
      </c>
      <c r="G274" s="13" t="str">
        <f t="shared" si="82"/>
        <v>COMHOPNewSHEUE</v>
      </c>
      <c r="H274" s="14">
        <v>2025</v>
      </c>
      <c r="I274" s="14" t="str">
        <f>I273</f>
        <v>LO</v>
      </c>
      <c r="J274" s="14"/>
      <c r="K274" s="15">
        <f>UC!K274</f>
        <v>-2.2400000000000003E-2</v>
      </c>
      <c r="L274" s="14"/>
      <c r="M274" s="14"/>
      <c r="N274" s="10"/>
      <c r="O274" s="20"/>
      <c r="Q274" s="11" t="str">
        <f>SUBSTITUTE(UC!Q274,"Old","New")</f>
        <v>*</v>
      </c>
      <c r="R274" s="12"/>
      <c r="S274" s="13" t="str">
        <f t="shared" si="77"/>
        <v>COMSTM</v>
      </c>
      <c r="T274" s="13" t="str">
        <f t="shared" si="78"/>
        <v>COMHOPNewSHEUE</v>
      </c>
      <c r="U274" s="13" t="str">
        <f t="shared" si="79"/>
        <v>COMHOPNewSHEUE</v>
      </c>
      <c r="V274" s="14">
        <v>2025</v>
      </c>
      <c r="W274" s="14" t="str">
        <f>W273</f>
        <v>UP</v>
      </c>
      <c r="X274" s="14"/>
      <c r="Y274" s="15">
        <f>UC!Y274</f>
        <v>-3.4000000000000002E-2</v>
      </c>
      <c r="Z274" s="14"/>
      <c r="AA274" s="14"/>
      <c r="AB274" s="10"/>
      <c r="AC274" s="20"/>
    </row>
    <row r="275" spans="1:29" x14ac:dyDescent="0.25">
      <c r="A275" s="10">
        <f>A274</f>
        <v>68</v>
      </c>
      <c r="B275" s="10"/>
      <c r="C275" s="11" t="str">
        <f>SUBSTITUTE(UC!C275,"Old","New")</f>
        <v>*</v>
      </c>
      <c r="D275" s="12"/>
      <c r="E275" s="13" t="str">
        <f t="shared" si="82"/>
        <v>COMSTM</v>
      </c>
      <c r="F275" s="13" t="str">
        <f t="shared" si="82"/>
        <v>COMHOPNewSHEUE</v>
      </c>
      <c r="G275" s="13" t="str">
        <f t="shared" si="82"/>
        <v>COMHOPNewSHEUE</v>
      </c>
      <c r="H275" s="14">
        <v>2030</v>
      </c>
      <c r="I275" s="14" t="str">
        <f>I274</f>
        <v>LO</v>
      </c>
      <c r="J275" s="14"/>
      <c r="K275" s="15">
        <f>UC!K275</f>
        <v>-5.6000000000000008E-3</v>
      </c>
      <c r="L275" s="14"/>
      <c r="M275" s="14"/>
      <c r="N275" s="10"/>
      <c r="O275" s="20"/>
      <c r="Q275" s="11" t="str">
        <f>SUBSTITUTE(UC!Q275,"Old","New")</f>
        <v>*</v>
      </c>
      <c r="R275" s="12"/>
      <c r="S275" s="13" t="str">
        <f t="shared" si="77"/>
        <v>COMSTM</v>
      </c>
      <c r="T275" s="13" t="str">
        <f t="shared" si="78"/>
        <v>COMHOPNewSHEUE</v>
      </c>
      <c r="U275" s="13" t="str">
        <f t="shared" si="79"/>
        <v>COMHOPNewSHEUE</v>
      </c>
      <c r="V275" s="14">
        <v>2030</v>
      </c>
      <c r="W275" s="14" t="str">
        <f>W274</f>
        <v>UP</v>
      </c>
      <c r="X275" s="14"/>
      <c r="Y275" s="15">
        <f>UC!Y275</f>
        <v>-4.3000000000000003E-2</v>
      </c>
      <c r="Z275" s="14"/>
      <c r="AA275" s="14"/>
      <c r="AB275" s="10"/>
      <c r="AC275" s="20"/>
    </row>
    <row r="276" spans="1:29" x14ac:dyDescent="0.25">
      <c r="A276" s="26">
        <f>A275</f>
        <v>68</v>
      </c>
      <c r="B276" s="26"/>
      <c r="C276" s="21" t="str">
        <f>SUBSTITUTE(UC!C276,"Old","New")</f>
        <v>*</v>
      </c>
      <c r="D276" s="22"/>
      <c r="E276" s="23" t="str">
        <f t="shared" si="82"/>
        <v>COMSTM</v>
      </c>
      <c r="F276" s="23" t="str">
        <f t="shared" si="82"/>
        <v>COMHOPNewSHEUE</v>
      </c>
      <c r="G276" s="23" t="str">
        <f t="shared" si="82"/>
        <v>COMHOPNewSHEUE</v>
      </c>
      <c r="H276" s="24">
        <v>2050</v>
      </c>
      <c r="I276" s="24" t="str">
        <f>I275</f>
        <v>LO</v>
      </c>
      <c r="J276" s="24"/>
      <c r="K276" s="25">
        <f>UC!K276</f>
        <v>0</v>
      </c>
      <c r="L276" s="24"/>
      <c r="M276" s="24"/>
      <c r="N276" s="26"/>
      <c r="O276" s="27"/>
      <c r="Q276" s="21" t="str">
        <f>SUBSTITUTE(UC!Q276,"Old","New")</f>
        <v>*</v>
      </c>
      <c r="R276" s="22"/>
      <c r="S276" s="23" t="str">
        <f t="shared" si="77"/>
        <v>COMSTM</v>
      </c>
      <c r="T276" s="23" t="str">
        <f t="shared" si="78"/>
        <v>COMHOPNewSHEUE</v>
      </c>
      <c r="U276" s="23" t="str">
        <f t="shared" si="79"/>
        <v>COMHOPNewSHEUE</v>
      </c>
      <c r="V276" s="24">
        <v>2050</v>
      </c>
      <c r="W276" s="24" t="str">
        <f>W275</f>
        <v>UP</v>
      </c>
      <c r="X276" s="24"/>
      <c r="Y276" s="25">
        <f>UC!Y276</f>
        <v>-8.5000000000000006E-2</v>
      </c>
      <c r="Z276" s="24"/>
      <c r="AA276" s="24"/>
      <c r="AB276" s="26"/>
      <c r="AC276" s="27"/>
    </row>
    <row r="277" spans="1:29" x14ac:dyDescent="0.25">
      <c r="A277" s="19">
        <f>A273+1</f>
        <v>69</v>
      </c>
      <c r="B277" s="10"/>
      <c r="C277" s="11" t="str">
        <f>SUBSTITUTE(UC!C277,"Old","New")</f>
        <v>UC_MarketShare_COMHOPNewSC_ELC_MIN</v>
      </c>
      <c r="D277" s="12"/>
      <c r="E277" s="13" t="str">
        <f>_xlfn.XLOOKUP($A277,Selected_constraint_UC!$A:$A,Selected_constraint_UC!$B:$B)</f>
        <v>COMELC</v>
      </c>
      <c r="F277" s="13" t="str">
        <f>SUBSTITUTE(_xlfn.XLOOKUP($A277,Selected_constraint_UC!$A:$A,Selected_constraint_UC!$C:$C),"Old","New")</f>
        <v>COMHOPNewSCEUE</v>
      </c>
      <c r="G277" s="13" t="str">
        <f>F277</f>
        <v>COMHOPNewSCEUE</v>
      </c>
      <c r="H277" s="14">
        <v>2019</v>
      </c>
      <c r="I277" s="14" t="s">
        <v>3848</v>
      </c>
      <c r="J277" s="14">
        <v>1</v>
      </c>
      <c r="K277" s="15">
        <f>UC!K277</f>
        <v>-0.98</v>
      </c>
      <c r="L277" s="14">
        <v>0</v>
      </c>
      <c r="M277" s="14">
        <v>5</v>
      </c>
      <c r="N277" s="10"/>
      <c r="O277" s="20"/>
      <c r="Q277" s="11" t="str">
        <f>SUBSTITUTE(UC!Q277,"Old","New")</f>
        <v>UC_MarketShare_COMHOPNewSC_ELC_MAX</v>
      </c>
      <c r="R277" s="12"/>
      <c r="S277" s="13" t="str">
        <f t="shared" si="77"/>
        <v>COMELC</v>
      </c>
      <c r="T277" s="13" t="str">
        <f t="shared" si="78"/>
        <v>COMHOPNewSCEUE</v>
      </c>
      <c r="U277" s="13" t="str">
        <f t="shared" si="79"/>
        <v>COMHOPNewSCEUE</v>
      </c>
      <c r="V277" s="14">
        <f>H277</f>
        <v>2019</v>
      </c>
      <c r="W277" s="29" t="s">
        <v>3849</v>
      </c>
      <c r="X277" s="14">
        <v>1</v>
      </c>
      <c r="Y277" s="15">
        <f>UC!Y277</f>
        <v>-1</v>
      </c>
      <c r="Z277" s="14">
        <v>0</v>
      </c>
      <c r="AA277" s="14">
        <v>5</v>
      </c>
      <c r="AB277" s="10"/>
      <c r="AC277" s="20"/>
    </row>
    <row r="278" spans="1:29" x14ac:dyDescent="0.25">
      <c r="A278" s="10">
        <f>A277</f>
        <v>69</v>
      </c>
      <c r="B278" s="10"/>
      <c r="C278" s="11" t="str">
        <f>SUBSTITUTE(UC!C278,"Old","New")</f>
        <v/>
      </c>
      <c r="D278" s="12"/>
      <c r="E278" s="13" t="str">
        <f t="shared" ref="E278:G280" si="83">E277</f>
        <v>COMELC</v>
      </c>
      <c r="F278" s="13" t="str">
        <f t="shared" si="83"/>
        <v>COMHOPNewSCEUE</v>
      </c>
      <c r="G278" s="13" t="str">
        <f t="shared" si="83"/>
        <v>COMHOPNewSCEUE</v>
      </c>
      <c r="H278" s="14">
        <v>2025</v>
      </c>
      <c r="I278" s="14" t="str">
        <f>I277</f>
        <v>LO</v>
      </c>
      <c r="J278" s="14"/>
      <c r="K278" s="15">
        <f>UC!K278</f>
        <v>-0.8</v>
      </c>
      <c r="L278" s="14"/>
      <c r="M278" s="14"/>
      <c r="N278" s="10"/>
      <c r="O278" s="20"/>
      <c r="Q278" s="11" t="str">
        <f>SUBSTITUTE(UC!Q278,"Old","New")</f>
        <v/>
      </c>
      <c r="R278" s="12"/>
      <c r="S278" s="13" t="str">
        <f t="shared" si="77"/>
        <v>COMELC</v>
      </c>
      <c r="T278" s="13" t="str">
        <f t="shared" si="78"/>
        <v>COMHOPNewSCEUE</v>
      </c>
      <c r="U278" s="13" t="str">
        <f t="shared" si="79"/>
        <v>COMHOPNewSCEUE</v>
      </c>
      <c r="V278" s="14">
        <v>2025</v>
      </c>
      <c r="W278" s="14" t="str">
        <f>W277</f>
        <v>UP</v>
      </c>
      <c r="X278" s="14"/>
      <c r="Y278" s="15">
        <f>UC!Y278</f>
        <v>-1</v>
      </c>
      <c r="Z278" s="14"/>
      <c r="AA278" s="14"/>
      <c r="AB278" s="10"/>
      <c r="AC278" s="20"/>
    </row>
    <row r="279" spans="1:29" x14ac:dyDescent="0.25">
      <c r="A279" s="10">
        <f>A278</f>
        <v>69</v>
      </c>
      <c r="B279" s="10"/>
      <c r="C279" s="11" t="str">
        <f>SUBSTITUTE(UC!C279,"Old","New")</f>
        <v/>
      </c>
      <c r="D279" s="12"/>
      <c r="E279" s="13" t="str">
        <f t="shared" si="83"/>
        <v>COMELC</v>
      </c>
      <c r="F279" s="13" t="str">
        <f t="shared" si="83"/>
        <v>COMHOPNewSCEUE</v>
      </c>
      <c r="G279" s="13" t="str">
        <f t="shared" si="83"/>
        <v>COMHOPNewSCEUE</v>
      </c>
      <c r="H279" s="14">
        <v>2030</v>
      </c>
      <c r="I279" s="14" t="str">
        <f>I278</f>
        <v>LO</v>
      </c>
      <c r="J279" s="14"/>
      <c r="K279" s="15">
        <f>UC!K279</f>
        <v>-0.75</v>
      </c>
      <c r="L279" s="14"/>
      <c r="M279" s="14"/>
      <c r="N279" s="10"/>
      <c r="O279" s="20"/>
      <c r="Q279" s="11" t="str">
        <f>SUBSTITUTE(UC!Q279,"Old","New")</f>
        <v/>
      </c>
      <c r="R279" s="12"/>
      <c r="S279" s="13" t="str">
        <f t="shared" si="77"/>
        <v>COMELC</v>
      </c>
      <c r="T279" s="13" t="str">
        <f t="shared" si="78"/>
        <v>COMHOPNewSCEUE</v>
      </c>
      <c r="U279" s="13" t="str">
        <f t="shared" si="79"/>
        <v>COMHOPNewSCEUE</v>
      </c>
      <c r="V279" s="14">
        <v>2030</v>
      </c>
      <c r="W279" s="14" t="str">
        <f>W278</f>
        <v>UP</v>
      </c>
      <c r="X279" s="14"/>
      <c r="Y279" s="15">
        <f>UC!Y279</f>
        <v>-1</v>
      </c>
      <c r="Z279" s="14"/>
      <c r="AA279" s="14"/>
      <c r="AB279" s="10"/>
      <c r="AC279" s="20"/>
    </row>
    <row r="280" spans="1:29" x14ac:dyDescent="0.25">
      <c r="A280" s="26">
        <f>A279</f>
        <v>69</v>
      </c>
      <c r="B280" s="26"/>
      <c r="C280" s="21" t="str">
        <f>SUBSTITUTE(UC!C280,"Old","New")</f>
        <v/>
      </c>
      <c r="D280" s="22"/>
      <c r="E280" s="23" t="str">
        <f t="shared" si="83"/>
        <v>COMELC</v>
      </c>
      <c r="F280" s="23" t="str">
        <f t="shared" si="83"/>
        <v>COMHOPNewSCEUE</v>
      </c>
      <c r="G280" s="23" t="str">
        <f t="shared" si="83"/>
        <v>COMHOPNewSCEUE</v>
      </c>
      <c r="H280" s="24">
        <v>2050</v>
      </c>
      <c r="I280" s="24" t="str">
        <f>I279</f>
        <v>LO</v>
      </c>
      <c r="J280" s="24"/>
      <c r="K280" s="25">
        <f>UC!K280</f>
        <v>-0.75</v>
      </c>
      <c r="L280" s="24"/>
      <c r="M280" s="24"/>
      <c r="N280" s="26"/>
      <c r="O280" s="27"/>
      <c r="Q280" s="21" t="str">
        <f>SUBSTITUTE(UC!Q280,"Old","New")</f>
        <v/>
      </c>
      <c r="R280" s="22"/>
      <c r="S280" s="23" t="str">
        <f t="shared" si="77"/>
        <v>COMELC</v>
      </c>
      <c r="T280" s="23" t="str">
        <f t="shared" si="78"/>
        <v>COMHOPNewSCEUE</v>
      </c>
      <c r="U280" s="23" t="str">
        <f t="shared" si="79"/>
        <v>COMHOPNewSCEUE</v>
      </c>
      <c r="V280" s="24">
        <v>2050</v>
      </c>
      <c r="W280" s="24" t="str">
        <f>W279</f>
        <v>UP</v>
      </c>
      <c r="X280" s="24"/>
      <c r="Y280" s="25">
        <f>UC!Y280</f>
        <v>-1</v>
      </c>
      <c r="Z280" s="24"/>
      <c r="AA280" s="24"/>
      <c r="AB280" s="26"/>
      <c r="AC280" s="27"/>
    </row>
    <row r="281" spans="1:29" x14ac:dyDescent="0.25">
      <c r="A281" s="19">
        <f>A277+1</f>
        <v>70</v>
      </c>
      <c r="B281" s="10"/>
      <c r="C281" s="11" t="str">
        <f>SUBSTITUTE(UC!C281,"Old","New")</f>
        <v>*</v>
      </c>
      <c r="D281" s="12"/>
      <c r="E281" s="13" t="str">
        <f>_xlfn.XLOOKUP($A281,Selected_constraint_UC!$A:$A,Selected_constraint_UC!$B:$B)</f>
        <v>COMELC</v>
      </c>
      <c r="F281" s="13" t="str">
        <f>SUBSTITUTE(_xlfn.XLOOKUP($A281,Selected_constraint_UC!$A:$A,Selected_constraint_UC!$C:$C),"Old","New")</f>
        <v>COMHOPNewVTEUE</v>
      </c>
      <c r="G281" s="13" t="str">
        <f>F281</f>
        <v>COMHOPNewVTEUE</v>
      </c>
      <c r="H281" s="14">
        <v>2019</v>
      </c>
      <c r="I281" s="14" t="s">
        <v>3848</v>
      </c>
      <c r="J281" s="14">
        <v>1</v>
      </c>
      <c r="K281" s="15">
        <f>UC!K281</f>
        <v>-0.98</v>
      </c>
      <c r="L281" s="14">
        <v>0</v>
      </c>
      <c r="M281" s="14">
        <v>5</v>
      </c>
      <c r="N281" s="10"/>
      <c r="O281" s="20"/>
      <c r="Q281" s="11" t="str">
        <f>SUBSTITUTE(UC!Q281,"Old","New")</f>
        <v>*</v>
      </c>
      <c r="R281" s="12"/>
      <c r="S281" s="13" t="str">
        <f t="shared" si="77"/>
        <v>COMELC</v>
      </c>
      <c r="T281" s="13" t="str">
        <f t="shared" si="78"/>
        <v>COMHOPNewVTEUE</v>
      </c>
      <c r="U281" s="13" t="str">
        <f t="shared" si="79"/>
        <v>COMHOPNewVTEUE</v>
      </c>
      <c r="V281" s="14">
        <f>H281</f>
        <v>2019</v>
      </c>
      <c r="W281" s="29" t="s">
        <v>3849</v>
      </c>
      <c r="X281" s="14">
        <v>1</v>
      </c>
      <c r="Y281" s="15">
        <f>UC!Y281</f>
        <v>-1</v>
      </c>
      <c r="Z281" s="14">
        <v>0</v>
      </c>
      <c r="AA281" s="14">
        <v>5</v>
      </c>
      <c r="AB281" s="10"/>
      <c r="AC281" s="20"/>
    </row>
    <row r="282" spans="1:29" x14ac:dyDescent="0.25">
      <c r="A282" s="10">
        <f>A281</f>
        <v>70</v>
      </c>
      <c r="B282" s="10"/>
      <c r="C282" s="11" t="str">
        <f>SUBSTITUTE(UC!C282,"Old","New")</f>
        <v>*</v>
      </c>
      <c r="D282" s="12"/>
      <c r="E282" s="13" t="str">
        <f t="shared" ref="E282:G284" si="84">E281</f>
        <v>COMELC</v>
      </c>
      <c r="F282" s="13" t="str">
        <f t="shared" si="84"/>
        <v>COMHOPNewVTEUE</v>
      </c>
      <c r="G282" s="13" t="str">
        <f t="shared" si="84"/>
        <v>COMHOPNewVTEUE</v>
      </c>
      <c r="H282" s="14">
        <v>2025</v>
      </c>
      <c r="I282" s="14" t="str">
        <f>I281</f>
        <v>LO</v>
      </c>
      <c r="J282" s="14"/>
      <c r="K282" s="15">
        <f>UC!K282</f>
        <v>-0.8</v>
      </c>
      <c r="L282" s="14"/>
      <c r="M282" s="14"/>
      <c r="N282" s="10"/>
      <c r="O282" s="20"/>
      <c r="Q282" s="11" t="str">
        <f>SUBSTITUTE(UC!Q282,"Old","New")</f>
        <v>*</v>
      </c>
      <c r="R282" s="12"/>
      <c r="S282" s="13" t="str">
        <f t="shared" si="77"/>
        <v>COMELC</v>
      </c>
      <c r="T282" s="13" t="str">
        <f t="shared" si="78"/>
        <v>COMHOPNewVTEUE</v>
      </c>
      <c r="U282" s="13" t="str">
        <f t="shared" si="79"/>
        <v>COMHOPNewVTEUE</v>
      </c>
      <c r="V282" s="14">
        <v>2025</v>
      </c>
      <c r="W282" s="14" t="str">
        <f>W281</f>
        <v>UP</v>
      </c>
      <c r="X282" s="14"/>
      <c r="Y282" s="15">
        <f>UC!Y282</f>
        <v>-1</v>
      </c>
      <c r="Z282" s="14"/>
      <c r="AA282" s="14"/>
      <c r="AB282" s="10"/>
      <c r="AC282" s="20"/>
    </row>
    <row r="283" spans="1:29" x14ac:dyDescent="0.25">
      <c r="A283" s="10">
        <f>A282</f>
        <v>70</v>
      </c>
      <c r="B283" s="10"/>
      <c r="C283" s="11" t="str">
        <f>SUBSTITUTE(UC!C283,"Old","New")</f>
        <v>*</v>
      </c>
      <c r="D283" s="12"/>
      <c r="E283" s="13" t="str">
        <f t="shared" si="84"/>
        <v>COMELC</v>
      </c>
      <c r="F283" s="13" t="str">
        <f t="shared" si="84"/>
        <v>COMHOPNewVTEUE</v>
      </c>
      <c r="G283" s="13" t="str">
        <f t="shared" si="84"/>
        <v>COMHOPNewVTEUE</v>
      </c>
      <c r="H283" s="14">
        <v>2030</v>
      </c>
      <c r="I283" s="14" t="str">
        <f>I282</f>
        <v>LO</v>
      </c>
      <c r="J283" s="14"/>
      <c r="K283" s="15">
        <f>UC!K283</f>
        <v>-0.2</v>
      </c>
      <c r="L283" s="14"/>
      <c r="M283" s="14"/>
      <c r="N283" s="10"/>
      <c r="O283" s="20"/>
      <c r="Q283" s="11" t="str">
        <f>SUBSTITUTE(UC!Q283,"Old","New")</f>
        <v>*</v>
      </c>
      <c r="R283" s="12"/>
      <c r="S283" s="13" t="str">
        <f t="shared" si="77"/>
        <v>COMELC</v>
      </c>
      <c r="T283" s="13" t="str">
        <f t="shared" si="78"/>
        <v>COMHOPNewVTEUE</v>
      </c>
      <c r="U283" s="13" t="str">
        <f t="shared" si="79"/>
        <v>COMHOPNewVTEUE</v>
      </c>
      <c r="V283" s="14">
        <v>2030</v>
      </c>
      <c r="W283" s="14" t="str">
        <f>W282</f>
        <v>UP</v>
      </c>
      <c r="X283" s="14"/>
      <c r="Y283" s="15">
        <f>UC!Y283</f>
        <v>-1</v>
      </c>
      <c r="Z283" s="14"/>
      <c r="AA283" s="14"/>
      <c r="AB283" s="10"/>
      <c r="AC283" s="20"/>
    </row>
    <row r="284" spans="1:29" x14ac:dyDescent="0.25">
      <c r="A284" s="26">
        <f>A283</f>
        <v>70</v>
      </c>
      <c r="B284" s="26"/>
      <c r="C284" s="21" t="str">
        <f>SUBSTITUTE(UC!C284,"Old","New")</f>
        <v>*</v>
      </c>
      <c r="D284" s="22"/>
      <c r="E284" s="23" t="str">
        <f t="shared" si="84"/>
        <v>COMELC</v>
      </c>
      <c r="F284" s="23" t="str">
        <f t="shared" si="84"/>
        <v>COMHOPNewVTEUE</v>
      </c>
      <c r="G284" s="23" t="str">
        <f t="shared" si="84"/>
        <v>COMHOPNewVTEUE</v>
      </c>
      <c r="H284" s="24">
        <v>2050</v>
      </c>
      <c r="I284" s="24" t="str">
        <f>I283</f>
        <v>LO</v>
      </c>
      <c r="J284" s="24"/>
      <c r="K284" s="25">
        <f>UC!K284</f>
        <v>0</v>
      </c>
      <c r="L284" s="24"/>
      <c r="M284" s="24"/>
      <c r="N284" s="26"/>
      <c r="O284" s="27"/>
      <c r="Q284" s="21" t="str">
        <f>SUBSTITUTE(UC!Q284,"Old","New")</f>
        <v>*</v>
      </c>
      <c r="R284" s="22"/>
      <c r="S284" s="23" t="str">
        <f t="shared" si="77"/>
        <v>COMELC</v>
      </c>
      <c r="T284" s="23" t="str">
        <f t="shared" si="78"/>
        <v>COMHOPNewVTEUE</v>
      </c>
      <c r="U284" s="23" t="str">
        <f t="shared" si="79"/>
        <v>COMHOPNewVTEUE</v>
      </c>
      <c r="V284" s="24">
        <v>2050</v>
      </c>
      <c r="W284" s="24" t="str">
        <f>W283</f>
        <v>UP</v>
      </c>
      <c r="X284" s="24"/>
      <c r="Y284" s="25">
        <f>UC!Y284</f>
        <v>-1</v>
      </c>
      <c r="Z284" s="24"/>
      <c r="AA284" s="24"/>
      <c r="AB284" s="26"/>
      <c r="AC284" s="27"/>
    </row>
    <row r="285" spans="1:29" x14ac:dyDescent="0.25">
      <c r="A285" s="19">
        <f>A281+1</f>
        <v>71</v>
      </c>
      <c r="B285" s="10"/>
      <c r="C285" s="11" t="str">
        <f>SUBSTITUTE(UC!C285,"Old","New")</f>
        <v>UC_MarketShare_COMHOPNewWH_FOI_MIN</v>
      </c>
      <c r="D285" s="12"/>
      <c r="E285" s="13" t="str">
        <f>_xlfn.XLOOKUP($A285,Selected_constraint_UC!$A:$A,Selected_constraint_UC!$B:$B)</f>
        <v>COMFOI</v>
      </c>
      <c r="F285" s="13" t="str">
        <f>SUBSTITUTE(_xlfn.XLOOKUP($A285,Selected_constraint_UC!$A:$A,Selected_constraint_UC!$C:$C),"Old","New")</f>
        <v>COMHOPNewWHEUE</v>
      </c>
      <c r="G285" s="13" t="str">
        <f>F285</f>
        <v>COMHOPNewWHEUE</v>
      </c>
      <c r="H285" s="14">
        <v>2019</v>
      </c>
      <c r="I285" s="14" t="s">
        <v>3848</v>
      </c>
      <c r="J285" s="14">
        <v>1</v>
      </c>
      <c r="K285" s="15">
        <f>UC!K285</f>
        <v>-4.7039999999999998E-2</v>
      </c>
      <c r="L285" s="14">
        <v>0</v>
      </c>
      <c r="M285" s="14">
        <v>5</v>
      </c>
      <c r="N285" s="10"/>
      <c r="O285" s="20"/>
      <c r="Q285" s="11" t="str">
        <f>SUBSTITUTE(UC!Q285,"Old","New")</f>
        <v>UC_MarketShare_COMHOPNewWH_FOI_MAX</v>
      </c>
      <c r="R285" s="12"/>
      <c r="S285" s="13" t="str">
        <f t="shared" si="77"/>
        <v>COMFOI</v>
      </c>
      <c r="T285" s="13" t="str">
        <f t="shared" si="78"/>
        <v>COMHOPNewWHEUE</v>
      </c>
      <c r="U285" s="13" t="str">
        <f t="shared" si="79"/>
        <v>COMHOPNewWHEUE</v>
      </c>
      <c r="V285" s="14">
        <f>H285</f>
        <v>2019</v>
      </c>
      <c r="W285" s="29" t="s">
        <v>3849</v>
      </c>
      <c r="X285" s="14">
        <v>1</v>
      </c>
      <c r="Y285" s="15">
        <f>UC!Y285</f>
        <v>-0.05</v>
      </c>
      <c r="Z285" s="14">
        <v>0</v>
      </c>
      <c r="AA285" s="14">
        <v>5</v>
      </c>
      <c r="AB285" s="10"/>
      <c r="AC285" s="20"/>
    </row>
    <row r="286" spans="1:29" x14ac:dyDescent="0.25">
      <c r="A286" s="10">
        <f>A285</f>
        <v>71</v>
      </c>
      <c r="B286" s="10"/>
      <c r="C286" s="11" t="str">
        <f>SUBSTITUTE(UC!C286,"Old","New")</f>
        <v/>
      </c>
      <c r="D286" s="12"/>
      <c r="E286" s="13" t="str">
        <f t="shared" ref="E286:G288" si="85">E285</f>
        <v>COMFOI</v>
      </c>
      <c r="F286" s="13" t="str">
        <f t="shared" si="85"/>
        <v>COMHOPNewWHEUE</v>
      </c>
      <c r="G286" s="13" t="str">
        <f t="shared" si="85"/>
        <v>COMHOPNewWHEUE</v>
      </c>
      <c r="H286" s="14">
        <v>2025</v>
      </c>
      <c r="I286" s="14" t="str">
        <f>I285</f>
        <v>LO</v>
      </c>
      <c r="J286" s="14"/>
      <c r="K286" s="15">
        <f>UC!K286</f>
        <v>-3.8400000000000004E-2</v>
      </c>
      <c r="L286" s="14"/>
      <c r="M286" s="14"/>
      <c r="N286" s="10"/>
      <c r="O286" s="20"/>
      <c r="Q286" s="11" t="str">
        <f>SUBSTITUTE(UC!Q286,"Old","New")</f>
        <v/>
      </c>
      <c r="R286" s="12"/>
      <c r="S286" s="13" t="str">
        <f t="shared" si="77"/>
        <v>COMFOI</v>
      </c>
      <c r="T286" s="13" t="str">
        <f t="shared" si="78"/>
        <v>COMHOPNewWHEUE</v>
      </c>
      <c r="U286" s="13" t="str">
        <f t="shared" si="79"/>
        <v>COMHOPNewWHEUE</v>
      </c>
      <c r="V286" s="14">
        <v>2025</v>
      </c>
      <c r="W286" s="14" t="str">
        <f>W285</f>
        <v>UP</v>
      </c>
      <c r="X286" s="14"/>
      <c r="Y286" s="15">
        <f>UC!Y286</f>
        <v>-4.9000000000000002E-2</v>
      </c>
      <c r="Z286" s="14"/>
      <c r="AA286" s="14"/>
      <c r="AB286" s="10"/>
      <c r="AC286" s="20"/>
    </row>
    <row r="287" spans="1:29" x14ac:dyDescent="0.25">
      <c r="A287" s="10">
        <f>A286</f>
        <v>71</v>
      </c>
      <c r="B287" s="10"/>
      <c r="C287" s="11" t="str">
        <f>SUBSTITUTE(UC!C287,"Old","New")</f>
        <v/>
      </c>
      <c r="D287" s="12"/>
      <c r="E287" s="13" t="str">
        <f t="shared" si="85"/>
        <v>COMFOI</v>
      </c>
      <c r="F287" s="13" t="str">
        <f t="shared" si="85"/>
        <v>COMHOPNewWHEUE</v>
      </c>
      <c r="G287" s="13" t="str">
        <f t="shared" si="85"/>
        <v>COMHOPNewWHEUE</v>
      </c>
      <c r="H287" s="14">
        <v>2030</v>
      </c>
      <c r="I287" s="14" t="str">
        <f>I286</f>
        <v>LO</v>
      </c>
      <c r="J287" s="14"/>
      <c r="K287" s="15">
        <f>UC!K287</f>
        <v>-9.6000000000000009E-3</v>
      </c>
      <c r="L287" s="14"/>
      <c r="M287" s="14"/>
      <c r="N287" s="10"/>
      <c r="O287" s="20"/>
      <c r="Q287" s="11" t="str">
        <f>SUBSTITUTE(UC!Q287,"Old","New")</f>
        <v/>
      </c>
      <c r="R287" s="12"/>
      <c r="S287" s="13" t="str">
        <f t="shared" si="77"/>
        <v>COMFOI</v>
      </c>
      <c r="T287" s="13" t="str">
        <f t="shared" si="78"/>
        <v>COMHOPNewWHEUE</v>
      </c>
      <c r="U287" s="13" t="str">
        <f t="shared" si="79"/>
        <v>COMHOPNewWHEUE</v>
      </c>
      <c r="V287" s="14">
        <v>2030</v>
      </c>
      <c r="W287" s="14" t="str">
        <f>W286</f>
        <v>UP</v>
      </c>
      <c r="X287" s="14"/>
      <c r="Y287" s="15">
        <f>UC!Y287</f>
        <v>-4.3999999999999997E-2</v>
      </c>
      <c r="Z287" s="14"/>
      <c r="AA287" s="14"/>
      <c r="AB287" s="10"/>
      <c r="AC287" s="20"/>
    </row>
    <row r="288" spans="1:29" x14ac:dyDescent="0.25">
      <c r="A288" s="26">
        <f>A287</f>
        <v>71</v>
      </c>
      <c r="B288" s="26"/>
      <c r="C288" s="21" t="str">
        <f>SUBSTITUTE(UC!C288,"Old","New")</f>
        <v/>
      </c>
      <c r="D288" s="22"/>
      <c r="E288" s="23" t="str">
        <f t="shared" si="85"/>
        <v>COMFOI</v>
      </c>
      <c r="F288" s="23" t="str">
        <f t="shared" si="85"/>
        <v>COMHOPNewWHEUE</v>
      </c>
      <c r="G288" s="23" t="str">
        <f t="shared" si="85"/>
        <v>COMHOPNewWHEUE</v>
      </c>
      <c r="H288" s="24">
        <v>2050</v>
      </c>
      <c r="I288" s="24" t="str">
        <f>I287</f>
        <v>LO</v>
      </c>
      <c r="J288" s="24"/>
      <c r="K288" s="25">
        <f>UC!K288</f>
        <v>0</v>
      </c>
      <c r="L288" s="24"/>
      <c r="M288" s="24"/>
      <c r="N288" s="26"/>
      <c r="O288" s="27"/>
      <c r="Q288" s="21" t="str">
        <f>SUBSTITUTE(UC!Q288,"Old","New")</f>
        <v/>
      </c>
      <c r="R288" s="22"/>
      <c r="S288" s="23" t="str">
        <f t="shared" si="77"/>
        <v>COMFOI</v>
      </c>
      <c r="T288" s="23" t="str">
        <f t="shared" si="78"/>
        <v>COMHOPNewWHEUE</v>
      </c>
      <c r="U288" s="23" t="str">
        <f t="shared" si="79"/>
        <v>COMHOPNewWHEUE</v>
      </c>
      <c r="V288" s="24">
        <v>2050</v>
      </c>
      <c r="W288" s="24" t="str">
        <f>W287</f>
        <v>UP</v>
      </c>
      <c r="X288" s="24"/>
      <c r="Y288" s="25">
        <f>UC!Y288</f>
        <v>-3.6999999999999998E-2</v>
      </c>
      <c r="Z288" s="24"/>
      <c r="AA288" s="24"/>
      <c r="AB288" s="26"/>
      <c r="AC288" s="27"/>
    </row>
    <row r="289" spans="1:29" x14ac:dyDescent="0.25">
      <c r="A289" s="19">
        <f>A285+1</f>
        <v>72</v>
      </c>
      <c r="B289" s="10"/>
      <c r="C289" s="11" t="str">
        <f>SUBSTITUTE(UC!C289,"Old","New")</f>
        <v>UC_MarketShare_COMHOPNewWH_NGA_MIN</v>
      </c>
      <c r="D289" s="12"/>
      <c r="E289" s="13" t="str">
        <f>_xlfn.XLOOKUP($A289,Selected_constraint_UC!$A:$A,Selected_constraint_UC!$B:$B)</f>
        <v>COMNGA</v>
      </c>
      <c r="F289" s="13" t="str">
        <f>SUBSTITUTE(_xlfn.XLOOKUP($A289,Selected_constraint_UC!$A:$A,Selected_constraint_UC!$C:$C),"Old","New")</f>
        <v>COMHOPNewWHEUE</v>
      </c>
      <c r="G289" s="13" t="str">
        <f>F289</f>
        <v>COMHOPNewWHEUE</v>
      </c>
      <c r="H289" s="14">
        <v>2019</v>
      </c>
      <c r="I289" s="14" t="s">
        <v>3848</v>
      </c>
      <c r="J289" s="14">
        <v>1</v>
      </c>
      <c r="K289" s="15">
        <f>UC!K289</f>
        <v>-0.79576000000000002</v>
      </c>
      <c r="L289" s="14">
        <v>0</v>
      </c>
      <c r="M289" s="14">
        <v>5</v>
      </c>
      <c r="N289" s="10"/>
      <c r="O289" s="20"/>
      <c r="Q289" s="11" t="str">
        <f>SUBSTITUTE(UC!Q289,"Old","New")</f>
        <v>UC_MarketShare_COMHOPNewWH_NGA_MAX</v>
      </c>
      <c r="R289" s="12"/>
      <c r="S289" s="13" t="str">
        <f t="shared" si="77"/>
        <v>COMNGA</v>
      </c>
      <c r="T289" s="13" t="str">
        <f t="shared" si="78"/>
        <v>COMHOPNewWHEUE</v>
      </c>
      <c r="U289" s="13" t="str">
        <f t="shared" si="79"/>
        <v>COMHOPNewWHEUE</v>
      </c>
      <c r="V289" s="14">
        <f>H289</f>
        <v>2019</v>
      </c>
      <c r="W289" s="29" t="s">
        <v>3849</v>
      </c>
      <c r="X289" s="14">
        <v>1</v>
      </c>
      <c r="Y289" s="15">
        <f>UC!Y289</f>
        <v>-0.82899999999999996</v>
      </c>
      <c r="Z289" s="14">
        <v>0</v>
      </c>
      <c r="AA289" s="14">
        <v>5</v>
      </c>
      <c r="AB289" s="10"/>
      <c r="AC289" s="20"/>
    </row>
    <row r="290" spans="1:29" x14ac:dyDescent="0.25">
      <c r="A290" s="10">
        <f>A289</f>
        <v>72</v>
      </c>
      <c r="B290" s="10"/>
      <c r="C290" s="11" t="str">
        <f>SUBSTITUTE(UC!C290,"Old","New")</f>
        <v/>
      </c>
      <c r="D290" s="12"/>
      <c r="E290" s="13" t="str">
        <f t="shared" ref="E290:G292" si="86">E289</f>
        <v>COMNGA</v>
      </c>
      <c r="F290" s="13" t="str">
        <f t="shared" si="86"/>
        <v>COMHOPNewWHEUE</v>
      </c>
      <c r="G290" s="13" t="str">
        <f t="shared" si="86"/>
        <v>COMHOPNewWHEUE</v>
      </c>
      <c r="H290" s="14">
        <v>2025</v>
      </c>
      <c r="I290" s="14" t="str">
        <f>I289</f>
        <v>LO</v>
      </c>
      <c r="J290" s="14"/>
      <c r="K290" s="15">
        <f>UC!K290</f>
        <v>-0.64960000000000007</v>
      </c>
      <c r="L290" s="14"/>
      <c r="M290" s="14"/>
      <c r="N290" s="10"/>
      <c r="O290" s="20"/>
      <c r="Q290" s="11" t="str">
        <f>SUBSTITUTE(UC!Q290,"Old","New")</f>
        <v/>
      </c>
      <c r="R290" s="12"/>
      <c r="S290" s="13" t="str">
        <f t="shared" si="77"/>
        <v>COMNGA</v>
      </c>
      <c r="T290" s="13" t="str">
        <f t="shared" si="78"/>
        <v>COMHOPNewWHEUE</v>
      </c>
      <c r="U290" s="13" t="str">
        <f t="shared" si="79"/>
        <v>COMHOPNewWHEUE</v>
      </c>
      <c r="V290" s="14">
        <v>2025</v>
      </c>
      <c r="W290" s="14" t="str">
        <f>W289</f>
        <v>UP</v>
      </c>
      <c r="X290" s="14"/>
      <c r="Y290" s="15">
        <f>UC!Y290</f>
        <v>-0.81300000000000006</v>
      </c>
      <c r="Z290" s="14"/>
      <c r="AA290" s="14"/>
      <c r="AB290" s="10"/>
      <c r="AC290" s="20"/>
    </row>
    <row r="291" spans="1:29" x14ac:dyDescent="0.25">
      <c r="A291" s="10">
        <f>A290</f>
        <v>72</v>
      </c>
      <c r="B291" s="10"/>
      <c r="C291" s="11" t="str">
        <f>SUBSTITUTE(UC!C291,"Old","New")</f>
        <v/>
      </c>
      <c r="D291" s="12"/>
      <c r="E291" s="13" t="str">
        <f t="shared" si="86"/>
        <v>COMNGA</v>
      </c>
      <c r="F291" s="13" t="str">
        <f t="shared" si="86"/>
        <v>COMHOPNewWHEUE</v>
      </c>
      <c r="G291" s="13" t="str">
        <f t="shared" si="86"/>
        <v>COMHOPNewWHEUE</v>
      </c>
      <c r="H291" s="14">
        <v>2030</v>
      </c>
      <c r="I291" s="14" t="str">
        <f>I290</f>
        <v>LO</v>
      </c>
      <c r="J291" s="14"/>
      <c r="K291" s="15">
        <f>UC!K291</f>
        <v>-0.16240000000000002</v>
      </c>
      <c r="L291" s="14"/>
      <c r="M291" s="14"/>
      <c r="N291" s="10"/>
      <c r="O291" s="20"/>
      <c r="Q291" s="11" t="str">
        <f>SUBSTITUTE(UC!Q291,"Old","New")</f>
        <v/>
      </c>
      <c r="R291" s="12"/>
      <c r="S291" s="13" t="str">
        <f t="shared" si="77"/>
        <v>COMNGA</v>
      </c>
      <c r="T291" s="13" t="str">
        <f t="shared" si="78"/>
        <v>COMHOPNewWHEUE</v>
      </c>
      <c r="U291" s="13" t="str">
        <f t="shared" si="79"/>
        <v>COMHOPNewWHEUE</v>
      </c>
      <c r="V291" s="14">
        <v>2030</v>
      </c>
      <c r="W291" s="14" t="str">
        <f>W290</f>
        <v>UP</v>
      </c>
      <c r="X291" s="14"/>
      <c r="Y291" s="15">
        <f>UC!Y291</f>
        <v>-0.73099999999999998</v>
      </c>
      <c r="Z291" s="14"/>
      <c r="AA291" s="14"/>
      <c r="AB291" s="10"/>
      <c r="AC291" s="20"/>
    </row>
    <row r="292" spans="1:29" x14ac:dyDescent="0.25">
      <c r="A292" s="26">
        <f>A291</f>
        <v>72</v>
      </c>
      <c r="B292" s="26"/>
      <c r="C292" s="21" t="str">
        <f>SUBSTITUTE(UC!C292,"Old","New")</f>
        <v/>
      </c>
      <c r="D292" s="22"/>
      <c r="E292" s="23" t="str">
        <f t="shared" si="86"/>
        <v>COMNGA</v>
      </c>
      <c r="F292" s="23" t="str">
        <f t="shared" si="86"/>
        <v>COMHOPNewWHEUE</v>
      </c>
      <c r="G292" s="23" t="str">
        <f t="shared" si="86"/>
        <v>COMHOPNewWHEUE</v>
      </c>
      <c r="H292" s="24">
        <v>2050</v>
      </c>
      <c r="I292" s="24" t="str">
        <f>I291</f>
        <v>LO</v>
      </c>
      <c r="J292" s="24"/>
      <c r="K292" s="25">
        <f>UC!K292</f>
        <v>0</v>
      </c>
      <c r="L292" s="24"/>
      <c r="M292" s="24"/>
      <c r="N292" s="26"/>
      <c r="O292" s="27"/>
      <c r="Q292" s="21" t="str">
        <f>SUBSTITUTE(UC!Q292,"Old","New")</f>
        <v/>
      </c>
      <c r="R292" s="22"/>
      <c r="S292" s="23" t="str">
        <f t="shared" si="77"/>
        <v>COMNGA</v>
      </c>
      <c r="T292" s="23" t="str">
        <f t="shared" si="78"/>
        <v>COMHOPNewWHEUE</v>
      </c>
      <c r="U292" s="23" t="str">
        <f t="shared" si="79"/>
        <v>COMHOPNewWHEUE</v>
      </c>
      <c r="V292" s="24">
        <v>2050</v>
      </c>
      <c r="W292" s="24" t="str">
        <f>W291</f>
        <v>UP</v>
      </c>
      <c r="X292" s="24"/>
      <c r="Y292" s="25">
        <f>UC!Y292</f>
        <v>-0.61</v>
      </c>
      <c r="Z292" s="24"/>
      <c r="AA292" s="24"/>
      <c r="AB292" s="26"/>
      <c r="AC292" s="27"/>
    </row>
    <row r="293" spans="1:29" x14ac:dyDescent="0.25">
      <c r="A293" s="19">
        <f>A289+1</f>
        <v>73</v>
      </c>
      <c r="B293" s="10"/>
      <c r="C293" s="11" t="str">
        <f>SUBSTITUTE(UC!C293,"Old","New")</f>
        <v>*</v>
      </c>
      <c r="D293" s="12"/>
      <c r="E293" s="13" t="str">
        <f>_xlfn.XLOOKUP($A293,Selected_constraint_UC!$A:$A,Selected_constraint_UC!$B:$B)</f>
        <v>COMSTM</v>
      </c>
      <c r="F293" s="13" t="str">
        <f>SUBSTITUTE(_xlfn.XLOOKUP($A293,Selected_constraint_UC!$A:$A,Selected_constraint_UC!$C:$C),"Old","New")</f>
        <v>COMHOPNewWHEUE</v>
      </c>
      <c r="G293" s="13" t="str">
        <f>F293</f>
        <v>COMHOPNewWHEUE</v>
      </c>
      <c r="H293" s="14">
        <v>2019</v>
      </c>
      <c r="I293" s="14" t="s">
        <v>3848</v>
      </c>
      <c r="J293" s="14">
        <v>1</v>
      </c>
      <c r="K293" s="15">
        <f>UC!K293</f>
        <v>-3.5279999999999999E-2</v>
      </c>
      <c r="L293" s="14">
        <v>0</v>
      </c>
      <c r="M293" s="14">
        <v>5</v>
      </c>
      <c r="N293" s="10"/>
      <c r="O293" s="20"/>
      <c r="Q293" s="11" t="str">
        <f>SUBSTITUTE(UC!Q293,"Old","New")</f>
        <v>*</v>
      </c>
      <c r="R293" s="12"/>
      <c r="S293" s="13" t="str">
        <f t="shared" si="77"/>
        <v>COMSTM</v>
      </c>
      <c r="T293" s="13" t="str">
        <f t="shared" si="78"/>
        <v>COMHOPNewWHEUE</v>
      </c>
      <c r="U293" s="13" t="str">
        <f t="shared" si="79"/>
        <v>COMHOPNewWHEUE</v>
      </c>
      <c r="V293" s="14">
        <f>H293</f>
        <v>2019</v>
      </c>
      <c r="W293" s="29" t="s">
        <v>3849</v>
      </c>
      <c r="X293" s="14">
        <v>1</v>
      </c>
      <c r="Y293" s="15">
        <f>UC!Y293</f>
        <v>-3.7999999999999999E-2</v>
      </c>
      <c r="Z293" s="14">
        <v>0</v>
      </c>
      <c r="AA293" s="14">
        <v>5</v>
      </c>
      <c r="AB293" s="10"/>
      <c r="AC293" s="20"/>
    </row>
    <row r="294" spans="1:29" x14ac:dyDescent="0.25">
      <c r="A294" s="10">
        <f>A293</f>
        <v>73</v>
      </c>
      <c r="B294" s="10"/>
      <c r="C294" s="11" t="str">
        <f>SUBSTITUTE(UC!C294,"Old","New")</f>
        <v>*</v>
      </c>
      <c r="D294" s="12"/>
      <c r="E294" s="13" t="str">
        <f t="shared" ref="E294:G296" si="87">E293</f>
        <v>COMSTM</v>
      </c>
      <c r="F294" s="13" t="str">
        <f t="shared" si="87"/>
        <v>COMHOPNewWHEUE</v>
      </c>
      <c r="G294" s="13" t="str">
        <f t="shared" si="87"/>
        <v>COMHOPNewWHEUE</v>
      </c>
      <c r="H294" s="14">
        <v>2025</v>
      </c>
      <c r="I294" s="14" t="str">
        <f>I293</f>
        <v>LO</v>
      </c>
      <c r="J294" s="14"/>
      <c r="K294" s="15">
        <f>UC!K294</f>
        <v>-2.8799999999999999E-2</v>
      </c>
      <c r="L294" s="14"/>
      <c r="M294" s="14"/>
      <c r="N294" s="10"/>
      <c r="O294" s="20"/>
      <c r="Q294" s="11" t="str">
        <f>SUBSTITUTE(UC!Q294,"Old","New")</f>
        <v>*</v>
      </c>
      <c r="R294" s="12"/>
      <c r="S294" s="13" t="str">
        <f t="shared" si="77"/>
        <v>COMSTM</v>
      </c>
      <c r="T294" s="13" t="str">
        <f t="shared" si="78"/>
        <v>COMHOPNewWHEUE</v>
      </c>
      <c r="U294" s="13" t="str">
        <f t="shared" si="79"/>
        <v>COMHOPNewWHEUE</v>
      </c>
      <c r="V294" s="14">
        <v>2025</v>
      </c>
      <c r="W294" s="14" t="str">
        <f>W293</f>
        <v>UP</v>
      </c>
      <c r="X294" s="14"/>
      <c r="Y294" s="15">
        <f>UC!Y294</f>
        <v>-4.3999999999999997E-2</v>
      </c>
      <c r="Z294" s="14"/>
      <c r="AA294" s="14"/>
      <c r="AB294" s="10"/>
      <c r="AC294" s="20"/>
    </row>
    <row r="295" spans="1:29" x14ac:dyDescent="0.25">
      <c r="A295" s="10">
        <f>A294</f>
        <v>73</v>
      </c>
      <c r="B295" s="10"/>
      <c r="C295" s="11" t="str">
        <f>SUBSTITUTE(UC!C295,"Old","New")</f>
        <v>*</v>
      </c>
      <c r="D295" s="12"/>
      <c r="E295" s="13" t="str">
        <f t="shared" si="87"/>
        <v>COMSTM</v>
      </c>
      <c r="F295" s="13" t="str">
        <f t="shared" si="87"/>
        <v>COMHOPNewWHEUE</v>
      </c>
      <c r="G295" s="13" t="str">
        <f t="shared" si="87"/>
        <v>COMHOPNewWHEUE</v>
      </c>
      <c r="H295" s="14">
        <v>2030</v>
      </c>
      <c r="I295" s="14" t="str">
        <f>I294</f>
        <v>LO</v>
      </c>
      <c r="J295" s="14"/>
      <c r="K295" s="15">
        <f>UC!K295</f>
        <v>-7.1999999999999998E-3</v>
      </c>
      <c r="L295" s="14"/>
      <c r="M295" s="14"/>
      <c r="N295" s="10"/>
      <c r="O295" s="20"/>
      <c r="Q295" s="11" t="str">
        <f>SUBSTITUTE(UC!Q295,"Old","New")</f>
        <v>*</v>
      </c>
      <c r="R295" s="12"/>
      <c r="S295" s="13" t="str">
        <f t="shared" si="77"/>
        <v>COMSTM</v>
      </c>
      <c r="T295" s="13" t="str">
        <f t="shared" si="78"/>
        <v>COMHOPNewWHEUE</v>
      </c>
      <c r="U295" s="13" t="str">
        <f t="shared" si="79"/>
        <v>COMHOPNewWHEUE</v>
      </c>
      <c r="V295" s="14">
        <v>2030</v>
      </c>
      <c r="W295" s="14" t="str">
        <f>W294</f>
        <v>UP</v>
      </c>
      <c r="X295" s="14"/>
      <c r="Y295" s="15">
        <f>UC!Y295</f>
        <v>-5.5E-2</v>
      </c>
      <c r="Z295" s="14"/>
      <c r="AA295" s="14"/>
      <c r="AB295" s="10"/>
      <c r="AC295" s="20"/>
    </row>
    <row r="296" spans="1:29" x14ac:dyDescent="0.25">
      <c r="A296" s="26">
        <f>A295</f>
        <v>73</v>
      </c>
      <c r="B296" s="26"/>
      <c r="C296" s="21" t="str">
        <f>SUBSTITUTE(UC!C296,"Old","New")</f>
        <v>*</v>
      </c>
      <c r="D296" s="22"/>
      <c r="E296" s="23" t="str">
        <f t="shared" si="87"/>
        <v>COMSTM</v>
      </c>
      <c r="F296" s="23" t="str">
        <f t="shared" si="87"/>
        <v>COMHOPNewWHEUE</v>
      </c>
      <c r="G296" s="23" t="str">
        <f t="shared" si="87"/>
        <v>COMHOPNewWHEUE</v>
      </c>
      <c r="H296" s="24">
        <v>2050</v>
      </c>
      <c r="I296" s="24" t="str">
        <f>I295</f>
        <v>LO</v>
      </c>
      <c r="J296" s="24"/>
      <c r="K296" s="25">
        <f>UC!K296</f>
        <v>0</v>
      </c>
      <c r="L296" s="24"/>
      <c r="M296" s="24"/>
      <c r="N296" s="26"/>
      <c r="O296" s="27"/>
      <c r="Q296" s="21" t="str">
        <f>SUBSTITUTE(UC!Q296,"Old","New")</f>
        <v>*</v>
      </c>
      <c r="R296" s="22"/>
      <c r="S296" s="23" t="str">
        <f t="shared" si="77"/>
        <v>COMSTM</v>
      </c>
      <c r="T296" s="23" t="str">
        <f t="shared" si="78"/>
        <v>COMHOPNewWHEUE</v>
      </c>
      <c r="U296" s="23" t="str">
        <f t="shared" si="79"/>
        <v>COMHOPNewWHEUE</v>
      </c>
      <c r="V296" s="24">
        <v>2050</v>
      </c>
      <c r="W296" s="24" t="str">
        <f>W295</f>
        <v>UP</v>
      </c>
      <c r="X296" s="24"/>
      <c r="Y296" s="25">
        <f>UC!Y296</f>
        <v>-0.11</v>
      </c>
      <c r="Z296" s="24"/>
      <c r="AA296" s="24"/>
      <c r="AB296" s="26"/>
      <c r="AC296" s="27"/>
    </row>
    <row r="297" spans="1:29" x14ac:dyDescent="0.25">
      <c r="A297" s="19">
        <f>A293+1</f>
        <v>74</v>
      </c>
      <c r="B297" s="10"/>
      <c r="C297" s="11" t="str">
        <f>SUBSTITUTE(UC!C297,"Old","New")</f>
        <v>UC_MarketShare_COMHOPNewWH_ELC_MIN</v>
      </c>
      <c r="D297" s="12"/>
      <c r="E297" s="13" t="str">
        <f>_xlfn.XLOOKUP($A297,Selected_constraint_UC!$A:$A,Selected_constraint_UC!$B:$B)</f>
        <v>COMELC</v>
      </c>
      <c r="F297" s="13" t="str">
        <f>SUBSTITUTE(_xlfn.XLOOKUP($A297,Selected_constraint_UC!$A:$A,Selected_constraint_UC!$C:$C),"Old","New")</f>
        <v>COMHOPNewWHEUE</v>
      </c>
      <c r="G297" s="13" t="str">
        <f>F297</f>
        <v>COMHOPNewWHEUE</v>
      </c>
      <c r="H297" s="14">
        <v>2019</v>
      </c>
      <c r="I297" s="14" t="s">
        <v>3848</v>
      </c>
      <c r="J297" s="14">
        <v>1</v>
      </c>
      <c r="K297" s="15">
        <f>UC!K297</f>
        <v>-9.9959999999999993E-2</v>
      </c>
      <c r="L297" s="14">
        <v>0</v>
      </c>
      <c r="M297" s="14">
        <v>5</v>
      </c>
      <c r="N297" s="10"/>
      <c r="O297" s="20"/>
      <c r="Q297" s="11" t="str">
        <f>SUBSTITUTE(UC!Q297,"Old","New")</f>
        <v>UC_MarketShare_COMHOPNewWH_ELC_MAX</v>
      </c>
      <c r="R297" s="12"/>
      <c r="S297" s="13" t="str">
        <f t="shared" si="77"/>
        <v>COMELC</v>
      </c>
      <c r="T297" s="13" t="str">
        <f t="shared" si="78"/>
        <v>COMHOPNewWHEUE</v>
      </c>
      <c r="U297" s="13" t="str">
        <f t="shared" si="79"/>
        <v>COMHOPNewWHEUE</v>
      </c>
      <c r="V297" s="14">
        <f>H297</f>
        <v>2019</v>
      </c>
      <c r="W297" s="29" t="s">
        <v>3849</v>
      </c>
      <c r="X297" s="14">
        <v>1</v>
      </c>
      <c r="Y297" s="15">
        <f>UC!Y297</f>
        <v>-0.105</v>
      </c>
      <c r="Z297" s="14">
        <v>0</v>
      </c>
      <c r="AA297" s="14">
        <v>5</v>
      </c>
      <c r="AB297" s="10"/>
      <c r="AC297" s="20"/>
    </row>
    <row r="298" spans="1:29" x14ac:dyDescent="0.25">
      <c r="A298" s="10">
        <f>A297</f>
        <v>74</v>
      </c>
      <c r="B298" s="10"/>
      <c r="C298" s="11" t="str">
        <f>SUBSTITUTE(UC!C298,"Old","New")</f>
        <v/>
      </c>
      <c r="D298" s="12"/>
      <c r="E298" s="13" t="str">
        <f t="shared" ref="E298:G300" si="88">E297</f>
        <v>COMELC</v>
      </c>
      <c r="F298" s="13" t="str">
        <f t="shared" si="88"/>
        <v>COMHOPNewWHEUE</v>
      </c>
      <c r="G298" s="13" t="str">
        <f t="shared" si="88"/>
        <v>COMHOPNewWHEUE</v>
      </c>
      <c r="H298" s="14">
        <v>2025</v>
      </c>
      <c r="I298" s="14" t="str">
        <f>I297</f>
        <v>LO</v>
      </c>
      <c r="J298" s="14"/>
      <c r="K298" s="15">
        <f>UC!K298</f>
        <v>-8.1600000000000006E-2</v>
      </c>
      <c r="L298" s="14"/>
      <c r="M298" s="14"/>
      <c r="N298" s="10"/>
      <c r="O298" s="20"/>
      <c r="Q298" s="11" t="str">
        <f>SUBSTITUTE(UC!Q298,"Old","New")</f>
        <v/>
      </c>
      <c r="R298" s="12"/>
      <c r="S298" s="13" t="str">
        <f t="shared" si="77"/>
        <v>COMELC</v>
      </c>
      <c r="T298" s="13" t="str">
        <f t="shared" si="78"/>
        <v>COMHOPNewWHEUE</v>
      </c>
      <c r="U298" s="13" t="str">
        <f t="shared" si="79"/>
        <v>COMHOPNewWHEUE</v>
      </c>
      <c r="V298" s="14">
        <v>2025</v>
      </c>
      <c r="W298" s="14" t="str">
        <f>W297</f>
        <v>UP</v>
      </c>
      <c r="X298" s="14"/>
      <c r="Y298" s="15">
        <f>UC!Y298</f>
        <v>-0.25</v>
      </c>
      <c r="Z298" s="14"/>
      <c r="AA298" s="14"/>
      <c r="AB298" s="10"/>
      <c r="AC298" s="20"/>
    </row>
    <row r="299" spans="1:29" x14ac:dyDescent="0.25">
      <c r="A299" s="10">
        <f>A298</f>
        <v>74</v>
      </c>
      <c r="B299" s="10"/>
      <c r="C299" s="11" t="str">
        <f>SUBSTITUTE(UC!C299,"Old","New")</f>
        <v/>
      </c>
      <c r="D299" s="12"/>
      <c r="E299" s="13" t="str">
        <f t="shared" si="88"/>
        <v>COMELC</v>
      </c>
      <c r="F299" s="13" t="str">
        <f t="shared" si="88"/>
        <v>COMHOPNewWHEUE</v>
      </c>
      <c r="G299" s="13" t="str">
        <f t="shared" si="88"/>
        <v>COMHOPNewWHEUE</v>
      </c>
      <c r="H299" s="14">
        <v>2030</v>
      </c>
      <c r="I299" s="14" t="str">
        <f>I298</f>
        <v>LO</v>
      </c>
      <c r="J299" s="14"/>
      <c r="K299" s="15">
        <f>UC!K299</f>
        <v>-7.6499999999999999E-2</v>
      </c>
      <c r="L299" s="14"/>
      <c r="M299" s="14"/>
      <c r="N299" s="10"/>
      <c r="O299" s="20"/>
      <c r="Q299" s="11" t="str">
        <f>SUBSTITUTE(UC!Q299,"Old","New")</f>
        <v/>
      </c>
      <c r="R299" s="12"/>
      <c r="S299" s="13" t="str">
        <f t="shared" si="77"/>
        <v>COMELC</v>
      </c>
      <c r="T299" s="13" t="str">
        <f t="shared" si="78"/>
        <v>COMHOPNewWHEUE</v>
      </c>
      <c r="U299" s="13" t="str">
        <f t="shared" si="79"/>
        <v>COMHOPNewWHEUE</v>
      </c>
      <c r="V299" s="14">
        <v>2030</v>
      </c>
      <c r="W299" s="14" t="str">
        <f>W298</f>
        <v>UP</v>
      </c>
      <c r="X299" s="14"/>
      <c r="Y299" s="15">
        <f>UC!Y299</f>
        <v>-0.5</v>
      </c>
      <c r="Z299" s="14"/>
      <c r="AA299" s="14"/>
      <c r="AB299" s="10"/>
      <c r="AC299" s="20"/>
    </row>
    <row r="300" spans="1:29" x14ac:dyDescent="0.25">
      <c r="A300" s="26">
        <f>A299</f>
        <v>74</v>
      </c>
      <c r="B300" s="26"/>
      <c r="C300" s="21" t="str">
        <f>SUBSTITUTE(UC!C300,"Old","New")</f>
        <v/>
      </c>
      <c r="D300" s="22"/>
      <c r="E300" s="23" t="str">
        <f t="shared" si="88"/>
        <v>COMELC</v>
      </c>
      <c r="F300" s="23" t="str">
        <f t="shared" si="88"/>
        <v>COMHOPNewWHEUE</v>
      </c>
      <c r="G300" s="23" t="str">
        <f t="shared" si="88"/>
        <v>COMHOPNewWHEUE</v>
      </c>
      <c r="H300" s="24">
        <v>2050</v>
      </c>
      <c r="I300" s="24" t="str">
        <f>I299</f>
        <v>LO</v>
      </c>
      <c r="J300" s="24"/>
      <c r="K300" s="25">
        <f>UC!K300</f>
        <v>-7.6499999999999999E-2</v>
      </c>
      <c r="L300" s="24"/>
      <c r="M300" s="24"/>
      <c r="N300" s="26"/>
      <c r="O300" s="27"/>
      <c r="Q300" s="21" t="str">
        <f>SUBSTITUTE(UC!Q300,"Old","New")</f>
        <v/>
      </c>
      <c r="R300" s="22"/>
      <c r="S300" s="23" t="str">
        <f t="shared" si="77"/>
        <v>COMELC</v>
      </c>
      <c r="T300" s="23" t="str">
        <f t="shared" si="78"/>
        <v>COMHOPNewWHEUE</v>
      </c>
      <c r="U300" s="23" t="str">
        <f t="shared" si="79"/>
        <v>COMHOPNewWHEUE</v>
      </c>
      <c r="V300" s="24">
        <v>2050</v>
      </c>
      <c r="W300" s="24" t="str">
        <f>W299</f>
        <v>UP</v>
      </c>
      <c r="X300" s="24"/>
      <c r="Y300" s="25">
        <f>UC!Y300</f>
        <v>-1</v>
      </c>
      <c r="Z300" s="24"/>
      <c r="AA300" s="24"/>
      <c r="AB300" s="26"/>
      <c r="AC300" s="27"/>
    </row>
    <row r="301" spans="1:29" x14ac:dyDescent="0.25">
      <c r="A301" s="19">
        <f>A297+1</f>
        <v>75</v>
      </c>
      <c r="B301" s="10"/>
      <c r="C301" s="11" t="str">
        <f>SUBSTITUTE(UC!C301,"Old","New")</f>
        <v>*</v>
      </c>
      <c r="D301" s="12"/>
      <c r="E301" s="13" t="str">
        <f>_xlfn.XLOOKUP($A301,Selected_constraint_UC!$A:$A,Selected_constraint_UC!$B:$B)</f>
        <v>COMELC</v>
      </c>
      <c r="F301" s="13" t="str">
        <f>SUBSTITUTE(_xlfn.XLOOKUP($A301,Selected_constraint_UC!$A:$A,Selected_constraint_UC!$C:$C),"Old","New")</f>
        <v>COMHOPNewLTEUE</v>
      </c>
      <c r="G301" s="13" t="str">
        <f>F301</f>
        <v>COMHOPNewLTEUE</v>
      </c>
      <c r="H301" s="14">
        <v>2019</v>
      </c>
      <c r="I301" s="14" t="s">
        <v>3848</v>
      </c>
      <c r="J301" s="14">
        <v>1</v>
      </c>
      <c r="K301" s="15">
        <f>UC!K301</f>
        <v>-0.98</v>
      </c>
      <c r="L301" s="14">
        <v>0</v>
      </c>
      <c r="M301" s="14">
        <v>5</v>
      </c>
      <c r="N301" s="10"/>
      <c r="O301" s="20"/>
      <c r="Q301" s="11" t="str">
        <f>SUBSTITUTE(UC!Q301,"Old","New")</f>
        <v>*</v>
      </c>
      <c r="R301" s="12"/>
      <c r="S301" s="13" t="str">
        <f t="shared" si="77"/>
        <v>COMELC</v>
      </c>
      <c r="T301" s="13" t="str">
        <f t="shared" si="78"/>
        <v>COMHOPNewLTEUE</v>
      </c>
      <c r="U301" s="13" t="str">
        <f t="shared" si="79"/>
        <v>COMHOPNewLTEUE</v>
      </c>
      <c r="V301" s="14">
        <f>H301</f>
        <v>2019</v>
      </c>
      <c r="W301" s="29" t="s">
        <v>3849</v>
      </c>
      <c r="X301" s="14">
        <v>1</v>
      </c>
      <c r="Y301" s="15">
        <f>UC!Y301</f>
        <v>-1</v>
      </c>
      <c r="Z301" s="14">
        <v>0</v>
      </c>
      <c r="AA301" s="14">
        <v>5</v>
      </c>
      <c r="AB301" s="10"/>
      <c r="AC301" s="20"/>
    </row>
    <row r="302" spans="1:29" x14ac:dyDescent="0.25">
      <c r="A302" s="10">
        <f>A301</f>
        <v>75</v>
      </c>
      <c r="B302" s="10"/>
      <c r="C302" s="11" t="str">
        <f>SUBSTITUTE(UC!C302,"Old","New")</f>
        <v>*</v>
      </c>
      <c r="D302" s="12"/>
      <c r="E302" s="13" t="str">
        <f t="shared" ref="E302:G304" si="89">E301</f>
        <v>COMELC</v>
      </c>
      <c r="F302" s="13" t="str">
        <f t="shared" si="89"/>
        <v>COMHOPNewLTEUE</v>
      </c>
      <c r="G302" s="13" t="str">
        <f t="shared" si="89"/>
        <v>COMHOPNewLTEUE</v>
      </c>
      <c r="H302" s="14">
        <v>2025</v>
      </c>
      <c r="I302" s="14" t="str">
        <f>I301</f>
        <v>LO</v>
      </c>
      <c r="J302" s="14"/>
      <c r="K302" s="15">
        <f>UC!K302</f>
        <v>-0.8</v>
      </c>
      <c r="L302" s="14"/>
      <c r="M302" s="14"/>
      <c r="N302" s="10"/>
      <c r="O302" s="20"/>
      <c r="Q302" s="11" t="str">
        <f>SUBSTITUTE(UC!Q302,"Old","New")</f>
        <v>*</v>
      </c>
      <c r="R302" s="12"/>
      <c r="S302" s="13" t="str">
        <f t="shared" si="77"/>
        <v>COMELC</v>
      </c>
      <c r="T302" s="13" t="str">
        <f t="shared" si="78"/>
        <v>COMHOPNewLTEUE</v>
      </c>
      <c r="U302" s="13" t="str">
        <f t="shared" si="79"/>
        <v>COMHOPNewLTEUE</v>
      </c>
      <c r="V302" s="14">
        <v>2025</v>
      </c>
      <c r="W302" s="14" t="str">
        <f>W301</f>
        <v>UP</v>
      </c>
      <c r="X302" s="14"/>
      <c r="Y302" s="15">
        <f>UC!Y302</f>
        <v>-1</v>
      </c>
      <c r="Z302" s="14"/>
      <c r="AA302" s="14"/>
      <c r="AB302" s="10"/>
      <c r="AC302" s="20"/>
    </row>
    <row r="303" spans="1:29" x14ac:dyDescent="0.25">
      <c r="A303" s="10">
        <f>A302</f>
        <v>75</v>
      </c>
      <c r="B303" s="10"/>
      <c r="C303" s="11" t="str">
        <f>SUBSTITUTE(UC!C303,"Old","New")</f>
        <v>*</v>
      </c>
      <c r="D303" s="12"/>
      <c r="E303" s="13" t="str">
        <f t="shared" si="89"/>
        <v>COMELC</v>
      </c>
      <c r="F303" s="13" t="str">
        <f t="shared" si="89"/>
        <v>COMHOPNewLTEUE</v>
      </c>
      <c r="G303" s="13" t="str">
        <f t="shared" si="89"/>
        <v>COMHOPNewLTEUE</v>
      </c>
      <c r="H303" s="14">
        <v>2030</v>
      </c>
      <c r="I303" s="14" t="str">
        <f>I302</f>
        <v>LO</v>
      </c>
      <c r="J303" s="14"/>
      <c r="K303" s="15">
        <f>UC!K303</f>
        <v>-0.2</v>
      </c>
      <c r="L303" s="14"/>
      <c r="M303" s="14"/>
      <c r="N303" s="10"/>
      <c r="O303" s="20"/>
      <c r="Q303" s="11" t="str">
        <f>SUBSTITUTE(UC!Q303,"Old","New")</f>
        <v>*</v>
      </c>
      <c r="R303" s="12"/>
      <c r="S303" s="13" t="str">
        <f t="shared" si="77"/>
        <v>COMELC</v>
      </c>
      <c r="T303" s="13" t="str">
        <f t="shared" si="78"/>
        <v>COMHOPNewLTEUE</v>
      </c>
      <c r="U303" s="13" t="str">
        <f t="shared" si="79"/>
        <v>COMHOPNewLTEUE</v>
      </c>
      <c r="V303" s="14">
        <v>2030</v>
      </c>
      <c r="W303" s="14" t="str">
        <f>W302</f>
        <v>UP</v>
      </c>
      <c r="X303" s="14"/>
      <c r="Y303" s="15">
        <f>UC!Y303</f>
        <v>-1</v>
      </c>
      <c r="Z303" s="14"/>
      <c r="AA303" s="14"/>
      <c r="AB303" s="10"/>
      <c r="AC303" s="20"/>
    </row>
    <row r="304" spans="1:29" x14ac:dyDescent="0.25">
      <c r="A304" s="26">
        <f>A303</f>
        <v>75</v>
      </c>
      <c r="B304" s="26"/>
      <c r="C304" s="21" t="str">
        <f>SUBSTITUTE(UC!C304,"Old","New")</f>
        <v>*</v>
      </c>
      <c r="D304" s="22"/>
      <c r="E304" s="23" t="str">
        <f t="shared" si="89"/>
        <v>COMELC</v>
      </c>
      <c r="F304" s="23" t="str">
        <f t="shared" si="89"/>
        <v>COMHOPNewLTEUE</v>
      </c>
      <c r="G304" s="23" t="str">
        <f t="shared" si="89"/>
        <v>COMHOPNewLTEUE</v>
      </c>
      <c r="H304" s="24">
        <v>2050</v>
      </c>
      <c r="I304" s="24" t="str">
        <f>I303</f>
        <v>LO</v>
      </c>
      <c r="J304" s="24"/>
      <c r="K304" s="25">
        <f>UC!K304</f>
        <v>0</v>
      </c>
      <c r="L304" s="24"/>
      <c r="M304" s="24"/>
      <c r="N304" s="26"/>
      <c r="O304" s="27"/>
      <c r="Q304" s="21" t="str">
        <f>SUBSTITUTE(UC!Q304,"Old","New")</f>
        <v>*</v>
      </c>
      <c r="R304" s="22"/>
      <c r="S304" s="23" t="str">
        <f t="shared" si="77"/>
        <v>COMELC</v>
      </c>
      <c r="T304" s="23" t="str">
        <f t="shared" si="78"/>
        <v>COMHOPNewLTEUE</v>
      </c>
      <c r="U304" s="23" t="str">
        <f t="shared" si="79"/>
        <v>COMHOPNewLTEUE</v>
      </c>
      <c r="V304" s="24">
        <v>2050</v>
      </c>
      <c r="W304" s="24" t="str">
        <f>W303</f>
        <v>UP</v>
      </c>
      <c r="X304" s="24"/>
      <c r="Y304" s="25">
        <f>UC!Y304</f>
        <v>-1</v>
      </c>
      <c r="Z304" s="24"/>
      <c r="AA304" s="24"/>
      <c r="AB304" s="26"/>
      <c r="AC304" s="27"/>
    </row>
    <row r="305" spans="1:29" x14ac:dyDescent="0.25">
      <c r="A305" s="19">
        <f>A301+1</f>
        <v>76</v>
      </c>
      <c r="B305" s="10"/>
      <c r="C305" s="11" t="str">
        <f>SUBSTITUTE(UC!C305,"Old","New")</f>
        <v>*</v>
      </c>
      <c r="D305" s="12"/>
      <c r="E305" s="13" t="str">
        <f>_xlfn.XLOOKUP($A305,Selected_constraint_UC!$A:$A,Selected_constraint_UC!$B:$B)</f>
        <v>COMFOI</v>
      </c>
      <c r="F305" s="13" t="str">
        <f>SUBSTITUTE(_xlfn.XLOOKUP($A305,Selected_constraint_UC!$A:$A,Selected_constraint_UC!$C:$C),"Old","New")</f>
        <v>COMHOPNewCKEUE</v>
      </c>
      <c r="G305" s="13" t="str">
        <f>F305</f>
        <v>COMHOPNewCKEUE</v>
      </c>
      <c r="H305" s="14">
        <v>2019</v>
      </c>
      <c r="I305" s="14" t="s">
        <v>3848</v>
      </c>
      <c r="J305" s="14">
        <v>1</v>
      </c>
      <c r="K305" s="15">
        <f>UC!K305</f>
        <v>0</v>
      </c>
      <c r="L305" s="14">
        <v>0</v>
      </c>
      <c r="M305" s="14">
        <v>5</v>
      </c>
      <c r="N305" s="10"/>
      <c r="O305" s="20"/>
      <c r="Q305" s="11" t="str">
        <f>SUBSTITUTE(UC!Q305,"Old","New")</f>
        <v>*</v>
      </c>
      <c r="R305" s="12"/>
      <c r="S305" s="13" t="str">
        <f t="shared" si="77"/>
        <v>COMFOI</v>
      </c>
      <c r="T305" s="13" t="str">
        <f t="shared" si="78"/>
        <v>COMHOPNewCKEUE</v>
      </c>
      <c r="U305" s="13" t="str">
        <f t="shared" si="79"/>
        <v>COMHOPNewCKEUE</v>
      </c>
      <c r="V305" s="14">
        <f>H305</f>
        <v>2019</v>
      </c>
      <c r="W305" s="29" t="s">
        <v>3849</v>
      </c>
      <c r="X305" s="14">
        <v>1</v>
      </c>
      <c r="Y305" s="15">
        <f>UC!Y305</f>
        <v>-1E-3</v>
      </c>
      <c r="Z305" s="14">
        <v>0</v>
      </c>
      <c r="AA305" s="14">
        <v>5</v>
      </c>
      <c r="AB305" s="10"/>
      <c r="AC305" s="20"/>
    </row>
    <row r="306" spans="1:29" x14ac:dyDescent="0.25">
      <c r="A306" s="10">
        <f>A305</f>
        <v>76</v>
      </c>
      <c r="B306" s="10"/>
      <c r="C306" s="11" t="str">
        <f>SUBSTITUTE(UC!C306,"Old","New")</f>
        <v>*</v>
      </c>
      <c r="D306" s="12"/>
      <c r="E306" s="13" t="str">
        <f t="shared" ref="E306:G308" si="90">E305</f>
        <v>COMFOI</v>
      </c>
      <c r="F306" s="13" t="str">
        <f t="shared" si="90"/>
        <v>COMHOPNewCKEUE</v>
      </c>
      <c r="G306" s="13" t="str">
        <f t="shared" si="90"/>
        <v>COMHOPNewCKEUE</v>
      </c>
      <c r="H306" s="14">
        <v>2025</v>
      </c>
      <c r="I306" s="14" t="str">
        <f>I305</f>
        <v>LO</v>
      </c>
      <c r="J306" s="14"/>
      <c r="K306" s="15">
        <f>UC!K306</f>
        <v>0</v>
      </c>
      <c r="L306" s="14"/>
      <c r="M306" s="14"/>
      <c r="N306" s="10"/>
      <c r="O306" s="20"/>
      <c r="Q306" s="11" t="str">
        <f>SUBSTITUTE(UC!Q306,"Old","New")</f>
        <v>*</v>
      </c>
      <c r="R306" s="12"/>
      <c r="S306" s="13" t="str">
        <f t="shared" si="77"/>
        <v>COMFOI</v>
      </c>
      <c r="T306" s="13" t="str">
        <f t="shared" si="78"/>
        <v>COMHOPNewCKEUE</v>
      </c>
      <c r="U306" s="13" t="str">
        <f t="shared" si="79"/>
        <v>COMHOPNewCKEUE</v>
      </c>
      <c r="V306" s="14">
        <v>2025</v>
      </c>
      <c r="W306" s="14" t="str">
        <f>W305</f>
        <v>UP</v>
      </c>
      <c r="X306" s="14"/>
      <c r="Y306" s="15">
        <f>UC!Y306</f>
        <v>-1E-3</v>
      </c>
      <c r="Z306" s="14"/>
      <c r="AA306" s="14"/>
      <c r="AB306" s="10"/>
      <c r="AC306" s="20"/>
    </row>
    <row r="307" spans="1:29" x14ac:dyDescent="0.25">
      <c r="A307" s="10">
        <f>A306</f>
        <v>76</v>
      </c>
      <c r="B307" s="10"/>
      <c r="C307" s="11" t="str">
        <f>SUBSTITUTE(UC!C307,"Old","New")</f>
        <v>*</v>
      </c>
      <c r="D307" s="12"/>
      <c r="E307" s="13" t="str">
        <f t="shared" si="90"/>
        <v>COMFOI</v>
      </c>
      <c r="F307" s="13" t="str">
        <f t="shared" si="90"/>
        <v>COMHOPNewCKEUE</v>
      </c>
      <c r="G307" s="13" t="str">
        <f t="shared" si="90"/>
        <v>COMHOPNewCKEUE</v>
      </c>
      <c r="H307" s="14">
        <v>2030</v>
      </c>
      <c r="I307" s="14" t="str">
        <f>I306</f>
        <v>LO</v>
      </c>
      <c r="J307" s="14"/>
      <c r="K307" s="15">
        <f>UC!K307</f>
        <v>0</v>
      </c>
      <c r="L307" s="14"/>
      <c r="M307" s="14"/>
      <c r="N307" s="10"/>
      <c r="O307" s="20"/>
      <c r="Q307" s="11" t="str">
        <f>SUBSTITUTE(UC!Q307,"Old","New")</f>
        <v>*</v>
      </c>
      <c r="R307" s="12"/>
      <c r="S307" s="13" t="str">
        <f t="shared" si="77"/>
        <v>COMFOI</v>
      </c>
      <c r="T307" s="13" t="str">
        <f t="shared" si="78"/>
        <v>COMHOPNewCKEUE</v>
      </c>
      <c r="U307" s="13" t="str">
        <f t="shared" si="79"/>
        <v>COMHOPNewCKEUE</v>
      </c>
      <c r="V307" s="14">
        <v>2030</v>
      </c>
      <c r="W307" s="14" t="str">
        <f>W306</f>
        <v>UP</v>
      </c>
      <c r="X307" s="14"/>
      <c r="Y307" s="15">
        <f>UC!Y307</f>
        <v>-1E-3</v>
      </c>
      <c r="Z307" s="14"/>
      <c r="AA307" s="14"/>
      <c r="AB307" s="10"/>
      <c r="AC307" s="20"/>
    </row>
    <row r="308" spans="1:29" x14ac:dyDescent="0.25">
      <c r="A308" s="26">
        <f>A307</f>
        <v>76</v>
      </c>
      <c r="B308" s="26"/>
      <c r="C308" s="21" t="str">
        <f>SUBSTITUTE(UC!C308,"Old","New")</f>
        <v>*</v>
      </c>
      <c r="D308" s="22"/>
      <c r="E308" s="23" t="str">
        <f t="shared" si="90"/>
        <v>COMFOI</v>
      </c>
      <c r="F308" s="23" t="str">
        <f t="shared" si="90"/>
        <v>COMHOPNewCKEUE</v>
      </c>
      <c r="G308" s="23" t="str">
        <f t="shared" si="90"/>
        <v>COMHOPNewCKEUE</v>
      </c>
      <c r="H308" s="24">
        <v>2050</v>
      </c>
      <c r="I308" s="24" t="str">
        <f>I307</f>
        <v>LO</v>
      </c>
      <c r="J308" s="24"/>
      <c r="K308" s="25">
        <f>UC!K308</f>
        <v>0</v>
      </c>
      <c r="L308" s="24"/>
      <c r="M308" s="24"/>
      <c r="N308" s="26"/>
      <c r="O308" s="27"/>
      <c r="Q308" s="21" t="str">
        <f>SUBSTITUTE(UC!Q308,"Old","New")</f>
        <v>*</v>
      </c>
      <c r="R308" s="22"/>
      <c r="S308" s="23" t="str">
        <f t="shared" si="77"/>
        <v>COMFOI</v>
      </c>
      <c r="T308" s="23" t="str">
        <f t="shared" si="78"/>
        <v>COMHOPNewCKEUE</v>
      </c>
      <c r="U308" s="23" t="str">
        <f t="shared" si="79"/>
        <v>COMHOPNewCKEUE</v>
      </c>
      <c r="V308" s="24">
        <v>2050</v>
      </c>
      <c r="W308" s="24" t="str">
        <f>W307</f>
        <v>UP</v>
      </c>
      <c r="X308" s="24"/>
      <c r="Y308" s="25">
        <f>UC!Y308</f>
        <v>-2E-3</v>
      </c>
      <c r="Z308" s="24"/>
      <c r="AA308" s="24"/>
      <c r="AB308" s="26"/>
      <c r="AC308" s="27"/>
    </row>
    <row r="309" spans="1:29" x14ac:dyDescent="0.25">
      <c r="A309" s="19">
        <f>A305+1</f>
        <v>77</v>
      </c>
      <c r="B309" s="10"/>
      <c r="C309" s="11" t="str">
        <f>SUBSTITUTE(UC!C309,"Old","New")</f>
        <v>*</v>
      </c>
      <c r="D309" s="12"/>
      <c r="E309" s="13" t="str">
        <f>_xlfn.XLOOKUP($A309,Selected_constraint_UC!$A:$A,Selected_constraint_UC!$B:$B)</f>
        <v>COMNGA</v>
      </c>
      <c r="F309" s="13" t="str">
        <f>SUBSTITUTE(_xlfn.XLOOKUP($A309,Selected_constraint_UC!$A:$A,Selected_constraint_UC!$C:$C),"Old","New")</f>
        <v>COMHOPNewCKEUE</v>
      </c>
      <c r="G309" s="13" t="str">
        <f>F309</f>
        <v>COMHOPNewCKEUE</v>
      </c>
      <c r="H309" s="14">
        <v>2019</v>
      </c>
      <c r="I309" s="14" t="s">
        <v>3848</v>
      </c>
      <c r="J309" s="14">
        <v>1</v>
      </c>
      <c r="K309" s="15">
        <f>UC!K309</f>
        <v>-0.86239999999999994</v>
      </c>
      <c r="L309" s="14">
        <v>0</v>
      </c>
      <c r="M309" s="14">
        <v>5</v>
      </c>
      <c r="N309" s="10"/>
      <c r="O309" s="20"/>
      <c r="Q309" s="11" t="str">
        <f>SUBSTITUTE(UC!Q309,"Old","New")</f>
        <v>*</v>
      </c>
      <c r="R309" s="12"/>
      <c r="S309" s="13" t="str">
        <f t="shared" si="77"/>
        <v>COMNGA</v>
      </c>
      <c r="T309" s="13" t="str">
        <f t="shared" si="78"/>
        <v>COMHOPNewCKEUE</v>
      </c>
      <c r="U309" s="13" t="str">
        <f t="shared" si="79"/>
        <v>COMHOPNewCKEUE</v>
      </c>
      <c r="V309" s="14">
        <f>H309</f>
        <v>2019</v>
      </c>
      <c r="W309" s="29" t="s">
        <v>3849</v>
      </c>
      <c r="X309" s="14">
        <v>1</v>
      </c>
      <c r="Y309" s="15">
        <f>UC!Y309</f>
        <v>-0.89900000000000002</v>
      </c>
      <c r="Z309" s="14">
        <v>0</v>
      </c>
      <c r="AA309" s="14">
        <v>5</v>
      </c>
      <c r="AB309" s="10"/>
      <c r="AC309" s="20"/>
    </row>
    <row r="310" spans="1:29" x14ac:dyDescent="0.25">
      <c r="A310" s="10">
        <f>A309</f>
        <v>77</v>
      </c>
      <c r="B310" s="10"/>
      <c r="C310" s="11" t="str">
        <f>SUBSTITUTE(UC!C310,"Old","New")</f>
        <v>*</v>
      </c>
      <c r="D310" s="12"/>
      <c r="E310" s="13" t="str">
        <f t="shared" ref="E310:G312" si="91">E309</f>
        <v>COMNGA</v>
      </c>
      <c r="F310" s="13" t="str">
        <f t="shared" si="91"/>
        <v>COMHOPNewCKEUE</v>
      </c>
      <c r="G310" s="13" t="str">
        <f t="shared" si="91"/>
        <v>COMHOPNewCKEUE</v>
      </c>
      <c r="H310" s="14">
        <v>2025</v>
      </c>
      <c r="I310" s="14" t="str">
        <f>I309</f>
        <v>LO</v>
      </c>
      <c r="J310" s="14"/>
      <c r="K310" s="15">
        <f>UC!K310</f>
        <v>-0.70400000000000007</v>
      </c>
      <c r="L310" s="14"/>
      <c r="M310" s="14"/>
      <c r="N310" s="10"/>
      <c r="O310" s="20"/>
      <c r="Q310" s="11" t="str">
        <f>SUBSTITUTE(UC!Q310,"Old","New")</f>
        <v>*</v>
      </c>
      <c r="R310" s="12"/>
      <c r="S310" s="13" t="str">
        <f t="shared" si="77"/>
        <v>COMNGA</v>
      </c>
      <c r="T310" s="13" t="str">
        <f t="shared" si="78"/>
        <v>COMHOPNewCKEUE</v>
      </c>
      <c r="U310" s="13" t="str">
        <f t="shared" si="79"/>
        <v>COMHOPNewCKEUE</v>
      </c>
      <c r="V310" s="14">
        <v>2025</v>
      </c>
      <c r="W310" s="14" t="str">
        <f>W309</f>
        <v>UP</v>
      </c>
      <c r="X310" s="14"/>
      <c r="Y310" s="15">
        <f>UC!Y310</f>
        <v>-1</v>
      </c>
      <c r="Z310" s="14"/>
      <c r="AA310" s="14"/>
      <c r="AB310" s="10"/>
      <c r="AC310" s="20"/>
    </row>
    <row r="311" spans="1:29" x14ac:dyDescent="0.25">
      <c r="A311" s="10">
        <f>A310</f>
        <v>77</v>
      </c>
      <c r="B311" s="10"/>
      <c r="C311" s="11" t="str">
        <f>SUBSTITUTE(UC!C311,"Old","New")</f>
        <v>*</v>
      </c>
      <c r="D311" s="12"/>
      <c r="E311" s="13" t="str">
        <f t="shared" si="91"/>
        <v>COMNGA</v>
      </c>
      <c r="F311" s="13" t="str">
        <f t="shared" si="91"/>
        <v>COMHOPNewCKEUE</v>
      </c>
      <c r="G311" s="13" t="str">
        <f t="shared" si="91"/>
        <v>COMHOPNewCKEUE</v>
      </c>
      <c r="H311" s="14">
        <v>2030</v>
      </c>
      <c r="I311" s="14" t="str">
        <f>I310</f>
        <v>LO</v>
      </c>
      <c r="J311" s="14"/>
      <c r="K311" s="15">
        <f>UC!K311</f>
        <v>-0.17600000000000002</v>
      </c>
      <c r="L311" s="14"/>
      <c r="M311" s="14"/>
      <c r="N311" s="10"/>
      <c r="O311" s="20"/>
      <c r="Q311" s="11" t="str">
        <f>SUBSTITUTE(UC!Q311,"Old","New")</f>
        <v>*</v>
      </c>
      <c r="R311" s="12"/>
      <c r="S311" s="13" t="str">
        <f t="shared" si="77"/>
        <v>COMNGA</v>
      </c>
      <c r="T311" s="13" t="str">
        <f t="shared" si="78"/>
        <v>COMHOPNewCKEUE</v>
      </c>
      <c r="U311" s="13" t="str">
        <f t="shared" si="79"/>
        <v>COMHOPNewCKEUE</v>
      </c>
      <c r="V311" s="14">
        <v>2030</v>
      </c>
      <c r="W311" s="14" t="str">
        <f>W310</f>
        <v>UP</v>
      </c>
      <c r="X311" s="14"/>
      <c r="Y311" s="15">
        <f>UC!Y311</f>
        <v>-1</v>
      </c>
      <c r="Z311" s="14"/>
      <c r="AA311" s="14"/>
      <c r="AB311" s="10"/>
      <c r="AC311" s="20"/>
    </row>
    <row r="312" spans="1:29" x14ac:dyDescent="0.25">
      <c r="A312" s="26">
        <f>A311</f>
        <v>77</v>
      </c>
      <c r="B312" s="26"/>
      <c r="C312" s="21" t="str">
        <f>SUBSTITUTE(UC!C312,"Old","New")</f>
        <v>*</v>
      </c>
      <c r="D312" s="22"/>
      <c r="E312" s="23" t="str">
        <f t="shared" si="91"/>
        <v>COMNGA</v>
      </c>
      <c r="F312" s="23" t="str">
        <f t="shared" si="91"/>
        <v>COMHOPNewCKEUE</v>
      </c>
      <c r="G312" s="23" t="str">
        <f t="shared" si="91"/>
        <v>COMHOPNewCKEUE</v>
      </c>
      <c r="H312" s="24">
        <v>2050</v>
      </c>
      <c r="I312" s="24" t="str">
        <f>I311</f>
        <v>LO</v>
      </c>
      <c r="J312" s="24"/>
      <c r="K312" s="25">
        <f>UC!K312</f>
        <v>0</v>
      </c>
      <c r="L312" s="24"/>
      <c r="M312" s="24"/>
      <c r="N312" s="26"/>
      <c r="O312" s="27"/>
      <c r="Q312" s="21" t="str">
        <f>SUBSTITUTE(UC!Q312,"Old","New")</f>
        <v>*</v>
      </c>
      <c r="R312" s="22"/>
      <c r="S312" s="23" t="str">
        <f t="shared" si="77"/>
        <v>COMNGA</v>
      </c>
      <c r="T312" s="23" t="str">
        <f t="shared" si="78"/>
        <v>COMHOPNewCKEUE</v>
      </c>
      <c r="U312" s="23" t="str">
        <f t="shared" si="79"/>
        <v>COMHOPNewCKEUE</v>
      </c>
      <c r="V312" s="24">
        <v>2050</v>
      </c>
      <c r="W312" s="24" t="str">
        <f>W311</f>
        <v>UP</v>
      </c>
      <c r="X312" s="24"/>
      <c r="Y312" s="25">
        <f>UC!Y312</f>
        <v>-1</v>
      </c>
      <c r="Z312" s="24"/>
      <c r="AA312" s="24"/>
      <c r="AB312" s="26"/>
      <c r="AC312" s="27"/>
    </row>
    <row r="313" spans="1:29" x14ac:dyDescent="0.25">
      <c r="A313" s="19">
        <f>A309+1</f>
        <v>78</v>
      </c>
      <c r="B313" s="10"/>
      <c r="C313" s="11" t="str">
        <f>SUBSTITUTE(UC!C313,"Old","New")</f>
        <v>*</v>
      </c>
      <c r="D313" s="12"/>
      <c r="E313" s="13" t="str">
        <f>_xlfn.XLOOKUP($A313,Selected_constraint_UC!$A:$A,Selected_constraint_UC!$B:$B)</f>
        <v>COMSTM</v>
      </c>
      <c r="F313" s="13" t="str">
        <f>SUBSTITUTE(_xlfn.XLOOKUP($A313,Selected_constraint_UC!$A:$A,Selected_constraint_UC!$C:$C),"Old","New")</f>
        <v>COMHOPNewCKEUE</v>
      </c>
      <c r="G313" s="13" t="str">
        <f>F313</f>
        <v>COMHOPNewCKEUE</v>
      </c>
      <c r="H313" s="14">
        <v>2019</v>
      </c>
      <c r="I313" s="14" t="s">
        <v>3848</v>
      </c>
      <c r="J313" s="14">
        <v>1</v>
      </c>
      <c r="K313" s="15">
        <f>UC!K313</f>
        <v>0</v>
      </c>
      <c r="L313" s="14">
        <v>0</v>
      </c>
      <c r="M313" s="14">
        <v>5</v>
      </c>
      <c r="N313" s="10"/>
      <c r="O313" s="20"/>
      <c r="Q313" s="11" t="str">
        <f>SUBSTITUTE(UC!Q313,"Old","New")</f>
        <v>*</v>
      </c>
      <c r="R313" s="12"/>
      <c r="S313" s="13" t="str">
        <f t="shared" si="77"/>
        <v>COMSTM</v>
      </c>
      <c r="T313" s="13" t="str">
        <f t="shared" si="78"/>
        <v>COMHOPNewCKEUE</v>
      </c>
      <c r="U313" s="13" t="str">
        <f t="shared" si="79"/>
        <v>COMHOPNewCKEUE</v>
      </c>
      <c r="V313" s="14">
        <f>H313</f>
        <v>2019</v>
      </c>
      <c r="W313" s="29" t="s">
        <v>3849</v>
      </c>
      <c r="X313" s="14">
        <v>1</v>
      </c>
      <c r="Y313" s="15">
        <f>UC!Y313</f>
        <v>-1E-3</v>
      </c>
      <c r="Z313" s="14">
        <v>0</v>
      </c>
      <c r="AA313" s="14">
        <v>5</v>
      </c>
      <c r="AB313" s="10"/>
      <c r="AC313" s="20"/>
    </row>
    <row r="314" spans="1:29" x14ac:dyDescent="0.25">
      <c r="A314" s="10">
        <f>A313</f>
        <v>78</v>
      </c>
      <c r="B314" s="10"/>
      <c r="C314" s="11" t="str">
        <f>SUBSTITUTE(UC!C314,"Old","New")</f>
        <v>*</v>
      </c>
      <c r="D314" s="12"/>
      <c r="E314" s="13" t="str">
        <f t="shared" ref="E314:G316" si="92">E313</f>
        <v>COMSTM</v>
      </c>
      <c r="F314" s="13" t="str">
        <f t="shared" si="92"/>
        <v>COMHOPNewCKEUE</v>
      </c>
      <c r="G314" s="13" t="str">
        <f t="shared" si="92"/>
        <v>COMHOPNewCKEUE</v>
      </c>
      <c r="H314" s="14">
        <v>2025</v>
      </c>
      <c r="I314" s="14" t="str">
        <f>I313</f>
        <v>LO</v>
      </c>
      <c r="J314" s="14"/>
      <c r="K314" s="15">
        <f>UC!K314</f>
        <v>0</v>
      </c>
      <c r="L314" s="14"/>
      <c r="M314" s="14"/>
      <c r="N314" s="10"/>
      <c r="O314" s="20"/>
      <c r="Q314" s="11" t="str">
        <f>SUBSTITUTE(UC!Q314,"Old","New")</f>
        <v>*</v>
      </c>
      <c r="R314" s="12"/>
      <c r="S314" s="13" t="str">
        <f t="shared" si="77"/>
        <v>COMSTM</v>
      </c>
      <c r="T314" s="13" t="str">
        <f t="shared" si="78"/>
        <v>COMHOPNewCKEUE</v>
      </c>
      <c r="U314" s="13" t="str">
        <f t="shared" si="79"/>
        <v>COMHOPNewCKEUE</v>
      </c>
      <c r="V314" s="14">
        <v>2025</v>
      </c>
      <c r="W314" s="14" t="str">
        <f>W313</f>
        <v>UP</v>
      </c>
      <c r="X314" s="14"/>
      <c r="Y314" s="15">
        <f>UC!Y314</f>
        <v>-1E-3</v>
      </c>
      <c r="Z314" s="14"/>
      <c r="AA314" s="14"/>
      <c r="AB314" s="10"/>
      <c r="AC314" s="20"/>
    </row>
    <row r="315" spans="1:29" x14ac:dyDescent="0.25">
      <c r="A315" s="10">
        <f>A314</f>
        <v>78</v>
      </c>
      <c r="B315" s="10"/>
      <c r="C315" s="11" t="str">
        <f>SUBSTITUTE(UC!C315,"Old","New")</f>
        <v>*</v>
      </c>
      <c r="D315" s="12"/>
      <c r="E315" s="13" t="str">
        <f t="shared" si="92"/>
        <v>COMSTM</v>
      </c>
      <c r="F315" s="13" t="str">
        <f t="shared" si="92"/>
        <v>COMHOPNewCKEUE</v>
      </c>
      <c r="G315" s="13" t="str">
        <f t="shared" si="92"/>
        <v>COMHOPNewCKEUE</v>
      </c>
      <c r="H315" s="14">
        <v>2030</v>
      </c>
      <c r="I315" s="14" t="str">
        <f>I314</f>
        <v>LO</v>
      </c>
      <c r="J315" s="14"/>
      <c r="K315" s="15">
        <f>UC!K315</f>
        <v>0</v>
      </c>
      <c r="L315" s="14"/>
      <c r="M315" s="14"/>
      <c r="N315" s="10"/>
      <c r="O315" s="20"/>
      <c r="Q315" s="11" t="str">
        <f>SUBSTITUTE(UC!Q315,"Old","New")</f>
        <v>*</v>
      </c>
      <c r="R315" s="12"/>
      <c r="S315" s="13" t="str">
        <f t="shared" si="77"/>
        <v>COMSTM</v>
      </c>
      <c r="T315" s="13" t="str">
        <f t="shared" si="78"/>
        <v>COMHOPNewCKEUE</v>
      </c>
      <c r="U315" s="13" t="str">
        <f t="shared" si="79"/>
        <v>COMHOPNewCKEUE</v>
      </c>
      <c r="V315" s="14">
        <v>2030</v>
      </c>
      <c r="W315" s="14" t="str">
        <f>W314</f>
        <v>UP</v>
      </c>
      <c r="X315" s="14"/>
      <c r="Y315" s="15">
        <f>UC!Y315</f>
        <v>-1E-3</v>
      </c>
      <c r="Z315" s="14"/>
      <c r="AA315" s="14"/>
      <c r="AB315" s="10"/>
      <c r="AC315" s="20"/>
    </row>
    <row r="316" spans="1:29" x14ac:dyDescent="0.25">
      <c r="A316" s="26">
        <f>A315</f>
        <v>78</v>
      </c>
      <c r="B316" s="26"/>
      <c r="C316" s="21" t="str">
        <f>SUBSTITUTE(UC!C316,"Old","New")</f>
        <v>*</v>
      </c>
      <c r="D316" s="22"/>
      <c r="E316" s="23" t="str">
        <f t="shared" si="92"/>
        <v>COMSTM</v>
      </c>
      <c r="F316" s="23" t="str">
        <f t="shared" si="92"/>
        <v>COMHOPNewCKEUE</v>
      </c>
      <c r="G316" s="23" t="str">
        <f t="shared" si="92"/>
        <v>COMHOPNewCKEUE</v>
      </c>
      <c r="H316" s="24">
        <v>2050</v>
      </c>
      <c r="I316" s="24" t="str">
        <f>I315</f>
        <v>LO</v>
      </c>
      <c r="J316" s="24"/>
      <c r="K316" s="25">
        <f>UC!K316</f>
        <v>0</v>
      </c>
      <c r="L316" s="24"/>
      <c r="M316" s="24"/>
      <c r="N316" s="26"/>
      <c r="O316" s="27"/>
      <c r="Q316" s="21" t="str">
        <f>SUBSTITUTE(UC!Q316,"Old","New")</f>
        <v>*</v>
      </c>
      <c r="R316" s="22"/>
      <c r="S316" s="23" t="str">
        <f t="shared" si="77"/>
        <v>COMSTM</v>
      </c>
      <c r="T316" s="23" t="str">
        <f t="shared" si="78"/>
        <v>COMHOPNewCKEUE</v>
      </c>
      <c r="U316" s="23" t="str">
        <f t="shared" si="79"/>
        <v>COMHOPNewCKEUE</v>
      </c>
      <c r="V316" s="24">
        <v>2050</v>
      </c>
      <c r="W316" s="24" t="str">
        <f>W315</f>
        <v>UP</v>
      </c>
      <c r="X316" s="24"/>
      <c r="Y316" s="25">
        <f>UC!Y316</f>
        <v>-2E-3</v>
      </c>
      <c r="Z316" s="24"/>
      <c r="AA316" s="24"/>
      <c r="AB316" s="26"/>
      <c r="AC316" s="27"/>
    </row>
    <row r="317" spans="1:29" x14ac:dyDescent="0.25">
      <c r="A317" s="19">
        <f>A313+1</f>
        <v>79</v>
      </c>
      <c r="B317" s="10"/>
      <c r="C317" s="11" t="str">
        <f>SUBSTITUTE(UC!C317,"Old","New")</f>
        <v>*</v>
      </c>
      <c r="D317" s="12"/>
      <c r="E317" s="13" t="str">
        <f>_xlfn.XLOOKUP($A317,Selected_constraint_UC!$A:$A,Selected_constraint_UC!$B:$B)</f>
        <v>COMELC</v>
      </c>
      <c r="F317" s="13" t="str">
        <f>SUBSTITUTE(_xlfn.XLOOKUP($A317,Selected_constraint_UC!$A:$A,Selected_constraint_UC!$C:$C),"Old","New")</f>
        <v>COMHOPNewCKEUE</v>
      </c>
      <c r="G317" s="13" t="str">
        <f>F317</f>
        <v>COMHOPNewCKEUE</v>
      </c>
      <c r="H317" s="14">
        <v>2019</v>
      </c>
      <c r="I317" s="14" t="s">
        <v>3848</v>
      </c>
      <c r="J317" s="14">
        <v>1</v>
      </c>
      <c r="K317" s="15">
        <f>UC!K317</f>
        <v>-0.11563999999999999</v>
      </c>
      <c r="L317" s="14">
        <v>0</v>
      </c>
      <c r="M317" s="14">
        <v>5</v>
      </c>
      <c r="N317" s="10"/>
      <c r="O317" s="20"/>
      <c r="Q317" s="11" t="str">
        <f>SUBSTITUTE(UC!Q317,"Old","New")</f>
        <v>*</v>
      </c>
      <c r="R317" s="12"/>
      <c r="S317" s="13" t="str">
        <f t="shared" si="77"/>
        <v>COMELC</v>
      </c>
      <c r="T317" s="13" t="str">
        <f t="shared" si="78"/>
        <v>COMHOPNewCKEUE</v>
      </c>
      <c r="U317" s="13" t="str">
        <f t="shared" si="79"/>
        <v>COMHOPNewCKEUE</v>
      </c>
      <c r="V317" s="14">
        <f>H317</f>
        <v>2019</v>
      </c>
      <c r="W317" s="29" t="s">
        <v>3849</v>
      </c>
      <c r="X317" s="14">
        <v>1</v>
      </c>
      <c r="Y317" s="15">
        <f>UC!Y317</f>
        <v>-0.121</v>
      </c>
      <c r="Z317" s="14">
        <v>0</v>
      </c>
      <c r="AA317" s="14">
        <v>5</v>
      </c>
      <c r="AB317" s="10"/>
      <c r="AC317" s="20"/>
    </row>
    <row r="318" spans="1:29" x14ac:dyDescent="0.25">
      <c r="A318" s="10">
        <f>A317</f>
        <v>79</v>
      </c>
      <c r="B318" s="10"/>
      <c r="C318" s="11" t="str">
        <f>SUBSTITUTE(UC!C318,"Old","New")</f>
        <v>*</v>
      </c>
      <c r="D318" s="12"/>
      <c r="E318" s="13" t="str">
        <f t="shared" ref="E318:G320" si="93">E317</f>
        <v>COMELC</v>
      </c>
      <c r="F318" s="13" t="str">
        <f t="shared" si="93"/>
        <v>COMHOPNewCKEUE</v>
      </c>
      <c r="G318" s="13" t="str">
        <f t="shared" si="93"/>
        <v>COMHOPNewCKEUE</v>
      </c>
      <c r="H318" s="14">
        <v>2025</v>
      </c>
      <c r="I318" s="14" t="str">
        <f>I317</f>
        <v>LO</v>
      </c>
      <c r="J318" s="14"/>
      <c r="K318" s="15">
        <f>UC!K318</f>
        <v>-9.4399999999999998E-2</v>
      </c>
      <c r="L318" s="14"/>
      <c r="M318" s="14"/>
      <c r="N318" s="10"/>
      <c r="O318" s="20"/>
      <c r="Q318" s="11" t="str">
        <f>SUBSTITUTE(UC!Q318,"Old","New")</f>
        <v>*</v>
      </c>
      <c r="R318" s="12"/>
      <c r="S318" s="13" t="str">
        <f t="shared" si="77"/>
        <v>COMELC</v>
      </c>
      <c r="T318" s="13" t="str">
        <f t="shared" si="78"/>
        <v>COMHOPNewCKEUE</v>
      </c>
      <c r="U318" s="13" t="str">
        <f t="shared" si="79"/>
        <v>COMHOPNewCKEUE</v>
      </c>
      <c r="V318" s="14">
        <v>2025</v>
      </c>
      <c r="W318" s="14" t="str">
        <f>W317</f>
        <v>UP</v>
      </c>
      <c r="X318" s="14"/>
      <c r="Y318" s="15">
        <f>UC!Y318</f>
        <v>-0.25</v>
      </c>
      <c r="Z318" s="14"/>
      <c r="AA318" s="14"/>
      <c r="AB318" s="10"/>
      <c r="AC318" s="20"/>
    </row>
    <row r="319" spans="1:29" x14ac:dyDescent="0.25">
      <c r="A319" s="10">
        <f>A318</f>
        <v>79</v>
      </c>
      <c r="B319" s="10"/>
      <c r="C319" s="11" t="str">
        <f>SUBSTITUTE(UC!C319,"Old","New")</f>
        <v>*</v>
      </c>
      <c r="D319" s="12"/>
      <c r="E319" s="13" t="str">
        <f t="shared" si="93"/>
        <v>COMELC</v>
      </c>
      <c r="F319" s="13" t="str">
        <f t="shared" si="93"/>
        <v>COMHOPNewCKEUE</v>
      </c>
      <c r="G319" s="13" t="str">
        <f t="shared" si="93"/>
        <v>COMHOPNewCKEUE</v>
      </c>
      <c r="H319" s="14">
        <v>2030</v>
      </c>
      <c r="I319" s="14" t="str">
        <f>I318</f>
        <v>LO</v>
      </c>
      <c r="J319" s="14"/>
      <c r="K319" s="15">
        <f>UC!K319</f>
        <v>-2.3599999999999999E-2</v>
      </c>
      <c r="L319" s="14"/>
      <c r="M319" s="14"/>
      <c r="N319" s="10"/>
      <c r="O319" s="20"/>
      <c r="Q319" s="11" t="str">
        <f>SUBSTITUTE(UC!Q319,"Old","New")</f>
        <v>*</v>
      </c>
      <c r="R319" s="12"/>
      <c r="S319" s="13" t="str">
        <f t="shared" si="77"/>
        <v>COMELC</v>
      </c>
      <c r="T319" s="13" t="str">
        <f t="shared" si="78"/>
        <v>COMHOPNewCKEUE</v>
      </c>
      <c r="U319" s="13" t="str">
        <f t="shared" si="79"/>
        <v>COMHOPNewCKEUE</v>
      </c>
      <c r="V319" s="14">
        <v>2030</v>
      </c>
      <c r="W319" s="14" t="str">
        <f>W318</f>
        <v>UP</v>
      </c>
      <c r="X319" s="14"/>
      <c r="Y319" s="15">
        <f>UC!Y319</f>
        <v>-0.5</v>
      </c>
      <c r="Z319" s="14"/>
      <c r="AA319" s="14"/>
      <c r="AB319" s="10"/>
      <c r="AC319" s="20"/>
    </row>
    <row r="320" spans="1:29" x14ac:dyDescent="0.25">
      <c r="A320" s="26">
        <f>A319</f>
        <v>79</v>
      </c>
      <c r="B320" s="26"/>
      <c r="C320" s="21" t="str">
        <f>SUBSTITUTE(UC!C320,"Old","New")</f>
        <v>*</v>
      </c>
      <c r="D320" s="22"/>
      <c r="E320" s="23" t="str">
        <f t="shared" si="93"/>
        <v>COMELC</v>
      </c>
      <c r="F320" s="23" t="str">
        <f t="shared" si="93"/>
        <v>COMHOPNewCKEUE</v>
      </c>
      <c r="G320" s="23" t="str">
        <f t="shared" si="93"/>
        <v>COMHOPNewCKEUE</v>
      </c>
      <c r="H320" s="24">
        <v>2050</v>
      </c>
      <c r="I320" s="24" t="str">
        <f>I319</f>
        <v>LO</v>
      </c>
      <c r="J320" s="24"/>
      <c r="K320" s="25">
        <f>UC!K320</f>
        <v>0</v>
      </c>
      <c r="L320" s="24"/>
      <c r="M320" s="24"/>
      <c r="N320" s="26"/>
      <c r="O320" s="27"/>
      <c r="Q320" s="21" t="str">
        <f>SUBSTITUTE(UC!Q320,"Old","New")</f>
        <v>*</v>
      </c>
      <c r="R320" s="22"/>
      <c r="S320" s="23" t="str">
        <f t="shared" si="77"/>
        <v>COMELC</v>
      </c>
      <c r="T320" s="23" t="str">
        <f t="shared" si="78"/>
        <v>COMHOPNewCKEUE</v>
      </c>
      <c r="U320" s="23" t="str">
        <f t="shared" si="79"/>
        <v>COMHOPNewCKEUE</v>
      </c>
      <c r="V320" s="24">
        <v>2050</v>
      </c>
      <c r="W320" s="24" t="str">
        <f>W319</f>
        <v>UP</v>
      </c>
      <c r="X320" s="24"/>
      <c r="Y320" s="25">
        <f>UC!Y320</f>
        <v>-1</v>
      </c>
      <c r="Z320" s="24"/>
      <c r="AA320" s="24"/>
      <c r="AB320" s="26"/>
      <c r="AC320" s="27"/>
    </row>
    <row r="321" spans="1:29" x14ac:dyDescent="0.25">
      <c r="A321" s="19">
        <f>A317+1</f>
        <v>80</v>
      </c>
      <c r="B321" s="10"/>
      <c r="C321" s="11" t="str">
        <f>SUBSTITUTE(UC!C321,"Old","New")</f>
        <v>*</v>
      </c>
      <c r="D321" s="12"/>
      <c r="E321" s="13" t="str">
        <f>_xlfn.XLOOKUP($A321,Selected_constraint_UC!$A:$A,Selected_constraint_UC!$B:$B)</f>
        <v>COMELC</v>
      </c>
      <c r="F321" s="13" t="str">
        <f>SUBSTITUTE(_xlfn.XLOOKUP($A321,Selected_constraint_UC!$A:$A,Selected_constraint_UC!$C:$C),"Old","New")</f>
        <v>COMHOPNewREEUE</v>
      </c>
      <c r="G321" s="13" t="str">
        <f>F321</f>
        <v>COMHOPNewREEUE</v>
      </c>
      <c r="H321" s="14">
        <v>2019</v>
      </c>
      <c r="I321" s="14" t="s">
        <v>3848</v>
      </c>
      <c r="J321" s="14">
        <v>1</v>
      </c>
      <c r="K321" s="15">
        <f>UC!K321</f>
        <v>-0.98</v>
      </c>
      <c r="L321" s="14">
        <v>0</v>
      </c>
      <c r="M321" s="14">
        <v>5</v>
      </c>
      <c r="N321" s="10"/>
      <c r="O321" s="20"/>
      <c r="Q321" s="11" t="str">
        <f>SUBSTITUTE(UC!Q321,"Old","New")</f>
        <v>*</v>
      </c>
      <c r="R321" s="12"/>
      <c r="S321" s="13" t="str">
        <f t="shared" si="77"/>
        <v>COMELC</v>
      </c>
      <c r="T321" s="13" t="str">
        <f t="shared" si="78"/>
        <v>COMHOPNewREEUE</v>
      </c>
      <c r="U321" s="13" t="str">
        <f t="shared" si="79"/>
        <v>COMHOPNewREEUE</v>
      </c>
      <c r="V321" s="14">
        <f>H321</f>
        <v>2019</v>
      </c>
      <c r="W321" s="29" t="s">
        <v>3849</v>
      </c>
      <c r="X321" s="14">
        <v>1</v>
      </c>
      <c r="Y321" s="15">
        <f>UC!Y321</f>
        <v>-1</v>
      </c>
      <c r="Z321" s="14">
        <v>0</v>
      </c>
      <c r="AA321" s="14">
        <v>5</v>
      </c>
      <c r="AB321" s="10"/>
      <c r="AC321" s="20"/>
    </row>
    <row r="322" spans="1:29" x14ac:dyDescent="0.25">
      <c r="A322" s="10">
        <f>A321</f>
        <v>80</v>
      </c>
      <c r="B322" s="10"/>
      <c r="C322" s="11" t="str">
        <f>SUBSTITUTE(UC!C322,"Old","New")</f>
        <v>*</v>
      </c>
      <c r="D322" s="12"/>
      <c r="E322" s="13" t="str">
        <f t="shared" ref="E322:G324" si="94">E321</f>
        <v>COMELC</v>
      </c>
      <c r="F322" s="13" t="str">
        <f t="shared" si="94"/>
        <v>COMHOPNewREEUE</v>
      </c>
      <c r="G322" s="13" t="str">
        <f t="shared" si="94"/>
        <v>COMHOPNewREEUE</v>
      </c>
      <c r="H322" s="14">
        <v>2025</v>
      </c>
      <c r="I322" s="14" t="str">
        <f>I321</f>
        <v>LO</v>
      </c>
      <c r="J322" s="14"/>
      <c r="K322" s="15">
        <f>UC!K322</f>
        <v>-0.8</v>
      </c>
      <c r="L322" s="14"/>
      <c r="M322" s="14"/>
      <c r="N322" s="10"/>
      <c r="O322" s="20"/>
      <c r="Q322" s="11" t="str">
        <f>SUBSTITUTE(UC!Q322,"Old","New")</f>
        <v>*</v>
      </c>
      <c r="R322" s="12"/>
      <c r="S322" s="13" t="str">
        <f t="shared" si="77"/>
        <v>COMELC</v>
      </c>
      <c r="T322" s="13" t="str">
        <f t="shared" si="78"/>
        <v>COMHOPNewREEUE</v>
      </c>
      <c r="U322" s="13" t="str">
        <f t="shared" si="79"/>
        <v>COMHOPNewREEUE</v>
      </c>
      <c r="V322" s="14">
        <v>2025</v>
      </c>
      <c r="W322" s="14" t="str">
        <f>W321</f>
        <v>UP</v>
      </c>
      <c r="X322" s="14"/>
      <c r="Y322" s="15">
        <f>UC!Y322</f>
        <v>-1</v>
      </c>
      <c r="Z322" s="14"/>
      <c r="AA322" s="14"/>
      <c r="AB322" s="10"/>
      <c r="AC322" s="20"/>
    </row>
    <row r="323" spans="1:29" x14ac:dyDescent="0.25">
      <c r="A323" s="10">
        <f>A322</f>
        <v>80</v>
      </c>
      <c r="B323" s="10"/>
      <c r="C323" s="11" t="str">
        <f>SUBSTITUTE(UC!C323,"Old","New")</f>
        <v>*</v>
      </c>
      <c r="D323" s="12"/>
      <c r="E323" s="13" t="str">
        <f t="shared" si="94"/>
        <v>COMELC</v>
      </c>
      <c r="F323" s="13" t="str">
        <f t="shared" si="94"/>
        <v>COMHOPNewREEUE</v>
      </c>
      <c r="G323" s="13" t="str">
        <f t="shared" si="94"/>
        <v>COMHOPNewREEUE</v>
      </c>
      <c r="H323" s="14">
        <v>2030</v>
      </c>
      <c r="I323" s="14" t="str">
        <f>I322</f>
        <v>LO</v>
      </c>
      <c r="J323" s="14"/>
      <c r="K323" s="15">
        <f>UC!K323</f>
        <v>-0.2</v>
      </c>
      <c r="L323" s="14"/>
      <c r="M323" s="14"/>
      <c r="N323" s="10"/>
      <c r="O323" s="20"/>
      <c r="Q323" s="11" t="str">
        <f>SUBSTITUTE(UC!Q323,"Old","New")</f>
        <v>*</v>
      </c>
      <c r="R323" s="12"/>
      <c r="S323" s="13" t="str">
        <f t="shared" si="77"/>
        <v>COMELC</v>
      </c>
      <c r="T323" s="13" t="str">
        <f t="shared" si="78"/>
        <v>COMHOPNewREEUE</v>
      </c>
      <c r="U323" s="13" t="str">
        <f t="shared" si="79"/>
        <v>COMHOPNewREEUE</v>
      </c>
      <c r="V323" s="14">
        <v>2030</v>
      </c>
      <c r="W323" s="14" t="str">
        <f>W322</f>
        <v>UP</v>
      </c>
      <c r="X323" s="14"/>
      <c r="Y323" s="15">
        <f>UC!Y323</f>
        <v>-1</v>
      </c>
      <c r="Z323" s="14"/>
      <c r="AA323" s="14"/>
      <c r="AB323" s="10"/>
      <c r="AC323" s="20"/>
    </row>
    <row r="324" spans="1:29" x14ac:dyDescent="0.25">
      <c r="A324" s="26">
        <f>A323</f>
        <v>80</v>
      </c>
      <c r="B324" s="26"/>
      <c r="C324" s="21" t="str">
        <f>SUBSTITUTE(UC!C324,"Old","New")</f>
        <v>*</v>
      </c>
      <c r="D324" s="22"/>
      <c r="E324" s="23" t="str">
        <f t="shared" si="94"/>
        <v>COMELC</v>
      </c>
      <c r="F324" s="23" t="str">
        <f t="shared" si="94"/>
        <v>COMHOPNewREEUE</v>
      </c>
      <c r="G324" s="23" t="str">
        <f t="shared" si="94"/>
        <v>COMHOPNewREEUE</v>
      </c>
      <c r="H324" s="24">
        <v>2050</v>
      </c>
      <c r="I324" s="24" t="str">
        <f>I323</f>
        <v>LO</v>
      </c>
      <c r="J324" s="24"/>
      <c r="K324" s="25">
        <f>UC!K324</f>
        <v>0</v>
      </c>
      <c r="L324" s="24"/>
      <c r="M324" s="24"/>
      <c r="N324" s="26"/>
      <c r="O324" s="27"/>
      <c r="Q324" s="21" t="str">
        <f>SUBSTITUTE(UC!Q324,"Old","New")</f>
        <v>*</v>
      </c>
      <c r="R324" s="22"/>
      <c r="S324" s="23" t="str">
        <f t="shared" si="77"/>
        <v>COMELC</v>
      </c>
      <c r="T324" s="23" t="str">
        <f t="shared" si="78"/>
        <v>COMHOPNewREEUE</v>
      </c>
      <c r="U324" s="23" t="str">
        <f t="shared" si="79"/>
        <v>COMHOPNewREEUE</v>
      </c>
      <c r="V324" s="24">
        <v>2050</v>
      </c>
      <c r="W324" s="24" t="str">
        <f>W323</f>
        <v>UP</v>
      </c>
      <c r="X324" s="24"/>
      <c r="Y324" s="25">
        <f>UC!Y324</f>
        <v>-1</v>
      </c>
      <c r="Z324" s="24"/>
      <c r="AA324" s="24"/>
      <c r="AB324" s="26"/>
      <c r="AC324" s="27"/>
    </row>
    <row r="325" spans="1:29" x14ac:dyDescent="0.25">
      <c r="A325" s="19">
        <f>A321+1</f>
        <v>81</v>
      </c>
      <c r="B325" s="10"/>
      <c r="C325" s="11" t="str">
        <f>SUBSTITUTE(UC!C325,"Old","New")</f>
        <v>*</v>
      </c>
      <c r="D325" s="12"/>
      <c r="E325" s="13" t="str">
        <f>_xlfn.XLOOKUP($A325,Selected_constraint_UC!$A:$A,Selected_constraint_UC!$B:$B)</f>
        <v>COMFOI</v>
      </c>
      <c r="F325" s="13" t="str">
        <f>SUBSTITUTE(_xlfn.XLOOKUP($A325,Selected_constraint_UC!$A:$A,Selected_constraint_UC!$C:$C),"Old","New")</f>
        <v>COMHOPNewOEEUE</v>
      </c>
      <c r="G325" s="13" t="str">
        <f>F325</f>
        <v>COMHOPNewOEEUE</v>
      </c>
      <c r="H325" s="14">
        <v>2019</v>
      </c>
      <c r="I325" s="14" t="s">
        <v>3848</v>
      </c>
      <c r="J325" s="14">
        <v>1</v>
      </c>
      <c r="K325" s="15">
        <f>UC!K325</f>
        <v>-0.14013999999999999</v>
      </c>
      <c r="L325" s="14">
        <v>0</v>
      </c>
      <c r="M325" s="14">
        <v>5</v>
      </c>
      <c r="N325" s="10"/>
      <c r="O325" s="20"/>
      <c r="Q325" s="11" t="str">
        <f>SUBSTITUTE(UC!Q325,"Old","New")</f>
        <v>*</v>
      </c>
      <c r="R325" s="12"/>
      <c r="S325" s="13" t="str">
        <f t="shared" si="77"/>
        <v>COMFOI</v>
      </c>
      <c r="T325" s="13" t="str">
        <f t="shared" si="78"/>
        <v>COMHOPNewOEEUE</v>
      </c>
      <c r="U325" s="13" t="str">
        <f t="shared" si="79"/>
        <v>COMHOPNewOEEUE</v>
      </c>
      <c r="V325" s="14">
        <f>H325</f>
        <v>2019</v>
      </c>
      <c r="W325" s="29" t="s">
        <v>3849</v>
      </c>
      <c r="X325" s="14">
        <v>1</v>
      </c>
      <c r="Y325" s="15">
        <f>UC!Y325</f>
        <v>-0.14699999999999999</v>
      </c>
      <c r="Z325" s="14">
        <v>0</v>
      </c>
      <c r="AA325" s="14">
        <v>5</v>
      </c>
      <c r="AB325" s="10"/>
      <c r="AC325" s="20"/>
    </row>
    <row r="326" spans="1:29" x14ac:dyDescent="0.25">
      <c r="A326" s="10">
        <f>A325</f>
        <v>81</v>
      </c>
      <c r="B326" s="10"/>
      <c r="C326" s="11" t="str">
        <f>SUBSTITUTE(UC!C326,"Old","New")</f>
        <v>*</v>
      </c>
      <c r="D326" s="12"/>
      <c r="E326" s="13" t="str">
        <f t="shared" ref="E326:G328" si="95">E325</f>
        <v>COMFOI</v>
      </c>
      <c r="F326" s="13" t="str">
        <f t="shared" si="95"/>
        <v>COMHOPNewOEEUE</v>
      </c>
      <c r="G326" s="13" t="str">
        <f t="shared" si="95"/>
        <v>COMHOPNewOEEUE</v>
      </c>
      <c r="H326" s="14">
        <v>2025</v>
      </c>
      <c r="I326" s="14" t="str">
        <f>I325</f>
        <v>LO</v>
      </c>
      <c r="J326" s="14"/>
      <c r="K326" s="15">
        <f>UC!K326</f>
        <v>-0.1144</v>
      </c>
      <c r="L326" s="14"/>
      <c r="M326" s="14"/>
      <c r="N326" s="10"/>
      <c r="O326" s="20"/>
      <c r="Q326" s="11" t="str">
        <f>SUBSTITUTE(UC!Q326,"Old","New")</f>
        <v>*</v>
      </c>
      <c r="R326" s="12"/>
      <c r="S326" s="13" t="str">
        <f t="shared" ref="S326:S389" si="96">E326</f>
        <v>COMFOI</v>
      </c>
      <c r="T326" s="13" t="str">
        <f t="shared" ref="T326:T389" si="97">F326</f>
        <v>COMHOPNewOEEUE</v>
      </c>
      <c r="U326" s="13" t="str">
        <f t="shared" ref="U326:U389" si="98">G326</f>
        <v>COMHOPNewOEEUE</v>
      </c>
      <c r="V326" s="14">
        <v>2025</v>
      </c>
      <c r="W326" s="14" t="str">
        <f>W325</f>
        <v>UP</v>
      </c>
      <c r="X326" s="14"/>
      <c r="Y326" s="15">
        <f>UC!Y326</f>
        <v>-0.17299999999999999</v>
      </c>
      <c r="Z326" s="14"/>
      <c r="AA326" s="14"/>
      <c r="AB326" s="10"/>
      <c r="AC326" s="20"/>
    </row>
    <row r="327" spans="1:29" x14ac:dyDescent="0.25">
      <c r="A327" s="10">
        <f>A326</f>
        <v>81</v>
      </c>
      <c r="B327" s="10"/>
      <c r="C327" s="11" t="str">
        <f>SUBSTITUTE(UC!C327,"Old","New")</f>
        <v>*</v>
      </c>
      <c r="D327" s="12"/>
      <c r="E327" s="13" t="str">
        <f t="shared" si="95"/>
        <v>COMFOI</v>
      </c>
      <c r="F327" s="13" t="str">
        <f t="shared" si="95"/>
        <v>COMHOPNewOEEUE</v>
      </c>
      <c r="G327" s="13" t="str">
        <f t="shared" si="95"/>
        <v>COMHOPNewOEEUE</v>
      </c>
      <c r="H327" s="14">
        <v>2030</v>
      </c>
      <c r="I327" s="14" t="str">
        <f>I326</f>
        <v>LO</v>
      </c>
      <c r="J327" s="14"/>
      <c r="K327" s="15">
        <f>UC!K327</f>
        <v>-2.86E-2</v>
      </c>
      <c r="L327" s="14"/>
      <c r="M327" s="14"/>
      <c r="N327" s="10"/>
      <c r="O327" s="20"/>
      <c r="Q327" s="11" t="str">
        <f>SUBSTITUTE(UC!Q327,"Old","New")</f>
        <v>*</v>
      </c>
      <c r="R327" s="12"/>
      <c r="S327" s="13" t="str">
        <f t="shared" si="96"/>
        <v>COMFOI</v>
      </c>
      <c r="T327" s="13" t="str">
        <f t="shared" si="97"/>
        <v>COMHOPNewOEEUE</v>
      </c>
      <c r="U327" s="13" t="str">
        <f t="shared" si="98"/>
        <v>COMHOPNewOEEUE</v>
      </c>
      <c r="V327" s="14">
        <v>2030</v>
      </c>
      <c r="W327" s="14" t="str">
        <f>W326</f>
        <v>UP</v>
      </c>
      <c r="X327" s="14"/>
      <c r="Y327" s="15">
        <f>UC!Y327</f>
        <v>-0.216</v>
      </c>
      <c r="Z327" s="14"/>
      <c r="AA327" s="14"/>
      <c r="AB327" s="10"/>
      <c r="AC327" s="20"/>
    </row>
    <row r="328" spans="1:29" x14ac:dyDescent="0.25">
      <c r="A328" s="26">
        <f>A327</f>
        <v>81</v>
      </c>
      <c r="B328" s="26"/>
      <c r="C328" s="21" t="str">
        <f>SUBSTITUTE(UC!C328,"Old","New")</f>
        <v>*</v>
      </c>
      <c r="D328" s="22"/>
      <c r="E328" s="23" t="str">
        <f t="shared" si="95"/>
        <v>COMFOI</v>
      </c>
      <c r="F328" s="23" t="str">
        <f t="shared" si="95"/>
        <v>COMHOPNewOEEUE</v>
      </c>
      <c r="G328" s="23" t="str">
        <f t="shared" si="95"/>
        <v>COMHOPNewOEEUE</v>
      </c>
      <c r="H328" s="24">
        <v>2050</v>
      </c>
      <c r="I328" s="24" t="str">
        <f>I327</f>
        <v>LO</v>
      </c>
      <c r="J328" s="24"/>
      <c r="K328" s="25">
        <f>UC!K328</f>
        <v>0</v>
      </c>
      <c r="L328" s="24"/>
      <c r="M328" s="24"/>
      <c r="N328" s="26"/>
      <c r="O328" s="27"/>
      <c r="Q328" s="21" t="str">
        <f>SUBSTITUTE(UC!Q328,"Old","New")</f>
        <v>*</v>
      </c>
      <c r="R328" s="22"/>
      <c r="S328" s="23" t="str">
        <f t="shared" si="96"/>
        <v>COMFOI</v>
      </c>
      <c r="T328" s="23" t="str">
        <f t="shared" si="97"/>
        <v>COMHOPNewOEEUE</v>
      </c>
      <c r="U328" s="23" t="str">
        <f t="shared" si="98"/>
        <v>COMHOPNewOEEUE</v>
      </c>
      <c r="V328" s="24">
        <v>2050</v>
      </c>
      <c r="W328" s="24" t="str">
        <f>W327</f>
        <v>UP</v>
      </c>
      <c r="X328" s="24"/>
      <c r="Y328" s="25">
        <f>UC!Y328</f>
        <v>-0.432</v>
      </c>
      <c r="Z328" s="24"/>
      <c r="AA328" s="24"/>
      <c r="AB328" s="26"/>
      <c r="AC328" s="27"/>
    </row>
    <row r="329" spans="1:29" x14ac:dyDescent="0.25">
      <c r="A329" s="19">
        <f>A325+1</f>
        <v>82</v>
      </c>
      <c r="B329" s="10"/>
      <c r="C329" s="11" t="str">
        <f>SUBSTITUTE(UC!C329,"Old","New")</f>
        <v>UC_MarketShare_COMHOPNewOE_NGA_MIN</v>
      </c>
      <c r="D329" s="12"/>
      <c r="E329" s="13" t="str">
        <f>_xlfn.XLOOKUP($A329,Selected_constraint_UC!$A:$A,Selected_constraint_UC!$B:$B)</f>
        <v>COMNGA</v>
      </c>
      <c r="F329" s="13" t="str">
        <f>SUBSTITUTE(_xlfn.XLOOKUP($A329,Selected_constraint_UC!$A:$A,Selected_constraint_UC!$C:$C),"Old","New")</f>
        <v>COMHOPNewOEEUE</v>
      </c>
      <c r="G329" s="13" t="str">
        <f>F329</f>
        <v>COMHOPNewOEEUE</v>
      </c>
      <c r="H329" s="14">
        <v>2019</v>
      </c>
      <c r="I329" s="14" t="s">
        <v>3848</v>
      </c>
      <c r="J329" s="14">
        <v>1</v>
      </c>
      <c r="K329" s="15">
        <f>UC!K329</f>
        <v>-0.21462000000000001</v>
      </c>
      <c r="L329" s="14">
        <v>0</v>
      </c>
      <c r="M329" s="14">
        <v>5</v>
      </c>
      <c r="N329" s="10"/>
      <c r="O329" s="20"/>
      <c r="Q329" s="11" t="str">
        <f>SUBSTITUTE(UC!Q329,"Old","New")</f>
        <v>UC_MarketShare_COMHOPNewOE_NGA_MAX</v>
      </c>
      <c r="R329" s="12"/>
      <c r="S329" s="13" t="str">
        <f t="shared" si="96"/>
        <v>COMNGA</v>
      </c>
      <c r="T329" s="13" t="str">
        <f t="shared" si="97"/>
        <v>COMHOPNewOEEUE</v>
      </c>
      <c r="U329" s="13" t="str">
        <f t="shared" si="98"/>
        <v>COMHOPNewOEEUE</v>
      </c>
      <c r="V329" s="14">
        <f>H329</f>
        <v>2019</v>
      </c>
      <c r="W329" s="29" t="s">
        <v>3849</v>
      </c>
      <c r="X329" s="14">
        <v>1</v>
      </c>
      <c r="Y329" s="15">
        <f>UC!Y329</f>
        <v>-0.224</v>
      </c>
      <c r="Z329" s="14">
        <v>0</v>
      </c>
      <c r="AA329" s="14">
        <v>5</v>
      </c>
      <c r="AB329" s="10"/>
      <c r="AC329" s="20"/>
    </row>
    <row r="330" spans="1:29" x14ac:dyDescent="0.25">
      <c r="A330" s="10">
        <f>A329</f>
        <v>82</v>
      </c>
      <c r="B330" s="10"/>
      <c r="C330" s="11" t="str">
        <f>SUBSTITUTE(UC!C330,"Old","New")</f>
        <v/>
      </c>
      <c r="D330" s="12"/>
      <c r="E330" s="13" t="str">
        <f t="shared" ref="E330:G332" si="99">E329</f>
        <v>COMNGA</v>
      </c>
      <c r="F330" s="13" t="str">
        <f t="shared" si="99"/>
        <v>COMHOPNewOEEUE</v>
      </c>
      <c r="G330" s="13" t="str">
        <f t="shared" si="99"/>
        <v>COMHOPNewOEEUE</v>
      </c>
      <c r="H330" s="14">
        <v>2025</v>
      </c>
      <c r="I330" s="14" t="str">
        <f>I329</f>
        <v>LO</v>
      </c>
      <c r="J330" s="14"/>
      <c r="K330" s="15">
        <f>UC!K330</f>
        <v>-0.17520000000000002</v>
      </c>
      <c r="L330" s="14"/>
      <c r="M330" s="14"/>
      <c r="N330" s="10"/>
      <c r="O330" s="20"/>
      <c r="Q330" s="11" t="str">
        <f>SUBSTITUTE(UC!Q330,"Old","New")</f>
        <v/>
      </c>
      <c r="R330" s="12"/>
      <c r="S330" s="13" t="str">
        <f t="shared" si="96"/>
        <v>COMNGA</v>
      </c>
      <c r="T330" s="13" t="str">
        <f t="shared" si="97"/>
        <v>COMHOPNewOEEUE</v>
      </c>
      <c r="U330" s="13" t="str">
        <f t="shared" si="98"/>
        <v>COMHOPNewOEEUE</v>
      </c>
      <c r="V330" s="14">
        <v>2025</v>
      </c>
      <c r="W330" s="14" t="str">
        <f>W329</f>
        <v>UP</v>
      </c>
      <c r="X330" s="14"/>
      <c r="Y330" s="15">
        <f>UC!Y330</f>
        <v>-0.26300000000000001</v>
      </c>
      <c r="Z330" s="14"/>
      <c r="AA330" s="14"/>
      <c r="AB330" s="10"/>
      <c r="AC330" s="20"/>
    </row>
    <row r="331" spans="1:29" x14ac:dyDescent="0.25">
      <c r="A331" s="10">
        <f>A330</f>
        <v>82</v>
      </c>
      <c r="B331" s="10"/>
      <c r="C331" s="11" t="str">
        <f>SUBSTITUTE(UC!C331,"Old","New")</f>
        <v/>
      </c>
      <c r="D331" s="12"/>
      <c r="E331" s="13" t="str">
        <f t="shared" si="99"/>
        <v>COMNGA</v>
      </c>
      <c r="F331" s="13" t="str">
        <f t="shared" si="99"/>
        <v>COMHOPNewOEEUE</v>
      </c>
      <c r="G331" s="13" t="str">
        <f t="shared" si="99"/>
        <v>COMHOPNewOEEUE</v>
      </c>
      <c r="H331" s="14">
        <v>2030</v>
      </c>
      <c r="I331" s="14" t="str">
        <f>I330</f>
        <v>LO</v>
      </c>
      <c r="J331" s="14"/>
      <c r="K331" s="15">
        <f>UC!K331</f>
        <v>-4.3800000000000006E-2</v>
      </c>
      <c r="L331" s="14"/>
      <c r="M331" s="14"/>
      <c r="N331" s="10"/>
      <c r="O331" s="20"/>
      <c r="Q331" s="11" t="str">
        <f>SUBSTITUTE(UC!Q331,"Old","New")</f>
        <v/>
      </c>
      <c r="R331" s="12"/>
      <c r="S331" s="13" t="str">
        <f t="shared" si="96"/>
        <v>COMNGA</v>
      </c>
      <c r="T331" s="13" t="str">
        <f t="shared" si="97"/>
        <v>COMHOPNewOEEUE</v>
      </c>
      <c r="U331" s="13" t="str">
        <f t="shared" si="98"/>
        <v>COMHOPNewOEEUE</v>
      </c>
      <c r="V331" s="14">
        <v>2030</v>
      </c>
      <c r="W331" s="14" t="str">
        <f>W330</f>
        <v>UP</v>
      </c>
      <c r="X331" s="14"/>
      <c r="Y331" s="15">
        <f>UC!Y331</f>
        <v>-0.32900000000000001</v>
      </c>
      <c r="Z331" s="14"/>
      <c r="AA331" s="14"/>
      <c r="AB331" s="10"/>
      <c r="AC331" s="20"/>
    </row>
    <row r="332" spans="1:29" x14ac:dyDescent="0.25">
      <c r="A332" s="26">
        <f>A331</f>
        <v>82</v>
      </c>
      <c r="B332" s="26"/>
      <c r="C332" s="21" t="str">
        <f>SUBSTITUTE(UC!C332,"Old","New")</f>
        <v/>
      </c>
      <c r="D332" s="22"/>
      <c r="E332" s="23" t="str">
        <f t="shared" si="99"/>
        <v>COMNGA</v>
      </c>
      <c r="F332" s="23" t="str">
        <f t="shared" si="99"/>
        <v>COMHOPNewOEEUE</v>
      </c>
      <c r="G332" s="23" t="str">
        <f t="shared" si="99"/>
        <v>COMHOPNewOEEUE</v>
      </c>
      <c r="H332" s="24">
        <v>2050</v>
      </c>
      <c r="I332" s="24" t="str">
        <f>I331</f>
        <v>LO</v>
      </c>
      <c r="J332" s="24"/>
      <c r="K332" s="25">
        <f>UC!K332</f>
        <v>0</v>
      </c>
      <c r="L332" s="24"/>
      <c r="M332" s="24"/>
      <c r="N332" s="26"/>
      <c r="O332" s="27"/>
      <c r="Q332" s="21" t="str">
        <f>SUBSTITUTE(UC!Q332,"Old","New")</f>
        <v/>
      </c>
      <c r="R332" s="22"/>
      <c r="S332" s="23" t="str">
        <f t="shared" si="96"/>
        <v>COMNGA</v>
      </c>
      <c r="T332" s="23" t="str">
        <f t="shared" si="97"/>
        <v>COMHOPNewOEEUE</v>
      </c>
      <c r="U332" s="23" t="str">
        <f t="shared" si="98"/>
        <v>COMHOPNewOEEUE</v>
      </c>
      <c r="V332" s="24">
        <v>2050</v>
      </c>
      <c r="W332" s="24" t="str">
        <f>W331</f>
        <v>UP</v>
      </c>
      <c r="X332" s="24"/>
      <c r="Y332" s="25">
        <f>UC!Y332</f>
        <v>-0.65800000000000003</v>
      </c>
      <c r="Z332" s="24"/>
      <c r="AA332" s="24"/>
      <c r="AB332" s="26"/>
      <c r="AC332" s="27"/>
    </row>
    <row r="333" spans="1:29" x14ac:dyDescent="0.25">
      <c r="A333" s="19">
        <f>A329+1</f>
        <v>83</v>
      </c>
      <c r="B333" s="10"/>
      <c r="C333" s="11" t="str">
        <f>SUBSTITUTE(UC!C333,"Old","New")</f>
        <v>*</v>
      </c>
      <c r="D333" s="12"/>
      <c r="E333" s="13" t="str">
        <f>_xlfn.XLOOKUP($A333,Selected_constraint_UC!$A:$A,Selected_constraint_UC!$B:$B)</f>
        <v>COMSTM</v>
      </c>
      <c r="F333" s="13" t="str">
        <f>SUBSTITUTE(_xlfn.XLOOKUP($A333,Selected_constraint_UC!$A:$A,Selected_constraint_UC!$C:$C),"Old","New")</f>
        <v>COMHOPNewOEEUE</v>
      </c>
      <c r="G333" s="13" t="str">
        <f>F333</f>
        <v>COMHOPNewOEEUE</v>
      </c>
      <c r="H333" s="14">
        <v>2019</v>
      </c>
      <c r="I333" s="14" t="s">
        <v>3848</v>
      </c>
      <c r="J333" s="14">
        <v>1</v>
      </c>
      <c r="K333" s="15">
        <f>UC!K333</f>
        <v>0</v>
      </c>
      <c r="L333" s="14">
        <v>0</v>
      </c>
      <c r="M333" s="14">
        <v>5</v>
      </c>
      <c r="N333" s="10"/>
      <c r="O333" s="20"/>
      <c r="Q333" s="11" t="str">
        <f>SUBSTITUTE(UC!Q333,"Old","New")</f>
        <v>*</v>
      </c>
      <c r="R333" s="12"/>
      <c r="S333" s="13" t="str">
        <f t="shared" si="96"/>
        <v>COMSTM</v>
      </c>
      <c r="T333" s="13" t="str">
        <f t="shared" si="97"/>
        <v>COMHOPNewOEEUE</v>
      </c>
      <c r="U333" s="13" t="str">
        <f t="shared" si="98"/>
        <v>COMHOPNewOEEUE</v>
      </c>
      <c r="V333" s="14">
        <f>H333</f>
        <v>2019</v>
      </c>
      <c r="W333" s="29" t="s">
        <v>3849</v>
      </c>
      <c r="X333" s="14">
        <v>1</v>
      </c>
      <c r="Y333" s="15">
        <f>UC!Y333</f>
        <v>-1E-3</v>
      </c>
      <c r="Z333" s="14">
        <v>0</v>
      </c>
      <c r="AA333" s="14">
        <v>5</v>
      </c>
      <c r="AB333" s="10"/>
      <c r="AC333" s="20"/>
    </row>
    <row r="334" spans="1:29" x14ac:dyDescent="0.25">
      <c r="A334" s="10">
        <f>A333</f>
        <v>83</v>
      </c>
      <c r="B334" s="10"/>
      <c r="C334" s="11" t="str">
        <f>SUBSTITUTE(UC!C334,"Old","New")</f>
        <v>*</v>
      </c>
      <c r="D334" s="12"/>
      <c r="E334" s="13" t="str">
        <f t="shared" ref="E334:G336" si="100">E333</f>
        <v>COMSTM</v>
      </c>
      <c r="F334" s="13" t="str">
        <f t="shared" si="100"/>
        <v>COMHOPNewOEEUE</v>
      </c>
      <c r="G334" s="13" t="str">
        <f t="shared" si="100"/>
        <v>COMHOPNewOEEUE</v>
      </c>
      <c r="H334" s="14">
        <v>2025</v>
      </c>
      <c r="I334" s="14" t="str">
        <f>I333</f>
        <v>LO</v>
      </c>
      <c r="J334" s="14"/>
      <c r="K334" s="15">
        <f>UC!K334</f>
        <v>0</v>
      </c>
      <c r="L334" s="14"/>
      <c r="M334" s="14"/>
      <c r="N334" s="10"/>
      <c r="O334" s="20"/>
      <c r="Q334" s="11" t="str">
        <f>SUBSTITUTE(UC!Q334,"Old","New")</f>
        <v>*</v>
      </c>
      <c r="R334" s="12"/>
      <c r="S334" s="13" t="str">
        <f t="shared" si="96"/>
        <v>COMSTM</v>
      </c>
      <c r="T334" s="13" t="str">
        <f t="shared" si="97"/>
        <v>COMHOPNewOEEUE</v>
      </c>
      <c r="U334" s="13" t="str">
        <f t="shared" si="98"/>
        <v>COMHOPNewOEEUE</v>
      </c>
      <c r="V334" s="14">
        <v>2025</v>
      </c>
      <c r="W334" s="14" t="str">
        <f>W333</f>
        <v>UP</v>
      </c>
      <c r="X334" s="14"/>
      <c r="Y334" s="15">
        <f>UC!Y334</f>
        <v>-1E-3</v>
      </c>
      <c r="Z334" s="14"/>
      <c r="AA334" s="14"/>
      <c r="AB334" s="10"/>
      <c r="AC334" s="20"/>
    </row>
    <row r="335" spans="1:29" x14ac:dyDescent="0.25">
      <c r="A335" s="10">
        <f>A334</f>
        <v>83</v>
      </c>
      <c r="B335" s="10"/>
      <c r="C335" s="11" t="str">
        <f>SUBSTITUTE(UC!C335,"Old","New")</f>
        <v>*</v>
      </c>
      <c r="D335" s="12"/>
      <c r="E335" s="13" t="str">
        <f t="shared" si="100"/>
        <v>COMSTM</v>
      </c>
      <c r="F335" s="13" t="str">
        <f t="shared" si="100"/>
        <v>COMHOPNewOEEUE</v>
      </c>
      <c r="G335" s="13" t="str">
        <f t="shared" si="100"/>
        <v>COMHOPNewOEEUE</v>
      </c>
      <c r="H335" s="14">
        <v>2030</v>
      </c>
      <c r="I335" s="14" t="str">
        <f>I334</f>
        <v>LO</v>
      </c>
      <c r="J335" s="14"/>
      <c r="K335" s="15">
        <f>UC!K335</f>
        <v>0</v>
      </c>
      <c r="L335" s="14"/>
      <c r="M335" s="14"/>
      <c r="N335" s="10"/>
      <c r="O335" s="20"/>
      <c r="Q335" s="11" t="str">
        <f>SUBSTITUTE(UC!Q335,"Old","New")</f>
        <v>*</v>
      </c>
      <c r="R335" s="12"/>
      <c r="S335" s="13" t="str">
        <f t="shared" si="96"/>
        <v>COMSTM</v>
      </c>
      <c r="T335" s="13" t="str">
        <f t="shared" si="97"/>
        <v>COMHOPNewOEEUE</v>
      </c>
      <c r="U335" s="13" t="str">
        <f t="shared" si="98"/>
        <v>COMHOPNewOEEUE</v>
      </c>
      <c r="V335" s="14">
        <v>2030</v>
      </c>
      <c r="W335" s="14" t="str">
        <f>W334</f>
        <v>UP</v>
      </c>
      <c r="X335" s="14"/>
      <c r="Y335" s="15">
        <f>UC!Y335</f>
        <v>-1E-3</v>
      </c>
      <c r="Z335" s="14"/>
      <c r="AA335" s="14"/>
      <c r="AB335" s="10"/>
      <c r="AC335" s="20"/>
    </row>
    <row r="336" spans="1:29" x14ac:dyDescent="0.25">
      <c r="A336" s="26">
        <f>A335</f>
        <v>83</v>
      </c>
      <c r="B336" s="26"/>
      <c r="C336" s="21" t="str">
        <f>SUBSTITUTE(UC!C336,"Old","New")</f>
        <v>*</v>
      </c>
      <c r="D336" s="22"/>
      <c r="E336" s="23" t="str">
        <f t="shared" si="100"/>
        <v>COMSTM</v>
      </c>
      <c r="F336" s="23" t="str">
        <f t="shared" si="100"/>
        <v>COMHOPNewOEEUE</v>
      </c>
      <c r="G336" s="23" t="str">
        <f t="shared" si="100"/>
        <v>COMHOPNewOEEUE</v>
      </c>
      <c r="H336" s="24">
        <v>2050</v>
      </c>
      <c r="I336" s="24" t="str">
        <f>I335</f>
        <v>LO</v>
      </c>
      <c r="J336" s="24"/>
      <c r="K336" s="25">
        <f>UC!K336</f>
        <v>0</v>
      </c>
      <c r="L336" s="24"/>
      <c r="M336" s="24"/>
      <c r="N336" s="26"/>
      <c r="O336" s="27"/>
      <c r="Q336" s="21" t="str">
        <f>SUBSTITUTE(UC!Q336,"Old","New")</f>
        <v>*</v>
      </c>
      <c r="R336" s="22"/>
      <c r="S336" s="23" t="str">
        <f t="shared" si="96"/>
        <v>COMSTM</v>
      </c>
      <c r="T336" s="23" t="str">
        <f t="shared" si="97"/>
        <v>COMHOPNewOEEUE</v>
      </c>
      <c r="U336" s="23" t="str">
        <f t="shared" si="98"/>
        <v>COMHOPNewOEEUE</v>
      </c>
      <c r="V336" s="24">
        <v>2050</v>
      </c>
      <c r="W336" s="24" t="str">
        <f>W335</f>
        <v>UP</v>
      </c>
      <c r="X336" s="24"/>
      <c r="Y336" s="25">
        <f>UC!Y336</f>
        <v>-1E-3</v>
      </c>
      <c r="Z336" s="24"/>
      <c r="AA336" s="24"/>
      <c r="AB336" s="26"/>
      <c r="AC336" s="27"/>
    </row>
    <row r="337" spans="1:29" x14ac:dyDescent="0.25">
      <c r="A337" s="19">
        <f>A333+1</f>
        <v>84</v>
      </c>
      <c r="B337" s="10"/>
      <c r="C337" s="11" t="str">
        <f>SUBSTITUTE(UC!C337,"Old","New")</f>
        <v>UC_MarketShare_COMHOPNewOE_ELC_MIN</v>
      </c>
      <c r="D337" s="12"/>
      <c r="E337" s="13" t="str">
        <f>_xlfn.XLOOKUP($A337,Selected_constraint_UC!$A:$A,Selected_constraint_UC!$B:$B)</f>
        <v>COMELC</v>
      </c>
      <c r="F337" s="13" t="str">
        <f>SUBSTITUTE(_xlfn.XLOOKUP($A337,Selected_constraint_UC!$A:$A,Selected_constraint_UC!$C:$C),"Old","New")</f>
        <v>COMHOPNewOEEUE</v>
      </c>
      <c r="G337" s="13" t="str">
        <f>F337</f>
        <v>COMHOPNewOEEUE</v>
      </c>
      <c r="H337" s="14">
        <v>2019</v>
      </c>
      <c r="I337" s="14" t="s">
        <v>3848</v>
      </c>
      <c r="J337" s="14">
        <v>1</v>
      </c>
      <c r="K337" s="15">
        <f>UC!K337</f>
        <v>-0.62426000000000004</v>
      </c>
      <c r="L337" s="14">
        <v>0</v>
      </c>
      <c r="M337" s="14">
        <v>5</v>
      </c>
      <c r="N337" s="10"/>
      <c r="O337" s="20"/>
      <c r="Q337" s="11" t="str">
        <f>SUBSTITUTE(UC!Q337,"Old","New")</f>
        <v>UC_MarketShare_COMHOPNewOE_ELC_MAX</v>
      </c>
      <c r="R337" s="12"/>
      <c r="S337" s="13" t="str">
        <f t="shared" si="96"/>
        <v>COMELC</v>
      </c>
      <c r="T337" s="13" t="str">
        <f t="shared" si="97"/>
        <v>COMHOPNewOEEUE</v>
      </c>
      <c r="U337" s="13" t="str">
        <f t="shared" si="98"/>
        <v>COMHOPNewOEEUE</v>
      </c>
      <c r="V337" s="14">
        <f>H337</f>
        <v>2019</v>
      </c>
      <c r="W337" s="29" t="s">
        <v>3849</v>
      </c>
      <c r="X337" s="14">
        <v>1</v>
      </c>
      <c r="Y337" s="15">
        <f>UC!Y337</f>
        <v>-0.65</v>
      </c>
      <c r="Z337" s="14">
        <v>0</v>
      </c>
      <c r="AA337" s="14">
        <v>5</v>
      </c>
      <c r="AB337" s="10"/>
      <c r="AC337" s="20"/>
    </row>
    <row r="338" spans="1:29" x14ac:dyDescent="0.25">
      <c r="A338" s="10">
        <f>A337</f>
        <v>84</v>
      </c>
      <c r="B338" s="10"/>
      <c r="C338" s="11" t="str">
        <f>SUBSTITUTE(UC!C338,"Old","New")</f>
        <v/>
      </c>
      <c r="D338" s="12"/>
      <c r="E338" s="13" t="str">
        <f t="shared" ref="E338:G340" si="101">E337</f>
        <v>COMELC</v>
      </c>
      <c r="F338" s="13" t="str">
        <f t="shared" si="101"/>
        <v>COMHOPNewOEEUE</v>
      </c>
      <c r="G338" s="13" t="str">
        <f t="shared" si="101"/>
        <v>COMHOPNewOEEUE</v>
      </c>
      <c r="H338" s="14">
        <v>2025</v>
      </c>
      <c r="I338" s="14" t="str">
        <f>I337</f>
        <v>LO</v>
      </c>
      <c r="J338" s="14"/>
      <c r="K338" s="15">
        <f>UC!K338</f>
        <v>-0.50960000000000005</v>
      </c>
      <c r="L338" s="14"/>
      <c r="M338" s="14"/>
      <c r="N338" s="10"/>
      <c r="O338" s="20"/>
      <c r="Q338" s="11" t="str">
        <f>SUBSTITUTE(UC!Q338,"Old","New")</f>
        <v/>
      </c>
      <c r="R338" s="12"/>
      <c r="S338" s="13" t="str">
        <f t="shared" si="96"/>
        <v>COMELC</v>
      </c>
      <c r="T338" s="13" t="str">
        <f t="shared" si="97"/>
        <v>COMHOPNewOEEUE</v>
      </c>
      <c r="U338" s="13" t="str">
        <f t="shared" si="98"/>
        <v>COMHOPNewOEEUE</v>
      </c>
      <c r="V338" s="14">
        <v>2025</v>
      </c>
      <c r="W338" s="14" t="str">
        <f>W337</f>
        <v>UP</v>
      </c>
      <c r="X338" s="14"/>
      <c r="Y338" s="15">
        <f>UC!Y338</f>
        <v>-0.76500000000000001</v>
      </c>
      <c r="Z338" s="14"/>
      <c r="AA338" s="14"/>
      <c r="AB338" s="10"/>
      <c r="AC338" s="20"/>
    </row>
    <row r="339" spans="1:29" x14ac:dyDescent="0.25">
      <c r="A339" s="10">
        <f>A338</f>
        <v>84</v>
      </c>
      <c r="B339" s="10"/>
      <c r="C339" s="11" t="str">
        <f>SUBSTITUTE(UC!C339,"Old","New")</f>
        <v/>
      </c>
      <c r="D339" s="12"/>
      <c r="E339" s="13" t="str">
        <f t="shared" si="101"/>
        <v>COMELC</v>
      </c>
      <c r="F339" s="13" t="str">
        <f t="shared" si="101"/>
        <v>COMHOPNewOEEUE</v>
      </c>
      <c r="G339" s="13" t="str">
        <f t="shared" si="101"/>
        <v>COMHOPNewOEEUE</v>
      </c>
      <c r="H339" s="14">
        <v>2030</v>
      </c>
      <c r="I339" s="14" t="str">
        <f>I338</f>
        <v>LO</v>
      </c>
      <c r="J339" s="14"/>
      <c r="K339" s="15">
        <f>UC!K339</f>
        <v>-0.12740000000000001</v>
      </c>
      <c r="L339" s="14"/>
      <c r="M339" s="14"/>
      <c r="N339" s="10"/>
      <c r="O339" s="20"/>
      <c r="Q339" s="11" t="str">
        <f>SUBSTITUTE(UC!Q339,"Old","New")</f>
        <v/>
      </c>
      <c r="R339" s="12"/>
      <c r="S339" s="13" t="str">
        <f t="shared" si="96"/>
        <v>COMELC</v>
      </c>
      <c r="T339" s="13" t="str">
        <f t="shared" si="97"/>
        <v>COMHOPNewOEEUE</v>
      </c>
      <c r="U339" s="13" t="str">
        <f t="shared" si="98"/>
        <v>COMHOPNewOEEUE</v>
      </c>
      <c r="V339" s="14">
        <v>2030</v>
      </c>
      <c r="W339" s="14" t="str">
        <f>W338</f>
        <v>UP</v>
      </c>
      <c r="X339" s="14"/>
      <c r="Y339" s="15">
        <f>UC!Y339</f>
        <v>-0.95599999999999996</v>
      </c>
      <c r="Z339" s="14"/>
      <c r="AA339" s="14"/>
      <c r="AB339" s="10"/>
      <c r="AC339" s="20"/>
    </row>
    <row r="340" spans="1:29" x14ac:dyDescent="0.25">
      <c r="A340" s="26">
        <f>A339</f>
        <v>84</v>
      </c>
      <c r="B340" s="26"/>
      <c r="C340" s="21" t="str">
        <f>SUBSTITUTE(UC!C340,"Old","New")</f>
        <v/>
      </c>
      <c r="D340" s="22"/>
      <c r="E340" s="23" t="str">
        <f t="shared" si="101"/>
        <v>COMELC</v>
      </c>
      <c r="F340" s="23" t="str">
        <f t="shared" si="101"/>
        <v>COMHOPNewOEEUE</v>
      </c>
      <c r="G340" s="23" t="str">
        <f t="shared" si="101"/>
        <v>COMHOPNewOEEUE</v>
      </c>
      <c r="H340" s="24">
        <v>2050</v>
      </c>
      <c r="I340" s="24" t="str">
        <f>I339</f>
        <v>LO</v>
      </c>
      <c r="J340" s="24"/>
      <c r="K340" s="25">
        <f>UC!K340</f>
        <v>0</v>
      </c>
      <c r="L340" s="24"/>
      <c r="M340" s="24"/>
      <c r="N340" s="26"/>
      <c r="O340" s="27"/>
      <c r="Q340" s="21" t="str">
        <f>SUBSTITUTE(UC!Q340,"Old","New")</f>
        <v/>
      </c>
      <c r="R340" s="22"/>
      <c r="S340" s="23" t="str">
        <f t="shared" si="96"/>
        <v>COMELC</v>
      </c>
      <c r="T340" s="23" t="str">
        <f t="shared" si="97"/>
        <v>COMHOPNewOEEUE</v>
      </c>
      <c r="U340" s="23" t="str">
        <f t="shared" si="98"/>
        <v>COMHOPNewOEEUE</v>
      </c>
      <c r="V340" s="24">
        <v>2050</v>
      </c>
      <c r="W340" s="24" t="str">
        <f>W339</f>
        <v>UP</v>
      </c>
      <c r="X340" s="24"/>
      <c r="Y340" s="25">
        <f>UC!Y340</f>
        <v>-1</v>
      </c>
      <c r="Z340" s="24"/>
      <c r="AA340" s="24"/>
      <c r="AB340" s="26"/>
      <c r="AC340" s="27"/>
    </row>
    <row r="341" spans="1:29" x14ac:dyDescent="0.25">
      <c r="A341" s="19">
        <f>A337+1</f>
        <v>85</v>
      </c>
      <c r="B341" s="10"/>
      <c r="C341" s="11" t="str">
        <f>SUBSTITUTE(UC!C341,"Old","New")</f>
        <v>UC_MarketShare_COMEDUNewSH_ELC_MIN</v>
      </c>
      <c r="D341" s="12"/>
      <c r="E341" s="13" t="str">
        <f>_xlfn.XLOOKUP($A341,Selected_constraint_UC!$A:$A,Selected_constraint_UC!$B:$B)</f>
        <v>COMELC</v>
      </c>
      <c r="F341" s="13" t="str">
        <f>SUBSTITUTE(_xlfn.XLOOKUP($A341,Selected_constraint_UC!$A:$A,Selected_constraint_UC!$C:$C),"Old","New")</f>
        <v>COMEDUNewSHEUE</v>
      </c>
      <c r="G341" s="13" t="str">
        <f>F341</f>
        <v>COMEDUNewSHEUE</v>
      </c>
      <c r="H341" s="14">
        <v>2019</v>
      </c>
      <c r="I341" s="14" t="s">
        <v>3848</v>
      </c>
      <c r="J341" s="14">
        <v>1</v>
      </c>
      <c r="K341" s="15">
        <f>UC!K341</f>
        <v>-5.6840000000000002E-2</v>
      </c>
      <c r="L341" s="14">
        <v>0</v>
      </c>
      <c r="M341" s="14">
        <v>5</v>
      </c>
      <c r="N341" s="10"/>
      <c r="O341" s="20"/>
      <c r="Q341" s="11" t="str">
        <f>SUBSTITUTE(UC!Q341,"Old","New")</f>
        <v>UC_MarketShare_COMEDUNewSH_ELC_MAX</v>
      </c>
      <c r="R341" s="12"/>
      <c r="S341" s="13" t="str">
        <f t="shared" si="96"/>
        <v>COMELC</v>
      </c>
      <c r="T341" s="13" t="str">
        <f t="shared" si="97"/>
        <v>COMEDUNewSHEUE</v>
      </c>
      <c r="U341" s="13" t="str">
        <f t="shared" si="98"/>
        <v>COMEDUNewSHEUE</v>
      </c>
      <c r="V341" s="14">
        <f>H341</f>
        <v>2019</v>
      </c>
      <c r="W341" s="29" t="s">
        <v>3849</v>
      </c>
      <c r="X341" s="14">
        <v>1</v>
      </c>
      <c r="Y341" s="15">
        <f>UC!Y341</f>
        <v>-0.06</v>
      </c>
      <c r="Z341" s="14">
        <v>0</v>
      </c>
      <c r="AA341" s="14">
        <v>5</v>
      </c>
      <c r="AB341" s="10"/>
      <c r="AC341" s="20"/>
    </row>
    <row r="342" spans="1:29" x14ac:dyDescent="0.25">
      <c r="A342" s="10">
        <f>A341</f>
        <v>85</v>
      </c>
      <c r="B342" s="10"/>
      <c r="C342" s="11" t="str">
        <f>SUBSTITUTE(UC!C342,"Old","New")</f>
        <v/>
      </c>
      <c r="D342" s="12"/>
      <c r="E342" s="13" t="str">
        <f t="shared" ref="E342:G344" si="102">E341</f>
        <v>COMELC</v>
      </c>
      <c r="F342" s="13" t="str">
        <f t="shared" si="102"/>
        <v>COMEDUNewSHEUE</v>
      </c>
      <c r="G342" s="13" t="str">
        <f t="shared" si="102"/>
        <v>COMEDUNewSHEUE</v>
      </c>
      <c r="H342" s="14">
        <v>2025</v>
      </c>
      <c r="I342" s="14" t="str">
        <f>I341</f>
        <v>LO</v>
      </c>
      <c r="J342" s="14"/>
      <c r="K342" s="15">
        <f>UC!K342</f>
        <v>-4.6400000000000004E-2</v>
      </c>
      <c r="L342" s="14"/>
      <c r="M342" s="14"/>
      <c r="N342" s="10"/>
      <c r="O342" s="20"/>
      <c r="Q342" s="11" t="str">
        <f>SUBSTITUTE(UC!Q342,"Old","New")</f>
        <v/>
      </c>
      <c r="R342" s="12"/>
      <c r="S342" s="13" t="str">
        <f t="shared" si="96"/>
        <v>COMELC</v>
      </c>
      <c r="T342" s="13" t="str">
        <f t="shared" si="97"/>
        <v>COMEDUNewSHEUE</v>
      </c>
      <c r="U342" s="13" t="str">
        <f t="shared" si="98"/>
        <v>COMEDUNewSHEUE</v>
      </c>
      <c r="V342" s="14">
        <v>2025</v>
      </c>
      <c r="W342" s="14" t="str">
        <f>W341</f>
        <v>UP</v>
      </c>
      <c r="X342" s="14"/>
      <c r="Y342" s="15">
        <f>UC!Y342</f>
        <v>-0.25</v>
      </c>
      <c r="Z342" s="14"/>
      <c r="AA342" s="14"/>
      <c r="AB342" s="10"/>
      <c r="AC342" s="20"/>
    </row>
    <row r="343" spans="1:29" x14ac:dyDescent="0.25">
      <c r="A343" s="10">
        <f>A342</f>
        <v>85</v>
      </c>
      <c r="B343" s="10"/>
      <c r="C343" s="11" t="str">
        <f>SUBSTITUTE(UC!C343,"Old","New")</f>
        <v/>
      </c>
      <c r="D343" s="12"/>
      <c r="E343" s="13" t="str">
        <f t="shared" si="102"/>
        <v>COMELC</v>
      </c>
      <c r="F343" s="13" t="str">
        <f t="shared" si="102"/>
        <v>COMEDUNewSHEUE</v>
      </c>
      <c r="G343" s="13" t="str">
        <f t="shared" si="102"/>
        <v>COMEDUNewSHEUE</v>
      </c>
      <c r="H343" s="14">
        <v>2030</v>
      </c>
      <c r="I343" s="14" t="str">
        <f>I342</f>
        <v>LO</v>
      </c>
      <c r="J343" s="14"/>
      <c r="K343" s="15">
        <f>UC!K343</f>
        <v>-4.3500000000000004E-2</v>
      </c>
      <c r="L343" s="14"/>
      <c r="M343" s="14"/>
      <c r="N343" s="10"/>
      <c r="O343" s="20"/>
      <c r="Q343" s="11" t="str">
        <f>SUBSTITUTE(UC!Q343,"Old","New")</f>
        <v/>
      </c>
      <c r="R343" s="12"/>
      <c r="S343" s="13" t="str">
        <f t="shared" si="96"/>
        <v>COMELC</v>
      </c>
      <c r="T343" s="13" t="str">
        <f t="shared" si="97"/>
        <v>COMEDUNewSHEUE</v>
      </c>
      <c r="U343" s="13" t="str">
        <f t="shared" si="98"/>
        <v>COMEDUNewSHEUE</v>
      </c>
      <c r="V343" s="14">
        <v>2030</v>
      </c>
      <c r="W343" s="14" t="str">
        <f>W342</f>
        <v>UP</v>
      </c>
      <c r="X343" s="14"/>
      <c r="Y343" s="15">
        <f>UC!Y343</f>
        <v>-0.5</v>
      </c>
      <c r="Z343" s="14"/>
      <c r="AA343" s="14"/>
      <c r="AB343" s="10"/>
      <c r="AC343" s="20"/>
    </row>
    <row r="344" spans="1:29" x14ac:dyDescent="0.25">
      <c r="A344" s="26">
        <f>A343</f>
        <v>85</v>
      </c>
      <c r="B344" s="26"/>
      <c r="C344" s="21" t="str">
        <f>SUBSTITUTE(UC!C344,"Old","New")</f>
        <v/>
      </c>
      <c r="D344" s="22"/>
      <c r="E344" s="23" t="str">
        <f t="shared" si="102"/>
        <v>COMELC</v>
      </c>
      <c r="F344" s="23" t="str">
        <f t="shared" si="102"/>
        <v>COMEDUNewSHEUE</v>
      </c>
      <c r="G344" s="23" t="str">
        <f t="shared" si="102"/>
        <v>COMEDUNewSHEUE</v>
      </c>
      <c r="H344" s="24">
        <v>2050</v>
      </c>
      <c r="I344" s="24" t="str">
        <f>I343</f>
        <v>LO</v>
      </c>
      <c r="J344" s="24"/>
      <c r="K344" s="25">
        <f>UC!K344</f>
        <v>-4.3500000000000004E-2</v>
      </c>
      <c r="L344" s="24"/>
      <c r="M344" s="24"/>
      <c r="N344" s="26"/>
      <c r="O344" s="27"/>
      <c r="Q344" s="21" t="str">
        <f>SUBSTITUTE(UC!Q344,"Old","New")</f>
        <v/>
      </c>
      <c r="R344" s="22"/>
      <c r="S344" s="23" t="str">
        <f t="shared" si="96"/>
        <v>COMELC</v>
      </c>
      <c r="T344" s="23" t="str">
        <f t="shared" si="97"/>
        <v>COMEDUNewSHEUE</v>
      </c>
      <c r="U344" s="23" t="str">
        <f t="shared" si="98"/>
        <v>COMEDUNewSHEUE</v>
      </c>
      <c r="V344" s="24">
        <v>2050</v>
      </c>
      <c r="W344" s="24" t="str">
        <f>W343</f>
        <v>UP</v>
      </c>
      <c r="X344" s="24"/>
      <c r="Y344" s="25">
        <f>UC!Y344</f>
        <v>-1</v>
      </c>
      <c r="Z344" s="24"/>
      <c r="AA344" s="24"/>
      <c r="AB344" s="26"/>
      <c r="AC344" s="27"/>
    </row>
    <row r="345" spans="1:29" x14ac:dyDescent="0.25">
      <c r="A345" s="19">
        <f>A341+1</f>
        <v>86</v>
      </c>
      <c r="B345" s="10"/>
      <c r="C345" s="11" t="str">
        <f>SUBSTITUTE(UC!C345,"Old","New")</f>
        <v>UC_MarketShare_COMEDUNewSH_NGA_MIN</v>
      </c>
      <c r="D345" s="12"/>
      <c r="E345" s="13" t="str">
        <f>_xlfn.XLOOKUP($A345,Selected_constraint_UC!$A:$A,Selected_constraint_UC!$B:$B)</f>
        <v>COMNGA</v>
      </c>
      <c r="F345" s="13" t="str">
        <f>SUBSTITUTE(_xlfn.XLOOKUP($A345,Selected_constraint_UC!$A:$A,Selected_constraint_UC!$C:$C),"Old","New")</f>
        <v>COMEDUNewSHEUE</v>
      </c>
      <c r="G345" s="13" t="str">
        <f>F345</f>
        <v>COMEDUNewSHEUE</v>
      </c>
      <c r="H345" s="14">
        <v>2019</v>
      </c>
      <c r="I345" s="14" t="s">
        <v>3848</v>
      </c>
      <c r="J345" s="14">
        <v>1</v>
      </c>
      <c r="K345" s="15">
        <f>UC!K345</f>
        <v>-0.83005999999999991</v>
      </c>
      <c r="L345" s="14">
        <v>0</v>
      </c>
      <c r="M345" s="14">
        <v>5</v>
      </c>
      <c r="N345" s="10"/>
      <c r="O345" s="20"/>
      <c r="Q345" s="11" t="str">
        <f>SUBSTITUTE(UC!Q345,"Old","New")</f>
        <v>UC_MarketShare_COMEDUNewSH_NGA_MAX</v>
      </c>
      <c r="R345" s="12"/>
      <c r="S345" s="13" t="str">
        <f t="shared" si="96"/>
        <v>COMNGA</v>
      </c>
      <c r="T345" s="13" t="str">
        <f t="shared" si="97"/>
        <v>COMEDUNewSHEUE</v>
      </c>
      <c r="U345" s="13" t="str">
        <f t="shared" si="98"/>
        <v>COMEDUNewSHEUE</v>
      </c>
      <c r="V345" s="14">
        <f>H345</f>
        <v>2019</v>
      </c>
      <c r="W345" s="29" t="s">
        <v>3849</v>
      </c>
      <c r="X345" s="14">
        <v>1</v>
      </c>
      <c r="Y345" s="15">
        <f>UC!Y345</f>
        <v>-0.86499999999999999</v>
      </c>
      <c r="Z345" s="14">
        <v>0</v>
      </c>
      <c r="AA345" s="14">
        <v>5</v>
      </c>
      <c r="AB345" s="10"/>
      <c r="AC345" s="20"/>
    </row>
    <row r="346" spans="1:29" x14ac:dyDescent="0.25">
      <c r="A346" s="10">
        <f>A345</f>
        <v>86</v>
      </c>
      <c r="B346" s="10"/>
      <c r="C346" s="11" t="str">
        <f>SUBSTITUTE(UC!C346,"Old","New")</f>
        <v/>
      </c>
      <c r="D346" s="12"/>
      <c r="E346" s="13" t="str">
        <f t="shared" ref="E346:G348" si="103">E345</f>
        <v>COMNGA</v>
      </c>
      <c r="F346" s="13" t="str">
        <f t="shared" si="103"/>
        <v>COMEDUNewSHEUE</v>
      </c>
      <c r="G346" s="13" t="str">
        <f t="shared" si="103"/>
        <v>COMEDUNewSHEUE</v>
      </c>
      <c r="H346" s="14">
        <v>2025</v>
      </c>
      <c r="I346" s="14" t="str">
        <f>I345</f>
        <v>LO</v>
      </c>
      <c r="J346" s="14"/>
      <c r="K346" s="15">
        <f>UC!K346</f>
        <v>-0.67759999999999998</v>
      </c>
      <c r="L346" s="14"/>
      <c r="M346" s="14"/>
      <c r="N346" s="10"/>
      <c r="O346" s="20"/>
      <c r="Q346" s="11" t="str">
        <f>SUBSTITUTE(UC!Q346,"Old","New")</f>
        <v/>
      </c>
      <c r="R346" s="12"/>
      <c r="S346" s="13" t="str">
        <f t="shared" si="96"/>
        <v>COMNGA</v>
      </c>
      <c r="T346" s="13" t="str">
        <f t="shared" si="97"/>
        <v>COMEDUNewSHEUE</v>
      </c>
      <c r="U346" s="13" t="str">
        <f t="shared" si="98"/>
        <v>COMEDUNewSHEUE</v>
      </c>
      <c r="V346" s="14">
        <v>2025</v>
      </c>
      <c r="W346" s="14" t="str">
        <f>W345</f>
        <v>UP</v>
      </c>
      <c r="X346" s="14"/>
      <c r="Y346" s="15">
        <f>UC!Y346</f>
        <v>-1</v>
      </c>
      <c r="Z346" s="14"/>
      <c r="AA346" s="14"/>
      <c r="AB346" s="10"/>
      <c r="AC346" s="20"/>
    </row>
    <row r="347" spans="1:29" x14ac:dyDescent="0.25">
      <c r="A347" s="10">
        <f>A346</f>
        <v>86</v>
      </c>
      <c r="B347" s="10"/>
      <c r="C347" s="11" t="str">
        <f>SUBSTITUTE(UC!C347,"Old","New")</f>
        <v/>
      </c>
      <c r="D347" s="12"/>
      <c r="E347" s="13" t="str">
        <f t="shared" si="103"/>
        <v>COMNGA</v>
      </c>
      <c r="F347" s="13" t="str">
        <f t="shared" si="103"/>
        <v>COMEDUNewSHEUE</v>
      </c>
      <c r="G347" s="13" t="str">
        <f t="shared" si="103"/>
        <v>COMEDUNewSHEUE</v>
      </c>
      <c r="H347" s="14">
        <v>2030</v>
      </c>
      <c r="I347" s="14" t="str">
        <f>I346</f>
        <v>LO</v>
      </c>
      <c r="J347" s="14"/>
      <c r="K347" s="15">
        <f>UC!K347</f>
        <v>-0.1694</v>
      </c>
      <c r="L347" s="14"/>
      <c r="M347" s="14"/>
      <c r="N347" s="10"/>
      <c r="O347" s="20"/>
      <c r="Q347" s="11" t="str">
        <f>SUBSTITUTE(UC!Q347,"Old","New")</f>
        <v/>
      </c>
      <c r="R347" s="12"/>
      <c r="S347" s="13" t="str">
        <f t="shared" si="96"/>
        <v>COMNGA</v>
      </c>
      <c r="T347" s="13" t="str">
        <f t="shared" si="97"/>
        <v>COMEDUNewSHEUE</v>
      </c>
      <c r="U347" s="13" t="str">
        <f t="shared" si="98"/>
        <v>COMEDUNewSHEUE</v>
      </c>
      <c r="V347" s="14">
        <v>2030</v>
      </c>
      <c r="W347" s="14" t="str">
        <f>W346</f>
        <v>UP</v>
      </c>
      <c r="X347" s="14"/>
      <c r="Y347" s="15">
        <f>UC!Y347</f>
        <v>-1</v>
      </c>
      <c r="Z347" s="14"/>
      <c r="AA347" s="14"/>
      <c r="AB347" s="10"/>
      <c r="AC347" s="20"/>
    </row>
    <row r="348" spans="1:29" x14ac:dyDescent="0.25">
      <c r="A348" s="26">
        <f>A347</f>
        <v>86</v>
      </c>
      <c r="B348" s="26"/>
      <c r="C348" s="21" t="str">
        <f>SUBSTITUTE(UC!C348,"Old","New")</f>
        <v/>
      </c>
      <c r="D348" s="22"/>
      <c r="E348" s="23" t="str">
        <f t="shared" si="103"/>
        <v>COMNGA</v>
      </c>
      <c r="F348" s="23" t="str">
        <f t="shared" si="103"/>
        <v>COMEDUNewSHEUE</v>
      </c>
      <c r="G348" s="23" t="str">
        <f t="shared" si="103"/>
        <v>COMEDUNewSHEUE</v>
      </c>
      <c r="H348" s="24">
        <v>2050</v>
      </c>
      <c r="I348" s="24" t="str">
        <f>I347</f>
        <v>LO</v>
      </c>
      <c r="J348" s="24"/>
      <c r="K348" s="25">
        <f>UC!K348</f>
        <v>0</v>
      </c>
      <c r="L348" s="24"/>
      <c r="M348" s="24"/>
      <c r="N348" s="26"/>
      <c r="O348" s="27"/>
      <c r="Q348" s="21" t="str">
        <f>SUBSTITUTE(UC!Q348,"Old","New")</f>
        <v/>
      </c>
      <c r="R348" s="22"/>
      <c r="S348" s="23" t="str">
        <f t="shared" si="96"/>
        <v>COMNGA</v>
      </c>
      <c r="T348" s="23" t="str">
        <f t="shared" si="97"/>
        <v>COMEDUNewSHEUE</v>
      </c>
      <c r="U348" s="23" t="str">
        <f t="shared" si="98"/>
        <v>COMEDUNewSHEUE</v>
      </c>
      <c r="V348" s="24">
        <v>2050</v>
      </c>
      <c r="W348" s="24" t="str">
        <f>W347</f>
        <v>UP</v>
      </c>
      <c r="X348" s="24"/>
      <c r="Y348" s="25">
        <f>UC!Y348</f>
        <v>-1</v>
      </c>
      <c r="Z348" s="24"/>
      <c r="AA348" s="24"/>
      <c r="AB348" s="26"/>
      <c r="AC348" s="27"/>
    </row>
    <row r="349" spans="1:29" x14ac:dyDescent="0.25">
      <c r="A349" s="19">
        <f>A345+1</f>
        <v>87</v>
      </c>
      <c r="B349" s="10"/>
      <c r="C349" s="11" t="str">
        <f>SUBSTITUTE(UC!C349,"Old","New")</f>
        <v>UC_MarketShare_COMEDUNewSH_FOI_MIN</v>
      </c>
      <c r="D349" s="12"/>
      <c r="E349" s="13" t="str">
        <f>_xlfn.XLOOKUP($A349,Selected_constraint_UC!$A:$A,Selected_constraint_UC!$B:$B)</f>
        <v>COMFOI</v>
      </c>
      <c r="F349" s="13" t="str">
        <f>SUBSTITUTE(_xlfn.XLOOKUP($A349,Selected_constraint_UC!$A:$A,Selected_constraint_UC!$C:$C),"Old","New")</f>
        <v>COMEDUNewSHEUE</v>
      </c>
      <c r="G349" s="13" t="str">
        <f>F349</f>
        <v>COMEDUNewSHEUE</v>
      </c>
      <c r="H349" s="14">
        <v>2019</v>
      </c>
      <c r="I349" s="14" t="s">
        <v>3848</v>
      </c>
      <c r="J349" s="14">
        <v>1</v>
      </c>
      <c r="K349" s="15">
        <f>UC!K349</f>
        <v>-7.3499999999999996E-2</v>
      </c>
      <c r="L349" s="14">
        <v>0</v>
      </c>
      <c r="M349" s="14">
        <v>5</v>
      </c>
      <c r="N349" s="10"/>
      <c r="O349" s="20"/>
      <c r="Q349" s="11" t="str">
        <f>SUBSTITUTE(UC!Q349,"Old","New")</f>
        <v>UC_MarketShare_COMEDUNewSH_FOI_MAX</v>
      </c>
      <c r="R349" s="12"/>
      <c r="S349" s="13" t="str">
        <f t="shared" si="96"/>
        <v>COMFOI</v>
      </c>
      <c r="T349" s="13" t="str">
        <f t="shared" si="97"/>
        <v>COMEDUNewSHEUE</v>
      </c>
      <c r="U349" s="13" t="str">
        <f t="shared" si="98"/>
        <v>COMEDUNewSHEUE</v>
      </c>
      <c r="V349" s="14">
        <f>H349</f>
        <v>2019</v>
      </c>
      <c r="W349" s="29" t="s">
        <v>3849</v>
      </c>
      <c r="X349" s="14">
        <v>1</v>
      </c>
      <c r="Y349" s="15">
        <f>UC!Y349</f>
        <v>-7.8E-2</v>
      </c>
      <c r="Z349" s="14">
        <v>0</v>
      </c>
      <c r="AA349" s="14">
        <v>5</v>
      </c>
      <c r="AB349" s="10"/>
      <c r="AC349" s="20"/>
    </row>
    <row r="350" spans="1:29" x14ac:dyDescent="0.25">
      <c r="A350" s="10">
        <f>A349</f>
        <v>87</v>
      </c>
      <c r="B350" s="10"/>
      <c r="C350" s="11" t="str">
        <f>SUBSTITUTE(UC!C350,"Old","New")</f>
        <v/>
      </c>
      <c r="D350" s="12"/>
      <c r="E350" s="13" t="str">
        <f t="shared" ref="E350:G352" si="104">E349</f>
        <v>COMFOI</v>
      </c>
      <c r="F350" s="13" t="str">
        <f t="shared" si="104"/>
        <v>COMEDUNewSHEUE</v>
      </c>
      <c r="G350" s="13" t="str">
        <f t="shared" si="104"/>
        <v>COMEDUNewSHEUE</v>
      </c>
      <c r="H350" s="14">
        <v>2025</v>
      </c>
      <c r="I350" s="14" t="str">
        <f>I349</f>
        <v>LO</v>
      </c>
      <c r="J350" s="14"/>
      <c r="K350" s="15">
        <f>UC!K350</f>
        <v>-0.06</v>
      </c>
      <c r="L350" s="14"/>
      <c r="M350" s="14"/>
      <c r="N350" s="10"/>
      <c r="O350" s="20"/>
      <c r="Q350" s="11" t="str">
        <f>SUBSTITUTE(UC!Q350,"Old","New")</f>
        <v/>
      </c>
      <c r="R350" s="12"/>
      <c r="S350" s="13" t="str">
        <f t="shared" si="96"/>
        <v>COMFOI</v>
      </c>
      <c r="T350" s="13" t="str">
        <f t="shared" si="97"/>
        <v>COMEDUNewSHEUE</v>
      </c>
      <c r="U350" s="13" t="str">
        <f t="shared" si="98"/>
        <v>COMEDUNewSHEUE</v>
      </c>
      <c r="V350" s="14">
        <v>2025</v>
      </c>
      <c r="W350" s="14" t="str">
        <f>W349</f>
        <v>UP</v>
      </c>
      <c r="X350" s="14"/>
      <c r="Y350" s="15">
        <f>UC!Y350</f>
        <v>-9.1999999999999998E-2</v>
      </c>
      <c r="Z350" s="14"/>
      <c r="AA350" s="14"/>
      <c r="AB350" s="10"/>
      <c r="AC350" s="20"/>
    </row>
    <row r="351" spans="1:29" x14ac:dyDescent="0.25">
      <c r="A351" s="10">
        <f>A350</f>
        <v>87</v>
      </c>
      <c r="B351" s="10"/>
      <c r="C351" s="11" t="str">
        <f>SUBSTITUTE(UC!C351,"Old","New")</f>
        <v/>
      </c>
      <c r="D351" s="12"/>
      <c r="E351" s="13" t="str">
        <f t="shared" si="104"/>
        <v>COMFOI</v>
      </c>
      <c r="F351" s="13" t="str">
        <f t="shared" si="104"/>
        <v>COMEDUNewSHEUE</v>
      </c>
      <c r="G351" s="13" t="str">
        <f t="shared" si="104"/>
        <v>COMEDUNewSHEUE</v>
      </c>
      <c r="H351" s="14">
        <v>2030</v>
      </c>
      <c r="I351" s="14" t="str">
        <f>I350</f>
        <v>LO</v>
      </c>
      <c r="J351" s="14"/>
      <c r="K351" s="15">
        <f>UC!K351</f>
        <v>-1.4999999999999999E-2</v>
      </c>
      <c r="L351" s="14"/>
      <c r="M351" s="14"/>
      <c r="N351" s="10"/>
      <c r="O351" s="20"/>
      <c r="Q351" s="11" t="str">
        <f>SUBSTITUTE(UC!Q351,"Old","New")</f>
        <v/>
      </c>
      <c r="R351" s="12"/>
      <c r="S351" s="13" t="str">
        <f t="shared" si="96"/>
        <v>COMFOI</v>
      </c>
      <c r="T351" s="13" t="str">
        <f t="shared" si="97"/>
        <v>COMEDUNewSHEUE</v>
      </c>
      <c r="U351" s="13" t="str">
        <f t="shared" si="98"/>
        <v>COMEDUNewSHEUE</v>
      </c>
      <c r="V351" s="14">
        <v>2030</v>
      </c>
      <c r="W351" s="14" t="str">
        <f>W350</f>
        <v>UP</v>
      </c>
      <c r="X351" s="14"/>
      <c r="Y351" s="15">
        <f>UC!Y351</f>
        <v>-0.114</v>
      </c>
      <c r="Z351" s="14"/>
      <c r="AA351" s="14"/>
      <c r="AB351" s="10"/>
      <c r="AC351" s="20"/>
    </row>
    <row r="352" spans="1:29" x14ac:dyDescent="0.25">
      <c r="A352" s="26">
        <f>A351</f>
        <v>87</v>
      </c>
      <c r="B352" s="26"/>
      <c r="C352" s="21" t="str">
        <f>SUBSTITUTE(UC!C352,"Old","New")</f>
        <v/>
      </c>
      <c r="D352" s="22"/>
      <c r="E352" s="23" t="str">
        <f t="shared" si="104"/>
        <v>COMFOI</v>
      </c>
      <c r="F352" s="23" t="str">
        <f t="shared" si="104"/>
        <v>COMEDUNewSHEUE</v>
      </c>
      <c r="G352" s="23" t="str">
        <f t="shared" si="104"/>
        <v>COMEDUNewSHEUE</v>
      </c>
      <c r="H352" s="24">
        <v>2050</v>
      </c>
      <c r="I352" s="24" t="str">
        <f>I351</f>
        <v>LO</v>
      </c>
      <c r="J352" s="24"/>
      <c r="K352" s="25">
        <f>UC!K352</f>
        <v>0</v>
      </c>
      <c r="L352" s="24"/>
      <c r="M352" s="24"/>
      <c r="N352" s="26"/>
      <c r="O352" s="27"/>
      <c r="Q352" s="21" t="str">
        <f>SUBSTITUTE(UC!Q352,"Old","New")</f>
        <v/>
      </c>
      <c r="R352" s="22"/>
      <c r="S352" s="23" t="str">
        <f t="shared" si="96"/>
        <v>COMFOI</v>
      </c>
      <c r="T352" s="23" t="str">
        <f t="shared" si="97"/>
        <v>COMEDUNewSHEUE</v>
      </c>
      <c r="U352" s="23" t="str">
        <f t="shared" si="98"/>
        <v>COMEDUNewSHEUE</v>
      </c>
      <c r="V352" s="24">
        <v>2050</v>
      </c>
      <c r="W352" s="24" t="str">
        <f>W351</f>
        <v>UP</v>
      </c>
      <c r="X352" s="24"/>
      <c r="Y352" s="25">
        <f>UC!Y352</f>
        <v>-0.22800000000000001</v>
      </c>
      <c r="Z352" s="24"/>
      <c r="AA352" s="24"/>
      <c r="AB352" s="26"/>
      <c r="AC352" s="27"/>
    </row>
    <row r="353" spans="1:29" x14ac:dyDescent="0.25">
      <c r="A353" s="19">
        <f>A349+1</f>
        <v>88</v>
      </c>
      <c r="B353" s="10"/>
      <c r="C353" s="11" t="str">
        <f>SUBSTITUTE(UC!C353,"Old","New")</f>
        <v>*</v>
      </c>
      <c r="D353" s="12"/>
      <c r="E353" s="13" t="str">
        <f>_xlfn.XLOOKUP($A353,Selected_constraint_UC!$A:$A,Selected_constraint_UC!$B:$B)</f>
        <v>COMLPG</v>
      </c>
      <c r="F353" s="13" t="str">
        <f>SUBSTITUTE(_xlfn.XLOOKUP($A353,Selected_constraint_UC!$A:$A,Selected_constraint_UC!$C:$C),"Old","New")</f>
        <v>COMEDUNewSHEUE</v>
      </c>
      <c r="G353" s="13" t="str">
        <f>F353</f>
        <v>COMEDUNewSHEUE</v>
      </c>
      <c r="H353" s="14">
        <v>2019</v>
      </c>
      <c r="I353" s="14" t="s">
        <v>3848</v>
      </c>
      <c r="J353" s="14">
        <v>1</v>
      </c>
      <c r="K353" s="15">
        <f>UC!K353</f>
        <v>0</v>
      </c>
      <c r="L353" s="14">
        <v>0</v>
      </c>
      <c r="M353" s="14">
        <v>5</v>
      </c>
      <c r="N353" s="10"/>
      <c r="O353" s="20"/>
      <c r="Q353" s="11" t="str">
        <f>SUBSTITUTE(UC!Q353,"Old","New")</f>
        <v>*</v>
      </c>
      <c r="R353" s="12"/>
      <c r="S353" s="13" t="str">
        <f t="shared" si="96"/>
        <v>COMLPG</v>
      </c>
      <c r="T353" s="13" t="str">
        <f t="shared" si="97"/>
        <v>COMEDUNewSHEUE</v>
      </c>
      <c r="U353" s="13" t="str">
        <f t="shared" si="98"/>
        <v>COMEDUNewSHEUE</v>
      </c>
      <c r="V353" s="14">
        <f>H353</f>
        <v>2019</v>
      </c>
      <c r="W353" s="29" t="s">
        <v>3849</v>
      </c>
      <c r="X353" s="14">
        <v>1</v>
      </c>
      <c r="Y353" s="15">
        <f>UC!Y353</f>
        <v>0</v>
      </c>
      <c r="Z353" s="14">
        <v>0</v>
      </c>
      <c r="AA353" s="14">
        <v>5</v>
      </c>
      <c r="AB353" s="10"/>
      <c r="AC353" s="20"/>
    </row>
    <row r="354" spans="1:29" x14ac:dyDescent="0.25">
      <c r="A354" s="10">
        <f>A353</f>
        <v>88</v>
      </c>
      <c r="B354" s="10"/>
      <c r="C354" s="11" t="str">
        <f>SUBSTITUTE(UC!C354,"Old","New")</f>
        <v>*</v>
      </c>
      <c r="D354" s="12"/>
      <c r="E354" s="13" t="str">
        <f t="shared" ref="E354:G356" si="105">E353</f>
        <v>COMLPG</v>
      </c>
      <c r="F354" s="13" t="str">
        <f t="shared" si="105"/>
        <v>COMEDUNewSHEUE</v>
      </c>
      <c r="G354" s="13" t="str">
        <f t="shared" si="105"/>
        <v>COMEDUNewSHEUE</v>
      </c>
      <c r="H354" s="14">
        <v>2025</v>
      </c>
      <c r="I354" s="14" t="str">
        <f>I353</f>
        <v>LO</v>
      </c>
      <c r="J354" s="14"/>
      <c r="K354" s="15">
        <f>UC!K354</f>
        <v>0</v>
      </c>
      <c r="L354" s="14"/>
      <c r="M354" s="14"/>
      <c r="N354" s="10"/>
      <c r="O354" s="20"/>
      <c r="Q354" s="11" t="str">
        <f>SUBSTITUTE(UC!Q354,"Old","New")</f>
        <v>*</v>
      </c>
      <c r="R354" s="12"/>
      <c r="S354" s="13" t="str">
        <f t="shared" si="96"/>
        <v>COMLPG</v>
      </c>
      <c r="T354" s="13" t="str">
        <f t="shared" si="97"/>
        <v>COMEDUNewSHEUE</v>
      </c>
      <c r="U354" s="13" t="str">
        <f t="shared" si="98"/>
        <v>COMEDUNewSHEUE</v>
      </c>
      <c r="V354" s="14">
        <v>2025</v>
      </c>
      <c r="W354" s="14" t="str">
        <f>W353</f>
        <v>UP</v>
      </c>
      <c r="X354" s="14"/>
      <c r="Y354" s="15">
        <f>UC!Y354</f>
        <v>0</v>
      </c>
      <c r="Z354" s="14"/>
      <c r="AA354" s="14"/>
      <c r="AB354" s="10"/>
      <c r="AC354" s="20"/>
    </row>
    <row r="355" spans="1:29" x14ac:dyDescent="0.25">
      <c r="A355" s="10">
        <f>A354</f>
        <v>88</v>
      </c>
      <c r="B355" s="10"/>
      <c r="C355" s="11" t="str">
        <f>SUBSTITUTE(UC!C355,"Old","New")</f>
        <v>*</v>
      </c>
      <c r="D355" s="12"/>
      <c r="E355" s="13" t="str">
        <f t="shared" si="105"/>
        <v>COMLPG</v>
      </c>
      <c r="F355" s="13" t="str">
        <f t="shared" si="105"/>
        <v>COMEDUNewSHEUE</v>
      </c>
      <c r="G355" s="13" t="str">
        <f t="shared" si="105"/>
        <v>COMEDUNewSHEUE</v>
      </c>
      <c r="H355" s="14">
        <v>2030</v>
      </c>
      <c r="I355" s="14" t="str">
        <f>I354</f>
        <v>LO</v>
      </c>
      <c r="J355" s="14"/>
      <c r="K355" s="15">
        <f>UC!K355</f>
        <v>0</v>
      </c>
      <c r="L355" s="14"/>
      <c r="M355" s="14"/>
      <c r="N355" s="10"/>
      <c r="O355" s="20"/>
      <c r="Q355" s="11" t="str">
        <f>SUBSTITUTE(UC!Q355,"Old","New")</f>
        <v>*</v>
      </c>
      <c r="R355" s="12"/>
      <c r="S355" s="13" t="str">
        <f t="shared" si="96"/>
        <v>COMLPG</v>
      </c>
      <c r="T355" s="13" t="str">
        <f t="shared" si="97"/>
        <v>COMEDUNewSHEUE</v>
      </c>
      <c r="U355" s="13" t="str">
        <f t="shared" si="98"/>
        <v>COMEDUNewSHEUE</v>
      </c>
      <c r="V355" s="14">
        <v>2030</v>
      </c>
      <c r="W355" s="14" t="str">
        <f>W354</f>
        <v>UP</v>
      </c>
      <c r="X355" s="14"/>
      <c r="Y355" s="15">
        <f>UC!Y355</f>
        <v>0</v>
      </c>
      <c r="Z355" s="14"/>
      <c r="AA355" s="14"/>
      <c r="AB355" s="10"/>
      <c r="AC355" s="20"/>
    </row>
    <row r="356" spans="1:29" x14ac:dyDescent="0.25">
      <c r="A356" s="26">
        <f>A355</f>
        <v>88</v>
      </c>
      <c r="B356" s="26"/>
      <c r="C356" s="21" t="str">
        <f>SUBSTITUTE(UC!C356,"Old","New")</f>
        <v>*</v>
      </c>
      <c r="D356" s="22"/>
      <c r="E356" s="23" t="str">
        <f t="shared" si="105"/>
        <v>COMLPG</v>
      </c>
      <c r="F356" s="23" t="str">
        <f t="shared" si="105"/>
        <v>COMEDUNewSHEUE</v>
      </c>
      <c r="G356" s="23" t="str">
        <f t="shared" si="105"/>
        <v>COMEDUNewSHEUE</v>
      </c>
      <c r="H356" s="24">
        <v>2050</v>
      </c>
      <c r="I356" s="24" t="str">
        <f>I355</f>
        <v>LO</v>
      </c>
      <c r="J356" s="24"/>
      <c r="K356" s="25">
        <f>UC!K356</f>
        <v>0</v>
      </c>
      <c r="L356" s="24"/>
      <c r="M356" s="24"/>
      <c r="N356" s="26"/>
      <c r="O356" s="27"/>
      <c r="Q356" s="21" t="str">
        <f>SUBSTITUTE(UC!Q356,"Old","New")</f>
        <v>*</v>
      </c>
      <c r="R356" s="22"/>
      <c r="S356" s="23" t="str">
        <f t="shared" si="96"/>
        <v>COMLPG</v>
      </c>
      <c r="T356" s="23" t="str">
        <f t="shared" si="97"/>
        <v>COMEDUNewSHEUE</v>
      </c>
      <c r="U356" s="23" t="str">
        <f t="shared" si="98"/>
        <v>COMEDUNewSHEUE</v>
      </c>
      <c r="V356" s="24">
        <v>2050</v>
      </c>
      <c r="W356" s="24" t="str">
        <f>W355</f>
        <v>UP</v>
      </c>
      <c r="X356" s="24"/>
      <c r="Y356" s="25">
        <f>UC!Y356</f>
        <v>0</v>
      </c>
      <c r="Z356" s="24"/>
      <c r="AA356" s="24"/>
      <c r="AB356" s="26"/>
      <c r="AC356" s="27"/>
    </row>
    <row r="357" spans="1:29" x14ac:dyDescent="0.25">
      <c r="A357" s="19">
        <f>A353+1</f>
        <v>89</v>
      </c>
      <c r="B357" s="10"/>
      <c r="C357" s="11" t="str">
        <f>SUBSTITUTE(UC!C357,"Old","New")</f>
        <v>*</v>
      </c>
      <c r="D357" s="12"/>
      <c r="E357" s="13" t="str">
        <f>_xlfn.XLOOKUP($A357,Selected_constraint_UC!$A:$A,Selected_constraint_UC!$B:$B)</f>
        <v>COMSTM</v>
      </c>
      <c r="F357" s="13" t="str">
        <f>SUBSTITUTE(_xlfn.XLOOKUP($A357,Selected_constraint_UC!$A:$A,Selected_constraint_UC!$C:$C),"Old","New")</f>
        <v>COMEDUNewSHEUE</v>
      </c>
      <c r="G357" s="13" t="str">
        <f>F357</f>
        <v>COMEDUNewSHEUE</v>
      </c>
      <c r="H357" s="14">
        <v>2019</v>
      </c>
      <c r="I357" s="14" t="s">
        <v>3848</v>
      </c>
      <c r="J357" s="14">
        <v>1</v>
      </c>
      <c r="K357" s="15">
        <f>UC!K357</f>
        <v>-1.7639999999999999E-2</v>
      </c>
      <c r="L357" s="14">
        <v>0</v>
      </c>
      <c r="M357" s="14">
        <v>5</v>
      </c>
      <c r="N357" s="10"/>
      <c r="O357" s="20"/>
      <c r="Q357" s="11" t="str">
        <f>SUBSTITUTE(UC!Q357,"Old","New")</f>
        <v>*</v>
      </c>
      <c r="R357" s="12"/>
      <c r="S357" s="13" t="str">
        <f t="shared" si="96"/>
        <v>COMSTM</v>
      </c>
      <c r="T357" s="13" t="str">
        <f t="shared" si="97"/>
        <v>COMEDUNewSHEUE</v>
      </c>
      <c r="U357" s="13" t="str">
        <f t="shared" si="98"/>
        <v>COMEDUNewSHEUE</v>
      </c>
      <c r="V357" s="14">
        <f>H357</f>
        <v>2019</v>
      </c>
      <c r="W357" s="29" t="s">
        <v>3849</v>
      </c>
      <c r="X357" s="14">
        <v>1</v>
      </c>
      <c r="Y357" s="15">
        <f>UC!Y357</f>
        <v>-1.9E-2</v>
      </c>
      <c r="Z357" s="14">
        <v>0</v>
      </c>
      <c r="AA357" s="14">
        <v>5</v>
      </c>
      <c r="AB357" s="10"/>
      <c r="AC357" s="20"/>
    </row>
    <row r="358" spans="1:29" x14ac:dyDescent="0.25">
      <c r="A358" s="10">
        <f>A357</f>
        <v>89</v>
      </c>
      <c r="B358" s="10"/>
      <c r="C358" s="11" t="str">
        <f>SUBSTITUTE(UC!C358,"Old","New")</f>
        <v>*</v>
      </c>
      <c r="D358" s="12"/>
      <c r="E358" s="13" t="str">
        <f t="shared" ref="E358:G360" si="106">E357</f>
        <v>COMSTM</v>
      </c>
      <c r="F358" s="13" t="str">
        <f t="shared" si="106"/>
        <v>COMEDUNewSHEUE</v>
      </c>
      <c r="G358" s="13" t="str">
        <f t="shared" si="106"/>
        <v>COMEDUNewSHEUE</v>
      </c>
      <c r="H358" s="14">
        <v>2025</v>
      </c>
      <c r="I358" s="14" t="str">
        <f>I357</f>
        <v>LO</v>
      </c>
      <c r="J358" s="14"/>
      <c r="K358" s="15">
        <f>UC!K358</f>
        <v>-1.44E-2</v>
      </c>
      <c r="L358" s="14"/>
      <c r="M358" s="14"/>
      <c r="N358" s="10"/>
      <c r="O358" s="20"/>
      <c r="Q358" s="11" t="str">
        <f>SUBSTITUTE(UC!Q358,"Old","New")</f>
        <v>*</v>
      </c>
      <c r="R358" s="12"/>
      <c r="S358" s="13" t="str">
        <f t="shared" si="96"/>
        <v>COMSTM</v>
      </c>
      <c r="T358" s="13" t="str">
        <f t="shared" si="97"/>
        <v>COMEDUNewSHEUE</v>
      </c>
      <c r="U358" s="13" t="str">
        <f t="shared" si="98"/>
        <v>COMEDUNewSHEUE</v>
      </c>
      <c r="V358" s="14">
        <v>2025</v>
      </c>
      <c r="W358" s="14" t="str">
        <f>W357</f>
        <v>UP</v>
      </c>
      <c r="X358" s="14"/>
      <c r="Y358" s="15">
        <f>UC!Y358</f>
        <v>-2.3E-2</v>
      </c>
      <c r="Z358" s="14"/>
      <c r="AA358" s="14"/>
      <c r="AB358" s="10"/>
      <c r="AC358" s="20"/>
    </row>
    <row r="359" spans="1:29" x14ac:dyDescent="0.25">
      <c r="A359" s="10">
        <f>A358</f>
        <v>89</v>
      </c>
      <c r="B359" s="10"/>
      <c r="C359" s="11" t="str">
        <f>SUBSTITUTE(UC!C359,"Old","New")</f>
        <v>*</v>
      </c>
      <c r="D359" s="12"/>
      <c r="E359" s="13" t="str">
        <f t="shared" si="106"/>
        <v>COMSTM</v>
      </c>
      <c r="F359" s="13" t="str">
        <f t="shared" si="106"/>
        <v>COMEDUNewSHEUE</v>
      </c>
      <c r="G359" s="13" t="str">
        <f t="shared" si="106"/>
        <v>COMEDUNewSHEUE</v>
      </c>
      <c r="H359" s="14">
        <v>2030</v>
      </c>
      <c r="I359" s="14" t="str">
        <f>I358</f>
        <v>LO</v>
      </c>
      <c r="J359" s="14"/>
      <c r="K359" s="15">
        <f>UC!K359</f>
        <v>-3.5999999999999999E-3</v>
      </c>
      <c r="L359" s="14"/>
      <c r="M359" s="14"/>
      <c r="N359" s="10"/>
      <c r="O359" s="20"/>
      <c r="Q359" s="11" t="str">
        <f>SUBSTITUTE(UC!Q359,"Old","New")</f>
        <v>*</v>
      </c>
      <c r="R359" s="12"/>
      <c r="S359" s="13" t="str">
        <f t="shared" si="96"/>
        <v>COMSTM</v>
      </c>
      <c r="T359" s="13" t="str">
        <f t="shared" si="97"/>
        <v>COMEDUNewSHEUE</v>
      </c>
      <c r="U359" s="13" t="str">
        <f t="shared" si="98"/>
        <v>COMEDUNewSHEUE</v>
      </c>
      <c r="V359" s="14">
        <v>2030</v>
      </c>
      <c r="W359" s="14" t="str">
        <f>W358</f>
        <v>UP</v>
      </c>
      <c r="X359" s="14"/>
      <c r="Y359" s="15">
        <f>UC!Y359</f>
        <v>-2.8000000000000001E-2</v>
      </c>
      <c r="Z359" s="14"/>
      <c r="AA359" s="14"/>
      <c r="AB359" s="10"/>
      <c r="AC359" s="20"/>
    </row>
    <row r="360" spans="1:29" x14ac:dyDescent="0.25">
      <c r="A360" s="26">
        <f>A359</f>
        <v>89</v>
      </c>
      <c r="B360" s="26"/>
      <c r="C360" s="21" t="str">
        <f>SUBSTITUTE(UC!C360,"Old","New")</f>
        <v>*</v>
      </c>
      <c r="D360" s="22"/>
      <c r="E360" s="23" t="str">
        <f t="shared" si="106"/>
        <v>COMSTM</v>
      </c>
      <c r="F360" s="23" t="str">
        <f t="shared" si="106"/>
        <v>COMEDUNewSHEUE</v>
      </c>
      <c r="G360" s="23" t="str">
        <f t="shared" si="106"/>
        <v>COMEDUNewSHEUE</v>
      </c>
      <c r="H360" s="24">
        <v>2050</v>
      </c>
      <c r="I360" s="24" t="str">
        <f>I359</f>
        <v>LO</v>
      </c>
      <c r="J360" s="24"/>
      <c r="K360" s="25">
        <f>UC!K360</f>
        <v>0</v>
      </c>
      <c r="L360" s="24"/>
      <c r="M360" s="24"/>
      <c r="N360" s="26"/>
      <c r="O360" s="27"/>
      <c r="Q360" s="21" t="str">
        <f>SUBSTITUTE(UC!Q360,"Old","New")</f>
        <v>*</v>
      </c>
      <c r="R360" s="22"/>
      <c r="S360" s="23" t="str">
        <f t="shared" si="96"/>
        <v>COMSTM</v>
      </c>
      <c r="T360" s="23" t="str">
        <f t="shared" si="97"/>
        <v>COMEDUNewSHEUE</v>
      </c>
      <c r="U360" s="23" t="str">
        <f t="shared" si="98"/>
        <v>COMEDUNewSHEUE</v>
      </c>
      <c r="V360" s="24">
        <v>2050</v>
      </c>
      <c r="W360" s="24" t="str">
        <f>W359</f>
        <v>UP</v>
      </c>
      <c r="X360" s="24"/>
      <c r="Y360" s="25">
        <f>UC!Y360</f>
        <v>-5.6000000000000001E-2</v>
      </c>
      <c r="Z360" s="24"/>
      <c r="AA360" s="24"/>
      <c r="AB360" s="26"/>
      <c r="AC360" s="27"/>
    </row>
    <row r="361" spans="1:29" x14ac:dyDescent="0.25">
      <c r="A361" s="19">
        <f>A357+1</f>
        <v>90</v>
      </c>
      <c r="B361" s="10"/>
      <c r="C361" s="11" t="str">
        <f>SUBSTITUTE(UC!C361,"Old","New")</f>
        <v>UC_MarketShare_COMEDUNewSC_ELC_MIN</v>
      </c>
      <c r="D361" s="12"/>
      <c r="E361" s="13" t="str">
        <f>_xlfn.XLOOKUP($A361,Selected_constraint_UC!$A:$A,Selected_constraint_UC!$B:$B)</f>
        <v>COMELC</v>
      </c>
      <c r="F361" s="13" t="str">
        <f>SUBSTITUTE(_xlfn.XLOOKUP($A361,Selected_constraint_UC!$A:$A,Selected_constraint_UC!$C:$C),"Old","New")</f>
        <v>COMEDUNewSCEUE</v>
      </c>
      <c r="G361" s="13" t="str">
        <f>F361</f>
        <v>COMEDUNewSCEUE</v>
      </c>
      <c r="H361" s="14">
        <v>2019</v>
      </c>
      <c r="I361" s="14" t="s">
        <v>3848</v>
      </c>
      <c r="J361" s="14">
        <v>1</v>
      </c>
      <c r="K361" s="15">
        <f>UC!K361</f>
        <v>-0.98</v>
      </c>
      <c r="L361" s="14">
        <v>0</v>
      </c>
      <c r="M361" s="14">
        <v>5</v>
      </c>
      <c r="N361" s="10"/>
      <c r="O361" s="20"/>
      <c r="Q361" s="11" t="str">
        <f>SUBSTITUTE(UC!Q361,"Old","New")</f>
        <v>UC_MarketShare_COMEDUNewSC_ELC_MAX</v>
      </c>
      <c r="R361" s="12"/>
      <c r="S361" s="13" t="str">
        <f t="shared" si="96"/>
        <v>COMELC</v>
      </c>
      <c r="T361" s="13" t="str">
        <f t="shared" si="97"/>
        <v>COMEDUNewSCEUE</v>
      </c>
      <c r="U361" s="13" t="str">
        <f t="shared" si="98"/>
        <v>COMEDUNewSCEUE</v>
      </c>
      <c r="V361" s="14">
        <f>H361</f>
        <v>2019</v>
      </c>
      <c r="W361" s="29" t="s">
        <v>3849</v>
      </c>
      <c r="X361" s="14">
        <v>1</v>
      </c>
      <c r="Y361" s="15">
        <f>UC!Y361</f>
        <v>-1</v>
      </c>
      <c r="Z361" s="14">
        <v>0</v>
      </c>
      <c r="AA361" s="14">
        <v>5</v>
      </c>
      <c r="AB361" s="10"/>
      <c r="AC361" s="20"/>
    </row>
    <row r="362" spans="1:29" x14ac:dyDescent="0.25">
      <c r="A362" s="10">
        <f>A361</f>
        <v>90</v>
      </c>
      <c r="B362" s="10"/>
      <c r="C362" s="11" t="str">
        <f>SUBSTITUTE(UC!C362,"Old","New")</f>
        <v/>
      </c>
      <c r="D362" s="12"/>
      <c r="E362" s="13" t="str">
        <f t="shared" ref="E362:G364" si="107">E361</f>
        <v>COMELC</v>
      </c>
      <c r="F362" s="13" t="str">
        <f t="shared" si="107"/>
        <v>COMEDUNewSCEUE</v>
      </c>
      <c r="G362" s="13" t="str">
        <f t="shared" si="107"/>
        <v>COMEDUNewSCEUE</v>
      </c>
      <c r="H362" s="14">
        <v>2025</v>
      </c>
      <c r="I362" s="14" t="str">
        <f>I361</f>
        <v>LO</v>
      </c>
      <c r="J362" s="14"/>
      <c r="K362" s="15">
        <f>UC!K362</f>
        <v>-0.8</v>
      </c>
      <c r="L362" s="14"/>
      <c r="M362" s="14"/>
      <c r="N362" s="10"/>
      <c r="O362" s="20"/>
      <c r="Q362" s="11" t="str">
        <f>SUBSTITUTE(UC!Q362,"Old","New")</f>
        <v/>
      </c>
      <c r="R362" s="12"/>
      <c r="S362" s="13" t="str">
        <f t="shared" si="96"/>
        <v>COMELC</v>
      </c>
      <c r="T362" s="13" t="str">
        <f t="shared" si="97"/>
        <v>COMEDUNewSCEUE</v>
      </c>
      <c r="U362" s="13" t="str">
        <f t="shared" si="98"/>
        <v>COMEDUNewSCEUE</v>
      </c>
      <c r="V362" s="14">
        <v>2025</v>
      </c>
      <c r="W362" s="14" t="str">
        <f>W361</f>
        <v>UP</v>
      </c>
      <c r="X362" s="14"/>
      <c r="Y362" s="15">
        <f>UC!Y362</f>
        <v>-1</v>
      </c>
      <c r="Z362" s="14"/>
      <c r="AA362" s="14"/>
      <c r="AB362" s="10"/>
      <c r="AC362" s="20"/>
    </row>
    <row r="363" spans="1:29" x14ac:dyDescent="0.25">
      <c r="A363" s="10">
        <f>A362</f>
        <v>90</v>
      </c>
      <c r="B363" s="10"/>
      <c r="C363" s="11" t="str">
        <f>SUBSTITUTE(UC!C363,"Old","New")</f>
        <v/>
      </c>
      <c r="D363" s="12"/>
      <c r="E363" s="13" t="str">
        <f t="shared" si="107"/>
        <v>COMELC</v>
      </c>
      <c r="F363" s="13" t="str">
        <f t="shared" si="107"/>
        <v>COMEDUNewSCEUE</v>
      </c>
      <c r="G363" s="13" t="str">
        <f t="shared" si="107"/>
        <v>COMEDUNewSCEUE</v>
      </c>
      <c r="H363" s="14">
        <v>2030</v>
      </c>
      <c r="I363" s="14" t="str">
        <f>I362</f>
        <v>LO</v>
      </c>
      <c r="J363" s="14"/>
      <c r="K363" s="15">
        <f>UC!K363</f>
        <v>-0.75</v>
      </c>
      <c r="L363" s="14"/>
      <c r="M363" s="14"/>
      <c r="N363" s="10"/>
      <c r="O363" s="20"/>
      <c r="Q363" s="11" t="str">
        <f>SUBSTITUTE(UC!Q363,"Old","New")</f>
        <v/>
      </c>
      <c r="R363" s="12"/>
      <c r="S363" s="13" t="str">
        <f t="shared" si="96"/>
        <v>COMELC</v>
      </c>
      <c r="T363" s="13" t="str">
        <f t="shared" si="97"/>
        <v>COMEDUNewSCEUE</v>
      </c>
      <c r="U363" s="13" t="str">
        <f t="shared" si="98"/>
        <v>COMEDUNewSCEUE</v>
      </c>
      <c r="V363" s="14">
        <v>2030</v>
      </c>
      <c r="W363" s="14" t="str">
        <f>W362</f>
        <v>UP</v>
      </c>
      <c r="X363" s="14"/>
      <c r="Y363" s="15">
        <f>UC!Y363</f>
        <v>-1</v>
      </c>
      <c r="Z363" s="14"/>
      <c r="AA363" s="14"/>
      <c r="AB363" s="10"/>
      <c r="AC363" s="20"/>
    </row>
    <row r="364" spans="1:29" x14ac:dyDescent="0.25">
      <c r="A364" s="26">
        <f>A363</f>
        <v>90</v>
      </c>
      <c r="B364" s="26"/>
      <c r="C364" s="21" t="str">
        <f>SUBSTITUTE(UC!C364,"Old","New")</f>
        <v/>
      </c>
      <c r="D364" s="22"/>
      <c r="E364" s="23" t="str">
        <f t="shared" si="107"/>
        <v>COMELC</v>
      </c>
      <c r="F364" s="23" t="str">
        <f t="shared" si="107"/>
        <v>COMEDUNewSCEUE</v>
      </c>
      <c r="G364" s="23" t="str">
        <f t="shared" si="107"/>
        <v>COMEDUNewSCEUE</v>
      </c>
      <c r="H364" s="24">
        <v>2050</v>
      </c>
      <c r="I364" s="24" t="str">
        <f>I363</f>
        <v>LO</v>
      </c>
      <c r="J364" s="24"/>
      <c r="K364" s="25">
        <f>UC!K364</f>
        <v>-0.75</v>
      </c>
      <c r="L364" s="24"/>
      <c r="M364" s="24"/>
      <c r="N364" s="26"/>
      <c r="O364" s="27"/>
      <c r="Q364" s="21" t="str">
        <f>SUBSTITUTE(UC!Q364,"Old","New")</f>
        <v/>
      </c>
      <c r="R364" s="22"/>
      <c r="S364" s="23" t="str">
        <f t="shared" si="96"/>
        <v>COMELC</v>
      </c>
      <c r="T364" s="23" t="str">
        <f t="shared" si="97"/>
        <v>COMEDUNewSCEUE</v>
      </c>
      <c r="U364" s="23" t="str">
        <f t="shared" si="98"/>
        <v>COMEDUNewSCEUE</v>
      </c>
      <c r="V364" s="24">
        <v>2050</v>
      </c>
      <c r="W364" s="24" t="str">
        <f>W363</f>
        <v>UP</v>
      </c>
      <c r="X364" s="24"/>
      <c r="Y364" s="25">
        <f>UC!Y364</f>
        <v>-1</v>
      </c>
      <c r="Z364" s="24"/>
      <c r="AA364" s="24"/>
      <c r="AB364" s="26"/>
      <c r="AC364" s="27"/>
    </row>
    <row r="365" spans="1:29" x14ac:dyDescent="0.25">
      <c r="A365" s="19">
        <f>A361+1</f>
        <v>91</v>
      </c>
      <c r="B365" s="10"/>
      <c r="C365" s="11" t="str">
        <f>SUBSTITUTE(UC!C365,"Old","New")</f>
        <v>*</v>
      </c>
      <c r="D365" s="12"/>
      <c r="E365" s="13" t="str">
        <f>_xlfn.XLOOKUP($A365,Selected_constraint_UC!$A:$A,Selected_constraint_UC!$B:$B)</f>
        <v>COMELC</v>
      </c>
      <c r="F365" s="13" t="str">
        <f>SUBSTITUTE(_xlfn.XLOOKUP($A365,Selected_constraint_UC!$A:$A,Selected_constraint_UC!$C:$C),"Old","New")</f>
        <v>COMEDUNewVTEUE</v>
      </c>
      <c r="G365" s="13" t="str">
        <f>F365</f>
        <v>COMEDUNewVTEUE</v>
      </c>
      <c r="H365" s="14">
        <v>2019</v>
      </c>
      <c r="I365" s="14" t="s">
        <v>3848</v>
      </c>
      <c r="J365" s="14">
        <v>1</v>
      </c>
      <c r="K365" s="15">
        <f>UC!K365</f>
        <v>-0.98</v>
      </c>
      <c r="L365" s="14">
        <v>0</v>
      </c>
      <c r="M365" s="14">
        <v>5</v>
      </c>
      <c r="N365" s="10"/>
      <c r="O365" s="20"/>
      <c r="Q365" s="11" t="str">
        <f>SUBSTITUTE(UC!Q365,"Old","New")</f>
        <v>*</v>
      </c>
      <c r="R365" s="12"/>
      <c r="S365" s="13" t="str">
        <f t="shared" si="96"/>
        <v>COMELC</v>
      </c>
      <c r="T365" s="13" t="str">
        <f t="shared" si="97"/>
        <v>COMEDUNewVTEUE</v>
      </c>
      <c r="U365" s="13" t="str">
        <f t="shared" si="98"/>
        <v>COMEDUNewVTEUE</v>
      </c>
      <c r="V365" s="14">
        <f>H365</f>
        <v>2019</v>
      </c>
      <c r="W365" s="29" t="s">
        <v>3849</v>
      </c>
      <c r="X365" s="14">
        <v>1</v>
      </c>
      <c r="Y365" s="15">
        <f>UC!Y365</f>
        <v>-1</v>
      </c>
      <c r="Z365" s="14">
        <v>0</v>
      </c>
      <c r="AA365" s="14">
        <v>5</v>
      </c>
      <c r="AB365" s="10"/>
      <c r="AC365" s="20"/>
    </row>
    <row r="366" spans="1:29" x14ac:dyDescent="0.25">
      <c r="A366" s="10">
        <f>A365</f>
        <v>91</v>
      </c>
      <c r="B366" s="10"/>
      <c r="C366" s="11" t="str">
        <f>SUBSTITUTE(UC!C366,"Old","New")</f>
        <v>*</v>
      </c>
      <c r="D366" s="12"/>
      <c r="E366" s="13" t="str">
        <f t="shared" ref="E366:G368" si="108">E365</f>
        <v>COMELC</v>
      </c>
      <c r="F366" s="13" t="str">
        <f t="shared" si="108"/>
        <v>COMEDUNewVTEUE</v>
      </c>
      <c r="G366" s="13" t="str">
        <f t="shared" si="108"/>
        <v>COMEDUNewVTEUE</v>
      </c>
      <c r="H366" s="14">
        <v>2025</v>
      </c>
      <c r="I366" s="14" t="str">
        <f>I365</f>
        <v>LO</v>
      </c>
      <c r="J366" s="14"/>
      <c r="K366" s="15">
        <f>UC!K366</f>
        <v>-0.8</v>
      </c>
      <c r="L366" s="14"/>
      <c r="M366" s="14"/>
      <c r="N366" s="10"/>
      <c r="O366" s="20"/>
      <c r="Q366" s="11" t="str">
        <f>SUBSTITUTE(UC!Q366,"Old","New")</f>
        <v>*</v>
      </c>
      <c r="R366" s="12"/>
      <c r="S366" s="13" t="str">
        <f t="shared" si="96"/>
        <v>COMELC</v>
      </c>
      <c r="T366" s="13" t="str">
        <f t="shared" si="97"/>
        <v>COMEDUNewVTEUE</v>
      </c>
      <c r="U366" s="13" t="str">
        <f t="shared" si="98"/>
        <v>COMEDUNewVTEUE</v>
      </c>
      <c r="V366" s="14">
        <v>2025</v>
      </c>
      <c r="W366" s="14" t="str">
        <f>W365</f>
        <v>UP</v>
      </c>
      <c r="X366" s="14"/>
      <c r="Y366" s="15">
        <f>UC!Y366</f>
        <v>-1</v>
      </c>
      <c r="Z366" s="14"/>
      <c r="AA366" s="14"/>
      <c r="AB366" s="10"/>
      <c r="AC366" s="20"/>
    </row>
    <row r="367" spans="1:29" x14ac:dyDescent="0.25">
      <c r="A367" s="10">
        <f>A366</f>
        <v>91</v>
      </c>
      <c r="B367" s="10"/>
      <c r="C367" s="11" t="str">
        <f>SUBSTITUTE(UC!C367,"Old","New")</f>
        <v>*</v>
      </c>
      <c r="D367" s="12"/>
      <c r="E367" s="13" t="str">
        <f t="shared" si="108"/>
        <v>COMELC</v>
      </c>
      <c r="F367" s="13" t="str">
        <f t="shared" si="108"/>
        <v>COMEDUNewVTEUE</v>
      </c>
      <c r="G367" s="13" t="str">
        <f t="shared" si="108"/>
        <v>COMEDUNewVTEUE</v>
      </c>
      <c r="H367" s="14">
        <v>2030</v>
      </c>
      <c r="I367" s="14" t="str">
        <f>I366</f>
        <v>LO</v>
      </c>
      <c r="J367" s="14"/>
      <c r="K367" s="15">
        <f>UC!K367</f>
        <v>-0.2</v>
      </c>
      <c r="L367" s="14"/>
      <c r="M367" s="14"/>
      <c r="N367" s="10"/>
      <c r="O367" s="20"/>
      <c r="Q367" s="11" t="str">
        <f>SUBSTITUTE(UC!Q367,"Old","New")</f>
        <v>*</v>
      </c>
      <c r="R367" s="12"/>
      <c r="S367" s="13" t="str">
        <f t="shared" si="96"/>
        <v>COMELC</v>
      </c>
      <c r="T367" s="13" t="str">
        <f t="shared" si="97"/>
        <v>COMEDUNewVTEUE</v>
      </c>
      <c r="U367" s="13" t="str">
        <f t="shared" si="98"/>
        <v>COMEDUNewVTEUE</v>
      </c>
      <c r="V367" s="14">
        <v>2030</v>
      </c>
      <c r="W367" s="14" t="str">
        <f>W366</f>
        <v>UP</v>
      </c>
      <c r="X367" s="14"/>
      <c r="Y367" s="15">
        <f>UC!Y367</f>
        <v>-1</v>
      </c>
      <c r="Z367" s="14"/>
      <c r="AA367" s="14"/>
      <c r="AB367" s="10"/>
      <c r="AC367" s="20"/>
    </row>
    <row r="368" spans="1:29" x14ac:dyDescent="0.25">
      <c r="A368" s="26">
        <f>A367</f>
        <v>91</v>
      </c>
      <c r="B368" s="26"/>
      <c r="C368" s="21" t="str">
        <f>SUBSTITUTE(UC!C368,"Old","New")</f>
        <v>*</v>
      </c>
      <c r="D368" s="22"/>
      <c r="E368" s="23" t="str">
        <f t="shared" si="108"/>
        <v>COMELC</v>
      </c>
      <c r="F368" s="23" t="str">
        <f t="shared" si="108"/>
        <v>COMEDUNewVTEUE</v>
      </c>
      <c r="G368" s="23" t="str">
        <f t="shared" si="108"/>
        <v>COMEDUNewVTEUE</v>
      </c>
      <c r="H368" s="24">
        <v>2050</v>
      </c>
      <c r="I368" s="24" t="str">
        <f>I367</f>
        <v>LO</v>
      </c>
      <c r="J368" s="24"/>
      <c r="K368" s="25">
        <f>UC!K368</f>
        <v>0</v>
      </c>
      <c r="L368" s="24"/>
      <c r="M368" s="24"/>
      <c r="N368" s="26"/>
      <c r="O368" s="27"/>
      <c r="Q368" s="21" t="str">
        <f>SUBSTITUTE(UC!Q368,"Old","New")</f>
        <v>*</v>
      </c>
      <c r="R368" s="22"/>
      <c r="S368" s="23" t="str">
        <f t="shared" si="96"/>
        <v>COMELC</v>
      </c>
      <c r="T368" s="23" t="str">
        <f t="shared" si="97"/>
        <v>COMEDUNewVTEUE</v>
      </c>
      <c r="U368" s="23" t="str">
        <f t="shared" si="98"/>
        <v>COMEDUNewVTEUE</v>
      </c>
      <c r="V368" s="24">
        <v>2050</v>
      </c>
      <c r="W368" s="24" t="str">
        <f>W367</f>
        <v>UP</v>
      </c>
      <c r="X368" s="24"/>
      <c r="Y368" s="25">
        <f>UC!Y368</f>
        <v>-1</v>
      </c>
      <c r="Z368" s="24"/>
      <c r="AA368" s="24"/>
      <c r="AB368" s="26"/>
      <c r="AC368" s="27"/>
    </row>
    <row r="369" spans="1:29" x14ac:dyDescent="0.25">
      <c r="A369" s="19">
        <f>A365+1</f>
        <v>92</v>
      </c>
      <c r="B369" s="10"/>
      <c r="C369" s="11" t="str">
        <f>SUBSTITUTE(UC!C369,"Old","New")</f>
        <v>UC_MarketShare_COMEDUNewWH_FOI_MIN</v>
      </c>
      <c r="D369" s="12"/>
      <c r="E369" s="13" t="str">
        <f>_xlfn.XLOOKUP($A369,Selected_constraint_UC!$A:$A,Selected_constraint_UC!$B:$B)</f>
        <v>COMFOI</v>
      </c>
      <c r="F369" s="13" t="str">
        <f>SUBSTITUTE(_xlfn.XLOOKUP($A369,Selected_constraint_UC!$A:$A,Selected_constraint_UC!$C:$C),"Old","New")</f>
        <v>COMEDUNewWHEUE</v>
      </c>
      <c r="G369" s="13" t="str">
        <f>F369</f>
        <v>COMEDUNewWHEUE</v>
      </c>
      <c r="H369" s="14">
        <v>2019</v>
      </c>
      <c r="I369" s="14" t="s">
        <v>3848</v>
      </c>
      <c r="J369" s="14">
        <v>1</v>
      </c>
      <c r="K369" s="15">
        <f>UC!K369</f>
        <v>-5.978E-2</v>
      </c>
      <c r="L369" s="14">
        <v>0</v>
      </c>
      <c r="M369" s="14">
        <v>5</v>
      </c>
      <c r="N369" s="10"/>
      <c r="O369" s="20"/>
      <c r="Q369" s="11" t="str">
        <f>SUBSTITUTE(UC!Q369,"Old","New")</f>
        <v>UC_MarketShare_COMEDUNewWH_FOI_MAX</v>
      </c>
      <c r="R369" s="12"/>
      <c r="S369" s="13" t="str">
        <f t="shared" si="96"/>
        <v>COMFOI</v>
      </c>
      <c r="T369" s="13" t="str">
        <f t="shared" si="97"/>
        <v>COMEDUNewWHEUE</v>
      </c>
      <c r="U369" s="13" t="str">
        <f t="shared" si="98"/>
        <v>COMEDUNewWHEUE</v>
      </c>
      <c r="V369" s="14">
        <f>H369</f>
        <v>2019</v>
      </c>
      <c r="W369" s="29" t="s">
        <v>3849</v>
      </c>
      <c r="X369" s="14">
        <v>1</v>
      </c>
      <c r="Y369" s="15">
        <f>UC!Y369</f>
        <v>-6.3E-2</v>
      </c>
      <c r="Z369" s="14">
        <v>0</v>
      </c>
      <c r="AA369" s="14">
        <v>5</v>
      </c>
      <c r="AB369" s="10"/>
      <c r="AC369" s="20"/>
    </row>
    <row r="370" spans="1:29" x14ac:dyDescent="0.25">
      <c r="A370" s="10">
        <f>A369</f>
        <v>92</v>
      </c>
      <c r="B370" s="10"/>
      <c r="C370" s="11" t="str">
        <f>SUBSTITUTE(UC!C370,"Old","New")</f>
        <v/>
      </c>
      <c r="D370" s="12"/>
      <c r="E370" s="13" t="str">
        <f t="shared" ref="E370:G372" si="109">E369</f>
        <v>COMFOI</v>
      </c>
      <c r="F370" s="13" t="str">
        <f t="shared" si="109"/>
        <v>COMEDUNewWHEUE</v>
      </c>
      <c r="G370" s="13" t="str">
        <f t="shared" si="109"/>
        <v>COMEDUNewWHEUE</v>
      </c>
      <c r="H370" s="14">
        <v>2025</v>
      </c>
      <c r="I370" s="14" t="str">
        <f>I369</f>
        <v>LO</v>
      </c>
      <c r="J370" s="14"/>
      <c r="K370" s="15">
        <f>UC!K370</f>
        <v>-4.8800000000000003E-2</v>
      </c>
      <c r="L370" s="14"/>
      <c r="M370" s="14"/>
      <c r="N370" s="10"/>
      <c r="O370" s="20"/>
      <c r="Q370" s="11" t="str">
        <f>SUBSTITUTE(UC!Q370,"Old","New")</f>
        <v/>
      </c>
      <c r="R370" s="12"/>
      <c r="S370" s="13" t="str">
        <f t="shared" si="96"/>
        <v>COMFOI</v>
      </c>
      <c r="T370" s="13" t="str">
        <f t="shared" si="97"/>
        <v>COMEDUNewWHEUE</v>
      </c>
      <c r="U370" s="13" t="str">
        <f t="shared" si="98"/>
        <v>COMEDUNewWHEUE</v>
      </c>
      <c r="V370" s="14">
        <v>2025</v>
      </c>
      <c r="W370" s="14" t="str">
        <f>W369</f>
        <v>UP</v>
      </c>
      <c r="X370" s="14"/>
      <c r="Y370" s="15">
        <f>UC!Y370</f>
        <v>-6.2E-2</v>
      </c>
      <c r="Z370" s="14"/>
      <c r="AA370" s="14"/>
      <c r="AB370" s="10"/>
      <c r="AC370" s="20"/>
    </row>
    <row r="371" spans="1:29" x14ac:dyDescent="0.25">
      <c r="A371" s="10">
        <f>A370</f>
        <v>92</v>
      </c>
      <c r="B371" s="10"/>
      <c r="C371" s="11" t="str">
        <f>SUBSTITUTE(UC!C371,"Old","New")</f>
        <v/>
      </c>
      <c r="D371" s="12"/>
      <c r="E371" s="13" t="str">
        <f t="shared" si="109"/>
        <v>COMFOI</v>
      </c>
      <c r="F371" s="13" t="str">
        <f t="shared" si="109"/>
        <v>COMEDUNewWHEUE</v>
      </c>
      <c r="G371" s="13" t="str">
        <f t="shared" si="109"/>
        <v>COMEDUNewWHEUE</v>
      </c>
      <c r="H371" s="14">
        <v>2030</v>
      </c>
      <c r="I371" s="14" t="str">
        <f>I370</f>
        <v>LO</v>
      </c>
      <c r="J371" s="14"/>
      <c r="K371" s="15">
        <f>UC!K371</f>
        <v>-1.2200000000000001E-2</v>
      </c>
      <c r="L371" s="14"/>
      <c r="M371" s="14"/>
      <c r="N371" s="10"/>
      <c r="O371" s="20"/>
      <c r="Q371" s="11" t="str">
        <f>SUBSTITUTE(UC!Q371,"Old","New")</f>
        <v/>
      </c>
      <c r="R371" s="12"/>
      <c r="S371" s="13" t="str">
        <f t="shared" si="96"/>
        <v>COMFOI</v>
      </c>
      <c r="T371" s="13" t="str">
        <f t="shared" si="97"/>
        <v>COMEDUNewWHEUE</v>
      </c>
      <c r="U371" s="13" t="str">
        <f t="shared" si="98"/>
        <v>COMEDUNewWHEUE</v>
      </c>
      <c r="V371" s="14">
        <v>2030</v>
      </c>
      <c r="W371" s="14" t="str">
        <f>W370</f>
        <v>UP</v>
      </c>
      <c r="X371" s="14"/>
      <c r="Y371" s="15">
        <f>UC!Y371</f>
        <v>-5.6000000000000001E-2</v>
      </c>
      <c r="Z371" s="14"/>
      <c r="AA371" s="14"/>
      <c r="AB371" s="10"/>
      <c r="AC371" s="20"/>
    </row>
    <row r="372" spans="1:29" x14ac:dyDescent="0.25">
      <c r="A372" s="26">
        <f>A371</f>
        <v>92</v>
      </c>
      <c r="B372" s="26"/>
      <c r="C372" s="21" t="str">
        <f>SUBSTITUTE(UC!C372,"Old","New")</f>
        <v/>
      </c>
      <c r="D372" s="22"/>
      <c r="E372" s="23" t="str">
        <f t="shared" si="109"/>
        <v>COMFOI</v>
      </c>
      <c r="F372" s="23" t="str">
        <f t="shared" si="109"/>
        <v>COMEDUNewWHEUE</v>
      </c>
      <c r="G372" s="23" t="str">
        <f t="shared" si="109"/>
        <v>COMEDUNewWHEUE</v>
      </c>
      <c r="H372" s="24">
        <v>2050</v>
      </c>
      <c r="I372" s="24" t="str">
        <f>I371</f>
        <v>LO</v>
      </c>
      <c r="J372" s="24"/>
      <c r="K372" s="25">
        <f>UC!K372</f>
        <v>0</v>
      </c>
      <c r="L372" s="24"/>
      <c r="M372" s="24"/>
      <c r="N372" s="26"/>
      <c r="O372" s="27"/>
      <c r="Q372" s="21" t="str">
        <f>SUBSTITUTE(UC!Q372,"Old","New")</f>
        <v/>
      </c>
      <c r="R372" s="22"/>
      <c r="S372" s="23" t="str">
        <f t="shared" si="96"/>
        <v>COMFOI</v>
      </c>
      <c r="T372" s="23" t="str">
        <f t="shared" si="97"/>
        <v>COMEDUNewWHEUE</v>
      </c>
      <c r="U372" s="23" t="str">
        <f t="shared" si="98"/>
        <v>COMEDUNewWHEUE</v>
      </c>
      <c r="V372" s="24">
        <v>2050</v>
      </c>
      <c r="W372" s="24" t="str">
        <f>W371</f>
        <v>UP</v>
      </c>
      <c r="X372" s="24"/>
      <c r="Y372" s="25">
        <f>UC!Y372</f>
        <v>-4.7E-2</v>
      </c>
      <c r="Z372" s="24"/>
      <c r="AA372" s="24"/>
      <c r="AB372" s="26"/>
      <c r="AC372" s="27"/>
    </row>
    <row r="373" spans="1:29" x14ac:dyDescent="0.25">
      <c r="A373" s="19">
        <f>A369+1</f>
        <v>93</v>
      </c>
      <c r="B373" s="10"/>
      <c r="C373" s="11" t="str">
        <f>SUBSTITUTE(UC!C373,"Old","New")</f>
        <v>UC_MarketShare_COMEDUNewWH_NGA_MIN</v>
      </c>
      <c r="D373" s="12"/>
      <c r="E373" s="13" t="str">
        <f>_xlfn.XLOOKUP($A373,Selected_constraint_UC!$A:$A,Selected_constraint_UC!$B:$B)</f>
        <v>COMNGA</v>
      </c>
      <c r="F373" s="13" t="str">
        <f>SUBSTITUTE(_xlfn.XLOOKUP($A373,Selected_constraint_UC!$A:$A,Selected_constraint_UC!$C:$C),"Old","New")</f>
        <v>COMEDUNewWHEUE</v>
      </c>
      <c r="G373" s="13" t="str">
        <f>F373</f>
        <v>COMEDUNewWHEUE</v>
      </c>
      <c r="H373" s="14">
        <v>2019</v>
      </c>
      <c r="I373" s="14" t="s">
        <v>3848</v>
      </c>
      <c r="J373" s="14">
        <v>1</v>
      </c>
      <c r="K373" s="15">
        <f>UC!K373</f>
        <v>-0.82123999999999997</v>
      </c>
      <c r="L373" s="14">
        <v>0</v>
      </c>
      <c r="M373" s="14">
        <v>5</v>
      </c>
      <c r="N373" s="10"/>
      <c r="O373" s="20"/>
      <c r="Q373" s="11" t="str">
        <f>SUBSTITUTE(UC!Q373,"Old","New")</f>
        <v>UC_MarketShare_COMEDUNewWH_NGA_MAX</v>
      </c>
      <c r="R373" s="12"/>
      <c r="S373" s="13" t="str">
        <f t="shared" si="96"/>
        <v>COMNGA</v>
      </c>
      <c r="T373" s="13" t="str">
        <f t="shared" si="97"/>
        <v>COMEDUNewWHEUE</v>
      </c>
      <c r="U373" s="13" t="str">
        <f t="shared" si="98"/>
        <v>COMEDUNewWHEUE</v>
      </c>
      <c r="V373" s="14">
        <f>H373</f>
        <v>2019</v>
      </c>
      <c r="W373" s="29" t="s">
        <v>3849</v>
      </c>
      <c r="X373" s="14">
        <v>1</v>
      </c>
      <c r="Y373" s="15">
        <f>UC!Y373</f>
        <v>-0.85599999999999998</v>
      </c>
      <c r="Z373" s="14">
        <v>0</v>
      </c>
      <c r="AA373" s="14">
        <v>5</v>
      </c>
      <c r="AB373" s="10"/>
      <c r="AC373" s="20"/>
    </row>
    <row r="374" spans="1:29" x14ac:dyDescent="0.25">
      <c r="A374" s="10">
        <f>A373</f>
        <v>93</v>
      </c>
      <c r="B374" s="10"/>
      <c r="C374" s="11" t="str">
        <f>SUBSTITUTE(UC!C374,"Old","New")</f>
        <v/>
      </c>
      <c r="D374" s="12"/>
      <c r="E374" s="13" t="str">
        <f t="shared" ref="E374:G376" si="110">E373</f>
        <v>COMNGA</v>
      </c>
      <c r="F374" s="13" t="str">
        <f t="shared" si="110"/>
        <v>COMEDUNewWHEUE</v>
      </c>
      <c r="G374" s="13" t="str">
        <f t="shared" si="110"/>
        <v>COMEDUNewWHEUE</v>
      </c>
      <c r="H374" s="14">
        <v>2025</v>
      </c>
      <c r="I374" s="14" t="str">
        <f>I373</f>
        <v>LO</v>
      </c>
      <c r="J374" s="14"/>
      <c r="K374" s="15">
        <f>UC!K374</f>
        <v>-0.6704</v>
      </c>
      <c r="L374" s="14"/>
      <c r="M374" s="14"/>
      <c r="N374" s="10"/>
      <c r="O374" s="20"/>
      <c r="Q374" s="11" t="str">
        <f>SUBSTITUTE(UC!Q374,"Old","New")</f>
        <v/>
      </c>
      <c r="R374" s="12"/>
      <c r="S374" s="13" t="str">
        <f t="shared" si="96"/>
        <v>COMNGA</v>
      </c>
      <c r="T374" s="13" t="str">
        <f t="shared" si="97"/>
        <v>COMEDUNewWHEUE</v>
      </c>
      <c r="U374" s="13" t="str">
        <f t="shared" si="98"/>
        <v>COMEDUNewWHEUE</v>
      </c>
      <c r="V374" s="14">
        <v>2025</v>
      </c>
      <c r="W374" s="14" t="str">
        <f>W373</f>
        <v>UP</v>
      </c>
      <c r="X374" s="14"/>
      <c r="Y374" s="15">
        <f>UC!Y374</f>
        <v>-0.83899999999999997</v>
      </c>
      <c r="Z374" s="14"/>
      <c r="AA374" s="14"/>
      <c r="AB374" s="10"/>
      <c r="AC374" s="20"/>
    </row>
    <row r="375" spans="1:29" x14ac:dyDescent="0.25">
      <c r="A375" s="10">
        <f>A374</f>
        <v>93</v>
      </c>
      <c r="B375" s="10"/>
      <c r="C375" s="11" t="str">
        <f>SUBSTITUTE(UC!C375,"Old","New")</f>
        <v/>
      </c>
      <c r="D375" s="12"/>
      <c r="E375" s="13" t="str">
        <f t="shared" si="110"/>
        <v>COMNGA</v>
      </c>
      <c r="F375" s="13" t="str">
        <f t="shared" si="110"/>
        <v>COMEDUNewWHEUE</v>
      </c>
      <c r="G375" s="13" t="str">
        <f t="shared" si="110"/>
        <v>COMEDUNewWHEUE</v>
      </c>
      <c r="H375" s="14">
        <v>2030</v>
      </c>
      <c r="I375" s="14" t="str">
        <f>I374</f>
        <v>LO</v>
      </c>
      <c r="J375" s="14"/>
      <c r="K375" s="15">
        <f>UC!K375</f>
        <v>-0.1676</v>
      </c>
      <c r="L375" s="14"/>
      <c r="M375" s="14"/>
      <c r="N375" s="10"/>
      <c r="O375" s="20"/>
      <c r="Q375" s="11" t="str">
        <f>SUBSTITUTE(UC!Q375,"Old","New")</f>
        <v/>
      </c>
      <c r="R375" s="12"/>
      <c r="S375" s="13" t="str">
        <f t="shared" si="96"/>
        <v>COMNGA</v>
      </c>
      <c r="T375" s="13" t="str">
        <f t="shared" si="97"/>
        <v>COMEDUNewWHEUE</v>
      </c>
      <c r="U375" s="13" t="str">
        <f t="shared" si="98"/>
        <v>COMEDUNewWHEUE</v>
      </c>
      <c r="V375" s="14">
        <v>2030</v>
      </c>
      <c r="W375" s="14" t="str">
        <f>W374</f>
        <v>UP</v>
      </c>
      <c r="X375" s="14"/>
      <c r="Y375" s="15">
        <f>UC!Y375</f>
        <v>-0.755</v>
      </c>
      <c r="Z375" s="14"/>
      <c r="AA375" s="14"/>
      <c r="AB375" s="10"/>
      <c r="AC375" s="20"/>
    </row>
    <row r="376" spans="1:29" x14ac:dyDescent="0.25">
      <c r="A376" s="26">
        <f>A375</f>
        <v>93</v>
      </c>
      <c r="B376" s="26"/>
      <c r="C376" s="21" t="str">
        <f>SUBSTITUTE(UC!C376,"Old","New")</f>
        <v/>
      </c>
      <c r="D376" s="22"/>
      <c r="E376" s="23" t="str">
        <f t="shared" si="110"/>
        <v>COMNGA</v>
      </c>
      <c r="F376" s="23" t="str">
        <f t="shared" si="110"/>
        <v>COMEDUNewWHEUE</v>
      </c>
      <c r="G376" s="23" t="str">
        <f t="shared" si="110"/>
        <v>COMEDUNewWHEUE</v>
      </c>
      <c r="H376" s="24">
        <v>2050</v>
      </c>
      <c r="I376" s="24" t="str">
        <f>I375</f>
        <v>LO</v>
      </c>
      <c r="J376" s="24"/>
      <c r="K376" s="25">
        <f>UC!K376</f>
        <v>0</v>
      </c>
      <c r="L376" s="24"/>
      <c r="M376" s="24"/>
      <c r="N376" s="26"/>
      <c r="O376" s="27"/>
      <c r="Q376" s="21" t="str">
        <f>SUBSTITUTE(UC!Q376,"Old","New")</f>
        <v/>
      </c>
      <c r="R376" s="22"/>
      <c r="S376" s="23" t="str">
        <f t="shared" si="96"/>
        <v>COMNGA</v>
      </c>
      <c r="T376" s="23" t="str">
        <f t="shared" si="97"/>
        <v>COMEDUNewWHEUE</v>
      </c>
      <c r="U376" s="23" t="str">
        <f t="shared" si="98"/>
        <v>COMEDUNewWHEUE</v>
      </c>
      <c r="V376" s="24">
        <v>2050</v>
      </c>
      <c r="W376" s="24" t="str">
        <f>W375</f>
        <v>UP</v>
      </c>
      <c r="X376" s="24"/>
      <c r="Y376" s="25">
        <f>UC!Y376</f>
        <v>-0.629</v>
      </c>
      <c r="Z376" s="24"/>
      <c r="AA376" s="24"/>
      <c r="AB376" s="26"/>
      <c r="AC376" s="27"/>
    </row>
    <row r="377" spans="1:29" x14ac:dyDescent="0.25">
      <c r="A377" s="19">
        <f>A373+1</f>
        <v>94</v>
      </c>
      <c r="B377" s="10"/>
      <c r="C377" s="11" t="str">
        <f>SUBSTITUTE(UC!C377,"Old","New")</f>
        <v>*</v>
      </c>
      <c r="D377" s="12"/>
      <c r="E377" s="13" t="str">
        <f>_xlfn.XLOOKUP($A377,Selected_constraint_UC!$A:$A,Selected_constraint_UC!$B:$B)</f>
        <v>COMSTM</v>
      </c>
      <c r="F377" s="13" t="str">
        <f>SUBSTITUTE(_xlfn.XLOOKUP($A377,Selected_constraint_UC!$A:$A,Selected_constraint_UC!$C:$C),"Old","New")</f>
        <v>COMEDUNewWHEUE</v>
      </c>
      <c r="G377" s="13" t="str">
        <f>F377</f>
        <v>COMEDUNewWHEUE</v>
      </c>
      <c r="H377" s="14">
        <v>2019</v>
      </c>
      <c r="I377" s="14" t="s">
        <v>3848</v>
      </c>
      <c r="J377" s="14">
        <v>1</v>
      </c>
      <c r="K377" s="15">
        <f>UC!K377</f>
        <v>-3.3320000000000002E-2</v>
      </c>
      <c r="L377" s="14">
        <v>0</v>
      </c>
      <c r="M377" s="14">
        <v>5</v>
      </c>
      <c r="N377" s="10"/>
      <c r="O377" s="20"/>
      <c r="Q377" s="11" t="str">
        <f>SUBSTITUTE(UC!Q377,"Old","New")</f>
        <v>*</v>
      </c>
      <c r="R377" s="12"/>
      <c r="S377" s="13" t="str">
        <f t="shared" si="96"/>
        <v>COMSTM</v>
      </c>
      <c r="T377" s="13" t="str">
        <f t="shared" si="97"/>
        <v>COMEDUNewWHEUE</v>
      </c>
      <c r="U377" s="13" t="str">
        <f t="shared" si="98"/>
        <v>COMEDUNewWHEUE</v>
      </c>
      <c r="V377" s="14">
        <f>H377</f>
        <v>2019</v>
      </c>
      <c r="W377" s="29" t="s">
        <v>3849</v>
      </c>
      <c r="X377" s="14">
        <v>1</v>
      </c>
      <c r="Y377" s="15">
        <f>UC!Y377</f>
        <v>-3.6000000000000004E-2</v>
      </c>
      <c r="Z377" s="14">
        <v>0</v>
      </c>
      <c r="AA377" s="14">
        <v>5</v>
      </c>
      <c r="AB377" s="10"/>
      <c r="AC377" s="20"/>
    </row>
    <row r="378" spans="1:29" x14ac:dyDescent="0.25">
      <c r="A378" s="10">
        <f>A377</f>
        <v>94</v>
      </c>
      <c r="B378" s="10"/>
      <c r="C378" s="11" t="str">
        <f>SUBSTITUTE(UC!C378,"Old","New")</f>
        <v>*</v>
      </c>
      <c r="D378" s="12"/>
      <c r="E378" s="13" t="str">
        <f t="shared" ref="E378:G380" si="111">E377</f>
        <v>COMSTM</v>
      </c>
      <c r="F378" s="13" t="str">
        <f t="shared" si="111"/>
        <v>COMEDUNewWHEUE</v>
      </c>
      <c r="G378" s="13" t="str">
        <f t="shared" si="111"/>
        <v>COMEDUNewWHEUE</v>
      </c>
      <c r="H378" s="14">
        <v>2025</v>
      </c>
      <c r="I378" s="14" t="str">
        <f>I377</f>
        <v>LO</v>
      </c>
      <c r="J378" s="14"/>
      <c r="K378" s="15">
        <f>UC!K378</f>
        <v>-2.7200000000000002E-2</v>
      </c>
      <c r="L378" s="14"/>
      <c r="M378" s="14"/>
      <c r="N378" s="10"/>
      <c r="O378" s="20"/>
      <c r="Q378" s="11" t="str">
        <f>SUBSTITUTE(UC!Q378,"Old","New")</f>
        <v>*</v>
      </c>
      <c r="R378" s="12"/>
      <c r="S378" s="13" t="str">
        <f t="shared" si="96"/>
        <v>COMSTM</v>
      </c>
      <c r="T378" s="13" t="str">
        <f t="shared" si="97"/>
        <v>COMEDUNewWHEUE</v>
      </c>
      <c r="U378" s="13" t="str">
        <f t="shared" si="98"/>
        <v>COMEDUNewWHEUE</v>
      </c>
      <c r="V378" s="14">
        <v>2025</v>
      </c>
      <c r="W378" s="14" t="str">
        <f>W377</f>
        <v>UP</v>
      </c>
      <c r="X378" s="14"/>
      <c r="Y378" s="15">
        <f>UC!Y378</f>
        <v>-4.2000000000000003E-2</v>
      </c>
      <c r="Z378" s="14"/>
      <c r="AA378" s="14"/>
      <c r="AB378" s="10"/>
      <c r="AC378" s="20"/>
    </row>
    <row r="379" spans="1:29" x14ac:dyDescent="0.25">
      <c r="A379" s="10">
        <f>A378</f>
        <v>94</v>
      </c>
      <c r="B379" s="10"/>
      <c r="C379" s="11" t="str">
        <f>SUBSTITUTE(UC!C379,"Old","New")</f>
        <v>*</v>
      </c>
      <c r="D379" s="12"/>
      <c r="E379" s="13" t="str">
        <f t="shared" si="111"/>
        <v>COMSTM</v>
      </c>
      <c r="F379" s="13" t="str">
        <f t="shared" si="111"/>
        <v>COMEDUNewWHEUE</v>
      </c>
      <c r="G379" s="13" t="str">
        <f t="shared" si="111"/>
        <v>COMEDUNewWHEUE</v>
      </c>
      <c r="H379" s="14">
        <v>2030</v>
      </c>
      <c r="I379" s="14" t="str">
        <f>I378</f>
        <v>LO</v>
      </c>
      <c r="J379" s="14"/>
      <c r="K379" s="15">
        <f>UC!K379</f>
        <v>-6.8000000000000005E-3</v>
      </c>
      <c r="L379" s="14"/>
      <c r="M379" s="14"/>
      <c r="N379" s="10"/>
      <c r="O379" s="20"/>
      <c r="Q379" s="11" t="str">
        <f>SUBSTITUTE(UC!Q379,"Old","New")</f>
        <v>*</v>
      </c>
      <c r="R379" s="12"/>
      <c r="S379" s="13" t="str">
        <f t="shared" si="96"/>
        <v>COMSTM</v>
      </c>
      <c r="T379" s="13" t="str">
        <f t="shared" si="97"/>
        <v>COMEDUNewWHEUE</v>
      </c>
      <c r="U379" s="13" t="str">
        <f t="shared" si="98"/>
        <v>COMEDUNewWHEUE</v>
      </c>
      <c r="V379" s="14">
        <v>2030</v>
      </c>
      <c r="W379" s="14" t="str">
        <f>W378</f>
        <v>UP</v>
      </c>
      <c r="X379" s="14"/>
      <c r="Y379" s="15">
        <f>UC!Y379</f>
        <v>-5.2999999999999999E-2</v>
      </c>
      <c r="Z379" s="14"/>
      <c r="AA379" s="14"/>
      <c r="AB379" s="10"/>
      <c r="AC379" s="20"/>
    </row>
    <row r="380" spans="1:29" x14ac:dyDescent="0.25">
      <c r="A380" s="26">
        <f>A379</f>
        <v>94</v>
      </c>
      <c r="B380" s="26"/>
      <c r="C380" s="21" t="str">
        <f>SUBSTITUTE(UC!C380,"Old","New")</f>
        <v>*</v>
      </c>
      <c r="D380" s="22"/>
      <c r="E380" s="23" t="str">
        <f t="shared" si="111"/>
        <v>COMSTM</v>
      </c>
      <c r="F380" s="23" t="str">
        <f t="shared" si="111"/>
        <v>COMEDUNewWHEUE</v>
      </c>
      <c r="G380" s="23" t="str">
        <f t="shared" si="111"/>
        <v>COMEDUNewWHEUE</v>
      </c>
      <c r="H380" s="24">
        <v>2050</v>
      </c>
      <c r="I380" s="24" t="str">
        <f>I379</f>
        <v>LO</v>
      </c>
      <c r="J380" s="24"/>
      <c r="K380" s="25">
        <f>UC!K380</f>
        <v>0</v>
      </c>
      <c r="L380" s="24"/>
      <c r="M380" s="24"/>
      <c r="N380" s="26"/>
      <c r="O380" s="27"/>
      <c r="Q380" s="21" t="str">
        <f>SUBSTITUTE(UC!Q380,"Old","New")</f>
        <v>*</v>
      </c>
      <c r="R380" s="22"/>
      <c r="S380" s="23" t="str">
        <f t="shared" si="96"/>
        <v>COMSTM</v>
      </c>
      <c r="T380" s="23" t="str">
        <f t="shared" si="97"/>
        <v>COMEDUNewWHEUE</v>
      </c>
      <c r="U380" s="23" t="str">
        <f t="shared" si="98"/>
        <v>COMEDUNewWHEUE</v>
      </c>
      <c r="V380" s="24">
        <v>2050</v>
      </c>
      <c r="W380" s="24" t="str">
        <f>W379</f>
        <v>UP</v>
      </c>
      <c r="X380" s="24"/>
      <c r="Y380" s="25">
        <f>UC!Y380</f>
        <v>-0.105</v>
      </c>
      <c r="Z380" s="24"/>
      <c r="AA380" s="24"/>
      <c r="AB380" s="26"/>
      <c r="AC380" s="27"/>
    </row>
    <row r="381" spans="1:29" x14ac:dyDescent="0.25">
      <c r="A381" s="19">
        <f>A377+1</f>
        <v>95</v>
      </c>
      <c r="B381" s="10"/>
      <c r="C381" s="11" t="str">
        <f>SUBSTITUTE(UC!C381,"Old","New")</f>
        <v>UC_MarketShare_COMEDUNewWH_ELC_MIN</v>
      </c>
      <c r="D381" s="12"/>
      <c r="E381" s="13" t="str">
        <f>_xlfn.XLOOKUP($A381,Selected_constraint_UC!$A:$A,Selected_constraint_UC!$B:$B)</f>
        <v>COMELC</v>
      </c>
      <c r="F381" s="13" t="str">
        <f>SUBSTITUTE(_xlfn.XLOOKUP($A381,Selected_constraint_UC!$A:$A,Selected_constraint_UC!$C:$C),"Old","New")</f>
        <v>COMEDUNewWHEUE</v>
      </c>
      <c r="G381" s="13" t="str">
        <f>F381</f>
        <v>COMEDUNewWHEUE</v>
      </c>
      <c r="H381" s="14">
        <v>2019</v>
      </c>
      <c r="I381" s="14" t="s">
        <v>3848</v>
      </c>
      <c r="J381" s="14">
        <v>1</v>
      </c>
      <c r="K381" s="15">
        <f>UC!K381</f>
        <v>-6.3700000000000007E-2</v>
      </c>
      <c r="L381" s="14">
        <v>0</v>
      </c>
      <c r="M381" s="14">
        <v>5</v>
      </c>
      <c r="N381" s="10"/>
      <c r="O381" s="20"/>
      <c r="Q381" s="11" t="str">
        <f>SUBSTITUTE(UC!Q381,"Old","New")</f>
        <v>UC_MarketShare_COMEDUNewWH_ELC_MAX</v>
      </c>
      <c r="R381" s="12"/>
      <c r="S381" s="13" t="str">
        <f t="shared" si="96"/>
        <v>COMELC</v>
      </c>
      <c r="T381" s="13" t="str">
        <f t="shared" si="97"/>
        <v>COMEDUNewWHEUE</v>
      </c>
      <c r="U381" s="13" t="str">
        <f t="shared" si="98"/>
        <v>COMEDUNewWHEUE</v>
      </c>
      <c r="V381" s="14">
        <f>H381</f>
        <v>2019</v>
      </c>
      <c r="W381" s="29" t="s">
        <v>3849</v>
      </c>
      <c r="X381" s="14">
        <v>1</v>
      </c>
      <c r="Y381" s="15">
        <f>UC!Y381</f>
        <v>-6.7000000000000004E-2</v>
      </c>
      <c r="Z381" s="14">
        <v>0</v>
      </c>
      <c r="AA381" s="14">
        <v>5</v>
      </c>
      <c r="AB381" s="10"/>
      <c r="AC381" s="20"/>
    </row>
    <row r="382" spans="1:29" x14ac:dyDescent="0.25">
      <c r="A382" s="10">
        <f>A381</f>
        <v>95</v>
      </c>
      <c r="B382" s="10"/>
      <c r="C382" s="11" t="str">
        <f>SUBSTITUTE(UC!C382,"Old","New")</f>
        <v/>
      </c>
      <c r="D382" s="12"/>
      <c r="E382" s="13" t="str">
        <f t="shared" ref="E382:G384" si="112">E381</f>
        <v>COMELC</v>
      </c>
      <c r="F382" s="13" t="str">
        <f t="shared" si="112"/>
        <v>COMEDUNewWHEUE</v>
      </c>
      <c r="G382" s="13" t="str">
        <f t="shared" si="112"/>
        <v>COMEDUNewWHEUE</v>
      </c>
      <c r="H382" s="14">
        <v>2025</v>
      </c>
      <c r="I382" s="14" t="str">
        <f>I381</f>
        <v>LO</v>
      </c>
      <c r="J382" s="14"/>
      <c r="K382" s="15">
        <f>UC!K382</f>
        <v>-5.2000000000000005E-2</v>
      </c>
      <c r="L382" s="14"/>
      <c r="M382" s="14"/>
      <c r="N382" s="10"/>
      <c r="O382" s="20"/>
      <c r="Q382" s="11" t="str">
        <f>SUBSTITUTE(UC!Q382,"Old","New")</f>
        <v/>
      </c>
      <c r="R382" s="12"/>
      <c r="S382" s="13" t="str">
        <f t="shared" si="96"/>
        <v>COMELC</v>
      </c>
      <c r="T382" s="13" t="str">
        <f t="shared" si="97"/>
        <v>COMEDUNewWHEUE</v>
      </c>
      <c r="U382" s="13" t="str">
        <f t="shared" si="98"/>
        <v>COMEDUNewWHEUE</v>
      </c>
      <c r="V382" s="14">
        <v>2025</v>
      </c>
      <c r="W382" s="14" t="str">
        <f>W381</f>
        <v>UP</v>
      </c>
      <c r="X382" s="14"/>
      <c r="Y382" s="15">
        <f>UC!Y382</f>
        <v>-0.25</v>
      </c>
      <c r="Z382" s="14"/>
      <c r="AA382" s="14"/>
      <c r="AB382" s="10"/>
      <c r="AC382" s="20"/>
    </row>
    <row r="383" spans="1:29" x14ac:dyDescent="0.25">
      <c r="A383" s="10">
        <f>A382</f>
        <v>95</v>
      </c>
      <c r="B383" s="10"/>
      <c r="C383" s="11" t="str">
        <f>SUBSTITUTE(UC!C383,"Old","New")</f>
        <v/>
      </c>
      <c r="D383" s="12"/>
      <c r="E383" s="13" t="str">
        <f t="shared" si="112"/>
        <v>COMELC</v>
      </c>
      <c r="F383" s="13" t="str">
        <f t="shared" si="112"/>
        <v>COMEDUNewWHEUE</v>
      </c>
      <c r="G383" s="13" t="str">
        <f t="shared" si="112"/>
        <v>COMEDUNewWHEUE</v>
      </c>
      <c r="H383" s="14">
        <v>2030</v>
      </c>
      <c r="I383" s="14" t="str">
        <f>I382</f>
        <v>LO</v>
      </c>
      <c r="J383" s="14"/>
      <c r="K383" s="15">
        <f>UC!K383</f>
        <v>-4.8750000000000002E-2</v>
      </c>
      <c r="L383" s="14"/>
      <c r="M383" s="14"/>
      <c r="N383" s="10"/>
      <c r="O383" s="20"/>
      <c r="Q383" s="11" t="str">
        <f>SUBSTITUTE(UC!Q383,"Old","New")</f>
        <v/>
      </c>
      <c r="R383" s="12"/>
      <c r="S383" s="13" t="str">
        <f t="shared" si="96"/>
        <v>COMELC</v>
      </c>
      <c r="T383" s="13" t="str">
        <f t="shared" si="97"/>
        <v>COMEDUNewWHEUE</v>
      </c>
      <c r="U383" s="13" t="str">
        <f t="shared" si="98"/>
        <v>COMEDUNewWHEUE</v>
      </c>
      <c r="V383" s="14">
        <v>2030</v>
      </c>
      <c r="W383" s="14" t="str">
        <f>W382</f>
        <v>UP</v>
      </c>
      <c r="X383" s="14"/>
      <c r="Y383" s="15">
        <f>UC!Y383</f>
        <v>-0.5</v>
      </c>
      <c r="Z383" s="14"/>
      <c r="AA383" s="14"/>
      <c r="AB383" s="10"/>
      <c r="AC383" s="20"/>
    </row>
    <row r="384" spans="1:29" x14ac:dyDescent="0.25">
      <c r="A384" s="26">
        <f>A383</f>
        <v>95</v>
      </c>
      <c r="B384" s="26"/>
      <c r="C384" s="21" t="str">
        <f>SUBSTITUTE(UC!C384,"Old","New")</f>
        <v/>
      </c>
      <c r="D384" s="22"/>
      <c r="E384" s="23" t="str">
        <f t="shared" si="112"/>
        <v>COMELC</v>
      </c>
      <c r="F384" s="23" t="str">
        <f t="shared" si="112"/>
        <v>COMEDUNewWHEUE</v>
      </c>
      <c r="G384" s="23" t="str">
        <f t="shared" si="112"/>
        <v>COMEDUNewWHEUE</v>
      </c>
      <c r="H384" s="24">
        <v>2050</v>
      </c>
      <c r="I384" s="24" t="str">
        <f>I383</f>
        <v>LO</v>
      </c>
      <c r="J384" s="24"/>
      <c r="K384" s="25">
        <f>UC!K384</f>
        <v>-4.8750000000000002E-2</v>
      </c>
      <c r="L384" s="24"/>
      <c r="M384" s="24"/>
      <c r="N384" s="26"/>
      <c r="O384" s="27"/>
      <c r="Q384" s="21" t="str">
        <f>SUBSTITUTE(UC!Q384,"Old","New")</f>
        <v/>
      </c>
      <c r="R384" s="22"/>
      <c r="S384" s="23" t="str">
        <f t="shared" si="96"/>
        <v>COMELC</v>
      </c>
      <c r="T384" s="23" t="str">
        <f t="shared" si="97"/>
        <v>COMEDUNewWHEUE</v>
      </c>
      <c r="U384" s="23" t="str">
        <f t="shared" si="98"/>
        <v>COMEDUNewWHEUE</v>
      </c>
      <c r="V384" s="24">
        <v>2050</v>
      </c>
      <c r="W384" s="24" t="str">
        <f>W383</f>
        <v>UP</v>
      </c>
      <c r="X384" s="24"/>
      <c r="Y384" s="25">
        <f>UC!Y384</f>
        <v>-1</v>
      </c>
      <c r="Z384" s="24"/>
      <c r="AA384" s="24"/>
      <c r="AB384" s="26"/>
      <c r="AC384" s="27"/>
    </row>
    <row r="385" spans="1:29" x14ac:dyDescent="0.25">
      <c r="A385" s="19">
        <f>A381+1</f>
        <v>96</v>
      </c>
      <c r="B385" s="10"/>
      <c r="C385" s="11" t="str">
        <f>SUBSTITUTE(UC!C385,"Old","New")</f>
        <v>*</v>
      </c>
      <c r="D385" s="12"/>
      <c r="E385" s="13" t="str">
        <f>_xlfn.XLOOKUP($A385,Selected_constraint_UC!$A:$A,Selected_constraint_UC!$B:$B)</f>
        <v>COMELC</v>
      </c>
      <c r="F385" s="13" t="str">
        <f>SUBSTITUTE(_xlfn.XLOOKUP($A385,Selected_constraint_UC!$A:$A,Selected_constraint_UC!$C:$C),"Old","New")</f>
        <v>COMEDUNewLTEUE</v>
      </c>
      <c r="G385" s="13" t="str">
        <f>F385</f>
        <v>COMEDUNewLTEUE</v>
      </c>
      <c r="H385" s="14">
        <v>2019</v>
      </c>
      <c r="I385" s="14" t="s">
        <v>3848</v>
      </c>
      <c r="J385" s="14">
        <v>1</v>
      </c>
      <c r="K385" s="15">
        <f>UC!K385</f>
        <v>-0.98</v>
      </c>
      <c r="L385" s="14">
        <v>0</v>
      </c>
      <c r="M385" s="14">
        <v>5</v>
      </c>
      <c r="N385" s="10"/>
      <c r="O385" s="20"/>
      <c r="Q385" s="11" t="str">
        <f>SUBSTITUTE(UC!Q385,"Old","New")</f>
        <v>*</v>
      </c>
      <c r="R385" s="12"/>
      <c r="S385" s="13" t="str">
        <f t="shared" si="96"/>
        <v>COMELC</v>
      </c>
      <c r="T385" s="13" t="str">
        <f t="shared" si="97"/>
        <v>COMEDUNewLTEUE</v>
      </c>
      <c r="U385" s="13" t="str">
        <f t="shared" si="98"/>
        <v>COMEDUNewLTEUE</v>
      </c>
      <c r="V385" s="14">
        <f>H385</f>
        <v>2019</v>
      </c>
      <c r="W385" s="29" t="s">
        <v>3849</v>
      </c>
      <c r="X385" s="14">
        <v>1</v>
      </c>
      <c r="Y385" s="15">
        <f>UC!Y385</f>
        <v>-1</v>
      </c>
      <c r="Z385" s="14">
        <v>0</v>
      </c>
      <c r="AA385" s="14">
        <v>5</v>
      </c>
      <c r="AB385" s="10"/>
      <c r="AC385" s="20"/>
    </row>
    <row r="386" spans="1:29" x14ac:dyDescent="0.25">
      <c r="A386" s="10">
        <f>A385</f>
        <v>96</v>
      </c>
      <c r="B386" s="10"/>
      <c r="C386" s="11" t="str">
        <f>SUBSTITUTE(UC!C386,"Old","New")</f>
        <v>*</v>
      </c>
      <c r="D386" s="12"/>
      <c r="E386" s="13" t="str">
        <f t="shared" ref="E386:G388" si="113">E385</f>
        <v>COMELC</v>
      </c>
      <c r="F386" s="13" t="str">
        <f t="shared" si="113"/>
        <v>COMEDUNewLTEUE</v>
      </c>
      <c r="G386" s="13" t="str">
        <f t="shared" si="113"/>
        <v>COMEDUNewLTEUE</v>
      </c>
      <c r="H386" s="14">
        <v>2025</v>
      </c>
      <c r="I386" s="14" t="str">
        <f>I385</f>
        <v>LO</v>
      </c>
      <c r="J386" s="14"/>
      <c r="K386" s="15">
        <f>UC!K386</f>
        <v>-0.8</v>
      </c>
      <c r="L386" s="14"/>
      <c r="M386" s="14"/>
      <c r="N386" s="10"/>
      <c r="O386" s="20"/>
      <c r="Q386" s="11" t="str">
        <f>SUBSTITUTE(UC!Q386,"Old","New")</f>
        <v>*</v>
      </c>
      <c r="R386" s="12"/>
      <c r="S386" s="13" t="str">
        <f t="shared" si="96"/>
        <v>COMELC</v>
      </c>
      <c r="T386" s="13" t="str">
        <f t="shared" si="97"/>
        <v>COMEDUNewLTEUE</v>
      </c>
      <c r="U386" s="13" t="str">
        <f t="shared" si="98"/>
        <v>COMEDUNewLTEUE</v>
      </c>
      <c r="V386" s="14">
        <v>2025</v>
      </c>
      <c r="W386" s="14" t="str">
        <f>W385</f>
        <v>UP</v>
      </c>
      <c r="X386" s="14"/>
      <c r="Y386" s="15">
        <f>UC!Y386</f>
        <v>-1</v>
      </c>
      <c r="Z386" s="14"/>
      <c r="AA386" s="14"/>
      <c r="AB386" s="10"/>
      <c r="AC386" s="20"/>
    </row>
    <row r="387" spans="1:29" x14ac:dyDescent="0.25">
      <c r="A387" s="10">
        <f>A386</f>
        <v>96</v>
      </c>
      <c r="B387" s="10"/>
      <c r="C387" s="11" t="str">
        <f>SUBSTITUTE(UC!C387,"Old","New")</f>
        <v>*</v>
      </c>
      <c r="D387" s="12"/>
      <c r="E387" s="13" t="str">
        <f t="shared" si="113"/>
        <v>COMELC</v>
      </c>
      <c r="F387" s="13" t="str">
        <f t="shared" si="113"/>
        <v>COMEDUNewLTEUE</v>
      </c>
      <c r="G387" s="13" t="str">
        <f t="shared" si="113"/>
        <v>COMEDUNewLTEUE</v>
      </c>
      <c r="H387" s="14">
        <v>2030</v>
      </c>
      <c r="I387" s="14" t="str">
        <f>I386</f>
        <v>LO</v>
      </c>
      <c r="J387" s="14"/>
      <c r="K387" s="15">
        <f>UC!K387</f>
        <v>-0.2</v>
      </c>
      <c r="L387" s="14"/>
      <c r="M387" s="14"/>
      <c r="N387" s="10"/>
      <c r="O387" s="20"/>
      <c r="Q387" s="11" t="str">
        <f>SUBSTITUTE(UC!Q387,"Old","New")</f>
        <v>*</v>
      </c>
      <c r="R387" s="12"/>
      <c r="S387" s="13" t="str">
        <f t="shared" si="96"/>
        <v>COMELC</v>
      </c>
      <c r="T387" s="13" t="str">
        <f t="shared" si="97"/>
        <v>COMEDUNewLTEUE</v>
      </c>
      <c r="U387" s="13" t="str">
        <f t="shared" si="98"/>
        <v>COMEDUNewLTEUE</v>
      </c>
      <c r="V387" s="14">
        <v>2030</v>
      </c>
      <c r="W387" s="14" t="str">
        <f>W386</f>
        <v>UP</v>
      </c>
      <c r="X387" s="14"/>
      <c r="Y387" s="15">
        <f>UC!Y387</f>
        <v>-1</v>
      </c>
      <c r="Z387" s="14"/>
      <c r="AA387" s="14"/>
      <c r="AB387" s="10"/>
      <c r="AC387" s="20"/>
    </row>
    <row r="388" spans="1:29" x14ac:dyDescent="0.25">
      <c r="A388" s="26">
        <f>A387</f>
        <v>96</v>
      </c>
      <c r="B388" s="26"/>
      <c r="C388" s="21" t="str">
        <f>SUBSTITUTE(UC!C388,"Old","New")</f>
        <v>*</v>
      </c>
      <c r="D388" s="22"/>
      <c r="E388" s="23" t="str">
        <f t="shared" si="113"/>
        <v>COMELC</v>
      </c>
      <c r="F388" s="23" t="str">
        <f t="shared" si="113"/>
        <v>COMEDUNewLTEUE</v>
      </c>
      <c r="G388" s="23" t="str">
        <f t="shared" si="113"/>
        <v>COMEDUNewLTEUE</v>
      </c>
      <c r="H388" s="24">
        <v>2050</v>
      </c>
      <c r="I388" s="24" t="str">
        <f>I387</f>
        <v>LO</v>
      </c>
      <c r="J388" s="24"/>
      <c r="K388" s="25">
        <f>UC!K388</f>
        <v>0</v>
      </c>
      <c r="L388" s="24"/>
      <c r="M388" s="24"/>
      <c r="N388" s="26"/>
      <c r="O388" s="27"/>
      <c r="Q388" s="21" t="str">
        <f>SUBSTITUTE(UC!Q388,"Old","New")</f>
        <v>*</v>
      </c>
      <c r="R388" s="22"/>
      <c r="S388" s="23" t="str">
        <f t="shared" si="96"/>
        <v>COMELC</v>
      </c>
      <c r="T388" s="23" t="str">
        <f t="shared" si="97"/>
        <v>COMEDUNewLTEUE</v>
      </c>
      <c r="U388" s="23" t="str">
        <f t="shared" si="98"/>
        <v>COMEDUNewLTEUE</v>
      </c>
      <c r="V388" s="24">
        <v>2050</v>
      </c>
      <c r="W388" s="24" t="str">
        <f>W387</f>
        <v>UP</v>
      </c>
      <c r="X388" s="24"/>
      <c r="Y388" s="25">
        <f>UC!Y388</f>
        <v>-1</v>
      </c>
      <c r="Z388" s="24"/>
      <c r="AA388" s="24"/>
      <c r="AB388" s="26"/>
      <c r="AC388" s="27"/>
    </row>
    <row r="389" spans="1:29" x14ac:dyDescent="0.25">
      <c r="A389" s="19">
        <f>A385+1</f>
        <v>97</v>
      </c>
      <c r="B389" s="10"/>
      <c r="C389" s="11" t="str">
        <f>SUBSTITUTE(UC!C389,"Old","New")</f>
        <v>*</v>
      </c>
      <c r="D389" s="12"/>
      <c r="E389" s="13" t="str">
        <f>_xlfn.XLOOKUP($A389,Selected_constraint_UC!$A:$A,Selected_constraint_UC!$B:$B)</f>
        <v>COMFOI</v>
      </c>
      <c r="F389" s="13" t="str">
        <f>SUBSTITUTE(_xlfn.XLOOKUP($A389,Selected_constraint_UC!$A:$A,Selected_constraint_UC!$C:$C),"Old","New")</f>
        <v>COMEDUNewCKEUE</v>
      </c>
      <c r="G389" s="13" t="str">
        <f>F389</f>
        <v>COMEDUNewCKEUE</v>
      </c>
      <c r="H389" s="14">
        <v>2019</v>
      </c>
      <c r="I389" s="14" t="s">
        <v>3848</v>
      </c>
      <c r="J389" s="14">
        <v>1</v>
      </c>
      <c r="K389" s="15">
        <f>UC!K389</f>
        <v>0</v>
      </c>
      <c r="L389" s="14">
        <v>0</v>
      </c>
      <c r="M389" s="14">
        <v>5</v>
      </c>
      <c r="N389" s="10"/>
      <c r="O389" s="20"/>
      <c r="Q389" s="11" t="str">
        <f>SUBSTITUTE(UC!Q389,"Old","New")</f>
        <v>*</v>
      </c>
      <c r="R389" s="12"/>
      <c r="S389" s="13" t="str">
        <f t="shared" si="96"/>
        <v>COMFOI</v>
      </c>
      <c r="T389" s="13" t="str">
        <f t="shared" si="97"/>
        <v>COMEDUNewCKEUE</v>
      </c>
      <c r="U389" s="13" t="str">
        <f t="shared" si="98"/>
        <v>COMEDUNewCKEUE</v>
      </c>
      <c r="V389" s="14">
        <f>H389</f>
        <v>2019</v>
      </c>
      <c r="W389" s="29" t="s">
        <v>3849</v>
      </c>
      <c r="X389" s="14">
        <v>1</v>
      </c>
      <c r="Y389" s="15">
        <f>UC!Y389</f>
        <v>-1E-3</v>
      </c>
      <c r="Z389" s="14">
        <v>0</v>
      </c>
      <c r="AA389" s="14">
        <v>5</v>
      </c>
      <c r="AB389" s="10"/>
      <c r="AC389" s="20"/>
    </row>
    <row r="390" spans="1:29" x14ac:dyDescent="0.25">
      <c r="A390" s="10">
        <f>A389</f>
        <v>97</v>
      </c>
      <c r="B390" s="10"/>
      <c r="C390" s="11" t="str">
        <f>SUBSTITUTE(UC!C390,"Old","New")</f>
        <v>*</v>
      </c>
      <c r="D390" s="12"/>
      <c r="E390" s="13" t="str">
        <f t="shared" ref="E390:G392" si="114">E389</f>
        <v>COMFOI</v>
      </c>
      <c r="F390" s="13" t="str">
        <f t="shared" si="114"/>
        <v>COMEDUNewCKEUE</v>
      </c>
      <c r="G390" s="13" t="str">
        <f t="shared" si="114"/>
        <v>COMEDUNewCKEUE</v>
      </c>
      <c r="H390" s="14">
        <v>2025</v>
      </c>
      <c r="I390" s="14" t="str">
        <f>I389</f>
        <v>LO</v>
      </c>
      <c r="J390" s="14"/>
      <c r="K390" s="15">
        <f>UC!K390</f>
        <v>0</v>
      </c>
      <c r="L390" s="14"/>
      <c r="M390" s="14"/>
      <c r="N390" s="10"/>
      <c r="O390" s="20"/>
      <c r="Q390" s="11" t="str">
        <f>SUBSTITUTE(UC!Q390,"Old","New")</f>
        <v>*</v>
      </c>
      <c r="R390" s="12"/>
      <c r="S390" s="13" t="str">
        <f t="shared" ref="S390:S453" si="115">E390</f>
        <v>COMFOI</v>
      </c>
      <c r="T390" s="13" t="str">
        <f t="shared" ref="T390:T453" si="116">F390</f>
        <v>COMEDUNewCKEUE</v>
      </c>
      <c r="U390" s="13" t="str">
        <f t="shared" ref="U390:U453" si="117">G390</f>
        <v>COMEDUNewCKEUE</v>
      </c>
      <c r="V390" s="14">
        <v>2025</v>
      </c>
      <c r="W390" s="14" t="str">
        <f>W389</f>
        <v>UP</v>
      </c>
      <c r="X390" s="14"/>
      <c r="Y390" s="15">
        <f>UC!Y390</f>
        <v>-1E-3</v>
      </c>
      <c r="Z390" s="14"/>
      <c r="AA390" s="14"/>
      <c r="AB390" s="10"/>
      <c r="AC390" s="20"/>
    </row>
    <row r="391" spans="1:29" x14ac:dyDescent="0.25">
      <c r="A391" s="10">
        <f>A390</f>
        <v>97</v>
      </c>
      <c r="B391" s="10"/>
      <c r="C391" s="11" t="str">
        <f>SUBSTITUTE(UC!C391,"Old","New")</f>
        <v>*</v>
      </c>
      <c r="D391" s="12"/>
      <c r="E391" s="13" t="str">
        <f t="shared" si="114"/>
        <v>COMFOI</v>
      </c>
      <c r="F391" s="13" t="str">
        <f t="shared" si="114"/>
        <v>COMEDUNewCKEUE</v>
      </c>
      <c r="G391" s="13" t="str">
        <f t="shared" si="114"/>
        <v>COMEDUNewCKEUE</v>
      </c>
      <c r="H391" s="14">
        <v>2030</v>
      </c>
      <c r="I391" s="14" t="str">
        <f>I390</f>
        <v>LO</v>
      </c>
      <c r="J391" s="14"/>
      <c r="K391" s="15">
        <f>UC!K391</f>
        <v>0</v>
      </c>
      <c r="L391" s="14"/>
      <c r="M391" s="14"/>
      <c r="N391" s="10"/>
      <c r="O391" s="20"/>
      <c r="Q391" s="11" t="str">
        <f>SUBSTITUTE(UC!Q391,"Old","New")</f>
        <v>*</v>
      </c>
      <c r="R391" s="12"/>
      <c r="S391" s="13" t="str">
        <f t="shared" si="115"/>
        <v>COMFOI</v>
      </c>
      <c r="T391" s="13" t="str">
        <f t="shared" si="116"/>
        <v>COMEDUNewCKEUE</v>
      </c>
      <c r="U391" s="13" t="str">
        <f t="shared" si="117"/>
        <v>COMEDUNewCKEUE</v>
      </c>
      <c r="V391" s="14">
        <v>2030</v>
      </c>
      <c r="W391" s="14" t="str">
        <f>W390</f>
        <v>UP</v>
      </c>
      <c r="X391" s="14"/>
      <c r="Y391" s="15">
        <f>UC!Y391</f>
        <v>-1E-3</v>
      </c>
      <c r="Z391" s="14"/>
      <c r="AA391" s="14"/>
      <c r="AB391" s="10"/>
      <c r="AC391" s="20"/>
    </row>
    <row r="392" spans="1:29" x14ac:dyDescent="0.25">
      <c r="A392" s="26">
        <f>A391</f>
        <v>97</v>
      </c>
      <c r="B392" s="26"/>
      <c r="C392" s="21" t="str">
        <f>SUBSTITUTE(UC!C392,"Old","New")</f>
        <v>*</v>
      </c>
      <c r="D392" s="22"/>
      <c r="E392" s="23" t="str">
        <f t="shared" si="114"/>
        <v>COMFOI</v>
      </c>
      <c r="F392" s="23" t="str">
        <f t="shared" si="114"/>
        <v>COMEDUNewCKEUE</v>
      </c>
      <c r="G392" s="23" t="str">
        <f t="shared" si="114"/>
        <v>COMEDUNewCKEUE</v>
      </c>
      <c r="H392" s="24">
        <v>2050</v>
      </c>
      <c r="I392" s="24" t="str">
        <f>I391</f>
        <v>LO</v>
      </c>
      <c r="J392" s="24"/>
      <c r="K392" s="25">
        <f>UC!K392</f>
        <v>0</v>
      </c>
      <c r="L392" s="24"/>
      <c r="M392" s="24"/>
      <c r="N392" s="26"/>
      <c r="O392" s="27"/>
      <c r="Q392" s="21" t="str">
        <f>SUBSTITUTE(UC!Q392,"Old","New")</f>
        <v>*</v>
      </c>
      <c r="R392" s="22"/>
      <c r="S392" s="23" t="str">
        <f t="shared" si="115"/>
        <v>COMFOI</v>
      </c>
      <c r="T392" s="23" t="str">
        <f t="shared" si="116"/>
        <v>COMEDUNewCKEUE</v>
      </c>
      <c r="U392" s="23" t="str">
        <f t="shared" si="117"/>
        <v>COMEDUNewCKEUE</v>
      </c>
      <c r="V392" s="24">
        <v>2050</v>
      </c>
      <c r="W392" s="24" t="str">
        <f>W391</f>
        <v>UP</v>
      </c>
      <c r="X392" s="24"/>
      <c r="Y392" s="25">
        <f>UC!Y392</f>
        <v>-1E-3</v>
      </c>
      <c r="Z392" s="24"/>
      <c r="AA392" s="24"/>
      <c r="AB392" s="26"/>
      <c r="AC392" s="27"/>
    </row>
    <row r="393" spans="1:29" x14ac:dyDescent="0.25">
      <c r="A393" s="19">
        <f>A389+1</f>
        <v>98</v>
      </c>
      <c r="B393" s="10"/>
      <c r="C393" s="11" t="str">
        <f>SUBSTITUTE(UC!C393,"Old","New")</f>
        <v>*</v>
      </c>
      <c r="D393" s="12"/>
      <c r="E393" s="13" t="str">
        <f>_xlfn.XLOOKUP($A393,Selected_constraint_UC!$A:$A,Selected_constraint_UC!$B:$B)</f>
        <v>COMNGA</v>
      </c>
      <c r="F393" s="13" t="str">
        <f>SUBSTITUTE(_xlfn.XLOOKUP($A393,Selected_constraint_UC!$A:$A,Selected_constraint_UC!$C:$C),"Old","New")</f>
        <v>COMEDUNewCKEUE</v>
      </c>
      <c r="G393" s="13" t="str">
        <f>F393</f>
        <v>COMEDUNewCKEUE</v>
      </c>
      <c r="H393" s="14">
        <v>2019</v>
      </c>
      <c r="I393" s="14" t="s">
        <v>3848</v>
      </c>
      <c r="J393" s="14">
        <v>1</v>
      </c>
      <c r="K393" s="15">
        <f>UC!K393</f>
        <v>-0.78792000000000006</v>
      </c>
      <c r="L393" s="14">
        <v>0</v>
      </c>
      <c r="M393" s="14">
        <v>5</v>
      </c>
      <c r="N393" s="10"/>
      <c r="O393" s="20"/>
      <c r="Q393" s="11" t="str">
        <f>SUBSTITUTE(UC!Q393,"Old","New")</f>
        <v>*</v>
      </c>
      <c r="R393" s="12"/>
      <c r="S393" s="13" t="str">
        <f t="shared" si="115"/>
        <v>COMNGA</v>
      </c>
      <c r="T393" s="13" t="str">
        <f t="shared" si="116"/>
        <v>COMEDUNewCKEUE</v>
      </c>
      <c r="U393" s="13" t="str">
        <f t="shared" si="117"/>
        <v>COMEDUNewCKEUE</v>
      </c>
      <c r="V393" s="14">
        <f>H393</f>
        <v>2019</v>
      </c>
      <c r="W393" s="29" t="s">
        <v>3849</v>
      </c>
      <c r="X393" s="14">
        <v>1</v>
      </c>
      <c r="Y393" s="15">
        <f>UC!Y393</f>
        <v>-0.82099999999999995</v>
      </c>
      <c r="Z393" s="14">
        <v>0</v>
      </c>
      <c r="AA393" s="14">
        <v>5</v>
      </c>
      <c r="AB393" s="10"/>
      <c r="AC393" s="20"/>
    </row>
    <row r="394" spans="1:29" x14ac:dyDescent="0.25">
      <c r="A394" s="10">
        <f>A393</f>
        <v>98</v>
      </c>
      <c r="B394" s="10"/>
      <c r="C394" s="11" t="str">
        <f>SUBSTITUTE(UC!C394,"Old","New")</f>
        <v>*</v>
      </c>
      <c r="D394" s="12"/>
      <c r="E394" s="13" t="str">
        <f t="shared" ref="E394:G396" si="118">E393</f>
        <v>COMNGA</v>
      </c>
      <c r="F394" s="13" t="str">
        <f t="shared" si="118"/>
        <v>COMEDUNewCKEUE</v>
      </c>
      <c r="G394" s="13" t="str">
        <f t="shared" si="118"/>
        <v>COMEDUNewCKEUE</v>
      </c>
      <c r="H394" s="14">
        <v>2025</v>
      </c>
      <c r="I394" s="14" t="str">
        <f>I393</f>
        <v>LO</v>
      </c>
      <c r="J394" s="14"/>
      <c r="K394" s="15">
        <f>UC!K394</f>
        <v>-0.6432000000000001</v>
      </c>
      <c r="L394" s="14"/>
      <c r="M394" s="14"/>
      <c r="N394" s="10"/>
      <c r="O394" s="20"/>
      <c r="Q394" s="11" t="str">
        <f>SUBSTITUTE(UC!Q394,"Old","New")</f>
        <v>*</v>
      </c>
      <c r="R394" s="12"/>
      <c r="S394" s="13" t="str">
        <f t="shared" si="115"/>
        <v>COMNGA</v>
      </c>
      <c r="T394" s="13" t="str">
        <f t="shared" si="116"/>
        <v>COMEDUNewCKEUE</v>
      </c>
      <c r="U394" s="13" t="str">
        <f t="shared" si="117"/>
        <v>COMEDUNewCKEUE</v>
      </c>
      <c r="V394" s="14">
        <v>2025</v>
      </c>
      <c r="W394" s="14" t="str">
        <f>W393</f>
        <v>UP</v>
      </c>
      <c r="X394" s="14"/>
      <c r="Y394" s="15">
        <f>UC!Y394</f>
        <v>-0.96599999999999997</v>
      </c>
      <c r="Z394" s="14"/>
      <c r="AA394" s="14"/>
      <c r="AB394" s="10"/>
      <c r="AC394" s="20"/>
    </row>
    <row r="395" spans="1:29" x14ac:dyDescent="0.25">
      <c r="A395" s="10">
        <f>A394</f>
        <v>98</v>
      </c>
      <c r="B395" s="10"/>
      <c r="C395" s="11" t="str">
        <f>SUBSTITUTE(UC!C395,"Old","New")</f>
        <v>*</v>
      </c>
      <c r="D395" s="12"/>
      <c r="E395" s="13" t="str">
        <f t="shared" si="118"/>
        <v>COMNGA</v>
      </c>
      <c r="F395" s="13" t="str">
        <f t="shared" si="118"/>
        <v>COMEDUNewCKEUE</v>
      </c>
      <c r="G395" s="13" t="str">
        <f t="shared" si="118"/>
        <v>COMEDUNewCKEUE</v>
      </c>
      <c r="H395" s="14">
        <v>2030</v>
      </c>
      <c r="I395" s="14" t="str">
        <f>I394</f>
        <v>LO</v>
      </c>
      <c r="J395" s="14"/>
      <c r="K395" s="15">
        <f>UC!K395</f>
        <v>-0.16080000000000003</v>
      </c>
      <c r="L395" s="14"/>
      <c r="M395" s="14"/>
      <c r="N395" s="10"/>
      <c r="O395" s="20"/>
      <c r="Q395" s="11" t="str">
        <f>SUBSTITUTE(UC!Q395,"Old","New")</f>
        <v>*</v>
      </c>
      <c r="R395" s="12"/>
      <c r="S395" s="13" t="str">
        <f t="shared" si="115"/>
        <v>COMNGA</v>
      </c>
      <c r="T395" s="13" t="str">
        <f t="shared" si="116"/>
        <v>COMEDUNewCKEUE</v>
      </c>
      <c r="U395" s="13" t="str">
        <f t="shared" si="117"/>
        <v>COMEDUNewCKEUE</v>
      </c>
      <c r="V395" s="14">
        <v>2030</v>
      </c>
      <c r="W395" s="14" t="str">
        <f>W394</f>
        <v>UP</v>
      </c>
      <c r="X395" s="14"/>
      <c r="Y395" s="15">
        <f>UC!Y395</f>
        <v>-1</v>
      </c>
      <c r="Z395" s="14"/>
      <c r="AA395" s="14"/>
      <c r="AB395" s="10"/>
      <c r="AC395" s="20"/>
    </row>
    <row r="396" spans="1:29" x14ac:dyDescent="0.25">
      <c r="A396" s="26">
        <f>A395</f>
        <v>98</v>
      </c>
      <c r="B396" s="26"/>
      <c r="C396" s="21" t="str">
        <f>SUBSTITUTE(UC!C396,"Old","New")</f>
        <v>*</v>
      </c>
      <c r="D396" s="22"/>
      <c r="E396" s="23" t="str">
        <f t="shared" si="118"/>
        <v>COMNGA</v>
      </c>
      <c r="F396" s="23" t="str">
        <f t="shared" si="118"/>
        <v>COMEDUNewCKEUE</v>
      </c>
      <c r="G396" s="23" t="str">
        <f t="shared" si="118"/>
        <v>COMEDUNewCKEUE</v>
      </c>
      <c r="H396" s="24">
        <v>2050</v>
      </c>
      <c r="I396" s="24" t="str">
        <f>I395</f>
        <v>LO</v>
      </c>
      <c r="J396" s="24"/>
      <c r="K396" s="25">
        <f>UC!K396</f>
        <v>0</v>
      </c>
      <c r="L396" s="24"/>
      <c r="M396" s="24"/>
      <c r="N396" s="26"/>
      <c r="O396" s="27"/>
      <c r="Q396" s="21" t="str">
        <f>SUBSTITUTE(UC!Q396,"Old","New")</f>
        <v>*</v>
      </c>
      <c r="R396" s="22"/>
      <c r="S396" s="23" t="str">
        <f t="shared" si="115"/>
        <v>COMNGA</v>
      </c>
      <c r="T396" s="23" t="str">
        <f t="shared" si="116"/>
        <v>COMEDUNewCKEUE</v>
      </c>
      <c r="U396" s="23" t="str">
        <f t="shared" si="117"/>
        <v>COMEDUNewCKEUE</v>
      </c>
      <c r="V396" s="24">
        <v>2050</v>
      </c>
      <c r="W396" s="24" t="str">
        <f>W395</f>
        <v>UP</v>
      </c>
      <c r="X396" s="24"/>
      <c r="Y396" s="25">
        <f>UC!Y396</f>
        <v>-1</v>
      </c>
      <c r="Z396" s="24"/>
      <c r="AA396" s="24"/>
      <c r="AB396" s="26"/>
      <c r="AC396" s="27"/>
    </row>
    <row r="397" spans="1:29" x14ac:dyDescent="0.25">
      <c r="A397" s="19">
        <f>A393+1</f>
        <v>99</v>
      </c>
      <c r="B397" s="10"/>
      <c r="C397" s="11" t="str">
        <f>SUBSTITUTE(UC!C397,"Old","New")</f>
        <v>*</v>
      </c>
      <c r="D397" s="12"/>
      <c r="E397" s="13" t="str">
        <f>_xlfn.XLOOKUP($A397,Selected_constraint_UC!$A:$A,Selected_constraint_UC!$B:$B)</f>
        <v>COMSTM</v>
      </c>
      <c r="F397" s="13" t="str">
        <f>SUBSTITUTE(_xlfn.XLOOKUP($A397,Selected_constraint_UC!$A:$A,Selected_constraint_UC!$C:$C),"Old","New")</f>
        <v>COMEDUNewCKEUE</v>
      </c>
      <c r="G397" s="13" t="str">
        <f>F397</f>
        <v>COMEDUNewCKEUE</v>
      </c>
      <c r="H397" s="14">
        <v>2019</v>
      </c>
      <c r="I397" s="14" t="s">
        <v>3848</v>
      </c>
      <c r="J397" s="14">
        <v>1</v>
      </c>
      <c r="K397" s="15">
        <f>UC!K397</f>
        <v>0</v>
      </c>
      <c r="L397" s="14">
        <v>0</v>
      </c>
      <c r="M397" s="14">
        <v>5</v>
      </c>
      <c r="N397" s="10"/>
      <c r="O397" s="20"/>
      <c r="Q397" s="11" t="str">
        <f>SUBSTITUTE(UC!Q397,"Old","New")</f>
        <v>*</v>
      </c>
      <c r="R397" s="12"/>
      <c r="S397" s="13" t="str">
        <f t="shared" si="115"/>
        <v>COMSTM</v>
      </c>
      <c r="T397" s="13" t="str">
        <f t="shared" si="116"/>
        <v>COMEDUNewCKEUE</v>
      </c>
      <c r="U397" s="13" t="str">
        <f t="shared" si="117"/>
        <v>COMEDUNewCKEUE</v>
      </c>
      <c r="V397" s="14">
        <f>H397</f>
        <v>2019</v>
      </c>
      <c r="W397" s="29" t="s">
        <v>3849</v>
      </c>
      <c r="X397" s="14">
        <v>1</v>
      </c>
      <c r="Y397" s="15">
        <f>UC!Y397</f>
        <v>-1E-3</v>
      </c>
      <c r="Z397" s="14">
        <v>0</v>
      </c>
      <c r="AA397" s="14">
        <v>5</v>
      </c>
      <c r="AB397" s="10"/>
      <c r="AC397" s="20"/>
    </row>
    <row r="398" spans="1:29" x14ac:dyDescent="0.25">
      <c r="A398" s="10">
        <f>A397</f>
        <v>99</v>
      </c>
      <c r="B398" s="10"/>
      <c r="C398" s="11" t="str">
        <f>SUBSTITUTE(UC!C398,"Old","New")</f>
        <v>*</v>
      </c>
      <c r="D398" s="12"/>
      <c r="E398" s="13" t="str">
        <f t="shared" ref="E398:G400" si="119">E397</f>
        <v>COMSTM</v>
      </c>
      <c r="F398" s="13" t="str">
        <f t="shared" si="119"/>
        <v>COMEDUNewCKEUE</v>
      </c>
      <c r="G398" s="13" t="str">
        <f t="shared" si="119"/>
        <v>COMEDUNewCKEUE</v>
      </c>
      <c r="H398" s="14">
        <v>2025</v>
      </c>
      <c r="I398" s="14" t="str">
        <f>I397</f>
        <v>LO</v>
      </c>
      <c r="J398" s="14"/>
      <c r="K398" s="15">
        <f>UC!K398</f>
        <v>0</v>
      </c>
      <c r="L398" s="14"/>
      <c r="M398" s="14"/>
      <c r="N398" s="10"/>
      <c r="O398" s="20"/>
      <c r="Q398" s="11" t="str">
        <f>SUBSTITUTE(UC!Q398,"Old","New")</f>
        <v>*</v>
      </c>
      <c r="R398" s="12"/>
      <c r="S398" s="13" t="str">
        <f t="shared" si="115"/>
        <v>COMSTM</v>
      </c>
      <c r="T398" s="13" t="str">
        <f t="shared" si="116"/>
        <v>COMEDUNewCKEUE</v>
      </c>
      <c r="U398" s="13" t="str">
        <f t="shared" si="117"/>
        <v>COMEDUNewCKEUE</v>
      </c>
      <c r="V398" s="14">
        <v>2025</v>
      </c>
      <c r="W398" s="14" t="str">
        <f>W397</f>
        <v>UP</v>
      </c>
      <c r="X398" s="14"/>
      <c r="Y398" s="15">
        <f>UC!Y398</f>
        <v>-1E-3</v>
      </c>
      <c r="Z398" s="14"/>
      <c r="AA398" s="14"/>
      <c r="AB398" s="10"/>
      <c r="AC398" s="20"/>
    </row>
    <row r="399" spans="1:29" x14ac:dyDescent="0.25">
      <c r="A399" s="10">
        <f>A398</f>
        <v>99</v>
      </c>
      <c r="B399" s="10"/>
      <c r="C399" s="11" t="str">
        <f>SUBSTITUTE(UC!C399,"Old","New")</f>
        <v>*</v>
      </c>
      <c r="D399" s="12"/>
      <c r="E399" s="13" t="str">
        <f t="shared" si="119"/>
        <v>COMSTM</v>
      </c>
      <c r="F399" s="13" t="str">
        <f t="shared" si="119"/>
        <v>COMEDUNewCKEUE</v>
      </c>
      <c r="G399" s="13" t="str">
        <f t="shared" si="119"/>
        <v>COMEDUNewCKEUE</v>
      </c>
      <c r="H399" s="14">
        <v>2030</v>
      </c>
      <c r="I399" s="14" t="str">
        <f>I398</f>
        <v>LO</v>
      </c>
      <c r="J399" s="14"/>
      <c r="K399" s="15">
        <f>UC!K399</f>
        <v>0</v>
      </c>
      <c r="L399" s="14"/>
      <c r="M399" s="14"/>
      <c r="N399" s="10"/>
      <c r="O399" s="20"/>
      <c r="Q399" s="11" t="str">
        <f>SUBSTITUTE(UC!Q399,"Old","New")</f>
        <v>*</v>
      </c>
      <c r="R399" s="12"/>
      <c r="S399" s="13" t="str">
        <f t="shared" si="115"/>
        <v>COMSTM</v>
      </c>
      <c r="T399" s="13" t="str">
        <f t="shared" si="116"/>
        <v>COMEDUNewCKEUE</v>
      </c>
      <c r="U399" s="13" t="str">
        <f t="shared" si="117"/>
        <v>COMEDUNewCKEUE</v>
      </c>
      <c r="V399" s="14">
        <v>2030</v>
      </c>
      <c r="W399" s="14" t="str">
        <f>W398</f>
        <v>UP</v>
      </c>
      <c r="X399" s="14"/>
      <c r="Y399" s="15">
        <f>UC!Y399</f>
        <v>-2E-3</v>
      </c>
      <c r="Z399" s="14"/>
      <c r="AA399" s="14"/>
      <c r="AB399" s="10"/>
      <c r="AC399" s="20"/>
    </row>
    <row r="400" spans="1:29" x14ac:dyDescent="0.25">
      <c r="A400" s="26">
        <f>A399</f>
        <v>99</v>
      </c>
      <c r="B400" s="26"/>
      <c r="C400" s="21" t="str">
        <f>SUBSTITUTE(UC!C400,"Old","New")</f>
        <v>*</v>
      </c>
      <c r="D400" s="22"/>
      <c r="E400" s="23" t="str">
        <f t="shared" si="119"/>
        <v>COMSTM</v>
      </c>
      <c r="F400" s="23" t="str">
        <f t="shared" si="119"/>
        <v>COMEDUNewCKEUE</v>
      </c>
      <c r="G400" s="23" t="str">
        <f t="shared" si="119"/>
        <v>COMEDUNewCKEUE</v>
      </c>
      <c r="H400" s="24">
        <v>2050</v>
      </c>
      <c r="I400" s="24" t="str">
        <f>I399</f>
        <v>LO</v>
      </c>
      <c r="J400" s="24"/>
      <c r="K400" s="25">
        <f>UC!K400</f>
        <v>0</v>
      </c>
      <c r="L400" s="24"/>
      <c r="M400" s="24"/>
      <c r="N400" s="26"/>
      <c r="O400" s="27"/>
      <c r="Q400" s="21" t="str">
        <f>SUBSTITUTE(UC!Q400,"Old","New")</f>
        <v>*</v>
      </c>
      <c r="R400" s="22"/>
      <c r="S400" s="23" t="str">
        <f t="shared" si="115"/>
        <v>COMSTM</v>
      </c>
      <c r="T400" s="23" t="str">
        <f t="shared" si="116"/>
        <v>COMEDUNewCKEUE</v>
      </c>
      <c r="U400" s="23" t="str">
        <f t="shared" si="117"/>
        <v>COMEDUNewCKEUE</v>
      </c>
      <c r="V400" s="24">
        <v>2050</v>
      </c>
      <c r="W400" s="24" t="str">
        <f>W399</f>
        <v>UP</v>
      </c>
      <c r="X400" s="24"/>
      <c r="Y400" s="25">
        <f>UC!Y400</f>
        <v>-3.0000000000000001E-3</v>
      </c>
      <c r="Z400" s="24"/>
      <c r="AA400" s="24"/>
      <c r="AB400" s="26"/>
      <c r="AC400" s="27"/>
    </row>
    <row r="401" spans="1:29" x14ac:dyDescent="0.25">
      <c r="A401" s="19">
        <f>A397+1</f>
        <v>100</v>
      </c>
      <c r="B401" s="10"/>
      <c r="C401" s="11" t="str">
        <f>SUBSTITUTE(UC!C401,"Old","New")</f>
        <v>*</v>
      </c>
      <c r="D401" s="12"/>
      <c r="E401" s="13" t="str">
        <f>_xlfn.XLOOKUP($A401,Selected_constraint_UC!$A:$A,Selected_constraint_UC!$B:$B)</f>
        <v>COMELC</v>
      </c>
      <c r="F401" s="13" t="str">
        <f>SUBSTITUTE(_xlfn.XLOOKUP($A401,Selected_constraint_UC!$A:$A,Selected_constraint_UC!$C:$C),"Old","New")</f>
        <v>COMEDUNewCKEUE</v>
      </c>
      <c r="G401" s="13" t="str">
        <f>F401</f>
        <v>COMEDUNewCKEUE</v>
      </c>
      <c r="H401" s="14">
        <v>2019</v>
      </c>
      <c r="I401" s="14" t="s">
        <v>3848</v>
      </c>
      <c r="J401" s="14">
        <v>1</v>
      </c>
      <c r="K401" s="15">
        <f>UC!K401</f>
        <v>-0.19012000000000001</v>
      </c>
      <c r="L401" s="14">
        <v>0</v>
      </c>
      <c r="M401" s="14">
        <v>5</v>
      </c>
      <c r="N401" s="10"/>
      <c r="O401" s="20"/>
      <c r="Q401" s="11" t="str">
        <f>SUBSTITUTE(UC!Q401,"Old","New")</f>
        <v>*</v>
      </c>
      <c r="R401" s="12"/>
      <c r="S401" s="13" t="str">
        <f t="shared" si="115"/>
        <v>COMELC</v>
      </c>
      <c r="T401" s="13" t="str">
        <f t="shared" si="116"/>
        <v>COMEDUNewCKEUE</v>
      </c>
      <c r="U401" s="13" t="str">
        <f t="shared" si="117"/>
        <v>COMEDUNewCKEUE</v>
      </c>
      <c r="V401" s="14">
        <f>H401</f>
        <v>2019</v>
      </c>
      <c r="W401" s="29" t="s">
        <v>3849</v>
      </c>
      <c r="X401" s="14">
        <v>1</v>
      </c>
      <c r="Y401" s="15">
        <f>UC!Y401</f>
        <v>-0.19900000000000001</v>
      </c>
      <c r="Z401" s="14">
        <v>0</v>
      </c>
      <c r="AA401" s="14">
        <v>5</v>
      </c>
      <c r="AB401" s="10"/>
      <c r="AC401" s="20"/>
    </row>
    <row r="402" spans="1:29" x14ac:dyDescent="0.25">
      <c r="A402" s="10">
        <f>A401</f>
        <v>100</v>
      </c>
      <c r="B402" s="10"/>
      <c r="C402" s="11" t="str">
        <f>SUBSTITUTE(UC!C402,"Old","New")</f>
        <v>*</v>
      </c>
      <c r="D402" s="12"/>
      <c r="E402" s="13" t="str">
        <f t="shared" ref="E402:G404" si="120">E401</f>
        <v>COMELC</v>
      </c>
      <c r="F402" s="13" t="str">
        <f t="shared" si="120"/>
        <v>COMEDUNewCKEUE</v>
      </c>
      <c r="G402" s="13" t="str">
        <f t="shared" si="120"/>
        <v>COMEDUNewCKEUE</v>
      </c>
      <c r="H402" s="14">
        <v>2025</v>
      </c>
      <c r="I402" s="14" t="str">
        <f>I401</f>
        <v>LO</v>
      </c>
      <c r="J402" s="14"/>
      <c r="K402" s="15">
        <f>UC!K402</f>
        <v>-0.1552</v>
      </c>
      <c r="L402" s="14"/>
      <c r="M402" s="14"/>
      <c r="N402" s="10"/>
      <c r="O402" s="20"/>
      <c r="Q402" s="11" t="str">
        <f>SUBSTITUTE(UC!Q402,"Old","New")</f>
        <v>*</v>
      </c>
      <c r="R402" s="12"/>
      <c r="S402" s="13" t="str">
        <f t="shared" si="115"/>
        <v>COMELC</v>
      </c>
      <c r="T402" s="13" t="str">
        <f t="shared" si="116"/>
        <v>COMEDUNewCKEUE</v>
      </c>
      <c r="U402" s="13" t="str">
        <f t="shared" si="117"/>
        <v>COMEDUNewCKEUE</v>
      </c>
      <c r="V402" s="14">
        <v>2025</v>
      </c>
      <c r="W402" s="14" t="str">
        <f>W401</f>
        <v>UP</v>
      </c>
      <c r="X402" s="14"/>
      <c r="Y402" s="15">
        <f>UC!Y402</f>
        <v>-0.25</v>
      </c>
      <c r="Z402" s="14"/>
      <c r="AA402" s="14"/>
      <c r="AB402" s="10"/>
      <c r="AC402" s="20"/>
    </row>
    <row r="403" spans="1:29" x14ac:dyDescent="0.25">
      <c r="A403" s="10">
        <f>A402</f>
        <v>100</v>
      </c>
      <c r="B403" s="10"/>
      <c r="C403" s="11" t="str">
        <f>SUBSTITUTE(UC!C403,"Old","New")</f>
        <v>*</v>
      </c>
      <c r="D403" s="12"/>
      <c r="E403" s="13" t="str">
        <f t="shared" si="120"/>
        <v>COMELC</v>
      </c>
      <c r="F403" s="13" t="str">
        <f t="shared" si="120"/>
        <v>COMEDUNewCKEUE</v>
      </c>
      <c r="G403" s="13" t="str">
        <f t="shared" si="120"/>
        <v>COMEDUNewCKEUE</v>
      </c>
      <c r="H403" s="14">
        <v>2030</v>
      </c>
      <c r="I403" s="14" t="str">
        <f>I402</f>
        <v>LO</v>
      </c>
      <c r="J403" s="14"/>
      <c r="K403" s="15">
        <f>UC!K403</f>
        <v>-3.8800000000000001E-2</v>
      </c>
      <c r="L403" s="14"/>
      <c r="M403" s="14"/>
      <c r="N403" s="10"/>
      <c r="O403" s="20"/>
      <c r="Q403" s="11" t="str">
        <f>SUBSTITUTE(UC!Q403,"Old","New")</f>
        <v>*</v>
      </c>
      <c r="R403" s="12"/>
      <c r="S403" s="13" t="str">
        <f t="shared" si="115"/>
        <v>COMELC</v>
      </c>
      <c r="T403" s="13" t="str">
        <f t="shared" si="116"/>
        <v>COMEDUNewCKEUE</v>
      </c>
      <c r="U403" s="13" t="str">
        <f t="shared" si="117"/>
        <v>COMEDUNewCKEUE</v>
      </c>
      <c r="V403" s="14">
        <v>2030</v>
      </c>
      <c r="W403" s="14" t="str">
        <f>W402</f>
        <v>UP</v>
      </c>
      <c r="X403" s="14"/>
      <c r="Y403" s="15">
        <f>UC!Y403</f>
        <v>-0.5</v>
      </c>
      <c r="Z403" s="14"/>
      <c r="AA403" s="14"/>
      <c r="AB403" s="10"/>
      <c r="AC403" s="20"/>
    </row>
    <row r="404" spans="1:29" x14ac:dyDescent="0.25">
      <c r="A404" s="26">
        <f>A403</f>
        <v>100</v>
      </c>
      <c r="B404" s="26"/>
      <c r="C404" s="21" t="str">
        <f>SUBSTITUTE(UC!C404,"Old","New")</f>
        <v>*</v>
      </c>
      <c r="D404" s="22"/>
      <c r="E404" s="23" t="str">
        <f t="shared" si="120"/>
        <v>COMELC</v>
      </c>
      <c r="F404" s="23" t="str">
        <f t="shared" si="120"/>
        <v>COMEDUNewCKEUE</v>
      </c>
      <c r="G404" s="23" t="str">
        <f t="shared" si="120"/>
        <v>COMEDUNewCKEUE</v>
      </c>
      <c r="H404" s="24">
        <v>2050</v>
      </c>
      <c r="I404" s="24" t="str">
        <f>I403</f>
        <v>LO</v>
      </c>
      <c r="J404" s="24"/>
      <c r="K404" s="25">
        <f>UC!K404</f>
        <v>0</v>
      </c>
      <c r="L404" s="24"/>
      <c r="M404" s="24"/>
      <c r="N404" s="26"/>
      <c r="O404" s="27"/>
      <c r="Q404" s="21" t="str">
        <f>SUBSTITUTE(UC!Q404,"Old","New")</f>
        <v>*</v>
      </c>
      <c r="R404" s="22"/>
      <c r="S404" s="23" t="str">
        <f t="shared" si="115"/>
        <v>COMELC</v>
      </c>
      <c r="T404" s="23" t="str">
        <f t="shared" si="116"/>
        <v>COMEDUNewCKEUE</v>
      </c>
      <c r="U404" s="23" t="str">
        <f t="shared" si="117"/>
        <v>COMEDUNewCKEUE</v>
      </c>
      <c r="V404" s="24">
        <v>2050</v>
      </c>
      <c r="W404" s="24" t="str">
        <f>W403</f>
        <v>UP</v>
      </c>
      <c r="X404" s="24"/>
      <c r="Y404" s="25">
        <f>UC!Y404</f>
        <v>-1</v>
      </c>
      <c r="Z404" s="24"/>
      <c r="AA404" s="24"/>
      <c r="AB404" s="26"/>
      <c r="AC404" s="27"/>
    </row>
    <row r="405" spans="1:29" x14ac:dyDescent="0.25">
      <c r="A405" s="19">
        <f>A401+1</f>
        <v>101</v>
      </c>
      <c r="B405" s="10"/>
      <c r="C405" s="11" t="str">
        <f>SUBSTITUTE(UC!C405,"Old","New")</f>
        <v>*</v>
      </c>
      <c r="D405" s="12"/>
      <c r="E405" s="13" t="str">
        <f>_xlfn.XLOOKUP($A405,Selected_constraint_UC!$A:$A,Selected_constraint_UC!$B:$B)</f>
        <v>COMELC</v>
      </c>
      <c r="F405" s="13" t="str">
        <f>SUBSTITUTE(_xlfn.XLOOKUP($A405,Selected_constraint_UC!$A:$A,Selected_constraint_UC!$C:$C),"Old","New")</f>
        <v>COMEDUNewREEUE</v>
      </c>
      <c r="G405" s="13" t="str">
        <f>F405</f>
        <v>COMEDUNewREEUE</v>
      </c>
      <c r="H405" s="14">
        <v>2019</v>
      </c>
      <c r="I405" s="14" t="s">
        <v>3848</v>
      </c>
      <c r="J405" s="14">
        <v>1</v>
      </c>
      <c r="K405" s="15">
        <f>UC!K405</f>
        <v>-0.98</v>
      </c>
      <c r="L405" s="14">
        <v>0</v>
      </c>
      <c r="M405" s="14">
        <v>5</v>
      </c>
      <c r="N405" s="10"/>
      <c r="O405" s="20"/>
      <c r="Q405" s="11" t="str">
        <f>SUBSTITUTE(UC!Q405,"Old","New")</f>
        <v>*</v>
      </c>
      <c r="R405" s="12"/>
      <c r="S405" s="13" t="str">
        <f t="shared" si="115"/>
        <v>COMELC</v>
      </c>
      <c r="T405" s="13" t="str">
        <f t="shared" si="116"/>
        <v>COMEDUNewREEUE</v>
      </c>
      <c r="U405" s="13" t="str">
        <f t="shared" si="117"/>
        <v>COMEDUNewREEUE</v>
      </c>
      <c r="V405" s="14">
        <f>H405</f>
        <v>2019</v>
      </c>
      <c r="W405" s="29" t="s">
        <v>3849</v>
      </c>
      <c r="X405" s="14">
        <v>1</v>
      </c>
      <c r="Y405" s="15">
        <f>UC!Y405</f>
        <v>-1</v>
      </c>
      <c r="Z405" s="14">
        <v>0</v>
      </c>
      <c r="AA405" s="14">
        <v>5</v>
      </c>
      <c r="AB405" s="10"/>
      <c r="AC405" s="20"/>
    </row>
    <row r="406" spans="1:29" x14ac:dyDescent="0.25">
      <c r="A406" s="10">
        <f>A405</f>
        <v>101</v>
      </c>
      <c r="B406" s="10"/>
      <c r="C406" s="11" t="str">
        <f>SUBSTITUTE(UC!C406,"Old","New")</f>
        <v>*</v>
      </c>
      <c r="D406" s="12"/>
      <c r="E406" s="13" t="str">
        <f t="shared" ref="E406:G408" si="121">E405</f>
        <v>COMELC</v>
      </c>
      <c r="F406" s="13" t="str">
        <f t="shared" si="121"/>
        <v>COMEDUNewREEUE</v>
      </c>
      <c r="G406" s="13" t="str">
        <f t="shared" si="121"/>
        <v>COMEDUNewREEUE</v>
      </c>
      <c r="H406" s="14">
        <v>2025</v>
      </c>
      <c r="I406" s="14" t="str">
        <f>I405</f>
        <v>LO</v>
      </c>
      <c r="J406" s="14"/>
      <c r="K406" s="15">
        <f>UC!K406</f>
        <v>-0.8</v>
      </c>
      <c r="L406" s="14"/>
      <c r="M406" s="14"/>
      <c r="N406" s="10"/>
      <c r="O406" s="20"/>
      <c r="Q406" s="11" t="str">
        <f>SUBSTITUTE(UC!Q406,"Old","New")</f>
        <v>*</v>
      </c>
      <c r="R406" s="12"/>
      <c r="S406" s="13" t="str">
        <f t="shared" si="115"/>
        <v>COMELC</v>
      </c>
      <c r="T406" s="13" t="str">
        <f t="shared" si="116"/>
        <v>COMEDUNewREEUE</v>
      </c>
      <c r="U406" s="13" t="str">
        <f t="shared" si="117"/>
        <v>COMEDUNewREEUE</v>
      </c>
      <c r="V406" s="14">
        <v>2025</v>
      </c>
      <c r="W406" s="14" t="str">
        <f>W405</f>
        <v>UP</v>
      </c>
      <c r="X406" s="14"/>
      <c r="Y406" s="15">
        <f>UC!Y406</f>
        <v>-1</v>
      </c>
      <c r="Z406" s="14"/>
      <c r="AA406" s="14"/>
      <c r="AB406" s="10"/>
      <c r="AC406" s="20"/>
    </row>
    <row r="407" spans="1:29" x14ac:dyDescent="0.25">
      <c r="A407" s="10">
        <f>A406</f>
        <v>101</v>
      </c>
      <c r="B407" s="10"/>
      <c r="C407" s="11" t="str">
        <f>SUBSTITUTE(UC!C407,"Old","New")</f>
        <v>*</v>
      </c>
      <c r="D407" s="12"/>
      <c r="E407" s="13" t="str">
        <f t="shared" si="121"/>
        <v>COMELC</v>
      </c>
      <c r="F407" s="13" t="str">
        <f t="shared" si="121"/>
        <v>COMEDUNewREEUE</v>
      </c>
      <c r="G407" s="13" t="str">
        <f t="shared" si="121"/>
        <v>COMEDUNewREEUE</v>
      </c>
      <c r="H407" s="14">
        <v>2030</v>
      </c>
      <c r="I407" s="14" t="str">
        <f>I406</f>
        <v>LO</v>
      </c>
      <c r="J407" s="14"/>
      <c r="K407" s="15">
        <f>UC!K407</f>
        <v>-0.2</v>
      </c>
      <c r="L407" s="14"/>
      <c r="M407" s="14"/>
      <c r="N407" s="10"/>
      <c r="O407" s="20"/>
      <c r="Q407" s="11" t="str">
        <f>SUBSTITUTE(UC!Q407,"Old","New")</f>
        <v>*</v>
      </c>
      <c r="R407" s="12"/>
      <c r="S407" s="13" t="str">
        <f t="shared" si="115"/>
        <v>COMELC</v>
      </c>
      <c r="T407" s="13" t="str">
        <f t="shared" si="116"/>
        <v>COMEDUNewREEUE</v>
      </c>
      <c r="U407" s="13" t="str">
        <f t="shared" si="117"/>
        <v>COMEDUNewREEUE</v>
      </c>
      <c r="V407" s="14">
        <v>2030</v>
      </c>
      <c r="W407" s="14" t="str">
        <f>W406</f>
        <v>UP</v>
      </c>
      <c r="X407" s="14"/>
      <c r="Y407" s="15">
        <f>UC!Y407</f>
        <v>-1</v>
      </c>
      <c r="Z407" s="14"/>
      <c r="AA407" s="14"/>
      <c r="AB407" s="10"/>
      <c r="AC407" s="20"/>
    </row>
    <row r="408" spans="1:29" x14ac:dyDescent="0.25">
      <c r="A408" s="26">
        <f>A407</f>
        <v>101</v>
      </c>
      <c r="B408" s="26"/>
      <c r="C408" s="21" t="str">
        <f>SUBSTITUTE(UC!C408,"Old","New")</f>
        <v>*</v>
      </c>
      <c r="D408" s="22"/>
      <c r="E408" s="23" t="str">
        <f t="shared" si="121"/>
        <v>COMELC</v>
      </c>
      <c r="F408" s="23" t="str">
        <f t="shared" si="121"/>
        <v>COMEDUNewREEUE</v>
      </c>
      <c r="G408" s="23" t="str">
        <f t="shared" si="121"/>
        <v>COMEDUNewREEUE</v>
      </c>
      <c r="H408" s="24">
        <v>2050</v>
      </c>
      <c r="I408" s="24" t="str">
        <f>I407</f>
        <v>LO</v>
      </c>
      <c r="J408" s="24"/>
      <c r="K408" s="25">
        <f>UC!K408</f>
        <v>0</v>
      </c>
      <c r="L408" s="24"/>
      <c r="M408" s="24"/>
      <c r="N408" s="26"/>
      <c r="O408" s="27"/>
      <c r="Q408" s="21" t="str">
        <f>SUBSTITUTE(UC!Q408,"Old","New")</f>
        <v>*</v>
      </c>
      <c r="R408" s="22"/>
      <c r="S408" s="23" t="str">
        <f t="shared" si="115"/>
        <v>COMELC</v>
      </c>
      <c r="T408" s="23" t="str">
        <f t="shared" si="116"/>
        <v>COMEDUNewREEUE</v>
      </c>
      <c r="U408" s="23" t="str">
        <f t="shared" si="117"/>
        <v>COMEDUNewREEUE</v>
      </c>
      <c r="V408" s="24">
        <v>2050</v>
      </c>
      <c r="W408" s="24" t="str">
        <f>W407</f>
        <v>UP</v>
      </c>
      <c r="X408" s="24"/>
      <c r="Y408" s="25">
        <f>UC!Y408</f>
        <v>-1</v>
      </c>
      <c r="Z408" s="24"/>
      <c r="AA408" s="24"/>
      <c r="AB408" s="26"/>
      <c r="AC408" s="27"/>
    </row>
    <row r="409" spans="1:29" x14ac:dyDescent="0.25">
      <c r="A409" s="19">
        <f>A405+1</f>
        <v>102</v>
      </c>
      <c r="B409" s="10"/>
      <c r="C409" s="11" t="str">
        <f>SUBSTITUTE(UC!C409,"Old","New")</f>
        <v>*</v>
      </c>
      <c r="D409" s="12"/>
      <c r="E409" s="13" t="str">
        <f>_xlfn.XLOOKUP($A409,Selected_constraint_UC!$A:$A,Selected_constraint_UC!$B:$B)</f>
        <v>COMFOI</v>
      </c>
      <c r="F409" s="13" t="str">
        <f>SUBSTITUTE(_xlfn.XLOOKUP($A409,Selected_constraint_UC!$A:$A,Selected_constraint_UC!$C:$C),"Old","New")</f>
        <v>COMEDUNewOEEUE</v>
      </c>
      <c r="G409" s="13" t="str">
        <f>F409</f>
        <v>COMEDUNewOEEUE</v>
      </c>
      <c r="H409" s="14">
        <v>2019</v>
      </c>
      <c r="I409" s="14" t="s">
        <v>3848</v>
      </c>
      <c r="J409" s="14">
        <v>1</v>
      </c>
      <c r="K409" s="15">
        <f>UC!K409</f>
        <v>-2.7439999999999999E-2</v>
      </c>
      <c r="L409" s="14">
        <v>0</v>
      </c>
      <c r="M409" s="14">
        <v>5</v>
      </c>
      <c r="N409" s="10"/>
      <c r="O409" s="20"/>
      <c r="Q409" s="11" t="str">
        <f>SUBSTITUTE(UC!Q409,"Old","New")</f>
        <v>*</v>
      </c>
      <c r="R409" s="12"/>
      <c r="S409" s="13" t="str">
        <f t="shared" si="115"/>
        <v>COMFOI</v>
      </c>
      <c r="T409" s="13" t="str">
        <f t="shared" si="116"/>
        <v>COMEDUNewOEEUE</v>
      </c>
      <c r="U409" s="13" t="str">
        <f t="shared" si="117"/>
        <v>COMEDUNewOEEUE</v>
      </c>
      <c r="V409" s="14">
        <f>H409</f>
        <v>2019</v>
      </c>
      <c r="W409" s="29" t="s">
        <v>3849</v>
      </c>
      <c r="X409" s="14">
        <v>1</v>
      </c>
      <c r="Y409" s="15">
        <f>UC!Y409</f>
        <v>-3.0000000000000002E-2</v>
      </c>
      <c r="Z409" s="14">
        <v>0</v>
      </c>
      <c r="AA409" s="14">
        <v>5</v>
      </c>
      <c r="AB409" s="10"/>
      <c r="AC409" s="20"/>
    </row>
    <row r="410" spans="1:29" x14ac:dyDescent="0.25">
      <c r="A410" s="10">
        <f>A409</f>
        <v>102</v>
      </c>
      <c r="B410" s="10"/>
      <c r="C410" s="11" t="str">
        <f>SUBSTITUTE(UC!C410,"Old","New")</f>
        <v>*</v>
      </c>
      <c r="D410" s="12"/>
      <c r="E410" s="13" t="str">
        <f t="shared" ref="E410:G412" si="122">E409</f>
        <v>COMFOI</v>
      </c>
      <c r="F410" s="13" t="str">
        <f t="shared" si="122"/>
        <v>COMEDUNewOEEUE</v>
      </c>
      <c r="G410" s="13" t="str">
        <f t="shared" si="122"/>
        <v>COMEDUNewOEEUE</v>
      </c>
      <c r="H410" s="14">
        <v>2025</v>
      </c>
      <c r="I410" s="14" t="str">
        <f>I409</f>
        <v>LO</v>
      </c>
      <c r="J410" s="14"/>
      <c r="K410" s="15">
        <f>UC!K410</f>
        <v>-2.2400000000000003E-2</v>
      </c>
      <c r="L410" s="14"/>
      <c r="M410" s="14"/>
      <c r="N410" s="10"/>
      <c r="O410" s="20"/>
      <c r="Q410" s="11" t="str">
        <f>SUBSTITUTE(UC!Q410,"Old","New")</f>
        <v>*</v>
      </c>
      <c r="R410" s="12"/>
      <c r="S410" s="13" t="str">
        <f t="shared" si="115"/>
        <v>COMFOI</v>
      </c>
      <c r="T410" s="13" t="str">
        <f t="shared" si="116"/>
        <v>COMEDUNewOEEUE</v>
      </c>
      <c r="U410" s="13" t="str">
        <f t="shared" si="117"/>
        <v>COMEDUNewOEEUE</v>
      </c>
      <c r="V410" s="14">
        <v>2025</v>
      </c>
      <c r="W410" s="14" t="str">
        <f>W409</f>
        <v>UP</v>
      </c>
      <c r="X410" s="14"/>
      <c r="Y410" s="15">
        <f>UC!Y410</f>
        <v>-3.5000000000000003E-2</v>
      </c>
      <c r="Z410" s="14"/>
      <c r="AA410" s="14"/>
      <c r="AB410" s="10"/>
      <c r="AC410" s="20"/>
    </row>
    <row r="411" spans="1:29" x14ac:dyDescent="0.25">
      <c r="A411" s="10">
        <f>A410</f>
        <v>102</v>
      </c>
      <c r="B411" s="10"/>
      <c r="C411" s="11" t="str">
        <f>SUBSTITUTE(UC!C411,"Old","New")</f>
        <v>*</v>
      </c>
      <c r="D411" s="12"/>
      <c r="E411" s="13" t="str">
        <f t="shared" si="122"/>
        <v>COMFOI</v>
      </c>
      <c r="F411" s="13" t="str">
        <f t="shared" si="122"/>
        <v>COMEDUNewOEEUE</v>
      </c>
      <c r="G411" s="13" t="str">
        <f t="shared" si="122"/>
        <v>COMEDUNewOEEUE</v>
      </c>
      <c r="H411" s="14">
        <v>2030</v>
      </c>
      <c r="I411" s="14" t="str">
        <f>I410</f>
        <v>LO</v>
      </c>
      <c r="J411" s="14"/>
      <c r="K411" s="15">
        <f>UC!K411</f>
        <v>-5.6000000000000008E-3</v>
      </c>
      <c r="L411" s="14"/>
      <c r="M411" s="14"/>
      <c r="N411" s="10"/>
      <c r="O411" s="20"/>
      <c r="Q411" s="11" t="str">
        <f>SUBSTITUTE(UC!Q411,"Old","New")</f>
        <v>*</v>
      </c>
      <c r="R411" s="12"/>
      <c r="S411" s="13" t="str">
        <f t="shared" si="115"/>
        <v>COMFOI</v>
      </c>
      <c r="T411" s="13" t="str">
        <f t="shared" si="116"/>
        <v>COMEDUNewOEEUE</v>
      </c>
      <c r="U411" s="13" t="str">
        <f t="shared" si="117"/>
        <v>COMEDUNewOEEUE</v>
      </c>
      <c r="V411" s="14">
        <v>2030</v>
      </c>
      <c r="W411" s="14" t="str">
        <f>W410</f>
        <v>UP</v>
      </c>
      <c r="X411" s="14"/>
      <c r="Y411" s="15">
        <f>UC!Y411</f>
        <v>-4.3999999999999997E-2</v>
      </c>
      <c r="Z411" s="14"/>
      <c r="AA411" s="14"/>
      <c r="AB411" s="10"/>
      <c r="AC411" s="20"/>
    </row>
    <row r="412" spans="1:29" x14ac:dyDescent="0.25">
      <c r="A412" s="26">
        <f>A411</f>
        <v>102</v>
      </c>
      <c r="B412" s="26"/>
      <c r="C412" s="21" t="str">
        <f>SUBSTITUTE(UC!C412,"Old","New")</f>
        <v>*</v>
      </c>
      <c r="D412" s="22"/>
      <c r="E412" s="23" t="str">
        <f t="shared" si="122"/>
        <v>COMFOI</v>
      </c>
      <c r="F412" s="23" t="str">
        <f t="shared" si="122"/>
        <v>COMEDUNewOEEUE</v>
      </c>
      <c r="G412" s="23" t="str">
        <f t="shared" si="122"/>
        <v>COMEDUNewOEEUE</v>
      </c>
      <c r="H412" s="24">
        <v>2050</v>
      </c>
      <c r="I412" s="24" t="str">
        <f>I411</f>
        <v>LO</v>
      </c>
      <c r="J412" s="24"/>
      <c r="K412" s="25">
        <f>UC!K412</f>
        <v>0</v>
      </c>
      <c r="L412" s="24"/>
      <c r="M412" s="24"/>
      <c r="N412" s="26"/>
      <c r="O412" s="27"/>
      <c r="Q412" s="21" t="str">
        <f>SUBSTITUTE(UC!Q412,"Old","New")</f>
        <v>*</v>
      </c>
      <c r="R412" s="22"/>
      <c r="S412" s="23" t="str">
        <f t="shared" si="115"/>
        <v>COMFOI</v>
      </c>
      <c r="T412" s="23" t="str">
        <f t="shared" si="116"/>
        <v>COMEDUNewOEEUE</v>
      </c>
      <c r="U412" s="23" t="str">
        <f t="shared" si="117"/>
        <v>COMEDUNewOEEUE</v>
      </c>
      <c r="V412" s="24">
        <v>2050</v>
      </c>
      <c r="W412" s="24" t="str">
        <f>W411</f>
        <v>UP</v>
      </c>
      <c r="X412" s="24"/>
      <c r="Y412" s="25">
        <f>UC!Y412</f>
        <v>-8.6999999999999994E-2</v>
      </c>
      <c r="Z412" s="24"/>
      <c r="AA412" s="24"/>
      <c r="AB412" s="26"/>
      <c r="AC412" s="27"/>
    </row>
    <row r="413" spans="1:29" x14ac:dyDescent="0.25">
      <c r="A413" s="19">
        <f>A409+1</f>
        <v>103</v>
      </c>
      <c r="B413" s="10"/>
      <c r="C413" s="11" t="str">
        <f>SUBSTITUTE(UC!C413,"Old","New")</f>
        <v>UC_MarketShare_COMEDUNewOE_NGA_MIN</v>
      </c>
      <c r="D413" s="12"/>
      <c r="E413" s="13" t="str">
        <f>_xlfn.XLOOKUP($A413,Selected_constraint_UC!$A:$A,Selected_constraint_UC!$B:$B)</f>
        <v>COMNGA</v>
      </c>
      <c r="F413" s="13" t="str">
        <f>SUBSTITUTE(_xlfn.XLOOKUP($A413,Selected_constraint_UC!$A:$A,Selected_constraint_UC!$C:$C),"Old","New")</f>
        <v>COMEDUNewOEEUE</v>
      </c>
      <c r="G413" s="13" t="str">
        <f>F413</f>
        <v>COMEDUNewOEEUE</v>
      </c>
      <c r="H413" s="14">
        <v>2019</v>
      </c>
      <c r="I413" s="14" t="s">
        <v>3848</v>
      </c>
      <c r="J413" s="14">
        <v>1</v>
      </c>
      <c r="K413" s="15">
        <f>UC!K413</f>
        <v>-0.13131999999999999</v>
      </c>
      <c r="L413" s="14">
        <v>0</v>
      </c>
      <c r="M413" s="14">
        <v>5</v>
      </c>
      <c r="N413" s="10"/>
      <c r="O413" s="20"/>
      <c r="Q413" s="11" t="str">
        <f>SUBSTITUTE(UC!Q413,"Old","New")</f>
        <v>UC_MarketShare_COMEDUNewOE_NGA_MAX</v>
      </c>
      <c r="R413" s="12"/>
      <c r="S413" s="13" t="str">
        <f t="shared" si="115"/>
        <v>COMNGA</v>
      </c>
      <c r="T413" s="13" t="str">
        <f t="shared" si="116"/>
        <v>COMEDUNewOEEUE</v>
      </c>
      <c r="U413" s="13" t="str">
        <f t="shared" si="117"/>
        <v>COMEDUNewOEEUE</v>
      </c>
      <c r="V413" s="14">
        <f>H413</f>
        <v>2019</v>
      </c>
      <c r="W413" s="29" t="s">
        <v>3849</v>
      </c>
      <c r="X413" s="14">
        <v>1</v>
      </c>
      <c r="Y413" s="15">
        <f>UC!Y413</f>
        <v>-0.13800000000000001</v>
      </c>
      <c r="Z413" s="14">
        <v>0</v>
      </c>
      <c r="AA413" s="14">
        <v>5</v>
      </c>
      <c r="AB413" s="10"/>
      <c r="AC413" s="20"/>
    </row>
    <row r="414" spans="1:29" x14ac:dyDescent="0.25">
      <c r="A414" s="10">
        <f>A413</f>
        <v>103</v>
      </c>
      <c r="B414" s="10"/>
      <c r="C414" s="11" t="str">
        <f>SUBSTITUTE(UC!C414,"Old","New")</f>
        <v/>
      </c>
      <c r="D414" s="12"/>
      <c r="E414" s="13" t="str">
        <f t="shared" ref="E414:G416" si="123">E413</f>
        <v>COMNGA</v>
      </c>
      <c r="F414" s="13" t="str">
        <f t="shared" si="123"/>
        <v>COMEDUNewOEEUE</v>
      </c>
      <c r="G414" s="13" t="str">
        <f t="shared" si="123"/>
        <v>COMEDUNewOEEUE</v>
      </c>
      <c r="H414" s="14">
        <v>2025</v>
      </c>
      <c r="I414" s="14" t="str">
        <f>I413</f>
        <v>LO</v>
      </c>
      <c r="J414" s="14"/>
      <c r="K414" s="15">
        <f>UC!K414</f>
        <v>-0.10720000000000002</v>
      </c>
      <c r="L414" s="14"/>
      <c r="M414" s="14"/>
      <c r="N414" s="10"/>
      <c r="O414" s="20"/>
      <c r="Q414" s="11" t="str">
        <f>SUBSTITUTE(UC!Q414,"Old","New")</f>
        <v/>
      </c>
      <c r="R414" s="12"/>
      <c r="S414" s="13" t="str">
        <f t="shared" si="115"/>
        <v>COMNGA</v>
      </c>
      <c r="T414" s="13" t="str">
        <f t="shared" si="116"/>
        <v>COMEDUNewOEEUE</v>
      </c>
      <c r="U414" s="13" t="str">
        <f t="shared" si="117"/>
        <v>COMEDUNewOEEUE</v>
      </c>
      <c r="V414" s="14">
        <v>2025</v>
      </c>
      <c r="W414" s="14" t="str">
        <f>W413</f>
        <v>UP</v>
      </c>
      <c r="X414" s="14"/>
      <c r="Y414" s="15">
        <f>UC!Y414</f>
        <v>-0.16200000000000001</v>
      </c>
      <c r="Z414" s="14"/>
      <c r="AA414" s="14"/>
      <c r="AB414" s="10"/>
      <c r="AC414" s="20"/>
    </row>
    <row r="415" spans="1:29" x14ac:dyDescent="0.25">
      <c r="A415" s="10">
        <f>A414</f>
        <v>103</v>
      </c>
      <c r="B415" s="10"/>
      <c r="C415" s="11" t="str">
        <f>SUBSTITUTE(UC!C415,"Old","New")</f>
        <v/>
      </c>
      <c r="D415" s="12"/>
      <c r="E415" s="13" t="str">
        <f t="shared" si="123"/>
        <v>COMNGA</v>
      </c>
      <c r="F415" s="13" t="str">
        <f t="shared" si="123"/>
        <v>COMEDUNewOEEUE</v>
      </c>
      <c r="G415" s="13" t="str">
        <f t="shared" si="123"/>
        <v>COMEDUNewOEEUE</v>
      </c>
      <c r="H415" s="14">
        <v>2030</v>
      </c>
      <c r="I415" s="14" t="str">
        <f>I414</f>
        <v>LO</v>
      </c>
      <c r="J415" s="14"/>
      <c r="K415" s="15">
        <f>UC!K415</f>
        <v>-2.6800000000000004E-2</v>
      </c>
      <c r="L415" s="14"/>
      <c r="M415" s="14"/>
      <c r="N415" s="10"/>
      <c r="O415" s="20"/>
      <c r="Q415" s="11" t="str">
        <f>SUBSTITUTE(UC!Q415,"Old","New")</f>
        <v/>
      </c>
      <c r="R415" s="12"/>
      <c r="S415" s="13" t="str">
        <f t="shared" si="115"/>
        <v>COMNGA</v>
      </c>
      <c r="T415" s="13" t="str">
        <f t="shared" si="116"/>
        <v>COMEDUNewOEEUE</v>
      </c>
      <c r="U415" s="13" t="str">
        <f t="shared" si="117"/>
        <v>COMEDUNewOEEUE</v>
      </c>
      <c r="V415" s="14">
        <v>2030</v>
      </c>
      <c r="W415" s="14" t="str">
        <f>W414</f>
        <v>UP</v>
      </c>
      <c r="X415" s="14"/>
      <c r="Y415" s="15">
        <f>UC!Y415</f>
        <v>-0.20300000000000001</v>
      </c>
      <c r="Z415" s="14"/>
      <c r="AA415" s="14"/>
      <c r="AB415" s="10"/>
      <c r="AC415" s="20"/>
    </row>
    <row r="416" spans="1:29" x14ac:dyDescent="0.25">
      <c r="A416" s="26">
        <f>A415</f>
        <v>103</v>
      </c>
      <c r="B416" s="26"/>
      <c r="C416" s="21" t="str">
        <f>SUBSTITUTE(UC!C416,"Old","New")</f>
        <v/>
      </c>
      <c r="D416" s="22"/>
      <c r="E416" s="23" t="str">
        <f t="shared" si="123"/>
        <v>COMNGA</v>
      </c>
      <c r="F416" s="23" t="str">
        <f t="shared" si="123"/>
        <v>COMEDUNewOEEUE</v>
      </c>
      <c r="G416" s="23" t="str">
        <f t="shared" si="123"/>
        <v>COMEDUNewOEEUE</v>
      </c>
      <c r="H416" s="24">
        <v>2050</v>
      </c>
      <c r="I416" s="24" t="str">
        <f>I415</f>
        <v>LO</v>
      </c>
      <c r="J416" s="24"/>
      <c r="K416" s="25">
        <f>UC!K416</f>
        <v>0</v>
      </c>
      <c r="L416" s="24"/>
      <c r="M416" s="24"/>
      <c r="N416" s="26"/>
      <c r="O416" s="27"/>
      <c r="Q416" s="21" t="str">
        <f>SUBSTITUTE(UC!Q416,"Old","New")</f>
        <v/>
      </c>
      <c r="R416" s="22"/>
      <c r="S416" s="23" t="str">
        <f t="shared" si="115"/>
        <v>COMNGA</v>
      </c>
      <c r="T416" s="23" t="str">
        <f t="shared" si="116"/>
        <v>COMEDUNewOEEUE</v>
      </c>
      <c r="U416" s="23" t="str">
        <f t="shared" si="117"/>
        <v>COMEDUNewOEEUE</v>
      </c>
      <c r="V416" s="24">
        <v>2050</v>
      </c>
      <c r="W416" s="24" t="str">
        <f>W415</f>
        <v>UP</v>
      </c>
      <c r="X416" s="24"/>
      <c r="Y416" s="25">
        <f>UC!Y416</f>
        <v>-0.40500000000000003</v>
      </c>
      <c r="Z416" s="24"/>
      <c r="AA416" s="24"/>
      <c r="AB416" s="26"/>
      <c r="AC416" s="27"/>
    </row>
    <row r="417" spans="1:29" x14ac:dyDescent="0.25">
      <c r="A417" s="19">
        <f>A413+1</f>
        <v>104</v>
      </c>
      <c r="B417" s="10"/>
      <c r="C417" s="11" t="str">
        <f>SUBSTITUTE(UC!C417,"Old","New")</f>
        <v>*</v>
      </c>
      <c r="D417" s="12"/>
      <c r="E417" s="13" t="str">
        <f>_xlfn.XLOOKUP($A417,Selected_constraint_UC!$A:$A,Selected_constraint_UC!$B:$B)</f>
        <v>COMSTM</v>
      </c>
      <c r="F417" s="13" t="str">
        <f>SUBSTITUTE(_xlfn.XLOOKUP($A417,Selected_constraint_UC!$A:$A,Selected_constraint_UC!$C:$C),"Old","New")</f>
        <v>COMEDUNewOEEUE</v>
      </c>
      <c r="G417" s="13" t="str">
        <f>F417</f>
        <v>COMEDUNewOEEUE</v>
      </c>
      <c r="H417" s="14">
        <v>2019</v>
      </c>
      <c r="I417" s="14" t="s">
        <v>3848</v>
      </c>
      <c r="J417" s="14">
        <v>1</v>
      </c>
      <c r="K417" s="15">
        <f>UC!K417</f>
        <v>0</v>
      </c>
      <c r="L417" s="14">
        <v>0</v>
      </c>
      <c r="M417" s="14">
        <v>5</v>
      </c>
      <c r="N417" s="10"/>
      <c r="O417" s="20"/>
      <c r="Q417" s="11" t="str">
        <f>SUBSTITUTE(UC!Q417,"Old","New")</f>
        <v>*</v>
      </c>
      <c r="R417" s="12"/>
      <c r="S417" s="13" t="str">
        <f t="shared" si="115"/>
        <v>COMSTM</v>
      </c>
      <c r="T417" s="13" t="str">
        <f t="shared" si="116"/>
        <v>COMEDUNewOEEUE</v>
      </c>
      <c r="U417" s="13" t="str">
        <f t="shared" si="117"/>
        <v>COMEDUNewOEEUE</v>
      </c>
      <c r="V417" s="14">
        <f>H417</f>
        <v>2019</v>
      </c>
      <c r="W417" s="29" t="s">
        <v>3849</v>
      </c>
      <c r="X417" s="14">
        <v>1</v>
      </c>
      <c r="Y417" s="15">
        <f>UC!Y417</f>
        <v>0</v>
      </c>
      <c r="Z417" s="14">
        <v>0</v>
      </c>
      <c r="AA417" s="14">
        <v>5</v>
      </c>
      <c r="AB417" s="10"/>
      <c r="AC417" s="20"/>
    </row>
    <row r="418" spans="1:29" x14ac:dyDescent="0.25">
      <c r="A418" s="10">
        <f>A417</f>
        <v>104</v>
      </c>
      <c r="B418" s="10"/>
      <c r="C418" s="11" t="str">
        <f>SUBSTITUTE(UC!C418,"Old","New")</f>
        <v>*</v>
      </c>
      <c r="D418" s="12"/>
      <c r="E418" s="13" t="str">
        <f t="shared" ref="E418:G420" si="124">E417</f>
        <v>COMSTM</v>
      </c>
      <c r="F418" s="13" t="str">
        <f t="shared" si="124"/>
        <v>COMEDUNewOEEUE</v>
      </c>
      <c r="G418" s="13" t="str">
        <f t="shared" si="124"/>
        <v>COMEDUNewOEEUE</v>
      </c>
      <c r="H418" s="14">
        <v>2025</v>
      </c>
      <c r="I418" s="14" t="str">
        <f>I417</f>
        <v>LO</v>
      </c>
      <c r="J418" s="14"/>
      <c r="K418" s="15">
        <f>UC!K418</f>
        <v>0</v>
      </c>
      <c r="L418" s="14"/>
      <c r="M418" s="14"/>
      <c r="N418" s="10"/>
      <c r="O418" s="20"/>
      <c r="Q418" s="11" t="str">
        <f>SUBSTITUTE(UC!Q418,"Old","New")</f>
        <v>*</v>
      </c>
      <c r="R418" s="12"/>
      <c r="S418" s="13" t="str">
        <f t="shared" si="115"/>
        <v>COMSTM</v>
      </c>
      <c r="T418" s="13" t="str">
        <f t="shared" si="116"/>
        <v>COMEDUNewOEEUE</v>
      </c>
      <c r="U418" s="13" t="str">
        <f t="shared" si="117"/>
        <v>COMEDUNewOEEUE</v>
      </c>
      <c r="V418" s="14">
        <v>2025</v>
      </c>
      <c r="W418" s="14" t="str">
        <f>W417</f>
        <v>UP</v>
      </c>
      <c r="X418" s="14"/>
      <c r="Y418" s="15">
        <f>UC!Y418</f>
        <v>0</v>
      </c>
      <c r="Z418" s="14"/>
      <c r="AA418" s="14"/>
      <c r="AB418" s="10"/>
      <c r="AC418" s="20"/>
    </row>
    <row r="419" spans="1:29" x14ac:dyDescent="0.25">
      <c r="A419" s="10">
        <f>A418</f>
        <v>104</v>
      </c>
      <c r="B419" s="10"/>
      <c r="C419" s="11" t="str">
        <f>SUBSTITUTE(UC!C419,"Old","New")</f>
        <v>*</v>
      </c>
      <c r="D419" s="12"/>
      <c r="E419" s="13" t="str">
        <f t="shared" si="124"/>
        <v>COMSTM</v>
      </c>
      <c r="F419" s="13" t="str">
        <f t="shared" si="124"/>
        <v>COMEDUNewOEEUE</v>
      </c>
      <c r="G419" s="13" t="str">
        <f t="shared" si="124"/>
        <v>COMEDUNewOEEUE</v>
      </c>
      <c r="H419" s="14">
        <v>2030</v>
      </c>
      <c r="I419" s="14" t="str">
        <f>I418</f>
        <v>LO</v>
      </c>
      <c r="J419" s="14"/>
      <c r="K419" s="15">
        <f>UC!K419</f>
        <v>0</v>
      </c>
      <c r="L419" s="14"/>
      <c r="M419" s="14"/>
      <c r="N419" s="10"/>
      <c r="O419" s="20"/>
      <c r="Q419" s="11" t="str">
        <f>SUBSTITUTE(UC!Q419,"Old","New")</f>
        <v>*</v>
      </c>
      <c r="R419" s="12"/>
      <c r="S419" s="13" t="str">
        <f t="shared" si="115"/>
        <v>COMSTM</v>
      </c>
      <c r="T419" s="13" t="str">
        <f t="shared" si="116"/>
        <v>COMEDUNewOEEUE</v>
      </c>
      <c r="U419" s="13" t="str">
        <f t="shared" si="117"/>
        <v>COMEDUNewOEEUE</v>
      </c>
      <c r="V419" s="14">
        <v>2030</v>
      </c>
      <c r="W419" s="14" t="str">
        <f>W418</f>
        <v>UP</v>
      </c>
      <c r="X419" s="14"/>
      <c r="Y419" s="15">
        <f>UC!Y419</f>
        <v>0</v>
      </c>
      <c r="Z419" s="14"/>
      <c r="AA419" s="14"/>
      <c r="AB419" s="10"/>
      <c r="AC419" s="20"/>
    </row>
    <row r="420" spans="1:29" x14ac:dyDescent="0.25">
      <c r="A420" s="26">
        <f>A419</f>
        <v>104</v>
      </c>
      <c r="B420" s="26"/>
      <c r="C420" s="21" t="str">
        <f>SUBSTITUTE(UC!C420,"Old","New")</f>
        <v>*</v>
      </c>
      <c r="D420" s="22"/>
      <c r="E420" s="23" t="str">
        <f t="shared" si="124"/>
        <v>COMSTM</v>
      </c>
      <c r="F420" s="23" t="str">
        <f t="shared" si="124"/>
        <v>COMEDUNewOEEUE</v>
      </c>
      <c r="G420" s="23" t="str">
        <f t="shared" si="124"/>
        <v>COMEDUNewOEEUE</v>
      </c>
      <c r="H420" s="24">
        <v>2050</v>
      </c>
      <c r="I420" s="24" t="str">
        <f>I419</f>
        <v>LO</v>
      </c>
      <c r="J420" s="24"/>
      <c r="K420" s="25">
        <f>UC!K420</f>
        <v>0</v>
      </c>
      <c r="L420" s="24"/>
      <c r="M420" s="24"/>
      <c r="N420" s="26"/>
      <c r="O420" s="27"/>
      <c r="Q420" s="21" t="str">
        <f>SUBSTITUTE(UC!Q420,"Old","New")</f>
        <v>*</v>
      </c>
      <c r="R420" s="22"/>
      <c r="S420" s="23" t="str">
        <f t="shared" si="115"/>
        <v>COMSTM</v>
      </c>
      <c r="T420" s="23" t="str">
        <f t="shared" si="116"/>
        <v>COMEDUNewOEEUE</v>
      </c>
      <c r="U420" s="23" t="str">
        <f t="shared" si="117"/>
        <v>COMEDUNewOEEUE</v>
      </c>
      <c r="V420" s="24">
        <v>2050</v>
      </c>
      <c r="W420" s="24" t="str">
        <f>W419</f>
        <v>UP</v>
      </c>
      <c r="X420" s="24"/>
      <c r="Y420" s="25">
        <f>UC!Y420</f>
        <v>0</v>
      </c>
      <c r="Z420" s="24"/>
      <c r="AA420" s="24"/>
      <c r="AB420" s="26"/>
      <c r="AC420" s="27"/>
    </row>
    <row r="421" spans="1:29" x14ac:dyDescent="0.25">
      <c r="A421" s="19">
        <f>A417+1</f>
        <v>105</v>
      </c>
      <c r="B421" s="10"/>
      <c r="C421" s="11" t="str">
        <f>SUBSTITUTE(UC!C421,"Old","New")</f>
        <v>UC_MarketShare_COMEDUNewOE_ELC_MIN</v>
      </c>
      <c r="D421" s="12"/>
      <c r="E421" s="13" t="str">
        <f>_xlfn.XLOOKUP($A421,Selected_constraint_UC!$A:$A,Selected_constraint_UC!$B:$B)</f>
        <v>COMELC</v>
      </c>
      <c r="F421" s="13" t="str">
        <f>SUBSTITUTE(_xlfn.XLOOKUP($A421,Selected_constraint_UC!$A:$A,Selected_constraint_UC!$C:$C),"Old","New")</f>
        <v>COMEDUNewOEEUE</v>
      </c>
      <c r="G421" s="13" t="str">
        <f>F421</f>
        <v>COMEDUNewOEEUE</v>
      </c>
      <c r="H421" s="14">
        <v>2019</v>
      </c>
      <c r="I421" s="14" t="s">
        <v>3848</v>
      </c>
      <c r="J421" s="14">
        <v>1</v>
      </c>
      <c r="K421" s="15">
        <f>UC!K421</f>
        <v>-0.8192799999999999</v>
      </c>
      <c r="L421" s="14">
        <v>0</v>
      </c>
      <c r="M421" s="14">
        <v>5</v>
      </c>
      <c r="N421" s="10"/>
      <c r="O421" s="20"/>
      <c r="Q421" s="11" t="str">
        <f>SUBSTITUTE(UC!Q421,"Old","New")</f>
        <v>UC_MarketShare_COMEDUNewOE_ELC_MAX</v>
      </c>
      <c r="R421" s="12"/>
      <c r="S421" s="13" t="str">
        <f t="shared" si="115"/>
        <v>COMELC</v>
      </c>
      <c r="T421" s="13" t="str">
        <f t="shared" si="116"/>
        <v>COMEDUNewOEEUE</v>
      </c>
      <c r="U421" s="13" t="str">
        <f t="shared" si="117"/>
        <v>COMEDUNewOEEUE</v>
      </c>
      <c r="V421" s="14">
        <f>H421</f>
        <v>2019</v>
      </c>
      <c r="W421" s="29" t="s">
        <v>3849</v>
      </c>
      <c r="X421" s="14">
        <v>1</v>
      </c>
      <c r="Y421" s="15">
        <f>UC!Y421</f>
        <v>-0.85299999999999998</v>
      </c>
      <c r="Z421" s="14">
        <v>0</v>
      </c>
      <c r="AA421" s="14">
        <v>5</v>
      </c>
      <c r="AB421" s="10"/>
      <c r="AC421" s="20"/>
    </row>
    <row r="422" spans="1:29" x14ac:dyDescent="0.25">
      <c r="A422" s="10">
        <f>A421</f>
        <v>105</v>
      </c>
      <c r="B422" s="10"/>
      <c r="C422" s="11" t="str">
        <f>SUBSTITUTE(UC!C422,"Old","New")</f>
        <v/>
      </c>
      <c r="D422" s="12"/>
      <c r="E422" s="13" t="str">
        <f t="shared" ref="E422:G424" si="125">E421</f>
        <v>COMELC</v>
      </c>
      <c r="F422" s="13" t="str">
        <f t="shared" si="125"/>
        <v>COMEDUNewOEEUE</v>
      </c>
      <c r="G422" s="13" t="str">
        <f t="shared" si="125"/>
        <v>COMEDUNewOEEUE</v>
      </c>
      <c r="H422" s="14">
        <v>2025</v>
      </c>
      <c r="I422" s="14" t="str">
        <f>I421</f>
        <v>LO</v>
      </c>
      <c r="J422" s="14"/>
      <c r="K422" s="15">
        <f>UC!K422</f>
        <v>-0.66880000000000006</v>
      </c>
      <c r="L422" s="14"/>
      <c r="M422" s="14"/>
      <c r="N422" s="10"/>
      <c r="O422" s="20"/>
      <c r="Q422" s="11" t="str">
        <f>SUBSTITUTE(UC!Q422,"Old","New")</f>
        <v/>
      </c>
      <c r="R422" s="12"/>
      <c r="S422" s="13" t="str">
        <f t="shared" si="115"/>
        <v>COMELC</v>
      </c>
      <c r="T422" s="13" t="str">
        <f t="shared" si="116"/>
        <v>COMEDUNewOEEUE</v>
      </c>
      <c r="U422" s="13" t="str">
        <f t="shared" si="117"/>
        <v>COMEDUNewOEEUE</v>
      </c>
      <c r="V422" s="14">
        <v>2025</v>
      </c>
      <c r="W422" s="14" t="str">
        <f>W421</f>
        <v>UP</v>
      </c>
      <c r="X422" s="14"/>
      <c r="Y422" s="15">
        <f>UC!Y422</f>
        <v>-1</v>
      </c>
      <c r="Z422" s="14"/>
      <c r="AA422" s="14"/>
      <c r="AB422" s="10"/>
      <c r="AC422" s="20"/>
    </row>
    <row r="423" spans="1:29" x14ac:dyDescent="0.25">
      <c r="A423" s="10">
        <f>A422</f>
        <v>105</v>
      </c>
      <c r="B423" s="10"/>
      <c r="C423" s="11" t="str">
        <f>SUBSTITUTE(UC!C423,"Old","New")</f>
        <v/>
      </c>
      <c r="D423" s="12"/>
      <c r="E423" s="13" t="str">
        <f t="shared" si="125"/>
        <v>COMELC</v>
      </c>
      <c r="F423" s="13" t="str">
        <f t="shared" si="125"/>
        <v>COMEDUNewOEEUE</v>
      </c>
      <c r="G423" s="13" t="str">
        <f t="shared" si="125"/>
        <v>COMEDUNewOEEUE</v>
      </c>
      <c r="H423" s="14">
        <v>2030</v>
      </c>
      <c r="I423" s="14" t="str">
        <f>I422</f>
        <v>LO</v>
      </c>
      <c r="J423" s="14"/>
      <c r="K423" s="15">
        <f>UC!K423</f>
        <v>-0.16720000000000002</v>
      </c>
      <c r="L423" s="14"/>
      <c r="M423" s="14"/>
      <c r="N423" s="10"/>
      <c r="O423" s="20"/>
      <c r="Q423" s="11" t="str">
        <f>SUBSTITUTE(UC!Q423,"Old","New")</f>
        <v/>
      </c>
      <c r="R423" s="12"/>
      <c r="S423" s="13" t="str">
        <f t="shared" si="115"/>
        <v>COMELC</v>
      </c>
      <c r="T423" s="13" t="str">
        <f t="shared" si="116"/>
        <v>COMEDUNewOEEUE</v>
      </c>
      <c r="U423" s="13" t="str">
        <f t="shared" si="117"/>
        <v>COMEDUNewOEEUE</v>
      </c>
      <c r="V423" s="14">
        <v>2030</v>
      </c>
      <c r="W423" s="14" t="str">
        <f>W422</f>
        <v>UP</v>
      </c>
      <c r="X423" s="14"/>
      <c r="Y423" s="15">
        <f>UC!Y423</f>
        <v>-1</v>
      </c>
      <c r="Z423" s="14"/>
      <c r="AA423" s="14"/>
      <c r="AB423" s="10"/>
      <c r="AC423" s="20"/>
    </row>
    <row r="424" spans="1:29" x14ac:dyDescent="0.25">
      <c r="A424" s="26">
        <f>A423</f>
        <v>105</v>
      </c>
      <c r="B424" s="26"/>
      <c r="C424" s="21" t="str">
        <f>SUBSTITUTE(UC!C424,"Old","New")</f>
        <v/>
      </c>
      <c r="D424" s="22"/>
      <c r="E424" s="23" t="str">
        <f t="shared" si="125"/>
        <v>COMELC</v>
      </c>
      <c r="F424" s="23" t="str">
        <f t="shared" si="125"/>
        <v>COMEDUNewOEEUE</v>
      </c>
      <c r="G424" s="23" t="str">
        <f t="shared" si="125"/>
        <v>COMEDUNewOEEUE</v>
      </c>
      <c r="H424" s="24">
        <v>2050</v>
      </c>
      <c r="I424" s="24" t="str">
        <f>I423</f>
        <v>LO</v>
      </c>
      <c r="J424" s="24"/>
      <c r="K424" s="25">
        <f>UC!K424</f>
        <v>0</v>
      </c>
      <c r="L424" s="24"/>
      <c r="M424" s="24"/>
      <c r="N424" s="26"/>
      <c r="O424" s="27"/>
      <c r="Q424" s="21" t="str">
        <f>SUBSTITUTE(UC!Q424,"Old","New")</f>
        <v/>
      </c>
      <c r="R424" s="22"/>
      <c r="S424" s="23" t="str">
        <f t="shared" si="115"/>
        <v>COMELC</v>
      </c>
      <c r="T424" s="23" t="str">
        <f t="shared" si="116"/>
        <v>COMEDUNewOEEUE</v>
      </c>
      <c r="U424" s="23" t="str">
        <f t="shared" si="117"/>
        <v>COMEDUNewOEEUE</v>
      </c>
      <c r="V424" s="24">
        <v>2050</v>
      </c>
      <c r="W424" s="24" t="str">
        <f>W423</f>
        <v>UP</v>
      </c>
      <c r="X424" s="24"/>
      <c r="Y424" s="25">
        <f>UC!Y424</f>
        <v>-1</v>
      </c>
      <c r="Z424" s="24"/>
      <c r="AA424" s="24"/>
      <c r="AB424" s="26"/>
      <c r="AC424" s="27"/>
    </row>
    <row r="425" spans="1:29" x14ac:dyDescent="0.25">
      <c r="A425" s="19">
        <f>A421+1</f>
        <v>106</v>
      </c>
      <c r="B425" s="10"/>
      <c r="C425" s="11" t="str">
        <f>SUBSTITUTE(UC!C425,"Old","New")</f>
        <v>UC_MarketShare_COMWARNewSH_ELC_MIN</v>
      </c>
      <c r="D425" s="12"/>
      <c r="E425" s="13" t="str">
        <f>_xlfn.XLOOKUP($A425,Selected_constraint_UC!$A:$A,Selected_constraint_UC!$B:$B)</f>
        <v>COMELC</v>
      </c>
      <c r="F425" s="13" t="str">
        <f>SUBSTITUTE(_xlfn.XLOOKUP($A425,Selected_constraint_UC!$A:$A,Selected_constraint_UC!$C:$C),"Old","New")</f>
        <v>COMWARNewSHEUE</v>
      </c>
      <c r="G425" s="13" t="str">
        <f>F425</f>
        <v>COMWARNewSHEUE</v>
      </c>
      <c r="H425" s="14">
        <v>2019</v>
      </c>
      <c r="I425" s="14" t="s">
        <v>3848</v>
      </c>
      <c r="J425" s="14">
        <v>1</v>
      </c>
      <c r="K425" s="15">
        <f>UC!K425</f>
        <v>-6.9579999999999989E-2</v>
      </c>
      <c r="L425" s="14">
        <v>0</v>
      </c>
      <c r="M425" s="14">
        <v>5</v>
      </c>
      <c r="N425" s="10"/>
      <c r="O425" s="20"/>
      <c r="Q425" s="11" t="str">
        <f>SUBSTITUTE(UC!Q425,"Old","New")</f>
        <v>UC_MarketShare_COMWARNewSH_ELC_MAX</v>
      </c>
      <c r="R425" s="12"/>
      <c r="S425" s="13" t="str">
        <f t="shared" si="115"/>
        <v>COMELC</v>
      </c>
      <c r="T425" s="13" t="str">
        <f t="shared" si="116"/>
        <v>COMWARNewSHEUE</v>
      </c>
      <c r="U425" s="13" t="str">
        <f t="shared" si="117"/>
        <v>COMWARNewSHEUE</v>
      </c>
      <c r="V425" s="14">
        <f>H425</f>
        <v>2019</v>
      </c>
      <c r="W425" s="29" t="s">
        <v>3849</v>
      </c>
      <c r="X425" s="14">
        <v>1</v>
      </c>
      <c r="Y425" s="15">
        <f>UC!Y425</f>
        <v>-7.2999999999999995E-2</v>
      </c>
      <c r="Z425" s="14">
        <v>0</v>
      </c>
      <c r="AA425" s="14">
        <v>5</v>
      </c>
      <c r="AB425" s="10"/>
      <c r="AC425" s="20"/>
    </row>
    <row r="426" spans="1:29" x14ac:dyDescent="0.25">
      <c r="A426" s="10">
        <f>A425</f>
        <v>106</v>
      </c>
      <c r="B426" s="10"/>
      <c r="C426" s="11" t="str">
        <f>SUBSTITUTE(UC!C426,"Old","New")</f>
        <v/>
      </c>
      <c r="D426" s="12"/>
      <c r="E426" s="13" t="str">
        <f t="shared" ref="E426:G428" si="126">E425</f>
        <v>COMELC</v>
      </c>
      <c r="F426" s="13" t="str">
        <f t="shared" si="126"/>
        <v>COMWARNewSHEUE</v>
      </c>
      <c r="G426" s="13" t="str">
        <f t="shared" si="126"/>
        <v>COMWARNewSHEUE</v>
      </c>
      <c r="H426" s="14">
        <v>2025</v>
      </c>
      <c r="I426" s="14" t="str">
        <f>I425</f>
        <v>LO</v>
      </c>
      <c r="J426" s="14"/>
      <c r="K426" s="15">
        <f>UC!K426</f>
        <v>-5.6799999999999996E-2</v>
      </c>
      <c r="L426" s="14"/>
      <c r="M426" s="14"/>
      <c r="N426" s="10"/>
      <c r="O426" s="20"/>
      <c r="Q426" s="11" t="str">
        <f>SUBSTITUTE(UC!Q426,"Old","New")</f>
        <v/>
      </c>
      <c r="R426" s="12"/>
      <c r="S426" s="13" t="str">
        <f t="shared" si="115"/>
        <v>COMELC</v>
      </c>
      <c r="T426" s="13" t="str">
        <f t="shared" si="116"/>
        <v>COMWARNewSHEUE</v>
      </c>
      <c r="U426" s="13" t="str">
        <f t="shared" si="117"/>
        <v>COMWARNewSHEUE</v>
      </c>
      <c r="V426" s="14">
        <v>2025</v>
      </c>
      <c r="W426" s="14" t="str">
        <f>W425</f>
        <v>UP</v>
      </c>
      <c r="X426" s="14"/>
      <c r="Y426" s="15">
        <f>UC!Y426</f>
        <v>-0.25</v>
      </c>
      <c r="Z426" s="14"/>
      <c r="AA426" s="14"/>
      <c r="AB426" s="10"/>
      <c r="AC426" s="20"/>
    </row>
    <row r="427" spans="1:29" x14ac:dyDescent="0.25">
      <c r="A427" s="10">
        <f>A426</f>
        <v>106</v>
      </c>
      <c r="B427" s="10"/>
      <c r="C427" s="11" t="str">
        <f>SUBSTITUTE(UC!C427,"Old","New")</f>
        <v/>
      </c>
      <c r="D427" s="12"/>
      <c r="E427" s="13" t="str">
        <f t="shared" si="126"/>
        <v>COMELC</v>
      </c>
      <c r="F427" s="13" t="str">
        <f t="shared" si="126"/>
        <v>COMWARNewSHEUE</v>
      </c>
      <c r="G427" s="13" t="str">
        <f t="shared" si="126"/>
        <v>COMWARNewSHEUE</v>
      </c>
      <c r="H427" s="14">
        <v>2030</v>
      </c>
      <c r="I427" s="14" t="str">
        <f>I426</f>
        <v>LO</v>
      </c>
      <c r="J427" s="14"/>
      <c r="K427" s="15">
        <f>UC!K427</f>
        <v>-5.3249999999999992E-2</v>
      </c>
      <c r="L427" s="14"/>
      <c r="M427" s="14"/>
      <c r="N427" s="10"/>
      <c r="O427" s="20"/>
      <c r="Q427" s="11" t="str">
        <f>SUBSTITUTE(UC!Q427,"Old","New")</f>
        <v/>
      </c>
      <c r="R427" s="12"/>
      <c r="S427" s="13" t="str">
        <f t="shared" si="115"/>
        <v>COMELC</v>
      </c>
      <c r="T427" s="13" t="str">
        <f t="shared" si="116"/>
        <v>COMWARNewSHEUE</v>
      </c>
      <c r="U427" s="13" t="str">
        <f t="shared" si="117"/>
        <v>COMWARNewSHEUE</v>
      </c>
      <c r="V427" s="14">
        <v>2030</v>
      </c>
      <c r="W427" s="14" t="str">
        <f>W426</f>
        <v>UP</v>
      </c>
      <c r="X427" s="14"/>
      <c r="Y427" s="15">
        <f>UC!Y427</f>
        <v>-0.5</v>
      </c>
      <c r="Z427" s="14"/>
      <c r="AA427" s="14"/>
      <c r="AB427" s="10"/>
      <c r="AC427" s="20"/>
    </row>
    <row r="428" spans="1:29" x14ac:dyDescent="0.25">
      <c r="A428" s="26">
        <f>A427</f>
        <v>106</v>
      </c>
      <c r="B428" s="26"/>
      <c r="C428" s="21" t="str">
        <f>SUBSTITUTE(UC!C428,"Old","New")</f>
        <v/>
      </c>
      <c r="D428" s="22"/>
      <c r="E428" s="23" t="str">
        <f t="shared" si="126"/>
        <v>COMELC</v>
      </c>
      <c r="F428" s="23" t="str">
        <f t="shared" si="126"/>
        <v>COMWARNewSHEUE</v>
      </c>
      <c r="G428" s="23" t="str">
        <f t="shared" si="126"/>
        <v>COMWARNewSHEUE</v>
      </c>
      <c r="H428" s="24">
        <v>2050</v>
      </c>
      <c r="I428" s="24" t="str">
        <f>I427</f>
        <v>LO</v>
      </c>
      <c r="J428" s="24"/>
      <c r="K428" s="25">
        <f>UC!K428</f>
        <v>-5.3249999999999992E-2</v>
      </c>
      <c r="L428" s="24"/>
      <c r="M428" s="24"/>
      <c r="N428" s="26"/>
      <c r="O428" s="27"/>
      <c r="Q428" s="21" t="str">
        <f>SUBSTITUTE(UC!Q428,"Old","New")</f>
        <v/>
      </c>
      <c r="R428" s="22"/>
      <c r="S428" s="23" t="str">
        <f t="shared" si="115"/>
        <v>COMELC</v>
      </c>
      <c r="T428" s="23" t="str">
        <f t="shared" si="116"/>
        <v>COMWARNewSHEUE</v>
      </c>
      <c r="U428" s="23" t="str">
        <f t="shared" si="117"/>
        <v>COMWARNewSHEUE</v>
      </c>
      <c r="V428" s="24">
        <v>2050</v>
      </c>
      <c r="W428" s="24" t="str">
        <f>W427</f>
        <v>UP</v>
      </c>
      <c r="X428" s="24"/>
      <c r="Y428" s="25">
        <f>UC!Y428</f>
        <v>-1</v>
      </c>
      <c r="Z428" s="24"/>
      <c r="AA428" s="24"/>
      <c r="AB428" s="26"/>
      <c r="AC428" s="27"/>
    </row>
    <row r="429" spans="1:29" x14ac:dyDescent="0.25">
      <c r="A429" s="19">
        <f>A425+1</f>
        <v>107</v>
      </c>
      <c r="B429" s="10"/>
      <c r="C429" s="11" t="str">
        <f>SUBSTITUTE(UC!C429,"Old","New")</f>
        <v>UC_MarketShare_COMWARNewSH_NGA_MIN</v>
      </c>
      <c r="D429" s="12"/>
      <c r="E429" s="13" t="str">
        <f>_xlfn.XLOOKUP($A429,Selected_constraint_UC!$A:$A,Selected_constraint_UC!$B:$B)</f>
        <v>COMNGA</v>
      </c>
      <c r="F429" s="13" t="str">
        <f>SUBSTITUTE(_xlfn.XLOOKUP($A429,Selected_constraint_UC!$A:$A,Selected_constraint_UC!$C:$C),"Old","New")</f>
        <v>COMWARNewSHEUE</v>
      </c>
      <c r="G429" s="13" t="str">
        <f>F429</f>
        <v>COMWARNewSHEUE</v>
      </c>
      <c r="H429" s="14">
        <v>2019</v>
      </c>
      <c r="I429" s="14" t="s">
        <v>3848</v>
      </c>
      <c r="J429" s="14">
        <v>1</v>
      </c>
      <c r="K429" s="15">
        <f>UC!K429</f>
        <v>-0.82516</v>
      </c>
      <c r="L429" s="14">
        <v>0</v>
      </c>
      <c r="M429" s="14">
        <v>5</v>
      </c>
      <c r="N429" s="10"/>
      <c r="O429" s="20"/>
      <c r="Q429" s="11" t="str">
        <f>SUBSTITUTE(UC!Q429,"Old","New")</f>
        <v>UC_MarketShare_COMWARNewSH_NGA_MAX</v>
      </c>
      <c r="R429" s="12"/>
      <c r="S429" s="13" t="str">
        <f t="shared" si="115"/>
        <v>COMNGA</v>
      </c>
      <c r="T429" s="13" t="str">
        <f t="shared" si="116"/>
        <v>COMWARNewSHEUE</v>
      </c>
      <c r="U429" s="13" t="str">
        <f t="shared" si="117"/>
        <v>COMWARNewSHEUE</v>
      </c>
      <c r="V429" s="14">
        <f>H429</f>
        <v>2019</v>
      </c>
      <c r="W429" s="29" t="s">
        <v>3849</v>
      </c>
      <c r="X429" s="14">
        <v>1</v>
      </c>
      <c r="Y429" s="15">
        <f>UC!Y429</f>
        <v>-0.85899999999999999</v>
      </c>
      <c r="Z429" s="14">
        <v>0</v>
      </c>
      <c r="AA429" s="14">
        <v>5</v>
      </c>
      <c r="AB429" s="10"/>
      <c r="AC429" s="20"/>
    </row>
    <row r="430" spans="1:29" x14ac:dyDescent="0.25">
      <c r="A430" s="10">
        <f>A429</f>
        <v>107</v>
      </c>
      <c r="B430" s="10"/>
      <c r="C430" s="11" t="str">
        <f>SUBSTITUTE(UC!C430,"Old","New")</f>
        <v/>
      </c>
      <c r="D430" s="12"/>
      <c r="E430" s="13" t="str">
        <f t="shared" ref="E430:G432" si="127">E429</f>
        <v>COMNGA</v>
      </c>
      <c r="F430" s="13" t="str">
        <f t="shared" si="127"/>
        <v>COMWARNewSHEUE</v>
      </c>
      <c r="G430" s="13" t="str">
        <f t="shared" si="127"/>
        <v>COMWARNewSHEUE</v>
      </c>
      <c r="H430" s="14">
        <v>2025</v>
      </c>
      <c r="I430" s="14" t="str">
        <f>I429</f>
        <v>LO</v>
      </c>
      <c r="J430" s="14"/>
      <c r="K430" s="15">
        <f>UC!K430</f>
        <v>-0.67359999999999998</v>
      </c>
      <c r="L430" s="14"/>
      <c r="M430" s="14"/>
      <c r="N430" s="10"/>
      <c r="O430" s="20"/>
      <c r="Q430" s="11" t="str">
        <f>SUBSTITUTE(UC!Q430,"Old","New")</f>
        <v/>
      </c>
      <c r="R430" s="12"/>
      <c r="S430" s="13" t="str">
        <f t="shared" si="115"/>
        <v>COMNGA</v>
      </c>
      <c r="T430" s="13" t="str">
        <f t="shared" si="116"/>
        <v>COMWARNewSHEUE</v>
      </c>
      <c r="U430" s="13" t="str">
        <f t="shared" si="117"/>
        <v>COMWARNewSHEUE</v>
      </c>
      <c r="V430" s="14">
        <v>2025</v>
      </c>
      <c r="W430" s="14" t="str">
        <f>W429</f>
        <v>UP</v>
      </c>
      <c r="X430" s="14"/>
      <c r="Y430" s="15">
        <f>UC!Y430</f>
        <v>-1</v>
      </c>
      <c r="Z430" s="14"/>
      <c r="AA430" s="14"/>
      <c r="AB430" s="10"/>
      <c r="AC430" s="20"/>
    </row>
    <row r="431" spans="1:29" x14ac:dyDescent="0.25">
      <c r="A431" s="10">
        <f>A430</f>
        <v>107</v>
      </c>
      <c r="B431" s="10"/>
      <c r="C431" s="11" t="str">
        <f>SUBSTITUTE(UC!C431,"Old","New")</f>
        <v/>
      </c>
      <c r="D431" s="12"/>
      <c r="E431" s="13" t="str">
        <f t="shared" si="127"/>
        <v>COMNGA</v>
      </c>
      <c r="F431" s="13" t="str">
        <f t="shared" si="127"/>
        <v>COMWARNewSHEUE</v>
      </c>
      <c r="G431" s="13" t="str">
        <f t="shared" si="127"/>
        <v>COMWARNewSHEUE</v>
      </c>
      <c r="H431" s="14">
        <v>2030</v>
      </c>
      <c r="I431" s="14" t="str">
        <f>I430</f>
        <v>LO</v>
      </c>
      <c r="J431" s="14"/>
      <c r="K431" s="15">
        <f>UC!K431</f>
        <v>-0.16839999999999999</v>
      </c>
      <c r="L431" s="14"/>
      <c r="M431" s="14"/>
      <c r="N431" s="10"/>
      <c r="O431" s="20"/>
      <c r="Q431" s="11" t="str">
        <f>SUBSTITUTE(UC!Q431,"Old","New")</f>
        <v/>
      </c>
      <c r="R431" s="12"/>
      <c r="S431" s="13" t="str">
        <f t="shared" si="115"/>
        <v>COMNGA</v>
      </c>
      <c r="T431" s="13" t="str">
        <f t="shared" si="116"/>
        <v>COMWARNewSHEUE</v>
      </c>
      <c r="U431" s="13" t="str">
        <f t="shared" si="117"/>
        <v>COMWARNewSHEUE</v>
      </c>
      <c r="V431" s="14">
        <v>2030</v>
      </c>
      <c r="W431" s="14" t="str">
        <f>W430</f>
        <v>UP</v>
      </c>
      <c r="X431" s="14"/>
      <c r="Y431" s="15">
        <f>UC!Y431</f>
        <v>-1</v>
      </c>
      <c r="Z431" s="14"/>
      <c r="AA431" s="14"/>
      <c r="AB431" s="10"/>
      <c r="AC431" s="20"/>
    </row>
    <row r="432" spans="1:29" x14ac:dyDescent="0.25">
      <c r="A432" s="26">
        <f>A431</f>
        <v>107</v>
      </c>
      <c r="B432" s="26"/>
      <c r="C432" s="21" t="str">
        <f>SUBSTITUTE(UC!C432,"Old","New")</f>
        <v/>
      </c>
      <c r="D432" s="22"/>
      <c r="E432" s="23" t="str">
        <f t="shared" si="127"/>
        <v>COMNGA</v>
      </c>
      <c r="F432" s="23" t="str">
        <f t="shared" si="127"/>
        <v>COMWARNewSHEUE</v>
      </c>
      <c r="G432" s="23" t="str">
        <f t="shared" si="127"/>
        <v>COMWARNewSHEUE</v>
      </c>
      <c r="H432" s="24">
        <v>2050</v>
      </c>
      <c r="I432" s="24" t="str">
        <f>I431</f>
        <v>LO</v>
      </c>
      <c r="J432" s="24"/>
      <c r="K432" s="25">
        <f>UC!K432</f>
        <v>0</v>
      </c>
      <c r="L432" s="24"/>
      <c r="M432" s="24"/>
      <c r="N432" s="26"/>
      <c r="O432" s="27"/>
      <c r="Q432" s="21" t="str">
        <f>SUBSTITUTE(UC!Q432,"Old","New")</f>
        <v/>
      </c>
      <c r="R432" s="22"/>
      <c r="S432" s="23" t="str">
        <f t="shared" si="115"/>
        <v>COMNGA</v>
      </c>
      <c r="T432" s="23" t="str">
        <f t="shared" si="116"/>
        <v>COMWARNewSHEUE</v>
      </c>
      <c r="U432" s="23" t="str">
        <f t="shared" si="117"/>
        <v>COMWARNewSHEUE</v>
      </c>
      <c r="V432" s="24">
        <v>2050</v>
      </c>
      <c r="W432" s="24" t="str">
        <f>W431</f>
        <v>UP</v>
      </c>
      <c r="X432" s="24"/>
      <c r="Y432" s="25">
        <f>UC!Y432</f>
        <v>-1</v>
      </c>
      <c r="Z432" s="24"/>
      <c r="AA432" s="24"/>
      <c r="AB432" s="26"/>
      <c r="AC432" s="27"/>
    </row>
    <row r="433" spans="1:29" x14ac:dyDescent="0.25">
      <c r="A433" s="19">
        <f>A429+1</f>
        <v>108</v>
      </c>
      <c r="B433" s="10"/>
      <c r="C433" s="11" t="str">
        <f>SUBSTITUTE(UC!C433,"Old","New")</f>
        <v>UC_MarketShare_COMWARNewSH_FOI_MIN</v>
      </c>
      <c r="D433" s="12"/>
      <c r="E433" s="13" t="str">
        <f>_xlfn.XLOOKUP($A433,Selected_constraint_UC!$A:$A,Selected_constraint_UC!$B:$B)</f>
        <v>COMFOI</v>
      </c>
      <c r="F433" s="13" t="str">
        <f>SUBSTITUTE(_xlfn.XLOOKUP($A433,Selected_constraint_UC!$A:$A,Selected_constraint_UC!$C:$C),"Old","New")</f>
        <v>COMWARNewSHEUE</v>
      </c>
      <c r="G433" s="13" t="str">
        <f>F433</f>
        <v>COMWARNewSHEUE</v>
      </c>
      <c r="H433" s="14">
        <v>2019</v>
      </c>
      <c r="I433" s="14" t="s">
        <v>3848</v>
      </c>
      <c r="J433" s="14">
        <v>1</v>
      </c>
      <c r="K433" s="15">
        <f>UC!K433</f>
        <v>-6.1739999999999996E-2</v>
      </c>
      <c r="L433" s="14">
        <v>0</v>
      </c>
      <c r="M433" s="14">
        <v>5</v>
      </c>
      <c r="N433" s="10"/>
      <c r="O433" s="20"/>
      <c r="Q433" s="11" t="str">
        <f>SUBSTITUTE(UC!Q433,"Old","New")</f>
        <v>UC_MarketShare_COMWARNewSH_FOI_MAX</v>
      </c>
      <c r="R433" s="12"/>
      <c r="S433" s="13" t="str">
        <f t="shared" si="115"/>
        <v>COMFOI</v>
      </c>
      <c r="T433" s="13" t="str">
        <f t="shared" si="116"/>
        <v>COMWARNewSHEUE</v>
      </c>
      <c r="U433" s="13" t="str">
        <f t="shared" si="117"/>
        <v>COMWARNewSHEUE</v>
      </c>
      <c r="V433" s="14">
        <f>H433</f>
        <v>2019</v>
      </c>
      <c r="W433" s="29" t="s">
        <v>3849</v>
      </c>
      <c r="X433" s="14">
        <v>1</v>
      </c>
      <c r="Y433" s="15">
        <f>UC!Y433</f>
        <v>-6.5000000000000002E-2</v>
      </c>
      <c r="Z433" s="14">
        <v>0</v>
      </c>
      <c r="AA433" s="14">
        <v>5</v>
      </c>
      <c r="AB433" s="10"/>
      <c r="AC433" s="20"/>
    </row>
    <row r="434" spans="1:29" x14ac:dyDescent="0.25">
      <c r="A434" s="10">
        <f>A433</f>
        <v>108</v>
      </c>
      <c r="B434" s="10"/>
      <c r="C434" s="11" t="str">
        <f>SUBSTITUTE(UC!C434,"Old","New")</f>
        <v/>
      </c>
      <c r="D434" s="12"/>
      <c r="E434" s="13" t="str">
        <f t="shared" ref="E434:G436" si="128">E433</f>
        <v>COMFOI</v>
      </c>
      <c r="F434" s="13" t="str">
        <f t="shared" si="128"/>
        <v>COMWARNewSHEUE</v>
      </c>
      <c r="G434" s="13" t="str">
        <f t="shared" si="128"/>
        <v>COMWARNewSHEUE</v>
      </c>
      <c r="H434" s="14">
        <v>2025</v>
      </c>
      <c r="I434" s="14" t="str">
        <f>I433</f>
        <v>LO</v>
      </c>
      <c r="J434" s="14"/>
      <c r="K434" s="15">
        <f>UC!K434</f>
        <v>-5.04E-2</v>
      </c>
      <c r="L434" s="14"/>
      <c r="M434" s="14"/>
      <c r="N434" s="10"/>
      <c r="O434" s="20"/>
      <c r="Q434" s="11" t="str">
        <f>SUBSTITUTE(UC!Q434,"Old","New")</f>
        <v/>
      </c>
      <c r="R434" s="12"/>
      <c r="S434" s="13" t="str">
        <f t="shared" si="115"/>
        <v>COMFOI</v>
      </c>
      <c r="T434" s="13" t="str">
        <f t="shared" si="116"/>
        <v>COMWARNewSHEUE</v>
      </c>
      <c r="U434" s="13" t="str">
        <f t="shared" si="117"/>
        <v>COMWARNewSHEUE</v>
      </c>
      <c r="V434" s="14">
        <v>2025</v>
      </c>
      <c r="W434" s="14" t="str">
        <f>W433</f>
        <v>UP</v>
      </c>
      <c r="X434" s="14"/>
      <c r="Y434" s="15">
        <f>UC!Y434</f>
        <v>-7.6999999999999999E-2</v>
      </c>
      <c r="Z434" s="14"/>
      <c r="AA434" s="14"/>
      <c r="AB434" s="10"/>
      <c r="AC434" s="20"/>
    </row>
    <row r="435" spans="1:29" x14ac:dyDescent="0.25">
      <c r="A435" s="10">
        <f>A434</f>
        <v>108</v>
      </c>
      <c r="B435" s="10"/>
      <c r="C435" s="11" t="str">
        <f>SUBSTITUTE(UC!C435,"Old","New")</f>
        <v/>
      </c>
      <c r="D435" s="12"/>
      <c r="E435" s="13" t="str">
        <f t="shared" si="128"/>
        <v>COMFOI</v>
      </c>
      <c r="F435" s="13" t="str">
        <f t="shared" si="128"/>
        <v>COMWARNewSHEUE</v>
      </c>
      <c r="G435" s="13" t="str">
        <f t="shared" si="128"/>
        <v>COMWARNewSHEUE</v>
      </c>
      <c r="H435" s="14">
        <v>2030</v>
      </c>
      <c r="I435" s="14" t="str">
        <f>I434</f>
        <v>LO</v>
      </c>
      <c r="J435" s="14"/>
      <c r="K435" s="15">
        <f>UC!K435</f>
        <v>-1.26E-2</v>
      </c>
      <c r="L435" s="14"/>
      <c r="M435" s="14"/>
      <c r="N435" s="10"/>
      <c r="O435" s="20"/>
      <c r="Q435" s="11" t="str">
        <f>SUBSTITUTE(UC!Q435,"Old","New")</f>
        <v/>
      </c>
      <c r="R435" s="12"/>
      <c r="S435" s="13" t="str">
        <f t="shared" si="115"/>
        <v>COMFOI</v>
      </c>
      <c r="T435" s="13" t="str">
        <f t="shared" si="116"/>
        <v>COMWARNewSHEUE</v>
      </c>
      <c r="U435" s="13" t="str">
        <f t="shared" si="117"/>
        <v>COMWARNewSHEUE</v>
      </c>
      <c r="V435" s="14">
        <v>2030</v>
      </c>
      <c r="W435" s="14" t="str">
        <f>W434</f>
        <v>UP</v>
      </c>
      <c r="X435" s="14"/>
      <c r="Y435" s="15">
        <f>UC!Y435</f>
        <v>-9.6000000000000002E-2</v>
      </c>
      <c r="Z435" s="14"/>
      <c r="AA435" s="14"/>
      <c r="AB435" s="10"/>
      <c r="AC435" s="20"/>
    </row>
    <row r="436" spans="1:29" x14ac:dyDescent="0.25">
      <c r="A436" s="26">
        <f>A435</f>
        <v>108</v>
      </c>
      <c r="B436" s="26"/>
      <c r="C436" s="21" t="str">
        <f>SUBSTITUTE(UC!C436,"Old","New")</f>
        <v/>
      </c>
      <c r="D436" s="22"/>
      <c r="E436" s="23" t="str">
        <f t="shared" si="128"/>
        <v>COMFOI</v>
      </c>
      <c r="F436" s="23" t="str">
        <f t="shared" si="128"/>
        <v>COMWARNewSHEUE</v>
      </c>
      <c r="G436" s="23" t="str">
        <f t="shared" si="128"/>
        <v>COMWARNewSHEUE</v>
      </c>
      <c r="H436" s="24">
        <v>2050</v>
      </c>
      <c r="I436" s="24" t="str">
        <f>I435</f>
        <v>LO</v>
      </c>
      <c r="J436" s="24"/>
      <c r="K436" s="25">
        <f>UC!K436</f>
        <v>0</v>
      </c>
      <c r="L436" s="24"/>
      <c r="M436" s="24"/>
      <c r="N436" s="26"/>
      <c r="O436" s="27"/>
      <c r="Q436" s="21" t="str">
        <f>SUBSTITUTE(UC!Q436,"Old","New")</f>
        <v/>
      </c>
      <c r="R436" s="22"/>
      <c r="S436" s="23" t="str">
        <f t="shared" si="115"/>
        <v>COMFOI</v>
      </c>
      <c r="T436" s="23" t="str">
        <f t="shared" si="116"/>
        <v>COMWARNewSHEUE</v>
      </c>
      <c r="U436" s="23" t="str">
        <f t="shared" si="117"/>
        <v>COMWARNewSHEUE</v>
      </c>
      <c r="V436" s="24">
        <v>2050</v>
      </c>
      <c r="W436" s="24" t="str">
        <f>W435</f>
        <v>UP</v>
      </c>
      <c r="X436" s="24"/>
      <c r="Y436" s="25">
        <f>UC!Y436</f>
        <v>-0.191</v>
      </c>
      <c r="Z436" s="24"/>
      <c r="AA436" s="24"/>
      <c r="AB436" s="26"/>
      <c r="AC436" s="27"/>
    </row>
    <row r="437" spans="1:29" x14ac:dyDescent="0.25">
      <c r="A437" s="19">
        <f>A433+1</f>
        <v>109</v>
      </c>
      <c r="B437" s="10"/>
      <c r="C437" s="11" t="str">
        <f>SUBSTITUTE(UC!C437,"Old","New")</f>
        <v>*</v>
      </c>
      <c r="D437" s="12"/>
      <c r="E437" s="13" t="str">
        <f>_xlfn.XLOOKUP($A437,Selected_constraint_UC!$A:$A,Selected_constraint_UC!$B:$B)</f>
        <v>COMLPG</v>
      </c>
      <c r="F437" s="13" t="str">
        <f>SUBSTITUTE(_xlfn.XLOOKUP($A437,Selected_constraint_UC!$A:$A,Selected_constraint_UC!$C:$C),"Old","New")</f>
        <v>COMWARNewSHEUE</v>
      </c>
      <c r="G437" s="13" t="str">
        <f>F437</f>
        <v>COMWARNewSHEUE</v>
      </c>
      <c r="H437" s="14">
        <v>2019</v>
      </c>
      <c r="I437" s="14" t="s">
        <v>3848</v>
      </c>
      <c r="J437" s="14">
        <v>1</v>
      </c>
      <c r="K437" s="15">
        <f>UC!K437</f>
        <v>0</v>
      </c>
      <c r="L437" s="14">
        <v>0</v>
      </c>
      <c r="M437" s="14">
        <v>5</v>
      </c>
      <c r="N437" s="10"/>
      <c r="O437" s="20"/>
      <c r="Q437" s="11" t="str">
        <f>SUBSTITUTE(UC!Q437,"Old","New")</f>
        <v>*</v>
      </c>
      <c r="R437" s="12"/>
      <c r="S437" s="13" t="str">
        <f t="shared" si="115"/>
        <v>COMLPG</v>
      </c>
      <c r="T437" s="13" t="str">
        <f t="shared" si="116"/>
        <v>COMWARNewSHEUE</v>
      </c>
      <c r="U437" s="13" t="str">
        <f t="shared" si="117"/>
        <v>COMWARNewSHEUE</v>
      </c>
      <c r="V437" s="14">
        <f>H437</f>
        <v>2019</v>
      </c>
      <c r="W437" s="29" t="s">
        <v>3849</v>
      </c>
      <c r="X437" s="14">
        <v>1</v>
      </c>
      <c r="Y437" s="15">
        <f>UC!Y437</f>
        <v>0</v>
      </c>
      <c r="Z437" s="14">
        <v>0</v>
      </c>
      <c r="AA437" s="14">
        <v>5</v>
      </c>
      <c r="AB437" s="10"/>
      <c r="AC437" s="20"/>
    </row>
    <row r="438" spans="1:29" x14ac:dyDescent="0.25">
      <c r="A438" s="10">
        <f>A437</f>
        <v>109</v>
      </c>
      <c r="B438" s="10"/>
      <c r="C438" s="11" t="str">
        <f>SUBSTITUTE(UC!C438,"Old","New")</f>
        <v>*</v>
      </c>
      <c r="D438" s="12"/>
      <c r="E438" s="13" t="str">
        <f t="shared" ref="E438:G440" si="129">E437</f>
        <v>COMLPG</v>
      </c>
      <c r="F438" s="13" t="str">
        <f t="shared" si="129"/>
        <v>COMWARNewSHEUE</v>
      </c>
      <c r="G438" s="13" t="str">
        <f t="shared" si="129"/>
        <v>COMWARNewSHEUE</v>
      </c>
      <c r="H438" s="14">
        <v>2025</v>
      </c>
      <c r="I438" s="14" t="str">
        <f>I437</f>
        <v>LO</v>
      </c>
      <c r="J438" s="14"/>
      <c r="K438" s="15">
        <f>UC!K438</f>
        <v>0</v>
      </c>
      <c r="L438" s="14"/>
      <c r="M438" s="14"/>
      <c r="N438" s="10"/>
      <c r="O438" s="20"/>
      <c r="Q438" s="11" t="str">
        <f>SUBSTITUTE(UC!Q438,"Old","New")</f>
        <v>*</v>
      </c>
      <c r="R438" s="12"/>
      <c r="S438" s="13" t="str">
        <f t="shared" si="115"/>
        <v>COMLPG</v>
      </c>
      <c r="T438" s="13" t="str">
        <f t="shared" si="116"/>
        <v>COMWARNewSHEUE</v>
      </c>
      <c r="U438" s="13" t="str">
        <f t="shared" si="117"/>
        <v>COMWARNewSHEUE</v>
      </c>
      <c r="V438" s="14">
        <v>2025</v>
      </c>
      <c r="W438" s="14" t="str">
        <f>W437</f>
        <v>UP</v>
      </c>
      <c r="X438" s="14"/>
      <c r="Y438" s="15">
        <f>UC!Y438</f>
        <v>0</v>
      </c>
      <c r="Z438" s="14"/>
      <c r="AA438" s="14"/>
      <c r="AB438" s="10"/>
      <c r="AC438" s="20"/>
    </row>
    <row r="439" spans="1:29" x14ac:dyDescent="0.25">
      <c r="A439" s="10">
        <f>A438</f>
        <v>109</v>
      </c>
      <c r="B439" s="10"/>
      <c r="C439" s="11" t="str">
        <f>SUBSTITUTE(UC!C439,"Old","New")</f>
        <v>*</v>
      </c>
      <c r="D439" s="12"/>
      <c r="E439" s="13" t="str">
        <f t="shared" si="129"/>
        <v>COMLPG</v>
      </c>
      <c r="F439" s="13" t="str">
        <f t="shared" si="129"/>
        <v>COMWARNewSHEUE</v>
      </c>
      <c r="G439" s="13" t="str">
        <f t="shared" si="129"/>
        <v>COMWARNewSHEUE</v>
      </c>
      <c r="H439" s="14">
        <v>2030</v>
      </c>
      <c r="I439" s="14" t="str">
        <f>I438</f>
        <v>LO</v>
      </c>
      <c r="J439" s="14"/>
      <c r="K439" s="15">
        <f>UC!K439</f>
        <v>0</v>
      </c>
      <c r="L439" s="14"/>
      <c r="M439" s="14"/>
      <c r="N439" s="10"/>
      <c r="O439" s="20"/>
      <c r="Q439" s="11" t="str">
        <f>SUBSTITUTE(UC!Q439,"Old","New")</f>
        <v>*</v>
      </c>
      <c r="R439" s="12"/>
      <c r="S439" s="13" t="str">
        <f t="shared" si="115"/>
        <v>COMLPG</v>
      </c>
      <c r="T439" s="13" t="str">
        <f t="shared" si="116"/>
        <v>COMWARNewSHEUE</v>
      </c>
      <c r="U439" s="13" t="str">
        <f t="shared" si="117"/>
        <v>COMWARNewSHEUE</v>
      </c>
      <c r="V439" s="14">
        <v>2030</v>
      </c>
      <c r="W439" s="14" t="str">
        <f>W438</f>
        <v>UP</v>
      </c>
      <c r="X439" s="14"/>
      <c r="Y439" s="15">
        <f>UC!Y439</f>
        <v>0</v>
      </c>
      <c r="Z439" s="14"/>
      <c r="AA439" s="14"/>
      <c r="AB439" s="10"/>
      <c r="AC439" s="20"/>
    </row>
    <row r="440" spans="1:29" x14ac:dyDescent="0.25">
      <c r="A440" s="26">
        <f>A439</f>
        <v>109</v>
      </c>
      <c r="B440" s="26"/>
      <c r="C440" s="21" t="str">
        <f>SUBSTITUTE(UC!C440,"Old","New")</f>
        <v>*</v>
      </c>
      <c r="D440" s="22"/>
      <c r="E440" s="23" t="str">
        <f t="shared" si="129"/>
        <v>COMLPG</v>
      </c>
      <c r="F440" s="23" t="str">
        <f t="shared" si="129"/>
        <v>COMWARNewSHEUE</v>
      </c>
      <c r="G440" s="23" t="str">
        <f t="shared" si="129"/>
        <v>COMWARNewSHEUE</v>
      </c>
      <c r="H440" s="24">
        <v>2050</v>
      </c>
      <c r="I440" s="24" t="str">
        <f>I439</f>
        <v>LO</v>
      </c>
      <c r="J440" s="24"/>
      <c r="K440" s="25">
        <f>UC!K440</f>
        <v>0</v>
      </c>
      <c r="L440" s="24"/>
      <c r="M440" s="24"/>
      <c r="N440" s="26"/>
      <c r="O440" s="27"/>
      <c r="Q440" s="21" t="str">
        <f>SUBSTITUTE(UC!Q440,"Old","New")</f>
        <v>*</v>
      </c>
      <c r="R440" s="22"/>
      <c r="S440" s="23" t="str">
        <f t="shared" si="115"/>
        <v>COMLPG</v>
      </c>
      <c r="T440" s="23" t="str">
        <f t="shared" si="116"/>
        <v>COMWARNewSHEUE</v>
      </c>
      <c r="U440" s="23" t="str">
        <f t="shared" si="117"/>
        <v>COMWARNewSHEUE</v>
      </c>
      <c r="V440" s="24">
        <v>2050</v>
      </c>
      <c r="W440" s="24" t="str">
        <f>W439</f>
        <v>UP</v>
      </c>
      <c r="X440" s="24"/>
      <c r="Y440" s="25">
        <f>UC!Y440</f>
        <v>0</v>
      </c>
      <c r="Z440" s="24"/>
      <c r="AA440" s="24"/>
      <c r="AB440" s="26"/>
      <c r="AC440" s="27"/>
    </row>
    <row r="441" spans="1:29" x14ac:dyDescent="0.25">
      <c r="A441" s="19">
        <f>A437+1</f>
        <v>110</v>
      </c>
      <c r="B441" s="10"/>
      <c r="C441" s="11" t="str">
        <f>SUBSTITUTE(UC!C441,"Old","New")</f>
        <v>*</v>
      </c>
      <c r="D441" s="12"/>
      <c r="E441" s="13" t="str">
        <f>_xlfn.XLOOKUP($A441,Selected_constraint_UC!$A:$A,Selected_constraint_UC!$B:$B)</f>
        <v>COMSTM</v>
      </c>
      <c r="F441" s="13" t="str">
        <f>SUBSTITUTE(_xlfn.XLOOKUP($A441,Selected_constraint_UC!$A:$A,Selected_constraint_UC!$C:$C),"Old","New")</f>
        <v>COMWARNewSHEUE</v>
      </c>
      <c r="G441" s="13" t="str">
        <f>F441</f>
        <v>COMWARNewSHEUE</v>
      </c>
      <c r="H441" s="14">
        <v>2019</v>
      </c>
      <c r="I441" s="14" t="s">
        <v>3848</v>
      </c>
      <c r="J441" s="14">
        <v>1</v>
      </c>
      <c r="K441" s="15">
        <f>UC!K441</f>
        <v>-2.2539999999999998E-2</v>
      </c>
      <c r="L441" s="14">
        <v>0</v>
      </c>
      <c r="M441" s="14">
        <v>5</v>
      </c>
      <c r="N441" s="10"/>
      <c r="O441" s="20"/>
      <c r="Q441" s="11" t="str">
        <f>SUBSTITUTE(UC!Q441,"Old","New")</f>
        <v>*</v>
      </c>
      <c r="R441" s="12"/>
      <c r="S441" s="13" t="str">
        <f t="shared" si="115"/>
        <v>COMSTM</v>
      </c>
      <c r="T441" s="13" t="str">
        <f t="shared" si="116"/>
        <v>COMWARNewSHEUE</v>
      </c>
      <c r="U441" s="13" t="str">
        <f t="shared" si="117"/>
        <v>COMWARNewSHEUE</v>
      </c>
      <c r="V441" s="14">
        <f>H441</f>
        <v>2019</v>
      </c>
      <c r="W441" s="29" t="s">
        <v>3849</v>
      </c>
      <c r="X441" s="14">
        <v>1</v>
      </c>
      <c r="Y441" s="15">
        <f>UC!Y441</f>
        <v>-2.4E-2</v>
      </c>
      <c r="Z441" s="14">
        <v>0</v>
      </c>
      <c r="AA441" s="14">
        <v>5</v>
      </c>
      <c r="AB441" s="10"/>
      <c r="AC441" s="20"/>
    </row>
    <row r="442" spans="1:29" x14ac:dyDescent="0.25">
      <c r="A442" s="10">
        <f>A441</f>
        <v>110</v>
      </c>
      <c r="B442" s="10"/>
      <c r="C442" s="11" t="str">
        <f>SUBSTITUTE(UC!C442,"Old","New")</f>
        <v>*</v>
      </c>
      <c r="D442" s="12"/>
      <c r="E442" s="13" t="str">
        <f t="shared" ref="E442:G444" si="130">E441</f>
        <v>COMSTM</v>
      </c>
      <c r="F442" s="13" t="str">
        <f t="shared" si="130"/>
        <v>COMWARNewSHEUE</v>
      </c>
      <c r="G442" s="13" t="str">
        <f t="shared" si="130"/>
        <v>COMWARNewSHEUE</v>
      </c>
      <c r="H442" s="14">
        <v>2025</v>
      </c>
      <c r="I442" s="14" t="str">
        <f>I441</f>
        <v>LO</v>
      </c>
      <c r="J442" s="14"/>
      <c r="K442" s="15">
        <f>UC!K442</f>
        <v>-1.84E-2</v>
      </c>
      <c r="L442" s="14"/>
      <c r="M442" s="14"/>
      <c r="N442" s="10"/>
      <c r="O442" s="20"/>
      <c r="Q442" s="11" t="str">
        <f>SUBSTITUTE(UC!Q442,"Old","New")</f>
        <v>*</v>
      </c>
      <c r="R442" s="12"/>
      <c r="S442" s="13" t="str">
        <f t="shared" si="115"/>
        <v>COMSTM</v>
      </c>
      <c r="T442" s="13" t="str">
        <f t="shared" si="116"/>
        <v>COMWARNewSHEUE</v>
      </c>
      <c r="U442" s="13" t="str">
        <f t="shared" si="117"/>
        <v>COMWARNewSHEUE</v>
      </c>
      <c r="V442" s="14">
        <v>2025</v>
      </c>
      <c r="W442" s="14" t="str">
        <f>W441</f>
        <v>UP</v>
      </c>
      <c r="X442" s="14"/>
      <c r="Y442" s="15">
        <f>UC!Y442</f>
        <v>-2.8000000000000001E-2</v>
      </c>
      <c r="Z442" s="14"/>
      <c r="AA442" s="14"/>
      <c r="AB442" s="10"/>
      <c r="AC442" s="20"/>
    </row>
    <row r="443" spans="1:29" x14ac:dyDescent="0.25">
      <c r="A443" s="10">
        <f>A442</f>
        <v>110</v>
      </c>
      <c r="B443" s="10"/>
      <c r="C443" s="11" t="str">
        <f>SUBSTITUTE(UC!C443,"Old","New")</f>
        <v>*</v>
      </c>
      <c r="D443" s="12"/>
      <c r="E443" s="13" t="str">
        <f t="shared" si="130"/>
        <v>COMSTM</v>
      </c>
      <c r="F443" s="13" t="str">
        <f t="shared" si="130"/>
        <v>COMWARNewSHEUE</v>
      </c>
      <c r="G443" s="13" t="str">
        <f t="shared" si="130"/>
        <v>COMWARNewSHEUE</v>
      </c>
      <c r="H443" s="14">
        <v>2030</v>
      </c>
      <c r="I443" s="14" t="str">
        <f>I442</f>
        <v>LO</v>
      </c>
      <c r="J443" s="14"/>
      <c r="K443" s="15">
        <f>UC!K443</f>
        <v>-4.5999999999999999E-3</v>
      </c>
      <c r="L443" s="14"/>
      <c r="M443" s="14"/>
      <c r="N443" s="10"/>
      <c r="O443" s="20"/>
      <c r="Q443" s="11" t="str">
        <f>SUBSTITUTE(UC!Q443,"Old","New")</f>
        <v>*</v>
      </c>
      <c r="R443" s="12"/>
      <c r="S443" s="13" t="str">
        <f t="shared" si="115"/>
        <v>COMSTM</v>
      </c>
      <c r="T443" s="13" t="str">
        <f t="shared" si="116"/>
        <v>COMWARNewSHEUE</v>
      </c>
      <c r="U443" s="13" t="str">
        <f t="shared" si="117"/>
        <v>COMWARNewSHEUE</v>
      </c>
      <c r="V443" s="14">
        <v>2030</v>
      </c>
      <c r="W443" s="14" t="str">
        <f>W442</f>
        <v>UP</v>
      </c>
      <c r="X443" s="14"/>
      <c r="Y443" s="15">
        <f>UC!Y443</f>
        <v>-3.5000000000000003E-2</v>
      </c>
      <c r="Z443" s="14"/>
      <c r="AA443" s="14"/>
      <c r="AB443" s="10"/>
      <c r="AC443" s="20"/>
    </row>
    <row r="444" spans="1:29" x14ac:dyDescent="0.25">
      <c r="A444" s="26">
        <f>A443</f>
        <v>110</v>
      </c>
      <c r="B444" s="26"/>
      <c r="C444" s="21" t="str">
        <f>SUBSTITUTE(UC!C444,"Old","New")</f>
        <v>*</v>
      </c>
      <c r="D444" s="22"/>
      <c r="E444" s="23" t="str">
        <f t="shared" si="130"/>
        <v>COMSTM</v>
      </c>
      <c r="F444" s="23" t="str">
        <f t="shared" si="130"/>
        <v>COMWARNewSHEUE</v>
      </c>
      <c r="G444" s="23" t="str">
        <f t="shared" si="130"/>
        <v>COMWARNewSHEUE</v>
      </c>
      <c r="H444" s="24">
        <v>2050</v>
      </c>
      <c r="I444" s="24" t="str">
        <f>I443</f>
        <v>LO</v>
      </c>
      <c r="J444" s="24"/>
      <c r="K444" s="25">
        <f>UC!K444</f>
        <v>0</v>
      </c>
      <c r="L444" s="24"/>
      <c r="M444" s="24"/>
      <c r="N444" s="26"/>
      <c r="O444" s="27"/>
      <c r="Q444" s="21" t="str">
        <f>SUBSTITUTE(UC!Q444,"Old","New")</f>
        <v>*</v>
      </c>
      <c r="R444" s="22"/>
      <c r="S444" s="23" t="str">
        <f t="shared" si="115"/>
        <v>COMSTM</v>
      </c>
      <c r="T444" s="23" t="str">
        <f t="shared" si="116"/>
        <v>COMWARNewSHEUE</v>
      </c>
      <c r="U444" s="23" t="str">
        <f t="shared" si="117"/>
        <v>COMWARNewSHEUE</v>
      </c>
      <c r="V444" s="24">
        <v>2050</v>
      </c>
      <c r="W444" s="24" t="str">
        <f>W443</f>
        <v>UP</v>
      </c>
      <c r="X444" s="24"/>
      <c r="Y444" s="25">
        <f>UC!Y444</f>
        <v>-7.0000000000000007E-2</v>
      </c>
      <c r="Z444" s="24"/>
      <c r="AA444" s="24"/>
      <c r="AB444" s="26"/>
      <c r="AC444" s="27"/>
    </row>
    <row r="445" spans="1:29" x14ac:dyDescent="0.25">
      <c r="A445" s="19">
        <f>A441+1</f>
        <v>111</v>
      </c>
      <c r="B445" s="10"/>
      <c r="C445" s="11" t="str">
        <f>SUBSTITUTE(UC!C445,"Old","New")</f>
        <v>UC_MarketShare_COMWARNewSC_ELC_MIN</v>
      </c>
      <c r="D445" s="12"/>
      <c r="E445" s="13" t="str">
        <f>_xlfn.XLOOKUP($A445,Selected_constraint_UC!$A:$A,Selected_constraint_UC!$B:$B)</f>
        <v>COMELC</v>
      </c>
      <c r="F445" s="13" t="str">
        <f>SUBSTITUTE(_xlfn.XLOOKUP($A445,Selected_constraint_UC!$A:$A,Selected_constraint_UC!$C:$C),"Old","New")</f>
        <v>COMWARNewSCEUE</v>
      </c>
      <c r="G445" s="13" t="str">
        <f>F445</f>
        <v>COMWARNewSCEUE</v>
      </c>
      <c r="H445" s="14">
        <v>2019</v>
      </c>
      <c r="I445" s="14" t="s">
        <v>3848</v>
      </c>
      <c r="J445" s="14">
        <v>1</v>
      </c>
      <c r="K445" s="15">
        <f>UC!K445</f>
        <v>-0.98</v>
      </c>
      <c r="L445" s="14">
        <v>0</v>
      </c>
      <c r="M445" s="14">
        <v>5</v>
      </c>
      <c r="N445" s="10"/>
      <c r="O445" s="20"/>
      <c r="Q445" s="11" t="str">
        <f>SUBSTITUTE(UC!Q445,"Old","New")</f>
        <v>UC_MarketShare_COMWARNewSC_ELC_MAX</v>
      </c>
      <c r="R445" s="12"/>
      <c r="S445" s="13" t="str">
        <f t="shared" si="115"/>
        <v>COMELC</v>
      </c>
      <c r="T445" s="13" t="str">
        <f t="shared" si="116"/>
        <v>COMWARNewSCEUE</v>
      </c>
      <c r="U445" s="13" t="str">
        <f t="shared" si="117"/>
        <v>COMWARNewSCEUE</v>
      </c>
      <c r="V445" s="14">
        <f>H445</f>
        <v>2019</v>
      </c>
      <c r="W445" s="29" t="s">
        <v>3849</v>
      </c>
      <c r="X445" s="14">
        <v>1</v>
      </c>
      <c r="Y445" s="15">
        <f>UC!Y445</f>
        <v>-1</v>
      </c>
      <c r="Z445" s="14">
        <v>0</v>
      </c>
      <c r="AA445" s="14">
        <v>5</v>
      </c>
      <c r="AB445" s="10"/>
      <c r="AC445" s="20"/>
    </row>
    <row r="446" spans="1:29" x14ac:dyDescent="0.25">
      <c r="A446" s="10">
        <f>A445</f>
        <v>111</v>
      </c>
      <c r="B446" s="10"/>
      <c r="C446" s="11" t="str">
        <f>SUBSTITUTE(UC!C446,"Old","New")</f>
        <v/>
      </c>
      <c r="D446" s="12"/>
      <c r="E446" s="13" t="str">
        <f t="shared" ref="E446:G448" si="131">E445</f>
        <v>COMELC</v>
      </c>
      <c r="F446" s="13" t="str">
        <f t="shared" si="131"/>
        <v>COMWARNewSCEUE</v>
      </c>
      <c r="G446" s="13" t="str">
        <f t="shared" si="131"/>
        <v>COMWARNewSCEUE</v>
      </c>
      <c r="H446" s="14">
        <v>2025</v>
      </c>
      <c r="I446" s="14" t="str">
        <f>I445</f>
        <v>LO</v>
      </c>
      <c r="J446" s="14"/>
      <c r="K446" s="15">
        <f>UC!K446</f>
        <v>-0.8</v>
      </c>
      <c r="L446" s="14"/>
      <c r="M446" s="14"/>
      <c r="N446" s="10"/>
      <c r="O446" s="20"/>
      <c r="Q446" s="11" t="str">
        <f>SUBSTITUTE(UC!Q446,"Old","New")</f>
        <v/>
      </c>
      <c r="R446" s="12"/>
      <c r="S446" s="13" t="str">
        <f t="shared" si="115"/>
        <v>COMELC</v>
      </c>
      <c r="T446" s="13" t="str">
        <f t="shared" si="116"/>
        <v>COMWARNewSCEUE</v>
      </c>
      <c r="U446" s="13" t="str">
        <f t="shared" si="117"/>
        <v>COMWARNewSCEUE</v>
      </c>
      <c r="V446" s="14">
        <v>2025</v>
      </c>
      <c r="W446" s="14" t="str">
        <f>W445</f>
        <v>UP</v>
      </c>
      <c r="X446" s="14"/>
      <c r="Y446" s="15">
        <f>UC!Y446</f>
        <v>-1</v>
      </c>
      <c r="Z446" s="14"/>
      <c r="AA446" s="14"/>
      <c r="AB446" s="10"/>
      <c r="AC446" s="20"/>
    </row>
    <row r="447" spans="1:29" x14ac:dyDescent="0.25">
      <c r="A447" s="10">
        <f>A446</f>
        <v>111</v>
      </c>
      <c r="B447" s="10"/>
      <c r="C447" s="11" t="str">
        <f>SUBSTITUTE(UC!C447,"Old","New")</f>
        <v/>
      </c>
      <c r="D447" s="12"/>
      <c r="E447" s="13" t="str">
        <f t="shared" si="131"/>
        <v>COMELC</v>
      </c>
      <c r="F447" s="13" t="str">
        <f t="shared" si="131"/>
        <v>COMWARNewSCEUE</v>
      </c>
      <c r="G447" s="13" t="str">
        <f t="shared" si="131"/>
        <v>COMWARNewSCEUE</v>
      </c>
      <c r="H447" s="14">
        <v>2030</v>
      </c>
      <c r="I447" s="14" t="str">
        <f>I446</f>
        <v>LO</v>
      </c>
      <c r="J447" s="14"/>
      <c r="K447" s="15">
        <f>UC!K447</f>
        <v>-0.75</v>
      </c>
      <c r="L447" s="14"/>
      <c r="M447" s="14"/>
      <c r="N447" s="10"/>
      <c r="O447" s="20"/>
      <c r="Q447" s="11" t="str">
        <f>SUBSTITUTE(UC!Q447,"Old","New")</f>
        <v/>
      </c>
      <c r="R447" s="12"/>
      <c r="S447" s="13" t="str">
        <f t="shared" si="115"/>
        <v>COMELC</v>
      </c>
      <c r="T447" s="13" t="str">
        <f t="shared" si="116"/>
        <v>COMWARNewSCEUE</v>
      </c>
      <c r="U447" s="13" t="str">
        <f t="shared" si="117"/>
        <v>COMWARNewSCEUE</v>
      </c>
      <c r="V447" s="14">
        <v>2030</v>
      </c>
      <c r="W447" s="14" t="str">
        <f>W446</f>
        <v>UP</v>
      </c>
      <c r="X447" s="14"/>
      <c r="Y447" s="15">
        <f>UC!Y447</f>
        <v>-1</v>
      </c>
      <c r="Z447" s="14"/>
      <c r="AA447" s="14"/>
      <c r="AB447" s="10"/>
      <c r="AC447" s="20"/>
    </row>
    <row r="448" spans="1:29" x14ac:dyDescent="0.25">
      <c r="A448" s="26">
        <f>A447</f>
        <v>111</v>
      </c>
      <c r="B448" s="26"/>
      <c r="C448" s="21" t="str">
        <f>SUBSTITUTE(UC!C448,"Old","New")</f>
        <v/>
      </c>
      <c r="D448" s="22"/>
      <c r="E448" s="23" t="str">
        <f t="shared" si="131"/>
        <v>COMELC</v>
      </c>
      <c r="F448" s="23" t="str">
        <f t="shared" si="131"/>
        <v>COMWARNewSCEUE</v>
      </c>
      <c r="G448" s="23" t="str">
        <f t="shared" si="131"/>
        <v>COMWARNewSCEUE</v>
      </c>
      <c r="H448" s="24">
        <v>2050</v>
      </c>
      <c r="I448" s="24" t="str">
        <f>I447</f>
        <v>LO</v>
      </c>
      <c r="J448" s="24"/>
      <c r="K448" s="25">
        <f>UC!K448</f>
        <v>-0.75</v>
      </c>
      <c r="L448" s="24"/>
      <c r="M448" s="24"/>
      <c r="N448" s="26"/>
      <c r="O448" s="27"/>
      <c r="Q448" s="21" t="str">
        <f>SUBSTITUTE(UC!Q448,"Old","New")</f>
        <v/>
      </c>
      <c r="R448" s="22"/>
      <c r="S448" s="23" t="str">
        <f t="shared" si="115"/>
        <v>COMELC</v>
      </c>
      <c r="T448" s="23" t="str">
        <f t="shared" si="116"/>
        <v>COMWARNewSCEUE</v>
      </c>
      <c r="U448" s="23" t="str">
        <f t="shared" si="117"/>
        <v>COMWARNewSCEUE</v>
      </c>
      <c r="V448" s="24">
        <v>2050</v>
      </c>
      <c r="W448" s="24" t="str">
        <f>W447</f>
        <v>UP</v>
      </c>
      <c r="X448" s="24"/>
      <c r="Y448" s="25">
        <f>UC!Y448</f>
        <v>-1</v>
      </c>
      <c r="Z448" s="24"/>
      <c r="AA448" s="24"/>
      <c r="AB448" s="26"/>
      <c r="AC448" s="27"/>
    </row>
    <row r="449" spans="1:29" x14ac:dyDescent="0.25">
      <c r="A449" s="19">
        <f>A445+1</f>
        <v>112</v>
      </c>
      <c r="B449" s="10"/>
      <c r="C449" s="11" t="str">
        <f>SUBSTITUTE(UC!C449,"Old","New")</f>
        <v>*</v>
      </c>
      <c r="D449" s="12"/>
      <c r="E449" s="13" t="str">
        <f>_xlfn.XLOOKUP($A449,Selected_constraint_UC!$A:$A,Selected_constraint_UC!$B:$B)</f>
        <v>COMELC</v>
      </c>
      <c r="F449" s="13" t="str">
        <f>SUBSTITUTE(_xlfn.XLOOKUP($A449,Selected_constraint_UC!$A:$A,Selected_constraint_UC!$C:$C),"Old","New")</f>
        <v>COMWARNewVTEUE</v>
      </c>
      <c r="G449" s="13" t="str">
        <f>F449</f>
        <v>COMWARNewVTEUE</v>
      </c>
      <c r="H449" s="14">
        <v>2019</v>
      </c>
      <c r="I449" s="14" t="s">
        <v>3848</v>
      </c>
      <c r="J449" s="14">
        <v>1</v>
      </c>
      <c r="K449" s="15">
        <f>UC!K449</f>
        <v>-0.98</v>
      </c>
      <c r="L449" s="14">
        <v>0</v>
      </c>
      <c r="M449" s="14">
        <v>5</v>
      </c>
      <c r="N449" s="10"/>
      <c r="O449" s="20"/>
      <c r="Q449" s="11" t="str">
        <f>SUBSTITUTE(UC!Q449,"Old","New")</f>
        <v>*</v>
      </c>
      <c r="R449" s="12"/>
      <c r="S449" s="13" t="str">
        <f t="shared" si="115"/>
        <v>COMELC</v>
      </c>
      <c r="T449" s="13" t="str">
        <f t="shared" si="116"/>
        <v>COMWARNewVTEUE</v>
      </c>
      <c r="U449" s="13" t="str">
        <f t="shared" si="117"/>
        <v>COMWARNewVTEUE</v>
      </c>
      <c r="V449" s="14">
        <f>H449</f>
        <v>2019</v>
      </c>
      <c r="W449" s="29" t="s">
        <v>3849</v>
      </c>
      <c r="X449" s="14">
        <v>1</v>
      </c>
      <c r="Y449" s="15">
        <f>UC!Y449</f>
        <v>-1</v>
      </c>
      <c r="Z449" s="14">
        <v>0</v>
      </c>
      <c r="AA449" s="14">
        <v>5</v>
      </c>
      <c r="AB449" s="10"/>
      <c r="AC449" s="20"/>
    </row>
    <row r="450" spans="1:29" x14ac:dyDescent="0.25">
      <c r="A450" s="10">
        <f>A449</f>
        <v>112</v>
      </c>
      <c r="B450" s="10"/>
      <c r="C450" s="11" t="str">
        <f>SUBSTITUTE(UC!C450,"Old","New")</f>
        <v>*</v>
      </c>
      <c r="D450" s="12"/>
      <c r="E450" s="13" t="str">
        <f t="shared" ref="E450:G452" si="132">E449</f>
        <v>COMELC</v>
      </c>
      <c r="F450" s="13" t="str">
        <f t="shared" si="132"/>
        <v>COMWARNewVTEUE</v>
      </c>
      <c r="G450" s="13" t="str">
        <f t="shared" si="132"/>
        <v>COMWARNewVTEUE</v>
      </c>
      <c r="H450" s="14">
        <v>2025</v>
      </c>
      <c r="I450" s="14" t="str">
        <f>I449</f>
        <v>LO</v>
      </c>
      <c r="J450" s="14"/>
      <c r="K450" s="15">
        <f>UC!K450</f>
        <v>-0.8</v>
      </c>
      <c r="L450" s="14"/>
      <c r="M450" s="14"/>
      <c r="N450" s="10"/>
      <c r="O450" s="20"/>
      <c r="Q450" s="11" t="str">
        <f>SUBSTITUTE(UC!Q450,"Old","New")</f>
        <v>*</v>
      </c>
      <c r="R450" s="12"/>
      <c r="S450" s="13" t="str">
        <f t="shared" si="115"/>
        <v>COMELC</v>
      </c>
      <c r="T450" s="13" t="str">
        <f t="shared" si="116"/>
        <v>COMWARNewVTEUE</v>
      </c>
      <c r="U450" s="13" t="str">
        <f t="shared" si="117"/>
        <v>COMWARNewVTEUE</v>
      </c>
      <c r="V450" s="14">
        <v>2025</v>
      </c>
      <c r="W450" s="14" t="str">
        <f>W449</f>
        <v>UP</v>
      </c>
      <c r="X450" s="14"/>
      <c r="Y450" s="15">
        <f>UC!Y450</f>
        <v>-1</v>
      </c>
      <c r="Z450" s="14"/>
      <c r="AA450" s="14"/>
      <c r="AB450" s="10"/>
      <c r="AC450" s="20"/>
    </row>
    <row r="451" spans="1:29" x14ac:dyDescent="0.25">
      <c r="A451" s="10">
        <f>A450</f>
        <v>112</v>
      </c>
      <c r="B451" s="10"/>
      <c r="C451" s="11" t="str">
        <f>SUBSTITUTE(UC!C451,"Old","New")</f>
        <v>*</v>
      </c>
      <c r="D451" s="12"/>
      <c r="E451" s="13" t="str">
        <f t="shared" si="132"/>
        <v>COMELC</v>
      </c>
      <c r="F451" s="13" t="str">
        <f t="shared" si="132"/>
        <v>COMWARNewVTEUE</v>
      </c>
      <c r="G451" s="13" t="str">
        <f t="shared" si="132"/>
        <v>COMWARNewVTEUE</v>
      </c>
      <c r="H451" s="14">
        <v>2030</v>
      </c>
      <c r="I451" s="14" t="str">
        <f>I450</f>
        <v>LO</v>
      </c>
      <c r="J451" s="14"/>
      <c r="K451" s="15">
        <f>UC!K451</f>
        <v>-0.2</v>
      </c>
      <c r="L451" s="14"/>
      <c r="M451" s="14"/>
      <c r="N451" s="10"/>
      <c r="O451" s="20"/>
      <c r="Q451" s="11" t="str">
        <f>SUBSTITUTE(UC!Q451,"Old","New")</f>
        <v>*</v>
      </c>
      <c r="R451" s="12"/>
      <c r="S451" s="13" t="str">
        <f t="shared" si="115"/>
        <v>COMELC</v>
      </c>
      <c r="T451" s="13" t="str">
        <f t="shared" si="116"/>
        <v>COMWARNewVTEUE</v>
      </c>
      <c r="U451" s="13" t="str">
        <f t="shared" si="117"/>
        <v>COMWARNewVTEUE</v>
      </c>
      <c r="V451" s="14">
        <v>2030</v>
      </c>
      <c r="W451" s="14" t="str">
        <f>W450</f>
        <v>UP</v>
      </c>
      <c r="X451" s="14"/>
      <c r="Y451" s="15">
        <f>UC!Y451</f>
        <v>-1</v>
      </c>
      <c r="Z451" s="14"/>
      <c r="AA451" s="14"/>
      <c r="AB451" s="10"/>
      <c r="AC451" s="20"/>
    </row>
    <row r="452" spans="1:29" x14ac:dyDescent="0.25">
      <c r="A452" s="26">
        <f>A451</f>
        <v>112</v>
      </c>
      <c r="B452" s="26"/>
      <c r="C452" s="21" t="str">
        <f>SUBSTITUTE(UC!C452,"Old","New")</f>
        <v>*</v>
      </c>
      <c r="D452" s="22"/>
      <c r="E452" s="23" t="str">
        <f t="shared" si="132"/>
        <v>COMELC</v>
      </c>
      <c r="F452" s="23" t="str">
        <f t="shared" si="132"/>
        <v>COMWARNewVTEUE</v>
      </c>
      <c r="G452" s="23" t="str">
        <f t="shared" si="132"/>
        <v>COMWARNewVTEUE</v>
      </c>
      <c r="H452" s="24">
        <v>2050</v>
      </c>
      <c r="I452" s="24" t="str">
        <f>I451</f>
        <v>LO</v>
      </c>
      <c r="J452" s="24"/>
      <c r="K452" s="25">
        <f>UC!K452</f>
        <v>0</v>
      </c>
      <c r="L452" s="24"/>
      <c r="M452" s="24"/>
      <c r="N452" s="26"/>
      <c r="O452" s="27"/>
      <c r="Q452" s="21" t="str">
        <f>SUBSTITUTE(UC!Q452,"Old","New")</f>
        <v>*</v>
      </c>
      <c r="R452" s="22"/>
      <c r="S452" s="23" t="str">
        <f t="shared" si="115"/>
        <v>COMELC</v>
      </c>
      <c r="T452" s="23" t="str">
        <f t="shared" si="116"/>
        <v>COMWARNewVTEUE</v>
      </c>
      <c r="U452" s="23" t="str">
        <f t="shared" si="117"/>
        <v>COMWARNewVTEUE</v>
      </c>
      <c r="V452" s="24">
        <v>2050</v>
      </c>
      <c r="W452" s="24" t="str">
        <f>W451</f>
        <v>UP</v>
      </c>
      <c r="X452" s="24"/>
      <c r="Y452" s="25">
        <f>UC!Y452</f>
        <v>-1</v>
      </c>
      <c r="Z452" s="24"/>
      <c r="AA452" s="24"/>
      <c r="AB452" s="26"/>
      <c r="AC452" s="27"/>
    </row>
    <row r="453" spans="1:29" x14ac:dyDescent="0.25">
      <c r="A453" s="19">
        <f>A449+1</f>
        <v>113</v>
      </c>
      <c r="B453" s="10"/>
      <c r="C453" s="11" t="str">
        <f>SUBSTITUTE(UC!C453,"Old","New")</f>
        <v>UC_MarketShare_COMWARNewWH_FOI_MIN</v>
      </c>
      <c r="D453" s="12"/>
      <c r="E453" s="13" t="str">
        <f>_xlfn.XLOOKUP($A453,Selected_constraint_UC!$A:$A,Selected_constraint_UC!$B:$B)</f>
        <v>COMFOI</v>
      </c>
      <c r="F453" s="13" t="str">
        <f>SUBSTITUTE(_xlfn.XLOOKUP($A453,Selected_constraint_UC!$A:$A,Selected_constraint_UC!$C:$C),"Old","New")</f>
        <v>COMWARNewWHEUE</v>
      </c>
      <c r="G453" s="13" t="str">
        <f>F453</f>
        <v>COMWARNewWHEUE</v>
      </c>
      <c r="H453" s="14">
        <v>2019</v>
      </c>
      <c r="I453" s="14" t="s">
        <v>3848</v>
      </c>
      <c r="J453" s="14">
        <v>1</v>
      </c>
      <c r="K453" s="15">
        <f>UC!K453</f>
        <v>-0.14209999999999998</v>
      </c>
      <c r="L453" s="14">
        <v>0</v>
      </c>
      <c r="M453" s="14">
        <v>5</v>
      </c>
      <c r="N453" s="10"/>
      <c r="O453" s="20"/>
      <c r="Q453" s="11" t="str">
        <f>SUBSTITUTE(UC!Q453,"Old","New")</f>
        <v>UC_MarketShare_COMWARNewWH_FOI_MAX</v>
      </c>
      <c r="R453" s="12"/>
      <c r="S453" s="13" t="str">
        <f t="shared" si="115"/>
        <v>COMFOI</v>
      </c>
      <c r="T453" s="13" t="str">
        <f t="shared" si="116"/>
        <v>COMWARNewWHEUE</v>
      </c>
      <c r="U453" s="13" t="str">
        <f t="shared" si="117"/>
        <v>COMWARNewWHEUE</v>
      </c>
      <c r="V453" s="14">
        <f>H453</f>
        <v>2019</v>
      </c>
      <c r="W453" s="29" t="s">
        <v>3849</v>
      </c>
      <c r="X453" s="14">
        <v>1</v>
      </c>
      <c r="Y453" s="15">
        <f>UC!Y453</f>
        <v>-0.14799999999999999</v>
      </c>
      <c r="Z453" s="14">
        <v>0</v>
      </c>
      <c r="AA453" s="14">
        <v>5</v>
      </c>
      <c r="AB453" s="10"/>
      <c r="AC453" s="20"/>
    </row>
    <row r="454" spans="1:29" x14ac:dyDescent="0.25">
      <c r="A454" s="10">
        <f>A453</f>
        <v>113</v>
      </c>
      <c r="B454" s="10"/>
      <c r="C454" s="11" t="str">
        <f>SUBSTITUTE(UC!C454,"Old","New")</f>
        <v/>
      </c>
      <c r="D454" s="12"/>
      <c r="E454" s="13" t="str">
        <f t="shared" ref="E454:G456" si="133">E453</f>
        <v>COMFOI</v>
      </c>
      <c r="F454" s="13" t="str">
        <f t="shared" si="133"/>
        <v>COMWARNewWHEUE</v>
      </c>
      <c r="G454" s="13" t="str">
        <f t="shared" si="133"/>
        <v>COMWARNewWHEUE</v>
      </c>
      <c r="H454" s="14">
        <v>2025</v>
      </c>
      <c r="I454" s="14" t="str">
        <f>I453</f>
        <v>LO</v>
      </c>
      <c r="J454" s="14"/>
      <c r="K454" s="15">
        <f>UC!K454</f>
        <v>-0.11599999999999999</v>
      </c>
      <c r="L454" s="14"/>
      <c r="M454" s="14"/>
      <c r="N454" s="10"/>
      <c r="O454" s="20"/>
      <c r="Q454" s="11" t="str">
        <f>SUBSTITUTE(UC!Q454,"Old","New")</f>
        <v/>
      </c>
      <c r="R454" s="12"/>
      <c r="S454" s="13" t="str">
        <f t="shared" ref="S454:S517" si="134">E454</f>
        <v>COMFOI</v>
      </c>
      <c r="T454" s="13" t="str">
        <f t="shared" ref="T454:T517" si="135">F454</f>
        <v>COMWARNewWHEUE</v>
      </c>
      <c r="U454" s="13" t="str">
        <f t="shared" ref="U454:U517" si="136">G454</f>
        <v>COMWARNewWHEUE</v>
      </c>
      <c r="V454" s="14">
        <v>2025</v>
      </c>
      <c r="W454" s="14" t="str">
        <f>W453</f>
        <v>UP</v>
      </c>
      <c r="X454" s="14"/>
      <c r="Y454" s="15">
        <f>UC!Y454</f>
        <v>-0.14599999999999999</v>
      </c>
      <c r="Z454" s="14"/>
      <c r="AA454" s="14"/>
      <c r="AB454" s="10"/>
      <c r="AC454" s="20"/>
    </row>
    <row r="455" spans="1:29" x14ac:dyDescent="0.25">
      <c r="A455" s="10">
        <f>A454</f>
        <v>113</v>
      </c>
      <c r="B455" s="10"/>
      <c r="C455" s="11" t="str">
        <f>SUBSTITUTE(UC!C455,"Old","New")</f>
        <v/>
      </c>
      <c r="D455" s="12"/>
      <c r="E455" s="13" t="str">
        <f t="shared" si="133"/>
        <v>COMFOI</v>
      </c>
      <c r="F455" s="13" t="str">
        <f t="shared" si="133"/>
        <v>COMWARNewWHEUE</v>
      </c>
      <c r="G455" s="13" t="str">
        <f t="shared" si="133"/>
        <v>COMWARNewWHEUE</v>
      </c>
      <c r="H455" s="14">
        <v>2030</v>
      </c>
      <c r="I455" s="14" t="str">
        <f>I454</f>
        <v>LO</v>
      </c>
      <c r="J455" s="14"/>
      <c r="K455" s="15">
        <f>UC!K455</f>
        <v>-2.8999999999999998E-2</v>
      </c>
      <c r="L455" s="14"/>
      <c r="M455" s="14"/>
      <c r="N455" s="10"/>
      <c r="O455" s="20"/>
      <c r="Q455" s="11" t="str">
        <f>SUBSTITUTE(UC!Q455,"Old","New")</f>
        <v/>
      </c>
      <c r="R455" s="12"/>
      <c r="S455" s="13" t="str">
        <f t="shared" si="134"/>
        <v>COMFOI</v>
      </c>
      <c r="T455" s="13" t="str">
        <f t="shared" si="135"/>
        <v>COMWARNewWHEUE</v>
      </c>
      <c r="U455" s="13" t="str">
        <f t="shared" si="136"/>
        <v>COMWARNewWHEUE</v>
      </c>
      <c r="V455" s="14">
        <v>2030</v>
      </c>
      <c r="W455" s="14" t="str">
        <f>W454</f>
        <v>UP</v>
      </c>
      <c r="X455" s="14"/>
      <c r="Y455" s="15">
        <f>UC!Y455</f>
        <v>-0.13100000000000001</v>
      </c>
      <c r="Z455" s="14"/>
      <c r="AA455" s="14"/>
      <c r="AB455" s="10"/>
      <c r="AC455" s="20"/>
    </row>
    <row r="456" spans="1:29" x14ac:dyDescent="0.25">
      <c r="A456" s="26">
        <f>A455</f>
        <v>113</v>
      </c>
      <c r="B456" s="26"/>
      <c r="C456" s="21" t="str">
        <f>SUBSTITUTE(UC!C456,"Old","New")</f>
        <v/>
      </c>
      <c r="D456" s="22"/>
      <c r="E456" s="23" t="str">
        <f t="shared" si="133"/>
        <v>COMFOI</v>
      </c>
      <c r="F456" s="23" t="str">
        <f t="shared" si="133"/>
        <v>COMWARNewWHEUE</v>
      </c>
      <c r="G456" s="23" t="str">
        <f t="shared" si="133"/>
        <v>COMWARNewWHEUE</v>
      </c>
      <c r="H456" s="24">
        <v>2050</v>
      </c>
      <c r="I456" s="24" t="str">
        <f>I455</f>
        <v>LO</v>
      </c>
      <c r="J456" s="24"/>
      <c r="K456" s="25">
        <f>UC!K456</f>
        <v>0</v>
      </c>
      <c r="L456" s="24"/>
      <c r="M456" s="24"/>
      <c r="N456" s="26"/>
      <c r="O456" s="27"/>
      <c r="Q456" s="21" t="str">
        <f>SUBSTITUTE(UC!Q456,"Old","New")</f>
        <v/>
      </c>
      <c r="R456" s="22"/>
      <c r="S456" s="23" t="str">
        <f t="shared" si="134"/>
        <v>COMFOI</v>
      </c>
      <c r="T456" s="23" t="str">
        <f t="shared" si="135"/>
        <v>COMWARNewWHEUE</v>
      </c>
      <c r="U456" s="23" t="str">
        <f t="shared" si="136"/>
        <v>COMWARNewWHEUE</v>
      </c>
      <c r="V456" s="24">
        <v>2050</v>
      </c>
      <c r="W456" s="24" t="str">
        <f>W455</f>
        <v>UP</v>
      </c>
      <c r="X456" s="24"/>
      <c r="Y456" s="25">
        <f>UC!Y456</f>
        <v>-0.109</v>
      </c>
      <c r="Z456" s="24"/>
      <c r="AA456" s="24"/>
      <c r="AB456" s="26"/>
      <c r="AC456" s="27"/>
    </row>
    <row r="457" spans="1:29" x14ac:dyDescent="0.25">
      <c r="A457" s="19">
        <f>A453+1</f>
        <v>114</v>
      </c>
      <c r="B457" s="10"/>
      <c r="C457" s="11" t="str">
        <f>SUBSTITUTE(UC!C457,"Old","New")</f>
        <v>UC_MarketShare_COMWARNewWH_NGA_MIN</v>
      </c>
      <c r="D457" s="12"/>
      <c r="E457" s="13" t="str">
        <f>_xlfn.XLOOKUP($A457,Selected_constraint_UC!$A:$A,Selected_constraint_UC!$B:$B)</f>
        <v>COMNGA</v>
      </c>
      <c r="F457" s="13" t="str">
        <f>SUBSTITUTE(_xlfn.XLOOKUP($A457,Selected_constraint_UC!$A:$A,Selected_constraint_UC!$C:$C),"Old","New")</f>
        <v>COMWARNewWHEUE</v>
      </c>
      <c r="G457" s="13" t="str">
        <f>F457</f>
        <v>COMWARNewWHEUE</v>
      </c>
      <c r="H457" s="14">
        <v>2019</v>
      </c>
      <c r="I457" s="14" t="s">
        <v>3848</v>
      </c>
      <c r="J457" s="14">
        <v>1</v>
      </c>
      <c r="K457" s="15">
        <f>UC!K457</f>
        <v>-0.27733999999999998</v>
      </c>
      <c r="L457" s="14">
        <v>0</v>
      </c>
      <c r="M457" s="14">
        <v>5</v>
      </c>
      <c r="N457" s="10"/>
      <c r="O457" s="20"/>
      <c r="Q457" s="11" t="str">
        <f>SUBSTITUTE(UC!Q457,"Old","New")</f>
        <v>UC_MarketShare_COMWARNewWH_NGA_MAX</v>
      </c>
      <c r="R457" s="12"/>
      <c r="S457" s="13" t="str">
        <f t="shared" si="134"/>
        <v>COMNGA</v>
      </c>
      <c r="T457" s="13" t="str">
        <f t="shared" si="135"/>
        <v>COMWARNewWHEUE</v>
      </c>
      <c r="U457" s="13" t="str">
        <f t="shared" si="136"/>
        <v>COMWARNewWHEUE</v>
      </c>
      <c r="V457" s="14">
        <f>H457</f>
        <v>2019</v>
      </c>
      <c r="W457" s="29" t="s">
        <v>3849</v>
      </c>
      <c r="X457" s="14">
        <v>1</v>
      </c>
      <c r="Y457" s="15">
        <f>UC!Y457</f>
        <v>-0.28999999999999998</v>
      </c>
      <c r="Z457" s="14">
        <v>0</v>
      </c>
      <c r="AA457" s="14">
        <v>5</v>
      </c>
      <c r="AB457" s="10"/>
      <c r="AC457" s="20"/>
    </row>
    <row r="458" spans="1:29" x14ac:dyDescent="0.25">
      <c r="A458" s="10">
        <f>A457</f>
        <v>114</v>
      </c>
      <c r="B458" s="10"/>
      <c r="C458" s="11" t="str">
        <f>SUBSTITUTE(UC!C458,"Old","New")</f>
        <v/>
      </c>
      <c r="D458" s="12"/>
      <c r="E458" s="13" t="str">
        <f t="shared" ref="E458:G460" si="137">E457</f>
        <v>COMNGA</v>
      </c>
      <c r="F458" s="13" t="str">
        <f t="shared" si="137"/>
        <v>COMWARNewWHEUE</v>
      </c>
      <c r="G458" s="13" t="str">
        <f t="shared" si="137"/>
        <v>COMWARNewWHEUE</v>
      </c>
      <c r="H458" s="14">
        <v>2025</v>
      </c>
      <c r="I458" s="14" t="str">
        <f>I457</f>
        <v>LO</v>
      </c>
      <c r="J458" s="14"/>
      <c r="K458" s="15">
        <f>UC!K458</f>
        <v>-0.22639999999999999</v>
      </c>
      <c r="L458" s="14"/>
      <c r="M458" s="14"/>
      <c r="N458" s="10"/>
      <c r="O458" s="20"/>
      <c r="Q458" s="11" t="str">
        <f>SUBSTITUTE(UC!Q458,"Old","New")</f>
        <v/>
      </c>
      <c r="R458" s="12"/>
      <c r="S458" s="13" t="str">
        <f t="shared" si="134"/>
        <v>COMNGA</v>
      </c>
      <c r="T458" s="13" t="str">
        <f t="shared" si="135"/>
        <v>COMWARNewWHEUE</v>
      </c>
      <c r="U458" s="13" t="str">
        <f t="shared" si="136"/>
        <v>COMWARNewWHEUE</v>
      </c>
      <c r="V458" s="14">
        <v>2025</v>
      </c>
      <c r="W458" s="14" t="str">
        <f>W457</f>
        <v>UP</v>
      </c>
      <c r="X458" s="14"/>
      <c r="Y458" s="15">
        <f>UC!Y458</f>
        <v>-0.28399999999999997</v>
      </c>
      <c r="Z458" s="14"/>
      <c r="AA458" s="14"/>
      <c r="AB458" s="10"/>
      <c r="AC458" s="20"/>
    </row>
    <row r="459" spans="1:29" x14ac:dyDescent="0.25">
      <c r="A459" s="10">
        <f>A458</f>
        <v>114</v>
      </c>
      <c r="B459" s="10"/>
      <c r="C459" s="11" t="str">
        <f>SUBSTITUTE(UC!C459,"Old","New")</f>
        <v/>
      </c>
      <c r="D459" s="12"/>
      <c r="E459" s="13" t="str">
        <f t="shared" si="137"/>
        <v>COMNGA</v>
      </c>
      <c r="F459" s="13" t="str">
        <f t="shared" si="137"/>
        <v>COMWARNewWHEUE</v>
      </c>
      <c r="G459" s="13" t="str">
        <f t="shared" si="137"/>
        <v>COMWARNewWHEUE</v>
      </c>
      <c r="H459" s="14">
        <v>2030</v>
      </c>
      <c r="I459" s="14" t="str">
        <f>I458</f>
        <v>LO</v>
      </c>
      <c r="J459" s="14"/>
      <c r="K459" s="15">
        <f>UC!K459</f>
        <v>-5.6599999999999998E-2</v>
      </c>
      <c r="L459" s="14"/>
      <c r="M459" s="14"/>
      <c r="N459" s="10"/>
      <c r="O459" s="20"/>
      <c r="Q459" s="11" t="str">
        <f>SUBSTITUTE(UC!Q459,"Old","New")</f>
        <v/>
      </c>
      <c r="R459" s="12"/>
      <c r="S459" s="13" t="str">
        <f t="shared" si="134"/>
        <v>COMNGA</v>
      </c>
      <c r="T459" s="13" t="str">
        <f t="shared" si="135"/>
        <v>COMWARNewWHEUE</v>
      </c>
      <c r="U459" s="13" t="str">
        <f t="shared" si="136"/>
        <v>COMWARNewWHEUE</v>
      </c>
      <c r="V459" s="14">
        <v>2030</v>
      </c>
      <c r="W459" s="14" t="str">
        <f>W458</f>
        <v>UP</v>
      </c>
      <c r="X459" s="14"/>
      <c r="Y459" s="15">
        <f>UC!Y459</f>
        <v>-0.25600000000000001</v>
      </c>
      <c r="Z459" s="14"/>
      <c r="AA459" s="14"/>
      <c r="AB459" s="10"/>
      <c r="AC459" s="20"/>
    </row>
    <row r="460" spans="1:29" x14ac:dyDescent="0.25">
      <c r="A460" s="26">
        <f>A459</f>
        <v>114</v>
      </c>
      <c r="B460" s="26"/>
      <c r="C460" s="21" t="str">
        <f>SUBSTITUTE(UC!C460,"Old","New")</f>
        <v/>
      </c>
      <c r="D460" s="22"/>
      <c r="E460" s="23" t="str">
        <f t="shared" si="137"/>
        <v>COMNGA</v>
      </c>
      <c r="F460" s="23" t="str">
        <f t="shared" si="137"/>
        <v>COMWARNewWHEUE</v>
      </c>
      <c r="G460" s="23" t="str">
        <f t="shared" si="137"/>
        <v>COMWARNewWHEUE</v>
      </c>
      <c r="H460" s="24">
        <v>2050</v>
      </c>
      <c r="I460" s="24" t="str">
        <f>I459</f>
        <v>LO</v>
      </c>
      <c r="J460" s="24"/>
      <c r="K460" s="25">
        <f>UC!K460</f>
        <v>0</v>
      </c>
      <c r="L460" s="24"/>
      <c r="M460" s="24"/>
      <c r="N460" s="26"/>
      <c r="O460" s="27"/>
      <c r="Q460" s="21" t="str">
        <f>SUBSTITUTE(UC!Q460,"Old","New")</f>
        <v/>
      </c>
      <c r="R460" s="22"/>
      <c r="S460" s="23" t="str">
        <f t="shared" si="134"/>
        <v>COMNGA</v>
      </c>
      <c r="T460" s="23" t="str">
        <f t="shared" si="135"/>
        <v>COMWARNewWHEUE</v>
      </c>
      <c r="U460" s="23" t="str">
        <f t="shared" si="136"/>
        <v>COMWARNewWHEUE</v>
      </c>
      <c r="V460" s="24">
        <v>2050</v>
      </c>
      <c r="W460" s="24" t="str">
        <f>W459</f>
        <v>UP</v>
      </c>
      <c r="X460" s="24"/>
      <c r="Y460" s="25">
        <f>UC!Y460</f>
        <v>-0.21299999999999999</v>
      </c>
      <c r="Z460" s="24"/>
      <c r="AA460" s="24"/>
      <c r="AB460" s="26"/>
      <c r="AC460" s="27"/>
    </row>
    <row r="461" spans="1:29" x14ac:dyDescent="0.25">
      <c r="A461" s="19">
        <f>A457+1</f>
        <v>115</v>
      </c>
      <c r="B461" s="10"/>
      <c r="C461" s="11" t="str">
        <f>SUBSTITUTE(UC!C461,"Old","New")</f>
        <v>*</v>
      </c>
      <c r="D461" s="12"/>
      <c r="E461" s="13" t="str">
        <f>_xlfn.XLOOKUP($A461,Selected_constraint_UC!$A:$A,Selected_constraint_UC!$B:$B)</f>
        <v>COMSTM</v>
      </c>
      <c r="F461" s="13" t="str">
        <f>SUBSTITUTE(_xlfn.XLOOKUP($A461,Selected_constraint_UC!$A:$A,Selected_constraint_UC!$C:$C),"Old","New")</f>
        <v>COMWARNewWHEUE</v>
      </c>
      <c r="G461" s="13" t="str">
        <f>F461</f>
        <v>COMWARNewWHEUE</v>
      </c>
      <c r="H461" s="14">
        <v>2019</v>
      </c>
      <c r="I461" s="14" t="s">
        <v>3848</v>
      </c>
      <c r="J461" s="14">
        <v>1</v>
      </c>
      <c r="K461" s="15">
        <f>UC!K461</f>
        <v>0</v>
      </c>
      <c r="L461" s="14">
        <v>0</v>
      </c>
      <c r="M461" s="14">
        <v>5</v>
      </c>
      <c r="N461" s="10"/>
      <c r="O461" s="20"/>
      <c r="Q461" s="11" t="str">
        <f>SUBSTITUTE(UC!Q461,"Old","New")</f>
        <v>*</v>
      </c>
      <c r="R461" s="12"/>
      <c r="S461" s="13" t="str">
        <f t="shared" si="134"/>
        <v>COMSTM</v>
      </c>
      <c r="T461" s="13" t="str">
        <f t="shared" si="135"/>
        <v>COMWARNewWHEUE</v>
      </c>
      <c r="U461" s="13" t="str">
        <f t="shared" si="136"/>
        <v>COMWARNewWHEUE</v>
      </c>
      <c r="V461" s="14">
        <f>H461</f>
        <v>2019</v>
      </c>
      <c r="W461" s="29" t="s">
        <v>3849</v>
      </c>
      <c r="X461" s="14">
        <v>1</v>
      </c>
      <c r="Y461" s="15">
        <f>UC!Y461</f>
        <v>0</v>
      </c>
      <c r="Z461" s="14">
        <v>0</v>
      </c>
      <c r="AA461" s="14">
        <v>5</v>
      </c>
      <c r="AB461" s="10"/>
      <c r="AC461" s="20"/>
    </row>
    <row r="462" spans="1:29" x14ac:dyDescent="0.25">
      <c r="A462" s="10">
        <f>A461</f>
        <v>115</v>
      </c>
      <c r="B462" s="10"/>
      <c r="C462" s="11" t="str">
        <f>SUBSTITUTE(UC!C462,"Old","New")</f>
        <v>*</v>
      </c>
      <c r="D462" s="12"/>
      <c r="E462" s="13" t="str">
        <f t="shared" ref="E462:G464" si="138">E461</f>
        <v>COMSTM</v>
      </c>
      <c r="F462" s="13" t="str">
        <f t="shared" si="138"/>
        <v>COMWARNewWHEUE</v>
      </c>
      <c r="G462" s="13" t="str">
        <f t="shared" si="138"/>
        <v>COMWARNewWHEUE</v>
      </c>
      <c r="H462" s="14">
        <v>2025</v>
      </c>
      <c r="I462" s="14" t="str">
        <f>I461</f>
        <v>LO</v>
      </c>
      <c r="J462" s="14"/>
      <c r="K462" s="15">
        <f>UC!K462</f>
        <v>0</v>
      </c>
      <c r="L462" s="14"/>
      <c r="M462" s="14"/>
      <c r="N462" s="10"/>
      <c r="O462" s="20"/>
      <c r="Q462" s="11" t="str">
        <f>SUBSTITUTE(UC!Q462,"Old","New")</f>
        <v>*</v>
      </c>
      <c r="R462" s="12"/>
      <c r="S462" s="13" t="str">
        <f t="shared" si="134"/>
        <v>COMSTM</v>
      </c>
      <c r="T462" s="13" t="str">
        <f t="shared" si="135"/>
        <v>COMWARNewWHEUE</v>
      </c>
      <c r="U462" s="13" t="str">
        <f t="shared" si="136"/>
        <v>COMWARNewWHEUE</v>
      </c>
      <c r="V462" s="14">
        <v>2025</v>
      </c>
      <c r="W462" s="14" t="str">
        <f>W461</f>
        <v>UP</v>
      </c>
      <c r="X462" s="14"/>
      <c r="Y462" s="15">
        <f>UC!Y462</f>
        <v>0</v>
      </c>
      <c r="Z462" s="14"/>
      <c r="AA462" s="14"/>
      <c r="AB462" s="10"/>
      <c r="AC462" s="20"/>
    </row>
    <row r="463" spans="1:29" x14ac:dyDescent="0.25">
      <c r="A463" s="10">
        <f>A462</f>
        <v>115</v>
      </c>
      <c r="B463" s="10"/>
      <c r="C463" s="11" t="str">
        <f>SUBSTITUTE(UC!C463,"Old","New")</f>
        <v>*</v>
      </c>
      <c r="D463" s="12"/>
      <c r="E463" s="13" t="str">
        <f t="shared" si="138"/>
        <v>COMSTM</v>
      </c>
      <c r="F463" s="13" t="str">
        <f t="shared" si="138"/>
        <v>COMWARNewWHEUE</v>
      </c>
      <c r="G463" s="13" t="str">
        <f t="shared" si="138"/>
        <v>COMWARNewWHEUE</v>
      </c>
      <c r="H463" s="14">
        <v>2030</v>
      </c>
      <c r="I463" s="14" t="str">
        <f>I462</f>
        <v>LO</v>
      </c>
      <c r="J463" s="14"/>
      <c r="K463" s="15">
        <f>UC!K463</f>
        <v>0</v>
      </c>
      <c r="L463" s="14"/>
      <c r="M463" s="14"/>
      <c r="N463" s="10"/>
      <c r="O463" s="20"/>
      <c r="Q463" s="11" t="str">
        <f>SUBSTITUTE(UC!Q463,"Old","New")</f>
        <v>*</v>
      </c>
      <c r="R463" s="12"/>
      <c r="S463" s="13" t="str">
        <f t="shared" si="134"/>
        <v>COMSTM</v>
      </c>
      <c r="T463" s="13" t="str">
        <f t="shared" si="135"/>
        <v>COMWARNewWHEUE</v>
      </c>
      <c r="U463" s="13" t="str">
        <f t="shared" si="136"/>
        <v>COMWARNewWHEUE</v>
      </c>
      <c r="V463" s="14">
        <v>2030</v>
      </c>
      <c r="W463" s="14" t="str">
        <f>W462</f>
        <v>UP</v>
      </c>
      <c r="X463" s="14"/>
      <c r="Y463" s="15">
        <f>UC!Y463</f>
        <v>0</v>
      </c>
      <c r="Z463" s="14"/>
      <c r="AA463" s="14"/>
      <c r="AB463" s="10"/>
      <c r="AC463" s="20"/>
    </row>
    <row r="464" spans="1:29" x14ac:dyDescent="0.25">
      <c r="A464" s="26">
        <f>A463</f>
        <v>115</v>
      </c>
      <c r="B464" s="26"/>
      <c r="C464" s="21" t="str">
        <f>SUBSTITUTE(UC!C464,"Old","New")</f>
        <v>*</v>
      </c>
      <c r="D464" s="22"/>
      <c r="E464" s="23" t="str">
        <f t="shared" si="138"/>
        <v>COMSTM</v>
      </c>
      <c r="F464" s="23" t="str">
        <f t="shared" si="138"/>
        <v>COMWARNewWHEUE</v>
      </c>
      <c r="G464" s="23" t="str">
        <f t="shared" si="138"/>
        <v>COMWARNewWHEUE</v>
      </c>
      <c r="H464" s="24">
        <v>2050</v>
      </c>
      <c r="I464" s="24" t="str">
        <f>I463</f>
        <v>LO</v>
      </c>
      <c r="J464" s="24"/>
      <c r="K464" s="25">
        <f>UC!K464</f>
        <v>0</v>
      </c>
      <c r="L464" s="24"/>
      <c r="M464" s="24"/>
      <c r="N464" s="26"/>
      <c r="O464" s="27"/>
      <c r="Q464" s="21" t="str">
        <f>SUBSTITUTE(UC!Q464,"Old","New")</f>
        <v>*</v>
      </c>
      <c r="R464" s="22"/>
      <c r="S464" s="23" t="str">
        <f t="shared" si="134"/>
        <v>COMSTM</v>
      </c>
      <c r="T464" s="23" t="str">
        <f t="shared" si="135"/>
        <v>COMWARNewWHEUE</v>
      </c>
      <c r="U464" s="23" t="str">
        <f t="shared" si="136"/>
        <v>COMWARNewWHEUE</v>
      </c>
      <c r="V464" s="24">
        <v>2050</v>
      </c>
      <c r="W464" s="24" t="str">
        <f>W463</f>
        <v>UP</v>
      </c>
      <c r="X464" s="24"/>
      <c r="Y464" s="25">
        <f>UC!Y464</f>
        <v>0</v>
      </c>
      <c r="Z464" s="24"/>
      <c r="AA464" s="24"/>
      <c r="AB464" s="26"/>
      <c r="AC464" s="27"/>
    </row>
    <row r="465" spans="1:29" x14ac:dyDescent="0.25">
      <c r="A465" s="19">
        <f>A461+1</f>
        <v>116</v>
      </c>
      <c r="B465" s="10"/>
      <c r="C465" s="11" t="str">
        <f>SUBSTITUTE(UC!C465,"Old","New")</f>
        <v>UC_MarketShare_COMWARNewWH_ELC_MIN</v>
      </c>
      <c r="D465" s="12"/>
      <c r="E465" s="13" t="str">
        <f>_xlfn.XLOOKUP($A465,Selected_constraint_UC!$A:$A,Selected_constraint_UC!$B:$B)</f>
        <v>COMELC</v>
      </c>
      <c r="F465" s="13" t="str">
        <f>SUBSTITUTE(_xlfn.XLOOKUP($A465,Selected_constraint_UC!$A:$A,Selected_constraint_UC!$C:$C),"Old","New")</f>
        <v>COMWARNewWHEUE</v>
      </c>
      <c r="G465" s="13" t="str">
        <f>F465</f>
        <v>COMWARNewWHEUE</v>
      </c>
      <c r="H465" s="14">
        <v>2019</v>
      </c>
      <c r="I465" s="14" t="s">
        <v>3848</v>
      </c>
      <c r="J465" s="14">
        <v>1</v>
      </c>
      <c r="K465" s="15">
        <f>UC!K465</f>
        <v>-0.55957999999999997</v>
      </c>
      <c r="L465" s="14">
        <v>0</v>
      </c>
      <c r="M465" s="14">
        <v>5</v>
      </c>
      <c r="N465" s="10"/>
      <c r="O465" s="20"/>
      <c r="Q465" s="11" t="str">
        <f>SUBSTITUTE(UC!Q465,"Old","New")</f>
        <v>UC_MarketShare_COMWARNewWH_ELC_MAX</v>
      </c>
      <c r="R465" s="12"/>
      <c r="S465" s="13" t="str">
        <f t="shared" si="134"/>
        <v>COMELC</v>
      </c>
      <c r="T465" s="13" t="str">
        <f t="shared" si="135"/>
        <v>COMWARNewWHEUE</v>
      </c>
      <c r="U465" s="13" t="str">
        <f t="shared" si="136"/>
        <v>COMWARNewWHEUE</v>
      </c>
      <c r="V465" s="14">
        <f>H465</f>
        <v>2019</v>
      </c>
      <c r="W465" s="29" t="s">
        <v>3849</v>
      </c>
      <c r="X465" s="14">
        <v>1</v>
      </c>
      <c r="Y465" s="15">
        <f>UC!Y465</f>
        <v>-0.58299999999999996</v>
      </c>
      <c r="Z465" s="14">
        <v>0</v>
      </c>
      <c r="AA465" s="14">
        <v>5</v>
      </c>
      <c r="AB465" s="10"/>
      <c r="AC465" s="20"/>
    </row>
    <row r="466" spans="1:29" x14ac:dyDescent="0.25">
      <c r="A466" s="10">
        <f>A465</f>
        <v>116</v>
      </c>
      <c r="B466" s="10"/>
      <c r="C466" s="11" t="str">
        <f>SUBSTITUTE(UC!C466,"Old","New")</f>
        <v/>
      </c>
      <c r="D466" s="12"/>
      <c r="E466" s="13" t="str">
        <f t="shared" ref="E466:G468" si="139">E465</f>
        <v>COMELC</v>
      </c>
      <c r="F466" s="13" t="str">
        <f t="shared" si="139"/>
        <v>COMWARNewWHEUE</v>
      </c>
      <c r="G466" s="13" t="str">
        <f t="shared" si="139"/>
        <v>COMWARNewWHEUE</v>
      </c>
      <c r="H466" s="14">
        <v>2025</v>
      </c>
      <c r="I466" s="14" t="str">
        <f>I465</f>
        <v>LO</v>
      </c>
      <c r="J466" s="14"/>
      <c r="K466" s="15">
        <f>UC!K466</f>
        <v>-0.45679999999999998</v>
      </c>
      <c r="L466" s="14"/>
      <c r="M466" s="14"/>
      <c r="N466" s="10"/>
      <c r="O466" s="20"/>
      <c r="Q466" s="11" t="str">
        <f>SUBSTITUTE(UC!Q466,"Old","New")</f>
        <v/>
      </c>
      <c r="R466" s="12"/>
      <c r="S466" s="13" t="str">
        <f t="shared" si="134"/>
        <v>COMELC</v>
      </c>
      <c r="T466" s="13" t="str">
        <f t="shared" si="135"/>
        <v>COMWARNewWHEUE</v>
      </c>
      <c r="U466" s="13" t="str">
        <f t="shared" si="136"/>
        <v>COMWARNewWHEUE</v>
      </c>
      <c r="V466" s="14">
        <v>2025</v>
      </c>
      <c r="W466" s="14" t="str">
        <f>W465</f>
        <v>UP</v>
      </c>
      <c r="X466" s="14"/>
      <c r="Y466" s="15">
        <f>UC!Y466</f>
        <v>-0.68600000000000005</v>
      </c>
      <c r="Z466" s="14"/>
      <c r="AA466" s="14"/>
      <c r="AB466" s="10"/>
      <c r="AC466" s="20"/>
    </row>
    <row r="467" spans="1:29" x14ac:dyDescent="0.25">
      <c r="A467" s="10">
        <f>A466</f>
        <v>116</v>
      </c>
      <c r="B467" s="10"/>
      <c r="C467" s="11" t="str">
        <f>SUBSTITUTE(UC!C467,"Old","New")</f>
        <v/>
      </c>
      <c r="D467" s="12"/>
      <c r="E467" s="13" t="str">
        <f t="shared" si="139"/>
        <v>COMELC</v>
      </c>
      <c r="F467" s="13" t="str">
        <f t="shared" si="139"/>
        <v>COMWARNewWHEUE</v>
      </c>
      <c r="G467" s="13" t="str">
        <f t="shared" si="139"/>
        <v>COMWARNewWHEUE</v>
      </c>
      <c r="H467" s="14">
        <v>2030</v>
      </c>
      <c r="I467" s="14" t="str">
        <f>I466</f>
        <v>LO</v>
      </c>
      <c r="J467" s="14"/>
      <c r="K467" s="15">
        <f>UC!K467</f>
        <v>-0.42824999999999996</v>
      </c>
      <c r="L467" s="14"/>
      <c r="M467" s="14"/>
      <c r="N467" s="10"/>
      <c r="O467" s="20"/>
      <c r="Q467" s="11" t="str">
        <f>SUBSTITUTE(UC!Q467,"Old","New")</f>
        <v/>
      </c>
      <c r="R467" s="12"/>
      <c r="S467" s="13" t="str">
        <f t="shared" si="134"/>
        <v>COMELC</v>
      </c>
      <c r="T467" s="13" t="str">
        <f t="shared" si="135"/>
        <v>COMWARNewWHEUE</v>
      </c>
      <c r="U467" s="13" t="str">
        <f t="shared" si="136"/>
        <v>COMWARNewWHEUE</v>
      </c>
      <c r="V467" s="14">
        <v>2030</v>
      </c>
      <c r="W467" s="14" t="str">
        <f>W466</f>
        <v>UP</v>
      </c>
      <c r="X467" s="14"/>
      <c r="Y467" s="15">
        <f>UC!Y467</f>
        <v>-0.85699999999999998</v>
      </c>
      <c r="Z467" s="14"/>
      <c r="AA467" s="14"/>
      <c r="AB467" s="10"/>
      <c r="AC467" s="20"/>
    </row>
    <row r="468" spans="1:29" x14ac:dyDescent="0.25">
      <c r="A468" s="26">
        <f>A467</f>
        <v>116</v>
      </c>
      <c r="B468" s="26"/>
      <c r="C468" s="21" t="str">
        <f>SUBSTITUTE(UC!C468,"Old","New")</f>
        <v/>
      </c>
      <c r="D468" s="22"/>
      <c r="E468" s="23" t="str">
        <f t="shared" si="139"/>
        <v>COMELC</v>
      </c>
      <c r="F468" s="23" t="str">
        <f t="shared" si="139"/>
        <v>COMWARNewWHEUE</v>
      </c>
      <c r="G468" s="23" t="str">
        <f t="shared" si="139"/>
        <v>COMWARNewWHEUE</v>
      </c>
      <c r="H468" s="24">
        <v>2050</v>
      </c>
      <c r="I468" s="24" t="str">
        <f>I467</f>
        <v>LO</v>
      </c>
      <c r="J468" s="24"/>
      <c r="K468" s="25">
        <f>UC!K468</f>
        <v>-0.42824999999999996</v>
      </c>
      <c r="L468" s="24"/>
      <c r="M468" s="24"/>
      <c r="N468" s="26"/>
      <c r="O468" s="27"/>
      <c r="Q468" s="21" t="str">
        <f>SUBSTITUTE(UC!Q468,"Old","New")</f>
        <v/>
      </c>
      <c r="R468" s="22"/>
      <c r="S468" s="23" t="str">
        <f t="shared" si="134"/>
        <v>COMELC</v>
      </c>
      <c r="T468" s="23" t="str">
        <f t="shared" si="135"/>
        <v>COMWARNewWHEUE</v>
      </c>
      <c r="U468" s="23" t="str">
        <f t="shared" si="136"/>
        <v>COMWARNewWHEUE</v>
      </c>
      <c r="V468" s="24">
        <v>2050</v>
      </c>
      <c r="W468" s="24" t="str">
        <f>W467</f>
        <v>UP</v>
      </c>
      <c r="X468" s="24"/>
      <c r="Y468" s="25">
        <f>UC!Y468</f>
        <v>-1</v>
      </c>
      <c r="Z468" s="24"/>
      <c r="AA468" s="24"/>
      <c r="AB468" s="26"/>
      <c r="AC468" s="27"/>
    </row>
    <row r="469" spans="1:29" x14ac:dyDescent="0.25">
      <c r="A469" s="19">
        <f>A465+1</f>
        <v>117</v>
      </c>
      <c r="B469" s="10"/>
      <c r="C469" s="11" t="str">
        <f>SUBSTITUTE(UC!C469,"Old","New")</f>
        <v>*</v>
      </c>
      <c r="D469" s="12"/>
      <c r="E469" s="13" t="str">
        <f>_xlfn.XLOOKUP($A469,Selected_constraint_UC!$A:$A,Selected_constraint_UC!$B:$B)</f>
        <v>COMELC</v>
      </c>
      <c r="F469" s="13" t="str">
        <f>SUBSTITUTE(_xlfn.XLOOKUP($A469,Selected_constraint_UC!$A:$A,Selected_constraint_UC!$C:$C),"Old","New")</f>
        <v>COMWARNewLTEUE</v>
      </c>
      <c r="G469" s="13" t="str">
        <f>F469</f>
        <v>COMWARNewLTEUE</v>
      </c>
      <c r="H469" s="14">
        <v>2019</v>
      </c>
      <c r="I469" s="14" t="s">
        <v>3848</v>
      </c>
      <c r="J469" s="14">
        <v>1</v>
      </c>
      <c r="K469" s="15">
        <f>UC!K469</f>
        <v>-0.98</v>
      </c>
      <c r="L469" s="14">
        <v>0</v>
      </c>
      <c r="M469" s="14">
        <v>5</v>
      </c>
      <c r="N469" s="10"/>
      <c r="O469" s="20"/>
      <c r="Q469" s="11" t="str">
        <f>SUBSTITUTE(UC!Q469,"Old","New")</f>
        <v>*</v>
      </c>
      <c r="R469" s="12"/>
      <c r="S469" s="13" t="str">
        <f t="shared" si="134"/>
        <v>COMELC</v>
      </c>
      <c r="T469" s="13" t="str">
        <f t="shared" si="135"/>
        <v>COMWARNewLTEUE</v>
      </c>
      <c r="U469" s="13" t="str">
        <f t="shared" si="136"/>
        <v>COMWARNewLTEUE</v>
      </c>
      <c r="V469" s="14">
        <f>H469</f>
        <v>2019</v>
      </c>
      <c r="W469" s="29" t="s">
        <v>3849</v>
      </c>
      <c r="X469" s="14">
        <v>1</v>
      </c>
      <c r="Y469" s="15">
        <f>UC!Y469</f>
        <v>-1</v>
      </c>
      <c r="Z469" s="14">
        <v>0</v>
      </c>
      <c r="AA469" s="14">
        <v>5</v>
      </c>
      <c r="AB469" s="10"/>
      <c r="AC469" s="20"/>
    </row>
    <row r="470" spans="1:29" x14ac:dyDescent="0.25">
      <c r="A470" s="10">
        <f>A469</f>
        <v>117</v>
      </c>
      <c r="B470" s="10"/>
      <c r="C470" s="11" t="str">
        <f>SUBSTITUTE(UC!C470,"Old","New")</f>
        <v>*</v>
      </c>
      <c r="D470" s="12"/>
      <c r="E470" s="13" t="str">
        <f t="shared" ref="E470:G472" si="140">E469</f>
        <v>COMELC</v>
      </c>
      <c r="F470" s="13" t="str">
        <f t="shared" si="140"/>
        <v>COMWARNewLTEUE</v>
      </c>
      <c r="G470" s="13" t="str">
        <f t="shared" si="140"/>
        <v>COMWARNewLTEUE</v>
      </c>
      <c r="H470" s="14">
        <v>2025</v>
      </c>
      <c r="I470" s="14" t="str">
        <f>I469</f>
        <v>LO</v>
      </c>
      <c r="J470" s="14"/>
      <c r="K470" s="15">
        <f>UC!K470</f>
        <v>-0.8</v>
      </c>
      <c r="L470" s="14"/>
      <c r="M470" s="14"/>
      <c r="N470" s="10"/>
      <c r="O470" s="20"/>
      <c r="Q470" s="11" t="str">
        <f>SUBSTITUTE(UC!Q470,"Old","New")</f>
        <v>*</v>
      </c>
      <c r="R470" s="12"/>
      <c r="S470" s="13" t="str">
        <f t="shared" si="134"/>
        <v>COMELC</v>
      </c>
      <c r="T470" s="13" t="str">
        <f t="shared" si="135"/>
        <v>COMWARNewLTEUE</v>
      </c>
      <c r="U470" s="13" t="str">
        <f t="shared" si="136"/>
        <v>COMWARNewLTEUE</v>
      </c>
      <c r="V470" s="14">
        <v>2025</v>
      </c>
      <c r="W470" s="14" t="str">
        <f>W469</f>
        <v>UP</v>
      </c>
      <c r="X470" s="14"/>
      <c r="Y470" s="15">
        <f>UC!Y470</f>
        <v>-1</v>
      </c>
      <c r="Z470" s="14"/>
      <c r="AA470" s="14"/>
      <c r="AB470" s="10"/>
      <c r="AC470" s="20"/>
    </row>
    <row r="471" spans="1:29" x14ac:dyDescent="0.25">
      <c r="A471" s="10">
        <f>A470</f>
        <v>117</v>
      </c>
      <c r="B471" s="10"/>
      <c r="C471" s="11" t="str">
        <f>SUBSTITUTE(UC!C471,"Old","New")</f>
        <v>*</v>
      </c>
      <c r="D471" s="12"/>
      <c r="E471" s="13" t="str">
        <f t="shared" si="140"/>
        <v>COMELC</v>
      </c>
      <c r="F471" s="13" t="str">
        <f t="shared" si="140"/>
        <v>COMWARNewLTEUE</v>
      </c>
      <c r="G471" s="13" t="str">
        <f t="shared" si="140"/>
        <v>COMWARNewLTEUE</v>
      </c>
      <c r="H471" s="14">
        <v>2030</v>
      </c>
      <c r="I471" s="14" t="str">
        <f>I470</f>
        <v>LO</v>
      </c>
      <c r="J471" s="14"/>
      <c r="K471" s="15">
        <f>UC!K471</f>
        <v>-0.2</v>
      </c>
      <c r="L471" s="14"/>
      <c r="M471" s="14"/>
      <c r="N471" s="10"/>
      <c r="O471" s="20"/>
      <c r="Q471" s="11" t="str">
        <f>SUBSTITUTE(UC!Q471,"Old","New")</f>
        <v>*</v>
      </c>
      <c r="R471" s="12"/>
      <c r="S471" s="13" t="str">
        <f t="shared" si="134"/>
        <v>COMELC</v>
      </c>
      <c r="T471" s="13" t="str">
        <f t="shared" si="135"/>
        <v>COMWARNewLTEUE</v>
      </c>
      <c r="U471" s="13" t="str">
        <f t="shared" si="136"/>
        <v>COMWARNewLTEUE</v>
      </c>
      <c r="V471" s="14">
        <v>2030</v>
      </c>
      <c r="W471" s="14" t="str">
        <f>W470</f>
        <v>UP</v>
      </c>
      <c r="X471" s="14"/>
      <c r="Y471" s="15">
        <f>UC!Y471</f>
        <v>-1</v>
      </c>
      <c r="Z471" s="14"/>
      <c r="AA471" s="14"/>
      <c r="AB471" s="10"/>
      <c r="AC471" s="20"/>
    </row>
    <row r="472" spans="1:29" x14ac:dyDescent="0.25">
      <c r="A472" s="26">
        <f>A471</f>
        <v>117</v>
      </c>
      <c r="B472" s="26"/>
      <c r="C472" s="21" t="str">
        <f>SUBSTITUTE(UC!C472,"Old","New")</f>
        <v>*</v>
      </c>
      <c r="D472" s="22"/>
      <c r="E472" s="23" t="str">
        <f t="shared" si="140"/>
        <v>COMELC</v>
      </c>
      <c r="F472" s="23" t="str">
        <f t="shared" si="140"/>
        <v>COMWARNewLTEUE</v>
      </c>
      <c r="G472" s="23" t="str">
        <f t="shared" si="140"/>
        <v>COMWARNewLTEUE</v>
      </c>
      <c r="H472" s="24">
        <v>2050</v>
      </c>
      <c r="I472" s="24" t="str">
        <f>I471</f>
        <v>LO</v>
      </c>
      <c r="J472" s="24"/>
      <c r="K472" s="25">
        <f>UC!K472</f>
        <v>0</v>
      </c>
      <c r="L472" s="24"/>
      <c r="M472" s="24"/>
      <c r="N472" s="26"/>
      <c r="O472" s="27"/>
      <c r="Q472" s="21" t="str">
        <f>SUBSTITUTE(UC!Q472,"Old","New")</f>
        <v>*</v>
      </c>
      <c r="R472" s="22"/>
      <c r="S472" s="23" t="str">
        <f t="shared" si="134"/>
        <v>COMELC</v>
      </c>
      <c r="T472" s="23" t="str">
        <f t="shared" si="135"/>
        <v>COMWARNewLTEUE</v>
      </c>
      <c r="U472" s="23" t="str">
        <f t="shared" si="136"/>
        <v>COMWARNewLTEUE</v>
      </c>
      <c r="V472" s="24">
        <v>2050</v>
      </c>
      <c r="W472" s="24" t="str">
        <f>W471</f>
        <v>UP</v>
      </c>
      <c r="X472" s="24"/>
      <c r="Y472" s="25">
        <f>UC!Y472</f>
        <v>-1</v>
      </c>
      <c r="Z472" s="24"/>
      <c r="AA472" s="24"/>
      <c r="AB472" s="26"/>
      <c r="AC472" s="27"/>
    </row>
    <row r="473" spans="1:29" x14ac:dyDescent="0.25">
      <c r="A473" s="19">
        <f>A469+1</f>
        <v>118</v>
      </c>
      <c r="B473" s="10"/>
      <c r="C473" s="11" t="str">
        <f>SUBSTITUTE(UC!C473,"Old","New")</f>
        <v>*</v>
      </c>
      <c r="D473" s="12"/>
      <c r="E473" s="13" t="str">
        <f>_xlfn.XLOOKUP($A473,Selected_constraint_UC!$A:$A,Selected_constraint_UC!$B:$B)</f>
        <v>COMFOI</v>
      </c>
      <c r="F473" s="13" t="str">
        <f>SUBSTITUTE(_xlfn.XLOOKUP($A473,Selected_constraint_UC!$A:$A,Selected_constraint_UC!$C:$C),"Old","New")</f>
        <v>COMWARNewCKEUE</v>
      </c>
      <c r="G473" s="13" t="str">
        <f>F473</f>
        <v>COMWARNewCKEUE</v>
      </c>
      <c r="H473" s="14">
        <v>2019</v>
      </c>
      <c r="I473" s="14" t="s">
        <v>3848</v>
      </c>
      <c r="J473" s="14">
        <v>1</v>
      </c>
      <c r="K473" s="15">
        <f>UC!K473</f>
        <v>0</v>
      </c>
      <c r="L473" s="14">
        <v>0</v>
      </c>
      <c r="M473" s="14">
        <v>5</v>
      </c>
      <c r="N473" s="10"/>
      <c r="O473" s="20"/>
      <c r="Q473" s="11" t="str">
        <f>SUBSTITUTE(UC!Q473,"Old","New")</f>
        <v>*</v>
      </c>
      <c r="R473" s="12"/>
      <c r="S473" s="13" t="str">
        <f t="shared" si="134"/>
        <v>COMFOI</v>
      </c>
      <c r="T473" s="13" t="str">
        <f t="shared" si="135"/>
        <v>COMWARNewCKEUE</v>
      </c>
      <c r="U473" s="13" t="str">
        <f t="shared" si="136"/>
        <v>COMWARNewCKEUE</v>
      </c>
      <c r="V473" s="14">
        <f>H473</f>
        <v>2019</v>
      </c>
      <c r="W473" s="29" t="s">
        <v>3849</v>
      </c>
      <c r="X473" s="14">
        <v>1</v>
      </c>
      <c r="Y473" s="15">
        <f>UC!Y473</f>
        <v>0</v>
      </c>
      <c r="Z473" s="14">
        <v>0</v>
      </c>
      <c r="AA473" s="14">
        <v>5</v>
      </c>
      <c r="AB473" s="10"/>
      <c r="AC473" s="20"/>
    </row>
    <row r="474" spans="1:29" x14ac:dyDescent="0.25">
      <c r="A474" s="10">
        <f>A473</f>
        <v>118</v>
      </c>
      <c r="B474" s="10"/>
      <c r="C474" s="11" t="str">
        <f>SUBSTITUTE(UC!C474,"Old","New")</f>
        <v>*</v>
      </c>
      <c r="D474" s="12"/>
      <c r="E474" s="13" t="str">
        <f t="shared" ref="E474:G476" si="141">E473</f>
        <v>COMFOI</v>
      </c>
      <c r="F474" s="13" t="str">
        <f t="shared" si="141"/>
        <v>COMWARNewCKEUE</v>
      </c>
      <c r="G474" s="13" t="str">
        <f t="shared" si="141"/>
        <v>COMWARNewCKEUE</v>
      </c>
      <c r="H474" s="14">
        <v>2025</v>
      </c>
      <c r="I474" s="14" t="str">
        <f>I473</f>
        <v>LO</v>
      </c>
      <c r="J474" s="14"/>
      <c r="K474" s="15">
        <f>UC!K474</f>
        <v>0</v>
      </c>
      <c r="L474" s="14"/>
      <c r="M474" s="14"/>
      <c r="N474" s="10"/>
      <c r="O474" s="20"/>
      <c r="Q474" s="11" t="str">
        <f>SUBSTITUTE(UC!Q474,"Old","New")</f>
        <v>*</v>
      </c>
      <c r="R474" s="12"/>
      <c r="S474" s="13" t="str">
        <f t="shared" si="134"/>
        <v>COMFOI</v>
      </c>
      <c r="T474" s="13" t="str">
        <f t="shared" si="135"/>
        <v>COMWARNewCKEUE</v>
      </c>
      <c r="U474" s="13" t="str">
        <f t="shared" si="136"/>
        <v>COMWARNewCKEUE</v>
      </c>
      <c r="V474" s="14">
        <v>2025</v>
      </c>
      <c r="W474" s="14" t="str">
        <f>W473</f>
        <v>UP</v>
      </c>
      <c r="X474" s="14"/>
      <c r="Y474" s="15">
        <f>UC!Y474</f>
        <v>0</v>
      </c>
      <c r="Z474" s="14"/>
      <c r="AA474" s="14"/>
      <c r="AB474" s="10"/>
      <c r="AC474" s="20"/>
    </row>
    <row r="475" spans="1:29" x14ac:dyDescent="0.25">
      <c r="A475" s="10">
        <f>A474</f>
        <v>118</v>
      </c>
      <c r="B475" s="10"/>
      <c r="C475" s="11" t="str">
        <f>SUBSTITUTE(UC!C475,"Old","New")</f>
        <v>*</v>
      </c>
      <c r="D475" s="12"/>
      <c r="E475" s="13" t="str">
        <f t="shared" si="141"/>
        <v>COMFOI</v>
      </c>
      <c r="F475" s="13" t="str">
        <f t="shared" si="141"/>
        <v>COMWARNewCKEUE</v>
      </c>
      <c r="G475" s="13" t="str">
        <f t="shared" si="141"/>
        <v>COMWARNewCKEUE</v>
      </c>
      <c r="H475" s="14">
        <v>2030</v>
      </c>
      <c r="I475" s="14" t="str">
        <f>I474</f>
        <v>LO</v>
      </c>
      <c r="J475" s="14"/>
      <c r="K475" s="15">
        <f>UC!K475</f>
        <v>0</v>
      </c>
      <c r="L475" s="14"/>
      <c r="M475" s="14"/>
      <c r="N475" s="10"/>
      <c r="O475" s="20"/>
      <c r="Q475" s="11" t="str">
        <f>SUBSTITUTE(UC!Q475,"Old","New")</f>
        <v>*</v>
      </c>
      <c r="R475" s="12"/>
      <c r="S475" s="13" t="str">
        <f t="shared" si="134"/>
        <v>COMFOI</v>
      </c>
      <c r="T475" s="13" t="str">
        <f t="shared" si="135"/>
        <v>COMWARNewCKEUE</v>
      </c>
      <c r="U475" s="13" t="str">
        <f t="shared" si="136"/>
        <v>COMWARNewCKEUE</v>
      </c>
      <c r="V475" s="14">
        <v>2030</v>
      </c>
      <c r="W475" s="14" t="str">
        <f>W474</f>
        <v>UP</v>
      </c>
      <c r="X475" s="14"/>
      <c r="Y475" s="15">
        <f>UC!Y475</f>
        <v>0</v>
      </c>
      <c r="Z475" s="14"/>
      <c r="AA475" s="14"/>
      <c r="AB475" s="10"/>
      <c r="AC475" s="20"/>
    </row>
    <row r="476" spans="1:29" x14ac:dyDescent="0.25">
      <c r="A476" s="26">
        <f>A475</f>
        <v>118</v>
      </c>
      <c r="B476" s="26"/>
      <c r="C476" s="21" t="str">
        <f>SUBSTITUTE(UC!C476,"Old","New")</f>
        <v>*</v>
      </c>
      <c r="D476" s="22"/>
      <c r="E476" s="23" t="str">
        <f t="shared" si="141"/>
        <v>COMFOI</v>
      </c>
      <c r="F476" s="23" t="str">
        <f t="shared" si="141"/>
        <v>COMWARNewCKEUE</v>
      </c>
      <c r="G476" s="23" t="str">
        <f t="shared" si="141"/>
        <v>COMWARNewCKEUE</v>
      </c>
      <c r="H476" s="24">
        <v>2050</v>
      </c>
      <c r="I476" s="24" t="str">
        <f>I475</f>
        <v>LO</v>
      </c>
      <c r="J476" s="24"/>
      <c r="K476" s="25">
        <f>UC!K476</f>
        <v>0</v>
      </c>
      <c r="L476" s="24"/>
      <c r="M476" s="24"/>
      <c r="N476" s="26"/>
      <c r="O476" s="27"/>
      <c r="Q476" s="21" t="str">
        <f>SUBSTITUTE(UC!Q476,"Old","New")</f>
        <v>*</v>
      </c>
      <c r="R476" s="22"/>
      <c r="S476" s="23" t="str">
        <f t="shared" si="134"/>
        <v>COMFOI</v>
      </c>
      <c r="T476" s="23" t="str">
        <f t="shared" si="135"/>
        <v>COMWARNewCKEUE</v>
      </c>
      <c r="U476" s="23" t="str">
        <f t="shared" si="136"/>
        <v>COMWARNewCKEUE</v>
      </c>
      <c r="V476" s="24">
        <v>2050</v>
      </c>
      <c r="W476" s="24" t="str">
        <f>W475</f>
        <v>UP</v>
      </c>
      <c r="X476" s="24"/>
      <c r="Y476" s="25">
        <f>UC!Y476</f>
        <v>0</v>
      </c>
      <c r="Z476" s="24"/>
      <c r="AA476" s="24"/>
      <c r="AB476" s="26"/>
      <c r="AC476" s="27"/>
    </row>
    <row r="477" spans="1:29" x14ac:dyDescent="0.25">
      <c r="A477" s="19">
        <f>A473+1</f>
        <v>119</v>
      </c>
      <c r="B477" s="10"/>
      <c r="C477" s="11" t="str">
        <f>SUBSTITUTE(UC!C477,"Old","New")</f>
        <v>*</v>
      </c>
      <c r="D477" s="12"/>
      <c r="E477" s="13" t="str">
        <f>_xlfn.XLOOKUP($A477,Selected_constraint_UC!$A:$A,Selected_constraint_UC!$B:$B)</f>
        <v>COMNGA</v>
      </c>
      <c r="F477" s="13" t="str">
        <f>SUBSTITUTE(_xlfn.XLOOKUP($A477,Selected_constraint_UC!$A:$A,Selected_constraint_UC!$C:$C),"Old","New")</f>
        <v>COMWARNewCKEUE</v>
      </c>
      <c r="G477" s="13" t="str">
        <f>F477</f>
        <v>COMWARNewCKEUE</v>
      </c>
      <c r="H477" s="14">
        <v>2019</v>
      </c>
      <c r="I477" s="14" t="s">
        <v>3848</v>
      </c>
      <c r="J477" s="14">
        <v>1</v>
      </c>
      <c r="K477" s="15">
        <f>UC!K477</f>
        <v>-0.92805999999999989</v>
      </c>
      <c r="L477" s="14">
        <v>0</v>
      </c>
      <c r="M477" s="14">
        <v>5</v>
      </c>
      <c r="N477" s="10"/>
      <c r="O477" s="20"/>
      <c r="Q477" s="11" t="str">
        <f>SUBSTITUTE(UC!Q477,"Old","New")</f>
        <v>*</v>
      </c>
      <c r="R477" s="12"/>
      <c r="S477" s="13" t="str">
        <f t="shared" si="134"/>
        <v>COMNGA</v>
      </c>
      <c r="T477" s="13" t="str">
        <f t="shared" si="135"/>
        <v>COMWARNewCKEUE</v>
      </c>
      <c r="U477" s="13" t="str">
        <f t="shared" si="136"/>
        <v>COMWARNewCKEUE</v>
      </c>
      <c r="V477" s="14">
        <f>H477</f>
        <v>2019</v>
      </c>
      <c r="W477" s="29" t="s">
        <v>3849</v>
      </c>
      <c r="X477" s="14">
        <v>1</v>
      </c>
      <c r="Y477" s="15">
        <f>UC!Y477</f>
        <v>-0.96699999999999997</v>
      </c>
      <c r="Z477" s="14">
        <v>0</v>
      </c>
      <c r="AA477" s="14">
        <v>5</v>
      </c>
      <c r="AB477" s="10"/>
      <c r="AC477" s="20"/>
    </row>
    <row r="478" spans="1:29" x14ac:dyDescent="0.25">
      <c r="A478" s="10">
        <f>A477</f>
        <v>119</v>
      </c>
      <c r="B478" s="10"/>
      <c r="C478" s="11" t="str">
        <f>SUBSTITUTE(UC!C478,"Old","New")</f>
        <v>*</v>
      </c>
      <c r="D478" s="12"/>
      <c r="E478" s="13" t="str">
        <f t="shared" ref="E478:G480" si="142">E477</f>
        <v>COMNGA</v>
      </c>
      <c r="F478" s="13" t="str">
        <f t="shared" si="142"/>
        <v>COMWARNewCKEUE</v>
      </c>
      <c r="G478" s="13" t="str">
        <f t="shared" si="142"/>
        <v>COMWARNewCKEUE</v>
      </c>
      <c r="H478" s="14">
        <v>2025</v>
      </c>
      <c r="I478" s="14" t="str">
        <f>I477</f>
        <v>LO</v>
      </c>
      <c r="J478" s="14"/>
      <c r="K478" s="15">
        <f>UC!K478</f>
        <v>-0.75760000000000005</v>
      </c>
      <c r="L478" s="14"/>
      <c r="M478" s="14"/>
      <c r="N478" s="10"/>
      <c r="O478" s="20"/>
      <c r="Q478" s="11" t="str">
        <f>SUBSTITUTE(UC!Q478,"Old","New")</f>
        <v>*</v>
      </c>
      <c r="R478" s="12"/>
      <c r="S478" s="13" t="str">
        <f t="shared" si="134"/>
        <v>COMNGA</v>
      </c>
      <c r="T478" s="13" t="str">
        <f t="shared" si="135"/>
        <v>COMWARNewCKEUE</v>
      </c>
      <c r="U478" s="13" t="str">
        <f t="shared" si="136"/>
        <v>COMWARNewCKEUE</v>
      </c>
      <c r="V478" s="14">
        <v>2025</v>
      </c>
      <c r="W478" s="14" t="str">
        <f>W477</f>
        <v>UP</v>
      </c>
      <c r="X478" s="14"/>
      <c r="Y478" s="15">
        <f>UC!Y478</f>
        <v>-1</v>
      </c>
      <c r="Z478" s="14"/>
      <c r="AA478" s="14"/>
      <c r="AB478" s="10"/>
      <c r="AC478" s="20"/>
    </row>
    <row r="479" spans="1:29" x14ac:dyDescent="0.25">
      <c r="A479" s="10">
        <f>A478</f>
        <v>119</v>
      </c>
      <c r="B479" s="10"/>
      <c r="C479" s="11" t="str">
        <f>SUBSTITUTE(UC!C479,"Old","New")</f>
        <v>*</v>
      </c>
      <c r="D479" s="12"/>
      <c r="E479" s="13" t="str">
        <f t="shared" si="142"/>
        <v>COMNGA</v>
      </c>
      <c r="F479" s="13" t="str">
        <f t="shared" si="142"/>
        <v>COMWARNewCKEUE</v>
      </c>
      <c r="G479" s="13" t="str">
        <f t="shared" si="142"/>
        <v>COMWARNewCKEUE</v>
      </c>
      <c r="H479" s="14">
        <v>2030</v>
      </c>
      <c r="I479" s="14" t="str">
        <f>I478</f>
        <v>LO</v>
      </c>
      <c r="J479" s="14"/>
      <c r="K479" s="15">
        <f>UC!K479</f>
        <v>-0.18940000000000001</v>
      </c>
      <c r="L479" s="14"/>
      <c r="M479" s="14"/>
      <c r="N479" s="10"/>
      <c r="O479" s="20"/>
      <c r="Q479" s="11" t="str">
        <f>SUBSTITUTE(UC!Q479,"Old","New")</f>
        <v>*</v>
      </c>
      <c r="R479" s="12"/>
      <c r="S479" s="13" t="str">
        <f t="shared" si="134"/>
        <v>COMNGA</v>
      </c>
      <c r="T479" s="13" t="str">
        <f t="shared" si="135"/>
        <v>COMWARNewCKEUE</v>
      </c>
      <c r="U479" s="13" t="str">
        <f t="shared" si="136"/>
        <v>COMWARNewCKEUE</v>
      </c>
      <c r="V479" s="14">
        <v>2030</v>
      </c>
      <c r="W479" s="14" t="str">
        <f>W478</f>
        <v>UP</v>
      </c>
      <c r="X479" s="14"/>
      <c r="Y479" s="15">
        <f>UC!Y479</f>
        <v>-1</v>
      </c>
      <c r="Z479" s="14"/>
      <c r="AA479" s="14"/>
      <c r="AB479" s="10"/>
      <c r="AC479" s="20"/>
    </row>
    <row r="480" spans="1:29" x14ac:dyDescent="0.25">
      <c r="A480" s="26">
        <f>A479</f>
        <v>119</v>
      </c>
      <c r="B480" s="26"/>
      <c r="C480" s="21" t="str">
        <f>SUBSTITUTE(UC!C480,"Old","New")</f>
        <v>*</v>
      </c>
      <c r="D480" s="22"/>
      <c r="E480" s="23" t="str">
        <f t="shared" si="142"/>
        <v>COMNGA</v>
      </c>
      <c r="F480" s="23" t="str">
        <f t="shared" si="142"/>
        <v>COMWARNewCKEUE</v>
      </c>
      <c r="G480" s="23" t="str">
        <f t="shared" si="142"/>
        <v>COMWARNewCKEUE</v>
      </c>
      <c r="H480" s="24">
        <v>2050</v>
      </c>
      <c r="I480" s="24" t="str">
        <f>I479</f>
        <v>LO</v>
      </c>
      <c r="J480" s="24"/>
      <c r="K480" s="25">
        <f>UC!K480</f>
        <v>0</v>
      </c>
      <c r="L480" s="24"/>
      <c r="M480" s="24"/>
      <c r="N480" s="26"/>
      <c r="O480" s="27"/>
      <c r="Q480" s="21" t="str">
        <f>SUBSTITUTE(UC!Q480,"Old","New")</f>
        <v>*</v>
      </c>
      <c r="R480" s="22"/>
      <c r="S480" s="23" t="str">
        <f t="shared" si="134"/>
        <v>COMNGA</v>
      </c>
      <c r="T480" s="23" t="str">
        <f t="shared" si="135"/>
        <v>COMWARNewCKEUE</v>
      </c>
      <c r="U480" s="23" t="str">
        <f t="shared" si="136"/>
        <v>COMWARNewCKEUE</v>
      </c>
      <c r="V480" s="24">
        <v>2050</v>
      </c>
      <c r="W480" s="24" t="str">
        <f>W479</f>
        <v>UP</v>
      </c>
      <c r="X480" s="24"/>
      <c r="Y480" s="25">
        <f>UC!Y480</f>
        <v>-1</v>
      </c>
      <c r="Z480" s="24"/>
      <c r="AA480" s="24"/>
      <c r="AB480" s="26"/>
      <c r="AC480" s="27"/>
    </row>
    <row r="481" spans="1:29" x14ac:dyDescent="0.25">
      <c r="A481" s="19">
        <f>A477+1</f>
        <v>120</v>
      </c>
      <c r="B481" s="10"/>
      <c r="C481" s="11" t="str">
        <f>SUBSTITUTE(UC!C481,"Old","New")</f>
        <v>*</v>
      </c>
      <c r="D481" s="12"/>
      <c r="E481" s="13" t="str">
        <f>_xlfn.XLOOKUP($A481,Selected_constraint_UC!$A:$A,Selected_constraint_UC!$B:$B)</f>
        <v>COMSTM</v>
      </c>
      <c r="F481" s="13" t="str">
        <f>SUBSTITUTE(_xlfn.XLOOKUP($A481,Selected_constraint_UC!$A:$A,Selected_constraint_UC!$C:$C),"Old","New")</f>
        <v>COMWARNewCKEUE</v>
      </c>
      <c r="G481" s="13" t="str">
        <f>F481</f>
        <v>COMWARNewCKEUE</v>
      </c>
      <c r="H481" s="14">
        <v>2019</v>
      </c>
      <c r="I481" s="14" t="s">
        <v>3848</v>
      </c>
      <c r="J481" s="14">
        <v>1</v>
      </c>
      <c r="K481" s="15">
        <f>UC!K481</f>
        <v>0</v>
      </c>
      <c r="L481" s="14">
        <v>0</v>
      </c>
      <c r="M481" s="14">
        <v>5</v>
      </c>
      <c r="N481" s="10"/>
      <c r="O481" s="20"/>
      <c r="Q481" s="11" t="str">
        <f>SUBSTITUTE(UC!Q481,"Old","New")</f>
        <v>*</v>
      </c>
      <c r="R481" s="12"/>
      <c r="S481" s="13" t="str">
        <f t="shared" si="134"/>
        <v>COMSTM</v>
      </c>
      <c r="T481" s="13" t="str">
        <f t="shared" si="135"/>
        <v>COMWARNewCKEUE</v>
      </c>
      <c r="U481" s="13" t="str">
        <f t="shared" si="136"/>
        <v>COMWARNewCKEUE</v>
      </c>
      <c r="V481" s="14">
        <f>H481</f>
        <v>2019</v>
      </c>
      <c r="W481" s="29" t="s">
        <v>3849</v>
      </c>
      <c r="X481" s="14">
        <v>1</v>
      </c>
      <c r="Y481" s="15">
        <f>UC!Y481</f>
        <v>0</v>
      </c>
      <c r="Z481" s="14">
        <v>0</v>
      </c>
      <c r="AA481" s="14">
        <v>5</v>
      </c>
      <c r="AB481" s="10"/>
      <c r="AC481" s="20"/>
    </row>
    <row r="482" spans="1:29" x14ac:dyDescent="0.25">
      <c r="A482" s="10">
        <f>A481</f>
        <v>120</v>
      </c>
      <c r="B482" s="10"/>
      <c r="C482" s="11" t="str">
        <f>SUBSTITUTE(UC!C482,"Old","New")</f>
        <v>*</v>
      </c>
      <c r="D482" s="12"/>
      <c r="E482" s="13" t="str">
        <f t="shared" ref="E482:G484" si="143">E481</f>
        <v>COMSTM</v>
      </c>
      <c r="F482" s="13" t="str">
        <f t="shared" si="143"/>
        <v>COMWARNewCKEUE</v>
      </c>
      <c r="G482" s="13" t="str">
        <f t="shared" si="143"/>
        <v>COMWARNewCKEUE</v>
      </c>
      <c r="H482" s="14">
        <v>2025</v>
      </c>
      <c r="I482" s="14" t="str">
        <f>I481</f>
        <v>LO</v>
      </c>
      <c r="J482" s="14"/>
      <c r="K482" s="15">
        <f>UC!K482</f>
        <v>0</v>
      </c>
      <c r="L482" s="14"/>
      <c r="M482" s="14"/>
      <c r="N482" s="10"/>
      <c r="O482" s="20"/>
      <c r="Q482" s="11" t="str">
        <f>SUBSTITUTE(UC!Q482,"Old","New")</f>
        <v>*</v>
      </c>
      <c r="R482" s="12"/>
      <c r="S482" s="13" t="str">
        <f t="shared" si="134"/>
        <v>COMSTM</v>
      </c>
      <c r="T482" s="13" t="str">
        <f t="shared" si="135"/>
        <v>COMWARNewCKEUE</v>
      </c>
      <c r="U482" s="13" t="str">
        <f t="shared" si="136"/>
        <v>COMWARNewCKEUE</v>
      </c>
      <c r="V482" s="14">
        <v>2025</v>
      </c>
      <c r="W482" s="14" t="str">
        <f>W481</f>
        <v>UP</v>
      </c>
      <c r="X482" s="14"/>
      <c r="Y482" s="15">
        <f>UC!Y482</f>
        <v>0</v>
      </c>
      <c r="Z482" s="14"/>
      <c r="AA482" s="14"/>
      <c r="AB482" s="10"/>
      <c r="AC482" s="20"/>
    </row>
    <row r="483" spans="1:29" x14ac:dyDescent="0.25">
      <c r="A483" s="10">
        <f>A482</f>
        <v>120</v>
      </c>
      <c r="B483" s="10"/>
      <c r="C483" s="11" t="str">
        <f>SUBSTITUTE(UC!C483,"Old","New")</f>
        <v>*</v>
      </c>
      <c r="D483" s="12"/>
      <c r="E483" s="13" t="str">
        <f t="shared" si="143"/>
        <v>COMSTM</v>
      </c>
      <c r="F483" s="13" t="str">
        <f t="shared" si="143"/>
        <v>COMWARNewCKEUE</v>
      </c>
      <c r="G483" s="13" t="str">
        <f t="shared" si="143"/>
        <v>COMWARNewCKEUE</v>
      </c>
      <c r="H483" s="14">
        <v>2030</v>
      </c>
      <c r="I483" s="14" t="str">
        <f>I482</f>
        <v>LO</v>
      </c>
      <c r="J483" s="14"/>
      <c r="K483" s="15">
        <f>UC!K483</f>
        <v>0</v>
      </c>
      <c r="L483" s="14"/>
      <c r="M483" s="14"/>
      <c r="N483" s="10"/>
      <c r="O483" s="20"/>
      <c r="Q483" s="11" t="str">
        <f>SUBSTITUTE(UC!Q483,"Old","New")</f>
        <v>*</v>
      </c>
      <c r="R483" s="12"/>
      <c r="S483" s="13" t="str">
        <f t="shared" si="134"/>
        <v>COMSTM</v>
      </c>
      <c r="T483" s="13" t="str">
        <f t="shared" si="135"/>
        <v>COMWARNewCKEUE</v>
      </c>
      <c r="U483" s="13" t="str">
        <f t="shared" si="136"/>
        <v>COMWARNewCKEUE</v>
      </c>
      <c r="V483" s="14">
        <v>2030</v>
      </c>
      <c r="W483" s="14" t="str">
        <f>W482</f>
        <v>UP</v>
      </c>
      <c r="X483" s="14"/>
      <c r="Y483" s="15">
        <f>UC!Y483</f>
        <v>0</v>
      </c>
      <c r="Z483" s="14"/>
      <c r="AA483" s="14"/>
      <c r="AB483" s="10"/>
      <c r="AC483" s="20"/>
    </row>
    <row r="484" spans="1:29" x14ac:dyDescent="0.25">
      <c r="A484" s="26">
        <f>A483</f>
        <v>120</v>
      </c>
      <c r="B484" s="26"/>
      <c r="C484" s="21" t="str">
        <f>SUBSTITUTE(UC!C484,"Old","New")</f>
        <v>*</v>
      </c>
      <c r="D484" s="22"/>
      <c r="E484" s="23" t="str">
        <f t="shared" si="143"/>
        <v>COMSTM</v>
      </c>
      <c r="F484" s="23" t="str">
        <f t="shared" si="143"/>
        <v>COMWARNewCKEUE</v>
      </c>
      <c r="G484" s="23" t="str">
        <f t="shared" si="143"/>
        <v>COMWARNewCKEUE</v>
      </c>
      <c r="H484" s="24">
        <v>2050</v>
      </c>
      <c r="I484" s="24" t="str">
        <f>I483</f>
        <v>LO</v>
      </c>
      <c r="J484" s="24"/>
      <c r="K484" s="25">
        <f>UC!K484</f>
        <v>0</v>
      </c>
      <c r="L484" s="24"/>
      <c r="M484" s="24"/>
      <c r="N484" s="26"/>
      <c r="O484" s="27"/>
      <c r="Q484" s="21" t="str">
        <f>SUBSTITUTE(UC!Q484,"Old","New")</f>
        <v>*</v>
      </c>
      <c r="R484" s="22"/>
      <c r="S484" s="23" t="str">
        <f t="shared" si="134"/>
        <v>COMSTM</v>
      </c>
      <c r="T484" s="23" t="str">
        <f t="shared" si="135"/>
        <v>COMWARNewCKEUE</v>
      </c>
      <c r="U484" s="23" t="str">
        <f t="shared" si="136"/>
        <v>COMWARNewCKEUE</v>
      </c>
      <c r="V484" s="24">
        <v>2050</v>
      </c>
      <c r="W484" s="24" t="str">
        <f>W483</f>
        <v>UP</v>
      </c>
      <c r="X484" s="24"/>
      <c r="Y484" s="25">
        <f>UC!Y484</f>
        <v>0</v>
      </c>
      <c r="Z484" s="24"/>
      <c r="AA484" s="24"/>
      <c r="AB484" s="26"/>
      <c r="AC484" s="27"/>
    </row>
    <row r="485" spans="1:29" x14ac:dyDescent="0.25">
      <c r="A485" s="19">
        <f>A481+1</f>
        <v>121</v>
      </c>
      <c r="B485" s="10"/>
      <c r="C485" s="11" t="str">
        <f>SUBSTITUTE(UC!C485,"Old","New")</f>
        <v>*</v>
      </c>
      <c r="D485" s="12"/>
      <c r="E485" s="13" t="str">
        <f>_xlfn.XLOOKUP($A485,Selected_constraint_UC!$A:$A,Selected_constraint_UC!$B:$B)</f>
        <v>COMELC</v>
      </c>
      <c r="F485" s="13" t="str">
        <f>SUBSTITUTE(_xlfn.XLOOKUP($A485,Selected_constraint_UC!$A:$A,Selected_constraint_UC!$C:$C),"Old","New")</f>
        <v>COMWARNewCKEUE</v>
      </c>
      <c r="G485" s="13" t="str">
        <f>F485</f>
        <v>COMWARNewCKEUE</v>
      </c>
      <c r="H485" s="14">
        <v>2019</v>
      </c>
      <c r="I485" s="14" t="s">
        <v>3848</v>
      </c>
      <c r="J485" s="14">
        <v>1</v>
      </c>
      <c r="K485" s="15">
        <f>UC!K485</f>
        <v>-5.0959999999999998E-2</v>
      </c>
      <c r="L485" s="14">
        <v>0</v>
      </c>
      <c r="M485" s="14">
        <v>5</v>
      </c>
      <c r="N485" s="10"/>
      <c r="O485" s="20"/>
      <c r="Q485" s="11" t="str">
        <f>SUBSTITUTE(UC!Q485,"Old","New")</f>
        <v>*</v>
      </c>
      <c r="R485" s="12"/>
      <c r="S485" s="13" t="str">
        <f t="shared" si="134"/>
        <v>COMELC</v>
      </c>
      <c r="T485" s="13" t="str">
        <f t="shared" si="135"/>
        <v>COMWARNewCKEUE</v>
      </c>
      <c r="U485" s="13" t="str">
        <f t="shared" si="136"/>
        <v>COMWARNewCKEUE</v>
      </c>
      <c r="V485" s="14">
        <f>H485</f>
        <v>2019</v>
      </c>
      <c r="W485" s="29" t="s">
        <v>3849</v>
      </c>
      <c r="X485" s="14">
        <v>1</v>
      </c>
      <c r="Y485" s="15">
        <f>UC!Y485</f>
        <v>-5.3999999999999999E-2</v>
      </c>
      <c r="Z485" s="14">
        <v>0</v>
      </c>
      <c r="AA485" s="14">
        <v>5</v>
      </c>
      <c r="AB485" s="10"/>
      <c r="AC485" s="20"/>
    </row>
    <row r="486" spans="1:29" x14ac:dyDescent="0.25">
      <c r="A486" s="10">
        <f>A485</f>
        <v>121</v>
      </c>
      <c r="B486" s="10"/>
      <c r="C486" s="11" t="str">
        <f>SUBSTITUTE(UC!C486,"Old","New")</f>
        <v>*</v>
      </c>
      <c r="D486" s="12"/>
      <c r="E486" s="13" t="str">
        <f t="shared" ref="E486:G488" si="144">E485</f>
        <v>COMELC</v>
      </c>
      <c r="F486" s="13" t="str">
        <f t="shared" si="144"/>
        <v>COMWARNewCKEUE</v>
      </c>
      <c r="G486" s="13" t="str">
        <f t="shared" si="144"/>
        <v>COMWARNewCKEUE</v>
      </c>
      <c r="H486" s="14">
        <v>2025</v>
      </c>
      <c r="I486" s="14" t="str">
        <f>I485</f>
        <v>LO</v>
      </c>
      <c r="J486" s="14"/>
      <c r="K486" s="15">
        <f>UC!K486</f>
        <v>-4.1599999999999998E-2</v>
      </c>
      <c r="L486" s="14"/>
      <c r="M486" s="14"/>
      <c r="N486" s="10"/>
      <c r="O486" s="20"/>
      <c r="Q486" s="11" t="str">
        <f>SUBSTITUTE(UC!Q486,"Old","New")</f>
        <v>*</v>
      </c>
      <c r="R486" s="12"/>
      <c r="S486" s="13" t="str">
        <f t="shared" si="134"/>
        <v>COMELC</v>
      </c>
      <c r="T486" s="13" t="str">
        <f t="shared" si="135"/>
        <v>COMWARNewCKEUE</v>
      </c>
      <c r="U486" s="13" t="str">
        <f t="shared" si="136"/>
        <v>COMWARNewCKEUE</v>
      </c>
      <c r="V486" s="14">
        <v>2025</v>
      </c>
      <c r="W486" s="14" t="str">
        <f>W485</f>
        <v>UP</v>
      </c>
      <c r="X486" s="14"/>
      <c r="Y486" s="15">
        <f>UC!Y486</f>
        <v>-0.25</v>
      </c>
      <c r="Z486" s="14"/>
      <c r="AA486" s="14"/>
      <c r="AB486" s="10"/>
      <c r="AC486" s="20"/>
    </row>
    <row r="487" spans="1:29" x14ac:dyDescent="0.25">
      <c r="A487" s="10">
        <f>A486</f>
        <v>121</v>
      </c>
      <c r="B487" s="10"/>
      <c r="C487" s="11" t="str">
        <f>SUBSTITUTE(UC!C487,"Old","New")</f>
        <v>*</v>
      </c>
      <c r="D487" s="12"/>
      <c r="E487" s="13" t="str">
        <f t="shared" si="144"/>
        <v>COMELC</v>
      </c>
      <c r="F487" s="13" t="str">
        <f t="shared" si="144"/>
        <v>COMWARNewCKEUE</v>
      </c>
      <c r="G487" s="13" t="str">
        <f t="shared" si="144"/>
        <v>COMWARNewCKEUE</v>
      </c>
      <c r="H487" s="14">
        <v>2030</v>
      </c>
      <c r="I487" s="14" t="str">
        <f>I486</f>
        <v>LO</v>
      </c>
      <c r="J487" s="14"/>
      <c r="K487" s="15">
        <f>UC!K487</f>
        <v>-1.04E-2</v>
      </c>
      <c r="L487" s="14"/>
      <c r="M487" s="14"/>
      <c r="N487" s="10"/>
      <c r="O487" s="20"/>
      <c r="Q487" s="11" t="str">
        <f>SUBSTITUTE(UC!Q487,"Old","New")</f>
        <v>*</v>
      </c>
      <c r="R487" s="12"/>
      <c r="S487" s="13" t="str">
        <f t="shared" si="134"/>
        <v>COMELC</v>
      </c>
      <c r="T487" s="13" t="str">
        <f t="shared" si="135"/>
        <v>COMWARNewCKEUE</v>
      </c>
      <c r="U487" s="13" t="str">
        <f t="shared" si="136"/>
        <v>COMWARNewCKEUE</v>
      </c>
      <c r="V487" s="14">
        <v>2030</v>
      </c>
      <c r="W487" s="14" t="str">
        <f>W486</f>
        <v>UP</v>
      </c>
      <c r="X487" s="14"/>
      <c r="Y487" s="15">
        <f>UC!Y487</f>
        <v>-0.5</v>
      </c>
      <c r="Z487" s="14"/>
      <c r="AA487" s="14"/>
      <c r="AB487" s="10"/>
      <c r="AC487" s="20"/>
    </row>
    <row r="488" spans="1:29" x14ac:dyDescent="0.25">
      <c r="A488" s="26">
        <f>A487</f>
        <v>121</v>
      </c>
      <c r="B488" s="26"/>
      <c r="C488" s="21" t="str">
        <f>SUBSTITUTE(UC!C488,"Old","New")</f>
        <v>*</v>
      </c>
      <c r="D488" s="22"/>
      <c r="E488" s="23" t="str">
        <f t="shared" si="144"/>
        <v>COMELC</v>
      </c>
      <c r="F488" s="23" t="str">
        <f t="shared" si="144"/>
        <v>COMWARNewCKEUE</v>
      </c>
      <c r="G488" s="23" t="str">
        <f t="shared" si="144"/>
        <v>COMWARNewCKEUE</v>
      </c>
      <c r="H488" s="24">
        <v>2050</v>
      </c>
      <c r="I488" s="24" t="str">
        <f>I487</f>
        <v>LO</v>
      </c>
      <c r="J488" s="24"/>
      <c r="K488" s="25">
        <f>UC!K488</f>
        <v>0</v>
      </c>
      <c r="L488" s="24"/>
      <c r="M488" s="24"/>
      <c r="N488" s="26"/>
      <c r="O488" s="27"/>
      <c r="Q488" s="21" t="str">
        <f>SUBSTITUTE(UC!Q488,"Old","New")</f>
        <v>*</v>
      </c>
      <c r="R488" s="22"/>
      <c r="S488" s="23" t="str">
        <f t="shared" si="134"/>
        <v>COMELC</v>
      </c>
      <c r="T488" s="23" t="str">
        <f t="shared" si="135"/>
        <v>COMWARNewCKEUE</v>
      </c>
      <c r="U488" s="23" t="str">
        <f t="shared" si="136"/>
        <v>COMWARNewCKEUE</v>
      </c>
      <c r="V488" s="24">
        <v>2050</v>
      </c>
      <c r="W488" s="24" t="str">
        <f>W487</f>
        <v>UP</v>
      </c>
      <c r="X488" s="24"/>
      <c r="Y488" s="25">
        <f>UC!Y488</f>
        <v>-1</v>
      </c>
      <c r="Z488" s="24"/>
      <c r="AA488" s="24"/>
      <c r="AB488" s="26"/>
      <c r="AC488" s="27"/>
    </row>
    <row r="489" spans="1:29" x14ac:dyDescent="0.25">
      <c r="A489" s="19">
        <f>A485+1</f>
        <v>122</v>
      </c>
      <c r="B489" s="10"/>
      <c r="C489" s="11" t="str">
        <f>SUBSTITUTE(UC!C489,"Old","New")</f>
        <v>*</v>
      </c>
      <c r="D489" s="12"/>
      <c r="E489" s="13" t="str">
        <f>_xlfn.XLOOKUP($A489,Selected_constraint_UC!$A:$A,Selected_constraint_UC!$B:$B)</f>
        <v>COMELC</v>
      </c>
      <c r="F489" s="13" t="str">
        <f>SUBSTITUTE(_xlfn.XLOOKUP($A489,Selected_constraint_UC!$A:$A,Selected_constraint_UC!$C:$C),"Old","New")</f>
        <v>COMWARNewREEUE</v>
      </c>
      <c r="G489" s="13" t="str">
        <f>F489</f>
        <v>COMWARNewREEUE</v>
      </c>
      <c r="H489" s="14">
        <v>2019</v>
      </c>
      <c r="I489" s="14" t="s">
        <v>3848</v>
      </c>
      <c r="J489" s="14">
        <v>1</v>
      </c>
      <c r="K489" s="15">
        <f>UC!K489</f>
        <v>-0.98</v>
      </c>
      <c r="L489" s="14">
        <v>0</v>
      </c>
      <c r="M489" s="14">
        <v>5</v>
      </c>
      <c r="N489" s="10"/>
      <c r="O489" s="20"/>
      <c r="Q489" s="11" t="str">
        <f>SUBSTITUTE(UC!Q489,"Old","New")</f>
        <v>*</v>
      </c>
      <c r="R489" s="12"/>
      <c r="S489" s="13" t="str">
        <f t="shared" si="134"/>
        <v>COMELC</v>
      </c>
      <c r="T489" s="13" t="str">
        <f t="shared" si="135"/>
        <v>COMWARNewREEUE</v>
      </c>
      <c r="U489" s="13" t="str">
        <f t="shared" si="136"/>
        <v>COMWARNewREEUE</v>
      </c>
      <c r="V489" s="14">
        <f>H489</f>
        <v>2019</v>
      </c>
      <c r="W489" s="29" t="s">
        <v>3849</v>
      </c>
      <c r="X489" s="14">
        <v>1</v>
      </c>
      <c r="Y489" s="15">
        <f>UC!Y489</f>
        <v>-1</v>
      </c>
      <c r="Z489" s="14">
        <v>0</v>
      </c>
      <c r="AA489" s="14">
        <v>5</v>
      </c>
      <c r="AB489" s="10"/>
      <c r="AC489" s="20"/>
    </row>
    <row r="490" spans="1:29" x14ac:dyDescent="0.25">
      <c r="A490" s="10">
        <f>A489</f>
        <v>122</v>
      </c>
      <c r="B490" s="10"/>
      <c r="C490" s="11" t="str">
        <f>SUBSTITUTE(UC!C490,"Old","New")</f>
        <v>*</v>
      </c>
      <c r="D490" s="12"/>
      <c r="E490" s="13" t="str">
        <f t="shared" ref="E490:G492" si="145">E489</f>
        <v>COMELC</v>
      </c>
      <c r="F490" s="13" t="str">
        <f t="shared" si="145"/>
        <v>COMWARNewREEUE</v>
      </c>
      <c r="G490" s="13" t="str">
        <f t="shared" si="145"/>
        <v>COMWARNewREEUE</v>
      </c>
      <c r="H490" s="14">
        <v>2025</v>
      </c>
      <c r="I490" s="14" t="str">
        <f>I489</f>
        <v>LO</v>
      </c>
      <c r="J490" s="14"/>
      <c r="K490" s="15">
        <f>UC!K490</f>
        <v>-0.8</v>
      </c>
      <c r="L490" s="14"/>
      <c r="M490" s="14"/>
      <c r="N490" s="10"/>
      <c r="O490" s="20"/>
      <c r="Q490" s="11" t="str">
        <f>SUBSTITUTE(UC!Q490,"Old","New")</f>
        <v>*</v>
      </c>
      <c r="R490" s="12"/>
      <c r="S490" s="13" t="str">
        <f t="shared" si="134"/>
        <v>COMELC</v>
      </c>
      <c r="T490" s="13" t="str">
        <f t="shared" si="135"/>
        <v>COMWARNewREEUE</v>
      </c>
      <c r="U490" s="13" t="str">
        <f t="shared" si="136"/>
        <v>COMWARNewREEUE</v>
      </c>
      <c r="V490" s="14">
        <v>2025</v>
      </c>
      <c r="W490" s="14" t="str">
        <f>W489</f>
        <v>UP</v>
      </c>
      <c r="X490" s="14"/>
      <c r="Y490" s="15">
        <f>UC!Y490</f>
        <v>-1</v>
      </c>
      <c r="Z490" s="14"/>
      <c r="AA490" s="14"/>
      <c r="AB490" s="10"/>
      <c r="AC490" s="20"/>
    </row>
    <row r="491" spans="1:29" x14ac:dyDescent="0.25">
      <c r="A491" s="10">
        <f>A490</f>
        <v>122</v>
      </c>
      <c r="B491" s="10"/>
      <c r="C491" s="11" t="str">
        <f>SUBSTITUTE(UC!C491,"Old","New")</f>
        <v>*</v>
      </c>
      <c r="D491" s="12"/>
      <c r="E491" s="13" t="str">
        <f t="shared" si="145"/>
        <v>COMELC</v>
      </c>
      <c r="F491" s="13" t="str">
        <f t="shared" si="145"/>
        <v>COMWARNewREEUE</v>
      </c>
      <c r="G491" s="13" t="str">
        <f t="shared" si="145"/>
        <v>COMWARNewREEUE</v>
      </c>
      <c r="H491" s="14">
        <v>2030</v>
      </c>
      <c r="I491" s="14" t="str">
        <f>I490</f>
        <v>LO</v>
      </c>
      <c r="J491" s="14"/>
      <c r="K491" s="15">
        <f>UC!K491</f>
        <v>-0.2</v>
      </c>
      <c r="L491" s="14"/>
      <c r="M491" s="14"/>
      <c r="N491" s="10"/>
      <c r="O491" s="20"/>
      <c r="Q491" s="11" t="str">
        <f>SUBSTITUTE(UC!Q491,"Old","New")</f>
        <v>*</v>
      </c>
      <c r="R491" s="12"/>
      <c r="S491" s="13" t="str">
        <f t="shared" si="134"/>
        <v>COMELC</v>
      </c>
      <c r="T491" s="13" t="str">
        <f t="shared" si="135"/>
        <v>COMWARNewREEUE</v>
      </c>
      <c r="U491" s="13" t="str">
        <f t="shared" si="136"/>
        <v>COMWARNewREEUE</v>
      </c>
      <c r="V491" s="14">
        <v>2030</v>
      </c>
      <c r="W491" s="14" t="str">
        <f>W490</f>
        <v>UP</v>
      </c>
      <c r="X491" s="14"/>
      <c r="Y491" s="15">
        <f>UC!Y491</f>
        <v>-1</v>
      </c>
      <c r="Z491" s="14"/>
      <c r="AA491" s="14"/>
      <c r="AB491" s="10"/>
      <c r="AC491" s="20"/>
    </row>
    <row r="492" spans="1:29" x14ac:dyDescent="0.25">
      <c r="A492" s="26">
        <f>A491</f>
        <v>122</v>
      </c>
      <c r="B492" s="26"/>
      <c r="C492" s="21" t="str">
        <f>SUBSTITUTE(UC!C492,"Old","New")</f>
        <v>*</v>
      </c>
      <c r="D492" s="22"/>
      <c r="E492" s="23" t="str">
        <f t="shared" si="145"/>
        <v>COMELC</v>
      </c>
      <c r="F492" s="23" t="str">
        <f t="shared" si="145"/>
        <v>COMWARNewREEUE</v>
      </c>
      <c r="G492" s="23" t="str">
        <f t="shared" si="145"/>
        <v>COMWARNewREEUE</v>
      </c>
      <c r="H492" s="24">
        <v>2050</v>
      </c>
      <c r="I492" s="24" t="str">
        <f>I491</f>
        <v>LO</v>
      </c>
      <c r="J492" s="24"/>
      <c r="K492" s="25">
        <f>UC!K492</f>
        <v>0</v>
      </c>
      <c r="L492" s="24"/>
      <c r="M492" s="24"/>
      <c r="N492" s="26"/>
      <c r="O492" s="27"/>
      <c r="Q492" s="21" t="str">
        <f>SUBSTITUTE(UC!Q492,"Old","New")</f>
        <v>*</v>
      </c>
      <c r="R492" s="22"/>
      <c r="S492" s="23" t="str">
        <f t="shared" si="134"/>
        <v>COMELC</v>
      </c>
      <c r="T492" s="23" t="str">
        <f t="shared" si="135"/>
        <v>COMWARNewREEUE</v>
      </c>
      <c r="U492" s="23" t="str">
        <f t="shared" si="136"/>
        <v>COMWARNewREEUE</v>
      </c>
      <c r="V492" s="24">
        <v>2050</v>
      </c>
      <c r="W492" s="24" t="str">
        <f>W491</f>
        <v>UP</v>
      </c>
      <c r="X492" s="24"/>
      <c r="Y492" s="25">
        <f>UC!Y492</f>
        <v>-1</v>
      </c>
      <c r="Z492" s="24"/>
      <c r="AA492" s="24"/>
      <c r="AB492" s="26"/>
      <c r="AC492" s="27"/>
    </row>
    <row r="493" spans="1:29" x14ac:dyDescent="0.25">
      <c r="A493" s="19">
        <f>A489+1</f>
        <v>123</v>
      </c>
      <c r="B493" s="10"/>
      <c r="C493" s="11" t="str">
        <f>SUBSTITUTE(UC!C493,"Old","New")</f>
        <v>*</v>
      </c>
      <c r="D493" s="12"/>
      <c r="E493" s="13" t="str">
        <f>_xlfn.XLOOKUP($A493,Selected_constraint_UC!$A:$A,Selected_constraint_UC!$B:$B)</f>
        <v>COMFOI</v>
      </c>
      <c r="F493" s="13" t="str">
        <f>SUBSTITUTE(_xlfn.XLOOKUP($A493,Selected_constraint_UC!$A:$A,Selected_constraint_UC!$C:$C),"Old","New")</f>
        <v>COMWARNewOEEUE</v>
      </c>
      <c r="G493" s="13" t="str">
        <f>F493</f>
        <v>COMWARNewOEEUE</v>
      </c>
      <c r="H493" s="14">
        <v>2019</v>
      </c>
      <c r="I493" s="14" t="s">
        <v>3848</v>
      </c>
      <c r="J493" s="14">
        <v>1</v>
      </c>
      <c r="K493" s="15">
        <f>UC!K493</f>
        <v>-5.4879999999999998E-2</v>
      </c>
      <c r="L493" s="14">
        <v>0</v>
      </c>
      <c r="M493" s="14">
        <v>5</v>
      </c>
      <c r="N493" s="10"/>
      <c r="O493" s="20"/>
      <c r="Q493" s="11" t="str">
        <f>SUBSTITUTE(UC!Q493,"Old","New")</f>
        <v>*</v>
      </c>
      <c r="R493" s="12"/>
      <c r="S493" s="13" t="str">
        <f t="shared" si="134"/>
        <v>COMFOI</v>
      </c>
      <c r="T493" s="13" t="str">
        <f t="shared" si="135"/>
        <v>COMWARNewOEEUE</v>
      </c>
      <c r="U493" s="13" t="str">
        <f t="shared" si="136"/>
        <v>COMWARNewOEEUE</v>
      </c>
      <c r="V493" s="14">
        <f>H493</f>
        <v>2019</v>
      </c>
      <c r="W493" s="29" t="s">
        <v>3849</v>
      </c>
      <c r="X493" s="14">
        <v>1</v>
      </c>
      <c r="Y493" s="15">
        <f>UC!Y493</f>
        <v>-5.8000000000000003E-2</v>
      </c>
      <c r="Z493" s="14">
        <v>0</v>
      </c>
      <c r="AA493" s="14">
        <v>5</v>
      </c>
      <c r="AB493" s="10"/>
      <c r="AC493" s="20"/>
    </row>
    <row r="494" spans="1:29" x14ac:dyDescent="0.25">
      <c r="A494" s="10">
        <f>A493</f>
        <v>123</v>
      </c>
      <c r="B494" s="10"/>
      <c r="C494" s="11" t="str">
        <f>SUBSTITUTE(UC!C494,"Old","New")</f>
        <v>*</v>
      </c>
      <c r="D494" s="12"/>
      <c r="E494" s="13" t="str">
        <f t="shared" ref="E494:G496" si="146">E493</f>
        <v>COMFOI</v>
      </c>
      <c r="F494" s="13" t="str">
        <f t="shared" si="146"/>
        <v>COMWARNewOEEUE</v>
      </c>
      <c r="G494" s="13" t="str">
        <f t="shared" si="146"/>
        <v>COMWARNewOEEUE</v>
      </c>
      <c r="H494" s="14">
        <v>2025</v>
      </c>
      <c r="I494" s="14" t="str">
        <f>I493</f>
        <v>LO</v>
      </c>
      <c r="J494" s="14"/>
      <c r="K494" s="15">
        <f>UC!K494</f>
        <v>-4.4800000000000006E-2</v>
      </c>
      <c r="L494" s="14"/>
      <c r="M494" s="14"/>
      <c r="N494" s="10"/>
      <c r="O494" s="20"/>
      <c r="Q494" s="11" t="str">
        <f>SUBSTITUTE(UC!Q494,"Old","New")</f>
        <v>*</v>
      </c>
      <c r="R494" s="12"/>
      <c r="S494" s="13" t="str">
        <f t="shared" si="134"/>
        <v>COMFOI</v>
      </c>
      <c r="T494" s="13" t="str">
        <f t="shared" si="135"/>
        <v>COMWARNewOEEUE</v>
      </c>
      <c r="U494" s="13" t="str">
        <f t="shared" si="136"/>
        <v>COMWARNewOEEUE</v>
      </c>
      <c r="V494" s="14">
        <v>2025</v>
      </c>
      <c r="W494" s="14" t="str">
        <f>W493</f>
        <v>UP</v>
      </c>
      <c r="X494" s="14"/>
      <c r="Y494" s="15">
        <f>UC!Y494</f>
        <v>-6.8000000000000005E-2</v>
      </c>
      <c r="Z494" s="14"/>
      <c r="AA494" s="14"/>
      <c r="AB494" s="10"/>
      <c r="AC494" s="20"/>
    </row>
    <row r="495" spans="1:29" x14ac:dyDescent="0.25">
      <c r="A495" s="10">
        <f>A494</f>
        <v>123</v>
      </c>
      <c r="B495" s="10"/>
      <c r="C495" s="11" t="str">
        <f>SUBSTITUTE(UC!C495,"Old","New")</f>
        <v>*</v>
      </c>
      <c r="D495" s="12"/>
      <c r="E495" s="13" t="str">
        <f t="shared" si="146"/>
        <v>COMFOI</v>
      </c>
      <c r="F495" s="13" t="str">
        <f t="shared" si="146"/>
        <v>COMWARNewOEEUE</v>
      </c>
      <c r="G495" s="13" t="str">
        <f t="shared" si="146"/>
        <v>COMWARNewOEEUE</v>
      </c>
      <c r="H495" s="14">
        <v>2030</v>
      </c>
      <c r="I495" s="14" t="str">
        <f>I494</f>
        <v>LO</v>
      </c>
      <c r="J495" s="14"/>
      <c r="K495" s="15">
        <f>UC!K495</f>
        <v>-1.1200000000000002E-2</v>
      </c>
      <c r="L495" s="14"/>
      <c r="M495" s="14"/>
      <c r="N495" s="10"/>
      <c r="O495" s="20"/>
      <c r="Q495" s="11" t="str">
        <f>SUBSTITUTE(UC!Q495,"Old","New")</f>
        <v>*</v>
      </c>
      <c r="R495" s="12"/>
      <c r="S495" s="13" t="str">
        <f t="shared" si="134"/>
        <v>COMFOI</v>
      </c>
      <c r="T495" s="13" t="str">
        <f t="shared" si="135"/>
        <v>COMWARNewOEEUE</v>
      </c>
      <c r="U495" s="13" t="str">
        <f t="shared" si="136"/>
        <v>COMWARNewOEEUE</v>
      </c>
      <c r="V495" s="14">
        <v>2030</v>
      </c>
      <c r="W495" s="14" t="str">
        <f>W494</f>
        <v>UP</v>
      </c>
      <c r="X495" s="14"/>
      <c r="Y495" s="15">
        <f>UC!Y495</f>
        <v>-8.5000000000000006E-2</v>
      </c>
      <c r="Z495" s="14"/>
      <c r="AA495" s="14"/>
      <c r="AB495" s="10"/>
      <c r="AC495" s="20"/>
    </row>
    <row r="496" spans="1:29" x14ac:dyDescent="0.25">
      <c r="A496" s="26">
        <f>A495</f>
        <v>123</v>
      </c>
      <c r="B496" s="26"/>
      <c r="C496" s="21" t="str">
        <f>SUBSTITUTE(UC!C496,"Old","New")</f>
        <v>*</v>
      </c>
      <c r="D496" s="22"/>
      <c r="E496" s="23" t="str">
        <f t="shared" si="146"/>
        <v>COMFOI</v>
      </c>
      <c r="F496" s="23" t="str">
        <f t="shared" si="146"/>
        <v>COMWARNewOEEUE</v>
      </c>
      <c r="G496" s="23" t="str">
        <f t="shared" si="146"/>
        <v>COMWARNewOEEUE</v>
      </c>
      <c r="H496" s="24">
        <v>2050</v>
      </c>
      <c r="I496" s="24" t="str">
        <f>I495</f>
        <v>LO</v>
      </c>
      <c r="J496" s="24"/>
      <c r="K496" s="25">
        <f>UC!K496</f>
        <v>0</v>
      </c>
      <c r="L496" s="24"/>
      <c r="M496" s="24"/>
      <c r="N496" s="26"/>
      <c r="O496" s="27"/>
      <c r="Q496" s="21" t="str">
        <f>SUBSTITUTE(UC!Q496,"Old","New")</f>
        <v>*</v>
      </c>
      <c r="R496" s="22"/>
      <c r="S496" s="23" t="str">
        <f t="shared" si="134"/>
        <v>COMFOI</v>
      </c>
      <c r="T496" s="23" t="str">
        <f t="shared" si="135"/>
        <v>COMWARNewOEEUE</v>
      </c>
      <c r="U496" s="23" t="str">
        <f t="shared" si="136"/>
        <v>COMWARNewOEEUE</v>
      </c>
      <c r="V496" s="24">
        <v>2050</v>
      </c>
      <c r="W496" s="24" t="str">
        <f>W495</f>
        <v>UP</v>
      </c>
      <c r="X496" s="24"/>
      <c r="Y496" s="25">
        <f>UC!Y496</f>
        <v>-0.17</v>
      </c>
      <c r="Z496" s="24"/>
      <c r="AA496" s="24"/>
      <c r="AB496" s="26"/>
      <c r="AC496" s="27"/>
    </row>
    <row r="497" spans="1:29" x14ac:dyDescent="0.25">
      <c r="A497" s="19">
        <f>A493+1</f>
        <v>124</v>
      </c>
      <c r="B497" s="10"/>
      <c r="C497" s="11" t="str">
        <f>SUBSTITUTE(UC!C497,"Old","New")</f>
        <v>UC_MarketShare_COMWARNewOE_NGA_MIN</v>
      </c>
      <c r="D497" s="12"/>
      <c r="E497" s="13" t="str">
        <f>_xlfn.XLOOKUP($A497,Selected_constraint_UC!$A:$A,Selected_constraint_UC!$B:$B)</f>
        <v>COMNGA</v>
      </c>
      <c r="F497" s="13" t="str">
        <f>SUBSTITUTE(_xlfn.XLOOKUP($A497,Selected_constraint_UC!$A:$A,Selected_constraint_UC!$C:$C),"Old","New")</f>
        <v>COMWARNewOEEUE</v>
      </c>
      <c r="G497" s="13" t="str">
        <f>F497</f>
        <v>COMWARNewOEEUE</v>
      </c>
      <c r="H497" s="14">
        <v>2019</v>
      </c>
      <c r="I497" s="14" t="s">
        <v>3848</v>
      </c>
      <c r="J497" s="14">
        <v>1</v>
      </c>
      <c r="K497" s="15">
        <f>UC!K497</f>
        <v>-0.23323999999999998</v>
      </c>
      <c r="L497" s="14">
        <v>0</v>
      </c>
      <c r="M497" s="14">
        <v>5</v>
      </c>
      <c r="N497" s="10"/>
      <c r="O497" s="20"/>
      <c r="Q497" s="11" t="str">
        <f>SUBSTITUTE(UC!Q497,"Old","New")</f>
        <v>UC_MarketShare_COMWARNewOE_NGA_MAX</v>
      </c>
      <c r="R497" s="12"/>
      <c r="S497" s="13" t="str">
        <f t="shared" si="134"/>
        <v>COMNGA</v>
      </c>
      <c r="T497" s="13" t="str">
        <f t="shared" si="135"/>
        <v>COMWARNewOEEUE</v>
      </c>
      <c r="U497" s="13" t="str">
        <f t="shared" si="136"/>
        <v>COMWARNewOEEUE</v>
      </c>
      <c r="V497" s="14">
        <f>H497</f>
        <v>2019</v>
      </c>
      <c r="W497" s="29" t="s">
        <v>3849</v>
      </c>
      <c r="X497" s="14">
        <v>1</v>
      </c>
      <c r="Y497" s="15">
        <f>UC!Y497</f>
        <v>-0.24399999999999999</v>
      </c>
      <c r="Z497" s="14">
        <v>0</v>
      </c>
      <c r="AA497" s="14">
        <v>5</v>
      </c>
      <c r="AB497" s="10"/>
      <c r="AC497" s="20"/>
    </row>
    <row r="498" spans="1:29" x14ac:dyDescent="0.25">
      <c r="A498" s="10">
        <f>A497</f>
        <v>124</v>
      </c>
      <c r="B498" s="10"/>
      <c r="C498" s="11" t="str">
        <f>SUBSTITUTE(UC!C498,"Old","New")</f>
        <v/>
      </c>
      <c r="D498" s="12"/>
      <c r="E498" s="13" t="str">
        <f t="shared" ref="E498:G500" si="147">E497</f>
        <v>COMNGA</v>
      </c>
      <c r="F498" s="13" t="str">
        <f t="shared" si="147"/>
        <v>COMWARNewOEEUE</v>
      </c>
      <c r="G498" s="13" t="str">
        <f t="shared" si="147"/>
        <v>COMWARNewOEEUE</v>
      </c>
      <c r="H498" s="14">
        <v>2025</v>
      </c>
      <c r="I498" s="14" t="str">
        <f>I497</f>
        <v>LO</v>
      </c>
      <c r="J498" s="14"/>
      <c r="K498" s="15">
        <f>UC!K498</f>
        <v>-0.19040000000000001</v>
      </c>
      <c r="L498" s="14"/>
      <c r="M498" s="14"/>
      <c r="N498" s="10"/>
      <c r="O498" s="20"/>
      <c r="Q498" s="11" t="str">
        <f>SUBSTITUTE(UC!Q498,"Old","New")</f>
        <v/>
      </c>
      <c r="R498" s="12"/>
      <c r="S498" s="13" t="str">
        <f t="shared" si="134"/>
        <v>COMNGA</v>
      </c>
      <c r="T498" s="13" t="str">
        <f t="shared" si="135"/>
        <v>COMWARNewOEEUE</v>
      </c>
      <c r="U498" s="13" t="str">
        <f t="shared" si="136"/>
        <v>COMWARNewOEEUE</v>
      </c>
      <c r="V498" s="14">
        <v>2025</v>
      </c>
      <c r="W498" s="14" t="str">
        <f>W497</f>
        <v>UP</v>
      </c>
      <c r="X498" s="14"/>
      <c r="Y498" s="15">
        <f>UC!Y498</f>
        <v>-0.28699999999999998</v>
      </c>
      <c r="Z498" s="14"/>
      <c r="AA498" s="14"/>
      <c r="AB498" s="10"/>
      <c r="AC498" s="20"/>
    </row>
    <row r="499" spans="1:29" x14ac:dyDescent="0.25">
      <c r="A499" s="10">
        <f>A498</f>
        <v>124</v>
      </c>
      <c r="B499" s="10"/>
      <c r="C499" s="11" t="str">
        <f>SUBSTITUTE(UC!C499,"Old","New")</f>
        <v/>
      </c>
      <c r="D499" s="12"/>
      <c r="E499" s="13" t="str">
        <f t="shared" si="147"/>
        <v>COMNGA</v>
      </c>
      <c r="F499" s="13" t="str">
        <f t="shared" si="147"/>
        <v>COMWARNewOEEUE</v>
      </c>
      <c r="G499" s="13" t="str">
        <f t="shared" si="147"/>
        <v>COMWARNewOEEUE</v>
      </c>
      <c r="H499" s="14">
        <v>2030</v>
      </c>
      <c r="I499" s="14" t="str">
        <f>I498</f>
        <v>LO</v>
      </c>
      <c r="J499" s="14"/>
      <c r="K499" s="15">
        <f>UC!K499</f>
        <v>-4.7600000000000003E-2</v>
      </c>
      <c r="L499" s="14"/>
      <c r="M499" s="14"/>
      <c r="N499" s="10"/>
      <c r="O499" s="20"/>
      <c r="Q499" s="11" t="str">
        <f>SUBSTITUTE(UC!Q499,"Old","New")</f>
        <v/>
      </c>
      <c r="R499" s="12"/>
      <c r="S499" s="13" t="str">
        <f t="shared" si="134"/>
        <v>COMNGA</v>
      </c>
      <c r="T499" s="13" t="str">
        <f t="shared" si="135"/>
        <v>COMWARNewOEEUE</v>
      </c>
      <c r="U499" s="13" t="str">
        <f t="shared" si="136"/>
        <v>COMWARNewOEEUE</v>
      </c>
      <c r="V499" s="14">
        <v>2030</v>
      </c>
      <c r="W499" s="14" t="str">
        <f>W498</f>
        <v>UP</v>
      </c>
      <c r="X499" s="14"/>
      <c r="Y499" s="15">
        <f>UC!Y499</f>
        <v>-0.35899999999999999</v>
      </c>
      <c r="Z499" s="14"/>
      <c r="AA499" s="14"/>
      <c r="AB499" s="10"/>
      <c r="AC499" s="20"/>
    </row>
    <row r="500" spans="1:29" x14ac:dyDescent="0.25">
      <c r="A500" s="26">
        <f>A499</f>
        <v>124</v>
      </c>
      <c r="B500" s="26"/>
      <c r="C500" s="21" t="str">
        <f>SUBSTITUTE(UC!C500,"Old","New")</f>
        <v/>
      </c>
      <c r="D500" s="22"/>
      <c r="E500" s="23" t="str">
        <f t="shared" si="147"/>
        <v>COMNGA</v>
      </c>
      <c r="F500" s="23" t="str">
        <f t="shared" si="147"/>
        <v>COMWARNewOEEUE</v>
      </c>
      <c r="G500" s="23" t="str">
        <f t="shared" si="147"/>
        <v>COMWARNewOEEUE</v>
      </c>
      <c r="H500" s="24">
        <v>2050</v>
      </c>
      <c r="I500" s="24" t="str">
        <f>I499</f>
        <v>LO</v>
      </c>
      <c r="J500" s="24"/>
      <c r="K500" s="25">
        <f>UC!K500</f>
        <v>0</v>
      </c>
      <c r="L500" s="24"/>
      <c r="M500" s="24"/>
      <c r="N500" s="26"/>
      <c r="O500" s="27"/>
      <c r="Q500" s="21" t="str">
        <f>SUBSTITUTE(UC!Q500,"Old","New")</f>
        <v/>
      </c>
      <c r="R500" s="22"/>
      <c r="S500" s="23" t="str">
        <f t="shared" si="134"/>
        <v>COMNGA</v>
      </c>
      <c r="T500" s="23" t="str">
        <f t="shared" si="135"/>
        <v>COMWARNewOEEUE</v>
      </c>
      <c r="U500" s="23" t="str">
        <f t="shared" si="136"/>
        <v>COMWARNewOEEUE</v>
      </c>
      <c r="V500" s="24">
        <v>2050</v>
      </c>
      <c r="W500" s="24" t="str">
        <f>W499</f>
        <v>UP</v>
      </c>
      <c r="X500" s="24"/>
      <c r="Y500" s="25">
        <f>UC!Y500</f>
        <v>-0.71699999999999997</v>
      </c>
      <c r="Z500" s="24"/>
      <c r="AA500" s="24"/>
      <c r="AB500" s="26"/>
      <c r="AC500" s="27"/>
    </row>
    <row r="501" spans="1:29" x14ac:dyDescent="0.25">
      <c r="A501" s="19">
        <f>A497+1</f>
        <v>125</v>
      </c>
      <c r="B501" s="10"/>
      <c r="C501" s="11" t="str">
        <f>SUBSTITUTE(UC!C501,"Old","New")</f>
        <v>*</v>
      </c>
      <c r="D501" s="12"/>
      <c r="E501" s="13" t="str">
        <f>_xlfn.XLOOKUP($A501,Selected_constraint_UC!$A:$A,Selected_constraint_UC!$B:$B)</f>
        <v>COMSTM</v>
      </c>
      <c r="F501" s="13" t="str">
        <f>SUBSTITUTE(_xlfn.XLOOKUP($A501,Selected_constraint_UC!$A:$A,Selected_constraint_UC!$C:$C),"Old","New")</f>
        <v>COMWARNewOEEUE</v>
      </c>
      <c r="G501" s="13" t="str">
        <f>F501</f>
        <v>COMWARNewOEEUE</v>
      </c>
      <c r="H501" s="14">
        <v>2019</v>
      </c>
      <c r="I501" s="14" t="s">
        <v>3848</v>
      </c>
      <c r="J501" s="14">
        <v>1</v>
      </c>
      <c r="K501" s="15">
        <f>UC!K501</f>
        <v>0</v>
      </c>
      <c r="L501" s="14">
        <v>0</v>
      </c>
      <c r="M501" s="14">
        <v>5</v>
      </c>
      <c r="N501" s="10"/>
      <c r="O501" s="20"/>
      <c r="Q501" s="11" t="str">
        <f>SUBSTITUTE(UC!Q501,"Old","New")</f>
        <v>*</v>
      </c>
      <c r="R501" s="12"/>
      <c r="S501" s="13" t="str">
        <f t="shared" si="134"/>
        <v>COMSTM</v>
      </c>
      <c r="T501" s="13" t="str">
        <f t="shared" si="135"/>
        <v>COMWARNewOEEUE</v>
      </c>
      <c r="U501" s="13" t="str">
        <f t="shared" si="136"/>
        <v>COMWARNewOEEUE</v>
      </c>
      <c r="V501" s="14">
        <f>H501</f>
        <v>2019</v>
      </c>
      <c r="W501" s="29" t="s">
        <v>3849</v>
      </c>
      <c r="X501" s="14">
        <v>1</v>
      </c>
      <c r="Y501" s="15">
        <f>UC!Y501</f>
        <v>0</v>
      </c>
      <c r="Z501" s="14">
        <v>0</v>
      </c>
      <c r="AA501" s="14">
        <v>5</v>
      </c>
      <c r="AB501" s="10"/>
      <c r="AC501" s="20"/>
    </row>
    <row r="502" spans="1:29" x14ac:dyDescent="0.25">
      <c r="A502" s="10">
        <f>A501</f>
        <v>125</v>
      </c>
      <c r="B502" s="10"/>
      <c r="C502" s="11" t="str">
        <f>SUBSTITUTE(UC!C502,"Old","New")</f>
        <v>*</v>
      </c>
      <c r="D502" s="12"/>
      <c r="E502" s="13" t="str">
        <f t="shared" ref="E502:G504" si="148">E501</f>
        <v>COMSTM</v>
      </c>
      <c r="F502" s="13" t="str">
        <f t="shared" si="148"/>
        <v>COMWARNewOEEUE</v>
      </c>
      <c r="G502" s="13" t="str">
        <f t="shared" si="148"/>
        <v>COMWARNewOEEUE</v>
      </c>
      <c r="H502" s="14">
        <v>2025</v>
      </c>
      <c r="I502" s="14" t="str">
        <f>I501</f>
        <v>LO</v>
      </c>
      <c r="J502" s="14"/>
      <c r="K502" s="15">
        <f>UC!K502</f>
        <v>0</v>
      </c>
      <c r="L502" s="14"/>
      <c r="M502" s="14"/>
      <c r="N502" s="10"/>
      <c r="O502" s="20"/>
      <c r="Q502" s="11" t="str">
        <f>SUBSTITUTE(UC!Q502,"Old","New")</f>
        <v>*</v>
      </c>
      <c r="R502" s="12"/>
      <c r="S502" s="13" t="str">
        <f t="shared" si="134"/>
        <v>COMSTM</v>
      </c>
      <c r="T502" s="13" t="str">
        <f t="shared" si="135"/>
        <v>COMWARNewOEEUE</v>
      </c>
      <c r="U502" s="13" t="str">
        <f t="shared" si="136"/>
        <v>COMWARNewOEEUE</v>
      </c>
      <c r="V502" s="14">
        <v>2025</v>
      </c>
      <c r="W502" s="14" t="str">
        <f>W501</f>
        <v>UP</v>
      </c>
      <c r="X502" s="14"/>
      <c r="Y502" s="15">
        <f>UC!Y502</f>
        <v>0</v>
      </c>
      <c r="Z502" s="14"/>
      <c r="AA502" s="14"/>
      <c r="AB502" s="10"/>
      <c r="AC502" s="20"/>
    </row>
    <row r="503" spans="1:29" x14ac:dyDescent="0.25">
      <c r="A503" s="10">
        <f>A502</f>
        <v>125</v>
      </c>
      <c r="B503" s="10"/>
      <c r="C503" s="11" t="str">
        <f>SUBSTITUTE(UC!C503,"Old","New")</f>
        <v>*</v>
      </c>
      <c r="D503" s="12"/>
      <c r="E503" s="13" t="str">
        <f t="shared" si="148"/>
        <v>COMSTM</v>
      </c>
      <c r="F503" s="13" t="str">
        <f t="shared" si="148"/>
        <v>COMWARNewOEEUE</v>
      </c>
      <c r="G503" s="13" t="str">
        <f t="shared" si="148"/>
        <v>COMWARNewOEEUE</v>
      </c>
      <c r="H503" s="14">
        <v>2030</v>
      </c>
      <c r="I503" s="14" t="str">
        <f>I502</f>
        <v>LO</v>
      </c>
      <c r="J503" s="14"/>
      <c r="K503" s="15">
        <f>UC!K503</f>
        <v>0</v>
      </c>
      <c r="L503" s="14"/>
      <c r="M503" s="14"/>
      <c r="N503" s="10"/>
      <c r="O503" s="20"/>
      <c r="Q503" s="11" t="str">
        <f>SUBSTITUTE(UC!Q503,"Old","New")</f>
        <v>*</v>
      </c>
      <c r="R503" s="12"/>
      <c r="S503" s="13" t="str">
        <f t="shared" si="134"/>
        <v>COMSTM</v>
      </c>
      <c r="T503" s="13" t="str">
        <f t="shared" si="135"/>
        <v>COMWARNewOEEUE</v>
      </c>
      <c r="U503" s="13" t="str">
        <f t="shared" si="136"/>
        <v>COMWARNewOEEUE</v>
      </c>
      <c r="V503" s="14">
        <v>2030</v>
      </c>
      <c r="W503" s="14" t="str">
        <f>W502</f>
        <v>UP</v>
      </c>
      <c r="X503" s="14"/>
      <c r="Y503" s="15">
        <f>UC!Y503</f>
        <v>0</v>
      </c>
      <c r="Z503" s="14"/>
      <c r="AA503" s="14"/>
      <c r="AB503" s="10"/>
      <c r="AC503" s="20"/>
    </row>
    <row r="504" spans="1:29" x14ac:dyDescent="0.25">
      <c r="A504" s="26">
        <f>A503</f>
        <v>125</v>
      </c>
      <c r="B504" s="26"/>
      <c r="C504" s="21" t="str">
        <f>SUBSTITUTE(UC!C504,"Old","New")</f>
        <v>*</v>
      </c>
      <c r="D504" s="22"/>
      <c r="E504" s="23" t="str">
        <f t="shared" si="148"/>
        <v>COMSTM</v>
      </c>
      <c r="F504" s="23" t="str">
        <f t="shared" si="148"/>
        <v>COMWARNewOEEUE</v>
      </c>
      <c r="G504" s="23" t="str">
        <f t="shared" si="148"/>
        <v>COMWARNewOEEUE</v>
      </c>
      <c r="H504" s="24">
        <v>2050</v>
      </c>
      <c r="I504" s="24" t="str">
        <f>I503</f>
        <v>LO</v>
      </c>
      <c r="J504" s="24"/>
      <c r="K504" s="25">
        <f>UC!K504</f>
        <v>0</v>
      </c>
      <c r="L504" s="24"/>
      <c r="M504" s="24"/>
      <c r="N504" s="26"/>
      <c r="O504" s="27"/>
      <c r="Q504" s="21" t="str">
        <f>SUBSTITUTE(UC!Q504,"Old","New")</f>
        <v>*</v>
      </c>
      <c r="R504" s="22"/>
      <c r="S504" s="23" t="str">
        <f t="shared" si="134"/>
        <v>COMSTM</v>
      </c>
      <c r="T504" s="23" t="str">
        <f t="shared" si="135"/>
        <v>COMWARNewOEEUE</v>
      </c>
      <c r="U504" s="23" t="str">
        <f t="shared" si="136"/>
        <v>COMWARNewOEEUE</v>
      </c>
      <c r="V504" s="24">
        <v>2050</v>
      </c>
      <c r="W504" s="24" t="str">
        <f>W503</f>
        <v>UP</v>
      </c>
      <c r="X504" s="24"/>
      <c r="Y504" s="25">
        <f>UC!Y504</f>
        <v>0</v>
      </c>
      <c r="Z504" s="24"/>
      <c r="AA504" s="24"/>
      <c r="AB504" s="26"/>
      <c r="AC504" s="27"/>
    </row>
    <row r="505" spans="1:29" x14ac:dyDescent="0.25">
      <c r="A505" s="19">
        <f>A501+1</f>
        <v>126</v>
      </c>
      <c r="B505" s="10"/>
      <c r="C505" s="11" t="str">
        <f>SUBSTITUTE(UC!C505,"Old","New")</f>
        <v>UC_MarketShare_COMWARNewOE_ELC_MIN</v>
      </c>
      <c r="D505" s="12"/>
      <c r="E505" s="13" t="str">
        <f>_xlfn.XLOOKUP($A505,Selected_constraint_UC!$A:$A,Selected_constraint_UC!$B:$B)</f>
        <v>COMELC</v>
      </c>
      <c r="F505" s="13" t="str">
        <f>SUBSTITUTE(_xlfn.XLOOKUP($A505,Selected_constraint_UC!$A:$A,Selected_constraint_UC!$C:$C),"Old","New")</f>
        <v>COMWARNewOEEUE</v>
      </c>
      <c r="G505" s="13" t="str">
        <f>F505</f>
        <v>COMWARNewOEEUE</v>
      </c>
      <c r="H505" s="14">
        <v>2019</v>
      </c>
      <c r="I505" s="14" t="s">
        <v>3848</v>
      </c>
      <c r="J505" s="14">
        <v>1</v>
      </c>
      <c r="K505" s="15">
        <f>UC!K505</f>
        <v>-0.68991999999999998</v>
      </c>
      <c r="L505" s="14">
        <v>0</v>
      </c>
      <c r="M505" s="14">
        <v>5</v>
      </c>
      <c r="N505" s="10"/>
      <c r="O505" s="20"/>
      <c r="Q505" s="11" t="str">
        <f>SUBSTITUTE(UC!Q505,"Old","New")</f>
        <v>UC_MarketShare_COMWARNewOE_ELC_MAX</v>
      </c>
      <c r="R505" s="12"/>
      <c r="S505" s="13" t="str">
        <f t="shared" si="134"/>
        <v>COMELC</v>
      </c>
      <c r="T505" s="13" t="str">
        <f t="shared" si="135"/>
        <v>COMWARNewOEEUE</v>
      </c>
      <c r="U505" s="13" t="str">
        <f t="shared" si="136"/>
        <v>COMWARNewOEEUE</v>
      </c>
      <c r="V505" s="14">
        <f>H505</f>
        <v>2019</v>
      </c>
      <c r="W505" s="29" t="s">
        <v>3849</v>
      </c>
      <c r="X505" s="14">
        <v>1</v>
      </c>
      <c r="Y505" s="15">
        <f>UC!Y505</f>
        <v>-0.71899999999999997</v>
      </c>
      <c r="Z505" s="14">
        <v>0</v>
      </c>
      <c r="AA505" s="14">
        <v>5</v>
      </c>
      <c r="AB505" s="10"/>
      <c r="AC505" s="20"/>
    </row>
    <row r="506" spans="1:29" x14ac:dyDescent="0.25">
      <c r="A506" s="10">
        <f>A505</f>
        <v>126</v>
      </c>
      <c r="B506" s="10"/>
      <c r="C506" s="11" t="str">
        <f>SUBSTITUTE(UC!C506,"Old","New")</f>
        <v/>
      </c>
      <c r="D506" s="12"/>
      <c r="E506" s="13" t="str">
        <f t="shared" ref="E506:G508" si="149">E505</f>
        <v>COMELC</v>
      </c>
      <c r="F506" s="13" t="str">
        <f t="shared" si="149"/>
        <v>COMWARNewOEEUE</v>
      </c>
      <c r="G506" s="13" t="str">
        <f t="shared" si="149"/>
        <v>COMWARNewOEEUE</v>
      </c>
      <c r="H506" s="14">
        <v>2025</v>
      </c>
      <c r="I506" s="14" t="str">
        <f>I505</f>
        <v>LO</v>
      </c>
      <c r="J506" s="14"/>
      <c r="K506" s="15">
        <f>UC!K506</f>
        <v>-0.56320000000000003</v>
      </c>
      <c r="L506" s="14"/>
      <c r="M506" s="14"/>
      <c r="N506" s="10"/>
      <c r="O506" s="20"/>
      <c r="Q506" s="11" t="str">
        <f>SUBSTITUTE(UC!Q506,"Old","New")</f>
        <v/>
      </c>
      <c r="R506" s="12"/>
      <c r="S506" s="13" t="str">
        <f t="shared" si="134"/>
        <v>COMELC</v>
      </c>
      <c r="T506" s="13" t="str">
        <f t="shared" si="135"/>
        <v>COMWARNewOEEUE</v>
      </c>
      <c r="U506" s="13" t="str">
        <f t="shared" si="136"/>
        <v>COMWARNewOEEUE</v>
      </c>
      <c r="V506" s="14">
        <v>2025</v>
      </c>
      <c r="W506" s="14" t="str">
        <f>W505</f>
        <v>UP</v>
      </c>
      <c r="X506" s="14"/>
      <c r="Y506" s="15">
        <f>UC!Y506</f>
        <v>-0.84599999999999997</v>
      </c>
      <c r="Z506" s="14"/>
      <c r="AA506" s="14"/>
      <c r="AB506" s="10"/>
      <c r="AC506" s="20"/>
    </row>
    <row r="507" spans="1:29" x14ac:dyDescent="0.25">
      <c r="A507" s="10">
        <f>A506</f>
        <v>126</v>
      </c>
      <c r="B507" s="10"/>
      <c r="C507" s="11" t="str">
        <f>SUBSTITUTE(UC!C507,"Old","New")</f>
        <v/>
      </c>
      <c r="D507" s="12"/>
      <c r="E507" s="13" t="str">
        <f t="shared" si="149"/>
        <v>COMELC</v>
      </c>
      <c r="F507" s="13" t="str">
        <f t="shared" si="149"/>
        <v>COMWARNewOEEUE</v>
      </c>
      <c r="G507" s="13" t="str">
        <f t="shared" si="149"/>
        <v>COMWARNewOEEUE</v>
      </c>
      <c r="H507" s="14">
        <v>2030</v>
      </c>
      <c r="I507" s="14" t="str">
        <f>I506</f>
        <v>LO</v>
      </c>
      <c r="J507" s="14"/>
      <c r="K507" s="15">
        <f>UC!K507</f>
        <v>-0.14080000000000001</v>
      </c>
      <c r="L507" s="14"/>
      <c r="M507" s="14"/>
      <c r="N507" s="10"/>
      <c r="O507" s="20"/>
      <c r="Q507" s="11" t="str">
        <f>SUBSTITUTE(UC!Q507,"Old","New")</f>
        <v/>
      </c>
      <c r="R507" s="12"/>
      <c r="S507" s="13" t="str">
        <f t="shared" si="134"/>
        <v>COMELC</v>
      </c>
      <c r="T507" s="13" t="str">
        <f t="shared" si="135"/>
        <v>COMWARNewOEEUE</v>
      </c>
      <c r="U507" s="13" t="str">
        <f t="shared" si="136"/>
        <v>COMWARNewOEEUE</v>
      </c>
      <c r="V507" s="14">
        <v>2030</v>
      </c>
      <c r="W507" s="14" t="str">
        <f>W506</f>
        <v>UP</v>
      </c>
      <c r="X507" s="14"/>
      <c r="Y507" s="15">
        <f>UC!Y507</f>
        <v>-1</v>
      </c>
      <c r="Z507" s="14"/>
      <c r="AA507" s="14"/>
      <c r="AB507" s="10"/>
      <c r="AC507" s="20"/>
    </row>
    <row r="508" spans="1:29" x14ac:dyDescent="0.25">
      <c r="A508" s="26">
        <f>A507</f>
        <v>126</v>
      </c>
      <c r="B508" s="26"/>
      <c r="C508" s="21" t="str">
        <f>SUBSTITUTE(UC!C508,"Old","New")</f>
        <v/>
      </c>
      <c r="D508" s="22"/>
      <c r="E508" s="23" t="str">
        <f t="shared" si="149"/>
        <v>COMELC</v>
      </c>
      <c r="F508" s="23" t="str">
        <f t="shared" si="149"/>
        <v>COMWARNewOEEUE</v>
      </c>
      <c r="G508" s="23" t="str">
        <f t="shared" si="149"/>
        <v>COMWARNewOEEUE</v>
      </c>
      <c r="H508" s="24">
        <v>2050</v>
      </c>
      <c r="I508" s="24" t="str">
        <f>I507</f>
        <v>LO</v>
      </c>
      <c r="J508" s="24"/>
      <c r="K508" s="25">
        <f>UC!K508</f>
        <v>0</v>
      </c>
      <c r="L508" s="24"/>
      <c r="M508" s="24"/>
      <c r="N508" s="26"/>
      <c r="O508" s="27"/>
      <c r="Q508" s="21" t="str">
        <f>SUBSTITUTE(UC!Q508,"Old","New")</f>
        <v/>
      </c>
      <c r="R508" s="22"/>
      <c r="S508" s="23" t="str">
        <f t="shared" si="134"/>
        <v>COMELC</v>
      </c>
      <c r="T508" s="23" t="str">
        <f t="shared" si="135"/>
        <v>COMWARNewOEEUE</v>
      </c>
      <c r="U508" s="23" t="str">
        <f t="shared" si="136"/>
        <v>COMWARNewOEEUE</v>
      </c>
      <c r="V508" s="24">
        <v>2050</v>
      </c>
      <c r="W508" s="24" t="str">
        <f>W507</f>
        <v>UP</v>
      </c>
      <c r="X508" s="24"/>
      <c r="Y508" s="25">
        <f>UC!Y508</f>
        <v>-1</v>
      </c>
      <c r="Z508" s="24"/>
      <c r="AA508" s="24"/>
      <c r="AB508" s="26"/>
      <c r="AC508" s="27"/>
    </row>
    <row r="509" spans="1:29" x14ac:dyDescent="0.25">
      <c r="A509" s="19">
        <f>A505+1</f>
        <v>127</v>
      </c>
      <c r="B509" s="10"/>
      <c r="C509" s="11" t="str">
        <f>SUBSTITUTE(UC!C509,"Old","New")</f>
        <v>UC_MarketShare_COMMUNNewSH_ELC_MIN</v>
      </c>
      <c r="D509" s="12"/>
      <c r="E509" s="13" t="str">
        <f>_xlfn.XLOOKUP($A509,Selected_constraint_UC!$A:$A,Selected_constraint_UC!$B:$B)</f>
        <v>COMELC</v>
      </c>
      <c r="F509" s="13" t="str">
        <f>SUBSTITUTE(_xlfn.XLOOKUP($A509,Selected_constraint_UC!$A:$A,Selected_constraint_UC!$C:$C),"Old","New")</f>
        <v>COMMUNNewSHEUE</v>
      </c>
      <c r="G509" s="13" t="str">
        <f>F509</f>
        <v>COMMUNNewSHEUE</v>
      </c>
      <c r="H509" s="14">
        <v>2019</v>
      </c>
      <c r="I509" s="14" t="s">
        <v>3848</v>
      </c>
      <c r="J509" s="14">
        <v>1</v>
      </c>
      <c r="K509" s="15">
        <f>UC!K509</f>
        <v>-5.586E-2</v>
      </c>
      <c r="L509" s="14">
        <v>0</v>
      </c>
      <c r="M509" s="14">
        <v>5</v>
      </c>
      <c r="N509" s="10"/>
      <c r="O509" s="20"/>
      <c r="Q509" s="11" t="str">
        <f>SUBSTITUTE(UC!Q509,"Old","New")</f>
        <v>UC_MarketShare_COMMUNNewSH_ELC_MAX</v>
      </c>
      <c r="R509" s="12"/>
      <c r="S509" s="13" t="str">
        <f t="shared" si="134"/>
        <v>COMELC</v>
      </c>
      <c r="T509" s="13" t="str">
        <f t="shared" si="135"/>
        <v>COMMUNNewSHEUE</v>
      </c>
      <c r="U509" s="13" t="str">
        <f t="shared" si="136"/>
        <v>COMMUNNewSHEUE</v>
      </c>
      <c r="V509" s="14">
        <f>H509</f>
        <v>2019</v>
      </c>
      <c r="W509" s="29" t="s">
        <v>3849</v>
      </c>
      <c r="X509" s="14">
        <v>1</v>
      </c>
      <c r="Y509" s="15">
        <f>UC!Y509</f>
        <v>-5.9000000000000004E-2</v>
      </c>
      <c r="Z509" s="14">
        <v>0</v>
      </c>
      <c r="AA509" s="14">
        <v>5</v>
      </c>
      <c r="AB509" s="10"/>
      <c r="AC509" s="20"/>
    </row>
    <row r="510" spans="1:29" x14ac:dyDescent="0.25">
      <c r="A510" s="10">
        <f>A509</f>
        <v>127</v>
      </c>
      <c r="B510" s="10"/>
      <c r="C510" s="11" t="str">
        <f>SUBSTITUTE(UC!C510,"Old","New")</f>
        <v/>
      </c>
      <c r="D510" s="12"/>
      <c r="E510" s="13" t="str">
        <f t="shared" ref="E510:G512" si="150">E509</f>
        <v>COMELC</v>
      </c>
      <c r="F510" s="13" t="str">
        <f t="shared" si="150"/>
        <v>COMMUNNewSHEUE</v>
      </c>
      <c r="G510" s="13" t="str">
        <f t="shared" si="150"/>
        <v>COMMUNNewSHEUE</v>
      </c>
      <c r="H510" s="14">
        <v>2025</v>
      </c>
      <c r="I510" s="14" t="str">
        <f>I509</f>
        <v>LO</v>
      </c>
      <c r="J510" s="14"/>
      <c r="K510" s="15">
        <f>UC!K510</f>
        <v>-4.5600000000000002E-2</v>
      </c>
      <c r="L510" s="14"/>
      <c r="M510" s="14"/>
      <c r="N510" s="10"/>
      <c r="O510" s="20"/>
      <c r="Q510" s="11" t="str">
        <f>SUBSTITUTE(UC!Q510,"Old","New")</f>
        <v/>
      </c>
      <c r="R510" s="12"/>
      <c r="S510" s="13" t="str">
        <f t="shared" si="134"/>
        <v>COMELC</v>
      </c>
      <c r="T510" s="13" t="str">
        <f t="shared" si="135"/>
        <v>COMMUNNewSHEUE</v>
      </c>
      <c r="U510" s="13" t="str">
        <f t="shared" si="136"/>
        <v>COMMUNNewSHEUE</v>
      </c>
      <c r="V510" s="14">
        <v>2025</v>
      </c>
      <c r="W510" s="14" t="str">
        <f>W509</f>
        <v>UP</v>
      </c>
      <c r="X510" s="14"/>
      <c r="Y510" s="15">
        <f>UC!Y510</f>
        <v>-0.25</v>
      </c>
      <c r="Z510" s="14"/>
      <c r="AA510" s="14"/>
      <c r="AB510" s="10"/>
      <c r="AC510" s="20"/>
    </row>
    <row r="511" spans="1:29" x14ac:dyDescent="0.25">
      <c r="A511" s="10">
        <f>A510</f>
        <v>127</v>
      </c>
      <c r="B511" s="10"/>
      <c r="C511" s="11" t="str">
        <f>SUBSTITUTE(UC!C511,"Old","New")</f>
        <v/>
      </c>
      <c r="D511" s="12"/>
      <c r="E511" s="13" t="str">
        <f t="shared" si="150"/>
        <v>COMELC</v>
      </c>
      <c r="F511" s="13" t="str">
        <f t="shared" si="150"/>
        <v>COMMUNNewSHEUE</v>
      </c>
      <c r="G511" s="13" t="str">
        <f t="shared" si="150"/>
        <v>COMMUNNewSHEUE</v>
      </c>
      <c r="H511" s="14">
        <v>2030</v>
      </c>
      <c r="I511" s="14" t="str">
        <f>I510</f>
        <v>LO</v>
      </c>
      <c r="J511" s="14"/>
      <c r="K511" s="15">
        <f>UC!K511</f>
        <v>-4.2750000000000003E-2</v>
      </c>
      <c r="L511" s="14"/>
      <c r="M511" s="14"/>
      <c r="N511" s="10"/>
      <c r="O511" s="20"/>
      <c r="Q511" s="11" t="str">
        <f>SUBSTITUTE(UC!Q511,"Old","New")</f>
        <v/>
      </c>
      <c r="R511" s="12"/>
      <c r="S511" s="13" t="str">
        <f t="shared" si="134"/>
        <v>COMELC</v>
      </c>
      <c r="T511" s="13" t="str">
        <f t="shared" si="135"/>
        <v>COMMUNNewSHEUE</v>
      </c>
      <c r="U511" s="13" t="str">
        <f t="shared" si="136"/>
        <v>COMMUNNewSHEUE</v>
      </c>
      <c r="V511" s="14">
        <v>2030</v>
      </c>
      <c r="W511" s="14" t="str">
        <f>W510</f>
        <v>UP</v>
      </c>
      <c r="X511" s="14"/>
      <c r="Y511" s="15">
        <f>UC!Y511</f>
        <v>-0.5</v>
      </c>
      <c r="Z511" s="14"/>
      <c r="AA511" s="14"/>
      <c r="AB511" s="10"/>
      <c r="AC511" s="20"/>
    </row>
    <row r="512" spans="1:29" x14ac:dyDescent="0.25">
      <c r="A512" s="26">
        <f>A511</f>
        <v>127</v>
      </c>
      <c r="B512" s="26"/>
      <c r="C512" s="21" t="str">
        <f>SUBSTITUTE(UC!C512,"Old","New")</f>
        <v/>
      </c>
      <c r="D512" s="22"/>
      <c r="E512" s="23" t="str">
        <f t="shared" si="150"/>
        <v>COMELC</v>
      </c>
      <c r="F512" s="23" t="str">
        <f t="shared" si="150"/>
        <v>COMMUNNewSHEUE</v>
      </c>
      <c r="G512" s="23" t="str">
        <f t="shared" si="150"/>
        <v>COMMUNNewSHEUE</v>
      </c>
      <c r="H512" s="24">
        <v>2050</v>
      </c>
      <c r="I512" s="24" t="str">
        <f>I511</f>
        <v>LO</v>
      </c>
      <c r="J512" s="24"/>
      <c r="K512" s="25">
        <f>UC!K512</f>
        <v>-4.2750000000000003E-2</v>
      </c>
      <c r="L512" s="24"/>
      <c r="M512" s="24"/>
      <c r="N512" s="26"/>
      <c r="O512" s="27"/>
      <c r="Q512" s="21" t="str">
        <f>SUBSTITUTE(UC!Q512,"Old","New")</f>
        <v/>
      </c>
      <c r="R512" s="22"/>
      <c r="S512" s="23" t="str">
        <f t="shared" si="134"/>
        <v>COMELC</v>
      </c>
      <c r="T512" s="23" t="str">
        <f t="shared" si="135"/>
        <v>COMMUNNewSHEUE</v>
      </c>
      <c r="U512" s="23" t="str">
        <f t="shared" si="136"/>
        <v>COMMUNNewSHEUE</v>
      </c>
      <c r="V512" s="24">
        <v>2050</v>
      </c>
      <c r="W512" s="24" t="str">
        <f>W511</f>
        <v>UP</v>
      </c>
      <c r="X512" s="24"/>
      <c r="Y512" s="25">
        <f>UC!Y512</f>
        <v>-1</v>
      </c>
      <c r="Z512" s="24"/>
      <c r="AA512" s="24"/>
      <c r="AB512" s="26"/>
      <c r="AC512" s="27"/>
    </row>
    <row r="513" spans="1:29" x14ac:dyDescent="0.25">
      <c r="A513" s="19">
        <f>A509+1</f>
        <v>128</v>
      </c>
      <c r="B513" s="10"/>
      <c r="C513" s="11" t="str">
        <f>SUBSTITUTE(UC!C513,"Old","New")</f>
        <v>UC_MarketShare_COMMUNNewSH_NGA_MIN</v>
      </c>
      <c r="D513" s="12"/>
      <c r="E513" s="13" t="str">
        <f>_xlfn.XLOOKUP($A513,Selected_constraint_UC!$A:$A,Selected_constraint_UC!$B:$B)</f>
        <v>COMNGA</v>
      </c>
      <c r="F513" s="13" t="str">
        <f>SUBSTITUTE(_xlfn.XLOOKUP($A513,Selected_constraint_UC!$A:$A,Selected_constraint_UC!$C:$C),"Old","New")</f>
        <v>COMMUNNewSHEUE</v>
      </c>
      <c r="G513" s="13" t="str">
        <f>F513</f>
        <v>COMMUNNewSHEUE</v>
      </c>
      <c r="H513" s="14">
        <v>2019</v>
      </c>
      <c r="I513" s="14" t="s">
        <v>3848</v>
      </c>
      <c r="J513" s="14">
        <v>1</v>
      </c>
      <c r="K513" s="15">
        <f>UC!K513</f>
        <v>-0.69089999999999996</v>
      </c>
      <c r="L513" s="14">
        <v>0</v>
      </c>
      <c r="M513" s="14">
        <v>5</v>
      </c>
      <c r="N513" s="10"/>
      <c r="O513" s="20"/>
      <c r="Q513" s="11" t="str">
        <f>SUBSTITUTE(UC!Q513,"Old","New")</f>
        <v>UC_MarketShare_COMMUNNewSH_NGA_MAX</v>
      </c>
      <c r="R513" s="12"/>
      <c r="S513" s="13" t="str">
        <f t="shared" si="134"/>
        <v>COMNGA</v>
      </c>
      <c r="T513" s="13" t="str">
        <f t="shared" si="135"/>
        <v>COMMUNNewSHEUE</v>
      </c>
      <c r="U513" s="13" t="str">
        <f t="shared" si="136"/>
        <v>COMMUNNewSHEUE</v>
      </c>
      <c r="V513" s="14">
        <f>H513</f>
        <v>2019</v>
      </c>
      <c r="W513" s="29" t="s">
        <v>3849</v>
      </c>
      <c r="X513" s="14">
        <v>1</v>
      </c>
      <c r="Y513" s="15">
        <f>UC!Y513</f>
        <v>-0.72</v>
      </c>
      <c r="Z513" s="14">
        <v>0</v>
      </c>
      <c r="AA513" s="14">
        <v>5</v>
      </c>
      <c r="AB513" s="10"/>
      <c r="AC513" s="20"/>
    </row>
    <row r="514" spans="1:29" x14ac:dyDescent="0.25">
      <c r="A514" s="10">
        <f>A513</f>
        <v>128</v>
      </c>
      <c r="B514" s="10"/>
      <c r="C514" s="11" t="str">
        <f>SUBSTITUTE(UC!C514,"Old","New")</f>
        <v/>
      </c>
      <c r="D514" s="12"/>
      <c r="E514" s="13" t="str">
        <f t="shared" ref="E514:G516" si="151">E513</f>
        <v>COMNGA</v>
      </c>
      <c r="F514" s="13" t="str">
        <f t="shared" si="151"/>
        <v>COMMUNNewSHEUE</v>
      </c>
      <c r="G514" s="13" t="str">
        <f t="shared" si="151"/>
        <v>COMMUNNewSHEUE</v>
      </c>
      <c r="H514" s="14">
        <v>2025</v>
      </c>
      <c r="I514" s="14" t="str">
        <f>I513</f>
        <v>LO</v>
      </c>
      <c r="J514" s="14"/>
      <c r="K514" s="15">
        <f>UC!K514</f>
        <v>-0.56399999999999995</v>
      </c>
      <c r="L514" s="14"/>
      <c r="M514" s="14"/>
      <c r="N514" s="10"/>
      <c r="O514" s="20"/>
      <c r="Q514" s="11" t="str">
        <f>SUBSTITUTE(UC!Q514,"Old","New")</f>
        <v/>
      </c>
      <c r="R514" s="12"/>
      <c r="S514" s="13" t="str">
        <f t="shared" si="134"/>
        <v>COMNGA</v>
      </c>
      <c r="T514" s="13" t="str">
        <f t="shared" si="135"/>
        <v>COMMUNNewSHEUE</v>
      </c>
      <c r="U514" s="13" t="str">
        <f t="shared" si="136"/>
        <v>COMMUNNewSHEUE</v>
      </c>
      <c r="V514" s="14">
        <v>2025</v>
      </c>
      <c r="W514" s="14" t="str">
        <f>W513</f>
        <v>UP</v>
      </c>
      <c r="X514" s="14"/>
      <c r="Y514" s="15">
        <f>UC!Y514</f>
        <v>-0.84699999999999998</v>
      </c>
      <c r="Z514" s="14"/>
      <c r="AA514" s="14"/>
      <c r="AB514" s="10"/>
      <c r="AC514" s="20"/>
    </row>
    <row r="515" spans="1:29" x14ac:dyDescent="0.25">
      <c r="A515" s="10">
        <f>A514</f>
        <v>128</v>
      </c>
      <c r="B515" s="10"/>
      <c r="C515" s="11" t="str">
        <f>SUBSTITUTE(UC!C515,"Old","New")</f>
        <v/>
      </c>
      <c r="D515" s="12"/>
      <c r="E515" s="13" t="str">
        <f t="shared" si="151"/>
        <v>COMNGA</v>
      </c>
      <c r="F515" s="13" t="str">
        <f t="shared" si="151"/>
        <v>COMMUNNewSHEUE</v>
      </c>
      <c r="G515" s="13" t="str">
        <f t="shared" si="151"/>
        <v>COMMUNNewSHEUE</v>
      </c>
      <c r="H515" s="14">
        <v>2030</v>
      </c>
      <c r="I515" s="14" t="str">
        <f>I514</f>
        <v>LO</v>
      </c>
      <c r="J515" s="14"/>
      <c r="K515" s="15">
        <f>UC!K515</f>
        <v>-0.14099999999999999</v>
      </c>
      <c r="L515" s="14"/>
      <c r="M515" s="14"/>
      <c r="N515" s="10"/>
      <c r="O515" s="20"/>
      <c r="Q515" s="11" t="str">
        <f>SUBSTITUTE(UC!Q515,"Old","New")</f>
        <v/>
      </c>
      <c r="R515" s="12"/>
      <c r="S515" s="13" t="str">
        <f t="shared" si="134"/>
        <v>COMNGA</v>
      </c>
      <c r="T515" s="13" t="str">
        <f t="shared" si="135"/>
        <v>COMMUNNewSHEUE</v>
      </c>
      <c r="U515" s="13" t="str">
        <f t="shared" si="136"/>
        <v>COMMUNNewSHEUE</v>
      </c>
      <c r="V515" s="14">
        <v>2030</v>
      </c>
      <c r="W515" s="14" t="str">
        <f>W514</f>
        <v>UP</v>
      </c>
      <c r="X515" s="14"/>
      <c r="Y515" s="15">
        <f>UC!Y515</f>
        <v>-1</v>
      </c>
      <c r="Z515" s="14"/>
      <c r="AA515" s="14"/>
      <c r="AB515" s="10"/>
      <c r="AC515" s="20"/>
    </row>
    <row r="516" spans="1:29" x14ac:dyDescent="0.25">
      <c r="A516" s="26">
        <f>A515</f>
        <v>128</v>
      </c>
      <c r="B516" s="26"/>
      <c r="C516" s="21" t="str">
        <f>SUBSTITUTE(UC!C516,"Old","New")</f>
        <v/>
      </c>
      <c r="D516" s="22"/>
      <c r="E516" s="23" t="str">
        <f t="shared" si="151"/>
        <v>COMNGA</v>
      </c>
      <c r="F516" s="23" t="str">
        <f t="shared" si="151"/>
        <v>COMMUNNewSHEUE</v>
      </c>
      <c r="G516" s="23" t="str">
        <f t="shared" si="151"/>
        <v>COMMUNNewSHEUE</v>
      </c>
      <c r="H516" s="24">
        <v>2050</v>
      </c>
      <c r="I516" s="24" t="str">
        <f>I515</f>
        <v>LO</v>
      </c>
      <c r="J516" s="24"/>
      <c r="K516" s="25">
        <f>UC!K516</f>
        <v>0</v>
      </c>
      <c r="L516" s="24"/>
      <c r="M516" s="24"/>
      <c r="N516" s="26"/>
      <c r="O516" s="27"/>
      <c r="Q516" s="21" t="str">
        <f>SUBSTITUTE(UC!Q516,"Old","New")</f>
        <v/>
      </c>
      <c r="R516" s="22"/>
      <c r="S516" s="23" t="str">
        <f t="shared" si="134"/>
        <v>COMNGA</v>
      </c>
      <c r="T516" s="23" t="str">
        <f t="shared" si="135"/>
        <v>COMMUNNewSHEUE</v>
      </c>
      <c r="U516" s="23" t="str">
        <f t="shared" si="136"/>
        <v>COMMUNNewSHEUE</v>
      </c>
      <c r="V516" s="24">
        <v>2050</v>
      </c>
      <c r="W516" s="24" t="str">
        <f>W515</f>
        <v>UP</v>
      </c>
      <c r="X516" s="24"/>
      <c r="Y516" s="25">
        <f>UC!Y516</f>
        <v>-1</v>
      </c>
      <c r="Z516" s="24"/>
      <c r="AA516" s="24"/>
      <c r="AB516" s="26"/>
      <c r="AC516" s="27"/>
    </row>
    <row r="517" spans="1:29" x14ac:dyDescent="0.25">
      <c r="A517" s="19">
        <f>A513+1</f>
        <v>129</v>
      </c>
      <c r="B517" s="10"/>
      <c r="C517" s="11" t="str">
        <f>SUBSTITUTE(UC!C517,"Old","New")</f>
        <v>UC_MarketShare_COMMUNNewSH_FOI_MIN</v>
      </c>
      <c r="D517" s="12"/>
      <c r="E517" s="13" t="str">
        <f>_xlfn.XLOOKUP($A517,Selected_constraint_UC!$A:$A,Selected_constraint_UC!$B:$B)</f>
        <v>COMFOI</v>
      </c>
      <c r="F517" s="13" t="str">
        <f>SUBSTITUTE(_xlfn.XLOOKUP($A517,Selected_constraint_UC!$A:$A,Selected_constraint_UC!$C:$C),"Old","New")</f>
        <v>COMMUNNewSHEUE</v>
      </c>
      <c r="G517" s="13" t="str">
        <f>F517</f>
        <v>COMMUNNewSHEUE</v>
      </c>
      <c r="H517" s="14">
        <v>2019</v>
      </c>
      <c r="I517" s="14" t="s">
        <v>3848</v>
      </c>
      <c r="J517" s="14">
        <v>1</v>
      </c>
      <c r="K517" s="15">
        <f>UC!K517</f>
        <v>-0.19208</v>
      </c>
      <c r="L517" s="14">
        <v>0</v>
      </c>
      <c r="M517" s="14">
        <v>5</v>
      </c>
      <c r="N517" s="10"/>
      <c r="O517" s="20"/>
      <c r="Q517" s="11" t="str">
        <f>SUBSTITUTE(UC!Q517,"Old","New")</f>
        <v>UC_MarketShare_COMMUNNewSH_FOI_MAX</v>
      </c>
      <c r="R517" s="12"/>
      <c r="S517" s="13" t="str">
        <f t="shared" si="134"/>
        <v>COMFOI</v>
      </c>
      <c r="T517" s="13" t="str">
        <f t="shared" si="135"/>
        <v>COMMUNNewSHEUE</v>
      </c>
      <c r="U517" s="13" t="str">
        <f t="shared" si="136"/>
        <v>COMMUNNewSHEUE</v>
      </c>
      <c r="V517" s="14">
        <f>H517</f>
        <v>2019</v>
      </c>
      <c r="W517" s="29" t="s">
        <v>3849</v>
      </c>
      <c r="X517" s="14">
        <v>1</v>
      </c>
      <c r="Y517" s="15">
        <f>UC!Y517</f>
        <v>-0.20100000000000001</v>
      </c>
      <c r="Z517" s="14">
        <v>0</v>
      </c>
      <c r="AA517" s="14">
        <v>5</v>
      </c>
      <c r="AB517" s="10"/>
      <c r="AC517" s="20"/>
    </row>
    <row r="518" spans="1:29" x14ac:dyDescent="0.25">
      <c r="A518" s="10">
        <f>A517</f>
        <v>129</v>
      </c>
      <c r="B518" s="10"/>
      <c r="C518" s="11" t="str">
        <f>SUBSTITUTE(UC!C518,"Old","New")</f>
        <v/>
      </c>
      <c r="D518" s="12"/>
      <c r="E518" s="13" t="str">
        <f t="shared" ref="E518:G520" si="152">E517</f>
        <v>COMFOI</v>
      </c>
      <c r="F518" s="13" t="str">
        <f t="shared" si="152"/>
        <v>COMMUNNewSHEUE</v>
      </c>
      <c r="G518" s="13" t="str">
        <f t="shared" si="152"/>
        <v>COMMUNNewSHEUE</v>
      </c>
      <c r="H518" s="14">
        <v>2025</v>
      </c>
      <c r="I518" s="14" t="str">
        <f>I517</f>
        <v>LO</v>
      </c>
      <c r="J518" s="14"/>
      <c r="K518" s="15">
        <f>UC!K518</f>
        <v>-0.15680000000000002</v>
      </c>
      <c r="L518" s="14"/>
      <c r="M518" s="14"/>
      <c r="N518" s="10"/>
      <c r="O518" s="20"/>
      <c r="Q518" s="11" t="str">
        <f>SUBSTITUTE(UC!Q518,"Old","New")</f>
        <v/>
      </c>
      <c r="R518" s="12"/>
      <c r="S518" s="13" t="str">
        <f t="shared" ref="S518:S581" si="153">E518</f>
        <v>COMFOI</v>
      </c>
      <c r="T518" s="13" t="str">
        <f t="shared" ref="T518:T581" si="154">F518</f>
        <v>COMMUNNewSHEUE</v>
      </c>
      <c r="U518" s="13" t="str">
        <f t="shared" ref="U518:U581" si="155">G518</f>
        <v>COMMUNNewSHEUE</v>
      </c>
      <c r="V518" s="14">
        <v>2025</v>
      </c>
      <c r="W518" s="14" t="str">
        <f>W517</f>
        <v>UP</v>
      </c>
      <c r="X518" s="14"/>
      <c r="Y518" s="15">
        <f>UC!Y518</f>
        <v>-0.23699999999999999</v>
      </c>
      <c r="Z518" s="14"/>
      <c r="AA518" s="14"/>
      <c r="AB518" s="10"/>
      <c r="AC518" s="20"/>
    </row>
    <row r="519" spans="1:29" x14ac:dyDescent="0.25">
      <c r="A519" s="10">
        <f>A518</f>
        <v>129</v>
      </c>
      <c r="B519" s="10"/>
      <c r="C519" s="11" t="str">
        <f>SUBSTITUTE(UC!C519,"Old","New")</f>
        <v/>
      </c>
      <c r="D519" s="12"/>
      <c r="E519" s="13" t="str">
        <f t="shared" si="152"/>
        <v>COMFOI</v>
      </c>
      <c r="F519" s="13" t="str">
        <f t="shared" si="152"/>
        <v>COMMUNNewSHEUE</v>
      </c>
      <c r="G519" s="13" t="str">
        <f t="shared" si="152"/>
        <v>COMMUNNewSHEUE</v>
      </c>
      <c r="H519" s="14">
        <v>2030</v>
      </c>
      <c r="I519" s="14" t="str">
        <f>I518</f>
        <v>LO</v>
      </c>
      <c r="J519" s="14"/>
      <c r="K519" s="15">
        <f>UC!K519</f>
        <v>-3.9200000000000006E-2</v>
      </c>
      <c r="L519" s="14"/>
      <c r="M519" s="14"/>
      <c r="N519" s="10"/>
      <c r="O519" s="20"/>
      <c r="Q519" s="11" t="str">
        <f>SUBSTITUTE(UC!Q519,"Old","New")</f>
        <v/>
      </c>
      <c r="R519" s="12"/>
      <c r="S519" s="13" t="str">
        <f t="shared" si="153"/>
        <v>COMFOI</v>
      </c>
      <c r="T519" s="13" t="str">
        <f t="shared" si="154"/>
        <v>COMMUNNewSHEUE</v>
      </c>
      <c r="U519" s="13" t="str">
        <f t="shared" si="155"/>
        <v>COMMUNNewSHEUE</v>
      </c>
      <c r="V519" s="14">
        <v>2030</v>
      </c>
      <c r="W519" s="14" t="str">
        <f>W518</f>
        <v>UP</v>
      </c>
      <c r="X519" s="14"/>
      <c r="Y519" s="15">
        <f>UC!Y519</f>
        <v>-0.29599999999999999</v>
      </c>
      <c r="Z519" s="14"/>
      <c r="AA519" s="14"/>
      <c r="AB519" s="10"/>
      <c r="AC519" s="20"/>
    </row>
    <row r="520" spans="1:29" x14ac:dyDescent="0.25">
      <c r="A520" s="26">
        <f>A519</f>
        <v>129</v>
      </c>
      <c r="B520" s="26"/>
      <c r="C520" s="21" t="str">
        <f>SUBSTITUTE(UC!C520,"Old","New")</f>
        <v/>
      </c>
      <c r="D520" s="22"/>
      <c r="E520" s="23" t="str">
        <f t="shared" si="152"/>
        <v>COMFOI</v>
      </c>
      <c r="F520" s="23" t="str">
        <f t="shared" si="152"/>
        <v>COMMUNNewSHEUE</v>
      </c>
      <c r="G520" s="23" t="str">
        <f t="shared" si="152"/>
        <v>COMMUNNewSHEUE</v>
      </c>
      <c r="H520" s="24">
        <v>2050</v>
      </c>
      <c r="I520" s="24" t="str">
        <f>I519</f>
        <v>LO</v>
      </c>
      <c r="J520" s="24"/>
      <c r="K520" s="25">
        <f>UC!K520</f>
        <v>0</v>
      </c>
      <c r="L520" s="24"/>
      <c r="M520" s="24"/>
      <c r="N520" s="26"/>
      <c r="O520" s="27"/>
      <c r="Q520" s="21" t="str">
        <f>SUBSTITUTE(UC!Q520,"Old","New")</f>
        <v/>
      </c>
      <c r="R520" s="22"/>
      <c r="S520" s="23" t="str">
        <f t="shared" si="153"/>
        <v>COMFOI</v>
      </c>
      <c r="T520" s="23" t="str">
        <f t="shared" si="154"/>
        <v>COMMUNNewSHEUE</v>
      </c>
      <c r="U520" s="23" t="str">
        <f t="shared" si="155"/>
        <v>COMMUNNewSHEUE</v>
      </c>
      <c r="V520" s="24">
        <v>2050</v>
      </c>
      <c r="W520" s="24" t="str">
        <f>W519</f>
        <v>UP</v>
      </c>
      <c r="X520" s="24"/>
      <c r="Y520" s="25">
        <f>UC!Y520</f>
        <v>-0.59099999999999997</v>
      </c>
      <c r="Z520" s="24"/>
      <c r="AA520" s="24"/>
      <c r="AB520" s="26"/>
      <c r="AC520" s="27"/>
    </row>
    <row r="521" spans="1:29" x14ac:dyDescent="0.25">
      <c r="A521" s="19">
        <f>A517+1</f>
        <v>130</v>
      </c>
      <c r="B521" s="10"/>
      <c r="C521" s="11" t="str">
        <f>SUBSTITUTE(UC!C521,"Old","New")</f>
        <v>*</v>
      </c>
      <c r="D521" s="12"/>
      <c r="E521" s="13" t="str">
        <f>_xlfn.XLOOKUP($A521,Selected_constraint_UC!$A:$A,Selected_constraint_UC!$B:$B)</f>
        <v>COMLPG</v>
      </c>
      <c r="F521" s="13" t="str">
        <f>SUBSTITUTE(_xlfn.XLOOKUP($A521,Selected_constraint_UC!$A:$A,Selected_constraint_UC!$C:$C),"Old","New")</f>
        <v>COMMUNNewSHEUE</v>
      </c>
      <c r="G521" s="13" t="str">
        <f>F521</f>
        <v>COMMUNNewSHEUE</v>
      </c>
      <c r="H521" s="14">
        <v>2019</v>
      </c>
      <c r="I521" s="14" t="s">
        <v>3848</v>
      </c>
      <c r="J521" s="14">
        <v>1</v>
      </c>
      <c r="K521" s="15">
        <f>UC!K521</f>
        <v>0</v>
      </c>
      <c r="L521" s="14">
        <v>0</v>
      </c>
      <c r="M521" s="14">
        <v>5</v>
      </c>
      <c r="N521" s="10"/>
      <c r="O521" s="20"/>
      <c r="Q521" s="11" t="str">
        <f>SUBSTITUTE(UC!Q521,"Old","New")</f>
        <v>*</v>
      </c>
      <c r="R521" s="12"/>
      <c r="S521" s="13" t="str">
        <f t="shared" si="153"/>
        <v>COMLPG</v>
      </c>
      <c r="T521" s="13" t="str">
        <f t="shared" si="154"/>
        <v>COMMUNNewSHEUE</v>
      </c>
      <c r="U521" s="13" t="str">
        <f t="shared" si="155"/>
        <v>COMMUNNewSHEUE</v>
      </c>
      <c r="V521" s="14">
        <f>H521</f>
        <v>2019</v>
      </c>
      <c r="W521" s="29" t="s">
        <v>3849</v>
      </c>
      <c r="X521" s="14">
        <v>1</v>
      </c>
      <c r="Y521" s="15">
        <f>UC!Y521</f>
        <v>0</v>
      </c>
      <c r="Z521" s="14">
        <v>0</v>
      </c>
      <c r="AA521" s="14">
        <v>5</v>
      </c>
      <c r="AB521" s="10"/>
      <c r="AC521" s="20"/>
    </row>
    <row r="522" spans="1:29" x14ac:dyDescent="0.25">
      <c r="A522" s="10">
        <f>A521</f>
        <v>130</v>
      </c>
      <c r="B522" s="10"/>
      <c r="C522" s="11" t="str">
        <f>SUBSTITUTE(UC!C522,"Old","New")</f>
        <v>*</v>
      </c>
      <c r="D522" s="12"/>
      <c r="E522" s="13" t="str">
        <f t="shared" ref="E522:G524" si="156">E521</f>
        <v>COMLPG</v>
      </c>
      <c r="F522" s="13" t="str">
        <f t="shared" si="156"/>
        <v>COMMUNNewSHEUE</v>
      </c>
      <c r="G522" s="13" t="str">
        <f t="shared" si="156"/>
        <v>COMMUNNewSHEUE</v>
      </c>
      <c r="H522" s="14">
        <v>2025</v>
      </c>
      <c r="I522" s="14" t="str">
        <f>I521</f>
        <v>LO</v>
      </c>
      <c r="J522" s="14"/>
      <c r="K522" s="15">
        <f>UC!K522</f>
        <v>0</v>
      </c>
      <c r="L522" s="14"/>
      <c r="M522" s="14"/>
      <c r="N522" s="10"/>
      <c r="O522" s="20"/>
      <c r="Q522" s="11" t="str">
        <f>SUBSTITUTE(UC!Q522,"Old","New")</f>
        <v>*</v>
      </c>
      <c r="R522" s="12"/>
      <c r="S522" s="13" t="str">
        <f t="shared" si="153"/>
        <v>COMLPG</v>
      </c>
      <c r="T522" s="13" t="str">
        <f t="shared" si="154"/>
        <v>COMMUNNewSHEUE</v>
      </c>
      <c r="U522" s="13" t="str">
        <f t="shared" si="155"/>
        <v>COMMUNNewSHEUE</v>
      </c>
      <c r="V522" s="14">
        <v>2025</v>
      </c>
      <c r="W522" s="14" t="str">
        <f>W521</f>
        <v>UP</v>
      </c>
      <c r="X522" s="14"/>
      <c r="Y522" s="15">
        <f>UC!Y522</f>
        <v>0</v>
      </c>
      <c r="Z522" s="14"/>
      <c r="AA522" s="14"/>
      <c r="AB522" s="10"/>
      <c r="AC522" s="20"/>
    </row>
    <row r="523" spans="1:29" x14ac:dyDescent="0.25">
      <c r="A523" s="10">
        <f>A522</f>
        <v>130</v>
      </c>
      <c r="B523" s="10"/>
      <c r="C523" s="11" t="str">
        <f>SUBSTITUTE(UC!C523,"Old","New")</f>
        <v>*</v>
      </c>
      <c r="D523" s="12"/>
      <c r="E523" s="13" t="str">
        <f t="shared" si="156"/>
        <v>COMLPG</v>
      </c>
      <c r="F523" s="13" t="str">
        <f t="shared" si="156"/>
        <v>COMMUNNewSHEUE</v>
      </c>
      <c r="G523" s="13" t="str">
        <f t="shared" si="156"/>
        <v>COMMUNNewSHEUE</v>
      </c>
      <c r="H523" s="14">
        <v>2030</v>
      </c>
      <c r="I523" s="14" t="str">
        <f>I522</f>
        <v>LO</v>
      </c>
      <c r="J523" s="14"/>
      <c r="K523" s="15">
        <f>UC!K523</f>
        <v>0</v>
      </c>
      <c r="L523" s="14"/>
      <c r="M523" s="14"/>
      <c r="N523" s="10"/>
      <c r="O523" s="20"/>
      <c r="Q523" s="11" t="str">
        <f>SUBSTITUTE(UC!Q523,"Old","New")</f>
        <v>*</v>
      </c>
      <c r="R523" s="12"/>
      <c r="S523" s="13" t="str">
        <f t="shared" si="153"/>
        <v>COMLPG</v>
      </c>
      <c r="T523" s="13" t="str">
        <f t="shared" si="154"/>
        <v>COMMUNNewSHEUE</v>
      </c>
      <c r="U523" s="13" t="str">
        <f t="shared" si="155"/>
        <v>COMMUNNewSHEUE</v>
      </c>
      <c r="V523" s="14">
        <v>2030</v>
      </c>
      <c r="W523" s="14" t="str">
        <f>W522</f>
        <v>UP</v>
      </c>
      <c r="X523" s="14"/>
      <c r="Y523" s="15">
        <f>UC!Y523</f>
        <v>0</v>
      </c>
      <c r="Z523" s="14"/>
      <c r="AA523" s="14"/>
      <c r="AB523" s="10"/>
      <c r="AC523" s="20"/>
    </row>
    <row r="524" spans="1:29" x14ac:dyDescent="0.25">
      <c r="A524" s="26">
        <f>A523</f>
        <v>130</v>
      </c>
      <c r="B524" s="26"/>
      <c r="C524" s="21" t="str">
        <f>SUBSTITUTE(UC!C524,"Old","New")</f>
        <v>*</v>
      </c>
      <c r="D524" s="22"/>
      <c r="E524" s="23" t="str">
        <f t="shared" si="156"/>
        <v>COMLPG</v>
      </c>
      <c r="F524" s="23" t="str">
        <f t="shared" si="156"/>
        <v>COMMUNNewSHEUE</v>
      </c>
      <c r="G524" s="23" t="str">
        <f t="shared" si="156"/>
        <v>COMMUNNewSHEUE</v>
      </c>
      <c r="H524" s="24">
        <v>2050</v>
      </c>
      <c r="I524" s="24" t="str">
        <f>I523</f>
        <v>LO</v>
      </c>
      <c r="J524" s="24"/>
      <c r="K524" s="25">
        <f>UC!K524</f>
        <v>0</v>
      </c>
      <c r="L524" s="24"/>
      <c r="M524" s="24"/>
      <c r="N524" s="26"/>
      <c r="O524" s="27"/>
      <c r="Q524" s="21" t="str">
        <f>SUBSTITUTE(UC!Q524,"Old","New")</f>
        <v>*</v>
      </c>
      <c r="R524" s="22"/>
      <c r="S524" s="23" t="str">
        <f t="shared" si="153"/>
        <v>COMLPG</v>
      </c>
      <c r="T524" s="23" t="str">
        <f t="shared" si="154"/>
        <v>COMMUNNewSHEUE</v>
      </c>
      <c r="U524" s="23" t="str">
        <f t="shared" si="155"/>
        <v>COMMUNNewSHEUE</v>
      </c>
      <c r="V524" s="24">
        <v>2050</v>
      </c>
      <c r="W524" s="24" t="str">
        <f>W523</f>
        <v>UP</v>
      </c>
      <c r="X524" s="24"/>
      <c r="Y524" s="25">
        <f>UC!Y524</f>
        <v>0</v>
      </c>
      <c r="Z524" s="24"/>
      <c r="AA524" s="24"/>
      <c r="AB524" s="26"/>
      <c r="AC524" s="27"/>
    </row>
    <row r="525" spans="1:29" x14ac:dyDescent="0.25">
      <c r="A525" s="19">
        <f>A521+1</f>
        <v>131</v>
      </c>
      <c r="B525" s="10"/>
      <c r="C525" s="11" t="str">
        <f>SUBSTITUTE(UC!C525,"Old","New")</f>
        <v>*</v>
      </c>
      <c r="D525" s="12"/>
      <c r="E525" s="13" t="str">
        <f>_xlfn.XLOOKUP($A525,Selected_constraint_UC!$A:$A,Selected_constraint_UC!$B:$B)</f>
        <v>COMSTM</v>
      </c>
      <c r="F525" s="13" t="str">
        <f>SUBSTITUTE(_xlfn.XLOOKUP($A525,Selected_constraint_UC!$A:$A,Selected_constraint_UC!$C:$C),"Old","New")</f>
        <v>COMMUNNewSHEUE</v>
      </c>
      <c r="G525" s="13" t="str">
        <f>F525</f>
        <v>COMMUNNewSHEUE</v>
      </c>
      <c r="H525" s="14">
        <v>2019</v>
      </c>
      <c r="I525" s="14" t="s">
        <v>3848</v>
      </c>
      <c r="J525" s="14">
        <v>1</v>
      </c>
      <c r="K525" s="15">
        <f>UC!K525</f>
        <v>-3.9199999999999999E-2</v>
      </c>
      <c r="L525" s="14">
        <v>0</v>
      </c>
      <c r="M525" s="14">
        <v>5</v>
      </c>
      <c r="N525" s="10"/>
      <c r="O525" s="20"/>
      <c r="Q525" s="11" t="str">
        <f>SUBSTITUTE(UC!Q525,"Old","New")</f>
        <v>*</v>
      </c>
      <c r="R525" s="12"/>
      <c r="S525" s="13" t="str">
        <f t="shared" si="153"/>
        <v>COMSTM</v>
      </c>
      <c r="T525" s="13" t="str">
        <f t="shared" si="154"/>
        <v>COMMUNNewSHEUE</v>
      </c>
      <c r="U525" s="13" t="str">
        <f t="shared" si="155"/>
        <v>COMMUNNewSHEUE</v>
      </c>
      <c r="V525" s="14">
        <f>H525</f>
        <v>2019</v>
      </c>
      <c r="W525" s="29" t="s">
        <v>3849</v>
      </c>
      <c r="X525" s="14">
        <v>1</v>
      </c>
      <c r="Y525" s="15">
        <f>UC!Y525</f>
        <v>-4.2000000000000003E-2</v>
      </c>
      <c r="Z525" s="14">
        <v>0</v>
      </c>
      <c r="AA525" s="14">
        <v>5</v>
      </c>
      <c r="AB525" s="10"/>
      <c r="AC525" s="20"/>
    </row>
    <row r="526" spans="1:29" x14ac:dyDescent="0.25">
      <c r="A526" s="10">
        <f>A525</f>
        <v>131</v>
      </c>
      <c r="B526" s="10"/>
      <c r="C526" s="11" t="str">
        <f>SUBSTITUTE(UC!C526,"Old","New")</f>
        <v>*</v>
      </c>
      <c r="D526" s="12"/>
      <c r="E526" s="13" t="str">
        <f t="shared" ref="E526:G528" si="157">E525</f>
        <v>COMSTM</v>
      </c>
      <c r="F526" s="13" t="str">
        <f t="shared" si="157"/>
        <v>COMMUNNewSHEUE</v>
      </c>
      <c r="G526" s="13" t="str">
        <f t="shared" si="157"/>
        <v>COMMUNNewSHEUE</v>
      </c>
      <c r="H526" s="14">
        <v>2025</v>
      </c>
      <c r="I526" s="14" t="str">
        <f>I525</f>
        <v>LO</v>
      </c>
      <c r="J526" s="14"/>
      <c r="K526" s="15">
        <f>UC!K526</f>
        <v>-3.2000000000000001E-2</v>
      </c>
      <c r="L526" s="14"/>
      <c r="M526" s="14"/>
      <c r="N526" s="10"/>
      <c r="O526" s="20"/>
      <c r="Q526" s="11" t="str">
        <f>SUBSTITUTE(UC!Q526,"Old","New")</f>
        <v>*</v>
      </c>
      <c r="R526" s="12"/>
      <c r="S526" s="13" t="str">
        <f t="shared" si="153"/>
        <v>COMSTM</v>
      </c>
      <c r="T526" s="13" t="str">
        <f t="shared" si="154"/>
        <v>COMMUNNewSHEUE</v>
      </c>
      <c r="U526" s="13" t="str">
        <f t="shared" si="155"/>
        <v>COMMUNNewSHEUE</v>
      </c>
      <c r="V526" s="14">
        <v>2025</v>
      </c>
      <c r="W526" s="14" t="str">
        <f>W525</f>
        <v>UP</v>
      </c>
      <c r="X526" s="14"/>
      <c r="Y526" s="15">
        <f>UC!Y526</f>
        <v>-4.9000000000000002E-2</v>
      </c>
      <c r="Z526" s="14"/>
      <c r="AA526" s="14"/>
      <c r="AB526" s="10"/>
      <c r="AC526" s="20"/>
    </row>
    <row r="527" spans="1:29" x14ac:dyDescent="0.25">
      <c r="A527" s="10">
        <f>A526</f>
        <v>131</v>
      </c>
      <c r="B527" s="10"/>
      <c r="C527" s="11" t="str">
        <f>SUBSTITUTE(UC!C527,"Old","New")</f>
        <v>*</v>
      </c>
      <c r="D527" s="12"/>
      <c r="E527" s="13" t="str">
        <f t="shared" si="157"/>
        <v>COMSTM</v>
      </c>
      <c r="F527" s="13" t="str">
        <f t="shared" si="157"/>
        <v>COMMUNNewSHEUE</v>
      </c>
      <c r="G527" s="13" t="str">
        <f t="shared" si="157"/>
        <v>COMMUNNewSHEUE</v>
      </c>
      <c r="H527" s="14">
        <v>2030</v>
      </c>
      <c r="I527" s="14" t="str">
        <f>I526</f>
        <v>LO</v>
      </c>
      <c r="J527" s="14"/>
      <c r="K527" s="15">
        <f>UC!K527</f>
        <v>-8.0000000000000002E-3</v>
      </c>
      <c r="L527" s="14"/>
      <c r="M527" s="14"/>
      <c r="N527" s="10"/>
      <c r="O527" s="20"/>
      <c r="Q527" s="11" t="str">
        <f>SUBSTITUTE(UC!Q527,"Old","New")</f>
        <v>*</v>
      </c>
      <c r="R527" s="12"/>
      <c r="S527" s="13" t="str">
        <f t="shared" si="153"/>
        <v>COMSTM</v>
      </c>
      <c r="T527" s="13" t="str">
        <f t="shared" si="154"/>
        <v>COMMUNNewSHEUE</v>
      </c>
      <c r="U527" s="13" t="str">
        <f t="shared" si="155"/>
        <v>COMMUNNewSHEUE</v>
      </c>
      <c r="V527" s="14">
        <v>2030</v>
      </c>
      <c r="W527" s="14" t="str">
        <f>W526</f>
        <v>UP</v>
      </c>
      <c r="X527" s="14"/>
      <c r="Y527" s="15">
        <f>UC!Y527</f>
        <v>-6.0999999999999999E-2</v>
      </c>
      <c r="Z527" s="14"/>
      <c r="AA527" s="14"/>
      <c r="AB527" s="10"/>
      <c r="AC527" s="20"/>
    </row>
    <row r="528" spans="1:29" x14ac:dyDescent="0.25">
      <c r="A528" s="26">
        <f>A527</f>
        <v>131</v>
      </c>
      <c r="B528" s="26"/>
      <c r="C528" s="21" t="str">
        <f>SUBSTITUTE(UC!C528,"Old","New")</f>
        <v>*</v>
      </c>
      <c r="D528" s="22"/>
      <c r="E528" s="23" t="str">
        <f t="shared" si="157"/>
        <v>COMSTM</v>
      </c>
      <c r="F528" s="23" t="str">
        <f t="shared" si="157"/>
        <v>COMMUNNewSHEUE</v>
      </c>
      <c r="G528" s="23" t="str">
        <f t="shared" si="157"/>
        <v>COMMUNNewSHEUE</v>
      </c>
      <c r="H528" s="24">
        <v>2050</v>
      </c>
      <c r="I528" s="24" t="str">
        <f>I527</f>
        <v>LO</v>
      </c>
      <c r="J528" s="24"/>
      <c r="K528" s="25">
        <f>UC!K528</f>
        <v>0</v>
      </c>
      <c r="L528" s="24"/>
      <c r="M528" s="24"/>
      <c r="N528" s="26"/>
      <c r="O528" s="27"/>
      <c r="Q528" s="21" t="str">
        <f>SUBSTITUTE(UC!Q528,"Old","New")</f>
        <v>*</v>
      </c>
      <c r="R528" s="22"/>
      <c r="S528" s="23" t="str">
        <f t="shared" si="153"/>
        <v>COMSTM</v>
      </c>
      <c r="T528" s="23" t="str">
        <f t="shared" si="154"/>
        <v>COMMUNNewSHEUE</v>
      </c>
      <c r="U528" s="23" t="str">
        <f t="shared" si="155"/>
        <v>COMMUNNewSHEUE</v>
      </c>
      <c r="V528" s="24">
        <v>2050</v>
      </c>
      <c r="W528" s="24" t="str">
        <f>W527</f>
        <v>UP</v>
      </c>
      <c r="X528" s="24"/>
      <c r="Y528" s="25">
        <f>UC!Y528</f>
        <v>-0.121</v>
      </c>
      <c r="Z528" s="24"/>
      <c r="AA528" s="24"/>
      <c r="AB528" s="26"/>
      <c r="AC528" s="27"/>
    </row>
    <row r="529" spans="1:29" x14ac:dyDescent="0.25">
      <c r="A529" s="19">
        <f>A525+1</f>
        <v>132</v>
      </c>
      <c r="B529" s="10"/>
      <c r="C529" s="11" t="str">
        <f>SUBSTITUTE(UC!C529,"Old","New")</f>
        <v>UC_MarketShare_COMMUNNewSC_ELC_MIN</v>
      </c>
      <c r="D529" s="12"/>
      <c r="E529" s="13" t="str">
        <f>_xlfn.XLOOKUP($A529,Selected_constraint_UC!$A:$A,Selected_constraint_UC!$B:$B)</f>
        <v>COMELC</v>
      </c>
      <c r="F529" s="13" t="str">
        <f>SUBSTITUTE(_xlfn.XLOOKUP($A529,Selected_constraint_UC!$A:$A,Selected_constraint_UC!$C:$C),"Old","New")</f>
        <v>COMMUNNewSCEUE</v>
      </c>
      <c r="G529" s="13" t="str">
        <f>F529</f>
        <v>COMMUNNewSCEUE</v>
      </c>
      <c r="H529" s="14">
        <v>2019</v>
      </c>
      <c r="I529" s="14" t="s">
        <v>3848</v>
      </c>
      <c r="J529" s="14">
        <v>1</v>
      </c>
      <c r="K529" s="15">
        <f>UC!K529</f>
        <v>-0.98</v>
      </c>
      <c r="L529" s="14">
        <v>0</v>
      </c>
      <c r="M529" s="14">
        <v>5</v>
      </c>
      <c r="N529" s="10"/>
      <c r="O529" s="20"/>
      <c r="Q529" s="11" t="str">
        <f>SUBSTITUTE(UC!Q529,"Old","New")</f>
        <v>UC_MarketShare_COMMUNNewSC_ELC_MAX</v>
      </c>
      <c r="R529" s="12"/>
      <c r="S529" s="13" t="str">
        <f t="shared" si="153"/>
        <v>COMELC</v>
      </c>
      <c r="T529" s="13" t="str">
        <f t="shared" si="154"/>
        <v>COMMUNNewSCEUE</v>
      </c>
      <c r="U529" s="13" t="str">
        <f t="shared" si="155"/>
        <v>COMMUNNewSCEUE</v>
      </c>
      <c r="V529" s="14">
        <f>H529</f>
        <v>2019</v>
      </c>
      <c r="W529" s="29" t="s">
        <v>3849</v>
      </c>
      <c r="X529" s="14">
        <v>1</v>
      </c>
      <c r="Y529" s="15">
        <f>UC!Y529</f>
        <v>-1</v>
      </c>
      <c r="Z529" s="14">
        <v>0</v>
      </c>
      <c r="AA529" s="14">
        <v>5</v>
      </c>
      <c r="AB529" s="10"/>
      <c r="AC529" s="20"/>
    </row>
    <row r="530" spans="1:29" x14ac:dyDescent="0.25">
      <c r="A530" s="10">
        <f>A529</f>
        <v>132</v>
      </c>
      <c r="B530" s="10"/>
      <c r="C530" s="11" t="str">
        <f>SUBSTITUTE(UC!C530,"Old","New")</f>
        <v/>
      </c>
      <c r="D530" s="12"/>
      <c r="E530" s="13" t="str">
        <f t="shared" ref="E530:G532" si="158">E529</f>
        <v>COMELC</v>
      </c>
      <c r="F530" s="13" t="str">
        <f t="shared" si="158"/>
        <v>COMMUNNewSCEUE</v>
      </c>
      <c r="G530" s="13" t="str">
        <f t="shared" si="158"/>
        <v>COMMUNNewSCEUE</v>
      </c>
      <c r="H530" s="14">
        <v>2025</v>
      </c>
      <c r="I530" s="14" t="str">
        <f>I529</f>
        <v>LO</v>
      </c>
      <c r="J530" s="14"/>
      <c r="K530" s="15">
        <f>UC!K530</f>
        <v>-0.8</v>
      </c>
      <c r="L530" s="14"/>
      <c r="M530" s="14"/>
      <c r="N530" s="10"/>
      <c r="O530" s="20"/>
      <c r="Q530" s="11" t="str">
        <f>SUBSTITUTE(UC!Q530,"Old","New")</f>
        <v/>
      </c>
      <c r="R530" s="12"/>
      <c r="S530" s="13" t="str">
        <f t="shared" si="153"/>
        <v>COMELC</v>
      </c>
      <c r="T530" s="13" t="str">
        <f t="shared" si="154"/>
        <v>COMMUNNewSCEUE</v>
      </c>
      <c r="U530" s="13" t="str">
        <f t="shared" si="155"/>
        <v>COMMUNNewSCEUE</v>
      </c>
      <c r="V530" s="14">
        <v>2025</v>
      </c>
      <c r="W530" s="14" t="str">
        <f>W529</f>
        <v>UP</v>
      </c>
      <c r="X530" s="14"/>
      <c r="Y530" s="15">
        <f>UC!Y530</f>
        <v>-1</v>
      </c>
      <c r="Z530" s="14"/>
      <c r="AA530" s="14"/>
      <c r="AB530" s="10"/>
      <c r="AC530" s="20"/>
    </row>
    <row r="531" spans="1:29" x14ac:dyDescent="0.25">
      <c r="A531" s="10">
        <f>A530</f>
        <v>132</v>
      </c>
      <c r="B531" s="10"/>
      <c r="C531" s="11" t="str">
        <f>SUBSTITUTE(UC!C531,"Old","New")</f>
        <v/>
      </c>
      <c r="D531" s="12"/>
      <c r="E531" s="13" t="str">
        <f t="shared" si="158"/>
        <v>COMELC</v>
      </c>
      <c r="F531" s="13" t="str">
        <f t="shared" si="158"/>
        <v>COMMUNNewSCEUE</v>
      </c>
      <c r="G531" s="13" t="str">
        <f t="shared" si="158"/>
        <v>COMMUNNewSCEUE</v>
      </c>
      <c r="H531" s="14">
        <v>2030</v>
      </c>
      <c r="I531" s="14" t="str">
        <f>I530</f>
        <v>LO</v>
      </c>
      <c r="J531" s="14"/>
      <c r="K531" s="15">
        <f>UC!K531</f>
        <v>-0.75</v>
      </c>
      <c r="L531" s="14"/>
      <c r="M531" s="14"/>
      <c r="N531" s="10"/>
      <c r="O531" s="20"/>
      <c r="Q531" s="11" t="str">
        <f>SUBSTITUTE(UC!Q531,"Old","New")</f>
        <v/>
      </c>
      <c r="R531" s="12"/>
      <c r="S531" s="13" t="str">
        <f t="shared" si="153"/>
        <v>COMELC</v>
      </c>
      <c r="T531" s="13" t="str">
        <f t="shared" si="154"/>
        <v>COMMUNNewSCEUE</v>
      </c>
      <c r="U531" s="13" t="str">
        <f t="shared" si="155"/>
        <v>COMMUNNewSCEUE</v>
      </c>
      <c r="V531" s="14">
        <v>2030</v>
      </c>
      <c r="W531" s="14" t="str">
        <f>W530</f>
        <v>UP</v>
      </c>
      <c r="X531" s="14"/>
      <c r="Y531" s="15">
        <f>UC!Y531</f>
        <v>-1</v>
      </c>
      <c r="Z531" s="14"/>
      <c r="AA531" s="14"/>
      <c r="AB531" s="10"/>
      <c r="AC531" s="20"/>
    </row>
    <row r="532" spans="1:29" x14ac:dyDescent="0.25">
      <c r="A532" s="26">
        <f>A531</f>
        <v>132</v>
      </c>
      <c r="B532" s="26"/>
      <c r="C532" s="21" t="str">
        <f>SUBSTITUTE(UC!C532,"Old","New")</f>
        <v/>
      </c>
      <c r="D532" s="22"/>
      <c r="E532" s="23" t="str">
        <f t="shared" si="158"/>
        <v>COMELC</v>
      </c>
      <c r="F532" s="23" t="str">
        <f t="shared" si="158"/>
        <v>COMMUNNewSCEUE</v>
      </c>
      <c r="G532" s="23" t="str">
        <f t="shared" si="158"/>
        <v>COMMUNNewSCEUE</v>
      </c>
      <c r="H532" s="24">
        <v>2050</v>
      </c>
      <c r="I532" s="24" t="str">
        <f>I531</f>
        <v>LO</v>
      </c>
      <c r="J532" s="24"/>
      <c r="K532" s="25">
        <f>UC!K532</f>
        <v>-0.75</v>
      </c>
      <c r="L532" s="24"/>
      <c r="M532" s="24"/>
      <c r="N532" s="26"/>
      <c r="O532" s="27"/>
      <c r="Q532" s="21" t="str">
        <f>SUBSTITUTE(UC!Q532,"Old","New")</f>
        <v/>
      </c>
      <c r="R532" s="22"/>
      <c r="S532" s="23" t="str">
        <f t="shared" si="153"/>
        <v>COMELC</v>
      </c>
      <c r="T532" s="23" t="str">
        <f t="shared" si="154"/>
        <v>COMMUNNewSCEUE</v>
      </c>
      <c r="U532" s="23" t="str">
        <f t="shared" si="155"/>
        <v>COMMUNNewSCEUE</v>
      </c>
      <c r="V532" s="24">
        <v>2050</v>
      </c>
      <c r="W532" s="24" t="str">
        <f>W531</f>
        <v>UP</v>
      </c>
      <c r="X532" s="24"/>
      <c r="Y532" s="25">
        <f>UC!Y532</f>
        <v>-1</v>
      </c>
      <c r="Z532" s="24"/>
      <c r="AA532" s="24"/>
      <c r="AB532" s="26"/>
      <c r="AC532" s="27"/>
    </row>
    <row r="533" spans="1:29" x14ac:dyDescent="0.25">
      <c r="A533" s="19">
        <f>A529+1</f>
        <v>133</v>
      </c>
      <c r="B533" s="10"/>
      <c r="C533" s="11" t="str">
        <f>SUBSTITUTE(UC!C533,"Old","New")</f>
        <v>*</v>
      </c>
      <c r="D533" s="12"/>
      <c r="E533" s="13" t="str">
        <f>_xlfn.XLOOKUP($A533,Selected_constraint_UC!$A:$A,Selected_constraint_UC!$B:$B)</f>
        <v>COMELC</v>
      </c>
      <c r="F533" s="13" t="str">
        <f>SUBSTITUTE(_xlfn.XLOOKUP($A533,Selected_constraint_UC!$A:$A,Selected_constraint_UC!$C:$C),"Old","New")</f>
        <v>COMMUNNewVTEUE</v>
      </c>
      <c r="G533" s="13" t="str">
        <f>F533</f>
        <v>COMMUNNewVTEUE</v>
      </c>
      <c r="H533" s="14">
        <v>2019</v>
      </c>
      <c r="I533" s="14" t="s">
        <v>3848</v>
      </c>
      <c r="J533" s="14">
        <v>1</v>
      </c>
      <c r="K533" s="15">
        <f>UC!K533</f>
        <v>-0.98</v>
      </c>
      <c r="L533" s="14">
        <v>0</v>
      </c>
      <c r="M533" s="14">
        <v>5</v>
      </c>
      <c r="N533" s="10"/>
      <c r="O533" s="20"/>
      <c r="Q533" s="11" t="str">
        <f>SUBSTITUTE(UC!Q533,"Old","New")</f>
        <v>*</v>
      </c>
      <c r="R533" s="12"/>
      <c r="S533" s="13" t="str">
        <f t="shared" si="153"/>
        <v>COMELC</v>
      </c>
      <c r="T533" s="13" t="str">
        <f t="shared" si="154"/>
        <v>COMMUNNewVTEUE</v>
      </c>
      <c r="U533" s="13" t="str">
        <f t="shared" si="155"/>
        <v>COMMUNNewVTEUE</v>
      </c>
      <c r="V533" s="14">
        <f>H533</f>
        <v>2019</v>
      </c>
      <c r="W533" s="29" t="s">
        <v>3849</v>
      </c>
      <c r="X533" s="14">
        <v>1</v>
      </c>
      <c r="Y533" s="15">
        <f>UC!Y533</f>
        <v>-1</v>
      </c>
      <c r="Z533" s="14">
        <v>0</v>
      </c>
      <c r="AA533" s="14">
        <v>5</v>
      </c>
      <c r="AB533" s="10"/>
      <c r="AC533" s="20"/>
    </row>
    <row r="534" spans="1:29" x14ac:dyDescent="0.25">
      <c r="A534" s="10">
        <f>A533</f>
        <v>133</v>
      </c>
      <c r="B534" s="10"/>
      <c r="C534" s="11" t="str">
        <f>SUBSTITUTE(UC!C534,"Old","New")</f>
        <v>*</v>
      </c>
      <c r="D534" s="12"/>
      <c r="E534" s="13" t="str">
        <f t="shared" ref="E534:G536" si="159">E533</f>
        <v>COMELC</v>
      </c>
      <c r="F534" s="13" t="str">
        <f t="shared" si="159"/>
        <v>COMMUNNewVTEUE</v>
      </c>
      <c r="G534" s="13" t="str">
        <f t="shared" si="159"/>
        <v>COMMUNNewVTEUE</v>
      </c>
      <c r="H534" s="14">
        <v>2025</v>
      </c>
      <c r="I534" s="14" t="str">
        <f>I533</f>
        <v>LO</v>
      </c>
      <c r="J534" s="14"/>
      <c r="K534" s="15">
        <f>UC!K534</f>
        <v>-0.8</v>
      </c>
      <c r="L534" s="14"/>
      <c r="M534" s="14"/>
      <c r="N534" s="10"/>
      <c r="O534" s="20"/>
      <c r="Q534" s="11" t="str">
        <f>SUBSTITUTE(UC!Q534,"Old","New")</f>
        <v>*</v>
      </c>
      <c r="R534" s="12"/>
      <c r="S534" s="13" t="str">
        <f t="shared" si="153"/>
        <v>COMELC</v>
      </c>
      <c r="T534" s="13" t="str">
        <f t="shared" si="154"/>
        <v>COMMUNNewVTEUE</v>
      </c>
      <c r="U534" s="13" t="str">
        <f t="shared" si="155"/>
        <v>COMMUNNewVTEUE</v>
      </c>
      <c r="V534" s="14">
        <v>2025</v>
      </c>
      <c r="W534" s="14" t="str">
        <f>W533</f>
        <v>UP</v>
      </c>
      <c r="X534" s="14"/>
      <c r="Y534" s="15">
        <f>UC!Y534</f>
        <v>-1</v>
      </c>
      <c r="Z534" s="14"/>
      <c r="AA534" s="14"/>
      <c r="AB534" s="10"/>
      <c r="AC534" s="20"/>
    </row>
    <row r="535" spans="1:29" x14ac:dyDescent="0.25">
      <c r="A535" s="10">
        <f>A534</f>
        <v>133</v>
      </c>
      <c r="B535" s="10"/>
      <c r="C535" s="11" t="str">
        <f>SUBSTITUTE(UC!C535,"Old","New")</f>
        <v>*</v>
      </c>
      <c r="D535" s="12"/>
      <c r="E535" s="13" t="str">
        <f t="shared" si="159"/>
        <v>COMELC</v>
      </c>
      <c r="F535" s="13" t="str">
        <f t="shared" si="159"/>
        <v>COMMUNNewVTEUE</v>
      </c>
      <c r="G535" s="13" t="str">
        <f t="shared" si="159"/>
        <v>COMMUNNewVTEUE</v>
      </c>
      <c r="H535" s="14">
        <v>2030</v>
      </c>
      <c r="I535" s="14" t="str">
        <f>I534</f>
        <v>LO</v>
      </c>
      <c r="J535" s="14"/>
      <c r="K535" s="15">
        <f>UC!K535</f>
        <v>-0.2</v>
      </c>
      <c r="L535" s="14"/>
      <c r="M535" s="14"/>
      <c r="N535" s="10"/>
      <c r="O535" s="20"/>
      <c r="Q535" s="11" t="str">
        <f>SUBSTITUTE(UC!Q535,"Old","New")</f>
        <v>*</v>
      </c>
      <c r="R535" s="12"/>
      <c r="S535" s="13" t="str">
        <f t="shared" si="153"/>
        <v>COMELC</v>
      </c>
      <c r="T535" s="13" t="str">
        <f t="shared" si="154"/>
        <v>COMMUNNewVTEUE</v>
      </c>
      <c r="U535" s="13" t="str">
        <f t="shared" si="155"/>
        <v>COMMUNNewVTEUE</v>
      </c>
      <c r="V535" s="14">
        <v>2030</v>
      </c>
      <c r="W535" s="14" t="str">
        <f>W534</f>
        <v>UP</v>
      </c>
      <c r="X535" s="14"/>
      <c r="Y535" s="15">
        <f>UC!Y535</f>
        <v>-1</v>
      </c>
      <c r="Z535" s="14"/>
      <c r="AA535" s="14"/>
      <c r="AB535" s="10"/>
      <c r="AC535" s="20"/>
    </row>
    <row r="536" spans="1:29" x14ac:dyDescent="0.25">
      <c r="A536" s="26">
        <f>A535</f>
        <v>133</v>
      </c>
      <c r="B536" s="26"/>
      <c r="C536" s="21" t="str">
        <f>SUBSTITUTE(UC!C536,"Old","New")</f>
        <v>*</v>
      </c>
      <c r="D536" s="22"/>
      <c r="E536" s="23" t="str">
        <f t="shared" si="159"/>
        <v>COMELC</v>
      </c>
      <c r="F536" s="23" t="str">
        <f t="shared" si="159"/>
        <v>COMMUNNewVTEUE</v>
      </c>
      <c r="G536" s="23" t="str">
        <f t="shared" si="159"/>
        <v>COMMUNNewVTEUE</v>
      </c>
      <c r="H536" s="24">
        <v>2050</v>
      </c>
      <c r="I536" s="24" t="str">
        <f>I535</f>
        <v>LO</v>
      </c>
      <c r="J536" s="24"/>
      <c r="K536" s="25">
        <f>UC!K536</f>
        <v>0</v>
      </c>
      <c r="L536" s="24"/>
      <c r="M536" s="24"/>
      <c r="N536" s="26"/>
      <c r="O536" s="27"/>
      <c r="Q536" s="21" t="str">
        <f>SUBSTITUTE(UC!Q536,"Old","New")</f>
        <v>*</v>
      </c>
      <c r="R536" s="22"/>
      <c r="S536" s="23" t="str">
        <f t="shared" si="153"/>
        <v>COMELC</v>
      </c>
      <c r="T536" s="23" t="str">
        <f t="shared" si="154"/>
        <v>COMMUNNewVTEUE</v>
      </c>
      <c r="U536" s="23" t="str">
        <f t="shared" si="155"/>
        <v>COMMUNNewVTEUE</v>
      </c>
      <c r="V536" s="24">
        <v>2050</v>
      </c>
      <c r="W536" s="24" t="str">
        <f>W535</f>
        <v>UP</v>
      </c>
      <c r="X536" s="24"/>
      <c r="Y536" s="25">
        <f>UC!Y536</f>
        <v>-1</v>
      </c>
      <c r="Z536" s="24"/>
      <c r="AA536" s="24"/>
      <c r="AB536" s="26"/>
      <c r="AC536" s="27"/>
    </row>
    <row r="537" spans="1:29" x14ac:dyDescent="0.25">
      <c r="A537" s="19">
        <f>A533+1</f>
        <v>134</v>
      </c>
      <c r="B537" s="10"/>
      <c r="C537" s="11" t="str">
        <f>SUBSTITUTE(UC!C537,"Old","New")</f>
        <v>UC_MarketShare_COMMUNNewWH_FOI_MIN</v>
      </c>
      <c r="D537" s="12"/>
      <c r="E537" s="13" t="str">
        <f>_xlfn.XLOOKUP($A537,Selected_constraint_UC!$A:$A,Selected_constraint_UC!$B:$B)</f>
        <v>COMFOI</v>
      </c>
      <c r="F537" s="13" t="str">
        <f>SUBSTITUTE(_xlfn.XLOOKUP($A537,Selected_constraint_UC!$A:$A,Selected_constraint_UC!$C:$C),"Old","New")</f>
        <v>COMMUNNewWHEUE</v>
      </c>
      <c r="G537" s="13" t="str">
        <f>F537</f>
        <v>COMMUNNewWHEUE</v>
      </c>
      <c r="H537" s="14">
        <v>2019</v>
      </c>
      <c r="I537" s="14" t="s">
        <v>3848</v>
      </c>
      <c r="J537" s="14">
        <v>1</v>
      </c>
      <c r="K537" s="15">
        <f>UC!K537</f>
        <v>-9.7999999999999997E-4</v>
      </c>
      <c r="L537" s="14">
        <v>0</v>
      </c>
      <c r="M537" s="14">
        <v>5</v>
      </c>
      <c r="N537" s="10"/>
      <c r="O537" s="20"/>
      <c r="Q537" s="11" t="str">
        <f>SUBSTITUTE(UC!Q537,"Old","New")</f>
        <v>UC_MarketShare_COMMUNNewWH_FOI_MAX</v>
      </c>
      <c r="R537" s="12"/>
      <c r="S537" s="13" t="str">
        <f t="shared" si="153"/>
        <v>COMFOI</v>
      </c>
      <c r="T537" s="13" t="str">
        <f t="shared" si="154"/>
        <v>COMMUNNewWHEUE</v>
      </c>
      <c r="U537" s="13" t="str">
        <f t="shared" si="155"/>
        <v>COMMUNNewWHEUE</v>
      </c>
      <c r="V537" s="14">
        <f>H537</f>
        <v>2019</v>
      </c>
      <c r="W537" s="29" t="s">
        <v>3849</v>
      </c>
      <c r="X537" s="14">
        <v>1</v>
      </c>
      <c r="Y537" s="15">
        <f>UC!Y537</f>
        <v>-2E-3</v>
      </c>
      <c r="Z537" s="14">
        <v>0</v>
      </c>
      <c r="AA537" s="14">
        <v>5</v>
      </c>
      <c r="AB537" s="10"/>
      <c r="AC537" s="20"/>
    </row>
    <row r="538" spans="1:29" x14ac:dyDescent="0.25">
      <c r="A538" s="10">
        <f>A537</f>
        <v>134</v>
      </c>
      <c r="B538" s="10"/>
      <c r="C538" s="11" t="str">
        <f>SUBSTITUTE(UC!C538,"Old","New")</f>
        <v/>
      </c>
      <c r="D538" s="12"/>
      <c r="E538" s="13" t="str">
        <f t="shared" ref="E538:G540" si="160">E537</f>
        <v>COMFOI</v>
      </c>
      <c r="F538" s="13" t="str">
        <f t="shared" si="160"/>
        <v>COMMUNNewWHEUE</v>
      </c>
      <c r="G538" s="13" t="str">
        <f t="shared" si="160"/>
        <v>COMMUNNewWHEUE</v>
      </c>
      <c r="H538" s="14">
        <v>2025</v>
      </c>
      <c r="I538" s="14" t="str">
        <f>I537</f>
        <v>LO</v>
      </c>
      <c r="J538" s="14"/>
      <c r="K538" s="15">
        <f>UC!K538</f>
        <v>-8.0000000000000004E-4</v>
      </c>
      <c r="L538" s="14"/>
      <c r="M538" s="14"/>
      <c r="N538" s="10"/>
      <c r="O538" s="20"/>
      <c r="Q538" s="11" t="str">
        <f>SUBSTITUTE(UC!Q538,"Old","New")</f>
        <v/>
      </c>
      <c r="R538" s="12"/>
      <c r="S538" s="13" t="str">
        <f t="shared" si="153"/>
        <v>COMFOI</v>
      </c>
      <c r="T538" s="13" t="str">
        <f t="shared" si="154"/>
        <v>COMMUNNewWHEUE</v>
      </c>
      <c r="U538" s="13" t="str">
        <f t="shared" si="155"/>
        <v>COMMUNNewWHEUE</v>
      </c>
      <c r="V538" s="14">
        <v>2025</v>
      </c>
      <c r="W538" s="14" t="str">
        <f>W537</f>
        <v>UP</v>
      </c>
      <c r="X538" s="14"/>
      <c r="Y538" s="15">
        <f>UC!Y538</f>
        <v>-2E-3</v>
      </c>
      <c r="Z538" s="14"/>
      <c r="AA538" s="14"/>
      <c r="AB538" s="10"/>
      <c r="AC538" s="20"/>
    </row>
    <row r="539" spans="1:29" x14ac:dyDescent="0.25">
      <c r="A539" s="10">
        <f>A538</f>
        <v>134</v>
      </c>
      <c r="B539" s="10"/>
      <c r="C539" s="11" t="str">
        <f>SUBSTITUTE(UC!C539,"Old","New")</f>
        <v/>
      </c>
      <c r="D539" s="12"/>
      <c r="E539" s="13" t="str">
        <f t="shared" si="160"/>
        <v>COMFOI</v>
      </c>
      <c r="F539" s="13" t="str">
        <f t="shared" si="160"/>
        <v>COMMUNNewWHEUE</v>
      </c>
      <c r="G539" s="13" t="str">
        <f t="shared" si="160"/>
        <v>COMMUNNewWHEUE</v>
      </c>
      <c r="H539" s="14">
        <v>2030</v>
      </c>
      <c r="I539" s="14" t="str">
        <f>I538</f>
        <v>LO</v>
      </c>
      <c r="J539" s="14"/>
      <c r="K539" s="15">
        <f>UC!K539</f>
        <v>-2.0000000000000001E-4</v>
      </c>
      <c r="L539" s="14"/>
      <c r="M539" s="14"/>
      <c r="N539" s="10"/>
      <c r="O539" s="20"/>
      <c r="Q539" s="11" t="str">
        <f>SUBSTITUTE(UC!Q539,"Old","New")</f>
        <v/>
      </c>
      <c r="R539" s="12"/>
      <c r="S539" s="13" t="str">
        <f t="shared" si="153"/>
        <v>COMFOI</v>
      </c>
      <c r="T539" s="13" t="str">
        <f t="shared" si="154"/>
        <v>COMMUNNewWHEUE</v>
      </c>
      <c r="U539" s="13" t="str">
        <f t="shared" si="155"/>
        <v>COMMUNNewWHEUE</v>
      </c>
      <c r="V539" s="14">
        <v>2030</v>
      </c>
      <c r="W539" s="14" t="str">
        <f>W538</f>
        <v>UP</v>
      </c>
      <c r="X539" s="14"/>
      <c r="Y539" s="15">
        <f>UC!Y539</f>
        <v>-2E-3</v>
      </c>
      <c r="Z539" s="14"/>
      <c r="AA539" s="14"/>
      <c r="AB539" s="10"/>
      <c r="AC539" s="20"/>
    </row>
    <row r="540" spans="1:29" x14ac:dyDescent="0.25">
      <c r="A540" s="26">
        <f>A539</f>
        <v>134</v>
      </c>
      <c r="B540" s="26"/>
      <c r="C540" s="21" t="str">
        <f>SUBSTITUTE(UC!C540,"Old","New")</f>
        <v/>
      </c>
      <c r="D540" s="22"/>
      <c r="E540" s="23" t="str">
        <f t="shared" si="160"/>
        <v>COMFOI</v>
      </c>
      <c r="F540" s="23" t="str">
        <f t="shared" si="160"/>
        <v>COMMUNNewWHEUE</v>
      </c>
      <c r="G540" s="23" t="str">
        <f t="shared" si="160"/>
        <v>COMMUNNewWHEUE</v>
      </c>
      <c r="H540" s="24">
        <v>2050</v>
      </c>
      <c r="I540" s="24" t="str">
        <f>I539</f>
        <v>LO</v>
      </c>
      <c r="J540" s="24"/>
      <c r="K540" s="25">
        <f>UC!K540</f>
        <v>0</v>
      </c>
      <c r="L540" s="24"/>
      <c r="M540" s="24"/>
      <c r="N540" s="26"/>
      <c r="O540" s="27"/>
      <c r="Q540" s="21" t="str">
        <f>SUBSTITUTE(UC!Q540,"Old","New")</f>
        <v/>
      </c>
      <c r="R540" s="22"/>
      <c r="S540" s="23" t="str">
        <f t="shared" si="153"/>
        <v>COMFOI</v>
      </c>
      <c r="T540" s="23" t="str">
        <f t="shared" si="154"/>
        <v>COMMUNNewWHEUE</v>
      </c>
      <c r="U540" s="23" t="str">
        <f t="shared" si="155"/>
        <v>COMMUNNewWHEUE</v>
      </c>
      <c r="V540" s="24">
        <v>2050</v>
      </c>
      <c r="W540" s="24" t="str">
        <f>W539</f>
        <v>UP</v>
      </c>
      <c r="X540" s="24"/>
      <c r="Y540" s="25">
        <f>UC!Y540</f>
        <v>-2E-3</v>
      </c>
      <c r="Z540" s="24"/>
      <c r="AA540" s="24"/>
      <c r="AB540" s="26"/>
      <c r="AC540" s="27"/>
    </row>
    <row r="541" spans="1:29" x14ac:dyDescent="0.25">
      <c r="A541" s="19">
        <f>A537+1</f>
        <v>135</v>
      </c>
      <c r="B541" s="10"/>
      <c r="C541" s="11" t="str">
        <f>SUBSTITUTE(UC!C541,"Old","New")</f>
        <v>UC_MarketShare_COMMUNNewWH_NGA_MIN</v>
      </c>
      <c r="D541" s="12"/>
      <c r="E541" s="13" t="str">
        <f>_xlfn.XLOOKUP($A541,Selected_constraint_UC!$A:$A,Selected_constraint_UC!$B:$B)</f>
        <v>COMNGA</v>
      </c>
      <c r="F541" s="13" t="str">
        <f>SUBSTITUTE(_xlfn.XLOOKUP($A541,Selected_constraint_UC!$A:$A,Selected_constraint_UC!$C:$C),"Old","New")</f>
        <v>COMMUNNewWHEUE</v>
      </c>
      <c r="G541" s="13" t="str">
        <f>F541</f>
        <v>COMMUNNewWHEUE</v>
      </c>
      <c r="H541" s="14">
        <v>2019</v>
      </c>
      <c r="I541" s="14" t="s">
        <v>3848</v>
      </c>
      <c r="J541" s="14">
        <v>1</v>
      </c>
      <c r="K541" s="15">
        <f>UC!K541</f>
        <v>-0.59289999999999998</v>
      </c>
      <c r="L541" s="14">
        <v>0</v>
      </c>
      <c r="M541" s="14">
        <v>5</v>
      </c>
      <c r="N541" s="10"/>
      <c r="O541" s="20"/>
      <c r="Q541" s="11" t="str">
        <f>SUBSTITUTE(UC!Q541,"Old","New")</f>
        <v>UC_MarketShare_COMMUNNewWH_NGA_MAX</v>
      </c>
      <c r="R541" s="12"/>
      <c r="S541" s="13" t="str">
        <f t="shared" si="153"/>
        <v>COMNGA</v>
      </c>
      <c r="T541" s="13" t="str">
        <f t="shared" si="154"/>
        <v>COMMUNNewWHEUE</v>
      </c>
      <c r="U541" s="13" t="str">
        <f t="shared" si="155"/>
        <v>COMMUNNewWHEUE</v>
      </c>
      <c r="V541" s="14">
        <f>H541</f>
        <v>2019</v>
      </c>
      <c r="W541" s="29" t="s">
        <v>3849</v>
      </c>
      <c r="X541" s="14">
        <v>1</v>
      </c>
      <c r="Y541" s="15">
        <f>UC!Y541</f>
        <v>-0.61799999999999999</v>
      </c>
      <c r="Z541" s="14">
        <v>0</v>
      </c>
      <c r="AA541" s="14">
        <v>5</v>
      </c>
      <c r="AB541" s="10"/>
      <c r="AC541" s="20"/>
    </row>
    <row r="542" spans="1:29" x14ac:dyDescent="0.25">
      <c r="A542" s="10">
        <f>A541</f>
        <v>135</v>
      </c>
      <c r="B542" s="10"/>
      <c r="C542" s="11" t="str">
        <f>SUBSTITUTE(UC!C542,"Old","New")</f>
        <v/>
      </c>
      <c r="D542" s="12"/>
      <c r="E542" s="13" t="str">
        <f t="shared" ref="E542:G544" si="161">E541</f>
        <v>COMNGA</v>
      </c>
      <c r="F542" s="13" t="str">
        <f t="shared" si="161"/>
        <v>COMMUNNewWHEUE</v>
      </c>
      <c r="G542" s="13" t="str">
        <f t="shared" si="161"/>
        <v>COMMUNNewWHEUE</v>
      </c>
      <c r="H542" s="14">
        <v>2025</v>
      </c>
      <c r="I542" s="14" t="str">
        <f>I541</f>
        <v>LO</v>
      </c>
      <c r="J542" s="14"/>
      <c r="K542" s="15">
        <f>UC!K542</f>
        <v>-0.48399999999999999</v>
      </c>
      <c r="L542" s="14"/>
      <c r="M542" s="14"/>
      <c r="N542" s="10"/>
      <c r="O542" s="20"/>
      <c r="Q542" s="11" t="str">
        <f>SUBSTITUTE(UC!Q542,"Old","New")</f>
        <v/>
      </c>
      <c r="R542" s="12"/>
      <c r="S542" s="13" t="str">
        <f t="shared" si="153"/>
        <v>COMNGA</v>
      </c>
      <c r="T542" s="13" t="str">
        <f t="shared" si="154"/>
        <v>COMMUNNewWHEUE</v>
      </c>
      <c r="U542" s="13" t="str">
        <f t="shared" si="155"/>
        <v>COMMUNNewWHEUE</v>
      </c>
      <c r="V542" s="14">
        <v>2025</v>
      </c>
      <c r="W542" s="14" t="str">
        <f>W541</f>
        <v>UP</v>
      </c>
      <c r="X542" s="14"/>
      <c r="Y542" s="15">
        <f>UC!Y542</f>
        <v>-0.60599999999999998</v>
      </c>
      <c r="Z542" s="14"/>
      <c r="AA542" s="14"/>
      <c r="AB542" s="10"/>
      <c r="AC542" s="20"/>
    </row>
    <row r="543" spans="1:29" x14ac:dyDescent="0.25">
      <c r="A543" s="10">
        <f>A542</f>
        <v>135</v>
      </c>
      <c r="B543" s="10"/>
      <c r="C543" s="11" t="str">
        <f>SUBSTITUTE(UC!C543,"Old","New")</f>
        <v/>
      </c>
      <c r="D543" s="12"/>
      <c r="E543" s="13" t="str">
        <f t="shared" si="161"/>
        <v>COMNGA</v>
      </c>
      <c r="F543" s="13" t="str">
        <f t="shared" si="161"/>
        <v>COMMUNNewWHEUE</v>
      </c>
      <c r="G543" s="13" t="str">
        <f t="shared" si="161"/>
        <v>COMMUNNewWHEUE</v>
      </c>
      <c r="H543" s="14">
        <v>2030</v>
      </c>
      <c r="I543" s="14" t="str">
        <f>I542</f>
        <v>LO</v>
      </c>
      <c r="J543" s="14"/>
      <c r="K543" s="15">
        <f>UC!K543</f>
        <v>-0.121</v>
      </c>
      <c r="L543" s="14"/>
      <c r="M543" s="14"/>
      <c r="N543" s="10"/>
      <c r="O543" s="20"/>
      <c r="Q543" s="11" t="str">
        <f>SUBSTITUTE(UC!Q543,"Old","New")</f>
        <v/>
      </c>
      <c r="R543" s="12"/>
      <c r="S543" s="13" t="str">
        <f t="shared" si="153"/>
        <v>COMNGA</v>
      </c>
      <c r="T543" s="13" t="str">
        <f t="shared" si="154"/>
        <v>COMMUNNewWHEUE</v>
      </c>
      <c r="U543" s="13" t="str">
        <f t="shared" si="155"/>
        <v>COMMUNNewWHEUE</v>
      </c>
      <c r="V543" s="14">
        <v>2030</v>
      </c>
      <c r="W543" s="14" t="str">
        <f>W542</f>
        <v>UP</v>
      </c>
      <c r="X543" s="14"/>
      <c r="Y543" s="15">
        <f>UC!Y543</f>
        <v>-0.54500000000000004</v>
      </c>
      <c r="Z543" s="14"/>
      <c r="AA543" s="14"/>
      <c r="AB543" s="10"/>
      <c r="AC543" s="20"/>
    </row>
    <row r="544" spans="1:29" x14ac:dyDescent="0.25">
      <c r="A544" s="26">
        <f>A543</f>
        <v>135</v>
      </c>
      <c r="B544" s="26"/>
      <c r="C544" s="21" t="str">
        <f>SUBSTITUTE(UC!C544,"Old","New")</f>
        <v/>
      </c>
      <c r="D544" s="22"/>
      <c r="E544" s="23" t="str">
        <f t="shared" si="161"/>
        <v>COMNGA</v>
      </c>
      <c r="F544" s="23" t="str">
        <f t="shared" si="161"/>
        <v>COMMUNNewWHEUE</v>
      </c>
      <c r="G544" s="23" t="str">
        <f t="shared" si="161"/>
        <v>COMMUNNewWHEUE</v>
      </c>
      <c r="H544" s="24">
        <v>2050</v>
      </c>
      <c r="I544" s="24" t="str">
        <f>I543</f>
        <v>LO</v>
      </c>
      <c r="J544" s="24"/>
      <c r="K544" s="25">
        <f>UC!K544</f>
        <v>0</v>
      </c>
      <c r="L544" s="24"/>
      <c r="M544" s="24"/>
      <c r="N544" s="26"/>
      <c r="O544" s="27"/>
      <c r="Q544" s="21" t="str">
        <f>SUBSTITUTE(UC!Q544,"Old","New")</f>
        <v/>
      </c>
      <c r="R544" s="22"/>
      <c r="S544" s="23" t="str">
        <f t="shared" si="153"/>
        <v>COMNGA</v>
      </c>
      <c r="T544" s="23" t="str">
        <f t="shared" si="154"/>
        <v>COMMUNNewWHEUE</v>
      </c>
      <c r="U544" s="23" t="str">
        <f t="shared" si="155"/>
        <v>COMMUNNewWHEUE</v>
      </c>
      <c r="V544" s="24">
        <v>2050</v>
      </c>
      <c r="W544" s="24" t="str">
        <f>W543</f>
        <v>UP</v>
      </c>
      <c r="X544" s="24"/>
      <c r="Y544" s="25">
        <f>UC!Y544</f>
        <v>-0.45500000000000002</v>
      </c>
      <c r="Z544" s="24"/>
      <c r="AA544" s="24"/>
      <c r="AB544" s="26"/>
      <c r="AC544" s="27"/>
    </row>
    <row r="545" spans="1:29" x14ac:dyDescent="0.25">
      <c r="A545" s="19">
        <f>A541+1</f>
        <v>136</v>
      </c>
      <c r="B545" s="10"/>
      <c r="C545" s="11" t="str">
        <f>SUBSTITUTE(UC!C545,"Old","New")</f>
        <v>*</v>
      </c>
      <c r="D545" s="12"/>
      <c r="E545" s="13" t="str">
        <f>_xlfn.XLOOKUP($A545,Selected_constraint_UC!$A:$A,Selected_constraint_UC!$B:$B)</f>
        <v>COMSTM</v>
      </c>
      <c r="F545" s="13" t="str">
        <f>SUBSTITUTE(_xlfn.XLOOKUP($A545,Selected_constraint_UC!$A:$A,Selected_constraint_UC!$C:$C),"Old","New")</f>
        <v>COMMUNNewWHEUE</v>
      </c>
      <c r="G545" s="13" t="str">
        <f>F545</f>
        <v>COMMUNNewWHEUE</v>
      </c>
      <c r="H545" s="14">
        <v>2019</v>
      </c>
      <c r="I545" s="14" t="s">
        <v>3848</v>
      </c>
      <c r="J545" s="14">
        <v>1</v>
      </c>
      <c r="K545" s="15">
        <f>UC!K545</f>
        <v>-2.2539999999999998E-2</v>
      </c>
      <c r="L545" s="14">
        <v>0</v>
      </c>
      <c r="M545" s="14">
        <v>5</v>
      </c>
      <c r="N545" s="10"/>
      <c r="O545" s="20"/>
      <c r="Q545" s="11" t="str">
        <f>SUBSTITUTE(UC!Q545,"Old","New")</f>
        <v>*</v>
      </c>
      <c r="R545" s="12"/>
      <c r="S545" s="13" t="str">
        <f t="shared" si="153"/>
        <v>COMSTM</v>
      </c>
      <c r="T545" s="13" t="str">
        <f t="shared" si="154"/>
        <v>COMMUNNewWHEUE</v>
      </c>
      <c r="U545" s="13" t="str">
        <f t="shared" si="155"/>
        <v>COMMUNNewWHEUE</v>
      </c>
      <c r="V545" s="14">
        <f>H545</f>
        <v>2019</v>
      </c>
      <c r="W545" s="29" t="s">
        <v>3849</v>
      </c>
      <c r="X545" s="14">
        <v>1</v>
      </c>
      <c r="Y545" s="15">
        <f>UC!Y545</f>
        <v>-2.4E-2</v>
      </c>
      <c r="Z545" s="14">
        <v>0</v>
      </c>
      <c r="AA545" s="14">
        <v>5</v>
      </c>
      <c r="AB545" s="10"/>
      <c r="AC545" s="20"/>
    </row>
    <row r="546" spans="1:29" x14ac:dyDescent="0.25">
      <c r="A546" s="10">
        <f>A545</f>
        <v>136</v>
      </c>
      <c r="B546" s="10"/>
      <c r="C546" s="11" t="str">
        <f>SUBSTITUTE(UC!C546,"Old","New")</f>
        <v>*</v>
      </c>
      <c r="D546" s="12"/>
      <c r="E546" s="13" t="str">
        <f t="shared" ref="E546:G548" si="162">E545</f>
        <v>COMSTM</v>
      </c>
      <c r="F546" s="13" t="str">
        <f t="shared" si="162"/>
        <v>COMMUNNewWHEUE</v>
      </c>
      <c r="G546" s="13" t="str">
        <f t="shared" si="162"/>
        <v>COMMUNNewWHEUE</v>
      </c>
      <c r="H546" s="14">
        <v>2025</v>
      </c>
      <c r="I546" s="14" t="str">
        <f>I545</f>
        <v>LO</v>
      </c>
      <c r="J546" s="14"/>
      <c r="K546" s="15">
        <f>UC!K546</f>
        <v>-1.84E-2</v>
      </c>
      <c r="L546" s="14"/>
      <c r="M546" s="14"/>
      <c r="N546" s="10"/>
      <c r="O546" s="20"/>
      <c r="Q546" s="11" t="str">
        <f>SUBSTITUTE(UC!Q546,"Old","New")</f>
        <v>*</v>
      </c>
      <c r="R546" s="12"/>
      <c r="S546" s="13" t="str">
        <f t="shared" si="153"/>
        <v>COMSTM</v>
      </c>
      <c r="T546" s="13" t="str">
        <f t="shared" si="154"/>
        <v>COMMUNNewWHEUE</v>
      </c>
      <c r="U546" s="13" t="str">
        <f t="shared" si="155"/>
        <v>COMMUNNewWHEUE</v>
      </c>
      <c r="V546" s="14">
        <v>2025</v>
      </c>
      <c r="W546" s="14" t="str">
        <f>W545</f>
        <v>UP</v>
      </c>
      <c r="X546" s="14"/>
      <c r="Y546" s="15">
        <f>UC!Y546</f>
        <v>-2.9000000000000001E-2</v>
      </c>
      <c r="Z546" s="14"/>
      <c r="AA546" s="14"/>
      <c r="AB546" s="10"/>
      <c r="AC546" s="20"/>
    </row>
    <row r="547" spans="1:29" x14ac:dyDescent="0.25">
      <c r="A547" s="10">
        <f>A546</f>
        <v>136</v>
      </c>
      <c r="B547" s="10"/>
      <c r="C547" s="11" t="str">
        <f>SUBSTITUTE(UC!C547,"Old","New")</f>
        <v>*</v>
      </c>
      <c r="D547" s="12"/>
      <c r="E547" s="13" t="str">
        <f t="shared" si="162"/>
        <v>COMSTM</v>
      </c>
      <c r="F547" s="13" t="str">
        <f t="shared" si="162"/>
        <v>COMMUNNewWHEUE</v>
      </c>
      <c r="G547" s="13" t="str">
        <f t="shared" si="162"/>
        <v>COMMUNNewWHEUE</v>
      </c>
      <c r="H547" s="14">
        <v>2030</v>
      </c>
      <c r="I547" s="14" t="str">
        <f>I546</f>
        <v>LO</v>
      </c>
      <c r="J547" s="14"/>
      <c r="K547" s="15">
        <f>UC!K547</f>
        <v>-4.5999999999999999E-3</v>
      </c>
      <c r="L547" s="14"/>
      <c r="M547" s="14"/>
      <c r="N547" s="10"/>
      <c r="O547" s="20"/>
      <c r="Q547" s="11" t="str">
        <f>SUBSTITUTE(UC!Q547,"Old","New")</f>
        <v>*</v>
      </c>
      <c r="R547" s="12"/>
      <c r="S547" s="13" t="str">
        <f t="shared" si="153"/>
        <v>COMSTM</v>
      </c>
      <c r="T547" s="13" t="str">
        <f t="shared" si="154"/>
        <v>COMMUNNewWHEUE</v>
      </c>
      <c r="U547" s="13" t="str">
        <f t="shared" si="155"/>
        <v>COMMUNNewWHEUE</v>
      </c>
      <c r="V547" s="14">
        <v>2030</v>
      </c>
      <c r="W547" s="14" t="str">
        <f>W546</f>
        <v>UP</v>
      </c>
      <c r="X547" s="14"/>
      <c r="Y547" s="15">
        <f>UC!Y547</f>
        <v>-3.6000000000000004E-2</v>
      </c>
      <c r="Z547" s="14"/>
      <c r="AA547" s="14"/>
      <c r="AB547" s="10"/>
      <c r="AC547" s="20"/>
    </row>
    <row r="548" spans="1:29" x14ac:dyDescent="0.25">
      <c r="A548" s="26">
        <f>A547</f>
        <v>136</v>
      </c>
      <c r="B548" s="26"/>
      <c r="C548" s="21" t="str">
        <f>SUBSTITUTE(UC!C548,"Old","New")</f>
        <v>*</v>
      </c>
      <c r="D548" s="22"/>
      <c r="E548" s="23" t="str">
        <f t="shared" si="162"/>
        <v>COMSTM</v>
      </c>
      <c r="F548" s="23" t="str">
        <f t="shared" si="162"/>
        <v>COMMUNNewWHEUE</v>
      </c>
      <c r="G548" s="23" t="str">
        <f t="shared" si="162"/>
        <v>COMMUNNewWHEUE</v>
      </c>
      <c r="H548" s="24">
        <v>2050</v>
      </c>
      <c r="I548" s="24" t="str">
        <f>I547</f>
        <v>LO</v>
      </c>
      <c r="J548" s="24"/>
      <c r="K548" s="25">
        <f>UC!K548</f>
        <v>0</v>
      </c>
      <c r="L548" s="24"/>
      <c r="M548" s="24"/>
      <c r="N548" s="26"/>
      <c r="O548" s="27"/>
      <c r="Q548" s="21" t="str">
        <f>SUBSTITUTE(UC!Q548,"Old","New")</f>
        <v>*</v>
      </c>
      <c r="R548" s="22"/>
      <c r="S548" s="23" t="str">
        <f t="shared" si="153"/>
        <v>COMSTM</v>
      </c>
      <c r="T548" s="23" t="str">
        <f t="shared" si="154"/>
        <v>COMMUNNewWHEUE</v>
      </c>
      <c r="U548" s="23" t="str">
        <f t="shared" si="155"/>
        <v>COMMUNNewWHEUE</v>
      </c>
      <c r="V548" s="24">
        <v>2050</v>
      </c>
      <c r="W548" s="24" t="str">
        <f>W547</f>
        <v>UP</v>
      </c>
      <c r="X548" s="24"/>
      <c r="Y548" s="25">
        <f>UC!Y548</f>
        <v>-7.1000000000000008E-2</v>
      </c>
      <c r="Z548" s="24"/>
      <c r="AA548" s="24"/>
      <c r="AB548" s="26"/>
      <c r="AC548" s="27"/>
    </row>
    <row r="549" spans="1:29" x14ac:dyDescent="0.25">
      <c r="A549" s="19">
        <f>A545+1</f>
        <v>137</v>
      </c>
      <c r="B549" s="10"/>
      <c r="C549" s="11" t="str">
        <f>SUBSTITUTE(UC!C549,"Old","New")</f>
        <v>UC_MarketShare_COMMUNNewWH_ELC_MIN</v>
      </c>
      <c r="D549" s="12"/>
      <c r="E549" s="13" t="str">
        <f>_xlfn.XLOOKUP($A549,Selected_constraint_UC!$A:$A,Selected_constraint_UC!$B:$B)</f>
        <v>COMELC</v>
      </c>
      <c r="F549" s="13" t="str">
        <f>SUBSTITUTE(_xlfn.XLOOKUP($A549,Selected_constraint_UC!$A:$A,Selected_constraint_UC!$C:$C),"Old","New")</f>
        <v>COMMUNNewWHEUE</v>
      </c>
      <c r="G549" s="13" t="str">
        <f>F549</f>
        <v>COMMUNNewWHEUE</v>
      </c>
      <c r="H549" s="14">
        <v>2019</v>
      </c>
      <c r="I549" s="14" t="s">
        <v>3848</v>
      </c>
      <c r="J549" s="14">
        <v>1</v>
      </c>
      <c r="K549" s="15">
        <f>UC!K549</f>
        <v>-0.36162</v>
      </c>
      <c r="L549" s="14">
        <v>0</v>
      </c>
      <c r="M549" s="14">
        <v>5</v>
      </c>
      <c r="N549" s="10"/>
      <c r="O549" s="20"/>
      <c r="Q549" s="11" t="str">
        <f>SUBSTITUTE(UC!Q549,"Old","New")</f>
        <v>UC_MarketShare_COMMUNNewWH_ELC_MAX</v>
      </c>
      <c r="R549" s="12"/>
      <c r="S549" s="13" t="str">
        <f t="shared" si="153"/>
        <v>COMELC</v>
      </c>
      <c r="T549" s="13" t="str">
        <f t="shared" si="154"/>
        <v>COMMUNNewWHEUE</v>
      </c>
      <c r="U549" s="13" t="str">
        <f t="shared" si="155"/>
        <v>COMMUNNewWHEUE</v>
      </c>
      <c r="V549" s="14">
        <f>H549</f>
        <v>2019</v>
      </c>
      <c r="W549" s="29" t="s">
        <v>3849</v>
      </c>
      <c r="X549" s="14">
        <v>1</v>
      </c>
      <c r="Y549" s="15">
        <f>UC!Y549</f>
        <v>-0.378</v>
      </c>
      <c r="Z549" s="14">
        <v>0</v>
      </c>
      <c r="AA549" s="14">
        <v>5</v>
      </c>
      <c r="AB549" s="10"/>
      <c r="AC549" s="20"/>
    </row>
    <row r="550" spans="1:29" x14ac:dyDescent="0.25">
      <c r="A550" s="10">
        <f>A549</f>
        <v>137</v>
      </c>
      <c r="B550" s="10"/>
      <c r="C550" s="11" t="str">
        <f>SUBSTITUTE(UC!C550,"Old","New")</f>
        <v/>
      </c>
      <c r="D550" s="12"/>
      <c r="E550" s="13" t="str">
        <f t="shared" ref="E550:G552" si="163">E549</f>
        <v>COMELC</v>
      </c>
      <c r="F550" s="13" t="str">
        <f t="shared" si="163"/>
        <v>COMMUNNewWHEUE</v>
      </c>
      <c r="G550" s="13" t="str">
        <f t="shared" si="163"/>
        <v>COMMUNNewWHEUE</v>
      </c>
      <c r="H550" s="14">
        <v>2025</v>
      </c>
      <c r="I550" s="14" t="str">
        <f>I549</f>
        <v>LO</v>
      </c>
      <c r="J550" s="14"/>
      <c r="K550" s="15">
        <f>UC!K550</f>
        <v>-0.29520000000000002</v>
      </c>
      <c r="L550" s="14"/>
      <c r="M550" s="14"/>
      <c r="N550" s="10"/>
      <c r="O550" s="20"/>
      <c r="Q550" s="11" t="str">
        <f>SUBSTITUTE(UC!Q550,"Old","New")</f>
        <v/>
      </c>
      <c r="R550" s="12"/>
      <c r="S550" s="13" t="str">
        <f t="shared" si="153"/>
        <v>COMELC</v>
      </c>
      <c r="T550" s="13" t="str">
        <f t="shared" si="154"/>
        <v>COMMUNNewWHEUE</v>
      </c>
      <c r="U550" s="13" t="str">
        <f t="shared" si="155"/>
        <v>COMMUNNewWHEUE</v>
      </c>
      <c r="V550" s="14">
        <v>2025</v>
      </c>
      <c r="W550" s="14" t="str">
        <f>W549</f>
        <v>UP</v>
      </c>
      <c r="X550" s="14"/>
      <c r="Y550" s="15">
        <f>UC!Y550</f>
        <v>-0.44400000000000001</v>
      </c>
      <c r="Z550" s="14"/>
      <c r="AA550" s="14"/>
      <c r="AB550" s="10"/>
      <c r="AC550" s="20"/>
    </row>
    <row r="551" spans="1:29" x14ac:dyDescent="0.25">
      <c r="A551" s="10">
        <f>A550</f>
        <v>137</v>
      </c>
      <c r="B551" s="10"/>
      <c r="C551" s="11" t="str">
        <f>SUBSTITUTE(UC!C551,"Old","New")</f>
        <v/>
      </c>
      <c r="D551" s="12"/>
      <c r="E551" s="13" t="str">
        <f t="shared" si="163"/>
        <v>COMELC</v>
      </c>
      <c r="F551" s="13" t="str">
        <f t="shared" si="163"/>
        <v>COMMUNNewWHEUE</v>
      </c>
      <c r="G551" s="13" t="str">
        <f t="shared" si="163"/>
        <v>COMMUNNewWHEUE</v>
      </c>
      <c r="H551" s="14">
        <v>2030</v>
      </c>
      <c r="I551" s="14" t="str">
        <f>I550</f>
        <v>LO</v>
      </c>
      <c r="J551" s="14"/>
      <c r="K551" s="15">
        <f>UC!K551</f>
        <v>-0.27675</v>
      </c>
      <c r="L551" s="14"/>
      <c r="M551" s="14"/>
      <c r="N551" s="10"/>
      <c r="O551" s="20"/>
      <c r="Q551" s="11" t="str">
        <f>SUBSTITUTE(UC!Q551,"Old","New")</f>
        <v/>
      </c>
      <c r="R551" s="12"/>
      <c r="S551" s="13" t="str">
        <f t="shared" si="153"/>
        <v>COMELC</v>
      </c>
      <c r="T551" s="13" t="str">
        <f t="shared" si="154"/>
        <v>COMMUNNewWHEUE</v>
      </c>
      <c r="U551" s="13" t="str">
        <f t="shared" si="155"/>
        <v>COMMUNNewWHEUE</v>
      </c>
      <c r="V551" s="14">
        <v>2030</v>
      </c>
      <c r="W551" s="14" t="str">
        <f>W550</f>
        <v>UP</v>
      </c>
      <c r="X551" s="14"/>
      <c r="Y551" s="15">
        <f>UC!Y551</f>
        <v>-0.55500000000000005</v>
      </c>
      <c r="Z551" s="14"/>
      <c r="AA551" s="14"/>
      <c r="AB551" s="10"/>
      <c r="AC551" s="20"/>
    </row>
    <row r="552" spans="1:29" x14ac:dyDescent="0.25">
      <c r="A552" s="26">
        <f>A551</f>
        <v>137</v>
      </c>
      <c r="B552" s="26"/>
      <c r="C552" s="21" t="str">
        <f>SUBSTITUTE(UC!C552,"Old","New")</f>
        <v/>
      </c>
      <c r="D552" s="22"/>
      <c r="E552" s="23" t="str">
        <f t="shared" si="163"/>
        <v>COMELC</v>
      </c>
      <c r="F552" s="23" t="str">
        <f t="shared" si="163"/>
        <v>COMMUNNewWHEUE</v>
      </c>
      <c r="G552" s="23" t="str">
        <f t="shared" si="163"/>
        <v>COMMUNNewWHEUE</v>
      </c>
      <c r="H552" s="24">
        <v>2050</v>
      </c>
      <c r="I552" s="24" t="str">
        <f>I551</f>
        <v>LO</v>
      </c>
      <c r="J552" s="24"/>
      <c r="K552" s="25">
        <f>UC!K552</f>
        <v>-0.27675</v>
      </c>
      <c r="L552" s="24"/>
      <c r="M552" s="24"/>
      <c r="N552" s="26"/>
      <c r="O552" s="27"/>
      <c r="Q552" s="21" t="str">
        <f>SUBSTITUTE(UC!Q552,"Old","New")</f>
        <v/>
      </c>
      <c r="R552" s="22"/>
      <c r="S552" s="23" t="str">
        <f t="shared" si="153"/>
        <v>COMELC</v>
      </c>
      <c r="T552" s="23" t="str">
        <f t="shared" si="154"/>
        <v>COMMUNNewWHEUE</v>
      </c>
      <c r="U552" s="23" t="str">
        <f t="shared" si="155"/>
        <v>COMMUNNewWHEUE</v>
      </c>
      <c r="V552" s="24">
        <v>2050</v>
      </c>
      <c r="W552" s="24" t="str">
        <f>W551</f>
        <v>UP</v>
      </c>
      <c r="X552" s="24"/>
      <c r="Y552" s="25">
        <f>UC!Y552</f>
        <v>-1</v>
      </c>
      <c r="Z552" s="24"/>
      <c r="AA552" s="24"/>
      <c r="AB552" s="26"/>
      <c r="AC552" s="27"/>
    </row>
    <row r="553" spans="1:29" x14ac:dyDescent="0.25">
      <c r="A553" s="19">
        <f>A549+1</f>
        <v>138</v>
      </c>
      <c r="B553" s="10"/>
      <c r="C553" s="11" t="str">
        <f>SUBSTITUTE(UC!C553,"Old","New")</f>
        <v>*</v>
      </c>
      <c r="D553" s="12"/>
      <c r="E553" s="13" t="str">
        <f>_xlfn.XLOOKUP($A553,Selected_constraint_UC!$A:$A,Selected_constraint_UC!$B:$B)</f>
        <v>COMELC</v>
      </c>
      <c r="F553" s="13" t="str">
        <f>SUBSTITUTE(_xlfn.XLOOKUP($A553,Selected_constraint_UC!$A:$A,Selected_constraint_UC!$C:$C),"Old","New")</f>
        <v>COMMUNNewLTEUE</v>
      </c>
      <c r="G553" s="13" t="str">
        <f>F553</f>
        <v>COMMUNNewLTEUE</v>
      </c>
      <c r="H553" s="14">
        <v>2019</v>
      </c>
      <c r="I553" s="14" t="s">
        <v>3848</v>
      </c>
      <c r="J553" s="14">
        <v>1</v>
      </c>
      <c r="K553" s="15">
        <f>UC!K553</f>
        <v>-0.98</v>
      </c>
      <c r="L553" s="14">
        <v>0</v>
      </c>
      <c r="M553" s="14">
        <v>5</v>
      </c>
      <c r="N553" s="10"/>
      <c r="O553" s="20"/>
      <c r="Q553" s="11" t="str">
        <f>SUBSTITUTE(UC!Q553,"Old","New")</f>
        <v>*</v>
      </c>
      <c r="R553" s="12"/>
      <c r="S553" s="13" t="str">
        <f t="shared" si="153"/>
        <v>COMELC</v>
      </c>
      <c r="T553" s="13" t="str">
        <f t="shared" si="154"/>
        <v>COMMUNNewLTEUE</v>
      </c>
      <c r="U553" s="13" t="str">
        <f t="shared" si="155"/>
        <v>COMMUNNewLTEUE</v>
      </c>
      <c r="V553" s="14">
        <f>H553</f>
        <v>2019</v>
      </c>
      <c r="W553" s="29" t="s">
        <v>3849</v>
      </c>
      <c r="X553" s="14">
        <v>1</v>
      </c>
      <c r="Y553" s="15">
        <f>UC!Y553</f>
        <v>-1</v>
      </c>
      <c r="Z553" s="14">
        <v>0</v>
      </c>
      <c r="AA553" s="14">
        <v>5</v>
      </c>
      <c r="AB553" s="10"/>
      <c r="AC553" s="20"/>
    </row>
    <row r="554" spans="1:29" x14ac:dyDescent="0.25">
      <c r="A554" s="10">
        <f>A553</f>
        <v>138</v>
      </c>
      <c r="B554" s="10"/>
      <c r="C554" s="11" t="str">
        <f>SUBSTITUTE(UC!C554,"Old","New")</f>
        <v>*</v>
      </c>
      <c r="D554" s="12"/>
      <c r="E554" s="13" t="str">
        <f t="shared" ref="E554:G556" si="164">E553</f>
        <v>COMELC</v>
      </c>
      <c r="F554" s="13" t="str">
        <f t="shared" si="164"/>
        <v>COMMUNNewLTEUE</v>
      </c>
      <c r="G554" s="13" t="str">
        <f t="shared" si="164"/>
        <v>COMMUNNewLTEUE</v>
      </c>
      <c r="H554" s="14">
        <v>2025</v>
      </c>
      <c r="I554" s="14" t="str">
        <f>I553</f>
        <v>LO</v>
      </c>
      <c r="J554" s="14"/>
      <c r="K554" s="15">
        <f>UC!K554</f>
        <v>-0.8</v>
      </c>
      <c r="L554" s="14"/>
      <c r="M554" s="14"/>
      <c r="N554" s="10"/>
      <c r="O554" s="20"/>
      <c r="Q554" s="11" t="str">
        <f>SUBSTITUTE(UC!Q554,"Old","New")</f>
        <v>*</v>
      </c>
      <c r="R554" s="12"/>
      <c r="S554" s="13" t="str">
        <f t="shared" si="153"/>
        <v>COMELC</v>
      </c>
      <c r="T554" s="13" t="str">
        <f t="shared" si="154"/>
        <v>COMMUNNewLTEUE</v>
      </c>
      <c r="U554" s="13" t="str">
        <f t="shared" si="155"/>
        <v>COMMUNNewLTEUE</v>
      </c>
      <c r="V554" s="14">
        <v>2025</v>
      </c>
      <c r="W554" s="14" t="str">
        <f>W553</f>
        <v>UP</v>
      </c>
      <c r="X554" s="14"/>
      <c r="Y554" s="15">
        <f>UC!Y554</f>
        <v>-1</v>
      </c>
      <c r="Z554" s="14"/>
      <c r="AA554" s="14"/>
      <c r="AB554" s="10"/>
      <c r="AC554" s="20"/>
    </row>
    <row r="555" spans="1:29" x14ac:dyDescent="0.25">
      <c r="A555" s="10">
        <f>A554</f>
        <v>138</v>
      </c>
      <c r="B555" s="10"/>
      <c r="C555" s="11" t="str">
        <f>SUBSTITUTE(UC!C555,"Old","New")</f>
        <v>*</v>
      </c>
      <c r="D555" s="12"/>
      <c r="E555" s="13" t="str">
        <f t="shared" si="164"/>
        <v>COMELC</v>
      </c>
      <c r="F555" s="13" t="str">
        <f t="shared" si="164"/>
        <v>COMMUNNewLTEUE</v>
      </c>
      <c r="G555" s="13" t="str">
        <f t="shared" si="164"/>
        <v>COMMUNNewLTEUE</v>
      </c>
      <c r="H555" s="14">
        <v>2030</v>
      </c>
      <c r="I555" s="14" t="str">
        <f>I554</f>
        <v>LO</v>
      </c>
      <c r="J555" s="14"/>
      <c r="K555" s="15">
        <f>UC!K555</f>
        <v>-0.2</v>
      </c>
      <c r="L555" s="14"/>
      <c r="M555" s="14"/>
      <c r="N555" s="10"/>
      <c r="O555" s="20"/>
      <c r="Q555" s="11" t="str">
        <f>SUBSTITUTE(UC!Q555,"Old","New")</f>
        <v>*</v>
      </c>
      <c r="R555" s="12"/>
      <c r="S555" s="13" t="str">
        <f t="shared" si="153"/>
        <v>COMELC</v>
      </c>
      <c r="T555" s="13" t="str">
        <f t="shared" si="154"/>
        <v>COMMUNNewLTEUE</v>
      </c>
      <c r="U555" s="13" t="str">
        <f t="shared" si="155"/>
        <v>COMMUNNewLTEUE</v>
      </c>
      <c r="V555" s="14">
        <v>2030</v>
      </c>
      <c r="W555" s="14" t="str">
        <f>W554</f>
        <v>UP</v>
      </c>
      <c r="X555" s="14"/>
      <c r="Y555" s="15">
        <f>UC!Y555</f>
        <v>-1</v>
      </c>
      <c r="Z555" s="14"/>
      <c r="AA555" s="14"/>
      <c r="AB555" s="10"/>
      <c r="AC555" s="20"/>
    </row>
    <row r="556" spans="1:29" x14ac:dyDescent="0.25">
      <c r="A556" s="26">
        <f>A555</f>
        <v>138</v>
      </c>
      <c r="B556" s="26"/>
      <c r="C556" s="21" t="str">
        <f>SUBSTITUTE(UC!C556,"Old","New")</f>
        <v>*</v>
      </c>
      <c r="D556" s="22"/>
      <c r="E556" s="23" t="str">
        <f t="shared" si="164"/>
        <v>COMELC</v>
      </c>
      <c r="F556" s="23" t="str">
        <f t="shared" si="164"/>
        <v>COMMUNNewLTEUE</v>
      </c>
      <c r="G556" s="23" t="str">
        <f t="shared" si="164"/>
        <v>COMMUNNewLTEUE</v>
      </c>
      <c r="H556" s="24">
        <v>2050</v>
      </c>
      <c r="I556" s="24" t="str">
        <f>I555</f>
        <v>LO</v>
      </c>
      <c r="J556" s="24"/>
      <c r="K556" s="25">
        <f>UC!K556</f>
        <v>0</v>
      </c>
      <c r="L556" s="24"/>
      <c r="M556" s="24"/>
      <c r="N556" s="26"/>
      <c r="O556" s="27"/>
      <c r="Q556" s="21" t="str">
        <f>SUBSTITUTE(UC!Q556,"Old","New")</f>
        <v>*</v>
      </c>
      <c r="R556" s="22"/>
      <c r="S556" s="23" t="str">
        <f t="shared" si="153"/>
        <v>COMELC</v>
      </c>
      <c r="T556" s="23" t="str">
        <f t="shared" si="154"/>
        <v>COMMUNNewLTEUE</v>
      </c>
      <c r="U556" s="23" t="str">
        <f t="shared" si="155"/>
        <v>COMMUNNewLTEUE</v>
      </c>
      <c r="V556" s="24">
        <v>2050</v>
      </c>
      <c r="W556" s="24" t="str">
        <f>W555</f>
        <v>UP</v>
      </c>
      <c r="X556" s="24"/>
      <c r="Y556" s="25">
        <f>UC!Y556</f>
        <v>-1</v>
      </c>
      <c r="Z556" s="24"/>
      <c r="AA556" s="24"/>
      <c r="AB556" s="26"/>
      <c r="AC556" s="27"/>
    </row>
    <row r="557" spans="1:29" x14ac:dyDescent="0.25">
      <c r="A557" s="19">
        <f>A553+1</f>
        <v>139</v>
      </c>
      <c r="B557" s="10"/>
      <c r="C557" s="11" t="str">
        <f>SUBSTITUTE(UC!C557,"Old","New")</f>
        <v>*</v>
      </c>
      <c r="D557" s="12"/>
      <c r="E557" s="13" t="str">
        <f>_xlfn.XLOOKUP($A557,Selected_constraint_UC!$A:$A,Selected_constraint_UC!$B:$B)</f>
        <v>COMFOI</v>
      </c>
      <c r="F557" s="13" t="str">
        <f>SUBSTITUTE(_xlfn.XLOOKUP($A557,Selected_constraint_UC!$A:$A,Selected_constraint_UC!$C:$C),"Old","New")</f>
        <v>COMMUNNewCKEUE</v>
      </c>
      <c r="G557" s="13" t="str">
        <f>F557</f>
        <v>COMMUNNewCKEUE</v>
      </c>
      <c r="H557" s="14">
        <v>2019</v>
      </c>
      <c r="I557" s="14" t="s">
        <v>3848</v>
      </c>
      <c r="J557" s="14">
        <v>1</v>
      </c>
      <c r="K557" s="15">
        <f>UC!K557</f>
        <v>0</v>
      </c>
      <c r="L557" s="14">
        <v>0</v>
      </c>
      <c r="M557" s="14">
        <v>5</v>
      </c>
      <c r="N557" s="10"/>
      <c r="O557" s="20"/>
      <c r="Q557" s="11" t="str">
        <f>SUBSTITUTE(UC!Q557,"Old","New")</f>
        <v>*</v>
      </c>
      <c r="R557" s="12"/>
      <c r="S557" s="13" t="str">
        <f t="shared" si="153"/>
        <v>COMFOI</v>
      </c>
      <c r="T557" s="13" t="str">
        <f t="shared" si="154"/>
        <v>COMMUNNewCKEUE</v>
      </c>
      <c r="U557" s="13" t="str">
        <f t="shared" si="155"/>
        <v>COMMUNNewCKEUE</v>
      </c>
      <c r="V557" s="14">
        <f>H557</f>
        <v>2019</v>
      </c>
      <c r="W557" s="29" t="s">
        <v>3849</v>
      </c>
      <c r="X557" s="14">
        <v>1</v>
      </c>
      <c r="Y557" s="15">
        <f>UC!Y557</f>
        <v>0</v>
      </c>
      <c r="Z557" s="14">
        <v>0</v>
      </c>
      <c r="AA557" s="14">
        <v>5</v>
      </c>
      <c r="AB557" s="10"/>
      <c r="AC557" s="20"/>
    </row>
    <row r="558" spans="1:29" x14ac:dyDescent="0.25">
      <c r="A558" s="10">
        <f>A557</f>
        <v>139</v>
      </c>
      <c r="B558" s="10"/>
      <c r="C558" s="11" t="str">
        <f>SUBSTITUTE(UC!C558,"Old","New")</f>
        <v>*</v>
      </c>
      <c r="D558" s="12"/>
      <c r="E558" s="13" t="str">
        <f t="shared" ref="E558:G560" si="165">E557</f>
        <v>COMFOI</v>
      </c>
      <c r="F558" s="13" t="str">
        <f t="shared" si="165"/>
        <v>COMMUNNewCKEUE</v>
      </c>
      <c r="G558" s="13" t="str">
        <f t="shared" si="165"/>
        <v>COMMUNNewCKEUE</v>
      </c>
      <c r="H558" s="14">
        <v>2025</v>
      </c>
      <c r="I558" s="14" t="str">
        <f>I557</f>
        <v>LO</v>
      </c>
      <c r="J558" s="14"/>
      <c r="K558" s="15">
        <f>UC!K558</f>
        <v>0</v>
      </c>
      <c r="L558" s="14"/>
      <c r="M558" s="14"/>
      <c r="N558" s="10"/>
      <c r="O558" s="20"/>
      <c r="Q558" s="11" t="str">
        <f>SUBSTITUTE(UC!Q558,"Old","New")</f>
        <v>*</v>
      </c>
      <c r="R558" s="12"/>
      <c r="S558" s="13" t="str">
        <f t="shared" si="153"/>
        <v>COMFOI</v>
      </c>
      <c r="T558" s="13" t="str">
        <f t="shared" si="154"/>
        <v>COMMUNNewCKEUE</v>
      </c>
      <c r="U558" s="13" t="str">
        <f t="shared" si="155"/>
        <v>COMMUNNewCKEUE</v>
      </c>
      <c r="V558" s="14">
        <v>2025</v>
      </c>
      <c r="W558" s="14" t="str">
        <f>W557</f>
        <v>UP</v>
      </c>
      <c r="X558" s="14"/>
      <c r="Y558" s="15">
        <f>UC!Y558</f>
        <v>0</v>
      </c>
      <c r="Z558" s="14"/>
      <c r="AA558" s="14"/>
      <c r="AB558" s="10"/>
      <c r="AC558" s="20"/>
    </row>
    <row r="559" spans="1:29" x14ac:dyDescent="0.25">
      <c r="A559" s="10">
        <f>A558</f>
        <v>139</v>
      </c>
      <c r="B559" s="10"/>
      <c r="C559" s="11" t="str">
        <f>SUBSTITUTE(UC!C559,"Old","New")</f>
        <v>*</v>
      </c>
      <c r="D559" s="12"/>
      <c r="E559" s="13" t="str">
        <f t="shared" si="165"/>
        <v>COMFOI</v>
      </c>
      <c r="F559" s="13" t="str">
        <f t="shared" si="165"/>
        <v>COMMUNNewCKEUE</v>
      </c>
      <c r="G559" s="13" t="str">
        <f t="shared" si="165"/>
        <v>COMMUNNewCKEUE</v>
      </c>
      <c r="H559" s="14">
        <v>2030</v>
      </c>
      <c r="I559" s="14" t="str">
        <f>I558</f>
        <v>LO</v>
      </c>
      <c r="J559" s="14"/>
      <c r="K559" s="15">
        <f>UC!K559</f>
        <v>0</v>
      </c>
      <c r="L559" s="14"/>
      <c r="M559" s="14"/>
      <c r="N559" s="10"/>
      <c r="O559" s="20"/>
      <c r="Q559" s="11" t="str">
        <f>SUBSTITUTE(UC!Q559,"Old","New")</f>
        <v>*</v>
      </c>
      <c r="R559" s="12"/>
      <c r="S559" s="13" t="str">
        <f t="shared" si="153"/>
        <v>COMFOI</v>
      </c>
      <c r="T559" s="13" t="str">
        <f t="shared" si="154"/>
        <v>COMMUNNewCKEUE</v>
      </c>
      <c r="U559" s="13" t="str">
        <f t="shared" si="155"/>
        <v>COMMUNNewCKEUE</v>
      </c>
      <c r="V559" s="14">
        <v>2030</v>
      </c>
      <c r="W559" s="14" t="str">
        <f>W558</f>
        <v>UP</v>
      </c>
      <c r="X559" s="14"/>
      <c r="Y559" s="15">
        <f>UC!Y559</f>
        <v>0</v>
      </c>
      <c r="Z559" s="14"/>
      <c r="AA559" s="14"/>
      <c r="AB559" s="10"/>
      <c r="AC559" s="20"/>
    </row>
    <row r="560" spans="1:29" x14ac:dyDescent="0.25">
      <c r="A560" s="26">
        <f>A559</f>
        <v>139</v>
      </c>
      <c r="B560" s="26"/>
      <c r="C560" s="21" t="str">
        <f>SUBSTITUTE(UC!C560,"Old","New")</f>
        <v>*</v>
      </c>
      <c r="D560" s="22"/>
      <c r="E560" s="23" t="str">
        <f t="shared" si="165"/>
        <v>COMFOI</v>
      </c>
      <c r="F560" s="23" t="str">
        <f t="shared" si="165"/>
        <v>COMMUNNewCKEUE</v>
      </c>
      <c r="G560" s="23" t="str">
        <f t="shared" si="165"/>
        <v>COMMUNNewCKEUE</v>
      </c>
      <c r="H560" s="24">
        <v>2050</v>
      </c>
      <c r="I560" s="24" t="str">
        <f>I559</f>
        <v>LO</v>
      </c>
      <c r="J560" s="24"/>
      <c r="K560" s="25">
        <f>UC!K560</f>
        <v>0</v>
      </c>
      <c r="L560" s="24"/>
      <c r="M560" s="24"/>
      <c r="N560" s="26"/>
      <c r="O560" s="27"/>
      <c r="Q560" s="21" t="str">
        <f>SUBSTITUTE(UC!Q560,"Old","New")</f>
        <v>*</v>
      </c>
      <c r="R560" s="22"/>
      <c r="S560" s="23" t="str">
        <f t="shared" si="153"/>
        <v>COMFOI</v>
      </c>
      <c r="T560" s="23" t="str">
        <f t="shared" si="154"/>
        <v>COMMUNNewCKEUE</v>
      </c>
      <c r="U560" s="23" t="str">
        <f t="shared" si="155"/>
        <v>COMMUNNewCKEUE</v>
      </c>
      <c r="V560" s="24">
        <v>2050</v>
      </c>
      <c r="W560" s="24" t="str">
        <f>W559</f>
        <v>UP</v>
      </c>
      <c r="X560" s="24"/>
      <c r="Y560" s="25">
        <f>UC!Y560</f>
        <v>0</v>
      </c>
      <c r="Z560" s="24"/>
      <c r="AA560" s="24"/>
      <c r="AB560" s="26"/>
      <c r="AC560" s="27"/>
    </row>
    <row r="561" spans="1:29" x14ac:dyDescent="0.25">
      <c r="A561" s="19">
        <f>A557+1</f>
        <v>140</v>
      </c>
      <c r="B561" s="10"/>
      <c r="C561" s="11" t="str">
        <f>SUBSTITUTE(UC!C561,"Old","New")</f>
        <v>*</v>
      </c>
      <c r="D561" s="12"/>
      <c r="E561" s="13" t="str">
        <f>_xlfn.XLOOKUP($A561,Selected_constraint_UC!$A:$A,Selected_constraint_UC!$B:$B)</f>
        <v>COMNGA</v>
      </c>
      <c r="F561" s="13" t="str">
        <f>SUBSTITUTE(_xlfn.XLOOKUP($A561,Selected_constraint_UC!$A:$A,Selected_constraint_UC!$C:$C),"Old","New")</f>
        <v>COMMUNNewCKEUE</v>
      </c>
      <c r="G561" s="13" t="str">
        <f>F561</f>
        <v>COMMUNNewCKEUE</v>
      </c>
      <c r="H561" s="14">
        <v>2019</v>
      </c>
      <c r="I561" s="14" t="s">
        <v>3848</v>
      </c>
      <c r="J561" s="14">
        <v>1</v>
      </c>
      <c r="K561" s="15">
        <f>UC!K561</f>
        <v>-0.73892000000000002</v>
      </c>
      <c r="L561" s="14">
        <v>0</v>
      </c>
      <c r="M561" s="14">
        <v>5</v>
      </c>
      <c r="N561" s="10"/>
      <c r="O561" s="20"/>
      <c r="Q561" s="11" t="str">
        <f>SUBSTITUTE(UC!Q561,"Old","New")</f>
        <v>*</v>
      </c>
      <c r="R561" s="12"/>
      <c r="S561" s="13" t="str">
        <f t="shared" si="153"/>
        <v>COMNGA</v>
      </c>
      <c r="T561" s="13" t="str">
        <f t="shared" si="154"/>
        <v>COMMUNNewCKEUE</v>
      </c>
      <c r="U561" s="13" t="str">
        <f t="shared" si="155"/>
        <v>COMMUNNewCKEUE</v>
      </c>
      <c r="V561" s="14">
        <f>H561</f>
        <v>2019</v>
      </c>
      <c r="W561" s="29" t="s">
        <v>3849</v>
      </c>
      <c r="X561" s="14">
        <v>1</v>
      </c>
      <c r="Y561" s="15">
        <f>UC!Y561</f>
        <v>-0.77</v>
      </c>
      <c r="Z561" s="14">
        <v>0</v>
      </c>
      <c r="AA561" s="14">
        <v>5</v>
      </c>
      <c r="AB561" s="10"/>
      <c r="AC561" s="20"/>
    </row>
    <row r="562" spans="1:29" x14ac:dyDescent="0.25">
      <c r="A562" s="10">
        <f>A561</f>
        <v>140</v>
      </c>
      <c r="B562" s="10"/>
      <c r="C562" s="11" t="str">
        <f>SUBSTITUTE(UC!C562,"Old","New")</f>
        <v>*</v>
      </c>
      <c r="D562" s="12"/>
      <c r="E562" s="13" t="str">
        <f t="shared" ref="E562:G564" si="166">E561</f>
        <v>COMNGA</v>
      </c>
      <c r="F562" s="13" t="str">
        <f t="shared" si="166"/>
        <v>COMMUNNewCKEUE</v>
      </c>
      <c r="G562" s="13" t="str">
        <f t="shared" si="166"/>
        <v>COMMUNNewCKEUE</v>
      </c>
      <c r="H562" s="14">
        <v>2025</v>
      </c>
      <c r="I562" s="14" t="str">
        <f>I561</f>
        <v>LO</v>
      </c>
      <c r="J562" s="14"/>
      <c r="K562" s="15">
        <f>UC!K562</f>
        <v>-0.60320000000000007</v>
      </c>
      <c r="L562" s="14"/>
      <c r="M562" s="14"/>
      <c r="N562" s="10"/>
      <c r="O562" s="20"/>
      <c r="Q562" s="11" t="str">
        <f>SUBSTITUTE(UC!Q562,"Old","New")</f>
        <v>*</v>
      </c>
      <c r="R562" s="12"/>
      <c r="S562" s="13" t="str">
        <f t="shared" si="153"/>
        <v>COMNGA</v>
      </c>
      <c r="T562" s="13" t="str">
        <f t="shared" si="154"/>
        <v>COMMUNNewCKEUE</v>
      </c>
      <c r="U562" s="13" t="str">
        <f t="shared" si="155"/>
        <v>COMMUNNewCKEUE</v>
      </c>
      <c r="V562" s="14">
        <v>2025</v>
      </c>
      <c r="W562" s="14" t="str">
        <f>W561</f>
        <v>UP</v>
      </c>
      <c r="X562" s="14"/>
      <c r="Y562" s="15">
        <f>UC!Y562</f>
        <v>-0.90600000000000003</v>
      </c>
      <c r="Z562" s="14"/>
      <c r="AA562" s="14"/>
      <c r="AB562" s="10"/>
      <c r="AC562" s="20"/>
    </row>
    <row r="563" spans="1:29" x14ac:dyDescent="0.25">
      <c r="A563" s="10">
        <f>A562</f>
        <v>140</v>
      </c>
      <c r="B563" s="10"/>
      <c r="C563" s="11" t="str">
        <f>SUBSTITUTE(UC!C563,"Old","New")</f>
        <v>*</v>
      </c>
      <c r="D563" s="12"/>
      <c r="E563" s="13" t="str">
        <f t="shared" si="166"/>
        <v>COMNGA</v>
      </c>
      <c r="F563" s="13" t="str">
        <f t="shared" si="166"/>
        <v>COMMUNNewCKEUE</v>
      </c>
      <c r="G563" s="13" t="str">
        <f t="shared" si="166"/>
        <v>COMMUNNewCKEUE</v>
      </c>
      <c r="H563" s="14">
        <v>2030</v>
      </c>
      <c r="I563" s="14" t="str">
        <f>I562</f>
        <v>LO</v>
      </c>
      <c r="J563" s="14"/>
      <c r="K563" s="15">
        <f>UC!K563</f>
        <v>-0.15080000000000002</v>
      </c>
      <c r="L563" s="14"/>
      <c r="M563" s="14"/>
      <c r="N563" s="10"/>
      <c r="O563" s="20"/>
      <c r="Q563" s="11" t="str">
        <f>SUBSTITUTE(UC!Q563,"Old","New")</f>
        <v>*</v>
      </c>
      <c r="R563" s="12"/>
      <c r="S563" s="13" t="str">
        <f t="shared" si="153"/>
        <v>COMNGA</v>
      </c>
      <c r="T563" s="13" t="str">
        <f t="shared" si="154"/>
        <v>COMMUNNewCKEUE</v>
      </c>
      <c r="U563" s="13" t="str">
        <f t="shared" si="155"/>
        <v>COMMUNNewCKEUE</v>
      </c>
      <c r="V563" s="14">
        <v>2030</v>
      </c>
      <c r="W563" s="14" t="str">
        <f>W562</f>
        <v>UP</v>
      </c>
      <c r="X563" s="14"/>
      <c r="Y563" s="15">
        <f>UC!Y563</f>
        <v>-1</v>
      </c>
      <c r="Z563" s="14"/>
      <c r="AA563" s="14"/>
      <c r="AB563" s="10"/>
      <c r="AC563" s="20"/>
    </row>
    <row r="564" spans="1:29" x14ac:dyDescent="0.25">
      <c r="A564" s="26">
        <f>A563</f>
        <v>140</v>
      </c>
      <c r="B564" s="26"/>
      <c r="C564" s="21" t="str">
        <f>SUBSTITUTE(UC!C564,"Old","New")</f>
        <v>*</v>
      </c>
      <c r="D564" s="22"/>
      <c r="E564" s="23" t="str">
        <f t="shared" si="166"/>
        <v>COMNGA</v>
      </c>
      <c r="F564" s="23" t="str">
        <f t="shared" si="166"/>
        <v>COMMUNNewCKEUE</v>
      </c>
      <c r="G564" s="23" t="str">
        <f t="shared" si="166"/>
        <v>COMMUNNewCKEUE</v>
      </c>
      <c r="H564" s="24">
        <v>2050</v>
      </c>
      <c r="I564" s="24" t="str">
        <f>I563</f>
        <v>LO</v>
      </c>
      <c r="J564" s="24"/>
      <c r="K564" s="25">
        <f>UC!K564</f>
        <v>0</v>
      </c>
      <c r="L564" s="24"/>
      <c r="M564" s="24"/>
      <c r="N564" s="26"/>
      <c r="O564" s="27"/>
      <c r="Q564" s="21" t="str">
        <f>SUBSTITUTE(UC!Q564,"Old","New")</f>
        <v>*</v>
      </c>
      <c r="R564" s="22"/>
      <c r="S564" s="23" t="str">
        <f t="shared" si="153"/>
        <v>COMNGA</v>
      </c>
      <c r="T564" s="23" t="str">
        <f t="shared" si="154"/>
        <v>COMMUNNewCKEUE</v>
      </c>
      <c r="U564" s="23" t="str">
        <f t="shared" si="155"/>
        <v>COMMUNNewCKEUE</v>
      </c>
      <c r="V564" s="24">
        <v>2050</v>
      </c>
      <c r="W564" s="24" t="str">
        <f>W563</f>
        <v>UP</v>
      </c>
      <c r="X564" s="24"/>
      <c r="Y564" s="25">
        <f>UC!Y564</f>
        <v>-1</v>
      </c>
      <c r="Z564" s="24"/>
      <c r="AA564" s="24"/>
      <c r="AB564" s="26"/>
      <c r="AC564" s="27"/>
    </row>
    <row r="565" spans="1:29" x14ac:dyDescent="0.25">
      <c r="A565" s="19">
        <f>A561+1</f>
        <v>141</v>
      </c>
      <c r="B565" s="10"/>
      <c r="C565" s="11" t="str">
        <f>SUBSTITUTE(UC!C565,"Old","New")</f>
        <v>*</v>
      </c>
      <c r="D565" s="12"/>
      <c r="E565" s="13" t="str">
        <f>_xlfn.XLOOKUP($A565,Selected_constraint_UC!$A:$A,Selected_constraint_UC!$B:$B)</f>
        <v>COMSTM</v>
      </c>
      <c r="F565" s="13" t="str">
        <f>SUBSTITUTE(_xlfn.XLOOKUP($A565,Selected_constraint_UC!$A:$A,Selected_constraint_UC!$C:$C),"Old","New")</f>
        <v>COMMUNNewCKEUE</v>
      </c>
      <c r="G565" s="13" t="str">
        <f>F565</f>
        <v>COMMUNNewCKEUE</v>
      </c>
      <c r="H565" s="14">
        <v>2019</v>
      </c>
      <c r="I565" s="14" t="s">
        <v>3848</v>
      </c>
      <c r="J565" s="14">
        <v>1</v>
      </c>
      <c r="K565" s="15">
        <f>UC!K565</f>
        <v>0</v>
      </c>
      <c r="L565" s="14">
        <v>0</v>
      </c>
      <c r="M565" s="14">
        <v>5</v>
      </c>
      <c r="N565" s="10"/>
      <c r="O565" s="20"/>
      <c r="Q565" s="11" t="str">
        <f>SUBSTITUTE(UC!Q565,"Old","New")</f>
        <v>*</v>
      </c>
      <c r="R565" s="12"/>
      <c r="S565" s="13" t="str">
        <f t="shared" si="153"/>
        <v>COMSTM</v>
      </c>
      <c r="T565" s="13" t="str">
        <f t="shared" si="154"/>
        <v>COMMUNNewCKEUE</v>
      </c>
      <c r="U565" s="13" t="str">
        <f t="shared" si="155"/>
        <v>COMMUNNewCKEUE</v>
      </c>
      <c r="V565" s="14">
        <f>H565</f>
        <v>2019</v>
      </c>
      <c r="W565" s="29" t="s">
        <v>3849</v>
      </c>
      <c r="X565" s="14">
        <v>1</v>
      </c>
      <c r="Y565" s="15">
        <f>UC!Y565</f>
        <v>-1E-3</v>
      </c>
      <c r="Z565" s="14">
        <v>0</v>
      </c>
      <c r="AA565" s="14">
        <v>5</v>
      </c>
      <c r="AB565" s="10"/>
      <c r="AC565" s="20"/>
    </row>
    <row r="566" spans="1:29" x14ac:dyDescent="0.25">
      <c r="A566" s="10">
        <f>A565</f>
        <v>141</v>
      </c>
      <c r="B566" s="10"/>
      <c r="C566" s="11" t="str">
        <f>SUBSTITUTE(UC!C566,"Old","New")</f>
        <v>*</v>
      </c>
      <c r="D566" s="12"/>
      <c r="E566" s="13" t="str">
        <f t="shared" ref="E566:G568" si="167">E565</f>
        <v>COMSTM</v>
      </c>
      <c r="F566" s="13" t="str">
        <f t="shared" si="167"/>
        <v>COMMUNNewCKEUE</v>
      </c>
      <c r="G566" s="13" t="str">
        <f t="shared" si="167"/>
        <v>COMMUNNewCKEUE</v>
      </c>
      <c r="H566" s="14">
        <v>2025</v>
      </c>
      <c r="I566" s="14" t="str">
        <f>I565</f>
        <v>LO</v>
      </c>
      <c r="J566" s="14"/>
      <c r="K566" s="15">
        <f>UC!K566</f>
        <v>0</v>
      </c>
      <c r="L566" s="14"/>
      <c r="M566" s="14"/>
      <c r="N566" s="10"/>
      <c r="O566" s="20"/>
      <c r="Q566" s="11" t="str">
        <f>SUBSTITUTE(UC!Q566,"Old","New")</f>
        <v>*</v>
      </c>
      <c r="R566" s="12"/>
      <c r="S566" s="13" t="str">
        <f t="shared" si="153"/>
        <v>COMSTM</v>
      </c>
      <c r="T566" s="13" t="str">
        <f t="shared" si="154"/>
        <v>COMMUNNewCKEUE</v>
      </c>
      <c r="U566" s="13" t="str">
        <f t="shared" si="155"/>
        <v>COMMUNNewCKEUE</v>
      </c>
      <c r="V566" s="14">
        <v>2025</v>
      </c>
      <c r="W566" s="14" t="str">
        <f>W565</f>
        <v>UP</v>
      </c>
      <c r="X566" s="14"/>
      <c r="Y566" s="15">
        <f>UC!Y566</f>
        <v>-1E-3</v>
      </c>
      <c r="Z566" s="14"/>
      <c r="AA566" s="14"/>
      <c r="AB566" s="10"/>
      <c r="AC566" s="20"/>
    </row>
    <row r="567" spans="1:29" x14ac:dyDescent="0.25">
      <c r="A567" s="10">
        <f>A566</f>
        <v>141</v>
      </c>
      <c r="B567" s="10"/>
      <c r="C567" s="11" t="str">
        <f>SUBSTITUTE(UC!C567,"Old","New")</f>
        <v>*</v>
      </c>
      <c r="D567" s="12"/>
      <c r="E567" s="13" t="str">
        <f t="shared" si="167"/>
        <v>COMSTM</v>
      </c>
      <c r="F567" s="13" t="str">
        <f t="shared" si="167"/>
        <v>COMMUNNewCKEUE</v>
      </c>
      <c r="G567" s="13" t="str">
        <f t="shared" si="167"/>
        <v>COMMUNNewCKEUE</v>
      </c>
      <c r="H567" s="14">
        <v>2030</v>
      </c>
      <c r="I567" s="14" t="str">
        <f>I566</f>
        <v>LO</v>
      </c>
      <c r="J567" s="14"/>
      <c r="K567" s="15">
        <f>UC!K567</f>
        <v>0</v>
      </c>
      <c r="L567" s="14"/>
      <c r="M567" s="14"/>
      <c r="N567" s="10"/>
      <c r="O567" s="20"/>
      <c r="Q567" s="11" t="str">
        <f>SUBSTITUTE(UC!Q567,"Old","New")</f>
        <v>*</v>
      </c>
      <c r="R567" s="12"/>
      <c r="S567" s="13" t="str">
        <f t="shared" si="153"/>
        <v>COMSTM</v>
      </c>
      <c r="T567" s="13" t="str">
        <f t="shared" si="154"/>
        <v>COMMUNNewCKEUE</v>
      </c>
      <c r="U567" s="13" t="str">
        <f t="shared" si="155"/>
        <v>COMMUNNewCKEUE</v>
      </c>
      <c r="V567" s="14">
        <v>2030</v>
      </c>
      <c r="W567" s="14" t="str">
        <f>W566</f>
        <v>UP</v>
      </c>
      <c r="X567" s="14"/>
      <c r="Y567" s="15">
        <f>UC!Y567</f>
        <v>-2E-3</v>
      </c>
      <c r="Z567" s="14"/>
      <c r="AA567" s="14"/>
      <c r="AB567" s="10"/>
      <c r="AC567" s="20"/>
    </row>
    <row r="568" spans="1:29" x14ac:dyDescent="0.25">
      <c r="A568" s="26">
        <f>A567</f>
        <v>141</v>
      </c>
      <c r="B568" s="26"/>
      <c r="C568" s="21" t="str">
        <f>SUBSTITUTE(UC!C568,"Old","New")</f>
        <v>*</v>
      </c>
      <c r="D568" s="22"/>
      <c r="E568" s="23" t="str">
        <f t="shared" si="167"/>
        <v>COMSTM</v>
      </c>
      <c r="F568" s="23" t="str">
        <f t="shared" si="167"/>
        <v>COMMUNNewCKEUE</v>
      </c>
      <c r="G568" s="23" t="str">
        <f t="shared" si="167"/>
        <v>COMMUNNewCKEUE</v>
      </c>
      <c r="H568" s="24">
        <v>2050</v>
      </c>
      <c r="I568" s="24" t="str">
        <f>I567</f>
        <v>LO</v>
      </c>
      <c r="J568" s="24"/>
      <c r="K568" s="25">
        <f>UC!K568</f>
        <v>0</v>
      </c>
      <c r="L568" s="24"/>
      <c r="M568" s="24"/>
      <c r="N568" s="26"/>
      <c r="O568" s="27"/>
      <c r="Q568" s="21" t="str">
        <f>SUBSTITUTE(UC!Q568,"Old","New")</f>
        <v>*</v>
      </c>
      <c r="R568" s="22"/>
      <c r="S568" s="23" t="str">
        <f t="shared" si="153"/>
        <v>COMSTM</v>
      </c>
      <c r="T568" s="23" t="str">
        <f t="shared" si="154"/>
        <v>COMMUNNewCKEUE</v>
      </c>
      <c r="U568" s="23" t="str">
        <f t="shared" si="155"/>
        <v>COMMUNNewCKEUE</v>
      </c>
      <c r="V568" s="24">
        <v>2050</v>
      </c>
      <c r="W568" s="24" t="str">
        <f>W567</f>
        <v>UP</v>
      </c>
      <c r="X568" s="24"/>
      <c r="Y568" s="25">
        <f>UC!Y568</f>
        <v>-3.0000000000000001E-3</v>
      </c>
      <c r="Z568" s="24"/>
      <c r="AA568" s="24"/>
      <c r="AB568" s="26"/>
      <c r="AC568" s="27"/>
    </row>
    <row r="569" spans="1:29" x14ac:dyDescent="0.25">
      <c r="A569" s="19">
        <f>A565+1</f>
        <v>142</v>
      </c>
      <c r="B569" s="10"/>
      <c r="C569" s="11" t="str">
        <f>SUBSTITUTE(UC!C569,"Old","New")</f>
        <v>*</v>
      </c>
      <c r="D569" s="12"/>
      <c r="E569" s="13" t="str">
        <f>_xlfn.XLOOKUP($A569,Selected_constraint_UC!$A:$A,Selected_constraint_UC!$B:$B)</f>
        <v>COMELC</v>
      </c>
      <c r="F569" s="13" t="str">
        <f>SUBSTITUTE(_xlfn.XLOOKUP($A569,Selected_constraint_UC!$A:$A,Selected_constraint_UC!$C:$C),"Old","New")</f>
        <v>COMMUNNewCKEUE</v>
      </c>
      <c r="G569" s="13" t="str">
        <f>F569</f>
        <v>COMMUNNewCKEUE</v>
      </c>
      <c r="H569" s="14">
        <v>2019</v>
      </c>
      <c r="I569" s="14" t="s">
        <v>3848</v>
      </c>
      <c r="J569" s="14">
        <v>1</v>
      </c>
      <c r="K569" s="15">
        <f>UC!K569</f>
        <v>-0.23912</v>
      </c>
      <c r="L569" s="14">
        <v>0</v>
      </c>
      <c r="M569" s="14">
        <v>5</v>
      </c>
      <c r="N569" s="10"/>
      <c r="O569" s="20"/>
      <c r="Q569" s="11" t="str">
        <f>SUBSTITUTE(UC!Q569,"Old","New")</f>
        <v>*</v>
      </c>
      <c r="R569" s="12"/>
      <c r="S569" s="13" t="str">
        <f t="shared" si="153"/>
        <v>COMELC</v>
      </c>
      <c r="T569" s="13" t="str">
        <f t="shared" si="154"/>
        <v>COMMUNNewCKEUE</v>
      </c>
      <c r="U569" s="13" t="str">
        <f t="shared" si="155"/>
        <v>COMMUNNewCKEUE</v>
      </c>
      <c r="V569" s="14">
        <f>H569</f>
        <v>2019</v>
      </c>
      <c r="W569" s="29" t="s">
        <v>3849</v>
      </c>
      <c r="X569" s="14">
        <v>1</v>
      </c>
      <c r="Y569" s="15">
        <f>UC!Y569</f>
        <v>-0.25</v>
      </c>
      <c r="Z569" s="14">
        <v>0</v>
      </c>
      <c r="AA569" s="14">
        <v>5</v>
      </c>
      <c r="AB569" s="10"/>
      <c r="AC569" s="20"/>
    </row>
    <row r="570" spans="1:29" x14ac:dyDescent="0.25">
      <c r="A570" s="10">
        <f>A569</f>
        <v>142</v>
      </c>
      <c r="B570" s="10"/>
      <c r="C570" s="11" t="str">
        <f>SUBSTITUTE(UC!C570,"Old","New")</f>
        <v>*</v>
      </c>
      <c r="D570" s="12"/>
      <c r="E570" s="13" t="str">
        <f t="shared" ref="E570:G572" si="168">E569</f>
        <v>COMELC</v>
      </c>
      <c r="F570" s="13" t="str">
        <f t="shared" si="168"/>
        <v>COMMUNNewCKEUE</v>
      </c>
      <c r="G570" s="13" t="str">
        <f t="shared" si="168"/>
        <v>COMMUNNewCKEUE</v>
      </c>
      <c r="H570" s="14">
        <v>2025</v>
      </c>
      <c r="I570" s="14" t="str">
        <f>I569</f>
        <v>LO</v>
      </c>
      <c r="J570" s="14"/>
      <c r="K570" s="15">
        <f>UC!K570</f>
        <v>-0.19520000000000001</v>
      </c>
      <c r="L570" s="14"/>
      <c r="M570" s="14"/>
      <c r="N570" s="10"/>
      <c r="O570" s="20"/>
      <c r="Q570" s="11" t="str">
        <f>SUBSTITUTE(UC!Q570,"Old","New")</f>
        <v>*</v>
      </c>
      <c r="R570" s="12"/>
      <c r="S570" s="13" t="str">
        <f t="shared" si="153"/>
        <v>COMELC</v>
      </c>
      <c r="T570" s="13" t="str">
        <f t="shared" si="154"/>
        <v>COMMUNNewCKEUE</v>
      </c>
      <c r="U570" s="13" t="str">
        <f t="shared" si="155"/>
        <v>COMMUNNewCKEUE</v>
      </c>
      <c r="V570" s="14">
        <v>2025</v>
      </c>
      <c r="W570" s="14" t="str">
        <f>W569</f>
        <v>UP</v>
      </c>
      <c r="X570" s="14"/>
      <c r="Y570" s="15">
        <f>UC!Y570</f>
        <v>-0.29399999999999998</v>
      </c>
      <c r="Z570" s="14"/>
      <c r="AA570" s="14"/>
      <c r="AB570" s="10"/>
      <c r="AC570" s="20"/>
    </row>
    <row r="571" spans="1:29" x14ac:dyDescent="0.25">
      <c r="A571" s="10">
        <f>A570</f>
        <v>142</v>
      </c>
      <c r="B571" s="10"/>
      <c r="C571" s="11" t="str">
        <f>SUBSTITUTE(UC!C571,"Old","New")</f>
        <v>*</v>
      </c>
      <c r="D571" s="12"/>
      <c r="E571" s="13" t="str">
        <f t="shared" si="168"/>
        <v>COMELC</v>
      </c>
      <c r="F571" s="13" t="str">
        <f t="shared" si="168"/>
        <v>COMMUNNewCKEUE</v>
      </c>
      <c r="G571" s="13" t="str">
        <f t="shared" si="168"/>
        <v>COMMUNNewCKEUE</v>
      </c>
      <c r="H571" s="14">
        <v>2030</v>
      </c>
      <c r="I571" s="14" t="str">
        <f>I570</f>
        <v>LO</v>
      </c>
      <c r="J571" s="14"/>
      <c r="K571" s="15">
        <f>UC!K571</f>
        <v>-4.8800000000000003E-2</v>
      </c>
      <c r="L571" s="14"/>
      <c r="M571" s="14"/>
      <c r="N571" s="10"/>
      <c r="O571" s="20"/>
      <c r="Q571" s="11" t="str">
        <f>SUBSTITUTE(UC!Q571,"Old","New")</f>
        <v>*</v>
      </c>
      <c r="R571" s="12"/>
      <c r="S571" s="13" t="str">
        <f t="shared" si="153"/>
        <v>COMELC</v>
      </c>
      <c r="T571" s="13" t="str">
        <f t="shared" si="154"/>
        <v>COMMUNNewCKEUE</v>
      </c>
      <c r="U571" s="13" t="str">
        <f t="shared" si="155"/>
        <v>COMMUNNewCKEUE</v>
      </c>
      <c r="V571" s="14">
        <v>2030</v>
      </c>
      <c r="W571" s="14" t="str">
        <f>W570</f>
        <v>UP</v>
      </c>
      <c r="X571" s="14"/>
      <c r="Y571" s="15">
        <f>UC!Y571</f>
        <v>-0.5</v>
      </c>
      <c r="Z571" s="14"/>
      <c r="AA571" s="14"/>
      <c r="AB571" s="10"/>
      <c r="AC571" s="20"/>
    </row>
    <row r="572" spans="1:29" x14ac:dyDescent="0.25">
      <c r="A572" s="26">
        <f>A571</f>
        <v>142</v>
      </c>
      <c r="B572" s="26"/>
      <c r="C572" s="21" t="str">
        <f>SUBSTITUTE(UC!C572,"Old","New")</f>
        <v>*</v>
      </c>
      <c r="D572" s="22"/>
      <c r="E572" s="23" t="str">
        <f t="shared" si="168"/>
        <v>COMELC</v>
      </c>
      <c r="F572" s="23" t="str">
        <f t="shared" si="168"/>
        <v>COMMUNNewCKEUE</v>
      </c>
      <c r="G572" s="23" t="str">
        <f t="shared" si="168"/>
        <v>COMMUNNewCKEUE</v>
      </c>
      <c r="H572" s="24">
        <v>2050</v>
      </c>
      <c r="I572" s="24" t="str">
        <f>I571</f>
        <v>LO</v>
      </c>
      <c r="J572" s="24"/>
      <c r="K572" s="25">
        <f>UC!K572</f>
        <v>0</v>
      </c>
      <c r="L572" s="24"/>
      <c r="M572" s="24"/>
      <c r="N572" s="26"/>
      <c r="O572" s="27"/>
      <c r="Q572" s="21" t="str">
        <f>SUBSTITUTE(UC!Q572,"Old","New")</f>
        <v>*</v>
      </c>
      <c r="R572" s="22"/>
      <c r="S572" s="23" t="str">
        <f t="shared" si="153"/>
        <v>COMELC</v>
      </c>
      <c r="T572" s="23" t="str">
        <f t="shared" si="154"/>
        <v>COMMUNNewCKEUE</v>
      </c>
      <c r="U572" s="23" t="str">
        <f t="shared" si="155"/>
        <v>COMMUNNewCKEUE</v>
      </c>
      <c r="V572" s="24">
        <v>2050</v>
      </c>
      <c r="W572" s="24" t="str">
        <f>W571</f>
        <v>UP</v>
      </c>
      <c r="X572" s="24"/>
      <c r="Y572" s="25">
        <f>UC!Y572</f>
        <v>-1</v>
      </c>
      <c r="Z572" s="24"/>
      <c r="AA572" s="24"/>
      <c r="AB572" s="26"/>
      <c r="AC572" s="27"/>
    </row>
    <row r="573" spans="1:29" x14ac:dyDescent="0.25">
      <c r="A573" s="19">
        <f>A569+1</f>
        <v>143</v>
      </c>
      <c r="B573" s="10"/>
      <c r="C573" s="11" t="str">
        <f>SUBSTITUTE(UC!C573,"Old","New")</f>
        <v>*</v>
      </c>
      <c r="D573" s="12"/>
      <c r="E573" s="13" t="str">
        <f>_xlfn.XLOOKUP($A573,Selected_constraint_UC!$A:$A,Selected_constraint_UC!$B:$B)</f>
        <v>COMELC</v>
      </c>
      <c r="F573" s="13" t="str">
        <f>SUBSTITUTE(_xlfn.XLOOKUP($A573,Selected_constraint_UC!$A:$A,Selected_constraint_UC!$C:$C),"Old","New")</f>
        <v>COMMUNNewREEUE</v>
      </c>
      <c r="G573" s="13" t="str">
        <f>F573</f>
        <v>COMMUNNewREEUE</v>
      </c>
      <c r="H573" s="14">
        <v>2019</v>
      </c>
      <c r="I573" s="14" t="s">
        <v>3848</v>
      </c>
      <c r="J573" s="14">
        <v>1</v>
      </c>
      <c r="K573" s="15">
        <f>UC!K573</f>
        <v>-0.98</v>
      </c>
      <c r="L573" s="14">
        <v>0</v>
      </c>
      <c r="M573" s="14">
        <v>5</v>
      </c>
      <c r="N573" s="10"/>
      <c r="O573" s="20"/>
      <c r="Q573" s="11" t="str">
        <f>SUBSTITUTE(UC!Q573,"Old","New")</f>
        <v>*</v>
      </c>
      <c r="R573" s="12"/>
      <c r="S573" s="13" t="str">
        <f t="shared" si="153"/>
        <v>COMELC</v>
      </c>
      <c r="T573" s="13" t="str">
        <f t="shared" si="154"/>
        <v>COMMUNNewREEUE</v>
      </c>
      <c r="U573" s="13" t="str">
        <f t="shared" si="155"/>
        <v>COMMUNNewREEUE</v>
      </c>
      <c r="V573" s="14">
        <f>H573</f>
        <v>2019</v>
      </c>
      <c r="W573" s="29" t="s">
        <v>3849</v>
      </c>
      <c r="X573" s="14">
        <v>1</v>
      </c>
      <c r="Y573" s="15">
        <f>UC!Y573</f>
        <v>-1</v>
      </c>
      <c r="Z573" s="14">
        <v>0</v>
      </c>
      <c r="AA573" s="14">
        <v>5</v>
      </c>
      <c r="AB573" s="10"/>
      <c r="AC573" s="20"/>
    </row>
    <row r="574" spans="1:29" x14ac:dyDescent="0.25">
      <c r="A574" s="10">
        <f>A573</f>
        <v>143</v>
      </c>
      <c r="B574" s="10"/>
      <c r="C574" s="11" t="str">
        <f>SUBSTITUTE(UC!C574,"Old","New")</f>
        <v>*</v>
      </c>
      <c r="D574" s="12"/>
      <c r="E574" s="13" t="str">
        <f t="shared" ref="E574:G576" si="169">E573</f>
        <v>COMELC</v>
      </c>
      <c r="F574" s="13" t="str">
        <f t="shared" si="169"/>
        <v>COMMUNNewREEUE</v>
      </c>
      <c r="G574" s="13" t="str">
        <f t="shared" si="169"/>
        <v>COMMUNNewREEUE</v>
      </c>
      <c r="H574" s="14">
        <v>2025</v>
      </c>
      <c r="I574" s="14" t="str">
        <f>I573</f>
        <v>LO</v>
      </c>
      <c r="J574" s="14"/>
      <c r="K574" s="15">
        <f>UC!K574</f>
        <v>-0.8</v>
      </c>
      <c r="L574" s="14"/>
      <c r="M574" s="14"/>
      <c r="N574" s="10"/>
      <c r="O574" s="20"/>
      <c r="Q574" s="11" t="str">
        <f>SUBSTITUTE(UC!Q574,"Old","New")</f>
        <v>*</v>
      </c>
      <c r="R574" s="12"/>
      <c r="S574" s="13" t="str">
        <f t="shared" si="153"/>
        <v>COMELC</v>
      </c>
      <c r="T574" s="13" t="str">
        <f t="shared" si="154"/>
        <v>COMMUNNewREEUE</v>
      </c>
      <c r="U574" s="13" t="str">
        <f t="shared" si="155"/>
        <v>COMMUNNewREEUE</v>
      </c>
      <c r="V574" s="14">
        <v>2025</v>
      </c>
      <c r="W574" s="14" t="str">
        <f>W573</f>
        <v>UP</v>
      </c>
      <c r="X574" s="14"/>
      <c r="Y574" s="15">
        <f>UC!Y574</f>
        <v>-1</v>
      </c>
      <c r="Z574" s="14"/>
      <c r="AA574" s="14"/>
      <c r="AB574" s="10"/>
      <c r="AC574" s="20"/>
    </row>
    <row r="575" spans="1:29" x14ac:dyDescent="0.25">
      <c r="A575" s="10">
        <f>A574</f>
        <v>143</v>
      </c>
      <c r="B575" s="10"/>
      <c r="C575" s="11" t="str">
        <f>SUBSTITUTE(UC!C575,"Old","New")</f>
        <v>*</v>
      </c>
      <c r="D575" s="12"/>
      <c r="E575" s="13" t="str">
        <f t="shared" si="169"/>
        <v>COMELC</v>
      </c>
      <c r="F575" s="13" t="str">
        <f t="shared" si="169"/>
        <v>COMMUNNewREEUE</v>
      </c>
      <c r="G575" s="13" t="str">
        <f t="shared" si="169"/>
        <v>COMMUNNewREEUE</v>
      </c>
      <c r="H575" s="14">
        <v>2030</v>
      </c>
      <c r="I575" s="14" t="str">
        <f>I574</f>
        <v>LO</v>
      </c>
      <c r="J575" s="14"/>
      <c r="K575" s="15">
        <f>UC!K575</f>
        <v>-0.2</v>
      </c>
      <c r="L575" s="14"/>
      <c r="M575" s="14"/>
      <c r="N575" s="10"/>
      <c r="O575" s="20"/>
      <c r="Q575" s="11" t="str">
        <f>SUBSTITUTE(UC!Q575,"Old","New")</f>
        <v>*</v>
      </c>
      <c r="R575" s="12"/>
      <c r="S575" s="13" t="str">
        <f t="shared" si="153"/>
        <v>COMELC</v>
      </c>
      <c r="T575" s="13" t="str">
        <f t="shared" si="154"/>
        <v>COMMUNNewREEUE</v>
      </c>
      <c r="U575" s="13" t="str">
        <f t="shared" si="155"/>
        <v>COMMUNNewREEUE</v>
      </c>
      <c r="V575" s="14">
        <v>2030</v>
      </c>
      <c r="W575" s="14" t="str">
        <f>W574</f>
        <v>UP</v>
      </c>
      <c r="X575" s="14"/>
      <c r="Y575" s="15">
        <f>UC!Y575</f>
        <v>-1</v>
      </c>
      <c r="Z575" s="14"/>
      <c r="AA575" s="14"/>
      <c r="AB575" s="10"/>
      <c r="AC575" s="20"/>
    </row>
    <row r="576" spans="1:29" x14ac:dyDescent="0.25">
      <c r="A576" s="26">
        <f>A575</f>
        <v>143</v>
      </c>
      <c r="B576" s="26"/>
      <c r="C576" s="21" t="str">
        <f>SUBSTITUTE(UC!C576,"Old","New")</f>
        <v>*</v>
      </c>
      <c r="D576" s="22"/>
      <c r="E576" s="23" t="str">
        <f t="shared" si="169"/>
        <v>COMELC</v>
      </c>
      <c r="F576" s="23" t="str">
        <f t="shared" si="169"/>
        <v>COMMUNNewREEUE</v>
      </c>
      <c r="G576" s="23" t="str">
        <f t="shared" si="169"/>
        <v>COMMUNNewREEUE</v>
      </c>
      <c r="H576" s="24">
        <v>2050</v>
      </c>
      <c r="I576" s="24" t="str">
        <f>I575</f>
        <v>LO</v>
      </c>
      <c r="J576" s="24"/>
      <c r="K576" s="25">
        <f>UC!K576</f>
        <v>0</v>
      </c>
      <c r="L576" s="24"/>
      <c r="M576" s="24"/>
      <c r="N576" s="26"/>
      <c r="O576" s="27"/>
      <c r="Q576" s="21" t="str">
        <f>SUBSTITUTE(UC!Q576,"Old","New")</f>
        <v>*</v>
      </c>
      <c r="R576" s="22"/>
      <c r="S576" s="23" t="str">
        <f t="shared" si="153"/>
        <v>COMELC</v>
      </c>
      <c r="T576" s="23" t="str">
        <f t="shared" si="154"/>
        <v>COMMUNNewREEUE</v>
      </c>
      <c r="U576" s="23" t="str">
        <f t="shared" si="155"/>
        <v>COMMUNNewREEUE</v>
      </c>
      <c r="V576" s="24">
        <v>2050</v>
      </c>
      <c r="W576" s="24" t="str">
        <f>W575</f>
        <v>UP</v>
      </c>
      <c r="X576" s="24"/>
      <c r="Y576" s="25">
        <f>UC!Y576</f>
        <v>-1</v>
      </c>
      <c r="Z576" s="24"/>
      <c r="AA576" s="24"/>
      <c r="AB576" s="26"/>
      <c r="AC576" s="27"/>
    </row>
    <row r="577" spans="1:29" x14ac:dyDescent="0.25">
      <c r="A577" s="19">
        <f>A573+1</f>
        <v>144</v>
      </c>
      <c r="B577" s="10"/>
      <c r="C577" s="11" t="str">
        <f>SUBSTITUTE(UC!C577,"Old","New")</f>
        <v>*</v>
      </c>
      <c r="D577" s="12"/>
      <c r="E577" s="13" t="str">
        <f>_xlfn.XLOOKUP($A577,Selected_constraint_UC!$A:$A,Selected_constraint_UC!$B:$B)</f>
        <v>COMFOI</v>
      </c>
      <c r="F577" s="13" t="str">
        <f>SUBSTITUTE(_xlfn.XLOOKUP($A577,Selected_constraint_UC!$A:$A,Selected_constraint_UC!$C:$C),"Old","New")</f>
        <v>COMMUNNewOEEUE</v>
      </c>
      <c r="G577" s="13" t="str">
        <f>F577</f>
        <v>COMMUNNewOEEUE</v>
      </c>
      <c r="H577" s="14">
        <v>2019</v>
      </c>
      <c r="I577" s="14" t="s">
        <v>3848</v>
      </c>
      <c r="J577" s="14">
        <v>1</v>
      </c>
      <c r="K577" s="15">
        <f>UC!K577</f>
        <v>-0.10485999999999999</v>
      </c>
      <c r="L577" s="14">
        <v>0</v>
      </c>
      <c r="M577" s="14">
        <v>5</v>
      </c>
      <c r="N577" s="10"/>
      <c r="O577" s="20"/>
      <c r="Q577" s="11" t="str">
        <f>SUBSTITUTE(UC!Q577,"Old","New")</f>
        <v>*</v>
      </c>
      <c r="R577" s="12"/>
      <c r="S577" s="13" t="str">
        <f t="shared" si="153"/>
        <v>COMFOI</v>
      </c>
      <c r="T577" s="13" t="str">
        <f t="shared" si="154"/>
        <v>COMMUNNewOEEUE</v>
      </c>
      <c r="U577" s="13" t="str">
        <f t="shared" si="155"/>
        <v>COMMUNNewOEEUE</v>
      </c>
      <c r="V577" s="14">
        <f>H577</f>
        <v>2019</v>
      </c>
      <c r="W577" s="29" t="s">
        <v>3849</v>
      </c>
      <c r="X577" s="14">
        <v>1</v>
      </c>
      <c r="Y577" s="15">
        <f>UC!Y577</f>
        <v>-0.111</v>
      </c>
      <c r="Z577" s="14">
        <v>0</v>
      </c>
      <c r="AA577" s="14">
        <v>5</v>
      </c>
      <c r="AB577" s="10"/>
      <c r="AC577" s="20"/>
    </row>
    <row r="578" spans="1:29" x14ac:dyDescent="0.25">
      <c r="A578" s="10">
        <f>A577</f>
        <v>144</v>
      </c>
      <c r="B578" s="10"/>
      <c r="C578" s="11" t="str">
        <f>SUBSTITUTE(UC!C578,"Old","New")</f>
        <v>*</v>
      </c>
      <c r="D578" s="12"/>
      <c r="E578" s="13" t="str">
        <f t="shared" ref="E578:G580" si="170">E577</f>
        <v>COMFOI</v>
      </c>
      <c r="F578" s="13" t="str">
        <f t="shared" si="170"/>
        <v>COMMUNNewOEEUE</v>
      </c>
      <c r="G578" s="13" t="str">
        <f t="shared" si="170"/>
        <v>COMMUNNewOEEUE</v>
      </c>
      <c r="H578" s="14">
        <v>2025</v>
      </c>
      <c r="I578" s="14" t="str">
        <f>I577</f>
        <v>LO</v>
      </c>
      <c r="J578" s="14"/>
      <c r="K578" s="15">
        <f>UC!K578</f>
        <v>-8.5600000000000009E-2</v>
      </c>
      <c r="L578" s="14"/>
      <c r="M578" s="14"/>
      <c r="N578" s="10"/>
      <c r="O578" s="20"/>
      <c r="Q578" s="11" t="str">
        <f>SUBSTITUTE(UC!Q578,"Old","New")</f>
        <v>*</v>
      </c>
      <c r="R578" s="12"/>
      <c r="S578" s="13" t="str">
        <f t="shared" si="153"/>
        <v>COMFOI</v>
      </c>
      <c r="T578" s="13" t="str">
        <f t="shared" si="154"/>
        <v>COMMUNNewOEEUE</v>
      </c>
      <c r="U578" s="13" t="str">
        <f t="shared" si="155"/>
        <v>COMMUNNewOEEUE</v>
      </c>
      <c r="V578" s="14">
        <v>2025</v>
      </c>
      <c r="W578" s="14" t="str">
        <f>W577</f>
        <v>UP</v>
      </c>
      <c r="X578" s="14"/>
      <c r="Y578" s="15">
        <f>UC!Y578</f>
        <v>-0.13</v>
      </c>
      <c r="Z578" s="14"/>
      <c r="AA578" s="14"/>
      <c r="AB578" s="10"/>
      <c r="AC578" s="20"/>
    </row>
    <row r="579" spans="1:29" x14ac:dyDescent="0.25">
      <c r="A579" s="10">
        <f>A578</f>
        <v>144</v>
      </c>
      <c r="B579" s="10"/>
      <c r="C579" s="11" t="str">
        <f>SUBSTITUTE(UC!C579,"Old","New")</f>
        <v>*</v>
      </c>
      <c r="D579" s="12"/>
      <c r="E579" s="13" t="str">
        <f t="shared" si="170"/>
        <v>COMFOI</v>
      </c>
      <c r="F579" s="13" t="str">
        <f t="shared" si="170"/>
        <v>COMMUNNewOEEUE</v>
      </c>
      <c r="G579" s="13" t="str">
        <f t="shared" si="170"/>
        <v>COMMUNNewOEEUE</v>
      </c>
      <c r="H579" s="14">
        <v>2030</v>
      </c>
      <c r="I579" s="14" t="str">
        <f>I578</f>
        <v>LO</v>
      </c>
      <c r="J579" s="14"/>
      <c r="K579" s="15">
        <f>UC!K579</f>
        <v>-2.1400000000000002E-2</v>
      </c>
      <c r="L579" s="14"/>
      <c r="M579" s="14"/>
      <c r="N579" s="10"/>
      <c r="O579" s="20"/>
      <c r="Q579" s="11" t="str">
        <f>SUBSTITUTE(UC!Q579,"Old","New")</f>
        <v>*</v>
      </c>
      <c r="R579" s="12"/>
      <c r="S579" s="13" t="str">
        <f t="shared" si="153"/>
        <v>COMFOI</v>
      </c>
      <c r="T579" s="13" t="str">
        <f t="shared" si="154"/>
        <v>COMMUNNewOEEUE</v>
      </c>
      <c r="U579" s="13" t="str">
        <f t="shared" si="155"/>
        <v>COMMUNNewOEEUE</v>
      </c>
      <c r="V579" s="14">
        <v>2030</v>
      </c>
      <c r="W579" s="14" t="str">
        <f>W578</f>
        <v>UP</v>
      </c>
      <c r="X579" s="14"/>
      <c r="Y579" s="15">
        <f>UC!Y579</f>
        <v>-0.16200000000000001</v>
      </c>
      <c r="Z579" s="14"/>
      <c r="AA579" s="14"/>
      <c r="AB579" s="10"/>
      <c r="AC579" s="20"/>
    </row>
    <row r="580" spans="1:29" x14ac:dyDescent="0.25">
      <c r="A580" s="26">
        <f>A579</f>
        <v>144</v>
      </c>
      <c r="B580" s="26"/>
      <c r="C580" s="21" t="str">
        <f>SUBSTITUTE(UC!C580,"Old","New")</f>
        <v>*</v>
      </c>
      <c r="D580" s="22"/>
      <c r="E580" s="23" t="str">
        <f t="shared" si="170"/>
        <v>COMFOI</v>
      </c>
      <c r="F580" s="23" t="str">
        <f t="shared" si="170"/>
        <v>COMMUNNewOEEUE</v>
      </c>
      <c r="G580" s="23" t="str">
        <f t="shared" si="170"/>
        <v>COMMUNNewOEEUE</v>
      </c>
      <c r="H580" s="24">
        <v>2050</v>
      </c>
      <c r="I580" s="24" t="str">
        <f>I579</f>
        <v>LO</v>
      </c>
      <c r="J580" s="24"/>
      <c r="K580" s="25">
        <f>UC!K580</f>
        <v>0</v>
      </c>
      <c r="L580" s="24"/>
      <c r="M580" s="24"/>
      <c r="N580" s="26"/>
      <c r="O580" s="27"/>
      <c r="Q580" s="21" t="str">
        <f>SUBSTITUTE(UC!Q580,"Old","New")</f>
        <v>*</v>
      </c>
      <c r="R580" s="22"/>
      <c r="S580" s="23" t="str">
        <f t="shared" si="153"/>
        <v>COMFOI</v>
      </c>
      <c r="T580" s="23" t="str">
        <f t="shared" si="154"/>
        <v>COMMUNNewOEEUE</v>
      </c>
      <c r="U580" s="23" t="str">
        <f t="shared" si="155"/>
        <v>COMMUNNewOEEUE</v>
      </c>
      <c r="V580" s="24">
        <v>2050</v>
      </c>
      <c r="W580" s="24" t="str">
        <f>W579</f>
        <v>UP</v>
      </c>
      <c r="X580" s="24"/>
      <c r="Y580" s="25">
        <f>UC!Y580</f>
        <v>-0.32400000000000001</v>
      </c>
      <c r="Z580" s="24"/>
      <c r="AA580" s="24"/>
      <c r="AB580" s="26"/>
      <c r="AC580" s="27"/>
    </row>
    <row r="581" spans="1:29" x14ac:dyDescent="0.25">
      <c r="A581" s="19">
        <f>A577+1</f>
        <v>145</v>
      </c>
      <c r="B581" s="10"/>
      <c r="C581" s="11" t="str">
        <f>SUBSTITUTE(UC!C581,"Old","New")</f>
        <v>UC_MarketShare_COMMUNNewOE_NGA_MIN</v>
      </c>
      <c r="D581" s="12"/>
      <c r="E581" s="13" t="str">
        <f>_xlfn.XLOOKUP($A581,Selected_constraint_UC!$A:$A,Selected_constraint_UC!$B:$B)</f>
        <v>COMNGA</v>
      </c>
      <c r="F581" s="13" t="str">
        <f>SUBSTITUTE(_xlfn.XLOOKUP($A581,Selected_constraint_UC!$A:$A,Selected_constraint_UC!$C:$C),"Old","New")</f>
        <v>COMMUNNewOEEUE</v>
      </c>
      <c r="G581" s="13" t="str">
        <f>F581</f>
        <v>COMMUNNewOEEUE</v>
      </c>
      <c r="H581" s="14">
        <v>2019</v>
      </c>
      <c r="I581" s="14" t="s">
        <v>3848</v>
      </c>
      <c r="J581" s="14">
        <v>1</v>
      </c>
      <c r="K581" s="15">
        <f>UC!K581</f>
        <v>-0.27733999999999998</v>
      </c>
      <c r="L581" s="14">
        <v>0</v>
      </c>
      <c r="M581" s="14">
        <v>5</v>
      </c>
      <c r="N581" s="10"/>
      <c r="O581" s="20"/>
      <c r="Q581" s="11" t="str">
        <f>SUBSTITUTE(UC!Q581,"Old","New")</f>
        <v>UC_MarketShare_COMMUNNewOE_NGA_MAX</v>
      </c>
      <c r="R581" s="12"/>
      <c r="S581" s="13" t="str">
        <f t="shared" si="153"/>
        <v>COMNGA</v>
      </c>
      <c r="T581" s="13" t="str">
        <f t="shared" si="154"/>
        <v>COMMUNNewOEEUE</v>
      </c>
      <c r="U581" s="13" t="str">
        <f t="shared" si="155"/>
        <v>COMMUNNewOEEUE</v>
      </c>
      <c r="V581" s="14">
        <f>H581</f>
        <v>2019</v>
      </c>
      <c r="W581" s="29" t="s">
        <v>3849</v>
      </c>
      <c r="X581" s="14">
        <v>1</v>
      </c>
      <c r="Y581" s="15">
        <f>UC!Y581</f>
        <v>-0.28899999999999998</v>
      </c>
      <c r="Z581" s="14">
        <v>0</v>
      </c>
      <c r="AA581" s="14">
        <v>5</v>
      </c>
      <c r="AB581" s="10"/>
      <c r="AC581" s="20"/>
    </row>
    <row r="582" spans="1:29" x14ac:dyDescent="0.25">
      <c r="A582" s="10">
        <f>A581</f>
        <v>145</v>
      </c>
      <c r="B582" s="10"/>
      <c r="C582" s="11" t="str">
        <f>SUBSTITUTE(UC!C582,"Old","New")</f>
        <v/>
      </c>
      <c r="D582" s="12"/>
      <c r="E582" s="13" t="str">
        <f t="shared" ref="E582:G584" si="171">E581</f>
        <v>COMNGA</v>
      </c>
      <c r="F582" s="13" t="str">
        <f t="shared" si="171"/>
        <v>COMMUNNewOEEUE</v>
      </c>
      <c r="G582" s="13" t="str">
        <f t="shared" si="171"/>
        <v>COMMUNNewOEEUE</v>
      </c>
      <c r="H582" s="14">
        <v>2025</v>
      </c>
      <c r="I582" s="14" t="str">
        <f>I581</f>
        <v>LO</v>
      </c>
      <c r="J582" s="14"/>
      <c r="K582" s="15">
        <f>UC!K582</f>
        <v>-0.22639999999999999</v>
      </c>
      <c r="L582" s="14"/>
      <c r="M582" s="14"/>
      <c r="N582" s="10"/>
      <c r="O582" s="20"/>
      <c r="Q582" s="11" t="str">
        <f>SUBSTITUTE(UC!Q582,"Old","New")</f>
        <v/>
      </c>
      <c r="R582" s="12"/>
      <c r="S582" s="13" t="str">
        <f t="shared" ref="S582:S645" si="172">E582</f>
        <v>COMNGA</v>
      </c>
      <c r="T582" s="13" t="str">
        <f t="shared" ref="T582:T645" si="173">F582</f>
        <v>COMMUNNewOEEUE</v>
      </c>
      <c r="U582" s="13" t="str">
        <f t="shared" ref="U582:U645" si="174">G582</f>
        <v>COMMUNNewOEEUE</v>
      </c>
      <c r="V582" s="14">
        <v>2025</v>
      </c>
      <c r="W582" s="14" t="str">
        <f>W581</f>
        <v>UP</v>
      </c>
      <c r="X582" s="14"/>
      <c r="Y582" s="15">
        <f>UC!Y582</f>
        <v>-0.34</v>
      </c>
      <c r="Z582" s="14"/>
      <c r="AA582" s="14"/>
      <c r="AB582" s="10"/>
      <c r="AC582" s="20"/>
    </row>
    <row r="583" spans="1:29" x14ac:dyDescent="0.25">
      <c r="A583" s="10">
        <f>A582</f>
        <v>145</v>
      </c>
      <c r="B583" s="10"/>
      <c r="C583" s="11" t="str">
        <f>SUBSTITUTE(UC!C583,"Old","New")</f>
        <v/>
      </c>
      <c r="D583" s="12"/>
      <c r="E583" s="13" t="str">
        <f t="shared" si="171"/>
        <v>COMNGA</v>
      </c>
      <c r="F583" s="13" t="str">
        <f t="shared" si="171"/>
        <v>COMMUNNewOEEUE</v>
      </c>
      <c r="G583" s="13" t="str">
        <f t="shared" si="171"/>
        <v>COMMUNNewOEEUE</v>
      </c>
      <c r="H583" s="14">
        <v>2030</v>
      </c>
      <c r="I583" s="14" t="str">
        <f>I582</f>
        <v>LO</v>
      </c>
      <c r="J583" s="14"/>
      <c r="K583" s="15">
        <f>UC!K583</f>
        <v>-5.6599999999999998E-2</v>
      </c>
      <c r="L583" s="14"/>
      <c r="M583" s="14"/>
      <c r="N583" s="10"/>
      <c r="O583" s="20"/>
      <c r="Q583" s="11" t="str">
        <f>SUBSTITUTE(UC!Q583,"Old","New")</f>
        <v/>
      </c>
      <c r="R583" s="12"/>
      <c r="S583" s="13" t="str">
        <f t="shared" si="172"/>
        <v>COMNGA</v>
      </c>
      <c r="T583" s="13" t="str">
        <f t="shared" si="173"/>
        <v>COMMUNNewOEEUE</v>
      </c>
      <c r="U583" s="13" t="str">
        <f t="shared" si="174"/>
        <v>COMMUNNewOEEUE</v>
      </c>
      <c r="V583" s="14">
        <v>2030</v>
      </c>
      <c r="W583" s="14" t="str">
        <f>W582</f>
        <v>UP</v>
      </c>
      <c r="X583" s="14"/>
      <c r="Y583" s="15">
        <f>UC!Y583</f>
        <v>-0.42499999999999999</v>
      </c>
      <c r="Z583" s="14"/>
      <c r="AA583" s="14"/>
      <c r="AB583" s="10"/>
      <c r="AC583" s="20"/>
    </row>
    <row r="584" spans="1:29" x14ac:dyDescent="0.25">
      <c r="A584" s="26">
        <f>A583</f>
        <v>145</v>
      </c>
      <c r="B584" s="26"/>
      <c r="C584" s="21" t="str">
        <f>SUBSTITUTE(UC!C584,"Old","New")</f>
        <v/>
      </c>
      <c r="D584" s="22"/>
      <c r="E584" s="23" t="str">
        <f t="shared" si="171"/>
        <v>COMNGA</v>
      </c>
      <c r="F584" s="23" t="str">
        <f t="shared" si="171"/>
        <v>COMMUNNewOEEUE</v>
      </c>
      <c r="G584" s="23" t="str">
        <f t="shared" si="171"/>
        <v>COMMUNNewOEEUE</v>
      </c>
      <c r="H584" s="24">
        <v>2050</v>
      </c>
      <c r="I584" s="24" t="str">
        <f>I583</f>
        <v>LO</v>
      </c>
      <c r="J584" s="24"/>
      <c r="K584" s="25">
        <f>UC!K584</f>
        <v>0</v>
      </c>
      <c r="L584" s="24"/>
      <c r="M584" s="24"/>
      <c r="N584" s="26"/>
      <c r="O584" s="27"/>
      <c r="Q584" s="21" t="str">
        <f>SUBSTITUTE(UC!Q584,"Old","New")</f>
        <v/>
      </c>
      <c r="R584" s="22"/>
      <c r="S584" s="23" t="str">
        <f t="shared" si="172"/>
        <v>COMNGA</v>
      </c>
      <c r="T584" s="23" t="str">
        <f t="shared" si="173"/>
        <v>COMMUNNewOEEUE</v>
      </c>
      <c r="U584" s="23" t="str">
        <f t="shared" si="174"/>
        <v>COMMUNNewOEEUE</v>
      </c>
      <c r="V584" s="24">
        <v>2050</v>
      </c>
      <c r="W584" s="24" t="str">
        <f>W583</f>
        <v>UP</v>
      </c>
      <c r="X584" s="24"/>
      <c r="Y584" s="25">
        <f>UC!Y584</f>
        <v>-0.85</v>
      </c>
      <c r="Z584" s="24"/>
      <c r="AA584" s="24"/>
      <c r="AB584" s="26"/>
      <c r="AC584" s="27"/>
    </row>
    <row r="585" spans="1:29" x14ac:dyDescent="0.25">
      <c r="A585" s="19">
        <f>A581+1</f>
        <v>146</v>
      </c>
      <c r="B585" s="10"/>
      <c r="C585" s="11" t="str">
        <f>SUBSTITUTE(UC!C585,"Old","New")</f>
        <v>*</v>
      </c>
      <c r="D585" s="12"/>
      <c r="E585" s="13" t="str">
        <f>_xlfn.XLOOKUP($A585,Selected_constraint_UC!$A:$A,Selected_constraint_UC!$B:$B)</f>
        <v>COMSTM</v>
      </c>
      <c r="F585" s="13" t="str">
        <f>SUBSTITUTE(_xlfn.XLOOKUP($A585,Selected_constraint_UC!$A:$A,Selected_constraint_UC!$C:$C),"Old","New")</f>
        <v>COMMUNNewOEEUE</v>
      </c>
      <c r="G585" s="13" t="str">
        <f>F585</f>
        <v>COMMUNNewOEEUE</v>
      </c>
      <c r="H585" s="14">
        <v>2019</v>
      </c>
      <c r="I585" s="14" t="s">
        <v>3848</v>
      </c>
      <c r="J585" s="14">
        <v>1</v>
      </c>
      <c r="K585" s="15">
        <f>UC!K585</f>
        <v>0</v>
      </c>
      <c r="L585" s="14">
        <v>0</v>
      </c>
      <c r="M585" s="14">
        <v>5</v>
      </c>
      <c r="N585" s="10"/>
      <c r="O585" s="20"/>
      <c r="Q585" s="11" t="str">
        <f>SUBSTITUTE(UC!Q585,"Old","New")</f>
        <v>*</v>
      </c>
      <c r="R585" s="12"/>
      <c r="S585" s="13" t="str">
        <f t="shared" si="172"/>
        <v>COMSTM</v>
      </c>
      <c r="T585" s="13" t="str">
        <f t="shared" si="173"/>
        <v>COMMUNNewOEEUE</v>
      </c>
      <c r="U585" s="13" t="str">
        <f t="shared" si="174"/>
        <v>COMMUNNewOEEUE</v>
      </c>
      <c r="V585" s="14">
        <f>H585</f>
        <v>2019</v>
      </c>
      <c r="W585" s="29" t="s">
        <v>3849</v>
      </c>
      <c r="X585" s="14">
        <v>1</v>
      </c>
      <c r="Y585" s="15">
        <f>UC!Y585</f>
        <v>0</v>
      </c>
      <c r="Z585" s="14">
        <v>0</v>
      </c>
      <c r="AA585" s="14">
        <v>5</v>
      </c>
      <c r="AB585" s="10"/>
      <c r="AC585" s="20"/>
    </row>
    <row r="586" spans="1:29" x14ac:dyDescent="0.25">
      <c r="A586" s="10">
        <f>A585</f>
        <v>146</v>
      </c>
      <c r="B586" s="10"/>
      <c r="C586" s="11" t="str">
        <f>SUBSTITUTE(UC!C586,"Old","New")</f>
        <v>*</v>
      </c>
      <c r="D586" s="12"/>
      <c r="E586" s="13" t="str">
        <f t="shared" ref="E586:G588" si="175">E585</f>
        <v>COMSTM</v>
      </c>
      <c r="F586" s="13" t="str">
        <f t="shared" si="175"/>
        <v>COMMUNNewOEEUE</v>
      </c>
      <c r="G586" s="13" t="str">
        <f t="shared" si="175"/>
        <v>COMMUNNewOEEUE</v>
      </c>
      <c r="H586" s="14">
        <v>2025</v>
      </c>
      <c r="I586" s="14" t="str">
        <f>I585</f>
        <v>LO</v>
      </c>
      <c r="J586" s="14"/>
      <c r="K586" s="15">
        <f>UC!K586</f>
        <v>0</v>
      </c>
      <c r="L586" s="14"/>
      <c r="M586" s="14"/>
      <c r="N586" s="10"/>
      <c r="O586" s="20"/>
      <c r="Q586" s="11" t="str">
        <f>SUBSTITUTE(UC!Q586,"Old","New")</f>
        <v>*</v>
      </c>
      <c r="R586" s="12"/>
      <c r="S586" s="13" t="str">
        <f t="shared" si="172"/>
        <v>COMSTM</v>
      </c>
      <c r="T586" s="13" t="str">
        <f t="shared" si="173"/>
        <v>COMMUNNewOEEUE</v>
      </c>
      <c r="U586" s="13" t="str">
        <f t="shared" si="174"/>
        <v>COMMUNNewOEEUE</v>
      </c>
      <c r="V586" s="14">
        <v>2025</v>
      </c>
      <c r="W586" s="14" t="str">
        <f>W585</f>
        <v>UP</v>
      </c>
      <c r="X586" s="14"/>
      <c r="Y586" s="15">
        <f>UC!Y586</f>
        <v>0</v>
      </c>
      <c r="Z586" s="14"/>
      <c r="AA586" s="14"/>
      <c r="AB586" s="10"/>
      <c r="AC586" s="20"/>
    </row>
    <row r="587" spans="1:29" x14ac:dyDescent="0.25">
      <c r="A587" s="10">
        <f>A586</f>
        <v>146</v>
      </c>
      <c r="B587" s="10"/>
      <c r="C587" s="11" t="str">
        <f>SUBSTITUTE(UC!C587,"Old","New")</f>
        <v>*</v>
      </c>
      <c r="D587" s="12"/>
      <c r="E587" s="13" t="str">
        <f t="shared" si="175"/>
        <v>COMSTM</v>
      </c>
      <c r="F587" s="13" t="str">
        <f t="shared" si="175"/>
        <v>COMMUNNewOEEUE</v>
      </c>
      <c r="G587" s="13" t="str">
        <f t="shared" si="175"/>
        <v>COMMUNNewOEEUE</v>
      </c>
      <c r="H587" s="14">
        <v>2030</v>
      </c>
      <c r="I587" s="14" t="str">
        <f>I586</f>
        <v>LO</v>
      </c>
      <c r="J587" s="14"/>
      <c r="K587" s="15">
        <f>UC!K587</f>
        <v>0</v>
      </c>
      <c r="L587" s="14"/>
      <c r="M587" s="14"/>
      <c r="N587" s="10"/>
      <c r="O587" s="20"/>
      <c r="Q587" s="11" t="str">
        <f>SUBSTITUTE(UC!Q587,"Old","New")</f>
        <v>*</v>
      </c>
      <c r="R587" s="12"/>
      <c r="S587" s="13" t="str">
        <f t="shared" si="172"/>
        <v>COMSTM</v>
      </c>
      <c r="T587" s="13" t="str">
        <f t="shared" si="173"/>
        <v>COMMUNNewOEEUE</v>
      </c>
      <c r="U587" s="13" t="str">
        <f t="shared" si="174"/>
        <v>COMMUNNewOEEUE</v>
      </c>
      <c r="V587" s="14">
        <v>2030</v>
      </c>
      <c r="W587" s="14" t="str">
        <f>W586</f>
        <v>UP</v>
      </c>
      <c r="X587" s="14"/>
      <c r="Y587" s="15">
        <f>UC!Y587</f>
        <v>0</v>
      </c>
      <c r="Z587" s="14"/>
      <c r="AA587" s="14"/>
      <c r="AB587" s="10"/>
      <c r="AC587" s="20"/>
    </row>
    <row r="588" spans="1:29" x14ac:dyDescent="0.25">
      <c r="A588" s="26">
        <f>A587</f>
        <v>146</v>
      </c>
      <c r="B588" s="26"/>
      <c r="C588" s="21" t="str">
        <f>SUBSTITUTE(UC!C588,"Old","New")</f>
        <v>*</v>
      </c>
      <c r="D588" s="22"/>
      <c r="E588" s="23" t="str">
        <f t="shared" si="175"/>
        <v>COMSTM</v>
      </c>
      <c r="F588" s="23" t="str">
        <f t="shared" si="175"/>
        <v>COMMUNNewOEEUE</v>
      </c>
      <c r="G588" s="23" t="str">
        <f t="shared" si="175"/>
        <v>COMMUNNewOEEUE</v>
      </c>
      <c r="H588" s="24">
        <v>2050</v>
      </c>
      <c r="I588" s="24" t="str">
        <f>I587</f>
        <v>LO</v>
      </c>
      <c r="J588" s="24"/>
      <c r="K588" s="25">
        <f>UC!K588</f>
        <v>0</v>
      </c>
      <c r="L588" s="24"/>
      <c r="M588" s="24"/>
      <c r="N588" s="26"/>
      <c r="O588" s="27"/>
      <c r="Q588" s="21" t="str">
        <f>SUBSTITUTE(UC!Q588,"Old","New")</f>
        <v>*</v>
      </c>
      <c r="R588" s="22"/>
      <c r="S588" s="23" t="str">
        <f t="shared" si="172"/>
        <v>COMSTM</v>
      </c>
      <c r="T588" s="23" t="str">
        <f t="shared" si="173"/>
        <v>COMMUNNewOEEUE</v>
      </c>
      <c r="U588" s="23" t="str">
        <f t="shared" si="174"/>
        <v>COMMUNNewOEEUE</v>
      </c>
      <c r="V588" s="24">
        <v>2050</v>
      </c>
      <c r="W588" s="24" t="str">
        <f>W587</f>
        <v>UP</v>
      </c>
      <c r="X588" s="24"/>
      <c r="Y588" s="25">
        <f>UC!Y588</f>
        <v>0</v>
      </c>
      <c r="Z588" s="24"/>
      <c r="AA588" s="24"/>
      <c r="AB588" s="26"/>
      <c r="AC588" s="27"/>
    </row>
    <row r="589" spans="1:29" x14ac:dyDescent="0.25">
      <c r="A589" s="19">
        <f>A585+1</f>
        <v>147</v>
      </c>
      <c r="B589" s="10"/>
      <c r="C589" s="11" t="str">
        <f>SUBSTITUTE(UC!C589,"Old","New")</f>
        <v>UC_MarketShare_COMMUNNewOE_ELC_MIN</v>
      </c>
      <c r="D589" s="12"/>
      <c r="E589" s="13" t="str">
        <f>_xlfn.XLOOKUP($A589,Selected_constraint_UC!$A:$A,Selected_constraint_UC!$B:$B)</f>
        <v>COMELC</v>
      </c>
      <c r="F589" s="13" t="str">
        <f>SUBSTITUTE(_xlfn.XLOOKUP($A589,Selected_constraint_UC!$A:$A,Selected_constraint_UC!$C:$C),"Old","New")</f>
        <v>COMMUNNewOEEUE</v>
      </c>
      <c r="G589" s="13" t="str">
        <f>F589</f>
        <v>COMMUNNewOEEUE</v>
      </c>
      <c r="H589" s="14">
        <v>2019</v>
      </c>
      <c r="I589" s="14" t="s">
        <v>3848</v>
      </c>
      <c r="J589" s="14">
        <v>1</v>
      </c>
      <c r="K589" s="15">
        <f>UC!K589</f>
        <v>-0.59682000000000002</v>
      </c>
      <c r="L589" s="14">
        <v>0</v>
      </c>
      <c r="M589" s="14">
        <v>5</v>
      </c>
      <c r="N589" s="10"/>
      <c r="O589" s="20"/>
      <c r="Q589" s="11" t="str">
        <f>SUBSTITUTE(UC!Q589,"Old","New")</f>
        <v>UC_MarketShare_COMMUNNewOE_ELC_MAX</v>
      </c>
      <c r="R589" s="12"/>
      <c r="S589" s="13" t="str">
        <f t="shared" si="172"/>
        <v>COMELC</v>
      </c>
      <c r="T589" s="13" t="str">
        <f t="shared" si="173"/>
        <v>COMMUNNewOEEUE</v>
      </c>
      <c r="U589" s="13" t="str">
        <f t="shared" si="174"/>
        <v>COMMUNNewOEEUE</v>
      </c>
      <c r="V589" s="14">
        <f>H589</f>
        <v>2019</v>
      </c>
      <c r="W589" s="29" t="s">
        <v>3849</v>
      </c>
      <c r="X589" s="14">
        <v>1</v>
      </c>
      <c r="Y589" s="15">
        <f>UC!Y589</f>
        <v>-0.622</v>
      </c>
      <c r="Z589" s="14">
        <v>0</v>
      </c>
      <c r="AA589" s="14">
        <v>5</v>
      </c>
      <c r="AB589" s="10"/>
      <c r="AC589" s="20"/>
    </row>
    <row r="590" spans="1:29" x14ac:dyDescent="0.25">
      <c r="A590" s="10">
        <f>A589</f>
        <v>147</v>
      </c>
      <c r="B590" s="10"/>
      <c r="C590" s="11" t="str">
        <f>SUBSTITUTE(UC!C590,"Old","New")</f>
        <v/>
      </c>
      <c r="D590" s="12"/>
      <c r="E590" s="13" t="str">
        <f t="shared" ref="E590:G592" si="176">E589</f>
        <v>COMELC</v>
      </c>
      <c r="F590" s="13" t="str">
        <f t="shared" si="176"/>
        <v>COMMUNNewOEEUE</v>
      </c>
      <c r="G590" s="13" t="str">
        <f t="shared" si="176"/>
        <v>COMMUNNewOEEUE</v>
      </c>
      <c r="H590" s="14">
        <v>2025</v>
      </c>
      <c r="I590" s="14" t="str">
        <f>I589</f>
        <v>LO</v>
      </c>
      <c r="J590" s="14"/>
      <c r="K590" s="15">
        <f>UC!K590</f>
        <v>-0.48720000000000002</v>
      </c>
      <c r="L590" s="14"/>
      <c r="M590" s="14"/>
      <c r="N590" s="10"/>
      <c r="O590" s="20"/>
      <c r="Q590" s="11" t="str">
        <f>SUBSTITUTE(UC!Q590,"Old","New")</f>
        <v/>
      </c>
      <c r="R590" s="12"/>
      <c r="S590" s="13" t="str">
        <f t="shared" si="172"/>
        <v>COMELC</v>
      </c>
      <c r="T590" s="13" t="str">
        <f t="shared" si="173"/>
        <v>COMMUNNewOEEUE</v>
      </c>
      <c r="U590" s="13" t="str">
        <f t="shared" si="174"/>
        <v>COMMUNNewOEEUE</v>
      </c>
      <c r="V590" s="14">
        <v>2025</v>
      </c>
      <c r="W590" s="14" t="str">
        <f>W589</f>
        <v>UP</v>
      </c>
      <c r="X590" s="14"/>
      <c r="Y590" s="15">
        <f>UC!Y590</f>
        <v>-0.73099999999999998</v>
      </c>
      <c r="Z590" s="14"/>
      <c r="AA590" s="14"/>
      <c r="AB590" s="10"/>
      <c r="AC590" s="20"/>
    </row>
    <row r="591" spans="1:29" x14ac:dyDescent="0.25">
      <c r="A591" s="10">
        <f>A590</f>
        <v>147</v>
      </c>
      <c r="B591" s="10"/>
      <c r="C591" s="11" t="str">
        <f>SUBSTITUTE(UC!C591,"Old","New")</f>
        <v/>
      </c>
      <c r="D591" s="12"/>
      <c r="E591" s="13" t="str">
        <f t="shared" si="176"/>
        <v>COMELC</v>
      </c>
      <c r="F591" s="13" t="str">
        <f t="shared" si="176"/>
        <v>COMMUNNewOEEUE</v>
      </c>
      <c r="G591" s="13" t="str">
        <f t="shared" si="176"/>
        <v>COMMUNNewOEEUE</v>
      </c>
      <c r="H591" s="14">
        <v>2030</v>
      </c>
      <c r="I591" s="14" t="str">
        <f>I590</f>
        <v>LO</v>
      </c>
      <c r="J591" s="14"/>
      <c r="K591" s="15">
        <f>UC!K591</f>
        <v>-0.12180000000000001</v>
      </c>
      <c r="L591" s="14"/>
      <c r="M591" s="14"/>
      <c r="N591" s="10"/>
      <c r="O591" s="20"/>
      <c r="Q591" s="11" t="str">
        <f>SUBSTITUTE(UC!Q591,"Old","New")</f>
        <v/>
      </c>
      <c r="R591" s="12"/>
      <c r="S591" s="13" t="str">
        <f t="shared" si="172"/>
        <v>COMELC</v>
      </c>
      <c r="T591" s="13" t="str">
        <f t="shared" si="173"/>
        <v>COMMUNNewOEEUE</v>
      </c>
      <c r="U591" s="13" t="str">
        <f t="shared" si="174"/>
        <v>COMMUNNewOEEUE</v>
      </c>
      <c r="V591" s="14">
        <v>2030</v>
      </c>
      <c r="W591" s="14" t="str">
        <f>W590</f>
        <v>UP</v>
      </c>
      <c r="X591" s="14"/>
      <c r="Y591" s="15">
        <f>UC!Y591</f>
        <v>-0.91400000000000003</v>
      </c>
      <c r="Z591" s="14"/>
      <c r="AA591" s="14"/>
      <c r="AB591" s="10"/>
      <c r="AC591" s="20"/>
    </row>
    <row r="592" spans="1:29" x14ac:dyDescent="0.25">
      <c r="A592" s="26">
        <f>A591</f>
        <v>147</v>
      </c>
      <c r="B592" s="26"/>
      <c r="C592" s="21" t="str">
        <f>SUBSTITUTE(UC!C592,"Old","New")</f>
        <v/>
      </c>
      <c r="D592" s="22"/>
      <c r="E592" s="23" t="str">
        <f t="shared" si="176"/>
        <v>COMELC</v>
      </c>
      <c r="F592" s="23" t="str">
        <f t="shared" si="176"/>
        <v>COMMUNNewOEEUE</v>
      </c>
      <c r="G592" s="23" t="str">
        <f t="shared" si="176"/>
        <v>COMMUNNewOEEUE</v>
      </c>
      <c r="H592" s="24">
        <v>2050</v>
      </c>
      <c r="I592" s="24" t="str">
        <f>I591</f>
        <v>LO</v>
      </c>
      <c r="J592" s="24"/>
      <c r="K592" s="25">
        <f>UC!K592</f>
        <v>0</v>
      </c>
      <c r="L592" s="24"/>
      <c r="M592" s="24"/>
      <c r="N592" s="26"/>
      <c r="O592" s="27"/>
      <c r="Q592" s="21" t="str">
        <f>SUBSTITUTE(UC!Q592,"Old","New")</f>
        <v/>
      </c>
      <c r="R592" s="22"/>
      <c r="S592" s="23" t="str">
        <f t="shared" si="172"/>
        <v>COMELC</v>
      </c>
      <c r="T592" s="23" t="str">
        <f t="shared" si="173"/>
        <v>COMMUNNewOEEUE</v>
      </c>
      <c r="U592" s="23" t="str">
        <f t="shared" si="174"/>
        <v>COMMUNNewOEEUE</v>
      </c>
      <c r="V592" s="24">
        <v>2050</v>
      </c>
      <c r="W592" s="24" t="str">
        <f>W591</f>
        <v>UP</v>
      </c>
      <c r="X592" s="24"/>
      <c r="Y592" s="25">
        <f>UC!Y592</f>
        <v>-1</v>
      </c>
      <c r="Z592" s="24"/>
      <c r="AA592" s="24"/>
      <c r="AB592" s="26"/>
      <c r="AC592" s="27"/>
    </row>
    <row r="593" spans="1:29" x14ac:dyDescent="0.25">
      <c r="A593" s="19">
        <f>A589+1</f>
        <v>148</v>
      </c>
      <c r="B593" s="10"/>
      <c r="C593" s="11" t="str">
        <f>SUBSTITUTE(UC!C593,"Old","New")</f>
        <v>UC_MarketShare_COMOTHNewSH_ELC_MIN</v>
      </c>
      <c r="D593" s="12"/>
      <c r="E593" s="13" t="str">
        <f>_xlfn.XLOOKUP($A593,Selected_constraint_UC!$A:$A,Selected_constraint_UC!$B:$B)</f>
        <v>COMELC</v>
      </c>
      <c r="F593" s="13" t="str">
        <f>SUBSTITUTE(_xlfn.XLOOKUP($A593,Selected_constraint_UC!$A:$A,Selected_constraint_UC!$C:$C),"Old","New")</f>
        <v>COMOTHNewSHEUE</v>
      </c>
      <c r="G593" s="13" t="str">
        <f>F593</f>
        <v>COMOTHNewSHEUE</v>
      </c>
      <c r="H593" s="14">
        <v>2019</v>
      </c>
      <c r="I593" s="14" t="s">
        <v>3848</v>
      </c>
      <c r="J593" s="14">
        <v>1</v>
      </c>
      <c r="K593" s="15">
        <f>UC!K593</f>
        <v>-0.10289999999999999</v>
      </c>
      <c r="L593" s="14">
        <v>0</v>
      </c>
      <c r="M593" s="14">
        <v>5</v>
      </c>
      <c r="N593" s="10"/>
      <c r="O593" s="20"/>
      <c r="Q593" s="11" t="str">
        <f>SUBSTITUTE(UC!Q593,"Old","New")</f>
        <v>UC_MarketShare_COMOTHNewSH_ELC_MAX</v>
      </c>
      <c r="R593" s="12"/>
      <c r="S593" s="13" t="str">
        <f t="shared" si="172"/>
        <v>COMELC</v>
      </c>
      <c r="T593" s="13" t="str">
        <f t="shared" si="173"/>
        <v>COMOTHNewSHEUE</v>
      </c>
      <c r="U593" s="13" t="str">
        <f t="shared" si="174"/>
        <v>COMOTHNewSHEUE</v>
      </c>
      <c r="V593" s="14">
        <f>H593</f>
        <v>2019</v>
      </c>
      <c r="W593" s="29" t="s">
        <v>3849</v>
      </c>
      <c r="X593" s="14">
        <v>1</v>
      </c>
      <c r="Y593" s="15">
        <f>UC!Y593</f>
        <v>-0.108</v>
      </c>
      <c r="Z593" s="14">
        <v>0</v>
      </c>
      <c r="AA593" s="14">
        <v>5</v>
      </c>
      <c r="AB593" s="10"/>
      <c r="AC593" s="20"/>
    </row>
    <row r="594" spans="1:29" x14ac:dyDescent="0.25">
      <c r="A594" s="10">
        <f>A593</f>
        <v>148</v>
      </c>
      <c r="B594" s="10"/>
      <c r="C594" s="11" t="str">
        <f>SUBSTITUTE(UC!C594,"Old","New")</f>
        <v/>
      </c>
      <c r="D594" s="12"/>
      <c r="E594" s="13" t="str">
        <f t="shared" ref="E594:G596" si="177">E593</f>
        <v>COMELC</v>
      </c>
      <c r="F594" s="13" t="str">
        <f t="shared" si="177"/>
        <v>COMOTHNewSHEUE</v>
      </c>
      <c r="G594" s="13" t="str">
        <f t="shared" si="177"/>
        <v>COMOTHNewSHEUE</v>
      </c>
      <c r="H594" s="14">
        <v>2025</v>
      </c>
      <c r="I594" s="14" t="str">
        <f>I593</f>
        <v>LO</v>
      </c>
      <c r="J594" s="14"/>
      <c r="K594" s="15">
        <f>UC!K594</f>
        <v>-8.4000000000000005E-2</v>
      </c>
      <c r="L594" s="14"/>
      <c r="M594" s="14"/>
      <c r="N594" s="10"/>
      <c r="O594" s="20"/>
      <c r="Q594" s="11" t="str">
        <f>SUBSTITUTE(UC!Q594,"Old","New")</f>
        <v/>
      </c>
      <c r="R594" s="12"/>
      <c r="S594" s="13" t="str">
        <f t="shared" si="172"/>
        <v>COMELC</v>
      </c>
      <c r="T594" s="13" t="str">
        <f t="shared" si="173"/>
        <v>COMOTHNewSHEUE</v>
      </c>
      <c r="U594" s="13" t="str">
        <f t="shared" si="174"/>
        <v>COMOTHNewSHEUE</v>
      </c>
      <c r="V594" s="14">
        <v>2025</v>
      </c>
      <c r="W594" s="14" t="str">
        <f>W593</f>
        <v>UP</v>
      </c>
      <c r="X594" s="14"/>
      <c r="Y594" s="15">
        <f>UC!Y594</f>
        <v>-0.25</v>
      </c>
      <c r="Z594" s="14"/>
      <c r="AA594" s="14"/>
      <c r="AB594" s="10"/>
      <c r="AC594" s="20"/>
    </row>
    <row r="595" spans="1:29" x14ac:dyDescent="0.25">
      <c r="A595" s="10">
        <f>A594</f>
        <v>148</v>
      </c>
      <c r="B595" s="10"/>
      <c r="C595" s="11" t="str">
        <f>SUBSTITUTE(UC!C595,"Old","New")</f>
        <v/>
      </c>
      <c r="D595" s="12"/>
      <c r="E595" s="13" t="str">
        <f t="shared" si="177"/>
        <v>COMELC</v>
      </c>
      <c r="F595" s="13" t="str">
        <f t="shared" si="177"/>
        <v>COMOTHNewSHEUE</v>
      </c>
      <c r="G595" s="13" t="str">
        <f t="shared" si="177"/>
        <v>COMOTHNewSHEUE</v>
      </c>
      <c r="H595" s="14">
        <v>2030</v>
      </c>
      <c r="I595" s="14" t="str">
        <f>I594</f>
        <v>LO</v>
      </c>
      <c r="J595" s="14"/>
      <c r="K595" s="15">
        <f>UC!K595</f>
        <v>-7.8750000000000001E-2</v>
      </c>
      <c r="L595" s="14"/>
      <c r="M595" s="14"/>
      <c r="N595" s="10"/>
      <c r="O595" s="20"/>
      <c r="Q595" s="11" t="str">
        <f>SUBSTITUTE(UC!Q595,"Old","New")</f>
        <v/>
      </c>
      <c r="R595" s="12"/>
      <c r="S595" s="13" t="str">
        <f t="shared" si="172"/>
        <v>COMELC</v>
      </c>
      <c r="T595" s="13" t="str">
        <f t="shared" si="173"/>
        <v>COMOTHNewSHEUE</v>
      </c>
      <c r="U595" s="13" t="str">
        <f t="shared" si="174"/>
        <v>COMOTHNewSHEUE</v>
      </c>
      <c r="V595" s="14">
        <v>2030</v>
      </c>
      <c r="W595" s="14" t="str">
        <f>W594</f>
        <v>UP</v>
      </c>
      <c r="X595" s="14"/>
      <c r="Y595" s="15">
        <f>UC!Y595</f>
        <v>-0.5</v>
      </c>
      <c r="Z595" s="14"/>
      <c r="AA595" s="14"/>
      <c r="AB595" s="10"/>
      <c r="AC595" s="20"/>
    </row>
    <row r="596" spans="1:29" x14ac:dyDescent="0.25">
      <c r="A596" s="26">
        <f>A595</f>
        <v>148</v>
      </c>
      <c r="B596" s="26"/>
      <c r="C596" s="21" t="str">
        <f>SUBSTITUTE(UC!C596,"Old","New")</f>
        <v/>
      </c>
      <c r="D596" s="22"/>
      <c r="E596" s="23" t="str">
        <f t="shared" si="177"/>
        <v>COMELC</v>
      </c>
      <c r="F596" s="23" t="str">
        <f t="shared" si="177"/>
        <v>COMOTHNewSHEUE</v>
      </c>
      <c r="G596" s="23" t="str">
        <f t="shared" si="177"/>
        <v>COMOTHNewSHEUE</v>
      </c>
      <c r="H596" s="24">
        <v>2050</v>
      </c>
      <c r="I596" s="24" t="str">
        <f>I595</f>
        <v>LO</v>
      </c>
      <c r="J596" s="24"/>
      <c r="K596" s="25">
        <f>UC!K596</f>
        <v>-7.8750000000000001E-2</v>
      </c>
      <c r="L596" s="24"/>
      <c r="M596" s="24"/>
      <c r="N596" s="26"/>
      <c r="O596" s="27"/>
      <c r="Q596" s="21" t="str">
        <f>SUBSTITUTE(UC!Q596,"Old","New")</f>
        <v/>
      </c>
      <c r="R596" s="22"/>
      <c r="S596" s="23" t="str">
        <f t="shared" si="172"/>
        <v>COMELC</v>
      </c>
      <c r="T596" s="23" t="str">
        <f t="shared" si="173"/>
        <v>COMOTHNewSHEUE</v>
      </c>
      <c r="U596" s="23" t="str">
        <f t="shared" si="174"/>
        <v>COMOTHNewSHEUE</v>
      </c>
      <c r="V596" s="24">
        <v>2050</v>
      </c>
      <c r="W596" s="24" t="str">
        <f>W595</f>
        <v>UP</v>
      </c>
      <c r="X596" s="24"/>
      <c r="Y596" s="25">
        <f>UC!Y596</f>
        <v>-1</v>
      </c>
      <c r="Z596" s="24"/>
      <c r="AA596" s="24"/>
      <c r="AB596" s="26"/>
      <c r="AC596" s="27"/>
    </row>
    <row r="597" spans="1:29" x14ac:dyDescent="0.25">
      <c r="A597" s="19">
        <f>A593+1</f>
        <v>149</v>
      </c>
      <c r="B597" s="10"/>
      <c r="C597" s="11" t="str">
        <f>SUBSTITUTE(UC!C597,"Old","New")</f>
        <v>UC_MarketShare_COMOTHNewSH_NGA_MIN</v>
      </c>
      <c r="D597" s="12"/>
      <c r="E597" s="13" t="str">
        <f>_xlfn.XLOOKUP($A597,Selected_constraint_UC!$A:$A,Selected_constraint_UC!$B:$B)</f>
        <v>COMNGA</v>
      </c>
      <c r="F597" s="13" t="str">
        <f>SUBSTITUTE(_xlfn.XLOOKUP($A597,Selected_constraint_UC!$A:$A,Selected_constraint_UC!$C:$C),"Old","New")</f>
        <v>COMOTHNewSHEUE</v>
      </c>
      <c r="G597" s="13" t="str">
        <f>F597</f>
        <v>COMOTHNewSHEUE</v>
      </c>
      <c r="H597" s="14">
        <v>2019</v>
      </c>
      <c r="I597" s="14" t="s">
        <v>3848</v>
      </c>
      <c r="J597" s="14">
        <v>1</v>
      </c>
      <c r="K597" s="15">
        <f>UC!K597</f>
        <v>-0.82319999999999993</v>
      </c>
      <c r="L597" s="14">
        <v>0</v>
      </c>
      <c r="M597" s="14">
        <v>5</v>
      </c>
      <c r="N597" s="10"/>
      <c r="O597" s="20"/>
      <c r="Q597" s="11" t="str">
        <f>SUBSTITUTE(UC!Q597,"Old","New")</f>
        <v>UC_MarketShare_COMOTHNewSH_NGA_MAX</v>
      </c>
      <c r="R597" s="12"/>
      <c r="S597" s="13" t="str">
        <f t="shared" si="172"/>
        <v>COMNGA</v>
      </c>
      <c r="T597" s="13" t="str">
        <f t="shared" si="173"/>
        <v>COMOTHNewSHEUE</v>
      </c>
      <c r="U597" s="13" t="str">
        <f t="shared" si="174"/>
        <v>COMOTHNewSHEUE</v>
      </c>
      <c r="V597" s="14">
        <f>H597</f>
        <v>2019</v>
      </c>
      <c r="W597" s="29" t="s">
        <v>3849</v>
      </c>
      <c r="X597" s="14">
        <v>1</v>
      </c>
      <c r="Y597" s="15">
        <f>UC!Y597</f>
        <v>-0.85799999999999998</v>
      </c>
      <c r="Z597" s="14">
        <v>0</v>
      </c>
      <c r="AA597" s="14">
        <v>5</v>
      </c>
      <c r="AB597" s="10"/>
      <c r="AC597" s="20"/>
    </row>
    <row r="598" spans="1:29" x14ac:dyDescent="0.25">
      <c r="A598" s="10">
        <f>A597</f>
        <v>149</v>
      </c>
      <c r="B598" s="10"/>
      <c r="C598" s="11" t="str">
        <f>SUBSTITUTE(UC!C598,"Old","New")</f>
        <v/>
      </c>
      <c r="D598" s="12"/>
      <c r="E598" s="13" t="str">
        <f t="shared" ref="E598:G600" si="178">E597</f>
        <v>COMNGA</v>
      </c>
      <c r="F598" s="13" t="str">
        <f t="shared" si="178"/>
        <v>COMOTHNewSHEUE</v>
      </c>
      <c r="G598" s="13" t="str">
        <f t="shared" si="178"/>
        <v>COMOTHNewSHEUE</v>
      </c>
      <c r="H598" s="14">
        <v>2025</v>
      </c>
      <c r="I598" s="14" t="str">
        <f>I597</f>
        <v>LO</v>
      </c>
      <c r="J598" s="14"/>
      <c r="K598" s="15">
        <f>UC!K598</f>
        <v>-0.67200000000000004</v>
      </c>
      <c r="L598" s="14"/>
      <c r="M598" s="14"/>
      <c r="N598" s="10"/>
      <c r="O598" s="20"/>
      <c r="Q598" s="11" t="str">
        <f>SUBSTITUTE(UC!Q598,"Old","New")</f>
        <v/>
      </c>
      <c r="R598" s="12"/>
      <c r="S598" s="13" t="str">
        <f t="shared" si="172"/>
        <v>COMNGA</v>
      </c>
      <c r="T598" s="13" t="str">
        <f t="shared" si="173"/>
        <v>COMOTHNewSHEUE</v>
      </c>
      <c r="U598" s="13" t="str">
        <f t="shared" si="174"/>
        <v>COMOTHNewSHEUE</v>
      </c>
      <c r="V598" s="14">
        <v>2025</v>
      </c>
      <c r="W598" s="14" t="str">
        <f>W597</f>
        <v>UP</v>
      </c>
      <c r="X598" s="14"/>
      <c r="Y598" s="15">
        <f>UC!Y598</f>
        <v>-1</v>
      </c>
      <c r="Z598" s="14"/>
      <c r="AA598" s="14"/>
      <c r="AB598" s="10"/>
      <c r="AC598" s="20"/>
    </row>
    <row r="599" spans="1:29" x14ac:dyDescent="0.25">
      <c r="A599" s="10">
        <f>A598</f>
        <v>149</v>
      </c>
      <c r="B599" s="10"/>
      <c r="C599" s="11" t="str">
        <f>SUBSTITUTE(UC!C599,"Old","New")</f>
        <v/>
      </c>
      <c r="D599" s="12"/>
      <c r="E599" s="13" t="str">
        <f t="shared" si="178"/>
        <v>COMNGA</v>
      </c>
      <c r="F599" s="13" t="str">
        <f t="shared" si="178"/>
        <v>COMOTHNewSHEUE</v>
      </c>
      <c r="G599" s="13" t="str">
        <f t="shared" si="178"/>
        <v>COMOTHNewSHEUE</v>
      </c>
      <c r="H599" s="14">
        <v>2030</v>
      </c>
      <c r="I599" s="14" t="str">
        <f>I598</f>
        <v>LO</v>
      </c>
      <c r="J599" s="14"/>
      <c r="K599" s="15">
        <f>UC!K599</f>
        <v>-0.16800000000000001</v>
      </c>
      <c r="L599" s="14"/>
      <c r="M599" s="14"/>
      <c r="N599" s="10"/>
      <c r="O599" s="20"/>
      <c r="Q599" s="11" t="str">
        <f>SUBSTITUTE(UC!Q599,"Old","New")</f>
        <v/>
      </c>
      <c r="R599" s="12"/>
      <c r="S599" s="13" t="str">
        <f t="shared" si="172"/>
        <v>COMNGA</v>
      </c>
      <c r="T599" s="13" t="str">
        <f t="shared" si="173"/>
        <v>COMOTHNewSHEUE</v>
      </c>
      <c r="U599" s="13" t="str">
        <f t="shared" si="174"/>
        <v>COMOTHNewSHEUE</v>
      </c>
      <c r="V599" s="14">
        <v>2030</v>
      </c>
      <c r="W599" s="14" t="str">
        <f>W598</f>
        <v>UP</v>
      </c>
      <c r="X599" s="14"/>
      <c r="Y599" s="15">
        <f>UC!Y599</f>
        <v>-1</v>
      </c>
      <c r="Z599" s="14"/>
      <c r="AA599" s="14"/>
      <c r="AB599" s="10"/>
      <c r="AC599" s="20"/>
    </row>
    <row r="600" spans="1:29" x14ac:dyDescent="0.25">
      <c r="A600" s="26">
        <f>A599</f>
        <v>149</v>
      </c>
      <c r="B600" s="26"/>
      <c r="C600" s="21" t="str">
        <f>SUBSTITUTE(UC!C600,"Old","New")</f>
        <v/>
      </c>
      <c r="D600" s="22"/>
      <c r="E600" s="23" t="str">
        <f t="shared" si="178"/>
        <v>COMNGA</v>
      </c>
      <c r="F600" s="23" t="str">
        <f t="shared" si="178"/>
        <v>COMOTHNewSHEUE</v>
      </c>
      <c r="G600" s="23" t="str">
        <f t="shared" si="178"/>
        <v>COMOTHNewSHEUE</v>
      </c>
      <c r="H600" s="24">
        <v>2050</v>
      </c>
      <c r="I600" s="24" t="str">
        <f>I599</f>
        <v>LO</v>
      </c>
      <c r="J600" s="24"/>
      <c r="K600" s="25">
        <f>UC!K600</f>
        <v>0</v>
      </c>
      <c r="L600" s="24"/>
      <c r="M600" s="24"/>
      <c r="N600" s="26"/>
      <c r="O600" s="27"/>
      <c r="Q600" s="21" t="str">
        <f>SUBSTITUTE(UC!Q600,"Old","New")</f>
        <v/>
      </c>
      <c r="R600" s="22"/>
      <c r="S600" s="23" t="str">
        <f t="shared" si="172"/>
        <v>COMNGA</v>
      </c>
      <c r="T600" s="23" t="str">
        <f t="shared" si="173"/>
        <v>COMOTHNewSHEUE</v>
      </c>
      <c r="U600" s="23" t="str">
        <f t="shared" si="174"/>
        <v>COMOTHNewSHEUE</v>
      </c>
      <c r="V600" s="24">
        <v>2050</v>
      </c>
      <c r="W600" s="24" t="str">
        <f>W599</f>
        <v>UP</v>
      </c>
      <c r="X600" s="24"/>
      <c r="Y600" s="25">
        <f>UC!Y600</f>
        <v>-1</v>
      </c>
      <c r="Z600" s="24"/>
      <c r="AA600" s="24"/>
      <c r="AB600" s="26"/>
      <c r="AC600" s="27"/>
    </row>
    <row r="601" spans="1:29" x14ac:dyDescent="0.25">
      <c r="A601" s="19">
        <f>A597+1</f>
        <v>150</v>
      </c>
      <c r="B601" s="10"/>
      <c r="C601" s="11" t="str">
        <f>SUBSTITUTE(UC!C601,"Old","New")</f>
        <v>UC_MarketShare_COMOTHNewSH_FOI_MIN</v>
      </c>
      <c r="D601" s="12"/>
      <c r="E601" s="13" t="str">
        <f>_xlfn.XLOOKUP($A601,Selected_constraint_UC!$A:$A,Selected_constraint_UC!$B:$B)</f>
        <v>COMFOI</v>
      </c>
      <c r="F601" s="13" t="str">
        <f>SUBSTITUTE(_xlfn.XLOOKUP($A601,Selected_constraint_UC!$A:$A,Selected_constraint_UC!$C:$C),"Old","New")</f>
        <v>COMOTHNewSHEUE</v>
      </c>
      <c r="G601" s="13" t="str">
        <f>F601</f>
        <v>COMOTHNewSHEUE</v>
      </c>
      <c r="H601" s="14">
        <v>2019</v>
      </c>
      <c r="I601" s="14" t="s">
        <v>3848</v>
      </c>
      <c r="J601" s="14">
        <v>1</v>
      </c>
      <c r="K601" s="15">
        <f>UC!K601</f>
        <v>-2.7439999999999999E-2</v>
      </c>
      <c r="L601" s="14">
        <v>0</v>
      </c>
      <c r="M601" s="14">
        <v>5</v>
      </c>
      <c r="N601" s="10"/>
      <c r="O601" s="20"/>
      <c r="Q601" s="11" t="str">
        <f>SUBSTITUTE(UC!Q601,"Old","New")</f>
        <v>UC_MarketShare_COMOTHNewSH_FOI_MAX</v>
      </c>
      <c r="R601" s="12"/>
      <c r="S601" s="13" t="str">
        <f t="shared" si="172"/>
        <v>COMFOI</v>
      </c>
      <c r="T601" s="13" t="str">
        <f t="shared" si="173"/>
        <v>COMOTHNewSHEUE</v>
      </c>
      <c r="U601" s="13" t="str">
        <f t="shared" si="174"/>
        <v>COMOTHNewSHEUE</v>
      </c>
      <c r="V601" s="14">
        <f>H601</f>
        <v>2019</v>
      </c>
      <c r="W601" s="29" t="s">
        <v>3849</v>
      </c>
      <c r="X601" s="14">
        <v>1</v>
      </c>
      <c r="Y601" s="15">
        <f>UC!Y601</f>
        <v>-3.0000000000000002E-2</v>
      </c>
      <c r="Z601" s="14">
        <v>0</v>
      </c>
      <c r="AA601" s="14">
        <v>5</v>
      </c>
      <c r="AB601" s="10"/>
      <c r="AC601" s="20"/>
    </row>
    <row r="602" spans="1:29" x14ac:dyDescent="0.25">
      <c r="A602" s="10">
        <f>A601</f>
        <v>150</v>
      </c>
      <c r="B602" s="10"/>
      <c r="C602" s="11" t="str">
        <f>SUBSTITUTE(UC!C602,"Old","New")</f>
        <v/>
      </c>
      <c r="D602" s="12"/>
      <c r="E602" s="13" t="str">
        <f t="shared" ref="E602:G604" si="179">E601</f>
        <v>COMFOI</v>
      </c>
      <c r="F602" s="13" t="str">
        <f t="shared" si="179"/>
        <v>COMOTHNewSHEUE</v>
      </c>
      <c r="G602" s="13" t="str">
        <f t="shared" si="179"/>
        <v>COMOTHNewSHEUE</v>
      </c>
      <c r="H602" s="14">
        <v>2025</v>
      </c>
      <c r="I602" s="14" t="str">
        <f>I601</f>
        <v>LO</v>
      </c>
      <c r="J602" s="14"/>
      <c r="K602" s="15">
        <f>UC!K602</f>
        <v>-2.2400000000000003E-2</v>
      </c>
      <c r="L602" s="14"/>
      <c r="M602" s="14"/>
      <c r="N602" s="10"/>
      <c r="O602" s="20"/>
      <c r="Q602" s="11" t="str">
        <f>SUBSTITUTE(UC!Q602,"Old","New")</f>
        <v/>
      </c>
      <c r="R602" s="12"/>
      <c r="S602" s="13" t="str">
        <f t="shared" si="172"/>
        <v>COMFOI</v>
      </c>
      <c r="T602" s="13" t="str">
        <f t="shared" si="173"/>
        <v>COMOTHNewSHEUE</v>
      </c>
      <c r="U602" s="13" t="str">
        <f t="shared" si="174"/>
        <v>COMOTHNewSHEUE</v>
      </c>
      <c r="V602" s="14">
        <v>2025</v>
      </c>
      <c r="W602" s="14" t="str">
        <f>W601</f>
        <v>UP</v>
      </c>
      <c r="X602" s="14"/>
      <c r="Y602" s="15">
        <f>UC!Y602</f>
        <v>-3.5000000000000003E-2</v>
      </c>
      <c r="Z602" s="14"/>
      <c r="AA602" s="14"/>
      <c r="AB602" s="10"/>
      <c r="AC602" s="20"/>
    </row>
    <row r="603" spans="1:29" x14ac:dyDescent="0.25">
      <c r="A603" s="10">
        <f>A602</f>
        <v>150</v>
      </c>
      <c r="B603" s="10"/>
      <c r="C603" s="11" t="str">
        <f>SUBSTITUTE(UC!C603,"Old","New")</f>
        <v/>
      </c>
      <c r="D603" s="12"/>
      <c r="E603" s="13" t="str">
        <f t="shared" si="179"/>
        <v>COMFOI</v>
      </c>
      <c r="F603" s="13" t="str">
        <f t="shared" si="179"/>
        <v>COMOTHNewSHEUE</v>
      </c>
      <c r="G603" s="13" t="str">
        <f t="shared" si="179"/>
        <v>COMOTHNewSHEUE</v>
      </c>
      <c r="H603" s="14">
        <v>2030</v>
      </c>
      <c r="I603" s="14" t="str">
        <f>I602</f>
        <v>LO</v>
      </c>
      <c r="J603" s="14"/>
      <c r="K603" s="15">
        <f>UC!K603</f>
        <v>-5.6000000000000008E-3</v>
      </c>
      <c r="L603" s="14"/>
      <c r="M603" s="14"/>
      <c r="N603" s="10"/>
      <c r="O603" s="20"/>
      <c r="Q603" s="11" t="str">
        <f>SUBSTITUTE(UC!Q603,"Old","New")</f>
        <v/>
      </c>
      <c r="R603" s="12"/>
      <c r="S603" s="13" t="str">
        <f t="shared" si="172"/>
        <v>COMFOI</v>
      </c>
      <c r="T603" s="13" t="str">
        <f t="shared" si="173"/>
        <v>COMOTHNewSHEUE</v>
      </c>
      <c r="U603" s="13" t="str">
        <f t="shared" si="174"/>
        <v>COMOTHNewSHEUE</v>
      </c>
      <c r="V603" s="14">
        <v>2030</v>
      </c>
      <c r="W603" s="14" t="str">
        <f>W602</f>
        <v>UP</v>
      </c>
      <c r="X603" s="14"/>
      <c r="Y603" s="15">
        <f>UC!Y603</f>
        <v>-4.3999999999999997E-2</v>
      </c>
      <c r="Z603" s="14"/>
      <c r="AA603" s="14"/>
      <c r="AB603" s="10"/>
      <c r="AC603" s="20"/>
    </row>
    <row r="604" spans="1:29" x14ac:dyDescent="0.25">
      <c r="A604" s="26">
        <f>A603</f>
        <v>150</v>
      </c>
      <c r="B604" s="26"/>
      <c r="C604" s="21" t="str">
        <f>SUBSTITUTE(UC!C604,"Old","New")</f>
        <v/>
      </c>
      <c r="D604" s="22"/>
      <c r="E604" s="23" t="str">
        <f t="shared" si="179"/>
        <v>COMFOI</v>
      </c>
      <c r="F604" s="23" t="str">
        <f t="shared" si="179"/>
        <v>COMOTHNewSHEUE</v>
      </c>
      <c r="G604" s="23" t="str">
        <f t="shared" si="179"/>
        <v>COMOTHNewSHEUE</v>
      </c>
      <c r="H604" s="24">
        <v>2050</v>
      </c>
      <c r="I604" s="24" t="str">
        <f>I603</f>
        <v>LO</v>
      </c>
      <c r="J604" s="24"/>
      <c r="K604" s="25">
        <f>UC!K604</f>
        <v>0</v>
      </c>
      <c r="L604" s="24"/>
      <c r="M604" s="24"/>
      <c r="N604" s="26"/>
      <c r="O604" s="27"/>
      <c r="Q604" s="21" t="str">
        <f>SUBSTITUTE(UC!Q604,"Old","New")</f>
        <v/>
      </c>
      <c r="R604" s="22"/>
      <c r="S604" s="23" t="str">
        <f t="shared" si="172"/>
        <v>COMFOI</v>
      </c>
      <c r="T604" s="23" t="str">
        <f t="shared" si="173"/>
        <v>COMOTHNewSHEUE</v>
      </c>
      <c r="U604" s="23" t="str">
        <f t="shared" si="174"/>
        <v>COMOTHNewSHEUE</v>
      </c>
      <c r="V604" s="24">
        <v>2050</v>
      </c>
      <c r="W604" s="24" t="str">
        <f>W603</f>
        <v>UP</v>
      </c>
      <c r="X604" s="24"/>
      <c r="Y604" s="25">
        <f>UC!Y604</f>
        <v>-8.6999999999999994E-2</v>
      </c>
      <c r="Z604" s="24"/>
      <c r="AA604" s="24"/>
      <c r="AB604" s="26"/>
      <c r="AC604" s="27"/>
    </row>
    <row r="605" spans="1:29" x14ac:dyDescent="0.25">
      <c r="A605" s="19">
        <f>A601+1</f>
        <v>151</v>
      </c>
      <c r="B605" s="10"/>
      <c r="C605" s="11" t="str">
        <f>SUBSTITUTE(UC!C605,"Old","New")</f>
        <v>*</v>
      </c>
      <c r="D605" s="12"/>
      <c r="E605" s="13" t="str">
        <f>_xlfn.XLOOKUP($A605,Selected_constraint_UC!$A:$A,Selected_constraint_UC!$B:$B)</f>
        <v>COMLPG</v>
      </c>
      <c r="F605" s="13" t="str">
        <f>SUBSTITUTE(_xlfn.XLOOKUP($A605,Selected_constraint_UC!$A:$A,Selected_constraint_UC!$C:$C),"Old","New")</f>
        <v>COMOTHNewSHEUE</v>
      </c>
      <c r="G605" s="13" t="str">
        <f>F605</f>
        <v>COMOTHNewSHEUE</v>
      </c>
      <c r="H605" s="14">
        <v>2019</v>
      </c>
      <c r="I605" s="14" t="s">
        <v>3848</v>
      </c>
      <c r="J605" s="14">
        <v>1</v>
      </c>
      <c r="K605" s="15">
        <f>UC!K605</f>
        <v>0</v>
      </c>
      <c r="L605" s="14">
        <v>0</v>
      </c>
      <c r="M605" s="14">
        <v>5</v>
      </c>
      <c r="N605" s="10"/>
      <c r="O605" s="20"/>
      <c r="Q605" s="11" t="str">
        <f>SUBSTITUTE(UC!Q605,"Old","New")</f>
        <v>*</v>
      </c>
      <c r="R605" s="12"/>
      <c r="S605" s="13" t="str">
        <f t="shared" si="172"/>
        <v>COMLPG</v>
      </c>
      <c r="T605" s="13" t="str">
        <f t="shared" si="173"/>
        <v>COMOTHNewSHEUE</v>
      </c>
      <c r="U605" s="13" t="str">
        <f t="shared" si="174"/>
        <v>COMOTHNewSHEUE</v>
      </c>
      <c r="V605" s="14">
        <f>H605</f>
        <v>2019</v>
      </c>
      <c r="W605" s="29" t="s">
        <v>3849</v>
      </c>
      <c r="X605" s="14">
        <v>1</v>
      </c>
      <c r="Y605" s="15">
        <f>UC!Y605</f>
        <v>0</v>
      </c>
      <c r="Z605" s="14">
        <v>0</v>
      </c>
      <c r="AA605" s="14">
        <v>5</v>
      </c>
      <c r="AB605" s="10"/>
      <c r="AC605" s="20"/>
    </row>
    <row r="606" spans="1:29" x14ac:dyDescent="0.25">
      <c r="A606" s="10">
        <f>A605</f>
        <v>151</v>
      </c>
      <c r="B606" s="10"/>
      <c r="C606" s="11" t="str">
        <f>SUBSTITUTE(UC!C606,"Old","New")</f>
        <v>*</v>
      </c>
      <c r="D606" s="12"/>
      <c r="E606" s="13" t="str">
        <f t="shared" ref="E606:G608" si="180">E605</f>
        <v>COMLPG</v>
      </c>
      <c r="F606" s="13" t="str">
        <f t="shared" si="180"/>
        <v>COMOTHNewSHEUE</v>
      </c>
      <c r="G606" s="13" t="str">
        <f t="shared" si="180"/>
        <v>COMOTHNewSHEUE</v>
      </c>
      <c r="H606" s="14">
        <v>2025</v>
      </c>
      <c r="I606" s="14" t="str">
        <f>I605</f>
        <v>LO</v>
      </c>
      <c r="J606" s="14"/>
      <c r="K606" s="15">
        <f>UC!K606</f>
        <v>0</v>
      </c>
      <c r="L606" s="14"/>
      <c r="M606" s="14"/>
      <c r="N606" s="10"/>
      <c r="O606" s="20"/>
      <c r="Q606" s="11" t="str">
        <f>SUBSTITUTE(UC!Q606,"Old","New")</f>
        <v>*</v>
      </c>
      <c r="R606" s="12"/>
      <c r="S606" s="13" t="str">
        <f t="shared" si="172"/>
        <v>COMLPG</v>
      </c>
      <c r="T606" s="13" t="str">
        <f t="shared" si="173"/>
        <v>COMOTHNewSHEUE</v>
      </c>
      <c r="U606" s="13" t="str">
        <f t="shared" si="174"/>
        <v>COMOTHNewSHEUE</v>
      </c>
      <c r="V606" s="14">
        <v>2025</v>
      </c>
      <c r="W606" s="14" t="str">
        <f>W605</f>
        <v>UP</v>
      </c>
      <c r="X606" s="14"/>
      <c r="Y606" s="15">
        <f>UC!Y606</f>
        <v>0</v>
      </c>
      <c r="Z606" s="14"/>
      <c r="AA606" s="14"/>
      <c r="AB606" s="10"/>
      <c r="AC606" s="20"/>
    </row>
    <row r="607" spans="1:29" x14ac:dyDescent="0.25">
      <c r="A607" s="10">
        <f>A606</f>
        <v>151</v>
      </c>
      <c r="B607" s="10"/>
      <c r="C607" s="11" t="str">
        <f>SUBSTITUTE(UC!C607,"Old","New")</f>
        <v>*</v>
      </c>
      <c r="D607" s="12"/>
      <c r="E607" s="13" t="str">
        <f t="shared" si="180"/>
        <v>COMLPG</v>
      </c>
      <c r="F607" s="13" t="str">
        <f t="shared" si="180"/>
        <v>COMOTHNewSHEUE</v>
      </c>
      <c r="G607" s="13" t="str">
        <f t="shared" si="180"/>
        <v>COMOTHNewSHEUE</v>
      </c>
      <c r="H607" s="14">
        <v>2030</v>
      </c>
      <c r="I607" s="14" t="str">
        <f>I606</f>
        <v>LO</v>
      </c>
      <c r="J607" s="14"/>
      <c r="K607" s="15">
        <f>UC!K607</f>
        <v>0</v>
      </c>
      <c r="L607" s="14"/>
      <c r="M607" s="14"/>
      <c r="N607" s="10"/>
      <c r="O607" s="20"/>
      <c r="Q607" s="11" t="str">
        <f>SUBSTITUTE(UC!Q607,"Old","New")</f>
        <v>*</v>
      </c>
      <c r="R607" s="12"/>
      <c r="S607" s="13" t="str">
        <f t="shared" si="172"/>
        <v>COMLPG</v>
      </c>
      <c r="T607" s="13" t="str">
        <f t="shared" si="173"/>
        <v>COMOTHNewSHEUE</v>
      </c>
      <c r="U607" s="13" t="str">
        <f t="shared" si="174"/>
        <v>COMOTHNewSHEUE</v>
      </c>
      <c r="V607" s="14">
        <v>2030</v>
      </c>
      <c r="W607" s="14" t="str">
        <f>W606</f>
        <v>UP</v>
      </c>
      <c r="X607" s="14"/>
      <c r="Y607" s="15">
        <f>UC!Y607</f>
        <v>0</v>
      </c>
      <c r="Z607" s="14"/>
      <c r="AA607" s="14"/>
      <c r="AB607" s="10"/>
      <c r="AC607" s="20"/>
    </row>
    <row r="608" spans="1:29" x14ac:dyDescent="0.25">
      <c r="A608" s="26">
        <f>A607</f>
        <v>151</v>
      </c>
      <c r="B608" s="26"/>
      <c r="C608" s="21" t="str">
        <f>SUBSTITUTE(UC!C608,"Old","New")</f>
        <v>*</v>
      </c>
      <c r="D608" s="22"/>
      <c r="E608" s="23" t="str">
        <f t="shared" si="180"/>
        <v>COMLPG</v>
      </c>
      <c r="F608" s="23" t="str">
        <f t="shared" si="180"/>
        <v>COMOTHNewSHEUE</v>
      </c>
      <c r="G608" s="23" t="str">
        <f t="shared" si="180"/>
        <v>COMOTHNewSHEUE</v>
      </c>
      <c r="H608" s="24">
        <v>2050</v>
      </c>
      <c r="I608" s="24" t="str">
        <f>I607</f>
        <v>LO</v>
      </c>
      <c r="J608" s="24"/>
      <c r="K608" s="25">
        <f>UC!K608</f>
        <v>0</v>
      </c>
      <c r="L608" s="24"/>
      <c r="M608" s="24"/>
      <c r="N608" s="26"/>
      <c r="O608" s="27"/>
      <c r="Q608" s="21" t="str">
        <f>SUBSTITUTE(UC!Q608,"Old","New")</f>
        <v>*</v>
      </c>
      <c r="R608" s="22"/>
      <c r="S608" s="23" t="str">
        <f t="shared" si="172"/>
        <v>COMLPG</v>
      </c>
      <c r="T608" s="23" t="str">
        <f t="shared" si="173"/>
        <v>COMOTHNewSHEUE</v>
      </c>
      <c r="U608" s="23" t="str">
        <f t="shared" si="174"/>
        <v>COMOTHNewSHEUE</v>
      </c>
      <c r="V608" s="24">
        <v>2050</v>
      </c>
      <c r="W608" s="24" t="str">
        <f>W607</f>
        <v>UP</v>
      </c>
      <c r="X608" s="24"/>
      <c r="Y608" s="25">
        <f>UC!Y608</f>
        <v>0</v>
      </c>
      <c r="Z608" s="24"/>
      <c r="AA608" s="24"/>
      <c r="AB608" s="26"/>
      <c r="AC608" s="27"/>
    </row>
    <row r="609" spans="1:29" x14ac:dyDescent="0.25">
      <c r="A609" s="19">
        <f>A605+1</f>
        <v>152</v>
      </c>
      <c r="B609" s="10"/>
      <c r="C609" s="11" t="str">
        <f>SUBSTITUTE(UC!C609,"Old","New")</f>
        <v>*</v>
      </c>
      <c r="D609" s="12"/>
      <c r="E609" s="13" t="str">
        <f>_xlfn.XLOOKUP($A609,Selected_constraint_UC!$A:$A,Selected_constraint_UC!$B:$B)</f>
        <v>COMSTM</v>
      </c>
      <c r="F609" s="13" t="str">
        <f>SUBSTITUTE(_xlfn.XLOOKUP($A609,Selected_constraint_UC!$A:$A,Selected_constraint_UC!$C:$C),"Old","New")</f>
        <v>COMOTHNewSHEUE</v>
      </c>
      <c r="G609" s="13" t="str">
        <f>F609</f>
        <v>COMOTHNewSHEUE</v>
      </c>
      <c r="H609" s="14">
        <v>2019</v>
      </c>
      <c r="I609" s="14" t="s">
        <v>3848</v>
      </c>
      <c r="J609" s="14">
        <v>1</v>
      </c>
      <c r="K609" s="15">
        <f>UC!K609</f>
        <v>-2.4500000000000001E-2</v>
      </c>
      <c r="L609" s="14">
        <v>0</v>
      </c>
      <c r="M609" s="14">
        <v>5</v>
      </c>
      <c r="N609" s="10"/>
      <c r="O609" s="20"/>
      <c r="Q609" s="11" t="str">
        <f>SUBSTITUTE(UC!Q609,"Old","New")</f>
        <v>*</v>
      </c>
      <c r="R609" s="12"/>
      <c r="S609" s="13" t="str">
        <f t="shared" si="172"/>
        <v>COMSTM</v>
      </c>
      <c r="T609" s="13" t="str">
        <f t="shared" si="173"/>
        <v>COMOTHNewSHEUE</v>
      </c>
      <c r="U609" s="13" t="str">
        <f t="shared" si="174"/>
        <v>COMOTHNewSHEUE</v>
      </c>
      <c r="V609" s="14">
        <f>H609</f>
        <v>2019</v>
      </c>
      <c r="W609" s="29" t="s">
        <v>3849</v>
      </c>
      <c r="X609" s="14">
        <v>1</v>
      </c>
      <c r="Y609" s="15">
        <f>UC!Y609</f>
        <v>-2.6000000000000002E-2</v>
      </c>
      <c r="Z609" s="14">
        <v>0</v>
      </c>
      <c r="AA609" s="14">
        <v>5</v>
      </c>
      <c r="AB609" s="10"/>
      <c r="AC609" s="20"/>
    </row>
    <row r="610" spans="1:29" x14ac:dyDescent="0.25">
      <c r="A610" s="10">
        <f>A609</f>
        <v>152</v>
      </c>
      <c r="B610" s="10"/>
      <c r="C610" s="11" t="str">
        <f>SUBSTITUTE(UC!C610,"Old","New")</f>
        <v>*</v>
      </c>
      <c r="D610" s="12"/>
      <c r="E610" s="13" t="str">
        <f t="shared" ref="E610:G612" si="181">E609</f>
        <v>COMSTM</v>
      </c>
      <c r="F610" s="13" t="str">
        <f t="shared" si="181"/>
        <v>COMOTHNewSHEUE</v>
      </c>
      <c r="G610" s="13" t="str">
        <f t="shared" si="181"/>
        <v>COMOTHNewSHEUE</v>
      </c>
      <c r="H610" s="14">
        <v>2025</v>
      </c>
      <c r="I610" s="14" t="str">
        <f>I609</f>
        <v>LO</v>
      </c>
      <c r="J610" s="14"/>
      <c r="K610" s="15">
        <f>UC!K610</f>
        <v>-2.0000000000000004E-2</v>
      </c>
      <c r="L610" s="14"/>
      <c r="M610" s="14"/>
      <c r="N610" s="10"/>
      <c r="O610" s="20"/>
      <c r="Q610" s="11" t="str">
        <f>SUBSTITUTE(UC!Q610,"Old","New")</f>
        <v>*</v>
      </c>
      <c r="R610" s="12"/>
      <c r="S610" s="13" t="str">
        <f t="shared" si="172"/>
        <v>COMSTM</v>
      </c>
      <c r="T610" s="13" t="str">
        <f t="shared" si="173"/>
        <v>COMOTHNewSHEUE</v>
      </c>
      <c r="U610" s="13" t="str">
        <f t="shared" si="174"/>
        <v>COMOTHNewSHEUE</v>
      </c>
      <c r="V610" s="14">
        <v>2025</v>
      </c>
      <c r="W610" s="14" t="str">
        <f>W609</f>
        <v>UP</v>
      </c>
      <c r="X610" s="14"/>
      <c r="Y610" s="15">
        <f>UC!Y610</f>
        <v>-3.1E-2</v>
      </c>
      <c r="Z610" s="14"/>
      <c r="AA610" s="14"/>
      <c r="AB610" s="10"/>
      <c r="AC610" s="20"/>
    </row>
    <row r="611" spans="1:29" x14ac:dyDescent="0.25">
      <c r="A611" s="10">
        <f>A610</f>
        <v>152</v>
      </c>
      <c r="B611" s="10"/>
      <c r="C611" s="11" t="str">
        <f>SUBSTITUTE(UC!C611,"Old","New")</f>
        <v>*</v>
      </c>
      <c r="D611" s="12"/>
      <c r="E611" s="13" t="str">
        <f t="shared" si="181"/>
        <v>COMSTM</v>
      </c>
      <c r="F611" s="13" t="str">
        <f t="shared" si="181"/>
        <v>COMOTHNewSHEUE</v>
      </c>
      <c r="G611" s="13" t="str">
        <f t="shared" si="181"/>
        <v>COMOTHNewSHEUE</v>
      </c>
      <c r="H611" s="14">
        <v>2030</v>
      </c>
      <c r="I611" s="14" t="str">
        <f>I610</f>
        <v>LO</v>
      </c>
      <c r="J611" s="14"/>
      <c r="K611" s="15">
        <f>UC!K611</f>
        <v>-5.000000000000001E-3</v>
      </c>
      <c r="L611" s="14"/>
      <c r="M611" s="14"/>
      <c r="N611" s="10"/>
      <c r="O611" s="20"/>
      <c r="Q611" s="11" t="str">
        <f>SUBSTITUTE(UC!Q611,"Old","New")</f>
        <v>*</v>
      </c>
      <c r="R611" s="12"/>
      <c r="S611" s="13" t="str">
        <f t="shared" si="172"/>
        <v>COMSTM</v>
      </c>
      <c r="T611" s="13" t="str">
        <f t="shared" si="173"/>
        <v>COMOTHNewSHEUE</v>
      </c>
      <c r="U611" s="13" t="str">
        <f t="shared" si="174"/>
        <v>COMOTHNewSHEUE</v>
      </c>
      <c r="V611" s="14">
        <v>2030</v>
      </c>
      <c r="W611" s="14" t="str">
        <f>W610</f>
        <v>UP</v>
      </c>
      <c r="X611" s="14"/>
      <c r="Y611" s="15">
        <f>UC!Y611</f>
        <v>-3.7999999999999999E-2</v>
      </c>
      <c r="Z611" s="14"/>
      <c r="AA611" s="14"/>
      <c r="AB611" s="10"/>
      <c r="AC611" s="20"/>
    </row>
    <row r="612" spans="1:29" x14ac:dyDescent="0.25">
      <c r="A612" s="26">
        <f>A611</f>
        <v>152</v>
      </c>
      <c r="B612" s="26"/>
      <c r="C612" s="21" t="str">
        <f>SUBSTITUTE(UC!C612,"Old","New")</f>
        <v>*</v>
      </c>
      <c r="D612" s="22"/>
      <c r="E612" s="23" t="str">
        <f t="shared" si="181"/>
        <v>COMSTM</v>
      </c>
      <c r="F612" s="23" t="str">
        <f t="shared" si="181"/>
        <v>COMOTHNewSHEUE</v>
      </c>
      <c r="G612" s="23" t="str">
        <f t="shared" si="181"/>
        <v>COMOTHNewSHEUE</v>
      </c>
      <c r="H612" s="24">
        <v>2050</v>
      </c>
      <c r="I612" s="24" t="str">
        <f>I611</f>
        <v>LO</v>
      </c>
      <c r="J612" s="24"/>
      <c r="K612" s="25">
        <f>UC!K612</f>
        <v>0</v>
      </c>
      <c r="L612" s="24"/>
      <c r="M612" s="24"/>
      <c r="N612" s="26"/>
      <c r="O612" s="27"/>
      <c r="Q612" s="21" t="str">
        <f>SUBSTITUTE(UC!Q612,"Old","New")</f>
        <v>*</v>
      </c>
      <c r="R612" s="22"/>
      <c r="S612" s="23" t="str">
        <f t="shared" si="172"/>
        <v>COMSTM</v>
      </c>
      <c r="T612" s="23" t="str">
        <f t="shared" si="173"/>
        <v>COMOTHNewSHEUE</v>
      </c>
      <c r="U612" s="23" t="str">
        <f t="shared" si="174"/>
        <v>COMOTHNewSHEUE</v>
      </c>
      <c r="V612" s="24">
        <v>2050</v>
      </c>
      <c r="W612" s="24" t="str">
        <f>W611</f>
        <v>UP</v>
      </c>
      <c r="X612" s="24"/>
      <c r="Y612" s="25">
        <f>UC!Y612</f>
        <v>-7.5999999999999998E-2</v>
      </c>
      <c r="Z612" s="24"/>
      <c r="AA612" s="24"/>
      <c r="AB612" s="26"/>
      <c r="AC612" s="27"/>
    </row>
    <row r="613" spans="1:29" x14ac:dyDescent="0.25">
      <c r="A613" s="19">
        <f>A609+1</f>
        <v>153</v>
      </c>
      <c r="B613" s="10"/>
      <c r="C613" s="11" t="str">
        <f>SUBSTITUTE(UC!C613,"Old","New")</f>
        <v>UC_MarketShare_COMOTHNewSC_ELC_MIN</v>
      </c>
      <c r="D613" s="12"/>
      <c r="E613" s="13" t="str">
        <f>_xlfn.XLOOKUP($A613,Selected_constraint_UC!$A:$A,Selected_constraint_UC!$B:$B)</f>
        <v>COMELC</v>
      </c>
      <c r="F613" s="13" t="str">
        <f>SUBSTITUTE(_xlfn.XLOOKUP($A613,Selected_constraint_UC!$A:$A,Selected_constraint_UC!$C:$C),"Old","New")</f>
        <v>COMOTHNewSCEUE</v>
      </c>
      <c r="G613" s="13" t="str">
        <f>F613</f>
        <v>COMOTHNewSCEUE</v>
      </c>
      <c r="H613" s="14">
        <v>2019</v>
      </c>
      <c r="I613" s="14" t="s">
        <v>3848</v>
      </c>
      <c r="J613" s="14">
        <v>1</v>
      </c>
      <c r="K613" s="15">
        <f>UC!K613</f>
        <v>-0.98</v>
      </c>
      <c r="L613" s="14">
        <v>0</v>
      </c>
      <c r="M613" s="14">
        <v>5</v>
      </c>
      <c r="N613" s="10"/>
      <c r="O613" s="20"/>
      <c r="Q613" s="11" t="str">
        <f>SUBSTITUTE(UC!Q613,"Old","New")</f>
        <v>UC_MarketShare_COMOTHNewSC_ELC_MAX</v>
      </c>
      <c r="R613" s="12"/>
      <c r="S613" s="13" t="str">
        <f t="shared" si="172"/>
        <v>COMELC</v>
      </c>
      <c r="T613" s="13" t="str">
        <f t="shared" si="173"/>
        <v>COMOTHNewSCEUE</v>
      </c>
      <c r="U613" s="13" t="str">
        <f t="shared" si="174"/>
        <v>COMOTHNewSCEUE</v>
      </c>
      <c r="V613" s="14">
        <f>H613</f>
        <v>2019</v>
      </c>
      <c r="W613" s="29" t="s">
        <v>3849</v>
      </c>
      <c r="X613" s="14">
        <v>1</v>
      </c>
      <c r="Y613" s="15">
        <f>UC!Y613</f>
        <v>-1</v>
      </c>
      <c r="Z613" s="14">
        <v>0</v>
      </c>
      <c r="AA613" s="14">
        <v>5</v>
      </c>
      <c r="AB613" s="10"/>
      <c r="AC613" s="20"/>
    </row>
    <row r="614" spans="1:29" x14ac:dyDescent="0.25">
      <c r="A614" s="10">
        <f>A613</f>
        <v>153</v>
      </c>
      <c r="B614" s="10"/>
      <c r="C614" s="11" t="str">
        <f>SUBSTITUTE(UC!C614,"Old","New")</f>
        <v/>
      </c>
      <c r="D614" s="12"/>
      <c r="E614" s="13" t="str">
        <f t="shared" ref="E614:G616" si="182">E613</f>
        <v>COMELC</v>
      </c>
      <c r="F614" s="13" t="str">
        <f t="shared" si="182"/>
        <v>COMOTHNewSCEUE</v>
      </c>
      <c r="G614" s="13" t="str">
        <f t="shared" si="182"/>
        <v>COMOTHNewSCEUE</v>
      </c>
      <c r="H614" s="14">
        <v>2025</v>
      </c>
      <c r="I614" s="14" t="str">
        <f>I613</f>
        <v>LO</v>
      </c>
      <c r="J614" s="14"/>
      <c r="K614" s="15">
        <f>UC!K614</f>
        <v>-0.8</v>
      </c>
      <c r="L614" s="14"/>
      <c r="M614" s="14"/>
      <c r="N614" s="10"/>
      <c r="O614" s="20"/>
      <c r="Q614" s="11" t="str">
        <f>SUBSTITUTE(UC!Q614,"Old","New")</f>
        <v/>
      </c>
      <c r="R614" s="12"/>
      <c r="S614" s="13" t="str">
        <f t="shared" si="172"/>
        <v>COMELC</v>
      </c>
      <c r="T614" s="13" t="str">
        <f t="shared" si="173"/>
        <v>COMOTHNewSCEUE</v>
      </c>
      <c r="U614" s="13" t="str">
        <f t="shared" si="174"/>
        <v>COMOTHNewSCEUE</v>
      </c>
      <c r="V614" s="14">
        <v>2025</v>
      </c>
      <c r="W614" s="14" t="str">
        <f>W613</f>
        <v>UP</v>
      </c>
      <c r="X614" s="14"/>
      <c r="Y614" s="15">
        <f>UC!Y614</f>
        <v>-1</v>
      </c>
      <c r="Z614" s="14"/>
      <c r="AA614" s="14"/>
      <c r="AB614" s="10"/>
      <c r="AC614" s="20"/>
    </row>
    <row r="615" spans="1:29" x14ac:dyDescent="0.25">
      <c r="A615" s="10">
        <f>A614</f>
        <v>153</v>
      </c>
      <c r="B615" s="10"/>
      <c r="C615" s="11" t="str">
        <f>SUBSTITUTE(UC!C615,"Old","New")</f>
        <v/>
      </c>
      <c r="D615" s="12"/>
      <c r="E615" s="13" t="str">
        <f t="shared" si="182"/>
        <v>COMELC</v>
      </c>
      <c r="F615" s="13" t="str">
        <f t="shared" si="182"/>
        <v>COMOTHNewSCEUE</v>
      </c>
      <c r="G615" s="13" t="str">
        <f t="shared" si="182"/>
        <v>COMOTHNewSCEUE</v>
      </c>
      <c r="H615" s="14">
        <v>2030</v>
      </c>
      <c r="I615" s="14" t="str">
        <f>I614</f>
        <v>LO</v>
      </c>
      <c r="J615" s="14"/>
      <c r="K615" s="15">
        <f>UC!K615</f>
        <v>-0.75</v>
      </c>
      <c r="L615" s="14"/>
      <c r="M615" s="14"/>
      <c r="N615" s="10"/>
      <c r="O615" s="20"/>
      <c r="Q615" s="11" t="str">
        <f>SUBSTITUTE(UC!Q615,"Old","New")</f>
        <v/>
      </c>
      <c r="R615" s="12"/>
      <c r="S615" s="13" t="str">
        <f t="shared" si="172"/>
        <v>COMELC</v>
      </c>
      <c r="T615" s="13" t="str">
        <f t="shared" si="173"/>
        <v>COMOTHNewSCEUE</v>
      </c>
      <c r="U615" s="13" t="str">
        <f t="shared" si="174"/>
        <v>COMOTHNewSCEUE</v>
      </c>
      <c r="V615" s="14">
        <v>2030</v>
      </c>
      <c r="W615" s="14" t="str">
        <f>W614</f>
        <v>UP</v>
      </c>
      <c r="X615" s="14"/>
      <c r="Y615" s="15">
        <f>UC!Y615</f>
        <v>-1</v>
      </c>
      <c r="Z615" s="14"/>
      <c r="AA615" s="14"/>
      <c r="AB615" s="10"/>
      <c r="AC615" s="20"/>
    </row>
    <row r="616" spans="1:29" x14ac:dyDescent="0.25">
      <c r="A616" s="26">
        <f>A615</f>
        <v>153</v>
      </c>
      <c r="B616" s="26"/>
      <c r="C616" s="21" t="str">
        <f>SUBSTITUTE(UC!C616,"Old","New")</f>
        <v/>
      </c>
      <c r="D616" s="22"/>
      <c r="E616" s="23" t="str">
        <f t="shared" si="182"/>
        <v>COMELC</v>
      </c>
      <c r="F616" s="23" t="str">
        <f t="shared" si="182"/>
        <v>COMOTHNewSCEUE</v>
      </c>
      <c r="G616" s="23" t="str">
        <f t="shared" si="182"/>
        <v>COMOTHNewSCEUE</v>
      </c>
      <c r="H616" s="24">
        <v>2050</v>
      </c>
      <c r="I616" s="24" t="str">
        <f>I615</f>
        <v>LO</v>
      </c>
      <c r="J616" s="24"/>
      <c r="K616" s="25">
        <f>UC!K616</f>
        <v>-0.75</v>
      </c>
      <c r="L616" s="24"/>
      <c r="M616" s="24"/>
      <c r="N616" s="26"/>
      <c r="O616" s="27"/>
      <c r="Q616" s="21" t="str">
        <f>SUBSTITUTE(UC!Q616,"Old","New")</f>
        <v/>
      </c>
      <c r="R616" s="22"/>
      <c r="S616" s="23" t="str">
        <f t="shared" si="172"/>
        <v>COMELC</v>
      </c>
      <c r="T616" s="23" t="str">
        <f t="shared" si="173"/>
        <v>COMOTHNewSCEUE</v>
      </c>
      <c r="U616" s="23" t="str">
        <f t="shared" si="174"/>
        <v>COMOTHNewSCEUE</v>
      </c>
      <c r="V616" s="24">
        <v>2050</v>
      </c>
      <c r="W616" s="24" t="str">
        <f>W615</f>
        <v>UP</v>
      </c>
      <c r="X616" s="24"/>
      <c r="Y616" s="25">
        <f>UC!Y616</f>
        <v>-1</v>
      </c>
      <c r="Z616" s="24"/>
      <c r="AA616" s="24"/>
      <c r="AB616" s="26"/>
      <c r="AC616" s="27"/>
    </row>
    <row r="617" spans="1:29" x14ac:dyDescent="0.25">
      <c r="A617" s="19">
        <f>A613+1</f>
        <v>154</v>
      </c>
      <c r="B617" s="10"/>
      <c r="C617" s="11" t="str">
        <f>SUBSTITUTE(UC!C617,"Old","New")</f>
        <v>*</v>
      </c>
      <c r="D617" s="12"/>
      <c r="E617" s="13" t="str">
        <f>_xlfn.XLOOKUP($A617,Selected_constraint_UC!$A:$A,Selected_constraint_UC!$B:$B)</f>
        <v>COMELC</v>
      </c>
      <c r="F617" s="13" t="str">
        <f>SUBSTITUTE(_xlfn.XLOOKUP($A617,Selected_constraint_UC!$A:$A,Selected_constraint_UC!$C:$C),"Old","New")</f>
        <v>COMOTHNewVTEUE</v>
      </c>
      <c r="G617" s="13" t="str">
        <f>F617</f>
        <v>COMOTHNewVTEUE</v>
      </c>
      <c r="H617" s="14">
        <v>2019</v>
      </c>
      <c r="I617" s="14" t="s">
        <v>3848</v>
      </c>
      <c r="J617" s="14">
        <v>1</v>
      </c>
      <c r="K617" s="15">
        <f>UC!K617</f>
        <v>-0.98</v>
      </c>
      <c r="L617" s="14">
        <v>0</v>
      </c>
      <c r="M617" s="14">
        <v>5</v>
      </c>
      <c r="N617" s="10"/>
      <c r="O617" s="20"/>
      <c r="Q617" s="11" t="str">
        <f>SUBSTITUTE(UC!Q617,"Old","New")</f>
        <v>*</v>
      </c>
      <c r="R617" s="12"/>
      <c r="S617" s="13" t="str">
        <f t="shared" si="172"/>
        <v>COMELC</v>
      </c>
      <c r="T617" s="13" t="str">
        <f t="shared" si="173"/>
        <v>COMOTHNewVTEUE</v>
      </c>
      <c r="U617" s="13" t="str">
        <f t="shared" si="174"/>
        <v>COMOTHNewVTEUE</v>
      </c>
      <c r="V617" s="14">
        <f>H617</f>
        <v>2019</v>
      </c>
      <c r="W617" s="29" t="s">
        <v>3849</v>
      </c>
      <c r="X617" s="14">
        <v>1</v>
      </c>
      <c r="Y617" s="15">
        <f>UC!Y617</f>
        <v>-1</v>
      </c>
      <c r="Z617" s="14">
        <v>0</v>
      </c>
      <c r="AA617" s="14">
        <v>5</v>
      </c>
      <c r="AB617" s="10"/>
      <c r="AC617" s="20"/>
    </row>
    <row r="618" spans="1:29" x14ac:dyDescent="0.25">
      <c r="A618" s="10">
        <f>A617</f>
        <v>154</v>
      </c>
      <c r="B618" s="10"/>
      <c r="C618" s="11" t="str">
        <f>SUBSTITUTE(UC!C618,"Old","New")</f>
        <v>*</v>
      </c>
      <c r="D618" s="12"/>
      <c r="E618" s="13" t="str">
        <f t="shared" ref="E618:G620" si="183">E617</f>
        <v>COMELC</v>
      </c>
      <c r="F618" s="13" t="str">
        <f t="shared" si="183"/>
        <v>COMOTHNewVTEUE</v>
      </c>
      <c r="G618" s="13" t="str">
        <f t="shared" si="183"/>
        <v>COMOTHNewVTEUE</v>
      </c>
      <c r="H618" s="14">
        <v>2025</v>
      </c>
      <c r="I618" s="14" t="str">
        <f>I617</f>
        <v>LO</v>
      </c>
      <c r="J618" s="14"/>
      <c r="K618" s="15">
        <f>UC!K618</f>
        <v>-0.8</v>
      </c>
      <c r="L618" s="14"/>
      <c r="M618" s="14"/>
      <c r="N618" s="10"/>
      <c r="O618" s="20"/>
      <c r="Q618" s="11" t="str">
        <f>SUBSTITUTE(UC!Q618,"Old","New")</f>
        <v>*</v>
      </c>
      <c r="R618" s="12"/>
      <c r="S618" s="13" t="str">
        <f t="shared" si="172"/>
        <v>COMELC</v>
      </c>
      <c r="T618" s="13" t="str">
        <f t="shared" si="173"/>
        <v>COMOTHNewVTEUE</v>
      </c>
      <c r="U618" s="13" t="str">
        <f t="shared" si="174"/>
        <v>COMOTHNewVTEUE</v>
      </c>
      <c r="V618" s="14">
        <v>2025</v>
      </c>
      <c r="W618" s="14" t="str">
        <f>W617</f>
        <v>UP</v>
      </c>
      <c r="X618" s="14"/>
      <c r="Y618" s="15">
        <f>UC!Y618</f>
        <v>-1</v>
      </c>
      <c r="Z618" s="14"/>
      <c r="AA618" s="14"/>
      <c r="AB618" s="10"/>
      <c r="AC618" s="20"/>
    </row>
    <row r="619" spans="1:29" x14ac:dyDescent="0.25">
      <c r="A619" s="10">
        <f>A618</f>
        <v>154</v>
      </c>
      <c r="B619" s="10"/>
      <c r="C619" s="11" t="str">
        <f>SUBSTITUTE(UC!C619,"Old","New")</f>
        <v>*</v>
      </c>
      <c r="D619" s="12"/>
      <c r="E619" s="13" t="str">
        <f t="shared" si="183"/>
        <v>COMELC</v>
      </c>
      <c r="F619" s="13" t="str">
        <f t="shared" si="183"/>
        <v>COMOTHNewVTEUE</v>
      </c>
      <c r="G619" s="13" t="str">
        <f t="shared" si="183"/>
        <v>COMOTHNewVTEUE</v>
      </c>
      <c r="H619" s="14">
        <v>2030</v>
      </c>
      <c r="I619" s="14" t="str">
        <f>I618</f>
        <v>LO</v>
      </c>
      <c r="J619" s="14"/>
      <c r="K619" s="15">
        <f>UC!K619</f>
        <v>-0.2</v>
      </c>
      <c r="L619" s="14"/>
      <c r="M619" s="14"/>
      <c r="N619" s="10"/>
      <c r="O619" s="20"/>
      <c r="Q619" s="11" t="str">
        <f>SUBSTITUTE(UC!Q619,"Old","New")</f>
        <v>*</v>
      </c>
      <c r="R619" s="12"/>
      <c r="S619" s="13" t="str">
        <f t="shared" si="172"/>
        <v>COMELC</v>
      </c>
      <c r="T619" s="13" t="str">
        <f t="shared" si="173"/>
        <v>COMOTHNewVTEUE</v>
      </c>
      <c r="U619" s="13" t="str">
        <f t="shared" si="174"/>
        <v>COMOTHNewVTEUE</v>
      </c>
      <c r="V619" s="14">
        <v>2030</v>
      </c>
      <c r="W619" s="14" t="str">
        <f>W618</f>
        <v>UP</v>
      </c>
      <c r="X619" s="14"/>
      <c r="Y619" s="15">
        <f>UC!Y619</f>
        <v>-1</v>
      </c>
      <c r="Z619" s="14"/>
      <c r="AA619" s="14"/>
      <c r="AB619" s="10"/>
      <c r="AC619" s="20"/>
    </row>
    <row r="620" spans="1:29" x14ac:dyDescent="0.25">
      <c r="A620" s="26">
        <f>A619</f>
        <v>154</v>
      </c>
      <c r="B620" s="26"/>
      <c r="C620" s="21" t="str">
        <f>SUBSTITUTE(UC!C620,"Old","New")</f>
        <v>*</v>
      </c>
      <c r="D620" s="22"/>
      <c r="E620" s="23" t="str">
        <f t="shared" si="183"/>
        <v>COMELC</v>
      </c>
      <c r="F620" s="23" t="str">
        <f t="shared" si="183"/>
        <v>COMOTHNewVTEUE</v>
      </c>
      <c r="G620" s="23" t="str">
        <f t="shared" si="183"/>
        <v>COMOTHNewVTEUE</v>
      </c>
      <c r="H620" s="24">
        <v>2050</v>
      </c>
      <c r="I620" s="24" t="str">
        <f>I619</f>
        <v>LO</v>
      </c>
      <c r="J620" s="24"/>
      <c r="K620" s="25">
        <f>UC!K620</f>
        <v>0</v>
      </c>
      <c r="L620" s="24"/>
      <c r="M620" s="24"/>
      <c r="N620" s="26"/>
      <c r="O620" s="27"/>
      <c r="Q620" s="21" t="str">
        <f>SUBSTITUTE(UC!Q620,"Old","New")</f>
        <v>*</v>
      </c>
      <c r="R620" s="22"/>
      <c r="S620" s="23" t="str">
        <f t="shared" si="172"/>
        <v>COMELC</v>
      </c>
      <c r="T620" s="23" t="str">
        <f t="shared" si="173"/>
        <v>COMOTHNewVTEUE</v>
      </c>
      <c r="U620" s="23" t="str">
        <f t="shared" si="174"/>
        <v>COMOTHNewVTEUE</v>
      </c>
      <c r="V620" s="24">
        <v>2050</v>
      </c>
      <c r="W620" s="24" t="str">
        <f>W619</f>
        <v>UP</v>
      </c>
      <c r="X620" s="24"/>
      <c r="Y620" s="25">
        <f>UC!Y620</f>
        <v>-1</v>
      </c>
      <c r="Z620" s="24"/>
      <c r="AA620" s="24"/>
      <c r="AB620" s="26"/>
      <c r="AC620" s="27"/>
    </row>
    <row r="621" spans="1:29" x14ac:dyDescent="0.25">
      <c r="A621" s="19">
        <f>A617+1</f>
        <v>155</v>
      </c>
      <c r="B621" s="10"/>
      <c r="C621" s="11" t="str">
        <f>SUBSTITUTE(UC!C621,"Old","New")</f>
        <v>UC_MarketShare_COMOTHNewWH_FOI_MIN</v>
      </c>
      <c r="D621" s="12"/>
      <c r="E621" s="13" t="str">
        <f>_xlfn.XLOOKUP($A621,Selected_constraint_UC!$A:$A,Selected_constraint_UC!$B:$B)</f>
        <v>COMFOI</v>
      </c>
      <c r="F621" s="13" t="str">
        <f>SUBSTITUTE(_xlfn.XLOOKUP($A621,Selected_constraint_UC!$A:$A,Selected_constraint_UC!$C:$C),"Old","New")</f>
        <v>COMOTHNewWHEUE</v>
      </c>
      <c r="G621" s="13" t="str">
        <f>F621</f>
        <v>COMOTHNewWHEUE</v>
      </c>
      <c r="H621" s="14">
        <v>2019</v>
      </c>
      <c r="I621" s="14" t="s">
        <v>3848</v>
      </c>
      <c r="J621" s="14">
        <v>1</v>
      </c>
      <c r="K621" s="15">
        <f>UC!K621</f>
        <v>-7.0559999999999998E-2</v>
      </c>
      <c r="L621" s="14">
        <v>0</v>
      </c>
      <c r="M621" s="14">
        <v>5</v>
      </c>
      <c r="N621" s="10"/>
      <c r="O621" s="20"/>
      <c r="Q621" s="11" t="str">
        <f>SUBSTITUTE(UC!Q621,"Old","New")</f>
        <v>UC_MarketShare_COMOTHNewWH_FOI_MAX</v>
      </c>
      <c r="R621" s="12"/>
      <c r="S621" s="13" t="str">
        <f t="shared" si="172"/>
        <v>COMFOI</v>
      </c>
      <c r="T621" s="13" t="str">
        <f t="shared" si="173"/>
        <v>COMOTHNewWHEUE</v>
      </c>
      <c r="U621" s="13" t="str">
        <f t="shared" si="174"/>
        <v>COMOTHNewWHEUE</v>
      </c>
      <c r="V621" s="14">
        <f>H621</f>
        <v>2019</v>
      </c>
      <c r="W621" s="29" t="s">
        <v>3849</v>
      </c>
      <c r="X621" s="14">
        <v>1</v>
      </c>
      <c r="Y621" s="15">
        <f>UC!Y621</f>
        <v>-7.4999999999999997E-2</v>
      </c>
      <c r="Z621" s="14">
        <v>0</v>
      </c>
      <c r="AA621" s="14">
        <v>5</v>
      </c>
      <c r="AB621" s="10"/>
      <c r="AC621" s="20"/>
    </row>
    <row r="622" spans="1:29" x14ac:dyDescent="0.25">
      <c r="A622" s="10">
        <f>A621</f>
        <v>155</v>
      </c>
      <c r="B622" s="10"/>
      <c r="C622" s="11" t="str">
        <f>SUBSTITUTE(UC!C622,"Old","New")</f>
        <v/>
      </c>
      <c r="D622" s="12"/>
      <c r="E622" s="13" t="str">
        <f t="shared" ref="E622:G624" si="184">E621</f>
        <v>COMFOI</v>
      </c>
      <c r="F622" s="13" t="str">
        <f t="shared" si="184"/>
        <v>COMOTHNewWHEUE</v>
      </c>
      <c r="G622" s="13" t="str">
        <f t="shared" si="184"/>
        <v>COMOTHNewWHEUE</v>
      </c>
      <c r="H622" s="14">
        <v>2025</v>
      </c>
      <c r="I622" s="14" t="str">
        <f>I621</f>
        <v>LO</v>
      </c>
      <c r="J622" s="14"/>
      <c r="K622" s="15">
        <f>UC!K622</f>
        <v>-5.7599999999999998E-2</v>
      </c>
      <c r="L622" s="14"/>
      <c r="M622" s="14"/>
      <c r="N622" s="10"/>
      <c r="O622" s="20"/>
      <c r="Q622" s="11" t="str">
        <f>SUBSTITUTE(UC!Q622,"Old","New")</f>
        <v/>
      </c>
      <c r="R622" s="12"/>
      <c r="S622" s="13" t="str">
        <f t="shared" si="172"/>
        <v>COMFOI</v>
      </c>
      <c r="T622" s="13" t="str">
        <f t="shared" si="173"/>
        <v>COMOTHNewWHEUE</v>
      </c>
      <c r="U622" s="13" t="str">
        <f t="shared" si="174"/>
        <v>COMOTHNewWHEUE</v>
      </c>
      <c r="V622" s="14">
        <v>2025</v>
      </c>
      <c r="W622" s="14" t="str">
        <f>W621</f>
        <v>UP</v>
      </c>
      <c r="X622" s="14"/>
      <c r="Y622" s="15">
        <f>UC!Y622</f>
        <v>-7.2999999999999995E-2</v>
      </c>
      <c r="Z622" s="14"/>
      <c r="AA622" s="14"/>
      <c r="AB622" s="10"/>
      <c r="AC622" s="20"/>
    </row>
    <row r="623" spans="1:29" x14ac:dyDescent="0.25">
      <c r="A623" s="10">
        <f>A622</f>
        <v>155</v>
      </c>
      <c r="B623" s="10"/>
      <c r="C623" s="11" t="str">
        <f>SUBSTITUTE(UC!C623,"Old","New")</f>
        <v/>
      </c>
      <c r="D623" s="12"/>
      <c r="E623" s="13" t="str">
        <f t="shared" si="184"/>
        <v>COMFOI</v>
      </c>
      <c r="F623" s="13" t="str">
        <f t="shared" si="184"/>
        <v>COMOTHNewWHEUE</v>
      </c>
      <c r="G623" s="13" t="str">
        <f t="shared" si="184"/>
        <v>COMOTHNewWHEUE</v>
      </c>
      <c r="H623" s="14">
        <v>2030</v>
      </c>
      <c r="I623" s="14" t="str">
        <f>I622</f>
        <v>LO</v>
      </c>
      <c r="J623" s="14"/>
      <c r="K623" s="15">
        <f>UC!K623</f>
        <v>-1.44E-2</v>
      </c>
      <c r="L623" s="14"/>
      <c r="M623" s="14"/>
      <c r="N623" s="10"/>
      <c r="O623" s="20"/>
      <c r="Q623" s="11" t="str">
        <f>SUBSTITUTE(UC!Q623,"Old","New")</f>
        <v/>
      </c>
      <c r="R623" s="12"/>
      <c r="S623" s="13" t="str">
        <f t="shared" si="172"/>
        <v>COMFOI</v>
      </c>
      <c r="T623" s="13" t="str">
        <f t="shared" si="173"/>
        <v>COMOTHNewWHEUE</v>
      </c>
      <c r="U623" s="13" t="str">
        <f t="shared" si="174"/>
        <v>COMOTHNewWHEUE</v>
      </c>
      <c r="V623" s="14">
        <v>2030</v>
      </c>
      <c r="W623" s="14" t="str">
        <f>W622</f>
        <v>UP</v>
      </c>
      <c r="X623" s="14"/>
      <c r="Y623" s="15">
        <f>UC!Y623</f>
        <v>-6.6000000000000003E-2</v>
      </c>
      <c r="Z623" s="14"/>
      <c r="AA623" s="14"/>
      <c r="AB623" s="10"/>
      <c r="AC623" s="20"/>
    </row>
    <row r="624" spans="1:29" x14ac:dyDescent="0.25">
      <c r="A624" s="26">
        <f>A623</f>
        <v>155</v>
      </c>
      <c r="B624" s="26"/>
      <c r="C624" s="21" t="str">
        <f>SUBSTITUTE(UC!C624,"Old","New")</f>
        <v/>
      </c>
      <c r="D624" s="22"/>
      <c r="E624" s="23" t="str">
        <f t="shared" si="184"/>
        <v>COMFOI</v>
      </c>
      <c r="F624" s="23" t="str">
        <f t="shared" si="184"/>
        <v>COMOTHNewWHEUE</v>
      </c>
      <c r="G624" s="23" t="str">
        <f t="shared" si="184"/>
        <v>COMOTHNewWHEUE</v>
      </c>
      <c r="H624" s="24">
        <v>2050</v>
      </c>
      <c r="I624" s="24" t="str">
        <f>I623</f>
        <v>LO</v>
      </c>
      <c r="J624" s="24"/>
      <c r="K624" s="25">
        <f>UC!K624</f>
        <v>0</v>
      </c>
      <c r="L624" s="24"/>
      <c r="M624" s="24"/>
      <c r="N624" s="26"/>
      <c r="O624" s="27"/>
      <c r="Q624" s="21" t="str">
        <f>SUBSTITUTE(UC!Q624,"Old","New")</f>
        <v/>
      </c>
      <c r="R624" s="22"/>
      <c r="S624" s="23" t="str">
        <f t="shared" si="172"/>
        <v>COMFOI</v>
      </c>
      <c r="T624" s="23" t="str">
        <f t="shared" si="173"/>
        <v>COMOTHNewWHEUE</v>
      </c>
      <c r="U624" s="23" t="str">
        <f t="shared" si="174"/>
        <v>COMOTHNewWHEUE</v>
      </c>
      <c r="V624" s="24">
        <v>2050</v>
      </c>
      <c r="W624" s="24" t="str">
        <f>W623</f>
        <v>UP</v>
      </c>
      <c r="X624" s="24"/>
      <c r="Y624" s="25">
        <f>UC!Y624</f>
        <v>-5.5E-2</v>
      </c>
      <c r="Z624" s="24"/>
      <c r="AA624" s="24"/>
      <c r="AB624" s="26"/>
      <c r="AC624" s="27"/>
    </row>
    <row r="625" spans="1:29" x14ac:dyDescent="0.25">
      <c r="A625" s="19">
        <f>A621+1</f>
        <v>156</v>
      </c>
      <c r="B625" s="10"/>
      <c r="C625" s="11" t="str">
        <f>SUBSTITUTE(UC!C625,"Old","New")</f>
        <v>UC_MarketShare_COMOTHNewWH_NGA_MIN</v>
      </c>
      <c r="D625" s="12"/>
      <c r="E625" s="13" t="str">
        <f>_xlfn.XLOOKUP($A625,Selected_constraint_UC!$A:$A,Selected_constraint_UC!$B:$B)</f>
        <v>COMNGA</v>
      </c>
      <c r="F625" s="13" t="str">
        <f>SUBSTITUTE(_xlfn.XLOOKUP($A625,Selected_constraint_UC!$A:$A,Selected_constraint_UC!$C:$C),"Old","New")</f>
        <v>COMOTHNewWHEUE</v>
      </c>
      <c r="G625" s="13" t="str">
        <f>F625</f>
        <v>COMOTHNewWHEUE</v>
      </c>
      <c r="H625" s="14">
        <v>2019</v>
      </c>
      <c r="I625" s="14" t="s">
        <v>3848</v>
      </c>
      <c r="J625" s="14">
        <v>1</v>
      </c>
      <c r="K625" s="15">
        <f>UC!K625</f>
        <v>-0.83887999999999996</v>
      </c>
      <c r="L625" s="14">
        <v>0</v>
      </c>
      <c r="M625" s="14">
        <v>5</v>
      </c>
      <c r="N625" s="10"/>
      <c r="O625" s="20"/>
      <c r="Q625" s="11" t="str">
        <f>SUBSTITUTE(UC!Q625,"Old","New")</f>
        <v>UC_MarketShare_COMOTHNewWH_NGA_MAX</v>
      </c>
      <c r="R625" s="12"/>
      <c r="S625" s="13" t="str">
        <f t="shared" si="172"/>
        <v>COMNGA</v>
      </c>
      <c r="T625" s="13" t="str">
        <f t="shared" si="173"/>
        <v>COMOTHNewWHEUE</v>
      </c>
      <c r="U625" s="13" t="str">
        <f t="shared" si="174"/>
        <v>COMOTHNewWHEUE</v>
      </c>
      <c r="V625" s="14">
        <f>H625</f>
        <v>2019</v>
      </c>
      <c r="W625" s="29" t="s">
        <v>3849</v>
      </c>
      <c r="X625" s="14">
        <v>1</v>
      </c>
      <c r="Y625" s="15">
        <f>UC!Y625</f>
        <v>-0.874</v>
      </c>
      <c r="Z625" s="14">
        <v>0</v>
      </c>
      <c r="AA625" s="14">
        <v>5</v>
      </c>
      <c r="AB625" s="10"/>
      <c r="AC625" s="20"/>
    </row>
    <row r="626" spans="1:29" x14ac:dyDescent="0.25">
      <c r="A626" s="10">
        <f>A625</f>
        <v>156</v>
      </c>
      <c r="B626" s="10"/>
      <c r="C626" s="11" t="str">
        <f>SUBSTITUTE(UC!C626,"Old","New")</f>
        <v/>
      </c>
      <c r="D626" s="12"/>
      <c r="E626" s="13" t="str">
        <f t="shared" ref="E626:G628" si="185">E625</f>
        <v>COMNGA</v>
      </c>
      <c r="F626" s="13" t="str">
        <f t="shared" si="185"/>
        <v>COMOTHNewWHEUE</v>
      </c>
      <c r="G626" s="13" t="str">
        <f t="shared" si="185"/>
        <v>COMOTHNewWHEUE</v>
      </c>
      <c r="H626" s="14">
        <v>2025</v>
      </c>
      <c r="I626" s="14" t="str">
        <f>I625</f>
        <v>LO</v>
      </c>
      <c r="J626" s="14"/>
      <c r="K626" s="15">
        <f>UC!K626</f>
        <v>-0.68480000000000008</v>
      </c>
      <c r="L626" s="14"/>
      <c r="M626" s="14"/>
      <c r="N626" s="10"/>
      <c r="O626" s="20"/>
      <c r="Q626" s="11" t="str">
        <f>SUBSTITUTE(UC!Q626,"Old","New")</f>
        <v/>
      </c>
      <c r="R626" s="12"/>
      <c r="S626" s="13" t="str">
        <f t="shared" si="172"/>
        <v>COMNGA</v>
      </c>
      <c r="T626" s="13" t="str">
        <f t="shared" si="173"/>
        <v>COMOTHNewWHEUE</v>
      </c>
      <c r="U626" s="13" t="str">
        <f t="shared" si="174"/>
        <v>COMOTHNewWHEUE</v>
      </c>
      <c r="V626" s="14">
        <v>2025</v>
      </c>
      <c r="W626" s="14" t="str">
        <f>W625</f>
        <v>UP</v>
      </c>
      <c r="X626" s="14"/>
      <c r="Y626" s="15">
        <f>UC!Y626</f>
        <v>-0.85699999999999998</v>
      </c>
      <c r="Z626" s="14"/>
      <c r="AA626" s="14"/>
      <c r="AB626" s="10"/>
      <c r="AC626" s="20"/>
    </row>
    <row r="627" spans="1:29" x14ac:dyDescent="0.25">
      <c r="A627" s="10">
        <f>A626</f>
        <v>156</v>
      </c>
      <c r="B627" s="10"/>
      <c r="C627" s="11" t="str">
        <f>SUBSTITUTE(UC!C627,"Old","New")</f>
        <v/>
      </c>
      <c r="D627" s="12"/>
      <c r="E627" s="13" t="str">
        <f t="shared" si="185"/>
        <v>COMNGA</v>
      </c>
      <c r="F627" s="13" t="str">
        <f t="shared" si="185"/>
        <v>COMOTHNewWHEUE</v>
      </c>
      <c r="G627" s="13" t="str">
        <f t="shared" si="185"/>
        <v>COMOTHNewWHEUE</v>
      </c>
      <c r="H627" s="14">
        <v>2030</v>
      </c>
      <c r="I627" s="14" t="str">
        <f>I626</f>
        <v>LO</v>
      </c>
      <c r="J627" s="14"/>
      <c r="K627" s="15">
        <f>UC!K627</f>
        <v>-0.17120000000000002</v>
      </c>
      <c r="L627" s="14"/>
      <c r="M627" s="14"/>
      <c r="N627" s="10"/>
      <c r="O627" s="20"/>
      <c r="Q627" s="11" t="str">
        <f>SUBSTITUTE(UC!Q627,"Old","New")</f>
        <v/>
      </c>
      <c r="R627" s="12"/>
      <c r="S627" s="13" t="str">
        <f t="shared" si="172"/>
        <v>COMNGA</v>
      </c>
      <c r="T627" s="13" t="str">
        <f t="shared" si="173"/>
        <v>COMOTHNewWHEUE</v>
      </c>
      <c r="U627" s="13" t="str">
        <f t="shared" si="174"/>
        <v>COMOTHNewWHEUE</v>
      </c>
      <c r="V627" s="14">
        <v>2030</v>
      </c>
      <c r="W627" s="14" t="str">
        <f>W626</f>
        <v>UP</v>
      </c>
      <c r="X627" s="14"/>
      <c r="Y627" s="15">
        <f>UC!Y627</f>
        <v>-0.77100000000000002</v>
      </c>
      <c r="Z627" s="14"/>
      <c r="AA627" s="14"/>
      <c r="AB627" s="10"/>
      <c r="AC627" s="20"/>
    </row>
    <row r="628" spans="1:29" x14ac:dyDescent="0.25">
      <c r="A628" s="26">
        <f>A627</f>
        <v>156</v>
      </c>
      <c r="B628" s="26"/>
      <c r="C628" s="21" t="str">
        <f>SUBSTITUTE(UC!C628,"Old","New")</f>
        <v/>
      </c>
      <c r="D628" s="22"/>
      <c r="E628" s="23" t="str">
        <f t="shared" si="185"/>
        <v>COMNGA</v>
      </c>
      <c r="F628" s="23" t="str">
        <f t="shared" si="185"/>
        <v>COMOTHNewWHEUE</v>
      </c>
      <c r="G628" s="23" t="str">
        <f t="shared" si="185"/>
        <v>COMOTHNewWHEUE</v>
      </c>
      <c r="H628" s="24">
        <v>2050</v>
      </c>
      <c r="I628" s="24" t="str">
        <f>I627</f>
        <v>LO</v>
      </c>
      <c r="J628" s="24"/>
      <c r="K628" s="25">
        <f>UC!K628</f>
        <v>0</v>
      </c>
      <c r="L628" s="24"/>
      <c r="M628" s="24"/>
      <c r="N628" s="26"/>
      <c r="O628" s="27"/>
      <c r="Q628" s="21" t="str">
        <f>SUBSTITUTE(UC!Q628,"Old","New")</f>
        <v/>
      </c>
      <c r="R628" s="22"/>
      <c r="S628" s="23" t="str">
        <f t="shared" si="172"/>
        <v>COMNGA</v>
      </c>
      <c r="T628" s="23" t="str">
        <f t="shared" si="173"/>
        <v>COMOTHNewWHEUE</v>
      </c>
      <c r="U628" s="23" t="str">
        <f t="shared" si="174"/>
        <v>COMOTHNewWHEUE</v>
      </c>
      <c r="V628" s="24">
        <v>2050</v>
      </c>
      <c r="W628" s="24" t="str">
        <f>W627</f>
        <v>UP</v>
      </c>
      <c r="X628" s="24"/>
      <c r="Y628" s="25">
        <f>UC!Y628</f>
        <v>-0.64300000000000002</v>
      </c>
      <c r="Z628" s="24"/>
      <c r="AA628" s="24"/>
      <c r="AB628" s="26"/>
      <c r="AC628" s="27"/>
    </row>
    <row r="629" spans="1:29" x14ac:dyDescent="0.25">
      <c r="A629" s="19">
        <f>A625+1</f>
        <v>157</v>
      </c>
      <c r="B629" s="10"/>
      <c r="C629" s="11" t="str">
        <f>SUBSTITUTE(UC!C629,"Old","New")</f>
        <v>*</v>
      </c>
      <c r="D629" s="12"/>
      <c r="E629" s="13" t="str">
        <f>_xlfn.XLOOKUP($A629,Selected_constraint_UC!$A:$A,Selected_constraint_UC!$B:$B)</f>
        <v>COMSTM</v>
      </c>
      <c r="F629" s="13" t="str">
        <f>SUBSTITUTE(_xlfn.XLOOKUP($A629,Selected_constraint_UC!$A:$A,Selected_constraint_UC!$C:$C),"Old","New")</f>
        <v>COMOTHNewWHEUE</v>
      </c>
      <c r="G629" s="13" t="str">
        <f>F629</f>
        <v>COMOTHNewWHEUE</v>
      </c>
      <c r="H629" s="14">
        <v>2019</v>
      </c>
      <c r="I629" s="14" t="s">
        <v>3848</v>
      </c>
      <c r="J629" s="14">
        <v>1</v>
      </c>
      <c r="K629" s="15">
        <f>UC!K629</f>
        <v>-1.9599999999999999E-2</v>
      </c>
      <c r="L629" s="14">
        <v>0</v>
      </c>
      <c r="M629" s="14">
        <v>5</v>
      </c>
      <c r="N629" s="10"/>
      <c r="O629" s="20"/>
      <c r="Q629" s="11" t="str">
        <f>SUBSTITUTE(UC!Q629,"Old","New")</f>
        <v>*</v>
      </c>
      <c r="R629" s="12"/>
      <c r="S629" s="13" t="str">
        <f t="shared" si="172"/>
        <v>COMSTM</v>
      </c>
      <c r="T629" s="13" t="str">
        <f t="shared" si="173"/>
        <v>COMOTHNewWHEUE</v>
      </c>
      <c r="U629" s="13" t="str">
        <f t="shared" si="174"/>
        <v>COMOTHNewWHEUE</v>
      </c>
      <c r="V629" s="14">
        <f>H629</f>
        <v>2019</v>
      </c>
      <c r="W629" s="29" t="s">
        <v>3849</v>
      </c>
      <c r="X629" s="14">
        <v>1</v>
      </c>
      <c r="Y629" s="15">
        <f>UC!Y629</f>
        <v>-2.1000000000000001E-2</v>
      </c>
      <c r="Z629" s="14">
        <v>0</v>
      </c>
      <c r="AA629" s="14">
        <v>5</v>
      </c>
      <c r="AB629" s="10"/>
      <c r="AC629" s="20"/>
    </row>
    <row r="630" spans="1:29" x14ac:dyDescent="0.25">
      <c r="A630" s="10">
        <f>A629</f>
        <v>157</v>
      </c>
      <c r="B630" s="10"/>
      <c r="C630" s="11" t="str">
        <f>SUBSTITUTE(UC!C630,"Old","New")</f>
        <v>*</v>
      </c>
      <c r="D630" s="12"/>
      <c r="E630" s="13" t="str">
        <f t="shared" ref="E630:G632" si="186">E629</f>
        <v>COMSTM</v>
      </c>
      <c r="F630" s="13" t="str">
        <f t="shared" si="186"/>
        <v>COMOTHNewWHEUE</v>
      </c>
      <c r="G630" s="13" t="str">
        <f t="shared" si="186"/>
        <v>COMOTHNewWHEUE</v>
      </c>
      <c r="H630" s="14">
        <v>2025</v>
      </c>
      <c r="I630" s="14" t="str">
        <f>I629</f>
        <v>LO</v>
      </c>
      <c r="J630" s="14"/>
      <c r="K630" s="15">
        <f>UC!K630</f>
        <v>-1.6E-2</v>
      </c>
      <c r="L630" s="14"/>
      <c r="M630" s="14"/>
      <c r="N630" s="10"/>
      <c r="O630" s="20"/>
      <c r="Q630" s="11" t="str">
        <f>SUBSTITUTE(UC!Q630,"Old","New")</f>
        <v>*</v>
      </c>
      <c r="R630" s="12"/>
      <c r="S630" s="13" t="str">
        <f t="shared" si="172"/>
        <v>COMSTM</v>
      </c>
      <c r="T630" s="13" t="str">
        <f t="shared" si="173"/>
        <v>COMOTHNewWHEUE</v>
      </c>
      <c r="U630" s="13" t="str">
        <f t="shared" si="174"/>
        <v>COMOTHNewWHEUE</v>
      </c>
      <c r="V630" s="14">
        <v>2025</v>
      </c>
      <c r="W630" s="14" t="str">
        <f>W629</f>
        <v>UP</v>
      </c>
      <c r="X630" s="14"/>
      <c r="Y630" s="15">
        <f>UC!Y630</f>
        <v>-2.5000000000000001E-2</v>
      </c>
      <c r="Z630" s="14"/>
      <c r="AA630" s="14"/>
      <c r="AB630" s="10"/>
      <c r="AC630" s="20"/>
    </row>
    <row r="631" spans="1:29" x14ac:dyDescent="0.25">
      <c r="A631" s="10">
        <f>A630</f>
        <v>157</v>
      </c>
      <c r="B631" s="10"/>
      <c r="C631" s="11" t="str">
        <f>SUBSTITUTE(UC!C631,"Old","New")</f>
        <v>*</v>
      </c>
      <c r="D631" s="12"/>
      <c r="E631" s="13" t="str">
        <f t="shared" si="186"/>
        <v>COMSTM</v>
      </c>
      <c r="F631" s="13" t="str">
        <f t="shared" si="186"/>
        <v>COMOTHNewWHEUE</v>
      </c>
      <c r="G631" s="13" t="str">
        <f t="shared" si="186"/>
        <v>COMOTHNewWHEUE</v>
      </c>
      <c r="H631" s="14">
        <v>2030</v>
      </c>
      <c r="I631" s="14" t="str">
        <f>I630</f>
        <v>LO</v>
      </c>
      <c r="J631" s="14"/>
      <c r="K631" s="15">
        <f>UC!K631</f>
        <v>-4.0000000000000001E-3</v>
      </c>
      <c r="L631" s="14"/>
      <c r="M631" s="14"/>
      <c r="N631" s="10"/>
      <c r="O631" s="20"/>
      <c r="Q631" s="11" t="str">
        <f>SUBSTITUTE(UC!Q631,"Old","New")</f>
        <v>*</v>
      </c>
      <c r="R631" s="12"/>
      <c r="S631" s="13" t="str">
        <f t="shared" si="172"/>
        <v>COMSTM</v>
      </c>
      <c r="T631" s="13" t="str">
        <f t="shared" si="173"/>
        <v>COMOTHNewWHEUE</v>
      </c>
      <c r="U631" s="13" t="str">
        <f t="shared" si="174"/>
        <v>COMOTHNewWHEUE</v>
      </c>
      <c r="V631" s="14">
        <v>2030</v>
      </c>
      <c r="W631" s="14" t="str">
        <f>W630</f>
        <v>UP</v>
      </c>
      <c r="X631" s="14"/>
      <c r="Y631" s="15">
        <f>UC!Y631</f>
        <v>-3.1E-2</v>
      </c>
      <c r="Z631" s="14"/>
      <c r="AA631" s="14"/>
      <c r="AB631" s="10"/>
      <c r="AC631" s="20"/>
    </row>
    <row r="632" spans="1:29" x14ac:dyDescent="0.25">
      <c r="A632" s="26">
        <f>A631</f>
        <v>157</v>
      </c>
      <c r="B632" s="26"/>
      <c r="C632" s="21" t="str">
        <f>SUBSTITUTE(UC!C632,"Old","New")</f>
        <v>*</v>
      </c>
      <c r="D632" s="22"/>
      <c r="E632" s="23" t="str">
        <f t="shared" si="186"/>
        <v>COMSTM</v>
      </c>
      <c r="F632" s="23" t="str">
        <f t="shared" si="186"/>
        <v>COMOTHNewWHEUE</v>
      </c>
      <c r="G632" s="23" t="str">
        <f t="shared" si="186"/>
        <v>COMOTHNewWHEUE</v>
      </c>
      <c r="H632" s="24">
        <v>2050</v>
      </c>
      <c r="I632" s="24" t="str">
        <f>I631</f>
        <v>LO</v>
      </c>
      <c r="J632" s="24"/>
      <c r="K632" s="25">
        <f>UC!K632</f>
        <v>0</v>
      </c>
      <c r="L632" s="24"/>
      <c r="M632" s="24"/>
      <c r="N632" s="26"/>
      <c r="O632" s="27"/>
      <c r="Q632" s="21" t="str">
        <f>SUBSTITUTE(UC!Q632,"Old","New")</f>
        <v>*</v>
      </c>
      <c r="R632" s="22"/>
      <c r="S632" s="23" t="str">
        <f t="shared" si="172"/>
        <v>COMSTM</v>
      </c>
      <c r="T632" s="23" t="str">
        <f t="shared" si="173"/>
        <v>COMOTHNewWHEUE</v>
      </c>
      <c r="U632" s="23" t="str">
        <f t="shared" si="174"/>
        <v>COMOTHNewWHEUE</v>
      </c>
      <c r="V632" s="24">
        <v>2050</v>
      </c>
      <c r="W632" s="24" t="str">
        <f>W631</f>
        <v>UP</v>
      </c>
      <c r="X632" s="24"/>
      <c r="Y632" s="25">
        <f>UC!Y632</f>
        <v>-6.0999999999999999E-2</v>
      </c>
      <c r="Z632" s="24"/>
      <c r="AA632" s="24"/>
      <c r="AB632" s="26"/>
      <c r="AC632" s="27"/>
    </row>
    <row r="633" spans="1:29" x14ac:dyDescent="0.25">
      <c r="A633" s="19">
        <f>A629+1</f>
        <v>158</v>
      </c>
      <c r="B633" s="10"/>
      <c r="C633" s="11" t="str">
        <f>SUBSTITUTE(UC!C633,"Old","New")</f>
        <v>UC_MarketShare_COMOTHNewWH_ELC_MIN</v>
      </c>
      <c r="D633" s="12"/>
      <c r="E633" s="13" t="str">
        <f>_xlfn.XLOOKUP($A633,Selected_constraint_UC!$A:$A,Selected_constraint_UC!$B:$B)</f>
        <v>COMELC</v>
      </c>
      <c r="F633" s="13" t="str">
        <f>SUBSTITUTE(_xlfn.XLOOKUP($A633,Selected_constraint_UC!$A:$A,Selected_constraint_UC!$C:$C),"Old","New")</f>
        <v>COMOTHNewWHEUE</v>
      </c>
      <c r="G633" s="13" t="str">
        <f>F633</f>
        <v>COMOTHNewWHEUE</v>
      </c>
      <c r="H633" s="14">
        <v>2019</v>
      </c>
      <c r="I633" s="14" t="s">
        <v>3848</v>
      </c>
      <c r="J633" s="14">
        <v>1</v>
      </c>
      <c r="K633" s="15">
        <f>UC!K633</f>
        <v>-4.9979999999999997E-2</v>
      </c>
      <c r="L633" s="14">
        <v>0</v>
      </c>
      <c r="M633" s="14">
        <v>5</v>
      </c>
      <c r="N633" s="10"/>
      <c r="O633" s="20"/>
      <c r="Q633" s="11" t="str">
        <f>SUBSTITUTE(UC!Q633,"Old","New")</f>
        <v>UC_MarketShare_COMOTHNewWH_ELC_MAX</v>
      </c>
      <c r="R633" s="12"/>
      <c r="S633" s="13" t="str">
        <f t="shared" si="172"/>
        <v>COMELC</v>
      </c>
      <c r="T633" s="13" t="str">
        <f t="shared" si="173"/>
        <v>COMOTHNewWHEUE</v>
      </c>
      <c r="U633" s="13" t="str">
        <f t="shared" si="174"/>
        <v>COMOTHNewWHEUE</v>
      </c>
      <c r="V633" s="14">
        <f>H633</f>
        <v>2019</v>
      </c>
      <c r="W633" s="29" t="s">
        <v>3849</v>
      </c>
      <c r="X633" s="14">
        <v>1</v>
      </c>
      <c r="Y633" s="15">
        <f>UC!Y633</f>
        <v>-5.2999999999999999E-2</v>
      </c>
      <c r="Z633" s="14">
        <v>0</v>
      </c>
      <c r="AA633" s="14">
        <v>5</v>
      </c>
      <c r="AB633" s="10"/>
      <c r="AC633" s="20"/>
    </row>
    <row r="634" spans="1:29" x14ac:dyDescent="0.25">
      <c r="A634" s="10">
        <f>A633</f>
        <v>158</v>
      </c>
      <c r="B634" s="10"/>
      <c r="C634" s="11" t="str">
        <f>SUBSTITUTE(UC!C634,"Old","New")</f>
        <v/>
      </c>
      <c r="D634" s="12"/>
      <c r="E634" s="13" t="str">
        <f t="shared" ref="E634:G636" si="187">E633</f>
        <v>COMELC</v>
      </c>
      <c r="F634" s="13" t="str">
        <f t="shared" si="187"/>
        <v>COMOTHNewWHEUE</v>
      </c>
      <c r="G634" s="13" t="str">
        <f t="shared" si="187"/>
        <v>COMOTHNewWHEUE</v>
      </c>
      <c r="H634" s="14">
        <v>2025</v>
      </c>
      <c r="I634" s="14" t="str">
        <f>I633</f>
        <v>LO</v>
      </c>
      <c r="J634" s="14"/>
      <c r="K634" s="15">
        <f>UC!K634</f>
        <v>-4.0800000000000003E-2</v>
      </c>
      <c r="L634" s="14"/>
      <c r="M634" s="14"/>
      <c r="N634" s="10"/>
      <c r="O634" s="20"/>
      <c r="Q634" s="11" t="str">
        <f>SUBSTITUTE(UC!Q634,"Old","New")</f>
        <v/>
      </c>
      <c r="R634" s="12"/>
      <c r="S634" s="13" t="str">
        <f t="shared" si="172"/>
        <v>COMELC</v>
      </c>
      <c r="T634" s="13" t="str">
        <f t="shared" si="173"/>
        <v>COMOTHNewWHEUE</v>
      </c>
      <c r="U634" s="13" t="str">
        <f t="shared" si="174"/>
        <v>COMOTHNewWHEUE</v>
      </c>
      <c r="V634" s="14">
        <v>2025</v>
      </c>
      <c r="W634" s="14" t="str">
        <f>W633</f>
        <v>UP</v>
      </c>
      <c r="X634" s="14"/>
      <c r="Y634" s="15">
        <f>UC!Y634</f>
        <v>-0.25</v>
      </c>
      <c r="Z634" s="14"/>
      <c r="AA634" s="14"/>
      <c r="AB634" s="10"/>
      <c r="AC634" s="20"/>
    </row>
    <row r="635" spans="1:29" x14ac:dyDescent="0.25">
      <c r="A635" s="10">
        <f>A634</f>
        <v>158</v>
      </c>
      <c r="B635" s="10"/>
      <c r="C635" s="11" t="str">
        <f>SUBSTITUTE(UC!C635,"Old","New")</f>
        <v/>
      </c>
      <c r="D635" s="12"/>
      <c r="E635" s="13" t="str">
        <f t="shared" si="187"/>
        <v>COMELC</v>
      </c>
      <c r="F635" s="13" t="str">
        <f t="shared" si="187"/>
        <v>COMOTHNewWHEUE</v>
      </c>
      <c r="G635" s="13" t="str">
        <f t="shared" si="187"/>
        <v>COMOTHNewWHEUE</v>
      </c>
      <c r="H635" s="14">
        <v>2030</v>
      </c>
      <c r="I635" s="14" t="str">
        <f>I634</f>
        <v>LO</v>
      </c>
      <c r="J635" s="14"/>
      <c r="K635" s="15">
        <f>UC!K635</f>
        <v>-3.8249999999999999E-2</v>
      </c>
      <c r="L635" s="14"/>
      <c r="M635" s="14"/>
      <c r="N635" s="10"/>
      <c r="O635" s="20"/>
      <c r="Q635" s="11" t="str">
        <f>SUBSTITUTE(UC!Q635,"Old","New")</f>
        <v/>
      </c>
      <c r="R635" s="12"/>
      <c r="S635" s="13" t="str">
        <f t="shared" si="172"/>
        <v>COMELC</v>
      </c>
      <c r="T635" s="13" t="str">
        <f t="shared" si="173"/>
        <v>COMOTHNewWHEUE</v>
      </c>
      <c r="U635" s="13" t="str">
        <f t="shared" si="174"/>
        <v>COMOTHNewWHEUE</v>
      </c>
      <c r="V635" s="14">
        <v>2030</v>
      </c>
      <c r="W635" s="14" t="str">
        <f>W634</f>
        <v>UP</v>
      </c>
      <c r="X635" s="14"/>
      <c r="Y635" s="15">
        <f>UC!Y635</f>
        <v>-0.5</v>
      </c>
      <c r="Z635" s="14"/>
      <c r="AA635" s="14"/>
      <c r="AB635" s="10"/>
      <c r="AC635" s="20"/>
    </row>
    <row r="636" spans="1:29" x14ac:dyDescent="0.25">
      <c r="A636" s="26">
        <f>A635</f>
        <v>158</v>
      </c>
      <c r="B636" s="26"/>
      <c r="C636" s="21" t="str">
        <f>SUBSTITUTE(UC!C636,"Old","New")</f>
        <v/>
      </c>
      <c r="D636" s="22"/>
      <c r="E636" s="23" t="str">
        <f t="shared" si="187"/>
        <v>COMELC</v>
      </c>
      <c r="F636" s="23" t="str">
        <f t="shared" si="187"/>
        <v>COMOTHNewWHEUE</v>
      </c>
      <c r="G636" s="23" t="str">
        <f t="shared" si="187"/>
        <v>COMOTHNewWHEUE</v>
      </c>
      <c r="H636" s="24">
        <v>2050</v>
      </c>
      <c r="I636" s="24" t="str">
        <f>I635</f>
        <v>LO</v>
      </c>
      <c r="J636" s="24"/>
      <c r="K636" s="25">
        <f>UC!K636</f>
        <v>-3.8249999999999999E-2</v>
      </c>
      <c r="L636" s="24"/>
      <c r="M636" s="24"/>
      <c r="N636" s="26"/>
      <c r="O636" s="27"/>
      <c r="Q636" s="21" t="str">
        <f>SUBSTITUTE(UC!Q636,"Old","New")</f>
        <v/>
      </c>
      <c r="R636" s="22"/>
      <c r="S636" s="23" t="str">
        <f t="shared" si="172"/>
        <v>COMELC</v>
      </c>
      <c r="T636" s="23" t="str">
        <f t="shared" si="173"/>
        <v>COMOTHNewWHEUE</v>
      </c>
      <c r="U636" s="23" t="str">
        <f t="shared" si="174"/>
        <v>COMOTHNewWHEUE</v>
      </c>
      <c r="V636" s="24">
        <v>2050</v>
      </c>
      <c r="W636" s="24" t="str">
        <f>W635</f>
        <v>UP</v>
      </c>
      <c r="X636" s="24"/>
      <c r="Y636" s="25">
        <f>UC!Y636</f>
        <v>-1</v>
      </c>
      <c r="Z636" s="24"/>
      <c r="AA636" s="24"/>
      <c r="AB636" s="26"/>
      <c r="AC636" s="27"/>
    </row>
    <row r="637" spans="1:29" x14ac:dyDescent="0.25">
      <c r="A637" s="19">
        <f>A633+1</f>
        <v>159</v>
      </c>
      <c r="B637" s="10"/>
      <c r="C637" s="11" t="str">
        <f>SUBSTITUTE(UC!C637,"Old","New")</f>
        <v>*</v>
      </c>
      <c r="D637" s="12"/>
      <c r="E637" s="13" t="str">
        <f>_xlfn.XLOOKUP($A637,Selected_constraint_UC!$A:$A,Selected_constraint_UC!$B:$B)</f>
        <v>COMELC</v>
      </c>
      <c r="F637" s="13" t="str">
        <f>SUBSTITUTE(_xlfn.XLOOKUP($A637,Selected_constraint_UC!$A:$A,Selected_constraint_UC!$C:$C),"Old","New")</f>
        <v>COMOTHNewLTEUE</v>
      </c>
      <c r="G637" s="13" t="str">
        <f>F637</f>
        <v>COMOTHNewLTEUE</v>
      </c>
      <c r="H637" s="14">
        <v>2019</v>
      </c>
      <c r="I637" s="14" t="s">
        <v>3848</v>
      </c>
      <c r="J637" s="14">
        <v>1</v>
      </c>
      <c r="K637" s="15">
        <f>UC!K637</f>
        <v>-0.98</v>
      </c>
      <c r="L637" s="14">
        <v>0</v>
      </c>
      <c r="M637" s="14">
        <v>5</v>
      </c>
      <c r="N637" s="10"/>
      <c r="O637" s="20"/>
      <c r="Q637" s="11" t="str">
        <f>SUBSTITUTE(UC!Q637,"Old","New")</f>
        <v>*</v>
      </c>
      <c r="R637" s="12"/>
      <c r="S637" s="13" t="str">
        <f t="shared" si="172"/>
        <v>COMELC</v>
      </c>
      <c r="T637" s="13" t="str">
        <f t="shared" si="173"/>
        <v>COMOTHNewLTEUE</v>
      </c>
      <c r="U637" s="13" t="str">
        <f t="shared" si="174"/>
        <v>COMOTHNewLTEUE</v>
      </c>
      <c r="V637" s="14">
        <f>H637</f>
        <v>2019</v>
      </c>
      <c r="W637" s="29" t="s">
        <v>3849</v>
      </c>
      <c r="X637" s="14">
        <v>1</v>
      </c>
      <c r="Y637" s="15">
        <f>UC!Y637</f>
        <v>-1</v>
      </c>
      <c r="Z637" s="14">
        <v>0</v>
      </c>
      <c r="AA637" s="14">
        <v>5</v>
      </c>
      <c r="AB637" s="10"/>
      <c r="AC637" s="20"/>
    </row>
    <row r="638" spans="1:29" x14ac:dyDescent="0.25">
      <c r="A638" s="10">
        <f>A637</f>
        <v>159</v>
      </c>
      <c r="B638" s="10"/>
      <c r="C638" s="11" t="str">
        <f>SUBSTITUTE(UC!C638,"Old","New")</f>
        <v>*</v>
      </c>
      <c r="D638" s="12"/>
      <c r="E638" s="13" t="str">
        <f t="shared" ref="E638:G640" si="188">E637</f>
        <v>COMELC</v>
      </c>
      <c r="F638" s="13" t="str">
        <f t="shared" si="188"/>
        <v>COMOTHNewLTEUE</v>
      </c>
      <c r="G638" s="13" t="str">
        <f t="shared" si="188"/>
        <v>COMOTHNewLTEUE</v>
      </c>
      <c r="H638" s="14">
        <v>2025</v>
      </c>
      <c r="I638" s="14" t="str">
        <f>I637</f>
        <v>LO</v>
      </c>
      <c r="J638" s="14"/>
      <c r="K638" s="15">
        <f>UC!K638</f>
        <v>-0.8</v>
      </c>
      <c r="L638" s="14"/>
      <c r="M638" s="14"/>
      <c r="N638" s="10"/>
      <c r="O638" s="20"/>
      <c r="Q638" s="11" t="str">
        <f>SUBSTITUTE(UC!Q638,"Old","New")</f>
        <v>*</v>
      </c>
      <c r="R638" s="12"/>
      <c r="S638" s="13" t="str">
        <f t="shared" si="172"/>
        <v>COMELC</v>
      </c>
      <c r="T638" s="13" t="str">
        <f t="shared" si="173"/>
        <v>COMOTHNewLTEUE</v>
      </c>
      <c r="U638" s="13" t="str">
        <f t="shared" si="174"/>
        <v>COMOTHNewLTEUE</v>
      </c>
      <c r="V638" s="14">
        <v>2025</v>
      </c>
      <c r="W638" s="14" t="str">
        <f>W637</f>
        <v>UP</v>
      </c>
      <c r="X638" s="14"/>
      <c r="Y638" s="15">
        <f>UC!Y638</f>
        <v>-1</v>
      </c>
      <c r="Z638" s="14"/>
      <c r="AA638" s="14"/>
      <c r="AB638" s="10"/>
      <c r="AC638" s="20"/>
    </row>
    <row r="639" spans="1:29" x14ac:dyDescent="0.25">
      <c r="A639" s="10">
        <f>A638</f>
        <v>159</v>
      </c>
      <c r="B639" s="10"/>
      <c r="C639" s="11" t="str">
        <f>SUBSTITUTE(UC!C639,"Old","New")</f>
        <v>*</v>
      </c>
      <c r="D639" s="12"/>
      <c r="E639" s="13" t="str">
        <f t="shared" si="188"/>
        <v>COMELC</v>
      </c>
      <c r="F639" s="13" t="str">
        <f t="shared" si="188"/>
        <v>COMOTHNewLTEUE</v>
      </c>
      <c r="G639" s="13" t="str">
        <f t="shared" si="188"/>
        <v>COMOTHNewLTEUE</v>
      </c>
      <c r="H639" s="14">
        <v>2030</v>
      </c>
      <c r="I639" s="14" t="str">
        <f>I638</f>
        <v>LO</v>
      </c>
      <c r="J639" s="14"/>
      <c r="K639" s="15">
        <f>UC!K639</f>
        <v>-0.2</v>
      </c>
      <c r="L639" s="14"/>
      <c r="M639" s="14"/>
      <c r="N639" s="10"/>
      <c r="O639" s="20"/>
      <c r="Q639" s="11" t="str">
        <f>SUBSTITUTE(UC!Q639,"Old","New")</f>
        <v>*</v>
      </c>
      <c r="R639" s="12"/>
      <c r="S639" s="13" t="str">
        <f t="shared" si="172"/>
        <v>COMELC</v>
      </c>
      <c r="T639" s="13" t="str">
        <f t="shared" si="173"/>
        <v>COMOTHNewLTEUE</v>
      </c>
      <c r="U639" s="13" t="str">
        <f t="shared" si="174"/>
        <v>COMOTHNewLTEUE</v>
      </c>
      <c r="V639" s="14">
        <v>2030</v>
      </c>
      <c r="W639" s="14" t="str">
        <f>W638</f>
        <v>UP</v>
      </c>
      <c r="X639" s="14"/>
      <c r="Y639" s="15">
        <f>UC!Y639</f>
        <v>-1</v>
      </c>
      <c r="Z639" s="14"/>
      <c r="AA639" s="14"/>
      <c r="AB639" s="10"/>
      <c r="AC639" s="20"/>
    </row>
    <row r="640" spans="1:29" x14ac:dyDescent="0.25">
      <c r="A640" s="26">
        <f>A639</f>
        <v>159</v>
      </c>
      <c r="B640" s="26"/>
      <c r="C640" s="21" t="str">
        <f>SUBSTITUTE(UC!C640,"Old","New")</f>
        <v>*</v>
      </c>
      <c r="D640" s="22"/>
      <c r="E640" s="23" t="str">
        <f t="shared" si="188"/>
        <v>COMELC</v>
      </c>
      <c r="F640" s="23" t="str">
        <f t="shared" si="188"/>
        <v>COMOTHNewLTEUE</v>
      </c>
      <c r="G640" s="23" t="str">
        <f t="shared" si="188"/>
        <v>COMOTHNewLTEUE</v>
      </c>
      <c r="H640" s="24">
        <v>2050</v>
      </c>
      <c r="I640" s="24" t="str">
        <f>I639</f>
        <v>LO</v>
      </c>
      <c r="J640" s="24"/>
      <c r="K640" s="25">
        <f>UC!K640</f>
        <v>0</v>
      </c>
      <c r="L640" s="24"/>
      <c r="M640" s="24"/>
      <c r="N640" s="26"/>
      <c r="O640" s="27"/>
      <c r="Q640" s="21" t="str">
        <f>SUBSTITUTE(UC!Q640,"Old","New")</f>
        <v>*</v>
      </c>
      <c r="R640" s="22"/>
      <c r="S640" s="23" t="str">
        <f t="shared" si="172"/>
        <v>COMELC</v>
      </c>
      <c r="T640" s="23" t="str">
        <f t="shared" si="173"/>
        <v>COMOTHNewLTEUE</v>
      </c>
      <c r="U640" s="23" t="str">
        <f t="shared" si="174"/>
        <v>COMOTHNewLTEUE</v>
      </c>
      <c r="V640" s="24">
        <v>2050</v>
      </c>
      <c r="W640" s="24" t="str">
        <f>W639</f>
        <v>UP</v>
      </c>
      <c r="X640" s="24"/>
      <c r="Y640" s="25">
        <f>UC!Y640</f>
        <v>-1</v>
      </c>
      <c r="Z640" s="24"/>
      <c r="AA640" s="24"/>
      <c r="AB640" s="26"/>
      <c r="AC640" s="27"/>
    </row>
    <row r="641" spans="1:29" x14ac:dyDescent="0.25">
      <c r="A641" s="19">
        <f>A637+1</f>
        <v>160</v>
      </c>
      <c r="B641" s="10"/>
      <c r="C641" s="11" t="str">
        <f>SUBSTITUTE(UC!C641,"Old","New")</f>
        <v>*</v>
      </c>
      <c r="D641" s="12"/>
      <c r="E641" s="13" t="str">
        <f>_xlfn.XLOOKUP($A641,Selected_constraint_UC!$A:$A,Selected_constraint_UC!$B:$B)</f>
        <v>COMFOI</v>
      </c>
      <c r="F641" s="13" t="str">
        <f>SUBSTITUTE(_xlfn.XLOOKUP($A641,Selected_constraint_UC!$A:$A,Selected_constraint_UC!$C:$C),"Old","New")</f>
        <v>COMOTHNewCKEUE</v>
      </c>
      <c r="G641" s="13" t="str">
        <f>F641</f>
        <v>COMOTHNewCKEUE</v>
      </c>
      <c r="H641" s="14">
        <v>2019</v>
      </c>
      <c r="I641" s="14" t="s">
        <v>3848</v>
      </c>
      <c r="J641" s="14">
        <v>1</v>
      </c>
      <c r="K641" s="15">
        <f>UC!K641</f>
        <v>0</v>
      </c>
      <c r="L641" s="14">
        <v>0</v>
      </c>
      <c r="M641" s="14">
        <v>5</v>
      </c>
      <c r="N641" s="10"/>
      <c r="O641" s="20"/>
      <c r="Q641" s="11" t="str">
        <f>SUBSTITUTE(UC!Q641,"Old","New")</f>
        <v>*</v>
      </c>
      <c r="R641" s="12"/>
      <c r="S641" s="13" t="str">
        <f t="shared" si="172"/>
        <v>COMFOI</v>
      </c>
      <c r="T641" s="13" t="str">
        <f t="shared" si="173"/>
        <v>COMOTHNewCKEUE</v>
      </c>
      <c r="U641" s="13" t="str">
        <f t="shared" si="174"/>
        <v>COMOTHNewCKEUE</v>
      </c>
      <c r="V641" s="14">
        <f>H641</f>
        <v>2019</v>
      </c>
      <c r="W641" s="29" t="s">
        <v>3849</v>
      </c>
      <c r="X641" s="14">
        <v>1</v>
      </c>
      <c r="Y641" s="15">
        <f>UC!Y641</f>
        <v>0</v>
      </c>
      <c r="Z641" s="14">
        <v>0</v>
      </c>
      <c r="AA641" s="14">
        <v>5</v>
      </c>
      <c r="AB641" s="10"/>
      <c r="AC641" s="20"/>
    </row>
    <row r="642" spans="1:29" x14ac:dyDescent="0.25">
      <c r="A642" s="10">
        <f>A641</f>
        <v>160</v>
      </c>
      <c r="B642" s="10"/>
      <c r="C642" s="11" t="str">
        <f>SUBSTITUTE(UC!C642,"Old","New")</f>
        <v>*</v>
      </c>
      <c r="D642" s="12"/>
      <c r="E642" s="13" t="str">
        <f t="shared" ref="E642:G644" si="189">E641</f>
        <v>COMFOI</v>
      </c>
      <c r="F642" s="13" t="str">
        <f t="shared" si="189"/>
        <v>COMOTHNewCKEUE</v>
      </c>
      <c r="G642" s="13" t="str">
        <f t="shared" si="189"/>
        <v>COMOTHNewCKEUE</v>
      </c>
      <c r="H642" s="14">
        <v>2025</v>
      </c>
      <c r="I642" s="14" t="str">
        <f>I641</f>
        <v>LO</v>
      </c>
      <c r="J642" s="14"/>
      <c r="K642" s="15">
        <f>UC!K642</f>
        <v>0</v>
      </c>
      <c r="L642" s="14"/>
      <c r="M642" s="14"/>
      <c r="N642" s="10"/>
      <c r="O642" s="20"/>
      <c r="Q642" s="11" t="str">
        <f>SUBSTITUTE(UC!Q642,"Old","New")</f>
        <v>*</v>
      </c>
      <c r="R642" s="12"/>
      <c r="S642" s="13" t="str">
        <f t="shared" si="172"/>
        <v>COMFOI</v>
      </c>
      <c r="T642" s="13" t="str">
        <f t="shared" si="173"/>
        <v>COMOTHNewCKEUE</v>
      </c>
      <c r="U642" s="13" t="str">
        <f t="shared" si="174"/>
        <v>COMOTHNewCKEUE</v>
      </c>
      <c r="V642" s="14">
        <v>2025</v>
      </c>
      <c r="W642" s="14" t="str">
        <f>W641</f>
        <v>UP</v>
      </c>
      <c r="X642" s="14"/>
      <c r="Y642" s="15">
        <f>UC!Y642</f>
        <v>0</v>
      </c>
      <c r="Z642" s="14"/>
      <c r="AA642" s="14"/>
      <c r="AB642" s="10"/>
      <c r="AC642" s="20"/>
    </row>
    <row r="643" spans="1:29" x14ac:dyDescent="0.25">
      <c r="A643" s="10">
        <f>A642</f>
        <v>160</v>
      </c>
      <c r="B643" s="10"/>
      <c r="C643" s="11" t="str">
        <f>SUBSTITUTE(UC!C643,"Old","New")</f>
        <v>*</v>
      </c>
      <c r="D643" s="12"/>
      <c r="E643" s="13" t="str">
        <f t="shared" si="189"/>
        <v>COMFOI</v>
      </c>
      <c r="F643" s="13" t="str">
        <f t="shared" si="189"/>
        <v>COMOTHNewCKEUE</v>
      </c>
      <c r="G643" s="13" t="str">
        <f t="shared" si="189"/>
        <v>COMOTHNewCKEUE</v>
      </c>
      <c r="H643" s="14">
        <v>2030</v>
      </c>
      <c r="I643" s="14" t="str">
        <f>I642</f>
        <v>LO</v>
      </c>
      <c r="J643" s="14"/>
      <c r="K643" s="15">
        <f>UC!K643</f>
        <v>0</v>
      </c>
      <c r="L643" s="14"/>
      <c r="M643" s="14"/>
      <c r="N643" s="10"/>
      <c r="O643" s="20"/>
      <c r="Q643" s="11" t="str">
        <f>SUBSTITUTE(UC!Q643,"Old","New")</f>
        <v>*</v>
      </c>
      <c r="R643" s="12"/>
      <c r="S643" s="13" t="str">
        <f t="shared" si="172"/>
        <v>COMFOI</v>
      </c>
      <c r="T643" s="13" t="str">
        <f t="shared" si="173"/>
        <v>COMOTHNewCKEUE</v>
      </c>
      <c r="U643" s="13" t="str">
        <f t="shared" si="174"/>
        <v>COMOTHNewCKEUE</v>
      </c>
      <c r="V643" s="14">
        <v>2030</v>
      </c>
      <c r="W643" s="14" t="str">
        <f>W642</f>
        <v>UP</v>
      </c>
      <c r="X643" s="14"/>
      <c r="Y643" s="15">
        <f>UC!Y643</f>
        <v>0</v>
      </c>
      <c r="Z643" s="14"/>
      <c r="AA643" s="14"/>
      <c r="AB643" s="10"/>
      <c r="AC643" s="20"/>
    </row>
    <row r="644" spans="1:29" x14ac:dyDescent="0.25">
      <c r="A644" s="26">
        <f>A643</f>
        <v>160</v>
      </c>
      <c r="B644" s="26"/>
      <c r="C644" s="21" t="str">
        <f>SUBSTITUTE(UC!C644,"Old","New")</f>
        <v>*</v>
      </c>
      <c r="D644" s="22"/>
      <c r="E644" s="23" t="str">
        <f t="shared" si="189"/>
        <v>COMFOI</v>
      </c>
      <c r="F644" s="23" t="str">
        <f t="shared" si="189"/>
        <v>COMOTHNewCKEUE</v>
      </c>
      <c r="G644" s="23" t="str">
        <f t="shared" si="189"/>
        <v>COMOTHNewCKEUE</v>
      </c>
      <c r="H644" s="24">
        <v>2050</v>
      </c>
      <c r="I644" s="24" t="str">
        <f>I643</f>
        <v>LO</v>
      </c>
      <c r="J644" s="24"/>
      <c r="K644" s="25">
        <f>UC!K644</f>
        <v>0</v>
      </c>
      <c r="L644" s="24"/>
      <c r="M644" s="24"/>
      <c r="N644" s="26"/>
      <c r="O644" s="27"/>
      <c r="Q644" s="21" t="str">
        <f>SUBSTITUTE(UC!Q644,"Old","New")</f>
        <v>*</v>
      </c>
      <c r="R644" s="22"/>
      <c r="S644" s="23" t="str">
        <f t="shared" si="172"/>
        <v>COMFOI</v>
      </c>
      <c r="T644" s="23" t="str">
        <f t="shared" si="173"/>
        <v>COMOTHNewCKEUE</v>
      </c>
      <c r="U644" s="23" t="str">
        <f t="shared" si="174"/>
        <v>COMOTHNewCKEUE</v>
      </c>
      <c r="V644" s="24">
        <v>2050</v>
      </c>
      <c r="W644" s="24" t="str">
        <f>W643</f>
        <v>UP</v>
      </c>
      <c r="X644" s="24"/>
      <c r="Y644" s="25">
        <f>UC!Y644</f>
        <v>0</v>
      </c>
      <c r="Z644" s="24"/>
      <c r="AA644" s="24"/>
      <c r="AB644" s="26"/>
      <c r="AC644" s="27"/>
    </row>
    <row r="645" spans="1:29" x14ac:dyDescent="0.25">
      <c r="A645" s="19">
        <f>A641+1</f>
        <v>161</v>
      </c>
      <c r="B645" s="10"/>
      <c r="C645" s="11" t="str">
        <f>SUBSTITUTE(UC!C645,"Old","New")</f>
        <v>*</v>
      </c>
      <c r="D645" s="12"/>
      <c r="E645" s="13" t="str">
        <f>_xlfn.XLOOKUP($A645,Selected_constraint_UC!$A:$A,Selected_constraint_UC!$B:$B)</f>
        <v>COMNGA</v>
      </c>
      <c r="F645" s="13" t="str">
        <f>SUBSTITUTE(_xlfn.XLOOKUP($A645,Selected_constraint_UC!$A:$A,Selected_constraint_UC!$C:$C),"Old","New")</f>
        <v>COMOTHNewCKEUE</v>
      </c>
      <c r="G645" s="13" t="str">
        <f>F645</f>
        <v>COMOTHNewCKEUE</v>
      </c>
      <c r="H645" s="14">
        <v>2019</v>
      </c>
      <c r="I645" s="14" t="s">
        <v>3848</v>
      </c>
      <c r="J645" s="14">
        <v>1</v>
      </c>
      <c r="K645" s="15">
        <f>UC!K645</f>
        <v>-0.84083999999999992</v>
      </c>
      <c r="L645" s="14">
        <v>0</v>
      </c>
      <c r="M645" s="14">
        <v>5</v>
      </c>
      <c r="N645" s="10"/>
      <c r="O645" s="20"/>
      <c r="Q645" s="11" t="str">
        <f>SUBSTITUTE(UC!Q645,"Old","New")</f>
        <v>*</v>
      </c>
      <c r="R645" s="12"/>
      <c r="S645" s="13" t="str">
        <f t="shared" si="172"/>
        <v>COMNGA</v>
      </c>
      <c r="T645" s="13" t="str">
        <f t="shared" si="173"/>
        <v>COMOTHNewCKEUE</v>
      </c>
      <c r="U645" s="13" t="str">
        <f t="shared" si="174"/>
        <v>COMOTHNewCKEUE</v>
      </c>
      <c r="V645" s="14">
        <f>H645</f>
        <v>2019</v>
      </c>
      <c r="W645" s="29" t="s">
        <v>3849</v>
      </c>
      <c r="X645" s="14">
        <v>1</v>
      </c>
      <c r="Y645" s="15">
        <f>UC!Y645</f>
        <v>-0.876</v>
      </c>
      <c r="Z645" s="14">
        <v>0</v>
      </c>
      <c r="AA645" s="14">
        <v>5</v>
      </c>
      <c r="AB645" s="10"/>
      <c r="AC645" s="20"/>
    </row>
    <row r="646" spans="1:29" x14ac:dyDescent="0.25">
      <c r="A646" s="10">
        <f>A645</f>
        <v>161</v>
      </c>
      <c r="B646" s="10"/>
      <c r="C646" s="11" t="str">
        <f>SUBSTITUTE(UC!C646,"Old","New")</f>
        <v>*</v>
      </c>
      <c r="D646" s="12"/>
      <c r="E646" s="13" t="str">
        <f t="shared" ref="E646:G648" si="190">E645</f>
        <v>COMNGA</v>
      </c>
      <c r="F646" s="13" t="str">
        <f t="shared" si="190"/>
        <v>COMOTHNewCKEUE</v>
      </c>
      <c r="G646" s="13" t="str">
        <f t="shared" si="190"/>
        <v>COMOTHNewCKEUE</v>
      </c>
      <c r="H646" s="14">
        <v>2025</v>
      </c>
      <c r="I646" s="14" t="str">
        <f>I645</f>
        <v>LO</v>
      </c>
      <c r="J646" s="14"/>
      <c r="K646" s="15">
        <f>UC!K646</f>
        <v>-0.68640000000000001</v>
      </c>
      <c r="L646" s="14"/>
      <c r="M646" s="14"/>
      <c r="N646" s="10"/>
      <c r="O646" s="20"/>
      <c r="Q646" s="11" t="str">
        <f>SUBSTITUTE(UC!Q646,"Old","New")</f>
        <v>*</v>
      </c>
      <c r="R646" s="12"/>
      <c r="S646" s="13" t="str">
        <f t="shared" ref="S646:S676" si="191">E646</f>
        <v>COMNGA</v>
      </c>
      <c r="T646" s="13" t="str">
        <f t="shared" ref="T646:T676" si="192">F646</f>
        <v>COMOTHNewCKEUE</v>
      </c>
      <c r="U646" s="13" t="str">
        <f t="shared" ref="U646:U676" si="193">G646</f>
        <v>COMOTHNewCKEUE</v>
      </c>
      <c r="V646" s="14">
        <v>2025</v>
      </c>
      <c r="W646" s="14" t="str">
        <f>W645</f>
        <v>UP</v>
      </c>
      <c r="X646" s="14"/>
      <c r="Y646" s="15">
        <f>UC!Y646</f>
        <v>-1</v>
      </c>
      <c r="Z646" s="14"/>
      <c r="AA646" s="14"/>
      <c r="AB646" s="10"/>
      <c r="AC646" s="20"/>
    </row>
    <row r="647" spans="1:29" x14ac:dyDescent="0.25">
      <c r="A647" s="10">
        <f>A646</f>
        <v>161</v>
      </c>
      <c r="B647" s="10"/>
      <c r="C647" s="11" t="str">
        <f>SUBSTITUTE(UC!C647,"Old","New")</f>
        <v>*</v>
      </c>
      <c r="D647" s="12"/>
      <c r="E647" s="13" t="str">
        <f t="shared" si="190"/>
        <v>COMNGA</v>
      </c>
      <c r="F647" s="13" t="str">
        <f t="shared" si="190"/>
        <v>COMOTHNewCKEUE</v>
      </c>
      <c r="G647" s="13" t="str">
        <f t="shared" si="190"/>
        <v>COMOTHNewCKEUE</v>
      </c>
      <c r="H647" s="14">
        <v>2030</v>
      </c>
      <c r="I647" s="14" t="str">
        <f>I646</f>
        <v>LO</v>
      </c>
      <c r="J647" s="14"/>
      <c r="K647" s="15">
        <f>UC!K647</f>
        <v>-0.1716</v>
      </c>
      <c r="L647" s="14"/>
      <c r="M647" s="14"/>
      <c r="N647" s="10"/>
      <c r="O647" s="20"/>
      <c r="Q647" s="11" t="str">
        <f>SUBSTITUTE(UC!Q647,"Old","New")</f>
        <v>*</v>
      </c>
      <c r="R647" s="12"/>
      <c r="S647" s="13" t="str">
        <f t="shared" si="191"/>
        <v>COMNGA</v>
      </c>
      <c r="T647" s="13" t="str">
        <f t="shared" si="192"/>
        <v>COMOTHNewCKEUE</v>
      </c>
      <c r="U647" s="13" t="str">
        <f t="shared" si="193"/>
        <v>COMOTHNewCKEUE</v>
      </c>
      <c r="V647" s="14">
        <v>2030</v>
      </c>
      <c r="W647" s="14" t="str">
        <f>W646</f>
        <v>UP</v>
      </c>
      <c r="X647" s="14"/>
      <c r="Y647" s="15">
        <f>UC!Y647</f>
        <v>-1</v>
      </c>
      <c r="Z647" s="14"/>
      <c r="AA647" s="14"/>
      <c r="AB647" s="10"/>
      <c r="AC647" s="20"/>
    </row>
    <row r="648" spans="1:29" x14ac:dyDescent="0.25">
      <c r="A648" s="26">
        <f>A647</f>
        <v>161</v>
      </c>
      <c r="B648" s="26"/>
      <c r="C648" s="21" t="str">
        <f>SUBSTITUTE(UC!C648,"Old","New")</f>
        <v>*</v>
      </c>
      <c r="D648" s="22"/>
      <c r="E648" s="23" t="str">
        <f t="shared" si="190"/>
        <v>COMNGA</v>
      </c>
      <c r="F648" s="23" t="str">
        <f t="shared" si="190"/>
        <v>COMOTHNewCKEUE</v>
      </c>
      <c r="G648" s="23" t="str">
        <f t="shared" si="190"/>
        <v>COMOTHNewCKEUE</v>
      </c>
      <c r="H648" s="24">
        <v>2050</v>
      </c>
      <c r="I648" s="24" t="str">
        <f>I647</f>
        <v>LO</v>
      </c>
      <c r="J648" s="24"/>
      <c r="K648" s="25">
        <f>UC!K648</f>
        <v>0</v>
      </c>
      <c r="L648" s="24"/>
      <c r="M648" s="24"/>
      <c r="N648" s="26"/>
      <c r="O648" s="27"/>
      <c r="Q648" s="21" t="str">
        <f>SUBSTITUTE(UC!Q648,"Old","New")</f>
        <v>*</v>
      </c>
      <c r="R648" s="22"/>
      <c r="S648" s="23" t="str">
        <f t="shared" si="191"/>
        <v>COMNGA</v>
      </c>
      <c r="T648" s="23" t="str">
        <f t="shared" si="192"/>
        <v>COMOTHNewCKEUE</v>
      </c>
      <c r="U648" s="23" t="str">
        <f t="shared" si="193"/>
        <v>COMOTHNewCKEUE</v>
      </c>
      <c r="V648" s="24">
        <v>2050</v>
      </c>
      <c r="W648" s="24" t="str">
        <f>W647</f>
        <v>UP</v>
      </c>
      <c r="X648" s="24"/>
      <c r="Y648" s="25">
        <f>UC!Y648</f>
        <v>-1</v>
      </c>
      <c r="Z648" s="24"/>
      <c r="AA648" s="24"/>
      <c r="AB648" s="26"/>
      <c r="AC648" s="27"/>
    </row>
    <row r="649" spans="1:29" x14ac:dyDescent="0.25">
      <c r="A649" s="19">
        <f>A645+1</f>
        <v>162</v>
      </c>
      <c r="B649" s="10"/>
      <c r="C649" s="11" t="str">
        <f>SUBSTITUTE(UC!C649,"Old","New")</f>
        <v>*</v>
      </c>
      <c r="D649" s="12"/>
      <c r="E649" s="13" t="str">
        <f>_xlfn.XLOOKUP($A649,Selected_constraint_UC!$A:$A,Selected_constraint_UC!$B:$B)</f>
        <v>COMSTM</v>
      </c>
      <c r="F649" s="13" t="str">
        <f>SUBSTITUTE(_xlfn.XLOOKUP($A649,Selected_constraint_UC!$A:$A,Selected_constraint_UC!$C:$C),"Old","New")</f>
        <v>COMOTHNewCKEUE</v>
      </c>
      <c r="G649" s="13" t="str">
        <f>F649</f>
        <v>COMOTHNewCKEUE</v>
      </c>
      <c r="H649" s="14">
        <v>2019</v>
      </c>
      <c r="I649" s="14" t="s">
        <v>3848</v>
      </c>
      <c r="J649" s="14">
        <v>1</v>
      </c>
      <c r="K649" s="15">
        <f>UC!K649</f>
        <v>0</v>
      </c>
      <c r="L649" s="14">
        <v>0</v>
      </c>
      <c r="M649" s="14">
        <v>5</v>
      </c>
      <c r="N649" s="10"/>
      <c r="O649" s="20"/>
      <c r="Q649" s="11" t="str">
        <f>SUBSTITUTE(UC!Q649,"Old","New")</f>
        <v>*</v>
      </c>
      <c r="R649" s="12"/>
      <c r="S649" s="13" t="str">
        <f t="shared" si="191"/>
        <v>COMSTM</v>
      </c>
      <c r="T649" s="13" t="str">
        <f t="shared" si="192"/>
        <v>COMOTHNewCKEUE</v>
      </c>
      <c r="U649" s="13" t="str">
        <f t="shared" si="193"/>
        <v>COMOTHNewCKEUE</v>
      </c>
      <c r="V649" s="14">
        <f>H649</f>
        <v>2019</v>
      </c>
      <c r="W649" s="29" t="s">
        <v>3849</v>
      </c>
      <c r="X649" s="14">
        <v>1</v>
      </c>
      <c r="Y649" s="15">
        <f>UC!Y649</f>
        <v>0</v>
      </c>
      <c r="Z649" s="14">
        <v>0</v>
      </c>
      <c r="AA649" s="14">
        <v>5</v>
      </c>
      <c r="AB649" s="10"/>
      <c r="AC649" s="20"/>
    </row>
    <row r="650" spans="1:29" x14ac:dyDescent="0.25">
      <c r="A650" s="10">
        <f>A649</f>
        <v>162</v>
      </c>
      <c r="B650" s="10"/>
      <c r="C650" s="11" t="str">
        <f>SUBSTITUTE(UC!C650,"Old","New")</f>
        <v>*</v>
      </c>
      <c r="D650" s="12"/>
      <c r="E650" s="13" t="str">
        <f t="shared" ref="E650:G652" si="194">E649</f>
        <v>COMSTM</v>
      </c>
      <c r="F650" s="13" t="str">
        <f t="shared" si="194"/>
        <v>COMOTHNewCKEUE</v>
      </c>
      <c r="G650" s="13" t="str">
        <f t="shared" si="194"/>
        <v>COMOTHNewCKEUE</v>
      </c>
      <c r="H650" s="14">
        <v>2025</v>
      </c>
      <c r="I650" s="14" t="str">
        <f>I649</f>
        <v>LO</v>
      </c>
      <c r="J650" s="14"/>
      <c r="K650" s="15">
        <f>UC!K650</f>
        <v>0</v>
      </c>
      <c r="L650" s="14"/>
      <c r="M650" s="14"/>
      <c r="N650" s="10"/>
      <c r="O650" s="20"/>
      <c r="Q650" s="11" t="str">
        <f>SUBSTITUTE(UC!Q650,"Old","New")</f>
        <v>*</v>
      </c>
      <c r="R650" s="12"/>
      <c r="S650" s="13" t="str">
        <f t="shared" si="191"/>
        <v>COMSTM</v>
      </c>
      <c r="T650" s="13" t="str">
        <f t="shared" si="192"/>
        <v>COMOTHNewCKEUE</v>
      </c>
      <c r="U650" s="13" t="str">
        <f t="shared" si="193"/>
        <v>COMOTHNewCKEUE</v>
      </c>
      <c r="V650" s="14">
        <v>2025</v>
      </c>
      <c r="W650" s="14" t="str">
        <f>W649</f>
        <v>UP</v>
      </c>
      <c r="X650" s="14"/>
      <c r="Y650" s="15">
        <f>UC!Y650</f>
        <v>0</v>
      </c>
      <c r="Z650" s="14"/>
      <c r="AA650" s="14"/>
      <c r="AB650" s="10"/>
      <c r="AC650" s="20"/>
    </row>
    <row r="651" spans="1:29" x14ac:dyDescent="0.25">
      <c r="A651" s="10">
        <f>A650</f>
        <v>162</v>
      </c>
      <c r="B651" s="10"/>
      <c r="C651" s="11" t="str">
        <f>SUBSTITUTE(UC!C651,"Old","New")</f>
        <v>*</v>
      </c>
      <c r="D651" s="12"/>
      <c r="E651" s="13" t="str">
        <f t="shared" si="194"/>
        <v>COMSTM</v>
      </c>
      <c r="F651" s="13" t="str">
        <f t="shared" si="194"/>
        <v>COMOTHNewCKEUE</v>
      </c>
      <c r="G651" s="13" t="str">
        <f t="shared" si="194"/>
        <v>COMOTHNewCKEUE</v>
      </c>
      <c r="H651" s="14">
        <v>2030</v>
      </c>
      <c r="I651" s="14" t="str">
        <f>I650</f>
        <v>LO</v>
      </c>
      <c r="J651" s="14"/>
      <c r="K651" s="15">
        <f>UC!K651</f>
        <v>0</v>
      </c>
      <c r="L651" s="14"/>
      <c r="M651" s="14"/>
      <c r="N651" s="10"/>
      <c r="O651" s="20"/>
      <c r="Q651" s="11" t="str">
        <f>SUBSTITUTE(UC!Q651,"Old","New")</f>
        <v>*</v>
      </c>
      <c r="R651" s="12"/>
      <c r="S651" s="13" t="str">
        <f t="shared" si="191"/>
        <v>COMSTM</v>
      </c>
      <c r="T651" s="13" t="str">
        <f t="shared" si="192"/>
        <v>COMOTHNewCKEUE</v>
      </c>
      <c r="U651" s="13" t="str">
        <f t="shared" si="193"/>
        <v>COMOTHNewCKEUE</v>
      </c>
      <c r="V651" s="14">
        <v>2030</v>
      </c>
      <c r="W651" s="14" t="str">
        <f>W650</f>
        <v>UP</v>
      </c>
      <c r="X651" s="14"/>
      <c r="Y651" s="15">
        <f>UC!Y651</f>
        <v>0</v>
      </c>
      <c r="Z651" s="14"/>
      <c r="AA651" s="14"/>
      <c r="AB651" s="10"/>
      <c r="AC651" s="20"/>
    </row>
    <row r="652" spans="1:29" x14ac:dyDescent="0.25">
      <c r="A652" s="26">
        <f>A651</f>
        <v>162</v>
      </c>
      <c r="B652" s="26"/>
      <c r="C652" s="21" t="str">
        <f>SUBSTITUTE(UC!C652,"Old","New")</f>
        <v>*</v>
      </c>
      <c r="D652" s="22"/>
      <c r="E652" s="23" t="str">
        <f t="shared" si="194"/>
        <v>COMSTM</v>
      </c>
      <c r="F652" s="23" t="str">
        <f t="shared" si="194"/>
        <v>COMOTHNewCKEUE</v>
      </c>
      <c r="G652" s="23" t="str">
        <f t="shared" si="194"/>
        <v>COMOTHNewCKEUE</v>
      </c>
      <c r="H652" s="24">
        <v>2050</v>
      </c>
      <c r="I652" s="24" t="str">
        <f>I651</f>
        <v>LO</v>
      </c>
      <c r="J652" s="24"/>
      <c r="K652" s="25">
        <f>UC!K652</f>
        <v>0</v>
      </c>
      <c r="L652" s="24"/>
      <c r="M652" s="24"/>
      <c r="N652" s="26"/>
      <c r="O652" s="27"/>
      <c r="Q652" s="21" t="str">
        <f>SUBSTITUTE(UC!Q652,"Old","New")</f>
        <v>*</v>
      </c>
      <c r="R652" s="22"/>
      <c r="S652" s="23" t="str">
        <f t="shared" si="191"/>
        <v>COMSTM</v>
      </c>
      <c r="T652" s="23" t="str">
        <f t="shared" si="192"/>
        <v>COMOTHNewCKEUE</v>
      </c>
      <c r="U652" s="23" t="str">
        <f t="shared" si="193"/>
        <v>COMOTHNewCKEUE</v>
      </c>
      <c r="V652" s="24">
        <v>2050</v>
      </c>
      <c r="W652" s="24" t="str">
        <f>W651</f>
        <v>UP</v>
      </c>
      <c r="X652" s="24"/>
      <c r="Y652" s="25">
        <f>UC!Y652</f>
        <v>0</v>
      </c>
      <c r="Z652" s="24"/>
      <c r="AA652" s="24"/>
      <c r="AB652" s="26"/>
      <c r="AC652" s="27"/>
    </row>
    <row r="653" spans="1:29" x14ac:dyDescent="0.25">
      <c r="A653" s="19">
        <f>A649+1</f>
        <v>163</v>
      </c>
      <c r="B653" s="10"/>
      <c r="C653" s="11" t="str">
        <f>SUBSTITUTE(UC!C653,"Old","New")</f>
        <v>*</v>
      </c>
      <c r="D653" s="12"/>
      <c r="E653" s="13" t="str">
        <f>_xlfn.XLOOKUP($A653,Selected_constraint_UC!$A:$A,Selected_constraint_UC!$B:$B)</f>
        <v>COMELC</v>
      </c>
      <c r="F653" s="13" t="str">
        <f>SUBSTITUTE(_xlfn.XLOOKUP($A653,Selected_constraint_UC!$A:$A,Selected_constraint_UC!$C:$C),"Old","New")</f>
        <v>COMOTHNewCKEUE</v>
      </c>
      <c r="G653" s="13" t="str">
        <f>F653</f>
        <v>COMOTHNewCKEUE</v>
      </c>
      <c r="H653" s="14">
        <v>2019</v>
      </c>
      <c r="I653" s="14" t="s">
        <v>3848</v>
      </c>
      <c r="J653" s="14">
        <v>1</v>
      </c>
      <c r="K653" s="15">
        <f>UC!K653</f>
        <v>-0.13818</v>
      </c>
      <c r="L653" s="14">
        <v>0</v>
      </c>
      <c r="M653" s="14">
        <v>5</v>
      </c>
      <c r="N653" s="10"/>
      <c r="O653" s="20"/>
      <c r="Q653" s="11" t="str">
        <f>SUBSTITUTE(UC!Q653,"Old","New")</f>
        <v>*</v>
      </c>
      <c r="R653" s="12"/>
      <c r="S653" s="13" t="str">
        <f t="shared" si="191"/>
        <v>COMELC</v>
      </c>
      <c r="T653" s="13" t="str">
        <f t="shared" si="192"/>
        <v>COMOTHNewCKEUE</v>
      </c>
      <c r="U653" s="13" t="str">
        <f t="shared" si="193"/>
        <v>COMOTHNewCKEUE</v>
      </c>
      <c r="V653" s="14">
        <f>H653</f>
        <v>2019</v>
      </c>
      <c r="W653" s="29" t="s">
        <v>3849</v>
      </c>
      <c r="X653" s="14">
        <v>1</v>
      </c>
      <c r="Y653" s="15">
        <f>UC!Y653</f>
        <v>-0.14499999999999999</v>
      </c>
      <c r="Z653" s="14">
        <v>0</v>
      </c>
      <c r="AA653" s="14">
        <v>5</v>
      </c>
      <c r="AB653" s="10"/>
      <c r="AC653" s="20"/>
    </row>
    <row r="654" spans="1:29" x14ac:dyDescent="0.25">
      <c r="A654" s="10">
        <f>A653</f>
        <v>163</v>
      </c>
      <c r="B654" s="10"/>
      <c r="C654" s="11" t="str">
        <f>SUBSTITUTE(UC!C654,"Old","New")</f>
        <v>*</v>
      </c>
      <c r="D654" s="12"/>
      <c r="E654" s="13" t="str">
        <f t="shared" ref="E654:G656" si="195">E653</f>
        <v>COMELC</v>
      </c>
      <c r="F654" s="13" t="str">
        <f t="shared" si="195"/>
        <v>COMOTHNewCKEUE</v>
      </c>
      <c r="G654" s="13" t="str">
        <f t="shared" si="195"/>
        <v>COMOTHNewCKEUE</v>
      </c>
      <c r="H654" s="14">
        <v>2025</v>
      </c>
      <c r="I654" s="14" t="str">
        <f>I653</f>
        <v>LO</v>
      </c>
      <c r="J654" s="14"/>
      <c r="K654" s="15">
        <f>UC!K654</f>
        <v>-0.1128</v>
      </c>
      <c r="L654" s="14"/>
      <c r="M654" s="14"/>
      <c r="N654" s="10"/>
      <c r="O654" s="20"/>
      <c r="Q654" s="11" t="str">
        <f>SUBSTITUTE(UC!Q654,"Old","New")</f>
        <v>*</v>
      </c>
      <c r="R654" s="12"/>
      <c r="S654" s="13" t="str">
        <f t="shared" si="191"/>
        <v>COMELC</v>
      </c>
      <c r="T654" s="13" t="str">
        <f t="shared" si="192"/>
        <v>COMOTHNewCKEUE</v>
      </c>
      <c r="U654" s="13" t="str">
        <f t="shared" si="193"/>
        <v>COMOTHNewCKEUE</v>
      </c>
      <c r="V654" s="14">
        <v>2025</v>
      </c>
      <c r="W654" s="14" t="str">
        <f>W653</f>
        <v>UP</v>
      </c>
      <c r="X654" s="14"/>
      <c r="Y654" s="15">
        <f>UC!Y654</f>
        <v>-0.25</v>
      </c>
      <c r="Z654" s="14"/>
      <c r="AA654" s="14"/>
      <c r="AB654" s="10"/>
      <c r="AC654" s="20"/>
    </row>
    <row r="655" spans="1:29" x14ac:dyDescent="0.25">
      <c r="A655" s="10">
        <f>A654</f>
        <v>163</v>
      </c>
      <c r="B655" s="10"/>
      <c r="C655" s="11" t="str">
        <f>SUBSTITUTE(UC!C655,"Old","New")</f>
        <v>*</v>
      </c>
      <c r="D655" s="12"/>
      <c r="E655" s="13" t="str">
        <f t="shared" si="195"/>
        <v>COMELC</v>
      </c>
      <c r="F655" s="13" t="str">
        <f t="shared" si="195"/>
        <v>COMOTHNewCKEUE</v>
      </c>
      <c r="G655" s="13" t="str">
        <f t="shared" si="195"/>
        <v>COMOTHNewCKEUE</v>
      </c>
      <c r="H655" s="14">
        <v>2030</v>
      </c>
      <c r="I655" s="14" t="str">
        <f>I654</f>
        <v>LO</v>
      </c>
      <c r="J655" s="14"/>
      <c r="K655" s="15">
        <f>UC!K655</f>
        <v>-2.8199999999999999E-2</v>
      </c>
      <c r="L655" s="14"/>
      <c r="M655" s="14"/>
      <c r="N655" s="10"/>
      <c r="O655" s="20"/>
      <c r="Q655" s="11" t="str">
        <f>SUBSTITUTE(UC!Q655,"Old","New")</f>
        <v>*</v>
      </c>
      <c r="R655" s="12"/>
      <c r="S655" s="13" t="str">
        <f t="shared" si="191"/>
        <v>COMELC</v>
      </c>
      <c r="T655" s="13" t="str">
        <f t="shared" si="192"/>
        <v>COMOTHNewCKEUE</v>
      </c>
      <c r="U655" s="13" t="str">
        <f t="shared" si="193"/>
        <v>COMOTHNewCKEUE</v>
      </c>
      <c r="V655" s="14">
        <v>2030</v>
      </c>
      <c r="W655" s="14" t="str">
        <f>W654</f>
        <v>UP</v>
      </c>
      <c r="X655" s="14"/>
      <c r="Y655" s="15">
        <f>UC!Y655</f>
        <v>-0.5</v>
      </c>
      <c r="Z655" s="14"/>
      <c r="AA655" s="14"/>
      <c r="AB655" s="10"/>
      <c r="AC655" s="20"/>
    </row>
    <row r="656" spans="1:29" x14ac:dyDescent="0.25">
      <c r="A656" s="26">
        <f>A655</f>
        <v>163</v>
      </c>
      <c r="B656" s="26"/>
      <c r="C656" s="21" t="str">
        <f>SUBSTITUTE(UC!C656,"Old","New")</f>
        <v>*</v>
      </c>
      <c r="D656" s="22"/>
      <c r="E656" s="23" t="str">
        <f t="shared" si="195"/>
        <v>COMELC</v>
      </c>
      <c r="F656" s="23" t="str">
        <f t="shared" si="195"/>
        <v>COMOTHNewCKEUE</v>
      </c>
      <c r="G656" s="23" t="str">
        <f t="shared" si="195"/>
        <v>COMOTHNewCKEUE</v>
      </c>
      <c r="H656" s="24">
        <v>2050</v>
      </c>
      <c r="I656" s="24" t="str">
        <f>I655</f>
        <v>LO</v>
      </c>
      <c r="J656" s="24"/>
      <c r="K656" s="25">
        <f>UC!K656</f>
        <v>0</v>
      </c>
      <c r="L656" s="24"/>
      <c r="M656" s="24"/>
      <c r="N656" s="26"/>
      <c r="O656" s="27"/>
      <c r="Q656" s="21" t="str">
        <f>SUBSTITUTE(UC!Q656,"Old","New")</f>
        <v>*</v>
      </c>
      <c r="R656" s="22"/>
      <c r="S656" s="23" t="str">
        <f t="shared" si="191"/>
        <v>COMELC</v>
      </c>
      <c r="T656" s="23" t="str">
        <f t="shared" si="192"/>
        <v>COMOTHNewCKEUE</v>
      </c>
      <c r="U656" s="23" t="str">
        <f t="shared" si="193"/>
        <v>COMOTHNewCKEUE</v>
      </c>
      <c r="V656" s="24">
        <v>2050</v>
      </c>
      <c r="W656" s="24" t="str">
        <f>W655</f>
        <v>UP</v>
      </c>
      <c r="X656" s="24"/>
      <c r="Y656" s="25">
        <f>UC!Y656</f>
        <v>-1</v>
      </c>
      <c r="Z656" s="24"/>
      <c r="AA656" s="24"/>
      <c r="AB656" s="26"/>
      <c r="AC656" s="27"/>
    </row>
    <row r="657" spans="1:29" x14ac:dyDescent="0.25">
      <c r="A657" s="19">
        <f>A653+1</f>
        <v>164</v>
      </c>
      <c r="B657" s="10"/>
      <c r="C657" s="11" t="str">
        <f>SUBSTITUTE(UC!C657,"Old","New")</f>
        <v>*</v>
      </c>
      <c r="D657" s="12"/>
      <c r="E657" s="13" t="str">
        <f>_xlfn.XLOOKUP($A657,Selected_constraint_UC!$A:$A,Selected_constraint_UC!$B:$B)</f>
        <v>COMELC</v>
      </c>
      <c r="F657" s="13" t="str">
        <f>SUBSTITUTE(_xlfn.XLOOKUP($A657,Selected_constraint_UC!$A:$A,Selected_constraint_UC!$C:$C),"Old","New")</f>
        <v>COMOTHNewREEUE</v>
      </c>
      <c r="G657" s="13" t="str">
        <f>F657</f>
        <v>COMOTHNewREEUE</v>
      </c>
      <c r="H657" s="14">
        <v>2019</v>
      </c>
      <c r="I657" s="14" t="s">
        <v>3848</v>
      </c>
      <c r="J657" s="14">
        <v>1</v>
      </c>
      <c r="K657" s="15">
        <f>UC!K657</f>
        <v>-0.98</v>
      </c>
      <c r="L657" s="14">
        <v>0</v>
      </c>
      <c r="M657" s="14">
        <v>5</v>
      </c>
      <c r="N657" s="10"/>
      <c r="O657" s="20"/>
      <c r="Q657" s="11" t="str">
        <f>SUBSTITUTE(UC!Q657,"Old","New")</f>
        <v>*</v>
      </c>
      <c r="R657" s="12"/>
      <c r="S657" s="13" t="str">
        <f t="shared" si="191"/>
        <v>COMELC</v>
      </c>
      <c r="T657" s="13" t="str">
        <f t="shared" si="192"/>
        <v>COMOTHNewREEUE</v>
      </c>
      <c r="U657" s="13" t="str">
        <f t="shared" si="193"/>
        <v>COMOTHNewREEUE</v>
      </c>
      <c r="V657" s="14">
        <f>H657</f>
        <v>2019</v>
      </c>
      <c r="W657" s="29" t="s">
        <v>3849</v>
      </c>
      <c r="X657" s="14">
        <v>1</v>
      </c>
      <c r="Y657" s="15">
        <f>UC!Y657</f>
        <v>-1</v>
      </c>
      <c r="Z657" s="14">
        <v>0</v>
      </c>
      <c r="AA657" s="14">
        <v>5</v>
      </c>
      <c r="AB657" s="10"/>
      <c r="AC657" s="20"/>
    </row>
    <row r="658" spans="1:29" x14ac:dyDescent="0.25">
      <c r="A658" s="10">
        <f>A657</f>
        <v>164</v>
      </c>
      <c r="B658" s="10"/>
      <c r="C658" s="11" t="str">
        <f>SUBSTITUTE(UC!C658,"Old","New")</f>
        <v>*</v>
      </c>
      <c r="D658" s="12"/>
      <c r="E658" s="13" t="str">
        <f t="shared" ref="E658:G660" si="196">E657</f>
        <v>COMELC</v>
      </c>
      <c r="F658" s="13" t="str">
        <f t="shared" si="196"/>
        <v>COMOTHNewREEUE</v>
      </c>
      <c r="G658" s="13" t="str">
        <f t="shared" si="196"/>
        <v>COMOTHNewREEUE</v>
      </c>
      <c r="H658" s="14">
        <v>2025</v>
      </c>
      <c r="I658" s="14" t="str">
        <f>I657</f>
        <v>LO</v>
      </c>
      <c r="J658" s="14"/>
      <c r="K658" s="15">
        <f>UC!K658</f>
        <v>-0.8</v>
      </c>
      <c r="L658" s="14"/>
      <c r="M658" s="14"/>
      <c r="N658" s="10"/>
      <c r="O658" s="20"/>
      <c r="Q658" s="11" t="str">
        <f>SUBSTITUTE(UC!Q658,"Old","New")</f>
        <v>*</v>
      </c>
      <c r="R658" s="12"/>
      <c r="S658" s="13" t="str">
        <f t="shared" si="191"/>
        <v>COMELC</v>
      </c>
      <c r="T658" s="13" t="str">
        <f t="shared" si="192"/>
        <v>COMOTHNewREEUE</v>
      </c>
      <c r="U658" s="13" t="str">
        <f t="shared" si="193"/>
        <v>COMOTHNewREEUE</v>
      </c>
      <c r="V658" s="14">
        <v>2025</v>
      </c>
      <c r="W658" s="14" t="str">
        <f>W657</f>
        <v>UP</v>
      </c>
      <c r="X658" s="14"/>
      <c r="Y658" s="15">
        <f>UC!Y658</f>
        <v>-1</v>
      </c>
      <c r="Z658" s="14"/>
      <c r="AA658" s="14"/>
      <c r="AB658" s="10"/>
      <c r="AC658" s="20"/>
    </row>
    <row r="659" spans="1:29" x14ac:dyDescent="0.25">
      <c r="A659" s="10">
        <f>A658</f>
        <v>164</v>
      </c>
      <c r="B659" s="10"/>
      <c r="C659" s="11" t="str">
        <f>SUBSTITUTE(UC!C659,"Old","New")</f>
        <v>*</v>
      </c>
      <c r="D659" s="12"/>
      <c r="E659" s="13" t="str">
        <f t="shared" si="196"/>
        <v>COMELC</v>
      </c>
      <c r="F659" s="13" t="str">
        <f t="shared" si="196"/>
        <v>COMOTHNewREEUE</v>
      </c>
      <c r="G659" s="13" t="str">
        <f t="shared" si="196"/>
        <v>COMOTHNewREEUE</v>
      </c>
      <c r="H659" s="14">
        <v>2030</v>
      </c>
      <c r="I659" s="14" t="str">
        <f>I658</f>
        <v>LO</v>
      </c>
      <c r="J659" s="14"/>
      <c r="K659" s="15">
        <f>UC!K659</f>
        <v>-0.2</v>
      </c>
      <c r="L659" s="14"/>
      <c r="M659" s="14"/>
      <c r="N659" s="10"/>
      <c r="O659" s="20"/>
      <c r="Q659" s="11" t="str">
        <f>SUBSTITUTE(UC!Q659,"Old","New")</f>
        <v>*</v>
      </c>
      <c r="R659" s="12"/>
      <c r="S659" s="13" t="str">
        <f t="shared" si="191"/>
        <v>COMELC</v>
      </c>
      <c r="T659" s="13" t="str">
        <f t="shared" si="192"/>
        <v>COMOTHNewREEUE</v>
      </c>
      <c r="U659" s="13" t="str">
        <f t="shared" si="193"/>
        <v>COMOTHNewREEUE</v>
      </c>
      <c r="V659" s="14">
        <v>2030</v>
      </c>
      <c r="W659" s="14" t="str">
        <f>W658</f>
        <v>UP</v>
      </c>
      <c r="X659" s="14"/>
      <c r="Y659" s="15">
        <f>UC!Y659</f>
        <v>-1</v>
      </c>
      <c r="Z659" s="14"/>
      <c r="AA659" s="14"/>
      <c r="AB659" s="10"/>
      <c r="AC659" s="20"/>
    </row>
    <row r="660" spans="1:29" x14ac:dyDescent="0.25">
      <c r="A660" s="26">
        <f>A659</f>
        <v>164</v>
      </c>
      <c r="B660" s="26"/>
      <c r="C660" s="21" t="str">
        <f>SUBSTITUTE(UC!C660,"Old","New")</f>
        <v>*</v>
      </c>
      <c r="D660" s="22"/>
      <c r="E660" s="23" t="str">
        <f t="shared" si="196"/>
        <v>COMELC</v>
      </c>
      <c r="F660" s="23" t="str">
        <f t="shared" si="196"/>
        <v>COMOTHNewREEUE</v>
      </c>
      <c r="G660" s="23" t="str">
        <f t="shared" si="196"/>
        <v>COMOTHNewREEUE</v>
      </c>
      <c r="H660" s="24">
        <v>2050</v>
      </c>
      <c r="I660" s="24" t="str">
        <f>I659</f>
        <v>LO</v>
      </c>
      <c r="J660" s="24"/>
      <c r="K660" s="25">
        <f>UC!K660</f>
        <v>0</v>
      </c>
      <c r="L660" s="24"/>
      <c r="M660" s="24"/>
      <c r="N660" s="26"/>
      <c r="O660" s="27"/>
      <c r="Q660" s="21" t="str">
        <f>SUBSTITUTE(UC!Q660,"Old","New")</f>
        <v>*</v>
      </c>
      <c r="R660" s="22"/>
      <c r="S660" s="23" t="str">
        <f t="shared" si="191"/>
        <v>COMELC</v>
      </c>
      <c r="T660" s="23" t="str">
        <f t="shared" si="192"/>
        <v>COMOTHNewREEUE</v>
      </c>
      <c r="U660" s="23" t="str">
        <f t="shared" si="193"/>
        <v>COMOTHNewREEUE</v>
      </c>
      <c r="V660" s="24">
        <v>2050</v>
      </c>
      <c r="W660" s="24" t="str">
        <f>W659</f>
        <v>UP</v>
      </c>
      <c r="X660" s="24"/>
      <c r="Y660" s="25">
        <f>UC!Y660</f>
        <v>-1</v>
      </c>
      <c r="Z660" s="24"/>
      <c r="AA660" s="24"/>
      <c r="AB660" s="26"/>
      <c r="AC660" s="27"/>
    </row>
    <row r="661" spans="1:29" x14ac:dyDescent="0.25">
      <c r="A661" s="19">
        <f>A657+1</f>
        <v>165</v>
      </c>
      <c r="B661" s="10"/>
      <c r="C661" s="11" t="str">
        <f>SUBSTITUTE(UC!C661,"Old","New")</f>
        <v>*</v>
      </c>
      <c r="D661" s="12"/>
      <c r="E661" s="13" t="str">
        <f>_xlfn.XLOOKUP($A661,Selected_constraint_UC!$A:$A,Selected_constraint_UC!$B:$B)</f>
        <v>COMFOI</v>
      </c>
      <c r="F661" s="13" t="str">
        <f>SUBSTITUTE(_xlfn.XLOOKUP($A661,Selected_constraint_UC!$A:$A,Selected_constraint_UC!$C:$C),"Old","New")</f>
        <v>COMOTHNewOEEUE</v>
      </c>
      <c r="G661" s="13" t="str">
        <f>F661</f>
        <v>COMOTHNewOEEUE</v>
      </c>
      <c r="H661" s="14">
        <v>2019</v>
      </c>
      <c r="I661" s="14" t="s">
        <v>3848</v>
      </c>
      <c r="J661" s="14">
        <v>1</v>
      </c>
      <c r="K661" s="15">
        <f>UC!K661</f>
        <v>-7.8399999999999997E-2</v>
      </c>
      <c r="L661" s="14">
        <v>0</v>
      </c>
      <c r="M661" s="14">
        <v>5</v>
      </c>
      <c r="N661" s="10"/>
      <c r="O661" s="20"/>
      <c r="Q661" s="11" t="str">
        <f>SUBSTITUTE(UC!Q661,"Old","New")</f>
        <v>*</v>
      </c>
      <c r="R661" s="12"/>
      <c r="S661" s="13" t="str">
        <f t="shared" si="191"/>
        <v>COMFOI</v>
      </c>
      <c r="T661" s="13" t="str">
        <f t="shared" si="192"/>
        <v>COMOTHNewOEEUE</v>
      </c>
      <c r="U661" s="13" t="str">
        <f t="shared" si="193"/>
        <v>COMOTHNewOEEUE</v>
      </c>
      <c r="V661" s="14">
        <f>H661</f>
        <v>2019</v>
      </c>
      <c r="W661" s="29" t="s">
        <v>3849</v>
      </c>
      <c r="X661" s="14">
        <v>1</v>
      </c>
      <c r="Y661" s="15">
        <f>UC!Y661</f>
        <v>-8.2000000000000003E-2</v>
      </c>
      <c r="Z661" s="14">
        <v>0</v>
      </c>
      <c r="AA661" s="14">
        <v>5</v>
      </c>
      <c r="AB661" s="10"/>
      <c r="AC661" s="20"/>
    </row>
    <row r="662" spans="1:29" x14ac:dyDescent="0.25">
      <c r="A662" s="10">
        <f>A661</f>
        <v>165</v>
      </c>
      <c r="B662" s="10"/>
      <c r="C662" s="11" t="str">
        <f>SUBSTITUTE(UC!C662,"Old","New")</f>
        <v>*</v>
      </c>
      <c r="D662" s="12"/>
      <c r="E662" s="13" t="str">
        <f t="shared" ref="E662:G664" si="197">E661</f>
        <v>COMFOI</v>
      </c>
      <c r="F662" s="13" t="str">
        <f t="shared" si="197"/>
        <v>COMOTHNewOEEUE</v>
      </c>
      <c r="G662" s="13" t="str">
        <f t="shared" si="197"/>
        <v>COMOTHNewOEEUE</v>
      </c>
      <c r="H662" s="14">
        <v>2025</v>
      </c>
      <c r="I662" s="14" t="str">
        <f>I661</f>
        <v>LO</v>
      </c>
      <c r="J662" s="14"/>
      <c r="K662" s="15">
        <f>UC!K662</f>
        <v>-6.4000000000000001E-2</v>
      </c>
      <c r="L662" s="14"/>
      <c r="M662" s="14"/>
      <c r="N662" s="10"/>
      <c r="O662" s="20"/>
      <c r="Q662" s="11" t="str">
        <f>SUBSTITUTE(UC!Q662,"Old","New")</f>
        <v>*</v>
      </c>
      <c r="R662" s="12"/>
      <c r="S662" s="13" t="str">
        <f t="shared" si="191"/>
        <v>COMFOI</v>
      </c>
      <c r="T662" s="13" t="str">
        <f t="shared" si="192"/>
        <v>COMOTHNewOEEUE</v>
      </c>
      <c r="U662" s="13" t="str">
        <f t="shared" si="193"/>
        <v>COMOTHNewOEEUE</v>
      </c>
      <c r="V662" s="14">
        <v>2025</v>
      </c>
      <c r="W662" s="14" t="str">
        <f>W661</f>
        <v>UP</v>
      </c>
      <c r="X662" s="14"/>
      <c r="Y662" s="15">
        <f>UC!Y662</f>
        <v>-9.7000000000000003E-2</v>
      </c>
      <c r="Z662" s="14"/>
      <c r="AA662" s="14"/>
      <c r="AB662" s="10"/>
      <c r="AC662" s="20"/>
    </row>
    <row r="663" spans="1:29" x14ac:dyDescent="0.25">
      <c r="A663" s="10">
        <f>A662</f>
        <v>165</v>
      </c>
      <c r="B663" s="10"/>
      <c r="C663" s="11" t="str">
        <f>SUBSTITUTE(UC!C663,"Old","New")</f>
        <v>*</v>
      </c>
      <c r="D663" s="12"/>
      <c r="E663" s="13" t="str">
        <f t="shared" si="197"/>
        <v>COMFOI</v>
      </c>
      <c r="F663" s="13" t="str">
        <f t="shared" si="197"/>
        <v>COMOTHNewOEEUE</v>
      </c>
      <c r="G663" s="13" t="str">
        <f t="shared" si="197"/>
        <v>COMOTHNewOEEUE</v>
      </c>
      <c r="H663" s="14">
        <v>2030</v>
      </c>
      <c r="I663" s="14" t="str">
        <f>I662</f>
        <v>LO</v>
      </c>
      <c r="J663" s="14"/>
      <c r="K663" s="15">
        <f>UC!K663</f>
        <v>-1.6E-2</v>
      </c>
      <c r="L663" s="14"/>
      <c r="M663" s="14"/>
      <c r="N663" s="10"/>
      <c r="O663" s="20"/>
      <c r="Q663" s="11" t="str">
        <f>SUBSTITUTE(UC!Q663,"Old","New")</f>
        <v>*</v>
      </c>
      <c r="R663" s="12"/>
      <c r="S663" s="13" t="str">
        <f t="shared" si="191"/>
        <v>COMFOI</v>
      </c>
      <c r="T663" s="13" t="str">
        <f t="shared" si="192"/>
        <v>COMOTHNewOEEUE</v>
      </c>
      <c r="U663" s="13" t="str">
        <f t="shared" si="193"/>
        <v>COMOTHNewOEEUE</v>
      </c>
      <c r="V663" s="14">
        <v>2030</v>
      </c>
      <c r="W663" s="14" t="str">
        <f>W662</f>
        <v>UP</v>
      </c>
      <c r="X663" s="14"/>
      <c r="Y663" s="15">
        <f>UC!Y663</f>
        <v>-0.121</v>
      </c>
      <c r="Z663" s="14"/>
      <c r="AA663" s="14"/>
      <c r="AB663" s="10"/>
      <c r="AC663" s="20"/>
    </row>
    <row r="664" spans="1:29" x14ac:dyDescent="0.25">
      <c r="A664" s="26">
        <f>A663</f>
        <v>165</v>
      </c>
      <c r="B664" s="26"/>
      <c r="C664" s="21" t="str">
        <f>SUBSTITUTE(UC!C664,"Old","New")</f>
        <v>*</v>
      </c>
      <c r="D664" s="22"/>
      <c r="E664" s="23" t="str">
        <f t="shared" si="197"/>
        <v>COMFOI</v>
      </c>
      <c r="F664" s="23" t="str">
        <f t="shared" si="197"/>
        <v>COMOTHNewOEEUE</v>
      </c>
      <c r="G664" s="23" t="str">
        <f t="shared" si="197"/>
        <v>COMOTHNewOEEUE</v>
      </c>
      <c r="H664" s="24">
        <v>2050</v>
      </c>
      <c r="I664" s="24" t="str">
        <f>I663</f>
        <v>LO</v>
      </c>
      <c r="J664" s="24"/>
      <c r="K664" s="25">
        <f>UC!K664</f>
        <v>0</v>
      </c>
      <c r="L664" s="24"/>
      <c r="M664" s="24"/>
      <c r="N664" s="26"/>
      <c r="O664" s="27"/>
      <c r="Q664" s="21" t="str">
        <f>SUBSTITUTE(UC!Q664,"Old","New")</f>
        <v>*</v>
      </c>
      <c r="R664" s="22"/>
      <c r="S664" s="23" t="str">
        <f t="shared" si="191"/>
        <v>COMFOI</v>
      </c>
      <c r="T664" s="23" t="str">
        <f t="shared" si="192"/>
        <v>COMOTHNewOEEUE</v>
      </c>
      <c r="U664" s="23" t="str">
        <f t="shared" si="193"/>
        <v>COMOTHNewOEEUE</v>
      </c>
      <c r="V664" s="24">
        <v>2050</v>
      </c>
      <c r="W664" s="24" t="str">
        <f>W663</f>
        <v>UP</v>
      </c>
      <c r="X664" s="24"/>
      <c r="Y664" s="25">
        <f>UC!Y664</f>
        <v>-0.24099999999999999</v>
      </c>
      <c r="Z664" s="24"/>
      <c r="AA664" s="24"/>
      <c r="AB664" s="26"/>
      <c r="AC664" s="27"/>
    </row>
    <row r="665" spans="1:29" x14ac:dyDescent="0.25">
      <c r="A665" s="19">
        <f>A661+1</f>
        <v>166</v>
      </c>
      <c r="B665" s="10"/>
      <c r="C665" s="11" t="str">
        <f>SUBSTITUTE(UC!C665,"Old","New")</f>
        <v>UC_MarketShare_COMOTHNewOE_NGA_MIN</v>
      </c>
      <c r="D665" s="12"/>
      <c r="E665" s="13" t="str">
        <f>_xlfn.XLOOKUP($A665,Selected_constraint_UC!$A:$A,Selected_constraint_UC!$B:$B)</f>
        <v>COMNGA</v>
      </c>
      <c r="F665" s="13" t="str">
        <f>SUBSTITUTE(_xlfn.XLOOKUP($A665,Selected_constraint_UC!$A:$A,Selected_constraint_UC!$C:$C),"Old","New")</f>
        <v>COMOTHNewOEEUE</v>
      </c>
      <c r="G665" s="13" t="str">
        <f>F665</f>
        <v>COMOTHNewOEEUE</v>
      </c>
      <c r="H665" s="14">
        <v>2019</v>
      </c>
      <c r="I665" s="14" t="s">
        <v>3848</v>
      </c>
      <c r="J665" s="14">
        <v>1</v>
      </c>
      <c r="K665" s="15">
        <f>UC!K665</f>
        <v>-0.3528</v>
      </c>
      <c r="L665" s="14">
        <v>0</v>
      </c>
      <c r="M665" s="14">
        <v>5</v>
      </c>
      <c r="N665" s="10"/>
      <c r="O665" s="20"/>
      <c r="Q665" s="11" t="str">
        <f>SUBSTITUTE(UC!Q665,"Old","New")</f>
        <v>UC_MarketShare_COMOTHNewOE_NGA_MAX</v>
      </c>
      <c r="R665" s="12"/>
      <c r="S665" s="13" t="str">
        <f t="shared" si="191"/>
        <v>COMNGA</v>
      </c>
      <c r="T665" s="13" t="str">
        <f t="shared" si="192"/>
        <v>COMOTHNewOEEUE</v>
      </c>
      <c r="U665" s="13" t="str">
        <f t="shared" si="193"/>
        <v>COMOTHNewOEEUE</v>
      </c>
      <c r="V665" s="14">
        <f>H665</f>
        <v>2019</v>
      </c>
      <c r="W665" s="29" t="s">
        <v>3849</v>
      </c>
      <c r="X665" s="14">
        <v>1</v>
      </c>
      <c r="Y665" s="15">
        <f>UC!Y665</f>
        <v>-0.36799999999999999</v>
      </c>
      <c r="Z665" s="14">
        <v>0</v>
      </c>
      <c r="AA665" s="14">
        <v>5</v>
      </c>
      <c r="AB665" s="10"/>
      <c r="AC665" s="20"/>
    </row>
    <row r="666" spans="1:29" x14ac:dyDescent="0.25">
      <c r="A666" s="10">
        <f>A665</f>
        <v>166</v>
      </c>
      <c r="B666" s="10"/>
      <c r="C666" s="11" t="str">
        <f>SUBSTITUTE(UC!C666,"Old","New")</f>
        <v/>
      </c>
      <c r="D666" s="12"/>
      <c r="E666" s="13" t="str">
        <f t="shared" ref="E666:G668" si="198">E665</f>
        <v>COMNGA</v>
      </c>
      <c r="F666" s="13" t="str">
        <f t="shared" si="198"/>
        <v>COMOTHNewOEEUE</v>
      </c>
      <c r="G666" s="13" t="str">
        <f t="shared" si="198"/>
        <v>COMOTHNewOEEUE</v>
      </c>
      <c r="H666" s="14">
        <v>2025</v>
      </c>
      <c r="I666" s="14" t="str">
        <f>I665</f>
        <v>LO</v>
      </c>
      <c r="J666" s="14"/>
      <c r="K666" s="15">
        <f>UC!K666</f>
        <v>-0.28799999999999998</v>
      </c>
      <c r="L666" s="14"/>
      <c r="M666" s="14"/>
      <c r="N666" s="10"/>
      <c r="O666" s="20"/>
      <c r="Q666" s="11" t="str">
        <f>SUBSTITUTE(UC!Q666,"Old","New")</f>
        <v/>
      </c>
      <c r="R666" s="12"/>
      <c r="S666" s="13" t="str">
        <f t="shared" si="191"/>
        <v>COMNGA</v>
      </c>
      <c r="T666" s="13" t="str">
        <f t="shared" si="192"/>
        <v>COMOTHNewOEEUE</v>
      </c>
      <c r="U666" s="13" t="str">
        <f t="shared" si="193"/>
        <v>COMOTHNewOEEUE</v>
      </c>
      <c r="V666" s="14">
        <v>2025</v>
      </c>
      <c r="W666" s="14" t="str">
        <f>W665</f>
        <v>UP</v>
      </c>
      <c r="X666" s="14"/>
      <c r="Y666" s="15">
        <f>UC!Y666</f>
        <v>-0.433</v>
      </c>
      <c r="Z666" s="14"/>
      <c r="AA666" s="14"/>
      <c r="AB666" s="10"/>
      <c r="AC666" s="20"/>
    </row>
    <row r="667" spans="1:29" x14ac:dyDescent="0.25">
      <c r="A667" s="10">
        <f>A666</f>
        <v>166</v>
      </c>
      <c r="B667" s="10"/>
      <c r="C667" s="11" t="str">
        <f>SUBSTITUTE(UC!C667,"Old","New")</f>
        <v/>
      </c>
      <c r="D667" s="12"/>
      <c r="E667" s="13" t="str">
        <f t="shared" si="198"/>
        <v>COMNGA</v>
      </c>
      <c r="F667" s="13" t="str">
        <f t="shared" si="198"/>
        <v>COMOTHNewOEEUE</v>
      </c>
      <c r="G667" s="13" t="str">
        <f t="shared" si="198"/>
        <v>COMOTHNewOEEUE</v>
      </c>
      <c r="H667" s="14">
        <v>2030</v>
      </c>
      <c r="I667" s="14" t="str">
        <f>I666</f>
        <v>LO</v>
      </c>
      <c r="J667" s="14"/>
      <c r="K667" s="15">
        <f>UC!K667</f>
        <v>-7.1999999999999995E-2</v>
      </c>
      <c r="L667" s="14"/>
      <c r="M667" s="14"/>
      <c r="N667" s="10"/>
      <c r="O667" s="20"/>
      <c r="Q667" s="11" t="str">
        <f>SUBSTITUTE(UC!Q667,"Old","New")</f>
        <v/>
      </c>
      <c r="R667" s="12"/>
      <c r="S667" s="13" t="str">
        <f t="shared" si="191"/>
        <v>COMNGA</v>
      </c>
      <c r="T667" s="13" t="str">
        <f t="shared" si="192"/>
        <v>COMOTHNewOEEUE</v>
      </c>
      <c r="U667" s="13" t="str">
        <f t="shared" si="193"/>
        <v>COMOTHNewOEEUE</v>
      </c>
      <c r="V667" s="14">
        <v>2030</v>
      </c>
      <c r="W667" s="14" t="str">
        <f>W666</f>
        <v>UP</v>
      </c>
      <c r="X667" s="14"/>
      <c r="Y667" s="15">
        <f>UC!Y667</f>
        <v>-0.54100000000000004</v>
      </c>
      <c r="Z667" s="14"/>
      <c r="AA667" s="14"/>
      <c r="AB667" s="10"/>
      <c r="AC667" s="20"/>
    </row>
    <row r="668" spans="1:29" x14ac:dyDescent="0.25">
      <c r="A668" s="26">
        <f>A667</f>
        <v>166</v>
      </c>
      <c r="B668" s="26"/>
      <c r="C668" s="21" t="str">
        <f>SUBSTITUTE(UC!C668,"Old","New")</f>
        <v/>
      </c>
      <c r="D668" s="22"/>
      <c r="E668" s="23" t="str">
        <f t="shared" si="198"/>
        <v>COMNGA</v>
      </c>
      <c r="F668" s="23" t="str">
        <f t="shared" si="198"/>
        <v>COMOTHNewOEEUE</v>
      </c>
      <c r="G668" s="23" t="str">
        <f t="shared" si="198"/>
        <v>COMOTHNewOEEUE</v>
      </c>
      <c r="H668" s="24">
        <v>2050</v>
      </c>
      <c r="I668" s="24" t="str">
        <f>I667</f>
        <v>LO</v>
      </c>
      <c r="J668" s="24"/>
      <c r="K668" s="25">
        <f>UC!K668</f>
        <v>0</v>
      </c>
      <c r="L668" s="24"/>
      <c r="M668" s="24"/>
      <c r="N668" s="26"/>
      <c r="O668" s="27"/>
      <c r="Q668" s="21" t="str">
        <f>SUBSTITUTE(UC!Q668,"Old","New")</f>
        <v/>
      </c>
      <c r="R668" s="22"/>
      <c r="S668" s="23" t="str">
        <f t="shared" si="191"/>
        <v>COMNGA</v>
      </c>
      <c r="T668" s="23" t="str">
        <f t="shared" si="192"/>
        <v>COMOTHNewOEEUE</v>
      </c>
      <c r="U668" s="23" t="str">
        <f t="shared" si="193"/>
        <v>COMOTHNewOEEUE</v>
      </c>
      <c r="V668" s="24">
        <v>2050</v>
      </c>
      <c r="W668" s="24" t="str">
        <f>W667</f>
        <v>UP</v>
      </c>
      <c r="X668" s="24"/>
      <c r="Y668" s="25">
        <f>UC!Y668</f>
        <v>-1</v>
      </c>
      <c r="Z668" s="24"/>
      <c r="AA668" s="24"/>
      <c r="AB668" s="26"/>
      <c r="AC668" s="27"/>
    </row>
    <row r="669" spans="1:29" x14ac:dyDescent="0.25">
      <c r="A669" s="19">
        <f>A665+1</f>
        <v>167</v>
      </c>
      <c r="B669" s="10"/>
      <c r="C669" s="11" t="str">
        <f>SUBSTITUTE(UC!C669,"Old","New")</f>
        <v>*</v>
      </c>
      <c r="D669" s="12"/>
      <c r="E669" s="13" t="str">
        <f>_xlfn.XLOOKUP($A669,Selected_constraint_UC!$A:$A,Selected_constraint_UC!$B:$B)</f>
        <v>COMSTM</v>
      </c>
      <c r="F669" s="13" t="str">
        <f>SUBSTITUTE(_xlfn.XLOOKUP($A669,Selected_constraint_UC!$A:$A,Selected_constraint_UC!$C:$C),"Old","New")</f>
        <v>COMOTHNewOEEUE</v>
      </c>
      <c r="G669" s="13" t="str">
        <f>F669</f>
        <v>COMOTHNewOEEUE</v>
      </c>
      <c r="H669" s="14">
        <v>2019</v>
      </c>
      <c r="I669" s="14" t="s">
        <v>3848</v>
      </c>
      <c r="J669" s="14">
        <v>1</v>
      </c>
      <c r="K669" s="15">
        <f>UC!K669</f>
        <v>0</v>
      </c>
      <c r="L669" s="14">
        <v>0</v>
      </c>
      <c r="M669" s="14">
        <v>5</v>
      </c>
      <c r="N669" s="10"/>
      <c r="O669" s="20"/>
      <c r="Q669" s="11" t="str">
        <f>SUBSTITUTE(UC!Q669,"Old","New")</f>
        <v>*</v>
      </c>
      <c r="R669" s="12"/>
      <c r="S669" s="13" t="str">
        <f t="shared" si="191"/>
        <v>COMSTM</v>
      </c>
      <c r="T669" s="13" t="str">
        <f t="shared" si="192"/>
        <v>COMOTHNewOEEUE</v>
      </c>
      <c r="U669" s="13" t="str">
        <f t="shared" si="193"/>
        <v>COMOTHNewOEEUE</v>
      </c>
      <c r="V669" s="14">
        <f>H669</f>
        <v>2019</v>
      </c>
      <c r="W669" s="29" t="s">
        <v>3849</v>
      </c>
      <c r="X669" s="14">
        <v>1</v>
      </c>
      <c r="Y669" s="15">
        <f>UC!Y669</f>
        <v>0</v>
      </c>
      <c r="Z669" s="14">
        <v>0</v>
      </c>
      <c r="AA669" s="14">
        <v>5</v>
      </c>
      <c r="AB669" s="10"/>
      <c r="AC669" s="20"/>
    </row>
    <row r="670" spans="1:29" x14ac:dyDescent="0.25">
      <c r="A670" s="10">
        <f>A669</f>
        <v>167</v>
      </c>
      <c r="B670" s="10"/>
      <c r="C670" s="11" t="str">
        <f>SUBSTITUTE(UC!C670,"Old","New")</f>
        <v>*</v>
      </c>
      <c r="D670" s="12"/>
      <c r="E670" s="13" t="str">
        <f t="shared" ref="E670:G672" si="199">E669</f>
        <v>COMSTM</v>
      </c>
      <c r="F670" s="13" t="str">
        <f t="shared" si="199"/>
        <v>COMOTHNewOEEUE</v>
      </c>
      <c r="G670" s="13" t="str">
        <f t="shared" si="199"/>
        <v>COMOTHNewOEEUE</v>
      </c>
      <c r="H670" s="14">
        <v>2025</v>
      </c>
      <c r="I670" s="14" t="str">
        <f>I669</f>
        <v>LO</v>
      </c>
      <c r="J670" s="14"/>
      <c r="K670" s="15">
        <f>UC!K670</f>
        <v>0</v>
      </c>
      <c r="L670" s="14"/>
      <c r="M670" s="14"/>
      <c r="N670" s="10"/>
      <c r="O670" s="20"/>
      <c r="Q670" s="11" t="str">
        <f>SUBSTITUTE(UC!Q670,"Old","New")</f>
        <v>*</v>
      </c>
      <c r="R670" s="12"/>
      <c r="S670" s="13" t="str">
        <f t="shared" si="191"/>
        <v>COMSTM</v>
      </c>
      <c r="T670" s="13" t="str">
        <f t="shared" si="192"/>
        <v>COMOTHNewOEEUE</v>
      </c>
      <c r="U670" s="13" t="str">
        <f t="shared" si="193"/>
        <v>COMOTHNewOEEUE</v>
      </c>
      <c r="V670" s="14">
        <v>2025</v>
      </c>
      <c r="W670" s="14" t="str">
        <f>W669</f>
        <v>UP</v>
      </c>
      <c r="X670" s="14"/>
      <c r="Y670" s="15">
        <f>UC!Y670</f>
        <v>0</v>
      </c>
      <c r="Z670" s="14"/>
      <c r="AA670" s="14"/>
      <c r="AB670" s="10"/>
      <c r="AC670" s="20"/>
    </row>
    <row r="671" spans="1:29" x14ac:dyDescent="0.25">
      <c r="A671" s="10">
        <f>A670</f>
        <v>167</v>
      </c>
      <c r="B671" s="10"/>
      <c r="C671" s="11" t="str">
        <f>SUBSTITUTE(UC!C671,"Old","New")</f>
        <v>*</v>
      </c>
      <c r="D671" s="12"/>
      <c r="E671" s="13" t="str">
        <f t="shared" si="199"/>
        <v>COMSTM</v>
      </c>
      <c r="F671" s="13" t="str">
        <f t="shared" si="199"/>
        <v>COMOTHNewOEEUE</v>
      </c>
      <c r="G671" s="13" t="str">
        <f t="shared" si="199"/>
        <v>COMOTHNewOEEUE</v>
      </c>
      <c r="H671" s="14">
        <v>2030</v>
      </c>
      <c r="I671" s="14" t="str">
        <f>I670</f>
        <v>LO</v>
      </c>
      <c r="J671" s="14"/>
      <c r="K671" s="15">
        <f>UC!K671</f>
        <v>0</v>
      </c>
      <c r="L671" s="14"/>
      <c r="M671" s="14"/>
      <c r="N671" s="10"/>
      <c r="O671" s="20"/>
      <c r="Q671" s="11" t="str">
        <f>SUBSTITUTE(UC!Q671,"Old","New")</f>
        <v>*</v>
      </c>
      <c r="R671" s="12"/>
      <c r="S671" s="13" t="str">
        <f t="shared" si="191"/>
        <v>COMSTM</v>
      </c>
      <c r="T671" s="13" t="str">
        <f t="shared" si="192"/>
        <v>COMOTHNewOEEUE</v>
      </c>
      <c r="U671" s="13" t="str">
        <f t="shared" si="193"/>
        <v>COMOTHNewOEEUE</v>
      </c>
      <c r="V671" s="14">
        <v>2030</v>
      </c>
      <c r="W671" s="14" t="str">
        <f>W670</f>
        <v>UP</v>
      </c>
      <c r="X671" s="14"/>
      <c r="Y671" s="15">
        <f>UC!Y671</f>
        <v>0</v>
      </c>
      <c r="Z671" s="14"/>
      <c r="AA671" s="14"/>
      <c r="AB671" s="10"/>
      <c r="AC671" s="20"/>
    </row>
    <row r="672" spans="1:29" x14ac:dyDescent="0.25">
      <c r="A672" s="26">
        <f>A671</f>
        <v>167</v>
      </c>
      <c r="B672" s="26"/>
      <c r="C672" s="21" t="str">
        <f>SUBSTITUTE(UC!C672,"Old","New")</f>
        <v>*</v>
      </c>
      <c r="D672" s="22"/>
      <c r="E672" s="23" t="str">
        <f t="shared" si="199"/>
        <v>COMSTM</v>
      </c>
      <c r="F672" s="23" t="str">
        <f t="shared" si="199"/>
        <v>COMOTHNewOEEUE</v>
      </c>
      <c r="G672" s="23" t="str">
        <f t="shared" si="199"/>
        <v>COMOTHNewOEEUE</v>
      </c>
      <c r="H672" s="24">
        <v>2050</v>
      </c>
      <c r="I672" s="24" t="str">
        <f>I671</f>
        <v>LO</v>
      </c>
      <c r="J672" s="24"/>
      <c r="K672" s="25">
        <f>UC!K672</f>
        <v>0</v>
      </c>
      <c r="L672" s="24"/>
      <c r="M672" s="24"/>
      <c r="N672" s="26"/>
      <c r="O672" s="27"/>
      <c r="Q672" s="21" t="str">
        <f>SUBSTITUTE(UC!Q672,"Old","New")</f>
        <v>*</v>
      </c>
      <c r="R672" s="22"/>
      <c r="S672" s="23" t="str">
        <f t="shared" si="191"/>
        <v>COMSTM</v>
      </c>
      <c r="T672" s="23" t="str">
        <f t="shared" si="192"/>
        <v>COMOTHNewOEEUE</v>
      </c>
      <c r="U672" s="23" t="str">
        <f t="shared" si="193"/>
        <v>COMOTHNewOEEUE</v>
      </c>
      <c r="V672" s="24">
        <v>2050</v>
      </c>
      <c r="W672" s="24" t="str">
        <f>W671</f>
        <v>UP</v>
      </c>
      <c r="X672" s="24"/>
      <c r="Y672" s="25">
        <f>UC!Y672</f>
        <v>0</v>
      </c>
      <c r="Z672" s="24"/>
      <c r="AA672" s="24"/>
      <c r="AB672" s="26"/>
      <c r="AC672" s="27"/>
    </row>
    <row r="673" spans="1:29" x14ac:dyDescent="0.25">
      <c r="A673" s="19">
        <f>A669+1</f>
        <v>168</v>
      </c>
      <c r="B673" s="10"/>
      <c r="C673" s="11" t="str">
        <f>SUBSTITUTE(UC!C673,"Old","New")</f>
        <v>UC_MarketShare_COMOTHNewOE_ELC_MIN</v>
      </c>
      <c r="D673" s="12"/>
      <c r="E673" s="13" t="str">
        <f>_xlfn.XLOOKUP($A673,Selected_constraint_UC!$A:$A,Selected_constraint_UC!$B:$B)</f>
        <v>COMELC</v>
      </c>
      <c r="F673" s="13" t="str">
        <f>SUBSTITUTE(_xlfn.XLOOKUP($A673,Selected_constraint_UC!$A:$A,Selected_constraint_UC!$C:$C),"Old","New")</f>
        <v>COMOTHNewOEEUE</v>
      </c>
      <c r="G673" s="13" t="str">
        <f>F673</f>
        <v>COMOTHNewOEEUE</v>
      </c>
      <c r="H673" s="14">
        <v>2019</v>
      </c>
      <c r="I673" s="14" t="s">
        <v>3848</v>
      </c>
      <c r="J673" s="14">
        <v>1</v>
      </c>
      <c r="K673" s="15">
        <f>UC!K673</f>
        <v>-0.54782000000000008</v>
      </c>
      <c r="L673" s="14">
        <v>0</v>
      </c>
      <c r="M673" s="14">
        <v>5</v>
      </c>
      <c r="N673" s="10"/>
      <c r="O673" s="20"/>
      <c r="Q673" s="11" t="str">
        <f>SUBSTITUTE(UC!Q673,"Old","New")</f>
        <v>UC_MarketShare_COMOTHNewOE_ELC_MAX</v>
      </c>
      <c r="R673" s="12"/>
      <c r="S673" s="13" t="str">
        <f t="shared" si="191"/>
        <v>COMELC</v>
      </c>
      <c r="T673" s="13" t="str">
        <f t="shared" si="192"/>
        <v>COMOTHNewOEEUE</v>
      </c>
      <c r="U673" s="13" t="str">
        <f t="shared" si="193"/>
        <v>COMOTHNewOEEUE</v>
      </c>
      <c r="V673" s="14">
        <f>H673</f>
        <v>2019</v>
      </c>
      <c r="W673" s="29" t="s">
        <v>3849</v>
      </c>
      <c r="X673" s="14">
        <v>1</v>
      </c>
      <c r="Y673" s="15">
        <f>UC!Y673</f>
        <v>-0.57099999999999995</v>
      </c>
      <c r="Z673" s="14">
        <v>0</v>
      </c>
      <c r="AA673" s="14">
        <v>5</v>
      </c>
      <c r="AB673" s="10"/>
      <c r="AC673" s="20"/>
    </row>
    <row r="674" spans="1:29" x14ac:dyDescent="0.25">
      <c r="A674" s="10">
        <f>A673</f>
        <v>168</v>
      </c>
      <c r="B674" s="10"/>
      <c r="C674" s="11" t="str">
        <f>SUBSTITUTE(UC!C674,"Old","New")</f>
        <v/>
      </c>
      <c r="D674" s="12"/>
      <c r="E674" s="13" t="str">
        <f t="shared" ref="E674:G676" si="200">E673</f>
        <v>COMELC</v>
      </c>
      <c r="F674" s="13" t="str">
        <f t="shared" si="200"/>
        <v>COMOTHNewOEEUE</v>
      </c>
      <c r="G674" s="13" t="str">
        <f t="shared" si="200"/>
        <v>COMOTHNewOEEUE</v>
      </c>
      <c r="H674" s="14">
        <v>2025</v>
      </c>
      <c r="I674" s="14" t="str">
        <f>I673</f>
        <v>LO</v>
      </c>
      <c r="J674" s="14"/>
      <c r="K674" s="15">
        <f>UC!K674</f>
        <v>-0.44720000000000004</v>
      </c>
      <c r="L674" s="14"/>
      <c r="M674" s="14"/>
      <c r="N674" s="10"/>
      <c r="O674" s="20"/>
      <c r="Q674" s="11" t="str">
        <f>SUBSTITUTE(UC!Q674,"Old","New")</f>
        <v/>
      </c>
      <c r="R674" s="12"/>
      <c r="S674" s="13" t="str">
        <f t="shared" si="191"/>
        <v>COMELC</v>
      </c>
      <c r="T674" s="13" t="str">
        <f t="shared" si="192"/>
        <v>COMOTHNewOEEUE</v>
      </c>
      <c r="U674" s="13" t="str">
        <f t="shared" si="193"/>
        <v>COMOTHNewOEEUE</v>
      </c>
      <c r="V674" s="14">
        <v>2025</v>
      </c>
      <c r="W674" s="14" t="str">
        <f>W673</f>
        <v>UP</v>
      </c>
      <c r="X674" s="14"/>
      <c r="Y674" s="15">
        <f>UC!Y674</f>
        <v>-0.67200000000000004</v>
      </c>
      <c r="Z674" s="14"/>
      <c r="AA674" s="14"/>
      <c r="AB674" s="10"/>
      <c r="AC674" s="20"/>
    </row>
    <row r="675" spans="1:29" x14ac:dyDescent="0.25">
      <c r="A675" s="10">
        <f>A674</f>
        <v>168</v>
      </c>
      <c r="B675" s="10"/>
      <c r="C675" s="11" t="str">
        <f>SUBSTITUTE(UC!C675,"Old","New")</f>
        <v/>
      </c>
      <c r="D675" s="12"/>
      <c r="E675" s="13" t="str">
        <f t="shared" si="200"/>
        <v>COMELC</v>
      </c>
      <c r="F675" s="13" t="str">
        <f t="shared" si="200"/>
        <v>COMOTHNewOEEUE</v>
      </c>
      <c r="G675" s="13" t="str">
        <f t="shared" si="200"/>
        <v>COMOTHNewOEEUE</v>
      </c>
      <c r="H675" s="14">
        <v>2030</v>
      </c>
      <c r="I675" s="14" t="str">
        <f>I674</f>
        <v>LO</v>
      </c>
      <c r="J675" s="14"/>
      <c r="K675" s="15">
        <f>UC!K675</f>
        <v>-0.11180000000000001</v>
      </c>
      <c r="L675" s="14"/>
      <c r="M675" s="14"/>
      <c r="N675" s="10"/>
      <c r="O675" s="20"/>
      <c r="Q675" s="11" t="str">
        <f>SUBSTITUTE(UC!Q675,"Old","New")</f>
        <v/>
      </c>
      <c r="R675" s="12"/>
      <c r="S675" s="13" t="str">
        <f t="shared" si="191"/>
        <v>COMELC</v>
      </c>
      <c r="T675" s="13" t="str">
        <f t="shared" si="192"/>
        <v>COMOTHNewOEEUE</v>
      </c>
      <c r="U675" s="13" t="str">
        <f t="shared" si="193"/>
        <v>COMOTHNewOEEUE</v>
      </c>
      <c r="V675" s="14">
        <v>2030</v>
      </c>
      <c r="W675" s="14" t="str">
        <f>W674</f>
        <v>UP</v>
      </c>
      <c r="X675" s="14"/>
      <c r="Y675" s="15">
        <f>UC!Y675</f>
        <v>-0.83899999999999997</v>
      </c>
      <c r="Z675" s="14"/>
      <c r="AA675" s="14"/>
      <c r="AB675" s="10"/>
      <c r="AC675" s="20"/>
    </row>
    <row r="676" spans="1:29" x14ac:dyDescent="0.25">
      <c r="A676" s="26">
        <f>A675</f>
        <v>168</v>
      </c>
      <c r="B676" s="26"/>
      <c r="C676" s="21" t="str">
        <f>SUBSTITUTE(UC!C676,"Old","New")</f>
        <v/>
      </c>
      <c r="D676" s="22"/>
      <c r="E676" s="23" t="str">
        <f t="shared" si="200"/>
        <v>COMELC</v>
      </c>
      <c r="F676" s="23" t="str">
        <f t="shared" si="200"/>
        <v>COMOTHNewOEEUE</v>
      </c>
      <c r="G676" s="23" t="str">
        <f t="shared" si="200"/>
        <v>COMOTHNewOEEUE</v>
      </c>
      <c r="H676" s="24">
        <v>2050</v>
      </c>
      <c r="I676" s="24" t="str">
        <f>I675</f>
        <v>LO</v>
      </c>
      <c r="J676" s="24"/>
      <c r="K676" s="25">
        <f>UC!K676</f>
        <v>0</v>
      </c>
      <c r="L676" s="24"/>
      <c r="M676" s="24"/>
      <c r="N676" s="26"/>
      <c r="O676" s="27"/>
      <c r="Q676" s="21" t="str">
        <f>SUBSTITUTE(UC!Q676,"Old","New")</f>
        <v/>
      </c>
      <c r="R676" s="22"/>
      <c r="S676" s="23" t="str">
        <f t="shared" si="191"/>
        <v>COMELC</v>
      </c>
      <c r="T676" s="23" t="str">
        <f t="shared" si="192"/>
        <v>COMOTHNewOEEUE</v>
      </c>
      <c r="U676" s="23" t="str">
        <f t="shared" si="193"/>
        <v>COMOTHNewOEEUE</v>
      </c>
      <c r="V676" s="24">
        <v>2050</v>
      </c>
      <c r="W676" s="24" t="str">
        <f>W675</f>
        <v>UP</v>
      </c>
      <c r="X676" s="24"/>
      <c r="Y676" s="25">
        <f>UC!Y676</f>
        <v>-1</v>
      </c>
      <c r="Z676" s="24"/>
      <c r="AA676" s="24"/>
      <c r="AB676" s="26"/>
      <c r="AC67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&gt;&gt; City Data</vt:lpstr>
      <vt:lpstr>City characteristics</vt:lpstr>
      <vt:lpstr>&gt;&gt; GC_NewTech</vt:lpstr>
      <vt:lpstr>COM TECH</vt:lpstr>
      <vt:lpstr>COM RESID</vt:lpstr>
      <vt:lpstr>&gt;&gt;&gt; Data</vt:lpstr>
      <vt:lpstr>Selected_constraint_UC</vt:lpstr>
      <vt:lpstr>&gt;&gt; TIMES</vt:lpstr>
      <vt:lpstr>UC</vt:lpstr>
      <vt:lpstr>UC_New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2025-04-08T18:33:55Z</dcterms:modified>
</cp:coreProperties>
</file>
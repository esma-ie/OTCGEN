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"/>
    </mc:Choice>
  </mc:AlternateContent>
  <xr:revisionPtr revIDLastSave="0" documentId="13_ncr:1_{518AC2E5-8E89-43D4-813A-B2AE5A181737}" xr6:coauthVersionLast="47" xr6:coauthVersionMax="47" xr10:uidLastSave="{00000000-0000-0000-0000-000000000000}"/>
  <bookViews>
    <workbookView xWindow="-120" yWindow="-120" windowWidth="25440" windowHeight="15270" firstSheet="7" activeTab="7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Resid" sheetId="4" r:id="rId4"/>
    <sheet name="ELC RESID" sheetId="5" r:id="rId5"/>
    <sheet name="Demand" sheetId="6" r:id="rId6"/>
    <sheet name="&gt;&gt; TIMES" sheetId="7" r:id="rId7"/>
    <sheet name="Def_Tech" sheetId="8" r:id="rId8"/>
    <sheet name="Def_Comm" sheetId="9" r:id="rId9"/>
    <sheet name="ResidELC" sheetId="10" r:id="rId10"/>
    <sheet name="EGRID_PARAM" sheetId="11" r:id="rId11"/>
    <sheet name="ResidIMP" sheetId="12" r:id="rId12"/>
    <sheet name="&gt;&gt; Parameters" sheetId="13" r:id="rId13"/>
    <sheet name="List" sheetId="14" r:id="rId14"/>
  </sheets>
  <definedNames>
    <definedName name="_Fill" localSheetId="2" hidden="1">#REF!</definedName>
    <definedName name="_Fill" localSheetId="5" hidden="1">#REF!</definedName>
    <definedName name="_Fill" hidden="1">#REF!</definedName>
    <definedName name="_Order1" hidden="1">0</definedName>
    <definedName name="_Order2" hidden="1">0</definedName>
    <definedName name="_Sort" localSheetId="2" hidden="1">#REF!</definedName>
    <definedName name="_Sort" localSheetId="5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2" hidden="1">{"com_msw",#N/A,FALSE,"Common"}</definedName>
    <definedName name="wrn.com_msw." localSheetId="5" hidden="1">{"com_msw",#N/A,FALSE,"Common"}</definedName>
    <definedName name="wrn.com_msw." hidden="1">{"com_msw",#N/A,FALSE,"Common"}</definedName>
    <definedName name="wrn.msw_1." localSheetId="2" hidden="1">{"msw_1",#N/A,FALSE,"Common"}</definedName>
    <definedName name="wrn.msw_1." localSheetId="5" hidden="1">{"msw_1",#N/A,FALSE,"Common"}</definedName>
    <definedName name="wrn.msw_1." hidden="1">{"msw_1",#N/A,FALSE,"Common"}</definedName>
    <definedName name="wrn.msw_2." localSheetId="2" hidden="1">{"msw_2",#N/A,FALSE,"Common"}</definedName>
    <definedName name="wrn.msw_2." localSheetId="5" hidden="1">{"msw_2",#N/A,FALSE,"Common"}</definedName>
    <definedName name="wrn.msw_2." hidden="1">{"msw_2",#N/A,FALSE,"Common"}</definedName>
    <definedName name="wrn.NATIONAL._.GRID." localSheetId="2" hidden="1">{"NATIONAL GRID",#N/A,FALSE,"Sheet1"}</definedName>
    <definedName name="wrn.NATIONAL._.GRID." localSheetId="5" hidden="1">{"NATIONAL GRID",#N/A,FALSE,"Sheet1"}</definedName>
    <definedName name="wrn.NATIONAL._.GRID." hidden="1">{"NATIONAL GRID",#N/A,FALSE,"Sheet1"}</definedName>
    <definedName name="wrn.regional._.grid." localSheetId="2" hidden="1">{"regional grid",#N/A,FALSE,"Sheet1"}</definedName>
    <definedName name="wrn.regional._.grid." localSheetId="5" hidden="1">{"regional grid",#N/A,FALSE,"Sheet1"}</definedName>
    <definedName name="wrn.regional._.grid." hidden="1">{"regional grid",#N/A,FALSE,"Sheet1"}</definedName>
    <definedName name="wrn.res_mf_msw." localSheetId="2" hidden="1">{"res_mf_mssw",#N/A,FALSE,"Common"}</definedName>
    <definedName name="wrn.res_mf_msw." localSheetId="5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2" l="1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L8" i="12"/>
  <c r="K8" i="12"/>
  <c r="N4" i="12"/>
  <c r="N8" i="12" s="1"/>
  <c r="J4" i="12"/>
  <c r="J8" i="12" s="1"/>
  <c r="H13" i="11"/>
  <c r="F13" i="11"/>
  <c r="H9" i="11"/>
  <c r="G9" i="11"/>
  <c r="G13" i="11" s="1"/>
  <c r="G6" i="11"/>
  <c r="C6" i="11"/>
  <c r="BG56" i="10"/>
  <c r="BF56" i="10"/>
  <c r="BE56" i="10"/>
  <c r="BD56" i="10"/>
  <c r="BC56" i="10"/>
  <c r="BB56" i="10"/>
  <c r="BA56" i="10"/>
  <c r="AZ56" i="10"/>
  <c r="AY56" i="10"/>
  <c r="AX56" i="10"/>
  <c r="AW56" i="10"/>
  <c r="AV56" i="10"/>
  <c r="AU56" i="10"/>
  <c r="B56" i="10" s="1"/>
  <c r="AT56" i="10"/>
  <c r="AS56" i="10"/>
  <c r="AR56" i="10"/>
  <c r="AQ56" i="10"/>
  <c r="AP56" i="10"/>
  <c r="AO56" i="10"/>
  <c r="AN56" i="10"/>
  <c r="AM56" i="10"/>
  <c r="AL56" i="10"/>
  <c r="AK56" i="10"/>
  <c r="AJ56" i="10"/>
  <c r="AI56" i="10"/>
  <c r="AH56" i="10"/>
  <c r="AG56" i="10"/>
  <c r="AF56" i="10"/>
  <c r="AE56" i="10"/>
  <c r="AD56" i="10"/>
  <c r="Q56" i="10"/>
  <c r="O56" i="10"/>
  <c r="P56" i="10" s="1"/>
  <c r="N56" i="10"/>
  <c r="K56" i="10"/>
  <c r="L56" i="10" s="1"/>
  <c r="M56" i="10" s="1"/>
  <c r="H56" i="10"/>
  <c r="G56" i="10"/>
  <c r="F56" i="10"/>
  <c r="D56" i="10"/>
  <c r="V56" i="10" s="1"/>
  <c r="BG55" i="10"/>
  <c r="BF55" i="10"/>
  <c r="BE55" i="10"/>
  <c r="BD55" i="10"/>
  <c r="BC55" i="10"/>
  <c r="BB55" i="10"/>
  <c r="BA55" i="10"/>
  <c r="AZ55" i="10"/>
  <c r="AY55" i="10"/>
  <c r="AX55" i="10"/>
  <c r="AW55" i="10"/>
  <c r="AV55" i="10"/>
  <c r="AU55" i="10"/>
  <c r="AT55" i="10"/>
  <c r="AS55" i="10"/>
  <c r="AR55" i="10"/>
  <c r="B55" i="10" s="1"/>
  <c r="AQ55" i="10"/>
  <c r="AP55" i="10"/>
  <c r="AO55" i="10"/>
  <c r="AN55" i="10"/>
  <c r="AM55" i="10"/>
  <c r="AL55" i="10"/>
  <c r="AK55" i="10"/>
  <c r="AJ55" i="10"/>
  <c r="AI55" i="10"/>
  <c r="AH55" i="10"/>
  <c r="AG55" i="10"/>
  <c r="AF55" i="10"/>
  <c r="AE55" i="10"/>
  <c r="AD55" i="10"/>
  <c r="Q55" i="10"/>
  <c r="N55" i="10"/>
  <c r="O55" i="10" s="1"/>
  <c r="P55" i="10" s="1"/>
  <c r="L55" i="10"/>
  <c r="M55" i="10" s="1"/>
  <c r="K55" i="10"/>
  <c r="H55" i="10"/>
  <c r="G55" i="10"/>
  <c r="F55" i="10"/>
  <c r="D55" i="10"/>
  <c r="S55" i="10" s="1"/>
  <c r="BG54" i="10"/>
  <c r="BF54" i="10"/>
  <c r="BE54" i="10"/>
  <c r="BD54" i="10"/>
  <c r="BC54" i="10"/>
  <c r="BB54" i="10"/>
  <c r="BA54" i="10"/>
  <c r="AZ54" i="10"/>
  <c r="AY54" i="10"/>
  <c r="AX54" i="10"/>
  <c r="AW54" i="10"/>
  <c r="AV54" i="10"/>
  <c r="AU54" i="10"/>
  <c r="AT54" i="10"/>
  <c r="AS54" i="10"/>
  <c r="AR54" i="10"/>
  <c r="AQ54" i="10"/>
  <c r="AP54" i="10"/>
  <c r="AO54" i="10"/>
  <c r="AN54" i="10"/>
  <c r="AM54" i="10"/>
  <c r="AL54" i="10"/>
  <c r="AK54" i="10"/>
  <c r="AJ54" i="10"/>
  <c r="AI54" i="10"/>
  <c r="AH54" i="10"/>
  <c r="AG54" i="10"/>
  <c r="AF54" i="10"/>
  <c r="AE54" i="10"/>
  <c r="AD54" i="10"/>
  <c r="Q54" i="10"/>
  <c r="N54" i="10"/>
  <c r="O54" i="10" s="1"/>
  <c r="P54" i="10" s="1"/>
  <c r="K54" i="10"/>
  <c r="L54" i="10" s="1"/>
  <c r="M54" i="10" s="1"/>
  <c r="H54" i="10"/>
  <c r="G54" i="10"/>
  <c r="F54" i="10"/>
  <c r="D54" i="10"/>
  <c r="AB54" i="10" s="1"/>
  <c r="BG53" i="10"/>
  <c r="BF53" i="10"/>
  <c r="BE53" i="10"/>
  <c r="BD53" i="10"/>
  <c r="BC53" i="10"/>
  <c r="BB53" i="10"/>
  <c r="BA53" i="10"/>
  <c r="AZ53" i="10"/>
  <c r="AY53" i="10"/>
  <c r="AX53" i="10"/>
  <c r="AW53" i="10"/>
  <c r="AV53" i="10"/>
  <c r="AU53" i="10"/>
  <c r="AT53" i="10"/>
  <c r="AS53" i="10"/>
  <c r="AR53" i="10"/>
  <c r="AQ53" i="10"/>
  <c r="AP53" i="10"/>
  <c r="B53" i="10" s="1"/>
  <c r="AO53" i="10"/>
  <c r="AN53" i="10"/>
  <c r="AM53" i="10"/>
  <c r="AL53" i="10"/>
  <c r="AK53" i="10"/>
  <c r="AJ53" i="10"/>
  <c r="AI53" i="10"/>
  <c r="AH53" i="10"/>
  <c r="AG53" i="10"/>
  <c r="AF53" i="10"/>
  <c r="AE53" i="10"/>
  <c r="AD53" i="10"/>
  <c r="Q53" i="10"/>
  <c r="N53" i="10"/>
  <c r="O53" i="10" s="1"/>
  <c r="P53" i="10" s="1"/>
  <c r="K53" i="10"/>
  <c r="L53" i="10" s="1"/>
  <c r="M53" i="10" s="1"/>
  <c r="H53" i="10"/>
  <c r="G53" i="10"/>
  <c r="F53" i="10"/>
  <c r="D53" i="10"/>
  <c r="Y53" i="10" s="1"/>
  <c r="BG52" i="10"/>
  <c r="BF52" i="10"/>
  <c r="BE52" i="10"/>
  <c r="BD52" i="10"/>
  <c r="BC52" i="10"/>
  <c r="BB52" i="10"/>
  <c r="BA52" i="10"/>
  <c r="AZ52" i="10"/>
  <c r="AY52" i="10"/>
  <c r="AX52" i="10"/>
  <c r="AW52" i="10"/>
  <c r="AV52" i="10"/>
  <c r="AU52" i="10"/>
  <c r="AT52" i="10"/>
  <c r="AS52" i="10"/>
  <c r="AR52" i="10"/>
  <c r="B52" i="10" s="1"/>
  <c r="AQ52" i="10"/>
  <c r="AP52" i="10"/>
  <c r="AO52" i="10"/>
  <c r="AN52" i="10"/>
  <c r="AM52" i="10"/>
  <c r="AL52" i="10"/>
  <c r="AK52" i="10"/>
  <c r="AJ52" i="10"/>
  <c r="AI52" i="10"/>
  <c r="AH52" i="10"/>
  <c r="AG52" i="10"/>
  <c r="AF52" i="10"/>
  <c r="AE52" i="10"/>
  <c r="AD52" i="10"/>
  <c r="Q52" i="10"/>
  <c r="N52" i="10"/>
  <c r="O52" i="10" s="1"/>
  <c r="P52" i="10" s="1"/>
  <c r="K52" i="10"/>
  <c r="L52" i="10" s="1"/>
  <c r="M52" i="10" s="1"/>
  <c r="H52" i="10"/>
  <c r="G52" i="10"/>
  <c r="F52" i="10"/>
  <c r="D52" i="10"/>
  <c r="V52" i="10" s="1"/>
  <c r="BG51" i="10"/>
  <c r="BF51" i="10"/>
  <c r="BE51" i="10"/>
  <c r="BD51" i="10"/>
  <c r="BC51" i="10"/>
  <c r="BB51" i="10"/>
  <c r="BA51" i="10"/>
  <c r="AZ51" i="10"/>
  <c r="AY51" i="10"/>
  <c r="AX51" i="10"/>
  <c r="AW51" i="10"/>
  <c r="AV51" i="10"/>
  <c r="AU51" i="10"/>
  <c r="AT51" i="10"/>
  <c r="AS51" i="10"/>
  <c r="AR51" i="10"/>
  <c r="B51" i="10" s="1"/>
  <c r="AQ51" i="10"/>
  <c r="AP51" i="10"/>
  <c r="AO51" i="10"/>
  <c r="AN51" i="10"/>
  <c r="AM51" i="10"/>
  <c r="AL51" i="10"/>
  <c r="AK51" i="10"/>
  <c r="AJ51" i="10"/>
  <c r="AI51" i="10"/>
  <c r="AH51" i="10"/>
  <c r="AG51" i="10"/>
  <c r="AF51" i="10"/>
  <c r="AE51" i="10"/>
  <c r="AD51" i="10"/>
  <c r="Q51" i="10"/>
  <c r="N51" i="10"/>
  <c r="O51" i="10" s="1"/>
  <c r="P51" i="10" s="1"/>
  <c r="K51" i="10"/>
  <c r="L51" i="10" s="1"/>
  <c r="M51" i="10" s="1"/>
  <c r="H51" i="10"/>
  <c r="G51" i="10"/>
  <c r="F51" i="10"/>
  <c r="D51" i="10"/>
  <c r="S51" i="10" s="1"/>
  <c r="BG50" i="10"/>
  <c r="BF50" i="10"/>
  <c r="BE50" i="10"/>
  <c r="BD50" i="10"/>
  <c r="BC50" i="10"/>
  <c r="BB50" i="10"/>
  <c r="BA50" i="10"/>
  <c r="AZ50" i="10"/>
  <c r="AY50" i="10"/>
  <c r="AX50" i="10"/>
  <c r="AW50" i="10"/>
  <c r="AV50" i="10"/>
  <c r="AU50" i="10"/>
  <c r="AT50" i="10"/>
  <c r="AS50" i="10"/>
  <c r="AR50" i="10"/>
  <c r="AQ50" i="10"/>
  <c r="AP50" i="10"/>
  <c r="B50" i="10" s="1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Q50" i="10"/>
  <c r="N50" i="10"/>
  <c r="O50" i="10" s="1"/>
  <c r="P50" i="10" s="1"/>
  <c r="K50" i="10"/>
  <c r="L50" i="10" s="1"/>
  <c r="M50" i="10" s="1"/>
  <c r="H50" i="10"/>
  <c r="G50" i="10"/>
  <c r="F50" i="10"/>
  <c r="D50" i="10"/>
  <c r="AB50" i="10" s="1"/>
  <c r="BG49" i="10"/>
  <c r="BF49" i="10"/>
  <c r="BE49" i="10"/>
  <c r="BD49" i="10"/>
  <c r="BC49" i="10"/>
  <c r="BB49" i="10"/>
  <c r="BA49" i="10"/>
  <c r="AZ49" i="10"/>
  <c r="AY49" i="10"/>
  <c r="AX49" i="10"/>
  <c r="AW49" i="10"/>
  <c r="AV49" i="10"/>
  <c r="AU49" i="10"/>
  <c r="AT49" i="10"/>
  <c r="AS49" i="10"/>
  <c r="AR49" i="10"/>
  <c r="AQ49" i="10"/>
  <c r="AP49" i="10"/>
  <c r="B49" i="10" s="1"/>
  <c r="AO49" i="10"/>
  <c r="AN49" i="10"/>
  <c r="AM49" i="10"/>
  <c r="AL49" i="10"/>
  <c r="AK49" i="10"/>
  <c r="AJ49" i="10"/>
  <c r="AI49" i="10"/>
  <c r="AH49" i="10"/>
  <c r="AG49" i="10"/>
  <c r="AF49" i="10"/>
  <c r="AE49" i="10"/>
  <c r="AD49" i="10"/>
  <c r="Q49" i="10"/>
  <c r="N49" i="10"/>
  <c r="O49" i="10" s="1"/>
  <c r="P49" i="10" s="1"/>
  <c r="K49" i="10"/>
  <c r="L49" i="10" s="1"/>
  <c r="M49" i="10" s="1"/>
  <c r="H49" i="10"/>
  <c r="G49" i="10"/>
  <c r="F49" i="10"/>
  <c r="D49" i="10"/>
  <c r="Y49" i="10" s="1"/>
  <c r="BG48" i="10"/>
  <c r="BF48" i="10"/>
  <c r="BE48" i="10"/>
  <c r="BD48" i="10"/>
  <c r="BC48" i="10"/>
  <c r="BB48" i="10"/>
  <c r="BA48" i="10"/>
  <c r="AZ48" i="10"/>
  <c r="AY48" i="10"/>
  <c r="AX48" i="10"/>
  <c r="AW48" i="10"/>
  <c r="AV48" i="10"/>
  <c r="AU48" i="10"/>
  <c r="AT48" i="10"/>
  <c r="AS48" i="10"/>
  <c r="AR48" i="10"/>
  <c r="B48" i="10" s="1"/>
  <c r="AQ48" i="10"/>
  <c r="AP48" i="10"/>
  <c r="AO48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N48" i="10"/>
  <c r="O48" i="10" s="1"/>
  <c r="P48" i="10" s="1"/>
  <c r="K48" i="10"/>
  <c r="L48" i="10" s="1"/>
  <c r="M48" i="10" s="1"/>
  <c r="H48" i="10"/>
  <c r="G48" i="10"/>
  <c r="F48" i="10"/>
  <c r="D48" i="10"/>
  <c r="BG47" i="10"/>
  <c r="BF47" i="10"/>
  <c r="BE47" i="10"/>
  <c r="BD47" i="10"/>
  <c r="BC47" i="10"/>
  <c r="BB47" i="10"/>
  <c r="BA47" i="10"/>
  <c r="AZ47" i="10"/>
  <c r="AY47" i="10"/>
  <c r="AX47" i="10"/>
  <c r="AW47" i="10"/>
  <c r="AV47" i="10"/>
  <c r="AU47" i="10"/>
  <c r="AT47" i="10"/>
  <c r="AS47" i="10"/>
  <c r="AR47" i="10"/>
  <c r="B47" i="10" s="1"/>
  <c r="AQ47" i="10"/>
  <c r="AP47" i="10"/>
  <c r="AF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N47" i="10"/>
  <c r="AE47" i="10" s="1"/>
  <c r="K47" i="10"/>
  <c r="L47" i="10" s="1"/>
  <c r="M47" i="10" s="1"/>
  <c r="H47" i="10"/>
  <c r="G47" i="10"/>
  <c r="F47" i="10"/>
  <c r="D47" i="10"/>
  <c r="BG46" i="10"/>
  <c r="BF46" i="10"/>
  <c r="BE46" i="10"/>
  <c r="BD46" i="10"/>
  <c r="BC46" i="10"/>
  <c r="BB46" i="10"/>
  <c r="BA46" i="10"/>
  <c r="AZ46" i="10"/>
  <c r="AY46" i="10"/>
  <c r="AX46" i="10"/>
  <c r="AW46" i="10"/>
  <c r="AV46" i="10"/>
  <c r="AU46" i="10"/>
  <c r="AT46" i="10"/>
  <c r="AS46" i="10"/>
  <c r="AR46" i="10"/>
  <c r="AQ46" i="10"/>
  <c r="AP46" i="10"/>
  <c r="B46" i="10" s="1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Q46" i="10"/>
  <c r="N46" i="10"/>
  <c r="O46" i="10" s="1"/>
  <c r="P46" i="10" s="1"/>
  <c r="K46" i="10"/>
  <c r="L46" i="10" s="1"/>
  <c r="M46" i="10" s="1"/>
  <c r="H46" i="10"/>
  <c r="G46" i="10"/>
  <c r="F46" i="10"/>
  <c r="D46" i="10"/>
  <c r="AB46" i="10" s="1"/>
  <c r="BG45" i="10"/>
  <c r="BF45" i="10"/>
  <c r="BE45" i="10"/>
  <c r="BD45" i="10"/>
  <c r="BC45" i="10"/>
  <c r="BB45" i="10"/>
  <c r="BA45" i="10"/>
  <c r="AZ45" i="10"/>
  <c r="AY45" i="10"/>
  <c r="AX45" i="10"/>
  <c r="AW45" i="10"/>
  <c r="AV45" i="10"/>
  <c r="AU45" i="10"/>
  <c r="AT45" i="10"/>
  <c r="AS45" i="10"/>
  <c r="AR45" i="10"/>
  <c r="AQ45" i="10"/>
  <c r="AP45" i="10"/>
  <c r="B45" i="10" s="1"/>
  <c r="AO45" i="10"/>
  <c r="AN45" i="10"/>
  <c r="AM45" i="10"/>
  <c r="AL45" i="10"/>
  <c r="AK45" i="10"/>
  <c r="AJ45" i="10"/>
  <c r="AI45" i="10"/>
  <c r="AH45" i="10"/>
  <c r="AG45" i="10"/>
  <c r="AF45" i="10"/>
  <c r="AE45" i="10"/>
  <c r="AD45" i="10"/>
  <c r="Q45" i="10"/>
  <c r="N45" i="10"/>
  <c r="O45" i="10" s="1"/>
  <c r="P45" i="10" s="1"/>
  <c r="K45" i="10"/>
  <c r="L45" i="10" s="1"/>
  <c r="M45" i="10" s="1"/>
  <c r="H45" i="10"/>
  <c r="G45" i="10"/>
  <c r="F45" i="10"/>
  <c r="D45" i="10"/>
  <c r="Y45" i="10" s="1"/>
  <c r="BG44" i="10"/>
  <c r="BF44" i="10"/>
  <c r="BE44" i="10"/>
  <c r="BD44" i="10"/>
  <c r="BC44" i="10"/>
  <c r="BB44" i="10"/>
  <c r="BA44" i="10"/>
  <c r="AZ44" i="10"/>
  <c r="AY44" i="10"/>
  <c r="AX44" i="10"/>
  <c r="AW44" i="10"/>
  <c r="AV44" i="10"/>
  <c r="AU44" i="10"/>
  <c r="AT44" i="10"/>
  <c r="AS44" i="10"/>
  <c r="AR44" i="10"/>
  <c r="B44" i="10" s="1"/>
  <c r="AQ44" i="10"/>
  <c r="AP44" i="10"/>
  <c r="AO44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N44" i="10"/>
  <c r="O44" i="10" s="1"/>
  <c r="P44" i="10" s="1"/>
  <c r="K44" i="10"/>
  <c r="L44" i="10" s="1"/>
  <c r="M44" i="10" s="1"/>
  <c r="H44" i="10"/>
  <c r="G44" i="10"/>
  <c r="F44" i="10"/>
  <c r="D44" i="10"/>
  <c r="BG43" i="10"/>
  <c r="BF43" i="10"/>
  <c r="BE43" i="10"/>
  <c r="BD43" i="10"/>
  <c r="BC43" i="10"/>
  <c r="BB43" i="10"/>
  <c r="BA43" i="10"/>
  <c r="AZ43" i="10"/>
  <c r="AY43" i="10"/>
  <c r="AX43" i="10"/>
  <c r="AW43" i="10"/>
  <c r="AV43" i="10"/>
  <c r="AU43" i="10"/>
  <c r="AT43" i="10"/>
  <c r="AS43" i="10"/>
  <c r="AR43" i="10"/>
  <c r="B43" i="10" s="1"/>
  <c r="AQ43" i="10"/>
  <c r="AP43" i="10"/>
  <c r="AO43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N43" i="10"/>
  <c r="O43" i="10" s="1"/>
  <c r="P43" i="10" s="1"/>
  <c r="K43" i="10"/>
  <c r="L43" i="10" s="1"/>
  <c r="M43" i="10" s="1"/>
  <c r="H43" i="10"/>
  <c r="G43" i="10"/>
  <c r="F43" i="10"/>
  <c r="D43" i="10"/>
  <c r="BG42" i="10"/>
  <c r="BF42" i="10"/>
  <c r="BE42" i="10"/>
  <c r="BD42" i="10"/>
  <c r="BC42" i="10"/>
  <c r="BB42" i="10"/>
  <c r="BA42" i="10"/>
  <c r="AZ42" i="10"/>
  <c r="AY42" i="10"/>
  <c r="AX42" i="10"/>
  <c r="AW42" i="10"/>
  <c r="AV42" i="10"/>
  <c r="AU42" i="10"/>
  <c r="AT42" i="10"/>
  <c r="AS42" i="10"/>
  <c r="AR42" i="10"/>
  <c r="AQ42" i="10"/>
  <c r="AP42" i="10"/>
  <c r="B42" i="10" s="1"/>
  <c r="AO42" i="10"/>
  <c r="AI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N42" i="10"/>
  <c r="AN42" i="10" s="1"/>
  <c r="K42" i="10"/>
  <c r="L42" i="10" s="1"/>
  <c r="M42" i="10" s="1"/>
  <c r="H42" i="10"/>
  <c r="G42" i="10"/>
  <c r="F42" i="10"/>
  <c r="D42" i="10"/>
  <c r="BG41" i="10"/>
  <c r="BF41" i="10"/>
  <c r="BE41" i="10"/>
  <c r="BD41" i="10"/>
  <c r="BC41" i="10"/>
  <c r="BB41" i="10"/>
  <c r="BA41" i="10"/>
  <c r="AZ41" i="10"/>
  <c r="AY41" i="10"/>
  <c r="AX41" i="10"/>
  <c r="AW41" i="10"/>
  <c r="AV41" i="10"/>
  <c r="AU41" i="10"/>
  <c r="AT41" i="10"/>
  <c r="AS41" i="10"/>
  <c r="AR41" i="10"/>
  <c r="AQ41" i="10"/>
  <c r="AP41" i="10"/>
  <c r="B41" i="10" s="1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N41" i="10"/>
  <c r="AK41" i="10" s="1"/>
  <c r="K41" i="10"/>
  <c r="L41" i="10" s="1"/>
  <c r="M41" i="10" s="1"/>
  <c r="H41" i="10"/>
  <c r="G41" i="10"/>
  <c r="F41" i="10"/>
  <c r="D41" i="10"/>
  <c r="BG40" i="10"/>
  <c r="BF40" i="10"/>
  <c r="BE40" i="10"/>
  <c r="BD40" i="10"/>
  <c r="BC40" i="10"/>
  <c r="BB40" i="10"/>
  <c r="BA40" i="10"/>
  <c r="AZ40" i="10"/>
  <c r="AY40" i="10"/>
  <c r="AX40" i="10"/>
  <c r="AW40" i="10"/>
  <c r="AV40" i="10"/>
  <c r="AU40" i="10"/>
  <c r="AT40" i="10"/>
  <c r="AS40" i="10"/>
  <c r="AR40" i="10"/>
  <c r="B40" i="10" s="1"/>
  <c r="AQ40" i="10"/>
  <c r="AP40" i="10"/>
  <c r="AO40" i="10"/>
  <c r="AI40" i="10"/>
  <c r="AF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N40" i="10"/>
  <c r="AH40" i="10" s="1"/>
  <c r="K40" i="10"/>
  <c r="L40" i="10" s="1"/>
  <c r="M40" i="10" s="1"/>
  <c r="H40" i="10"/>
  <c r="G40" i="10"/>
  <c r="F40" i="10"/>
  <c r="D40" i="10"/>
  <c r="BG39" i="10"/>
  <c r="BF39" i="10"/>
  <c r="BE39" i="10"/>
  <c r="BD39" i="10"/>
  <c r="BC39" i="10"/>
  <c r="BB39" i="10"/>
  <c r="BA39" i="10"/>
  <c r="AZ39" i="10"/>
  <c r="AY39" i="10"/>
  <c r="AX39" i="10"/>
  <c r="AW39" i="10"/>
  <c r="AV39" i="10"/>
  <c r="AU39" i="10"/>
  <c r="AT39" i="10"/>
  <c r="AS39" i="10"/>
  <c r="AR39" i="10"/>
  <c r="AQ39" i="10"/>
  <c r="B39" i="10" s="1"/>
  <c r="AP39" i="10"/>
  <c r="AO39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N39" i="10"/>
  <c r="O39" i="10" s="1"/>
  <c r="P39" i="10" s="1"/>
  <c r="K39" i="10"/>
  <c r="L39" i="10" s="1"/>
  <c r="M39" i="10" s="1"/>
  <c r="H39" i="10"/>
  <c r="G39" i="10"/>
  <c r="F39" i="10"/>
  <c r="D39" i="10"/>
  <c r="BG38" i="10"/>
  <c r="BF38" i="10"/>
  <c r="BE38" i="10"/>
  <c r="BD38" i="10"/>
  <c r="BC38" i="10"/>
  <c r="BB38" i="10"/>
  <c r="BA38" i="10"/>
  <c r="AZ38" i="10"/>
  <c r="AY38" i="10"/>
  <c r="AX38" i="10"/>
  <c r="AW38" i="10"/>
  <c r="AV38" i="10"/>
  <c r="AU38" i="10"/>
  <c r="AT38" i="10"/>
  <c r="AS38" i="10"/>
  <c r="AR38" i="10"/>
  <c r="AQ38" i="10"/>
  <c r="AP38" i="10"/>
  <c r="B38" i="10" s="1"/>
  <c r="AO38" i="10"/>
  <c r="AN38" i="10"/>
  <c r="AM38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N38" i="10"/>
  <c r="O38" i="10" s="1"/>
  <c r="P38" i="10" s="1"/>
  <c r="K38" i="10"/>
  <c r="L38" i="10" s="1"/>
  <c r="M38" i="10" s="1"/>
  <c r="H38" i="10"/>
  <c r="G38" i="10"/>
  <c r="F38" i="10"/>
  <c r="D38" i="10"/>
  <c r="BG37" i="10"/>
  <c r="BF37" i="10"/>
  <c r="BE37" i="10"/>
  <c r="BD37" i="10"/>
  <c r="BC37" i="10"/>
  <c r="BB37" i="10"/>
  <c r="BA37" i="10"/>
  <c r="AZ37" i="10"/>
  <c r="AY37" i="10"/>
  <c r="AX37" i="10"/>
  <c r="AW37" i="10"/>
  <c r="AV37" i="10"/>
  <c r="AU37" i="10"/>
  <c r="AT37" i="10"/>
  <c r="AS37" i="10"/>
  <c r="AR37" i="10"/>
  <c r="AQ37" i="10"/>
  <c r="AP37" i="10"/>
  <c r="B37" i="10" s="1"/>
  <c r="AO37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N37" i="10"/>
  <c r="O37" i="10" s="1"/>
  <c r="P37" i="10" s="1"/>
  <c r="K37" i="10"/>
  <c r="L37" i="10" s="1"/>
  <c r="M37" i="10" s="1"/>
  <c r="H37" i="10"/>
  <c r="G37" i="10"/>
  <c r="F37" i="10"/>
  <c r="D37" i="10"/>
  <c r="BG36" i="10"/>
  <c r="BF36" i="10"/>
  <c r="BE36" i="10"/>
  <c r="BD36" i="10"/>
  <c r="BC36" i="10"/>
  <c r="BB36" i="10"/>
  <c r="BA36" i="10"/>
  <c r="AZ36" i="10"/>
  <c r="AY36" i="10"/>
  <c r="AX36" i="10"/>
  <c r="AW36" i="10"/>
  <c r="AV36" i="10"/>
  <c r="AU36" i="10"/>
  <c r="AT36" i="10"/>
  <c r="AS36" i="10"/>
  <c r="AR36" i="10"/>
  <c r="B36" i="10" s="1"/>
  <c r="AQ36" i="10"/>
  <c r="AP36" i="10"/>
  <c r="AO36" i="10"/>
  <c r="AN36" i="10"/>
  <c r="AM36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N36" i="10"/>
  <c r="O36" i="10" s="1"/>
  <c r="P36" i="10" s="1"/>
  <c r="K36" i="10"/>
  <c r="L36" i="10" s="1"/>
  <c r="M36" i="10" s="1"/>
  <c r="H36" i="10"/>
  <c r="G36" i="10"/>
  <c r="F36" i="10"/>
  <c r="D36" i="10"/>
  <c r="BG35" i="10"/>
  <c r="BF35" i="10"/>
  <c r="BE35" i="10"/>
  <c r="BD35" i="10"/>
  <c r="BC35" i="10"/>
  <c r="BB35" i="10"/>
  <c r="BA35" i="10"/>
  <c r="AZ35" i="10"/>
  <c r="AY35" i="10"/>
  <c r="AX35" i="10"/>
  <c r="AW35" i="10"/>
  <c r="AV35" i="10"/>
  <c r="AU35" i="10"/>
  <c r="AT35" i="10"/>
  <c r="AS35" i="10"/>
  <c r="AR35" i="10"/>
  <c r="AQ35" i="10"/>
  <c r="B35" i="10" s="1"/>
  <c r="AP35" i="10"/>
  <c r="AO35" i="10"/>
  <c r="AN35" i="10"/>
  <c r="AM35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N35" i="10"/>
  <c r="O35" i="10" s="1"/>
  <c r="P35" i="10" s="1"/>
  <c r="K35" i="10"/>
  <c r="L35" i="10" s="1"/>
  <c r="M35" i="10" s="1"/>
  <c r="H35" i="10"/>
  <c r="G35" i="10"/>
  <c r="F35" i="10"/>
  <c r="D35" i="10"/>
  <c r="BG34" i="10"/>
  <c r="BF34" i="10"/>
  <c r="BE34" i="10"/>
  <c r="BD34" i="10"/>
  <c r="BC34" i="10"/>
  <c r="BB34" i="10"/>
  <c r="BA34" i="10"/>
  <c r="AZ34" i="10"/>
  <c r="AY34" i="10"/>
  <c r="AX34" i="10"/>
  <c r="AW34" i="10"/>
  <c r="AV34" i="10"/>
  <c r="AU34" i="10"/>
  <c r="AT34" i="10"/>
  <c r="AS34" i="10"/>
  <c r="AR34" i="10"/>
  <c r="AQ34" i="10"/>
  <c r="AP34" i="10"/>
  <c r="B34" i="10" s="1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N34" i="10"/>
  <c r="O34" i="10" s="1"/>
  <c r="P34" i="10" s="1"/>
  <c r="K34" i="10"/>
  <c r="L34" i="10" s="1"/>
  <c r="M34" i="10" s="1"/>
  <c r="H34" i="10"/>
  <c r="G34" i="10"/>
  <c r="F34" i="10"/>
  <c r="D34" i="10"/>
  <c r="BG33" i="10"/>
  <c r="BF33" i="10"/>
  <c r="BE33" i="10"/>
  <c r="BD33" i="10"/>
  <c r="BC33" i="10"/>
  <c r="BB33" i="10"/>
  <c r="BA33" i="10"/>
  <c r="AZ33" i="10"/>
  <c r="AY33" i="10"/>
  <c r="AX33" i="10"/>
  <c r="AW33" i="10"/>
  <c r="AV33" i="10"/>
  <c r="AU33" i="10"/>
  <c r="AT33" i="10"/>
  <c r="AS33" i="10"/>
  <c r="AR33" i="10"/>
  <c r="AQ33" i="10"/>
  <c r="AP33" i="10"/>
  <c r="B33" i="10" s="1"/>
  <c r="AO33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N33" i="10"/>
  <c r="O33" i="10" s="1"/>
  <c r="P33" i="10" s="1"/>
  <c r="K33" i="10"/>
  <c r="L33" i="10" s="1"/>
  <c r="M33" i="10" s="1"/>
  <c r="H33" i="10"/>
  <c r="G33" i="10"/>
  <c r="F33" i="10"/>
  <c r="D33" i="10"/>
  <c r="BG32" i="10"/>
  <c r="BF32" i="10"/>
  <c r="BE32" i="10"/>
  <c r="BD32" i="10"/>
  <c r="BC32" i="10"/>
  <c r="BB32" i="10"/>
  <c r="BA32" i="10"/>
  <c r="AZ32" i="10"/>
  <c r="AY32" i="10"/>
  <c r="AX32" i="10"/>
  <c r="AW32" i="10"/>
  <c r="AV32" i="10"/>
  <c r="AU32" i="10"/>
  <c r="AT32" i="10"/>
  <c r="AS32" i="10"/>
  <c r="AR32" i="10"/>
  <c r="B32" i="10" s="1"/>
  <c r="AQ32" i="10"/>
  <c r="AP32" i="10"/>
  <c r="AO32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N32" i="10"/>
  <c r="O32" i="10" s="1"/>
  <c r="P32" i="10" s="1"/>
  <c r="K32" i="10"/>
  <c r="L32" i="10" s="1"/>
  <c r="M32" i="10" s="1"/>
  <c r="H32" i="10"/>
  <c r="G32" i="10"/>
  <c r="F32" i="10"/>
  <c r="D32" i="10"/>
  <c r="BG31" i="10"/>
  <c r="BF31" i="10"/>
  <c r="BE31" i="10"/>
  <c r="BD31" i="10"/>
  <c r="BC31" i="10"/>
  <c r="BB31" i="10"/>
  <c r="BA31" i="10"/>
  <c r="AZ31" i="10"/>
  <c r="AY31" i="10"/>
  <c r="AX31" i="10"/>
  <c r="AW31" i="10"/>
  <c r="AV31" i="10"/>
  <c r="AU31" i="10"/>
  <c r="AT31" i="10"/>
  <c r="AS31" i="10"/>
  <c r="AR31" i="10"/>
  <c r="AQ31" i="10"/>
  <c r="B31" i="10" s="1"/>
  <c r="AP31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N31" i="10"/>
  <c r="O31" i="10" s="1"/>
  <c r="P31" i="10" s="1"/>
  <c r="K31" i="10"/>
  <c r="L31" i="10" s="1"/>
  <c r="M31" i="10" s="1"/>
  <c r="H31" i="10"/>
  <c r="G31" i="10"/>
  <c r="F31" i="10"/>
  <c r="D31" i="10"/>
  <c r="BG30" i="10"/>
  <c r="BF30" i="10"/>
  <c r="BE30" i="10"/>
  <c r="BD30" i="10"/>
  <c r="BC30" i="10"/>
  <c r="BB30" i="10"/>
  <c r="BA30" i="10"/>
  <c r="AZ30" i="10"/>
  <c r="AY30" i="10"/>
  <c r="AX30" i="10"/>
  <c r="AW30" i="10"/>
  <c r="AV30" i="10"/>
  <c r="AU30" i="10"/>
  <c r="AT30" i="10"/>
  <c r="AS30" i="10"/>
  <c r="AR30" i="10"/>
  <c r="AQ30" i="10"/>
  <c r="AP30" i="10"/>
  <c r="B30" i="10" s="1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N30" i="10"/>
  <c r="O30" i="10" s="1"/>
  <c r="P30" i="10" s="1"/>
  <c r="K30" i="10"/>
  <c r="L30" i="10" s="1"/>
  <c r="M30" i="10" s="1"/>
  <c r="H30" i="10"/>
  <c r="G30" i="10"/>
  <c r="F30" i="10"/>
  <c r="D30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N29" i="10"/>
  <c r="O29" i="10" s="1"/>
  <c r="P29" i="10" s="1"/>
  <c r="K29" i="10"/>
  <c r="L29" i="10" s="1"/>
  <c r="M29" i="10" s="1"/>
  <c r="H29" i="10"/>
  <c r="G29" i="10"/>
  <c r="F29" i="10"/>
  <c r="D29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B28" i="10" s="1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N28" i="10"/>
  <c r="O28" i="10" s="1"/>
  <c r="P28" i="10" s="1"/>
  <c r="K28" i="10"/>
  <c r="L28" i="10" s="1"/>
  <c r="M28" i="10" s="1"/>
  <c r="H28" i="10"/>
  <c r="G28" i="10"/>
  <c r="F28" i="10"/>
  <c r="D28" i="10"/>
  <c r="BG27" i="10"/>
  <c r="BF27" i="10"/>
  <c r="BE27" i="10"/>
  <c r="BD27" i="10"/>
  <c r="BC27" i="10"/>
  <c r="BB27" i="10"/>
  <c r="BA27" i="10"/>
  <c r="AZ27" i="10"/>
  <c r="AY27" i="10"/>
  <c r="AX27" i="10"/>
  <c r="AW27" i="10"/>
  <c r="AV27" i="10"/>
  <c r="AU27" i="10"/>
  <c r="AT27" i="10"/>
  <c r="AS27" i="10"/>
  <c r="AR27" i="10"/>
  <c r="AQ27" i="10"/>
  <c r="B27" i="10" s="1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N27" i="10"/>
  <c r="O27" i="10" s="1"/>
  <c r="P27" i="10" s="1"/>
  <c r="K27" i="10"/>
  <c r="L27" i="10" s="1"/>
  <c r="M27" i="10" s="1"/>
  <c r="H27" i="10"/>
  <c r="G27" i="10"/>
  <c r="F27" i="10"/>
  <c r="D27" i="10"/>
  <c r="BG26" i="10"/>
  <c r="BF26" i="10"/>
  <c r="BE26" i="10"/>
  <c r="BD26" i="10"/>
  <c r="BC26" i="10"/>
  <c r="BB26" i="10"/>
  <c r="BA26" i="10"/>
  <c r="AZ26" i="10"/>
  <c r="AY26" i="10"/>
  <c r="AX26" i="10"/>
  <c r="AW26" i="10"/>
  <c r="AV26" i="10"/>
  <c r="AU26" i="10"/>
  <c r="AT26" i="10"/>
  <c r="AS26" i="10"/>
  <c r="AR26" i="10"/>
  <c r="AQ26" i="10"/>
  <c r="AP26" i="10"/>
  <c r="B26" i="10" s="1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N26" i="10"/>
  <c r="O26" i="10" s="1"/>
  <c r="P26" i="10" s="1"/>
  <c r="K26" i="10"/>
  <c r="L26" i="10" s="1"/>
  <c r="M26" i="10" s="1"/>
  <c r="H26" i="10"/>
  <c r="G26" i="10"/>
  <c r="F26" i="10"/>
  <c r="D26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B25" i="10" s="1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N25" i="10"/>
  <c r="O25" i="10" s="1"/>
  <c r="P25" i="10" s="1"/>
  <c r="K25" i="10"/>
  <c r="L25" i="10" s="1"/>
  <c r="M25" i="10" s="1"/>
  <c r="H25" i="10"/>
  <c r="G25" i="10"/>
  <c r="F25" i="10"/>
  <c r="D25" i="10"/>
  <c r="BG24" i="10"/>
  <c r="BF24" i="10"/>
  <c r="BE24" i="10"/>
  <c r="BD24" i="10"/>
  <c r="BC24" i="10"/>
  <c r="BB24" i="10"/>
  <c r="BA24" i="10"/>
  <c r="AZ24" i="10"/>
  <c r="AY24" i="10"/>
  <c r="AX24" i="10"/>
  <c r="AW24" i="10"/>
  <c r="AV24" i="10"/>
  <c r="AU24" i="10"/>
  <c r="AT24" i="10"/>
  <c r="AS24" i="10"/>
  <c r="AR24" i="10"/>
  <c r="B24" i="10" s="1"/>
  <c r="AQ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N24" i="10"/>
  <c r="O24" i="10" s="1"/>
  <c r="P24" i="10" s="1"/>
  <c r="K24" i="10"/>
  <c r="L24" i="10" s="1"/>
  <c r="M24" i="10" s="1"/>
  <c r="H24" i="10"/>
  <c r="G24" i="10"/>
  <c r="F24" i="10"/>
  <c r="D24" i="10"/>
  <c r="BG23" i="10"/>
  <c r="BF23" i="10"/>
  <c r="BE23" i="10"/>
  <c r="BD23" i="10"/>
  <c r="BC23" i="10"/>
  <c r="BB23" i="10"/>
  <c r="BA23" i="10"/>
  <c r="AZ23" i="10"/>
  <c r="AY23" i="10"/>
  <c r="AX23" i="10"/>
  <c r="AW23" i="10"/>
  <c r="AV23" i="10"/>
  <c r="AU23" i="10"/>
  <c r="AT23" i="10"/>
  <c r="AS23" i="10"/>
  <c r="AR23" i="10"/>
  <c r="AQ23" i="10"/>
  <c r="B23" i="10" s="1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N23" i="10"/>
  <c r="O23" i="10" s="1"/>
  <c r="P23" i="10" s="1"/>
  <c r="K23" i="10"/>
  <c r="L23" i="10" s="1"/>
  <c r="M23" i="10" s="1"/>
  <c r="H23" i="10"/>
  <c r="G23" i="10"/>
  <c r="F23" i="10"/>
  <c r="D23" i="10"/>
  <c r="BG22" i="10"/>
  <c r="BF22" i="10"/>
  <c r="BE22" i="10"/>
  <c r="BD22" i="10"/>
  <c r="BC22" i="10"/>
  <c r="BB22" i="10"/>
  <c r="BA22" i="10"/>
  <c r="AZ22" i="10"/>
  <c r="AY22" i="10"/>
  <c r="AX22" i="10"/>
  <c r="AW22" i="10"/>
  <c r="AV22" i="10"/>
  <c r="AU22" i="10"/>
  <c r="AT22" i="10"/>
  <c r="AS22" i="10"/>
  <c r="AR22" i="10"/>
  <c r="AQ22" i="10"/>
  <c r="AP22" i="10"/>
  <c r="B22" i="10" s="1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N22" i="10"/>
  <c r="O22" i="10" s="1"/>
  <c r="P22" i="10" s="1"/>
  <c r="K22" i="10"/>
  <c r="L22" i="10" s="1"/>
  <c r="M22" i="10" s="1"/>
  <c r="H22" i="10"/>
  <c r="G22" i="10"/>
  <c r="F22" i="10"/>
  <c r="D22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B21" i="10" s="1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N21" i="10"/>
  <c r="O21" i="10" s="1"/>
  <c r="P21" i="10" s="1"/>
  <c r="K21" i="10"/>
  <c r="L21" i="10" s="1"/>
  <c r="M21" i="10" s="1"/>
  <c r="H21" i="10"/>
  <c r="G21" i="10"/>
  <c r="F21" i="10"/>
  <c r="D21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B20" i="10" s="1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N20" i="10"/>
  <c r="O20" i="10" s="1"/>
  <c r="P20" i="10" s="1"/>
  <c r="K20" i="10"/>
  <c r="L20" i="10" s="1"/>
  <c r="M20" i="10" s="1"/>
  <c r="H20" i="10"/>
  <c r="G20" i="10"/>
  <c r="F20" i="10"/>
  <c r="D20" i="10"/>
  <c r="BG19" i="10"/>
  <c r="BF19" i="10"/>
  <c r="BE19" i="10"/>
  <c r="BD19" i="10"/>
  <c r="BC19" i="10"/>
  <c r="BB19" i="10"/>
  <c r="BA19" i="10"/>
  <c r="AZ19" i="10"/>
  <c r="AY19" i="10"/>
  <c r="AX19" i="10"/>
  <c r="AW19" i="10"/>
  <c r="AV19" i="10"/>
  <c r="AU19" i="10"/>
  <c r="AT19" i="10"/>
  <c r="AS19" i="10"/>
  <c r="AR19" i="10"/>
  <c r="AQ19" i="10"/>
  <c r="B19" i="10" s="1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N19" i="10"/>
  <c r="O19" i="10" s="1"/>
  <c r="P19" i="10" s="1"/>
  <c r="K19" i="10"/>
  <c r="L19" i="10" s="1"/>
  <c r="M19" i="10" s="1"/>
  <c r="H19" i="10"/>
  <c r="G19" i="10"/>
  <c r="F19" i="10"/>
  <c r="D19" i="10"/>
  <c r="BG18" i="10"/>
  <c r="BF18" i="10"/>
  <c r="BE18" i="10"/>
  <c r="BD18" i="10"/>
  <c r="BC18" i="10"/>
  <c r="BB18" i="10"/>
  <c r="BA18" i="10"/>
  <c r="AZ18" i="10"/>
  <c r="AY18" i="10"/>
  <c r="AX18" i="10"/>
  <c r="AW18" i="10"/>
  <c r="AV18" i="10"/>
  <c r="AU18" i="10"/>
  <c r="AT18" i="10"/>
  <c r="AS18" i="10"/>
  <c r="AR18" i="10"/>
  <c r="AQ18" i="10"/>
  <c r="AP18" i="10"/>
  <c r="B18" i="10" s="1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N18" i="10"/>
  <c r="O18" i="10" s="1"/>
  <c r="P18" i="10" s="1"/>
  <c r="K18" i="10"/>
  <c r="L18" i="10" s="1"/>
  <c r="M18" i="10" s="1"/>
  <c r="H18" i="10"/>
  <c r="G18" i="10"/>
  <c r="F18" i="10"/>
  <c r="D18" i="10"/>
  <c r="BG17" i="10"/>
  <c r="BF17" i="10"/>
  <c r="BE17" i="10"/>
  <c r="BD17" i="10"/>
  <c r="BC17" i="10"/>
  <c r="BB17" i="10"/>
  <c r="BA17" i="10"/>
  <c r="AZ17" i="10"/>
  <c r="AY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N17" i="10"/>
  <c r="O17" i="10" s="1"/>
  <c r="P17" i="10" s="1"/>
  <c r="K17" i="10"/>
  <c r="L17" i="10" s="1"/>
  <c r="M17" i="10" s="1"/>
  <c r="H17" i="10"/>
  <c r="G17" i="10"/>
  <c r="F17" i="10"/>
  <c r="D17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N16" i="10"/>
  <c r="O16" i="10" s="1"/>
  <c r="P16" i="10" s="1"/>
  <c r="K16" i="10"/>
  <c r="L16" i="10" s="1"/>
  <c r="M16" i="10" s="1"/>
  <c r="H16" i="10"/>
  <c r="G16" i="10"/>
  <c r="F16" i="10"/>
  <c r="D16" i="10"/>
  <c r="BG15" i="10"/>
  <c r="BF15" i="10"/>
  <c r="BE15" i="10"/>
  <c r="BD15" i="10"/>
  <c r="BC15" i="10"/>
  <c r="BB15" i="10"/>
  <c r="BA15" i="10"/>
  <c r="AZ15" i="10"/>
  <c r="AY15" i="10"/>
  <c r="AX15" i="10"/>
  <c r="AW15" i="10"/>
  <c r="AV15" i="10"/>
  <c r="AU15" i="10"/>
  <c r="AT15" i="10"/>
  <c r="AS15" i="10"/>
  <c r="AR15" i="10"/>
  <c r="AQ15" i="10"/>
  <c r="B15" i="10" s="1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N15" i="10"/>
  <c r="O15" i="10" s="1"/>
  <c r="P15" i="10" s="1"/>
  <c r="K15" i="10"/>
  <c r="L15" i="10" s="1"/>
  <c r="M15" i="10" s="1"/>
  <c r="H15" i="10"/>
  <c r="G15" i="10"/>
  <c r="F15" i="10"/>
  <c r="D15" i="10"/>
  <c r="BG14" i="10"/>
  <c r="BF14" i="10"/>
  <c r="BE14" i="10"/>
  <c r="BD14" i="10"/>
  <c r="BC14" i="10"/>
  <c r="BB14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B14" i="10" s="1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N14" i="10"/>
  <c r="O14" i="10" s="1"/>
  <c r="P14" i="10" s="1"/>
  <c r="K14" i="10"/>
  <c r="L14" i="10" s="1"/>
  <c r="M14" i="10" s="1"/>
  <c r="H14" i="10"/>
  <c r="G14" i="10"/>
  <c r="F14" i="10"/>
  <c r="D14" i="10"/>
  <c r="BG13" i="10"/>
  <c r="BF13" i="10"/>
  <c r="BE13" i="10"/>
  <c r="BD13" i="10"/>
  <c r="BC13" i="10"/>
  <c r="BB13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N13" i="10"/>
  <c r="O13" i="10" s="1"/>
  <c r="P13" i="10" s="1"/>
  <c r="K13" i="10"/>
  <c r="L13" i="10" s="1"/>
  <c r="M13" i="10" s="1"/>
  <c r="H13" i="10"/>
  <c r="G13" i="10"/>
  <c r="F13" i="10"/>
  <c r="D13" i="10"/>
  <c r="BG12" i="10"/>
  <c r="BF12" i="10"/>
  <c r="BE12" i="10"/>
  <c r="BD12" i="10"/>
  <c r="BC12" i="10"/>
  <c r="BB12" i="10"/>
  <c r="BA12" i="10"/>
  <c r="AZ12" i="10"/>
  <c r="AY12" i="10"/>
  <c r="AX12" i="10"/>
  <c r="AW12" i="10"/>
  <c r="AV12" i="10"/>
  <c r="AU12" i="10"/>
  <c r="AT12" i="10"/>
  <c r="AS12" i="10"/>
  <c r="AR12" i="10"/>
  <c r="B12" i="10" s="1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N12" i="10"/>
  <c r="O12" i="10" s="1"/>
  <c r="P12" i="10" s="1"/>
  <c r="K12" i="10"/>
  <c r="L12" i="10" s="1"/>
  <c r="M12" i="10" s="1"/>
  <c r="H12" i="10"/>
  <c r="G12" i="10"/>
  <c r="F12" i="10"/>
  <c r="D12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AU11" i="10"/>
  <c r="AT11" i="10"/>
  <c r="AS11" i="10"/>
  <c r="AR11" i="10"/>
  <c r="AQ11" i="10"/>
  <c r="B11" i="10" s="1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N11" i="10"/>
  <c r="O11" i="10" s="1"/>
  <c r="P11" i="10" s="1"/>
  <c r="K11" i="10"/>
  <c r="L11" i="10" s="1"/>
  <c r="M11" i="10" s="1"/>
  <c r="H11" i="10"/>
  <c r="G11" i="10"/>
  <c r="F11" i="10"/>
  <c r="D11" i="10"/>
  <c r="BG10" i="10"/>
  <c r="BF10" i="10"/>
  <c r="BE10" i="10"/>
  <c r="BD10" i="10"/>
  <c r="BC10" i="10"/>
  <c r="BB10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N10" i="10"/>
  <c r="O10" i="10" s="1"/>
  <c r="P10" i="10" s="1"/>
  <c r="K10" i="10"/>
  <c r="L10" i="10" s="1"/>
  <c r="M10" i="10" s="1"/>
  <c r="H10" i="10"/>
  <c r="G10" i="10"/>
  <c r="F10" i="10"/>
  <c r="D10" i="10"/>
  <c r="BG8" i="10"/>
  <c r="BF8" i="10"/>
  <c r="BE8" i="10"/>
  <c r="BD8" i="10"/>
  <c r="BC8" i="10"/>
  <c r="BB8" i="10"/>
  <c r="BA8" i="10"/>
  <c r="AZ8" i="10"/>
  <c r="AY8" i="10"/>
  <c r="AX8" i="10"/>
  <c r="AW8" i="10"/>
  <c r="AV8" i="10"/>
  <c r="AU8" i="10"/>
  <c r="AT8" i="10"/>
  <c r="AS8" i="10"/>
  <c r="AR8" i="10"/>
  <c r="AQ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P8" i="10"/>
  <c r="O8" i="10"/>
  <c r="N8" i="10"/>
  <c r="M8" i="10"/>
  <c r="L8" i="10"/>
  <c r="AP4" i="10"/>
  <c r="AP8" i="10" s="1"/>
  <c r="N4" i="10"/>
  <c r="K4" i="10"/>
  <c r="K8" i="10" s="1"/>
  <c r="AN2" i="10"/>
  <c r="AJ2" i="10"/>
  <c r="AF2" i="10"/>
  <c r="AB2" i="10"/>
  <c r="T45" i="10" s="1"/>
  <c r="X2" i="10"/>
  <c r="T2" i="10"/>
  <c r="AN1" i="10"/>
  <c r="AJ1" i="10"/>
  <c r="AF1" i="10"/>
  <c r="AB1" i="10"/>
  <c r="Z55" i="10" s="1"/>
  <c r="X1" i="10"/>
  <c r="T1" i="10"/>
  <c r="Z53" i="10" s="1"/>
  <c r="D5" i="9"/>
  <c r="C5" i="9"/>
  <c r="E6" i="11" s="1"/>
  <c r="E54" i="8"/>
  <c r="D54" i="8"/>
  <c r="B54" i="8"/>
  <c r="E52" i="8"/>
  <c r="D52" i="8"/>
  <c r="E51" i="8"/>
  <c r="D51" i="8"/>
  <c r="C56" i="10" s="1"/>
  <c r="C51" i="8"/>
  <c r="B51" i="8" a="1"/>
  <c r="B51" i="8" s="1"/>
  <c r="E50" i="8"/>
  <c r="D50" i="8"/>
  <c r="C55" i="10" s="1"/>
  <c r="C50" i="8"/>
  <c r="B50" i="8" a="1"/>
  <c r="B50" i="8" s="1"/>
  <c r="E49" i="8"/>
  <c r="D49" i="8"/>
  <c r="C54" i="10" s="1"/>
  <c r="E48" i="8"/>
  <c r="D48" i="8"/>
  <c r="C53" i="10" s="1"/>
  <c r="C48" i="8"/>
  <c r="B48" i="8" a="1"/>
  <c r="B48" i="8" s="1"/>
  <c r="E47" i="8"/>
  <c r="D47" i="8"/>
  <c r="C47" i="8" s="1"/>
  <c r="B47" i="8" a="1"/>
  <c r="B47" i="8" s="1"/>
  <c r="E46" i="8"/>
  <c r="D46" i="8"/>
  <c r="C51" i="10" s="1"/>
  <c r="C46" i="8"/>
  <c r="E45" i="8"/>
  <c r="D45" i="8"/>
  <c r="C50" i="10" s="1"/>
  <c r="C45" i="8"/>
  <c r="B45" i="8" a="1"/>
  <c r="B45" i="8" s="1"/>
  <c r="E44" i="8"/>
  <c r="D44" i="8"/>
  <c r="C49" i="10" s="1"/>
  <c r="C44" i="8"/>
  <c r="B44" i="8" a="1"/>
  <c r="B44" i="8" s="1"/>
  <c r="E43" i="8"/>
  <c r="D43" i="8"/>
  <c r="C48" i="10" s="1"/>
  <c r="C43" i="8"/>
  <c r="B43" i="8" a="1"/>
  <c r="B43" i="8"/>
  <c r="E42" i="8"/>
  <c r="D42" i="8"/>
  <c r="C47" i="10" s="1"/>
  <c r="C42" i="8"/>
  <c r="E41" i="8"/>
  <c r="D41" i="8"/>
  <c r="C46" i="10" s="1"/>
  <c r="E40" i="8"/>
  <c r="D40" i="8"/>
  <c r="E39" i="8"/>
  <c r="D39" i="8"/>
  <c r="C44" i="10" s="1"/>
  <c r="C39" i="8"/>
  <c r="B39" i="8" a="1"/>
  <c r="B39" i="8" s="1"/>
  <c r="E38" i="8"/>
  <c r="D38" i="8"/>
  <c r="C43" i="10" s="1"/>
  <c r="C38" i="8"/>
  <c r="B38" i="8" a="1"/>
  <c r="B38" i="8" s="1"/>
  <c r="E37" i="8"/>
  <c r="D37" i="8"/>
  <c r="C42" i="10" s="1"/>
  <c r="E36" i="8"/>
  <c r="D36" i="8"/>
  <c r="C36" i="8" s="1"/>
  <c r="B36" i="8" a="1"/>
  <c r="B36" i="8"/>
  <c r="E35" i="8"/>
  <c r="D35" i="8"/>
  <c r="C35" i="8" s="1"/>
  <c r="E34" i="8"/>
  <c r="D34" i="8"/>
  <c r="C39" i="10" s="1"/>
  <c r="C34" i="8"/>
  <c r="B34" i="8" a="1"/>
  <c r="B34" i="8" s="1"/>
  <c r="E33" i="8"/>
  <c r="D33" i="8"/>
  <c r="C33" i="8"/>
  <c r="E32" i="8"/>
  <c r="D32" i="8"/>
  <c r="C37" i="10" s="1"/>
  <c r="C32" i="8"/>
  <c r="B32" i="8" a="1"/>
  <c r="B32" i="8"/>
  <c r="E31" i="8"/>
  <c r="D31" i="8"/>
  <c r="C36" i="10" s="1"/>
  <c r="C31" i="8"/>
  <c r="B31" i="8" a="1"/>
  <c r="B31" i="8" s="1"/>
  <c r="E30" i="8"/>
  <c r="D30" i="8"/>
  <c r="C35" i="10" s="1"/>
  <c r="C30" i="8"/>
  <c r="E29" i="8"/>
  <c r="D29" i="8"/>
  <c r="C34" i="10" s="1"/>
  <c r="C29" i="8"/>
  <c r="E28" i="8"/>
  <c r="D28" i="8"/>
  <c r="C28" i="8"/>
  <c r="E27" i="8"/>
  <c r="D27" i="8"/>
  <c r="C32" i="10" s="1"/>
  <c r="C27" i="8"/>
  <c r="B27" i="8" a="1"/>
  <c r="B27" i="8"/>
  <c r="E26" i="8"/>
  <c r="D26" i="8"/>
  <c r="C31" i="10" s="1"/>
  <c r="C26" i="8"/>
  <c r="B26" i="8" a="1"/>
  <c r="B26" i="8" s="1"/>
  <c r="E25" i="8"/>
  <c r="D25" i="8"/>
  <c r="C30" i="10" s="1"/>
  <c r="E24" i="8"/>
  <c r="D24" i="8"/>
  <c r="E23" i="8"/>
  <c r="D23" i="8"/>
  <c r="E22" i="8"/>
  <c r="D22" i="8"/>
  <c r="C27" i="10" s="1"/>
  <c r="C22" i="8"/>
  <c r="B22" i="8" a="1"/>
  <c r="B22" i="8" s="1"/>
  <c r="E21" i="8"/>
  <c r="D21" i="8"/>
  <c r="C26" i="10" s="1"/>
  <c r="C21" i="8"/>
  <c r="B21" i="8" a="1"/>
  <c r="B21" i="8" s="1"/>
  <c r="E20" i="8"/>
  <c r="D20" i="8"/>
  <c r="C25" i="10" s="1"/>
  <c r="C20" i="8"/>
  <c r="B20" i="8" a="1"/>
  <c r="B20" i="8"/>
  <c r="E19" i="8"/>
  <c r="D19" i="8"/>
  <c r="C24" i="10" s="1"/>
  <c r="C19" i="8"/>
  <c r="B19" i="8" a="1"/>
  <c r="B19" i="8" s="1"/>
  <c r="E18" i="8"/>
  <c r="D18" i="8"/>
  <c r="C23" i="10" s="1"/>
  <c r="C18" i="8"/>
  <c r="E17" i="8"/>
  <c r="D17" i="8"/>
  <c r="C22" i="10" s="1"/>
  <c r="C17" i="8"/>
  <c r="E16" i="8"/>
  <c r="D16" i="8"/>
  <c r="E15" i="8"/>
  <c r="D15" i="8"/>
  <c r="C20" i="10" s="1"/>
  <c r="C15" i="8"/>
  <c r="B15" i="8" a="1"/>
  <c r="B15" i="8"/>
  <c r="E14" i="8"/>
  <c r="D14" i="8"/>
  <c r="C19" i="10" s="1"/>
  <c r="C14" i="8"/>
  <c r="B14" i="8" a="1"/>
  <c r="B14" i="8" s="1"/>
  <c r="E13" i="8"/>
  <c r="D13" i="8"/>
  <c r="C18" i="10" s="1"/>
  <c r="E12" i="8"/>
  <c r="D12" i="8"/>
  <c r="E11" i="8"/>
  <c r="D11" i="8"/>
  <c r="E10" i="8"/>
  <c r="D10" i="8"/>
  <c r="C15" i="10" s="1"/>
  <c r="C10" i="8"/>
  <c r="B10" i="8" a="1"/>
  <c r="B10" i="8" s="1"/>
  <c r="E9" i="8"/>
  <c r="D9" i="8"/>
  <c r="C14" i="10" s="1"/>
  <c r="B9" i="8" a="1"/>
  <c r="B9" i="8" s="1"/>
  <c r="E8" i="8"/>
  <c r="D8" i="8"/>
  <c r="C13" i="10" s="1"/>
  <c r="C8" i="8"/>
  <c r="B8" i="8" a="1"/>
  <c r="B8" i="8" s="1"/>
  <c r="E7" i="8"/>
  <c r="D7" i="8"/>
  <c r="C12" i="10" s="1"/>
  <c r="C7" i="8"/>
  <c r="B7" i="8" a="1"/>
  <c r="B7" i="8" s="1"/>
  <c r="E6" i="8"/>
  <c r="D6" i="8"/>
  <c r="C11" i="10" s="1"/>
  <c r="C6" i="8"/>
  <c r="E5" i="8"/>
  <c r="D5" i="8"/>
  <c r="C5" i="8"/>
  <c r="J27" i="10" l="1"/>
  <c r="I27" i="10"/>
  <c r="J31" i="10"/>
  <c r="I31" i="10"/>
  <c r="J37" i="10"/>
  <c r="I37" i="10"/>
  <c r="C40" i="8"/>
  <c r="B40" i="8" a="1"/>
  <c r="B40" i="8" s="1"/>
  <c r="C45" i="10"/>
  <c r="J35" i="10"/>
  <c r="I35" i="10"/>
  <c r="C23" i="8"/>
  <c r="B23" i="8" a="1"/>
  <c r="B23" i="8" s="1"/>
  <c r="C28" i="10"/>
  <c r="J22" i="10"/>
  <c r="I22" i="10"/>
  <c r="C38" i="10"/>
  <c r="B33" i="8" a="1"/>
  <c r="B33" i="8" s="1"/>
  <c r="J42" i="10"/>
  <c r="I42" i="10"/>
  <c r="J46" i="10"/>
  <c r="I46" i="10"/>
  <c r="J49" i="10"/>
  <c r="I49" i="10"/>
  <c r="J56" i="10"/>
  <c r="I56" i="10"/>
  <c r="J12" i="10"/>
  <c r="I12" i="10"/>
  <c r="J15" i="10"/>
  <c r="I15" i="10"/>
  <c r="J19" i="10"/>
  <c r="I19" i="10"/>
  <c r="J25" i="10"/>
  <c r="I25" i="10"/>
  <c r="B16" i="10"/>
  <c r="J53" i="10"/>
  <c r="I53" i="10"/>
  <c r="C52" i="8"/>
  <c r="B52" i="8" a="1"/>
  <c r="B52" i="8" s="1"/>
  <c r="C10" i="12"/>
  <c r="J47" i="10"/>
  <c r="I47" i="10"/>
  <c r="C11" i="8"/>
  <c r="B11" i="8" a="1"/>
  <c r="B11" i="8" s="1"/>
  <c r="C16" i="10"/>
  <c r="J30" i="10"/>
  <c r="I30" i="10"/>
  <c r="J39" i="10"/>
  <c r="I39" i="10"/>
  <c r="J50" i="10"/>
  <c r="I50" i="10"/>
  <c r="J14" i="10"/>
  <c r="I14" i="10"/>
  <c r="B16" i="8" a="1"/>
  <c r="B16" i="8" s="1"/>
  <c r="C21" i="10"/>
  <c r="C24" i="8"/>
  <c r="B29" i="10" s="1"/>
  <c r="B24" i="8" a="1"/>
  <c r="B24" i="8" s="1"/>
  <c r="C29" i="10"/>
  <c r="J32" i="10"/>
  <c r="I32" i="10"/>
  <c r="J23" i="10"/>
  <c r="I23" i="10"/>
  <c r="J36" i="10"/>
  <c r="I36" i="10"/>
  <c r="J43" i="10"/>
  <c r="I43" i="10"/>
  <c r="J54" i="10"/>
  <c r="I54" i="10"/>
  <c r="C10" i="10"/>
  <c r="B5" i="8" a="1"/>
  <c r="B5" i="8" s="1"/>
  <c r="J13" i="10"/>
  <c r="I13" i="10"/>
  <c r="J26" i="10"/>
  <c r="I26" i="10"/>
  <c r="B28" i="8" a="1"/>
  <c r="B28" i="8" s="1"/>
  <c r="C33" i="10"/>
  <c r="B10" i="10"/>
  <c r="C12" i="8"/>
  <c r="B17" i="10" s="1"/>
  <c r="B12" i="8" a="1"/>
  <c r="B12" i="8" s="1"/>
  <c r="C17" i="10"/>
  <c r="J20" i="10"/>
  <c r="I20" i="10"/>
  <c r="J51" i="10"/>
  <c r="I51" i="10"/>
  <c r="J11" i="10"/>
  <c r="I11" i="10"/>
  <c r="C9" i="8"/>
  <c r="J18" i="10"/>
  <c r="I18" i="10"/>
  <c r="C16" i="8"/>
  <c r="J24" i="10"/>
  <c r="I24" i="10"/>
  <c r="J34" i="10"/>
  <c r="I34" i="10"/>
  <c r="J44" i="10"/>
  <c r="I44" i="10"/>
  <c r="J48" i="10"/>
  <c r="I48" i="10"/>
  <c r="J55" i="10"/>
  <c r="I55" i="10"/>
  <c r="B13" i="10"/>
  <c r="AL41" i="10"/>
  <c r="Z45" i="10"/>
  <c r="AC46" i="10"/>
  <c r="Z49" i="10"/>
  <c r="AC50" i="10"/>
  <c r="T51" i="10"/>
  <c r="W52" i="10"/>
  <c r="AC54" i="10"/>
  <c r="T55" i="10"/>
  <c r="W56" i="10"/>
  <c r="AJ40" i="10"/>
  <c r="O41" i="10"/>
  <c r="P41" i="10" s="1"/>
  <c r="AM41" i="10"/>
  <c r="AD42" i="10"/>
  <c r="AA45" i="10"/>
  <c r="R46" i="10"/>
  <c r="AG47" i="10"/>
  <c r="AA49" i="10"/>
  <c r="R50" i="10"/>
  <c r="U51" i="10"/>
  <c r="X52" i="10"/>
  <c r="AA53" i="10"/>
  <c r="R54" i="10"/>
  <c r="U55" i="10"/>
  <c r="X56" i="10"/>
  <c r="AK40" i="10"/>
  <c r="C41" i="10"/>
  <c r="AN41" i="10"/>
  <c r="AE42" i="10"/>
  <c r="AB45" i="10"/>
  <c r="S46" i="10"/>
  <c r="AH47" i="10"/>
  <c r="AB49" i="10"/>
  <c r="S50" i="10"/>
  <c r="V51" i="10"/>
  <c r="Y52" i="10"/>
  <c r="AB53" i="10"/>
  <c r="S54" i="10"/>
  <c r="V55" i="10"/>
  <c r="Y56" i="10"/>
  <c r="B17" i="8" a="1"/>
  <c r="B17" i="8" s="1"/>
  <c r="B29" i="8" a="1"/>
  <c r="B29" i="8" s="1"/>
  <c r="B41" i="8" a="1"/>
  <c r="B41" i="8" s="1"/>
  <c r="AL40" i="10"/>
  <c r="AO41" i="10"/>
  <c r="AF42" i="10"/>
  <c r="AC45" i="10"/>
  <c r="T46" i="10"/>
  <c r="AI47" i="10"/>
  <c r="AC49" i="10"/>
  <c r="T50" i="10"/>
  <c r="W51" i="10"/>
  <c r="Z52" i="10"/>
  <c r="AC53" i="10"/>
  <c r="T54" i="10"/>
  <c r="W55" i="10"/>
  <c r="Z56" i="10"/>
  <c r="C41" i="8"/>
  <c r="B46" i="8" a="1"/>
  <c r="B46" i="8" s="1"/>
  <c r="O40" i="10"/>
  <c r="P40" i="10" s="1"/>
  <c r="AM40" i="10"/>
  <c r="AD41" i="10"/>
  <c r="AG42" i="10"/>
  <c r="R45" i="10"/>
  <c r="U46" i="10"/>
  <c r="AJ47" i="10"/>
  <c r="R49" i="10"/>
  <c r="U50" i="10"/>
  <c r="X51" i="10"/>
  <c r="AA52" i="10"/>
  <c r="R53" i="10"/>
  <c r="U54" i="10"/>
  <c r="X55" i="10"/>
  <c r="AA56" i="10"/>
  <c r="C40" i="10"/>
  <c r="AN40" i="10"/>
  <c r="AE41" i="10"/>
  <c r="AH42" i="10"/>
  <c r="S45" i="10"/>
  <c r="V46" i="10"/>
  <c r="AK47" i="10"/>
  <c r="S49" i="10"/>
  <c r="V50" i="10"/>
  <c r="Y51" i="10"/>
  <c r="C52" i="10"/>
  <c r="AB52" i="10"/>
  <c r="S53" i="10"/>
  <c r="V54" i="10"/>
  <c r="Y55" i="10"/>
  <c r="AB56" i="10"/>
  <c r="AF41" i="10"/>
  <c r="W46" i="10"/>
  <c r="AL47" i="10"/>
  <c r="T49" i="10"/>
  <c r="W50" i="10"/>
  <c r="Z51" i="10"/>
  <c r="AC52" i="10"/>
  <c r="T53" i="10"/>
  <c r="W54" i="10"/>
  <c r="AC56" i="10"/>
  <c r="B49" i="8" a="1"/>
  <c r="B49" i="8" s="1"/>
  <c r="AD40" i="10"/>
  <c r="AG41" i="10"/>
  <c r="AJ42" i="10"/>
  <c r="U45" i="10"/>
  <c r="X46" i="10"/>
  <c r="O47" i="10"/>
  <c r="P47" i="10" s="1"/>
  <c r="AM47" i="10"/>
  <c r="U49" i="10"/>
  <c r="X50" i="10"/>
  <c r="AA51" i="10"/>
  <c r="R52" i="10"/>
  <c r="U53" i="10"/>
  <c r="X54" i="10"/>
  <c r="AA55" i="10"/>
  <c r="R56" i="10"/>
  <c r="B13" i="8" a="1"/>
  <c r="B13" i="8" s="1"/>
  <c r="B25" i="8" a="1"/>
  <c r="B25" i="8" s="1"/>
  <c r="B37" i="8" a="1"/>
  <c r="B37" i="8" s="1"/>
  <c r="B6" i="8" a="1"/>
  <c r="B6" i="8" s="1"/>
  <c r="C13" i="8"/>
  <c r="B18" i="8" a="1"/>
  <c r="B18" i="8" s="1"/>
  <c r="C25" i="8"/>
  <c r="B30" i="8" a="1"/>
  <c r="B30" i="8" s="1"/>
  <c r="C37" i="8"/>
  <c r="B42" i="8" a="1"/>
  <c r="B42" i="8" s="1"/>
  <c r="C49" i="8"/>
  <c r="B54" i="10" s="1"/>
  <c r="AE40" i="10"/>
  <c r="AH41" i="10"/>
  <c r="AK42" i="10"/>
  <c r="V45" i="10"/>
  <c r="Y46" i="10"/>
  <c r="AN47" i="10"/>
  <c r="V49" i="10"/>
  <c r="Y50" i="10"/>
  <c r="AB51" i="10"/>
  <c r="S52" i="10"/>
  <c r="V53" i="10"/>
  <c r="Y54" i="10"/>
  <c r="AB55" i="10"/>
  <c r="S56" i="10"/>
  <c r="B35" i="8" a="1"/>
  <c r="B35" i="8" s="1"/>
  <c r="AI41" i="10"/>
  <c r="AL42" i="10"/>
  <c r="W45" i="10"/>
  <c r="Z46" i="10"/>
  <c r="AO47" i="10"/>
  <c r="W49" i="10"/>
  <c r="Z50" i="10"/>
  <c r="AC51" i="10"/>
  <c r="T52" i="10"/>
  <c r="W53" i="10"/>
  <c r="Z54" i="10"/>
  <c r="AC55" i="10"/>
  <c r="T56" i="10"/>
  <c r="AG40" i="10"/>
  <c r="AJ41" i="10"/>
  <c r="O42" i="10"/>
  <c r="P42" i="10" s="1"/>
  <c r="AM42" i="10"/>
  <c r="X45" i="10"/>
  <c r="AA46" i="10"/>
  <c r="AD47" i="10"/>
  <c r="X49" i="10"/>
  <c r="AA50" i="10"/>
  <c r="R51" i="10"/>
  <c r="U52" i="10"/>
  <c r="X53" i="10"/>
  <c r="AA54" i="10"/>
  <c r="R55" i="10"/>
  <c r="U56" i="10"/>
  <c r="J29" i="10" l="1"/>
  <c r="I29" i="10"/>
  <c r="J17" i="10"/>
  <c r="I17" i="10"/>
  <c r="J10" i="10"/>
  <c r="I10" i="10"/>
  <c r="J16" i="10"/>
  <c r="I16" i="10"/>
  <c r="J40" i="10"/>
  <c r="I40" i="10"/>
  <c r="J41" i="10"/>
  <c r="I41" i="10"/>
  <c r="J52" i="10"/>
  <c r="I52" i="10"/>
  <c r="J21" i="10"/>
  <c r="I21" i="10"/>
  <c r="J45" i="10"/>
  <c r="I45" i="10"/>
  <c r="J33" i="10"/>
  <c r="I33" i="10"/>
  <c r="AE10" i="12"/>
  <c r="S10" i="12"/>
  <c r="AD10" i="12"/>
  <c r="R10" i="12"/>
  <c r="F10" i="12"/>
  <c r="AC10" i="12"/>
  <c r="Q10" i="12"/>
  <c r="AB10" i="12"/>
  <c r="P10" i="12"/>
  <c r="AA10" i="12"/>
  <c r="O10" i="12"/>
  <c r="Z10" i="12"/>
  <c r="N10" i="12"/>
  <c r="B10" i="12" s="1"/>
  <c r="Y10" i="12"/>
  <c r="M10" i="12"/>
  <c r="X10" i="12"/>
  <c r="L10" i="12"/>
  <c r="W10" i="12"/>
  <c r="K10" i="12"/>
  <c r="V10" i="12"/>
  <c r="J10" i="12"/>
  <c r="U10" i="12"/>
  <c r="I10" i="12"/>
  <c r="T10" i="12"/>
  <c r="H10" i="12"/>
  <c r="J38" i="10"/>
  <c r="I38" i="10"/>
  <c r="J28" i="10"/>
  <c r="I28" i="10"/>
</calcChain>
</file>

<file path=xl/sharedStrings.xml><?xml version="1.0" encoding="utf-8"?>
<sst xmlns="http://schemas.openxmlformats.org/spreadsheetml/2006/main" count="1283" uniqueCount="456">
  <si>
    <t>Generic Comet (GC) TIMES Supply</t>
  </si>
  <si>
    <t>Sheet color</t>
  </si>
  <si>
    <t>Raw Data and Parameters</t>
  </si>
  <si>
    <t>City Specific Data</t>
  </si>
  <si>
    <t>Post processing for TIMES</t>
  </si>
  <si>
    <t>Table formatted for TIMES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</si>
  <si>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</si>
  <si>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</si>
  <si>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</si>
  <si>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</si>
  <si>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</si>
  <si>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</si>
  <si>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</si>
  <si>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</si>
  <si>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</si>
  <si>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</si>
  <si>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</si>
  <si>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</si>
  <si>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</si>
  <si>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</si>
  <si>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</si>
  <si>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</si>
  <si>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</si>
  <si>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</si>
  <si>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</si>
  <si>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</si>
  <si>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</si>
  <si>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</si>
  <si>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</si>
  <si>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</si>
  <si>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</si>
  <si>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</si>
  <si>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</si>
  <si>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</si>
  <si>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</si>
  <si>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</si>
  <si>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</si>
  <si>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</si>
  <si>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</si>
  <si>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</si>
  <si>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</si>
  <si>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</si>
  <si>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</si>
  <si>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</si>
  <si>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</si>
  <si>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</si>
  <si>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</si>
  <si>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</si>
  <si>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</si>
  <si>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</si>
  <si>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</si>
  <si>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</si>
  <si>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</si>
  <si>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</si>
  <si>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</si>
  <si>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</si>
  <si>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</si>
  <si>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</si>
  <si>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</si>
  <si>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</si>
  <si>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</si>
  <si>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</si>
  <si>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</si>
  <si>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</si>
  <si>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</si>
  <si>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</si>
  <si>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</si>
  <si>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</si>
  <si>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</si>
  <si>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</si>
  <si>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</si>
  <si>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Sector</t>
  </si>
  <si>
    <t>Sub-sector</t>
  </si>
  <si>
    <t>Archetype</t>
  </si>
  <si>
    <t xml:space="preserve">Vintage </t>
  </si>
  <si>
    <t>End Use</t>
  </si>
  <si>
    <t>Technology</t>
  </si>
  <si>
    <t>Energy</t>
  </si>
  <si>
    <t>Technology Label</t>
  </si>
  <si>
    <t>Generation (TJ)</t>
  </si>
  <si>
    <t>Fuel Input (MWh)</t>
  </si>
  <si>
    <t>Capacity Factor (%)</t>
  </si>
  <si>
    <t>Efficiency (%)</t>
  </si>
  <si>
    <t>Fixed OM 2023 US$ / kW . Yr</t>
  </si>
  <si>
    <t>Variable OM 2023 US$ / GJ</t>
  </si>
  <si>
    <t>Capacity base year (MW)</t>
  </si>
  <si>
    <t>Capacity  2020 (MW)</t>
  </si>
  <si>
    <t>Capacity  2025 (MW)</t>
  </si>
  <si>
    <t>Capacity  2030 (MW)</t>
  </si>
  <si>
    <t>Capacity  2035 (MW)</t>
  </si>
  <si>
    <t>Capacity  2040 (MW)</t>
  </si>
  <si>
    <t>Capacity  2045 (MW)</t>
  </si>
  <si>
    <t>Capacity  2050 (MW)</t>
  </si>
  <si>
    <t>Capacity  2055 (MW)</t>
  </si>
  <si>
    <t>Capacity  2060 (MW)</t>
  </si>
  <si>
    <t>Capacity  2065 (MW)</t>
  </si>
  <si>
    <t>Capacity  2070 (MW)</t>
  </si>
  <si>
    <t>Capacity  2075 (MW)</t>
  </si>
  <si>
    <t>Capacity  2080 (MW)</t>
  </si>
  <si>
    <t>Capacity  2085 (MW)</t>
  </si>
  <si>
    <t>Capacity  2090 (MW)</t>
  </si>
  <si>
    <t>Capacity  2095 (MW)</t>
  </si>
  <si>
    <t>Capacity  2100 (MW)</t>
  </si>
  <si>
    <t xml:space="preserve">Average CO2 emission factor ( t CO2 / TJ) </t>
  </si>
  <si>
    <t xml:space="preserve">Average CH4 emission factor ( t CH4 / TJ) </t>
  </si>
  <si>
    <t xml:space="preserve">Average N2O emission factor ( t N2O / TJ) </t>
  </si>
  <si>
    <t>Electricity</t>
  </si>
  <si>
    <t>Grid</t>
  </si>
  <si>
    <t>Dispatchable</t>
  </si>
  <si>
    <t>Combustion turbine</t>
  </si>
  <si>
    <t>Natural gas</t>
  </si>
  <si>
    <t>ELCNGAGRDCTU19</t>
  </si>
  <si>
    <t>Steam turbine</t>
  </si>
  <si>
    <t>ELCNGAGRDSTU19</t>
  </si>
  <si>
    <t>Combined cycle combustion turbine</t>
  </si>
  <si>
    <t>ELCNGAGRDCCC19</t>
  </si>
  <si>
    <t>Combined cycle steam turbine</t>
  </si>
  <si>
    <t>ELCNGAGRDCCS19</t>
  </si>
  <si>
    <t>Combined cycle - single shaft</t>
  </si>
  <si>
    <t>ELCNGAGRDACC19</t>
  </si>
  <si>
    <t>Other turbine</t>
  </si>
  <si>
    <t>ELCNGAGRDOTT19</t>
  </si>
  <si>
    <t>Internal combustion engine</t>
  </si>
  <si>
    <t>ELCNGAGRDICE19</t>
  </si>
  <si>
    <t>Fuel cell</t>
  </si>
  <si>
    <t>ELCNGAGRDFCE19</t>
  </si>
  <si>
    <t>RNG</t>
  </si>
  <si>
    <t>ELCRNGGRDCTU19</t>
  </si>
  <si>
    <t>ELCRNGGRDSTU19</t>
  </si>
  <si>
    <t>ELCRNGGRDCCC19</t>
  </si>
  <si>
    <t>ELCRNGGRDCCS19</t>
  </si>
  <si>
    <t>ELCRNGGRDICE19</t>
  </si>
  <si>
    <t>ELCRNGGRDFCE19</t>
  </si>
  <si>
    <t>Fuel oil</t>
  </si>
  <si>
    <t>ELCFOIGRDCTU19</t>
  </si>
  <si>
    <t>ELCFOIGRDSTU19</t>
  </si>
  <si>
    <t>ELCFOIGRDCCC19</t>
  </si>
  <si>
    <t>ELCFOIGRDCCS19</t>
  </si>
  <si>
    <t>ELCFOIGRDOTT19</t>
  </si>
  <si>
    <t>ELCFOIGRDICE19</t>
  </si>
  <si>
    <t>Coal</t>
  </si>
  <si>
    <t>ELCCOAGRDSTU19</t>
  </si>
  <si>
    <t>ELCCOAGRDOTT19</t>
  </si>
  <si>
    <t>Biomass</t>
  </si>
  <si>
    <t>ELCBIOGRDSTU19</t>
  </si>
  <si>
    <t>ELCBIOGRDOTT19</t>
  </si>
  <si>
    <t>Other bioenergy</t>
  </si>
  <si>
    <t>ELCOTBGRDICE19</t>
  </si>
  <si>
    <t>Waste</t>
  </si>
  <si>
    <t>ELCWASGRDSTU19</t>
  </si>
  <si>
    <t>Waste heat</t>
  </si>
  <si>
    <t>ELCHETGRDSTU19</t>
  </si>
  <si>
    <t>ELCHETGRDOTT19</t>
  </si>
  <si>
    <t>Steam</t>
  </si>
  <si>
    <t>ELCSTMGRDSTU19</t>
  </si>
  <si>
    <t>Uranium</t>
  </si>
  <si>
    <t>ELCURNGRDSTU19</t>
  </si>
  <si>
    <t>Storage</t>
  </si>
  <si>
    <t>Compressed air energy storage</t>
  </si>
  <si>
    <t>ELCSTGGRDCES19</t>
  </si>
  <si>
    <t>Flywheel energy storage</t>
  </si>
  <si>
    <t>ELCSTGGRDFES19</t>
  </si>
  <si>
    <t>Battery energy storage</t>
  </si>
  <si>
    <t>ELCSTGGRDBES19</t>
  </si>
  <si>
    <t>Baseload</t>
  </si>
  <si>
    <t>Geothermal</t>
  </si>
  <si>
    <t>ELCGEOGRDSTU19</t>
  </si>
  <si>
    <t>Binary cycle turbine</t>
  </si>
  <si>
    <t>ELCGEOGRDBCT19</t>
  </si>
  <si>
    <t>Non Dispatchable</t>
  </si>
  <si>
    <t xml:space="preserve">Wind turbine - onshore </t>
  </si>
  <si>
    <t>Wind</t>
  </si>
  <si>
    <t>ELCWNDGRDWON19</t>
  </si>
  <si>
    <t>Wind turbine - offshore</t>
  </si>
  <si>
    <t>ELCWNDGRDWOF19</t>
  </si>
  <si>
    <t>Hydraulic turbine - reversible</t>
  </si>
  <si>
    <t>ELCSTGGRDHES19</t>
  </si>
  <si>
    <t>Partly Dispatchable</t>
  </si>
  <si>
    <t>Hydroelectric tubine</t>
  </si>
  <si>
    <t>Hydro</t>
  </si>
  <si>
    <t>ELCHYDGRDHTU19</t>
  </si>
  <si>
    <t>Photovoltaic</t>
  </si>
  <si>
    <t>Solar</t>
  </si>
  <si>
    <t>ELCSOLGRDUPV19</t>
  </si>
  <si>
    <t>Concentrated solar power energy storage</t>
  </si>
  <si>
    <t>ELCSOLGRDCSP19</t>
  </si>
  <si>
    <t>ELCSOLGRDSTU19</t>
  </si>
  <si>
    <t>ELCSOLGRDOTT19</t>
  </si>
  <si>
    <t>Decentralized</t>
  </si>
  <si>
    <t>Commercial Solar (Photovoltaic)</t>
  </si>
  <si>
    <t>ELCSOLDCECPV19</t>
  </si>
  <si>
    <t>Residential Solar (Photovoltaic)</t>
  </si>
  <si>
    <t>ELCSOLDCERPV19</t>
  </si>
  <si>
    <t>Municipal Solar (Photovoltaic)</t>
  </si>
  <si>
    <t>ELCSOLDCEMPV19</t>
  </si>
  <si>
    <t>Industrial Solar (Photovoltaic)</t>
  </si>
  <si>
    <t>ELCSOLDCEIPV19</t>
  </si>
  <si>
    <t>Electricty</t>
  </si>
  <si>
    <t>Transmission</t>
  </si>
  <si>
    <t>EGRID to CITY</t>
  </si>
  <si>
    <t>TU_CELC_EGRID_CITY_V01</t>
  </si>
  <si>
    <t>Import</t>
  </si>
  <si>
    <t>Import to EGRID</t>
  </si>
  <si>
    <t>IMPELCEGRID</t>
  </si>
  <si>
    <t>Demand Label</t>
  </si>
  <si>
    <t>Unit</t>
  </si>
  <si>
    <t>Commercial</t>
  </si>
  <si>
    <t>Hotel</t>
  </si>
  <si>
    <t>Old</t>
  </si>
  <si>
    <t>COMHOTOldDMD</t>
  </si>
  <si>
    <t>Mm2</t>
  </si>
  <si>
    <t>Retail</t>
  </si>
  <si>
    <t>COMRETOldDMD</t>
  </si>
  <si>
    <t>Office</t>
  </si>
  <si>
    <t>COMOFFOldDMD</t>
  </si>
  <si>
    <t>Hospital</t>
  </si>
  <si>
    <t>COMHOPOldDMD</t>
  </si>
  <si>
    <t>Educationnal</t>
  </si>
  <si>
    <t>COMEDUOldDMD</t>
  </si>
  <si>
    <t>Warehouse</t>
  </si>
  <si>
    <t>COMWAROldDMD</t>
  </si>
  <si>
    <t>Municipal</t>
  </si>
  <si>
    <t>COMMUNOldDMD</t>
  </si>
  <si>
    <t>Other</t>
  </si>
  <si>
    <t>COMOTHOldDMD</t>
  </si>
  <si>
    <t>New</t>
  </si>
  <si>
    <t>COMHOTNewDMD</t>
  </si>
  <si>
    <t>COMRETNewDMD</t>
  </si>
  <si>
    <t>COMOFFNewDMD</t>
  </si>
  <si>
    <t>COMHOPNewDMD</t>
  </si>
  <si>
    <t>COMEDUNewDMD</t>
  </si>
  <si>
    <t>COMWARNewDMD</t>
  </si>
  <si>
    <t>COMMUNNewDMD</t>
  </si>
  <si>
    <t>COMOTHNewDMD</t>
  </si>
  <si>
    <t>Residential</t>
  </si>
  <si>
    <t>Apartment</t>
  </si>
  <si>
    <t>Low Income</t>
  </si>
  <si>
    <t>RESAPALOOldDMD</t>
  </si>
  <si>
    <t>House</t>
  </si>
  <si>
    <t>RESHOULOOldDMD</t>
  </si>
  <si>
    <t>Lower-Middle Income</t>
  </si>
  <si>
    <t>RESAPALMOldDMD</t>
  </si>
  <si>
    <t>RESHOULMOldDMD</t>
  </si>
  <si>
    <t>Upper-Middle Income</t>
  </si>
  <si>
    <t>RESAPAUMOldDMD</t>
  </si>
  <si>
    <t>RESHOUUMOldDMD</t>
  </si>
  <si>
    <t>High Income</t>
  </si>
  <si>
    <t>RESAPAHIOldDMD</t>
  </si>
  <si>
    <t>RESHOUHIOldDMD</t>
  </si>
  <si>
    <t>RESAPALONewDMD</t>
  </si>
  <si>
    <t>RESHOULONewDMD</t>
  </si>
  <si>
    <t>RESAPALMNewDMD</t>
  </si>
  <si>
    <t>RESHOULMNewDMD</t>
  </si>
  <si>
    <t>RESAPAUMNewDMD</t>
  </si>
  <si>
    <t>RESHOUUMNewDMD</t>
  </si>
  <si>
    <t>RESAPAHINewDMD</t>
  </si>
  <si>
    <t>RESHOUHINewDMD</t>
  </si>
  <si>
    <t>Industrial</t>
  </si>
  <si>
    <t>All Industries</t>
  </si>
  <si>
    <t>INDAINDMD</t>
  </si>
  <si>
    <t>TJ</t>
  </si>
  <si>
    <t>Transportation</t>
  </si>
  <si>
    <t>Passenger</t>
  </si>
  <si>
    <t>Passenger Car</t>
  </si>
  <si>
    <t>TRAPASCARDMD</t>
  </si>
  <si>
    <t>M Vkm</t>
  </si>
  <si>
    <t>Passenger Truck</t>
  </si>
  <si>
    <t>TRAPASLDTDMD</t>
  </si>
  <si>
    <t>Motorcycle</t>
  </si>
  <si>
    <t>TRAPASMOTDMD</t>
  </si>
  <si>
    <t>Freight</t>
  </si>
  <si>
    <t>Light Commercial Truck</t>
  </si>
  <si>
    <t>TRAFRECLTDMD</t>
  </si>
  <si>
    <t>Refuse Truck</t>
  </si>
  <si>
    <t>TRAFRERFTDMD</t>
  </si>
  <si>
    <t>Single Unit Long-haul Truck</t>
  </si>
  <si>
    <t>TRAFRESLHDMD</t>
  </si>
  <si>
    <t>Single Unit Short-haul Truck</t>
  </si>
  <si>
    <t>TRAFRESSHDMD</t>
  </si>
  <si>
    <t>Combination Long-haul Truck</t>
  </si>
  <si>
    <t>TRAFRECLHDMD</t>
  </si>
  <si>
    <t>Combination Short-haul Truck</t>
  </si>
  <si>
    <t>TRAFRECSHDMD</t>
  </si>
  <si>
    <t>Transit Bus</t>
  </si>
  <si>
    <t>TRAPASTBUDMD</t>
  </si>
  <si>
    <t>School Bus</t>
  </si>
  <si>
    <t>TRAPASSBUDMD</t>
  </si>
  <si>
    <t>Other Buses</t>
  </si>
  <si>
    <t>TRAPASOBUDMD</t>
  </si>
  <si>
    <t>Rail</t>
  </si>
  <si>
    <t>TRAPASRAIDMD</t>
  </si>
  <si>
    <t>Tram</t>
  </si>
  <si>
    <t>TRAPASTRMDMD</t>
  </si>
  <si>
    <t>Subway</t>
  </si>
  <si>
    <t>TRAPASSUBDMD</t>
  </si>
  <si>
    <t>Bicycle</t>
  </si>
  <si>
    <t>TRAPASBICDMD</t>
  </si>
  <si>
    <t>Walk</t>
  </si>
  <si>
    <t>TRAPASWALDMD</t>
  </si>
  <si>
    <t>Off-Road</t>
  </si>
  <si>
    <t>TRAOTHOFRDMD</t>
  </si>
  <si>
    <t>Waterborne</t>
  </si>
  <si>
    <t>TRAOTHWATDMD</t>
  </si>
  <si>
    <t>Aviation</t>
  </si>
  <si>
    <t>TRAOTHAIRDMD</t>
  </si>
  <si>
    <t>Solid</t>
  </si>
  <si>
    <t>Paper</t>
  </si>
  <si>
    <t>WASSOLPAPDMD</t>
  </si>
  <si>
    <t>k tonnes</t>
  </si>
  <si>
    <t>Glass</t>
  </si>
  <si>
    <t>WASSOLGLADMD</t>
  </si>
  <si>
    <t>Metals</t>
  </si>
  <si>
    <t>WASSOLMETDMD</t>
  </si>
  <si>
    <t>Plastics</t>
  </si>
  <si>
    <t>WASSOLPLADMD</t>
  </si>
  <si>
    <t>Food</t>
  </si>
  <si>
    <t>WASSOLFOODMD</t>
  </si>
  <si>
    <t>Yard trimmings</t>
  </si>
  <si>
    <t>WASSOLYARDMD</t>
  </si>
  <si>
    <t>All other</t>
  </si>
  <si>
    <t>WASSOLAOTDMD</t>
  </si>
  <si>
    <t>Historical</t>
  </si>
  <si>
    <t>WASSOLHISDMD</t>
  </si>
  <si>
    <t>Water</t>
  </si>
  <si>
    <t>Fresh Water</t>
  </si>
  <si>
    <t>WASWATFWADMD</t>
  </si>
  <si>
    <t>Mm3</t>
  </si>
  <si>
    <t>Annual Precipitation</t>
  </si>
  <si>
    <t>WASWATAPRDMD</t>
  </si>
  <si>
    <t>Miscellanous EGRID electricity demand</t>
  </si>
  <si>
    <t>ELCMISEGRIDDMD</t>
  </si>
  <si>
    <t>Treatment</t>
  </si>
  <si>
    <t>WASWATTRTDMD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</si>
  <si>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</si>
  <si>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</si>
  <si>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</si>
  <si>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</si>
  <si>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</si>
  <si>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</si>
  <si>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</si>
  <si>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</si>
  <si>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</si>
  <si>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</si>
  <si>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</si>
  <si>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</si>
  <si>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</si>
  <si>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</si>
  <si>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</si>
  <si>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</si>
  <si>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</si>
  <si>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</si>
  <si>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MW</t>
  </si>
  <si>
    <t>DAYNITE</t>
  </si>
  <si>
    <t>*</t>
  </si>
  <si>
    <t>EGRID</t>
  </si>
  <si>
    <t>~FI_Comm</t>
  </si>
  <si>
    <t>Csets</t>
  </si>
  <si>
    <t>CommName</t>
  </si>
  <si>
    <t>CommDesc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</si>
  <si>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</si>
  <si>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</si>
  <si>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</si>
  <si>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</si>
  <si>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</si>
  <si>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</si>
  <si>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</si>
  <si>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</si>
  <si>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</si>
  <si>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</si>
  <si>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</si>
  <si>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DEM</t>
  </si>
  <si>
    <t>ANNUAL</t>
  </si>
  <si>
    <t>ELC</t>
  </si>
  <si>
    <t>Solar AF</t>
  </si>
  <si>
    <t>Wind AF</t>
  </si>
  <si>
    <t>IDAM</t>
  </si>
  <si>
    <t>IDPM</t>
  </si>
  <si>
    <t>IP</t>
  </si>
  <si>
    <t>IN</t>
  </si>
  <si>
    <t>WDAM</t>
  </si>
  <si>
    <t>WDPM</t>
  </si>
  <si>
    <t>WP</t>
  </si>
  <si>
    <t>WN</t>
  </si>
  <si>
    <t>SDAM</t>
  </si>
  <si>
    <t>SDPM</t>
  </si>
  <si>
    <t>SP</t>
  </si>
  <si>
    <t>SN</t>
  </si>
  <si>
    <t>NCAP_AFA</t>
  </si>
  <si>
    <t>NCAP_AFC</t>
  </si>
  <si>
    <t>NCAP_PKCNT</t>
  </si>
  <si>
    <t>NCAP_AF</t>
  </si>
  <si>
    <t>PRC_RESID</t>
  </si>
  <si>
    <t>~FI_T</t>
  </si>
  <si>
    <t>Comm-IN</t>
  </si>
  <si>
    <t>Comm-OUT</t>
  </si>
  <si>
    <t>EFF</t>
  </si>
  <si>
    <t>STG_EFF</t>
  </si>
  <si>
    <t>PRC_CAPACT</t>
  </si>
  <si>
    <t>ACT_COST</t>
  </si>
  <si>
    <t>NCAP_FOM</t>
  </si>
  <si>
    <t>Out/In</t>
  </si>
  <si>
    <t>TJ/MW</t>
  </si>
  <si>
    <t>$ / GJ</t>
  </si>
  <si>
    <t>$ / kW /Yr</t>
  </si>
  <si>
    <t>%</t>
  </si>
  <si>
    <t>CELC</t>
  </si>
  <si>
    <t>COMELC</t>
  </si>
  <si>
    <t>RESELC</t>
  </si>
  <si>
    <t>INDELC</t>
  </si>
  <si>
    <t>COM_PKRSV</t>
  </si>
  <si>
    <t>COM_PEAK</t>
  </si>
  <si>
    <t>COM_IE</t>
  </si>
  <si>
    <t>CITY</t>
  </si>
  <si>
    <t>Fuel</t>
  </si>
  <si>
    <t>Description</t>
  </si>
  <si>
    <t>LPG</t>
  </si>
  <si>
    <t>FOI</t>
  </si>
  <si>
    <t>KER</t>
  </si>
  <si>
    <t>Kerosene</t>
  </si>
  <si>
    <t>NGA</t>
  </si>
  <si>
    <t>H2G</t>
  </si>
  <si>
    <t>Hydrogen</t>
  </si>
  <si>
    <t>DSL</t>
  </si>
  <si>
    <t>Diesel</t>
  </si>
  <si>
    <t>GSL</t>
  </si>
  <si>
    <t>Gasoline</t>
  </si>
  <si>
    <t>PCK</t>
  </si>
  <si>
    <t>Petcoke</t>
  </si>
  <si>
    <t>COA</t>
  </si>
  <si>
    <t>ETH</t>
  </si>
  <si>
    <t>Ethanol</t>
  </si>
  <si>
    <t>AGA</t>
  </si>
  <si>
    <t>Aviation gasoline</t>
  </si>
  <si>
    <t>ATF</t>
  </si>
  <si>
    <t>Aviation turbo-fuel</t>
  </si>
  <si>
    <t>SAF</t>
  </si>
  <si>
    <t>Sustainable aviation fuel</t>
  </si>
  <si>
    <t>RDS</t>
  </si>
  <si>
    <t>Renewable diesel</t>
  </si>
  <si>
    <t>BDS</t>
  </si>
  <si>
    <t>Bio diesel</t>
  </si>
  <si>
    <t>CNG</t>
  </si>
  <si>
    <t>URN</t>
  </si>
  <si>
    <t>SOL</t>
  </si>
  <si>
    <t>WND</t>
  </si>
  <si>
    <t>BIO</t>
  </si>
  <si>
    <t>OTB</t>
  </si>
  <si>
    <t>WAS</t>
  </si>
  <si>
    <t>HET</t>
  </si>
  <si>
    <t>STM</t>
  </si>
  <si>
    <t>GEO</t>
  </si>
  <si>
    <t>HYD</t>
  </si>
  <si>
    <t>Centralized Electricity</t>
  </si>
  <si>
    <t>CH2G</t>
  </si>
  <si>
    <t>Centralized Hydrogen</t>
  </si>
  <si>
    <t>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</si>
</sst>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0.0"/>
    <numFmt numFmtId="165" formatCode="0.0000000"/>
    <numFmt numFmtId="166" formatCode="[$-409]mmm\-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6"/>
      <name val="Calibri"/>
      <family val="2"/>
    </font>
    <font>
      <u/>
      <sz val="10"/>
      <color theme="4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Geneva"/>
    </font>
    <font>
      <sz val="10"/>
      <name val="Verdana"/>
      <family val="2"/>
    </font>
    <font>
      <u/>
      <sz val="10"/>
      <color indexed="12"/>
      <name val="Verdana"/>
      <family val="2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2"/>
      <color theme="1"/>
      <name val="Calibri"/>
      <family val="2"/>
      <scheme val="minor"/>
    </font>
    <font>
      <sz val="10"/>
      <name val="Arial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</borders>
  <cellStyleXfs count="55">
    <xf numFmtId="0" fontId="0" fillId="0" borderId="0"/>
    <xf numFmtId="9" fontId="1" fillId="0" borderId="0"/>
    <xf numFmtId="0" fontId="6" fillId="0" borderId="0"/>
    <xf numFmtId="0" fontId="1" fillId="0" borderId="0"/>
    <xf numFmtId="9" fontId="6" fillId="0" borderId="0"/>
    <xf numFmtId="43" fontId="6" fillId="0" borderId="0"/>
    <xf numFmtId="0" fontId="8" fillId="0" borderId="0">
      <alignment horizontal="left"/>
    </xf>
    <xf numFmtId="0" fontId="9" fillId="0" borderId="4">
      <alignment horizontal="left" wrapText="1"/>
    </xf>
    <xf numFmtId="0" fontId="9" fillId="0" borderId="3">
      <alignment wrapText="1"/>
    </xf>
    <xf numFmtId="0" fontId="10" fillId="0" borderId="5">
      <alignment wrapText="1"/>
    </xf>
    <xf numFmtId="0" fontId="9" fillId="0" borderId="6">
      <alignment wrapText="1"/>
    </xf>
    <xf numFmtId="0" fontId="10" fillId="0" borderId="7">
      <alignment vertical="top" wrapText="1"/>
    </xf>
    <xf numFmtId="0" fontId="7" fillId="10" borderId="0"/>
    <xf numFmtId="0" fontId="7" fillId="11" borderId="0"/>
    <xf numFmtId="0" fontId="7" fillId="12" borderId="0"/>
    <xf numFmtId="0" fontId="7" fillId="13" borderId="0"/>
    <xf numFmtId="0" fontId="7" fillId="14" borderId="0"/>
    <xf numFmtId="0" fontId="7" fillId="15" borderId="0"/>
    <xf numFmtId="0" fontId="11" fillId="0" borderId="0">
      <alignment vertical="top"/>
      <protection locked="0"/>
    </xf>
    <xf numFmtId="0" fontId="10" fillId="0" borderId="0"/>
    <xf numFmtId="0" fontId="10" fillId="0" borderId="0">
      <alignment vertical="top" wrapText="1"/>
    </xf>
    <xf numFmtId="0" fontId="12" fillId="0" borderId="0">
      <alignment vertical="top"/>
      <protection locked="0"/>
    </xf>
    <xf numFmtId="0" fontId="13" fillId="9" borderId="0"/>
    <xf numFmtId="0" fontId="6" fillId="0" borderId="0"/>
    <xf numFmtId="0" fontId="10" fillId="0" borderId="8">
      <alignment wrapText="1"/>
    </xf>
    <xf numFmtId="0" fontId="9" fillId="0" borderId="9">
      <alignment wrapText="1"/>
    </xf>
    <xf numFmtId="0" fontId="14" fillId="0" borderId="0"/>
    <xf numFmtId="0" fontId="15" fillId="0" borderId="0"/>
    <xf numFmtId="43" fontId="15" fillId="0" borderId="0"/>
    <xf numFmtId="0" fontId="16" fillId="0" borderId="0"/>
    <xf numFmtId="43" fontId="16" fillId="0" borderId="0"/>
    <xf numFmtId="0" fontId="17" fillId="0" borderId="0">
      <alignment vertical="top"/>
      <protection locked="0"/>
    </xf>
    <xf numFmtId="9" fontId="16" fillId="0" borderId="0"/>
    <xf numFmtId="0" fontId="6" fillId="0" borderId="0"/>
    <xf numFmtId="0" fontId="6" fillId="0" borderId="0"/>
    <xf numFmtId="0" fontId="16" fillId="0" borderId="0"/>
    <xf numFmtId="0" fontId="16" fillId="0" borderId="0"/>
    <xf numFmtId="0" fontId="6" fillId="0" borderId="0"/>
    <xf numFmtId="166" fontId="6" fillId="0" borderId="0"/>
    <xf numFmtId="43" fontId="6" fillId="0" borderId="0"/>
    <xf numFmtId="9" fontId="6" fillId="0" borderId="0"/>
    <xf numFmtId="0" fontId="6" fillId="0" borderId="0"/>
    <xf numFmtId="0" fontId="6" fillId="0" borderId="0"/>
    <xf numFmtId="0" fontId="18" fillId="0" borderId="0">
      <alignment horizontal="left"/>
    </xf>
    <xf numFmtId="0" fontId="19" fillId="0" borderId="0"/>
    <xf numFmtId="0" fontId="20" fillId="0" borderId="10">
      <alignment wrapText="1"/>
    </xf>
    <xf numFmtId="0" fontId="20" fillId="0" borderId="11">
      <alignment wrapText="1"/>
    </xf>
    <xf numFmtId="0" fontId="19" fillId="0" borderId="12">
      <alignment wrapText="1"/>
    </xf>
    <xf numFmtId="0" fontId="21" fillId="0" borderId="0"/>
    <xf numFmtId="0" fontId="6" fillId="0" borderId="0"/>
    <xf numFmtId="0" fontId="1" fillId="0" borderId="0"/>
    <xf numFmtId="43" fontId="1" fillId="0" borderId="0"/>
    <xf numFmtId="9" fontId="1" fillId="0" borderId="0"/>
    <xf numFmtId="0" fontId="22" fillId="0" borderId="0"/>
    <xf numFmtId="43" fontId="6" fillId="0" borderId="0"/>
  </cellStyleXfs>
  <cellXfs count="16">
    <xf numFmtId="0" fontId="0" fillId="0" borderId="0" xfId="0"/>
    <xf numFmtId="0" fontId="3" fillId="2" borderId="0" xfId="0" applyFont="1" applyFill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0" borderId="0" xfId="0" applyNumberFormat="1"/>
    <xf numFmtId="0" fontId="4" fillId="0" borderId="0" xfId="0" applyFont="1"/>
    <xf numFmtId="0" fontId="5" fillId="7" borderId="1" xfId="0" applyFont="1" applyFill="1" applyBorder="1"/>
    <xf numFmtId="0" fontId="6" fillId="8" borderId="2" xfId="2" applyFill="1" applyBorder="1" applyAlignment="1">
      <alignment horizontal="left" wrapText="1"/>
    </xf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9" fontId="0" fillId="0" borderId="0" xfId="1" applyFont="1"/>
  </cellXfs>
  <cellStyles count="55">
    <cellStyle name="60% - Accent1 2" xfId="12" xr:uid="{00000000-0005-0000-0000-00000C000000}"/>
    <cellStyle name="60% - Accent2 2" xfId="13" xr:uid="{00000000-0005-0000-0000-00000D000000}"/>
    <cellStyle name="60% - Accent3 2" xfId="14" xr:uid="{00000000-0005-0000-0000-00000E000000}"/>
    <cellStyle name="60% - Accent4 2" xfId="15" xr:uid="{00000000-0005-0000-0000-00000F000000}"/>
    <cellStyle name="60% - Accent5 2" xfId="16" xr:uid="{00000000-0005-0000-0000-000010000000}"/>
    <cellStyle name="60% - Accent6 2" xfId="17" xr:uid="{00000000-0005-0000-0000-000011000000}"/>
    <cellStyle name="Body: normal cell" xfId="9" xr:uid="{00000000-0005-0000-0000-000009000000}"/>
    <cellStyle name="Body: normal cell 2" xfId="47" xr:uid="{00000000-0005-0000-0000-00002F000000}"/>
    <cellStyle name="Comma 10" xfId="5" xr:uid="{00000000-0005-0000-0000-000005000000}"/>
    <cellStyle name="Comma 2" xfId="28" xr:uid="{00000000-0005-0000-0000-00001C000000}"/>
    <cellStyle name="Comma 3" xfId="30" xr:uid="{00000000-0005-0000-0000-00001E000000}"/>
    <cellStyle name="Comma 4" xfId="39" xr:uid="{00000000-0005-0000-0000-000027000000}"/>
    <cellStyle name="Comma 5" xfId="51" xr:uid="{00000000-0005-0000-0000-000033000000}"/>
    <cellStyle name="Comma 56" xfId="54" xr:uid="{00000000-0005-0000-0000-000036000000}"/>
    <cellStyle name="Followed Hyperlink 2" xfId="18" xr:uid="{00000000-0005-0000-0000-000012000000}"/>
    <cellStyle name="Font: Calibri, 9pt regular" xfId="19" xr:uid="{00000000-0005-0000-0000-000013000000}"/>
    <cellStyle name="Font: Calibri, 9pt regular 2" xfId="44" xr:uid="{00000000-0005-0000-0000-00002C000000}"/>
    <cellStyle name="Footnotes: all except top row" xfId="20" xr:uid="{00000000-0005-0000-0000-000014000000}"/>
    <cellStyle name="Footnotes: top row" xfId="11" xr:uid="{00000000-0005-0000-0000-00000B000000}"/>
    <cellStyle name="Header: bottom row" xfId="8" xr:uid="{00000000-0005-0000-0000-000008000000}"/>
    <cellStyle name="Header: bottom row 2" xfId="45" xr:uid="{00000000-0005-0000-0000-00002D000000}"/>
    <cellStyle name="Header: top rows" xfId="7" xr:uid="{00000000-0005-0000-0000-000007000000}"/>
    <cellStyle name="Hyperlink 2" xfId="21" xr:uid="{00000000-0005-0000-0000-000015000000}"/>
    <cellStyle name="Hyperlink 3" xfId="31" xr:uid="{00000000-0005-0000-0000-00001F000000}"/>
    <cellStyle name="Neutral 2" xfId="22" xr:uid="{00000000-0005-0000-0000-000016000000}"/>
    <cellStyle name="Normal" xfId="0" builtinId="0"/>
    <cellStyle name="Normal 10" xfId="2" xr:uid="{00000000-0005-0000-0000-000002000000}"/>
    <cellStyle name="Normal 10 2" xfId="42" xr:uid="{00000000-0005-0000-0000-00002A000000}"/>
    <cellStyle name="Normal 10 2 2 3" xfId="3" xr:uid="{00000000-0005-0000-0000-000003000000}"/>
    <cellStyle name="Normal 10 3" xfId="34" xr:uid="{00000000-0005-0000-0000-000022000000}"/>
    <cellStyle name="Normal 128" xfId="36" xr:uid="{00000000-0005-0000-0000-000024000000}"/>
    <cellStyle name="Normal 153" xfId="33" xr:uid="{00000000-0005-0000-0000-000021000000}"/>
    <cellStyle name="Normal 2" xfId="23" xr:uid="{00000000-0005-0000-0000-000017000000}"/>
    <cellStyle name="Normal 2 2 2 3" xfId="37" xr:uid="{00000000-0005-0000-0000-000025000000}"/>
    <cellStyle name="Normal 3" xfId="27" xr:uid="{00000000-0005-0000-0000-00001B000000}"/>
    <cellStyle name="Normal 3 2" xfId="35" xr:uid="{00000000-0005-0000-0000-000023000000}"/>
    <cellStyle name="Normal 4" xfId="29" xr:uid="{00000000-0005-0000-0000-00001D000000}"/>
    <cellStyle name="Normal 4 2" xfId="41" xr:uid="{00000000-0005-0000-0000-000029000000}"/>
    <cellStyle name="Normal 5" xfId="48" xr:uid="{00000000-0005-0000-0000-000030000000}"/>
    <cellStyle name="Normal 6" xfId="49" xr:uid="{00000000-0005-0000-0000-000031000000}"/>
    <cellStyle name="Normal 8" xfId="38" xr:uid="{00000000-0005-0000-0000-000026000000}"/>
    <cellStyle name="Normal 85" xfId="53" xr:uid="{00000000-0005-0000-0000-000035000000}"/>
    <cellStyle name="Normal 9" xfId="50" xr:uid="{00000000-0005-0000-0000-000032000000}"/>
    <cellStyle name="Parent row" xfId="10" xr:uid="{00000000-0005-0000-0000-00000A000000}"/>
    <cellStyle name="Parent row 2" xfId="46" xr:uid="{00000000-0005-0000-0000-00002E000000}"/>
    <cellStyle name="Percent" xfId="1" builtinId="5"/>
    <cellStyle name="Percent 10" xfId="4" xr:uid="{00000000-0005-0000-0000-000004000000}"/>
    <cellStyle name="Percent 2" xfId="32" xr:uid="{00000000-0005-0000-0000-000020000000}"/>
    <cellStyle name="Percent 3" xfId="40" xr:uid="{00000000-0005-0000-0000-000028000000}"/>
    <cellStyle name="Percent 4" xfId="52" xr:uid="{00000000-0005-0000-0000-000034000000}"/>
    <cellStyle name="Section Break" xfId="24" xr:uid="{00000000-0005-0000-0000-000018000000}"/>
    <cellStyle name="Section Break: parent row" xfId="25" xr:uid="{00000000-0005-0000-0000-000019000000}"/>
    <cellStyle name="Table title" xfId="6" xr:uid="{00000000-0005-0000-0000-000006000000}"/>
    <cellStyle name="Table title 2" xfId="43" xr:uid="{00000000-0005-0000-0000-00002B000000}"/>
    <cellStyle name="Title 2" xfId="26" xr:uid="{00000000-0005-0000-0000-00001A000000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E23" sqref="E23"/>
    </sheetView>
  </sheetViews>
  <sheetFormatPr defaultColWidth="8.85546875" defaultRowHeight="15"/>
  <cols>
    <col min="1" max="30" width="8.85546875" style="2" customWidth="1"/>
    <col min="31" max="16384" width="8.85546875" style="2"/>
  </cols>
  <sheetData>
    <row r="1" spans="1:3" s="1" customFormat="1" ht="23.45" customHeight="1">
      <c r="A1" s="1" t="s">
        <v>0</v>
      </c>
    </row>
    <row r="2" spans="1:3" s="1" customFormat="1" ht="23.45" customHeight="1"/>
    <row r="3" spans="1:3">
      <c r="B3" s="3" t="s">
        <v>1</v>
      </c>
    </row>
    <row r="4" spans="1:3">
      <c r="B4" s="4"/>
      <c r="C4" s="2" t="s">
        <v>2</v>
      </c>
    </row>
    <row r="6" spans="1:3">
      <c r="B6" s="5"/>
      <c r="C6" s="2" t="s">
        <v>3</v>
      </c>
    </row>
    <row r="8" spans="1:3">
      <c r="B8" s="6"/>
      <c r="C8" s="2" t="s">
        <v>4</v>
      </c>
    </row>
    <row r="10" spans="1:3">
      <c r="B10" s="7"/>
      <c r="C10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E23" sqref="E23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C4" sqref="C4"/>
    </sheetView>
  </sheetViews>
  <sheetFormatPr defaultColWidth="8.85546875" defaultRowHeight="15"/>
  <cols>
    <col min="1" max="1" width="8.85546875" style="2" customWidth="1"/>
    <col min="2" max="2" width="47.7109375" style="2" customWidth="1"/>
    <col min="3" max="3" width="26.140625" style="2" customWidth="1"/>
    <col min="4" max="4" width="14.42578125" style="2" customWidth="1"/>
    <col min="5" max="13" width="10.85546875" style="2" customWidth="1"/>
    <col min="14" max="43" width="8.85546875" style="2" customWidth="1"/>
    <col min="44" max="16384" width="8.85546875" style="2"/>
  </cols>
  <sheetData>
    <row r="2" spans="2:4" ht="18" customHeight="1" thickBot="1">
      <c r="B2" t="s">
        <v>6</v>
      </c>
    </row>
    <row r="3" spans="2:4" ht="15" customHeight="1" thickTop="1"/>
    <row r="4" spans="2:4" ht="15" customHeight="1" thickBot="1">
      <c r="B4" t="s">
        <v>7</v>
      </c>
      <c r="C4" t="s">
        <v>8</v>
      </c>
    </row>
    <row r="6" spans="2:4">
      <c r="B6" t="s">
        <v>9</v>
      </c>
    </row>
    <row r="7" spans="2:4" ht="15" customHeight="1" thickBot="1">
      <c r="B7" t="s">
        <v>10</v>
      </c>
      <c r="C7" t="s">
        <v>11</v>
      </c>
      <c r="D7" t="s">
        <v>12</v>
      </c>
    </row>
    <row r="8" spans="2:4">
      <c r="B8" t="s">
        <v>13</v>
      </c>
      <c r="C8" t="s">
        <v>14</v>
      </c>
    </row>
    <row r="9" spans="2:4">
      <c r="B9" t="s">
        <v>15</v>
      </c>
      <c r="C9">
        <v>40.5</v>
      </c>
    </row>
    <row r="10" spans="2:4">
      <c r="B10" t="s">
        <v>16</v>
      </c>
      <c r="C10">
        <v>-75</v>
      </c>
    </row>
    <row r="11" spans="2:4">
      <c r="B11" t="s">
        <v>17</v>
      </c>
      <c r="C11" t="s">
        <v>18</v>
      </c>
    </row>
    <row r="12" spans="2:4">
      <c r="B12" t="s">
        <v>19</v>
      </c>
      <c r="C12" t="s">
        <v>14</v>
      </c>
    </row>
    <row r="13" spans="2:4">
      <c r="B13" t="s">
        <v>20</v>
      </c>
      <c r="C13" t="s">
        <v>21</v>
      </c>
    </row>
    <row r="14" spans="2:4">
      <c r="B14" t="s">
        <v>22</v>
      </c>
      <c r="C14" t="s">
        <v>23</v>
      </c>
    </row>
    <row r="15" spans="2:4">
      <c r="B15" t="s">
        <v>24</v>
      </c>
      <c r="C15" t="s">
        <v>25</v>
      </c>
    </row>
    <row r="16" spans="2:4">
      <c r="B16" t="s">
        <v>26</v>
      </c>
      <c r="C16">
        <v>778</v>
      </c>
      <c r="D16" t="s">
        <v>27</v>
      </c>
    </row>
    <row r="17" spans="2:4">
      <c r="B17" t="s">
        <v>28</v>
      </c>
    </row>
    <row r="18" spans="2:4">
      <c r="B18" t="s">
        <v>29</v>
      </c>
    </row>
    <row r="19" spans="2:4" ht="15" customHeight="1" thickBot="1">
      <c r="B19" t="s">
        <v>30</v>
      </c>
      <c r="C19" t="s">
        <v>11</v>
      </c>
      <c r="D19" t="s">
        <v>12</v>
      </c>
    </row>
    <row r="20" spans="2:4">
      <c r="B20" t="s">
        <v>31</v>
      </c>
      <c r="C20">
        <v>2019</v>
      </c>
      <c r="D20" t="s">
        <v>32</v>
      </c>
    </row>
    <row r="21" spans="2:4">
      <c r="B21" t="s">
        <v>33</v>
      </c>
      <c r="C21">
        <v>2050</v>
      </c>
    </row>
    <row r="23" spans="2:4">
      <c r="B23" t="s">
        <v>34</v>
      </c>
    </row>
    <row r="24" spans="2:4" ht="15" customHeight="1" thickBot="1">
      <c r="B24" t="s">
        <v>10</v>
      </c>
      <c r="C24" t="s">
        <v>11</v>
      </c>
      <c r="D24" t="s">
        <v>12</v>
      </c>
    </row>
    <row r="25" spans="2:4">
      <c r="B25" t="s">
        <v>35</v>
      </c>
      <c r="C25">
        <v>8337</v>
      </c>
      <c r="D25" t="s">
        <v>36</v>
      </c>
    </row>
    <row r="26" spans="2:4">
      <c r="B26" t="s">
        <v>37</v>
      </c>
      <c r="C26">
        <v>0.5</v>
      </c>
      <c r="D26" t="s">
        <v>38</v>
      </c>
    </row>
    <row r="27" spans="2:4">
      <c r="B27" t="s">
        <v>39</v>
      </c>
      <c r="C27">
        <v>1206000</v>
      </c>
      <c r="D27" t="s">
        <v>40</v>
      </c>
    </row>
    <row r="28" spans="2:4">
      <c r="B28" t="s">
        <v>41</v>
      </c>
      <c r="C28">
        <v>2</v>
      </c>
      <c r="D28" t="s">
        <v>42</v>
      </c>
    </row>
    <row r="29" spans="2:4">
      <c r="B29" t="s">
        <v>43</v>
      </c>
      <c r="C29">
        <v>5</v>
      </c>
      <c r="D29" t="s">
        <v>42</v>
      </c>
    </row>
    <row r="30" spans="2:4">
      <c r="B30" t="s">
        <v>44</v>
      </c>
      <c r="C30">
        <v>0.42835123053999902</v>
      </c>
    </row>
    <row r="31" spans="2:4">
      <c r="B31" t="s">
        <v>45</v>
      </c>
      <c r="C31">
        <v>0.67251771953144812</v>
      </c>
    </row>
    <row r="32" spans="2:4">
      <c r="B32" t="s">
        <v>46</v>
      </c>
      <c r="C32">
        <v>1.063829787234043</v>
      </c>
    </row>
    <row r="34" spans="2:6">
      <c r="B34" t="s">
        <v>47</v>
      </c>
    </row>
    <row r="35" spans="2:6" ht="15" customHeight="1" thickBot="1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>
      <c r="B39" t="s">
        <v>10</v>
      </c>
      <c r="C39" t="s">
        <v>11</v>
      </c>
      <c r="D39" t="s">
        <v>12</v>
      </c>
    </row>
    <row r="40" spans="2:6">
      <c r="B40" t="s">
        <v>51</v>
      </c>
      <c r="C40">
        <v>0.72727402048447432</v>
      </c>
    </row>
    <row r="41" spans="2:6">
      <c r="B41" t="s">
        <v>52</v>
      </c>
      <c r="C41">
        <v>1.558371501272265</v>
      </c>
    </row>
    <row r="42" spans="2:6">
      <c r="B42" t="s">
        <v>53</v>
      </c>
      <c r="C42">
        <v>762</v>
      </c>
      <c r="D42" t="s">
        <v>54</v>
      </c>
    </row>
    <row r="43" spans="2:6">
      <c r="B43" t="s">
        <v>55</v>
      </c>
      <c r="C43" t="s">
        <v>56</v>
      </c>
    </row>
    <row r="44" spans="2:6">
      <c r="B44" t="s">
        <v>57</v>
      </c>
      <c r="C44">
        <v>1.461785714285714</v>
      </c>
      <c r="D44" t="s">
        <v>49</v>
      </c>
    </row>
    <row r="45" spans="2:6">
      <c r="B45" t="s">
        <v>58</v>
      </c>
      <c r="C45">
        <v>3.13</v>
      </c>
      <c r="D45" t="s">
        <v>49</v>
      </c>
    </row>
    <row r="46" spans="2:6">
      <c r="B46" t="s">
        <v>59</v>
      </c>
      <c r="C46">
        <v>4.37</v>
      </c>
      <c r="D46" t="s">
        <v>49</v>
      </c>
    </row>
    <row r="47" spans="2:6">
      <c r="B47" t="s">
        <v>60</v>
      </c>
    </row>
    <row r="48" spans="2:6">
      <c r="B48" t="s">
        <v>61</v>
      </c>
    </row>
    <row r="49" spans="2:4" ht="15" customHeight="1" thickBot="1">
      <c r="B49" t="s">
        <v>10</v>
      </c>
      <c r="C49" t="s">
        <v>11</v>
      </c>
      <c r="D49" t="s">
        <v>12</v>
      </c>
    </row>
    <row r="50" spans="2:4">
      <c r="B50" t="s">
        <v>62</v>
      </c>
      <c r="C50" t="s">
        <v>63</v>
      </c>
    </row>
    <row r="51" spans="2:4">
      <c r="B51" t="s">
        <v>64</v>
      </c>
      <c r="C51" t="s">
        <v>65</v>
      </c>
    </row>
    <row r="52" spans="2:4">
      <c r="B52" t="s">
        <v>66</v>
      </c>
      <c r="C52" t="s">
        <v>67</v>
      </c>
    </row>
    <row r="53" spans="2:4">
      <c r="B53" t="s">
        <v>68</v>
      </c>
      <c r="C53" t="s">
        <v>69</v>
      </c>
    </row>
    <row r="54" spans="2:4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G21" sqref="G21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51"/>
  <sheetViews>
    <sheetView topLeftCell="C1" zoomScale="70" zoomScaleNormal="70" workbookViewId="0">
      <selection activeCell="H50" sqref="H50"/>
    </sheetView>
  </sheetViews>
  <sheetFormatPr defaultRowHeight="15"/>
  <cols>
    <col min="1" max="1" width="12.140625" customWidth="1"/>
    <col min="2" max="2" width="23.28515625" customWidth="1"/>
    <col min="3" max="3" width="24.7109375" customWidth="1"/>
    <col min="5" max="5" width="20.42578125" bestFit="1" customWidth="1"/>
    <col min="6" max="6" width="30.28515625" customWidth="1"/>
    <col min="7" max="7" width="20.42578125" customWidth="1"/>
    <col min="8" max="8" width="23.28515625" bestFit="1" customWidth="1"/>
    <col min="9" max="15" width="30.28515625" customWidth="1"/>
    <col min="16" max="32" width="19.140625" bestFit="1" customWidth="1"/>
  </cols>
  <sheetData>
    <row r="1" spans="1:44">
      <c r="O1">
        <v>2019</v>
      </c>
      <c r="P1">
        <v>2020</v>
      </c>
      <c r="Q1">
        <v>2025</v>
      </c>
      <c r="R1">
        <v>2030</v>
      </c>
      <c r="S1">
        <v>2035</v>
      </c>
      <c r="T1">
        <v>2040</v>
      </c>
      <c r="U1">
        <v>2045</v>
      </c>
      <c r="V1">
        <v>2050</v>
      </c>
      <c r="W1">
        <v>2055</v>
      </c>
      <c r="X1">
        <v>2060</v>
      </c>
      <c r="Y1">
        <v>2065</v>
      </c>
      <c r="Z1">
        <v>2070</v>
      </c>
      <c r="AA1">
        <v>2075</v>
      </c>
      <c r="AB1">
        <v>2080</v>
      </c>
      <c r="AC1">
        <v>2085</v>
      </c>
      <c r="AD1">
        <v>2090</v>
      </c>
      <c r="AE1">
        <v>2095</v>
      </c>
      <c r="AF1">
        <v>2100</v>
      </c>
      <c r="AG1">
        <v>2019</v>
      </c>
      <c r="AH1">
        <v>2030</v>
      </c>
      <c r="AI1">
        <v>2050</v>
      </c>
      <c r="AJ1">
        <v>2100</v>
      </c>
      <c r="AK1">
        <v>2019</v>
      </c>
      <c r="AL1">
        <v>2030</v>
      </c>
      <c r="AM1">
        <v>2050</v>
      </c>
      <c r="AN1">
        <v>2100</v>
      </c>
      <c r="AO1">
        <v>2019</v>
      </c>
      <c r="AP1">
        <v>2030</v>
      </c>
      <c r="AQ1">
        <v>2050</v>
      </c>
      <c r="AR1">
        <v>2100</v>
      </c>
    </row>
    <row r="2" spans="1:44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88</v>
      </c>
      <c r="S2" t="s">
        <v>89</v>
      </c>
      <c r="T2" t="s">
        <v>90</v>
      </c>
      <c r="U2" t="s">
        <v>91</v>
      </c>
      <c r="V2" t="s">
        <v>92</v>
      </c>
      <c r="W2" t="s">
        <v>93</v>
      </c>
      <c r="X2" t="s">
        <v>94</v>
      </c>
      <c r="Y2" t="s">
        <v>95</v>
      </c>
      <c r="Z2" t="s">
        <v>96</v>
      </c>
      <c r="AA2" t="s">
        <v>97</v>
      </c>
      <c r="AB2" t="s">
        <v>98</v>
      </c>
      <c r="AC2" t="s">
        <v>99</v>
      </c>
      <c r="AD2" t="s">
        <v>100</v>
      </c>
      <c r="AE2" t="s">
        <v>101</v>
      </c>
      <c r="AF2" t="s">
        <v>102</v>
      </c>
      <c r="AG2" t="s">
        <v>103</v>
      </c>
      <c r="AH2" t="s">
        <v>103</v>
      </c>
      <c r="AI2" t="s">
        <v>103</v>
      </c>
      <c r="AJ2" t="s">
        <v>103</v>
      </c>
      <c r="AK2" t="s">
        <v>104</v>
      </c>
      <c r="AL2" t="s">
        <v>104</v>
      </c>
      <c r="AM2" t="s">
        <v>104</v>
      </c>
      <c r="AN2" t="s">
        <v>104</v>
      </c>
      <c r="AO2" t="s">
        <v>105</v>
      </c>
      <c r="AP2" t="s">
        <v>105</v>
      </c>
      <c r="AQ2" t="s">
        <v>105</v>
      </c>
      <c r="AR2" t="s">
        <v>105</v>
      </c>
    </row>
    <row r="3" spans="1:44">
      <c r="A3" t="s">
        <v>106</v>
      </c>
      <c r="B3" t="s">
        <v>107</v>
      </c>
      <c r="D3">
        <v>2019</v>
      </c>
      <c r="E3" t="s">
        <v>108</v>
      </c>
      <c r="F3" t="s">
        <v>109</v>
      </c>
      <c r="G3" t="s">
        <v>110</v>
      </c>
      <c r="H3" t="s">
        <v>111</v>
      </c>
      <c r="I3">
        <v>12173.113897200001</v>
      </c>
      <c r="J3">
        <v>34569.70851479932</v>
      </c>
      <c r="K3">
        <v>0.13746195273490469</v>
      </c>
      <c r="L3">
        <v>0.35213238468553132</v>
      </c>
      <c r="M3">
        <v>27.138388541967881</v>
      </c>
      <c r="N3">
        <v>2.0228150718781621</v>
      </c>
      <c r="O3">
        <v>2808.1</v>
      </c>
      <c r="P3">
        <v>1517.2</v>
      </c>
      <c r="Q3">
        <v>1517.2</v>
      </c>
      <c r="R3">
        <v>1517.2</v>
      </c>
      <c r="S3">
        <v>1517.2</v>
      </c>
      <c r="T3">
        <v>681.9</v>
      </c>
      <c r="U3">
        <v>677.3</v>
      </c>
      <c r="V3">
        <v>139.5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44">
      <c r="A4" t="s">
        <v>106</v>
      </c>
      <c r="B4" t="s">
        <v>107</v>
      </c>
      <c r="D4">
        <v>2019</v>
      </c>
      <c r="E4" t="s">
        <v>108</v>
      </c>
      <c r="F4" t="s">
        <v>112</v>
      </c>
      <c r="G4" t="s">
        <v>110</v>
      </c>
      <c r="H4" t="s">
        <v>113</v>
      </c>
      <c r="I4">
        <v>10774.678320000001</v>
      </c>
      <c r="J4">
        <v>29246.46661362657</v>
      </c>
      <c r="K4">
        <v>8.4997091379749257E-2</v>
      </c>
      <c r="L4">
        <v>0.36840957447419792</v>
      </c>
      <c r="M4">
        <v>27.138388541967881</v>
      </c>
      <c r="N4">
        <v>2.0228150718781621</v>
      </c>
      <c r="O4">
        <v>4019.7</v>
      </c>
      <c r="P4">
        <v>16</v>
      </c>
      <c r="Q4">
        <v>16</v>
      </c>
      <c r="R4">
        <v>16</v>
      </c>
      <c r="S4">
        <v>16</v>
      </c>
      <c r="T4">
        <v>16</v>
      </c>
      <c r="U4">
        <v>16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44">
      <c r="A5" t="s">
        <v>106</v>
      </c>
      <c r="B5" t="s">
        <v>107</v>
      </c>
      <c r="D5">
        <v>2019</v>
      </c>
      <c r="E5" t="s">
        <v>108</v>
      </c>
      <c r="F5" t="s">
        <v>114</v>
      </c>
      <c r="G5" t="s">
        <v>110</v>
      </c>
      <c r="H5" t="s">
        <v>115</v>
      </c>
      <c r="I5">
        <v>46780.595999999998</v>
      </c>
      <c r="J5">
        <v>91771.956906132036</v>
      </c>
      <c r="K5">
        <v>0.64588451606066521</v>
      </c>
      <c r="L5">
        <v>0.50974826708608845</v>
      </c>
      <c r="M5">
        <v>35.166828485633367</v>
      </c>
      <c r="N5">
        <v>0.61563936970204913</v>
      </c>
      <c r="O5">
        <v>2296.6999999999998</v>
      </c>
      <c r="P5">
        <v>2296.6999999999998</v>
      </c>
      <c r="Q5">
        <v>2296.6999999999998</v>
      </c>
      <c r="R5">
        <v>1726.5</v>
      </c>
      <c r="S5">
        <v>1484.5</v>
      </c>
      <c r="T5">
        <v>751</v>
      </c>
      <c r="U5">
        <v>400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44">
      <c r="A6" t="s">
        <v>106</v>
      </c>
      <c r="B6" t="s">
        <v>107</v>
      </c>
      <c r="D6">
        <v>2019</v>
      </c>
      <c r="E6" t="s">
        <v>108</v>
      </c>
      <c r="F6" t="s">
        <v>116</v>
      </c>
      <c r="G6" t="s">
        <v>110</v>
      </c>
      <c r="H6" t="s">
        <v>117</v>
      </c>
      <c r="I6">
        <v>17753.903999999999</v>
      </c>
      <c r="J6">
        <v>34991.140527096919</v>
      </c>
      <c r="K6">
        <v>0.47892182283260398</v>
      </c>
      <c r="L6">
        <v>0.50738283269879381</v>
      </c>
      <c r="M6">
        <v>35.166828485633367</v>
      </c>
      <c r="N6">
        <v>0.61563936970204913</v>
      </c>
      <c r="O6">
        <v>1175.5</v>
      </c>
      <c r="P6">
        <v>1173.0999999999999</v>
      </c>
      <c r="Q6">
        <v>1173.0999999999999</v>
      </c>
      <c r="R6">
        <v>860.5</v>
      </c>
      <c r="S6">
        <v>780.5</v>
      </c>
      <c r="T6">
        <v>505</v>
      </c>
      <c r="U6">
        <v>250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44">
      <c r="A7" t="s">
        <v>106</v>
      </c>
      <c r="B7" t="s">
        <v>107</v>
      </c>
      <c r="D7">
        <v>2019</v>
      </c>
      <c r="E7" t="s">
        <v>108</v>
      </c>
      <c r="F7" t="s">
        <v>118</v>
      </c>
      <c r="G7" t="s">
        <v>110</v>
      </c>
      <c r="H7" t="s">
        <v>119</v>
      </c>
      <c r="I7">
        <v>0</v>
      </c>
      <c r="J7">
        <v>0</v>
      </c>
      <c r="M7">
        <v>34.82759862885878</v>
      </c>
      <c r="N7">
        <v>0.61563936970204913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44">
      <c r="A8" t="s">
        <v>106</v>
      </c>
      <c r="B8" t="s">
        <v>107</v>
      </c>
      <c r="D8">
        <v>2019</v>
      </c>
      <c r="E8" t="s">
        <v>108</v>
      </c>
      <c r="F8" t="s">
        <v>120</v>
      </c>
      <c r="G8" t="s">
        <v>110</v>
      </c>
      <c r="H8" t="s">
        <v>121</v>
      </c>
      <c r="I8">
        <v>0</v>
      </c>
      <c r="J8">
        <v>0</v>
      </c>
      <c r="M8">
        <v>34.82759862885878</v>
      </c>
      <c r="N8">
        <v>0.61563936970204913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44">
      <c r="A9" t="s">
        <v>106</v>
      </c>
      <c r="B9" t="s">
        <v>107</v>
      </c>
      <c r="D9">
        <v>2019</v>
      </c>
      <c r="E9" t="s">
        <v>108</v>
      </c>
      <c r="F9" t="s">
        <v>122</v>
      </c>
      <c r="G9" t="s">
        <v>110</v>
      </c>
      <c r="H9" t="s">
        <v>123</v>
      </c>
      <c r="I9">
        <v>234.730818</v>
      </c>
      <c r="J9">
        <v>538.07159911454107</v>
      </c>
      <c r="K9">
        <v>0.23406495003015421</v>
      </c>
      <c r="L9">
        <v>0.43624457857704552</v>
      </c>
      <c r="M9">
        <v>27.138388541967881</v>
      </c>
      <c r="N9">
        <v>2.0228150718781621</v>
      </c>
      <c r="O9">
        <v>31.800000000000011</v>
      </c>
      <c r="P9">
        <v>31.8</v>
      </c>
      <c r="Q9">
        <v>31.8</v>
      </c>
      <c r="R9">
        <v>23.400000000000009</v>
      </c>
      <c r="S9">
        <v>22.5</v>
      </c>
      <c r="T9">
        <v>22.3</v>
      </c>
      <c r="U9">
        <v>2.4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44">
      <c r="A10" t="s">
        <v>106</v>
      </c>
      <c r="B10" t="s">
        <v>107</v>
      </c>
      <c r="D10">
        <v>2019</v>
      </c>
      <c r="E10" t="s">
        <v>108</v>
      </c>
      <c r="F10" t="s">
        <v>124</v>
      </c>
      <c r="G10" t="s">
        <v>110</v>
      </c>
      <c r="H10" t="s">
        <v>125</v>
      </c>
      <c r="I10">
        <v>192.024</v>
      </c>
      <c r="J10">
        <v>392.50609754039999</v>
      </c>
      <c r="K10">
        <v>0.92258198422581983</v>
      </c>
      <c r="L10">
        <v>0.48922552083470572</v>
      </c>
      <c r="M10">
        <v>34.82759862885878</v>
      </c>
      <c r="N10">
        <v>0.61563936970204913</v>
      </c>
      <c r="O10">
        <v>6.6</v>
      </c>
      <c r="P10">
        <v>6.6</v>
      </c>
      <c r="Q10">
        <v>6.6</v>
      </c>
      <c r="R10">
        <v>6.6</v>
      </c>
      <c r="S10">
        <v>6.6</v>
      </c>
      <c r="T10">
        <v>6.6</v>
      </c>
      <c r="U10">
        <v>6.6</v>
      </c>
      <c r="V10">
        <v>6.6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44">
      <c r="A11" t="s">
        <v>106</v>
      </c>
      <c r="B11" t="s">
        <v>107</v>
      </c>
      <c r="D11">
        <v>2019</v>
      </c>
      <c r="E11" t="s">
        <v>108</v>
      </c>
      <c r="F11" t="s">
        <v>109</v>
      </c>
      <c r="G11" t="s">
        <v>126</v>
      </c>
      <c r="H11" t="s">
        <v>127</v>
      </c>
      <c r="I11">
        <v>0</v>
      </c>
      <c r="J11">
        <v>0</v>
      </c>
      <c r="M11">
        <v>27.138388541967881</v>
      </c>
      <c r="N11">
        <v>2.0228150718781621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44">
      <c r="A12" t="s">
        <v>106</v>
      </c>
      <c r="B12" t="s">
        <v>107</v>
      </c>
      <c r="D12">
        <v>2019</v>
      </c>
      <c r="E12" t="s">
        <v>108</v>
      </c>
      <c r="F12" t="s">
        <v>112</v>
      </c>
      <c r="G12" t="s">
        <v>126</v>
      </c>
      <c r="H12" t="s">
        <v>128</v>
      </c>
      <c r="I12">
        <v>0</v>
      </c>
      <c r="J12">
        <v>0</v>
      </c>
      <c r="M12">
        <v>27.138388541967881</v>
      </c>
      <c r="N12">
        <v>2.0228150718781621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44">
      <c r="A13" t="s">
        <v>106</v>
      </c>
      <c r="B13" t="s">
        <v>107</v>
      </c>
      <c r="D13">
        <v>2019</v>
      </c>
      <c r="E13" t="s">
        <v>108</v>
      </c>
      <c r="F13" t="s">
        <v>114</v>
      </c>
      <c r="G13" t="s">
        <v>126</v>
      </c>
      <c r="H13" t="s">
        <v>129</v>
      </c>
      <c r="I13">
        <v>0</v>
      </c>
      <c r="J13">
        <v>0</v>
      </c>
      <c r="M13">
        <v>35.166828485633367</v>
      </c>
      <c r="N13">
        <v>0.61563936970204913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44">
      <c r="A14" t="s">
        <v>106</v>
      </c>
      <c r="B14" t="s">
        <v>107</v>
      </c>
      <c r="D14">
        <v>2019</v>
      </c>
      <c r="E14" t="s">
        <v>108</v>
      </c>
      <c r="F14" t="s">
        <v>116</v>
      </c>
      <c r="G14" t="s">
        <v>126</v>
      </c>
      <c r="H14" t="s">
        <v>130</v>
      </c>
      <c r="I14">
        <v>0</v>
      </c>
      <c r="J14">
        <v>0</v>
      </c>
      <c r="M14">
        <v>35.166828485633367</v>
      </c>
      <c r="N14">
        <v>0.61563936970204913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44">
      <c r="A15" t="s">
        <v>106</v>
      </c>
      <c r="B15" t="s">
        <v>107</v>
      </c>
      <c r="D15">
        <v>2019</v>
      </c>
      <c r="E15" t="s">
        <v>108</v>
      </c>
      <c r="F15" t="s">
        <v>122</v>
      </c>
      <c r="G15" t="s">
        <v>126</v>
      </c>
      <c r="H15" t="s">
        <v>131</v>
      </c>
      <c r="I15">
        <v>0</v>
      </c>
      <c r="J15">
        <v>0</v>
      </c>
      <c r="M15">
        <v>27.138388541967881</v>
      </c>
      <c r="N15">
        <v>2.0228150718781621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44">
      <c r="A16" t="s">
        <v>106</v>
      </c>
      <c r="B16" t="s">
        <v>107</v>
      </c>
      <c r="D16">
        <v>2019</v>
      </c>
      <c r="E16" t="s">
        <v>108</v>
      </c>
      <c r="F16" t="s">
        <v>124</v>
      </c>
      <c r="G16" t="s">
        <v>126</v>
      </c>
      <c r="H16" t="s">
        <v>132</v>
      </c>
      <c r="I16">
        <v>0</v>
      </c>
      <c r="J16">
        <v>0</v>
      </c>
      <c r="M16">
        <v>34.82759862885878</v>
      </c>
      <c r="N16">
        <v>0.61563936970204913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106</v>
      </c>
      <c r="B17" t="s">
        <v>107</v>
      </c>
      <c r="D17">
        <v>2019</v>
      </c>
      <c r="E17" t="s">
        <v>108</v>
      </c>
      <c r="F17" t="s">
        <v>109</v>
      </c>
      <c r="G17" t="s">
        <v>133</v>
      </c>
      <c r="H17" t="s">
        <v>134</v>
      </c>
      <c r="I17">
        <v>16.135200000000001</v>
      </c>
      <c r="J17">
        <v>99.921256178847159</v>
      </c>
      <c r="K17">
        <v>1.313254198194143E-3</v>
      </c>
      <c r="L17">
        <v>0.16147915485689959</v>
      </c>
      <c r="M17">
        <v>27.138388541967881</v>
      </c>
      <c r="N17">
        <v>2.0228150718781621</v>
      </c>
      <c r="O17">
        <v>389.6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106</v>
      </c>
      <c r="B18" t="s">
        <v>107</v>
      </c>
      <c r="D18">
        <v>2019</v>
      </c>
      <c r="E18" t="s">
        <v>108</v>
      </c>
      <c r="F18" t="s">
        <v>112</v>
      </c>
      <c r="G18" t="s">
        <v>133</v>
      </c>
      <c r="H18" t="s">
        <v>135</v>
      </c>
      <c r="I18">
        <v>0</v>
      </c>
      <c r="J18">
        <v>0</v>
      </c>
      <c r="M18">
        <v>27.138388541967881</v>
      </c>
      <c r="N18">
        <v>2.0228150718781621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106</v>
      </c>
      <c r="B19" t="s">
        <v>107</v>
      </c>
      <c r="D19">
        <v>2019</v>
      </c>
      <c r="E19" t="s">
        <v>108</v>
      </c>
      <c r="F19" t="s">
        <v>114</v>
      </c>
      <c r="G19" t="s">
        <v>133</v>
      </c>
      <c r="H19" t="s">
        <v>136</v>
      </c>
      <c r="I19">
        <v>0</v>
      </c>
      <c r="J19">
        <v>0</v>
      </c>
      <c r="M19">
        <v>35.166828485633367</v>
      </c>
      <c r="N19">
        <v>0.61563936970204913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106</v>
      </c>
      <c r="B20" t="s">
        <v>107</v>
      </c>
      <c r="D20">
        <v>2019</v>
      </c>
      <c r="E20" t="s">
        <v>108</v>
      </c>
      <c r="F20" t="s">
        <v>116</v>
      </c>
      <c r="G20" t="s">
        <v>133</v>
      </c>
      <c r="H20" t="s">
        <v>137</v>
      </c>
      <c r="I20">
        <v>0</v>
      </c>
      <c r="J20">
        <v>0</v>
      </c>
      <c r="M20">
        <v>35.166828485633367</v>
      </c>
      <c r="N20">
        <v>0.61563936970204913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t="s">
        <v>106</v>
      </c>
      <c r="B21" t="s">
        <v>107</v>
      </c>
      <c r="D21">
        <v>2019</v>
      </c>
      <c r="E21" t="s">
        <v>108</v>
      </c>
      <c r="F21" t="s">
        <v>120</v>
      </c>
      <c r="G21" t="s">
        <v>133</v>
      </c>
      <c r="H21" t="s">
        <v>138</v>
      </c>
      <c r="I21">
        <v>0</v>
      </c>
      <c r="J21">
        <v>0</v>
      </c>
      <c r="M21">
        <v>35.166828485633367</v>
      </c>
      <c r="N21">
        <v>0.61563936970204913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106</v>
      </c>
      <c r="B22" t="s">
        <v>107</v>
      </c>
      <c r="D22">
        <v>2019</v>
      </c>
      <c r="E22" t="s">
        <v>108</v>
      </c>
      <c r="F22" t="s">
        <v>122</v>
      </c>
      <c r="G22" t="s">
        <v>133</v>
      </c>
      <c r="H22" t="s">
        <v>139</v>
      </c>
      <c r="I22">
        <v>8.6313023999999992</v>
      </c>
      <c r="J22">
        <v>31.086117837003719</v>
      </c>
      <c r="K22">
        <v>1.2700547733316379E-3</v>
      </c>
      <c r="L22">
        <v>0.27765777783051537</v>
      </c>
      <c r="M22">
        <v>34.82759862885878</v>
      </c>
      <c r="N22">
        <v>0.61563936970204913</v>
      </c>
      <c r="O22">
        <v>215.5</v>
      </c>
      <c r="P22">
        <v>186.1</v>
      </c>
      <c r="Q22">
        <v>178.8</v>
      </c>
      <c r="R22">
        <v>172</v>
      </c>
      <c r="S22">
        <v>141.69999999999999</v>
      </c>
      <c r="T22">
        <v>105</v>
      </c>
      <c r="U22">
        <v>55.600000000000023</v>
      </c>
      <c r="V22">
        <v>13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106</v>
      </c>
      <c r="B23" t="s">
        <v>107</v>
      </c>
      <c r="D23">
        <v>2019</v>
      </c>
      <c r="E23" t="s">
        <v>108</v>
      </c>
      <c r="F23" t="s">
        <v>112</v>
      </c>
      <c r="G23" t="s">
        <v>140</v>
      </c>
      <c r="H23" t="s">
        <v>141</v>
      </c>
      <c r="I23">
        <v>0</v>
      </c>
      <c r="J23">
        <v>0</v>
      </c>
      <c r="M23">
        <v>87.747456285696146</v>
      </c>
      <c r="N23">
        <v>2.6573005447343552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t="s">
        <v>106</v>
      </c>
      <c r="B24" t="s">
        <v>107</v>
      </c>
      <c r="D24">
        <v>2019</v>
      </c>
      <c r="E24" t="s">
        <v>108</v>
      </c>
      <c r="F24" t="s">
        <v>120</v>
      </c>
      <c r="G24" t="s">
        <v>140</v>
      </c>
      <c r="H24" t="s">
        <v>142</v>
      </c>
      <c r="I24">
        <v>0</v>
      </c>
      <c r="J24">
        <v>0</v>
      </c>
      <c r="M24">
        <v>169.72800500622409</v>
      </c>
      <c r="N24">
        <v>4.639282393111869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t="s">
        <v>106</v>
      </c>
      <c r="B25" t="s">
        <v>107</v>
      </c>
      <c r="D25">
        <v>2019</v>
      </c>
      <c r="E25" t="s">
        <v>108</v>
      </c>
      <c r="F25" t="s">
        <v>112</v>
      </c>
      <c r="G25" t="s">
        <v>143</v>
      </c>
      <c r="H25" t="s">
        <v>144</v>
      </c>
      <c r="I25">
        <v>0</v>
      </c>
      <c r="J25">
        <v>0</v>
      </c>
      <c r="M25">
        <v>177.77906027367459</v>
      </c>
      <c r="N25">
        <v>1.5830726649481259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 t="s">
        <v>106</v>
      </c>
      <c r="B26" t="s">
        <v>107</v>
      </c>
      <c r="D26">
        <v>2019</v>
      </c>
      <c r="E26" t="s">
        <v>108</v>
      </c>
      <c r="F26" t="s">
        <v>120</v>
      </c>
      <c r="G26" t="s">
        <v>143</v>
      </c>
      <c r="H26" t="s">
        <v>145</v>
      </c>
      <c r="I26">
        <v>0</v>
      </c>
      <c r="J26">
        <v>0</v>
      </c>
      <c r="M26">
        <v>177.77906027367459</v>
      </c>
      <c r="N26">
        <v>1.5830726649481259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 t="s">
        <v>106</v>
      </c>
      <c r="B27" t="s">
        <v>107</v>
      </c>
      <c r="D27">
        <v>2019</v>
      </c>
      <c r="E27" t="s">
        <v>108</v>
      </c>
      <c r="F27" t="s">
        <v>122</v>
      </c>
      <c r="G27" t="s">
        <v>146</v>
      </c>
      <c r="H27" t="s">
        <v>147</v>
      </c>
      <c r="I27">
        <v>0</v>
      </c>
      <c r="J27">
        <v>0</v>
      </c>
      <c r="M27">
        <v>177.77906027367459</v>
      </c>
      <c r="N27">
        <v>1.5830726649481259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 t="s">
        <v>106</v>
      </c>
      <c r="B28" t="s">
        <v>107</v>
      </c>
      <c r="D28">
        <v>2019</v>
      </c>
      <c r="E28" t="s">
        <v>108</v>
      </c>
      <c r="F28" t="s">
        <v>112</v>
      </c>
      <c r="G28" t="s">
        <v>148</v>
      </c>
      <c r="H28" t="s">
        <v>149</v>
      </c>
      <c r="I28">
        <v>1357.2108000000001</v>
      </c>
      <c r="J28">
        <v>7369.6160186947618</v>
      </c>
      <c r="K28">
        <v>0.72088563058825328</v>
      </c>
      <c r="L28">
        <v>0.1841630278371513</v>
      </c>
      <c r="M28">
        <v>177.77906027367459</v>
      </c>
      <c r="N28">
        <v>1.5830726649481259</v>
      </c>
      <c r="O28">
        <v>59.7</v>
      </c>
      <c r="P28">
        <v>59.7</v>
      </c>
      <c r="Q28">
        <v>59.7</v>
      </c>
      <c r="R28">
        <v>59.7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 t="s">
        <v>106</v>
      </c>
      <c r="B29" t="s">
        <v>107</v>
      </c>
      <c r="D29">
        <v>2019</v>
      </c>
      <c r="E29" t="s">
        <v>108</v>
      </c>
      <c r="F29" t="s">
        <v>112</v>
      </c>
      <c r="G29" t="s">
        <v>150</v>
      </c>
      <c r="H29" t="s">
        <v>151</v>
      </c>
      <c r="I29">
        <v>0</v>
      </c>
      <c r="J29">
        <v>0</v>
      </c>
      <c r="M29">
        <v>177.77906027367459</v>
      </c>
      <c r="N29">
        <v>1.5830726649481259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 t="s">
        <v>106</v>
      </c>
      <c r="B30" t="s">
        <v>107</v>
      </c>
      <c r="D30">
        <v>2019</v>
      </c>
      <c r="E30" t="s">
        <v>108</v>
      </c>
      <c r="F30" t="s">
        <v>120</v>
      </c>
      <c r="G30" t="s">
        <v>150</v>
      </c>
      <c r="H30" t="s">
        <v>152</v>
      </c>
      <c r="I30">
        <v>0</v>
      </c>
      <c r="J30">
        <v>0</v>
      </c>
      <c r="M30">
        <v>177.77906027367459</v>
      </c>
      <c r="N30">
        <v>1.5830726649481259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 t="s">
        <v>106</v>
      </c>
      <c r="B31" t="s">
        <v>107</v>
      </c>
      <c r="D31">
        <v>2019</v>
      </c>
      <c r="E31" t="s">
        <v>108</v>
      </c>
      <c r="F31" t="s">
        <v>112</v>
      </c>
      <c r="G31" t="s">
        <v>153</v>
      </c>
      <c r="H31" t="s">
        <v>154</v>
      </c>
      <c r="I31">
        <v>0</v>
      </c>
      <c r="J31">
        <v>0</v>
      </c>
      <c r="M31">
        <v>177.77906027367459</v>
      </c>
      <c r="N31">
        <v>1.5830726649481259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 t="s">
        <v>106</v>
      </c>
      <c r="B32" t="s">
        <v>107</v>
      </c>
      <c r="D32">
        <v>2019</v>
      </c>
      <c r="E32" t="s">
        <v>108</v>
      </c>
      <c r="F32" t="s">
        <v>112</v>
      </c>
      <c r="G32" t="s">
        <v>155</v>
      </c>
      <c r="H32" t="s">
        <v>156</v>
      </c>
      <c r="I32">
        <v>60101.434800000003</v>
      </c>
      <c r="J32">
        <v>182125.56</v>
      </c>
      <c r="K32">
        <v>0.82466637621540018</v>
      </c>
      <c r="L32">
        <v>0.33</v>
      </c>
      <c r="M32">
        <v>172.01215270850639</v>
      </c>
      <c r="N32">
        <v>0.7758312465122762</v>
      </c>
      <c r="O32">
        <v>2311</v>
      </c>
      <c r="P32">
        <v>2311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106</v>
      </c>
      <c r="B33" t="s">
        <v>107</v>
      </c>
      <c r="D33">
        <v>2019</v>
      </c>
      <c r="E33" t="s">
        <v>157</v>
      </c>
      <c r="F33" t="s">
        <v>158</v>
      </c>
      <c r="G33" t="s">
        <v>157</v>
      </c>
      <c r="H33" t="s">
        <v>159</v>
      </c>
      <c r="I33">
        <v>0</v>
      </c>
      <c r="J33">
        <v>0</v>
      </c>
      <c r="M33">
        <v>44.870272385432912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 t="s">
        <v>106</v>
      </c>
      <c r="B34" t="s">
        <v>107</v>
      </c>
      <c r="D34">
        <v>2019</v>
      </c>
      <c r="E34" t="s">
        <v>157</v>
      </c>
      <c r="F34" t="s">
        <v>160</v>
      </c>
      <c r="G34" t="s">
        <v>157</v>
      </c>
      <c r="H34" t="s">
        <v>161</v>
      </c>
      <c r="I34">
        <v>0</v>
      </c>
      <c r="J34">
        <v>0</v>
      </c>
      <c r="M34">
        <v>44.870272385432912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 t="s">
        <v>106</v>
      </c>
      <c r="B35" t="s">
        <v>107</v>
      </c>
      <c r="D35">
        <v>2019</v>
      </c>
      <c r="E35" t="s">
        <v>157</v>
      </c>
      <c r="F35" t="s">
        <v>162</v>
      </c>
      <c r="G35" t="s">
        <v>157</v>
      </c>
      <c r="H35" t="s">
        <v>163</v>
      </c>
      <c r="I35">
        <v>0</v>
      </c>
      <c r="J35">
        <v>0</v>
      </c>
      <c r="L35">
        <v>0.8</v>
      </c>
      <c r="M35">
        <v>44.870272385432912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 t="s">
        <v>106</v>
      </c>
      <c r="B36" t="s">
        <v>107</v>
      </c>
      <c r="D36">
        <v>2019</v>
      </c>
      <c r="E36" t="s">
        <v>164</v>
      </c>
      <c r="F36" t="s">
        <v>112</v>
      </c>
      <c r="G36" t="s">
        <v>165</v>
      </c>
      <c r="H36" t="s">
        <v>166</v>
      </c>
      <c r="I36">
        <v>0</v>
      </c>
      <c r="J36">
        <v>0</v>
      </c>
      <c r="L36">
        <v>1</v>
      </c>
      <c r="M36">
        <v>170.8099129312339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106</v>
      </c>
      <c r="B37" t="s">
        <v>107</v>
      </c>
      <c r="D37">
        <v>2019</v>
      </c>
      <c r="E37" t="s">
        <v>164</v>
      </c>
      <c r="F37" t="s">
        <v>167</v>
      </c>
      <c r="G37" t="s">
        <v>165</v>
      </c>
      <c r="H37" t="s">
        <v>168</v>
      </c>
      <c r="I37">
        <v>0</v>
      </c>
      <c r="J37">
        <v>0</v>
      </c>
      <c r="L37">
        <v>1</v>
      </c>
      <c r="M37">
        <v>128.4796870790527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 t="s">
        <v>106</v>
      </c>
      <c r="B38" t="s">
        <v>107</v>
      </c>
      <c r="D38">
        <v>2019</v>
      </c>
      <c r="E38" t="s">
        <v>169</v>
      </c>
      <c r="F38" t="s">
        <v>170</v>
      </c>
      <c r="G38" t="s">
        <v>171</v>
      </c>
      <c r="H38" t="s">
        <v>172</v>
      </c>
      <c r="I38">
        <v>0</v>
      </c>
      <c r="J38">
        <v>0</v>
      </c>
      <c r="L38">
        <v>1</v>
      </c>
      <c r="M38">
        <v>34.974598233461101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 t="s">
        <v>106</v>
      </c>
      <c r="B39" t="s">
        <v>107</v>
      </c>
      <c r="D39">
        <v>2019</v>
      </c>
      <c r="E39" t="s">
        <v>169</v>
      </c>
      <c r="F39" t="s">
        <v>173</v>
      </c>
      <c r="G39" t="s">
        <v>171</v>
      </c>
      <c r="H39" t="s">
        <v>174</v>
      </c>
      <c r="I39">
        <v>0</v>
      </c>
      <c r="J39">
        <v>0</v>
      </c>
      <c r="L39">
        <v>1</v>
      </c>
      <c r="M39">
        <v>112.5589589754599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106</v>
      </c>
      <c r="B40" t="s">
        <v>107</v>
      </c>
      <c r="D40">
        <v>2019</v>
      </c>
      <c r="E40" t="s">
        <v>157</v>
      </c>
      <c r="F40" t="s">
        <v>175</v>
      </c>
      <c r="G40" t="s">
        <v>157</v>
      </c>
      <c r="H40" t="s">
        <v>176</v>
      </c>
      <c r="I40">
        <v>0</v>
      </c>
      <c r="J40">
        <v>0</v>
      </c>
      <c r="L40">
        <v>0.7</v>
      </c>
      <c r="M40">
        <v>21.100097091380011</v>
      </c>
      <c r="N40">
        <v>0.16961492838729941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106</v>
      </c>
      <c r="B41" t="s">
        <v>107</v>
      </c>
      <c r="D41">
        <v>2019</v>
      </c>
      <c r="E41" t="s">
        <v>177</v>
      </c>
      <c r="F41" t="s">
        <v>178</v>
      </c>
      <c r="G41" t="s">
        <v>179</v>
      </c>
      <c r="H41" t="s">
        <v>180</v>
      </c>
      <c r="I41">
        <v>0</v>
      </c>
      <c r="J41">
        <v>0</v>
      </c>
      <c r="M41">
        <v>122.2349283806013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 t="s">
        <v>106</v>
      </c>
      <c r="B42" t="s">
        <v>107</v>
      </c>
      <c r="D42">
        <v>2019</v>
      </c>
      <c r="E42" t="s">
        <v>169</v>
      </c>
      <c r="F42" t="s">
        <v>181</v>
      </c>
      <c r="G42" t="s">
        <v>182</v>
      </c>
      <c r="H42" t="s">
        <v>183</v>
      </c>
      <c r="I42">
        <v>29.980799999999999</v>
      </c>
      <c r="J42">
        <v>78.242941836</v>
      </c>
      <c r="K42">
        <v>0.1558499887716146</v>
      </c>
      <c r="L42">
        <v>0.38317577658111102</v>
      </c>
      <c r="M42">
        <v>25.474928501147339</v>
      </c>
      <c r="N42">
        <v>0</v>
      </c>
      <c r="O42">
        <v>6.1000000000000014</v>
      </c>
      <c r="P42">
        <v>6.1</v>
      </c>
      <c r="Q42">
        <v>6.1</v>
      </c>
      <c r="R42">
        <v>6.1</v>
      </c>
      <c r="S42">
        <v>6.1</v>
      </c>
      <c r="T42">
        <v>6.1</v>
      </c>
      <c r="U42">
        <v>6.1</v>
      </c>
      <c r="V42">
        <v>3.5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 t="s">
        <v>106</v>
      </c>
      <c r="B43" t="s">
        <v>107</v>
      </c>
      <c r="D43">
        <v>2019</v>
      </c>
      <c r="E43" t="s">
        <v>169</v>
      </c>
      <c r="F43" t="s">
        <v>184</v>
      </c>
      <c r="G43" t="s">
        <v>182</v>
      </c>
      <c r="H43" t="s">
        <v>185</v>
      </c>
      <c r="I43">
        <v>0</v>
      </c>
      <c r="J43">
        <v>0</v>
      </c>
      <c r="L43">
        <v>1</v>
      </c>
      <c r="M43">
        <v>78.13820520946102</v>
      </c>
      <c r="N43">
        <v>1.151025750139367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 t="s">
        <v>106</v>
      </c>
      <c r="B44" t="s">
        <v>107</v>
      </c>
      <c r="D44">
        <v>2019</v>
      </c>
      <c r="E44" t="s">
        <v>169</v>
      </c>
      <c r="F44" t="s">
        <v>112</v>
      </c>
      <c r="G44" t="s">
        <v>182</v>
      </c>
      <c r="H44" t="s">
        <v>186</v>
      </c>
      <c r="I44">
        <v>0</v>
      </c>
      <c r="J44">
        <v>0</v>
      </c>
      <c r="L44">
        <v>1</v>
      </c>
      <c r="M44">
        <v>78.13820520946102</v>
      </c>
      <c r="N44">
        <v>1.151025750139367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 t="s">
        <v>106</v>
      </c>
      <c r="B45" t="s">
        <v>107</v>
      </c>
      <c r="D45">
        <v>2019</v>
      </c>
      <c r="E45" t="s">
        <v>169</v>
      </c>
      <c r="F45" t="s">
        <v>120</v>
      </c>
      <c r="G45" t="s">
        <v>182</v>
      </c>
      <c r="H45" t="s">
        <v>187</v>
      </c>
      <c r="I45">
        <v>0</v>
      </c>
      <c r="J45">
        <v>0</v>
      </c>
      <c r="L45">
        <v>1</v>
      </c>
      <c r="M45">
        <v>78.13820520946102</v>
      </c>
      <c r="N45">
        <v>1.151025750139367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 t="s">
        <v>106</v>
      </c>
      <c r="B46" t="s">
        <v>188</v>
      </c>
      <c r="D46">
        <v>2019</v>
      </c>
      <c r="E46" t="s">
        <v>169</v>
      </c>
      <c r="F46" t="s">
        <v>189</v>
      </c>
      <c r="G46" t="s">
        <v>182</v>
      </c>
      <c r="H46" t="s">
        <v>190</v>
      </c>
      <c r="I46">
        <v>2334.3680876516091</v>
      </c>
      <c r="J46">
        <v>2334.3680876516091</v>
      </c>
      <c r="K46">
        <v>0.1558499887716146</v>
      </c>
      <c r="L46">
        <v>1</v>
      </c>
      <c r="M46">
        <v>20.242248163120561</v>
      </c>
      <c r="N46">
        <v>0</v>
      </c>
      <c r="O46">
        <v>474.95881813276537</v>
      </c>
      <c r="P46">
        <v>474.95881813276537</v>
      </c>
      <c r="Q46">
        <v>474.95881813276537</v>
      </c>
      <c r="R46">
        <v>474.95881813276537</v>
      </c>
      <c r="S46">
        <v>474.95881813276537</v>
      </c>
      <c r="T46">
        <v>474.95881813276537</v>
      </c>
      <c r="U46">
        <v>474.95881813276537</v>
      </c>
      <c r="V46">
        <v>474.95881813276537</v>
      </c>
      <c r="W46">
        <v>474.95881813276537</v>
      </c>
      <c r="X46">
        <v>474.95881813276537</v>
      </c>
      <c r="Y46">
        <v>474.95881813276537</v>
      </c>
      <c r="Z46">
        <v>474.95881813276537</v>
      </c>
      <c r="AA46">
        <v>474.95881813276537</v>
      </c>
      <c r="AB46">
        <v>474.95881813276537</v>
      </c>
      <c r="AC46">
        <v>474.95881813276537</v>
      </c>
      <c r="AD46">
        <v>474.95881813276537</v>
      </c>
      <c r="AE46">
        <v>474.95881813276537</v>
      </c>
      <c r="AF46">
        <v>474.95881813276537</v>
      </c>
    </row>
    <row r="47" spans="1:32">
      <c r="A47" t="s">
        <v>106</v>
      </c>
      <c r="B47" t="s">
        <v>188</v>
      </c>
      <c r="D47">
        <v>2019</v>
      </c>
      <c r="E47" t="s">
        <v>169</v>
      </c>
      <c r="F47" t="s">
        <v>191</v>
      </c>
      <c r="G47" t="s">
        <v>182</v>
      </c>
      <c r="H47" t="s">
        <v>192</v>
      </c>
      <c r="I47">
        <v>3448.5131018862198</v>
      </c>
      <c r="J47">
        <v>3448.5131018862198</v>
      </c>
      <c r="K47">
        <v>0.1558499887716146</v>
      </c>
      <c r="L47">
        <v>1</v>
      </c>
      <c r="M47">
        <v>34.293446157052813</v>
      </c>
      <c r="N47">
        <v>0</v>
      </c>
      <c r="O47">
        <v>701.64671794968604</v>
      </c>
      <c r="P47">
        <v>701.64671794968604</v>
      </c>
      <c r="Q47">
        <v>701.64671794968604</v>
      </c>
      <c r="R47">
        <v>701.64671794968604</v>
      </c>
      <c r="S47">
        <v>701.64671794968604</v>
      </c>
      <c r="T47">
        <v>701.64671794968604</v>
      </c>
      <c r="U47">
        <v>701.64671794968604</v>
      </c>
      <c r="V47">
        <v>701.64671794968604</v>
      </c>
      <c r="W47">
        <v>701.64671794968604</v>
      </c>
      <c r="X47">
        <v>701.64671794968604</v>
      </c>
      <c r="Y47">
        <v>701.64671794968604</v>
      </c>
      <c r="Z47">
        <v>701.64671794968604</v>
      </c>
      <c r="AA47">
        <v>701.64671794968604</v>
      </c>
      <c r="AB47">
        <v>701.64671794968604</v>
      </c>
      <c r="AC47">
        <v>701.64671794968604</v>
      </c>
      <c r="AD47">
        <v>701.64671794968604</v>
      </c>
      <c r="AE47">
        <v>701.64671794968604</v>
      </c>
      <c r="AF47">
        <v>701.64671794968604</v>
      </c>
    </row>
    <row r="48" spans="1:32">
      <c r="A48" t="s">
        <v>106</v>
      </c>
      <c r="B48" t="s">
        <v>188</v>
      </c>
      <c r="D48">
        <v>2019</v>
      </c>
      <c r="E48" t="s">
        <v>169</v>
      </c>
      <c r="F48" t="s">
        <v>193</v>
      </c>
      <c r="G48" t="s">
        <v>182</v>
      </c>
      <c r="H48" t="s">
        <v>194</v>
      </c>
      <c r="I48">
        <v>0</v>
      </c>
      <c r="J48">
        <v>0</v>
      </c>
      <c r="K48">
        <v>0.1558499887716146</v>
      </c>
      <c r="L48">
        <v>1</v>
      </c>
      <c r="M48">
        <v>20.242248163120561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44">
      <c r="A49" t="s">
        <v>106</v>
      </c>
      <c r="B49" t="s">
        <v>188</v>
      </c>
      <c r="D49">
        <v>2019</v>
      </c>
      <c r="E49" t="s">
        <v>169</v>
      </c>
      <c r="F49" t="s">
        <v>195</v>
      </c>
      <c r="G49" t="s">
        <v>182</v>
      </c>
      <c r="H49" t="s">
        <v>196</v>
      </c>
      <c r="I49">
        <v>67.681706472196069</v>
      </c>
      <c r="J49">
        <v>67.681706472196069</v>
      </c>
      <c r="K49">
        <v>0.1558499887716146</v>
      </c>
      <c r="L49">
        <v>1</v>
      </c>
      <c r="M49">
        <v>20.242248163120561</v>
      </c>
      <c r="N49">
        <v>0</v>
      </c>
      <c r="O49">
        <v>13.77076026925219</v>
      </c>
      <c r="P49">
        <v>13.77076026925219</v>
      </c>
      <c r="Q49">
        <v>13.77076026925219</v>
      </c>
      <c r="R49">
        <v>13.77076026925219</v>
      </c>
      <c r="S49">
        <v>13.77076026925219</v>
      </c>
      <c r="T49">
        <v>13.77076026925219</v>
      </c>
      <c r="U49">
        <v>13.77076026925219</v>
      </c>
      <c r="V49">
        <v>13.77076026925219</v>
      </c>
      <c r="W49">
        <v>13.77076026925219</v>
      </c>
      <c r="X49">
        <v>13.77076026925219</v>
      </c>
      <c r="Y49">
        <v>13.77076026925219</v>
      </c>
      <c r="Z49">
        <v>13.77076026925219</v>
      </c>
      <c r="AA49">
        <v>13.77076026925219</v>
      </c>
      <c r="AB49">
        <v>13.77076026925219</v>
      </c>
      <c r="AC49">
        <v>13.77076026925219</v>
      </c>
      <c r="AD49">
        <v>13.77076026925219</v>
      </c>
      <c r="AE49">
        <v>13.77076026925219</v>
      </c>
      <c r="AF49">
        <v>13.77076026925219</v>
      </c>
    </row>
    <row r="50" spans="1:44">
      <c r="A50" t="s">
        <v>197</v>
      </c>
      <c r="B50" t="s">
        <v>107</v>
      </c>
      <c r="D50">
        <v>2019</v>
      </c>
      <c r="E50" t="s">
        <v>198</v>
      </c>
      <c r="F50" t="s">
        <v>199</v>
      </c>
      <c r="G50" t="s">
        <v>106</v>
      </c>
      <c r="H50" t="s">
        <v>200</v>
      </c>
      <c r="I50">
        <v>183214.53185075961</v>
      </c>
      <c r="L50">
        <v>1</v>
      </c>
      <c r="O50">
        <v>17429.084080171189</v>
      </c>
    </row>
    <row r="51" spans="1:44">
      <c r="A51" t="s">
        <v>197</v>
      </c>
      <c r="B51" t="s">
        <v>107</v>
      </c>
      <c r="D51">
        <v>2019</v>
      </c>
      <c r="E51" t="s">
        <v>201</v>
      </c>
      <c r="F51" t="s">
        <v>202</v>
      </c>
      <c r="G51" t="s">
        <v>106</v>
      </c>
      <c r="H51" t="s">
        <v>203</v>
      </c>
      <c r="I51">
        <v>43034.141007505437</v>
      </c>
      <c r="K51">
        <v>1</v>
      </c>
      <c r="L51">
        <v>1</v>
      </c>
      <c r="O51">
        <v>1364.6036595479909</v>
      </c>
      <c r="P51">
        <v>1364.6036595479909</v>
      </c>
      <c r="Q51">
        <v>1364.6036595479909</v>
      </c>
      <c r="R51">
        <v>1364.6036595479909</v>
      </c>
      <c r="S51">
        <v>1364.6036595479909</v>
      </c>
      <c r="T51">
        <v>1364.6036595479909</v>
      </c>
      <c r="U51">
        <v>1364.6036595479909</v>
      </c>
      <c r="V51">
        <v>1364.6036595479909</v>
      </c>
      <c r="W51">
        <v>1364.6036595479909</v>
      </c>
      <c r="X51">
        <v>1364.6036595479909</v>
      </c>
      <c r="Y51">
        <v>1364.6036595479909</v>
      </c>
      <c r="Z51">
        <v>1364.6036595479909</v>
      </c>
      <c r="AA51">
        <v>1364.6036595479909</v>
      </c>
      <c r="AB51">
        <v>1364.6036595479909</v>
      </c>
      <c r="AC51">
        <v>1364.6036595479909</v>
      </c>
      <c r="AD51">
        <v>1364.6036595479909</v>
      </c>
      <c r="AE51">
        <v>1364.6036595479909</v>
      </c>
      <c r="AF51">
        <v>1364.6036595479909</v>
      </c>
      <c r="AG51">
        <v>67.865561350034497</v>
      </c>
      <c r="AH51">
        <v>67.865561350034497</v>
      </c>
      <c r="AI51">
        <v>67.865561350034497</v>
      </c>
      <c r="AJ51">
        <v>67.865561350034497</v>
      </c>
      <c r="AK51">
        <v>2.6429913923359119E-3</v>
      </c>
      <c r="AL51">
        <v>2.6429913923359119E-3</v>
      </c>
      <c r="AM51">
        <v>2.6429913923359119E-3</v>
      </c>
      <c r="AN51">
        <v>2.6429913923359119E-3</v>
      </c>
      <c r="AO51">
        <v>3.0952951661773282E-4</v>
      </c>
      <c r="AP51">
        <v>3.0952951661773282E-4</v>
      </c>
      <c r="AQ51">
        <v>3.0952951661773282E-4</v>
      </c>
      <c r="AR51">
        <v>3.0952951661773282E-4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66"/>
  <sheetViews>
    <sheetView zoomScale="70" zoomScaleNormal="70" workbookViewId="0">
      <selection activeCell="G65" sqref="G65"/>
    </sheetView>
  </sheetViews>
  <sheetFormatPr defaultRowHeight="15"/>
  <cols>
    <col min="1" max="1" width="12.140625" customWidth="1"/>
    <col min="2" max="2" width="23.28515625" customWidth="1"/>
    <col min="3" max="3" width="24.7109375" customWidth="1"/>
    <col min="5" max="5" width="23" customWidth="1"/>
    <col min="6" max="6" width="23.7109375" customWidth="1"/>
    <col min="7" max="7" width="21.140625" customWidth="1"/>
    <col min="8" max="8" width="20.140625" bestFit="1" customWidth="1"/>
    <col min="9" max="9" width="17.28515625" bestFit="1" customWidth="1"/>
    <col min="10" max="10" width="17.7109375" bestFit="1" customWidth="1"/>
    <col min="11" max="11" width="17.28515625" bestFit="1" customWidth="1"/>
    <col min="12" max="15" width="17.7109375" bestFit="1" customWidth="1"/>
    <col min="16" max="16" width="17.28515625" bestFit="1" customWidth="1"/>
    <col min="17" max="21" width="17.7109375" bestFit="1" customWidth="1"/>
    <col min="22" max="22" width="17.28515625" bestFit="1" customWidth="1"/>
    <col min="23" max="24" width="17.7109375" bestFit="1" customWidth="1"/>
  </cols>
  <sheetData>
    <row r="1" spans="1:24">
      <c r="A1" t="s">
        <v>71</v>
      </c>
      <c r="B1" t="s">
        <v>72</v>
      </c>
      <c r="C1" t="s">
        <v>73</v>
      </c>
      <c r="D1" t="s">
        <v>74</v>
      </c>
      <c r="E1" t="s">
        <v>204</v>
      </c>
      <c r="F1" t="s">
        <v>205</v>
      </c>
      <c r="G1">
        <v>2019</v>
      </c>
      <c r="H1">
        <v>2020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>
        <v>2055</v>
      </c>
      <c r="P1">
        <v>2060</v>
      </c>
      <c r="Q1">
        <v>2065</v>
      </c>
      <c r="R1">
        <v>2070</v>
      </c>
      <c r="S1">
        <v>2075</v>
      </c>
      <c r="T1">
        <v>2080</v>
      </c>
      <c r="U1">
        <v>2085</v>
      </c>
      <c r="V1">
        <v>2090</v>
      </c>
      <c r="W1">
        <v>2095</v>
      </c>
      <c r="X1">
        <v>2100</v>
      </c>
    </row>
    <row r="2" spans="1:24">
      <c r="A2" t="s">
        <v>206</v>
      </c>
      <c r="B2" t="s">
        <v>207</v>
      </c>
      <c r="D2" t="s">
        <v>208</v>
      </c>
      <c r="E2" t="s">
        <v>209</v>
      </c>
      <c r="F2" t="s">
        <v>210</v>
      </c>
      <c r="G2">
        <v>11.97870118205155</v>
      </c>
      <c r="H2">
        <v>11.97870118205155</v>
      </c>
      <c r="I2">
        <v>11.97870118205155</v>
      </c>
      <c r="J2">
        <v>11.97870118205155</v>
      </c>
      <c r="K2">
        <v>11.97870118205155</v>
      </c>
      <c r="L2">
        <v>11.97870118205155</v>
      </c>
      <c r="M2">
        <v>11.97870118205155</v>
      </c>
      <c r="N2">
        <v>11.97870118205155</v>
      </c>
      <c r="O2">
        <v>11.97870118205155</v>
      </c>
      <c r="P2">
        <v>11.97870118205155</v>
      </c>
      <c r="Q2">
        <v>11.97870118205155</v>
      </c>
      <c r="R2">
        <v>11.97870118205155</v>
      </c>
      <c r="S2">
        <v>11.97870118205155</v>
      </c>
      <c r="T2">
        <v>11.97870118205155</v>
      </c>
      <c r="U2">
        <v>11.97870118205155</v>
      </c>
      <c r="V2">
        <v>11.97870118205155</v>
      </c>
      <c r="W2">
        <v>11.97870118205155</v>
      </c>
      <c r="X2">
        <v>11.97870118205155</v>
      </c>
    </row>
    <row r="3" spans="1:24">
      <c r="A3" t="s">
        <v>206</v>
      </c>
      <c r="B3" t="s">
        <v>211</v>
      </c>
      <c r="D3" t="s">
        <v>208</v>
      </c>
      <c r="E3" t="s">
        <v>212</v>
      </c>
      <c r="F3" t="s">
        <v>210</v>
      </c>
      <c r="G3">
        <v>23.081056453704559</v>
      </c>
      <c r="H3">
        <v>23.081056453704559</v>
      </c>
      <c r="I3">
        <v>23.081056453704559</v>
      </c>
      <c r="J3">
        <v>23.081056453704559</v>
      </c>
      <c r="K3">
        <v>23.081056453704559</v>
      </c>
      <c r="L3">
        <v>23.081056453704559</v>
      </c>
      <c r="M3">
        <v>23.081056453704559</v>
      </c>
      <c r="N3">
        <v>23.081056453704559</v>
      </c>
      <c r="O3">
        <v>23.081056453704559</v>
      </c>
      <c r="P3">
        <v>23.081056453704559</v>
      </c>
      <c r="Q3">
        <v>23.081056453704559</v>
      </c>
      <c r="R3">
        <v>23.081056453704559</v>
      </c>
      <c r="S3">
        <v>23.081056453704559</v>
      </c>
      <c r="T3">
        <v>23.081056453704559</v>
      </c>
      <c r="U3">
        <v>23.081056453704559</v>
      </c>
      <c r="V3">
        <v>23.081056453704559</v>
      </c>
      <c r="W3">
        <v>23.081056453704559</v>
      </c>
      <c r="X3">
        <v>23.081056453704559</v>
      </c>
    </row>
    <row r="4" spans="1:24">
      <c r="A4" t="s">
        <v>206</v>
      </c>
      <c r="B4" t="s">
        <v>213</v>
      </c>
      <c r="D4" t="s">
        <v>208</v>
      </c>
      <c r="E4" t="s">
        <v>214</v>
      </c>
      <c r="F4" t="s">
        <v>210</v>
      </c>
      <c r="G4">
        <v>73.164818964644439</v>
      </c>
      <c r="H4">
        <v>73.164818964644439</v>
      </c>
      <c r="I4">
        <v>73.164818964644439</v>
      </c>
      <c r="J4">
        <v>73.164818964644439</v>
      </c>
      <c r="K4">
        <v>73.164818964644439</v>
      </c>
      <c r="L4">
        <v>73.164818964644439</v>
      </c>
      <c r="M4">
        <v>73.164818964644439</v>
      </c>
      <c r="N4">
        <v>73.164818964644439</v>
      </c>
      <c r="O4">
        <v>73.164818964644439</v>
      </c>
      <c r="P4">
        <v>73.164818964644439</v>
      </c>
      <c r="Q4">
        <v>73.164818964644439</v>
      </c>
      <c r="R4">
        <v>73.164818964644439</v>
      </c>
      <c r="S4">
        <v>73.164818964644439</v>
      </c>
      <c r="T4">
        <v>73.164818964644439</v>
      </c>
      <c r="U4">
        <v>73.164818964644439</v>
      </c>
      <c r="V4">
        <v>73.164818964644439</v>
      </c>
      <c r="W4">
        <v>73.164818964644439</v>
      </c>
      <c r="X4">
        <v>73.164818964644439</v>
      </c>
    </row>
    <row r="5" spans="1:24">
      <c r="A5" t="s">
        <v>206</v>
      </c>
      <c r="B5" t="s">
        <v>215</v>
      </c>
      <c r="D5" t="s">
        <v>208</v>
      </c>
      <c r="E5" t="s">
        <v>216</v>
      </c>
      <c r="F5" t="s">
        <v>210</v>
      </c>
      <c r="G5">
        <v>44.382259283666471</v>
      </c>
      <c r="H5">
        <v>44.382259283666471</v>
      </c>
      <c r="I5">
        <v>44.382259283666471</v>
      </c>
      <c r="J5">
        <v>44.382259283666471</v>
      </c>
      <c r="K5">
        <v>44.382259283666471</v>
      </c>
      <c r="L5">
        <v>44.382259283666471</v>
      </c>
      <c r="M5">
        <v>44.382259283666471</v>
      </c>
      <c r="N5">
        <v>44.382259283666471</v>
      </c>
      <c r="O5">
        <v>44.382259283666471</v>
      </c>
      <c r="P5">
        <v>44.382259283666471</v>
      </c>
      <c r="Q5">
        <v>44.382259283666471</v>
      </c>
      <c r="R5">
        <v>44.382259283666471</v>
      </c>
      <c r="S5">
        <v>44.382259283666471</v>
      </c>
      <c r="T5">
        <v>44.382259283666471</v>
      </c>
      <c r="U5">
        <v>44.382259283666471</v>
      </c>
      <c r="V5">
        <v>44.382259283666471</v>
      </c>
      <c r="W5">
        <v>44.382259283666471</v>
      </c>
      <c r="X5">
        <v>44.382259283666471</v>
      </c>
    </row>
    <row r="6" spans="1:24">
      <c r="A6" t="s">
        <v>206</v>
      </c>
      <c r="B6" t="s">
        <v>217</v>
      </c>
      <c r="D6" t="s">
        <v>208</v>
      </c>
      <c r="E6" t="s">
        <v>218</v>
      </c>
      <c r="F6" t="s">
        <v>210</v>
      </c>
      <c r="G6">
        <v>48.565496275889338</v>
      </c>
      <c r="H6">
        <v>48.565496275889338</v>
      </c>
      <c r="I6">
        <v>48.565496275889338</v>
      </c>
      <c r="J6">
        <v>48.565496275889338</v>
      </c>
      <c r="K6">
        <v>48.565496275889338</v>
      </c>
      <c r="L6">
        <v>48.565496275889338</v>
      </c>
      <c r="M6">
        <v>48.565496275889338</v>
      </c>
      <c r="N6">
        <v>48.565496275889338</v>
      </c>
      <c r="O6">
        <v>48.565496275889338</v>
      </c>
      <c r="P6">
        <v>48.565496275889338</v>
      </c>
      <c r="Q6">
        <v>48.565496275889338</v>
      </c>
      <c r="R6">
        <v>48.565496275889338</v>
      </c>
      <c r="S6">
        <v>48.565496275889338</v>
      </c>
      <c r="T6">
        <v>48.565496275889338</v>
      </c>
      <c r="U6">
        <v>48.565496275889338</v>
      </c>
      <c r="V6">
        <v>48.565496275889338</v>
      </c>
      <c r="W6">
        <v>48.565496275889338</v>
      </c>
      <c r="X6">
        <v>48.565496275889338</v>
      </c>
    </row>
    <row r="7" spans="1:24">
      <c r="A7" t="s">
        <v>206</v>
      </c>
      <c r="B7" t="s">
        <v>219</v>
      </c>
      <c r="D7" t="s">
        <v>208</v>
      </c>
      <c r="E7" t="s">
        <v>220</v>
      </c>
      <c r="F7" t="s">
        <v>210</v>
      </c>
      <c r="G7">
        <v>32.733586523867501</v>
      </c>
      <c r="H7">
        <v>32.733586523867501</v>
      </c>
      <c r="I7">
        <v>32.733586523867501</v>
      </c>
      <c r="J7">
        <v>32.733586523867501</v>
      </c>
      <c r="K7">
        <v>32.733586523867501</v>
      </c>
      <c r="L7">
        <v>32.733586523867501</v>
      </c>
      <c r="M7">
        <v>32.733586523867501</v>
      </c>
      <c r="N7">
        <v>32.733586523867501</v>
      </c>
      <c r="O7">
        <v>32.733586523867501</v>
      </c>
      <c r="P7">
        <v>32.733586523867501</v>
      </c>
      <c r="Q7">
        <v>32.733586523867501</v>
      </c>
      <c r="R7">
        <v>32.733586523867501</v>
      </c>
      <c r="S7">
        <v>32.733586523867501</v>
      </c>
      <c r="T7">
        <v>32.733586523867501</v>
      </c>
      <c r="U7">
        <v>32.733586523867501</v>
      </c>
      <c r="V7">
        <v>32.733586523867501</v>
      </c>
      <c r="W7">
        <v>32.733586523867501</v>
      </c>
      <c r="X7">
        <v>32.733586523867501</v>
      </c>
    </row>
    <row r="8" spans="1:24">
      <c r="A8" t="s">
        <v>206</v>
      </c>
      <c r="B8" t="s">
        <v>221</v>
      </c>
      <c r="D8" t="s">
        <v>208</v>
      </c>
      <c r="E8" t="s">
        <v>222</v>
      </c>
      <c r="F8" t="s">
        <v>210</v>
      </c>
      <c r="G8">
        <v>16.841332845916298</v>
      </c>
      <c r="H8">
        <v>16.841332845916298</v>
      </c>
      <c r="I8">
        <v>16.841332845916298</v>
      </c>
      <c r="J8">
        <v>16.841332845916298</v>
      </c>
      <c r="K8">
        <v>16.841332845916298</v>
      </c>
      <c r="L8">
        <v>16.841332845916298</v>
      </c>
      <c r="M8">
        <v>16.841332845916298</v>
      </c>
      <c r="N8">
        <v>16.841332845916298</v>
      </c>
      <c r="O8">
        <v>16.841332845916298</v>
      </c>
      <c r="P8">
        <v>16.841332845916298</v>
      </c>
      <c r="Q8">
        <v>16.841332845916298</v>
      </c>
      <c r="R8">
        <v>16.841332845916298</v>
      </c>
      <c r="S8">
        <v>16.841332845916298</v>
      </c>
      <c r="T8">
        <v>16.841332845916298</v>
      </c>
      <c r="U8">
        <v>16.841332845916298</v>
      </c>
      <c r="V8">
        <v>16.841332845916298</v>
      </c>
      <c r="W8">
        <v>16.841332845916298</v>
      </c>
      <c r="X8">
        <v>16.841332845916298</v>
      </c>
    </row>
    <row r="9" spans="1:24">
      <c r="A9" t="s">
        <v>206</v>
      </c>
      <c r="B9" t="s">
        <v>223</v>
      </c>
      <c r="D9" t="s">
        <v>208</v>
      </c>
      <c r="E9" t="s">
        <v>224</v>
      </c>
      <c r="F9" t="s">
        <v>210</v>
      </c>
      <c r="G9">
        <v>8.7602804457077657</v>
      </c>
      <c r="H9">
        <v>8.7602804457077657</v>
      </c>
      <c r="I9">
        <v>8.7602804457077657</v>
      </c>
      <c r="J9">
        <v>8.7602804457077657</v>
      </c>
      <c r="K9">
        <v>8.7602804457077657</v>
      </c>
      <c r="L9">
        <v>8.7602804457077657</v>
      </c>
      <c r="M9">
        <v>8.7602804457077657</v>
      </c>
      <c r="N9">
        <v>8.7602804457077657</v>
      </c>
      <c r="O9">
        <v>8.7602804457077657</v>
      </c>
      <c r="P9">
        <v>8.7602804457077657</v>
      </c>
      <c r="Q9">
        <v>8.7602804457077657</v>
      </c>
      <c r="R9">
        <v>8.7602804457077657</v>
      </c>
      <c r="S9">
        <v>8.7602804457077657</v>
      </c>
      <c r="T9">
        <v>8.7602804457077657</v>
      </c>
      <c r="U9">
        <v>8.7602804457077657</v>
      </c>
      <c r="V9">
        <v>8.7602804457077657</v>
      </c>
      <c r="W9">
        <v>8.7602804457077657</v>
      </c>
      <c r="X9">
        <v>8.7602804457077657</v>
      </c>
    </row>
    <row r="10" spans="1:24">
      <c r="A10" t="s">
        <v>206</v>
      </c>
      <c r="B10" t="s">
        <v>207</v>
      </c>
      <c r="D10" t="s">
        <v>225</v>
      </c>
      <c r="E10" t="s">
        <v>226</v>
      </c>
      <c r="F10" t="s">
        <v>210</v>
      </c>
      <c r="G10">
        <v>0</v>
      </c>
      <c r="H10">
        <v>0.239574023641031</v>
      </c>
      <c r="I10">
        <v>1.4374441418461861</v>
      </c>
      <c r="J10">
        <v>2.6353142600513411</v>
      </c>
      <c r="K10">
        <v>3.833184378256496</v>
      </c>
      <c r="L10">
        <v>5.0310544964616506</v>
      </c>
      <c r="M10">
        <v>6.2289246146668056</v>
      </c>
      <c r="N10">
        <v>7.4267947328719606</v>
      </c>
      <c r="O10">
        <v>8.6246648510771173</v>
      </c>
      <c r="P10">
        <v>9.8225349692822732</v>
      </c>
      <c r="Q10">
        <v>11.020405087487431</v>
      </c>
      <c r="R10">
        <v>12.21827520569258</v>
      </c>
      <c r="S10">
        <v>13.416145323897741</v>
      </c>
      <c r="T10">
        <v>14.6140154421029</v>
      </c>
      <c r="U10">
        <v>15.811885560308051</v>
      </c>
      <c r="V10">
        <v>17.009755678513208</v>
      </c>
      <c r="W10">
        <v>18.207625796718361</v>
      </c>
      <c r="X10">
        <v>19.40549591492352</v>
      </c>
    </row>
    <row r="11" spans="1:24">
      <c r="A11" t="s">
        <v>206</v>
      </c>
      <c r="B11" t="s">
        <v>211</v>
      </c>
      <c r="D11" t="s">
        <v>225</v>
      </c>
      <c r="E11" t="s">
        <v>227</v>
      </c>
      <c r="F11" t="s">
        <v>210</v>
      </c>
      <c r="G11">
        <v>0</v>
      </c>
      <c r="H11">
        <v>0.46162112907409131</v>
      </c>
      <c r="I11">
        <v>2.7697267744445471</v>
      </c>
      <c r="J11">
        <v>5.0778324198150031</v>
      </c>
      <c r="K11">
        <v>7.3859380651854591</v>
      </c>
      <c r="L11">
        <v>9.6940437105559152</v>
      </c>
      <c r="M11">
        <v>12.00214935592637</v>
      </c>
      <c r="N11">
        <v>14.310255001296831</v>
      </c>
      <c r="O11">
        <v>16.618360646667281</v>
      </c>
      <c r="P11">
        <v>18.926466292037741</v>
      </c>
      <c r="Q11">
        <v>21.234571937408202</v>
      </c>
      <c r="R11">
        <v>23.542677582778651</v>
      </c>
      <c r="S11">
        <v>25.850783228149108</v>
      </c>
      <c r="T11">
        <v>28.158888873519569</v>
      </c>
      <c r="U11">
        <v>30.466994518890029</v>
      </c>
      <c r="V11">
        <v>32.775100164260479</v>
      </c>
      <c r="W11">
        <v>35.083205809630932</v>
      </c>
      <c r="X11">
        <v>37.391311455001393</v>
      </c>
    </row>
    <row r="12" spans="1:24">
      <c r="A12" t="s">
        <v>206</v>
      </c>
      <c r="B12" t="s">
        <v>213</v>
      </c>
      <c r="D12" t="s">
        <v>225</v>
      </c>
      <c r="E12" t="s">
        <v>228</v>
      </c>
      <c r="F12" t="s">
        <v>210</v>
      </c>
      <c r="G12">
        <v>0</v>
      </c>
      <c r="H12">
        <v>1.463296379292889</v>
      </c>
      <c r="I12">
        <v>8.7797782757573319</v>
      </c>
      <c r="J12">
        <v>16.096260172221779</v>
      </c>
      <c r="K12">
        <v>23.412742068686221</v>
      </c>
      <c r="L12">
        <v>30.72922396515067</v>
      </c>
      <c r="M12">
        <v>38.045705861615112</v>
      </c>
      <c r="N12">
        <v>45.362187758079557</v>
      </c>
      <c r="O12">
        <v>52.678669654544002</v>
      </c>
      <c r="P12">
        <v>59.995151551008448</v>
      </c>
      <c r="Q12">
        <v>67.311633447472886</v>
      </c>
      <c r="R12">
        <v>74.628115343937324</v>
      </c>
      <c r="S12">
        <v>81.944597240401762</v>
      </c>
      <c r="T12">
        <v>89.261079136866201</v>
      </c>
      <c r="U12">
        <v>96.577561033330639</v>
      </c>
      <c r="V12">
        <v>103.89404292979511</v>
      </c>
      <c r="W12">
        <v>111.2105248262595</v>
      </c>
      <c r="X12">
        <v>118.527006722724</v>
      </c>
    </row>
    <row r="13" spans="1:24">
      <c r="A13" t="s">
        <v>206</v>
      </c>
      <c r="B13" t="s">
        <v>215</v>
      </c>
      <c r="D13" t="s">
        <v>225</v>
      </c>
      <c r="E13" t="s">
        <v>229</v>
      </c>
      <c r="F13" t="s">
        <v>210</v>
      </c>
      <c r="G13">
        <v>0</v>
      </c>
      <c r="H13">
        <v>0.8876451856733294</v>
      </c>
      <c r="I13">
        <v>5.3258711140399759</v>
      </c>
      <c r="J13">
        <v>9.7640970424066218</v>
      </c>
      <c r="K13">
        <v>14.20232297077327</v>
      </c>
      <c r="L13">
        <v>18.640548899139919</v>
      </c>
      <c r="M13">
        <v>23.07877482750656</v>
      </c>
      <c r="N13">
        <v>27.517000755873209</v>
      </c>
      <c r="O13">
        <v>31.955226684239861</v>
      </c>
      <c r="P13">
        <v>36.393452612606509</v>
      </c>
      <c r="Q13">
        <v>40.831678540973158</v>
      </c>
      <c r="R13">
        <v>45.269904469339806</v>
      </c>
      <c r="S13">
        <v>49.708130397706462</v>
      </c>
      <c r="T13">
        <v>54.146356326073096</v>
      </c>
      <c r="U13">
        <v>58.584582254439752</v>
      </c>
      <c r="V13">
        <v>63.022808182806401</v>
      </c>
      <c r="W13">
        <v>67.461034111173049</v>
      </c>
      <c r="X13">
        <v>71.899260039539698</v>
      </c>
    </row>
    <row r="14" spans="1:24">
      <c r="A14" t="s">
        <v>206</v>
      </c>
      <c r="B14" t="s">
        <v>217</v>
      </c>
      <c r="D14" t="s">
        <v>225</v>
      </c>
      <c r="E14" t="s">
        <v>230</v>
      </c>
      <c r="F14" t="s">
        <v>210</v>
      </c>
      <c r="G14">
        <v>0</v>
      </c>
      <c r="H14">
        <v>0.97130992551778672</v>
      </c>
      <c r="I14">
        <v>5.8278595531067214</v>
      </c>
      <c r="J14">
        <v>10.684409180695649</v>
      </c>
      <c r="K14">
        <v>15.540958808284589</v>
      </c>
      <c r="L14">
        <v>20.397508435873519</v>
      </c>
      <c r="M14">
        <v>25.254058063462459</v>
      </c>
      <c r="N14">
        <v>30.110607691051388</v>
      </c>
      <c r="O14">
        <v>34.967157318640332</v>
      </c>
      <c r="P14">
        <v>39.823706946229258</v>
      </c>
      <c r="Q14">
        <v>44.680256573818191</v>
      </c>
      <c r="R14">
        <v>49.536806201407117</v>
      </c>
      <c r="S14">
        <v>54.393355828996057</v>
      </c>
      <c r="T14">
        <v>59.24990545658499</v>
      </c>
      <c r="U14">
        <v>64.10645508417393</v>
      </c>
      <c r="V14">
        <v>68.963004711762864</v>
      </c>
      <c r="W14">
        <v>73.819554339351797</v>
      </c>
      <c r="X14">
        <v>78.67610396694073</v>
      </c>
    </row>
    <row r="15" spans="1:24">
      <c r="A15" t="s">
        <v>206</v>
      </c>
      <c r="B15" t="s">
        <v>219</v>
      </c>
      <c r="D15" t="s">
        <v>225</v>
      </c>
      <c r="E15" t="s">
        <v>231</v>
      </c>
      <c r="F15" t="s">
        <v>210</v>
      </c>
      <c r="G15">
        <v>0</v>
      </c>
      <c r="H15">
        <v>0.65467173047735006</v>
      </c>
      <c r="I15">
        <v>3.928030382864101</v>
      </c>
      <c r="J15">
        <v>7.2013890352508509</v>
      </c>
      <c r="K15">
        <v>10.474747687637599</v>
      </c>
      <c r="L15">
        <v>13.74810634002435</v>
      </c>
      <c r="M15">
        <v>17.021464992411101</v>
      </c>
      <c r="N15">
        <v>20.294823644797852</v>
      </c>
      <c r="O15">
        <v>23.568182297184599</v>
      </c>
      <c r="P15">
        <v>26.84154094957135</v>
      </c>
      <c r="Q15">
        <v>30.114899601958101</v>
      </c>
      <c r="R15">
        <v>33.388258254344848</v>
      </c>
      <c r="S15">
        <v>36.661616906731602</v>
      </c>
      <c r="T15">
        <v>39.93497555911835</v>
      </c>
      <c r="U15">
        <v>43.208334211505097</v>
      </c>
      <c r="V15">
        <v>46.481692863891837</v>
      </c>
      <c r="W15">
        <v>49.755051516278591</v>
      </c>
      <c r="X15">
        <v>53.028410168665339</v>
      </c>
    </row>
    <row r="16" spans="1:24">
      <c r="A16" t="s">
        <v>206</v>
      </c>
      <c r="B16" t="s">
        <v>221</v>
      </c>
      <c r="D16" t="s">
        <v>225</v>
      </c>
      <c r="E16" t="s">
        <v>232</v>
      </c>
      <c r="F16" t="s">
        <v>210</v>
      </c>
      <c r="G16">
        <v>0</v>
      </c>
      <c r="H16">
        <v>0.33682665691832597</v>
      </c>
      <c r="I16">
        <v>2.0209599415099562</v>
      </c>
      <c r="J16">
        <v>3.7050932261015861</v>
      </c>
      <c r="K16">
        <v>5.3892265106932156</v>
      </c>
      <c r="L16">
        <v>7.0733597952848468</v>
      </c>
      <c r="M16">
        <v>8.7574930798764772</v>
      </c>
      <c r="N16">
        <v>10.44162636446811</v>
      </c>
      <c r="O16">
        <v>12.12575964905974</v>
      </c>
      <c r="P16">
        <v>13.809892933651369</v>
      </c>
      <c r="Q16">
        <v>15.494026218243</v>
      </c>
      <c r="R16">
        <v>17.178159502834621</v>
      </c>
      <c r="S16">
        <v>18.862292787426259</v>
      </c>
      <c r="T16">
        <v>20.546426072017891</v>
      </c>
      <c r="U16">
        <v>22.230559356609518</v>
      </c>
      <c r="V16">
        <v>23.91469264120115</v>
      </c>
      <c r="W16">
        <v>25.598825925792781</v>
      </c>
      <c r="X16">
        <v>27.282959210384409</v>
      </c>
    </row>
    <row r="17" spans="1:24">
      <c r="A17" t="s">
        <v>206</v>
      </c>
      <c r="B17" t="s">
        <v>223</v>
      </c>
      <c r="D17" t="s">
        <v>225</v>
      </c>
      <c r="E17" t="s">
        <v>233</v>
      </c>
      <c r="F17" t="s">
        <v>210</v>
      </c>
      <c r="G17">
        <v>0</v>
      </c>
      <c r="H17">
        <v>0.17520560891415529</v>
      </c>
      <c r="I17">
        <v>1.051233653484932</v>
      </c>
      <c r="J17">
        <v>1.9272616980557089</v>
      </c>
      <c r="K17">
        <v>2.8032897426264851</v>
      </c>
      <c r="L17">
        <v>3.6793177871972622</v>
      </c>
      <c r="M17">
        <v>4.5553458317680384</v>
      </c>
      <c r="N17">
        <v>5.4313738763388164</v>
      </c>
      <c r="O17">
        <v>6.3074019209095926</v>
      </c>
      <c r="P17">
        <v>7.1834299654803697</v>
      </c>
      <c r="Q17">
        <v>8.0594580100511468</v>
      </c>
      <c r="R17">
        <v>8.9354860546219239</v>
      </c>
      <c r="S17">
        <v>9.811514099192701</v>
      </c>
      <c r="T17">
        <v>10.68754214376348</v>
      </c>
      <c r="U17">
        <v>11.563570188334261</v>
      </c>
      <c r="V17">
        <v>12.439598232905031</v>
      </c>
      <c r="W17">
        <v>13.315626277475809</v>
      </c>
      <c r="X17">
        <v>14.19165432204659</v>
      </c>
    </row>
    <row r="18" spans="1:24">
      <c r="A18" t="s">
        <v>234</v>
      </c>
      <c r="B18" t="s">
        <v>235</v>
      </c>
      <c r="C18" t="s">
        <v>236</v>
      </c>
      <c r="D18" t="s">
        <v>208</v>
      </c>
      <c r="E18" t="s">
        <v>237</v>
      </c>
      <c r="F18" t="s">
        <v>210</v>
      </c>
      <c r="G18">
        <v>51.80787747749153</v>
      </c>
      <c r="H18">
        <v>51.80787747749153</v>
      </c>
      <c r="I18">
        <v>51.80787747749153</v>
      </c>
      <c r="J18">
        <v>51.80787747749153</v>
      </c>
      <c r="K18">
        <v>51.80787747749153</v>
      </c>
      <c r="L18">
        <v>51.80787747749153</v>
      </c>
      <c r="M18">
        <v>51.80787747749153</v>
      </c>
      <c r="N18">
        <v>51.80787747749153</v>
      </c>
      <c r="O18">
        <v>51.80787747749153</v>
      </c>
      <c r="P18">
        <v>51.80787747749153</v>
      </c>
      <c r="Q18">
        <v>51.80787747749153</v>
      </c>
      <c r="R18">
        <v>51.80787747749153</v>
      </c>
      <c r="S18">
        <v>51.80787747749153</v>
      </c>
      <c r="T18">
        <v>51.80787747749153</v>
      </c>
      <c r="U18">
        <v>51.80787747749153</v>
      </c>
      <c r="V18">
        <v>51.80787747749153</v>
      </c>
      <c r="W18">
        <v>51.80787747749153</v>
      </c>
      <c r="X18">
        <v>51.80787747749153</v>
      </c>
    </row>
    <row r="19" spans="1:24">
      <c r="A19" t="s">
        <v>234</v>
      </c>
      <c r="B19" t="s">
        <v>238</v>
      </c>
      <c r="C19" t="s">
        <v>236</v>
      </c>
      <c r="D19" t="s">
        <v>208</v>
      </c>
      <c r="E19" t="s">
        <v>239</v>
      </c>
      <c r="F19" t="s">
        <v>210</v>
      </c>
      <c r="G19">
        <v>14.956798014988321</v>
      </c>
      <c r="H19">
        <v>14.956798014988321</v>
      </c>
      <c r="I19">
        <v>14.956798014988321</v>
      </c>
      <c r="J19">
        <v>14.956798014988321</v>
      </c>
      <c r="K19">
        <v>14.956798014988321</v>
      </c>
      <c r="L19">
        <v>14.956798014988321</v>
      </c>
      <c r="M19">
        <v>14.956798014988321</v>
      </c>
      <c r="N19">
        <v>14.956798014988321</v>
      </c>
      <c r="O19">
        <v>14.956798014988321</v>
      </c>
      <c r="P19">
        <v>14.956798014988321</v>
      </c>
      <c r="Q19">
        <v>14.956798014988321</v>
      </c>
      <c r="R19">
        <v>14.956798014988321</v>
      </c>
      <c r="S19">
        <v>14.956798014988321</v>
      </c>
      <c r="T19">
        <v>14.956798014988321</v>
      </c>
      <c r="U19">
        <v>14.956798014988321</v>
      </c>
      <c r="V19">
        <v>14.956798014988321</v>
      </c>
      <c r="W19">
        <v>14.956798014988321</v>
      </c>
      <c r="X19">
        <v>14.956798014988321</v>
      </c>
    </row>
    <row r="20" spans="1:24">
      <c r="A20" t="s">
        <v>234</v>
      </c>
      <c r="B20" t="s">
        <v>235</v>
      </c>
      <c r="C20" t="s">
        <v>240</v>
      </c>
      <c r="D20" t="s">
        <v>208</v>
      </c>
      <c r="E20" t="s">
        <v>241</v>
      </c>
      <c r="F20" t="s">
        <v>210</v>
      </c>
      <c r="G20">
        <v>57.121976335841403</v>
      </c>
      <c r="H20">
        <v>57.121976335841403</v>
      </c>
      <c r="I20">
        <v>57.121976335841403</v>
      </c>
      <c r="J20">
        <v>57.121976335841403</v>
      </c>
      <c r="K20">
        <v>57.121976335841403</v>
      </c>
      <c r="L20">
        <v>57.121976335841403</v>
      </c>
      <c r="M20">
        <v>57.121976335841403</v>
      </c>
      <c r="N20">
        <v>57.121976335841403</v>
      </c>
      <c r="O20">
        <v>57.121976335841403</v>
      </c>
      <c r="P20">
        <v>57.121976335841403</v>
      </c>
      <c r="Q20">
        <v>57.121976335841403</v>
      </c>
      <c r="R20">
        <v>57.121976335841403</v>
      </c>
      <c r="S20">
        <v>57.121976335841403</v>
      </c>
      <c r="T20">
        <v>57.121976335841403</v>
      </c>
      <c r="U20">
        <v>57.121976335841403</v>
      </c>
      <c r="V20">
        <v>57.121976335841403</v>
      </c>
      <c r="W20">
        <v>57.121976335841403</v>
      </c>
      <c r="X20">
        <v>57.121976335841403</v>
      </c>
    </row>
    <row r="21" spans="1:24">
      <c r="A21" t="s">
        <v>234</v>
      </c>
      <c r="B21" t="s">
        <v>238</v>
      </c>
      <c r="C21" t="s">
        <v>240</v>
      </c>
      <c r="D21" t="s">
        <v>208</v>
      </c>
      <c r="E21" t="s">
        <v>242</v>
      </c>
      <c r="F21" t="s">
        <v>210</v>
      </c>
      <c r="G21">
        <v>38.299258577539533</v>
      </c>
      <c r="H21">
        <v>38.299258577539533</v>
      </c>
      <c r="I21">
        <v>38.299258577539533</v>
      </c>
      <c r="J21">
        <v>38.299258577539533</v>
      </c>
      <c r="K21">
        <v>38.299258577539533</v>
      </c>
      <c r="L21">
        <v>38.299258577539533</v>
      </c>
      <c r="M21">
        <v>38.299258577539533</v>
      </c>
      <c r="N21">
        <v>38.299258577539533</v>
      </c>
      <c r="O21">
        <v>38.299258577539533</v>
      </c>
      <c r="P21">
        <v>38.299258577539533</v>
      </c>
      <c r="Q21">
        <v>38.299258577539533</v>
      </c>
      <c r="R21">
        <v>38.299258577539533</v>
      </c>
      <c r="S21">
        <v>38.299258577539533</v>
      </c>
      <c r="T21">
        <v>38.299258577539533</v>
      </c>
      <c r="U21">
        <v>38.299258577539533</v>
      </c>
      <c r="V21">
        <v>38.299258577539533</v>
      </c>
      <c r="W21">
        <v>38.299258577539533</v>
      </c>
      <c r="X21">
        <v>38.299258577539533</v>
      </c>
    </row>
    <row r="22" spans="1:24">
      <c r="A22" t="s">
        <v>234</v>
      </c>
      <c r="B22" t="s">
        <v>235</v>
      </c>
      <c r="C22" t="s">
        <v>243</v>
      </c>
      <c r="D22" t="s">
        <v>208</v>
      </c>
      <c r="E22" t="s">
        <v>244</v>
      </c>
      <c r="F22" t="s">
        <v>210</v>
      </c>
      <c r="G22">
        <v>15.495887810194001</v>
      </c>
      <c r="H22">
        <v>15.495887810194001</v>
      </c>
      <c r="I22">
        <v>15.495887810194001</v>
      </c>
      <c r="J22">
        <v>15.495887810194001</v>
      </c>
      <c r="K22">
        <v>15.495887810194001</v>
      </c>
      <c r="L22">
        <v>15.495887810194001</v>
      </c>
      <c r="M22">
        <v>15.495887810194001</v>
      </c>
      <c r="N22">
        <v>15.495887810194001</v>
      </c>
      <c r="O22">
        <v>15.495887810194001</v>
      </c>
      <c r="P22">
        <v>15.495887810194001</v>
      </c>
      <c r="Q22">
        <v>15.495887810194001</v>
      </c>
      <c r="R22">
        <v>15.495887810194001</v>
      </c>
      <c r="S22">
        <v>15.495887810194001</v>
      </c>
      <c r="T22">
        <v>15.495887810194001</v>
      </c>
      <c r="U22">
        <v>15.495887810194001</v>
      </c>
      <c r="V22">
        <v>15.495887810194001</v>
      </c>
      <c r="W22">
        <v>15.495887810194001</v>
      </c>
      <c r="X22">
        <v>15.495887810194001</v>
      </c>
    </row>
    <row r="23" spans="1:24">
      <c r="A23" t="s">
        <v>234</v>
      </c>
      <c r="B23" t="s">
        <v>238</v>
      </c>
      <c r="C23" t="s">
        <v>243</v>
      </c>
      <c r="D23" t="s">
        <v>208</v>
      </c>
      <c r="E23" t="s">
        <v>245</v>
      </c>
      <c r="F23" t="s">
        <v>210</v>
      </c>
      <c r="G23">
        <v>19.187214429670199</v>
      </c>
      <c r="H23">
        <v>19.187214429670199</v>
      </c>
      <c r="I23">
        <v>19.187214429670199</v>
      </c>
      <c r="J23">
        <v>19.187214429670199</v>
      </c>
      <c r="K23">
        <v>19.187214429670199</v>
      </c>
      <c r="L23">
        <v>19.187214429670199</v>
      </c>
      <c r="M23">
        <v>19.187214429670199</v>
      </c>
      <c r="N23">
        <v>19.187214429670199</v>
      </c>
      <c r="O23">
        <v>19.187214429670199</v>
      </c>
      <c r="P23">
        <v>19.187214429670199</v>
      </c>
      <c r="Q23">
        <v>19.187214429670199</v>
      </c>
      <c r="R23">
        <v>19.187214429670199</v>
      </c>
      <c r="S23">
        <v>19.187214429670199</v>
      </c>
      <c r="T23">
        <v>19.187214429670199</v>
      </c>
      <c r="U23">
        <v>19.187214429670199</v>
      </c>
      <c r="V23">
        <v>19.187214429670199</v>
      </c>
      <c r="W23">
        <v>19.187214429670199</v>
      </c>
      <c r="X23">
        <v>19.187214429670199</v>
      </c>
    </row>
    <row r="24" spans="1:24">
      <c r="A24" t="s">
        <v>234</v>
      </c>
      <c r="B24" t="s">
        <v>235</v>
      </c>
      <c r="C24" t="s">
        <v>246</v>
      </c>
      <c r="D24" t="s">
        <v>208</v>
      </c>
      <c r="E24" t="s">
        <v>247</v>
      </c>
      <c r="F24" t="s">
        <v>210</v>
      </c>
      <c r="G24">
        <v>66.398717380854961</v>
      </c>
      <c r="H24">
        <v>66.398717380854961</v>
      </c>
      <c r="I24">
        <v>66.398717380854961</v>
      </c>
      <c r="J24">
        <v>66.398717380854961</v>
      </c>
      <c r="K24">
        <v>66.398717380854961</v>
      </c>
      <c r="L24">
        <v>66.398717380854961</v>
      </c>
      <c r="M24">
        <v>66.398717380854961</v>
      </c>
      <c r="N24">
        <v>66.398717380854961</v>
      </c>
      <c r="O24">
        <v>66.398717380854961</v>
      </c>
      <c r="P24">
        <v>66.398717380854961</v>
      </c>
      <c r="Q24">
        <v>66.398717380854961</v>
      </c>
      <c r="R24">
        <v>66.398717380854961</v>
      </c>
      <c r="S24">
        <v>66.398717380854961</v>
      </c>
      <c r="T24">
        <v>66.398717380854961</v>
      </c>
      <c r="U24">
        <v>66.398717380854961</v>
      </c>
      <c r="V24">
        <v>66.398717380854961</v>
      </c>
      <c r="W24">
        <v>66.398717380854961</v>
      </c>
      <c r="X24">
        <v>66.398717380854961</v>
      </c>
    </row>
    <row r="25" spans="1:24">
      <c r="A25" t="s">
        <v>234</v>
      </c>
      <c r="B25" t="s">
        <v>238</v>
      </c>
      <c r="C25" t="s">
        <v>246</v>
      </c>
      <c r="D25" t="s">
        <v>208</v>
      </c>
      <c r="E25" t="s">
        <v>248</v>
      </c>
      <c r="F25" t="s">
        <v>210</v>
      </c>
      <c r="G25">
        <v>96.552050846441404</v>
      </c>
      <c r="H25">
        <v>96.552050846441404</v>
      </c>
      <c r="I25">
        <v>96.552050846441404</v>
      </c>
      <c r="J25">
        <v>96.552050846441404</v>
      </c>
      <c r="K25">
        <v>96.552050846441404</v>
      </c>
      <c r="L25">
        <v>96.552050846441404</v>
      </c>
      <c r="M25">
        <v>96.552050846441404</v>
      </c>
      <c r="N25">
        <v>96.552050846441404</v>
      </c>
      <c r="O25">
        <v>96.552050846441404</v>
      </c>
      <c r="P25">
        <v>96.552050846441404</v>
      </c>
      <c r="Q25">
        <v>96.552050846441404</v>
      </c>
      <c r="R25">
        <v>96.552050846441404</v>
      </c>
      <c r="S25">
        <v>96.552050846441404</v>
      </c>
      <c r="T25">
        <v>96.552050846441404</v>
      </c>
      <c r="U25">
        <v>96.552050846441404</v>
      </c>
      <c r="V25">
        <v>96.552050846441404</v>
      </c>
      <c r="W25">
        <v>96.552050846441404</v>
      </c>
      <c r="X25">
        <v>96.552050846441404</v>
      </c>
    </row>
    <row r="26" spans="1:24">
      <c r="A26" t="s">
        <v>234</v>
      </c>
      <c r="B26" t="s">
        <v>235</v>
      </c>
      <c r="C26" t="s">
        <v>236</v>
      </c>
      <c r="D26" t="s">
        <v>225</v>
      </c>
      <c r="E26" t="s">
        <v>249</v>
      </c>
      <c r="F26" t="s">
        <v>210</v>
      </c>
      <c r="G26">
        <v>0</v>
      </c>
      <c r="H26">
        <v>0.25903938738745758</v>
      </c>
      <c r="I26">
        <v>1.5542363243247459</v>
      </c>
      <c r="J26">
        <v>2.8494332612620341</v>
      </c>
      <c r="K26">
        <v>4.1446301981993221</v>
      </c>
      <c r="L26">
        <v>5.4398271351366114</v>
      </c>
      <c r="M26">
        <v>6.735024072073899</v>
      </c>
      <c r="N26">
        <v>8.0302210090111874</v>
      </c>
      <c r="O26">
        <v>9.325417945948475</v>
      </c>
      <c r="P26">
        <v>10.620614882885761</v>
      </c>
      <c r="Q26">
        <v>11.91581181982305</v>
      </c>
      <c r="R26">
        <v>13.211008756760339</v>
      </c>
      <c r="S26">
        <v>14.50620569369763</v>
      </c>
      <c r="T26">
        <v>15.801402630634909</v>
      </c>
      <c r="U26">
        <v>17.096599567572198</v>
      </c>
      <c r="V26">
        <v>18.39179650450949</v>
      </c>
      <c r="W26">
        <v>19.686993441446781</v>
      </c>
      <c r="X26">
        <v>20.982190378384061</v>
      </c>
    </row>
    <row r="27" spans="1:24">
      <c r="A27" t="s">
        <v>234</v>
      </c>
      <c r="B27" t="s">
        <v>238</v>
      </c>
      <c r="C27" t="s">
        <v>236</v>
      </c>
      <c r="D27" t="s">
        <v>225</v>
      </c>
      <c r="E27" t="s">
        <v>250</v>
      </c>
      <c r="F27" t="s">
        <v>210</v>
      </c>
      <c r="G27">
        <v>0</v>
      </c>
      <c r="H27">
        <v>7.4783990074941589E-2</v>
      </c>
      <c r="I27">
        <v>0.44870394044964951</v>
      </c>
      <c r="J27">
        <v>0.8226238908243575</v>
      </c>
      <c r="K27">
        <v>1.196543841199065</v>
      </c>
      <c r="L27">
        <v>1.5704637915737729</v>
      </c>
      <c r="M27">
        <v>1.9443837419484811</v>
      </c>
      <c r="N27">
        <v>2.3183036923231888</v>
      </c>
      <c r="O27">
        <v>2.6922236426978969</v>
      </c>
      <c r="P27">
        <v>3.0661435930726051</v>
      </c>
      <c r="Q27">
        <v>3.4400635434473119</v>
      </c>
      <c r="R27">
        <v>3.8139834938220201</v>
      </c>
      <c r="S27">
        <v>4.1879034441967278</v>
      </c>
      <c r="T27">
        <v>4.5618233945714346</v>
      </c>
      <c r="U27">
        <v>4.9357433449461432</v>
      </c>
      <c r="V27">
        <v>5.3096632953208509</v>
      </c>
      <c r="W27">
        <v>5.6835832456955586</v>
      </c>
      <c r="X27">
        <v>6.0575031960702663</v>
      </c>
    </row>
    <row r="28" spans="1:24">
      <c r="A28" t="s">
        <v>234</v>
      </c>
      <c r="B28" t="s">
        <v>235</v>
      </c>
      <c r="C28" t="s">
        <v>240</v>
      </c>
      <c r="D28" t="s">
        <v>225</v>
      </c>
      <c r="E28" t="s">
        <v>251</v>
      </c>
      <c r="F28" t="s">
        <v>210</v>
      </c>
      <c r="G28">
        <v>0</v>
      </c>
      <c r="H28">
        <v>0.28560988167920698</v>
      </c>
      <c r="I28">
        <v>1.7136592900752421</v>
      </c>
      <c r="J28">
        <v>3.1417086984712772</v>
      </c>
      <c r="K28">
        <v>4.5697581068673134</v>
      </c>
      <c r="L28">
        <v>5.9978075152633474</v>
      </c>
      <c r="M28">
        <v>7.4258569236593823</v>
      </c>
      <c r="N28">
        <v>8.8539063320554181</v>
      </c>
      <c r="O28">
        <v>10.281955740451449</v>
      </c>
      <c r="P28">
        <v>11.71000514884749</v>
      </c>
      <c r="Q28">
        <v>13.138054557243519</v>
      </c>
      <c r="R28">
        <v>14.566103965639559</v>
      </c>
      <c r="S28">
        <v>15.994153374035591</v>
      </c>
      <c r="T28">
        <v>17.422202782431629</v>
      </c>
      <c r="U28">
        <v>18.850252190827661</v>
      </c>
      <c r="V28">
        <v>20.278301599223699</v>
      </c>
      <c r="W28">
        <v>21.70635100761973</v>
      </c>
      <c r="X28">
        <v>23.134400416015769</v>
      </c>
    </row>
    <row r="29" spans="1:24">
      <c r="A29" t="s">
        <v>234</v>
      </c>
      <c r="B29" t="s">
        <v>238</v>
      </c>
      <c r="C29" t="s">
        <v>240</v>
      </c>
      <c r="D29" t="s">
        <v>225</v>
      </c>
      <c r="E29" t="s">
        <v>252</v>
      </c>
      <c r="F29" t="s">
        <v>210</v>
      </c>
      <c r="G29">
        <v>0</v>
      </c>
      <c r="H29">
        <v>0.19149629288769771</v>
      </c>
      <c r="I29">
        <v>1.1489777573261859</v>
      </c>
      <c r="J29">
        <v>2.1064592217646738</v>
      </c>
      <c r="K29">
        <v>3.063940686203162</v>
      </c>
      <c r="L29">
        <v>4.0214221506416514</v>
      </c>
      <c r="M29">
        <v>4.9789036150801387</v>
      </c>
      <c r="N29">
        <v>5.9363850795186268</v>
      </c>
      <c r="O29">
        <v>6.893866543957115</v>
      </c>
      <c r="P29">
        <v>7.8513480083956031</v>
      </c>
      <c r="Q29">
        <v>8.8088294728340912</v>
      </c>
      <c r="R29">
        <v>9.7663109372725803</v>
      </c>
      <c r="S29">
        <v>10.723792401711069</v>
      </c>
      <c r="T29">
        <v>11.68127386614956</v>
      </c>
      <c r="U29">
        <v>12.638755330588049</v>
      </c>
      <c r="V29">
        <v>13.59623679502654</v>
      </c>
      <c r="W29">
        <v>14.553718259465031</v>
      </c>
      <c r="X29">
        <v>15.511199723903511</v>
      </c>
    </row>
    <row r="30" spans="1:24">
      <c r="A30" t="s">
        <v>234</v>
      </c>
      <c r="B30" t="s">
        <v>235</v>
      </c>
      <c r="C30" t="s">
        <v>243</v>
      </c>
      <c r="D30" t="s">
        <v>225</v>
      </c>
      <c r="E30" t="s">
        <v>253</v>
      </c>
      <c r="F30" t="s">
        <v>210</v>
      </c>
      <c r="G30">
        <v>0</v>
      </c>
      <c r="H30">
        <v>7.7479439050969989E-2</v>
      </c>
      <c r="I30">
        <v>0.46487663430581988</v>
      </c>
      <c r="J30">
        <v>0.85227382956066988</v>
      </c>
      <c r="K30">
        <v>1.2396710248155201</v>
      </c>
      <c r="L30">
        <v>1.6270682200703701</v>
      </c>
      <c r="M30">
        <v>2.0144654153252199</v>
      </c>
      <c r="N30">
        <v>2.40186261058007</v>
      </c>
      <c r="O30">
        <v>2.7892598058349201</v>
      </c>
      <c r="P30">
        <v>3.1766570010897701</v>
      </c>
      <c r="Q30">
        <v>3.5640541963446202</v>
      </c>
      <c r="R30">
        <v>3.9514513915994698</v>
      </c>
      <c r="S30">
        <v>4.3388485868543203</v>
      </c>
      <c r="T30">
        <v>4.7262457821091699</v>
      </c>
      <c r="U30">
        <v>5.1136429773640204</v>
      </c>
      <c r="V30">
        <v>5.5010401726188691</v>
      </c>
      <c r="W30">
        <v>5.8884373678737187</v>
      </c>
      <c r="X30">
        <v>6.2758345631285684</v>
      </c>
    </row>
    <row r="31" spans="1:24">
      <c r="A31" t="s">
        <v>234</v>
      </c>
      <c r="B31" t="s">
        <v>238</v>
      </c>
      <c r="C31" t="s">
        <v>243</v>
      </c>
      <c r="D31" t="s">
        <v>225</v>
      </c>
      <c r="E31" t="s">
        <v>254</v>
      </c>
      <c r="F31" t="s">
        <v>210</v>
      </c>
      <c r="G31">
        <v>0</v>
      </c>
      <c r="H31">
        <v>9.5936072148351009E-2</v>
      </c>
      <c r="I31">
        <v>0.575616432890106</v>
      </c>
      <c r="J31">
        <v>1.0552967936318609</v>
      </c>
      <c r="K31">
        <v>1.5349771543736159</v>
      </c>
      <c r="L31">
        <v>2.0146575151153709</v>
      </c>
      <c r="M31">
        <v>2.4943378758571262</v>
      </c>
      <c r="N31">
        <v>2.974018236598881</v>
      </c>
      <c r="O31">
        <v>3.4536985973406358</v>
      </c>
      <c r="P31">
        <v>3.933378958082391</v>
      </c>
      <c r="Q31">
        <v>4.4130593188241454</v>
      </c>
      <c r="R31">
        <v>4.8927396795659002</v>
      </c>
      <c r="S31">
        <v>5.372420040307655</v>
      </c>
      <c r="T31">
        <v>5.8521004010494098</v>
      </c>
      <c r="U31">
        <v>6.3317807617911646</v>
      </c>
      <c r="V31">
        <v>6.8114611225329194</v>
      </c>
      <c r="W31">
        <v>7.2911414832746742</v>
      </c>
      <c r="X31">
        <v>7.7708218440164289</v>
      </c>
    </row>
    <row r="32" spans="1:24">
      <c r="A32" t="s">
        <v>234</v>
      </c>
      <c r="B32" t="s">
        <v>235</v>
      </c>
      <c r="C32" t="s">
        <v>246</v>
      </c>
      <c r="D32" t="s">
        <v>225</v>
      </c>
      <c r="E32" t="s">
        <v>255</v>
      </c>
      <c r="F32" t="s">
        <v>210</v>
      </c>
      <c r="G32">
        <v>0</v>
      </c>
      <c r="H32">
        <v>0.33199358690427477</v>
      </c>
      <c r="I32">
        <v>1.991961521425649</v>
      </c>
      <c r="J32">
        <v>3.6519294559470228</v>
      </c>
      <c r="K32">
        <v>5.3118973904683973</v>
      </c>
      <c r="L32">
        <v>6.9718653249897713</v>
      </c>
      <c r="M32">
        <v>8.6318332595111453</v>
      </c>
      <c r="N32">
        <v>10.291801194032519</v>
      </c>
      <c r="O32">
        <v>11.95176912855389</v>
      </c>
      <c r="P32">
        <v>13.611737063075269</v>
      </c>
      <c r="Q32">
        <v>15.27170499759664</v>
      </c>
      <c r="R32">
        <v>16.931672932118019</v>
      </c>
      <c r="S32">
        <v>18.591640866639391</v>
      </c>
      <c r="T32">
        <v>20.25160880116076</v>
      </c>
      <c r="U32">
        <v>21.911576735682139</v>
      </c>
      <c r="V32">
        <v>23.571544670203519</v>
      </c>
      <c r="W32">
        <v>25.231512604724891</v>
      </c>
      <c r="X32">
        <v>26.89148053924627</v>
      </c>
    </row>
    <row r="33" spans="1:24">
      <c r="A33" t="s">
        <v>234</v>
      </c>
      <c r="B33" t="s">
        <v>238</v>
      </c>
      <c r="C33" t="s">
        <v>246</v>
      </c>
      <c r="D33" t="s">
        <v>225</v>
      </c>
      <c r="E33" t="s">
        <v>256</v>
      </c>
      <c r="F33" t="s">
        <v>210</v>
      </c>
      <c r="G33">
        <v>0</v>
      </c>
      <c r="H33">
        <v>0.48276025423220698</v>
      </c>
      <c r="I33">
        <v>2.896561525393242</v>
      </c>
      <c r="J33">
        <v>5.3103627965542781</v>
      </c>
      <c r="K33">
        <v>7.7241640677153134</v>
      </c>
      <c r="L33">
        <v>10.13796533887635</v>
      </c>
      <c r="M33">
        <v>12.551766610037379</v>
      </c>
      <c r="N33">
        <v>14.965567881198419</v>
      </c>
      <c r="O33">
        <v>17.379369152359448</v>
      </c>
      <c r="P33">
        <v>19.79317042352049</v>
      </c>
      <c r="Q33">
        <v>22.206971694681521</v>
      </c>
      <c r="R33">
        <v>24.620772965842551</v>
      </c>
      <c r="S33">
        <v>27.034574237003589</v>
      </c>
      <c r="T33">
        <v>29.44837550816462</v>
      </c>
      <c r="U33">
        <v>31.862176779325662</v>
      </c>
      <c r="V33">
        <v>34.275978050486692</v>
      </c>
      <c r="W33">
        <v>36.689779321647727</v>
      </c>
      <c r="X33">
        <v>39.103580592808761</v>
      </c>
    </row>
    <row r="34" spans="1:24">
      <c r="A34" t="s">
        <v>257</v>
      </c>
      <c r="B34" t="s">
        <v>258</v>
      </c>
      <c r="E34" t="s">
        <v>259</v>
      </c>
      <c r="F34" t="s">
        <v>260</v>
      </c>
      <c r="G34">
        <v>66716.460830940399</v>
      </c>
      <c r="H34">
        <v>68050.790047559203</v>
      </c>
      <c r="I34">
        <v>74855.869052315131</v>
      </c>
      <c r="J34">
        <v>82341.455957546656</v>
      </c>
      <c r="K34">
        <v>90575.601553301327</v>
      </c>
      <c r="L34">
        <v>99633.161708631465</v>
      </c>
      <c r="M34">
        <v>109596.4778794946</v>
      </c>
      <c r="N34">
        <v>120556.1256674441</v>
      </c>
      <c r="O34">
        <v>132611.73823418849</v>
      </c>
      <c r="P34">
        <v>145872.91205760741</v>
      </c>
      <c r="Q34">
        <v>160460.20326336811</v>
      </c>
      <c r="R34">
        <v>176506.22358970501</v>
      </c>
      <c r="S34">
        <v>194156.8459486755</v>
      </c>
      <c r="T34">
        <v>213572.53054354299</v>
      </c>
      <c r="U34">
        <v>234929.78359789739</v>
      </c>
      <c r="V34">
        <v>258422.76195768709</v>
      </c>
      <c r="W34">
        <v>284265.03815345588</v>
      </c>
      <c r="X34">
        <v>312691.54196880152</v>
      </c>
    </row>
    <row r="35" spans="1:24">
      <c r="A35" t="s">
        <v>261</v>
      </c>
      <c r="B35" t="s">
        <v>262</v>
      </c>
      <c r="C35" t="s">
        <v>263</v>
      </c>
      <c r="E35" t="s">
        <v>264</v>
      </c>
      <c r="F35" t="s">
        <v>265</v>
      </c>
      <c r="G35">
        <v>68921.250890371171</v>
      </c>
      <c r="H35">
        <v>69265.857144823021</v>
      </c>
      <c r="I35">
        <v>70997.503573443595</v>
      </c>
      <c r="J35">
        <v>72772.44116277968</v>
      </c>
      <c r="K35">
        <v>74591.752191849169</v>
      </c>
      <c r="L35">
        <v>76456.545996645393</v>
      </c>
      <c r="M35">
        <v>78367.959646561518</v>
      </c>
      <c r="N35">
        <v>80327.158637725544</v>
      </c>
      <c r="O35">
        <v>82335.337603668682</v>
      </c>
      <c r="P35">
        <v>84393.721043760394</v>
      </c>
      <c r="Q35">
        <v>86503.564069854401</v>
      </c>
      <c r="R35">
        <v>88666.153171600759</v>
      </c>
      <c r="S35">
        <v>90882.807000890767</v>
      </c>
      <c r="T35">
        <v>93154.877175913032</v>
      </c>
      <c r="U35">
        <v>95483.749105310853</v>
      </c>
      <c r="V35">
        <v>97870.842832943614</v>
      </c>
      <c r="W35">
        <v>100317.6139037672</v>
      </c>
      <c r="X35">
        <v>102825.55425136141</v>
      </c>
    </row>
    <row r="36" spans="1:24">
      <c r="A36" t="s">
        <v>261</v>
      </c>
      <c r="B36" t="s">
        <v>262</v>
      </c>
      <c r="C36" t="s">
        <v>266</v>
      </c>
      <c r="E36" t="s">
        <v>267</v>
      </c>
      <c r="F36" t="s">
        <v>265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 t="s">
        <v>261</v>
      </c>
      <c r="B37" t="s">
        <v>262</v>
      </c>
      <c r="C37" t="s">
        <v>268</v>
      </c>
      <c r="E37" t="s">
        <v>269</v>
      </c>
      <c r="F37" t="s">
        <v>265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 t="s">
        <v>261</v>
      </c>
      <c r="B38" t="s">
        <v>270</v>
      </c>
      <c r="C38" t="s">
        <v>271</v>
      </c>
      <c r="E38" t="s">
        <v>272</v>
      </c>
      <c r="F38" t="s">
        <v>265</v>
      </c>
      <c r="G38">
        <v>1578.5178847930749</v>
      </c>
      <c r="H38">
        <v>1586.41047421704</v>
      </c>
      <c r="I38">
        <v>1626.0707360724659</v>
      </c>
      <c r="J38">
        <v>1666.7225044742779</v>
      </c>
      <c r="K38">
        <v>1708.390567086135</v>
      </c>
      <c r="L38">
        <v>1751.1003312632879</v>
      </c>
      <c r="M38">
        <v>1794.8778395448701</v>
      </c>
      <c r="N38">
        <v>1839.7497855334909</v>
      </c>
      <c r="O38">
        <v>1885.743530171829</v>
      </c>
      <c r="P38">
        <v>1932.8871184261241</v>
      </c>
      <c r="Q38">
        <v>1981.2092963867769</v>
      </c>
      <c r="R38">
        <v>2030.7395287964459</v>
      </c>
      <c r="S38">
        <v>2081.5080170163569</v>
      </c>
      <c r="T38">
        <v>2133.5457174417661</v>
      </c>
      <c r="U38">
        <v>2186.88436037781</v>
      </c>
      <c r="V38">
        <v>2241.5564693872552</v>
      </c>
      <c r="W38">
        <v>2297.595381121936</v>
      </c>
      <c r="X38">
        <v>2355.035265649984</v>
      </c>
    </row>
    <row r="39" spans="1:24">
      <c r="A39" t="s">
        <v>261</v>
      </c>
      <c r="B39" t="s">
        <v>270</v>
      </c>
      <c r="C39" t="s">
        <v>273</v>
      </c>
      <c r="E39" t="s">
        <v>274</v>
      </c>
      <c r="F39" t="s">
        <v>265</v>
      </c>
      <c r="G39">
        <v>70.026308273942732</v>
      </c>
      <c r="H39">
        <v>70.376439815312438</v>
      </c>
      <c r="I39">
        <v>72.135850810695246</v>
      </c>
      <c r="J39">
        <v>73.939247080962616</v>
      </c>
      <c r="K39">
        <v>75.787728257986672</v>
      </c>
      <c r="L39">
        <v>77.682421464436331</v>
      </c>
      <c r="M39">
        <v>79.624482001047227</v>
      </c>
      <c r="N39">
        <v>81.615094051073399</v>
      </c>
      <c r="O39">
        <v>83.65547140235023</v>
      </c>
      <c r="P39">
        <v>85.746858187408975</v>
      </c>
      <c r="Q39">
        <v>87.890529642094194</v>
      </c>
      <c r="R39">
        <v>90.087792883146534</v>
      </c>
      <c r="S39">
        <v>92.339987705225184</v>
      </c>
      <c r="T39">
        <v>94.648487397855803</v>
      </c>
      <c r="U39">
        <v>97.014699582802194</v>
      </c>
      <c r="V39">
        <v>99.440067072372244</v>
      </c>
      <c r="W39">
        <v>101.9260687491815</v>
      </c>
      <c r="X39">
        <v>104.4742204679111</v>
      </c>
    </row>
    <row r="40" spans="1:24">
      <c r="A40" t="s">
        <v>261</v>
      </c>
      <c r="B40" t="s">
        <v>270</v>
      </c>
      <c r="C40" t="s">
        <v>275</v>
      </c>
      <c r="E40" t="s">
        <v>276</v>
      </c>
      <c r="F40" t="s">
        <v>265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 t="s">
        <v>261</v>
      </c>
      <c r="B41" t="s">
        <v>270</v>
      </c>
      <c r="C41" t="s">
        <v>277</v>
      </c>
      <c r="E41" t="s">
        <v>278</v>
      </c>
      <c r="F41" t="s">
        <v>265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 t="s">
        <v>261</v>
      </c>
      <c r="B42" t="s">
        <v>270</v>
      </c>
      <c r="C42" t="s">
        <v>279</v>
      </c>
      <c r="E42" t="s">
        <v>280</v>
      </c>
      <c r="F42" t="s">
        <v>265</v>
      </c>
      <c r="G42">
        <v>1367.6201505846741</v>
      </c>
      <c r="H42">
        <v>1374.4582513375981</v>
      </c>
      <c r="I42">
        <v>1408.819707621037</v>
      </c>
      <c r="J42">
        <v>1444.040200311563</v>
      </c>
      <c r="K42">
        <v>1480.1412053193519</v>
      </c>
      <c r="L42">
        <v>1517.1447354523359</v>
      </c>
      <c r="M42">
        <v>1555.0733538386439</v>
      </c>
      <c r="N42">
        <v>1593.95018768461</v>
      </c>
      <c r="O42">
        <v>1633.7989423767251</v>
      </c>
      <c r="P42">
        <v>1674.643915936143</v>
      </c>
      <c r="Q42">
        <v>1716.510013834547</v>
      </c>
      <c r="R42">
        <v>1759.42276418041</v>
      </c>
      <c r="S42">
        <v>1803.40833328492</v>
      </c>
      <c r="T42">
        <v>1848.4935416170431</v>
      </c>
      <c r="U42">
        <v>1894.705880157469</v>
      </c>
      <c r="V42">
        <v>1942.073527161406</v>
      </c>
      <c r="W42">
        <v>1990.625365340441</v>
      </c>
      <c r="X42">
        <v>2040.390999473952</v>
      </c>
    </row>
    <row r="43" spans="1:24">
      <c r="A43" t="s">
        <v>261</v>
      </c>
      <c r="B43" t="s">
        <v>270</v>
      </c>
      <c r="C43" t="s">
        <v>281</v>
      </c>
      <c r="E43" t="s">
        <v>282</v>
      </c>
      <c r="F43" t="s">
        <v>265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 t="s">
        <v>261</v>
      </c>
      <c r="B44" t="s">
        <v>262</v>
      </c>
      <c r="C44" t="s">
        <v>283</v>
      </c>
      <c r="E44" t="s">
        <v>284</v>
      </c>
      <c r="F44" t="s">
        <v>265</v>
      </c>
      <c r="G44">
        <v>498.20418535334039</v>
      </c>
      <c r="H44">
        <v>500.69520628010702</v>
      </c>
      <c r="I44">
        <v>513.21258643710962</v>
      </c>
      <c r="J44">
        <v>526.04290109803731</v>
      </c>
      <c r="K44">
        <v>539.19397362548818</v>
      </c>
      <c r="L44">
        <v>552.67382296612539</v>
      </c>
      <c r="M44">
        <v>566.49066854027842</v>
      </c>
      <c r="N44">
        <v>580.65293525378536</v>
      </c>
      <c r="O44">
        <v>595.16925863512995</v>
      </c>
      <c r="P44">
        <v>610.04849010100816</v>
      </c>
      <c r="Q44">
        <v>625.29970235353335</v>
      </c>
      <c r="R44">
        <v>640.93219491237164</v>
      </c>
      <c r="S44">
        <v>656.9554997851809</v>
      </c>
      <c r="T44">
        <v>673.37938727981032</v>
      </c>
      <c r="U44">
        <v>690.21387196180547</v>
      </c>
      <c r="V44">
        <v>707.46921876085059</v>
      </c>
      <c r="W44">
        <v>725.15594922987179</v>
      </c>
      <c r="X44">
        <v>743.28484796061855</v>
      </c>
    </row>
    <row r="45" spans="1:24">
      <c r="A45" t="s">
        <v>261</v>
      </c>
      <c r="B45" t="s">
        <v>262</v>
      </c>
      <c r="C45" t="s">
        <v>285</v>
      </c>
      <c r="E45" t="s">
        <v>286</v>
      </c>
      <c r="F45" t="s">
        <v>265</v>
      </c>
      <c r="G45">
        <v>86.053217342719677</v>
      </c>
      <c r="H45">
        <v>86.483483429433264</v>
      </c>
      <c r="I45">
        <v>88.645570515169084</v>
      </c>
      <c r="J45">
        <v>90.861709778048308</v>
      </c>
      <c r="K45">
        <v>93.133252522499504</v>
      </c>
      <c r="L45">
        <v>95.461583835561981</v>
      </c>
      <c r="M45">
        <v>97.848123431451029</v>
      </c>
      <c r="N45">
        <v>100.29432651723729</v>
      </c>
      <c r="O45">
        <v>102.80168468016819</v>
      </c>
      <c r="P45">
        <v>105.3717267971724</v>
      </c>
      <c r="Q45">
        <v>108.00601996710169</v>
      </c>
      <c r="R45">
        <v>110.7061704662793</v>
      </c>
      <c r="S45">
        <v>113.4738247279362</v>
      </c>
      <c r="T45">
        <v>116.3106703461346</v>
      </c>
      <c r="U45">
        <v>119.21843710478799</v>
      </c>
      <c r="V45">
        <v>122.1988980324077</v>
      </c>
      <c r="W45">
        <v>125.2538704832179</v>
      </c>
      <c r="X45">
        <v>128.38521724529829</v>
      </c>
    </row>
    <row r="46" spans="1:24">
      <c r="A46" t="s">
        <v>261</v>
      </c>
      <c r="B46" t="s">
        <v>262</v>
      </c>
      <c r="C46" t="s">
        <v>287</v>
      </c>
      <c r="E46" t="s">
        <v>288</v>
      </c>
      <c r="F46" t="s">
        <v>265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 t="s">
        <v>261</v>
      </c>
      <c r="B47" t="s">
        <v>262</v>
      </c>
      <c r="C47" t="s">
        <v>289</v>
      </c>
      <c r="E47" t="s">
        <v>290</v>
      </c>
      <c r="F47" t="s">
        <v>265</v>
      </c>
      <c r="G47">
        <v>364.1076787683694</v>
      </c>
      <c r="H47">
        <v>365.92821716221118</v>
      </c>
      <c r="I47">
        <v>375.07642259126641</v>
      </c>
      <c r="J47">
        <v>384.45333315604802</v>
      </c>
      <c r="K47">
        <v>394.06466648494921</v>
      </c>
      <c r="L47">
        <v>403.91628314707287</v>
      </c>
      <c r="M47">
        <v>414.01419022574959</v>
      </c>
      <c r="N47">
        <v>424.36454498139341</v>
      </c>
      <c r="O47">
        <v>434.97365860592822</v>
      </c>
      <c r="P47">
        <v>445.84800007107629</v>
      </c>
      <c r="Q47">
        <v>456.99420007285318</v>
      </c>
      <c r="R47">
        <v>468.41905507467447</v>
      </c>
      <c r="S47">
        <v>480.12953145154142</v>
      </c>
      <c r="T47">
        <v>492.13276973782979</v>
      </c>
      <c r="U47">
        <v>504.43608898127547</v>
      </c>
      <c r="V47">
        <v>517.04699120580733</v>
      </c>
      <c r="W47">
        <v>529.97316598595251</v>
      </c>
      <c r="X47">
        <v>543.22249513560132</v>
      </c>
    </row>
    <row r="48" spans="1:24">
      <c r="A48" t="s">
        <v>261</v>
      </c>
      <c r="B48" t="s">
        <v>262</v>
      </c>
      <c r="C48" t="s">
        <v>291</v>
      </c>
      <c r="E48" t="s">
        <v>292</v>
      </c>
      <c r="F48" t="s">
        <v>265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 t="s">
        <v>261</v>
      </c>
      <c r="B49" t="s">
        <v>262</v>
      </c>
      <c r="C49" t="s">
        <v>293</v>
      </c>
      <c r="E49" t="s">
        <v>294</v>
      </c>
      <c r="F49" t="s">
        <v>265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 t="s">
        <v>261</v>
      </c>
      <c r="B50" t="s">
        <v>262</v>
      </c>
      <c r="C50" t="s">
        <v>295</v>
      </c>
      <c r="E50" t="s">
        <v>296</v>
      </c>
      <c r="F50" t="s">
        <v>265</v>
      </c>
      <c r="G50">
        <v>783.71641071992963</v>
      </c>
      <c r="H50">
        <v>787.63499277352923</v>
      </c>
      <c r="I50">
        <v>807.32586759286744</v>
      </c>
      <c r="J50">
        <v>827.50901428268901</v>
      </c>
      <c r="K50">
        <v>848.19673963975617</v>
      </c>
      <c r="L50">
        <v>869.40165813074998</v>
      </c>
      <c r="M50">
        <v>891.13669958401863</v>
      </c>
      <c r="N50">
        <v>913.41511707361906</v>
      </c>
      <c r="O50">
        <v>936.25049500045941</v>
      </c>
      <c r="P50">
        <v>959.65675737547076</v>
      </c>
      <c r="Q50">
        <v>983.64817630985749</v>
      </c>
      <c r="R50">
        <v>1008.239380717604</v>
      </c>
      <c r="S50">
        <v>1033.4453652355439</v>
      </c>
      <c r="T50">
        <v>1059.2814993664319</v>
      </c>
      <c r="U50">
        <v>1085.763536850593</v>
      </c>
      <c r="V50">
        <v>1112.907625271858</v>
      </c>
      <c r="W50">
        <v>1140.7303159036539</v>
      </c>
      <c r="X50">
        <v>1169.2485738012449</v>
      </c>
    </row>
    <row r="51" spans="1:24">
      <c r="A51" t="s">
        <v>261</v>
      </c>
      <c r="B51" t="s">
        <v>262</v>
      </c>
      <c r="C51" t="s">
        <v>297</v>
      </c>
      <c r="E51" t="s">
        <v>298</v>
      </c>
      <c r="F51" t="s">
        <v>265</v>
      </c>
      <c r="G51">
        <v>4185.0616827171943</v>
      </c>
      <c r="H51">
        <v>4205.9869911307796</v>
      </c>
      <c r="I51">
        <v>4311.136665909049</v>
      </c>
      <c r="J51">
        <v>4418.9150825567749</v>
      </c>
      <c r="K51">
        <v>4529.3879596206934</v>
      </c>
      <c r="L51">
        <v>4642.6226586112107</v>
      </c>
      <c r="M51">
        <v>4758.6882250764902</v>
      </c>
      <c r="N51">
        <v>4877.6554307034021</v>
      </c>
      <c r="O51">
        <v>4999.5968164709866</v>
      </c>
      <c r="P51">
        <v>5124.5867368827612</v>
      </c>
      <c r="Q51">
        <v>5252.7014053048297</v>
      </c>
      <c r="R51">
        <v>5384.0189404374496</v>
      </c>
      <c r="S51">
        <v>5518.619413948385</v>
      </c>
      <c r="T51">
        <v>5656.5848992970941</v>
      </c>
      <c r="U51">
        <v>5797.9995217795213</v>
      </c>
      <c r="V51">
        <v>5942.9495098240086</v>
      </c>
      <c r="W51">
        <v>6091.5232475696084</v>
      </c>
      <c r="X51">
        <v>6243.8113287588494</v>
      </c>
    </row>
    <row r="52" spans="1:24">
      <c r="A52" t="s">
        <v>261</v>
      </c>
      <c r="B52" t="s">
        <v>223</v>
      </c>
      <c r="C52" t="s">
        <v>299</v>
      </c>
      <c r="E52" t="s">
        <v>300</v>
      </c>
      <c r="F52" t="s">
        <v>265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 t="s">
        <v>261</v>
      </c>
      <c r="B53" t="s">
        <v>223</v>
      </c>
      <c r="C53" t="s">
        <v>301</v>
      </c>
      <c r="E53" t="s">
        <v>302</v>
      </c>
      <c r="F53" t="s">
        <v>265</v>
      </c>
      <c r="G53">
        <v>1.605430432772551</v>
      </c>
      <c r="H53">
        <v>1.6134575849364139</v>
      </c>
      <c r="I53">
        <v>1.6537940245598239</v>
      </c>
      <c r="J53">
        <v>1.6951388751738199</v>
      </c>
      <c r="K53">
        <v>1.7375173470531651</v>
      </c>
      <c r="L53">
        <v>1.7809552807294939</v>
      </c>
      <c r="M53">
        <v>1.8254791627477309</v>
      </c>
      <c r="N53">
        <v>1.8711161418164239</v>
      </c>
      <c r="O53">
        <v>1.9178940453618341</v>
      </c>
      <c r="P53">
        <v>1.9658413964958801</v>
      </c>
      <c r="Q53">
        <v>2.0149874314082772</v>
      </c>
      <c r="R53">
        <v>2.0653621171934842</v>
      </c>
      <c r="S53">
        <v>2.1169961701233211</v>
      </c>
      <c r="T53">
        <v>2.1699210743764041</v>
      </c>
      <c r="U53">
        <v>2.2241691012358138</v>
      </c>
      <c r="V53">
        <v>2.279773328766709</v>
      </c>
      <c r="W53">
        <v>2.3367676619858759</v>
      </c>
      <c r="X53">
        <v>2.395186853535523</v>
      </c>
    </row>
    <row r="54" spans="1:24">
      <c r="A54" t="s">
        <v>261</v>
      </c>
      <c r="B54" t="s">
        <v>223</v>
      </c>
      <c r="C54" t="s">
        <v>303</v>
      </c>
      <c r="E54" t="s">
        <v>304</v>
      </c>
      <c r="F54" t="s">
        <v>265</v>
      </c>
      <c r="G54">
        <v>0.1257155698946095</v>
      </c>
      <c r="H54">
        <v>0.12634414774408251</v>
      </c>
      <c r="I54">
        <v>0.12950275143768461</v>
      </c>
      <c r="J54">
        <v>0.1327403202236267</v>
      </c>
      <c r="K54">
        <v>0.1360588282292173</v>
      </c>
      <c r="L54">
        <v>0.13946029893494771</v>
      </c>
      <c r="M54">
        <v>0.14294680640832139</v>
      </c>
      <c r="N54">
        <v>0.1465204765685294</v>
      </c>
      <c r="O54">
        <v>0.15018348848274271</v>
      </c>
      <c r="P54">
        <v>0.15393807569481119</v>
      </c>
      <c r="Q54">
        <v>0.15778652758718151</v>
      </c>
      <c r="R54">
        <v>0.16173119077686099</v>
      </c>
      <c r="S54">
        <v>0.1657744705462825</v>
      </c>
      <c r="T54">
        <v>0.16991883230993951</v>
      </c>
      <c r="U54">
        <v>0.17416680311768801</v>
      </c>
      <c r="V54">
        <v>0.17852097319563021</v>
      </c>
      <c r="W54">
        <v>0.18298399752552089</v>
      </c>
      <c r="X54">
        <v>0.18755859746365891</v>
      </c>
    </row>
    <row r="55" spans="1:24">
      <c r="A55" t="s">
        <v>148</v>
      </c>
      <c r="B55" t="s">
        <v>305</v>
      </c>
      <c r="C55" t="s">
        <v>306</v>
      </c>
      <c r="E55" t="s">
        <v>307</v>
      </c>
      <c r="F55" t="s">
        <v>308</v>
      </c>
      <c r="G55">
        <v>3375.0740840299131</v>
      </c>
      <c r="H55">
        <v>3391.9494544500621</v>
      </c>
      <c r="I55">
        <v>3476.7481908113132</v>
      </c>
      <c r="J55">
        <v>3563.6668955815949</v>
      </c>
      <c r="K55">
        <v>3652.7585679711351</v>
      </c>
      <c r="L55">
        <v>3744.0775321704132</v>
      </c>
      <c r="M55">
        <v>3837.6794704746731</v>
      </c>
      <c r="N55">
        <v>3933.6214572365402</v>
      </c>
      <c r="O55">
        <v>4031.961993667453</v>
      </c>
      <c r="P55">
        <v>4132.7610435091392</v>
      </c>
      <c r="Q55">
        <v>4236.0800695968674</v>
      </c>
      <c r="R55">
        <v>4341.982071336789</v>
      </c>
      <c r="S55">
        <v>4450.5316231202087</v>
      </c>
      <c r="T55">
        <v>4561.7949136982133</v>
      </c>
      <c r="U55">
        <v>4675.8397865406687</v>
      </c>
      <c r="V55">
        <v>4792.7357812041846</v>
      </c>
      <c r="W55">
        <v>4912.5541757342889</v>
      </c>
      <c r="X55">
        <v>5035.3680301276454</v>
      </c>
    </row>
    <row r="56" spans="1:24">
      <c r="A56" t="s">
        <v>148</v>
      </c>
      <c r="B56" t="s">
        <v>305</v>
      </c>
      <c r="C56" t="s">
        <v>309</v>
      </c>
      <c r="E56" t="s">
        <v>310</v>
      </c>
      <c r="F56" t="s">
        <v>308</v>
      </c>
      <c r="G56">
        <v>405.00889008358951</v>
      </c>
      <c r="H56">
        <v>407.03393453400741</v>
      </c>
      <c r="I56">
        <v>417.20978289735763</v>
      </c>
      <c r="J56">
        <v>427.64002746979139</v>
      </c>
      <c r="K56">
        <v>438.33102815653621</v>
      </c>
      <c r="L56">
        <v>449.28930386044959</v>
      </c>
      <c r="M56">
        <v>460.5215364569608</v>
      </c>
      <c r="N56">
        <v>472.03457486838482</v>
      </c>
      <c r="O56">
        <v>483.83543924009427</v>
      </c>
      <c r="P56">
        <v>495.93132522109659</v>
      </c>
      <c r="Q56">
        <v>508.32960835162402</v>
      </c>
      <c r="R56">
        <v>521.03784856041455</v>
      </c>
      <c r="S56">
        <v>534.06379477442488</v>
      </c>
      <c r="T56">
        <v>547.41538964378549</v>
      </c>
      <c r="U56">
        <v>561.10077438488008</v>
      </c>
      <c r="V56">
        <v>575.128293744502</v>
      </c>
      <c r="W56">
        <v>589.50650108811453</v>
      </c>
      <c r="X56">
        <v>604.24416361531735</v>
      </c>
    </row>
    <row r="57" spans="1:24">
      <c r="A57" t="s">
        <v>148</v>
      </c>
      <c r="B57" t="s">
        <v>305</v>
      </c>
      <c r="C57" t="s">
        <v>311</v>
      </c>
      <c r="E57" t="s">
        <v>312</v>
      </c>
      <c r="F57" t="s">
        <v>308</v>
      </c>
      <c r="G57">
        <v>540.01185344478597</v>
      </c>
      <c r="H57">
        <v>542.71191271200985</v>
      </c>
      <c r="I57">
        <v>556.27971052981002</v>
      </c>
      <c r="J57">
        <v>570.18670329305519</v>
      </c>
      <c r="K57">
        <v>584.44137087538149</v>
      </c>
      <c r="L57">
        <v>599.05240514726597</v>
      </c>
      <c r="M57">
        <v>614.02871527594755</v>
      </c>
      <c r="N57">
        <v>629.37943315784617</v>
      </c>
      <c r="O57">
        <v>645.11391898679221</v>
      </c>
      <c r="P57">
        <v>661.24176696146196</v>
      </c>
      <c r="Q57">
        <v>677.7728111354985</v>
      </c>
      <c r="R57">
        <v>694.71713141388591</v>
      </c>
      <c r="S57">
        <v>712.08505969923294</v>
      </c>
      <c r="T57">
        <v>729.88718619171368</v>
      </c>
      <c r="U57">
        <v>748.13436584650651</v>
      </c>
      <c r="V57">
        <v>766.83772499266911</v>
      </c>
      <c r="W57">
        <v>786.00866811748574</v>
      </c>
      <c r="X57">
        <v>805.65888482042283</v>
      </c>
    </row>
    <row r="58" spans="1:24">
      <c r="A58" t="s">
        <v>148</v>
      </c>
      <c r="B58" t="s">
        <v>305</v>
      </c>
      <c r="C58" t="s">
        <v>313</v>
      </c>
      <c r="E58" t="s">
        <v>314</v>
      </c>
      <c r="F58" t="s">
        <v>308</v>
      </c>
      <c r="G58">
        <v>1350.029633611965</v>
      </c>
      <c r="H58">
        <v>1356.7797817800249</v>
      </c>
      <c r="I58">
        <v>1390.699276324525</v>
      </c>
      <c r="J58">
        <v>1425.4667582326381</v>
      </c>
      <c r="K58">
        <v>1461.1034271884539</v>
      </c>
      <c r="L58">
        <v>1497.631012868165</v>
      </c>
      <c r="M58">
        <v>1535.071788189869</v>
      </c>
      <c r="N58">
        <v>1573.448582894616</v>
      </c>
      <c r="O58">
        <v>1612.784797466981</v>
      </c>
      <c r="P58">
        <v>1653.1044174036549</v>
      </c>
      <c r="Q58">
        <v>1694.432027838747</v>
      </c>
      <c r="R58">
        <v>1736.792828534715</v>
      </c>
      <c r="S58">
        <v>1780.2126492480829</v>
      </c>
      <c r="T58">
        <v>1824.7179654792851</v>
      </c>
      <c r="U58">
        <v>1870.335914616267</v>
      </c>
      <c r="V58">
        <v>1917.0943124816729</v>
      </c>
      <c r="W58">
        <v>1965.021670293715</v>
      </c>
      <c r="X58">
        <v>2014.147212051058</v>
      </c>
    </row>
    <row r="59" spans="1:24">
      <c r="A59" t="s">
        <v>148</v>
      </c>
      <c r="B59" t="s">
        <v>305</v>
      </c>
      <c r="C59" t="s">
        <v>315</v>
      </c>
      <c r="E59" t="s">
        <v>316</v>
      </c>
      <c r="F59" t="s">
        <v>308</v>
      </c>
      <c r="G59">
        <v>1485.0325969731609</v>
      </c>
      <c r="H59">
        <v>1492.4577599580271</v>
      </c>
      <c r="I59">
        <v>1529.769203956977</v>
      </c>
      <c r="J59">
        <v>1568.0134340559021</v>
      </c>
      <c r="K59">
        <v>1607.2137699072989</v>
      </c>
      <c r="L59">
        <v>1647.394114154981</v>
      </c>
      <c r="M59">
        <v>1688.5789670088559</v>
      </c>
      <c r="N59">
        <v>1730.793441184077</v>
      </c>
      <c r="O59">
        <v>1774.0632772136789</v>
      </c>
      <c r="P59">
        <v>1818.414859144021</v>
      </c>
      <c r="Q59">
        <v>1863.8752306226211</v>
      </c>
      <c r="R59">
        <v>1910.472111388186</v>
      </c>
      <c r="S59">
        <v>1958.233914172891</v>
      </c>
      <c r="T59">
        <v>2007.189762027213</v>
      </c>
      <c r="U59">
        <v>2057.3695060778932</v>
      </c>
      <c r="V59">
        <v>2108.8037437298399</v>
      </c>
      <c r="W59">
        <v>2161.5238373230859</v>
      </c>
      <c r="X59">
        <v>2215.5619332561628</v>
      </c>
    </row>
    <row r="60" spans="1:24">
      <c r="A60" t="s">
        <v>148</v>
      </c>
      <c r="B60" t="s">
        <v>305</v>
      </c>
      <c r="C60" t="s">
        <v>317</v>
      </c>
      <c r="E60" t="s">
        <v>318</v>
      </c>
      <c r="F60" t="s">
        <v>308</v>
      </c>
      <c r="G60">
        <v>1080.0237068895719</v>
      </c>
      <c r="H60">
        <v>1085.4238254240199</v>
      </c>
      <c r="I60">
        <v>1112.55942105962</v>
      </c>
      <c r="J60">
        <v>1140.3734065861099</v>
      </c>
      <c r="K60">
        <v>1168.882741750763</v>
      </c>
      <c r="L60">
        <v>1198.1048102945319</v>
      </c>
      <c r="M60">
        <v>1228.0574305518951</v>
      </c>
      <c r="N60">
        <v>1258.7588663156921</v>
      </c>
      <c r="O60">
        <v>1290.227837973584</v>
      </c>
      <c r="P60">
        <v>1322.4835339229239</v>
      </c>
      <c r="Q60">
        <v>1355.545622270997</v>
      </c>
      <c r="R60">
        <v>1389.434262827772</v>
      </c>
      <c r="S60">
        <v>1424.1701193984661</v>
      </c>
      <c r="T60">
        <v>1459.7743723834269</v>
      </c>
      <c r="U60">
        <v>1496.268731693013</v>
      </c>
      <c r="V60">
        <v>1533.675449985338</v>
      </c>
      <c r="W60">
        <v>1572.017336234971</v>
      </c>
      <c r="X60">
        <v>1611.3177696408461</v>
      </c>
    </row>
    <row r="61" spans="1:24">
      <c r="A61" t="s">
        <v>148</v>
      </c>
      <c r="B61" t="s">
        <v>305</v>
      </c>
      <c r="C61" t="s">
        <v>319</v>
      </c>
      <c r="E61" t="s">
        <v>320</v>
      </c>
      <c r="F61" t="s">
        <v>308</v>
      </c>
      <c r="G61">
        <v>5265.1155710866633</v>
      </c>
      <c r="H61">
        <v>5291.4411489420963</v>
      </c>
      <c r="I61">
        <v>5423.727177665648</v>
      </c>
      <c r="J61">
        <v>5559.3203571072891</v>
      </c>
      <c r="K61">
        <v>5698.3033660349711</v>
      </c>
      <c r="L61">
        <v>5840.7609501858451</v>
      </c>
      <c r="M61">
        <v>5986.7799739404909</v>
      </c>
      <c r="N61">
        <v>6136.4494732890034</v>
      </c>
      <c r="O61">
        <v>6289.8607101212274</v>
      </c>
      <c r="P61">
        <v>6447.1072278742577</v>
      </c>
      <c r="Q61">
        <v>6608.2849085711132</v>
      </c>
      <c r="R61">
        <v>6773.4920312853901</v>
      </c>
      <c r="S61">
        <v>6942.8293320675239</v>
      </c>
      <c r="T61">
        <v>7116.400065369211</v>
      </c>
      <c r="U61">
        <v>7294.310067003441</v>
      </c>
      <c r="V61">
        <v>7476.6678186785266</v>
      </c>
      <c r="W61">
        <v>7663.5845141454893</v>
      </c>
      <c r="X61">
        <v>7855.1741269991262</v>
      </c>
    </row>
    <row r="62" spans="1:24">
      <c r="A62" t="s">
        <v>148</v>
      </c>
      <c r="B62" t="s">
        <v>305</v>
      </c>
      <c r="C62" t="s">
        <v>321</v>
      </c>
      <c r="E62" t="s">
        <v>322</v>
      </c>
      <c r="F62" t="s">
        <v>308</v>
      </c>
      <c r="G62">
        <v>206463.0681189782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 t="s">
        <v>148</v>
      </c>
      <c r="B63" t="s">
        <v>323</v>
      </c>
      <c r="C63" t="s">
        <v>324</v>
      </c>
      <c r="E63" t="s">
        <v>325</v>
      </c>
      <c r="F63" t="s">
        <v>326</v>
      </c>
      <c r="G63">
        <v>1957.9449839347731</v>
      </c>
      <c r="H63">
        <v>1967.7347088544459</v>
      </c>
      <c r="I63">
        <v>2016.9280765758069</v>
      </c>
      <c r="J63">
        <v>2067.3512784902018</v>
      </c>
      <c r="K63">
        <v>2119.0350604524569</v>
      </c>
      <c r="L63">
        <v>2172.010936963768</v>
      </c>
      <c r="M63">
        <v>2226.311210387862</v>
      </c>
      <c r="N63">
        <v>2281.9689906475578</v>
      </c>
      <c r="O63">
        <v>2339.0182154137469</v>
      </c>
      <c r="P63">
        <v>2397.493670799091</v>
      </c>
      <c r="Q63">
        <v>2457.4310125690681</v>
      </c>
      <c r="R63">
        <v>2518.8667878832939</v>
      </c>
      <c r="S63">
        <v>2581.8384575803761</v>
      </c>
      <c r="T63">
        <v>2646.3844190198852</v>
      </c>
      <c r="U63">
        <v>2712.5440294953819</v>
      </c>
      <c r="V63">
        <v>2780.357630232766</v>
      </c>
      <c r="W63">
        <v>2849.866570988585</v>
      </c>
      <c r="X63">
        <v>2921.113235263299</v>
      </c>
    </row>
    <row r="64" spans="1:24">
      <c r="A64" t="s">
        <v>148</v>
      </c>
      <c r="B64" t="s">
        <v>323</v>
      </c>
      <c r="C64" t="s">
        <v>327</v>
      </c>
      <c r="E64" t="s">
        <v>328</v>
      </c>
      <c r="F64" t="s">
        <v>326</v>
      </c>
      <c r="G64">
        <v>118.5672</v>
      </c>
      <c r="H64">
        <v>118.5672</v>
      </c>
      <c r="I64">
        <v>118.5672</v>
      </c>
      <c r="J64">
        <v>118.5672</v>
      </c>
      <c r="K64">
        <v>118.5672</v>
      </c>
      <c r="L64">
        <v>118.5672</v>
      </c>
      <c r="M64">
        <v>118.5672</v>
      </c>
      <c r="N64">
        <v>118.5672</v>
      </c>
      <c r="O64">
        <v>118.5672</v>
      </c>
      <c r="P64">
        <v>118.5672</v>
      </c>
      <c r="Q64">
        <v>118.5672</v>
      </c>
      <c r="R64">
        <v>118.5672</v>
      </c>
      <c r="S64">
        <v>118.5672</v>
      </c>
      <c r="T64">
        <v>118.5672</v>
      </c>
      <c r="U64">
        <v>118.5672</v>
      </c>
      <c r="V64">
        <v>118.5672</v>
      </c>
      <c r="W64">
        <v>118.5672</v>
      </c>
      <c r="X64">
        <v>118.5672</v>
      </c>
    </row>
    <row r="65" spans="1:24">
      <c r="A65" t="s">
        <v>106</v>
      </c>
      <c r="B65" t="s">
        <v>329</v>
      </c>
      <c r="E65" t="s">
        <v>330</v>
      </c>
      <c r="F65" t="s">
        <v>260</v>
      </c>
      <c r="G65">
        <v>-43034.141007505437</v>
      </c>
      <c r="H65">
        <v>-43034.141007505437</v>
      </c>
      <c r="I65">
        <v>-43034.141007505437</v>
      </c>
      <c r="J65">
        <v>-43034.141007505437</v>
      </c>
      <c r="K65">
        <v>-43034.141007505437</v>
      </c>
      <c r="L65">
        <v>-43034.141007505437</v>
      </c>
      <c r="M65">
        <v>-43034.141007505437</v>
      </c>
      <c r="N65">
        <v>-43034.141007505437</v>
      </c>
      <c r="O65">
        <v>-43034.141007505437</v>
      </c>
      <c r="P65">
        <v>-43034.141007505437</v>
      </c>
      <c r="Q65">
        <v>-43034.141007505437</v>
      </c>
      <c r="R65">
        <v>-43034.141007505437</v>
      </c>
      <c r="S65">
        <v>-43034.141007505437</v>
      </c>
      <c r="T65">
        <v>-43034.141007505437</v>
      </c>
      <c r="U65">
        <v>-43034.141007505437</v>
      </c>
      <c r="V65">
        <v>-43034.141007505437</v>
      </c>
      <c r="W65">
        <v>-43034.141007505437</v>
      </c>
      <c r="X65">
        <v>-43034.141007505437</v>
      </c>
    </row>
    <row r="66" spans="1:24">
      <c r="A66" t="s">
        <v>148</v>
      </c>
      <c r="B66" t="s">
        <v>323</v>
      </c>
      <c r="C66" t="s">
        <v>331</v>
      </c>
      <c r="E66" t="s">
        <v>332</v>
      </c>
      <c r="F66" t="s">
        <v>326</v>
      </c>
      <c r="G66">
        <v>1718.825872023252</v>
      </c>
      <c r="H66">
        <v>1727.4200013833679</v>
      </c>
      <c r="I66">
        <v>1770.6055014179519</v>
      </c>
      <c r="J66">
        <v>1814.8706389534011</v>
      </c>
      <c r="K66">
        <v>1860.2424049272361</v>
      </c>
      <c r="L66">
        <v>1906.7484650504171</v>
      </c>
      <c r="M66">
        <v>1954.4171766766769</v>
      </c>
      <c r="N66">
        <v>2003.2776060935939</v>
      </c>
      <c r="O66">
        <v>2053.359546245933</v>
      </c>
      <c r="P66">
        <v>2104.693534902081</v>
      </c>
      <c r="Q66">
        <v>2157.3108732746332</v>
      </c>
      <c r="R66">
        <v>2211.2436451064991</v>
      </c>
      <c r="S66">
        <v>2266.5247362341611</v>
      </c>
      <c r="T66">
        <v>2323.1878546400148</v>
      </c>
      <c r="U66">
        <v>2381.2675510060149</v>
      </c>
      <c r="V66">
        <v>2440.7992397811649</v>
      </c>
      <c r="W66">
        <v>2501.8192207756938</v>
      </c>
      <c r="X66">
        <v>2564.364701295086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A1"/>
  <sheetViews>
    <sheetView workbookViewId="0">
      <selection activeCell="G21" sqref="G21"/>
    </sheetView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54"/>
  <sheetViews>
    <sheetView tabSelected="1" zoomScale="85" zoomScaleNormal="85" workbookViewId="0">
      <selection activeCell="K18" sqref="K18"/>
    </sheetView>
  </sheetViews>
  <sheetFormatPr defaultRowHeight="15"/>
  <cols>
    <col min="2" max="2" width="22.42578125" bestFit="1" customWidth="1"/>
    <col min="3" max="3" width="10.5703125" bestFit="1" customWidth="1"/>
    <col min="4" max="4" width="19.28515625" bestFit="1" customWidth="1"/>
    <col min="5" max="5" width="69.42578125" customWidth="1"/>
    <col min="6" max="6" width="10.42578125" bestFit="1" customWidth="1"/>
    <col min="7" max="7" width="11.85546875" bestFit="1" customWidth="1"/>
    <col min="8" max="8" width="22.5703125" bestFit="1" customWidth="1"/>
    <col min="9" max="9" width="17.28515625" bestFit="1" customWidth="1"/>
    <col min="10" max="10" width="15" bestFit="1" customWidth="1"/>
    <col min="13" max="13" width="7.28515625" customWidth="1"/>
  </cols>
  <sheetData>
    <row r="2" spans="2:10">
      <c r="B2" s="9" t="s">
        <v>333</v>
      </c>
    </row>
    <row r="3" spans="2:10">
      <c r="B3" s="10" t="s">
        <v>334</v>
      </c>
      <c r="C3" s="10" t="s">
        <v>335</v>
      </c>
      <c r="D3" s="10" t="s">
        <v>336</v>
      </c>
      <c r="E3" s="10" t="s">
        <v>337</v>
      </c>
      <c r="F3" s="10" t="s">
        <v>338</v>
      </c>
      <c r="G3" s="10" t="s">
        <v>339</v>
      </c>
      <c r="H3" s="10" t="s">
        <v>340</v>
      </c>
      <c r="I3" s="10" t="s">
        <v>341</v>
      </c>
      <c r="J3" s="10" t="s">
        <v>342</v>
      </c>
    </row>
    <row r="4" spans="2:10" ht="27.6" customHeight="1" thickBot="1">
      <c r="B4" s="11" t="s">
        <v>343</v>
      </c>
      <c r="C4" s="11" t="s">
        <v>335</v>
      </c>
      <c r="D4" s="11" t="s">
        <v>344</v>
      </c>
      <c r="E4" s="11" t="s">
        <v>345</v>
      </c>
      <c r="F4" s="11" t="s">
        <v>346</v>
      </c>
      <c r="G4" s="11" t="s">
        <v>347</v>
      </c>
      <c r="H4" s="11" t="s">
        <v>348</v>
      </c>
      <c r="I4" s="11" t="s">
        <v>349</v>
      </c>
      <c r="J4" s="11" t="s">
        <v>350</v>
      </c>
    </row>
    <row r="5" spans="2:10">
      <c r="B5" t="str">
        <f t="array" ref="B5">IF(SUMPRODUCT(('ELC RESID'!O3:AF51)*('ELC RESID'!H3:H51=D5))=0,"*",IF(_xlfn.XLOOKUP($D5,'ELC RESID'!$H:$H,'ELC RESID'!$E:$E)="Storage","STG",IF(_xlfn.XLOOKUP($D5,'ELC RESID'!$H:$H,'ELC RESID'!$E:$E)="Import","IMP","ELE")))</f>
        <v>ELE</v>
      </c>
      <c r="C5" t="str">
        <f>IF(_xlfn.XLOOKUP(D5,'ELC RESID'!H:H,'ELC RESID'!B:B)="Decentralized","CITY","EGRID")</f>
        <v>EGRID</v>
      </c>
      <c r="D5" t="str">
        <f>'ELC RESID'!H3</f>
        <v>ELCNGAGRDCTU19</v>
      </c>
      <c r="E5" t="str">
        <f>'ELC RESID'!A3&amp;" "&amp;'ELC RESID'!B3&amp;" "&amp;'ELC RESID'!D3&amp;" "&amp;'ELC RESID'!F3&amp;" "&amp;'ELC RESID'!G3</f>
        <v>Electricity Grid 2019 Combustion turbine Natural gas</v>
      </c>
      <c r="F5" t="s">
        <v>260</v>
      </c>
      <c r="G5" t="s">
        <v>351</v>
      </c>
      <c r="H5" t="s">
        <v>352</v>
      </c>
    </row>
    <row r="6" spans="2:10">
      <c r="B6" t="str">
        <f t="array" ref="B6">IF(SUMPRODUCT(('ELC RESID'!O4:AF52)*('ELC RESID'!H4:H52=D6))=0,"*",IF(_xlfn.XLOOKUP($D6,'ELC RESID'!$H:$H,'ELC RESID'!$E:$E)="Storage","STG",IF(_xlfn.XLOOKUP($D6,'ELC RESID'!$H:$H,'ELC RESID'!$E:$E)="Import","IMP","ELE")))</f>
        <v>ELE</v>
      </c>
      <c r="C6" t="str">
        <f>IF(_xlfn.XLOOKUP(D6,'ELC RESID'!H:H,'ELC RESID'!B:B)="Decentralized","CITY","EGRID")</f>
        <v>EGRID</v>
      </c>
      <c r="D6" t="str">
        <f>'ELC RESID'!H4</f>
        <v>ELCNGAGRDSTU19</v>
      </c>
      <c r="E6" t="str">
        <f>'ELC RESID'!A4&amp;" "&amp;'ELC RESID'!B4&amp;" "&amp;'ELC RESID'!D4&amp;" "&amp;'ELC RESID'!F4&amp;" "&amp;'ELC RESID'!G4</f>
        <v>Electricity Grid 2019 Steam turbine Natural gas</v>
      </c>
      <c r="F6" t="s">
        <v>260</v>
      </c>
      <c r="G6" t="s">
        <v>351</v>
      </c>
      <c r="H6" t="s">
        <v>352</v>
      </c>
    </row>
    <row r="7" spans="2:10">
      <c r="B7" t="str">
        <f t="array" ref="B7">IF(SUMPRODUCT(('ELC RESID'!O5:AF53)*('ELC RESID'!H5:H53=D7))=0,"*",IF(_xlfn.XLOOKUP($D7,'ELC RESID'!$H:$H,'ELC RESID'!$E:$E)="Storage","STG",IF(_xlfn.XLOOKUP($D7,'ELC RESID'!$H:$H,'ELC RESID'!$E:$E)="Import","IMP","ELE")))</f>
        <v>ELE</v>
      </c>
      <c r="C7" t="str">
        <f>IF(_xlfn.XLOOKUP(D7,'ELC RESID'!H:H,'ELC RESID'!B:B)="Decentralized","CITY","EGRID")</f>
        <v>EGRID</v>
      </c>
      <c r="D7" t="str">
        <f>'ELC RESID'!H5</f>
        <v>ELCNGAGRDCCC19</v>
      </c>
      <c r="E7" t="str">
        <f>'ELC RESID'!A5&amp;" "&amp;'ELC RESID'!B5&amp;" "&amp;'ELC RESID'!D5&amp;" "&amp;'ELC RESID'!F5&amp;" "&amp;'ELC RESID'!G5</f>
        <v>Electricity Grid 2019 Combined cycle combustion turbine Natural gas</v>
      </c>
      <c r="F7" t="s">
        <v>260</v>
      </c>
      <c r="G7" t="s">
        <v>351</v>
      </c>
      <c r="H7" t="s">
        <v>352</v>
      </c>
    </row>
    <row r="8" spans="2:10">
      <c r="B8" t="str">
        <f t="array" ref="B8">IF(SUMPRODUCT(('ELC RESID'!O6:AF54)*('ELC RESID'!H6:H54=D8))=0,"*",IF(_xlfn.XLOOKUP($D8,'ELC RESID'!$H:$H,'ELC RESID'!$E:$E)="Storage","STG",IF(_xlfn.XLOOKUP($D8,'ELC RESID'!$H:$H,'ELC RESID'!$E:$E)="Import","IMP","ELE")))</f>
        <v>ELE</v>
      </c>
      <c r="C8" t="str">
        <f>IF(_xlfn.XLOOKUP(D8,'ELC RESID'!H:H,'ELC RESID'!B:B)="Decentralized","CITY","EGRID")</f>
        <v>EGRID</v>
      </c>
      <c r="D8" t="str">
        <f>'ELC RESID'!H6</f>
        <v>ELCNGAGRDCCS19</v>
      </c>
      <c r="E8" t="str">
        <f>'ELC RESID'!A6&amp;" "&amp;'ELC RESID'!B6&amp;" "&amp;'ELC RESID'!D6&amp;" "&amp;'ELC RESID'!F6&amp;" "&amp;'ELC RESID'!G6</f>
        <v>Electricity Grid 2019 Combined cycle steam turbine Natural gas</v>
      </c>
      <c r="F8" t="s">
        <v>260</v>
      </c>
      <c r="G8" t="s">
        <v>351</v>
      </c>
      <c r="H8" t="s">
        <v>352</v>
      </c>
    </row>
    <row r="9" spans="2:10">
      <c r="B9" t="str">
        <f t="array" ref="B9">IF(SUMPRODUCT(('ELC RESID'!O7:AF55)*('ELC RESID'!H7:H55=D9))=0,"*",IF(_xlfn.XLOOKUP($D9,'ELC RESID'!$H:$H,'ELC RESID'!$E:$E)="Storage","STG",IF(_xlfn.XLOOKUP($D9,'ELC RESID'!$H:$H,'ELC RESID'!$E:$E)="Import","IMP","ELE")))</f>
        <v>*</v>
      </c>
      <c r="C9" t="str">
        <f>IF(_xlfn.XLOOKUP(D9,'ELC RESID'!H:H,'ELC RESID'!B:B)="Decentralized","CITY","EGRID")</f>
        <v>EGRID</v>
      </c>
      <c r="D9" t="str">
        <f>'ELC RESID'!H7</f>
        <v>ELCNGAGRDACC19</v>
      </c>
      <c r="E9" t="str">
        <f>'ELC RESID'!A7&amp;" "&amp;'ELC RESID'!B7&amp;" "&amp;'ELC RESID'!D7&amp;" "&amp;'ELC RESID'!F7&amp;" "&amp;'ELC RESID'!G7</f>
        <v>Electricity Grid 2019 Combined cycle - single shaft Natural gas</v>
      </c>
      <c r="F9" t="s">
        <v>260</v>
      </c>
      <c r="G9" t="s">
        <v>351</v>
      </c>
      <c r="H9" t="s">
        <v>352</v>
      </c>
    </row>
    <row r="10" spans="2:10">
      <c r="B10" t="str">
        <f t="array" ref="B10">IF(SUMPRODUCT(('ELC RESID'!O8:AF56)*('ELC RESID'!H8:H56=D10))=0,"*",IF(_xlfn.XLOOKUP($D10,'ELC RESID'!$H:$H,'ELC RESID'!$E:$E)="Storage","STG",IF(_xlfn.XLOOKUP($D10,'ELC RESID'!$H:$H,'ELC RESID'!$E:$E)="Import","IMP","ELE")))</f>
        <v>*</v>
      </c>
      <c r="C10" t="str">
        <f>IF(_xlfn.XLOOKUP(D10,'ELC RESID'!H:H,'ELC RESID'!B:B)="Decentralized","CITY","EGRID")</f>
        <v>EGRID</v>
      </c>
      <c r="D10" t="str">
        <f>'ELC RESID'!H8</f>
        <v>ELCNGAGRDOTT19</v>
      </c>
      <c r="E10" t="str">
        <f>'ELC RESID'!A8&amp;" "&amp;'ELC RESID'!B8&amp;" "&amp;'ELC RESID'!D8&amp;" "&amp;'ELC RESID'!F8&amp;" "&amp;'ELC RESID'!G8</f>
        <v>Electricity Grid 2019 Other turbine Natural gas</v>
      </c>
      <c r="F10" t="s">
        <v>260</v>
      </c>
      <c r="G10" t="s">
        <v>351</v>
      </c>
      <c r="H10" t="s">
        <v>352</v>
      </c>
    </row>
    <row r="11" spans="2:10">
      <c r="B11" t="str">
        <f t="array" ref="B11">IF(SUMPRODUCT(('ELC RESID'!O9:AF57)*('ELC RESID'!H9:H57=D11))=0,"*",IF(_xlfn.XLOOKUP($D11,'ELC RESID'!$H:$H,'ELC RESID'!$E:$E)="Storage","STG",IF(_xlfn.XLOOKUP($D11,'ELC RESID'!$H:$H,'ELC RESID'!$E:$E)="Import","IMP","ELE")))</f>
        <v>ELE</v>
      </c>
      <c r="C11" t="str">
        <f>IF(_xlfn.XLOOKUP(D11,'ELC RESID'!H:H,'ELC RESID'!B:B)="Decentralized","CITY","EGRID")</f>
        <v>EGRID</v>
      </c>
      <c r="D11" t="str">
        <f>'ELC RESID'!H9</f>
        <v>ELCNGAGRDICE19</v>
      </c>
      <c r="E11" t="str">
        <f>'ELC RESID'!A9&amp;" "&amp;'ELC RESID'!B9&amp;" "&amp;'ELC RESID'!D9&amp;" "&amp;'ELC RESID'!F9&amp;" "&amp;'ELC RESID'!G9</f>
        <v>Electricity Grid 2019 Internal combustion engine Natural gas</v>
      </c>
      <c r="F11" t="s">
        <v>260</v>
      </c>
      <c r="G11" t="s">
        <v>351</v>
      </c>
      <c r="H11" t="s">
        <v>352</v>
      </c>
    </row>
    <row r="12" spans="2:10">
      <c r="B12" t="str">
        <f t="array" ref="B12">IF(SUMPRODUCT(('ELC RESID'!O10:AF58)*('ELC RESID'!H10:H58=D12))=0,"*",IF(_xlfn.XLOOKUP($D12,'ELC RESID'!$H:$H,'ELC RESID'!$E:$E)="Storage","STG",IF(_xlfn.XLOOKUP($D12,'ELC RESID'!$H:$H,'ELC RESID'!$E:$E)="Import","IMP","ELE")))</f>
        <v>ELE</v>
      </c>
      <c r="C12" t="str">
        <f>IF(_xlfn.XLOOKUP(D12,'ELC RESID'!H:H,'ELC RESID'!B:B)="Decentralized","CITY","EGRID")</f>
        <v>EGRID</v>
      </c>
      <c r="D12" t="str">
        <f>'ELC RESID'!H10</f>
        <v>ELCNGAGRDFCE19</v>
      </c>
      <c r="E12" t="str">
        <f>'ELC RESID'!A10&amp;" "&amp;'ELC RESID'!B10&amp;" "&amp;'ELC RESID'!D10&amp;" "&amp;'ELC RESID'!F10&amp;" "&amp;'ELC RESID'!G10</f>
        <v>Electricity Grid 2019 Fuel cell Natural gas</v>
      </c>
      <c r="F12" t="s">
        <v>260</v>
      </c>
      <c r="G12" t="s">
        <v>351</v>
      </c>
      <c r="H12" t="s">
        <v>352</v>
      </c>
    </row>
    <row r="13" spans="2:10">
      <c r="B13" t="str">
        <f t="array" ref="B13">IF(SUMPRODUCT(('ELC RESID'!O11:AF59)*('ELC RESID'!H11:H59=D13))=0,"*",IF(_xlfn.XLOOKUP($D13,'ELC RESID'!$H:$H,'ELC RESID'!$E:$E)="Storage","STG",IF(_xlfn.XLOOKUP($D13,'ELC RESID'!$H:$H,'ELC RESID'!$E:$E)="Import","IMP","ELE")))</f>
        <v>*</v>
      </c>
      <c r="C13" t="str">
        <f>IF(_xlfn.XLOOKUP(D13,'ELC RESID'!H:H,'ELC RESID'!B:B)="Decentralized","CITY","EGRID")</f>
        <v>EGRID</v>
      </c>
      <c r="D13" t="str">
        <f>'ELC RESID'!H11</f>
        <v>ELCRNGGRDCTU19</v>
      </c>
      <c r="E13" t="str">
        <f>'ELC RESID'!A11&amp;" "&amp;'ELC RESID'!B11&amp;" "&amp;'ELC RESID'!D11&amp;" "&amp;'ELC RESID'!F11&amp;" "&amp;'ELC RESID'!G11</f>
        <v>Electricity Grid 2019 Combustion turbine RNG</v>
      </c>
      <c r="F13" t="s">
        <v>260</v>
      </c>
      <c r="G13" t="s">
        <v>351</v>
      </c>
      <c r="H13" t="s">
        <v>352</v>
      </c>
    </row>
    <row r="14" spans="2:10">
      <c r="B14" t="str">
        <f t="array" ref="B14">IF(SUMPRODUCT(('ELC RESID'!O12:AF60)*('ELC RESID'!H12:H60=D14))=0,"*",IF(_xlfn.XLOOKUP($D14,'ELC RESID'!$H:$H,'ELC RESID'!$E:$E)="Storage","STG",IF(_xlfn.XLOOKUP($D14,'ELC RESID'!$H:$H,'ELC RESID'!$E:$E)="Import","IMP","ELE")))</f>
        <v>*</v>
      </c>
      <c r="C14" t="str">
        <f>IF(_xlfn.XLOOKUP(D14,'ELC RESID'!H:H,'ELC RESID'!B:B)="Decentralized","CITY","EGRID")</f>
        <v>EGRID</v>
      </c>
      <c r="D14" t="str">
        <f>'ELC RESID'!H12</f>
        <v>ELCRNGGRDSTU19</v>
      </c>
      <c r="E14" t="str">
        <f>'ELC RESID'!A12&amp;" "&amp;'ELC RESID'!B12&amp;" "&amp;'ELC RESID'!D12&amp;" "&amp;'ELC RESID'!F12&amp;" "&amp;'ELC RESID'!G12</f>
        <v>Electricity Grid 2019 Steam turbine RNG</v>
      </c>
      <c r="F14" t="s">
        <v>260</v>
      </c>
      <c r="G14" t="s">
        <v>351</v>
      </c>
      <c r="H14" t="s">
        <v>352</v>
      </c>
    </row>
    <row r="15" spans="2:10">
      <c r="B15" t="str">
        <f t="array" ref="B15">IF(SUMPRODUCT(('ELC RESID'!O13:AF61)*('ELC RESID'!H13:H61=D15))=0,"*",IF(_xlfn.XLOOKUP($D15,'ELC RESID'!$H:$H,'ELC RESID'!$E:$E)="Storage","STG",IF(_xlfn.XLOOKUP($D15,'ELC RESID'!$H:$H,'ELC RESID'!$E:$E)="Import","IMP","ELE")))</f>
        <v>*</v>
      </c>
      <c r="C15" t="str">
        <f>IF(_xlfn.XLOOKUP(D15,'ELC RESID'!H:H,'ELC RESID'!B:B)="Decentralized","CITY","EGRID")</f>
        <v>EGRID</v>
      </c>
      <c r="D15" t="str">
        <f>'ELC RESID'!H13</f>
        <v>ELCRNGGRDCCC19</v>
      </c>
      <c r="E15" t="str">
        <f>'ELC RESID'!A13&amp;" "&amp;'ELC RESID'!B13&amp;" "&amp;'ELC RESID'!D13&amp;" "&amp;'ELC RESID'!F13&amp;" "&amp;'ELC RESID'!G13</f>
        <v>Electricity Grid 2019 Combined cycle combustion turbine RNG</v>
      </c>
      <c r="F15" t="s">
        <v>260</v>
      </c>
      <c r="G15" t="s">
        <v>351</v>
      </c>
      <c r="H15" t="s">
        <v>352</v>
      </c>
    </row>
    <row r="16" spans="2:10">
      <c r="B16" t="str">
        <f t="array" ref="B16">IF(SUMPRODUCT(('ELC RESID'!O14:AF62)*('ELC RESID'!H14:H62=D16))=0,"*",IF(_xlfn.XLOOKUP($D16,'ELC RESID'!$H:$H,'ELC RESID'!$E:$E)="Storage","STG",IF(_xlfn.XLOOKUP($D16,'ELC RESID'!$H:$H,'ELC RESID'!$E:$E)="Import","IMP","ELE")))</f>
        <v>*</v>
      </c>
      <c r="C16" t="str">
        <f>IF(_xlfn.XLOOKUP(D16,'ELC RESID'!H:H,'ELC RESID'!B:B)="Decentralized","CITY","EGRID")</f>
        <v>EGRID</v>
      </c>
      <c r="D16" t="str">
        <f>'ELC RESID'!H14</f>
        <v>ELCRNGGRDCCS19</v>
      </c>
      <c r="E16" t="str">
        <f>'ELC RESID'!A14&amp;" "&amp;'ELC RESID'!B14&amp;" "&amp;'ELC RESID'!D14&amp;" "&amp;'ELC RESID'!F14&amp;" "&amp;'ELC RESID'!G14</f>
        <v>Electricity Grid 2019 Combined cycle steam turbine RNG</v>
      </c>
      <c r="F16" t="s">
        <v>260</v>
      </c>
      <c r="G16" t="s">
        <v>351</v>
      </c>
      <c r="H16" t="s">
        <v>352</v>
      </c>
    </row>
    <row r="17" spans="2:8">
      <c r="B17" t="str">
        <f t="array" ref="B17">IF(SUMPRODUCT(('ELC RESID'!O15:AF63)*('ELC RESID'!H15:H63=D17))=0,"*",IF(_xlfn.XLOOKUP($D17,'ELC RESID'!$H:$H,'ELC RESID'!$E:$E)="Storage","STG",IF(_xlfn.XLOOKUP($D17,'ELC RESID'!$H:$H,'ELC RESID'!$E:$E)="Import","IMP","ELE")))</f>
        <v>*</v>
      </c>
      <c r="C17" t="str">
        <f>IF(_xlfn.XLOOKUP(D17,'ELC RESID'!H:H,'ELC RESID'!B:B)="Decentralized","CITY","EGRID")</f>
        <v>EGRID</v>
      </c>
      <c r="D17" t="str">
        <f>'ELC RESID'!H15</f>
        <v>ELCRNGGRDICE19</v>
      </c>
      <c r="E17" t="str">
        <f>'ELC RESID'!A15&amp;" "&amp;'ELC RESID'!B15&amp;" "&amp;'ELC RESID'!D15&amp;" "&amp;'ELC RESID'!F15&amp;" "&amp;'ELC RESID'!G15</f>
        <v>Electricity Grid 2019 Internal combustion engine RNG</v>
      </c>
      <c r="F17" t="s">
        <v>260</v>
      </c>
      <c r="G17" t="s">
        <v>351</v>
      </c>
      <c r="H17" t="s">
        <v>352</v>
      </c>
    </row>
    <row r="18" spans="2:8">
      <c r="B18" t="str">
        <f t="array" ref="B18">IF(SUMPRODUCT(('ELC RESID'!O16:AF64)*('ELC RESID'!H16:H64=D18))=0,"*",IF(_xlfn.XLOOKUP($D18,'ELC RESID'!$H:$H,'ELC RESID'!$E:$E)="Storage","STG",IF(_xlfn.XLOOKUP($D18,'ELC RESID'!$H:$H,'ELC RESID'!$E:$E)="Import","IMP","ELE")))</f>
        <v>*</v>
      </c>
      <c r="C18" t="str">
        <f>IF(_xlfn.XLOOKUP(D18,'ELC RESID'!H:H,'ELC RESID'!B:B)="Decentralized","CITY","EGRID")</f>
        <v>EGRID</v>
      </c>
      <c r="D18" t="str">
        <f>'ELC RESID'!H16</f>
        <v>ELCRNGGRDFCE19</v>
      </c>
      <c r="E18" t="str">
        <f>'ELC RESID'!A16&amp;" "&amp;'ELC RESID'!B16&amp;" "&amp;'ELC RESID'!D16&amp;" "&amp;'ELC RESID'!F16&amp;" "&amp;'ELC RESID'!G16</f>
        <v>Electricity Grid 2019 Fuel cell RNG</v>
      </c>
      <c r="F18" t="s">
        <v>260</v>
      </c>
      <c r="G18" t="s">
        <v>351</v>
      </c>
      <c r="H18" t="s">
        <v>352</v>
      </c>
    </row>
    <row r="19" spans="2:8">
      <c r="B19" t="str">
        <f t="array" ref="B19">IF(SUMPRODUCT(('ELC RESID'!O17:AF65)*('ELC RESID'!H17:H65=D19))=0,"*",IF(_xlfn.XLOOKUP($D19,'ELC RESID'!$H:$H,'ELC RESID'!$E:$E)="Storage","STG",IF(_xlfn.XLOOKUP($D19,'ELC RESID'!$H:$H,'ELC RESID'!$E:$E)="Import","IMP","ELE")))</f>
        <v>ELE</v>
      </c>
      <c r="C19" t="str">
        <f>IF(_xlfn.XLOOKUP(D19,'ELC RESID'!H:H,'ELC RESID'!B:B)="Decentralized","CITY","EGRID")</f>
        <v>EGRID</v>
      </c>
      <c r="D19" t="str">
        <f>'ELC RESID'!H17</f>
        <v>ELCFOIGRDCTU19</v>
      </c>
      <c r="E19" t="str">
        <f>'ELC RESID'!A17&amp;" "&amp;'ELC RESID'!B17&amp;" "&amp;'ELC RESID'!D17&amp;" "&amp;'ELC RESID'!F17&amp;" "&amp;'ELC RESID'!G17</f>
        <v>Electricity Grid 2019 Combustion turbine Fuel oil</v>
      </c>
      <c r="F19" t="s">
        <v>260</v>
      </c>
      <c r="G19" t="s">
        <v>351</v>
      </c>
      <c r="H19" t="s">
        <v>352</v>
      </c>
    </row>
    <row r="20" spans="2:8">
      <c r="B20" t="str">
        <f t="array" ref="B20">IF(SUMPRODUCT(('ELC RESID'!O18:AF66)*('ELC RESID'!H18:H66=D20))=0,"*",IF(_xlfn.XLOOKUP($D20,'ELC RESID'!$H:$H,'ELC RESID'!$E:$E)="Storage","STG",IF(_xlfn.XLOOKUP($D20,'ELC RESID'!$H:$H,'ELC RESID'!$E:$E)="Import","IMP","ELE")))</f>
        <v>*</v>
      </c>
      <c r="C20" t="str">
        <f>IF(_xlfn.XLOOKUP(D20,'ELC RESID'!H:H,'ELC RESID'!B:B)="Decentralized","CITY","EGRID")</f>
        <v>EGRID</v>
      </c>
      <c r="D20" t="str">
        <f>'ELC RESID'!H18</f>
        <v>ELCFOIGRDSTU19</v>
      </c>
      <c r="E20" t="str">
        <f>'ELC RESID'!A18&amp;" "&amp;'ELC RESID'!B18&amp;" "&amp;'ELC RESID'!D18&amp;" "&amp;'ELC RESID'!F18&amp;" "&amp;'ELC RESID'!G18</f>
        <v>Electricity Grid 2019 Steam turbine Fuel oil</v>
      </c>
      <c r="F20" t="s">
        <v>260</v>
      </c>
      <c r="G20" t="s">
        <v>351</v>
      </c>
      <c r="H20" t="s">
        <v>352</v>
      </c>
    </row>
    <row r="21" spans="2:8">
      <c r="B21" t="str">
        <f t="array" ref="B21">IF(SUMPRODUCT(('ELC RESID'!O19:AF67)*('ELC RESID'!H19:H67=D21))=0,"*",IF(_xlfn.XLOOKUP($D21,'ELC RESID'!$H:$H,'ELC RESID'!$E:$E)="Storage","STG",IF(_xlfn.XLOOKUP($D21,'ELC RESID'!$H:$H,'ELC RESID'!$E:$E)="Import","IMP","ELE")))</f>
        <v>*</v>
      </c>
      <c r="C21" t="str">
        <f>IF(_xlfn.XLOOKUP(D21,'ELC RESID'!H:H,'ELC RESID'!B:B)="Decentralized","CITY","EGRID")</f>
        <v>EGRID</v>
      </c>
      <c r="D21" t="str">
        <f>'ELC RESID'!H19</f>
        <v>ELCFOIGRDCCC19</v>
      </c>
      <c r="E21" t="str">
        <f>'ELC RESID'!A19&amp;" "&amp;'ELC RESID'!B19&amp;" "&amp;'ELC RESID'!D19&amp;" "&amp;'ELC RESID'!F19&amp;" "&amp;'ELC RESID'!G19</f>
        <v>Electricity Grid 2019 Combined cycle combustion turbine Fuel oil</v>
      </c>
      <c r="F21" t="s">
        <v>260</v>
      </c>
      <c r="G21" t="s">
        <v>351</v>
      </c>
      <c r="H21" t="s">
        <v>352</v>
      </c>
    </row>
    <row r="22" spans="2:8">
      <c r="B22" t="str">
        <f t="array" ref="B22">IF(SUMPRODUCT(('ELC RESID'!O20:AF68)*('ELC RESID'!H20:H68=D22))=0,"*",IF(_xlfn.XLOOKUP($D22,'ELC RESID'!$H:$H,'ELC RESID'!$E:$E)="Storage","STG",IF(_xlfn.XLOOKUP($D22,'ELC RESID'!$H:$H,'ELC RESID'!$E:$E)="Import","IMP","ELE")))</f>
        <v>*</v>
      </c>
      <c r="C22" t="str">
        <f>IF(_xlfn.XLOOKUP(D22,'ELC RESID'!H:H,'ELC RESID'!B:B)="Decentralized","CITY","EGRID")</f>
        <v>EGRID</v>
      </c>
      <c r="D22" t="str">
        <f>'ELC RESID'!H20</f>
        <v>ELCFOIGRDCCS19</v>
      </c>
      <c r="E22" t="str">
        <f>'ELC RESID'!A20&amp;" "&amp;'ELC RESID'!B20&amp;" "&amp;'ELC RESID'!D20&amp;" "&amp;'ELC RESID'!F20&amp;" "&amp;'ELC RESID'!G20</f>
        <v>Electricity Grid 2019 Combined cycle steam turbine Fuel oil</v>
      </c>
      <c r="F22" t="s">
        <v>260</v>
      </c>
      <c r="G22" t="s">
        <v>351</v>
      </c>
      <c r="H22" t="s">
        <v>352</v>
      </c>
    </row>
    <row r="23" spans="2:8">
      <c r="B23" t="str">
        <f t="array" ref="B23">IF(SUMPRODUCT(('ELC RESID'!O21:AF69)*('ELC RESID'!H21:H69=D23))=0,"*",IF(_xlfn.XLOOKUP($D23,'ELC RESID'!$H:$H,'ELC RESID'!$E:$E)="Storage","STG",IF(_xlfn.XLOOKUP($D23,'ELC RESID'!$H:$H,'ELC RESID'!$E:$E)="Import","IMP","ELE")))</f>
        <v>*</v>
      </c>
      <c r="C23" t="str">
        <f>IF(_xlfn.XLOOKUP(D23,'ELC RESID'!H:H,'ELC RESID'!B:B)="Decentralized","CITY","EGRID")</f>
        <v>EGRID</v>
      </c>
      <c r="D23" t="str">
        <f>'ELC RESID'!H21</f>
        <v>ELCFOIGRDOTT19</v>
      </c>
      <c r="E23" t="str">
        <f>'ELC RESID'!A21&amp;" "&amp;'ELC RESID'!B21&amp;" "&amp;'ELC RESID'!D21&amp;" "&amp;'ELC RESID'!F21&amp;" "&amp;'ELC RESID'!G21</f>
        <v>Electricity Grid 2019 Other turbine Fuel oil</v>
      </c>
      <c r="F23" t="s">
        <v>260</v>
      </c>
      <c r="G23" t="s">
        <v>351</v>
      </c>
      <c r="H23" t="s">
        <v>352</v>
      </c>
    </row>
    <row r="24" spans="2:8">
      <c r="B24" t="str">
        <f t="array" ref="B24">IF(SUMPRODUCT(('ELC RESID'!O22:AF70)*('ELC RESID'!H22:H70=D24))=0,"*",IF(_xlfn.XLOOKUP($D24,'ELC RESID'!$H:$H,'ELC RESID'!$E:$E)="Storage","STG",IF(_xlfn.XLOOKUP($D24,'ELC RESID'!$H:$H,'ELC RESID'!$E:$E)="Import","IMP","ELE")))</f>
        <v>ELE</v>
      </c>
      <c r="C24" t="str">
        <f>IF(_xlfn.XLOOKUP(D24,'ELC RESID'!H:H,'ELC RESID'!B:B)="Decentralized","CITY","EGRID")</f>
        <v>EGRID</v>
      </c>
      <c r="D24" t="str">
        <f>'ELC RESID'!H22</f>
        <v>ELCFOIGRDICE19</v>
      </c>
      <c r="E24" t="str">
        <f>'ELC RESID'!A22&amp;" "&amp;'ELC RESID'!B22&amp;" "&amp;'ELC RESID'!D22&amp;" "&amp;'ELC RESID'!F22&amp;" "&amp;'ELC RESID'!G22</f>
        <v>Electricity Grid 2019 Internal combustion engine Fuel oil</v>
      </c>
      <c r="F24" t="s">
        <v>260</v>
      </c>
      <c r="G24" t="s">
        <v>351</v>
      </c>
      <c r="H24" t="s">
        <v>352</v>
      </c>
    </row>
    <row r="25" spans="2:8">
      <c r="B25" t="str">
        <f t="array" ref="B25">IF(SUMPRODUCT(('ELC RESID'!O23:AF71)*('ELC RESID'!H23:H71=D25))=0,"*",IF(_xlfn.XLOOKUP($D25,'ELC RESID'!$H:$H,'ELC RESID'!$E:$E)="Storage","STG",IF(_xlfn.XLOOKUP($D25,'ELC RESID'!$H:$H,'ELC RESID'!$E:$E)="Import","IMP","ELE")))</f>
        <v>*</v>
      </c>
      <c r="C25" t="str">
        <f>IF(_xlfn.XLOOKUP(D25,'ELC RESID'!H:H,'ELC RESID'!B:B)="Decentralized","CITY","EGRID")</f>
        <v>EGRID</v>
      </c>
      <c r="D25" t="str">
        <f>'ELC RESID'!H23</f>
        <v>ELCCOAGRDSTU19</v>
      </c>
      <c r="E25" t="str">
        <f>'ELC RESID'!A23&amp;" "&amp;'ELC RESID'!B23&amp;" "&amp;'ELC RESID'!D23&amp;" "&amp;'ELC RESID'!F23&amp;" "&amp;'ELC RESID'!G23</f>
        <v>Electricity Grid 2019 Steam turbine Coal</v>
      </c>
      <c r="F25" t="s">
        <v>260</v>
      </c>
      <c r="G25" t="s">
        <v>351</v>
      </c>
      <c r="H25" t="s">
        <v>352</v>
      </c>
    </row>
    <row r="26" spans="2:8">
      <c r="B26" t="str">
        <f t="array" ref="B26">IF(SUMPRODUCT(('ELC RESID'!O24:AF72)*('ELC RESID'!H24:H72=D26))=0,"*",IF(_xlfn.XLOOKUP($D26,'ELC RESID'!$H:$H,'ELC RESID'!$E:$E)="Storage","STG",IF(_xlfn.XLOOKUP($D26,'ELC RESID'!$H:$H,'ELC RESID'!$E:$E)="Import","IMP","ELE")))</f>
        <v>*</v>
      </c>
      <c r="C26" t="str">
        <f>IF(_xlfn.XLOOKUP(D26,'ELC RESID'!H:H,'ELC RESID'!B:B)="Decentralized","CITY","EGRID")</f>
        <v>EGRID</v>
      </c>
      <c r="D26" t="str">
        <f>'ELC RESID'!H24</f>
        <v>ELCCOAGRDOTT19</v>
      </c>
      <c r="E26" t="str">
        <f>'ELC RESID'!A24&amp;" "&amp;'ELC RESID'!B24&amp;" "&amp;'ELC RESID'!D24&amp;" "&amp;'ELC RESID'!F24&amp;" "&amp;'ELC RESID'!G24</f>
        <v>Electricity Grid 2019 Other turbine Coal</v>
      </c>
      <c r="F26" t="s">
        <v>260</v>
      </c>
      <c r="G26" t="s">
        <v>351</v>
      </c>
      <c r="H26" t="s">
        <v>352</v>
      </c>
    </row>
    <row r="27" spans="2:8">
      <c r="B27" t="str">
        <f t="array" ref="B27">IF(SUMPRODUCT(('ELC RESID'!O25:AF73)*('ELC RESID'!H25:H73=D27))=0,"*",IF(_xlfn.XLOOKUP($D27,'ELC RESID'!$H:$H,'ELC RESID'!$E:$E)="Storage","STG",IF(_xlfn.XLOOKUP($D27,'ELC RESID'!$H:$H,'ELC RESID'!$E:$E)="Import","IMP","ELE")))</f>
        <v>*</v>
      </c>
      <c r="C27" t="str">
        <f>IF(_xlfn.XLOOKUP(D27,'ELC RESID'!H:H,'ELC RESID'!B:B)="Decentralized","CITY","EGRID")</f>
        <v>EGRID</v>
      </c>
      <c r="D27" t="str">
        <f>'ELC RESID'!H25</f>
        <v>ELCBIOGRDSTU19</v>
      </c>
      <c r="E27" t="str">
        <f>'ELC RESID'!A25&amp;" "&amp;'ELC RESID'!B25&amp;" "&amp;'ELC RESID'!D25&amp;" "&amp;'ELC RESID'!F25&amp;" "&amp;'ELC RESID'!G25</f>
        <v>Electricity Grid 2019 Steam turbine Biomass</v>
      </c>
      <c r="F27" t="s">
        <v>260</v>
      </c>
      <c r="G27" t="s">
        <v>351</v>
      </c>
      <c r="H27" t="s">
        <v>352</v>
      </c>
    </row>
    <row r="28" spans="2:8">
      <c r="B28" t="str">
        <f t="array" ref="B28">IF(SUMPRODUCT(('ELC RESID'!O26:AF74)*('ELC RESID'!H26:H74=D28))=0,"*",IF(_xlfn.XLOOKUP($D28,'ELC RESID'!$H:$H,'ELC RESID'!$E:$E)="Storage","STG",IF(_xlfn.XLOOKUP($D28,'ELC RESID'!$H:$H,'ELC RESID'!$E:$E)="Import","IMP","ELE")))</f>
        <v>*</v>
      </c>
      <c r="C28" t="str">
        <f>IF(_xlfn.XLOOKUP(D28,'ELC RESID'!H:H,'ELC RESID'!B:B)="Decentralized","CITY","EGRID")</f>
        <v>EGRID</v>
      </c>
      <c r="D28" t="str">
        <f>'ELC RESID'!H26</f>
        <v>ELCBIOGRDOTT19</v>
      </c>
      <c r="E28" t="str">
        <f>'ELC RESID'!A26&amp;" "&amp;'ELC RESID'!B26&amp;" "&amp;'ELC RESID'!D26&amp;" "&amp;'ELC RESID'!F26&amp;" "&amp;'ELC RESID'!G26</f>
        <v>Electricity Grid 2019 Other turbine Biomass</v>
      </c>
      <c r="F28" t="s">
        <v>260</v>
      </c>
      <c r="G28" t="s">
        <v>351</v>
      </c>
      <c r="H28" t="s">
        <v>352</v>
      </c>
    </row>
    <row r="29" spans="2:8">
      <c r="B29" t="str">
        <f t="array" ref="B29">IF(SUMPRODUCT(('ELC RESID'!O27:AF75)*('ELC RESID'!H27:H75=D29))=0,"*",IF(_xlfn.XLOOKUP($D29,'ELC RESID'!$H:$H,'ELC RESID'!$E:$E)="Storage","STG",IF(_xlfn.XLOOKUP($D29,'ELC RESID'!$H:$H,'ELC RESID'!$E:$E)="Import","IMP","ELE")))</f>
        <v>*</v>
      </c>
      <c r="C29" t="str">
        <f>IF(_xlfn.XLOOKUP(D29,'ELC RESID'!H:H,'ELC RESID'!B:B)="Decentralized","CITY","EGRID")</f>
        <v>EGRID</v>
      </c>
      <c r="D29" t="str">
        <f>'ELC RESID'!H27</f>
        <v>ELCOTBGRDICE19</v>
      </c>
      <c r="E29" t="str">
        <f>'ELC RESID'!A27&amp;" "&amp;'ELC RESID'!B27&amp;" "&amp;'ELC RESID'!D27&amp;" "&amp;'ELC RESID'!F27&amp;" "&amp;'ELC RESID'!G27</f>
        <v>Electricity Grid 2019 Internal combustion engine Other bioenergy</v>
      </c>
      <c r="F29" t="s">
        <v>260</v>
      </c>
      <c r="G29" t="s">
        <v>351</v>
      </c>
      <c r="H29" t="s">
        <v>352</v>
      </c>
    </row>
    <row r="30" spans="2:8">
      <c r="B30" t="str">
        <f t="array" ref="B30">IF(SUMPRODUCT(('ELC RESID'!O28:AF76)*('ELC RESID'!H28:H76=D30))=0,"*",IF(_xlfn.XLOOKUP($D30,'ELC RESID'!$H:$H,'ELC RESID'!$E:$E)="Storage","STG",IF(_xlfn.XLOOKUP($D30,'ELC RESID'!$H:$H,'ELC RESID'!$E:$E)="Import","IMP","ELE")))</f>
        <v>ELE</v>
      </c>
      <c r="C30" t="str">
        <f>IF(_xlfn.XLOOKUP(D30,'ELC RESID'!H:H,'ELC RESID'!B:B)="Decentralized","CITY","EGRID")</f>
        <v>EGRID</v>
      </c>
      <c r="D30" t="str">
        <f>'ELC RESID'!H28</f>
        <v>ELCWASGRDSTU19</v>
      </c>
      <c r="E30" t="str">
        <f>'ELC RESID'!A28&amp;" "&amp;'ELC RESID'!B28&amp;" "&amp;'ELC RESID'!D28&amp;" "&amp;'ELC RESID'!F28&amp;" "&amp;'ELC RESID'!G28</f>
        <v>Electricity Grid 2019 Steam turbine Waste</v>
      </c>
      <c r="F30" t="s">
        <v>260</v>
      </c>
      <c r="G30" t="s">
        <v>351</v>
      </c>
      <c r="H30" t="s">
        <v>352</v>
      </c>
    </row>
    <row r="31" spans="2:8">
      <c r="B31" t="str">
        <f t="array" ref="B31">IF(SUMPRODUCT(('ELC RESID'!O29:AF77)*('ELC RESID'!H29:H77=D31))=0,"*",IF(_xlfn.XLOOKUP($D31,'ELC RESID'!$H:$H,'ELC RESID'!$E:$E)="Storage","STG",IF(_xlfn.XLOOKUP($D31,'ELC RESID'!$H:$H,'ELC RESID'!$E:$E)="Import","IMP","ELE")))</f>
        <v>*</v>
      </c>
      <c r="C31" t="str">
        <f>IF(_xlfn.XLOOKUP(D31,'ELC RESID'!H:H,'ELC RESID'!B:B)="Decentralized","CITY","EGRID")</f>
        <v>EGRID</v>
      </c>
      <c r="D31" t="str">
        <f>'ELC RESID'!H29</f>
        <v>ELCHETGRDSTU19</v>
      </c>
      <c r="E31" t="str">
        <f>'ELC RESID'!A29&amp;" "&amp;'ELC RESID'!B29&amp;" "&amp;'ELC RESID'!D29&amp;" "&amp;'ELC RESID'!F29&amp;" "&amp;'ELC RESID'!G29</f>
        <v>Electricity Grid 2019 Steam turbine Waste heat</v>
      </c>
      <c r="F31" t="s">
        <v>260</v>
      </c>
      <c r="G31" t="s">
        <v>351</v>
      </c>
      <c r="H31" t="s">
        <v>352</v>
      </c>
    </row>
    <row r="32" spans="2:8">
      <c r="B32" t="str">
        <f t="array" ref="B32">IF(SUMPRODUCT(('ELC RESID'!O30:AF78)*('ELC RESID'!H30:H78=D32))=0,"*",IF(_xlfn.XLOOKUP($D32,'ELC RESID'!$H:$H,'ELC RESID'!$E:$E)="Storage","STG",IF(_xlfn.XLOOKUP($D32,'ELC RESID'!$H:$H,'ELC RESID'!$E:$E)="Import","IMP","ELE")))</f>
        <v>*</v>
      </c>
      <c r="C32" t="str">
        <f>IF(_xlfn.XLOOKUP(D32,'ELC RESID'!H:H,'ELC RESID'!B:B)="Decentralized","CITY","EGRID")</f>
        <v>EGRID</v>
      </c>
      <c r="D32" t="str">
        <f>'ELC RESID'!H30</f>
        <v>ELCHETGRDOTT19</v>
      </c>
      <c r="E32" t="str">
        <f>'ELC RESID'!A30&amp;" "&amp;'ELC RESID'!B30&amp;" "&amp;'ELC RESID'!D30&amp;" "&amp;'ELC RESID'!F30&amp;" "&amp;'ELC RESID'!G30</f>
        <v>Electricity Grid 2019 Other turbine Waste heat</v>
      </c>
      <c r="F32" t="s">
        <v>260</v>
      </c>
      <c r="G32" t="s">
        <v>351</v>
      </c>
      <c r="H32" t="s">
        <v>352</v>
      </c>
    </row>
    <row r="33" spans="2:8">
      <c r="B33" t="str">
        <f t="array" ref="B33">IF(SUMPRODUCT(('ELC RESID'!O31:AF79)*('ELC RESID'!H31:H79=D33))=0,"*",IF(_xlfn.XLOOKUP($D33,'ELC RESID'!$H:$H,'ELC RESID'!$E:$E)="Storage","STG",IF(_xlfn.XLOOKUP($D33,'ELC RESID'!$H:$H,'ELC RESID'!$E:$E)="Import","IMP","ELE")))</f>
        <v>*</v>
      </c>
      <c r="C33" t="str">
        <f>IF(_xlfn.XLOOKUP(D33,'ELC RESID'!H:H,'ELC RESID'!B:B)="Decentralized","CITY","EGRID")</f>
        <v>EGRID</v>
      </c>
      <c r="D33" t="str">
        <f>'ELC RESID'!H31</f>
        <v>ELCSTMGRDSTU19</v>
      </c>
      <c r="E33" t="str">
        <f>'ELC RESID'!A31&amp;" "&amp;'ELC RESID'!B31&amp;" "&amp;'ELC RESID'!D31&amp;" "&amp;'ELC RESID'!F31&amp;" "&amp;'ELC RESID'!G31</f>
        <v>Electricity Grid 2019 Steam turbine Steam</v>
      </c>
      <c r="F33" t="s">
        <v>260</v>
      </c>
      <c r="G33" t="s">
        <v>351</v>
      </c>
      <c r="H33" t="s">
        <v>352</v>
      </c>
    </row>
    <row r="34" spans="2:8">
      <c r="B34" t="str">
        <f t="array" ref="B34">IF(SUMPRODUCT(('ELC RESID'!O32:AF80)*('ELC RESID'!H32:H80=D34))=0,"*",IF(_xlfn.XLOOKUP($D34,'ELC RESID'!$H:$H,'ELC RESID'!$E:$E)="Storage","STG",IF(_xlfn.XLOOKUP($D34,'ELC RESID'!$H:$H,'ELC RESID'!$E:$E)="Import","IMP","ELE")))</f>
        <v>ELE</v>
      </c>
      <c r="C34" t="str">
        <f>IF(_xlfn.XLOOKUP(D34,'ELC RESID'!H:H,'ELC RESID'!B:B)="Decentralized","CITY","EGRID")</f>
        <v>EGRID</v>
      </c>
      <c r="D34" t="str">
        <f>'ELC RESID'!H32</f>
        <v>ELCURNGRDSTU19</v>
      </c>
      <c r="E34" t="str">
        <f>'ELC RESID'!A32&amp;" "&amp;'ELC RESID'!B32&amp;" "&amp;'ELC RESID'!D32&amp;" "&amp;'ELC RESID'!F32&amp;" "&amp;'ELC RESID'!G32</f>
        <v>Electricity Grid 2019 Steam turbine Uranium</v>
      </c>
      <c r="F34" t="s">
        <v>260</v>
      </c>
      <c r="G34" t="s">
        <v>351</v>
      </c>
      <c r="H34" t="s">
        <v>352</v>
      </c>
    </row>
    <row r="35" spans="2:8">
      <c r="B35" t="str">
        <f t="array" ref="B35">IF(SUMPRODUCT(('ELC RESID'!O33:AF81)*('ELC RESID'!H33:H81=D35))=0,"*",IF(_xlfn.XLOOKUP($D35,'ELC RESID'!$H:$H,'ELC RESID'!$E:$E)="Storage","STG",IF(_xlfn.XLOOKUP($D35,'ELC RESID'!$H:$H,'ELC RESID'!$E:$E)="Import","IMP","ELE")))</f>
        <v>*</v>
      </c>
      <c r="C35" t="str">
        <f>IF(_xlfn.XLOOKUP(D35,'ELC RESID'!H:H,'ELC RESID'!B:B)="Decentralized","CITY","EGRID")</f>
        <v>EGRID</v>
      </c>
      <c r="D35" t="str">
        <f>'ELC RESID'!H33</f>
        <v>ELCSTGGRDCES19</v>
      </c>
      <c r="E35" t="str">
        <f>'ELC RESID'!A33&amp;" "&amp;'ELC RESID'!B33&amp;" "&amp;'ELC RESID'!D33&amp;" "&amp;'ELC RESID'!F33&amp;" "&amp;'ELC RESID'!G33</f>
        <v>Electricity Grid 2019 Compressed air energy storage Storage</v>
      </c>
      <c r="F35" t="s">
        <v>260</v>
      </c>
      <c r="G35" t="s">
        <v>351</v>
      </c>
      <c r="H35" t="s">
        <v>352</v>
      </c>
    </row>
    <row r="36" spans="2:8">
      <c r="B36" t="str">
        <f t="array" ref="B36">IF(SUMPRODUCT(('ELC RESID'!O34:AF82)*('ELC RESID'!H34:H82=D36))=0,"*",IF(_xlfn.XLOOKUP($D36,'ELC RESID'!$H:$H,'ELC RESID'!$E:$E)="Storage","STG",IF(_xlfn.XLOOKUP($D36,'ELC RESID'!$H:$H,'ELC RESID'!$E:$E)="Import","IMP","ELE")))</f>
        <v>*</v>
      </c>
      <c r="C36" t="str">
        <f>IF(_xlfn.XLOOKUP(D36,'ELC RESID'!H:H,'ELC RESID'!B:B)="Decentralized","CITY","EGRID")</f>
        <v>EGRID</v>
      </c>
      <c r="D36" t="str">
        <f>'ELC RESID'!H34</f>
        <v>ELCSTGGRDFES19</v>
      </c>
      <c r="E36" t="str">
        <f>'ELC RESID'!A34&amp;" "&amp;'ELC RESID'!B34&amp;" "&amp;'ELC RESID'!D34&amp;" "&amp;'ELC RESID'!F34&amp;" "&amp;'ELC RESID'!G34</f>
        <v>Electricity Grid 2019 Flywheel energy storage Storage</v>
      </c>
      <c r="F36" t="s">
        <v>260</v>
      </c>
      <c r="G36" t="s">
        <v>351</v>
      </c>
      <c r="H36" t="s">
        <v>352</v>
      </c>
    </row>
    <row r="37" spans="2:8">
      <c r="B37" t="str">
        <f t="array" ref="B37">IF(SUMPRODUCT(('ELC RESID'!O35:AF83)*('ELC RESID'!H35:H83=D37))=0,"*",IF(_xlfn.XLOOKUP($D37,'ELC RESID'!$H:$H,'ELC RESID'!$E:$E)="Storage","STG",IF(_xlfn.XLOOKUP($D37,'ELC RESID'!$H:$H,'ELC RESID'!$E:$E)="Import","IMP","ELE")))</f>
        <v>*</v>
      </c>
      <c r="C37" t="str">
        <f>IF(_xlfn.XLOOKUP(D37,'ELC RESID'!H:H,'ELC RESID'!B:B)="Decentralized","CITY","EGRID")</f>
        <v>EGRID</v>
      </c>
      <c r="D37" t="str">
        <f>'ELC RESID'!H35</f>
        <v>ELCSTGGRDBES19</v>
      </c>
      <c r="E37" t="str">
        <f>'ELC RESID'!A35&amp;" "&amp;'ELC RESID'!B35&amp;" "&amp;'ELC RESID'!D35&amp;" "&amp;'ELC RESID'!F35&amp;" "&amp;'ELC RESID'!G35</f>
        <v>Electricity Grid 2019 Battery energy storage Storage</v>
      </c>
      <c r="F37" t="s">
        <v>260</v>
      </c>
      <c r="G37" t="s">
        <v>351</v>
      </c>
      <c r="H37" t="s">
        <v>352</v>
      </c>
    </row>
    <row r="38" spans="2:8">
      <c r="B38" t="str">
        <f t="array" ref="B38">IF(SUMPRODUCT(('ELC RESID'!O36:AF84)*('ELC RESID'!H36:H84=D38))=0,"*",IF(_xlfn.XLOOKUP($D38,'ELC RESID'!$H:$H,'ELC RESID'!$E:$E)="Storage","STG",IF(_xlfn.XLOOKUP($D38,'ELC RESID'!$H:$H,'ELC RESID'!$E:$E)="Import","IMP","ELE")))</f>
        <v>*</v>
      </c>
      <c r="C38" t="str">
        <f>IF(_xlfn.XLOOKUP(D38,'ELC RESID'!H:H,'ELC RESID'!B:B)="Decentralized","CITY","EGRID")</f>
        <v>EGRID</v>
      </c>
      <c r="D38" t="str">
        <f>'ELC RESID'!H36</f>
        <v>ELCGEOGRDSTU19</v>
      </c>
      <c r="E38" t="str">
        <f>'ELC RESID'!A36&amp;" "&amp;'ELC RESID'!B36&amp;" "&amp;'ELC RESID'!D36&amp;" "&amp;'ELC RESID'!F36&amp;" "&amp;'ELC RESID'!G36</f>
        <v>Electricity Grid 2019 Steam turbine Geothermal</v>
      </c>
      <c r="F38" t="s">
        <v>260</v>
      </c>
      <c r="G38" t="s">
        <v>351</v>
      </c>
      <c r="H38" t="s">
        <v>352</v>
      </c>
    </row>
    <row r="39" spans="2:8">
      <c r="B39" t="str">
        <f t="array" ref="B39">IF(SUMPRODUCT(('ELC RESID'!O37:AF85)*('ELC RESID'!H37:H85=D39))=0,"*",IF(_xlfn.XLOOKUP($D39,'ELC RESID'!$H:$H,'ELC RESID'!$E:$E)="Storage","STG",IF(_xlfn.XLOOKUP($D39,'ELC RESID'!$H:$H,'ELC RESID'!$E:$E)="Import","IMP","ELE")))</f>
        <v>*</v>
      </c>
      <c r="C39" t="str">
        <f>IF(_xlfn.XLOOKUP(D39,'ELC RESID'!H:H,'ELC RESID'!B:B)="Decentralized","CITY","EGRID")</f>
        <v>EGRID</v>
      </c>
      <c r="D39" t="str">
        <f>'ELC RESID'!H37</f>
        <v>ELCGEOGRDBCT19</v>
      </c>
      <c r="E39" t="str">
        <f>'ELC RESID'!A37&amp;" "&amp;'ELC RESID'!B37&amp;" "&amp;'ELC RESID'!D37&amp;" "&amp;'ELC RESID'!F37&amp;" "&amp;'ELC RESID'!G37</f>
        <v>Electricity Grid 2019 Binary cycle turbine Geothermal</v>
      </c>
      <c r="F39" t="s">
        <v>260</v>
      </c>
      <c r="G39" t="s">
        <v>351</v>
      </c>
      <c r="H39" t="s">
        <v>352</v>
      </c>
    </row>
    <row r="40" spans="2:8">
      <c r="B40" t="str">
        <f t="array" ref="B40">IF(SUMPRODUCT(('ELC RESID'!O38:AF86)*('ELC RESID'!H38:H86=D40))=0,"*",IF(_xlfn.XLOOKUP($D40,'ELC RESID'!$H:$H,'ELC RESID'!$E:$E)="Storage","STG",IF(_xlfn.XLOOKUP($D40,'ELC RESID'!$H:$H,'ELC RESID'!$E:$E)="Import","IMP","ELE")))</f>
        <v>*</v>
      </c>
      <c r="C40" t="str">
        <f>IF(_xlfn.XLOOKUP(D40,'ELC RESID'!H:H,'ELC RESID'!B:B)="Decentralized","CITY","EGRID")</f>
        <v>EGRID</v>
      </c>
      <c r="D40" t="str">
        <f>'ELC RESID'!H38</f>
        <v>ELCWNDGRDWON19</v>
      </c>
      <c r="E40" t="str">
        <f>'ELC RESID'!A38&amp;" "&amp;'ELC RESID'!B38&amp;" "&amp;'ELC RESID'!D38&amp;" "&amp;'ELC RESID'!F38&amp;" "&amp;'ELC RESID'!G38</f>
        <v>Electricity Grid 2019 Wind turbine - onshore  Wind</v>
      </c>
      <c r="F40" t="s">
        <v>260</v>
      </c>
      <c r="G40" t="s">
        <v>351</v>
      </c>
      <c r="H40" t="s">
        <v>352</v>
      </c>
    </row>
    <row r="41" spans="2:8">
      <c r="B41" t="str">
        <f t="array" ref="B41">IF(SUMPRODUCT(('ELC RESID'!O39:AF87)*('ELC RESID'!H39:H87=D41))=0,"*",IF(_xlfn.XLOOKUP($D41,'ELC RESID'!$H:$H,'ELC RESID'!$E:$E)="Storage","STG",IF(_xlfn.XLOOKUP($D41,'ELC RESID'!$H:$H,'ELC RESID'!$E:$E)="Import","IMP","ELE")))</f>
        <v>*</v>
      </c>
      <c r="C41" t="str">
        <f>IF(_xlfn.XLOOKUP(D41,'ELC RESID'!H:H,'ELC RESID'!B:B)="Decentralized","CITY","EGRID")</f>
        <v>EGRID</v>
      </c>
      <c r="D41" t="str">
        <f>'ELC RESID'!H39</f>
        <v>ELCWNDGRDWOF19</v>
      </c>
      <c r="E41" t="str">
        <f>'ELC RESID'!A39&amp;" "&amp;'ELC RESID'!B39&amp;" "&amp;'ELC RESID'!D39&amp;" "&amp;'ELC RESID'!F39&amp;" "&amp;'ELC RESID'!G39</f>
        <v>Electricity Grid 2019 Wind turbine - offshore Wind</v>
      </c>
      <c r="F41" t="s">
        <v>260</v>
      </c>
      <c r="G41" t="s">
        <v>351</v>
      </c>
      <c r="H41" t="s">
        <v>352</v>
      </c>
    </row>
    <row r="42" spans="2:8">
      <c r="B42" t="str">
        <f t="array" ref="B42">IF(SUMPRODUCT(('ELC RESID'!O40:AF88)*('ELC RESID'!H40:H88=D42))=0,"*",IF(_xlfn.XLOOKUP($D42,'ELC RESID'!$H:$H,'ELC RESID'!$E:$E)="Storage","STG",IF(_xlfn.XLOOKUP($D42,'ELC RESID'!$H:$H,'ELC RESID'!$E:$E)="Import","IMP","ELE")))</f>
        <v>*</v>
      </c>
      <c r="C42" t="str">
        <f>IF(_xlfn.XLOOKUP(D42,'ELC RESID'!H:H,'ELC RESID'!B:B)="Decentralized","CITY","EGRID")</f>
        <v>EGRID</v>
      </c>
      <c r="D42" t="str">
        <f>'ELC RESID'!H40</f>
        <v>ELCSTGGRDHES19</v>
      </c>
      <c r="E42" t="str">
        <f>'ELC RESID'!A40&amp;" "&amp;'ELC RESID'!B40&amp;" "&amp;'ELC RESID'!D40&amp;" "&amp;'ELC RESID'!F40&amp;" "&amp;'ELC RESID'!G40</f>
        <v>Electricity Grid 2019 Hydraulic turbine - reversible Storage</v>
      </c>
      <c r="F42" t="s">
        <v>260</v>
      </c>
      <c r="G42" t="s">
        <v>351</v>
      </c>
      <c r="H42" t="s">
        <v>352</v>
      </c>
    </row>
    <row r="43" spans="2:8">
      <c r="B43" t="str">
        <f t="array" ref="B43">IF(SUMPRODUCT(('ELC RESID'!O41:AF89)*('ELC RESID'!H41:H89=D43))=0,"*",IF(_xlfn.XLOOKUP($D43,'ELC RESID'!$H:$H,'ELC RESID'!$E:$E)="Storage","STG",IF(_xlfn.XLOOKUP($D43,'ELC RESID'!$H:$H,'ELC RESID'!$E:$E)="Import","IMP","ELE")))</f>
        <v>*</v>
      </c>
      <c r="C43" t="str">
        <f>IF(_xlfn.XLOOKUP(D43,'ELC RESID'!H:H,'ELC RESID'!B:B)="Decentralized","CITY","EGRID")</f>
        <v>EGRID</v>
      </c>
      <c r="D43" t="str">
        <f>'ELC RESID'!H41</f>
        <v>ELCHYDGRDHTU19</v>
      </c>
      <c r="E43" t="str">
        <f>'ELC RESID'!A41&amp;" "&amp;'ELC RESID'!B41&amp;" "&amp;'ELC RESID'!D41&amp;" "&amp;'ELC RESID'!F41&amp;" "&amp;'ELC RESID'!G41</f>
        <v>Electricity Grid 2019 Hydroelectric tubine Hydro</v>
      </c>
      <c r="F43" t="s">
        <v>260</v>
      </c>
      <c r="G43" t="s">
        <v>351</v>
      </c>
      <c r="H43" t="s">
        <v>352</v>
      </c>
    </row>
    <row r="44" spans="2:8">
      <c r="B44" t="str">
        <f t="array" ref="B44">IF(SUMPRODUCT(('ELC RESID'!O42:AF90)*('ELC RESID'!H42:H90=D44))=0,"*",IF(_xlfn.XLOOKUP($D44,'ELC RESID'!$H:$H,'ELC RESID'!$E:$E)="Storage","STG",IF(_xlfn.XLOOKUP($D44,'ELC RESID'!$H:$H,'ELC RESID'!$E:$E)="Import","IMP","ELE")))</f>
        <v>ELE</v>
      </c>
      <c r="C44" t="str">
        <f>IF(_xlfn.XLOOKUP(D44,'ELC RESID'!H:H,'ELC RESID'!B:B)="Decentralized","CITY","EGRID")</f>
        <v>EGRID</v>
      </c>
      <c r="D44" t="str">
        <f>'ELC RESID'!H42</f>
        <v>ELCSOLGRDUPV19</v>
      </c>
      <c r="E44" t="str">
        <f>'ELC RESID'!A42&amp;" "&amp;'ELC RESID'!B42&amp;" "&amp;'ELC RESID'!D42&amp;" "&amp;'ELC RESID'!F42&amp;" "&amp;'ELC RESID'!G42</f>
        <v>Electricity Grid 2019 Photovoltaic Solar</v>
      </c>
      <c r="F44" t="s">
        <v>260</v>
      </c>
      <c r="G44" t="s">
        <v>351</v>
      </c>
      <c r="H44" t="s">
        <v>352</v>
      </c>
    </row>
    <row r="45" spans="2:8">
      <c r="B45" t="str">
        <f t="array" ref="B45">IF(SUMPRODUCT(('ELC RESID'!O43:AF91)*('ELC RESID'!H43:H91=D45))=0,"*",IF(_xlfn.XLOOKUP($D45,'ELC RESID'!$H:$H,'ELC RESID'!$E:$E)="Storage","STG",IF(_xlfn.XLOOKUP($D45,'ELC RESID'!$H:$H,'ELC RESID'!$E:$E)="Import","IMP","ELE")))</f>
        <v>*</v>
      </c>
      <c r="C45" t="str">
        <f>IF(_xlfn.XLOOKUP(D45,'ELC RESID'!H:H,'ELC RESID'!B:B)="Decentralized","CITY","EGRID")</f>
        <v>EGRID</v>
      </c>
      <c r="D45" t="str">
        <f>'ELC RESID'!H43</f>
        <v>ELCSOLGRDCSP19</v>
      </c>
      <c r="E45" t="str">
        <f>'ELC RESID'!A43&amp;" "&amp;'ELC RESID'!B43&amp;" "&amp;'ELC RESID'!D43&amp;" "&amp;'ELC RESID'!F43&amp;" "&amp;'ELC RESID'!G43</f>
        <v>Electricity Grid 2019 Concentrated solar power energy storage Solar</v>
      </c>
      <c r="F45" t="s">
        <v>260</v>
      </c>
      <c r="G45" t="s">
        <v>351</v>
      </c>
      <c r="H45" t="s">
        <v>352</v>
      </c>
    </row>
    <row r="46" spans="2:8">
      <c r="B46" t="str">
        <f t="array" ref="B46">IF(SUMPRODUCT(('ELC RESID'!O44:AF92)*('ELC RESID'!H44:H92=D46))=0,"*",IF(_xlfn.XLOOKUP($D46,'ELC RESID'!$H:$H,'ELC RESID'!$E:$E)="Storage","STG",IF(_xlfn.XLOOKUP($D46,'ELC RESID'!$H:$H,'ELC RESID'!$E:$E)="Import","IMP","ELE")))</f>
        <v>*</v>
      </c>
      <c r="C46" t="str">
        <f>IF(_xlfn.XLOOKUP(D46,'ELC RESID'!H:H,'ELC RESID'!B:B)="Decentralized","CITY","EGRID")</f>
        <v>EGRID</v>
      </c>
      <c r="D46" t="str">
        <f>'ELC RESID'!H44</f>
        <v>ELCSOLGRDSTU19</v>
      </c>
      <c r="E46" t="str">
        <f>'ELC RESID'!A44&amp;" "&amp;'ELC RESID'!B44&amp;" "&amp;'ELC RESID'!D44&amp;" "&amp;'ELC RESID'!F44&amp;" "&amp;'ELC RESID'!G44</f>
        <v>Electricity Grid 2019 Steam turbine Solar</v>
      </c>
      <c r="F46" t="s">
        <v>260</v>
      </c>
      <c r="G46" t="s">
        <v>351</v>
      </c>
      <c r="H46" t="s">
        <v>352</v>
      </c>
    </row>
    <row r="47" spans="2:8">
      <c r="B47" t="str">
        <f t="array" ref="B47">IF(SUMPRODUCT(('ELC RESID'!O45:AF93)*('ELC RESID'!H45:H93=D47))=0,"*",IF(_xlfn.XLOOKUP($D47,'ELC RESID'!$H:$H,'ELC RESID'!$E:$E)="Storage","STG",IF(_xlfn.XLOOKUP($D47,'ELC RESID'!$H:$H,'ELC RESID'!$E:$E)="Import","IMP","ELE")))</f>
        <v>*</v>
      </c>
      <c r="C47" t="str">
        <f>IF(_xlfn.XLOOKUP(D47,'ELC RESID'!H:H,'ELC RESID'!B:B)="Decentralized","CITY","EGRID")</f>
        <v>EGRID</v>
      </c>
      <c r="D47" t="str">
        <f>'ELC RESID'!H45</f>
        <v>ELCSOLGRDOTT19</v>
      </c>
      <c r="E47" t="str">
        <f>'ELC RESID'!A45&amp;" "&amp;'ELC RESID'!B45&amp;" "&amp;'ELC RESID'!D45&amp;" "&amp;'ELC RESID'!F45&amp;" "&amp;'ELC RESID'!G45</f>
        <v>Electricity Grid 2019 Other turbine Solar</v>
      </c>
      <c r="F47" t="s">
        <v>260</v>
      </c>
      <c r="G47" t="s">
        <v>351</v>
      </c>
      <c r="H47" t="s">
        <v>352</v>
      </c>
    </row>
    <row r="48" spans="2:8">
      <c r="B48" t="str">
        <f t="array" ref="B48">IF(SUMPRODUCT(('ELC RESID'!O46:AF94)*('ELC RESID'!H46:H94=D48))=0,"*",IF(_xlfn.XLOOKUP($D48,'ELC RESID'!$H:$H,'ELC RESID'!$E:$E)="Storage","STG",IF(_xlfn.XLOOKUP($D48,'ELC RESID'!$H:$H,'ELC RESID'!$E:$E)="Import","IMP","ELE")))</f>
        <v>ELE</v>
      </c>
      <c r="C48" t="str">
        <f>IF(_xlfn.XLOOKUP(D48,'ELC RESID'!H:H,'ELC RESID'!B:B)="Decentralized","CITY","EGRID")</f>
        <v>CITY</v>
      </c>
      <c r="D48" t="str">
        <f>'ELC RESID'!H46</f>
        <v>ELCSOLDCECPV19</v>
      </c>
      <c r="E48" t="str">
        <f>'ELC RESID'!A46&amp;" "&amp;'ELC RESID'!B46&amp;" "&amp;'ELC RESID'!D46&amp;" "&amp;'ELC RESID'!F46&amp;" "&amp;'ELC RESID'!G46</f>
        <v>Electricity Decentralized 2019 Commercial Solar (Photovoltaic) Solar</v>
      </c>
      <c r="F48" t="s">
        <v>260</v>
      </c>
      <c r="G48" t="s">
        <v>351</v>
      </c>
      <c r="H48" t="s">
        <v>352</v>
      </c>
    </row>
    <row r="49" spans="2:8">
      <c r="B49" t="str">
        <f t="array" ref="B49">IF(SUMPRODUCT(('ELC RESID'!O47:AF95)*('ELC RESID'!H47:H95=D49))=0,"*",IF(_xlfn.XLOOKUP($D49,'ELC RESID'!$H:$H,'ELC RESID'!$E:$E)="Storage","STG",IF(_xlfn.XLOOKUP($D49,'ELC RESID'!$H:$H,'ELC RESID'!$E:$E)="Import","IMP","ELE")))</f>
        <v>ELE</v>
      </c>
      <c r="C49" t="str">
        <f>IF(_xlfn.XLOOKUP(D49,'ELC RESID'!H:H,'ELC RESID'!B:B)="Decentralized","CITY","EGRID")</f>
        <v>CITY</v>
      </c>
      <c r="D49" t="str">
        <f>'ELC RESID'!H47</f>
        <v>ELCSOLDCERPV19</v>
      </c>
      <c r="E49" t="str">
        <f>'ELC RESID'!A47&amp;" "&amp;'ELC RESID'!B47&amp;" "&amp;'ELC RESID'!D47&amp;" "&amp;'ELC RESID'!F47&amp;" "&amp;'ELC RESID'!G47</f>
        <v>Electricity Decentralized 2019 Residential Solar (Photovoltaic) Solar</v>
      </c>
      <c r="F49" t="s">
        <v>260</v>
      </c>
      <c r="G49" t="s">
        <v>351</v>
      </c>
      <c r="H49" t="s">
        <v>352</v>
      </c>
    </row>
    <row r="50" spans="2:8">
      <c r="B50" t="str">
        <f t="array" ref="B50">IF(SUMPRODUCT(('ELC RESID'!O48:AF96)*('ELC RESID'!H48:H96=D50))=0,"*",IF(_xlfn.XLOOKUP($D50,'ELC RESID'!$H:$H,'ELC RESID'!$E:$E)="Storage","STG",IF(_xlfn.XLOOKUP($D50,'ELC RESID'!$H:$H,'ELC RESID'!$E:$E)="Import","IMP","ELE")))</f>
        <v>*</v>
      </c>
      <c r="C50" t="str">
        <f>IF(_xlfn.XLOOKUP(D50,'ELC RESID'!H:H,'ELC RESID'!B:B)="Decentralized","CITY","EGRID")</f>
        <v>CITY</v>
      </c>
      <c r="D50" t="str">
        <f>'ELC RESID'!H48</f>
        <v>ELCSOLDCEMPV19</v>
      </c>
      <c r="E50" t="str">
        <f>'ELC RESID'!A48&amp;" "&amp;'ELC RESID'!B48&amp;" "&amp;'ELC RESID'!D48&amp;" "&amp;'ELC RESID'!F48&amp;" "&amp;'ELC RESID'!G48</f>
        <v>Electricity Decentralized 2019 Municipal Solar (Photovoltaic) Solar</v>
      </c>
      <c r="F50" t="s">
        <v>260</v>
      </c>
      <c r="G50" t="s">
        <v>351</v>
      </c>
      <c r="H50" t="s">
        <v>352</v>
      </c>
    </row>
    <row r="51" spans="2:8">
      <c r="B51" t="str">
        <f t="array" ref="B51">IF(SUMPRODUCT(('ELC RESID'!O49:AF97)*('ELC RESID'!H49:H97=D51))=0,"*",IF(_xlfn.XLOOKUP($D51,'ELC RESID'!$H:$H,'ELC RESID'!$E:$E)="Storage","STG",IF(_xlfn.XLOOKUP($D51,'ELC RESID'!$H:$H,'ELC RESID'!$E:$E)="Import","IMP","ELE")))</f>
        <v>ELE</v>
      </c>
      <c r="C51" t="str">
        <f>IF(_xlfn.XLOOKUP(D51,'ELC RESID'!H:H,'ELC RESID'!B:B)="Decentralized","CITY","EGRID")</f>
        <v>CITY</v>
      </c>
      <c r="D51" t="str">
        <f>'ELC RESID'!H49</f>
        <v>ELCSOLDCEIPV19</v>
      </c>
      <c r="E51" t="str">
        <f>'ELC RESID'!A49&amp;" "&amp;'ELC RESID'!B49&amp;" "&amp;'ELC RESID'!D49&amp;" "&amp;'ELC RESID'!F49&amp;" "&amp;'ELC RESID'!G49</f>
        <v>Electricity Decentralized 2019 Industrial Solar (Photovoltaic) Solar</v>
      </c>
      <c r="F51" t="s">
        <v>260</v>
      </c>
      <c r="G51" t="s">
        <v>351</v>
      </c>
      <c r="H51" t="s">
        <v>352</v>
      </c>
    </row>
    <row r="52" spans="2:8">
      <c r="B52" t="str">
        <f t="array" ref="B52">IF(SUMPRODUCT(('ELC RESID'!O50:AF98)*('ELC RESID'!H50:H98=D52))=0,"*",IF(_xlfn.XLOOKUP($D52,'ELC RESID'!$H:$H,'ELC RESID'!$E:$E)="Storage","STG",IF(_xlfn.XLOOKUP($D52,'ELC RESID'!$H:$H,'ELC RESID'!$E:$E)="Import","IMP","ELE")))</f>
        <v>IMP</v>
      </c>
      <c r="C52" t="str">
        <f>IF(_xlfn.XLOOKUP(D52,'ELC RESID'!H:H,'ELC RESID'!B:B)="Decentralized","CITY","EGRID")</f>
        <v>EGRID</v>
      </c>
      <c r="D52" t="str">
        <f>'ELC RESID'!H51</f>
        <v>IMPELCEGRID</v>
      </c>
      <c r="E52" t="str">
        <f>'ELC RESID'!A51&amp;" "&amp;'ELC RESID'!B51&amp;" "&amp;'ELC RESID'!D51&amp;" "&amp;'ELC RESID'!F51&amp;" "&amp;'ELC RESID'!G51</f>
        <v>Electricty Grid 2019 Import to EGRID Electricity</v>
      </c>
      <c r="F52" t="s">
        <v>260</v>
      </c>
      <c r="G52" t="s">
        <v>351</v>
      </c>
      <c r="H52" t="s">
        <v>352</v>
      </c>
    </row>
    <row r="53" spans="2:8">
      <c r="B53" t="s">
        <v>353</v>
      </c>
    </row>
    <row r="54" spans="2:8">
      <c r="B54" t="str">
        <f>IF('ELC RESID'!E51="Storage","STG","ELE")</f>
        <v>ELE</v>
      </c>
      <c r="C54" t="s">
        <v>354</v>
      </c>
      <c r="D54" t="str">
        <f>EGRID_PARAM!C6</f>
        <v>ELCMISEGRID</v>
      </c>
      <c r="E54" t="str">
        <f>Demand!B65</f>
        <v>Miscellanous EGRID electricity demand</v>
      </c>
      <c r="F54" t="s">
        <v>260</v>
      </c>
      <c r="G54" t="s">
        <v>351</v>
      </c>
      <c r="H54" t="s">
        <v>352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I5"/>
  <sheetViews>
    <sheetView workbookViewId="0">
      <selection activeCell="C5" sqref="C5"/>
    </sheetView>
  </sheetViews>
  <sheetFormatPr defaultRowHeight="15"/>
  <cols>
    <col min="2" max="2" width="12.5703125" customWidth="1"/>
    <col min="3" max="3" width="19.140625" bestFit="1" customWidth="1"/>
    <col min="4" max="4" width="70.28515625" bestFit="1" customWidth="1"/>
    <col min="5" max="5" width="4.5703125" bestFit="1" customWidth="1"/>
    <col min="6" max="6" width="15.7109375" customWidth="1"/>
    <col min="7" max="7" width="8.5703125" bestFit="1" customWidth="1"/>
    <col min="8" max="8" width="10.140625" customWidth="1"/>
    <col min="9" max="9" width="8.140625" bestFit="1" customWidth="1"/>
  </cols>
  <sheetData>
    <row r="2" spans="2:9">
      <c r="B2" s="9" t="s">
        <v>355</v>
      </c>
    </row>
    <row r="3" spans="2:9">
      <c r="B3" s="10" t="s">
        <v>356</v>
      </c>
      <c r="C3" s="10" t="s">
        <v>357</v>
      </c>
      <c r="D3" s="10" t="s">
        <v>358</v>
      </c>
      <c r="E3" s="10" t="s">
        <v>205</v>
      </c>
      <c r="F3" s="10" t="s">
        <v>359</v>
      </c>
      <c r="G3" s="10" t="s">
        <v>360</v>
      </c>
      <c r="H3" s="10" t="s">
        <v>361</v>
      </c>
      <c r="I3" s="10" t="s">
        <v>362</v>
      </c>
    </row>
    <row r="4" spans="2:9" ht="40.9" customHeight="1" thickBot="1">
      <c r="B4" s="11" t="s">
        <v>363</v>
      </c>
      <c r="C4" s="11" t="s">
        <v>364</v>
      </c>
      <c r="D4" s="11" t="s">
        <v>365</v>
      </c>
      <c r="E4" s="11" t="s">
        <v>205</v>
      </c>
      <c r="F4" s="11" t="s">
        <v>366</v>
      </c>
      <c r="G4" s="11" t="s">
        <v>367</v>
      </c>
      <c r="H4" s="11" t="s">
        <v>368</v>
      </c>
      <c r="I4" s="11" t="s">
        <v>369</v>
      </c>
    </row>
    <row r="5" spans="2:9">
      <c r="B5" t="s">
        <v>370</v>
      </c>
      <c r="C5" t="str">
        <f>Demand!E65</f>
        <v>ELCMISEGRIDDMD</v>
      </c>
      <c r="D5" t="str">
        <f>Demand!B65</f>
        <v>Miscellanous EGRID electricity demand</v>
      </c>
      <c r="E5" t="s">
        <v>260</v>
      </c>
      <c r="G5" t="s">
        <v>352</v>
      </c>
      <c r="H5" t="s">
        <v>371</v>
      </c>
      <c r="I5" t="s">
        <v>372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G73"/>
  <sheetViews>
    <sheetView zoomScale="85" zoomScaleNormal="85" workbookViewId="0">
      <selection activeCell="B14" sqref="B14"/>
    </sheetView>
  </sheetViews>
  <sheetFormatPr defaultRowHeight="15"/>
  <cols>
    <col min="2" max="2" width="7.5703125" bestFit="1" customWidth="1"/>
    <col min="3" max="3" width="19.28515625" bestFit="1" customWidth="1"/>
    <col min="4" max="4" width="9.7109375" bestFit="1" customWidth="1"/>
    <col min="5" max="5" width="11.7109375" bestFit="1" customWidth="1"/>
    <col min="6" max="6" width="6" bestFit="1" customWidth="1"/>
    <col min="7" max="7" width="9.28515625" bestFit="1" customWidth="1"/>
    <col min="8" max="8" width="13.7109375" bestFit="1" customWidth="1"/>
    <col min="9" max="9" width="11" bestFit="1" customWidth="1"/>
    <col min="10" max="10" width="11.28515625" bestFit="1" customWidth="1"/>
    <col min="11" max="16" width="16.140625" bestFit="1" customWidth="1"/>
    <col min="17" max="17" width="13.5703125" bestFit="1" customWidth="1"/>
    <col min="18" max="19" width="15.5703125" bestFit="1" customWidth="1"/>
    <col min="20" max="21" width="12.5703125" bestFit="1" customWidth="1"/>
    <col min="22" max="23" width="16.85546875" bestFit="1" customWidth="1"/>
    <col min="24" max="25" width="14" bestFit="1" customWidth="1"/>
    <col min="26" max="27" width="16.28515625" bestFit="1" customWidth="1"/>
    <col min="28" max="29" width="13.42578125" bestFit="1" customWidth="1"/>
    <col min="30" max="31" width="16.85546875" bestFit="1" customWidth="1"/>
    <col min="32" max="33" width="14" bestFit="1" customWidth="1"/>
    <col min="34" max="35" width="18.28515625" bestFit="1" customWidth="1"/>
    <col min="36" max="37" width="15.28515625" bestFit="1" customWidth="1"/>
    <col min="38" max="39" width="17.7109375" bestFit="1" customWidth="1"/>
    <col min="40" max="41" width="14.7109375" bestFit="1" customWidth="1"/>
    <col min="42" max="59" width="16.7109375" bestFit="1" customWidth="1"/>
  </cols>
  <sheetData>
    <row r="1" spans="2:59">
      <c r="Q1" t="s">
        <v>373</v>
      </c>
      <c r="R1" s="12">
        <v>0.47550938557993699</v>
      </c>
      <c r="S1" s="12">
        <v>0.47550938557993738</v>
      </c>
      <c r="T1" s="12">
        <f>S1*0.1</f>
        <v>4.7550938557993742E-2</v>
      </c>
      <c r="U1" s="12">
        <v>0</v>
      </c>
      <c r="V1" s="12">
        <v>0.54765869558890368</v>
      </c>
      <c r="W1" s="12">
        <v>0.54765869558890368</v>
      </c>
      <c r="X1" s="12">
        <f>W1*0.1</f>
        <v>5.4765869558890373E-2</v>
      </c>
      <c r="Y1" s="12">
        <v>0</v>
      </c>
      <c r="Z1" s="12">
        <v>0.45816401755485903</v>
      </c>
      <c r="AA1" s="12">
        <v>0.45816401755485903</v>
      </c>
      <c r="AB1" s="12">
        <f>AA1*0.1</f>
        <v>4.5816401755485903E-2</v>
      </c>
      <c r="AC1" s="12">
        <v>0</v>
      </c>
      <c r="AD1" s="12">
        <v>0.47550938557993738</v>
      </c>
      <c r="AE1" s="12">
        <v>0.47550938557993738</v>
      </c>
      <c r="AF1" s="12">
        <f>AE1*0.1</f>
        <v>4.7550938557993742E-2</v>
      </c>
      <c r="AG1" s="12">
        <v>0</v>
      </c>
      <c r="AH1" s="12">
        <v>0.54765869558890368</v>
      </c>
      <c r="AI1" s="12">
        <v>0.54765869558890368</v>
      </c>
      <c r="AJ1" s="12">
        <f>AI1*0.1</f>
        <v>5.4765869558890373E-2</v>
      </c>
      <c r="AK1" s="12">
        <v>0</v>
      </c>
      <c r="AL1" s="12">
        <v>0.45816401755485903</v>
      </c>
      <c r="AM1" s="12">
        <v>0.45816401755485903</v>
      </c>
      <c r="AN1" s="12">
        <f>AM1*0.1</f>
        <v>4.5816401755485903E-2</v>
      </c>
      <c r="AO1" s="12">
        <v>0</v>
      </c>
    </row>
    <row r="2" spans="2:59">
      <c r="Q2" t="s">
        <v>374</v>
      </c>
      <c r="R2" s="12">
        <v>0.49405274999999998</v>
      </c>
      <c r="S2" s="12">
        <v>0.49405274999999998</v>
      </c>
      <c r="T2" s="12">
        <f>S2*0.1</f>
        <v>4.9405274999999998E-2</v>
      </c>
      <c r="U2" s="12">
        <v>0.39586365000000012</v>
      </c>
      <c r="V2" s="12">
        <v>0.57489774545454553</v>
      </c>
      <c r="W2" s="12">
        <v>0.57489774545454553</v>
      </c>
      <c r="X2" s="12">
        <f>W2*0.1</f>
        <v>5.7489774545454557E-2</v>
      </c>
      <c r="Y2" s="12">
        <v>0.50939778461538465</v>
      </c>
      <c r="Z2" s="12">
        <v>0.29772235384615392</v>
      </c>
      <c r="AA2" s="12">
        <v>0.29772235384615392</v>
      </c>
      <c r="AB2" s="12">
        <f>AA2*0.1</f>
        <v>2.9772235384615393E-2</v>
      </c>
      <c r="AC2" s="12">
        <v>0.21762049090909091</v>
      </c>
      <c r="AD2" s="12">
        <v>0.49405274999999998</v>
      </c>
      <c r="AE2" s="12">
        <v>0.49405274999999998</v>
      </c>
      <c r="AF2" s="12">
        <f>AE2*0.1</f>
        <v>4.9405274999999998E-2</v>
      </c>
      <c r="AG2" s="12">
        <v>0.39586365000000012</v>
      </c>
      <c r="AH2" s="12">
        <v>0.57489774545454553</v>
      </c>
      <c r="AI2" s="12">
        <v>0.57489774545454553</v>
      </c>
      <c r="AJ2" s="12">
        <f>AI2*0.1</f>
        <v>5.7489774545454557E-2</v>
      </c>
      <c r="AK2" s="12">
        <v>0.50939778461538465</v>
      </c>
      <c r="AL2" s="12">
        <v>0.29772235384615392</v>
      </c>
      <c r="AM2" s="12">
        <v>0.29772235384615392</v>
      </c>
      <c r="AN2" s="12">
        <f>AM2*0.1</f>
        <v>2.9772235384615393E-2</v>
      </c>
      <c r="AO2" s="12">
        <v>0.21762049090909091</v>
      </c>
    </row>
    <row r="3" spans="2:59">
      <c r="R3">
        <v>8.2199999999999995E-2</v>
      </c>
      <c r="S3">
        <v>9.5699999999999993E-2</v>
      </c>
      <c r="T3">
        <v>0.1532</v>
      </c>
      <c r="U3">
        <v>3.2000000000000002E-3</v>
      </c>
      <c r="V3">
        <v>8.1500000000000003E-2</v>
      </c>
      <c r="W3">
        <v>0.1087</v>
      </c>
      <c r="X3">
        <v>0.1381</v>
      </c>
      <c r="Y3">
        <v>3.2000000000000002E-3</v>
      </c>
      <c r="Z3">
        <v>9.7500000000000003E-2</v>
      </c>
      <c r="AA3">
        <v>0.1087</v>
      </c>
      <c r="AB3">
        <v>0.12529999999999999</v>
      </c>
      <c r="AC3">
        <v>2.7000000000000001E-3</v>
      </c>
      <c r="AD3">
        <v>8.2199999999999995E-2</v>
      </c>
      <c r="AE3">
        <v>9.5699999999999993E-2</v>
      </c>
      <c r="AF3">
        <v>0.1532</v>
      </c>
      <c r="AG3">
        <v>3.2000000000000002E-3</v>
      </c>
      <c r="AH3">
        <v>8.1500000000000003E-2</v>
      </c>
      <c r="AI3">
        <v>0.1087</v>
      </c>
      <c r="AJ3">
        <v>0.1381</v>
      </c>
      <c r="AK3">
        <v>3.2000000000000002E-3</v>
      </c>
      <c r="AL3">
        <v>9.7500000000000003E-2</v>
      </c>
      <c r="AM3">
        <v>0.1087</v>
      </c>
      <c r="AN3">
        <v>0.12529999999999999</v>
      </c>
      <c r="AO3">
        <v>2.7000000000000001E-3</v>
      </c>
    </row>
    <row r="4" spans="2:59">
      <c r="K4">
        <f>'City characteristics'!C20</f>
        <v>2019</v>
      </c>
      <c r="L4">
        <v>2020</v>
      </c>
      <c r="M4">
        <v>2100</v>
      </c>
      <c r="N4">
        <f>'City characteristics'!C20</f>
        <v>2019</v>
      </c>
      <c r="O4">
        <v>2020</v>
      </c>
      <c r="P4">
        <v>2100</v>
      </c>
      <c r="R4" t="s">
        <v>375</v>
      </c>
      <c r="S4" t="s">
        <v>376</v>
      </c>
      <c r="T4" t="s">
        <v>377</v>
      </c>
      <c r="U4" t="s">
        <v>378</v>
      </c>
      <c r="V4" t="s">
        <v>379</v>
      </c>
      <c r="W4" t="s">
        <v>380</v>
      </c>
      <c r="X4" t="s">
        <v>381</v>
      </c>
      <c r="Y4" t="s">
        <v>382</v>
      </c>
      <c r="Z4" t="s">
        <v>383</v>
      </c>
      <c r="AA4" t="s">
        <v>384</v>
      </c>
      <c r="AB4" t="s">
        <v>385</v>
      </c>
      <c r="AC4" t="s">
        <v>386</v>
      </c>
      <c r="AD4" t="s">
        <v>375</v>
      </c>
      <c r="AE4" t="s">
        <v>376</v>
      </c>
      <c r="AF4" t="s">
        <v>377</v>
      </c>
      <c r="AG4" t="s">
        <v>378</v>
      </c>
      <c r="AH4" t="s">
        <v>379</v>
      </c>
      <c r="AI4" t="s">
        <v>380</v>
      </c>
      <c r="AJ4" t="s">
        <v>381</v>
      </c>
      <c r="AK4" t="s">
        <v>382</v>
      </c>
      <c r="AL4" t="s">
        <v>383</v>
      </c>
      <c r="AM4" t="s">
        <v>384</v>
      </c>
      <c r="AN4" t="s">
        <v>385</v>
      </c>
      <c r="AO4" t="s">
        <v>386</v>
      </c>
      <c r="AP4">
        <f>'City characteristics'!C20</f>
        <v>2019</v>
      </c>
      <c r="AQ4">
        <v>2020</v>
      </c>
      <c r="AR4">
        <v>2025</v>
      </c>
      <c r="AS4">
        <v>2030</v>
      </c>
      <c r="AT4">
        <v>2035</v>
      </c>
      <c r="AU4">
        <v>2040</v>
      </c>
      <c r="AV4">
        <v>2045</v>
      </c>
      <c r="AW4">
        <v>2050</v>
      </c>
      <c r="AX4">
        <v>2055</v>
      </c>
      <c r="AY4">
        <v>2060</v>
      </c>
      <c r="AZ4">
        <v>2065</v>
      </c>
      <c r="BA4">
        <v>2070</v>
      </c>
      <c r="BB4">
        <v>2075</v>
      </c>
      <c r="BC4">
        <v>2080</v>
      </c>
      <c r="BD4">
        <v>2085</v>
      </c>
      <c r="BE4">
        <v>2090</v>
      </c>
      <c r="BF4">
        <v>2095</v>
      </c>
      <c r="BG4">
        <v>2100</v>
      </c>
    </row>
    <row r="5" spans="2:59">
      <c r="K5" t="s">
        <v>387</v>
      </c>
      <c r="L5" t="s">
        <v>387</v>
      </c>
      <c r="M5" t="s">
        <v>387</v>
      </c>
      <c r="N5" t="s">
        <v>388</v>
      </c>
      <c r="O5" t="s">
        <v>388</v>
      </c>
      <c r="P5" t="s">
        <v>388</v>
      </c>
      <c r="Q5" t="s">
        <v>389</v>
      </c>
      <c r="R5" t="s">
        <v>390</v>
      </c>
      <c r="S5" t="s">
        <v>390</v>
      </c>
      <c r="T5" t="s">
        <v>390</v>
      </c>
      <c r="U5" t="s">
        <v>390</v>
      </c>
      <c r="V5" t="s">
        <v>390</v>
      </c>
      <c r="W5" t="s">
        <v>390</v>
      </c>
      <c r="X5" t="s">
        <v>390</v>
      </c>
      <c r="Y5" t="s">
        <v>390</v>
      </c>
      <c r="Z5" t="s">
        <v>390</v>
      </c>
      <c r="AA5" t="s">
        <v>390</v>
      </c>
      <c r="AB5" t="s">
        <v>390</v>
      </c>
      <c r="AC5" t="s">
        <v>390</v>
      </c>
      <c r="AD5" t="s">
        <v>388</v>
      </c>
      <c r="AE5" t="s">
        <v>388</v>
      </c>
      <c r="AF5" t="s">
        <v>388</v>
      </c>
      <c r="AG5" t="s">
        <v>388</v>
      </c>
      <c r="AH5" t="s">
        <v>388</v>
      </c>
      <c r="AI5" t="s">
        <v>388</v>
      </c>
      <c r="AJ5" t="s">
        <v>388</v>
      </c>
      <c r="AK5" t="s">
        <v>388</v>
      </c>
      <c r="AL5" t="s">
        <v>388</v>
      </c>
      <c r="AM5" t="s">
        <v>388</v>
      </c>
      <c r="AN5" t="s">
        <v>388</v>
      </c>
      <c r="AO5" t="s">
        <v>388</v>
      </c>
      <c r="AP5" t="s">
        <v>391</v>
      </c>
      <c r="AQ5" t="s">
        <v>391</v>
      </c>
      <c r="AR5" t="s">
        <v>391</v>
      </c>
      <c r="AS5" t="s">
        <v>391</v>
      </c>
      <c r="AT5" t="s">
        <v>391</v>
      </c>
      <c r="AU5" t="s">
        <v>391</v>
      </c>
      <c r="AV5" t="s">
        <v>391</v>
      </c>
      <c r="AW5" t="s">
        <v>391</v>
      </c>
      <c r="AX5" t="s">
        <v>391</v>
      </c>
      <c r="AY5" t="s">
        <v>391</v>
      </c>
      <c r="AZ5" t="s">
        <v>391</v>
      </c>
      <c r="BA5" t="s">
        <v>391</v>
      </c>
      <c r="BB5" t="s">
        <v>391</v>
      </c>
      <c r="BC5" t="s">
        <v>391</v>
      </c>
      <c r="BD5" t="s">
        <v>391</v>
      </c>
      <c r="BE5" t="s">
        <v>391</v>
      </c>
      <c r="BF5" t="s">
        <v>391</v>
      </c>
      <c r="BG5" t="s">
        <v>391</v>
      </c>
    </row>
    <row r="7" spans="2:59">
      <c r="E7" s="9" t="s">
        <v>392</v>
      </c>
    </row>
    <row r="8" spans="2:59">
      <c r="B8" s="10" t="s">
        <v>335</v>
      </c>
      <c r="C8" s="10" t="s">
        <v>336</v>
      </c>
      <c r="D8" s="10" t="s">
        <v>393</v>
      </c>
      <c r="E8" s="10" t="s">
        <v>394</v>
      </c>
      <c r="F8" s="10" t="s">
        <v>395</v>
      </c>
      <c r="G8" s="10" t="s">
        <v>396</v>
      </c>
      <c r="H8" s="10" t="s">
        <v>397</v>
      </c>
      <c r="I8" s="10" t="s">
        <v>398</v>
      </c>
      <c r="J8" s="10" t="s">
        <v>399</v>
      </c>
      <c r="K8" s="10" t="str">
        <f t="shared" ref="K8:P8" si="0">K5&amp;"~"&amp;K4</f>
        <v>NCAP_AFA~2019</v>
      </c>
      <c r="L8" s="10" t="str">
        <f t="shared" si="0"/>
        <v>NCAP_AFA~2020</v>
      </c>
      <c r="M8" s="10" t="str">
        <f t="shared" si="0"/>
        <v>NCAP_AFA~2100</v>
      </c>
      <c r="N8" s="10" t="str">
        <f t="shared" si="0"/>
        <v>NCAP_AFC~2019</v>
      </c>
      <c r="O8" s="10" t="str">
        <f t="shared" si="0"/>
        <v>NCAP_AFC~2020</v>
      </c>
      <c r="P8" s="10" t="str">
        <f t="shared" si="0"/>
        <v>NCAP_AFC~2100</v>
      </c>
      <c r="Q8" s="10" t="s">
        <v>389</v>
      </c>
      <c r="R8" s="10" t="str">
        <f t="shared" ref="R8:BG8" si="1">R5&amp;"~"&amp;R4</f>
        <v>NCAP_AF~IDAM</v>
      </c>
      <c r="S8" s="10" t="str">
        <f t="shared" si="1"/>
        <v>NCAP_AF~IDPM</v>
      </c>
      <c r="T8" s="10" t="str">
        <f t="shared" si="1"/>
        <v>NCAP_AF~IP</v>
      </c>
      <c r="U8" s="10" t="str">
        <f t="shared" si="1"/>
        <v>NCAP_AF~IN</v>
      </c>
      <c r="V8" s="10" t="str">
        <f t="shared" si="1"/>
        <v>NCAP_AF~WDAM</v>
      </c>
      <c r="W8" s="10" t="str">
        <f t="shared" si="1"/>
        <v>NCAP_AF~WDPM</v>
      </c>
      <c r="X8" s="10" t="str">
        <f t="shared" si="1"/>
        <v>NCAP_AF~WP</v>
      </c>
      <c r="Y8" s="10" t="str">
        <f t="shared" si="1"/>
        <v>NCAP_AF~WN</v>
      </c>
      <c r="Z8" s="10" t="str">
        <f t="shared" si="1"/>
        <v>NCAP_AF~SDAM</v>
      </c>
      <c r="AA8" s="10" t="str">
        <f t="shared" si="1"/>
        <v>NCAP_AF~SDPM</v>
      </c>
      <c r="AB8" s="10" t="str">
        <f t="shared" si="1"/>
        <v>NCAP_AF~SP</v>
      </c>
      <c r="AC8" s="10" t="str">
        <f t="shared" si="1"/>
        <v>NCAP_AF~SN</v>
      </c>
      <c r="AD8" s="10" t="str">
        <f t="shared" si="1"/>
        <v>NCAP_AFC~IDAM</v>
      </c>
      <c r="AE8" s="10" t="str">
        <f t="shared" si="1"/>
        <v>NCAP_AFC~IDPM</v>
      </c>
      <c r="AF8" s="10" t="str">
        <f t="shared" si="1"/>
        <v>NCAP_AFC~IP</v>
      </c>
      <c r="AG8" s="10" t="str">
        <f t="shared" si="1"/>
        <v>NCAP_AFC~IN</v>
      </c>
      <c r="AH8" s="10" t="str">
        <f t="shared" si="1"/>
        <v>NCAP_AFC~WDAM</v>
      </c>
      <c r="AI8" s="10" t="str">
        <f t="shared" si="1"/>
        <v>NCAP_AFC~WDPM</v>
      </c>
      <c r="AJ8" s="10" t="str">
        <f t="shared" si="1"/>
        <v>NCAP_AFC~WP</v>
      </c>
      <c r="AK8" s="10" t="str">
        <f t="shared" si="1"/>
        <v>NCAP_AFC~WN</v>
      </c>
      <c r="AL8" s="10" t="str">
        <f t="shared" si="1"/>
        <v>NCAP_AFC~SDAM</v>
      </c>
      <c r="AM8" s="10" t="str">
        <f t="shared" si="1"/>
        <v>NCAP_AFC~SDPM</v>
      </c>
      <c r="AN8" s="10" t="str">
        <f t="shared" si="1"/>
        <v>NCAP_AFC~SP</v>
      </c>
      <c r="AO8" s="10" t="str">
        <f t="shared" si="1"/>
        <v>NCAP_AFC~SN</v>
      </c>
      <c r="AP8" s="10" t="str">
        <f t="shared" si="1"/>
        <v>PRC_RESID~2019</v>
      </c>
      <c r="AQ8" s="10" t="str">
        <f t="shared" si="1"/>
        <v>PRC_RESID~2020</v>
      </c>
      <c r="AR8" s="10" t="str">
        <f t="shared" si="1"/>
        <v>PRC_RESID~2025</v>
      </c>
      <c r="AS8" s="10" t="str">
        <f t="shared" si="1"/>
        <v>PRC_RESID~2030</v>
      </c>
      <c r="AT8" s="10" t="str">
        <f t="shared" si="1"/>
        <v>PRC_RESID~2035</v>
      </c>
      <c r="AU8" s="10" t="str">
        <f t="shared" si="1"/>
        <v>PRC_RESID~2040</v>
      </c>
      <c r="AV8" s="10" t="str">
        <f t="shared" si="1"/>
        <v>PRC_RESID~2045</v>
      </c>
      <c r="AW8" s="10" t="str">
        <f t="shared" si="1"/>
        <v>PRC_RESID~2050</v>
      </c>
      <c r="AX8" s="10" t="str">
        <f t="shared" si="1"/>
        <v>PRC_RESID~2055</v>
      </c>
      <c r="AY8" s="10" t="str">
        <f t="shared" si="1"/>
        <v>PRC_RESID~2060</v>
      </c>
      <c r="AZ8" s="10" t="str">
        <f t="shared" si="1"/>
        <v>PRC_RESID~2065</v>
      </c>
      <c r="BA8" s="10" t="str">
        <f t="shared" si="1"/>
        <v>PRC_RESID~2070</v>
      </c>
      <c r="BB8" s="10" t="str">
        <f t="shared" si="1"/>
        <v>PRC_RESID~2075</v>
      </c>
      <c r="BC8" s="10" t="str">
        <f t="shared" si="1"/>
        <v>PRC_RESID~2080</v>
      </c>
      <c r="BD8" s="10" t="str">
        <f t="shared" si="1"/>
        <v>PRC_RESID~2085</v>
      </c>
      <c r="BE8" s="10" t="str">
        <f t="shared" si="1"/>
        <v>PRC_RESID~2090</v>
      </c>
      <c r="BF8" s="10" t="str">
        <f t="shared" si="1"/>
        <v>PRC_RESID~2095</v>
      </c>
      <c r="BG8" s="10" t="str">
        <f t="shared" si="1"/>
        <v>PRC_RESID~2100</v>
      </c>
    </row>
    <row r="9" spans="2:59" ht="15" customHeight="1" thickBot="1">
      <c r="B9" s="11" t="s">
        <v>353</v>
      </c>
      <c r="C9" s="11" t="s">
        <v>353</v>
      </c>
      <c r="D9" s="11"/>
      <c r="E9" s="11"/>
      <c r="F9" s="11" t="s">
        <v>400</v>
      </c>
      <c r="G9" s="11" t="s">
        <v>400</v>
      </c>
      <c r="H9" s="11" t="s">
        <v>401</v>
      </c>
      <c r="I9" s="11" t="s">
        <v>402</v>
      </c>
      <c r="J9" s="11" t="s">
        <v>403</v>
      </c>
      <c r="K9" s="11" t="s">
        <v>404</v>
      </c>
      <c r="L9" s="11" t="s">
        <v>404</v>
      </c>
      <c r="M9" s="11" t="s">
        <v>404</v>
      </c>
      <c r="N9" s="11" t="s">
        <v>404</v>
      </c>
      <c r="O9" s="11" t="s">
        <v>404</v>
      </c>
      <c r="P9" s="11" t="s">
        <v>404</v>
      </c>
      <c r="Q9" s="11" t="s">
        <v>404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 t="s">
        <v>351</v>
      </c>
      <c r="AQ9" s="11" t="s">
        <v>351</v>
      </c>
      <c r="AR9" s="11" t="s">
        <v>351</v>
      </c>
      <c r="AS9" s="11" t="s">
        <v>351</v>
      </c>
      <c r="AT9" s="11" t="s">
        <v>351</v>
      </c>
      <c r="AU9" s="11" t="s">
        <v>351</v>
      </c>
      <c r="AV9" s="11" t="s">
        <v>351</v>
      </c>
      <c r="AW9" s="11" t="s">
        <v>351</v>
      </c>
      <c r="AX9" s="11" t="s">
        <v>351</v>
      </c>
      <c r="AY9" s="11" t="s">
        <v>351</v>
      </c>
      <c r="AZ9" s="11" t="s">
        <v>351</v>
      </c>
      <c r="BA9" s="11" t="s">
        <v>351</v>
      </c>
      <c r="BB9" s="11" t="s">
        <v>351</v>
      </c>
      <c r="BC9" s="11" t="s">
        <v>351</v>
      </c>
      <c r="BD9" s="11" t="s">
        <v>351</v>
      </c>
      <c r="BE9" s="11" t="s">
        <v>351</v>
      </c>
      <c r="BF9" s="11" t="s">
        <v>351</v>
      </c>
      <c r="BG9" s="11" t="s">
        <v>351</v>
      </c>
    </row>
    <row r="10" spans="2:59">
      <c r="B10" t="str">
        <f>IF(SUM(AP10:BG10)=0,"*",Def_Tech!C5)</f>
        <v>EGRID</v>
      </c>
      <c r="C10" t="str">
        <f>Def_Tech!D5</f>
        <v>ELCNGAGRDCTU19</v>
      </c>
      <c r="D10" t="str">
        <f>IF(_xlfn.XLOOKUP('ELC RESID'!G3,List!C:C,List!B:B)="STG",E10,"ELC"&amp;_xlfn.XLOOKUP('ELC RESID'!G3,List!C:C,List!B:B))</f>
        <v>ELCNGA</v>
      </c>
      <c r="E10" t="s">
        <v>405</v>
      </c>
      <c r="F10" s="12">
        <f>IF('ELC RESID'!E3="Storage","",IF('ELC RESID'!L3="",1,'ELC RESID'!L3))</f>
        <v>0.35213238468553132</v>
      </c>
      <c r="G10" s="12" t="str">
        <f>IF('ELC RESID'!E3&lt;&gt;"Storage","",IF('ELC RESID'!L3="",1,'ELC RESID'!L3))</f>
        <v/>
      </c>
      <c r="H10">
        <f t="shared" ref="H10:H56" si="2">8760*0.0036</f>
        <v>31.535999999999998</v>
      </c>
      <c r="I10" s="12">
        <f>_xlfn.XLOOKUP(C10,'ELC RESID'!H:H,'ELC RESID'!N:N)</f>
        <v>2.0228150718781621</v>
      </c>
      <c r="J10" s="12">
        <f>_xlfn.XLOOKUP(C10,'ELC RESID'!H:H,'ELC RESID'!M:M)</f>
        <v>27.138388541967881</v>
      </c>
      <c r="K10" s="12">
        <f>IF('ELC RESID'!$E3="Storage","",IF('ELC RESID'!$K3&gt;0,'ELC RESID'!$K3,-'ELC RESID'!$K3))</f>
        <v>0.13746195273490469</v>
      </c>
      <c r="L10" s="12">
        <f t="shared" ref="L10:M29" si="3">K10</f>
        <v>0.13746195273490469</v>
      </c>
      <c r="M10" s="12">
        <f t="shared" si="3"/>
        <v>0.13746195273490469</v>
      </c>
      <c r="N10" s="12" t="str">
        <f>IF('ELC RESID'!$E3="Storage",IF('ELC RESID'!$K3&gt;0,'ELC RESID'!$K3,-'ELC RESID'!$K3),"")</f>
        <v/>
      </c>
      <c r="O10" s="8" t="str">
        <f t="shared" ref="O10:P29" si="4">N10</f>
        <v/>
      </c>
      <c r="P10" s="8" t="str">
        <f t="shared" si="4"/>
        <v/>
      </c>
      <c r="Q10">
        <f>IF('ELC RESID'!E3="Storage",0.3,IF('ELC RESID'!E3="Baseload",0.9,IF('ELC RESID'!E3="Non Dispatchable",0.05,IF('ELC RESID'!E3="Dispatchable",0.9,1))))</f>
        <v>0.9</v>
      </c>
      <c r="R10" t="str">
        <f>IF('ELC RESID'!$E3="Non Dispatchable",IFERROR(IF($D10="ELCSOL",$K10/SUMPRODUCT($R$1:$AC$1,$R$3:$AC$3)*R$1,IF($D10="ELCWND",$K10/SUMPRODUCT($R$2:$AC$2,$R$3:$AC$3)*R$2,0)),""),"")</f>
        <v/>
      </c>
      <c r="S10" t="str">
        <f>IF('ELC RESID'!$E3="Non Dispatchable",IFERROR(IF($D10="ELCSOL",$K10/SUMPRODUCT($R$1:$AC$1,$R$3:$AC$3)*S$1,IF($D10="ELCWND",$K10/SUMPRODUCT($R$2:$AC$2,$R$3:$AC$3)*S$2,0)),""),"")</f>
        <v/>
      </c>
      <c r="T10" t="str">
        <f>IF('ELC RESID'!$E3="Non Dispatchable",IFERROR(IF($D10="ELCSOL",$K10/SUMPRODUCT($R$1:$AC$1,$R$3:$AC$3)*T$1,IF($D10="ELCWND",$K10/SUMPRODUCT($R$2:$AC$2,$R$3:$AC$3)*T$2,0)),""),"")</f>
        <v/>
      </c>
      <c r="U10" t="str">
        <f>IF('ELC RESID'!$E3="Non Dispatchable",IFERROR(IF($D10="ELCSOL",$K10/SUMPRODUCT($R$1:$AC$1,$R$3:$AC$3)*U$1,IF($D10="ELCWND",$K10/SUMPRODUCT($R$2:$AC$2,$R$3:$AC$3)*U$2,0)),""),"")</f>
        <v/>
      </c>
      <c r="V10" t="str">
        <f>IF('ELC RESID'!$E3="Non Dispatchable",IFERROR(IF($D10="ELCSOL",$K10/SUMPRODUCT($R$1:$AC$1,$R$3:$AC$3)*V$1,IF($D10="ELCWND",$K10/SUMPRODUCT($R$2:$AC$2,$R$3:$AC$3)*V$2,0)),""),"")</f>
        <v/>
      </c>
      <c r="W10" t="str">
        <f>IF('ELC RESID'!$E3="Non Dispatchable",IFERROR(IF($D10="ELCSOL",$K10/SUMPRODUCT($R$1:$AC$1,$R$3:$AC$3)*W$1,IF($D10="ELCWND",$K10/SUMPRODUCT($R$2:$AC$2,$R$3:$AC$3)*W$2,0)),""),"")</f>
        <v/>
      </c>
      <c r="X10" t="str">
        <f>IF('ELC RESID'!$E3="Non Dispatchable",IFERROR(IF($D10="ELCSOL",$K10/SUMPRODUCT($R$1:$AC$1,$R$3:$AC$3)*X$1,IF($D10="ELCWND",$K10/SUMPRODUCT($R$2:$AC$2,$R$3:$AC$3)*X$2,0)),""),"")</f>
        <v/>
      </c>
      <c r="Y10" t="str">
        <f>IF('ELC RESID'!$E3="Non Dispatchable",IFERROR(IF($D10="ELCSOL",$K10/SUMPRODUCT($R$1:$AC$1,$R$3:$AC$3)*Y$1,IF($D10="ELCWND",$K10/SUMPRODUCT($R$2:$AC$2,$R$3:$AC$3)*Y$2,0)),""),"")</f>
        <v/>
      </c>
      <c r="Z10" t="str">
        <f>IF('ELC RESID'!$E3="Non Dispatchable",IFERROR(IF($D10="ELCSOL",$K10/SUMPRODUCT($R$1:$AC$1,$R$3:$AC$3)*Z$1,IF($D10="ELCWND",$K10/SUMPRODUCT($R$2:$AC$2,$R$3:$AC$3)*Z$2,0)),""),"")</f>
        <v/>
      </c>
      <c r="AA10" t="str">
        <f>IF('ELC RESID'!$E3="Non Dispatchable",IFERROR(IF($D10="ELCSOL",$K10/SUMPRODUCT($R$1:$AC$1,$R$3:$AC$3)*AA$1,IF($D10="ELCWND",$K10/SUMPRODUCT($R$2:$AC$2,$R$3:$AC$3)*AA$2,0)),""),"")</f>
        <v/>
      </c>
      <c r="AB10" t="str">
        <f>IF('ELC RESID'!$E3="Non Dispatchable",IFERROR(IF($D10="ELCSOL",$K10/SUMPRODUCT($R$1:$AC$1,$R$3:$AC$3)*AB$1,IF($D10="ELCWND",$K10/SUMPRODUCT($R$2:$AC$2,$R$3:$AC$3)*AB$2,0)),""),"")</f>
        <v/>
      </c>
      <c r="AC10" t="str">
        <f>IF('ELC RESID'!$E3="Non Dispatchable",IFERROR(IF($D10="ELCSOL",$K10/SUMPRODUCT($R$1:$AC$1,$R$3:$AC$3)*AC$1,IF($D10="ELCWND",$K10/SUMPRODUCT($R$2:$AC$2,$R$3:$AC$3)*AC$2,0)),""),"")</f>
        <v/>
      </c>
      <c r="AD10" t="str">
        <f>IF('ELC RESID'!$E3="Storage", ResidELC!R$3*$N10,"")</f>
        <v/>
      </c>
      <c r="AE10" t="str">
        <f>IF('ELC RESID'!$E3="Storage", ResidELC!S$3*$N10,"")</f>
        <v/>
      </c>
      <c r="AF10" t="str">
        <f>IF('ELC RESID'!$E3="Storage", ResidELC!T$3*$N10,"")</f>
        <v/>
      </c>
      <c r="AG10" t="str">
        <f>IF('ELC RESID'!$E3="Storage", ResidELC!U$3*$N10,"")</f>
        <v/>
      </c>
      <c r="AH10" t="str">
        <f>IF('ELC RESID'!$E3="Storage", ResidELC!V$3*$N10,"")</f>
        <v/>
      </c>
      <c r="AI10" t="str">
        <f>IF('ELC RESID'!$E3="Storage", ResidELC!W$3*$N10,"")</f>
        <v/>
      </c>
      <c r="AJ10" t="str">
        <f>IF('ELC RESID'!$E3="Storage", ResidELC!X$3*$N10,"")</f>
        <v/>
      </c>
      <c r="AK10" t="str">
        <f>IF('ELC RESID'!$E3="Storage", ResidELC!Y$3*$N10,"")</f>
        <v/>
      </c>
      <c r="AL10" t="str">
        <f>IF('ELC RESID'!$E3="Storage", ResidELC!Z$3*$N10,"")</f>
        <v/>
      </c>
      <c r="AM10" t="str">
        <f>IF('ELC RESID'!$E3="Storage", ResidELC!AA$3*$N10,"")</f>
        <v/>
      </c>
      <c r="AN10" t="str">
        <f>IF('ELC RESID'!$E3="Storage", ResidELC!AB$3*$N10,"")</f>
        <v/>
      </c>
      <c r="AO10" t="str">
        <f>IF('ELC RESID'!$E3="Storage", ResidELC!AC$3*$N10,"")</f>
        <v/>
      </c>
      <c r="AP10" s="13">
        <f>'ELC RESID'!O3</f>
        <v>2808.1</v>
      </c>
      <c r="AQ10" s="13">
        <f>'ELC RESID'!P3</f>
        <v>1517.2</v>
      </c>
      <c r="AR10" s="13">
        <f>'ELC RESID'!Q3</f>
        <v>1517.2</v>
      </c>
      <c r="AS10" s="13">
        <f>'ELC RESID'!R3</f>
        <v>1517.2</v>
      </c>
      <c r="AT10" s="13">
        <f>'ELC RESID'!S3</f>
        <v>1517.2</v>
      </c>
      <c r="AU10" s="13">
        <f>'ELC RESID'!T3</f>
        <v>681.9</v>
      </c>
      <c r="AV10" s="13">
        <f>'ELC RESID'!U3</f>
        <v>677.3</v>
      </c>
      <c r="AW10" s="13">
        <f>'ELC RESID'!V3</f>
        <v>139.5</v>
      </c>
      <c r="AX10" s="13">
        <f>'ELC RESID'!W3</f>
        <v>0</v>
      </c>
      <c r="AY10" s="13">
        <f>'ELC RESID'!X3</f>
        <v>0</v>
      </c>
      <c r="AZ10" s="13">
        <f>'ELC RESID'!Y3</f>
        <v>0</v>
      </c>
      <c r="BA10" s="13">
        <f>'ELC RESID'!Z3</f>
        <v>0</v>
      </c>
      <c r="BB10" s="13">
        <f>'ELC RESID'!AA3</f>
        <v>0</v>
      </c>
      <c r="BC10" s="13">
        <f>'ELC RESID'!AB3</f>
        <v>0</v>
      </c>
      <c r="BD10" s="13">
        <f>'ELC RESID'!AC3</f>
        <v>0</v>
      </c>
      <c r="BE10" s="13">
        <f>'ELC RESID'!AD3</f>
        <v>0</v>
      </c>
      <c r="BF10" s="13">
        <f>'ELC RESID'!AE3</f>
        <v>0</v>
      </c>
      <c r="BG10" s="13">
        <f>'ELC RESID'!AF3</f>
        <v>0</v>
      </c>
    </row>
    <row r="11" spans="2:59">
      <c r="B11" t="str">
        <f>IF(SUM(AP11:BG11)=0,"*",Def_Tech!C6)</f>
        <v>EGRID</v>
      </c>
      <c r="C11" t="str">
        <f>Def_Tech!D6</f>
        <v>ELCNGAGRDSTU19</v>
      </c>
      <c r="D11" t="str">
        <f>IF(_xlfn.XLOOKUP('ELC RESID'!G4,List!C:C,List!B:B)="STG",E11,"ELC"&amp;_xlfn.XLOOKUP('ELC RESID'!G4,List!C:C,List!B:B))</f>
        <v>ELCNGA</v>
      </c>
      <c r="E11" t="s">
        <v>405</v>
      </c>
      <c r="F11" s="12">
        <f>IF('ELC RESID'!E4="Storage","",IF('ELC RESID'!L4="",1,'ELC RESID'!L4))</f>
        <v>0.36840957447419792</v>
      </c>
      <c r="G11" s="12" t="str">
        <f>IF('ELC RESID'!E4&lt;&gt;"Storage","",IF('ELC RESID'!L4="",1,'ELC RESID'!L4))</f>
        <v/>
      </c>
      <c r="H11">
        <f t="shared" si="2"/>
        <v>31.535999999999998</v>
      </c>
      <c r="I11" s="12">
        <f>_xlfn.XLOOKUP(C11,'ELC RESID'!H:H,'ELC RESID'!N:N)</f>
        <v>2.0228150718781621</v>
      </c>
      <c r="J11" s="12">
        <f>_xlfn.XLOOKUP(C11,'ELC RESID'!H:H,'ELC RESID'!M:M)</f>
        <v>27.138388541967881</v>
      </c>
      <c r="K11" s="12">
        <f>IF('ELC RESID'!$E4="Storage","",IF('ELC RESID'!$K4&gt;0,'ELC RESID'!$K4,-'ELC RESID'!$K4))</f>
        <v>8.4997091379749257E-2</v>
      </c>
      <c r="L11" s="12">
        <f t="shared" si="3"/>
        <v>8.4997091379749257E-2</v>
      </c>
      <c r="M11" s="12">
        <f t="shared" si="3"/>
        <v>8.4997091379749257E-2</v>
      </c>
      <c r="N11" s="12" t="str">
        <f>IF('ELC RESID'!$E4="Storage",IF('ELC RESID'!$K4&gt;0,'ELC RESID'!$K4,-'ELC RESID'!$K4),"")</f>
        <v/>
      </c>
      <c r="O11" s="8" t="str">
        <f t="shared" si="4"/>
        <v/>
      </c>
      <c r="P11" s="8" t="str">
        <f t="shared" si="4"/>
        <v/>
      </c>
      <c r="Q11">
        <f>IF('ELC RESID'!E4="Storage",0.3,IF('ELC RESID'!E4="Baseload",0.9,IF('ELC RESID'!E4="Non Dispatchable",0.05,IF('ELC RESID'!E4="Dispatchable",0.9,1))))</f>
        <v>0.9</v>
      </c>
      <c r="R11" t="str">
        <f>IF('ELC RESID'!$E4="Non Dispatchable",IFERROR(IF($D11="ELCSOL",$K11/SUMPRODUCT($R$1:$AC$1,$R$3:$AC$3)*R$1,IF($D11="ELCWND",$K11/SUMPRODUCT($R$2:$AC$2,$R$3:$AC$3)*R$2,0)),""),"")</f>
        <v/>
      </c>
      <c r="S11" t="str">
        <f>IF('ELC RESID'!$E4="Non Dispatchable",IFERROR(IF($D11="ELCSOL",$K11/SUMPRODUCT($R$1:$AC$1,$R$3:$AC$3)*S$1,IF($D11="ELCWND",$K11/SUMPRODUCT($R$2:$AC$2,$R$3:$AC$3)*S$2,0)),""),"")</f>
        <v/>
      </c>
      <c r="T11" t="str">
        <f>IF('ELC RESID'!$E4="Non Dispatchable",IFERROR(IF($D11="ELCSOL",$K11/SUMPRODUCT($R$1:$AC$1,$R$3:$AC$3)*T$1,IF($D11="ELCWND",$K11/SUMPRODUCT($R$2:$AC$2,$R$3:$AC$3)*T$2,0)),""),"")</f>
        <v/>
      </c>
      <c r="U11" t="str">
        <f>IF('ELC RESID'!$E4="Non Dispatchable",IFERROR(IF($D11="ELCSOL",$K11/SUMPRODUCT($R$1:$AC$1,$R$3:$AC$3)*U$1,IF($D11="ELCWND",$K11/SUMPRODUCT($R$2:$AC$2,$R$3:$AC$3)*U$2,0)),""),"")</f>
        <v/>
      </c>
      <c r="V11" t="str">
        <f>IF('ELC RESID'!$E4="Non Dispatchable",IFERROR(IF($D11="ELCSOL",$K11/SUMPRODUCT($R$1:$AC$1,$R$3:$AC$3)*V$1,IF($D11="ELCWND",$K11/SUMPRODUCT($R$2:$AC$2,$R$3:$AC$3)*V$2,0)),""),"")</f>
        <v/>
      </c>
      <c r="W11" t="str">
        <f>IF('ELC RESID'!$E4="Non Dispatchable",IFERROR(IF($D11="ELCSOL",$K11/SUMPRODUCT($R$1:$AC$1,$R$3:$AC$3)*W$1,IF($D11="ELCWND",$K11/SUMPRODUCT($R$2:$AC$2,$R$3:$AC$3)*W$2,0)),""),"")</f>
        <v/>
      </c>
      <c r="X11" t="str">
        <f>IF('ELC RESID'!$E4="Non Dispatchable",IFERROR(IF($D11="ELCSOL",$K11/SUMPRODUCT($R$1:$AC$1,$R$3:$AC$3)*X$1,IF($D11="ELCWND",$K11/SUMPRODUCT($R$2:$AC$2,$R$3:$AC$3)*X$2,0)),""),"")</f>
        <v/>
      </c>
      <c r="Y11" t="str">
        <f>IF('ELC RESID'!$E4="Non Dispatchable",IFERROR(IF($D11="ELCSOL",$K11/SUMPRODUCT($R$1:$AC$1,$R$3:$AC$3)*Y$1,IF($D11="ELCWND",$K11/SUMPRODUCT($R$2:$AC$2,$R$3:$AC$3)*Y$2,0)),""),"")</f>
        <v/>
      </c>
      <c r="Z11" t="str">
        <f>IF('ELC RESID'!$E4="Non Dispatchable",IFERROR(IF($D11="ELCSOL",$K11/SUMPRODUCT($R$1:$AC$1,$R$3:$AC$3)*Z$1,IF($D11="ELCWND",$K11/SUMPRODUCT($R$2:$AC$2,$R$3:$AC$3)*Z$2,0)),""),"")</f>
        <v/>
      </c>
      <c r="AA11" t="str">
        <f>IF('ELC RESID'!$E4="Non Dispatchable",IFERROR(IF($D11="ELCSOL",$K11/SUMPRODUCT($R$1:$AC$1,$R$3:$AC$3)*AA$1,IF($D11="ELCWND",$K11/SUMPRODUCT($R$2:$AC$2,$R$3:$AC$3)*AA$2,0)),""),"")</f>
        <v/>
      </c>
      <c r="AB11" t="str">
        <f>IF('ELC RESID'!$E4="Non Dispatchable",IFERROR(IF($D11="ELCSOL",$K11/SUMPRODUCT($R$1:$AC$1,$R$3:$AC$3)*AB$1,IF($D11="ELCWND",$K11/SUMPRODUCT($R$2:$AC$2,$R$3:$AC$3)*AB$2,0)),""),"")</f>
        <v/>
      </c>
      <c r="AC11" t="str">
        <f>IF('ELC RESID'!$E4="Non Dispatchable",IFERROR(IF($D11="ELCSOL",$K11/SUMPRODUCT($R$1:$AC$1,$R$3:$AC$3)*AC$1,IF($D11="ELCWND",$K11/SUMPRODUCT($R$2:$AC$2,$R$3:$AC$3)*AC$2,0)),""),"")</f>
        <v/>
      </c>
      <c r="AD11" t="str">
        <f>IF('ELC RESID'!$E4="Storage", ResidELC!R$3*$N11,"")</f>
        <v/>
      </c>
      <c r="AE11" t="str">
        <f>IF('ELC RESID'!$E4="Storage", ResidELC!S$3*$N11,"")</f>
        <v/>
      </c>
      <c r="AF11" t="str">
        <f>IF('ELC RESID'!$E4="Storage", ResidELC!T$3*$N11,"")</f>
        <v/>
      </c>
      <c r="AG11" t="str">
        <f>IF('ELC RESID'!$E4="Storage", ResidELC!U$3*$N11,"")</f>
        <v/>
      </c>
      <c r="AH11" t="str">
        <f>IF('ELC RESID'!$E4="Storage", ResidELC!V$3*$N11,"")</f>
        <v/>
      </c>
      <c r="AI11" t="str">
        <f>IF('ELC RESID'!$E4="Storage", ResidELC!W$3*$N11,"")</f>
        <v/>
      </c>
      <c r="AJ11" t="str">
        <f>IF('ELC RESID'!$E4="Storage", ResidELC!X$3*$N11,"")</f>
        <v/>
      </c>
      <c r="AK11" t="str">
        <f>IF('ELC RESID'!$E4="Storage", ResidELC!Y$3*$N11,"")</f>
        <v/>
      </c>
      <c r="AL11" t="str">
        <f>IF('ELC RESID'!$E4="Storage", ResidELC!Z$3*$N11,"")</f>
        <v/>
      </c>
      <c r="AM11" t="str">
        <f>IF('ELC RESID'!$E4="Storage", ResidELC!AA$3*$N11,"")</f>
        <v/>
      </c>
      <c r="AN11" t="str">
        <f>IF('ELC RESID'!$E4="Storage", ResidELC!AB$3*$N11,"")</f>
        <v/>
      </c>
      <c r="AO11" t="str">
        <f>IF('ELC RESID'!$E4="Storage", ResidELC!AC$3*$N11,"")</f>
        <v/>
      </c>
      <c r="AP11" s="13">
        <f>'ELC RESID'!O4</f>
        <v>4019.7</v>
      </c>
      <c r="AQ11" s="13">
        <f>'ELC RESID'!P4</f>
        <v>16</v>
      </c>
      <c r="AR11" s="13">
        <f>'ELC RESID'!Q4</f>
        <v>16</v>
      </c>
      <c r="AS11" s="13">
        <f>'ELC RESID'!R4</f>
        <v>16</v>
      </c>
      <c r="AT11" s="13">
        <f>'ELC RESID'!S4</f>
        <v>16</v>
      </c>
      <c r="AU11" s="13">
        <f>'ELC RESID'!T4</f>
        <v>16</v>
      </c>
      <c r="AV11" s="13">
        <f>'ELC RESID'!U4</f>
        <v>16</v>
      </c>
      <c r="AW11" s="13">
        <f>'ELC RESID'!V4</f>
        <v>0</v>
      </c>
      <c r="AX11" s="13">
        <f>'ELC RESID'!W4</f>
        <v>0</v>
      </c>
      <c r="AY11" s="13">
        <f>'ELC RESID'!X4</f>
        <v>0</v>
      </c>
      <c r="AZ11" s="13">
        <f>'ELC RESID'!Y4</f>
        <v>0</v>
      </c>
      <c r="BA11" s="13">
        <f>'ELC RESID'!Z4</f>
        <v>0</v>
      </c>
      <c r="BB11" s="13">
        <f>'ELC RESID'!AA4</f>
        <v>0</v>
      </c>
      <c r="BC11" s="13">
        <f>'ELC RESID'!AB4</f>
        <v>0</v>
      </c>
      <c r="BD11" s="13">
        <f>'ELC RESID'!AC4</f>
        <v>0</v>
      </c>
      <c r="BE11" s="13">
        <f>'ELC RESID'!AD4</f>
        <v>0</v>
      </c>
      <c r="BF11" s="13">
        <f>'ELC RESID'!AE4</f>
        <v>0</v>
      </c>
      <c r="BG11" s="13">
        <f>'ELC RESID'!AF4</f>
        <v>0</v>
      </c>
    </row>
    <row r="12" spans="2:59">
      <c r="B12" t="str">
        <f>IF(SUM(AP12:BG12)=0,"*",Def_Tech!C7)</f>
        <v>EGRID</v>
      </c>
      <c r="C12" t="str">
        <f>Def_Tech!D7</f>
        <v>ELCNGAGRDCCC19</v>
      </c>
      <c r="D12" t="str">
        <f>IF(_xlfn.XLOOKUP('ELC RESID'!G5,List!C:C,List!B:B)="STG",E12,"ELC"&amp;_xlfn.XLOOKUP('ELC RESID'!G5,List!C:C,List!B:B))</f>
        <v>ELCNGA</v>
      </c>
      <c r="E12" t="s">
        <v>405</v>
      </c>
      <c r="F12" s="12">
        <f>IF('ELC RESID'!E5="Storage","",IF('ELC RESID'!L5="",1,'ELC RESID'!L5))</f>
        <v>0.50974826708608845</v>
      </c>
      <c r="G12" s="12" t="str">
        <f>IF('ELC RESID'!E5&lt;&gt;"Storage","",IF('ELC RESID'!L5="",1,'ELC RESID'!L5))</f>
        <v/>
      </c>
      <c r="H12">
        <f t="shared" si="2"/>
        <v>31.535999999999998</v>
      </c>
      <c r="I12" s="12">
        <f>_xlfn.XLOOKUP(C12,'ELC RESID'!H:H,'ELC RESID'!N:N)</f>
        <v>0.61563936970204913</v>
      </c>
      <c r="J12" s="12">
        <f>_xlfn.XLOOKUP(C12,'ELC RESID'!H:H,'ELC RESID'!M:M)</f>
        <v>35.166828485633367</v>
      </c>
      <c r="K12" s="12">
        <f>IF('ELC RESID'!$E5="Storage","",IF('ELC RESID'!$K5&gt;0,'ELC RESID'!$K5,-'ELC RESID'!$K5))</f>
        <v>0.64588451606066521</v>
      </c>
      <c r="L12" s="12">
        <f t="shared" si="3"/>
        <v>0.64588451606066521</v>
      </c>
      <c r="M12" s="12">
        <f t="shared" si="3"/>
        <v>0.64588451606066521</v>
      </c>
      <c r="N12" s="12" t="str">
        <f>IF('ELC RESID'!$E5="Storage",IF('ELC RESID'!$K5&gt;0,'ELC RESID'!$K5,-'ELC RESID'!$K5),"")</f>
        <v/>
      </c>
      <c r="O12" s="8" t="str">
        <f t="shared" si="4"/>
        <v/>
      </c>
      <c r="P12" s="8" t="str">
        <f t="shared" si="4"/>
        <v/>
      </c>
      <c r="Q12">
        <f>IF('ELC RESID'!E5="Storage",0.3,IF('ELC RESID'!E5="Baseload",0.9,IF('ELC RESID'!E5="Non Dispatchable",0.05,IF('ELC RESID'!E5="Dispatchable",0.9,1))))</f>
        <v>0.9</v>
      </c>
      <c r="R12" t="str">
        <f>IF('ELC RESID'!$E5="Non Dispatchable",IFERROR(IF($D12="ELCSOL",$K12/SUMPRODUCT($R$1:$AC$1,$R$3:$AC$3)*R$1,IF($D12="ELCWND",$K12/SUMPRODUCT($R$2:$AC$2,$R$3:$AC$3)*R$2,0)),""),"")</f>
        <v/>
      </c>
      <c r="S12" t="str">
        <f>IF('ELC RESID'!$E5="Non Dispatchable",IFERROR(IF($D12="ELCSOL",$K12/SUMPRODUCT($R$1:$AC$1,$R$3:$AC$3)*S$1,IF($D12="ELCWND",$K12/SUMPRODUCT($R$2:$AC$2,$R$3:$AC$3)*S$2,0)),""),"")</f>
        <v/>
      </c>
      <c r="T12" t="str">
        <f>IF('ELC RESID'!$E5="Non Dispatchable",IFERROR(IF($D12="ELCSOL",$K12/SUMPRODUCT($R$1:$AC$1,$R$3:$AC$3)*T$1,IF($D12="ELCWND",$K12/SUMPRODUCT($R$2:$AC$2,$R$3:$AC$3)*T$2,0)),""),"")</f>
        <v/>
      </c>
      <c r="U12" t="str">
        <f>IF('ELC RESID'!$E5="Non Dispatchable",IFERROR(IF($D12="ELCSOL",$K12/SUMPRODUCT($R$1:$AC$1,$R$3:$AC$3)*U$1,IF($D12="ELCWND",$K12/SUMPRODUCT($R$2:$AC$2,$R$3:$AC$3)*U$2,0)),""),"")</f>
        <v/>
      </c>
      <c r="V12" t="str">
        <f>IF('ELC RESID'!$E5="Non Dispatchable",IFERROR(IF($D12="ELCSOL",$K12/SUMPRODUCT($R$1:$AC$1,$R$3:$AC$3)*V$1,IF($D12="ELCWND",$K12/SUMPRODUCT($R$2:$AC$2,$R$3:$AC$3)*V$2,0)),""),"")</f>
        <v/>
      </c>
      <c r="W12" t="str">
        <f>IF('ELC RESID'!$E5="Non Dispatchable",IFERROR(IF($D12="ELCSOL",$K12/SUMPRODUCT($R$1:$AC$1,$R$3:$AC$3)*W$1,IF($D12="ELCWND",$K12/SUMPRODUCT($R$2:$AC$2,$R$3:$AC$3)*W$2,0)),""),"")</f>
        <v/>
      </c>
      <c r="X12" t="str">
        <f>IF('ELC RESID'!$E5="Non Dispatchable",IFERROR(IF($D12="ELCSOL",$K12/SUMPRODUCT($R$1:$AC$1,$R$3:$AC$3)*X$1,IF($D12="ELCWND",$K12/SUMPRODUCT($R$2:$AC$2,$R$3:$AC$3)*X$2,0)),""),"")</f>
        <v/>
      </c>
      <c r="Y12" t="str">
        <f>IF('ELC RESID'!$E5="Non Dispatchable",IFERROR(IF($D12="ELCSOL",$K12/SUMPRODUCT($R$1:$AC$1,$R$3:$AC$3)*Y$1,IF($D12="ELCWND",$K12/SUMPRODUCT($R$2:$AC$2,$R$3:$AC$3)*Y$2,0)),""),"")</f>
        <v/>
      </c>
      <c r="Z12" t="str">
        <f>IF('ELC RESID'!$E5="Non Dispatchable",IFERROR(IF($D12="ELCSOL",$K12/SUMPRODUCT($R$1:$AC$1,$R$3:$AC$3)*Z$1,IF($D12="ELCWND",$K12/SUMPRODUCT($R$2:$AC$2,$R$3:$AC$3)*Z$2,0)),""),"")</f>
        <v/>
      </c>
      <c r="AA12" t="str">
        <f>IF('ELC RESID'!$E5="Non Dispatchable",IFERROR(IF($D12="ELCSOL",$K12/SUMPRODUCT($R$1:$AC$1,$R$3:$AC$3)*AA$1,IF($D12="ELCWND",$K12/SUMPRODUCT($R$2:$AC$2,$R$3:$AC$3)*AA$2,0)),""),"")</f>
        <v/>
      </c>
      <c r="AB12" t="str">
        <f>IF('ELC RESID'!$E5="Non Dispatchable",IFERROR(IF($D12="ELCSOL",$K12/SUMPRODUCT($R$1:$AC$1,$R$3:$AC$3)*AB$1,IF($D12="ELCWND",$K12/SUMPRODUCT($R$2:$AC$2,$R$3:$AC$3)*AB$2,0)),""),"")</f>
        <v/>
      </c>
      <c r="AC12" t="str">
        <f>IF('ELC RESID'!$E5="Non Dispatchable",IFERROR(IF($D12="ELCSOL",$K12/SUMPRODUCT($R$1:$AC$1,$R$3:$AC$3)*AC$1,IF($D12="ELCWND",$K12/SUMPRODUCT($R$2:$AC$2,$R$3:$AC$3)*AC$2,0)),""),"")</f>
        <v/>
      </c>
      <c r="AD12" t="str">
        <f>IF('ELC RESID'!$E5="Storage", ResidELC!R$3*$N12,"")</f>
        <v/>
      </c>
      <c r="AE12" t="str">
        <f>IF('ELC RESID'!$E5="Storage", ResidELC!S$3*$N12,"")</f>
        <v/>
      </c>
      <c r="AF12" t="str">
        <f>IF('ELC RESID'!$E5="Storage", ResidELC!T$3*$N12,"")</f>
        <v/>
      </c>
      <c r="AG12" t="str">
        <f>IF('ELC RESID'!$E5="Storage", ResidELC!U$3*$N12,"")</f>
        <v/>
      </c>
      <c r="AH12" t="str">
        <f>IF('ELC RESID'!$E5="Storage", ResidELC!V$3*$N12,"")</f>
        <v/>
      </c>
      <c r="AI12" t="str">
        <f>IF('ELC RESID'!$E5="Storage", ResidELC!W$3*$N12,"")</f>
        <v/>
      </c>
      <c r="AJ12" t="str">
        <f>IF('ELC RESID'!$E5="Storage", ResidELC!X$3*$N12,"")</f>
        <v/>
      </c>
      <c r="AK12" t="str">
        <f>IF('ELC RESID'!$E5="Storage", ResidELC!Y$3*$N12,"")</f>
        <v/>
      </c>
      <c r="AL12" t="str">
        <f>IF('ELC RESID'!$E5="Storage", ResidELC!Z$3*$N12,"")</f>
        <v/>
      </c>
      <c r="AM12" t="str">
        <f>IF('ELC RESID'!$E5="Storage", ResidELC!AA$3*$N12,"")</f>
        <v/>
      </c>
      <c r="AN12" t="str">
        <f>IF('ELC RESID'!$E5="Storage", ResidELC!AB$3*$N12,"")</f>
        <v/>
      </c>
      <c r="AO12" t="str">
        <f>IF('ELC RESID'!$E5="Storage", ResidELC!AC$3*$N12,"")</f>
        <v/>
      </c>
      <c r="AP12" s="13">
        <f>'ELC RESID'!O5</f>
        <v>2296.6999999999998</v>
      </c>
      <c r="AQ12" s="13">
        <f>'ELC RESID'!P5</f>
        <v>2296.6999999999998</v>
      </c>
      <c r="AR12" s="13">
        <f>'ELC RESID'!Q5</f>
        <v>2296.6999999999998</v>
      </c>
      <c r="AS12" s="13">
        <f>'ELC RESID'!R5</f>
        <v>1726.5</v>
      </c>
      <c r="AT12" s="13">
        <f>'ELC RESID'!S5</f>
        <v>1484.5</v>
      </c>
      <c r="AU12" s="13">
        <f>'ELC RESID'!T5</f>
        <v>751</v>
      </c>
      <c r="AV12" s="13">
        <f>'ELC RESID'!U5</f>
        <v>400</v>
      </c>
      <c r="AW12" s="13">
        <f>'ELC RESID'!V5</f>
        <v>0</v>
      </c>
      <c r="AX12" s="13">
        <f>'ELC RESID'!W5</f>
        <v>0</v>
      </c>
      <c r="AY12" s="13">
        <f>'ELC RESID'!X5</f>
        <v>0</v>
      </c>
      <c r="AZ12" s="13">
        <f>'ELC RESID'!Y5</f>
        <v>0</v>
      </c>
      <c r="BA12" s="13">
        <f>'ELC RESID'!Z5</f>
        <v>0</v>
      </c>
      <c r="BB12" s="13">
        <f>'ELC RESID'!AA5</f>
        <v>0</v>
      </c>
      <c r="BC12" s="13">
        <f>'ELC RESID'!AB5</f>
        <v>0</v>
      </c>
      <c r="BD12" s="13">
        <f>'ELC RESID'!AC5</f>
        <v>0</v>
      </c>
      <c r="BE12" s="13">
        <f>'ELC RESID'!AD5</f>
        <v>0</v>
      </c>
      <c r="BF12" s="13">
        <f>'ELC RESID'!AE5</f>
        <v>0</v>
      </c>
      <c r="BG12" s="13">
        <f>'ELC RESID'!AF5</f>
        <v>0</v>
      </c>
    </row>
    <row r="13" spans="2:59">
      <c r="B13" t="str">
        <f>IF(SUM(AP13:BG13)=0,"*",Def_Tech!C8)</f>
        <v>EGRID</v>
      </c>
      <c r="C13" t="str">
        <f>Def_Tech!D8</f>
        <v>ELCNGAGRDCCS19</v>
      </c>
      <c r="D13" t="str">
        <f>IF(_xlfn.XLOOKUP('ELC RESID'!G6,List!C:C,List!B:B)="STG",E13,"ELC"&amp;_xlfn.XLOOKUP('ELC RESID'!G6,List!C:C,List!B:B))</f>
        <v>ELCNGA</v>
      </c>
      <c r="E13" t="s">
        <v>405</v>
      </c>
      <c r="F13" s="12">
        <f>IF('ELC RESID'!E6="Storage","",IF('ELC RESID'!L6="",1,'ELC RESID'!L6))</f>
        <v>0.50738283269879381</v>
      </c>
      <c r="G13" s="12" t="str">
        <f>IF('ELC RESID'!E6&lt;&gt;"Storage","",IF('ELC RESID'!L6="",1,'ELC RESID'!L6))</f>
        <v/>
      </c>
      <c r="H13">
        <f t="shared" si="2"/>
        <v>31.535999999999998</v>
      </c>
      <c r="I13" s="12">
        <f>_xlfn.XLOOKUP(C13,'ELC RESID'!H:H,'ELC RESID'!N:N)</f>
        <v>0.61563936970204913</v>
      </c>
      <c r="J13" s="12">
        <f>_xlfn.XLOOKUP(C13,'ELC RESID'!H:H,'ELC RESID'!M:M)</f>
        <v>35.166828485633367</v>
      </c>
      <c r="K13" s="12">
        <f>IF('ELC RESID'!$E6="Storage","",IF('ELC RESID'!$K6&gt;0,'ELC RESID'!$K6,-'ELC RESID'!$K6))</f>
        <v>0.47892182283260398</v>
      </c>
      <c r="L13" s="12">
        <f t="shared" si="3"/>
        <v>0.47892182283260398</v>
      </c>
      <c r="M13" s="12">
        <f t="shared" si="3"/>
        <v>0.47892182283260398</v>
      </c>
      <c r="N13" s="12" t="str">
        <f>IF('ELC RESID'!$E6="Storage",IF('ELC RESID'!$K6&gt;0,'ELC RESID'!$K6,-'ELC RESID'!$K6),"")</f>
        <v/>
      </c>
      <c r="O13" s="8" t="str">
        <f t="shared" si="4"/>
        <v/>
      </c>
      <c r="P13" s="8" t="str">
        <f t="shared" si="4"/>
        <v/>
      </c>
      <c r="Q13">
        <f>IF('ELC RESID'!E6="Storage",0.3,IF('ELC RESID'!E6="Baseload",0.9,IF('ELC RESID'!E6="Non Dispatchable",0.05,IF('ELC RESID'!E6="Dispatchable",0.9,1))))</f>
        <v>0.9</v>
      </c>
      <c r="R13" t="str">
        <f>IF('ELC RESID'!$E6="Non Dispatchable",IFERROR(IF($D13="ELCSOL",$K13/SUMPRODUCT($R$1:$AC$1,$R$3:$AC$3)*R$1,IF($D13="ELCWND",$K13/SUMPRODUCT($R$2:$AC$2,$R$3:$AC$3)*R$2,0)),""),"")</f>
        <v/>
      </c>
      <c r="S13" t="str">
        <f>IF('ELC RESID'!$E6="Non Dispatchable",IFERROR(IF($D13="ELCSOL",$K13/SUMPRODUCT($R$1:$AC$1,$R$3:$AC$3)*S$1,IF($D13="ELCWND",$K13/SUMPRODUCT($R$2:$AC$2,$R$3:$AC$3)*S$2,0)),""),"")</f>
        <v/>
      </c>
      <c r="T13" t="str">
        <f>IF('ELC RESID'!$E6="Non Dispatchable",IFERROR(IF($D13="ELCSOL",$K13/SUMPRODUCT($R$1:$AC$1,$R$3:$AC$3)*T$1,IF($D13="ELCWND",$K13/SUMPRODUCT($R$2:$AC$2,$R$3:$AC$3)*T$2,0)),""),"")</f>
        <v/>
      </c>
      <c r="U13" t="str">
        <f>IF('ELC RESID'!$E6="Non Dispatchable",IFERROR(IF($D13="ELCSOL",$K13/SUMPRODUCT($R$1:$AC$1,$R$3:$AC$3)*U$1,IF($D13="ELCWND",$K13/SUMPRODUCT($R$2:$AC$2,$R$3:$AC$3)*U$2,0)),""),"")</f>
        <v/>
      </c>
      <c r="V13" t="str">
        <f>IF('ELC RESID'!$E6="Non Dispatchable",IFERROR(IF($D13="ELCSOL",$K13/SUMPRODUCT($R$1:$AC$1,$R$3:$AC$3)*V$1,IF($D13="ELCWND",$K13/SUMPRODUCT($R$2:$AC$2,$R$3:$AC$3)*V$2,0)),""),"")</f>
        <v/>
      </c>
      <c r="W13" t="str">
        <f>IF('ELC RESID'!$E6="Non Dispatchable",IFERROR(IF($D13="ELCSOL",$K13/SUMPRODUCT($R$1:$AC$1,$R$3:$AC$3)*W$1,IF($D13="ELCWND",$K13/SUMPRODUCT($R$2:$AC$2,$R$3:$AC$3)*W$2,0)),""),"")</f>
        <v/>
      </c>
      <c r="X13" t="str">
        <f>IF('ELC RESID'!$E6="Non Dispatchable",IFERROR(IF($D13="ELCSOL",$K13/SUMPRODUCT($R$1:$AC$1,$R$3:$AC$3)*X$1,IF($D13="ELCWND",$K13/SUMPRODUCT($R$2:$AC$2,$R$3:$AC$3)*X$2,0)),""),"")</f>
        <v/>
      </c>
      <c r="Y13" t="str">
        <f>IF('ELC RESID'!$E6="Non Dispatchable",IFERROR(IF($D13="ELCSOL",$K13/SUMPRODUCT($R$1:$AC$1,$R$3:$AC$3)*Y$1,IF($D13="ELCWND",$K13/SUMPRODUCT($R$2:$AC$2,$R$3:$AC$3)*Y$2,0)),""),"")</f>
        <v/>
      </c>
      <c r="Z13" t="str">
        <f>IF('ELC RESID'!$E6="Non Dispatchable",IFERROR(IF($D13="ELCSOL",$K13/SUMPRODUCT($R$1:$AC$1,$R$3:$AC$3)*Z$1,IF($D13="ELCWND",$K13/SUMPRODUCT($R$2:$AC$2,$R$3:$AC$3)*Z$2,0)),""),"")</f>
        <v/>
      </c>
      <c r="AA13" t="str">
        <f>IF('ELC RESID'!$E6="Non Dispatchable",IFERROR(IF($D13="ELCSOL",$K13/SUMPRODUCT($R$1:$AC$1,$R$3:$AC$3)*AA$1,IF($D13="ELCWND",$K13/SUMPRODUCT($R$2:$AC$2,$R$3:$AC$3)*AA$2,0)),""),"")</f>
        <v/>
      </c>
      <c r="AB13" t="str">
        <f>IF('ELC RESID'!$E6="Non Dispatchable",IFERROR(IF($D13="ELCSOL",$K13/SUMPRODUCT($R$1:$AC$1,$R$3:$AC$3)*AB$1,IF($D13="ELCWND",$K13/SUMPRODUCT($R$2:$AC$2,$R$3:$AC$3)*AB$2,0)),""),"")</f>
        <v/>
      </c>
      <c r="AC13" t="str">
        <f>IF('ELC RESID'!$E6="Non Dispatchable",IFERROR(IF($D13="ELCSOL",$K13/SUMPRODUCT($R$1:$AC$1,$R$3:$AC$3)*AC$1,IF($D13="ELCWND",$K13/SUMPRODUCT($R$2:$AC$2,$R$3:$AC$3)*AC$2,0)),""),"")</f>
        <v/>
      </c>
      <c r="AD13" t="str">
        <f>IF('ELC RESID'!$E6="Storage", ResidELC!R$3*$N13,"")</f>
        <v/>
      </c>
      <c r="AE13" t="str">
        <f>IF('ELC RESID'!$E6="Storage", ResidELC!S$3*$N13,"")</f>
        <v/>
      </c>
      <c r="AF13" t="str">
        <f>IF('ELC RESID'!$E6="Storage", ResidELC!T$3*$N13,"")</f>
        <v/>
      </c>
      <c r="AG13" t="str">
        <f>IF('ELC RESID'!$E6="Storage", ResidELC!U$3*$N13,"")</f>
        <v/>
      </c>
      <c r="AH13" t="str">
        <f>IF('ELC RESID'!$E6="Storage", ResidELC!V$3*$N13,"")</f>
        <v/>
      </c>
      <c r="AI13" t="str">
        <f>IF('ELC RESID'!$E6="Storage", ResidELC!W$3*$N13,"")</f>
        <v/>
      </c>
      <c r="AJ13" t="str">
        <f>IF('ELC RESID'!$E6="Storage", ResidELC!X$3*$N13,"")</f>
        <v/>
      </c>
      <c r="AK13" t="str">
        <f>IF('ELC RESID'!$E6="Storage", ResidELC!Y$3*$N13,"")</f>
        <v/>
      </c>
      <c r="AL13" t="str">
        <f>IF('ELC RESID'!$E6="Storage", ResidELC!Z$3*$N13,"")</f>
        <v/>
      </c>
      <c r="AM13" t="str">
        <f>IF('ELC RESID'!$E6="Storage", ResidELC!AA$3*$N13,"")</f>
        <v/>
      </c>
      <c r="AN13" t="str">
        <f>IF('ELC RESID'!$E6="Storage", ResidELC!AB$3*$N13,"")</f>
        <v/>
      </c>
      <c r="AO13" t="str">
        <f>IF('ELC RESID'!$E6="Storage", ResidELC!AC$3*$N13,"")</f>
        <v/>
      </c>
      <c r="AP13" s="13">
        <f>'ELC RESID'!O6</f>
        <v>1175.5</v>
      </c>
      <c r="AQ13" s="13">
        <f>'ELC RESID'!P6</f>
        <v>1173.0999999999999</v>
      </c>
      <c r="AR13" s="13">
        <f>'ELC RESID'!Q6</f>
        <v>1173.0999999999999</v>
      </c>
      <c r="AS13" s="13">
        <f>'ELC RESID'!R6</f>
        <v>860.5</v>
      </c>
      <c r="AT13" s="13">
        <f>'ELC RESID'!S6</f>
        <v>780.5</v>
      </c>
      <c r="AU13" s="13">
        <f>'ELC RESID'!T6</f>
        <v>505</v>
      </c>
      <c r="AV13" s="13">
        <f>'ELC RESID'!U6</f>
        <v>250</v>
      </c>
      <c r="AW13" s="13">
        <f>'ELC RESID'!V6</f>
        <v>0</v>
      </c>
      <c r="AX13" s="13">
        <f>'ELC RESID'!W6</f>
        <v>0</v>
      </c>
      <c r="AY13" s="13">
        <f>'ELC RESID'!X6</f>
        <v>0</v>
      </c>
      <c r="AZ13" s="13">
        <f>'ELC RESID'!Y6</f>
        <v>0</v>
      </c>
      <c r="BA13" s="13">
        <f>'ELC RESID'!Z6</f>
        <v>0</v>
      </c>
      <c r="BB13" s="13">
        <f>'ELC RESID'!AA6</f>
        <v>0</v>
      </c>
      <c r="BC13" s="13">
        <f>'ELC RESID'!AB6</f>
        <v>0</v>
      </c>
      <c r="BD13" s="13">
        <f>'ELC RESID'!AC6</f>
        <v>0</v>
      </c>
      <c r="BE13" s="13">
        <f>'ELC RESID'!AD6</f>
        <v>0</v>
      </c>
      <c r="BF13" s="13">
        <f>'ELC RESID'!AE6</f>
        <v>0</v>
      </c>
      <c r="BG13" s="13">
        <f>'ELC RESID'!AF6</f>
        <v>0</v>
      </c>
    </row>
    <row r="14" spans="2:59">
      <c r="B14" t="str">
        <f>IF(SUM(AP14:BG14)=0,"*",Def_Tech!C9)</f>
        <v>*</v>
      </c>
      <c r="C14" t="str">
        <f>Def_Tech!D9</f>
        <v>ELCNGAGRDACC19</v>
      </c>
      <c r="D14" t="str">
        <f>IF(_xlfn.XLOOKUP('ELC RESID'!G7,List!C:C,List!B:B)="STG",E14,"ELC"&amp;_xlfn.XLOOKUP('ELC RESID'!G7,List!C:C,List!B:B))</f>
        <v>ELCNGA</v>
      </c>
      <c r="E14" t="s">
        <v>405</v>
      </c>
      <c r="F14" s="12">
        <f>IF('ELC RESID'!E7="Storage","",IF('ELC RESID'!L7="",1,'ELC RESID'!L7))</f>
        <v>1</v>
      </c>
      <c r="G14" s="12" t="str">
        <f>IF('ELC RESID'!E7&lt;&gt;"Storage","",IF('ELC RESID'!L7="",1,'ELC RESID'!L7))</f>
        <v/>
      </c>
      <c r="H14">
        <f t="shared" si="2"/>
        <v>31.535999999999998</v>
      </c>
      <c r="I14" s="12">
        <f>_xlfn.XLOOKUP(C14,'ELC RESID'!H:H,'ELC RESID'!N:N)</f>
        <v>0.61563936970204913</v>
      </c>
      <c r="J14" s="12">
        <f>_xlfn.XLOOKUP(C14,'ELC RESID'!H:H,'ELC RESID'!M:M)</f>
        <v>34.82759862885878</v>
      </c>
      <c r="K14" s="12">
        <f>IF('ELC RESID'!$E7="Storage","",IF('ELC RESID'!$K7&gt;0,'ELC RESID'!$K7,-'ELC RESID'!$K7))</f>
        <v>0</v>
      </c>
      <c r="L14" s="12">
        <f t="shared" si="3"/>
        <v>0</v>
      </c>
      <c r="M14" s="12">
        <f t="shared" si="3"/>
        <v>0</v>
      </c>
      <c r="N14" s="12" t="str">
        <f>IF('ELC RESID'!$E7="Storage",IF('ELC RESID'!$K7&gt;0,'ELC RESID'!$K7,-'ELC RESID'!$K7),"")</f>
        <v/>
      </c>
      <c r="O14" s="8" t="str">
        <f t="shared" si="4"/>
        <v/>
      </c>
      <c r="P14" s="8" t="str">
        <f t="shared" si="4"/>
        <v/>
      </c>
      <c r="Q14">
        <f>IF('ELC RESID'!E7="Storage",0.3,IF('ELC RESID'!E7="Baseload",0.9,IF('ELC RESID'!E7="Non Dispatchable",0.05,IF('ELC RESID'!E7="Dispatchable",0.9,1))))</f>
        <v>0.9</v>
      </c>
      <c r="R14" t="str">
        <f>IF('ELC RESID'!$E7="Non Dispatchable",IFERROR(IF($D14="ELCSOL",$K14/SUMPRODUCT($R$1:$AC$1,$R$3:$AC$3)*R$1,IF($D14="ELCWND",$K14/SUMPRODUCT($R$2:$AC$2,$R$3:$AC$3)*R$2,0)),""),"")</f>
        <v/>
      </c>
      <c r="S14" t="str">
        <f>IF('ELC RESID'!$E7="Non Dispatchable",IFERROR(IF($D14="ELCSOL",$K14/SUMPRODUCT($R$1:$AC$1,$R$3:$AC$3)*S$1,IF($D14="ELCWND",$K14/SUMPRODUCT($R$2:$AC$2,$R$3:$AC$3)*S$2,0)),""),"")</f>
        <v/>
      </c>
      <c r="T14" t="str">
        <f>IF('ELC RESID'!$E7="Non Dispatchable",IFERROR(IF($D14="ELCSOL",$K14/SUMPRODUCT($R$1:$AC$1,$R$3:$AC$3)*T$1,IF($D14="ELCWND",$K14/SUMPRODUCT($R$2:$AC$2,$R$3:$AC$3)*T$2,0)),""),"")</f>
        <v/>
      </c>
      <c r="U14" t="str">
        <f>IF('ELC RESID'!$E7="Non Dispatchable",IFERROR(IF($D14="ELCSOL",$K14/SUMPRODUCT($R$1:$AC$1,$R$3:$AC$3)*U$1,IF($D14="ELCWND",$K14/SUMPRODUCT($R$2:$AC$2,$R$3:$AC$3)*U$2,0)),""),"")</f>
        <v/>
      </c>
      <c r="V14" t="str">
        <f>IF('ELC RESID'!$E7="Non Dispatchable",IFERROR(IF($D14="ELCSOL",$K14/SUMPRODUCT($R$1:$AC$1,$R$3:$AC$3)*V$1,IF($D14="ELCWND",$K14/SUMPRODUCT($R$2:$AC$2,$R$3:$AC$3)*V$2,0)),""),"")</f>
        <v/>
      </c>
      <c r="W14" t="str">
        <f>IF('ELC RESID'!$E7="Non Dispatchable",IFERROR(IF($D14="ELCSOL",$K14/SUMPRODUCT($R$1:$AC$1,$R$3:$AC$3)*W$1,IF($D14="ELCWND",$K14/SUMPRODUCT($R$2:$AC$2,$R$3:$AC$3)*W$2,0)),""),"")</f>
        <v/>
      </c>
      <c r="X14" t="str">
        <f>IF('ELC RESID'!$E7="Non Dispatchable",IFERROR(IF($D14="ELCSOL",$K14/SUMPRODUCT($R$1:$AC$1,$R$3:$AC$3)*X$1,IF($D14="ELCWND",$K14/SUMPRODUCT($R$2:$AC$2,$R$3:$AC$3)*X$2,0)),""),"")</f>
        <v/>
      </c>
      <c r="Y14" t="str">
        <f>IF('ELC RESID'!$E7="Non Dispatchable",IFERROR(IF($D14="ELCSOL",$K14/SUMPRODUCT($R$1:$AC$1,$R$3:$AC$3)*Y$1,IF($D14="ELCWND",$K14/SUMPRODUCT($R$2:$AC$2,$R$3:$AC$3)*Y$2,0)),""),"")</f>
        <v/>
      </c>
      <c r="Z14" t="str">
        <f>IF('ELC RESID'!$E7="Non Dispatchable",IFERROR(IF($D14="ELCSOL",$K14/SUMPRODUCT($R$1:$AC$1,$R$3:$AC$3)*Z$1,IF($D14="ELCWND",$K14/SUMPRODUCT($R$2:$AC$2,$R$3:$AC$3)*Z$2,0)),""),"")</f>
        <v/>
      </c>
      <c r="AA14" t="str">
        <f>IF('ELC RESID'!$E7="Non Dispatchable",IFERROR(IF($D14="ELCSOL",$K14/SUMPRODUCT($R$1:$AC$1,$R$3:$AC$3)*AA$1,IF($D14="ELCWND",$K14/SUMPRODUCT($R$2:$AC$2,$R$3:$AC$3)*AA$2,0)),""),"")</f>
        <v/>
      </c>
      <c r="AB14" t="str">
        <f>IF('ELC RESID'!$E7="Non Dispatchable",IFERROR(IF($D14="ELCSOL",$K14/SUMPRODUCT($R$1:$AC$1,$R$3:$AC$3)*AB$1,IF($D14="ELCWND",$K14/SUMPRODUCT($R$2:$AC$2,$R$3:$AC$3)*AB$2,0)),""),"")</f>
        <v/>
      </c>
      <c r="AC14" t="str">
        <f>IF('ELC RESID'!$E7="Non Dispatchable",IFERROR(IF($D14="ELCSOL",$K14/SUMPRODUCT($R$1:$AC$1,$R$3:$AC$3)*AC$1,IF($D14="ELCWND",$K14/SUMPRODUCT($R$2:$AC$2,$R$3:$AC$3)*AC$2,0)),""),"")</f>
        <v/>
      </c>
      <c r="AD14" t="str">
        <f>IF('ELC RESID'!$E7="Storage", ResidELC!R$3*$N14,"")</f>
        <v/>
      </c>
      <c r="AE14" t="str">
        <f>IF('ELC RESID'!$E7="Storage", ResidELC!S$3*$N14,"")</f>
        <v/>
      </c>
      <c r="AF14" t="str">
        <f>IF('ELC RESID'!$E7="Storage", ResidELC!T$3*$N14,"")</f>
        <v/>
      </c>
      <c r="AG14" t="str">
        <f>IF('ELC RESID'!$E7="Storage", ResidELC!U$3*$N14,"")</f>
        <v/>
      </c>
      <c r="AH14" t="str">
        <f>IF('ELC RESID'!$E7="Storage", ResidELC!V$3*$N14,"")</f>
        <v/>
      </c>
      <c r="AI14" t="str">
        <f>IF('ELC RESID'!$E7="Storage", ResidELC!W$3*$N14,"")</f>
        <v/>
      </c>
      <c r="AJ14" t="str">
        <f>IF('ELC RESID'!$E7="Storage", ResidELC!X$3*$N14,"")</f>
        <v/>
      </c>
      <c r="AK14" t="str">
        <f>IF('ELC RESID'!$E7="Storage", ResidELC!Y$3*$N14,"")</f>
        <v/>
      </c>
      <c r="AL14" t="str">
        <f>IF('ELC RESID'!$E7="Storage", ResidELC!Z$3*$N14,"")</f>
        <v/>
      </c>
      <c r="AM14" t="str">
        <f>IF('ELC RESID'!$E7="Storage", ResidELC!AA$3*$N14,"")</f>
        <v/>
      </c>
      <c r="AN14" t="str">
        <f>IF('ELC RESID'!$E7="Storage", ResidELC!AB$3*$N14,"")</f>
        <v/>
      </c>
      <c r="AO14" t="str">
        <f>IF('ELC RESID'!$E7="Storage", ResidELC!AC$3*$N14,"")</f>
        <v/>
      </c>
      <c r="AP14" s="13">
        <f>'ELC RESID'!O7</f>
        <v>0</v>
      </c>
      <c r="AQ14" s="13">
        <f>'ELC RESID'!P7</f>
        <v>0</v>
      </c>
      <c r="AR14" s="13">
        <f>'ELC RESID'!Q7</f>
        <v>0</v>
      </c>
      <c r="AS14" s="13">
        <f>'ELC RESID'!R7</f>
        <v>0</v>
      </c>
      <c r="AT14" s="13">
        <f>'ELC RESID'!S7</f>
        <v>0</v>
      </c>
      <c r="AU14" s="13">
        <f>'ELC RESID'!T7</f>
        <v>0</v>
      </c>
      <c r="AV14" s="13">
        <f>'ELC RESID'!U7</f>
        <v>0</v>
      </c>
      <c r="AW14" s="13">
        <f>'ELC RESID'!V7</f>
        <v>0</v>
      </c>
      <c r="AX14" s="13">
        <f>'ELC RESID'!W7</f>
        <v>0</v>
      </c>
      <c r="AY14" s="13">
        <f>'ELC RESID'!X7</f>
        <v>0</v>
      </c>
      <c r="AZ14" s="13">
        <f>'ELC RESID'!Y7</f>
        <v>0</v>
      </c>
      <c r="BA14" s="13">
        <f>'ELC RESID'!Z7</f>
        <v>0</v>
      </c>
      <c r="BB14" s="13">
        <f>'ELC RESID'!AA7</f>
        <v>0</v>
      </c>
      <c r="BC14" s="13">
        <f>'ELC RESID'!AB7</f>
        <v>0</v>
      </c>
      <c r="BD14" s="13">
        <f>'ELC RESID'!AC7</f>
        <v>0</v>
      </c>
      <c r="BE14" s="13">
        <f>'ELC RESID'!AD7</f>
        <v>0</v>
      </c>
      <c r="BF14" s="13">
        <f>'ELC RESID'!AE7</f>
        <v>0</v>
      </c>
      <c r="BG14" s="13">
        <f>'ELC RESID'!AF7</f>
        <v>0</v>
      </c>
    </row>
    <row r="15" spans="2:59">
      <c r="B15" t="str">
        <f>IF(SUM(AP15:BG15)=0,"*",Def_Tech!C10)</f>
        <v>*</v>
      </c>
      <c r="C15" t="str">
        <f>Def_Tech!D10</f>
        <v>ELCNGAGRDOTT19</v>
      </c>
      <c r="D15" t="str">
        <f>IF(_xlfn.XLOOKUP('ELC RESID'!G8,List!C:C,List!B:B)="STG",E15,"ELC"&amp;_xlfn.XLOOKUP('ELC RESID'!G8,List!C:C,List!B:B))</f>
        <v>ELCNGA</v>
      </c>
      <c r="E15" t="s">
        <v>405</v>
      </c>
      <c r="F15" s="12">
        <f>IF('ELC RESID'!E8="Storage","",IF('ELC RESID'!L8="",1,'ELC RESID'!L8))</f>
        <v>1</v>
      </c>
      <c r="G15" s="12" t="str">
        <f>IF('ELC RESID'!E8&lt;&gt;"Storage","",IF('ELC RESID'!L8="",1,'ELC RESID'!L8))</f>
        <v/>
      </c>
      <c r="H15">
        <f t="shared" si="2"/>
        <v>31.535999999999998</v>
      </c>
      <c r="I15" s="12">
        <f>_xlfn.XLOOKUP(C15,'ELC RESID'!H:H,'ELC RESID'!N:N)</f>
        <v>0.61563936970204913</v>
      </c>
      <c r="J15" s="12">
        <f>_xlfn.XLOOKUP(C15,'ELC RESID'!H:H,'ELC RESID'!M:M)</f>
        <v>34.82759862885878</v>
      </c>
      <c r="K15" s="12">
        <f>IF('ELC RESID'!$E8="Storage","",IF('ELC RESID'!$K8&gt;0,'ELC RESID'!$K8,-'ELC RESID'!$K8))</f>
        <v>0</v>
      </c>
      <c r="L15" s="12">
        <f t="shared" si="3"/>
        <v>0</v>
      </c>
      <c r="M15" s="12">
        <f t="shared" si="3"/>
        <v>0</v>
      </c>
      <c r="N15" s="12" t="str">
        <f>IF('ELC RESID'!$E8="Storage",IF('ELC RESID'!$K8&gt;0,'ELC RESID'!$K8,-'ELC RESID'!$K8),"")</f>
        <v/>
      </c>
      <c r="O15" s="8" t="str">
        <f t="shared" si="4"/>
        <v/>
      </c>
      <c r="P15" s="8" t="str">
        <f t="shared" si="4"/>
        <v/>
      </c>
      <c r="Q15">
        <f>IF('ELC RESID'!E8="Storage",0.3,IF('ELC RESID'!E8="Baseload",0.9,IF('ELC RESID'!E8="Non Dispatchable",0.05,IF('ELC RESID'!E8="Dispatchable",0.9,1))))</f>
        <v>0.9</v>
      </c>
      <c r="R15" t="str">
        <f>IF('ELC RESID'!$E8="Non Dispatchable",IFERROR(IF($D15="ELCSOL",$K15/SUMPRODUCT($R$1:$AC$1,$R$3:$AC$3)*R$1,IF($D15="ELCWND",$K15/SUMPRODUCT($R$2:$AC$2,$R$3:$AC$3)*R$2,0)),""),"")</f>
        <v/>
      </c>
      <c r="S15" t="str">
        <f>IF('ELC RESID'!$E8="Non Dispatchable",IFERROR(IF($D15="ELCSOL",$K15/SUMPRODUCT($R$1:$AC$1,$R$3:$AC$3)*S$1,IF($D15="ELCWND",$K15/SUMPRODUCT($R$2:$AC$2,$R$3:$AC$3)*S$2,0)),""),"")</f>
        <v/>
      </c>
      <c r="T15" t="str">
        <f>IF('ELC RESID'!$E8="Non Dispatchable",IFERROR(IF($D15="ELCSOL",$K15/SUMPRODUCT($R$1:$AC$1,$R$3:$AC$3)*T$1,IF($D15="ELCWND",$K15/SUMPRODUCT($R$2:$AC$2,$R$3:$AC$3)*T$2,0)),""),"")</f>
        <v/>
      </c>
      <c r="U15" t="str">
        <f>IF('ELC RESID'!$E8="Non Dispatchable",IFERROR(IF($D15="ELCSOL",$K15/SUMPRODUCT($R$1:$AC$1,$R$3:$AC$3)*U$1,IF($D15="ELCWND",$K15/SUMPRODUCT($R$2:$AC$2,$R$3:$AC$3)*U$2,0)),""),"")</f>
        <v/>
      </c>
      <c r="V15" t="str">
        <f>IF('ELC RESID'!$E8="Non Dispatchable",IFERROR(IF($D15="ELCSOL",$K15/SUMPRODUCT($R$1:$AC$1,$R$3:$AC$3)*V$1,IF($D15="ELCWND",$K15/SUMPRODUCT($R$2:$AC$2,$R$3:$AC$3)*V$2,0)),""),"")</f>
        <v/>
      </c>
      <c r="W15" t="str">
        <f>IF('ELC RESID'!$E8="Non Dispatchable",IFERROR(IF($D15="ELCSOL",$K15/SUMPRODUCT($R$1:$AC$1,$R$3:$AC$3)*W$1,IF($D15="ELCWND",$K15/SUMPRODUCT($R$2:$AC$2,$R$3:$AC$3)*W$2,0)),""),"")</f>
        <v/>
      </c>
      <c r="X15" t="str">
        <f>IF('ELC RESID'!$E8="Non Dispatchable",IFERROR(IF($D15="ELCSOL",$K15/SUMPRODUCT($R$1:$AC$1,$R$3:$AC$3)*X$1,IF($D15="ELCWND",$K15/SUMPRODUCT($R$2:$AC$2,$R$3:$AC$3)*X$2,0)),""),"")</f>
        <v/>
      </c>
      <c r="Y15" t="str">
        <f>IF('ELC RESID'!$E8="Non Dispatchable",IFERROR(IF($D15="ELCSOL",$K15/SUMPRODUCT($R$1:$AC$1,$R$3:$AC$3)*Y$1,IF($D15="ELCWND",$K15/SUMPRODUCT($R$2:$AC$2,$R$3:$AC$3)*Y$2,0)),""),"")</f>
        <v/>
      </c>
      <c r="Z15" t="str">
        <f>IF('ELC RESID'!$E8="Non Dispatchable",IFERROR(IF($D15="ELCSOL",$K15/SUMPRODUCT($R$1:$AC$1,$R$3:$AC$3)*Z$1,IF($D15="ELCWND",$K15/SUMPRODUCT($R$2:$AC$2,$R$3:$AC$3)*Z$2,0)),""),"")</f>
        <v/>
      </c>
      <c r="AA15" t="str">
        <f>IF('ELC RESID'!$E8="Non Dispatchable",IFERROR(IF($D15="ELCSOL",$K15/SUMPRODUCT($R$1:$AC$1,$R$3:$AC$3)*AA$1,IF($D15="ELCWND",$K15/SUMPRODUCT($R$2:$AC$2,$R$3:$AC$3)*AA$2,0)),""),"")</f>
        <v/>
      </c>
      <c r="AB15" t="str">
        <f>IF('ELC RESID'!$E8="Non Dispatchable",IFERROR(IF($D15="ELCSOL",$K15/SUMPRODUCT($R$1:$AC$1,$R$3:$AC$3)*AB$1,IF($D15="ELCWND",$K15/SUMPRODUCT($R$2:$AC$2,$R$3:$AC$3)*AB$2,0)),""),"")</f>
        <v/>
      </c>
      <c r="AC15" t="str">
        <f>IF('ELC RESID'!$E8="Non Dispatchable",IFERROR(IF($D15="ELCSOL",$K15/SUMPRODUCT($R$1:$AC$1,$R$3:$AC$3)*AC$1,IF($D15="ELCWND",$K15/SUMPRODUCT($R$2:$AC$2,$R$3:$AC$3)*AC$2,0)),""),"")</f>
        <v/>
      </c>
      <c r="AD15" t="str">
        <f>IF('ELC RESID'!$E8="Storage", ResidELC!R$3*$N15,"")</f>
        <v/>
      </c>
      <c r="AE15" t="str">
        <f>IF('ELC RESID'!$E8="Storage", ResidELC!S$3*$N15,"")</f>
        <v/>
      </c>
      <c r="AF15" t="str">
        <f>IF('ELC RESID'!$E8="Storage", ResidELC!T$3*$N15,"")</f>
        <v/>
      </c>
      <c r="AG15" t="str">
        <f>IF('ELC RESID'!$E8="Storage", ResidELC!U$3*$N15,"")</f>
        <v/>
      </c>
      <c r="AH15" t="str">
        <f>IF('ELC RESID'!$E8="Storage", ResidELC!V$3*$N15,"")</f>
        <v/>
      </c>
      <c r="AI15" t="str">
        <f>IF('ELC RESID'!$E8="Storage", ResidELC!W$3*$N15,"")</f>
        <v/>
      </c>
      <c r="AJ15" t="str">
        <f>IF('ELC RESID'!$E8="Storage", ResidELC!X$3*$N15,"")</f>
        <v/>
      </c>
      <c r="AK15" t="str">
        <f>IF('ELC RESID'!$E8="Storage", ResidELC!Y$3*$N15,"")</f>
        <v/>
      </c>
      <c r="AL15" t="str">
        <f>IF('ELC RESID'!$E8="Storage", ResidELC!Z$3*$N15,"")</f>
        <v/>
      </c>
      <c r="AM15" t="str">
        <f>IF('ELC RESID'!$E8="Storage", ResidELC!AA$3*$N15,"")</f>
        <v/>
      </c>
      <c r="AN15" t="str">
        <f>IF('ELC RESID'!$E8="Storage", ResidELC!AB$3*$N15,"")</f>
        <v/>
      </c>
      <c r="AO15" t="str">
        <f>IF('ELC RESID'!$E8="Storage", ResidELC!AC$3*$N15,"")</f>
        <v/>
      </c>
      <c r="AP15" s="13">
        <f>'ELC RESID'!O8</f>
        <v>0</v>
      </c>
      <c r="AQ15" s="13">
        <f>'ELC RESID'!P8</f>
        <v>0</v>
      </c>
      <c r="AR15" s="13">
        <f>'ELC RESID'!Q8</f>
        <v>0</v>
      </c>
      <c r="AS15" s="13">
        <f>'ELC RESID'!R8</f>
        <v>0</v>
      </c>
      <c r="AT15" s="13">
        <f>'ELC RESID'!S8</f>
        <v>0</v>
      </c>
      <c r="AU15" s="13">
        <f>'ELC RESID'!T8</f>
        <v>0</v>
      </c>
      <c r="AV15" s="13">
        <f>'ELC RESID'!U8</f>
        <v>0</v>
      </c>
      <c r="AW15" s="13">
        <f>'ELC RESID'!V8</f>
        <v>0</v>
      </c>
      <c r="AX15" s="13">
        <f>'ELC RESID'!W8</f>
        <v>0</v>
      </c>
      <c r="AY15" s="13">
        <f>'ELC RESID'!X8</f>
        <v>0</v>
      </c>
      <c r="AZ15" s="13">
        <f>'ELC RESID'!Y8</f>
        <v>0</v>
      </c>
      <c r="BA15" s="13">
        <f>'ELC RESID'!Z8</f>
        <v>0</v>
      </c>
      <c r="BB15" s="13">
        <f>'ELC RESID'!AA8</f>
        <v>0</v>
      </c>
      <c r="BC15" s="13">
        <f>'ELC RESID'!AB8</f>
        <v>0</v>
      </c>
      <c r="BD15" s="13">
        <f>'ELC RESID'!AC8</f>
        <v>0</v>
      </c>
      <c r="BE15" s="13">
        <f>'ELC RESID'!AD8</f>
        <v>0</v>
      </c>
      <c r="BF15" s="13">
        <f>'ELC RESID'!AE8</f>
        <v>0</v>
      </c>
      <c r="BG15" s="13">
        <f>'ELC RESID'!AF8</f>
        <v>0</v>
      </c>
    </row>
    <row r="16" spans="2:59">
      <c r="B16" t="str">
        <f>IF(SUM(AP16:BG16)=0,"*",Def_Tech!C11)</f>
        <v>EGRID</v>
      </c>
      <c r="C16" t="str">
        <f>Def_Tech!D11</f>
        <v>ELCNGAGRDICE19</v>
      </c>
      <c r="D16" t="str">
        <f>IF(_xlfn.XLOOKUP('ELC RESID'!G9,List!C:C,List!B:B)="STG",E16,"ELC"&amp;_xlfn.XLOOKUP('ELC RESID'!G9,List!C:C,List!B:B))</f>
        <v>ELCNGA</v>
      </c>
      <c r="E16" t="s">
        <v>405</v>
      </c>
      <c r="F16" s="12">
        <f>IF('ELC RESID'!E9="Storage","",IF('ELC RESID'!L9="",1,'ELC RESID'!L9))</f>
        <v>0.43624457857704552</v>
      </c>
      <c r="G16" s="12" t="str">
        <f>IF('ELC RESID'!E9&lt;&gt;"Storage","",IF('ELC RESID'!L9="",1,'ELC RESID'!L9))</f>
        <v/>
      </c>
      <c r="H16">
        <f t="shared" si="2"/>
        <v>31.535999999999998</v>
      </c>
      <c r="I16" s="12">
        <f>_xlfn.XLOOKUP(C16,'ELC RESID'!H:H,'ELC RESID'!N:N)</f>
        <v>2.0228150718781621</v>
      </c>
      <c r="J16" s="12">
        <f>_xlfn.XLOOKUP(C16,'ELC RESID'!H:H,'ELC RESID'!M:M)</f>
        <v>27.138388541967881</v>
      </c>
      <c r="K16" s="12">
        <f>IF('ELC RESID'!$E9="Storage","",IF('ELC RESID'!$K9&gt;0,'ELC RESID'!$K9,-'ELC RESID'!$K9))</f>
        <v>0.23406495003015421</v>
      </c>
      <c r="L16" s="12">
        <f t="shared" si="3"/>
        <v>0.23406495003015421</v>
      </c>
      <c r="M16" s="12">
        <f t="shared" si="3"/>
        <v>0.23406495003015421</v>
      </c>
      <c r="N16" s="12" t="str">
        <f>IF('ELC RESID'!$E9="Storage",IF('ELC RESID'!$K9&gt;0,'ELC RESID'!$K9,-'ELC RESID'!$K9),"")</f>
        <v/>
      </c>
      <c r="O16" s="8" t="str">
        <f t="shared" si="4"/>
        <v/>
      </c>
      <c r="P16" s="8" t="str">
        <f t="shared" si="4"/>
        <v/>
      </c>
      <c r="Q16">
        <f>IF('ELC RESID'!E9="Storage",0.3,IF('ELC RESID'!E9="Baseload",0.9,IF('ELC RESID'!E9="Non Dispatchable",0.05,IF('ELC RESID'!E9="Dispatchable",0.9,1))))</f>
        <v>0.9</v>
      </c>
      <c r="R16" t="str">
        <f>IF('ELC RESID'!$E9="Non Dispatchable",IFERROR(IF($D16="ELCSOL",$K16/SUMPRODUCT($R$1:$AC$1,$R$3:$AC$3)*R$1,IF($D16="ELCWND",$K16/SUMPRODUCT($R$2:$AC$2,$R$3:$AC$3)*R$2,0)),""),"")</f>
        <v/>
      </c>
      <c r="S16" t="str">
        <f>IF('ELC RESID'!$E9="Non Dispatchable",IFERROR(IF($D16="ELCSOL",$K16/SUMPRODUCT($R$1:$AC$1,$R$3:$AC$3)*S$1,IF($D16="ELCWND",$K16/SUMPRODUCT($R$2:$AC$2,$R$3:$AC$3)*S$2,0)),""),"")</f>
        <v/>
      </c>
      <c r="T16" t="str">
        <f>IF('ELC RESID'!$E9="Non Dispatchable",IFERROR(IF($D16="ELCSOL",$K16/SUMPRODUCT($R$1:$AC$1,$R$3:$AC$3)*T$1,IF($D16="ELCWND",$K16/SUMPRODUCT($R$2:$AC$2,$R$3:$AC$3)*T$2,0)),""),"")</f>
        <v/>
      </c>
      <c r="U16" t="str">
        <f>IF('ELC RESID'!$E9="Non Dispatchable",IFERROR(IF($D16="ELCSOL",$K16/SUMPRODUCT($R$1:$AC$1,$R$3:$AC$3)*U$1,IF($D16="ELCWND",$K16/SUMPRODUCT($R$2:$AC$2,$R$3:$AC$3)*U$2,0)),""),"")</f>
        <v/>
      </c>
      <c r="V16" t="str">
        <f>IF('ELC RESID'!$E9="Non Dispatchable",IFERROR(IF($D16="ELCSOL",$K16/SUMPRODUCT($R$1:$AC$1,$R$3:$AC$3)*V$1,IF($D16="ELCWND",$K16/SUMPRODUCT($R$2:$AC$2,$R$3:$AC$3)*V$2,0)),""),"")</f>
        <v/>
      </c>
      <c r="W16" t="str">
        <f>IF('ELC RESID'!$E9="Non Dispatchable",IFERROR(IF($D16="ELCSOL",$K16/SUMPRODUCT($R$1:$AC$1,$R$3:$AC$3)*W$1,IF($D16="ELCWND",$K16/SUMPRODUCT($R$2:$AC$2,$R$3:$AC$3)*W$2,0)),""),"")</f>
        <v/>
      </c>
      <c r="X16" t="str">
        <f>IF('ELC RESID'!$E9="Non Dispatchable",IFERROR(IF($D16="ELCSOL",$K16/SUMPRODUCT($R$1:$AC$1,$R$3:$AC$3)*X$1,IF($D16="ELCWND",$K16/SUMPRODUCT($R$2:$AC$2,$R$3:$AC$3)*X$2,0)),""),"")</f>
        <v/>
      </c>
      <c r="Y16" t="str">
        <f>IF('ELC RESID'!$E9="Non Dispatchable",IFERROR(IF($D16="ELCSOL",$K16/SUMPRODUCT($R$1:$AC$1,$R$3:$AC$3)*Y$1,IF($D16="ELCWND",$K16/SUMPRODUCT($R$2:$AC$2,$R$3:$AC$3)*Y$2,0)),""),"")</f>
        <v/>
      </c>
      <c r="Z16" t="str">
        <f>IF('ELC RESID'!$E9="Non Dispatchable",IFERROR(IF($D16="ELCSOL",$K16/SUMPRODUCT($R$1:$AC$1,$R$3:$AC$3)*Z$1,IF($D16="ELCWND",$K16/SUMPRODUCT($R$2:$AC$2,$R$3:$AC$3)*Z$2,0)),""),"")</f>
        <v/>
      </c>
      <c r="AA16" t="str">
        <f>IF('ELC RESID'!$E9="Non Dispatchable",IFERROR(IF($D16="ELCSOL",$K16/SUMPRODUCT($R$1:$AC$1,$R$3:$AC$3)*AA$1,IF($D16="ELCWND",$K16/SUMPRODUCT($R$2:$AC$2,$R$3:$AC$3)*AA$2,0)),""),"")</f>
        <v/>
      </c>
      <c r="AB16" t="str">
        <f>IF('ELC RESID'!$E9="Non Dispatchable",IFERROR(IF($D16="ELCSOL",$K16/SUMPRODUCT($R$1:$AC$1,$R$3:$AC$3)*AB$1,IF($D16="ELCWND",$K16/SUMPRODUCT($R$2:$AC$2,$R$3:$AC$3)*AB$2,0)),""),"")</f>
        <v/>
      </c>
      <c r="AC16" t="str">
        <f>IF('ELC RESID'!$E9="Non Dispatchable",IFERROR(IF($D16="ELCSOL",$K16/SUMPRODUCT($R$1:$AC$1,$R$3:$AC$3)*AC$1,IF($D16="ELCWND",$K16/SUMPRODUCT($R$2:$AC$2,$R$3:$AC$3)*AC$2,0)),""),"")</f>
        <v/>
      </c>
      <c r="AD16" t="str">
        <f>IF('ELC RESID'!$E9="Storage", ResidELC!R$3*$N16,"")</f>
        <v/>
      </c>
      <c r="AE16" t="str">
        <f>IF('ELC RESID'!$E9="Storage", ResidELC!S$3*$N16,"")</f>
        <v/>
      </c>
      <c r="AF16" t="str">
        <f>IF('ELC RESID'!$E9="Storage", ResidELC!T$3*$N16,"")</f>
        <v/>
      </c>
      <c r="AG16" t="str">
        <f>IF('ELC RESID'!$E9="Storage", ResidELC!U$3*$N16,"")</f>
        <v/>
      </c>
      <c r="AH16" t="str">
        <f>IF('ELC RESID'!$E9="Storage", ResidELC!V$3*$N16,"")</f>
        <v/>
      </c>
      <c r="AI16" t="str">
        <f>IF('ELC RESID'!$E9="Storage", ResidELC!W$3*$N16,"")</f>
        <v/>
      </c>
      <c r="AJ16" t="str">
        <f>IF('ELC RESID'!$E9="Storage", ResidELC!X$3*$N16,"")</f>
        <v/>
      </c>
      <c r="AK16" t="str">
        <f>IF('ELC RESID'!$E9="Storage", ResidELC!Y$3*$N16,"")</f>
        <v/>
      </c>
      <c r="AL16" t="str">
        <f>IF('ELC RESID'!$E9="Storage", ResidELC!Z$3*$N16,"")</f>
        <v/>
      </c>
      <c r="AM16" t="str">
        <f>IF('ELC RESID'!$E9="Storage", ResidELC!AA$3*$N16,"")</f>
        <v/>
      </c>
      <c r="AN16" t="str">
        <f>IF('ELC RESID'!$E9="Storage", ResidELC!AB$3*$N16,"")</f>
        <v/>
      </c>
      <c r="AO16" t="str">
        <f>IF('ELC RESID'!$E9="Storage", ResidELC!AC$3*$N16,"")</f>
        <v/>
      </c>
      <c r="AP16" s="13">
        <f>'ELC RESID'!O9</f>
        <v>31.800000000000011</v>
      </c>
      <c r="AQ16" s="13">
        <f>'ELC RESID'!P9</f>
        <v>31.8</v>
      </c>
      <c r="AR16" s="13">
        <f>'ELC RESID'!Q9</f>
        <v>31.8</v>
      </c>
      <c r="AS16" s="13">
        <f>'ELC RESID'!R9</f>
        <v>23.400000000000009</v>
      </c>
      <c r="AT16" s="13">
        <f>'ELC RESID'!S9</f>
        <v>22.5</v>
      </c>
      <c r="AU16" s="13">
        <f>'ELC RESID'!T9</f>
        <v>22.3</v>
      </c>
      <c r="AV16" s="13">
        <f>'ELC RESID'!U9</f>
        <v>2.4</v>
      </c>
      <c r="AW16" s="13">
        <f>'ELC RESID'!V9</f>
        <v>0</v>
      </c>
      <c r="AX16" s="13">
        <f>'ELC RESID'!W9</f>
        <v>0</v>
      </c>
      <c r="AY16" s="13">
        <f>'ELC RESID'!X9</f>
        <v>0</v>
      </c>
      <c r="AZ16" s="13">
        <f>'ELC RESID'!Y9</f>
        <v>0</v>
      </c>
      <c r="BA16" s="13">
        <f>'ELC RESID'!Z9</f>
        <v>0</v>
      </c>
      <c r="BB16" s="13">
        <f>'ELC RESID'!AA9</f>
        <v>0</v>
      </c>
      <c r="BC16" s="13">
        <f>'ELC RESID'!AB9</f>
        <v>0</v>
      </c>
      <c r="BD16" s="13">
        <f>'ELC RESID'!AC9</f>
        <v>0</v>
      </c>
      <c r="BE16" s="13">
        <f>'ELC RESID'!AD9</f>
        <v>0</v>
      </c>
      <c r="BF16" s="13">
        <f>'ELC RESID'!AE9</f>
        <v>0</v>
      </c>
      <c r="BG16" s="13">
        <f>'ELC RESID'!AF9</f>
        <v>0</v>
      </c>
    </row>
    <row r="17" spans="2:59">
      <c r="B17" t="str">
        <f>IF(SUM(AP17:BG17)=0,"*",Def_Tech!C12)</f>
        <v>EGRID</v>
      </c>
      <c r="C17" t="str">
        <f>Def_Tech!D12</f>
        <v>ELCNGAGRDFCE19</v>
      </c>
      <c r="D17" t="str">
        <f>IF(_xlfn.XLOOKUP('ELC RESID'!G10,List!C:C,List!B:B)="STG",E17,"ELC"&amp;_xlfn.XLOOKUP('ELC RESID'!G10,List!C:C,List!B:B))</f>
        <v>ELCNGA</v>
      </c>
      <c r="E17" t="s">
        <v>405</v>
      </c>
      <c r="F17" s="12">
        <f>IF('ELC RESID'!E10="Storage","",IF('ELC RESID'!L10="",1,'ELC RESID'!L10))</f>
        <v>0.48922552083470572</v>
      </c>
      <c r="G17" s="12" t="str">
        <f>IF('ELC RESID'!E10&lt;&gt;"Storage","",IF('ELC RESID'!L10="",1,'ELC RESID'!L10))</f>
        <v/>
      </c>
      <c r="H17">
        <f t="shared" si="2"/>
        <v>31.535999999999998</v>
      </c>
      <c r="I17" s="12">
        <f>_xlfn.XLOOKUP(C17,'ELC RESID'!H:H,'ELC RESID'!N:N)</f>
        <v>0.61563936970204913</v>
      </c>
      <c r="J17" s="12">
        <f>_xlfn.XLOOKUP(C17,'ELC RESID'!H:H,'ELC RESID'!M:M)</f>
        <v>34.82759862885878</v>
      </c>
      <c r="K17" s="12">
        <f>IF('ELC RESID'!$E10="Storage","",IF('ELC RESID'!$K10&gt;0,'ELC RESID'!$K10,-'ELC RESID'!$K10))</f>
        <v>0.92258198422581983</v>
      </c>
      <c r="L17" s="12">
        <f t="shared" si="3"/>
        <v>0.92258198422581983</v>
      </c>
      <c r="M17" s="12">
        <f t="shared" si="3"/>
        <v>0.92258198422581983</v>
      </c>
      <c r="N17" s="12" t="str">
        <f>IF('ELC RESID'!$E10="Storage",IF('ELC RESID'!$K10&gt;0,'ELC RESID'!$K10,-'ELC RESID'!$K10),"")</f>
        <v/>
      </c>
      <c r="O17" s="8" t="str">
        <f t="shared" si="4"/>
        <v/>
      </c>
      <c r="P17" s="8" t="str">
        <f t="shared" si="4"/>
        <v/>
      </c>
      <c r="Q17">
        <f>IF('ELC RESID'!E10="Storage",0.3,IF('ELC RESID'!E10="Baseload",0.9,IF('ELC RESID'!E10="Non Dispatchable",0.05,IF('ELC RESID'!E10="Dispatchable",0.9,1))))</f>
        <v>0.9</v>
      </c>
      <c r="R17" t="str">
        <f>IF('ELC RESID'!$E10="Non Dispatchable",IFERROR(IF($D17="ELCSOL",$K17/SUMPRODUCT($R$1:$AC$1,$R$3:$AC$3)*R$1,IF($D17="ELCWND",$K17/SUMPRODUCT($R$2:$AC$2,$R$3:$AC$3)*R$2,0)),""),"")</f>
        <v/>
      </c>
      <c r="S17" t="str">
        <f>IF('ELC RESID'!$E10="Non Dispatchable",IFERROR(IF($D17="ELCSOL",$K17/SUMPRODUCT($R$1:$AC$1,$R$3:$AC$3)*S$1,IF($D17="ELCWND",$K17/SUMPRODUCT($R$2:$AC$2,$R$3:$AC$3)*S$2,0)),""),"")</f>
        <v/>
      </c>
      <c r="T17" t="str">
        <f>IF('ELC RESID'!$E10="Non Dispatchable",IFERROR(IF($D17="ELCSOL",$K17/SUMPRODUCT($R$1:$AC$1,$R$3:$AC$3)*T$1,IF($D17="ELCWND",$K17/SUMPRODUCT($R$2:$AC$2,$R$3:$AC$3)*T$2,0)),""),"")</f>
        <v/>
      </c>
      <c r="U17" t="str">
        <f>IF('ELC RESID'!$E10="Non Dispatchable",IFERROR(IF($D17="ELCSOL",$K17/SUMPRODUCT($R$1:$AC$1,$R$3:$AC$3)*U$1,IF($D17="ELCWND",$K17/SUMPRODUCT($R$2:$AC$2,$R$3:$AC$3)*U$2,0)),""),"")</f>
        <v/>
      </c>
      <c r="V17" t="str">
        <f>IF('ELC RESID'!$E10="Non Dispatchable",IFERROR(IF($D17="ELCSOL",$K17/SUMPRODUCT($R$1:$AC$1,$R$3:$AC$3)*V$1,IF($D17="ELCWND",$K17/SUMPRODUCT($R$2:$AC$2,$R$3:$AC$3)*V$2,0)),""),"")</f>
        <v/>
      </c>
      <c r="W17" t="str">
        <f>IF('ELC RESID'!$E10="Non Dispatchable",IFERROR(IF($D17="ELCSOL",$K17/SUMPRODUCT($R$1:$AC$1,$R$3:$AC$3)*W$1,IF($D17="ELCWND",$K17/SUMPRODUCT($R$2:$AC$2,$R$3:$AC$3)*W$2,0)),""),"")</f>
        <v/>
      </c>
      <c r="X17" t="str">
        <f>IF('ELC RESID'!$E10="Non Dispatchable",IFERROR(IF($D17="ELCSOL",$K17/SUMPRODUCT($R$1:$AC$1,$R$3:$AC$3)*X$1,IF($D17="ELCWND",$K17/SUMPRODUCT($R$2:$AC$2,$R$3:$AC$3)*X$2,0)),""),"")</f>
        <v/>
      </c>
      <c r="Y17" t="str">
        <f>IF('ELC RESID'!$E10="Non Dispatchable",IFERROR(IF($D17="ELCSOL",$K17/SUMPRODUCT($R$1:$AC$1,$R$3:$AC$3)*Y$1,IF($D17="ELCWND",$K17/SUMPRODUCT($R$2:$AC$2,$R$3:$AC$3)*Y$2,0)),""),"")</f>
        <v/>
      </c>
      <c r="Z17" t="str">
        <f>IF('ELC RESID'!$E10="Non Dispatchable",IFERROR(IF($D17="ELCSOL",$K17/SUMPRODUCT($R$1:$AC$1,$R$3:$AC$3)*Z$1,IF($D17="ELCWND",$K17/SUMPRODUCT($R$2:$AC$2,$R$3:$AC$3)*Z$2,0)),""),"")</f>
        <v/>
      </c>
      <c r="AA17" t="str">
        <f>IF('ELC RESID'!$E10="Non Dispatchable",IFERROR(IF($D17="ELCSOL",$K17/SUMPRODUCT($R$1:$AC$1,$R$3:$AC$3)*AA$1,IF($D17="ELCWND",$K17/SUMPRODUCT($R$2:$AC$2,$R$3:$AC$3)*AA$2,0)),""),"")</f>
        <v/>
      </c>
      <c r="AB17" t="str">
        <f>IF('ELC RESID'!$E10="Non Dispatchable",IFERROR(IF($D17="ELCSOL",$K17/SUMPRODUCT($R$1:$AC$1,$R$3:$AC$3)*AB$1,IF($D17="ELCWND",$K17/SUMPRODUCT($R$2:$AC$2,$R$3:$AC$3)*AB$2,0)),""),"")</f>
        <v/>
      </c>
      <c r="AC17" t="str">
        <f>IF('ELC RESID'!$E10="Non Dispatchable",IFERROR(IF($D17="ELCSOL",$K17/SUMPRODUCT($R$1:$AC$1,$R$3:$AC$3)*AC$1,IF($D17="ELCWND",$K17/SUMPRODUCT($R$2:$AC$2,$R$3:$AC$3)*AC$2,0)),""),"")</f>
        <v/>
      </c>
      <c r="AD17" t="str">
        <f>IF('ELC RESID'!$E10="Storage", ResidELC!R$3*$N17,"")</f>
        <v/>
      </c>
      <c r="AE17" t="str">
        <f>IF('ELC RESID'!$E10="Storage", ResidELC!S$3*$N17,"")</f>
        <v/>
      </c>
      <c r="AF17" t="str">
        <f>IF('ELC RESID'!$E10="Storage", ResidELC!T$3*$N17,"")</f>
        <v/>
      </c>
      <c r="AG17" t="str">
        <f>IF('ELC RESID'!$E10="Storage", ResidELC!U$3*$N17,"")</f>
        <v/>
      </c>
      <c r="AH17" t="str">
        <f>IF('ELC RESID'!$E10="Storage", ResidELC!V$3*$N17,"")</f>
        <v/>
      </c>
      <c r="AI17" t="str">
        <f>IF('ELC RESID'!$E10="Storage", ResidELC!W$3*$N17,"")</f>
        <v/>
      </c>
      <c r="AJ17" t="str">
        <f>IF('ELC RESID'!$E10="Storage", ResidELC!X$3*$N17,"")</f>
        <v/>
      </c>
      <c r="AK17" t="str">
        <f>IF('ELC RESID'!$E10="Storage", ResidELC!Y$3*$N17,"")</f>
        <v/>
      </c>
      <c r="AL17" t="str">
        <f>IF('ELC RESID'!$E10="Storage", ResidELC!Z$3*$N17,"")</f>
        <v/>
      </c>
      <c r="AM17" t="str">
        <f>IF('ELC RESID'!$E10="Storage", ResidELC!AA$3*$N17,"")</f>
        <v/>
      </c>
      <c r="AN17" t="str">
        <f>IF('ELC RESID'!$E10="Storage", ResidELC!AB$3*$N17,"")</f>
        <v/>
      </c>
      <c r="AO17" t="str">
        <f>IF('ELC RESID'!$E10="Storage", ResidELC!AC$3*$N17,"")</f>
        <v/>
      </c>
      <c r="AP17" s="13">
        <f>'ELC RESID'!O10</f>
        <v>6.6</v>
      </c>
      <c r="AQ17" s="13">
        <f>'ELC RESID'!P10</f>
        <v>6.6</v>
      </c>
      <c r="AR17" s="13">
        <f>'ELC RESID'!Q10</f>
        <v>6.6</v>
      </c>
      <c r="AS17" s="13">
        <f>'ELC RESID'!R10</f>
        <v>6.6</v>
      </c>
      <c r="AT17" s="13">
        <f>'ELC RESID'!S10</f>
        <v>6.6</v>
      </c>
      <c r="AU17" s="13">
        <f>'ELC RESID'!T10</f>
        <v>6.6</v>
      </c>
      <c r="AV17" s="13">
        <f>'ELC RESID'!U10</f>
        <v>6.6</v>
      </c>
      <c r="AW17" s="13">
        <f>'ELC RESID'!V10</f>
        <v>6.6</v>
      </c>
      <c r="AX17" s="13">
        <f>'ELC RESID'!W10</f>
        <v>0</v>
      </c>
      <c r="AY17" s="13">
        <f>'ELC RESID'!X10</f>
        <v>0</v>
      </c>
      <c r="AZ17" s="13">
        <f>'ELC RESID'!Y10</f>
        <v>0</v>
      </c>
      <c r="BA17" s="13">
        <f>'ELC RESID'!Z10</f>
        <v>0</v>
      </c>
      <c r="BB17" s="13">
        <f>'ELC RESID'!AA10</f>
        <v>0</v>
      </c>
      <c r="BC17" s="13">
        <f>'ELC RESID'!AB10</f>
        <v>0</v>
      </c>
      <c r="BD17" s="13">
        <f>'ELC RESID'!AC10</f>
        <v>0</v>
      </c>
      <c r="BE17" s="13">
        <f>'ELC RESID'!AD10</f>
        <v>0</v>
      </c>
      <c r="BF17" s="13">
        <f>'ELC RESID'!AE10</f>
        <v>0</v>
      </c>
      <c r="BG17" s="13">
        <f>'ELC RESID'!AF10</f>
        <v>0</v>
      </c>
    </row>
    <row r="18" spans="2:59">
      <c r="B18" t="str">
        <f>IF(SUM(AP18:BG18)=0,"*",Def_Tech!C13)</f>
        <v>*</v>
      </c>
      <c r="C18" t="str">
        <f>Def_Tech!D13</f>
        <v>ELCRNGGRDCTU19</v>
      </c>
      <c r="D18" t="str">
        <f>IF(_xlfn.XLOOKUP('ELC RESID'!G11,List!C:C,List!B:B)="STG",E18,"ELC"&amp;_xlfn.XLOOKUP('ELC RESID'!G11,List!C:C,List!B:B))</f>
        <v>ELCRNG</v>
      </c>
      <c r="E18" t="s">
        <v>405</v>
      </c>
      <c r="F18" s="12">
        <f>IF('ELC RESID'!E11="Storage","",IF('ELC RESID'!L11="",1,'ELC RESID'!L11))</f>
        <v>1</v>
      </c>
      <c r="G18" s="12" t="str">
        <f>IF('ELC RESID'!E11&lt;&gt;"Storage","",IF('ELC RESID'!L11="",1,'ELC RESID'!L11))</f>
        <v/>
      </c>
      <c r="H18">
        <f t="shared" si="2"/>
        <v>31.535999999999998</v>
      </c>
      <c r="I18" s="12">
        <f>_xlfn.XLOOKUP(C18,'ELC RESID'!H:H,'ELC RESID'!N:N)</f>
        <v>2.0228150718781621</v>
      </c>
      <c r="J18" s="12">
        <f>_xlfn.XLOOKUP(C18,'ELC RESID'!H:H,'ELC RESID'!M:M)</f>
        <v>27.138388541967881</v>
      </c>
      <c r="K18" s="12">
        <f>IF('ELC RESID'!$E11="Storage","",IF('ELC RESID'!$K11&gt;0,'ELC RESID'!$K11,-'ELC RESID'!$K11))</f>
        <v>0</v>
      </c>
      <c r="L18" s="12">
        <f t="shared" si="3"/>
        <v>0</v>
      </c>
      <c r="M18" s="12">
        <f t="shared" si="3"/>
        <v>0</v>
      </c>
      <c r="N18" s="12" t="str">
        <f>IF('ELC RESID'!$E11="Storage",IF('ELC RESID'!$K11&gt;0,'ELC RESID'!$K11,-'ELC RESID'!$K11),"")</f>
        <v/>
      </c>
      <c r="O18" s="8" t="str">
        <f t="shared" si="4"/>
        <v/>
      </c>
      <c r="P18" s="8" t="str">
        <f t="shared" si="4"/>
        <v/>
      </c>
      <c r="Q18">
        <f>IF('ELC RESID'!E11="Storage",0.3,IF('ELC RESID'!E11="Baseload",0.9,IF('ELC RESID'!E11="Non Dispatchable",0.05,IF('ELC RESID'!E11="Dispatchable",0.9,1))))</f>
        <v>0.9</v>
      </c>
      <c r="R18" t="str">
        <f>IF('ELC RESID'!$E11="Non Dispatchable",IFERROR(IF($D18="ELCSOL",$K18/SUMPRODUCT($R$1:$AC$1,$R$3:$AC$3)*R$1,IF($D18="ELCWND",$K18/SUMPRODUCT($R$2:$AC$2,$R$3:$AC$3)*R$2,0)),""),"")</f>
        <v/>
      </c>
      <c r="S18" t="str">
        <f>IF('ELC RESID'!$E11="Non Dispatchable",IFERROR(IF($D18="ELCSOL",$K18/SUMPRODUCT($R$1:$AC$1,$R$3:$AC$3)*S$1,IF($D18="ELCWND",$K18/SUMPRODUCT($R$2:$AC$2,$R$3:$AC$3)*S$2,0)),""),"")</f>
        <v/>
      </c>
      <c r="T18" t="str">
        <f>IF('ELC RESID'!$E11="Non Dispatchable",IFERROR(IF($D18="ELCSOL",$K18/SUMPRODUCT($R$1:$AC$1,$R$3:$AC$3)*T$1,IF($D18="ELCWND",$K18/SUMPRODUCT($R$2:$AC$2,$R$3:$AC$3)*T$2,0)),""),"")</f>
        <v/>
      </c>
      <c r="U18" t="str">
        <f>IF('ELC RESID'!$E11="Non Dispatchable",IFERROR(IF($D18="ELCSOL",$K18/SUMPRODUCT($R$1:$AC$1,$R$3:$AC$3)*U$1,IF($D18="ELCWND",$K18/SUMPRODUCT($R$2:$AC$2,$R$3:$AC$3)*U$2,0)),""),"")</f>
        <v/>
      </c>
      <c r="V18" t="str">
        <f>IF('ELC RESID'!$E11="Non Dispatchable",IFERROR(IF($D18="ELCSOL",$K18/SUMPRODUCT($R$1:$AC$1,$R$3:$AC$3)*V$1,IF($D18="ELCWND",$K18/SUMPRODUCT($R$2:$AC$2,$R$3:$AC$3)*V$2,0)),""),"")</f>
        <v/>
      </c>
      <c r="W18" t="str">
        <f>IF('ELC RESID'!$E11="Non Dispatchable",IFERROR(IF($D18="ELCSOL",$K18/SUMPRODUCT($R$1:$AC$1,$R$3:$AC$3)*W$1,IF($D18="ELCWND",$K18/SUMPRODUCT($R$2:$AC$2,$R$3:$AC$3)*W$2,0)),""),"")</f>
        <v/>
      </c>
      <c r="X18" t="str">
        <f>IF('ELC RESID'!$E11="Non Dispatchable",IFERROR(IF($D18="ELCSOL",$K18/SUMPRODUCT($R$1:$AC$1,$R$3:$AC$3)*X$1,IF($D18="ELCWND",$K18/SUMPRODUCT($R$2:$AC$2,$R$3:$AC$3)*X$2,0)),""),"")</f>
        <v/>
      </c>
      <c r="Y18" t="str">
        <f>IF('ELC RESID'!$E11="Non Dispatchable",IFERROR(IF($D18="ELCSOL",$K18/SUMPRODUCT($R$1:$AC$1,$R$3:$AC$3)*Y$1,IF($D18="ELCWND",$K18/SUMPRODUCT($R$2:$AC$2,$R$3:$AC$3)*Y$2,0)),""),"")</f>
        <v/>
      </c>
      <c r="Z18" t="str">
        <f>IF('ELC RESID'!$E11="Non Dispatchable",IFERROR(IF($D18="ELCSOL",$K18/SUMPRODUCT($R$1:$AC$1,$R$3:$AC$3)*Z$1,IF($D18="ELCWND",$K18/SUMPRODUCT($R$2:$AC$2,$R$3:$AC$3)*Z$2,0)),""),"")</f>
        <v/>
      </c>
      <c r="AA18" t="str">
        <f>IF('ELC RESID'!$E11="Non Dispatchable",IFERROR(IF($D18="ELCSOL",$K18/SUMPRODUCT($R$1:$AC$1,$R$3:$AC$3)*AA$1,IF($D18="ELCWND",$K18/SUMPRODUCT($R$2:$AC$2,$R$3:$AC$3)*AA$2,0)),""),"")</f>
        <v/>
      </c>
      <c r="AB18" t="str">
        <f>IF('ELC RESID'!$E11="Non Dispatchable",IFERROR(IF($D18="ELCSOL",$K18/SUMPRODUCT($R$1:$AC$1,$R$3:$AC$3)*AB$1,IF($D18="ELCWND",$K18/SUMPRODUCT($R$2:$AC$2,$R$3:$AC$3)*AB$2,0)),""),"")</f>
        <v/>
      </c>
      <c r="AC18" t="str">
        <f>IF('ELC RESID'!$E11="Non Dispatchable",IFERROR(IF($D18="ELCSOL",$K18/SUMPRODUCT($R$1:$AC$1,$R$3:$AC$3)*AC$1,IF($D18="ELCWND",$K18/SUMPRODUCT($R$2:$AC$2,$R$3:$AC$3)*AC$2,0)),""),"")</f>
        <v/>
      </c>
      <c r="AD18" t="str">
        <f>IF('ELC RESID'!$E11="Storage", ResidELC!R$3*$N18,"")</f>
        <v/>
      </c>
      <c r="AE18" t="str">
        <f>IF('ELC RESID'!$E11="Storage", ResidELC!S$3*$N18,"")</f>
        <v/>
      </c>
      <c r="AF18" t="str">
        <f>IF('ELC RESID'!$E11="Storage", ResidELC!T$3*$N18,"")</f>
        <v/>
      </c>
      <c r="AG18" t="str">
        <f>IF('ELC RESID'!$E11="Storage", ResidELC!U$3*$N18,"")</f>
        <v/>
      </c>
      <c r="AH18" t="str">
        <f>IF('ELC RESID'!$E11="Storage", ResidELC!V$3*$N18,"")</f>
        <v/>
      </c>
      <c r="AI18" t="str">
        <f>IF('ELC RESID'!$E11="Storage", ResidELC!W$3*$N18,"")</f>
        <v/>
      </c>
      <c r="AJ18" t="str">
        <f>IF('ELC RESID'!$E11="Storage", ResidELC!X$3*$N18,"")</f>
        <v/>
      </c>
      <c r="AK18" t="str">
        <f>IF('ELC RESID'!$E11="Storage", ResidELC!Y$3*$N18,"")</f>
        <v/>
      </c>
      <c r="AL18" t="str">
        <f>IF('ELC RESID'!$E11="Storage", ResidELC!Z$3*$N18,"")</f>
        <v/>
      </c>
      <c r="AM18" t="str">
        <f>IF('ELC RESID'!$E11="Storage", ResidELC!AA$3*$N18,"")</f>
        <v/>
      </c>
      <c r="AN18" t="str">
        <f>IF('ELC RESID'!$E11="Storage", ResidELC!AB$3*$N18,"")</f>
        <v/>
      </c>
      <c r="AO18" t="str">
        <f>IF('ELC RESID'!$E11="Storage", ResidELC!AC$3*$N18,"")</f>
        <v/>
      </c>
      <c r="AP18" s="13">
        <f>'ELC RESID'!O11</f>
        <v>0</v>
      </c>
      <c r="AQ18" s="13">
        <f>'ELC RESID'!P11</f>
        <v>0</v>
      </c>
      <c r="AR18" s="13">
        <f>'ELC RESID'!Q11</f>
        <v>0</v>
      </c>
      <c r="AS18" s="13">
        <f>'ELC RESID'!R11</f>
        <v>0</v>
      </c>
      <c r="AT18" s="13">
        <f>'ELC RESID'!S11</f>
        <v>0</v>
      </c>
      <c r="AU18" s="13">
        <f>'ELC RESID'!T11</f>
        <v>0</v>
      </c>
      <c r="AV18" s="13">
        <f>'ELC RESID'!U11</f>
        <v>0</v>
      </c>
      <c r="AW18" s="13">
        <f>'ELC RESID'!V11</f>
        <v>0</v>
      </c>
      <c r="AX18" s="13">
        <f>'ELC RESID'!W11</f>
        <v>0</v>
      </c>
      <c r="AY18" s="13">
        <f>'ELC RESID'!X11</f>
        <v>0</v>
      </c>
      <c r="AZ18" s="13">
        <f>'ELC RESID'!Y11</f>
        <v>0</v>
      </c>
      <c r="BA18" s="13">
        <f>'ELC RESID'!Z11</f>
        <v>0</v>
      </c>
      <c r="BB18" s="13">
        <f>'ELC RESID'!AA11</f>
        <v>0</v>
      </c>
      <c r="BC18" s="13">
        <f>'ELC RESID'!AB11</f>
        <v>0</v>
      </c>
      <c r="BD18" s="13">
        <f>'ELC RESID'!AC11</f>
        <v>0</v>
      </c>
      <c r="BE18" s="13">
        <f>'ELC RESID'!AD11</f>
        <v>0</v>
      </c>
      <c r="BF18" s="13">
        <f>'ELC RESID'!AE11</f>
        <v>0</v>
      </c>
      <c r="BG18" s="13">
        <f>'ELC RESID'!AF11</f>
        <v>0</v>
      </c>
    </row>
    <row r="19" spans="2:59">
      <c r="B19" t="str">
        <f>IF(SUM(AP19:BG19)=0,"*",Def_Tech!C14)</f>
        <v>*</v>
      </c>
      <c r="C19" t="str">
        <f>Def_Tech!D14</f>
        <v>ELCRNGGRDSTU19</v>
      </c>
      <c r="D19" t="str">
        <f>IF(_xlfn.XLOOKUP('ELC RESID'!G12,List!C:C,List!B:B)="STG",E19,"ELC"&amp;_xlfn.XLOOKUP('ELC RESID'!G12,List!C:C,List!B:B))</f>
        <v>ELCRNG</v>
      </c>
      <c r="E19" t="s">
        <v>405</v>
      </c>
      <c r="F19" s="12">
        <f>IF('ELC RESID'!E12="Storage","",IF('ELC RESID'!L12="",1,'ELC RESID'!L12))</f>
        <v>1</v>
      </c>
      <c r="G19" s="12" t="str">
        <f>IF('ELC RESID'!E12&lt;&gt;"Storage","",IF('ELC RESID'!L12="",1,'ELC RESID'!L12))</f>
        <v/>
      </c>
      <c r="H19">
        <f t="shared" si="2"/>
        <v>31.535999999999998</v>
      </c>
      <c r="I19" s="12">
        <f>_xlfn.XLOOKUP(C19,'ELC RESID'!H:H,'ELC RESID'!N:N)</f>
        <v>2.0228150718781621</v>
      </c>
      <c r="J19" s="12">
        <f>_xlfn.XLOOKUP(C19,'ELC RESID'!H:H,'ELC RESID'!M:M)</f>
        <v>27.138388541967881</v>
      </c>
      <c r="K19" s="12">
        <f>IF('ELC RESID'!$E12="Storage","",IF('ELC RESID'!$K12&gt;0,'ELC RESID'!$K12,-'ELC RESID'!$K12))</f>
        <v>0</v>
      </c>
      <c r="L19" s="12">
        <f t="shared" si="3"/>
        <v>0</v>
      </c>
      <c r="M19" s="12">
        <f t="shared" si="3"/>
        <v>0</v>
      </c>
      <c r="N19" s="12" t="str">
        <f>IF('ELC RESID'!$E12="Storage",IF('ELC RESID'!$K12&gt;0,'ELC RESID'!$K12,-'ELC RESID'!$K12),"")</f>
        <v/>
      </c>
      <c r="O19" s="8" t="str">
        <f t="shared" si="4"/>
        <v/>
      </c>
      <c r="P19" s="8" t="str">
        <f t="shared" si="4"/>
        <v/>
      </c>
      <c r="Q19">
        <f>IF('ELC RESID'!E12="Storage",0.3,IF('ELC RESID'!E12="Baseload",0.9,IF('ELC RESID'!E12="Non Dispatchable",0.05,IF('ELC RESID'!E12="Dispatchable",0.9,1))))</f>
        <v>0.9</v>
      </c>
      <c r="R19" t="str">
        <f>IF('ELC RESID'!$E12="Non Dispatchable",IFERROR(IF($D19="ELCSOL",$K19/SUMPRODUCT($R$1:$AC$1,$R$3:$AC$3)*R$1,IF($D19="ELCWND",$K19/SUMPRODUCT($R$2:$AC$2,$R$3:$AC$3)*R$2,0)),""),"")</f>
        <v/>
      </c>
      <c r="S19" t="str">
        <f>IF('ELC RESID'!$E12="Non Dispatchable",IFERROR(IF($D19="ELCSOL",$K19/SUMPRODUCT($R$1:$AC$1,$R$3:$AC$3)*S$1,IF($D19="ELCWND",$K19/SUMPRODUCT($R$2:$AC$2,$R$3:$AC$3)*S$2,0)),""),"")</f>
        <v/>
      </c>
      <c r="T19" t="str">
        <f>IF('ELC RESID'!$E12="Non Dispatchable",IFERROR(IF($D19="ELCSOL",$K19/SUMPRODUCT($R$1:$AC$1,$R$3:$AC$3)*T$1,IF($D19="ELCWND",$K19/SUMPRODUCT($R$2:$AC$2,$R$3:$AC$3)*T$2,0)),""),"")</f>
        <v/>
      </c>
      <c r="U19" t="str">
        <f>IF('ELC RESID'!$E12="Non Dispatchable",IFERROR(IF($D19="ELCSOL",$K19/SUMPRODUCT($R$1:$AC$1,$R$3:$AC$3)*U$1,IF($D19="ELCWND",$K19/SUMPRODUCT($R$2:$AC$2,$R$3:$AC$3)*U$2,0)),""),"")</f>
        <v/>
      </c>
      <c r="V19" t="str">
        <f>IF('ELC RESID'!$E12="Non Dispatchable",IFERROR(IF($D19="ELCSOL",$K19/SUMPRODUCT($R$1:$AC$1,$R$3:$AC$3)*V$1,IF($D19="ELCWND",$K19/SUMPRODUCT($R$2:$AC$2,$R$3:$AC$3)*V$2,0)),""),"")</f>
        <v/>
      </c>
      <c r="W19" t="str">
        <f>IF('ELC RESID'!$E12="Non Dispatchable",IFERROR(IF($D19="ELCSOL",$K19/SUMPRODUCT($R$1:$AC$1,$R$3:$AC$3)*W$1,IF($D19="ELCWND",$K19/SUMPRODUCT($R$2:$AC$2,$R$3:$AC$3)*W$2,0)),""),"")</f>
        <v/>
      </c>
      <c r="X19" t="str">
        <f>IF('ELC RESID'!$E12="Non Dispatchable",IFERROR(IF($D19="ELCSOL",$K19/SUMPRODUCT($R$1:$AC$1,$R$3:$AC$3)*X$1,IF($D19="ELCWND",$K19/SUMPRODUCT($R$2:$AC$2,$R$3:$AC$3)*X$2,0)),""),"")</f>
        <v/>
      </c>
      <c r="Y19" t="str">
        <f>IF('ELC RESID'!$E12="Non Dispatchable",IFERROR(IF($D19="ELCSOL",$K19/SUMPRODUCT($R$1:$AC$1,$R$3:$AC$3)*Y$1,IF($D19="ELCWND",$K19/SUMPRODUCT($R$2:$AC$2,$R$3:$AC$3)*Y$2,0)),""),"")</f>
        <v/>
      </c>
      <c r="Z19" t="str">
        <f>IF('ELC RESID'!$E12="Non Dispatchable",IFERROR(IF($D19="ELCSOL",$K19/SUMPRODUCT($R$1:$AC$1,$R$3:$AC$3)*Z$1,IF($D19="ELCWND",$K19/SUMPRODUCT($R$2:$AC$2,$R$3:$AC$3)*Z$2,0)),""),"")</f>
        <v/>
      </c>
      <c r="AA19" t="str">
        <f>IF('ELC RESID'!$E12="Non Dispatchable",IFERROR(IF($D19="ELCSOL",$K19/SUMPRODUCT($R$1:$AC$1,$R$3:$AC$3)*AA$1,IF($D19="ELCWND",$K19/SUMPRODUCT($R$2:$AC$2,$R$3:$AC$3)*AA$2,0)),""),"")</f>
        <v/>
      </c>
      <c r="AB19" t="str">
        <f>IF('ELC RESID'!$E12="Non Dispatchable",IFERROR(IF($D19="ELCSOL",$K19/SUMPRODUCT($R$1:$AC$1,$R$3:$AC$3)*AB$1,IF($D19="ELCWND",$K19/SUMPRODUCT($R$2:$AC$2,$R$3:$AC$3)*AB$2,0)),""),"")</f>
        <v/>
      </c>
      <c r="AC19" t="str">
        <f>IF('ELC RESID'!$E12="Non Dispatchable",IFERROR(IF($D19="ELCSOL",$K19/SUMPRODUCT($R$1:$AC$1,$R$3:$AC$3)*AC$1,IF($D19="ELCWND",$K19/SUMPRODUCT($R$2:$AC$2,$R$3:$AC$3)*AC$2,0)),""),"")</f>
        <v/>
      </c>
      <c r="AD19" t="str">
        <f>IF('ELC RESID'!$E12="Storage", ResidELC!R$3*$N19,"")</f>
        <v/>
      </c>
      <c r="AE19" t="str">
        <f>IF('ELC RESID'!$E12="Storage", ResidELC!S$3*$N19,"")</f>
        <v/>
      </c>
      <c r="AF19" t="str">
        <f>IF('ELC RESID'!$E12="Storage", ResidELC!T$3*$N19,"")</f>
        <v/>
      </c>
      <c r="AG19" t="str">
        <f>IF('ELC RESID'!$E12="Storage", ResidELC!U$3*$N19,"")</f>
        <v/>
      </c>
      <c r="AH19" t="str">
        <f>IF('ELC RESID'!$E12="Storage", ResidELC!V$3*$N19,"")</f>
        <v/>
      </c>
      <c r="AI19" t="str">
        <f>IF('ELC RESID'!$E12="Storage", ResidELC!W$3*$N19,"")</f>
        <v/>
      </c>
      <c r="AJ19" t="str">
        <f>IF('ELC RESID'!$E12="Storage", ResidELC!X$3*$N19,"")</f>
        <v/>
      </c>
      <c r="AK19" t="str">
        <f>IF('ELC RESID'!$E12="Storage", ResidELC!Y$3*$N19,"")</f>
        <v/>
      </c>
      <c r="AL19" t="str">
        <f>IF('ELC RESID'!$E12="Storage", ResidELC!Z$3*$N19,"")</f>
        <v/>
      </c>
      <c r="AM19" t="str">
        <f>IF('ELC RESID'!$E12="Storage", ResidELC!AA$3*$N19,"")</f>
        <v/>
      </c>
      <c r="AN19" t="str">
        <f>IF('ELC RESID'!$E12="Storage", ResidELC!AB$3*$N19,"")</f>
        <v/>
      </c>
      <c r="AO19" t="str">
        <f>IF('ELC RESID'!$E12="Storage", ResidELC!AC$3*$N19,"")</f>
        <v/>
      </c>
      <c r="AP19" s="13">
        <f>'ELC RESID'!O12</f>
        <v>0</v>
      </c>
      <c r="AQ19" s="13">
        <f>'ELC RESID'!P12</f>
        <v>0</v>
      </c>
      <c r="AR19" s="13">
        <f>'ELC RESID'!Q12</f>
        <v>0</v>
      </c>
      <c r="AS19" s="13">
        <f>'ELC RESID'!R12</f>
        <v>0</v>
      </c>
      <c r="AT19" s="13">
        <f>'ELC RESID'!S12</f>
        <v>0</v>
      </c>
      <c r="AU19" s="13">
        <f>'ELC RESID'!T12</f>
        <v>0</v>
      </c>
      <c r="AV19" s="13">
        <f>'ELC RESID'!U12</f>
        <v>0</v>
      </c>
      <c r="AW19" s="13">
        <f>'ELC RESID'!V12</f>
        <v>0</v>
      </c>
      <c r="AX19" s="13">
        <f>'ELC RESID'!W12</f>
        <v>0</v>
      </c>
      <c r="AY19" s="13">
        <f>'ELC RESID'!X12</f>
        <v>0</v>
      </c>
      <c r="AZ19" s="13">
        <f>'ELC RESID'!Y12</f>
        <v>0</v>
      </c>
      <c r="BA19" s="13">
        <f>'ELC RESID'!Z12</f>
        <v>0</v>
      </c>
      <c r="BB19" s="13">
        <f>'ELC RESID'!AA12</f>
        <v>0</v>
      </c>
      <c r="BC19" s="13">
        <f>'ELC RESID'!AB12</f>
        <v>0</v>
      </c>
      <c r="BD19" s="13">
        <f>'ELC RESID'!AC12</f>
        <v>0</v>
      </c>
      <c r="BE19" s="13">
        <f>'ELC RESID'!AD12</f>
        <v>0</v>
      </c>
      <c r="BF19" s="13">
        <f>'ELC RESID'!AE12</f>
        <v>0</v>
      </c>
      <c r="BG19" s="13">
        <f>'ELC RESID'!AF12</f>
        <v>0</v>
      </c>
    </row>
    <row r="20" spans="2:59">
      <c r="B20" t="str">
        <f>IF(SUM(AP20:BG20)=0,"*",Def_Tech!C15)</f>
        <v>*</v>
      </c>
      <c r="C20" t="str">
        <f>Def_Tech!D15</f>
        <v>ELCRNGGRDCCC19</v>
      </c>
      <c r="D20" t="str">
        <f>IF(_xlfn.XLOOKUP('ELC RESID'!G13,List!C:C,List!B:B)="STG",E20,"ELC"&amp;_xlfn.XLOOKUP('ELC RESID'!G13,List!C:C,List!B:B))</f>
        <v>ELCRNG</v>
      </c>
      <c r="E20" t="s">
        <v>405</v>
      </c>
      <c r="F20" s="12">
        <f>IF('ELC RESID'!E13="Storage","",IF('ELC RESID'!L13="",1,'ELC RESID'!L13))</f>
        <v>1</v>
      </c>
      <c r="G20" s="12" t="str">
        <f>IF('ELC RESID'!E13&lt;&gt;"Storage","",IF('ELC RESID'!L13="",1,'ELC RESID'!L13))</f>
        <v/>
      </c>
      <c r="H20">
        <f t="shared" si="2"/>
        <v>31.535999999999998</v>
      </c>
      <c r="I20" s="12">
        <f>_xlfn.XLOOKUP(C20,'ELC RESID'!H:H,'ELC RESID'!N:N)</f>
        <v>0.61563936970204913</v>
      </c>
      <c r="J20" s="12">
        <f>_xlfn.XLOOKUP(C20,'ELC RESID'!H:H,'ELC RESID'!M:M)</f>
        <v>35.166828485633367</v>
      </c>
      <c r="K20" s="12">
        <f>IF('ELC RESID'!$E13="Storage","",IF('ELC RESID'!$K13&gt;0,'ELC RESID'!$K13,-'ELC RESID'!$K13))</f>
        <v>0</v>
      </c>
      <c r="L20" s="12">
        <f t="shared" si="3"/>
        <v>0</v>
      </c>
      <c r="M20" s="12">
        <f t="shared" si="3"/>
        <v>0</v>
      </c>
      <c r="N20" s="12" t="str">
        <f>IF('ELC RESID'!$E13="Storage",IF('ELC RESID'!$K13&gt;0,'ELC RESID'!$K13,-'ELC RESID'!$K13),"")</f>
        <v/>
      </c>
      <c r="O20" s="8" t="str">
        <f t="shared" si="4"/>
        <v/>
      </c>
      <c r="P20" s="8" t="str">
        <f t="shared" si="4"/>
        <v/>
      </c>
      <c r="Q20">
        <f>IF('ELC RESID'!E13="Storage",0.3,IF('ELC RESID'!E13="Baseload",0.9,IF('ELC RESID'!E13="Non Dispatchable",0.05,IF('ELC RESID'!E13="Dispatchable",0.9,1))))</f>
        <v>0.9</v>
      </c>
      <c r="R20" t="str">
        <f>IF('ELC RESID'!$E13="Non Dispatchable",IFERROR(IF($D20="ELCSOL",$K20/SUMPRODUCT($R$1:$AC$1,$R$3:$AC$3)*R$1,IF($D20="ELCWND",$K20/SUMPRODUCT($R$2:$AC$2,$R$3:$AC$3)*R$2,0)),""),"")</f>
        <v/>
      </c>
      <c r="S20" t="str">
        <f>IF('ELC RESID'!$E13="Non Dispatchable",IFERROR(IF($D20="ELCSOL",$K20/SUMPRODUCT($R$1:$AC$1,$R$3:$AC$3)*S$1,IF($D20="ELCWND",$K20/SUMPRODUCT($R$2:$AC$2,$R$3:$AC$3)*S$2,0)),""),"")</f>
        <v/>
      </c>
      <c r="T20" t="str">
        <f>IF('ELC RESID'!$E13="Non Dispatchable",IFERROR(IF($D20="ELCSOL",$K20/SUMPRODUCT($R$1:$AC$1,$R$3:$AC$3)*T$1,IF($D20="ELCWND",$K20/SUMPRODUCT($R$2:$AC$2,$R$3:$AC$3)*T$2,0)),""),"")</f>
        <v/>
      </c>
      <c r="U20" t="str">
        <f>IF('ELC RESID'!$E13="Non Dispatchable",IFERROR(IF($D20="ELCSOL",$K20/SUMPRODUCT($R$1:$AC$1,$R$3:$AC$3)*U$1,IF($D20="ELCWND",$K20/SUMPRODUCT($R$2:$AC$2,$R$3:$AC$3)*U$2,0)),""),"")</f>
        <v/>
      </c>
      <c r="V20" t="str">
        <f>IF('ELC RESID'!$E13="Non Dispatchable",IFERROR(IF($D20="ELCSOL",$K20/SUMPRODUCT($R$1:$AC$1,$R$3:$AC$3)*V$1,IF($D20="ELCWND",$K20/SUMPRODUCT($R$2:$AC$2,$R$3:$AC$3)*V$2,0)),""),"")</f>
        <v/>
      </c>
      <c r="W20" t="str">
        <f>IF('ELC RESID'!$E13="Non Dispatchable",IFERROR(IF($D20="ELCSOL",$K20/SUMPRODUCT($R$1:$AC$1,$R$3:$AC$3)*W$1,IF($D20="ELCWND",$K20/SUMPRODUCT($R$2:$AC$2,$R$3:$AC$3)*W$2,0)),""),"")</f>
        <v/>
      </c>
      <c r="X20" t="str">
        <f>IF('ELC RESID'!$E13="Non Dispatchable",IFERROR(IF($D20="ELCSOL",$K20/SUMPRODUCT($R$1:$AC$1,$R$3:$AC$3)*X$1,IF($D20="ELCWND",$K20/SUMPRODUCT($R$2:$AC$2,$R$3:$AC$3)*X$2,0)),""),"")</f>
        <v/>
      </c>
      <c r="Y20" t="str">
        <f>IF('ELC RESID'!$E13="Non Dispatchable",IFERROR(IF($D20="ELCSOL",$K20/SUMPRODUCT($R$1:$AC$1,$R$3:$AC$3)*Y$1,IF($D20="ELCWND",$K20/SUMPRODUCT($R$2:$AC$2,$R$3:$AC$3)*Y$2,0)),""),"")</f>
        <v/>
      </c>
      <c r="Z20" t="str">
        <f>IF('ELC RESID'!$E13="Non Dispatchable",IFERROR(IF($D20="ELCSOL",$K20/SUMPRODUCT($R$1:$AC$1,$R$3:$AC$3)*Z$1,IF($D20="ELCWND",$K20/SUMPRODUCT($R$2:$AC$2,$R$3:$AC$3)*Z$2,0)),""),"")</f>
        <v/>
      </c>
      <c r="AA20" t="str">
        <f>IF('ELC RESID'!$E13="Non Dispatchable",IFERROR(IF($D20="ELCSOL",$K20/SUMPRODUCT($R$1:$AC$1,$R$3:$AC$3)*AA$1,IF($D20="ELCWND",$K20/SUMPRODUCT($R$2:$AC$2,$R$3:$AC$3)*AA$2,0)),""),"")</f>
        <v/>
      </c>
      <c r="AB20" t="str">
        <f>IF('ELC RESID'!$E13="Non Dispatchable",IFERROR(IF($D20="ELCSOL",$K20/SUMPRODUCT($R$1:$AC$1,$R$3:$AC$3)*AB$1,IF($D20="ELCWND",$K20/SUMPRODUCT($R$2:$AC$2,$R$3:$AC$3)*AB$2,0)),""),"")</f>
        <v/>
      </c>
      <c r="AC20" t="str">
        <f>IF('ELC RESID'!$E13="Non Dispatchable",IFERROR(IF($D20="ELCSOL",$K20/SUMPRODUCT($R$1:$AC$1,$R$3:$AC$3)*AC$1,IF($D20="ELCWND",$K20/SUMPRODUCT($R$2:$AC$2,$R$3:$AC$3)*AC$2,0)),""),"")</f>
        <v/>
      </c>
      <c r="AD20" t="str">
        <f>IF('ELC RESID'!$E13="Storage", ResidELC!R$3*$N20,"")</f>
        <v/>
      </c>
      <c r="AE20" t="str">
        <f>IF('ELC RESID'!$E13="Storage", ResidELC!S$3*$N20,"")</f>
        <v/>
      </c>
      <c r="AF20" t="str">
        <f>IF('ELC RESID'!$E13="Storage", ResidELC!T$3*$N20,"")</f>
        <v/>
      </c>
      <c r="AG20" t="str">
        <f>IF('ELC RESID'!$E13="Storage", ResidELC!U$3*$N20,"")</f>
        <v/>
      </c>
      <c r="AH20" t="str">
        <f>IF('ELC RESID'!$E13="Storage", ResidELC!V$3*$N20,"")</f>
        <v/>
      </c>
      <c r="AI20" t="str">
        <f>IF('ELC RESID'!$E13="Storage", ResidELC!W$3*$N20,"")</f>
        <v/>
      </c>
      <c r="AJ20" t="str">
        <f>IF('ELC RESID'!$E13="Storage", ResidELC!X$3*$N20,"")</f>
        <v/>
      </c>
      <c r="AK20" t="str">
        <f>IF('ELC RESID'!$E13="Storage", ResidELC!Y$3*$N20,"")</f>
        <v/>
      </c>
      <c r="AL20" t="str">
        <f>IF('ELC RESID'!$E13="Storage", ResidELC!Z$3*$N20,"")</f>
        <v/>
      </c>
      <c r="AM20" t="str">
        <f>IF('ELC RESID'!$E13="Storage", ResidELC!AA$3*$N20,"")</f>
        <v/>
      </c>
      <c r="AN20" t="str">
        <f>IF('ELC RESID'!$E13="Storage", ResidELC!AB$3*$N20,"")</f>
        <v/>
      </c>
      <c r="AO20" t="str">
        <f>IF('ELC RESID'!$E13="Storage", ResidELC!AC$3*$N20,"")</f>
        <v/>
      </c>
      <c r="AP20" s="13">
        <f>'ELC RESID'!O13</f>
        <v>0</v>
      </c>
      <c r="AQ20" s="13">
        <f>'ELC RESID'!P13</f>
        <v>0</v>
      </c>
      <c r="AR20" s="13">
        <f>'ELC RESID'!Q13</f>
        <v>0</v>
      </c>
      <c r="AS20" s="13">
        <f>'ELC RESID'!R13</f>
        <v>0</v>
      </c>
      <c r="AT20" s="13">
        <f>'ELC RESID'!S13</f>
        <v>0</v>
      </c>
      <c r="AU20" s="13">
        <f>'ELC RESID'!T13</f>
        <v>0</v>
      </c>
      <c r="AV20" s="13">
        <f>'ELC RESID'!U13</f>
        <v>0</v>
      </c>
      <c r="AW20" s="13">
        <f>'ELC RESID'!V13</f>
        <v>0</v>
      </c>
      <c r="AX20" s="13">
        <f>'ELC RESID'!W13</f>
        <v>0</v>
      </c>
      <c r="AY20" s="13">
        <f>'ELC RESID'!X13</f>
        <v>0</v>
      </c>
      <c r="AZ20" s="13">
        <f>'ELC RESID'!Y13</f>
        <v>0</v>
      </c>
      <c r="BA20" s="13">
        <f>'ELC RESID'!Z13</f>
        <v>0</v>
      </c>
      <c r="BB20" s="13">
        <f>'ELC RESID'!AA13</f>
        <v>0</v>
      </c>
      <c r="BC20" s="13">
        <f>'ELC RESID'!AB13</f>
        <v>0</v>
      </c>
      <c r="BD20" s="13">
        <f>'ELC RESID'!AC13</f>
        <v>0</v>
      </c>
      <c r="BE20" s="13">
        <f>'ELC RESID'!AD13</f>
        <v>0</v>
      </c>
      <c r="BF20" s="13">
        <f>'ELC RESID'!AE13</f>
        <v>0</v>
      </c>
      <c r="BG20" s="13">
        <f>'ELC RESID'!AF13</f>
        <v>0</v>
      </c>
    </row>
    <row r="21" spans="2:59">
      <c r="B21" t="str">
        <f>IF(SUM(AP21:BG21)=0,"*",Def_Tech!C16)</f>
        <v>*</v>
      </c>
      <c r="C21" t="str">
        <f>Def_Tech!D16</f>
        <v>ELCRNGGRDCCS19</v>
      </c>
      <c r="D21" t="str">
        <f>IF(_xlfn.XLOOKUP('ELC RESID'!G14,List!C:C,List!B:B)="STG",E21,"ELC"&amp;_xlfn.XLOOKUP('ELC RESID'!G14,List!C:C,List!B:B))</f>
        <v>ELCRNG</v>
      </c>
      <c r="E21" t="s">
        <v>405</v>
      </c>
      <c r="F21" s="12">
        <f>IF('ELC RESID'!E14="Storage","",IF('ELC RESID'!L14="",1,'ELC RESID'!L14))</f>
        <v>1</v>
      </c>
      <c r="G21" s="12" t="str">
        <f>IF('ELC RESID'!E14&lt;&gt;"Storage","",IF('ELC RESID'!L14="",1,'ELC RESID'!L14))</f>
        <v/>
      </c>
      <c r="H21">
        <f t="shared" si="2"/>
        <v>31.535999999999998</v>
      </c>
      <c r="I21" s="12">
        <f>_xlfn.XLOOKUP(C21,'ELC RESID'!H:H,'ELC RESID'!N:N)</f>
        <v>0.61563936970204913</v>
      </c>
      <c r="J21" s="12">
        <f>_xlfn.XLOOKUP(C21,'ELC RESID'!H:H,'ELC RESID'!M:M)</f>
        <v>35.166828485633367</v>
      </c>
      <c r="K21" s="12">
        <f>IF('ELC RESID'!$E14="Storage","",IF('ELC RESID'!$K14&gt;0,'ELC RESID'!$K14,-'ELC RESID'!$K14))</f>
        <v>0</v>
      </c>
      <c r="L21" s="12">
        <f t="shared" si="3"/>
        <v>0</v>
      </c>
      <c r="M21" s="12">
        <f t="shared" si="3"/>
        <v>0</v>
      </c>
      <c r="N21" s="12" t="str">
        <f>IF('ELC RESID'!$E14="Storage",IF('ELC RESID'!$K14&gt;0,'ELC RESID'!$K14,-'ELC RESID'!$K14),"")</f>
        <v/>
      </c>
      <c r="O21" s="8" t="str">
        <f t="shared" si="4"/>
        <v/>
      </c>
      <c r="P21" s="8" t="str">
        <f t="shared" si="4"/>
        <v/>
      </c>
      <c r="Q21">
        <f>IF('ELC RESID'!E14="Storage",0.3,IF('ELC RESID'!E14="Baseload",0.9,IF('ELC RESID'!E14="Non Dispatchable",0.05,IF('ELC RESID'!E14="Dispatchable",0.9,1))))</f>
        <v>0.9</v>
      </c>
      <c r="R21" t="str">
        <f>IF('ELC RESID'!$E14="Non Dispatchable",IFERROR(IF($D21="ELCSOL",$K21/SUMPRODUCT($R$1:$AC$1,$R$3:$AC$3)*R$1,IF($D21="ELCWND",$K21/SUMPRODUCT($R$2:$AC$2,$R$3:$AC$3)*R$2,0)),""),"")</f>
        <v/>
      </c>
      <c r="S21" t="str">
        <f>IF('ELC RESID'!$E14="Non Dispatchable",IFERROR(IF($D21="ELCSOL",$K21/SUMPRODUCT($R$1:$AC$1,$R$3:$AC$3)*S$1,IF($D21="ELCWND",$K21/SUMPRODUCT($R$2:$AC$2,$R$3:$AC$3)*S$2,0)),""),"")</f>
        <v/>
      </c>
      <c r="T21" t="str">
        <f>IF('ELC RESID'!$E14="Non Dispatchable",IFERROR(IF($D21="ELCSOL",$K21/SUMPRODUCT($R$1:$AC$1,$R$3:$AC$3)*T$1,IF($D21="ELCWND",$K21/SUMPRODUCT($R$2:$AC$2,$R$3:$AC$3)*T$2,0)),""),"")</f>
        <v/>
      </c>
      <c r="U21" t="str">
        <f>IF('ELC RESID'!$E14="Non Dispatchable",IFERROR(IF($D21="ELCSOL",$K21/SUMPRODUCT($R$1:$AC$1,$R$3:$AC$3)*U$1,IF($D21="ELCWND",$K21/SUMPRODUCT($R$2:$AC$2,$R$3:$AC$3)*U$2,0)),""),"")</f>
        <v/>
      </c>
      <c r="V21" t="str">
        <f>IF('ELC RESID'!$E14="Non Dispatchable",IFERROR(IF($D21="ELCSOL",$K21/SUMPRODUCT($R$1:$AC$1,$R$3:$AC$3)*V$1,IF($D21="ELCWND",$K21/SUMPRODUCT($R$2:$AC$2,$R$3:$AC$3)*V$2,0)),""),"")</f>
        <v/>
      </c>
      <c r="W21" t="str">
        <f>IF('ELC RESID'!$E14="Non Dispatchable",IFERROR(IF($D21="ELCSOL",$K21/SUMPRODUCT($R$1:$AC$1,$R$3:$AC$3)*W$1,IF($D21="ELCWND",$K21/SUMPRODUCT($R$2:$AC$2,$R$3:$AC$3)*W$2,0)),""),"")</f>
        <v/>
      </c>
      <c r="X21" t="str">
        <f>IF('ELC RESID'!$E14="Non Dispatchable",IFERROR(IF($D21="ELCSOL",$K21/SUMPRODUCT($R$1:$AC$1,$R$3:$AC$3)*X$1,IF($D21="ELCWND",$K21/SUMPRODUCT($R$2:$AC$2,$R$3:$AC$3)*X$2,0)),""),"")</f>
        <v/>
      </c>
      <c r="Y21" t="str">
        <f>IF('ELC RESID'!$E14="Non Dispatchable",IFERROR(IF($D21="ELCSOL",$K21/SUMPRODUCT($R$1:$AC$1,$R$3:$AC$3)*Y$1,IF($D21="ELCWND",$K21/SUMPRODUCT($R$2:$AC$2,$R$3:$AC$3)*Y$2,0)),""),"")</f>
        <v/>
      </c>
      <c r="Z21" t="str">
        <f>IF('ELC RESID'!$E14="Non Dispatchable",IFERROR(IF($D21="ELCSOL",$K21/SUMPRODUCT($R$1:$AC$1,$R$3:$AC$3)*Z$1,IF($D21="ELCWND",$K21/SUMPRODUCT($R$2:$AC$2,$R$3:$AC$3)*Z$2,0)),""),"")</f>
        <v/>
      </c>
      <c r="AA21" t="str">
        <f>IF('ELC RESID'!$E14="Non Dispatchable",IFERROR(IF($D21="ELCSOL",$K21/SUMPRODUCT($R$1:$AC$1,$R$3:$AC$3)*AA$1,IF($D21="ELCWND",$K21/SUMPRODUCT($R$2:$AC$2,$R$3:$AC$3)*AA$2,0)),""),"")</f>
        <v/>
      </c>
      <c r="AB21" t="str">
        <f>IF('ELC RESID'!$E14="Non Dispatchable",IFERROR(IF($D21="ELCSOL",$K21/SUMPRODUCT($R$1:$AC$1,$R$3:$AC$3)*AB$1,IF($D21="ELCWND",$K21/SUMPRODUCT($R$2:$AC$2,$R$3:$AC$3)*AB$2,0)),""),"")</f>
        <v/>
      </c>
      <c r="AC21" t="str">
        <f>IF('ELC RESID'!$E14="Non Dispatchable",IFERROR(IF($D21="ELCSOL",$K21/SUMPRODUCT($R$1:$AC$1,$R$3:$AC$3)*AC$1,IF($D21="ELCWND",$K21/SUMPRODUCT($R$2:$AC$2,$R$3:$AC$3)*AC$2,0)),""),"")</f>
        <v/>
      </c>
      <c r="AD21" t="str">
        <f>IF('ELC RESID'!$E14="Storage", ResidELC!R$3*$N21,"")</f>
        <v/>
      </c>
      <c r="AE21" t="str">
        <f>IF('ELC RESID'!$E14="Storage", ResidELC!S$3*$N21,"")</f>
        <v/>
      </c>
      <c r="AF21" t="str">
        <f>IF('ELC RESID'!$E14="Storage", ResidELC!T$3*$N21,"")</f>
        <v/>
      </c>
      <c r="AG21" t="str">
        <f>IF('ELC RESID'!$E14="Storage", ResidELC!U$3*$N21,"")</f>
        <v/>
      </c>
      <c r="AH21" t="str">
        <f>IF('ELC RESID'!$E14="Storage", ResidELC!V$3*$N21,"")</f>
        <v/>
      </c>
      <c r="AI21" t="str">
        <f>IF('ELC RESID'!$E14="Storage", ResidELC!W$3*$N21,"")</f>
        <v/>
      </c>
      <c r="AJ21" t="str">
        <f>IF('ELC RESID'!$E14="Storage", ResidELC!X$3*$N21,"")</f>
        <v/>
      </c>
      <c r="AK21" t="str">
        <f>IF('ELC RESID'!$E14="Storage", ResidELC!Y$3*$N21,"")</f>
        <v/>
      </c>
      <c r="AL21" t="str">
        <f>IF('ELC RESID'!$E14="Storage", ResidELC!Z$3*$N21,"")</f>
        <v/>
      </c>
      <c r="AM21" t="str">
        <f>IF('ELC RESID'!$E14="Storage", ResidELC!AA$3*$N21,"")</f>
        <v/>
      </c>
      <c r="AN21" t="str">
        <f>IF('ELC RESID'!$E14="Storage", ResidELC!AB$3*$N21,"")</f>
        <v/>
      </c>
      <c r="AO21" t="str">
        <f>IF('ELC RESID'!$E14="Storage", ResidELC!AC$3*$N21,"")</f>
        <v/>
      </c>
      <c r="AP21" s="13">
        <f>'ELC RESID'!O14</f>
        <v>0</v>
      </c>
      <c r="AQ21" s="13">
        <f>'ELC RESID'!P14</f>
        <v>0</v>
      </c>
      <c r="AR21" s="13">
        <f>'ELC RESID'!Q14</f>
        <v>0</v>
      </c>
      <c r="AS21" s="13">
        <f>'ELC RESID'!R14</f>
        <v>0</v>
      </c>
      <c r="AT21" s="13">
        <f>'ELC RESID'!S14</f>
        <v>0</v>
      </c>
      <c r="AU21" s="13">
        <f>'ELC RESID'!T14</f>
        <v>0</v>
      </c>
      <c r="AV21" s="13">
        <f>'ELC RESID'!U14</f>
        <v>0</v>
      </c>
      <c r="AW21" s="13">
        <f>'ELC RESID'!V14</f>
        <v>0</v>
      </c>
      <c r="AX21" s="13">
        <f>'ELC RESID'!W14</f>
        <v>0</v>
      </c>
      <c r="AY21" s="13">
        <f>'ELC RESID'!X14</f>
        <v>0</v>
      </c>
      <c r="AZ21" s="13">
        <f>'ELC RESID'!Y14</f>
        <v>0</v>
      </c>
      <c r="BA21" s="13">
        <f>'ELC RESID'!Z14</f>
        <v>0</v>
      </c>
      <c r="BB21" s="13">
        <f>'ELC RESID'!AA14</f>
        <v>0</v>
      </c>
      <c r="BC21" s="13">
        <f>'ELC RESID'!AB14</f>
        <v>0</v>
      </c>
      <c r="BD21" s="13">
        <f>'ELC RESID'!AC14</f>
        <v>0</v>
      </c>
      <c r="BE21" s="13">
        <f>'ELC RESID'!AD14</f>
        <v>0</v>
      </c>
      <c r="BF21" s="13">
        <f>'ELC RESID'!AE14</f>
        <v>0</v>
      </c>
      <c r="BG21" s="13">
        <f>'ELC RESID'!AF14</f>
        <v>0</v>
      </c>
    </row>
    <row r="22" spans="2:59">
      <c r="B22" t="str">
        <f>IF(SUM(AP22:BG22)=0,"*",Def_Tech!C17)</f>
        <v>*</v>
      </c>
      <c r="C22" t="str">
        <f>Def_Tech!D17</f>
        <v>ELCRNGGRDICE19</v>
      </c>
      <c r="D22" t="str">
        <f>IF(_xlfn.XLOOKUP('ELC RESID'!G15,List!C:C,List!B:B)="STG",E22,"ELC"&amp;_xlfn.XLOOKUP('ELC RESID'!G15,List!C:C,List!B:B))</f>
        <v>ELCRNG</v>
      </c>
      <c r="E22" t="s">
        <v>405</v>
      </c>
      <c r="F22" s="12">
        <f>IF('ELC RESID'!E15="Storage","",IF('ELC RESID'!L15="",1,'ELC RESID'!L15))</f>
        <v>1</v>
      </c>
      <c r="G22" s="12" t="str">
        <f>IF('ELC RESID'!E15&lt;&gt;"Storage","",IF('ELC RESID'!L15="",1,'ELC RESID'!L15))</f>
        <v/>
      </c>
      <c r="H22">
        <f t="shared" si="2"/>
        <v>31.535999999999998</v>
      </c>
      <c r="I22" s="12">
        <f>_xlfn.XLOOKUP(C22,'ELC RESID'!H:H,'ELC RESID'!N:N)</f>
        <v>2.0228150718781621</v>
      </c>
      <c r="J22" s="12">
        <f>_xlfn.XLOOKUP(C22,'ELC RESID'!H:H,'ELC RESID'!M:M)</f>
        <v>27.138388541967881</v>
      </c>
      <c r="K22" s="12">
        <f>IF('ELC RESID'!$E15="Storage","",IF('ELC RESID'!$K15&gt;0,'ELC RESID'!$K15,-'ELC RESID'!$K15))</f>
        <v>0</v>
      </c>
      <c r="L22" s="12">
        <f t="shared" si="3"/>
        <v>0</v>
      </c>
      <c r="M22" s="12">
        <f t="shared" si="3"/>
        <v>0</v>
      </c>
      <c r="N22" s="12" t="str">
        <f>IF('ELC RESID'!$E15="Storage",IF('ELC RESID'!$K15&gt;0,'ELC RESID'!$K15,-'ELC RESID'!$K15),"")</f>
        <v/>
      </c>
      <c r="O22" s="8" t="str">
        <f t="shared" si="4"/>
        <v/>
      </c>
      <c r="P22" s="8" t="str">
        <f t="shared" si="4"/>
        <v/>
      </c>
      <c r="Q22">
        <f>IF('ELC RESID'!E15="Storage",0.3,IF('ELC RESID'!E15="Baseload",0.9,IF('ELC RESID'!E15="Non Dispatchable",0.05,IF('ELC RESID'!E15="Dispatchable",0.9,1))))</f>
        <v>0.9</v>
      </c>
      <c r="R22" t="str">
        <f>IF('ELC RESID'!$E15="Non Dispatchable",IFERROR(IF($D22="ELCSOL",$K22/SUMPRODUCT($R$1:$AC$1,$R$3:$AC$3)*R$1,IF($D22="ELCWND",$K22/SUMPRODUCT($R$2:$AC$2,$R$3:$AC$3)*R$2,0)),""),"")</f>
        <v/>
      </c>
      <c r="S22" t="str">
        <f>IF('ELC RESID'!$E15="Non Dispatchable",IFERROR(IF($D22="ELCSOL",$K22/SUMPRODUCT($R$1:$AC$1,$R$3:$AC$3)*S$1,IF($D22="ELCWND",$K22/SUMPRODUCT($R$2:$AC$2,$R$3:$AC$3)*S$2,0)),""),"")</f>
        <v/>
      </c>
      <c r="T22" t="str">
        <f>IF('ELC RESID'!$E15="Non Dispatchable",IFERROR(IF($D22="ELCSOL",$K22/SUMPRODUCT($R$1:$AC$1,$R$3:$AC$3)*T$1,IF($D22="ELCWND",$K22/SUMPRODUCT($R$2:$AC$2,$R$3:$AC$3)*T$2,0)),""),"")</f>
        <v/>
      </c>
      <c r="U22" t="str">
        <f>IF('ELC RESID'!$E15="Non Dispatchable",IFERROR(IF($D22="ELCSOL",$K22/SUMPRODUCT($R$1:$AC$1,$R$3:$AC$3)*U$1,IF($D22="ELCWND",$K22/SUMPRODUCT($R$2:$AC$2,$R$3:$AC$3)*U$2,0)),""),"")</f>
        <v/>
      </c>
      <c r="V22" t="str">
        <f>IF('ELC RESID'!$E15="Non Dispatchable",IFERROR(IF($D22="ELCSOL",$K22/SUMPRODUCT($R$1:$AC$1,$R$3:$AC$3)*V$1,IF($D22="ELCWND",$K22/SUMPRODUCT($R$2:$AC$2,$R$3:$AC$3)*V$2,0)),""),"")</f>
        <v/>
      </c>
      <c r="W22" t="str">
        <f>IF('ELC RESID'!$E15="Non Dispatchable",IFERROR(IF($D22="ELCSOL",$K22/SUMPRODUCT($R$1:$AC$1,$R$3:$AC$3)*W$1,IF($D22="ELCWND",$K22/SUMPRODUCT($R$2:$AC$2,$R$3:$AC$3)*W$2,0)),""),"")</f>
        <v/>
      </c>
      <c r="X22" t="str">
        <f>IF('ELC RESID'!$E15="Non Dispatchable",IFERROR(IF($D22="ELCSOL",$K22/SUMPRODUCT($R$1:$AC$1,$R$3:$AC$3)*X$1,IF($D22="ELCWND",$K22/SUMPRODUCT($R$2:$AC$2,$R$3:$AC$3)*X$2,0)),""),"")</f>
        <v/>
      </c>
      <c r="Y22" t="str">
        <f>IF('ELC RESID'!$E15="Non Dispatchable",IFERROR(IF($D22="ELCSOL",$K22/SUMPRODUCT($R$1:$AC$1,$R$3:$AC$3)*Y$1,IF($D22="ELCWND",$K22/SUMPRODUCT($R$2:$AC$2,$R$3:$AC$3)*Y$2,0)),""),"")</f>
        <v/>
      </c>
      <c r="Z22" t="str">
        <f>IF('ELC RESID'!$E15="Non Dispatchable",IFERROR(IF($D22="ELCSOL",$K22/SUMPRODUCT($R$1:$AC$1,$R$3:$AC$3)*Z$1,IF($D22="ELCWND",$K22/SUMPRODUCT($R$2:$AC$2,$R$3:$AC$3)*Z$2,0)),""),"")</f>
        <v/>
      </c>
      <c r="AA22" t="str">
        <f>IF('ELC RESID'!$E15="Non Dispatchable",IFERROR(IF($D22="ELCSOL",$K22/SUMPRODUCT($R$1:$AC$1,$R$3:$AC$3)*AA$1,IF($D22="ELCWND",$K22/SUMPRODUCT($R$2:$AC$2,$R$3:$AC$3)*AA$2,0)),""),"")</f>
        <v/>
      </c>
      <c r="AB22" t="str">
        <f>IF('ELC RESID'!$E15="Non Dispatchable",IFERROR(IF($D22="ELCSOL",$K22/SUMPRODUCT($R$1:$AC$1,$R$3:$AC$3)*AB$1,IF($D22="ELCWND",$K22/SUMPRODUCT($R$2:$AC$2,$R$3:$AC$3)*AB$2,0)),""),"")</f>
        <v/>
      </c>
      <c r="AC22" t="str">
        <f>IF('ELC RESID'!$E15="Non Dispatchable",IFERROR(IF($D22="ELCSOL",$K22/SUMPRODUCT($R$1:$AC$1,$R$3:$AC$3)*AC$1,IF($D22="ELCWND",$K22/SUMPRODUCT($R$2:$AC$2,$R$3:$AC$3)*AC$2,0)),""),"")</f>
        <v/>
      </c>
      <c r="AD22" t="str">
        <f>IF('ELC RESID'!$E15="Storage", ResidELC!R$3*$N22,"")</f>
        <v/>
      </c>
      <c r="AE22" t="str">
        <f>IF('ELC RESID'!$E15="Storage", ResidELC!S$3*$N22,"")</f>
        <v/>
      </c>
      <c r="AF22" t="str">
        <f>IF('ELC RESID'!$E15="Storage", ResidELC!T$3*$N22,"")</f>
        <v/>
      </c>
      <c r="AG22" t="str">
        <f>IF('ELC RESID'!$E15="Storage", ResidELC!U$3*$N22,"")</f>
        <v/>
      </c>
      <c r="AH22" t="str">
        <f>IF('ELC RESID'!$E15="Storage", ResidELC!V$3*$N22,"")</f>
        <v/>
      </c>
      <c r="AI22" t="str">
        <f>IF('ELC RESID'!$E15="Storage", ResidELC!W$3*$N22,"")</f>
        <v/>
      </c>
      <c r="AJ22" t="str">
        <f>IF('ELC RESID'!$E15="Storage", ResidELC!X$3*$N22,"")</f>
        <v/>
      </c>
      <c r="AK22" t="str">
        <f>IF('ELC RESID'!$E15="Storage", ResidELC!Y$3*$N22,"")</f>
        <v/>
      </c>
      <c r="AL22" t="str">
        <f>IF('ELC RESID'!$E15="Storage", ResidELC!Z$3*$N22,"")</f>
        <v/>
      </c>
      <c r="AM22" t="str">
        <f>IF('ELC RESID'!$E15="Storage", ResidELC!AA$3*$N22,"")</f>
        <v/>
      </c>
      <c r="AN22" t="str">
        <f>IF('ELC RESID'!$E15="Storage", ResidELC!AB$3*$N22,"")</f>
        <v/>
      </c>
      <c r="AO22" t="str">
        <f>IF('ELC RESID'!$E15="Storage", ResidELC!AC$3*$N22,"")</f>
        <v/>
      </c>
      <c r="AP22" s="13">
        <f>'ELC RESID'!O15</f>
        <v>0</v>
      </c>
      <c r="AQ22" s="13">
        <f>'ELC RESID'!P15</f>
        <v>0</v>
      </c>
      <c r="AR22" s="13">
        <f>'ELC RESID'!Q15</f>
        <v>0</v>
      </c>
      <c r="AS22" s="13">
        <f>'ELC RESID'!R15</f>
        <v>0</v>
      </c>
      <c r="AT22" s="13">
        <f>'ELC RESID'!S15</f>
        <v>0</v>
      </c>
      <c r="AU22" s="13">
        <f>'ELC RESID'!T15</f>
        <v>0</v>
      </c>
      <c r="AV22" s="13">
        <f>'ELC RESID'!U15</f>
        <v>0</v>
      </c>
      <c r="AW22" s="13">
        <f>'ELC RESID'!V15</f>
        <v>0</v>
      </c>
      <c r="AX22" s="13">
        <f>'ELC RESID'!W15</f>
        <v>0</v>
      </c>
      <c r="AY22" s="13">
        <f>'ELC RESID'!X15</f>
        <v>0</v>
      </c>
      <c r="AZ22" s="13">
        <f>'ELC RESID'!Y15</f>
        <v>0</v>
      </c>
      <c r="BA22" s="13">
        <f>'ELC RESID'!Z15</f>
        <v>0</v>
      </c>
      <c r="BB22" s="13">
        <f>'ELC RESID'!AA15</f>
        <v>0</v>
      </c>
      <c r="BC22" s="13">
        <f>'ELC RESID'!AB15</f>
        <v>0</v>
      </c>
      <c r="BD22" s="13">
        <f>'ELC RESID'!AC15</f>
        <v>0</v>
      </c>
      <c r="BE22" s="13">
        <f>'ELC RESID'!AD15</f>
        <v>0</v>
      </c>
      <c r="BF22" s="13">
        <f>'ELC RESID'!AE15</f>
        <v>0</v>
      </c>
      <c r="BG22" s="13">
        <f>'ELC RESID'!AF15</f>
        <v>0</v>
      </c>
    </row>
    <row r="23" spans="2:59">
      <c r="B23" t="str">
        <f>IF(SUM(AP23:BG23)=0,"*",Def_Tech!C18)</f>
        <v>*</v>
      </c>
      <c r="C23" t="str">
        <f>Def_Tech!D18</f>
        <v>ELCRNGGRDFCE19</v>
      </c>
      <c r="D23" t="str">
        <f>IF(_xlfn.XLOOKUP('ELC RESID'!G16,List!C:C,List!B:B)="STG",E23,"ELC"&amp;_xlfn.XLOOKUP('ELC RESID'!G16,List!C:C,List!B:B))</f>
        <v>ELCRNG</v>
      </c>
      <c r="E23" t="s">
        <v>405</v>
      </c>
      <c r="F23" s="12">
        <f>IF('ELC RESID'!E16="Storage","",IF('ELC RESID'!L16="",1,'ELC RESID'!L16))</f>
        <v>1</v>
      </c>
      <c r="G23" s="12" t="str">
        <f>IF('ELC RESID'!E16&lt;&gt;"Storage","",IF('ELC RESID'!L16="",1,'ELC RESID'!L16))</f>
        <v/>
      </c>
      <c r="H23">
        <f t="shared" si="2"/>
        <v>31.535999999999998</v>
      </c>
      <c r="I23" s="12">
        <f>_xlfn.XLOOKUP(C23,'ELC RESID'!H:H,'ELC RESID'!N:N)</f>
        <v>0.61563936970204913</v>
      </c>
      <c r="J23" s="12">
        <f>_xlfn.XLOOKUP(C23,'ELC RESID'!H:H,'ELC RESID'!M:M)</f>
        <v>34.82759862885878</v>
      </c>
      <c r="K23" s="12">
        <f>IF('ELC RESID'!$E16="Storage","",IF('ELC RESID'!$K16&gt;0,'ELC RESID'!$K16,-'ELC RESID'!$K16))</f>
        <v>0</v>
      </c>
      <c r="L23" s="12">
        <f t="shared" si="3"/>
        <v>0</v>
      </c>
      <c r="M23" s="12">
        <f t="shared" si="3"/>
        <v>0</v>
      </c>
      <c r="N23" s="12" t="str">
        <f>IF('ELC RESID'!$E16="Storage",IF('ELC RESID'!$K16&gt;0,'ELC RESID'!$K16,-'ELC RESID'!$K16),"")</f>
        <v/>
      </c>
      <c r="O23" s="8" t="str">
        <f t="shared" si="4"/>
        <v/>
      </c>
      <c r="P23" s="8" t="str">
        <f t="shared" si="4"/>
        <v/>
      </c>
      <c r="Q23">
        <f>IF('ELC RESID'!E16="Storage",0.3,IF('ELC RESID'!E16="Baseload",0.9,IF('ELC RESID'!E16="Non Dispatchable",0.05,IF('ELC RESID'!E16="Dispatchable",0.9,1))))</f>
        <v>0.9</v>
      </c>
      <c r="R23" t="str">
        <f>IF('ELC RESID'!$E16="Non Dispatchable",IFERROR(IF($D23="ELCSOL",$K23/SUMPRODUCT($R$1:$AC$1,$R$3:$AC$3)*R$1,IF($D23="ELCWND",$K23/SUMPRODUCT($R$2:$AC$2,$R$3:$AC$3)*R$2,0)),""),"")</f>
        <v/>
      </c>
      <c r="S23" t="str">
        <f>IF('ELC RESID'!$E16="Non Dispatchable",IFERROR(IF($D23="ELCSOL",$K23/SUMPRODUCT($R$1:$AC$1,$R$3:$AC$3)*S$1,IF($D23="ELCWND",$K23/SUMPRODUCT($R$2:$AC$2,$R$3:$AC$3)*S$2,0)),""),"")</f>
        <v/>
      </c>
      <c r="T23" t="str">
        <f>IF('ELC RESID'!$E16="Non Dispatchable",IFERROR(IF($D23="ELCSOL",$K23/SUMPRODUCT($R$1:$AC$1,$R$3:$AC$3)*T$1,IF($D23="ELCWND",$K23/SUMPRODUCT($R$2:$AC$2,$R$3:$AC$3)*T$2,0)),""),"")</f>
        <v/>
      </c>
      <c r="U23" t="str">
        <f>IF('ELC RESID'!$E16="Non Dispatchable",IFERROR(IF($D23="ELCSOL",$K23/SUMPRODUCT($R$1:$AC$1,$R$3:$AC$3)*U$1,IF($D23="ELCWND",$K23/SUMPRODUCT($R$2:$AC$2,$R$3:$AC$3)*U$2,0)),""),"")</f>
        <v/>
      </c>
      <c r="V23" t="str">
        <f>IF('ELC RESID'!$E16="Non Dispatchable",IFERROR(IF($D23="ELCSOL",$K23/SUMPRODUCT($R$1:$AC$1,$R$3:$AC$3)*V$1,IF($D23="ELCWND",$K23/SUMPRODUCT($R$2:$AC$2,$R$3:$AC$3)*V$2,0)),""),"")</f>
        <v/>
      </c>
      <c r="W23" t="str">
        <f>IF('ELC RESID'!$E16="Non Dispatchable",IFERROR(IF($D23="ELCSOL",$K23/SUMPRODUCT($R$1:$AC$1,$R$3:$AC$3)*W$1,IF($D23="ELCWND",$K23/SUMPRODUCT($R$2:$AC$2,$R$3:$AC$3)*W$2,0)),""),"")</f>
        <v/>
      </c>
      <c r="X23" t="str">
        <f>IF('ELC RESID'!$E16="Non Dispatchable",IFERROR(IF($D23="ELCSOL",$K23/SUMPRODUCT($R$1:$AC$1,$R$3:$AC$3)*X$1,IF($D23="ELCWND",$K23/SUMPRODUCT($R$2:$AC$2,$R$3:$AC$3)*X$2,0)),""),"")</f>
        <v/>
      </c>
      <c r="Y23" t="str">
        <f>IF('ELC RESID'!$E16="Non Dispatchable",IFERROR(IF($D23="ELCSOL",$K23/SUMPRODUCT($R$1:$AC$1,$R$3:$AC$3)*Y$1,IF($D23="ELCWND",$K23/SUMPRODUCT($R$2:$AC$2,$R$3:$AC$3)*Y$2,0)),""),"")</f>
        <v/>
      </c>
      <c r="Z23" t="str">
        <f>IF('ELC RESID'!$E16="Non Dispatchable",IFERROR(IF($D23="ELCSOL",$K23/SUMPRODUCT($R$1:$AC$1,$R$3:$AC$3)*Z$1,IF($D23="ELCWND",$K23/SUMPRODUCT($R$2:$AC$2,$R$3:$AC$3)*Z$2,0)),""),"")</f>
        <v/>
      </c>
      <c r="AA23" t="str">
        <f>IF('ELC RESID'!$E16="Non Dispatchable",IFERROR(IF($D23="ELCSOL",$K23/SUMPRODUCT($R$1:$AC$1,$R$3:$AC$3)*AA$1,IF($D23="ELCWND",$K23/SUMPRODUCT($R$2:$AC$2,$R$3:$AC$3)*AA$2,0)),""),"")</f>
        <v/>
      </c>
      <c r="AB23" t="str">
        <f>IF('ELC RESID'!$E16="Non Dispatchable",IFERROR(IF($D23="ELCSOL",$K23/SUMPRODUCT($R$1:$AC$1,$R$3:$AC$3)*AB$1,IF($D23="ELCWND",$K23/SUMPRODUCT($R$2:$AC$2,$R$3:$AC$3)*AB$2,0)),""),"")</f>
        <v/>
      </c>
      <c r="AC23" t="str">
        <f>IF('ELC RESID'!$E16="Non Dispatchable",IFERROR(IF($D23="ELCSOL",$K23/SUMPRODUCT($R$1:$AC$1,$R$3:$AC$3)*AC$1,IF($D23="ELCWND",$K23/SUMPRODUCT($R$2:$AC$2,$R$3:$AC$3)*AC$2,0)),""),"")</f>
        <v/>
      </c>
      <c r="AD23" t="str">
        <f>IF('ELC RESID'!$E16="Storage", ResidELC!R$3*$N23,"")</f>
        <v/>
      </c>
      <c r="AE23" t="str">
        <f>IF('ELC RESID'!$E16="Storage", ResidELC!S$3*$N23,"")</f>
        <v/>
      </c>
      <c r="AF23" t="str">
        <f>IF('ELC RESID'!$E16="Storage", ResidELC!T$3*$N23,"")</f>
        <v/>
      </c>
      <c r="AG23" t="str">
        <f>IF('ELC RESID'!$E16="Storage", ResidELC!U$3*$N23,"")</f>
        <v/>
      </c>
      <c r="AH23" t="str">
        <f>IF('ELC RESID'!$E16="Storage", ResidELC!V$3*$N23,"")</f>
        <v/>
      </c>
      <c r="AI23" t="str">
        <f>IF('ELC RESID'!$E16="Storage", ResidELC!W$3*$N23,"")</f>
        <v/>
      </c>
      <c r="AJ23" t="str">
        <f>IF('ELC RESID'!$E16="Storage", ResidELC!X$3*$N23,"")</f>
        <v/>
      </c>
      <c r="AK23" t="str">
        <f>IF('ELC RESID'!$E16="Storage", ResidELC!Y$3*$N23,"")</f>
        <v/>
      </c>
      <c r="AL23" t="str">
        <f>IF('ELC RESID'!$E16="Storage", ResidELC!Z$3*$N23,"")</f>
        <v/>
      </c>
      <c r="AM23" t="str">
        <f>IF('ELC RESID'!$E16="Storage", ResidELC!AA$3*$N23,"")</f>
        <v/>
      </c>
      <c r="AN23" t="str">
        <f>IF('ELC RESID'!$E16="Storage", ResidELC!AB$3*$N23,"")</f>
        <v/>
      </c>
      <c r="AO23" t="str">
        <f>IF('ELC RESID'!$E16="Storage", ResidELC!AC$3*$N23,"")</f>
        <v/>
      </c>
      <c r="AP23" s="13">
        <f>'ELC RESID'!O16</f>
        <v>0</v>
      </c>
      <c r="AQ23" s="13">
        <f>'ELC RESID'!P16</f>
        <v>0</v>
      </c>
      <c r="AR23" s="13">
        <f>'ELC RESID'!Q16</f>
        <v>0</v>
      </c>
      <c r="AS23" s="13">
        <f>'ELC RESID'!R16</f>
        <v>0</v>
      </c>
      <c r="AT23" s="13">
        <f>'ELC RESID'!S16</f>
        <v>0</v>
      </c>
      <c r="AU23" s="13">
        <f>'ELC RESID'!T16</f>
        <v>0</v>
      </c>
      <c r="AV23" s="13">
        <f>'ELC RESID'!U16</f>
        <v>0</v>
      </c>
      <c r="AW23" s="13">
        <f>'ELC RESID'!V16</f>
        <v>0</v>
      </c>
      <c r="AX23" s="13">
        <f>'ELC RESID'!W16</f>
        <v>0</v>
      </c>
      <c r="AY23" s="13">
        <f>'ELC RESID'!X16</f>
        <v>0</v>
      </c>
      <c r="AZ23" s="13">
        <f>'ELC RESID'!Y16</f>
        <v>0</v>
      </c>
      <c r="BA23" s="13">
        <f>'ELC RESID'!Z16</f>
        <v>0</v>
      </c>
      <c r="BB23" s="13">
        <f>'ELC RESID'!AA16</f>
        <v>0</v>
      </c>
      <c r="BC23" s="13">
        <f>'ELC RESID'!AB16</f>
        <v>0</v>
      </c>
      <c r="BD23" s="13">
        <f>'ELC RESID'!AC16</f>
        <v>0</v>
      </c>
      <c r="BE23" s="13">
        <f>'ELC RESID'!AD16</f>
        <v>0</v>
      </c>
      <c r="BF23" s="13">
        <f>'ELC RESID'!AE16</f>
        <v>0</v>
      </c>
      <c r="BG23" s="13">
        <f>'ELC RESID'!AF16</f>
        <v>0</v>
      </c>
    </row>
    <row r="24" spans="2:59">
      <c r="B24" t="str">
        <f>IF(SUM(AP24:BG24)=0,"*",Def_Tech!C19)</f>
        <v>EGRID</v>
      </c>
      <c r="C24" t="str">
        <f>Def_Tech!D19</f>
        <v>ELCFOIGRDCTU19</v>
      </c>
      <c r="D24" t="str">
        <f>IF(_xlfn.XLOOKUP('ELC RESID'!G17,List!C:C,List!B:B)="STG",E24,"ELC"&amp;_xlfn.XLOOKUP('ELC RESID'!G17,List!C:C,List!B:B))</f>
        <v>ELCFOI</v>
      </c>
      <c r="E24" t="s">
        <v>405</v>
      </c>
      <c r="F24" s="12">
        <f>IF('ELC RESID'!E17="Storage","",IF('ELC RESID'!L17="",1,'ELC RESID'!L17))</f>
        <v>0.16147915485689959</v>
      </c>
      <c r="G24" s="12" t="str">
        <f>IF('ELC RESID'!E17&lt;&gt;"Storage","",IF('ELC RESID'!L17="",1,'ELC RESID'!L17))</f>
        <v/>
      </c>
      <c r="H24">
        <f t="shared" si="2"/>
        <v>31.535999999999998</v>
      </c>
      <c r="I24" s="12">
        <f>_xlfn.XLOOKUP(C24,'ELC RESID'!H:H,'ELC RESID'!N:N)</f>
        <v>2.0228150718781621</v>
      </c>
      <c r="J24" s="12">
        <f>_xlfn.XLOOKUP(C24,'ELC RESID'!H:H,'ELC RESID'!M:M)</f>
        <v>27.138388541967881</v>
      </c>
      <c r="K24" s="12">
        <f>IF('ELC RESID'!$E17="Storage","",IF('ELC RESID'!$K17&gt;0,'ELC RESID'!$K17,-'ELC RESID'!$K17))</f>
        <v>1.313254198194143E-3</v>
      </c>
      <c r="L24" s="12">
        <f t="shared" si="3"/>
        <v>1.313254198194143E-3</v>
      </c>
      <c r="M24" s="12">
        <f t="shared" si="3"/>
        <v>1.313254198194143E-3</v>
      </c>
      <c r="N24" s="12" t="str">
        <f>IF('ELC RESID'!$E17="Storage",IF('ELC RESID'!$K17&gt;0,'ELC RESID'!$K17,-'ELC RESID'!$K17),"")</f>
        <v/>
      </c>
      <c r="O24" s="8" t="str">
        <f t="shared" si="4"/>
        <v/>
      </c>
      <c r="P24" s="8" t="str">
        <f t="shared" si="4"/>
        <v/>
      </c>
      <c r="Q24">
        <f>IF('ELC RESID'!E17="Storage",0.3,IF('ELC RESID'!E17="Baseload",0.9,IF('ELC RESID'!E17="Non Dispatchable",0.05,IF('ELC RESID'!E17="Dispatchable",0.9,1))))</f>
        <v>0.9</v>
      </c>
      <c r="R24" t="str">
        <f>IF('ELC RESID'!$E17="Non Dispatchable",IFERROR(IF($D24="ELCSOL",$K24/SUMPRODUCT($R$1:$AC$1,$R$3:$AC$3)*R$1,IF($D24="ELCWND",$K24/SUMPRODUCT($R$2:$AC$2,$R$3:$AC$3)*R$2,0)),""),"")</f>
        <v/>
      </c>
      <c r="S24" t="str">
        <f>IF('ELC RESID'!$E17="Non Dispatchable",IFERROR(IF($D24="ELCSOL",$K24/SUMPRODUCT($R$1:$AC$1,$R$3:$AC$3)*S$1,IF($D24="ELCWND",$K24/SUMPRODUCT($R$2:$AC$2,$R$3:$AC$3)*S$2,0)),""),"")</f>
        <v/>
      </c>
      <c r="T24" t="str">
        <f>IF('ELC RESID'!$E17="Non Dispatchable",IFERROR(IF($D24="ELCSOL",$K24/SUMPRODUCT($R$1:$AC$1,$R$3:$AC$3)*T$1,IF($D24="ELCWND",$K24/SUMPRODUCT($R$2:$AC$2,$R$3:$AC$3)*T$2,0)),""),"")</f>
        <v/>
      </c>
      <c r="U24" t="str">
        <f>IF('ELC RESID'!$E17="Non Dispatchable",IFERROR(IF($D24="ELCSOL",$K24/SUMPRODUCT($R$1:$AC$1,$R$3:$AC$3)*U$1,IF($D24="ELCWND",$K24/SUMPRODUCT($R$2:$AC$2,$R$3:$AC$3)*U$2,0)),""),"")</f>
        <v/>
      </c>
      <c r="V24" t="str">
        <f>IF('ELC RESID'!$E17="Non Dispatchable",IFERROR(IF($D24="ELCSOL",$K24/SUMPRODUCT($R$1:$AC$1,$R$3:$AC$3)*V$1,IF($D24="ELCWND",$K24/SUMPRODUCT($R$2:$AC$2,$R$3:$AC$3)*V$2,0)),""),"")</f>
        <v/>
      </c>
      <c r="W24" t="str">
        <f>IF('ELC RESID'!$E17="Non Dispatchable",IFERROR(IF($D24="ELCSOL",$K24/SUMPRODUCT($R$1:$AC$1,$R$3:$AC$3)*W$1,IF($D24="ELCWND",$K24/SUMPRODUCT($R$2:$AC$2,$R$3:$AC$3)*W$2,0)),""),"")</f>
        <v/>
      </c>
      <c r="X24" t="str">
        <f>IF('ELC RESID'!$E17="Non Dispatchable",IFERROR(IF($D24="ELCSOL",$K24/SUMPRODUCT($R$1:$AC$1,$R$3:$AC$3)*X$1,IF($D24="ELCWND",$K24/SUMPRODUCT($R$2:$AC$2,$R$3:$AC$3)*X$2,0)),""),"")</f>
        <v/>
      </c>
      <c r="Y24" t="str">
        <f>IF('ELC RESID'!$E17="Non Dispatchable",IFERROR(IF($D24="ELCSOL",$K24/SUMPRODUCT($R$1:$AC$1,$R$3:$AC$3)*Y$1,IF($D24="ELCWND",$K24/SUMPRODUCT($R$2:$AC$2,$R$3:$AC$3)*Y$2,0)),""),"")</f>
        <v/>
      </c>
      <c r="Z24" t="str">
        <f>IF('ELC RESID'!$E17="Non Dispatchable",IFERROR(IF($D24="ELCSOL",$K24/SUMPRODUCT($R$1:$AC$1,$R$3:$AC$3)*Z$1,IF($D24="ELCWND",$K24/SUMPRODUCT($R$2:$AC$2,$R$3:$AC$3)*Z$2,0)),""),"")</f>
        <v/>
      </c>
      <c r="AA24" t="str">
        <f>IF('ELC RESID'!$E17="Non Dispatchable",IFERROR(IF($D24="ELCSOL",$K24/SUMPRODUCT($R$1:$AC$1,$R$3:$AC$3)*AA$1,IF($D24="ELCWND",$K24/SUMPRODUCT($R$2:$AC$2,$R$3:$AC$3)*AA$2,0)),""),"")</f>
        <v/>
      </c>
      <c r="AB24" t="str">
        <f>IF('ELC RESID'!$E17="Non Dispatchable",IFERROR(IF($D24="ELCSOL",$K24/SUMPRODUCT($R$1:$AC$1,$R$3:$AC$3)*AB$1,IF($D24="ELCWND",$K24/SUMPRODUCT($R$2:$AC$2,$R$3:$AC$3)*AB$2,0)),""),"")</f>
        <v/>
      </c>
      <c r="AC24" t="str">
        <f>IF('ELC RESID'!$E17="Non Dispatchable",IFERROR(IF($D24="ELCSOL",$K24/SUMPRODUCT($R$1:$AC$1,$R$3:$AC$3)*AC$1,IF($D24="ELCWND",$K24/SUMPRODUCT($R$2:$AC$2,$R$3:$AC$3)*AC$2,0)),""),"")</f>
        <v/>
      </c>
      <c r="AD24" t="str">
        <f>IF('ELC RESID'!$E17="Storage", ResidELC!R$3*$N24,"")</f>
        <v/>
      </c>
      <c r="AE24" t="str">
        <f>IF('ELC RESID'!$E17="Storage", ResidELC!S$3*$N24,"")</f>
        <v/>
      </c>
      <c r="AF24" t="str">
        <f>IF('ELC RESID'!$E17="Storage", ResidELC!T$3*$N24,"")</f>
        <v/>
      </c>
      <c r="AG24" t="str">
        <f>IF('ELC RESID'!$E17="Storage", ResidELC!U$3*$N24,"")</f>
        <v/>
      </c>
      <c r="AH24" t="str">
        <f>IF('ELC RESID'!$E17="Storage", ResidELC!V$3*$N24,"")</f>
        <v/>
      </c>
      <c r="AI24" t="str">
        <f>IF('ELC RESID'!$E17="Storage", ResidELC!W$3*$N24,"")</f>
        <v/>
      </c>
      <c r="AJ24" t="str">
        <f>IF('ELC RESID'!$E17="Storage", ResidELC!X$3*$N24,"")</f>
        <v/>
      </c>
      <c r="AK24" t="str">
        <f>IF('ELC RESID'!$E17="Storage", ResidELC!Y$3*$N24,"")</f>
        <v/>
      </c>
      <c r="AL24" t="str">
        <f>IF('ELC RESID'!$E17="Storage", ResidELC!Z$3*$N24,"")</f>
        <v/>
      </c>
      <c r="AM24" t="str">
        <f>IF('ELC RESID'!$E17="Storage", ResidELC!AA$3*$N24,"")</f>
        <v/>
      </c>
      <c r="AN24" t="str">
        <f>IF('ELC RESID'!$E17="Storage", ResidELC!AB$3*$N24,"")</f>
        <v/>
      </c>
      <c r="AO24" t="str">
        <f>IF('ELC RESID'!$E17="Storage", ResidELC!AC$3*$N24,"")</f>
        <v/>
      </c>
      <c r="AP24" s="13">
        <f>'ELC RESID'!O17</f>
        <v>389.6</v>
      </c>
      <c r="AQ24" s="13">
        <f>'ELC RESID'!P17</f>
        <v>0</v>
      </c>
      <c r="AR24" s="13">
        <f>'ELC RESID'!Q17</f>
        <v>0</v>
      </c>
      <c r="AS24" s="13">
        <f>'ELC RESID'!R17</f>
        <v>0</v>
      </c>
      <c r="AT24" s="13">
        <f>'ELC RESID'!S17</f>
        <v>0</v>
      </c>
      <c r="AU24" s="13">
        <f>'ELC RESID'!T17</f>
        <v>0</v>
      </c>
      <c r="AV24" s="13">
        <f>'ELC RESID'!U17</f>
        <v>0</v>
      </c>
      <c r="AW24" s="13">
        <f>'ELC RESID'!V17</f>
        <v>0</v>
      </c>
      <c r="AX24" s="13">
        <f>'ELC RESID'!W17</f>
        <v>0</v>
      </c>
      <c r="AY24" s="13">
        <f>'ELC RESID'!X17</f>
        <v>0</v>
      </c>
      <c r="AZ24" s="13">
        <f>'ELC RESID'!Y17</f>
        <v>0</v>
      </c>
      <c r="BA24" s="13">
        <f>'ELC RESID'!Z17</f>
        <v>0</v>
      </c>
      <c r="BB24" s="13">
        <f>'ELC RESID'!AA17</f>
        <v>0</v>
      </c>
      <c r="BC24" s="13">
        <f>'ELC RESID'!AB17</f>
        <v>0</v>
      </c>
      <c r="BD24" s="13">
        <f>'ELC RESID'!AC17</f>
        <v>0</v>
      </c>
      <c r="BE24" s="13">
        <f>'ELC RESID'!AD17</f>
        <v>0</v>
      </c>
      <c r="BF24" s="13">
        <f>'ELC RESID'!AE17</f>
        <v>0</v>
      </c>
      <c r="BG24" s="13">
        <f>'ELC RESID'!AF17</f>
        <v>0</v>
      </c>
    </row>
    <row r="25" spans="2:59">
      <c r="B25" t="str">
        <f>IF(SUM(AP25:BG25)=0,"*",Def_Tech!C20)</f>
        <v>*</v>
      </c>
      <c r="C25" t="str">
        <f>Def_Tech!D20</f>
        <v>ELCFOIGRDSTU19</v>
      </c>
      <c r="D25" t="str">
        <f>IF(_xlfn.XLOOKUP('ELC RESID'!G18,List!C:C,List!B:B)="STG",E25,"ELC"&amp;_xlfn.XLOOKUP('ELC RESID'!G18,List!C:C,List!B:B))</f>
        <v>ELCFOI</v>
      </c>
      <c r="E25" t="s">
        <v>405</v>
      </c>
      <c r="F25" s="12">
        <f>IF('ELC RESID'!E18="Storage","",IF('ELC RESID'!L18="",1,'ELC RESID'!L18))</f>
        <v>1</v>
      </c>
      <c r="G25" s="12" t="str">
        <f>IF('ELC RESID'!E18&lt;&gt;"Storage","",IF('ELC RESID'!L18="",1,'ELC RESID'!L18))</f>
        <v/>
      </c>
      <c r="H25">
        <f t="shared" si="2"/>
        <v>31.535999999999998</v>
      </c>
      <c r="I25" s="12">
        <f>_xlfn.XLOOKUP(C25,'ELC RESID'!H:H,'ELC RESID'!N:N)</f>
        <v>2.0228150718781621</v>
      </c>
      <c r="J25" s="12">
        <f>_xlfn.XLOOKUP(C25,'ELC RESID'!H:H,'ELC RESID'!M:M)</f>
        <v>27.138388541967881</v>
      </c>
      <c r="K25" s="12">
        <f>IF('ELC RESID'!$E18="Storage","",IF('ELC RESID'!$K18&gt;0,'ELC RESID'!$K18,-'ELC RESID'!$K18))</f>
        <v>0</v>
      </c>
      <c r="L25" s="12">
        <f t="shared" si="3"/>
        <v>0</v>
      </c>
      <c r="M25" s="12">
        <f t="shared" si="3"/>
        <v>0</v>
      </c>
      <c r="N25" s="12" t="str">
        <f>IF('ELC RESID'!$E18="Storage",IF('ELC RESID'!$K18&gt;0,'ELC RESID'!$K18,-'ELC RESID'!$K18),"")</f>
        <v/>
      </c>
      <c r="O25" s="8" t="str">
        <f t="shared" si="4"/>
        <v/>
      </c>
      <c r="P25" s="8" t="str">
        <f t="shared" si="4"/>
        <v/>
      </c>
      <c r="Q25">
        <f>IF('ELC RESID'!E18="Storage",0.3,IF('ELC RESID'!E18="Baseload",0.9,IF('ELC RESID'!E18="Non Dispatchable",0.05,IF('ELC RESID'!E18="Dispatchable",0.9,1))))</f>
        <v>0.9</v>
      </c>
      <c r="R25" t="str">
        <f>IF('ELC RESID'!$E18="Non Dispatchable",IFERROR(IF($D25="ELCSOL",$K25/SUMPRODUCT($R$1:$AC$1,$R$3:$AC$3)*R$1,IF($D25="ELCWND",$K25/SUMPRODUCT($R$2:$AC$2,$R$3:$AC$3)*R$2,0)),""),"")</f>
        <v/>
      </c>
      <c r="S25" t="str">
        <f>IF('ELC RESID'!$E18="Non Dispatchable",IFERROR(IF($D25="ELCSOL",$K25/SUMPRODUCT($R$1:$AC$1,$R$3:$AC$3)*S$1,IF($D25="ELCWND",$K25/SUMPRODUCT($R$2:$AC$2,$R$3:$AC$3)*S$2,0)),""),"")</f>
        <v/>
      </c>
      <c r="T25" t="str">
        <f>IF('ELC RESID'!$E18="Non Dispatchable",IFERROR(IF($D25="ELCSOL",$K25/SUMPRODUCT($R$1:$AC$1,$R$3:$AC$3)*T$1,IF($D25="ELCWND",$K25/SUMPRODUCT($R$2:$AC$2,$R$3:$AC$3)*T$2,0)),""),"")</f>
        <v/>
      </c>
      <c r="U25" t="str">
        <f>IF('ELC RESID'!$E18="Non Dispatchable",IFERROR(IF($D25="ELCSOL",$K25/SUMPRODUCT($R$1:$AC$1,$R$3:$AC$3)*U$1,IF($D25="ELCWND",$K25/SUMPRODUCT($R$2:$AC$2,$R$3:$AC$3)*U$2,0)),""),"")</f>
        <v/>
      </c>
      <c r="V25" t="str">
        <f>IF('ELC RESID'!$E18="Non Dispatchable",IFERROR(IF($D25="ELCSOL",$K25/SUMPRODUCT($R$1:$AC$1,$R$3:$AC$3)*V$1,IF($D25="ELCWND",$K25/SUMPRODUCT($R$2:$AC$2,$R$3:$AC$3)*V$2,0)),""),"")</f>
        <v/>
      </c>
      <c r="W25" t="str">
        <f>IF('ELC RESID'!$E18="Non Dispatchable",IFERROR(IF($D25="ELCSOL",$K25/SUMPRODUCT($R$1:$AC$1,$R$3:$AC$3)*W$1,IF($D25="ELCWND",$K25/SUMPRODUCT($R$2:$AC$2,$R$3:$AC$3)*W$2,0)),""),"")</f>
        <v/>
      </c>
      <c r="X25" t="str">
        <f>IF('ELC RESID'!$E18="Non Dispatchable",IFERROR(IF($D25="ELCSOL",$K25/SUMPRODUCT($R$1:$AC$1,$R$3:$AC$3)*X$1,IF($D25="ELCWND",$K25/SUMPRODUCT($R$2:$AC$2,$R$3:$AC$3)*X$2,0)),""),"")</f>
        <v/>
      </c>
      <c r="Y25" t="str">
        <f>IF('ELC RESID'!$E18="Non Dispatchable",IFERROR(IF($D25="ELCSOL",$K25/SUMPRODUCT($R$1:$AC$1,$R$3:$AC$3)*Y$1,IF($D25="ELCWND",$K25/SUMPRODUCT($R$2:$AC$2,$R$3:$AC$3)*Y$2,0)),""),"")</f>
        <v/>
      </c>
      <c r="Z25" t="str">
        <f>IF('ELC RESID'!$E18="Non Dispatchable",IFERROR(IF($D25="ELCSOL",$K25/SUMPRODUCT($R$1:$AC$1,$R$3:$AC$3)*Z$1,IF($D25="ELCWND",$K25/SUMPRODUCT($R$2:$AC$2,$R$3:$AC$3)*Z$2,0)),""),"")</f>
        <v/>
      </c>
      <c r="AA25" t="str">
        <f>IF('ELC RESID'!$E18="Non Dispatchable",IFERROR(IF($D25="ELCSOL",$K25/SUMPRODUCT($R$1:$AC$1,$R$3:$AC$3)*AA$1,IF($D25="ELCWND",$K25/SUMPRODUCT($R$2:$AC$2,$R$3:$AC$3)*AA$2,0)),""),"")</f>
        <v/>
      </c>
      <c r="AB25" t="str">
        <f>IF('ELC RESID'!$E18="Non Dispatchable",IFERROR(IF($D25="ELCSOL",$K25/SUMPRODUCT($R$1:$AC$1,$R$3:$AC$3)*AB$1,IF($D25="ELCWND",$K25/SUMPRODUCT($R$2:$AC$2,$R$3:$AC$3)*AB$2,0)),""),"")</f>
        <v/>
      </c>
      <c r="AC25" t="str">
        <f>IF('ELC RESID'!$E18="Non Dispatchable",IFERROR(IF($D25="ELCSOL",$K25/SUMPRODUCT($R$1:$AC$1,$R$3:$AC$3)*AC$1,IF($D25="ELCWND",$K25/SUMPRODUCT($R$2:$AC$2,$R$3:$AC$3)*AC$2,0)),""),"")</f>
        <v/>
      </c>
      <c r="AD25" t="str">
        <f>IF('ELC RESID'!$E18="Storage", ResidELC!R$3*$N25,"")</f>
        <v/>
      </c>
      <c r="AE25" t="str">
        <f>IF('ELC RESID'!$E18="Storage", ResidELC!S$3*$N25,"")</f>
        <v/>
      </c>
      <c r="AF25" t="str">
        <f>IF('ELC RESID'!$E18="Storage", ResidELC!T$3*$N25,"")</f>
        <v/>
      </c>
      <c r="AG25" t="str">
        <f>IF('ELC RESID'!$E18="Storage", ResidELC!U$3*$N25,"")</f>
        <v/>
      </c>
      <c r="AH25" t="str">
        <f>IF('ELC RESID'!$E18="Storage", ResidELC!V$3*$N25,"")</f>
        <v/>
      </c>
      <c r="AI25" t="str">
        <f>IF('ELC RESID'!$E18="Storage", ResidELC!W$3*$N25,"")</f>
        <v/>
      </c>
      <c r="AJ25" t="str">
        <f>IF('ELC RESID'!$E18="Storage", ResidELC!X$3*$N25,"")</f>
        <v/>
      </c>
      <c r="AK25" t="str">
        <f>IF('ELC RESID'!$E18="Storage", ResidELC!Y$3*$N25,"")</f>
        <v/>
      </c>
      <c r="AL25" t="str">
        <f>IF('ELC RESID'!$E18="Storage", ResidELC!Z$3*$N25,"")</f>
        <v/>
      </c>
      <c r="AM25" t="str">
        <f>IF('ELC RESID'!$E18="Storage", ResidELC!AA$3*$N25,"")</f>
        <v/>
      </c>
      <c r="AN25" t="str">
        <f>IF('ELC RESID'!$E18="Storage", ResidELC!AB$3*$N25,"")</f>
        <v/>
      </c>
      <c r="AO25" t="str">
        <f>IF('ELC RESID'!$E18="Storage", ResidELC!AC$3*$N25,"")</f>
        <v/>
      </c>
      <c r="AP25" s="13">
        <f>'ELC RESID'!O18</f>
        <v>0</v>
      </c>
      <c r="AQ25" s="13">
        <f>'ELC RESID'!P18</f>
        <v>0</v>
      </c>
      <c r="AR25" s="13">
        <f>'ELC RESID'!Q18</f>
        <v>0</v>
      </c>
      <c r="AS25" s="13">
        <f>'ELC RESID'!R18</f>
        <v>0</v>
      </c>
      <c r="AT25" s="13">
        <f>'ELC RESID'!S18</f>
        <v>0</v>
      </c>
      <c r="AU25" s="13">
        <f>'ELC RESID'!T18</f>
        <v>0</v>
      </c>
      <c r="AV25" s="13">
        <f>'ELC RESID'!U18</f>
        <v>0</v>
      </c>
      <c r="AW25" s="13">
        <f>'ELC RESID'!V18</f>
        <v>0</v>
      </c>
      <c r="AX25" s="13">
        <f>'ELC RESID'!W18</f>
        <v>0</v>
      </c>
      <c r="AY25" s="13">
        <f>'ELC RESID'!X18</f>
        <v>0</v>
      </c>
      <c r="AZ25" s="13">
        <f>'ELC RESID'!Y18</f>
        <v>0</v>
      </c>
      <c r="BA25" s="13">
        <f>'ELC RESID'!Z18</f>
        <v>0</v>
      </c>
      <c r="BB25" s="13">
        <f>'ELC RESID'!AA18</f>
        <v>0</v>
      </c>
      <c r="BC25" s="13">
        <f>'ELC RESID'!AB18</f>
        <v>0</v>
      </c>
      <c r="BD25" s="13">
        <f>'ELC RESID'!AC18</f>
        <v>0</v>
      </c>
      <c r="BE25" s="13">
        <f>'ELC RESID'!AD18</f>
        <v>0</v>
      </c>
      <c r="BF25" s="13">
        <f>'ELC RESID'!AE18</f>
        <v>0</v>
      </c>
      <c r="BG25" s="13">
        <f>'ELC RESID'!AF18</f>
        <v>0</v>
      </c>
    </row>
    <row r="26" spans="2:59">
      <c r="B26" t="str">
        <f>IF(SUM(AP26:BG26)=0,"*",Def_Tech!C21)</f>
        <v>*</v>
      </c>
      <c r="C26" t="str">
        <f>Def_Tech!D21</f>
        <v>ELCFOIGRDCCC19</v>
      </c>
      <c r="D26" t="str">
        <f>IF(_xlfn.XLOOKUP('ELC RESID'!G19,List!C:C,List!B:B)="STG",E26,"ELC"&amp;_xlfn.XLOOKUP('ELC RESID'!G19,List!C:C,List!B:B))</f>
        <v>ELCFOI</v>
      </c>
      <c r="E26" t="s">
        <v>405</v>
      </c>
      <c r="F26" s="12">
        <f>IF('ELC RESID'!E19="Storage","",IF('ELC RESID'!L19="",1,'ELC RESID'!L19))</f>
        <v>1</v>
      </c>
      <c r="G26" s="12" t="str">
        <f>IF('ELC RESID'!E19&lt;&gt;"Storage","",IF('ELC RESID'!L19="",1,'ELC RESID'!L19))</f>
        <v/>
      </c>
      <c r="H26">
        <f t="shared" si="2"/>
        <v>31.535999999999998</v>
      </c>
      <c r="I26" s="12">
        <f>_xlfn.XLOOKUP(C26,'ELC RESID'!H:H,'ELC RESID'!N:N)</f>
        <v>0.61563936970204913</v>
      </c>
      <c r="J26" s="12">
        <f>_xlfn.XLOOKUP(C26,'ELC RESID'!H:H,'ELC RESID'!M:M)</f>
        <v>35.166828485633367</v>
      </c>
      <c r="K26" s="12">
        <f>IF('ELC RESID'!$E19="Storage","",IF('ELC RESID'!$K19&gt;0,'ELC RESID'!$K19,-'ELC RESID'!$K19))</f>
        <v>0</v>
      </c>
      <c r="L26" s="12">
        <f t="shared" si="3"/>
        <v>0</v>
      </c>
      <c r="M26" s="12">
        <f t="shared" si="3"/>
        <v>0</v>
      </c>
      <c r="N26" s="12" t="str">
        <f>IF('ELC RESID'!$E19="Storage",IF('ELC RESID'!$K19&gt;0,'ELC RESID'!$K19,-'ELC RESID'!$K19),"")</f>
        <v/>
      </c>
      <c r="O26" s="8" t="str">
        <f t="shared" si="4"/>
        <v/>
      </c>
      <c r="P26" s="8" t="str">
        <f t="shared" si="4"/>
        <v/>
      </c>
      <c r="Q26">
        <f>IF('ELC RESID'!E19="Storage",0.3,IF('ELC RESID'!E19="Baseload",0.9,IF('ELC RESID'!E19="Non Dispatchable",0.05,IF('ELC RESID'!E19="Dispatchable",0.9,1))))</f>
        <v>0.9</v>
      </c>
      <c r="R26" t="str">
        <f>IF('ELC RESID'!$E19="Non Dispatchable",IFERROR(IF($D26="ELCSOL",$K26/SUMPRODUCT($R$1:$AC$1,$R$3:$AC$3)*R$1,IF($D26="ELCWND",$K26/SUMPRODUCT($R$2:$AC$2,$R$3:$AC$3)*R$2,0)),""),"")</f>
        <v/>
      </c>
      <c r="S26" t="str">
        <f>IF('ELC RESID'!$E19="Non Dispatchable",IFERROR(IF($D26="ELCSOL",$K26/SUMPRODUCT($R$1:$AC$1,$R$3:$AC$3)*S$1,IF($D26="ELCWND",$K26/SUMPRODUCT($R$2:$AC$2,$R$3:$AC$3)*S$2,0)),""),"")</f>
        <v/>
      </c>
      <c r="T26" t="str">
        <f>IF('ELC RESID'!$E19="Non Dispatchable",IFERROR(IF($D26="ELCSOL",$K26/SUMPRODUCT($R$1:$AC$1,$R$3:$AC$3)*T$1,IF($D26="ELCWND",$K26/SUMPRODUCT($R$2:$AC$2,$R$3:$AC$3)*T$2,0)),""),"")</f>
        <v/>
      </c>
      <c r="U26" t="str">
        <f>IF('ELC RESID'!$E19="Non Dispatchable",IFERROR(IF($D26="ELCSOL",$K26/SUMPRODUCT($R$1:$AC$1,$R$3:$AC$3)*U$1,IF($D26="ELCWND",$K26/SUMPRODUCT($R$2:$AC$2,$R$3:$AC$3)*U$2,0)),""),"")</f>
        <v/>
      </c>
      <c r="V26" t="str">
        <f>IF('ELC RESID'!$E19="Non Dispatchable",IFERROR(IF($D26="ELCSOL",$K26/SUMPRODUCT($R$1:$AC$1,$R$3:$AC$3)*V$1,IF($D26="ELCWND",$K26/SUMPRODUCT($R$2:$AC$2,$R$3:$AC$3)*V$2,0)),""),"")</f>
        <v/>
      </c>
      <c r="W26" t="str">
        <f>IF('ELC RESID'!$E19="Non Dispatchable",IFERROR(IF($D26="ELCSOL",$K26/SUMPRODUCT($R$1:$AC$1,$R$3:$AC$3)*W$1,IF($D26="ELCWND",$K26/SUMPRODUCT($R$2:$AC$2,$R$3:$AC$3)*W$2,0)),""),"")</f>
        <v/>
      </c>
      <c r="X26" t="str">
        <f>IF('ELC RESID'!$E19="Non Dispatchable",IFERROR(IF($D26="ELCSOL",$K26/SUMPRODUCT($R$1:$AC$1,$R$3:$AC$3)*X$1,IF($D26="ELCWND",$K26/SUMPRODUCT($R$2:$AC$2,$R$3:$AC$3)*X$2,0)),""),"")</f>
        <v/>
      </c>
      <c r="Y26" t="str">
        <f>IF('ELC RESID'!$E19="Non Dispatchable",IFERROR(IF($D26="ELCSOL",$K26/SUMPRODUCT($R$1:$AC$1,$R$3:$AC$3)*Y$1,IF($D26="ELCWND",$K26/SUMPRODUCT($R$2:$AC$2,$R$3:$AC$3)*Y$2,0)),""),"")</f>
        <v/>
      </c>
      <c r="Z26" t="str">
        <f>IF('ELC RESID'!$E19="Non Dispatchable",IFERROR(IF($D26="ELCSOL",$K26/SUMPRODUCT($R$1:$AC$1,$R$3:$AC$3)*Z$1,IF($D26="ELCWND",$K26/SUMPRODUCT($R$2:$AC$2,$R$3:$AC$3)*Z$2,0)),""),"")</f>
        <v/>
      </c>
      <c r="AA26" t="str">
        <f>IF('ELC RESID'!$E19="Non Dispatchable",IFERROR(IF($D26="ELCSOL",$K26/SUMPRODUCT($R$1:$AC$1,$R$3:$AC$3)*AA$1,IF($D26="ELCWND",$K26/SUMPRODUCT($R$2:$AC$2,$R$3:$AC$3)*AA$2,0)),""),"")</f>
        <v/>
      </c>
      <c r="AB26" t="str">
        <f>IF('ELC RESID'!$E19="Non Dispatchable",IFERROR(IF($D26="ELCSOL",$K26/SUMPRODUCT($R$1:$AC$1,$R$3:$AC$3)*AB$1,IF($D26="ELCWND",$K26/SUMPRODUCT($R$2:$AC$2,$R$3:$AC$3)*AB$2,0)),""),"")</f>
        <v/>
      </c>
      <c r="AC26" t="str">
        <f>IF('ELC RESID'!$E19="Non Dispatchable",IFERROR(IF($D26="ELCSOL",$K26/SUMPRODUCT($R$1:$AC$1,$R$3:$AC$3)*AC$1,IF($D26="ELCWND",$K26/SUMPRODUCT($R$2:$AC$2,$R$3:$AC$3)*AC$2,0)),""),"")</f>
        <v/>
      </c>
      <c r="AD26" t="str">
        <f>IF('ELC RESID'!$E19="Storage", ResidELC!R$3*$N26,"")</f>
        <v/>
      </c>
      <c r="AE26" t="str">
        <f>IF('ELC RESID'!$E19="Storage", ResidELC!S$3*$N26,"")</f>
        <v/>
      </c>
      <c r="AF26" t="str">
        <f>IF('ELC RESID'!$E19="Storage", ResidELC!T$3*$N26,"")</f>
        <v/>
      </c>
      <c r="AG26" t="str">
        <f>IF('ELC RESID'!$E19="Storage", ResidELC!U$3*$N26,"")</f>
        <v/>
      </c>
      <c r="AH26" t="str">
        <f>IF('ELC RESID'!$E19="Storage", ResidELC!V$3*$N26,"")</f>
        <v/>
      </c>
      <c r="AI26" t="str">
        <f>IF('ELC RESID'!$E19="Storage", ResidELC!W$3*$N26,"")</f>
        <v/>
      </c>
      <c r="AJ26" t="str">
        <f>IF('ELC RESID'!$E19="Storage", ResidELC!X$3*$N26,"")</f>
        <v/>
      </c>
      <c r="AK26" t="str">
        <f>IF('ELC RESID'!$E19="Storage", ResidELC!Y$3*$N26,"")</f>
        <v/>
      </c>
      <c r="AL26" t="str">
        <f>IF('ELC RESID'!$E19="Storage", ResidELC!Z$3*$N26,"")</f>
        <v/>
      </c>
      <c r="AM26" t="str">
        <f>IF('ELC RESID'!$E19="Storage", ResidELC!AA$3*$N26,"")</f>
        <v/>
      </c>
      <c r="AN26" t="str">
        <f>IF('ELC RESID'!$E19="Storage", ResidELC!AB$3*$N26,"")</f>
        <v/>
      </c>
      <c r="AO26" t="str">
        <f>IF('ELC RESID'!$E19="Storage", ResidELC!AC$3*$N26,"")</f>
        <v/>
      </c>
      <c r="AP26" s="13">
        <f>'ELC RESID'!O19</f>
        <v>0</v>
      </c>
      <c r="AQ26" s="13">
        <f>'ELC RESID'!P19</f>
        <v>0</v>
      </c>
      <c r="AR26" s="13">
        <f>'ELC RESID'!Q19</f>
        <v>0</v>
      </c>
      <c r="AS26" s="13">
        <f>'ELC RESID'!R19</f>
        <v>0</v>
      </c>
      <c r="AT26" s="13">
        <f>'ELC RESID'!S19</f>
        <v>0</v>
      </c>
      <c r="AU26" s="13">
        <f>'ELC RESID'!T19</f>
        <v>0</v>
      </c>
      <c r="AV26" s="13">
        <f>'ELC RESID'!U19</f>
        <v>0</v>
      </c>
      <c r="AW26" s="13">
        <f>'ELC RESID'!V19</f>
        <v>0</v>
      </c>
      <c r="AX26" s="13">
        <f>'ELC RESID'!W19</f>
        <v>0</v>
      </c>
      <c r="AY26" s="13">
        <f>'ELC RESID'!X19</f>
        <v>0</v>
      </c>
      <c r="AZ26" s="13">
        <f>'ELC RESID'!Y19</f>
        <v>0</v>
      </c>
      <c r="BA26" s="13">
        <f>'ELC RESID'!Z19</f>
        <v>0</v>
      </c>
      <c r="BB26" s="13">
        <f>'ELC RESID'!AA19</f>
        <v>0</v>
      </c>
      <c r="BC26" s="13">
        <f>'ELC RESID'!AB19</f>
        <v>0</v>
      </c>
      <c r="BD26" s="13">
        <f>'ELC RESID'!AC19</f>
        <v>0</v>
      </c>
      <c r="BE26" s="13">
        <f>'ELC RESID'!AD19</f>
        <v>0</v>
      </c>
      <c r="BF26" s="13">
        <f>'ELC RESID'!AE19</f>
        <v>0</v>
      </c>
      <c r="BG26" s="13">
        <f>'ELC RESID'!AF19</f>
        <v>0</v>
      </c>
    </row>
    <row r="27" spans="2:59">
      <c r="B27" t="str">
        <f>IF(SUM(AP27:BG27)=0,"*",Def_Tech!C22)</f>
        <v>*</v>
      </c>
      <c r="C27" t="str">
        <f>Def_Tech!D22</f>
        <v>ELCFOIGRDCCS19</v>
      </c>
      <c r="D27" t="str">
        <f>IF(_xlfn.XLOOKUP('ELC RESID'!G20,List!C:C,List!B:B)="STG",E27,"ELC"&amp;_xlfn.XLOOKUP('ELC RESID'!G20,List!C:C,List!B:B))</f>
        <v>ELCFOI</v>
      </c>
      <c r="E27" t="s">
        <v>405</v>
      </c>
      <c r="F27" s="12">
        <f>IF('ELC RESID'!E20="Storage","",IF('ELC RESID'!L20="",1,'ELC RESID'!L20))</f>
        <v>1</v>
      </c>
      <c r="G27" s="12" t="str">
        <f>IF('ELC RESID'!E20&lt;&gt;"Storage","",IF('ELC RESID'!L20="",1,'ELC RESID'!L20))</f>
        <v/>
      </c>
      <c r="H27">
        <f t="shared" si="2"/>
        <v>31.535999999999998</v>
      </c>
      <c r="I27" s="12">
        <f>_xlfn.XLOOKUP(C27,'ELC RESID'!H:H,'ELC RESID'!N:N)</f>
        <v>0.61563936970204913</v>
      </c>
      <c r="J27" s="12">
        <f>_xlfn.XLOOKUP(C27,'ELC RESID'!H:H,'ELC RESID'!M:M)</f>
        <v>35.166828485633367</v>
      </c>
      <c r="K27" s="12">
        <f>IF('ELC RESID'!$E20="Storage","",IF('ELC RESID'!$K20&gt;0,'ELC RESID'!$K20,-'ELC RESID'!$K20))</f>
        <v>0</v>
      </c>
      <c r="L27" s="12">
        <f t="shared" si="3"/>
        <v>0</v>
      </c>
      <c r="M27" s="12">
        <f t="shared" si="3"/>
        <v>0</v>
      </c>
      <c r="N27" s="12" t="str">
        <f>IF('ELC RESID'!$E20="Storage",IF('ELC RESID'!$K20&gt;0,'ELC RESID'!$K20,-'ELC RESID'!$K20),"")</f>
        <v/>
      </c>
      <c r="O27" s="8" t="str">
        <f t="shared" si="4"/>
        <v/>
      </c>
      <c r="P27" s="8" t="str">
        <f t="shared" si="4"/>
        <v/>
      </c>
      <c r="Q27">
        <f>IF('ELC RESID'!E20="Storage",0.3,IF('ELC RESID'!E20="Baseload",0.9,IF('ELC RESID'!E20="Non Dispatchable",0.05,IF('ELC RESID'!E20="Dispatchable",0.9,1))))</f>
        <v>0.9</v>
      </c>
      <c r="R27" t="str">
        <f>IF('ELC RESID'!$E20="Non Dispatchable",IFERROR(IF($D27="ELCSOL",$K27/SUMPRODUCT($R$1:$AC$1,$R$3:$AC$3)*R$1,IF($D27="ELCWND",$K27/SUMPRODUCT($R$2:$AC$2,$R$3:$AC$3)*R$2,0)),""),"")</f>
        <v/>
      </c>
      <c r="S27" t="str">
        <f>IF('ELC RESID'!$E20="Non Dispatchable",IFERROR(IF($D27="ELCSOL",$K27/SUMPRODUCT($R$1:$AC$1,$R$3:$AC$3)*S$1,IF($D27="ELCWND",$K27/SUMPRODUCT($R$2:$AC$2,$R$3:$AC$3)*S$2,0)),""),"")</f>
        <v/>
      </c>
      <c r="T27" t="str">
        <f>IF('ELC RESID'!$E20="Non Dispatchable",IFERROR(IF($D27="ELCSOL",$K27/SUMPRODUCT($R$1:$AC$1,$R$3:$AC$3)*T$1,IF($D27="ELCWND",$K27/SUMPRODUCT($R$2:$AC$2,$R$3:$AC$3)*T$2,0)),""),"")</f>
        <v/>
      </c>
      <c r="U27" t="str">
        <f>IF('ELC RESID'!$E20="Non Dispatchable",IFERROR(IF($D27="ELCSOL",$K27/SUMPRODUCT($R$1:$AC$1,$R$3:$AC$3)*U$1,IF($D27="ELCWND",$K27/SUMPRODUCT($R$2:$AC$2,$R$3:$AC$3)*U$2,0)),""),"")</f>
        <v/>
      </c>
      <c r="V27" t="str">
        <f>IF('ELC RESID'!$E20="Non Dispatchable",IFERROR(IF($D27="ELCSOL",$K27/SUMPRODUCT($R$1:$AC$1,$R$3:$AC$3)*V$1,IF($D27="ELCWND",$K27/SUMPRODUCT($R$2:$AC$2,$R$3:$AC$3)*V$2,0)),""),"")</f>
        <v/>
      </c>
      <c r="W27" t="str">
        <f>IF('ELC RESID'!$E20="Non Dispatchable",IFERROR(IF($D27="ELCSOL",$K27/SUMPRODUCT($R$1:$AC$1,$R$3:$AC$3)*W$1,IF($D27="ELCWND",$K27/SUMPRODUCT($R$2:$AC$2,$R$3:$AC$3)*W$2,0)),""),"")</f>
        <v/>
      </c>
      <c r="X27" t="str">
        <f>IF('ELC RESID'!$E20="Non Dispatchable",IFERROR(IF($D27="ELCSOL",$K27/SUMPRODUCT($R$1:$AC$1,$R$3:$AC$3)*X$1,IF($D27="ELCWND",$K27/SUMPRODUCT($R$2:$AC$2,$R$3:$AC$3)*X$2,0)),""),"")</f>
        <v/>
      </c>
      <c r="Y27" t="str">
        <f>IF('ELC RESID'!$E20="Non Dispatchable",IFERROR(IF($D27="ELCSOL",$K27/SUMPRODUCT($R$1:$AC$1,$R$3:$AC$3)*Y$1,IF($D27="ELCWND",$K27/SUMPRODUCT($R$2:$AC$2,$R$3:$AC$3)*Y$2,0)),""),"")</f>
        <v/>
      </c>
      <c r="Z27" t="str">
        <f>IF('ELC RESID'!$E20="Non Dispatchable",IFERROR(IF($D27="ELCSOL",$K27/SUMPRODUCT($R$1:$AC$1,$R$3:$AC$3)*Z$1,IF($D27="ELCWND",$K27/SUMPRODUCT($R$2:$AC$2,$R$3:$AC$3)*Z$2,0)),""),"")</f>
        <v/>
      </c>
      <c r="AA27" t="str">
        <f>IF('ELC RESID'!$E20="Non Dispatchable",IFERROR(IF($D27="ELCSOL",$K27/SUMPRODUCT($R$1:$AC$1,$R$3:$AC$3)*AA$1,IF($D27="ELCWND",$K27/SUMPRODUCT($R$2:$AC$2,$R$3:$AC$3)*AA$2,0)),""),"")</f>
        <v/>
      </c>
      <c r="AB27" t="str">
        <f>IF('ELC RESID'!$E20="Non Dispatchable",IFERROR(IF($D27="ELCSOL",$K27/SUMPRODUCT($R$1:$AC$1,$R$3:$AC$3)*AB$1,IF($D27="ELCWND",$K27/SUMPRODUCT($R$2:$AC$2,$R$3:$AC$3)*AB$2,0)),""),"")</f>
        <v/>
      </c>
      <c r="AC27" t="str">
        <f>IF('ELC RESID'!$E20="Non Dispatchable",IFERROR(IF($D27="ELCSOL",$K27/SUMPRODUCT($R$1:$AC$1,$R$3:$AC$3)*AC$1,IF($D27="ELCWND",$K27/SUMPRODUCT($R$2:$AC$2,$R$3:$AC$3)*AC$2,0)),""),"")</f>
        <v/>
      </c>
      <c r="AD27" t="str">
        <f>IF('ELC RESID'!$E20="Storage", ResidELC!R$3*$N27,"")</f>
        <v/>
      </c>
      <c r="AE27" t="str">
        <f>IF('ELC RESID'!$E20="Storage", ResidELC!S$3*$N27,"")</f>
        <v/>
      </c>
      <c r="AF27" t="str">
        <f>IF('ELC RESID'!$E20="Storage", ResidELC!T$3*$N27,"")</f>
        <v/>
      </c>
      <c r="AG27" t="str">
        <f>IF('ELC RESID'!$E20="Storage", ResidELC!U$3*$N27,"")</f>
        <v/>
      </c>
      <c r="AH27" t="str">
        <f>IF('ELC RESID'!$E20="Storage", ResidELC!V$3*$N27,"")</f>
        <v/>
      </c>
      <c r="AI27" t="str">
        <f>IF('ELC RESID'!$E20="Storage", ResidELC!W$3*$N27,"")</f>
        <v/>
      </c>
      <c r="AJ27" t="str">
        <f>IF('ELC RESID'!$E20="Storage", ResidELC!X$3*$N27,"")</f>
        <v/>
      </c>
      <c r="AK27" t="str">
        <f>IF('ELC RESID'!$E20="Storage", ResidELC!Y$3*$N27,"")</f>
        <v/>
      </c>
      <c r="AL27" t="str">
        <f>IF('ELC RESID'!$E20="Storage", ResidELC!Z$3*$N27,"")</f>
        <v/>
      </c>
      <c r="AM27" t="str">
        <f>IF('ELC RESID'!$E20="Storage", ResidELC!AA$3*$N27,"")</f>
        <v/>
      </c>
      <c r="AN27" t="str">
        <f>IF('ELC RESID'!$E20="Storage", ResidELC!AB$3*$N27,"")</f>
        <v/>
      </c>
      <c r="AO27" t="str">
        <f>IF('ELC RESID'!$E20="Storage", ResidELC!AC$3*$N27,"")</f>
        <v/>
      </c>
      <c r="AP27" s="13">
        <f>'ELC RESID'!O20</f>
        <v>0</v>
      </c>
      <c r="AQ27" s="13">
        <f>'ELC RESID'!P20</f>
        <v>0</v>
      </c>
      <c r="AR27" s="13">
        <f>'ELC RESID'!Q20</f>
        <v>0</v>
      </c>
      <c r="AS27" s="13">
        <f>'ELC RESID'!R20</f>
        <v>0</v>
      </c>
      <c r="AT27" s="13">
        <f>'ELC RESID'!S20</f>
        <v>0</v>
      </c>
      <c r="AU27" s="13">
        <f>'ELC RESID'!T20</f>
        <v>0</v>
      </c>
      <c r="AV27" s="13">
        <f>'ELC RESID'!U20</f>
        <v>0</v>
      </c>
      <c r="AW27" s="13">
        <f>'ELC RESID'!V20</f>
        <v>0</v>
      </c>
      <c r="AX27" s="13">
        <f>'ELC RESID'!W20</f>
        <v>0</v>
      </c>
      <c r="AY27" s="13">
        <f>'ELC RESID'!X20</f>
        <v>0</v>
      </c>
      <c r="AZ27" s="13">
        <f>'ELC RESID'!Y20</f>
        <v>0</v>
      </c>
      <c r="BA27" s="13">
        <f>'ELC RESID'!Z20</f>
        <v>0</v>
      </c>
      <c r="BB27" s="13">
        <f>'ELC RESID'!AA20</f>
        <v>0</v>
      </c>
      <c r="BC27" s="13">
        <f>'ELC RESID'!AB20</f>
        <v>0</v>
      </c>
      <c r="BD27" s="13">
        <f>'ELC RESID'!AC20</f>
        <v>0</v>
      </c>
      <c r="BE27" s="13">
        <f>'ELC RESID'!AD20</f>
        <v>0</v>
      </c>
      <c r="BF27" s="13">
        <f>'ELC RESID'!AE20</f>
        <v>0</v>
      </c>
      <c r="BG27" s="13">
        <f>'ELC RESID'!AF20</f>
        <v>0</v>
      </c>
    </row>
    <row r="28" spans="2:59">
      <c r="B28" t="str">
        <f>IF(SUM(AP28:BG28)=0,"*",Def_Tech!C23)</f>
        <v>*</v>
      </c>
      <c r="C28" t="str">
        <f>Def_Tech!D23</f>
        <v>ELCFOIGRDOTT19</v>
      </c>
      <c r="D28" t="str">
        <f>IF(_xlfn.XLOOKUP('ELC RESID'!G21,List!C:C,List!B:B)="STG",E28,"ELC"&amp;_xlfn.XLOOKUP('ELC RESID'!G21,List!C:C,List!B:B))</f>
        <v>ELCFOI</v>
      </c>
      <c r="E28" t="s">
        <v>405</v>
      </c>
      <c r="F28" s="12">
        <f>IF('ELC RESID'!E21="Storage","",IF('ELC RESID'!L21="",1,'ELC RESID'!L21))</f>
        <v>1</v>
      </c>
      <c r="G28" s="12" t="str">
        <f>IF('ELC RESID'!E21&lt;&gt;"Storage","",IF('ELC RESID'!L21="",1,'ELC RESID'!L21))</f>
        <v/>
      </c>
      <c r="H28">
        <f t="shared" si="2"/>
        <v>31.535999999999998</v>
      </c>
      <c r="I28" s="12">
        <f>_xlfn.XLOOKUP(C28,'ELC RESID'!H:H,'ELC RESID'!N:N)</f>
        <v>0.61563936970204913</v>
      </c>
      <c r="J28" s="12">
        <f>_xlfn.XLOOKUP(C28,'ELC RESID'!H:H,'ELC RESID'!M:M)</f>
        <v>35.166828485633367</v>
      </c>
      <c r="K28" s="12">
        <f>IF('ELC RESID'!$E21="Storage","",IF('ELC RESID'!$K21&gt;0,'ELC RESID'!$K21,-'ELC RESID'!$K21))</f>
        <v>0</v>
      </c>
      <c r="L28" s="12">
        <f t="shared" si="3"/>
        <v>0</v>
      </c>
      <c r="M28" s="12">
        <f t="shared" si="3"/>
        <v>0</v>
      </c>
      <c r="N28" s="12" t="str">
        <f>IF('ELC RESID'!$E21="Storage",IF('ELC RESID'!$K21&gt;0,'ELC RESID'!$K21,-'ELC RESID'!$K21),"")</f>
        <v/>
      </c>
      <c r="O28" s="8" t="str">
        <f t="shared" si="4"/>
        <v/>
      </c>
      <c r="P28" s="8" t="str">
        <f t="shared" si="4"/>
        <v/>
      </c>
      <c r="Q28">
        <f>IF('ELC RESID'!E21="Storage",0.3,IF('ELC RESID'!E21="Baseload",0.9,IF('ELC RESID'!E21="Non Dispatchable",0.05,IF('ELC RESID'!E21="Dispatchable",0.9,1))))</f>
        <v>0.9</v>
      </c>
      <c r="R28" t="str">
        <f>IF('ELC RESID'!$E21="Non Dispatchable",IFERROR(IF($D28="ELCSOL",$K28/SUMPRODUCT($R$1:$AC$1,$R$3:$AC$3)*R$1,IF($D28="ELCWND",$K28/SUMPRODUCT($R$2:$AC$2,$R$3:$AC$3)*R$2,0)),""),"")</f>
        <v/>
      </c>
      <c r="S28" t="str">
        <f>IF('ELC RESID'!$E21="Non Dispatchable",IFERROR(IF($D28="ELCSOL",$K28/SUMPRODUCT($R$1:$AC$1,$R$3:$AC$3)*S$1,IF($D28="ELCWND",$K28/SUMPRODUCT($R$2:$AC$2,$R$3:$AC$3)*S$2,0)),""),"")</f>
        <v/>
      </c>
      <c r="T28" t="str">
        <f>IF('ELC RESID'!$E21="Non Dispatchable",IFERROR(IF($D28="ELCSOL",$K28/SUMPRODUCT($R$1:$AC$1,$R$3:$AC$3)*T$1,IF($D28="ELCWND",$K28/SUMPRODUCT($R$2:$AC$2,$R$3:$AC$3)*T$2,0)),""),"")</f>
        <v/>
      </c>
      <c r="U28" t="str">
        <f>IF('ELC RESID'!$E21="Non Dispatchable",IFERROR(IF($D28="ELCSOL",$K28/SUMPRODUCT($R$1:$AC$1,$R$3:$AC$3)*U$1,IF($D28="ELCWND",$K28/SUMPRODUCT($R$2:$AC$2,$R$3:$AC$3)*U$2,0)),""),"")</f>
        <v/>
      </c>
      <c r="V28" t="str">
        <f>IF('ELC RESID'!$E21="Non Dispatchable",IFERROR(IF($D28="ELCSOL",$K28/SUMPRODUCT($R$1:$AC$1,$R$3:$AC$3)*V$1,IF($D28="ELCWND",$K28/SUMPRODUCT($R$2:$AC$2,$R$3:$AC$3)*V$2,0)),""),"")</f>
        <v/>
      </c>
      <c r="W28" t="str">
        <f>IF('ELC RESID'!$E21="Non Dispatchable",IFERROR(IF($D28="ELCSOL",$K28/SUMPRODUCT($R$1:$AC$1,$R$3:$AC$3)*W$1,IF($D28="ELCWND",$K28/SUMPRODUCT($R$2:$AC$2,$R$3:$AC$3)*W$2,0)),""),"")</f>
        <v/>
      </c>
      <c r="X28" t="str">
        <f>IF('ELC RESID'!$E21="Non Dispatchable",IFERROR(IF($D28="ELCSOL",$K28/SUMPRODUCT($R$1:$AC$1,$R$3:$AC$3)*X$1,IF($D28="ELCWND",$K28/SUMPRODUCT($R$2:$AC$2,$R$3:$AC$3)*X$2,0)),""),"")</f>
        <v/>
      </c>
      <c r="Y28" t="str">
        <f>IF('ELC RESID'!$E21="Non Dispatchable",IFERROR(IF($D28="ELCSOL",$K28/SUMPRODUCT($R$1:$AC$1,$R$3:$AC$3)*Y$1,IF($D28="ELCWND",$K28/SUMPRODUCT($R$2:$AC$2,$R$3:$AC$3)*Y$2,0)),""),"")</f>
        <v/>
      </c>
      <c r="Z28" t="str">
        <f>IF('ELC RESID'!$E21="Non Dispatchable",IFERROR(IF($D28="ELCSOL",$K28/SUMPRODUCT($R$1:$AC$1,$R$3:$AC$3)*Z$1,IF($D28="ELCWND",$K28/SUMPRODUCT($R$2:$AC$2,$R$3:$AC$3)*Z$2,0)),""),"")</f>
        <v/>
      </c>
      <c r="AA28" t="str">
        <f>IF('ELC RESID'!$E21="Non Dispatchable",IFERROR(IF($D28="ELCSOL",$K28/SUMPRODUCT($R$1:$AC$1,$R$3:$AC$3)*AA$1,IF($D28="ELCWND",$K28/SUMPRODUCT($R$2:$AC$2,$R$3:$AC$3)*AA$2,0)),""),"")</f>
        <v/>
      </c>
      <c r="AB28" t="str">
        <f>IF('ELC RESID'!$E21="Non Dispatchable",IFERROR(IF($D28="ELCSOL",$K28/SUMPRODUCT($R$1:$AC$1,$R$3:$AC$3)*AB$1,IF($D28="ELCWND",$K28/SUMPRODUCT($R$2:$AC$2,$R$3:$AC$3)*AB$2,0)),""),"")</f>
        <v/>
      </c>
      <c r="AC28" t="str">
        <f>IF('ELC RESID'!$E21="Non Dispatchable",IFERROR(IF($D28="ELCSOL",$K28/SUMPRODUCT($R$1:$AC$1,$R$3:$AC$3)*AC$1,IF($D28="ELCWND",$K28/SUMPRODUCT($R$2:$AC$2,$R$3:$AC$3)*AC$2,0)),""),"")</f>
        <v/>
      </c>
      <c r="AD28" t="str">
        <f>IF('ELC RESID'!$E21="Storage", ResidELC!R$3*$N28,"")</f>
        <v/>
      </c>
      <c r="AE28" t="str">
        <f>IF('ELC RESID'!$E21="Storage", ResidELC!S$3*$N28,"")</f>
        <v/>
      </c>
      <c r="AF28" t="str">
        <f>IF('ELC RESID'!$E21="Storage", ResidELC!T$3*$N28,"")</f>
        <v/>
      </c>
      <c r="AG28" t="str">
        <f>IF('ELC RESID'!$E21="Storage", ResidELC!U$3*$N28,"")</f>
        <v/>
      </c>
      <c r="AH28" t="str">
        <f>IF('ELC RESID'!$E21="Storage", ResidELC!V$3*$N28,"")</f>
        <v/>
      </c>
      <c r="AI28" t="str">
        <f>IF('ELC RESID'!$E21="Storage", ResidELC!W$3*$N28,"")</f>
        <v/>
      </c>
      <c r="AJ28" t="str">
        <f>IF('ELC RESID'!$E21="Storage", ResidELC!X$3*$N28,"")</f>
        <v/>
      </c>
      <c r="AK28" t="str">
        <f>IF('ELC RESID'!$E21="Storage", ResidELC!Y$3*$N28,"")</f>
        <v/>
      </c>
      <c r="AL28" t="str">
        <f>IF('ELC RESID'!$E21="Storage", ResidELC!Z$3*$N28,"")</f>
        <v/>
      </c>
      <c r="AM28" t="str">
        <f>IF('ELC RESID'!$E21="Storage", ResidELC!AA$3*$N28,"")</f>
        <v/>
      </c>
      <c r="AN28" t="str">
        <f>IF('ELC RESID'!$E21="Storage", ResidELC!AB$3*$N28,"")</f>
        <v/>
      </c>
      <c r="AO28" t="str">
        <f>IF('ELC RESID'!$E21="Storage", ResidELC!AC$3*$N28,"")</f>
        <v/>
      </c>
      <c r="AP28" s="13">
        <f>'ELC RESID'!O21</f>
        <v>0</v>
      </c>
      <c r="AQ28" s="13">
        <f>'ELC RESID'!P21</f>
        <v>0</v>
      </c>
      <c r="AR28" s="13">
        <f>'ELC RESID'!Q21</f>
        <v>0</v>
      </c>
      <c r="AS28" s="13">
        <f>'ELC RESID'!R21</f>
        <v>0</v>
      </c>
      <c r="AT28" s="13">
        <f>'ELC RESID'!S21</f>
        <v>0</v>
      </c>
      <c r="AU28" s="13">
        <f>'ELC RESID'!T21</f>
        <v>0</v>
      </c>
      <c r="AV28" s="13">
        <f>'ELC RESID'!U21</f>
        <v>0</v>
      </c>
      <c r="AW28" s="13">
        <f>'ELC RESID'!V21</f>
        <v>0</v>
      </c>
      <c r="AX28" s="13">
        <f>'ELC RESID'!W21</f>
        <v>0</v>
      </c>
      <c r="AY28" s="13">
        <f>'ELC RESID'!X21</f>
        <v>0</v>
      </c>
      <c r="AZ28" s="13">
        <f>'ELC RESID'!Y21</f>
        <v>0</v>
      </c>
      <c r="BA28" s="13">
        <f>'ELC RESID'!Z21</f>
        <v>0</v>
      </c>
      <c r="BB28" s="13">
        <f>'ELC RESID'!AA21</f>
        <v>0</v>
      </c>
      <c r="BC28" s="13">
        <f>'ELC RESID'!AB21</f>
        <v>0</v>
      </c>
      <c r="BD28" s="13">
        <f>'ELC RESID'!AC21</f>
        <v>0</v>
      </c>
      <c r="BE28" s="13">
        <f>'ELC RESID'!AD21</f>
        <v>0</v>
      </c>
      <c r="BF28" s="13">
        <f>'ELC RESID'!AE21</f>
        <v>0</v>
      </c>
      <c r="BG28" s="13">
        <f>'ELC RESID'!AF21</f>
        <v>0</v>
      </c>
    </row>
    <row r="29" spans="2:59">
      <c r="B29" t="str">
        <f>IF(SUM(AP29:BG29)=0,"*",Def_Tech!C24)</f>
        <v>EGRID</v>
      </c>
      <c r="C29" t="str">
        <f>Def_Tech!D24</f>
        <v>ELCFOIGRDICE19</v>
      </c>
      <c r="D29" t="str">
        <f>IF(_xlfn.XLOOKUP('ELC RESID'!G22,List!C:C,List!B:B)="STG",E29,"ELC"&amp;_xlfn.XLOOKUP('ELC RESID'!G22,List!C:C,List!B:B))</f>
        <v>ELCFOI</v>
      </c>
      <c r="E29" t="s">
        <v>405</v>
      </c>
      <c r="F29" s="12">
        <f>IF('ELC RESID'!E22="Storage","",IF('ELC RESID'!L22="",1,'ELC RESID'!L22))</f>
        <v>0.27765777783051537</v>
      </c>
      <c r="G29" s="12" t="str">
        <f>IF('ELC RESID'!E22&lt;&gt;"Storage","",IF('ELC RESID'!L22="",1,'ELC RESID'!L22))</f>
        <v/>
      </c>
      <c r="H29">
        <f t="shared" si="2"/>
        <v>31.535999999999998</v>
      </c>
      <c r="I29" s="12">
        <f>_xlfn.XLOOKUP(C29,'ELC RESID'!H:H,'ELC RESID'!N:N)</f>
        <v>0.61563936970204913</v>
      </c>
      <c r="J29" s="12">
        <f>_xlfn.XLOOKUP(C29,'ELC RESID'!H:H,'ELC RESID'!M:M)</f>
        <v>34.82759862885878</v>
      </c>
      <c r="K29" s="12">
        <f>IF('ELC RESID'!$E22="Storage","",IF('ELC RESID'!$K22&gt;0,'ELC RESID'!$K22,-'ELC RESID'!$K22))</f>
        <v>1.2700547733316379E-3</v>
      </c>
      <c r="L29" s="12">
        <f t="shared" si="3"/>
        <v>1.2700547733316379E-3</v>
      </c>
      <c r="M29" s="12">
        <f t="shared" si="3"/>
        <v>1.2700547733316379E-3</v>
      </c>
      <c r="N29" s="12" t="str">
        <f>IF('ELC RESID'!$E22="Storage",IF('ELC RESID'!$K22&gt;0,'ELC RESID'!$K22,-'ELC RESID'!$K22),"")</f>
        <v/>
      </c>
      <c r="O29" s="8" t="str">
        <f t="shared" si="4"/>
        <v/>
      </c>
      <c r="P29" s="8" t="str">
        <f t="shared" si="4"/>
        <v/>
      </c>
      <c r="Q29">
        <f>IF('ELC RESID'!E22="Storage",0.3,IF('ELC RESID'!E22="Baseload",0.9,IF('ELC RESID'!E22="Non Dispatchable",0.05,IF('ELC RESID'!E22="Dispatchable",0.9,1))))</f>
        <v>0.9</v>
      </c>
      <c r="R29" t="str">
        <f>IF('ELC RESID'!$E22="Non Dispatchable",IFERROR(IF($D29="ELCSOL",$K29/SUMPRODUCT($R$1:$AC$1,$R$3:$AC$3)*R$1,IF($D29="ELCWND",$K29/SUMPRODUCT($R$2:$AC$2,$R$3:$AC$3)*R$2,0)),""),"")</f>
        <v/>
      </c>
      <c r="S29" t="str">
        <f>IF('ELC RESID'!$E22="Non Dispatchable",IFERROR(IF($D29="ELCSOL",$K29/SUMPRODUCT($R$1:$AC$1,$R$3:$AC$3)*S$1,IF($D29="ELCWND",$K29/SUMPRODUCT($R$2:$AC$2,$R$3:$AC$3)*S$2,0)),""),"")</f>
        <v/>
      </c>
      <c r="T29" t="str">
        <f>IF('ELC RESID'!$E22="Non Dispatchable",IFERROR(IF($D29="ELCSOL",$K29/SUMPRODUCT($R$1:$AC$1,$R$3:$AC$3)*T$1,IF($D29="ELCWND",$K29/SUMPRODUCT($R$2:$AC$2,$R$3:$AC$3)*T$2,0)),""),"")</f>
        <v/>
      </c>
      <c r="U29" t="str">
        <f>IF('ELC RESID'!$E22="Non Dispatchable",IFERROR(IF($D29="ELCSOL",$K29/SUMPRODUCT($R$1:$AC$1,$R$3:$AC$3)*U$1,IF($D29="ELCWND",$K29/SUMPRODUCT($R$2:$AC$2,$R$3:$AC$3)*U$2,0)),""),"")</f>
        <v/>
      </c>
      <c r="V29" t="str">
        <f>IF('ELC RESID'!$E22="Non Dispatchable",IFERROR(IF($D29="ELCSOL",$K29/SUMPRODUCT($R$1:$AC$1,$R$3:$AC$3)*V$1,IF($D29="ELCWND",$K29/SUMPRODUCT($R$2:$AC$2,$R$3:$AC$3)*V$2,0)),""),"")</f>
        <v/>
      </c>
      <c r="W29" t="str">
        <f>IF('ELC RESID'!$E22="Non Dispatchable",IFERROR(IF($D29="ELCSOL",$K29/SUMPRODUCT($R$1:$AC$1,$R$3:$AC$3)*W$1,IF($D29="ELCWND",$K29/SUMPRODUCT($R$2:$AC$2,$R$3:$AC$3)*W$2,0)),""),"")</f>
        <v/>
      </c>
      <c r="X29" t="str">
        <f>IF('ELC RESID'!$E22="Non Dispatchable",IFERROR(IF($D29="ELCSOL",$K29/SUMPRODUCT($R$1:$AC$1,$R$3:$AC$3)*X$1,IF($D29="ELCWND",$K29/SUMPRODUCT($R$2:$AC$2,$R$3:$AC$3)*X$2,0)),""),"")</f>
        <v/>
      </c>
      <c r="Y29" t="str">
        <f>IF('ELC RESID'!$E22="Non Dispatchable",IFERROR(IF($D29="ELCSOL",$K29/SUMPRODUCT($R$1:$AC$1,$R$3:$AC$3)*Y$1,IF($D29="ELCWND",$K29/SUMPRODUCT($R$2:$AC$2,$R$3:$AC$3)*Y$2,0)),""),"")</f>
        <v/>
      </c>
      <c r="Z29" t="str">
        <f>IF('ELC RESID'!$E22="Non Dispatchable",IFERROR(IF($D29="ELCSOL",$K29/SUMPRODUCT($R$1:$AC$1,$R$3:$AC$3)*Z$1,IF($D29="ELCWND",$K29/SUMPRODUCT($R$2:$AC$2,$R$3:$AC$3)*Z$2,0)),""),"")</f>
        <v/>
      </c>
      <c r="AA29" t="str">
        <f>IF('ELC RESID'!$E22="Non Dispatchable",IFERROR(IF($D29="ELCSOL",$K29/SUMPRODUCT($R$1:$AC$1,$R$3:$AC$3)*AA$1,IF($D29="ELCWND",$K29/SUMPRODUCT($R$2:$AC$2,$R$3:$AC$3)*AA$2,0)),""),"")</f>
        <v/>
      </c>
      <c r="AB29" t="str">
        <f>IF('ELC RESID'!$E22="Non Dispatchable",IFERROR(IF($D29="ELCSOL",$K29/SUMPRODUCT($R$1:$AC$1,$R$3:$AC$3)*AB$1,IF($D29="ELCWND",$K29/SUMPRODUCT($R$2:$AC$2,$R$3:$AC$3)*AB$2,0)),""),"")</f>
        <v/>
      </c>
      <c r="AC29" t="str">
        <f>IF('ELC RESID'!$E22="Non Dispatchable",IFERROR(IF($D29="ELCSOL",$K29/SUMPRODUCT($R$1:$AC$1,$R$3:$AC$3)*AC$1,IF($D29="ELCWND",$K29/SUMPRODUCT($R$2:$AC$2,$R$3:$AC$3)*AC$2,0)),""),"")</f>
        <v/>
      </c>
      <c r="AD29" t="str">
        <f>IF('ELC RESID'!$E22="Storage", ResidELC!R$3*$N29,"")</f>
        <v/>
      </c>
      <c r="AE29" t="str">
        <f>IF('ELC RESID'!$E22="Storage", ResidELC!S$3*$N29,"")</f>
        <v/>
      </c>
      <c r="AF29" t="str">
        <f>IF('ELC RESID'!$E22="Storage", ResidELC!T$3*$N29,"")</f>
        <v/>
      </c>
      <c r="AG29" t="str">
        <f>IF('ELC RESID'!$E22="Storage", ResidELC!U$3*$N29,"")</f>
        <v/>
      </c>
      <c r="AH29" t="str">
        <f>IF('ELC RESID'!$E22="Storage", ResidELC!V$3*$N29,"")</f>
        <v/>
      </c>
      <c r="AI29" t="str">
        <f>IF('ELC RESID'!$E22="Storage", ResidELC!W$3*$N29,"")</f>
        <v/>
      </c>
      <c r="AJ29" t="str">
        <f>IF('ELC RESID'!$E22="Storage", ResidELC!X$3*$N29,"")</f>
        <v/>
      </c>
      <c r="AK29" t="str">
        <f>IF('ELC RESID'!$E22="Storage", ResidELC!Y$3*$N29,"")</f>
        <v/>
      </c>
      <c r="AL29" t="str">
        <f>IF('ELC RESID'!$E22="Storage", ResidELC!Z$3*$N29,"")</f>
        <v/>
      </c>
      <c r="AM29" t="str">
        <f>IF('ELC RESID'!$E22="Storage", ResidELC!AA$3*$N29,"")</f>
        <v/>
      </c>
      <c r="AN29" t="str">
        <f>IF('ELC RESID'!$E22="Storage", ResidELC!AB$3*$N29,"")</f>
        <v/>
      </c>
      <c r="AO29" t="str">
        <f>IF('ELC RESID'!$E22="Storage", ResidELC!AC$3*$N29,"")</f>
        <v/>
      </c>
      <c r="AP29" s="13">
        <f>'ELC RESID'!O22</f>
        <v>215.5</v>
      </c>
      <c r="AQ29" s="13">
        <f>'ELC RESID'!P22</f>
        <v>186.1</v>
      </c>
      <c r="AR29" s="13">
        <f>'ELC RESID'!Q22</f>
        <v>178.8</v>
      </c>
      <c r="AS29" s="13">
        <f>'ELC RESID'!R22</f>
        <v>172</v>
      </c>
      <c r="AT29" s="13">
        <f>'ELC RESID'!S22</f>
        <v>141.69999999999999</v>
      </c>
      <c r="AU29" s="13">
        <f>'ELC RESID'!T22</f>
        <v>105</v>
      </c>
      <c r="AV29" s="13">
        <f>'ELC RESID'!U22</f>
        <v>55.600000000000023</v>
      </c>
      <c r="AW29" s="13">
        <f>'ELC RESID'!V22</f>
        <v>13</v>
      </c>
      <c r="AX29" s="13">
        <f>'ELC RESID'!W22</f>
        <v>0</v>
      </c>
      <c r="AY29" s="13">
        <f>'ELC RESID'!X22</f>
        <v>0</v>
      </c>
      <c r="AZ29" s="13">
        <f>'ELC RESID'!Y22</f>
        <v>0</v>
      </c>
      <c r="BA29" s="13">
        <f>'ELC RESID'!Z22</f>
        <v>0</v>
      </c>
      <c r="BB29" s="13">
        <f>'ELC RESID'!AA22</f>
        <v>0</v>
      </c>
      <c r="BC29" s="13">
        <f>'ELC RESID'!AB22</f>
        <v>0</v>
      </c>
      <c r="BD29" s="13">
        <f>'ELC RESID'!AC22</f>
        <v>0</v>
      </c>
      <c r="BE29" s="13">
        <f>'ELC RESID'!AD22</f>
        <v>0</v>
      </c>
      <c r="BF29" s="13">
        <f>'ELC RESID'!AE22</f>
        <v>0</v>
      </c>
      <c r="BG29" s="13">
        <f>'ELC RESID'!AF22</f>
        <v>0</v>
      </c>
    </row>
    <row r="30" spans="2:59">
      <c r="B30" t="str">
        <f>IF(SUM(AP30:BG30)=0,"*",Def_Tech!C25)</f>
        <v>*</v>
      </c>
      <c r="C30" t="str">
        <f>Def_Tech!D25</f>
        <v>ELCCOAGRDSTU19</v>
      </c>
      <c r="D30" t="str">
        <f>IF(_xlfn.XLOOKUP('ELC RESID'!G23,List!C:C,List!B:B)="STG",E30,"ELC"&amp;_xlfn.XLOOKUP('ELC RESID'!G23,List!C:C,List!B:B))</f>
        <v>ELCCOA</v>
      </c>
      <c r="E30" t="s">
        <v>405</v>
      </c>
      <c r="F30" s="12">
        <f>IF('ELC RESID'!E23="Storage","",IF('ELC RESID'!L23="",1,'ELC RESID'!L23))</f>
        <v>1</v>
      </c>
      <c r="G30" s="12" t="str">
        <f>IF('ELC RESID'!E23&lt;&gt;"Storage","",IF('ELC RESID'!L23="",1,'ELC RESID'!L23))</f>
        <v/>
      </c>
      <c r="H30">
        <f t="shared" si="2"/>
        <v>31.535999999999998</v>
      </c>
      <c r="I30" s="12">
        <f>_xlfn.XLOOKUP(C30,'ELC RESID'!H:H,'ELC RESID'!N:N)</f>
        <v>2.6573005447343552</v>
      </c>
      <c r="J30" s="12">
        <f>_xlfn.XLOOKUP(C30,'ELC RESID'!H:H,'ELC RESID'!M:M)</f>
        <v>87.747456285696146</v>
      </c>
      <c r="K30" s="12">
        <f>IF('ELC RESID'!$E23="Storage","",IF('ELC RESID'!$K23&gt;0,'ELC RESID'!$K23,-'ELC RESID'!$K23))</f>
        <v>0</v>
      </c>
      <c r="L30" s="12">
        <f t="shared" ref="L30:M49" si="5">K30</f>
        <v>0</v>
      </c>
      <c r="M30" s="12">
        <f t="shared" si="5"/>
        <v>0</v>
      </c>
      <c r="N30" s="12" t="str">
        <f>IF('ELC RESID'!$E23="Storage",IF('ELC RESID'!$K23&gt;0,'ELC RESID'!$K23,-'ELC RESID'!$K23),"")</f>
        <v/>
      </c>
      <c r="O30" s="8" t="str">
        <f t="shared" ref="O30:P49" si="6">N30</f>
        <v/>
      </c>
      <c r="P30" s="8" t="str">
        <f t="shared" si="6"/>
        <v/>
      </c>
      <c r="Q30">
        <f>IF('ELC RESID'!E23="Storage",0.3,IF('ELC RESID'!E23="Baseload",0.9,IF('ELC RESID'!E23="Non Dispatchable",0.05,IF('ELC RESID'!E23="Dispatchable",0.9,1))))</f>
        <v>0.9</v>
      </c>
      <c r="R30" t="str">
        <f>IF('ELC RESID'!$E23="Non Dispatchable",IFERROR(IF($D30="ELCSOL",$K30/SUMPRODUCT($R$1:$AC$1,$R$3:$AC$3)*R$1,IF($D30="ELCWND",$K30/SUMPRODUCT($R$2:$AC$2,$R$3:$AC$3)*R$2,0)),""),"")</f>
        <v/>
      </c>
      <c r="S30" t="str">
        <f>IF('ELC RESID'!$E23="Non Dispatchable",IFERROR(IF($D30="ELCSOL",$K30/SUMPRODUCT($R$1:$AC$1,$R$3:$AC$3)*S$1,IF($D30="ELCWND",$K30/SUMPRODUCT($R$2:$AC$2,$R$3:$AC$3)*S$2,0)),""),"")</f>
        <v/>
      </c>
      <c r="T30" t="str">
        <f>IF('ELC RESID'!$E23="Non Dispatchable",IFERROR(IF($D30="ELCSOL",$K30/SUMPRODUCT($R$1:$AC$1,$R$3:$AC$3)*T$1,IF($D30="ELCWND",$K30/SUMPRODUCT($R$2:$AC$2,$R$3:$AC$3)*T$2,0)),""),"")</f>
        <v/>
      </c>
      <c r="U30" t="str">
        <f>IF('ELC RESID'!$E23="Non Dispatchable",IFERROR(IF($D30="ELCSOL",$K30/SUMPRODUCT($R$1:$AC$1,$R$3:$AC$3)*U$1,IF($D30="ELCWND",$K30/SUMPRODUCT($R$2:$AC$2,$R$3:$AC$3)*U$2,0)),""),"")</f>
        <v/>
      </c>
      <c r="V30" t="str">
        <f>IF('ELC RESID'!$E23="Non Dispatchable",IFERROR(IF($D30="ELCSOL",$K30/SUMPRODUCT($R$1:$AC$1,$R$3:$AC$3)*V$1,IF($D30="ELCWND",$K30/SUMPRODUCT($R$2:$AC$2,$R$3:$AC$3)*V$2,0)),""),"")</f>
        <v/>
      </c>
      <c r="W30" t="str">
        <f>IF('ELC RESID'!$E23="Non Dispatchable",IFERROR(IF($D30="ELCSOL",$K30/SUMPRODUCT($R$1:$AC$1,$R$3:$AC$3)*W$1,IF($D30="ELCWND",$K30/SUMPRODUCT($R$2:$AC$2,$R$3:$AC$3)*W$2,0)),""),"")</f>
        <v/>
      </c>
      <c r="X30" t="str">
        <f>IF('ELC RESID'!$E23="Non Dispatchable",IFERROR(IF($D30="ELCSOL",$K30/SUMPRODUCT($R$1:$AC$1,$R$3:$AC$3)*X$1,IF($D30="ELCWND",$K30/SUMPRODUCT($R$2:$AC$2,$R$3:$AC$3)*X$2,0)),""),"")</f>
        <v/>
      </c>
      <c r="Y30" t="str">
        <f>IF('ELC RESID'!$E23="Non Dispatchable",IFERROR(IF($D30="ELCSOL",$K30/SUMPRODUCT($R$1:$AC$1,$R$3:$AC$3)*Y$1,IF($D30="ELCWND",$K30/SUMPRODUCT($R$2:$AC$2,$R$3:$AC$3)*Y$2,0)),""),"")</f>
        <v/>
      </c>
      <c r="Z30" t="str">
        <f>IF('ELC RESID'!$E23="Non Dispatchable",IFERROR(IF($D30="ELCSOL",$K30/SUMPRODUCT($R$1:$AC$1,$R$3:$AC$3)*Z$1,IF($D30="ELCWND",$K30/SUMPRODUCT($R$2:$AC$2,$R$3:$AC$3)*Z$2,0)),""),"")</f>
        <v/>
      </c>
      <c r="AA30" t="str">
        <f>IF('ELC RESID'!$E23="Non Dispatchable",IFERROR(IF($D30="ELCSOL",$K30/SUMPRODUCT($R$1:$AC$1,$R$3:$AC$3)*AA$1,IF($D30="ELCWND",$K30/SUMPRODUCT($R$2:$AC$2,$R$3:$AC$3)*AA$2,0)),""),"")</f>
        <v/>
      </c>
      <c r="AB30" t="str">
        <f>IF('ELC RESID'!$E23="Non Dispatchable",IFERROR(IF($D30="ELCSOL",$K30/SUMPRODUCT($R$1:$AC$1,$R$3:$AC$3)*AB$1,IF($D30="ELCWND",$K30/SUMPRODUCT($R$2:$AC$2,$R$3:$AC$3)*AB$2,0)),""),"")</f>
        <v/>
      </c>
      <c r="AC30" t="str">
        <f>IF('ELC RESID'!$E23="Non Dispatchable",IFERROR(IF($D30="ELCSOL",$K30/SUMPRODUCT($R$1:$AC$1,$R$3:$AC$3)*AC$1,IF($D30="ELCWND",$K30/SUMPRODUCT($R$2:$AC$2,$R$3:$AC$3)*AC$2,0)),""),"")</f>
        <v/>
      </c>
      <c r="AD30" t="str">
        <f>IF('ELC RESID'!$E23="Storage", ResidELC!R$3*$N30,"")</f>
        <v/>
      </c>
      <c r="AE30" t="str">
        <f>IF('ELC RESID'!$E23="Storage", ResidELC!S$3*$N30,"")</f>
        <v/>
      </c>
      <c r="AF30" t="str">
        <f>IF('ELC RESID'!$E23="Storage", ResidELC!T$3*$N30,"")</f>
        <v/>
      </c>
      <c r="AG30" t="str">
        <f>IF('ELC RESID'!$E23="Storage", ResidELC!U$3*$N30,"")</f>
        <v/>
      </c>
      <c r="AH30" t="str">
        <f>IF('ELC RESID'!$E23="Storage", ResidELC!V$3*$N30,"")</f>
        <v/>
      </c>
      <c r="AI30" t="str">
        <f>IF('ELC RESID'!$E23="Storage", ResidELC!W$3*$N30,"")</f>
        <v/>
      </c>
      <c r="AJ30" t="str">
        <f>IF('ELC RESID'!$E23="Storage", ResidELC!X$3*$N30,"")</f>
        <v/>
      </c>
      <c r="AK30" t="str">
        <f>IF('ELC RESID'!$E23="Storage", ResidELC!Y$3*$N30,"")</f>
        <v/>
      </c>
      <c r="AL30" t="str">
        <f>IF('ELC RESID'!$E23="Storage", ResidELC!Z$3*$N30,"")</f>
        <v/>
      </c>
      <c r="AM30" t="str">
        <f>IF('ELC RESID'!$E23="Storage", ResidELC!AA$3*$N30,"")</f>
        <v/>
      </c>
      <c r="AN30" t="str">
        <f>IF('ELC RESID'!$E23="Storage", ResidELC!AB$3*$N30,"")</f>
        <v/>
      </c>
      <c r="AO30" t="str">
        <f>IF('ELC RESID'!$E23="Storage", ResidELC!AC$3*$N30,"")</f>
        <v/>
      </c>
      <c r="AP30" s="13">
        <f>'ELC RESID'!O23</f>
        <v>0</v>
      </c>
      <c r="AQ30" s="13">
        <f>'ELC RESID'!P23</f>
        <v>0</v>
      </c>
      <c r="AR30" s="13">
        <f>'ELC RESID'!Q23</f>
        <v>0</v>
      </c>
      <c r="AS30" s="13">
        <f>'ELC RESID'!R23</f>
        <v>0</v>
      </c>
      <c r="AT30" s="13">
        <f>'ELC RESID'!S23</f>
        <v>0</v>
      </c>
      <c r="AU30" s="13">
        <f>'ELC RESID'!T23</f>
        <v>0</v>
      </c>
      <c r="AV30" s="13">
        <f>'ELC RESID'!U23</f>
        <v>0</v>
      </c>
      <c r="AW30" s="13">
        <f>'ELC RESID'!V23</f>
        <v>0</v>
      </c>
      <c r="AX30" s="13">
        <f>'ELC RESID'!W23</f>
        <v>0</v>
      </c>
      <c r="AY30" s="13">
        <f>'ELC RESID'!X23</f>
        <v>0</v>
      </c>
      <c r="AZ30" s="13">
        <f>'ELC RESID'!Y23</f>
        <v>0</v>
      </c>
      <c r="BA30" s="13">
        <f>'ELC RESID'!Z23</f>
        <v>0</v>
      </c>
      <c r="BB30" s="13">
        <f>'ELC RESID'!AA23</f>
        <v>0</v>
      </c>
      <c r="BC30" s="13">
        <f>'ELC RESID'!AB23</f>
        <v>0</v>
      </c>
      <c r="BD30" s="13">
        <f>'ELC RESID'!AC23</f>
        <v>0</v>
      </c>
      <c r="BE30" s="13">
        <f>'ELC RESID'!AD23</f>
        <v>0</v>
      </c>
      <c r="BF30" s="13">
        <f>'ELC RESID'!AE23</f>
        <v>0</v>
      </c>
      <c r="BG30" s="13">
        <f>'ELC RESID'!AF23</f>
        <v>0</v>
      </c>
    </row>
    <row r="31" spans="2:59">
      <c r="B31" t="str">
        <f>IF(SUM(AP31:BG31)=0,"*",Def_Tech!C26)</f>
        <v>*</v>
      </c>
      <c r="C31" t="str">
        <f>Def_Tech!D26</f>
        <v>ELCCOAGRDOTT19</v>
      </c>
      <c r="D31" t="str">
        <f>IF(_xlfn.XLOOKUP('ELC RESID'!G24,List!C:C,List!B:B)="STG",E31,"ELC"&amp;_xlfn.XLOOKUP('ELC RESID'!G24,List!C:C,List!B:B))</f>
        <v>ELCCOA</v>
      </c>
      <c r="E31" t="s">
        <v>405</v>
      </c>
      <c r="F31" s="12">
        <f>IF('ELC RESID'!E24="Storage","",IF('ELC RESID'!L24="",1,'ELC RESID'!L24))</f>
        <v>1</v>
      </c>
      <c r="G31" s="12" t="str">
        <f>IF('ELC RESID'!E24&lt;&gt;"Storage","",IF('ELC RESID'!L24="",1,'ELC RESID'!L24))</f>
        <v/>
      </c>
      <c r="H31">
        <f t="shared" si="2"/>
        <v>31.535999999999998</v>
      </c>
      <c r="I31" s="12">
        <f>_xlfn.XLOOKUP(C31,'ELC RESID'!H:H,'ELC RESID'!N:N)</f>
        <v>4.639282393111869</v>
      </c>
      <c r="J31" s="12">
        <f>_xlfn.XLOOKUP(C31,'ELC RESID'!H:H,'ELC RESID'!M:M)</f>
        <v>169.72800500622409</v>
      </c>
      <c r="K31" s="12">
        <f>IF('ELC RESID'!$E24="Storage","",IF('ELC RESID'!$K24&gt;0,'ELC RESID'!$K24,-'ELC RESID'!$K24))</f>
        <v>0</v>
      </c>
      <c r="L31" s="12">
        <f t="shared" si="5"/>
        <v>0</v>
      </c>
      <c r="M31" s="12">
        <f t="shared" si="5"/>
        <v>0</v>
      </c>
      <c r="N31" s="12" t="str">
        <f>IF('ELC RESID'!$E24="Storage",IF('ELC RESID'!$K24&gt;0,'ELC RESID'!$K24,-'ELC RESID'!$K24),"")</f>
        <v/>
      </c>
      <c r="O31" s="8" t="str">
        <f t="shared" si="6"/>
        <v/>
      </c>
      <c r="P31" s="8" t="str">
        <f t="shared" si="6"/>
        <v/>
      </c>
      <c r="Q31">
        <f>IF('ELC RESID'!E24="Storage",0.3,IF('ELC RESID'!E24="Baseload",0.9,IF('ELC RESID'!E24="Non Dispatchable",0.05,IF('ELC RESID'!E24="Dispatchable",0.9,1))))</f>
        <v>0.9</v>
      </c>
      <c r="R31" t="str">
        <f>IF('ELC RESID'!$E24="Non Dispatchable",IFERROR(IF($D31="ELCSOL",$K31/SUMPRODUCT($R$1:$AC$1,$R$3:$AC$3)*R$1,IF($D31="ELCWND",$K31/SUMPRODUCT($R$2:$AC$2,$R$3:$AC$3)*R$2,0)),""),"")</f>
        <v/>
      </c>
      <c r="S31" t="str">
        <f>IF('ELC RESID'!$E24="Non Dispatchable",IFERROR(IF($D31="ELCSOL",$K31/SUMPRODUCT($R$1:$AC$1,$R$3:$AC$3)*S$1,IF($D31="ELCWND",$K31/SUMPRODUCT($R$2:$AC$2,$R$3:$AC$3)*S$2,0)),""),"")</f>
        <v/>
      </c>
      <c r="T31" t="str">
        <f>IF('ELC RESID'!$E24="Non Dispatchable",IFERROR(IF($D31="ELCSOL",$K31/SUMPRODUCT($R$1:$AC$1,$R$3:$AC$3)*T$1,IF($D31="ELCWND",$K31/SUMPRODUCT($R$2:$AC$2,$R$3:$AC$3)*T$2,0)),""),"")</f>
        <v/>
      </c>
      <c r="U31" t="str">
        <f>IF('ELC RESID'!$E24="Non Dispatchable",IFERROR(IF($D31="ELCSOL",$K31/SUMPRODUCT($R$1:$AC$1,$R$3:$AC$3)*U$1,IF($D31="ELCWND",$K31/SUMPRODUCT($R$2:$AC$2,$R$3:$AC$3)*U$2,0)),""),"")</f>
        <v/>
      </c>
      <c r="V31" t="str">
        <f>IF('ELC RESID'!$E24="Non Dispatchable",IFERROR(IF($D31="ELCSOL",$K31/SUMPRODUCT($R$1:$AC$1,$R$3:$AC$3)*V$1,IF($D31="ELCWND",$K31/SUMPRODUCT($R$2:$AC$2,$R$3:$AC$3)*V$2,0)),""),"")</f>
        <v/>
      </c>
      <c r="W31" t="str">
        <f>IF('ELC RESID'!$E24="Non Dispatchable",IFERROR(IF($D31="ELCSOL",$K31/SUMPRODUCT($R$1:$AC$1,$R$3:$AC$3)*W$1,IF($D31="ELCWND",$K31/SUMPRODUCT($R$2:$AC$2,$R$3:$AC$3)*W$2,0)),""),"")</f>
        <v/>
      </c>
      <c r="X31" t="str">
        <f>IF('ELC RESID'!$E24="Non Dispatchable",IFERROR(IF($D31="ELCSOL",$K31/SUMPRODUCT($R$1:$AC$1,$R$3:$AC$3)*X$1,IF($D31="ELCWND",$K31/SUMPRODUCT($R$2:$AC$2,$R$3:$AC$3)*X$2,0)),""),"")</f>
        <v/>
      </c>
      <c r="Y31" t="str">
        <f>IF('ELC RESID'!$E24="Non Dispatchable",IFERROR(IF($D31="ELCSOL",$K31/SUMPRODUCT($R$1:$AC$1,$R$3:$AC$3)*Y$1,IF($D31="ELCWND",$K31/SUMPRODUCT($R$2:$AC$2,$R$3:$AC$3)*Y$2,0)),""),"")</f>
        <v/>
      </c>
      <c r="Z31" t="str">
        <f>IF('ELC RESID'!$E24="Non Dispatchable",IFERROR(IF($D31="ELCSOL",$K31/SUMPRODUCT($R$1:$AC$1,$R$3:$AC$3)*Z$1,IF($D31="ELCWND",$K31/SUMPRODUCT($R$2:$AC$2,$R$3:$AC$3)*Z$2,0)),""),"")</f>
        <v/>
      </c>
      <c r="AA31" t="str">
        <f>IF('ELC RESID'!$E24="Non Dispatchable",IFERROR(IF($D31="ELCSOL",$K31/SUMPRODUCT($R$1:$AC$1,$R$3:$AC$3)*AA$1,IF($D31="ELCWND",$K31/SUMPRODUCT($R$2:$AC$2,$R$3:$AC$3)*AA$2,0)),""),"")</f>
        <v/>
      </c>
      <c r="AB31" t="str">
        <f>IF('ELC RESID'!$E24="Non Dispatchable",IFERROR(IF($D31="ELCSOL",$K31/SUMPRODUCT($R$1:$AC$1,$R$3:$AC$3)*AB$1,IF($D31="ELCWND",$K31/SUMPRODUCT($R$2:$AC$2,$R$3:$AC$3)*AB$2,0)),""),"")</f>
        <v/>
      </c>
      <c r="AC31" t="str">
        <f>IF('ELC RESID'!$E24="Non Dispatchable",IFERROR(IF($D31="ELCSOL",$K31/SUMPRODUCT($R$1:$AC$1,$R$3:$AC$3)*AC$1,IF($D31="ELCWND",$K31/SUMPRODUCT($R$2:$AC$2,$R$3:$AC$3)*AC$2,0)),""),"")</f>
        <v/>
      </c>
      <c r="AD31" t="str">
        <f>IF('ELC RESID'!$E24="Storage", ResidELC!R$3*$N31,"")</f>
        <v/>
      </c>
      <c r="AE31" t="str">
        <f>IF('ELC RESID'!$E24="Storage", ResidELC!S$3*$N31,"")</f>
        <v/>
      </c>
      <c r="AF31" t="str">
        <f>IF('ELC RESID'!$E24="Storage", ResidELC!T$3*$N31,"")</f>
        <v/>
      </c>
      <c r="AG31" t="str">
        <f>IF('ELC RESID'!$E24="Storage", ResidELC!U$3*$N31,"")</f>
        <v/>
      </c>
      <c r="AH31" t="str">
        <f>IF('ELC RESID'!$E24="Storage", ResidELC!V$3*$N31,"")</f>
        <v/>
      </c>
      <c r="AI31" t="str">
        <f>IF('ELC RESID'!$E24="Storage", ResidELC!W$3*$N31,"")</f>
        <v/>
      </c>
      <c r="AJ31" t="str">
        <f>IF('ELC RESID'!$E24="Storage", ResidELC!X$3*$N31,"")</f>
        <v/>
      </c>
      <c r="AK31" t="str">
        <f>IF('ELC RESID'!$E24="Storage", ResidELC!Y$3*$N31,"")</f>
        <v/>
      </c>
      <c r="AL31" t="str">
        <f>IF('ELC RESID'!$E24="Storage", ResidELC!Z$3*$N31,"")</f>
        <v/>
      </c>
      <c r="AM31" t="str">
        <f>IF('ELC RESID'!$E24="Storage", ResidELC!AA$3*$N31,"")</f>
        <v/>
      </c>
      <c r="AN31" t="str">
        <f>IF('ELC RESID'!$E24="Storage", ResidELC!AB$3*$N31,"")</f>
        <v/>
      </c>
      <c r="AO31" t="str">
        <f>IF('ELC RESID'!$E24="Storage", ResidELC!AC$3*$N31,"")</f>
        <v/>
      </c>
      <c r="AP31" s="13">
        <f>'ELC RESID'!O24</f>
        <v>0</v>
      </c>
      <c r="AQ31" s="13">
        <f>'ELC RESID'!P24</f>
        <v>0</v>
      </c>
      <c r="AR31" s="13">
        <f>'ELC RESID'!Q24</f>
        <v>0</v>
      </c>
      <c r="AS31" s="13">
        <f>'ELC RESID'!R24</f>
        <v>0</v>
      </c>
      <c r="AT31" s="13">
        <f>'ELC RESID'!S24</f>
        <v>0</v>
      </c>
      <c r="AU31" s="13">
        <f>'ELC RESID'!T24</f>
        <v>0</v>
      </c>
      <c r="AV31" s="13">
        <f>'ELC RESID'!U24</f>
        <v>0</v>
      </c>
      <c r="AW31" s="13">
        <f>'ELC RESID'!V24</f>
        <v>0</v>
      </c>
      <c r="AX31" s="13">
        <f>'ELC RESID'!W24</f>
        <v>0</v>
      </c>
      <c r="AY31" s="13">
        <f>'ELC RESID'!X24</f>
        <v>0</v>
      </c>
      <c r="AZ31" s="13">
        <f>'ELC RESID'!Y24</f>
        <v>0</v>
      </c>
      <c r="BA31" s="13">
        <f>'ELC RESID'!Z24</f>
        <v>0</v>
      </c>
      <c r="BB31" s="13">
        <f>'ELC RESID'!AA24</f>
        <v>0</v>
      </c>
      <c r="BC31" s="13">
        <f>'ELC RESID'!AB24</f>
        <v>0</v>
      </c>
      <c r="BD31" s="13">
        <f>'ELC RESID'!AC24</f>
        <v>0</v>
      </c>
      <c r="BE31" s="13">
        <f>'ELC RESID'!AD24</f>
        <v>0</v>
      </c>
      <c r="BF31" s="13">
        <f>'ELC RESID'!AE24</f>
        <v>0</v>
      </c>
      <c r="BG31" s="13">
        <f>'ELC RESID'!AF24</f>
        <v>0</v>
      </c>
    </row>
    <row r="32" spans="2:59">
      <c r="B32" t="str">
        <f>IF(SUM(AP32:BG32)=0,"*",Def_Tech!C27)</f>
        <v>*</v>
      </c>
      <c r="C32" t="str">
        <f>Def_Tech!D27</f>
        <v>ELCBIOGRDSTU19</v>
      </c>
      <c r="D32" t="str">
        <f>IF(_xlfn.XLOOKUP('ELC RESID'!G25,List!C:C,List!B:B)="STG",E32,"ELC"&amp;_xlfn.XLOOKUP('ELC RESID'!G25,List!C:C,List!B:B))</f>
        <v>ELCBIO</v>
      </c>
      <c r="E32" t="s">
        <v>405</v>
      </c>
      <c r="F32" s="12">
        <f>IF('ELC RESID'!E25="Storage","",IF('ELC RESID'!L25="",1,'ELC RESID'!L25))</f>
        <v>1</v>
      </c>
      <c r="G32" s="12" t="str">
        <f>IF('ELC RESID'!E25&lt;&gt;"Storage","",IF('ELC RESID'!L25="",1,'ELC RESID'!L25))</f>
        <v/>
      </c>
      <c r="H32">
        <f t="shared" si="2"/>
        <v>31.535999999999998</v>
      </c>
      <c r="I32" s="12">
        <f>_xlfn.XLOOKUP(C32,'ELC RESID'!H:H,'ELC RESID'!N:N)</f>
        <v>1.5830726649481259</v>
      </c>
      <c r="J32" s="12">
        <f>_xlfn.XLOOKUP(C32,'ELC RESID'!H:H,'ELC RESID'!M:M)</f>
        <v>177.77906027367459</v>
      </c>
      <c r="K32" s="12">
        <f>IF('ELC RESID'!$E25="Storage","",IF('ELC RESID'!$K25&gt;0,'ELC RESID'!$K25,-'ELC RESID'!$K25))</f>
        <v>0</v>
      </c>
      <c r="L32" s="12">
        <f t="shared" si="5"/>
        <v>0</v>
      </c>
      <c r="M32" s="12">
        <f t="shared" si="5"/>
        <v>0</v>
      </c>
      <c r="N32" s="12" t="str">
        <f>IF('ELC RESID'!$E25="Storage",IF('ELC RESID'!$K25&gt;0,'ELC RESID'!$K25,-'ELC RESID'!$K25),"")</f>
        <v/>
      </c>
      <c r="O32" s="8" t="str">
        <f t="shared" si="6"/>
        <v/>
      </c>
      <c r="P32" s="8" t="str">
        <f t="shared" si="6"/>
        <v/>
      </c>
      <c r="Q32">
        <f>IF('ELC RESID'!E25="Storage",0.3,IF('ELC RESID'!E25="Baseload",0.9,IF('ELC RESID'!E25="Non Dispatchable",0.05,IF('ELC RESID'!E25="Dispatchable",0.9,1))))</f>
        <v>0.9</v>
      </c>
      <c r="R32" t="str">
        <f>IF('ELC RESID'!$E25="Non Dispatchable",IFERROR(IF($D32="ELCSOL",$K32/SUMPRODUCT($R$1:$AC$1,$R$3:$AC$3)*R$1,IF($D32="ELCWND",$K32/SUMPRODUCT($R$2:$AC$2,$R$3:$AC$3)*R$2,0)),""),"")</f>
        <v/>
      </c>
      <c r="S32" t="str">
        <f>IF('ELC RESID'!$E25="Non Dispatchable",IFERROR(IF($D32="ELCSOL",$K32/SUMPRODUCT($R$1:$AC$1,$R$3:$AC$3)*S$1,IF($D32="ELCWND",$K32/SUMPRODUCT($R$2:$AC$2,$R$3:$AC$3)*S$2,0)),""),"")</f>
        <v/>
      </c>
      <c r="T32" t="str">
        <f>IF('ELC RESID'!$E25="Non Dispatchable",IFERROR(IF($D32="ELCSOL",$K32/SUMPRODUCT($R$1:$AC$1,$R$3:$AC$3)*T$1,IF($D32="ELCWND",$K32/SUMPRODUCT($R$2:$AC$2,$R$3:$AC$3)*T$2,0)),""),"")</f>
        <v/>
      </c>
      <c r="U32" t="str">
        <f>IF('ELC RESID'!$E25="Non Dispatchable",IFERROR(IF($D32="ELCSOL",$K32/SUMPRODUCT($R$1:$AC$1,$R$3:$AC$3)*U$1,IF($D32="ELCWND",$K32/SUMPRODUCT($R$2:$AC$2,$R$3:$AC$3)*U$2,0)),""),"")</f>
        <v/>
      </c>
      <c r="V32" t="str">
        <f>IF('ELC RESID'!$E25="Non Dispatchable",IFERROR(IF($D32="ELCSOL",$K32/SUMPRODUCT($R$1:$AC$1,$R$3:$AC$3)*V$1,IF($D32="ELCWND",$K32/SUMPRODUCT($R$2:$AC$2,$R$3:$AC$3)*V$2,0)),""),"")</f>
        <v/>
      </c>
      <c r="W32" t="str">
        <f>IF('ELC RESID'!$E25="Non Dispatchable",IFERROR(IF($D32="ELCSOL",$K32/SUMPRODUCT($R$1:$AC$1,$R$3:$AC$3)*W$1,IF($D32="ELCWND",$K32/SUMPRODUCT($R$2:$AC$2,$R$3:$AC$3)*W$2,0)),""),"")</f>
        <v/>
      </c>
      <c r="X32" t="str">
        <f>IF('ELC RESID'!$E25="Non Dispatchable",IFERROR(IF($D32="ELCSOL",$K32/SUMPRODUCT($R$1:$AC$1,$R$3:$AC$3)*X$1,IF($D32="ELCWND",$K32/SUMPRODUCT($R$2:$AC$2,$R$3:$AC$3)*X$2,0)),""),"")</f>
        <v/>
      </c>
      <c r="Y32" t="str">
        <f>IF('ELC RESID'!$E25="Non Dispatchable",IFERROR(IF($D32="ELCSOL",$K32/SUMPRODUCT($R$1:$AC$1,$R$3:$AC$3)*Y$1,IF($D32="ELCWND",$K32/SUMPRODUCT($R$2:$AC$2,$R$3:$AC$3)*Y$2,0)),""),"")</f>
        <v/>
      </c>
      <c r="Z32" t="str">
        <f>IF('ELC RESID'!$E25="Non Dispatchable",IFERROR(IF($D32="ELCSOL",$K32/SUMPRODUCT($R$1:$AC$1,$R$3:$AC$3)*Z$1,IF($D32="ELCWND",$K32/SUMPRODUCT($R$2:$AC$2,$R$3:$AC$3)*Z$2,0)),""),"")</f>
        <v/>
      </c>
      <c r="AA32" t="str">
        <f>IF('ELC RESID'!$E25="Non Dispatchable",IFERROR(IF($D32="ELCSOL",$K32/SUMPRODUCT($R$1:$AC$1,$R$3:$AC$3)*AA$1,IF($D32="ELCWND",$K32/SUMPRODUCT($R$2:$AC$2,$R$3:$AC$3)*AA$2,0)),""),"")</f>
        <v/>
      </c>
      <c r="AB32" t="str">
        <f>IF('ELC RESID'!$E25="Non Dispatchable",IFERROR(IF($D32="ELCSOL",$K32/SUMPRODUCT($R$1:$AC$1,$R$3:$AC$3)*AB$1,IF($D32="ELCWND",$K32/SUMPRODUCT($R$2:$AC$2,$R$3:$AC$3)*AB$2,0)),""),"")</f>
        <v/>
      </c>
      <c r="AC32" t="str">
        <f>IF('ELC RESID'!$E25="Non Dispatchable",IFERROR(IF($D32="ELCSOL",$K32/SUMPRODUCT($R$1:$AC$1,$R$3:$AC$3)*AC$1,IF($D32="ELCWND",$K32/SUMPRODUCT($R$2:$AC$2,$R$3:$AC$3)*AC$2,0)),""),"")</f>
        <v/>
      </c>
      <c r="AD32" t="str">
        <f>IF('ELC RESID'!$E25="Storage", ResidELC!R$3*$N32,"")</f>
        <v/>
      </c>
      <c r="AE32" t="str">
        <f>IF('ELC RESID'!$E25="Storage", ResidELC!S$3*$N32,"")</f>
        <v/>
      </c>
      <c r="AF32" t="str">
        <f>IF('ELC RESID'!$E25="Storage", ResidELC!T$3*$N32,"")</f>
        <v/>
      </c>
      <c r="AG32" t="str">
        <f>IF('ELC RESID'!$E25="Storage", ResidELC!U$3*$N32,"")</f>
        <v/>
      </c>
      <c r="AH32" t="str">
        <f>IF('ELC RESID'!$E25="Storage", ResidELC!V$3*$N32,"")</f>
        <v/>
      </c>
      <c r="AI32" t="str">
        <f>IF('ELC RESID'!$E25="Storage", ResidELC!W$3*$N32,"")</f>
        <v/>
      </c>
      <c r="AJ32" t="str">
        <f>IF('ELC RESID'!$E25="Storage", ResidELC!X$3*$N32,"")</f>
        <v/>
      </c>
      <c r="AK32" t="str">
        <f>IF('ELC RESID'!$E25="Storage", ResidELC!Y$3*$N32,"")</f>
        <v/>
      </c>
      <c r="AL32" t="str">
        <f>IF('ELC RESID'!$E25="Storage", ResidELC!Z$3*$N32,"")</f>
        <v/>
      </c>
      <c r="AM32" t="str">
        <f>IF('ELC RESID'!$E25="Storage", ResidELC!AA$3*$N32,"")</f>
        <v/>
      </c>
      <c r="AN32" t="str">
        <f>IF('ELC RESID'!$E25="Storage", ResidELC!AB$3*$N32,"")</f>
        <v/>
      </c>
      <c r="AO32" t="str">
        <f>IF('ELC RESID'!$E25="Storage", ResidELC!AC$3*$N32,"")</f>
        <v/>
      </c>
      <c r="AP32" s="13">
        <f>'ELC RESID'!O25</f>
        <v>0</v>
      </c>
      <c r="AQ32" s="13">
        <f>'ELC RESID'!P25</f>
        <v>0</v>
      </c>
      <c r="AR32" s="13">
        <f>'ELC RESID'!Q25</f>
        <v>0</v>
      </c>
      <c r="AS32" s="13">
        <f>'ELC RESID'!R25</f>
        <v>0</v>
      </c>
      <c r="AT32" s="13">
        <f>'ELC RESID'!S25</f>
        <v>0</v>
      </c>
      <c r="AU32" s="13">
        <f>'ELC RESID'!T25</f>
        <v>0</v>
      </c>
      <c r="AV32" s="13">
        <f>'ELC RESID'!U25</f>
        <v>0</v>
      </c>
      <c r="AW32" s="13">
        <f>'ELC RESID'!V25</f>
        <v>0</v>
      </c>
      <c r="AX32" s="13">
        <f>'ELC RESID'!W25</f>
        <v>0</v>
      </c>
      <c r="AY32" s="13">
        <f>'ELC RESID'!X25</f>
        <v>0</v>
      </c>
      <c r="AZ32" s="13">
        <f>'ELC RESID'!Y25</f>
        <v>0</v>
      </c>
      <c r="BA32" s="13">
        <f>'ELC RESID'!Z25</f>
        <v>0</v>
      </c>
      <c r="BB32" s="13">
        <f>'ELC RESID'!AA25</f>
        <v>0</v>
      </c>
      <c r="BC32" s="13">
        <f>'ELC RESID'!AB25</f>
        <v>0</v>
      </c>
      <c r="BD32" s="13">
        <f>'ELC RESID'!AC25</f>
        <v>0</v>
      </c>
      <c r="BE32" s="13">
        <f>'ELC RESID'!AD25</f>
        <v>0</v>
      </c>
      <c r="BF32" s="13">
        <f>'ELC RESID'!AE25</f>
        <v>0</v>
      </c>
      <c r="BG32" s="13">
        <f>'ELC RESID'!AF25</f>
        <v>0</v>
      </c>
    </row>
    <row r="33" spans="2:59">
      <c r="B33" t="str">
        <f>IF(SUM(AP33:BG33)=0,"*",Def_Tech!C28)</f>
        <v>*</v>
      </c>
      <c r="C33" t="str">
        <f>Def_Tech!D28</f>
        <v>ELCBIOGRDOTT19</v>
      </c>
      <c r="D33" t="str">
        <f>IF(_xlfn.XLOOKUP('ELC RESID'!G26,List!C:C,List!B:B)="STG",E33,"ELC"&amp;_xlfn.XLOOKUP('ELC RESID'!G26,List!C:C,List!B:B))</f>
        <v>ELCBIO</v>
      </c>
      <c r="E33" t="s">
        <v>405</v>
      </c>
      <c r="F33" s="12">
        <f>IF('ELC RESID'!E26="Storage","",IF('ELC RESID'!L26="",1,'ELC RESID'!L26))</f>
        <v>1</v>
      </c>
      <c r="G33" s="12" t="str">
        <f>IF('ELC RESID'!E26&lt;&gt;"Storage","",IF('ELC RESID'!L26="",1,'ELC RESID'!L26))</f>
        <v/>
      </c>
      <c r="H33">
        <f t="shared" si="2"/>
        <v>31.535999999999998</v>
      </c>
      <c r="I33" s="12">
        <f>_xlfn.XLOOKUP(C33,'ELC RESID'!H:H,'ELC RESID'!N:N)</f>
        <v>1.5830726649481259</v>
      </c>
      <c r="J33" s="12">
        <f>_xlfn.XLOOKUP(C33,'ELC RESID'!H:H,'ELC RESID'!M:M)</f>
        <v>177.77906027367459</v>
      </c>
      <c r="K33" s="12">
        <f>IF('ELC RESID'!$E26="Storage","",IF('ELC RESID'!$K26&gt;0,'ELC RESID'!$K26,-'ELC RESID'!$K26))</f>
        <v>0</v>
      </c>
      <c r="L33" s="12">
        <f t="shared" si="5"/>
        <v>0</v>
      </c>
      <c r="M33" s="12">
        <f t="shared" si="5"/>
        <v>0</v>
      </c>
      <c r="N33" s="12" t="str">
        <f>IF('ELC RESID'!$E26="Storage",IF('ELC RESID'!$K26&gt;0,'ELC RESID'!$K26,-'ELC RESID'!$K26),"")</f>
        <v/>
      </c>
      <c r="O33" s="8" t="str">
        <f t="shared" si="6"/>
        <v/>
      </c>
      <c r="P33" s="8" t="str">
        <f t="shared" si="6"/>
        <v/>
      </c>
      <c r="Q33">
        <f>IF('ELC RESID'!E26="Storage",0.3,IF('ELC RESID'!E26="Baseload",0.9,IF('ELC RESID'!E26="Non Dispatchable",0.05,IF('ELC RESID'!E26="Dispatchable",0.9,1))))</f>
        <v>0.9</v>
      </c>
      <c r="R33" t="str">
        <f>IF('ELC RESID'!$E26="Non Dispatchable",IFERROR(IF($D33="ELCSOL",$K33/SUMPRODUCT($R$1:$AC$1,$R$3:$AC$3)*R$1,IF($D33="ELCWND",$K33/SUMPRODUCT($R$2:$AC$2,$R$3:$AC$3)*R$2,0)),""),"")</f>
        <v/>
      </c>
      <c r="S33" t="str">
        <f>IF('ELC RESID'!$E26="Non Dispatchable",IFERROR(IF($D33="ELCSOL",$K33/SUMPRODUCT($R$1:$AC$1,$R$3:$AC$3)*S$1,IF($D33="ELCWND",$K33/SUMPRODUCT($R$2:$AC$2,$R$3:$AC$3)*S$2,0)),""),"")</f>
        <v/>
      </c>
      <c r="T33" t="str">
        <f>IF('ELC RESID'!$E26="Non Dispatchable",IFERROR(IF($D33="ELCSOL",$K33/SUMPRODUCT($R$1:$AC$1,$R$3:$AC$3)*T$1,IF($D33="ELCWND",$K33/SUMPRODUCT($R$2:$AC$2,$R$3:$AC$3)*T$2,0)),""),"")</f>
        <v/>
      </c>
      <c r="U33" t="str">
        <f>IF('ELC RESID'!$E26="Non Dispatchable",IFERROR(IF($D33="ELCSOL",$K33/SUMPRODUCT($R$1:$AC$1,$R$3:$AC$3)*U$1,IF($D33="ELCWND",$K33/SUMPRODUCT($R$2:$AC$2,$R$3:$AC$3)*U$2,0)),""),"")</f>
        <v/>
      </c>
      <c r="V33" t="str">
        <f>IF('ELC RESID'!$E26="Non Dispatchable",IFERROR(IF($D33="ELCSOL",$K33/SUMPRODUCT($R$1:$AC$1,$R$3:$AC$3)*V$1,IF($D33="ELCWND",$K33/SUMPRODUCT($R$2:$AC$2,$R$3:$AC$3)*V$2,0)),""),"")</f>
        <v/>
      </c>
      <c r="W33" t="str">
        <f>IF('ELC RESID'!$E26="Non Dispatchable",IFERROR(IF($D33="ELCSOL",$K33/SUMPRODUCT($R$1:$AC$1,$R$3:$AC$3)*W$1,IF($D33="ELCWND",$K33/SUMPRODUCT($R$2:$AC$2,$R$3:$AC$3)*W$2,0)),""),"")</f>
        <v/>
      </c>
      <c r="X33" t="str">
        <f>IF('ELC RESID'!$E26="Non Dispatchable",IFERROR(IF($D33="ELCSOL",$K33/SUMPRODUCT($R$1:$AC$1,$R$3:$AC$3)*X$1,IF($D33="ELCWND",$K33/SUMPRODUCT($R$2:$AC$2,$R$3:$AC$3)*X$2,0)),""),"")</f>
        <v/>
      </c>
      <c r="Y33" t="str">
        <f>IF('ELC RESID'!$E26="Non Dispatchable",IFERROR(IF($D33="ELCSOL",$K33/SUMPRODUCT($R$1:$AC$1,$R$3:$AC$3)*Y$1,IF($D33="ELCWND",$K33/SUMPRODUCT($R$2:$AC$2,$R$3:$AC$3)*Y$2,0)),""),"")</f>
        <v/>
      </c>
      <c r="Z33" t="str">
        <f>IF('ELC RESID'!$E26="Non Dispatchable",IFERROR(IF($D33="ELCSOL",$K33/SUMPRODUCT($R$1:$AC$1,$R$3:$AC$3)*Z$1,IF($D33="ELCWND",$K33/SUMPRODUCT($R$2:$AC$2,$R$3:$AC$3)*Z$2,0)),""),"")</f>
        <v/>
      </c>
      <c r="AA33" t="str">
        <f>IF('ELC RESID'!$E26="Non Dispatchable",IFERROR(IF($D33="ELCSOL",$K33/SUMPRODUCT($R$1:$AC$1,$R$3:$AC$3)*AA$1,IF($D33="ELCWND",$K33/SUMPRODUCT($R$2:$AC$2,$R$3:$AC$3)*AA$2,0)),""),"")</f>
        <v/>
      </c>
      <c r="AB33" t="str">
        <f>IF('ELC RESID'!$E26="Non Dispatchable",IFERROR(IF($D33="ELCSOL",$K33/SUMPRODUCT($R$1:$AC$1,$R$3:$AC$3)*AB$1,IF($D33="ELCWND",$K33/SUMPRODUCT($R$2:$AC$2,$R$3:$AC$3)*AB$2,0)),""),"")</f>
        <v/>
      </c>
      <c r="AC33" t="str">
        <f>IF('ELC RESID'!$E26="Non Dispatchable",IFERROR(IF($D33="ELCSOL",$K33/SUMPRODUCT($R$1:$AC$1,$R$3:$AC$3)*AC$1,IF($D33="ELCWND",$K33/SUMPRODUCT($R$2:$AC$2,$R$3:$AC$3)*AC$2,0)),""),"")</f>
        <v/>
      </c>
      <c r="AD33" t="str">
        <f>IF('ELC RESID'!$E26="Storage", ResidELC!R$3*$N33,"")</f>
        <v/>
      </c>
      <c r="AE33" t="str">
        <f>IF('ELC RESID'!$E26="Storage", ResidELC!S$3*$N33,"")</f>
        <v/>
      </c>
      <c r="AF33" t="str">
        <f>IF('ELC RESID'!$E26="Storage", ResidELC!T$3*$N33,"")</f>
        <v/>
      </c>
      <c r="AG33" t="str">
        <f>IF('ELC RESID'!$E26="Storage", ResidELC!U$3*$N33,"")</f>
        <v/>
      </c>
      <c r="AH33" t="str">
        <f>IF('ELC RESID'!$E26="Storage", ResidELC!V$3*$N33,"")</f>
        <v/>
      </c>
      <c r="AI33" t="str">
        <f>IF('ELC RESID'!$E26="Storage", ResidELC!W$3*$N33,"")</f>
        <v/>
      </c>
      <c r="AJ33" t="str">
        <f>IF('ELC RESID'!$E26="Storage", ResidELC!X$3*$N33,"")</f>
        <v/>
      </c>
      <c r="AK33" t="str">
        <f>IF('ELC RESID'!$E26="Storage", ResidELC!Y$3*$N33,"")</f>
        <v/>
      </c>
      <c r="AL33" t="str">
        <f>IF('ELC RESID'!$E26="Storage", ResidELC!Z$3*$N33,"")</f>
        <v/>
      </c>
      <c r="AM33" t="str">
        <f>IF('ELC RESID'!$E26="Storage", ResidELC!AA$3*$N33,"")</f>
        <v/>
      </c>
      <c r="AN33" t="str">
        <f>IF('ELC RESID'!$E26="Storage", ResidELC!AB$3*$N33,"")</f>
        <v/>
      </c>
      <c r="AO33" t="str">
        <f>IF('ELC RESID'!$E26="Storage", ResidELC!AC$3*$N33,"")</f>
        <v/>
      </c>
      <c r="AP33" s="13">
        <f>'ELC RESID'!O26</f>
        <v>0</v>
      </c>
      <c r="AQ33" s="13">
        <f>'ELC RESID'!P26</f>
        <v>0</v>
      </c>
      <c r="AR33" s="13">
        <f>'ELC RESID'!Q26</f>
        <v>0</v>
      </c>
      <c r="AS33" s="13">
        <f>'ELC RESID'!R26</f>
        <v>0</v>
      </c>
      <c r="AT33" s="13">
        <f>'ELC RESID'!S26</f>
        <v>0</v>
      </c>
      <c r="AU33" s="13">
        <f>'ELC RESID'!T26</f>
        <v>0</v>
      </c>
      <c r="AV33" s="13">
        <f>'ELC RESID'!U26</f>
        <v>0</v>
      </c>
      <c r="AW33" s="13">
        <f>'ELC RESID'!V26</f>
        <v>0</v>
      </c>
      <c r="AX33" s="13">
        <f>'ELC RESID'!W26</f>
        <v>0</v>
      </c>
      <c r="AY33" s="13">
        <f>'ELC RESID'!X26</f>
        <v>0</v>
      </c>
      <c r="AZ33" s="13">
        <f>'ELC RESID'!Y26</f>
        <v>0</v>
      </c>
      <c r="BA33" s="13">
        <f>'ELC RESID'!Z26</f>
        <v>0</v>
      </c>
      <c r="BB33" s="13">
        <f>'ELC RESID'!AA26</f>
        <v>0</v>
      </c>
      <c r="BC33" s="13">
        <f>'ELC RESID'!AB26</f>
        <v>0</v>
      </c>
      <c r="BD33" s="13">
        <f>'ELC RESID'!AC26</f>
        <v>0</v>
      </c>
      <c r="BE33" s="13">
        <f>'ELC RESID'!AD26</f>
        <v>0</v>
      </c>
      <c r="BF33" s="13">
        <f>'ELC RESID'!AE26</f>
        <v>0</v>
      </c>
      <c r="BG33" s="13">
        <f>'ELC RESID'!AF26</f>
        <v>0</v>
      </c>
    </row>
    <row r="34" spans="2:59">
      <c r="B34" t="str">
        <f>IF(SUM(AP34:BG34)=0,"*",Def_Tech!C29)</f>
        <v>*</v>
      </c>
      <c r="C34" t="str">
        <f>Def_Tech!D29</f>
        <v>ELCOTBGRDICE19</v>
      </c>
      <c r="D34" t="str">
        <f>IF(_xlfn.XLOOKUP('ELC RESID'!G27,List!C:C,List!B:B)="STG",E34,"ELC"&amp;_xlfn.XLOOKUP('ELC RESID'!G27,List!C:C,List!B:B))</f>
        <v>ELCOTB</v>
      </c>
      <c r="E34" t="s">
        <v>405</v>
      </c>
      <c r="F34" s="12">
        <f>IF('ELC RESID'!E27="Storage","",IF('ELC RESID'!L27="",1,'ELC RESID'!L27))</f>
        <v>1</v>
      </c>
      <c r="G34" s="12" t="str">
        <f>IF('ELC RESID'!E27&lt;&gt;"Storage","",IF('ELC RESID'!L27="",1,'ELC RESID'!L27))</f>
        <v/>
      </c>
      <c r="H34">
        <f t="shared" si="2"/>
        <v>31.535999999999998</v>
      </c>
      <c r="I34" s="12">
        <f>_xlfn.XLOOKUP(C34,'ELC RESID'!H:H,'ELC RESID'!N:N)</f>
        <v>1.5830726649481259</v>
      </c>
      <c r="J34" s="12">
        <f>_xlfn.XLOOKUP(C34,'ELC RESID'!H:H,'ELC RESID'!M:M)</f>
        <v>177.77906027367459</v>
      </c>
      <c r="K34" s="12">
        <f>IF('ELC RESID'!$E27="Storage","",IF('ELC RESID'!$K27&gt;0,'ELC RESID'!$K27,-'ELC RESID'!$K27))</f>
        <v>0</v>
      </c>
      <c r="L34" s="12">
        <f t="shared" si="5"/>
        <v>0</v>
      </c>
      <c r="M34" s="12">
        <f t="shared" si="5"/>
        <v>0</v>
      </c>
      <c r="N34" s="12" t="str">
        <f>IF('ELC RESID'!$E27="Storage",IF('ELC RESID'!$K27&gt;0,'ELC RESID'!$K27,-'ELC RESID'!$K27),"")</f>
        <v/>
      </c>
      <c r="O34" s="8" t="str">
        <f t="shared" si="6"/>
        <v/>
      </c>
      <c r="P34" s="8" t="str">
        <f t="shared" si="6"/>
        <v/>
      </c>
      <c r="Q34">
        <f>IF('ELC RESID'!E27="Storage",0.3,IF('ELC RESID'!E27="Baseload",0.9,IF('ELC RESID'!E27="Non Dispatchable",0.05,IF('ELC RESID'!E27="Dispatchable",0.9,1))))</f>
        <v>0.9</v>
      </c>
      <c r="R34" t="str">
        <f>IF('ELC RESID'!$E27="Non Dispatchable",IFERROR(IF($D34="ELCSOL",$K34/SUMPRODUCT($R$1:$AC$1,$R$3:$AC$3)*R$1,IF($D34="ELCWND",$K34/SUMPRODUCT($R$2:$AC$2,$R$3:$AC$3)*R$2,0)),""),"")</f>
        <v/>
      </c>
      <c r="S34" t="str">
        <f>IF('ELC RESID'!$E27="Non Dispatchable",IFERROR(IF($D34="ELCSOL",$K34/SUMPRODUCT($R$1:$AC$1,$R$3:$AC$3)*S$1,IF($D34="ELCWND",$K34/SUMPRODUCT($R$2:$AC$2,$R$3:$AC$3)*S$2,0)),""),"")</f>
        <v/>
      </c>
      <c r="T34" t="str">
        <f>IF('ELC RESID'!$E27="Non Dispatchable",IFERROR(IF($D34="ELCSOL",$K34/SUMPRODUCT($R$1:$AC$1,$R$3:$AC$3)*T$1,IF($D34="ELCWND",$K34/SUMPRODUCT($R$2:$AC$2,$R$3:$AC$3)*T$2,0)),""),"")</f>
        <v/>
      </c>
      <c r="U34" t="str">
        <f>IF('ELC RESID'!$E27="Non Dispatchable",IFERROR(IF($D34="ELCSOL",$K34/SUMPRODUCT($R$1:$AC$1,$R$3:$AC$3)*U$1,IF($D34="ELCWND",$K34/SUMPRODUCT($R$2:$AC$2,$R$3:$AC$3)*U$2,0)),""),"")</f>
        <v/>
      </c>
      <c r="V34" t="str">
        <f>IF('ELC RESID'!$E27="Non Dispatchable",IFERROR(IF($D34="ELCSOL",$K34/SUMPRODUCT($R$1:$AC$1,$R$3:$AC$3)*V$1,IF($D34="ELCWND",$K34/SUMPRODUCT($R$2:$AC$2,$R$3:$AC$3)*V$2,0)),""),"")</f>
        <v/>
      </c>
      <c r="W34" t="str">
        <f>IF('ELC RESID'!$E27="Non Dispatchable",IFERROR(IF($D34="ELCSOL",$K34/SUMPRODUCT($R$1:$AC$1,$R$3:$AC$3)*W$1,IF($D34="ELCWND",$K34/SUMPRODUCT($R$2:$AC$2,$R$3:$AC$3)*W$2,0)),""),"")</f>
        <v/>
      </c>
      <c r="X34" t="str">
        <f>IF('ELC RESID'!$E27="Non Dispatchable",IFERROR(IF($D34="ELCSOL",$K34/SUMPRODUCT($R$1:$AC$1,$R$3:$AC$3)*X$1,IF($D34="ELCWND",$K34/SUMPRODUCT($R$2:$AC$2,$R$3:$AC$3)*X$2,0)),""),"")</f>
        <v/>
      </c>
      <c r="Y34" t="str">
        <f>IF('ELC RESID'!$E27="Non Dispatchable",IFERROR(IF($D34="ELCSOL",$K34/SUMPRODUCT($R$1:$AC$1,$R$3:$AC$3)*Y$1,IF($D34="ELCWND",$K34/SUMPRODUCT($R$2:$AC$2,$R$3:$AC$3)*Y$2,0)),""),"")</f>
        <v/>
      </c>
      <c r="Z34" t="str">
        <f>IF('ELC RESID'!$E27="Non Dispatchable",IFERROR(IF($D34="ELCSOL",$K34/SUMPRODUCT($R$1:$AC$1,$R$3:$AC$3)*Z$1,IF($D34="ELCWND",$K34/SUMPRODUCT($R$2:$AC$2,$R$3:$AC$3)*Z$2,0)),""),"")</f>
        <v/>
      </c>
      <c r="AA34" t="str">
        <f>IF('ELC RESID'!$E27="Non Dispatchable",IFERROR(IF($D34="ELCSOL",$K34/SUMPRODUCT($R$1:$AC$1,$R$3:$AC$3)*AA$1,IF($D34="ELCWND",$K34/SUMPRODUCT($R$2:$AC$2,$R$3:$AC$3)*AA$2,0)),""),"")</f>
        <v/>
      </c>
      <c r="AB34" t="str">
        <f>IF('ELC RESID'!$E27="Non Dispatchable",IFERROR(IF($D34="ELCSOL",$K34/SUMPRODUCT($R$1:$AC$1,$R$3:$AC$3)*AB$1,IF($D34="ELCWND",$K34/SUMPRODUCT($R$2:$AC$2,$R$3:$AC$3)*AB$2,0)),""),"")</f>
        <v/>
      </c>
      <c r="AC34" t="str">
        <f>IF('ELC RESID'!$E27="Non Dispatchable",IFERROR(IF($D34="ELCSOL",$K34/SUMPRODUCT($R$1:$AC$1,$R$3:$AC$3)*AC$1,IF($D34="ELCWND",$K34/SUMPRODUCT($R$2:$AC$2,$R$3:$AC$3)*AC$2,0)),""),"")</f>
        <v/>
      </c>
      <c r="AD34" t="str">
        <f>IF('ELC RESID'!$E27="Storage", ResidELC!R$3*$N34,"")</f>
        <v/>
      </c>
      <c r="AE34" t="str">
        <f>IF('ELC RESID'!$E27="Storage", ResidELC!S$3*$N34,"")</f>
        <v/>
      </c>
      <c r="AF34" t="str">
        <f>IF('ELC RESID'!$E27="Storage", ResidELC!T$3*$N34,"")</f>
        <v/>
      </c>
      <c r="AG34" t="str">
        <f>IF('ELC RESID'!$E27="Storage", ResidELC!U$3*$N34,"")</f>
        <v/>
      </c>
      <c r="AH34" t="str">
        <f>IF('ELC RESID'!$E27="Storage", ResidELC!V$3*$N34,"")</f>
        <v/>
      </c>
      <c r="AI34" t="str">
        <f>IF('ELC RESID'!$E27="Storage", ResidELC!W$3*$N34,"")</f>
        <v/>
      </c>
      <c r="AJ34" t="str">
        <f>IF('ELC RESID'!$E27="Storage", ResidELC!X$3*$N34,"")</f>
        <v/>
      </c>
      <c r="AK34" t="str">
        <f>IF('ELC RESID'!$E27="Storage", ResidELC!Y$3*$N34,"")</f>
        <v/>
      </c>
      <c r="AL34" t="str">
        <f>IF('ELC RESID'!$E27="Storage", ResidELC!Z$3*$N34,"")</f>
        <v/>
      </c>
      <c r="AM34" t="str">
        <f>IF('ELC RESID'!$E27="Storage", ResidELC!AA$3*$N34,"")</f>
        <v/>
      </c>
      <c r="AN34" t="str">
        <f>IF('ELC RESID'!$E27="Storage", ResidELC!AB$3*$N34,"")</f>
        <v/>
      </c>
      <c r="AO34" t="str">
        <f>IF('ELC RESID'!$E27="Storage", ResidELC!AC$3*$N34,"")</f>
        <v/>
      </c>
      <c r="AP34" s="13">
        <f>'ELC RESID'!O27</f>
        <v>0</v>
      </c>
      <c r="AQ34" s="13">
        <f>'ELC RESID'!P27</f>
        <v>0</v>
      </c>
      <c r="AR34" s="13">
        <f>'ELC RESID'!Q27</f>
        <v>0</v>
      </c>
      <c r="AS34" s="13">
        <f>'ELC RESID'!R27</f>
        <v>0</v>
      </c>
      <c r="AT34" s="13">
        <f>'ELC RESID'!S27</f>
        <v>0</v>
      </c>
      <c r="AU34" s="13">
        <f>'ELC RESID'!T27</f>
        <v>0</v>
      </c>
      <c r="AV34" s="13">
        <f>'ELC RESID'!U27</f>
        <v>0</v>
      </c>
      <c r="AW34" s="13">
        <f>'ELC RESID'!V27</f>
        <v>0</v>
      </c>
      <c r="AX34" s="13">
        <f>'ELC RESID'!W27</f>
        <v>0</v>
      </c>
      <c r="AY34" s="13">
        <f>'ELC RESID'!X27</f>
        <v>0</v>
      </c>
      <c r="AZ34" s="13">
        <f>'ELC RESID'!Y27</f>
        <v>0</v>
      </c>
      <c r="BA34" s="13">
        <f>'ELC RESID'!Z27</f>
        <v>0</v>
      </c>
      <c r="BB34" s="13">
        <f>'ELC RESID'!AA27</f>
        <v>0</v>
      </c>
      <c r="BC34" s="13">
        <f>'ELC RESID'!AB27</f>
        <v>0</v>
      </c>
      <c r="BD34" s="13">
        <f>'ELC RESID'!AC27</f>
        <v>0</v>
      </c>
      <c r="BE34" s="13">
        <f>'ELC RESID'!AD27</f>
        <v>0</v>
      </c>
      <c r="BF34" s="13">
        <f>'ELC RESID'!AE27</f>
        <v>0</v>
      </c>
      <c r="BG34" s="13">
        <f>'ELC RESID'!AF27</f>
        <v>0</v>
      </c>
    </row>
    <row r="35" spans="2:59">
      <c r="B35" t="str">
        <f>IF(SUM(AP35:BG35)=0,"*",Def_Tech!C30)</f>
        <v>EGRID</v>
      </c>
      <c r="C35" t="str">
        <f>Def_Tech!D30</f>
        <v>ELCWASGRDSTU19</v>
      </c>
      <c r="D35" t="str">
        <f>IF(_xlfn.XLOOKUP('ELC RESID'!G28,List!C:C,List!B:B)="STG",E35,"ELC"&amp;_xlfn.XLOOKUP('ELC RESID'!G28,List!C:C,List!B:B))</f>
        <v>ELCWAS</v>
      </c>
      <c r="E35" t="s">
        <v>405</v>
      </c>
      <c r="F35" s="12">
        <f>IF('ELC RESID'!E28="Storage","",IF('ELC RESID'!L28="",1,'ELC RESID'!L28))</f>
        <v>0.1841630278371513</v>
      </c>
      <c r="G35" s="12" t="str">
        <f>IF('ELC RESID'!E28&lt;&gt;"Storage","",IF('ELC RESID'!L28="",1,'ELC RESID'!L28))</f>
        <v/>
      </c>
      <c r="H35">
        <f t="shared" si="2"/>
        <v>31.535999999999998</v>
      </c>
      <c r="I35" s="12">
        <f>_xlfn.XLOOKUP(C35,'ELC RESID'!H:H,'ELC RESID'!N:N)</f>
        <v>1.5830726649481259</v>
      </c>
      <c r="J35" s="12">
        <f>_xlfn.XLOOKUP(C35,'ELC RESID'!H:H,'ELC RESID'!M:M)</f>
        <v>177.77906027367459</v>
      </c>
      <c r="K35" s="12">
        <f>IF('ELC RESID'!$E28="Storage","",IF('ELC RESID'!$K28&gt;0,'ELC RESID'!$K28,-'ELC RESID'!$K28))</f>
        <v>0.72088563058825328</v>
      </c>
      <c r="L35" s="12">
        <f t="shared" si="5"/>
        <v>0.72088563058825328</v>
      </c>
      <c r="M35" s="12">
        <f t="shared" si="5"/>
        <v>0.72088563058825328</v>
      </c>
      <c r="N35" s="12" t="str">
        <f>IF('ELC RESID'!$E28="Storage",IF('ELC RESID'!$K28&gt;0,'ELC RESID'!$K28,-'ELC RESID'!$K28),"")</f>
        <v/>
      </c>
      <c r="O35" s="8" t="str">
        <f t="shared" si="6"/>
        <v/>
      </c>
      <c r="P35" s="8" t="str">
        <f t="shared" si="6"/>
        <v/>
      </c>
      <c r="Q35">
        <f>IF('ELC RESID'!E28="Storage",0.3,IF('ELC RESID'!E28="Baseload",0.9,IF('ELC RESID'!E28="Non Dispatchable",0.05,IF('ELC RESID'!E28="Dispatchable",0.9,1))))</f>
        <v>0.9</v>
      </c>
      <c r="R35" t="str">
        <f>IF('ELC RESID'!$E28="Non Dispatchable",IFERROR(IF($D35="ELCSOL",$K35/SUMPRODUCT($R$1:$AC$1,$R$3:$AC$3)*R$1,IF($D35="ELCWND",$K35/SUMPRODUCT($R$2:$AC$2,$R$3:$AC$3)*R$2,0)),""),"")</f>
        <v/>
      </c>
      <c r="S35" t="str">
        <f>IF('ELC RESID'!$E28="Non Dispatchable",IFERROR(IF($D35="ELCSOL",$K35/SUMPRODUCT($R$1:$AC$1,$R$3:$AC$3)*S$1,IF($D35="ELCWND",$K35/SUMPRODUCT($R$2:$AC$2,$R$3:$AC$3)*S$2,0)),""),"")</f>
        <v/>
      </c>
      <c r="T35" t="str">
        <f>IF('ELC RESID'!$E28="Non Dispatchable",IFERROR(IF($D35="ELCSOL",$K35/SUMPRODUCT($R$1:$AC$1,$R$3:$AC$3)*T$1,IF($D35="ELCWND",$K35/SUMPRODUCT($R$2:$AC$2,$R$3:$AC$3)*T$2,0)),""),"")</f>
        <v/>
      </c>
      <c r="U35" t="str">
        <f>IF('ELC RESID'!$E28="Non Dispatchable",IFERROR(IF($D35="ELCSOL",$K35/SUMPRODUCT($R$1:$AC$1,$R$3:$AC$3)*U$1,IF($D35="ELCWND",$K35/SUMPRODUCT($R$2:$AC$2,$R$3:$AC$3)*U$2,0)),""),"")</f>
        <v/>
      </c>
      <c r="V35" t="str">
        <f>IF('ELC RESID'!$E28="Non Dispatchable",IFERROR(IF($D35="ELCSOL",$K35/SUMPRODUCT($R$1:$AC$1,$R$3:$AC$3)*V$1,IF($D35="ELCWND",$K35/SUMPRODUCT($R$2:$AC$2,$R$3:$AC$3)*V$2,0)),""),"")</f>
        <v/>
      </c>
      <c r="W35" t="str">
        <f>IF('ELC RESID'!$E28="Non Dispatchable",IFERROR(IF($D35="ELCSOL",$K35/SUMPRODUCT($R$1:$AC$1,$R$3:$AC$3)*W$1,IF($D35="ELCWND",$K35/SUMPRODUCT($R$2:$AC$2,$R$3:$AC$3)*W$2,0)),""),"")</f>
        <v/>
      </c>
      <c r="X35" t="str">
        <f>IF('ELC RESID'!$E28="Non Dispatchable",IFERROR(IF($D35="ELCSOL",$K35/SUMPRODUCT($R$1:$AC$1,$R$3:$AC$3)*X$1,IF($D35="ELCWND",$K35/SUMPRODUCT($R$2:$AC$2,$R$3:$AC$3)*X$2,0)),""),"")</f>
        <v/>
      </c>
      <c r="Y35" t="str">
        <f>IF('ELC RESID'!$E28="Non Dispatchable",IFERROR(IF($D35="ELCSOL",$K35/SUMPRODUCT($R$1:$AC$1,$R$3:$AC$3)*Y$1,IF($D35="ELCWND",$K35/SUMPRODUCT($R$2:$AC$2,$R$3:$AC$3)*Y$2,0)),""),"")</f>
        <v/>
      </c>
      <c r="Z35" t="str">
        <f>IF('ELC RESID'!$E28="Non Dispatchable",IFERROR(IF($D35="ELCSOL",$K35/SUMPRODUCT($R$1:$AC$1,$R$3:$AC$3)*Z$1,IF($D35="ELCWND",$K35/SUMPRODUCT($R$2:$AC$2,$R$3:$AC$3)*Z$2,0)),""),"")</f>
        <v/>
      </c>
      <c r="AA35" t="str">
        <f>IF('ELC RESID'!$E28="Non Dispatchable",IFERROR(IF($D35="ELCSOL",$K35/SUMPRODUCT($R$1:$AC$1,$R$3:$AC$3)*AA$1,IF($D35="ELCWND",$K35/SUMPRODUCT($R$2:$AC$2,$R$3:$AC$3)*AA$2,0)),""),"")</f>
        <v/>
      </c>
      <c r="AB35" t="str">
        <f>IF('ELC RESID'!$E28="Non Dispatchable",IFERROR(IF($D35="ELCSOL",$K35/SUMPRODUCT($R$1:$AC$1,$R$3:$AC$3)*AB$1,IF($D35="ELCWND",$K35/SUMPRODUCT($R$2:$AC$2,$R$3:$AC$3)*AB$2,0)),""),"")</f>
        <v/>
      </c>
      <c r="AC35" t="str">
        <f>IF('ELC RESID'!$E28="Non Dispatchable",IFERROR(IF($D35="ELCSOL",$K35/SUMPRODUCT($R$1:$AC$1,$R$3:$AC$3)*AC$1,IF($D35="ELCWND",$K35/SUMPRODUCT($R$2:$AC$2,$R$3:$AC$3)*AC$2,0)),""),"")</f>
        <v/>
      </c>
      <c r="AD35" t="str">
        <f>IF('ELC RESID'!$E28="Storage", ResidELC!R$3*$N35,"")</f>
        <v/>
      </c>
      <c r="AE35" t="str">
        <f>IF('ELC RESID'!$E28="Storage", ResidELC!S$3*$N35,"")</f>
        <v/>
      </c>
      <c r="AF35" t="str">
        <f>IF('ELC RESID'!$E28="Storage", ResidELC!T$3*$N35,"")</f>
        <v/>
      </c>
      <c r="AG35" t="str">
        <f>IF('ELC RESID'!$E28="Storage", ResidELC!U$3*$N35,"")</f>
        <v/>
      </c>
      <c r="AH35" t="str">
        <f>IF('ELC RESID'!$E28="Storage", ResidELC!V$3*$N35,"")</f>
        <v/>
      </c>
      <c r="AI35" t="str">
        <f>IF('ELC RESID'!$E28="Storage", ResidELC!W$3*$N35,"")</f>
        <v/>
      </c>
      <c r="AJ35" t="str">
        <f>IF('ELC RESID'!$E28="Storage", ResidELC!X$3*$N35,"")</f>
        <v/>
      </c>
      <c r="AK35" t="str">
        <f>IF('ELC RESID'!$E28="Storage", ResidELC!Y$3*$N35,"")</f>
        <v/>
      </c>
      <c r="AL35" t="str">
        <f>IF('ELC RESID'!$E28="Storage", ResidELC!Z$3*$N35,"")</f>
        <v/>
      </c>
      <c r="AM35" t="str">
        <f>IF('ELC RESID'!$E28="Storage", ResidELC!AA$3*$N35,"")</f>
        <v/>
      </c>
      <c r="AN35" t="str">
        <f>IF('ELC RESID'!$E28="Storage", ResidELC!AB$3*$N35,"")</f>
        <v/>
      </c>
      <c r="AO35" t="str">
        <f>IF('ELC RESID'!$E28="Storage", ResidELC!AC$3*$N35,"")</f>
        <v/>
      </c>
      <c r="AP35" s="13">
        <f>'ELC RESID'!O28</f>
        <v>59.7</v>
      </c>
      <c r="AQ35" s="13">
        <f>'ELC RESID'!P28</f>
        <v>59.7</v>
      </c>
      <c r="AR35" s="13">
        <f>'ELC RESID'!Q28</f>
        <v>59.7</v>
      </c>
      <c r="AS35" s="13">
        <f>'ELC RESID'!R28</f>
        <v>59.7</v>
      </c>
      <c r="AT35" s="13">
        <f>'ELC RESID'!S28</f>
        <v>0</v>
      </c>
      <c r="AU35" s="13">
        <f>'ELC RESID'!T28</f>
        <v>0</v>
      </c>
      <c r="AV35" s="13">
        <f>'ELC RESID'!U28</f>
        <v>0</v>
      </c>
      <c r="AW35" s="13">
        <f>'ELC RESID'!V28</f>
        <v>0</v>
      </c>
      <c r="AX35" s="13">
        <f>'ELC RESID'!W28</f>
        <v>0</v>
      </c>
      <c r="AY35" s="13">
        <f>'ELC RESID'!X28</f>
        <v>0</v>
      </c>
      <c r="AZ35" s="13">
        <f>'ELC RESID'!Y28</f>
        <v>0</v>
      </c>
      <c r="BA35" s="13">
        <f>'ELC RESID'!Z28</f>
        <v>0</v>
      </c>
      <c r="BB35" s="13">
        <f>'ELC RESID'!AA28</f>
        <v>0</v>
      </c>
      <c r="BC35" s="13">
        <f>'ELC RESID'!AB28</f>
        <v>0</v>
      </c>
      <c r="BD35" s="13">
        <f>'ELC RESID'!AC28</f>
        <v>0</v>
      </c>
      <c r="BE35" s="13">
        <f>'ELC RESID'!AD28</f>
        <v>0</v>
      </c>
      <c r="BF35" s="13">
        <f>'ELC RESID'!AE28</f>
        <v>0</v>
      </c>
      <c r="BG35" s="13">
        <f>'ELC RESID'!AF28</f>
        <v>0</v>
      </c>
    </row>
    <row r="36" spans="2:59">
      <c r="B36" t="str">
        <f>IF(SUM(AP36:BG36)=0,"*",Def_Tech!C31)</f>
        <v>*</v>
      </c>
      <c r="C36" t="str">
        <f>Def_Tech!D31</f>
        <v>ELCHETGRDSTU19</v>
      </c>
      <c r="D36" t="str">
        <f>IF(_xlfn.XLOOKUP('ELC RESID'!G29,List!C:C,List!B:B)="STG",E36,"ELC"&amp;_xlfn.XLOOKUP('ELC RESID'!G29,List!C:C,List!B:B))</f>
        <v>ELCHET</v>
      </c>
      <c r="E36" t="s">
        <v>405</v>
      </c>
      <c r="F36" s="12">
        <f>IF('ELC RESID'!E29="Storage","",IF('ELC RESID'!L29="",1,'ELC RESID'!L29))</f>
        <v>1</v>
      </c>
      <c r="G36" s="12" t="str">
        <f>IF('ELC RESID'!E29&lt;&gt;"Storage","",IF('ELC RESID'!L29="",1,'ELC RESID'!L29))</f>
        <v/>
      </c>
      <c r="H36">
        <f t="shared" si="2"/>
        <v>31.535999999999998</v>
      </c>
      <c r="I36" s="12">
        <f>_xlfn.XLOOKUP(C36,'ELC RESID'!H:H,'ELC RESID'!N:N)</f>
        <v>1.5830726649481259</v>
      </c>
      <c r="J36" s="12">
        <f>_xlfn.XLOOKUP(C36,'ELC RESID'!H:H,'ELC RESID'!M:M)</f>
        <v>177.77906027367459</v>
      </c>
      <c r="K36" s="12">
        <f>IF('ELC RESID'!$E29="Storage","",IF('ELC RESID'!$K29&gt;0,'ELC RESID'!$K29,-'ELC RESID'!$K29))</f>
        <v>0</v>
      </c>
      <c r="L36" s="12">
        <f t="shared" si="5"/>
        <v>0</v>
      </c>
      <c r="M36" s="12">
        <f t="shared" si="5"/>
        <v>0</v>
      </c>
      <c r="N36" s="12" t="str">
        <f>IF('ELC RESID'!$E29="Storage",IF('ELC RESID'!$K29&gt;0,'ELC RESID'!$K29,-'ELC RESID'!$K29),"")</f>
        <v/>
      </c>
      <c r="O36" s="8" t="str">
        <f t="shared" si="6"/>
        <v/>
      </c>
      <c r="P36" s="8" t="str">
        <f t="shared" si="6"/>
        <v/>
      </c>
      <c r="Q36">
        <f>IF('ELC RESID'!E29="Storage",0.3,IF('ELC RESID'!E29="Baseload",0.9,IF('ELC RESID'!E29="Non Dispatchable",0.05,IF('ELC RESID'!E29="Dispatchable",0.9,1))))</f>
        <v>0.9</v>
      </c>
      <c r="R36" t="str">
        <f>IF('ELC RESID'!$E29="Non Dispatchable",IFERROR(IF($D36="ELCSOL",$K36/SUMPRODUCT($R$1:$AC$1,$R$3:$AC$3)*R$1,IF($D36="ELCWND",$K36/SUMPRODUCT($R$2:$AC$2,$R$3:$AC$3)*R$2,0)),""),"")</f>
        <v/>
      </c>
      <c r="S36" t="str">
        <f>IF('ELC RESID'!$E29="Non Dispatchable",IFERROR(IF($D36="ELCSOL",$K36/SUMPRODUCT($R$1:$AC$1,$R$3:$AC$3)*S$1,IF($D36="ELCWND",$K36/SUMPRODUCT($R$2:$AC$2,$R$3:$AC$3)*S$2,0)),""),"")</f>
        <v/>
      </c>
      <c r="T36" t="str">
        <f>IF('ELC RESID'!$E29="Non Dispatchable",IFERROR(IF($D36="ELCSOL",$K36/SUMPRODUCT($R$1:$AC$1,$R$3:$AC$3)*T$1,IF($D36="ELCWND",$K36/SUMPRODUCT($R$2:$AC$2,$R$3:$AC$3)*T$2,0)),""),"")</f>
        <v/>
      </c>
      <c r="U36" t="str">
        <f>IF('ELC RESID'!$E29="Non Dispatchable",IFERROR(IF($D36="ELCSOL",$K36/SUMPRODUCT($R$1:$AC$1,$R$3:$AC$3)*U$1,IF($D36="ELCWND",$K36/SUMPRODUCT($R$2:$AC$2,$R$3:$AC$3)*U$2,0)),""),"")</f>
        <v/>
      </c>
      <c r="V36" t="str">
        <f>IF('ELC RESID'!$E29="Non Dispatchable",IFERROR(IF($D36="ELCSOL",$K36/SUMPRODUCT($R$1:$AC$1,$R$3:$AC$3)*V$1,IF($D36="ELCWND",$K36/SUMPRODUCT($R$2:$AC$2,$R$3:$AC$3)*V$2,0)),""),"")</f>
        <v/>
      </c>
      <c r="W36" t="str">
        <f>IF('ELC RESID'!$E29="Non Dispatchable",IFERROR(IF($D36="ELCSOL",$K36/SUMPRODUCT($R$1:$AC$1,$R$3:$AC$3)*W$1,IF($D36="ELCWND",$K36/SUMPRODUCT($R$2:$AC$2,$R$3:$AC$3)*W$2,0)),""),"")</f>
        <v/>
      </c>
      <c r="X36" t="str">
        <f>IF('ELC RESID'!$E29="Non Dispatchable",IFERROR(IF($D36="ELCSOL",$K36/SUMPRODUCT($R$1:$AC$1,$R$3:$AC$3)*X$1,IF($D36="ELCWND",$K36/SUMPRODUCT($R$2:$AC$2,$R$3:$AC$3)*X$2,0)),""),"")</f>
        <v/>
      </c>
      <c r="Y36" t="str">
        <f>IF('ELC RESID'!$E29="Non Dispatchable",IFERROR(IF($D36="ELCSOL",$K36/SUMPRODUCT($R$1:$AC$1,$R$3:$AC$3)*Y$1,IF($D36="ELCWND",$K36/SUMPRODUCT($R$2:$AC$2,$R$3:$AC$3)*Y$2,0)),""),"")</f>
        <v/>
      </c>
      <c r="Z36" t="str">
        <f>IF('ELC RESID'!$E29="Non Dispatchable",IFERROR(IF($D36="ELCSOL",$K36/SUMPRODUCT($R$1:$AC$1,$R$3:$AC$3)*Z$1,IF($D36="ELCWND",$K36/SUMPRODUCT($R$2:$AC$2,$R$3:$AC$3)*Z$2,0)),""),"")</f>
        <v/>
      </c>
      <c r="AA36" t="str">
        <f>IF('ELC RESID'!$E29="Non Dispatchable",IFERROR(IF($D36="ELCSOL",$K36/SUMPRODUCT($R$1:$AC$1,$R$3:$AC$3)*AA$1,IF($D36="ELCWND",$K36/SUMPRODUCT($R$2:$AC$2,$R$3:$AC$3)*AA$2,0)),""),"")</f>
        <v/>
      </c>
      <c r="AB36" t="str">
        <f>IF('ELC RESID'!$E29="Non Dispatchable",IFERROR(IF($D36="ELCSOL",$K36/SUMPRODUCT($R$1:$AC$1,$R$3:$AC$3)*AB$1,IF($D36="ELCWND",$K36/SUMPRODUCT($R$2:$AC$2,$R$3:$AC$3)*AB$2,0)),""),"")</f>
        <v/>
      </c>
      <c r="AC36" t="str">
        <f>IF('ELC RESID'!$E29="Non Dispatchable",IFERROR(IF($D36="ELCSOL",$K36/SUMPRODUCT($R$1:$AC$1,$R$3:$AC$3)*AC$1,IF($D36="ELCWND",$K36/SUMPRODUCT($R$2:$AC$2,$R$3:$AC$3)*AC$2,0)),""),"")</f>
        <v/>
      </c>
      <c r="AD36" t="str">
        <f>IF('ELC RESID'!$E29="Storage", ResidELC!R$3*$N36,"")</f>
        <v/>
      </c>
      <c r="AE36" t="str">
        <f>IF('ELC RESID'!$E29="Storage", ResidELC!S$3*$N36,"")</f>
        <v/>
      </c>
      <c r="AF36" t="str">
        <f>IF('ELC RESID'!$E29="Storage", ResidELC!T$3*$N36,"")</f>
        <v/>
      </c>
      <c r="AG36" t="str">
        <f>IF('ELC RESID'!$E29="Storage", ResidELC!U$3*$N36,"")</f>
        <v/>
      </c>
      <c r="AH36" t="str">
        <f>IF('ELC RESID'!$E29="Storage", ResidELC!V$3*$N36,"")</f>
        <v/>
      </c>
      <c r="AI36" t="str">
        <f>IF('ELC RESID'!$E29="Storage", ResidELC!W$3*$N36,"")</f>
        <v/>
      </c>
      <c r="AJ36" t="str">
        <f>IF('ELC RESID'!$E29="Storage", ResidELC!X$3*$N36,"")</f>
        <v/>
      </c>
      <c r="AK36" t="str">
        <f>IF('ELC RESID'!$E29="Storage", ResidELC!Y$3*$N36,"")</f>
        <v/>
      </c>
      <c r="AL36" t="str">
        <f>IF('ELC RESID'!$E29="Storage", ResidELC!Z$3*$N36,"")</f>
        <v/>
      </c>
      <c r="AM36" t="str">
        <f>IF('ELC RESID'!$E29="Storage", ResidELC!AA$3*$N36,"")</f>
        <v/>
      </c>
      <c r="AN36" t="str">
        <f>IF('ELC RESID'!$E29="Storage", ResidELC!AB$3*$N36,"")</f>
        <v/>
      </c>
      <c r="AO36" t="str">
        <f>IF('ELC RESID'!$E29="Storage", ResidELC!AC$3*$N36,"")</f>
        <v/>
      </c>
      <c r="AP36" s="13">
        <f>'ELC RESID'!O29</f>
        <v>0</v>
      </c>
      <c r="AQ36" s="13">
        <f>'ELC RESID'!P29</f>
        <v>0</v>
      </c>
      <c r="AR36" s="13">
        <f>'ELC RESID'!Q29</f>
        <v>0</v>
      </c>
      <c r="AS36" s="13">
        <f>'ELC RESID'!R29</f>
        <v>0</v>
      </c>
      <c r="AT36" s="13">
        <f>'ELC RESID'!S29</f>
        <v>0</v>
      </c>
      <c r="AU36" s="13">
        <f>'ELC RESID'!T29</f>
        <v>0</v>
      </c>
      <c r="AV36" s="13">
        <f>'ELC RESID'!U29</f>
        <v>0</v>
      </c>
      <c r="AW36" s="13">
        <f>'ELC RESID'!V29</f>
        <v>0</v>
      </c>
      <c r="AX36" s="13">
        <f>'ELC RESID'!W29</f>
        <v>0</v>
      </c>
      <c r="AY36" s="13">
        <f>'ELC RESID'!X29</f>
        <v>0</v>
      </c>
      <c r="AZ36" s="13">
        <f>'ELC RESID'!Y29</f>
        <v>0</v>
      </c>
      <c r="BA36" s="13">
        <f>'ELC RESID'!Z29</f>
        <v>0</v>
      </c>
      <c r="BB36" s="13">
        <f>'ELC RESID'!AA29</f>
        <v>0</v>
      </c>
      <c r="BC36" s="13">
        <f>'ELC RESID'!AB29</f>
        <v>0</v>
      </c>
      <c r="BD36" s="13">
        <f>'ELC RESID'!AC29</f>
        <v>0</v>
      </c>
      <c r="BE36" s="13">
        <f>'ELC RESID'!AD29</f>
        <v>0</v>
      </c>
      <c r="BF36" s="13">
        <f>'ELC RESID'!AE29</f>
        <v>0</v>
      </c>
      <c r="BG36" s="13">
        <f>'ELC RESID'!AF29</f>
        <v>0</v>
      </c>
    </row>
    <row r="37" spans="2:59">
      <c r="B37" t="str">
        <f>IF(SUM(AP37:BG37)=0,"*",Def_Tech!C32)</f>
        <v>*</v>
      </c>
      <c r="C37" t="str">
        <f>Def_Tech!D32</f>
        <v>ELCHETGRDOTT19</v>
      </c>
      <c r="D37" t="str">
        <f>IF(_xlfn.XLOOKUP('ELC RESID'!G30,List!C:C,List!B:B)="STG",E37,"ELC"&amp;_xlfn.XLOOKUP('ELC RESID'!G30,List!C:C,List!B:B))</f>
        <v>ELCHET</v>
      </c>
      <c r="E37" t="s">
        <v>405</v>
      </c>
      <c r="F37" s="12">
        <f>IF('ELC RESID'!E30="Storage","",IF('ELC RESID'!L30="",1,'ELC RESID'!L30))</f>
        <v>1</v>
      </c>
      <c r="G37" s="12" t="str">
        <f>IF('ELC RESID'!E30&lt;&gt;"Storage","",IF('ELC RESID'!L30="",1,'ELC RESID'!L30))</f>
        <v/>
      </c>
      <c r="H37">
        <f t="shared" si="2"/>
        <v>31.535999999999998</v>
      </c>
      <c r="I37" s="12">
        <f>_xlfn.XLOOKUP(C37,'ELC RESID'!H:H,'ELC RESID'!N:N)</f>
        <v>1.5830726649481259</v>
      </c>
      <c r="J37" s="12">
        <f>_xlfn.XLOOKUP(C37,'ELC RESID'!H:H,'ELC RESID'!M:M)</f>
        <v>177.77906027367459</v>
      </c>
      <c r="K37" s="12">
        <f>IF('ELC RESID'!$E30="Storage","",IF('ELC RESID'!$K30&gt;0,'ELC RESID'!$K30,-'ELC RESID'!$K30))</f>
        <v>0</v>
      </c>
      <c r="L37" s="12">
        <f t="shared" si="5"/>
        <v>0</v>
      </c>
      <c r="M37" s="12">
        <f t="shared" si="5"/>
        <v>0</v>
      </c>
      <c r="N37" s="12" t="str">
        <f>IF('ELC RESID'!$E30="Storage",IF('ELC RESID'!$K30&gt;0,'ELC RESID'!$K30,-'ELC RESID'!$K30),"")</f>
        <v/>
      </c>
      <c r="O37" s="8" t="str">
        <f t="shared" si="6"/>
        <v/>
      </c>
      <c r="P37" s="8" t="str">
        <f t="shared" si="6"/>
        <v/>
      </c>
      <c r="Q37">
        <f>IF('ELC RESID'!E30="Storage",0.3,IF('ELC RESID'!E30="Baseload",0.9,IF('ELC RESID'!E30="Non Dispatchable",0.05,IF('ELC RESID'!E30="Dispatchable",0.9,1))))</f>
        <v>0.9</v>
      </c>
      <c r="R37" t="str">
        <f>IF('ELC RESID'!$E30="Non Dispatchable",IFERROR(IF($D37="ELCSOL",$K37/SUMPRODUCT($R$1:$AC$1,$R$3:$AC$3)*R$1,IF($D37="ELCWND",$K37/SUMPRODUCT($R$2:$AC$2,$R$3:$AC$3)*R$2,0)),""),"")</f>
        <v/>
      </c>
      <c r="S37" t="str">
        <f>IF('ELC RESID'!$E30="Non Dispatchable",IFERROR(IF($D37="ELCSOL",$K37/SUMPRODUCT($R$1:$AC$1,$R$3:$AC$3)*S$1,IF($D37="ELCWND",$K37/SUMPRODUCT($R$2:$AC$2,$R$3:$AC$3)*S$2,0)),""),"")</f>
        <v/>
      </c>
      <c r="T37" t="str">
        <f>IF('ELC RESID'!$E30="Non Dispatchable",IFERROR(IF($D37="ELCSOL",$K37/SUMPRODUCT($R$1:$AC$1,$R$3:$AC$3)*T$1,IF($D37="ELCWND",$K37/SUMPRODUCT($R$2:$AC$2,$R$3:$AC$3)*T$2,0)),""),"")</f>
        <v/>
      </c>
      <c r="U37" t="str">
        <f>IF('ELC RESID'!$E30="Non Dispatchable",IFERROR(IF($D37="ELCSOL",$K37/SUMPRODUCT($R$1:$AC$1,$R$3:$AC$3)*U$1,IF($D37="ELCWND",$K37/SUMPRODUCT($R$2:$AC$2,$R$3:$AC$3)*U$2,0)),""),"")</f>
        <v/>
      </c>
      <c r="V37" t="str">
        <f>IF('ELC RESID'!$E30="Non Dispatchable",IFERROR(IF($D37="ELCSOL",$K37/SUMPRODUCT($R$1:$AC$1,$R$3:$AC$3)*V$1,IF($D37="ELCWND",$K37/SUMPRODUCT($R$2:$AC$2,$R$3:$AC$3)*V$2,0)),""),"")</f>
        <v/>
      </c>
      <c r="W37" t="str">
        <f>IF('ELC RESID'!$E30="Non Dispatchable",IFERROR(IF($D37="ELCSOL",$K37/SUMPRODUCT($R$1:$AC$1,$R$3:$AC$3)*W$1,IF($D37="ELCWND",$K37/SUMPRODUCT($R$2:$AC$2,$R$3:$AC$3)*W$2,0)),""),"")</f>
        <v/>
      </c>
      <c r="X37" t="str">
        <f>IF('ELC RESID'!$E30="Non Dispatchable",IFERROR(IF($D37="ELCSOL",$K37/SUMPRODUCT($R$1:$AC$1,$R$3:$AC$3)*X$1,IF($D37="ELCWND",$K37/SUMPRODUCT($R$2:$AC$2,$R$3:$AC$3)*X$2,0)),""),"")</f>
        <v/>
      </c>
      <c r="Y37" t="str">
        <f>IF('ELC RESID'!$E30="Non Dispatchable",IFERROR(IF($D37="ELCSOL",$K37/SUMPRODUCT($R$1:$AC$1,$R$3:$AC$3)*Y$1,IF($D37="ELCWND",$K37/SUMPRODUCT($R$2:$AC$2,$R$3:$AC$3)*Y$2,0)),""),"")</f>
        <v/>
      </c>
      <c r="Z37" t="str">
        <f>IF('ELC RESID'!$E30="Non Dispatchable",IFERROR(IF($D37="ELCSOL",$K37/SUMPRODUCT($R$1:$AC$1,$R$3:$AC$3)*Z$1,IF($D37="ELCWND",$K37/SUMPRODUCT($R$2:$AC$2,$R$3:$AC$3)*Z$2,0)),""),"")</f>
        <v/>
      </c>
      <c r="AA37" t="str">
        <f>IF('ELC RESID'!$E30="Non Dispatchable",IFERROR(IF($D37="ELCSOL",$K37/SUMPRODUCT($R$1:$AC$1,$R$3:$AC$3)*AA$1,IF($D37="ELCWND",$K37/SUMPRODUCT($R$2:$AC$2,$R$3:$AC$3)*AA$2,0)),""),"")</f>
        <v/>
      </c>
      <c r="AB37" t="str">
        <f>IF('ELC RESID'!$E30="Non Dispatchable",IFERROR(IF($D37="ELCSOL",$K37/SUMPRODUCT($R$1:$AC$1,$R$3:$AC$3)*AB$1,IF($D37="ELCWND",$K37/SUMPRODUCT($R$2:$AC$2,$R$3:$AC$3)*AB$2,0)),""),"")</f>
        <v/>
      </c>
      <c r="AC37" t="str">
        <f>IF('ELC RESID'!$E30="Non Dispatchable",IFERROR(IF($D37="ELCSOL",$K37/SUMPRODUCT($R$1:$AC$1,$R$3:$AC$3)*AC$1,IF($D37="ELCWND",$K37/SUMPRODUCT($R$2:$AC$2,$R$3:$AC$3)*AC$2,0)),""),"")</f>
        <v/>
      </c>
      <c r="AD37" t="str">
        <f>IF('ELC RESID'!$E30="Storage", ResidELC!R$3*$N37,"")</f>
        <v/>
      </c>
      <c r="AE37" t="str">
        <f>IF('ELC RESID'!$E30="Storage", ResidELC!S$3*$N37,"")</f>
        <v/>
      </c>
      <c r="AF37" t="str">
        <f>IF('ELC RESID'!$E30="Storage", ResidELC!T$3*$N37,"")</f>
        <v/>
      </c>
      <c r="AG37" t="str">
        <f>IF('ELC RESID'!$E30="Storage", ResidELC!U$3*$N37,"")</f>
        <v/>
      </c>
      <c r="AH37" t="str">
        <f>IF('ELC RESID'!$E30="Storage", ResidELC!V$3*$N37,"")</f>
        <v/>
      </c>
      <c r="AI37" t="str">
        <f>IF('ELC RESID'!$E30="Storage", ResidELC!W$3*$N37,"")</f>
        <v/>
      </c>
      <c r="AJ37" t="str">
        <f>IF('ELC RESID'!$E30="Storage", ResidELC!X$3*$N37,"")</f>
        <v/>
      </c>
      <c r="AK37" t="str">
        <f>IF('ELC RESID'!$E30="Storage", ResidELC!Y$3*$N37,"")</f>
        <v/>
      </c>
      <c r="AL37" t="str">
        <f>IF('ELC RESID'!$E30="Storage", ResidELC!Z$3*$N37,"")</f>
        <v/>
      </c>
      <c r="AM37" t="str">
        <f>IF('ELC RESID'!$E30="Storage", ResidELC!AA$3*$N37,"")</f>
        <v/>
      </c>
      <c r="AN37" t="str">
        <f>IF('ELC RESID'!$E30="Storage", ResidELC!AB$3*$N37,"")</f>
        <v/>
      </c>
      <c r="AO37" t="str">
        <f>IF('ELC RESID'!$E30="Storage", ResidELC!AC$3*$N37,"")</f>
        <v/>
      </c>
      <c r="AP37" s="13">
        <f>'ELC RESID'!O30</f>
        <v>0</v>
      </c>
      <c r="AQ37" s="13">
        <f>'ELC RESID'!P30</f>
        <v>0</v>
      </c>
      <c r="AR37" s="13">
        <f>'ELC RESID'!Q30</f>
        <v>0</v>
      </c>
      <c r="AS37" s="13">
        <f>'ELC RESID'!R30</f>
        <v>0</v>
      </c>
      <c r="AT37" s="13">
        <f>'ELC RESID'!S30</f>
        <v>0</v>
      </c>
      <c r="AU37" s="13">
        <f>'ELC RESID'!T30</f>
        <v>0</v>
      </c>
      <c r="AV37" s="13">
        <f>'ELC RESID'!U30</f>
        <v>0</v>
      </c>
      <c r="AW37" s="13">
        <f>'ELC RESID'!V30</f>
        <v>0</v>
      </c>
      <c r="AX37" s="13">
        <f>'ELC RESID'!W30</f>
        <v>0</v>
      </c>
      <c r="AY37" s="13">
        <f>'ELC RESID'!X30</f>
        <v>0</v>
      </c>
      <c r="AZ37" s="13">
        <f>'ELC RESID'!Y30</f>
        <v>0</v>
      </c>
      <c r="BA37" s="13">
        <f>'ELC RESID'!Z30</f>
        <v>0</v>
      </c>
      <c r="BB37" s="13">
        <f>'ELC RESID'!AA30</f>
        <v>0</v>
      </c>
      <c r="BC37" s="13">
        <f>'ELC RESID'!AB30</f>
        <v>0</v>
      </c>
      <c r="BD37" s="13">
        <f>'ELC RESID'!AC30</f>
        <v>0</v>
      </c>
      <c r="BE37" s="13">
        <f>'ELC RESID'!AD30</f>
        <v>0</v>
      </c>
      <c r="BF37" s="13">
        <f>'ELC RESID'!AE30</f>
        <v>0</v>
      </c>
      <c r="BG37" s="13">
        <f>'ELC RESID'!AF30</f>
        <v>0</v>
      </c>
    </row>
    <row r="38" spans="2:59">
      <c r="B38" t="str">
        <f>IF(SUM(AP38:BG38)=0,"*",Def_Tech!C33)</f>
        <v>*</v>
      </c>
      <c r="C38" t="str">
        <f>Def_Tech!D33</f>
        <v>ELCSTMGRDSTU19</v>
      </c>
      <c r="D38" t="str">
        <f>IF(_xlfn.XLOOKUP('ELC RESID'!G31,List!C:C,List!B:B)="STG",E38,"ELC"&amp;_xlfn.XLOOKUP('ELC RESID'!G31,List!C:C,List!B:B))</f>
        <v>ELCSTM</v>
      </c>
      <c r="E38" t="s">
        <v>405</v>
      </c>
      <c r="F38" s="12">
        <f>IF('ELC RESID'!E31="Storage","",IF('ELC RESID'!L31="",1,'ELC RESID'!L31))</f>
        <v>1</v>
      </c>
      <c r="G38" s="12" t="str">
        <f>IF('ELC RESID'!E31&lt;&gt;"Storage","",IF('ELC RESID'!L31="",1,'ELC RESID'!L31))</f>
        <v/>
      </c>
      <c r="H38">
        <f t="shared" si="2"/>
        <v>31.535999999999998</v>
      </c>
      <c r="I38" s="12">
        <f>_xlfn.XLOOKUP(C38,'ELC RESID'!H:H,'ELC RESID'!N:N)</f>
        <v>1.5830726649481259</v>
      </c>
      <c r="J38" s="12">
        <f>_xlfn.XLOOKUP(C38,'ELC RESID'!H:H,'ELC RESID'!M:M)</f>
        <v>177.77906027367459</v>
      </c>
      <c r="K38" s="12">
        <f>IF('ELC RESID'!$E31="Storage","",IF('ELC RESID'!$K31&gt;0,'ELC RESID'!$K31,-'ELC RESID'!$K31))</f>
        <v>0</v>
      </c>
      <c r="L38" s="12">
        <f t="shared" si="5"/>
        <v>0</v>
      </c>
      <c r="M38" s="12">
        <f t="shared" si="5"/>
        <v>0</v>
      </c>
      <c r="N38" s="12" t="str">
        <f>IF('ELC RESID'!$E31="Storage",IF('ELC RESID'!$K31&gt;0,'ELC RESID'!$K31,-'ELC RESID'!$K31),"")</f>
        <v/>
      </c>
      <c r="O38" s="8" t="str">
        <f t="shared" si="6"/>
        <v/>
      </c>
      <c r="P38" s="8" t="str">
        <f t="shared" si="6"/>
        <v/>
      </c>
      <c r="Q38">
        <f>IF('ELC RESID'!E31="Storage",0.3,IF('ELC RESID'!E31="Baseload",0.9,IF('ELC RESID'!E31="Non Dispatchable",0.05,IF('ELC RESID'!E31="Dispatchable",0.9,1))))</f>
        <v>0.9</v>
      </c>
      <c r="R38" t="str">
        <f>IF('ELC RESID'!$E31="Non Dispatchable",IFERROR(IF($D38="ELCSOL",$K38/SUMPRODUCT($R$1:$AC$1,$R$3:$AC$3)*R$1,IF($D38="ELCWND",$K38/SUMPRODUCT($R$2:$AC$2,$R$3:$AC$3)*R$2,0)),""),"")</f>
        <v/>
      </c>
      <c r="S38" t="str">
        <f>IF('ELC RESID'!$E31="Non Dispatchable",IFERROR(IF($D38="ELCSOL",$K38/SUMPRODUCT($R$1:$AC$1,$R$3:$AC$3)*S$1,IF($D38="ELCWND",$K38/SUMPRODUCT($R$2:$AC$2,$R$3:$AC$3)*S$2,0)),""),"")</f>
        <v/>
      </c>
      <c r="T38" t="str">
        <f>IF('ELC RESID'!$E31="Non Dispatchable",IFERROR(IF($D38="ELCSOL",$K38/SUMPRODUCT($R$1:$AC$1,$R$3:$AC$3)*T$1,IF($D38="ELCWND",$K38/SUMPRODUCT($R$2:$AC$2,$R$3:$AC$3)*T$2,0)),""),"")</f>
        <v/>
      </c>
      <c r="U38" t="str">
        <f>IF('ELC RESID'!$E31="Non Dispatchable",IFERROR(IF($D38="ELCSOL",$K38/SUMPRODUCT($R$1:$AC$1,$R$3:$AC$3)*U$1,IF($D38="ELCWND",$K38/SUMPRODUCT($R$2:$AC$2,$R$3:$AC$3)*U$2,0)),""),"")</f>
        <v/>
      </c>
      <c r="V38" t="str">
        <f>IF('ELC RESID'!$E31="Non Dispatchable",IFERROR(IF($D38="ELCSOL",$K38/SUMPRODUCT($R$1:$AC$1,$R$3:$AC$3)*V$1,IF($D38="ELCWND",$K38/SUMPRODUCT($R$2:$AC$2,$R$3:$AC$3)*V$2,0)),""),"")</f>
        <v/>
      </c>
      <c r="W38" t="str">
        <f>IF('ELC RESID'!$E31="Non Dispatchable",IFERROR(IF($D38="ELCSOL",$K38/SUMPRODUCT($R$1:$AC$1,$R$3:$AC$3)*W$1,IF($D38="ELCWND",$K38/SUMPRODUCT($R$2:$AC$2,$R$3:$AC$3)*W$2,0)),""),"")</f>
        <v/>
      </c>
      <c r="X38" t="str">
        <f>IF('ELC RESID'!$E31="Non Dispatchable",IFERROR(IF($D38="ELCSOL",$K38/SUMPRODUCT($R$1:$AC$1,$R$3:$AC$3)*X$1,IF($D38="ELCWND",$K38/SUMPRODUCT($R$2:$AC$2,$R$3:$AC$3)*X$2,0)),""),"")</f>
        <v/>
      </c>
      <c r="Y38" t="str">
        <f>IF('ELC RESID'!$E31="Non Dispatchable",IFERROR(IF($D38="ELCSOL",$K38/SUMPRODUCT($R$1:$AC$1,$R$3:$AC$3)*Y$1,IF($D38="ELCWND",$K38/SUMPRODUCT($R$2:$AC$2,$R$3:$AC$3)*Y$2,0)),""),"")</f>
        <v/>
      </c>
      <c r="Z38" t="str">
        <f>IF('ELC RESID'!$E31="Non Dispatchable",IFERROR(IF($D38="ELCSOL",$K38/SUMPRODUCT($R$1:$AC$1,$R$3:$AC$3)*Z$1,IF($D38="ELCWND",$K38/SUMPRODUCT($R$2:$AC$2,$R$3:$AC$3)*Z$2,0)),""),"")</f>
        <v/>
      </c>
      <c r="AA38" t="str">
        <f>IF('ELC RESID'!$E31="Non Dispatchable",IFERROR(IF($D38="ELCSOL",$K38/SUMPRODUCT($R$1:$AC$1,$R$3:$AC$3)*AA$1,IF($D38="ELCWND",$K38/SUMPRODUCT($R$2:$AC$2,$R$3:$AC$3)*AA$2,0)),""),"")</f>
        <v/>
      </c>
      <c r="AB38" t="str">
        <f>IF('ELC RESID'!$E31="Non Dispatchable",IFERROR(IF($D38="ELCSOL",$K38/SUMPRODUCT($R$1:$AC$1,$R$3:$AC$3)*AB$1,IF($D38="ELCWND",$K38/SUMPRODUCT($R$2:$AC$2,$R$3:$AC$3)*AB$2,0)),""),"")</f>
        <v/>
      </c>
      <c r="AC38" t="str">
        <f>IF('ELC RESID'!$E31="Non Dispatchable",IFERROR(IF($D38="ELCSOL",$K38/SUMPRODUCT($R$1:$AC$1,$R$3:$AC$3)*AC$1,IF($D38="ELCWND",$K38/SUMPRODUCT($R$2:$AC$2,$R$3:$AC$3)*AC$2,0)),""),"")</f>
        <v/>
      </c>
      <c r="AD38" t="str">
        <f>IF('ELC RESID'!$E31="Storage", ResidELC!R$3*$N38,"")</f>
        <v/>
      </c>
      <c r="AE38" t="str">
        <f>IF('ELC RESID'!$E31="Storage", ResidELC!S$3*$N38,"")</f>
        <v/>
      </c>
      <c r="AF38" t="str">
        <f>IF('ELC RESID'!$E31="Storage", ResidELC!T$3*$N38,"")</f>
        <v/>
      </c>
      <c r="AG38" t="str">
        <f>IF('ELC RESID'!$E31="Storage", ResidELC!U$3*$N38,"")</f>
        <v/>
      </c>
      <c r="AH38" t="str">
        <f>IF('ELC RESID'!$E31="Storage", ResidELC!V$3*$N38,"")</f>
        <v/>
      </c>
      <c r="AI38" t="str">
        <f>IF('ELC RESID'!$E31="Storage", ResidELC!W$3*$N38,"")</f>
        <v/>
      </c>
      <c r="AJ38" t="str">
        <f>IF('ELC RESID'!$E31="Storage", ResidELC!X$3*$N38,"")</f>
        <v/>
      </c>
      <c r="AK38" t="str">
        <f>IF('ELC RESID'!$E31="Storage", ResidELC!Y$3*$N38,"")</f>
        <v/>
      </c>
      <c r="AL38" t="str">
        <f>IF('ELC RESID'!$E31="Storage", ResidELC!Z$3*$N38,"")</f>
        <v/>
      </c>
      <c r="AM38" t="str">
        <f>IF('ELC RESID'!$E31="Storage", ResidELC!AA$3*$N38,"")</f>
        <v/>
      </c>
      <c r="AN38" t="str">
        <f>IF('ELC RESID'!$E31="Storage", ResidELC!AB$3*$N38,"")</f>
        <v/>
      </c>
      <c r="AO38" t="str">
        <f>IF('ELC RESID'!$E31="Storage", ResidELC!AC$3*$N38,"")</f>
        <v/>
      </c>
      <c r="AP38" s="13">
        <f>'ELC RESID'!O31</f>
        <v>0</v>
      </c>
      <c r="AQ38" s="13">
        <f>'ELC RESID'!P31</f>
        <v>0</v>
      </c>
      <c r="AR38" s="13">
        <f>'ELC RESID'!Q31</f>
        <v>0</v>
      </c>
      <c r="AS38" s="13">
        <f>'ELC RESID'!R31</f>
        <v>0</v>
      </c>
      <c r="AT38" s="13">
        <f>'ELC RESID'!S31</f>
        <v>0</v>
      </c>
      <c r="AU38" s="13">
        <f>'ELC RESID'!T31</f>
        <v>0</v>
      </c>
      <c r="AV38" s="13">
        <f>'ELC RESID'!U31</f>
        <v>0</v>
      </c>
      <c r="AW38" s="13">
        <f>'ELC RESID'!V31</f>
        <v>0</v>
      </c>
      <c r="AX38" s="13">
        <f>'ELC RESID'!W31</f>
        <v>0</v>
      </c>
      <c r="AY38" s="13">
        <f>'ELC RESID'!X31</f>
        <v>0</v>
      </c>
      <c r="AZ38" s="13">
        <f>'ELC RESID'!Y31</f>
        <v>0</v>
      </c>
      <c r="BA38" s="13">
        <f>'ELC RESID'!Z31</f>
        <v>0</v>
      </c>
      <c r="BB38" s="13">
        <f>'ELC RESID'!AA31</f>
        <v>0</v>
      </c>
      <c r="BC38" s="13">
        <f>'ELC RESID'!AB31</f>
        <v>0</v>
      </c>
      <c r="BD38" s="13">
        <f>'ELC RESID'!AC31</f>
        <v>0</v>
      </c>
      <c r="BE38" s="13">
        <f>'ELC RESID'!AD31</f>
        <v>0</v>
      </c>
      <c r="BF38" s="13">
        <f>'ELC RESID'!AE31</f>
        <v>0</v>
      </c>
      <c r="BG38" s="13">
        <f>'ELC RESID'!AF31</f>
        <v>0</v>
      </c>
    </row>
    <row r="39" spans="2:59">
      <c r="B39" t="str">
        <f>IF(SUM(AP39:BG39)=0,"*",Def_Tech!C34)</f>
        <v>EGRID</v>
      </c>
      <c r="C39" t="str">
        <f>Def_Tech!D34</f>
        <v>ELCURNGRDSTU19</v>
      </c>
      <c r="D39" t="str">
        <f>IF(_xlfn.XLOOKUP('ELC RESID'!G32,List!C:C,List!B:B)="STG",E39,"ELC"&amp;_xlfn.XLOOKUP('ELC RESID'!G32,List!C:C,List!B:B))</f>
        <v>ELCURN</v>
      </c>
      <c r="E39" t="s">
        <v>405</v>
      </c>
      <c r="F39" s="12">
        <f>IF('ELC RESID'!E32="Storage","",IF('ELC RESID'!L32="",1,'ELC RESID'!L32))</f>
        <v>0.33</v>
      </c>
      <c r="G39" s="12" t="str">
        <f>IF('ELC RESID'!E32&lt;&gt;"Storage","",IF('ELC RESID'!L32="",1,'ELC RESID'!L32))</f>
        <v/>
      </c>
      <c r="H39">
        <f t="shared" si="2"/>
        <v>31.535999999999998</v>
      </c>
      <c r="I39" s="12">
        <f>_xlfn.XLOOKUP(C39,'ELC RESID'!H:H,'ELC RESID'!N:N)</f>
        <v>0.7758312465122762</v>
      </c>
      <c r="J39" s="12">
        <f>_xlfn.XLOOKUP(C39,'ELC RESID'!H:H,'ELC RESID'!M:M)</f>
        <v>172.01215270850639</v>
      </c>
      <c r="K39" s="12">
        <f>IF('ELC RESID'!$E32="Storage","",IF('ELC RESID'!$K32&gt;0,'ELC RESID'!$K32,-'ELC RESID'!$K32))</f>
        <v>0.82466637621540018</v>
      </c>
      <c r="L39" s="12">
        <f t="shared" si="5"/>
        <v>0.82466637621540018</v>
      </c>
      <c r="M39" s="12">
        <f t="shared" si="5"/>
        <v>0.82466637621540018</v>
      </c>
      <c r="N39" s="12" t="str">
        <f>IF('ELC RESID'!$E32="Storage",IF('ELC RESID'!$K32&gt;0,'ELC RESID'!$K32,-'ELC RESID'!$K32),"")</f>
        <v/>
      </c>
      <c r="O39" s="8" t="str">
        <f t="shared" si="6"/>
        <v/>
      </c>
      <c r="P39" s="8" t="str">
        <f t="shared" si="6"/>
        <v/>
      </c>
      <c r="Q39">
        <f>IF('ELC RESID'!E32="Storage",0.3,IF('ELC RESID'!E32="Baseload",0.9,IF('ELC RESID'!E32="Non Dispatchable",0.05,IF('ELC RESID'!E32="Dispatchable",0.9,1))))</f>
        <v>0.9</v>
      </c>
      <c r="R39" t="str">
        <f>IF('ELC RESID'!$E32="Non Dispatchable",IFERROR(IF($D39="ELCSOL",$K39/SUMPRODUCT($R$1:$AC$1,$R$3:$AC$3)*R$1,IF($D39="ELCWND",$K39/SUMPRODUCT($R$2:$AC$2,$R$3:$AC$3)*R$2,0)),""),"")</f>
        <v/>
      </c>
      <c r="S39" t="str">
        <f>IF('ELC RESID'!$E32="Non Dispatchable",IFERROR(IF($D39="ELCSOL",$K39/SUMPRODUCT($R$1:$AC$1,$R$3:$AC$3)*S$1,IF($D39="ELCWND",$K39/SUMPRODUCT($R$2:$AC$2,$R$3:$AC$3)*S$2,0)),""),"")</f>
        <v/>
      </c>
      <c r="T39" t="str">
        <f>IF('ELC RESID'!$E32="Non Dispatchable",IFERROR(IF($D39="ELCSOL",$K39/SUMPRODUCT($R$1:$AC$1,$R$3:$AC$3)*T$1,IF($D39="ELCWND",$K39/SUMPRODUCT($R$2:$AC$2,$R$3:$AC$3)*T$2,0)),""),"")</f>
        <v/>
      </c>
      <c r="U39" t="str">
        <f>IF('ELC RESID'!$E32="Non Dispatchable",IFERROR(IF($D39="ELCSOL",$K39/SUMPRODUCT($R$1:$AC$1,$R$3:$AC$3)*U$1,IF($D39="ELCWND",$K39/SUMPRODUCT($R$2:$AC$2,$R$3:$AC$3)*U$2,0)),""),"")</f>
        <v/>
      </c>
      <c r="V39" t="str">
        <f>IF('ELC RESID'!$E32="Non Dispatchable",IFERROR(IF($D39="ELCSOL",$K39/SUMPRODUCT($R$1:$AC$1,$R$3:$AC$3)*V$1,IF($D39="ELCWND",$K39/SUMPRODUCT($R$2:$AC$2,$R$3:$AC$3)*V$2,0)),""),"")</f>
        <v/>
      </c>
      <c r="W39" t="str">
        <f>IF('ELC RESID'!$E32="Non Dispatchable",IFERROR(IF($D39="ELCSOL",$K39/SUMPRODUCT($R$1:$AC$1,$R$3:$AC$3)*W$1,IF($D39="ELCWND",$K39/SUMPRODUCT($R$2:$AC$2,$R$3:$AC$3)*W$2,0)),""),"")</f>
        <v/>
      </c>
      <c r="X39" t="str">
        <f>IF('ELC RESID'!$E32="Non Dispatchable",IFERROR(IF($D39="ELCSOL",$K39/SUMPRODUCT($R$1:$AC$1,$R$3:$AC$3)*X$1,IF($D39="ELCWND",$K39/SUMPRODUCT($R$2:$AC$2,$R$3:$AC$3)*X$2,0)),""),"")</f>
        <v/>
      </c>
      <c r="Y39" t="str">
        <f>IF('ELC RESID'!$E32="Non Dispatchable",IFERROR(IF($D39="ELCSOL",$K39/SUMPRODUCT($R$1:$AC$1,$R$3:$AC$3)*Y$1,IF($D39="ELCWND",$K39/SUMPRODUCT($R$2:$AC$2,$R$3:$AC$3)*Y$2,0)),""),"")</f>
        <v/>
      </c>
      <c r="Z39" t="str">
        <f>IF('ELC RESID'!$E32="Non Dispatchable",IFERROR(IF($D39="ELCSOL",$K39/SUMPRODUCT($R$1:$AC$1,$R$3:$AC$3)*Z$1,IF($D39="ELCWND",$K39/SUMPRODUCT($R$2:$AC$2,$R$3:$AC$3)*Z$2,0)),""),"")</f>
        <v/>
      </c>
      <c r="AA39" t="str">
        <f>IF('ELC RESID'!$E32="Non Dispatchable",IFERROR(IF($D39="ELCSOL",$K39/SUMPRODUCT($R$1:$AC$1,$R$3:$AC$3)*AA$1,IF($D39="ELCWND",$K39/SUMPRODUCT($R$2:$AC$2,$R$3:$AC$3)*AA$2,0)),""),"")</f>
        <v/>
      </c>
      <c r="AB39" t="str">
        <f>IF('ELC RESID'!$E32="Non Dispatchable",IFERROR(IF($D39="ELCSOL",$K39/SUMPRODUCT($R$1:$AC$1,$R$3:$AC$3)*AB$1,IF($D39="ELCWND",$K39/SUMPRODUCT($R$2:$AC$2,$R$3:$AC$3)*AB$2,0)),""),"")</f>
        <v/>
      </c>
      <c r="AC39" t="str">
        <f>IF('ELC RESID'!$E32="Non Dispatchable",IFERROR(IF($D39="ELCSOL",$K39/SUMPRODUCT($R$1:$AC$1,$R$3:$AC$3)*AC$1,IF($D39="ELCWND",$K39/SUMPRODUCT($R$2:$AC$2,$R$3:$AC$3)*AC$2,0)),""),"")</f>
        <v/>
      </c>
      <c r="AD39" t="str">
        <f>IF('ELC RESID'!$E32="Storage", ResidELC!R$3*$N39,"")</f>
        <v/>
      </c>
      <c r="AE39" t="str">
        <f>IF('ELC RESID'!$E32="Storage", ResidELC!S$3*$N39,"")</f>
        <v/>
      </c>
      <c r="AF39" t="str">
        <f>IF('ELC RESID'!$E32="Storage", ResidELC!T$3*$N39,"")</f>
        <v/>
      </c>
      <c r="AG39" t="str">
        <f>IF('ELC RESID'!$E32="Storage", ResidELC!U$3*$N39,"")</f>
        <v/>
      </c>
      <c r="AH39" t="str">
        <f>IF('ELC RESID'!$E32="Storage", ResidELC!V$3*$N39,"")</f>
        <v/>
      </c>
      <c r="AI39" t="str">
        <f>IF('ELC RESID'!$E32="Storage", ResidELC!W$3*$N39,"")</f>
        <v/>
      </c>
      <c r="AJ39" t="str">
        <f>IF('ELC RESID'!$E32="Storage", ResidELC!X$3*$N39,"")</f>
        <v/>
      </c>
      <c r="AK39" t="str">
        <f>IF('ELC RESID'!$E32="Storage", ResidELC!Y$3*$N39,"")</f>
        <v/>
      </c>
      <c r="AL39" t="str">
        <f>IF('ELC RESID'!$E32="Storage", ResidELC!Z$3*$N39,"")</f>
        <v/>
      </c>
      <c r="AM39" t="str">
        <f>IF('ELC RESID'!$E32="Storage", ResidELC!AA$3*$N39,"")</f>
        <v/>
      </c>
      <c r="AN39" t="str">
        <f>IF('ELC RESID'!$E32="Storage", ResidELC!AB$3*$N39,"")</f>
        <v/>
      </c>
      <c r="AO39" t="str">
        <f>IF('ELC RESID'!$E32="Storage", ResidELC!AC$3*$N39,"")</f>
        <v/>
      </c>
      <c r="AP39" s="13">
        <f>'ELC RESID'!O32</f>
        <v>2311</v>
      </c>
      <c r="AQ39" s="13">
        <f>'ELC RESID'!P32</f>
        <v>2311</v>
      </c>
      <c r="AR39" s="13">
        <f>'ELC RESID'!Q32</f>
        <v>0</v>
      </c>
      <c r="AS39" s="13">
        <f>'ELC RESID'!R32</f>
        <v>0</v>
      </c>
      <c r="AT39" s="13">
        <f>'ELC RESID'!S32</f>
        <v>0</v>
      </c>
      <c r="AU39" s="13">
        <f>'ELC RESID'!T32</f>
        <v>0</v>
      </c>
      <c r="AV39" s="13">
        <f>'ELC RESID'!U32</f>
        <v>0</v>
      </c>
      <c r="AW39" s="13">
        <f>'ELC RESID'!V32</f>
        <v>0</v>
      </c>
      <c r="AX39" s="13">
        <f>'ELC RESID'!W32</f>
        <v>0</v>
      </c>
      <c r="AY39" s="13">
        <f>'ELC RESID'!X32</f>
        <v>0</v>
      </c>
      <c r="AZ39" s="13">
        <f>'ELC RESID'!Y32</f>
        <v>0</v>
      </c>
      <c r="BA39" s="13">
        <f>'ELC RESID'!Z32</f>
        <v>0</v>
      </c>
      <c r="BB39" s="13">
        <f>'ELC RESID'!AA32</f>
        <v>0</v>
      </c>
      <c r="BC39" s="13">
        <f>'ELC RESID'!AB32</f>
        <v>0</v>
      </c>
      <c r="BD39" s="13">
        <f>'ELC RESID'!AC32</f>
        <v>0</v>
      </c>
      <c r="BE39" s="13">
        <f>'ELC RESID'!AD32</f>
        <v>0</v>
      </c>
      <c r="BF39" s="13">
        <f>'ELC RESID'!AE32</f>
        <v>0</v>
      </c>
      <c r="BG39" s="13">
        <f>'ELC RESID'!AF32</f>
        <v>0</v>
      </c>
    </row>
    <row r="40" spans="2:59">
      <c r="B40" t="str">
        <f>IF(SUM(AP40:BG40)=0,"*",Def_Tech!C35)</f>
        <v>*</v>
      </c>
      <c r="C40" t="str">
        <f>Def_Tech!D35</f>
        <v>ELCSTGGRDCES19</v>
      </c>
      <c r="D40" t="str">
        <f>IF(_xlfn.XLOOKUP('ELC RESID'!G33,List!C:C,List!B:B)="STG",E40,"ELC"&amp;_xlfn.XLOOKUP('ELC RESID'!G33,List!C:C,List!B:B))</f>
        <v>CELC</v>
      </c>
      <c r="E40" t="s">
        <v>405</v>
      </c>
      <c r="F40" s="12" t="str">
        <f>IF('ELC RESID'!E33="Storage","",IF('ELC RESID'!L33="",1,'ELC RESID'!L33))</f>
        <v/>
      </c>
      <c r="G40" s="12">
        <f>IF('ELC RESID'!E33&lt;&gt;"Storage","",IF('ELC RESID'!L33="",1,'ELC RESID'!L33))</f>
        <v>1</v>
      </c>
      <c r="H40">
        <f t="shared" si="2"/>
        <v>31.535999999999998</v>
      </c>
      <c r="I40" s="12">
        <f>_xlfn.XLOOKUP(C40,'ELC RESID'!H:H,'ELC RESID'!N:N)</f>
        <v>0</v>
      </c>
      <c r="J40" s="12">
        <f>_xlfn.XLOOKUP(C40,'ELC RESID'!H:H,'ELC RESID'!M:M)</f>
        <v>44.870272385432912</v>
      </c>
      <c r="K40" s="12" t="str">
        <f>IF('ELC RESID'!$E33="Storage","",IF('ELC RESID'!$K33&gt;0,'ELC RESID'!$K33,-'ELC RESID'!$K33))</f>
        <v/>
      </c>
      <c r="L40" s="12" t="str">
        <f t="shared" si="5"/>
        <v/>
      </c>
      <c r="M40" s="12" t="str">
        <f t="shared" si="5"/>
        <v/>
      </c>
      <c r="N40" s="12">
        <f>IF('ELC RESID'!$E33="Storage",IF('ELC RESID'!$K33&gt;0,'ELC RESID'!$K33,-'ELC RESID'!$K33),"")</f>
        <v>0</v>
      </c>
      <c r="O40" s="12">
        <f t="shared" si="6"/>
        <v>0</v>
      </c>
      <c r="P40" s="12">
        <f t="shared" si="6"/>
        <v>0</v>
      </c>
      <c r="Q40">
        <f>IF('ELC RESID'!E33="Storage",0.3,IF('ELC RESID'!E33="Baseload",0.9,IF('ELC RESID'!E33="Non Dispatchable",0.05,IF('ELC RESID'!E33="Dispatchable",0.9,1))))</f>
        <v>0.3</v>
      </c>
      <c r="R40" t="str">
        <f>IF('ELC RESID'!$E33="Non Dispatchable",IFERROR(IF($D40="ELCSOL",$K40/SUMPRODUCT($R$1:$AC$1,$R$3:$AC$3)*R$1,IF($D40="ELCWND",$K40/SUMPRODUCT($R$2:$AC$2,$R$3:$AC$3)*R$2,0)),""),"")</f>
        <v/>
      </c>
      <c r="S40" t="str">
        <f>IF('ELC RESID'!$E33="Non Dispatchable",IFERROR(IF($D40="ELCSOL",$K40/SUMPRODUCT($R$1:$AC$1,$R$3:$AC$3)*S$1,IF($D40="ELCWND",$K40/SUMPRODUCT($R$2:$AC$2,$R$3:$AC$3)*S$2,0)),""),"")</f>
        <v/>
      </c>
      <c r="T40" t="str">
        <f>IF('ELC RESID'!$E33="Non Dispatchable",IFERROR(IF($D40="ELCSOL",$K40/SUMPRODUCT($R$1:$AC$1,$R$3:$AC$3)*T$1,IF($D40="ELCWND",$K40/SUMPRODUCT($R$2:$AC$2,$R$3:$AC$3)*T$2,0)),""),"")</f>
        <v/>
      </c>
      <c r="U40" t="str">
        <f>IF('ELC RESID'!$E33="Non Dispatchable",IFERROR(IF($D40="ELCSOL",$K40/SUMPRODUCT($R$1:$AC$1,$R$3:$AC$3)*U$1,IF($D40="ELCWND",$K40/SUMPRODUCT($R$2:$AC$2,$R$3:$AC$3)*U$2,0)),""),"")</f>
        <v/>
      </c>
      <c r="V40" t="str">
        <f>IF('ELC RESID'!$E33="Non Dispatchable",IFERROR(IF($D40="ELCSOL",$K40/SUMPRODUCT($R$1:$AC$1,$R$3:$AC$3)*V$1,IF($D40="ELCWND",$K40/SUMPRODUCT($R$2:$AC$2,$R$3:$AC$3)*V$2,0)),""),"")</f>
        <v/>
      </c>
      <c r="W40" t="str">
        <f>IF('ELC RESID'!$E33="Non Dispatchable",IFERROR(IF($D40="ELCSOL",$K40/SUMPRODUCT($R$1:$AC$1,$R$3:$AC$3)*W$1,IF($D40="ELCWND",$K40/SUMPRODUCT($R$2:$AC$2,$R$3:$AC$3)*W$2,0)),""),"")</f>
        <v/>
      </c>
      <c r="X40" t="str">
        <f>IF('ELC RESID'!$E33="Non Dispatchable",IFERROR(IF($D40="ELCSOL",$K40/SUMPRODUCT($R$1:$AC$1,$R$3:$AC$3)*X$1,IF($D40="ELCWND",$K40/SUMPRODUCT($R$2:$AC$2,$R$3:$AC$3)*X$2,0)),""),"")</f>
        <v/>
      </c>
      <c r="Y40" t="str">
        <f>IF('ELC RESID'!$E33="Non Dispatchable",IFERROR(IF($D40="ELCSOL",$K40/SUMPRODUCT($R$1:$AC$1,$R$3:$AC$3)*Y$1,IF($D40="ELCWND",$K40/SUMPRODUCT($R$2:$AC$2,$R$3:$AC$3)*Y$2,0)),""),"")</f>
        <v/>
      </c>
      <c r="Z40" t="str">
        <f>IF('ELC RESID'!$E33="Non Dispatchable",IFERROR(IF($D40="ELCSOL",$K40/SUMPRODUCT($R$1:$AC$1,$R$3:$AC$3)*Z$1,IF($D40="ELCWND",$K40/SUMPRODUCT($R$2:$AC$2,$R$3:$AC$3)*Z$2,0)),""),"")</f>
        <v/>
      </c>
      <c r="AA40" t="str">
        <f>IF('ELC RESID'!$E33="Non Dispatchable",IFERROR(IF($D40="ELCSOL",$K40/SUMPRODUCT($R$1:$AC$1,$R$3:$AC$3)*AA$1,IF($D40="ELCWND",$K40/SUMPRODUCT($R$2:$AC$2,$R$3:$AC$3)*AA$2,0)),""),"")</f>
        <v/>
      </c>
      <c r="AB40" t="str">
        <f>IF('ELC RESID'!$E33="Non Dispatchable",IFERROR(IF($D40="ELCSOL",$K40/SUMPRODUCT($R$1:$AC$1,$R$3:$AC$3)*AB$1,IF($D40="ELCWND",$K40/SUMPRODUCT($R$2:$AC$2,$R$3:$AC$3)*AB$2,0)),""),"")</f>
        <v/>
      </c>
      <c r="AC40" t="str">
        <f>IF('ELC RESID'!$E33="Non Dispatchable",IFERROR(IF($D40="ELCSOL",$K40/SUMPRODUCT($R$1:$AC$1,$R$3:$AC$3)*AC$1,IF($D40="ELCWND",$K40/SUMPRODUCT($R$2:$AC$2,$R$3:$AC$3)*AC$2,0)),""),"")</f>
        <v/>
      </c>
      <c r="AD40">
        <f>IF('ELC RESID'!$E33="Storage", ResidELC!R$3*$N40,"")</f>
        <v>0</v>
      </c>
      <c r="AE40">
        <f>IF('ELC RESID'!$E33="Storage", ResidELC!S$3*$N40,"")</f>
        <v>0</v>
      </c>
      <c r="AF40">
        <f>IF('ELC RESID'!$E33="Storage", ResidELC!T$3*$N40,"")</f>
        <v>0</v>
      </c>
      <c r="AG40">
        <f>IF('ELC RESID'!$E33="Storage", ResidELC!U$3*$N40,"")</f>
        <v>0</v>
      </c>
      <c r="AH40">
        <f>IF('ELC RESID'!$E33="Storage", ResidELC!V$3*$N40,"")</f>
        <v>0</v>
      </c>
      <c r="AI40">
        <f>IF('ELC RESID'!$E33="Storage", ResidELC!W$3*$N40,"")</f>
        <v>0</v>
      </c>
      <c r="AJ40">
        <f>IF('ELC RESID'!$E33="Storage", ResidELC!X$3*$N40,"")</f>
        <v>0</v>
      </c>
      <c r="AK40">
        <f>IF('ELC RESID'!$E33="Storage", ResidELC!Y$3*$N40,"")</f>
        <v>0</v>
      </c>
      <c r="AL40">
        <f>IF('ELC RESID'!$E33="Storage", ResidELC!Z$3*$N40,"")</f>
        <v>0</v>
      </c>
      <c r="AM40">
        <f>IF('ELC RESID'!$E33="Storage", ResidELC!AA$3*$N40,"")</f>
        <v>0</v>
      </c>
      <c r="AN40">
        <f>IF('ELC RESID'!$E33="Storage", ResidELC!AB$3*$N40,"")</f>
        <v>0</v>
      </c>
      <c r="AO40">
        <f>IF('ELC RESID'!$E33="Storage", ResidELC!AC$3*$N40,"")</f>
        <v>0</v>
      </c>
      <c r="AP40" s="13">
        <f>'ELC RESID'!O33</f>
        <v>0</v>
      </c>
      <c r="AQ40" s="13">
        <f>'ELC RESID'!P33</f>
        <v>0</v>
      </c>
      <c r="AR40" s="13">
        <f>'ELC RESID'!Q33</f>
        <v>0</v>
      </c>
      <c r="AS40" s="13">
        <f>'ELC RESID'!R33</f>
        <v>0</v>
      </c>
      <c r="AT40" s="13">
        <f>'ELC RESID'!S33</f>
        <v>0</v>
      </c>
      <c r="AU40" s="13">
        <f>'ELC RESID'!T33</f>
        <v>0</v>
      </c>
      <c r="AV40" s="13">
        <f>'ELC RESID'!U33</f>
        <v>0</v>
      </c>
      <c r="AW40" s="13">
        <f>'ELC RESID'!V33</f>
        <v>0</v>
      </c>
      <c r="AX40" s="13">
        <f>'ELC RESID'!W33</f>
        <v>0</v>
      </c>
      <c r="AY40" s="13">
        <f>'ELC RESID'!X33</f>
        <v>0</v>
      </c>
      <c r="AZ40" s="13">
        <f>'ELC RESID'!Y33</f>
        <v>0</v>
      </c>
      <c r="BA40" s="13">
        <f>'ELC RESID'!Z33</f>
        <v>0</v>
      </c>
      <c r="BB40" s="13">
        <f>'ELC RESID'!AA33</f>
        <v>0</v>
      </c>
      <c r="BC40" s="13">
        <f>'ELC RESID'!AB33</f>
        <v>0</v>
      </c>
      <c r="BD40" s="13">
        <f>'ELC RESID'!AC33</f>
        <v>0</v>
      </c>
      <c r="BE40" s="13">
        <f>'ELC RESID'!AD33</f>
        <v>0</v>
      </c>
      <c r="BF40" s="13">
        <f>'ELC RESID'!AE33</f>
        <v>0</v>
      </c>
      <c r="BG40" s="13">
        <f>'ELC RESID'!AF33</f>
        <v>0</v>
      </c>
    </row>
    <row r="41" spans="2:59">
      <c r="B41" t="str">
        <f>IF(SUM(AP41:BG41)=0,"*",Def_Tech!C36)</f>
        <v>*</v>
      </c>
      <c r="C41" t="str">
        <f>Def_Tech!D36</f>
        <v>ELCSTGGRDFES19</v>
      </c>
      <c r="D41" t="str">
        <f>IF(_xlfn.XLOOKUP('ELC RESID'!G34,List!C:C,List!B:B)="STG",E41,"ELC"&amp;_xlfn.XLOOKUP('ELC RESID'!G34,List!C:C,List!B:B))</f>
        <v>CELC</v>
      </c>
      <c r="E41" t="s">
        <v>405</v>
      </c>
      <c r="F41" s="12" t="str">
        <f>IF('ELC RESID'!E34="Storage","",IF('ELC RESID'!L34="",1,'ELC RESID'!L34))</f>
        <v/>
      </c>
      <c r="G41" s="12">
        <f>IF('ELC RESID'!E34&lt;&gt;"Storage","",IF('ELC RESID'!L34="",1,'ELC RESID'!L34))</f>
        <v>1</v>
      </c>
      <c r="H41">
        <f t="shared" si="2"/>
        <v>31.535999999999998</v>
      </c>
      <c r="I41" s="12">
        <f>_xlfn.XLOOKUP(C41,'ELC RESID'!H:H,'ELC RESID'!N:N)</f>
        <v>0</v>
      </c>
      <c r="J41" s="12">
        <f>_xlfn.XLOOKUP(C41,'ELC RESID'!H:H,'ELC RESID'!M:M)</f>
        <v>44.870272385432912</v>
      </c>
      <c r="K41" s="12" t="str">
        <f>IF('ELC RESID'!$E34="Storage","",IF('ELC RESID'!$K34&gt;0,'ELC RESID'!$K34,-'ELC RESID'!$K34))</f>
        <v/>
      </c>
      <c r="L41" s="12" t="str">
        <f t="shared" si="5"/>
        <v/>
      </c>
      <c r="M41" s="12" t="str">
        <f t="shared" si="5"/>
        <v/>
      </c>
      <c r="N41" s="12">
        <f>IF('ELC RESID'!$E34="Storage",IF('ELC RESID'!$K34&gt;0,'ELC RESID'!$K34,-'ELC RESID'!$K34),"")</f>
        <v>0</v>
      </c>
      <c r="O41" s="12">
        <f t="shared" si="6"/>
        <v>0</v>
      </c>
      <c r="P41" s="12">
        <f t="shared" si="6"/>
        <v>0</v>
      </c>
      <c r="Q41">
        <f>IF('ELC RESID'!E34="Storage",0.3,IF('ELC RESID'!E34="Baseload",0.9,IF('ELC RESID'!E34="Non Dispatchable",0.05,IF('ELC RESID'!E34="Dispatchable",0.9,1))))</f>
        <v>0.3</v>
      </c>
      <c r="R41" t="str">
        <f>IF('ELC RESID'!$E34="Non Dispatchable",IFERROR(IF($D41="ELCSOL",$K41/SUMPRODUCT($R$1:$AC$1,$R$3:$AC$3)*R$1,IF($D41="ELCWND",$K41/SUMPRODUCT($R$2:$AC$2,$R$3:$AC$3)*R$2,0)),""),"")</f>
        <v/>
      </c>
      <c r="S41" t="str">
        <f>IF('ELC RESID'!$E34="Non Dispatchable",IFERROR(IF($D41="ELCSOL",$K41/SUMPRODUCT($R$1:$AC$1,$R$3:$AC$3)*S$1,IF($D41="ELCWND",$K41/SUMPRODUCT($R$2:$AC$2,$R$3:$AC$3)*S$2,0)),""),"")</f>
        <v/>
      </c>
      <c r="T41" t="str">
        <f>IF('ELC RESID'!$E34="Non Dispatchable",IFERROR(IF($D41="ELCSOL",$K41/SUMPRODUCT($R$1:$AC$1,$R$3:$AC$3)*T$1,IF($D41="ELCWND",$K41/SUMPRODUCT($R$2:$AC$2,$R$3:$AC$3)*T$2,0)),""),"")</f>
        <v/>
      </c>
      <c r="U41" t="str">
        <f>IF('ELC RESID'!$E34="Non Dispatchable",IFERROR(IF($D41="ELCSOL",$K41/SUMPRODUCT($R$1:$AC$1,$R$3:$AC$3)*U$1,IF($D41="ELCWND",$K41/SUMPRODUCT($R$2:$AC$2,$R$3:$AC$3)*U$2,0)),""),"")</f>
        <v/>
      </c>
      <c r="V41" t="str">
        <f>IF('ELC RESID'!$E34="Non Dispatchable",IFERROR(IF($D41="ELCSOL",$K41/SUMPRODUCT($R$1:$AC$1,$R$3:$AC$3)*V$1,IF($D41="ELCWND",$K41/SUMPRODUCT($R$2:$AC$2,$R$3:$AC$3)*V$2,0)),""),"")</f>
        <v/>
      </c>
      <c r="W41" t="str">
        <f>IF('ELC RESID'!$E34="Non Dispatchable",IFERROR(IF($D41="ELCSOL",$K41/SUMPRODUCT($R$1:$AC$1,$R$3:$AC$3)*W$1,IF($D41="ELCWND",$K41/SUMPRODUCT($R$2:$AC$2,$R$3:$AC$3)*W$2,0)),""),"")</f>
        <v/>
      </c>
      <c r="X41" t="str">
        <f>IF('ELC RESID'!$E34="Non Dispatchable",IFERROR(IF($D41="ELCSOL",$K41/SUMPRODUCT($R$1:$AC$1,$R$3:$AC$3)*X$1,IF($D41="ELCWND",$K41/SUMPRODUCT($R$2:$AC$2,$R$3:$AC$3)*X$2,0)),""),"")</f>
        <v/>
      </c>
      <c r="Y41" t="str">
        <f>IF('ELC RESID'!$E34="Non Dispatchable",IFERROR(IF($D41="ELCSOL",$K41/SUMPRODUCT($R$1:$AC$1,$R$3:$AC$3)*Y$1,IF($D41="ELCWND",$K41/SUMPRODUCT($R$2:$AC$2,$R$3:$AC$3)*Y$2,0)),""),"")</f>
        <v/>
      </c>
      <c r="Z41" t="str">
        <f>IF('ELC RESID'!$E34="Non Dispatchable",IFERROR(IF($D41="ELCSOL",$K41/SUMPRODUCT($R$1:$AC$1,$R$3:$AC$3)*Z$1,IF($D41="ELCWND",$K41/SUMPRODUCT($R$2:$AC$2,$R$3:$AC$3)*Z$2,0)),""),"")</f>
        <v/>
      </c>
      <c r="AA41" t="str">
        <f>IF('ELC RESID'!$E34="Non Dispatchable",IFERROR(IF($D41="ELCSOL",$K41/SUMPRODUCT($R$1:$AC$1,$R$3:$AC$3)*AA$1,IF($D41="ELCWND",$K41/SUMPRODUCT($R$2:$AC$2,$R$3:$AC$3)*AA$2,0)),""),"")</f>
        <v/>
      </c>
      <c r="AB41" t="str">
        <f>IF('ELC RESID'!$E34="Non Dispatchable",IFERROR(IF($D41="ELCSOL",$K41/SUMPRODUCT($R$1:$AC$1,$R$3:$AC$3)*AB$1,IF($D41="ELCWND",$K41/SUMPRODUCT($R$2:$AC$2,$R$3:$AC$3)*AB$2,0)),""),"")</f>
        <v/>
      </c>
      <c r="AC41" t="str">
        <f>IF('ELC RESID'!$E34="Non Dispatchable",IFERROR(IF($D41="ELCSOL",$K41/SUMPRODUCT($R$1:$AC$1,$R$3:$AC$3)*AC$1,IF($D41="ELCWND",$K41/SUMPRODUCT($R$2:$AC$2,$R$3:$AC$3)*AC$2,0)),""),"")</f>
        <v/>
      </c>
      <c r="AD41">
        <f>IF('ELC RESID'!$E34="Storage", ResidELC!R$3*$N41,"")</f>
        <v>0</v>
      </c>
      <c r="AE41">
        <f>IF('ELC RESID'!$E34="Storage", ResidELC!S$3*$N41,"")</f>
        <v>0</v>
      </c>
      <c r="AF41">
        <f>IF('ELC RESID'!$E34="Storage", ResidELC!T$3*$N41,"")</f>
        <v>0</v>
      </c>
      <c r="AG41">
        <f>IF('ELC RESID'!$E34="Storage", ResidELC!U$3*$N41,"")</f>
        <v>0</v>
      </c>
      <c r="AH41">
        <f>IF('ELC RESID'!$E34="Storage", ResidELC!V$3*$N41,"")</f>
        <v>0</v>
      </c>
      <c r="AI41">
        <f>IF('ELC RESID'!$E34="Storage", ResidELC!W$3*$N41,"")</f>
        <v>0</v>
      </c>
      <c r="AJ41">
        <f>IF('ELC RESID'!$E34="Storage", ResidELC!X$3*$N41,"")</f>
        <v>0</v>
      </c>
      <c r="AK41">
        <f>IF('ELC RESID'!$E34="Storage", ResidELC!Y$3*$N41,"")</f>
        <v>0</v>
      </c>
      <c r="AL41">
        <f>IF('ELC RESID'!$E34="Storage", ResidELC!Z$3*$N41,"")</f>
        <v>0</v>
      </c>
      <c r="AM41">
        <f>IF('ELC RESID'!$E34="Storage", ResidELC!AA$3*$N41,"")</f>
        <v>0</v>
      </c>
      <c r="AN41">
        <f>IF('ELC RESID'!$E34="Storage", ResidELC!AB$3*$N41,"")</f>
        <v>0</v>
      </c>
      <c r="AO41">
        <f>IF('ELC RESID'!$E34="Storage", ResidELC!AC$3*$N41,"")</f>
        <v>0</v>
      </c>
      <c r="AP41" s="13">
        <f>'ELC RESID'!O34</f>
        <v>0</v>
      </c>
      <c r="AQ41" s="13">
        <f>'ELC RESID'!P34</f>
        <v>0</v>
      </c>
      <c r="AR41" s="13">
        <f>'ELC RESID'!Q34</f>
        <v>0</v>
      </c>
      <c r="AS41" s="13">
        <f>'ELC RESID'!R34</f>
        <v>0</v>
      </c>
      <c r="AT41" s="13">
        <f>'ELC RESID'!S34</f>
        <v>0</v>
      </c>
      <c r="AU41" s="13">
        <f>'ELC RESID'!T34</f>
        <v>0</v>
      </c>
      <c r="AV41" s="13">
        <f>'ELC RESID'!U34</f>
        <v>0</v>
      </c>
      <c r="AW41" s="13">
        <f>'ELC RESID'!V34</f>
        <v>0</v>
      </c>
      <c r="AX41" s="13">
        <f>'ELC RESID'!W34</f>
        <v>0</v>
      </c>
      <c r="AY41" s="13">
        <f>'ELC RESID'!X34</f>
        <v>0</v>
      </c>
      <c r="AZ41" s="13">
        <f>'ELC RESID'!Y34</f>
        <v>0</v>
      </c>
      <c r="BA41" s="13">
        <f>'ELC RESID'!Z34</f>
        <v>0</v>
      </c>
      <c r="BB41" s="13">
        <f>'ELC RESID'!AA34</f>
        <v>0</v>
      </c>
      <c r="BC41" s="13">
        <f>'ELC RESID'!AB34</f>
        <v>0</v>
      </c>
      <c r="BD41" s="13">
        <f>'ELC RESID'!AC34</f>
        <v>0</v>
      </c>
      <c r="BE41" s="13">
        <f>'ELC RESID'!AD34</f>
        <v>0</v>
      </c>
      <c r="BF41" s="13">
        <f>'ELC RESID'!AE34</f>
        <v>0</v>
      </c>
      <c r="BG41" s="13">
        <f>'ELC RESID'!AF34</f>
        <v>0</v>
      </c>
    </row>
    <row r="42" spans="2:59">
      <c r="B42" t="str">
        <f>IF(SUM(AP42:BG42)=0,"*",Def_Tech!C37)</f>
        <v>*</v>
      </c>
      <c r="C42" t="str">
        <f>Def_Tech!D37</f>
        <v>ELCSTGGRDBES19</v>
      </c>
      <c r="D42" t="str">
        <f>IF(_xlfn.XLOOKUP('ELC RESID'!G35,List!C:C,List!B:B)="STG",E42,"ELC"&amp;_xlfn.XLOOKUP('ELC RESID'!G35,List!C:C,List!B:B))</f>
        <v>CELC</v>
      </c>
      <c r="E42" t="s">
        <v>405</v>
      </c>
      <c r="F42" s="12" t="str">
        <f>IF('ELC RESID'!E35="Storage","",IF('ELC RESID'!L35="",1,'ELC RESID'!L35))</f>
        <v/>
      </c>
      <c r="G42" s="12">
        <f>IF('ELC RESID'!E35&lt;&gt;"Storage","",IF('ELC RESID'!L35="",1,'ELC RESID'!L35))</f>
        <v>0.8</v>
      </c>
      <c r="H42">
        <f t="shared" si="2"/>
        <v>31.535999999999998</v>
      </c>
      <c r="I42" s="12">
        <f>_xlfn.XLOOKUP(C42,'ELC RESID'!H:H,'ELC RESID'!N:N)</f>
        <v>0</v>
      </c>
      <c r="J42" s="12">
        <f>_xlfn.XLOOKUP(C42,'ELC RESID'!H:H,'ELC RESID'!M:M)</f>
        <v>44.870272385432912</v>
      </c>
      <c r="K42" s="12" t="str">
        <f>IF('ELC RESID'!$E35="Storage","",IF('ELC RESID'!$K35&gt;0,'ELC RESID'!$K35,-'ELC RESID'!$K35))</f>
        <v/>
      </c>
      <c r="L42" s="12" t="str">
        <f t="shared" si="5"/>
        <v/>
      </c>
      <c r="M42" s="12" t="str">
        <f t="shared" si="5"/>
        <v/>
      </c>
      <c r="N42" s="12">
        <f>IF('ELC RESID'!$E35="Storage",IF('ELC RESID'!$K35&gt;0,'ELC RESID'!$K35,-'ELC RESID'!$K35),"")</f>
        <v>0</v>
      </c>
      <c r="O42" s="12">
        <f t="shared" si="6"/>
        <v>0</v>
      </c>
      <c r="P42" s="12">
        <f t="shared" si="6"/>
        <v>0</v>
      </c>
      <c r="Q42">
        <f>IF('ELC RESID'!E35="Storage",0.3,IF('ELC RESID'!E35="Baseload",0.9,IF('ELC RESID'!E35="Non Dispatchable",0.05,IF('ELC RESID'!E35="Dispatchable",0.9,1))))</f>
        <v>0.3</v>
      </c>
      <c r="R42" t="str">
        <f>IF('ELC RESID'!$E35="Non Dispatchable",IFERROR(IF($D42="ELCSOL",$K42/SUMPRODUCT($R$1:$AC$1,$R$3:$AC$3)*R$1,IF($D42="ELCWND",$K42/SUMPRODUCT($R$2:$AC$2,$R$3:$AC$3)*R$2,0)),""),"")</f>
        <v/>
      </c>
      <c r="S42" t="str">
        <f>IF('ELC RESID'!$E35="Non Dispatchable",IFERROR(IF($D42="ELCSOL",$K42/SUMPRODUCT($R$1:$AC$1,$R$3:$AC$3)*S$1,IF($D42="ELCWND",$K42/SUMPRODUCT($R$2:$AC$2,$R$3:$AC$3)*S$2,0)),""),"")</f>
        <v/>
      </c>
      <c r="T42" t="str">
        <f>IF('ELC RESID'!$E35="Non Dispatchable",IFERROR(IF($D42="ELCSOL",$K42/SUMPRODUCT($R$1:$AC$1,$R$3:$AC$3)*T$1,IF($D42="ELCWND",$K42/SUMPRODUCT($R$2:$AC$2,$R$3:$AC$3)*T$2,0)),""),"")</f>
        <v/>
      </c>
      <c r="U42" t="str">
        <f>IF('ELC RESID'!$E35="Non Dispatchable",IFERROR(IF($D42="ELCSOL",$K42/SUMPRODUCT($R$1:$AC$1,$R$3:$AC$3)*U$1,IF($D42="ELCWND",$K42/SUMPRODUCT($R$2:$AC$2,$R$3:$AC$3)*U$2,0)),""),"")</f>
        <v/>
      </c>
      <c r="V42" t="str">
        <f>IF('ELC RESID'!$E35="Non Dispatchable",IFERROR(IF($D42="ELCSOL",$K42/SUMPRODUCT($R$1:$AC$1,$R$3:$AC$3)*V$1,IF($D42="ELCWND",$K42/SUMPRODUCT($R$2:$AC$2,$R$3:$AC$3)*V$2,0)),""),"")</f>
        <v/>
      </c>
      <c r="W42" t="str">
        <f>IF('ELC RESID'!$E35="Non Dispatchable",IFERROR(IF($D42="ELCSOL",$K42/SUMPRODUCT($R$1:$AC$1,$R$3:$AC$3)*W$1,IF($D42="ELCWND",$K42/SUMPRODUCT($R$2:$AC$2,$R$3:$AC$3)*W$2,0)),""),"")</f>
        <v/>
      </c>
      <c r="X42" t="str">
        <f>IF('ELC RESID'!$E35="Non Dispatchable",IFERROR(IF($D42="ELCSOL",$K42/SUMPRODUCT($R$1:$AC$1,$R$3:$AC$3)*X$1,IF($D42="ELCWND",$K42/SUMPRODUCT($R$2:$AC$2,$R$3:$AC$3)*X$2,0)),""),"")</f>
        <v/>
      </c>
      <c r="Y42" t="str">
        <f>IF('ELC RESID'!$E35="Non Dispatchable",IFERROR(IF($D42="ELCSOL",$K42/SUMPRODUCT($R$1:$AC$1,$R$3:$AC$3)*Y$1,IF($D42="ELCWND",$K42/SUMPRODUCT($R$2:$AC$2,$R$3:$AC$3)*Y$2,0)),""),"")</f>
        <v/>
      </c>
      <c r="Z42" t="str">
        <f>IF('ELC RESID'!$E35="Non Dispatchable",IFERROR(IF($D42="ELCSOL",$K42/SUMPRODUCT($R$1:$AC$1,$R$3:$AC$3)*Z$1,IF($D42="ELCWND",$K42/SUMPRODUCT($R$2:$AC$2,$R$3:$AC$3)*Z$2,0)),""),"")</f>
        <v/>
      </c>
      <c r="AA42" t="str">
        <f>IF('ELC RESID'!$E35="Non Dispatchable",IFERROR(IF($D42="ELCSOL",$K42/SUMPRODUCT($R$1:$AC$1,$R$3:$AC$3)*AA$1,IF($D42="ELCWND",$K42/SUMPRODUCT($R$2:$AC$2,$R$3:$AC$3)*AA$2,0)),""),"")</f>
        <v/>
      </c>
      <c r="AB42" t="str">
        <f>IF('ELC RESID'!$E35="Non Dispatchable",IFERROR(IF($D42="ELCSOL",$K42/SUMPRODUCT($R$1:$AC$1,$R$3:$AC$3)*AB$1,IF($D42="ELCWND",$K42/SUMPRODUCT($R$2:$AC$2,$R$3:$AC$3)*AB$2,0)),""),"")</f>
        <v/>
      </c>
      <c r="AC42" t="str">
        <f>IF('ELC RESID'!$E35="Non Dispatchable",IFERROR(IF($D42="ELCSOL",$K42/SUMPRODUCT($R$1:$AC$1,$R$3:$AC$3)*AC$1,IF($D42="ELCWND",$K42/SUMPRODUCT($R$2:$AC$2,$R$3:$AC$3)*AC$2,0)),""),"")</f>
        <v/>
      </c>
      <c r="AD42">
        <f>IF('ELC RESID'!$E35="Storage", ResidELC!R$3*$N42,"")</f>
        <v>0</v>
      </c>
      <c r="AE42">
        <f>IF('ELC RESID'!$E35="Storage", ResidELC!S$3*$N42,"")</f>
        <v>0</v>
      </c>
      <c r="AF42">
        <f>IF('ELC RESID'!$E35="Storage", ResidELC!T$3*$N42,"")</f>
        <v>0</v>
      </c>
      <c r="AG42">
        <f>IF('ELC RESID'!$E35="Storage", ResidELC!U$3*$N42,"")</f>
        <v>0</v>
      </c>
      <c r="AH42">
        <f>IF('ELC RESID'!$E35="Storage", ResidELC!V$3*$N42,"")</f>
        <v>0</v>
      </c>
      <c r="AI42">
        <f>IF('ELC RESID'!$E35="Storage", ResidELC!W$3*$N42,"")</f>
        <v>0</v>
      </c>
      <c r="AJ42">
        <f>IF('ELC RESID'!$E35="Storage", ResidELC!X$3*$N42,"")</f>
        <v>0</v>
      </c>
      <c r="AK42">
        <f>IF('ELC RESID'!$E35="Storage", ResidELC!Y$3*$N42,"")</f>
        <v>0</v>
      </c>
      <c r="AL42">
        <f>IF('ELC RESID'!$E35="Storage", ResidELC!Z$3*$N42,"")</f>
        <v>0</v>
      </c>
      <c r="AM42">
        <f>IF('ELC RESID'!$E35="Storage", ResidELC!AA$3*$N42,"")</f>
        <v>0</v>
      </c>
      <c r="AN42">
        <f>IF('ELC RESID'!$E35="Storage", ResidELC!AB$3*$N42,"")</f>
        <v>0</v>
      </c>
      <c r="AO42">
        <f>IF('ELC RESID'!$E35="Storage", ResidELC!AC$3*$N42,"")</f>
        <v>0</v>
      </c>
      <c r="AP42" s="13">
        <f>'ELC RESID'!O35</f>
        <v>0</v>
      </c>
      <c r="AQ42" s="13">
        <f>'ELC RESID'!P35</f>
        <v>0</v>
      </c>
      <c r="AR42" s="13">
        <f>'ELC RESID'!Q35</f>
        <v>0</v>
      </c>
      <c r="AS42" s="13">
        <f>'ELC RESID'!R35</f>
        <v>0</v>
      </c>
      <c r="AT42" s="13">
        <f>'ELC RESID'!S35</f>
        <v>0</v>
      </c>
      <c r="AU42" s="13">
        <f>'ELC RESID'!T35</f>
        <v>0</v>
      </c>
      <c r="AV42" s="13">
        <f>'ELC RESID'!U35</f>
        <v>0</v>
      </c>
      <c r="AW42" s="13">
        <f>'ELC RESID'!V35</f>
        <v>0</v>
      </c>
      <c r="AX42" s="13">
        <f>'ELC RESID'!W35</f>
        <v>0</v>
      </c>
      <c r="AY42" s="13">
        <f>'ELC RESID'!X35</f>
        <v>0</v>
      </c>
      <c r="AZ42" s="13">
        <f>'ELC RESID'!Y35</f>
        <v>0</v>
      </c>
      <c r="BA42" s="13">
        <f>'ELC RESID'!Z35</f>
        <v>0</v>
      </c>
      <c r="BB42" s="13">
        <f>'ELC RESID'!AA35</f>
        <v>0</v>
      </c>
      <c r="BC42" s="13">
        <f>'ELC RESID'!AB35</f>
        <v>0</v>
      </c>
      <c r="BD42" s="13">
        <f>'ELC RESID'!AC35</f>
        <v>0</v>
      </c>
      <c r="BE42" s="13">
        <f>'ELC RESID'!AD35</f>
        <v>0</v>
      </c>
      <c r="BF42" s="13">
        <f>'ELC RESID'!AE35</f>
        <v>0</v>
      </c>
      <c r="BG42" s="13">
        <f>'ELC RESID'!AF35</f>
        <v>0</v>
      </c>
    </row>
    <row r="43" spans="2:59">
      <c r="B43" t="str">
        <f>IF(SUM(AP43:BG43)=0,"*",Def_Tech!C38)</f>
        <v>*</v>
      </c>
      <c r="C43" t="str">
        <f>Def_Tech!D38</f>
        <v>ELCGEOGRDSTU19</v>
      </c>
      <c r="D43" t="str">
        <f>IF(_xlfn.XLOOKUP('ELC RESID'!G36,List!C:C,List!B:B)="STG",E43,"ELC"&amp;_xlfn.XLOOKUP('ELC RESID'!G36,List!C:C,List!B:B))</f>
        <v>ELCGEO</v>
      </c>
      <c r="E43" t="s">
        <v>405</v>
      </c>
      <c r="F43" s="12">
        <f>IF('ELC RESID'!E36="Storage","",IF('ELC RESID'!L36="",1,'ELC RESID'!L36))</f>
        <v>1</v>
      </c>
      <c r="G43" s="12" t="str">
        <f>IF('ELC RESID'!E36&lt;&gt;"Storage","",IF('ELC RESID'!L36="",1,'ELC RESID'!L36))</f>
        <v/>
      </c>
      <c r="H43">
        <f t="shared" si="2"/>
        <v>31.535999999999998</v>
      </c>
      <c r="I43" s="12">
        <f>_xlfn.XLOOKUP(C43,'ELC RESID'!H:H,'ELC RESID'!N:N)</f>
        <v>0</v>
      </c>
      <c r="J43" s="12">
        <f>_xlfn.XLOOKUP(C43,'ELC RESID'!H:H,'ELC RESID'!M:M)</f>
        <v>170.8099129312339</v>
      </c>
      <c r="K43" s="12">
        <f>IF('ELC RESID'!$E36="Storage","",IF('ELC RESID'!$K36&gt;0,'ELC RESID'!$K36,-'ELC RESID'!$K36))</f>
        <v>0</v>
      </c>
      <c r="L43" s="12">
        <f t="shared" si="5"/>
        <v>0</v>
      </c>
      <c r="M43" s="12">
        <f t="shared" si="5"/>
        <v>0</v>
      </c>
      <c r="N43" s="12" t="str">
        <f>IF('ELC RESID'!$E36="Storage",IF('ELC RESID'!$K36&gt;0,'ELC RESID'!$K36,-'ELC RESID'!$K36),"")</f>
        <v/>
      </c>
      <c r="O43" s="8" t="str">
        <f t="shared" si="6"/>
        <v/>
      </c>
      <c r="P43" s="8" t="str">
        <f t="shared" si="6"/>
        <v/>
      </c>
      <c r="Q43">
        <f>IF('ELC RESID'!E36="Storage",0.3,IF('ELC RESID'!E36="Baseload",0.9,IF('ELC RESID'!E36="Non Dispatchable",0.05,IF('ELC RESID'!E36="Dispatchable",0.9,1))))</f>
        <v>0.9</v>
      </c>
      <c r="R43" t="str">
        <f>IF('ELC RESID'!$E36="Non Dispatchable",IFERROR(IF($D43="ELCSOL",$K43/SUMPRODUCT($R$1:$AC$1,$R$3:$AC$3)*R$1,IF($D43="ELCWND",$K43/SUMPRODUCT($R$2:$AC$2,$R$3:$AC$3)*R$2,0)),""),"")</f>
        <v/>
      </c>
      <c r="S43" t="str">
        <f>IF('ELC RESID'!$E36="Non Dispatchable",IFERROR(IF($D43="ELCSOL",$K43/SUMPRODUCT($R$1:$AC$1,$R$3:$AC$3)*S$1,IF($D43="ELCWND",$K43/SUMPRODUCT($R$2:$AC$2,$R$3:$AC$3)*S$2,0)),""),"")</f>
        <v/>
      </c>
      <c r="T43" t="str">
        <f>IF('ELC RESID'!$E36="Non Dispatchable",IFERROR(IF($D43="ELCSOL",$K43/SUMPRODUCT($R$1:$AC$1,$R$3:$AC$3)*T$1,IF($D43="ELCWND",$K43/SUMPRODUCT($R$2:$AC$2,$R$3:$AC$3)*T$2,0)),""),"")</f>
        <v/>
      </c>
      <c r="U43" t="str">
        <f>IF('ELC RESID'!$E36="Non Dispatchable",IFERROR(IF($D43="ELCSOL",$K43/SUMPRODUCT($R$1:$AC$1,$R$3:$AC$3)*U$1,IF($D43="ELCWND",$K43/SUMPRODUCT($R$2:$AC$2,$R$3:$AC$3)*U$2,0)),""),"")</f>
        <v/>
      </c>
      <c r="V43" t="str">
        <f>IF('ELC RESID'!$E36="Non Dispatchable",IFERROR(IF($D43="ELCSOL",$K43/SUMPRODUCT($R$1:$AC$1,$R$3:$AC$3)*V$1,IF($D43="ELCWND",$K43/SUMPRODUCT($R$2:$AC$2,$R$3:$AC$3)*V$2,0)),""),"")</f>
        <v/>
      </c>
      <c r="W43" t="str">
        <f>IF('ELC RESID'!$E36="Non Dispatchable",IFERROR(IF($D43="ELCSOL",$K43/SUMPRODUCT($R$1:$AC$1,$R$3:$AC$3)*W$1,IF($D43="ELCWND",$K43/SUMPRODUCT($R$2:$AC$2,$R$3:$AC$3)*W$2,0)),""),"")</f>
        <v/>
      </c>
      <c r="X43" t="str">
        <f>IF('ELC RESID'!$E36="Non Dispatchable",IFERROR(IF($D43="ELCSOL",$K43/SUMPRODUCT($R$1:$AC$1,$R$3:$AC$3)*X$1,IF($D43="ELCWND",$K43/SUMPRODUCT($R$2:$AC$2,$R$3:$AC$3)*X$2,0)),""),"")</f>
        <v/>
      </c>
      <c r="Y43" t="str">
        <f>IF('ELC RESID'!$E36="Non Dispatchable",IFERROR(IF($D43="ELCSOL",$K43/SUMPRODUCT($R$1:$AC$1,$R$3:$AC$3)*Y$1,IF($D43="ELCWND",$K43/SUMPRODUCT($R$2:$AC$2,$R$3:$AC$3)*Y$2,0)),""),"")</f>
        <v/>
      </c>
      <c r="Z43" t="str">
        <f>IF('ELC RESID'!$E36="Non Dispatchable",IFERROR(IF($D43="ELCSOL",$K43/SUMPRODUCT($R$1:$AC$1,$R$3:$AC$3)*Z$1,IF($D43="ELCWND",$K43/SUMPRODUCT($R$2:$AC$2,$R$3:$AC$3)*Z$2,0)),""),"")</f>
        <v/>
      </c>
      <c r="AA43" t="str">
        <f>IF('ELC RESID'!$E36="Non Dispatchable",IFERROR(IF($D43="ELCSOL",$K43/SUMPRODUCT($R$1:$AC$1,$R$3:$AC$3)*AA$1,IF($D43="ELCWND",$K43/SUMPRODUCT($R$2:$AC$2,$R$3:$AC$3)*AA$2,0)),""),"")</f>
        <v/>
      </c>
      <c r="AB43" t="str">
        <f>IF('ELC RESID'!$E36="Non Dispatchable",IFERROR(IF($D43="ELCSOL",$K43/SUMPRODUCT($R$1:$AC$1,$R$3:$AC$3)*AB$1,IF($D43="ELCWND",$K43/SUMPRODUCT($R$2:$AC$2,$R$3:$AC$3)*AB$2,0)),""),"")</f>
        <v/>
      </c>
      <c r="AC43" t="str">
        <f>IF('ELC RESID'!$E36="Non Dispatchable",IFERROR(IF($D43="ELCSOL",$K43/SUMPRODUCT($R$1:$AC$1,$R$3:$AC$3)*AC$1,IF($D43="ELCWND",$K43/SUMPRODUCT($R$2:$AC$2,$R$3:$AC$3)*AC$2,0)),""),"")</f>
        <v/>
      </c>
      <c r="AD43" t="str">
        <f>IF('ELC RESID'!$E36="Storage", ResidELC!R$3*$N43,"")</f>
        <v/>
      </c>
      <c r="AE43" t="str">
        <f>IF('ELC RESID'!$E36="Storage", ResidELC!S$3*$N43,"")</f>
        <v/>
      </c>
      <c r="AF43" t="str">
        <f>IF('ELC RESID'!$E36="Storage", ResidELC!T$3*$N43,"")</f>
        <v/>
      </c>
      <c r="AG43" t="str">
        <f>IF('ELC RESID'!$E36="Storage", ResidELC!U$3*$N43,"")</f>
        <v/>
      </c>
      <c r="AH43" t="str">
        <f>IF('ELC RESID'!$E36="Storage", ResidELC!V$3*$N43,"")</f>
        <v/>
      </c>
      <c r="AI43" t="str">
        <f>IF('ELC RESID'!$E36="Storage", ResidELC!W$3*$N43,"")</f>
        <v/>
      </c>
      <c r="AJ43" t="str">
        <f>IF('ELC RESID'!$E36="Storage", ResidELC!X$3*$N43,"")</f>
        <v/>
      </c>
      <c r="AK43" t="str">
        <f>IF('ELC RESID'!$E36="Storage", ResidELC!Y$3*$N43,"")</f>
        <v/>
      </c>
      <c r="AL43" t="str">
        <f>IF('ELC RESID'!$E36="Storage", ResidELC!Z$3*$N43,"")</f>
        <v/>
      </c>
      <c r="AM43" t="str">
        <f>IF('ELC RESID'!$E36="Storage", ResidELC!AA$3*$N43,"")</f>
        <v/>
      </c>
      <c r="AN43" t="str">
        <f>IF('ELC RESID'!$E36="Storage", ResidELC!AB$3*$N43,"")</f>
        <v/>
      </c>
      <c r="AO43" t="str">
        <f>IF('ELC RESID'!$E36="Storage", ResidELC!AC$3*$N43,"")</f>
        <v/>
      </c>
      <c r="AP43" s="13">
        <f>'ELC RESID'!O36</f>
        <v>0</v>
      </c>
      <c r="AQ43" s="13">
        <f>'ELC RESID'!P36</f>
        <v>0</v>
      </c>
      <c r="AR43" s="13">
        <f>'ELC RESID'!Q36</f>
        <v>0</v>
      </c>
      <c r="AS43" s="13">
        <f>'ELC RESID'!R36</f>
        <v>0</v>
      </c>
      <c r="AT43" s="13">
        <f>'ELC RESID'!S36</f>
        <v>0</v>
      </c>
      <c r="AU43" s="13">
        <f>'ELC RESID'!T36</f>
        <v>0</v>
      </c>
      <c r="AV43" s="13">
        <f>'ELC RESID'!U36</f>
        <v>0</v>
      </c>
      <c r="AW43" s="13">
        <f>'ELC RESID'!V36</f>
        <v>0</v>
      </c>
      <c r="AX43" s="13">
        <f>'ELC RESID'!W36</f>
        <v>0</v>
      </c>
      <c r="AY43" s="13">
        <f>'ELC RESID'!X36</f>
        <v>0</v>
      </c>
      <c r="AZ43" s="13">
        <f>'ELC RESID'!Y36</f>
        <v>0</v>
      </c>
      <c r="BA43" s="13">
        <f>'ELC RESID'!Z36</f>
        <v>0</v>
      </c>
      <c r="BB43" s="13">
        <f>'ELC RESID'!AA36</f>
        <v>0</v>
      </c>
      <c r="BC43" s="13">
        <f>'ELC RESID'!AB36</f>
        <v>0</v>
      </c>
      <c r="BD43" s="13">
        <f>'ELC RESID'!AC36</f>
        <v>0</v>
      </c>
      <c r="BE43" s="13">
        <f>'ELC RESID'!AD36</f>
        <v>0</v>
      </c>
      <c r="BF43" s="13">
        <f>'ELC RESID'!AE36</f>
        <v>0</v>
      </c>
      <c r="BG43" s="13">
        <f>'ELC RESID'!AF36</f>
        <v>0</v>
      </c>
    </row>
    <row r="44" spans="2:59">
      <c r="B44" t="str">
        <f>IF(SUM(AP44:BG44)=0,"*",Def_Tech!C39)</f>
        <v>*</v>
      </c>
      <c r="C44" t="str">
        <f>Def_Tech!D39</f>
        <v>ELCGEOGRDBCT19</v>
      </c>
      <c r="D44" t="str">
        <f>IF(_xlfn.XLOOKUP('ELC RESID'!G37,List!C:C,List!B:B)="STG",E44,"ELC"&amp;_xlfn.XLOOKUP('ELC RESID'!G37,List!C:C,List!B:B))</f>
        <v>ELCGEO</v>
      </c>
      <c r="E44" t="s">
        <v>405</v>
      </c>
      <c r="F44" s="12">
        <f>IF('ELC RESID'!E37="Storage","",IF('ELC RESID'!L37="",1,'ELC RESID'!L37))</f>
        <v>1</v>
      </c>
      <c r="G44" s="12" t="str">
        <f>IF('ELC RESID'!E37&lt;&gt;"Storage","",IF('ELC RESID'!L37="",1,'ELC RESID'!L37))</f>
        <v/>
      </c>
      <c r="H44">
        <f t="shared" si="2"/>
        <v>31.535999999999998</v>
      </c>
      <c r="I44" s="12">
        <f>_xlfn.XLOOKUP(C44,'ELC RESID'!H:H,'ELC RESID'!N:N)</f>
        <v>0</v>
      </c>
      <c r="J44" s="12">
        <f>_xlfn.XLOOKUP(C44,'ELC RESID'!H:H,'ELC RESID'!M:M)</f>
        <v>128.4796870790527</v>
      </c>
      <c r="K44" s="12">
        <f>IF('ELC RESID'!$E37="Storage","",IF('ELC RESID'!$K37&gt;0,'ELC RESID'!$K37,-'ELC RESID'!$K37))</f>
        <v>0</v>
      </c>
      <c r="L44" s="12">
        <f t="shared" si="5"/>
        <v>0</v>
      </c>
      <c r="M44" s="12">
        <f t="shared" si="5"/>
        <v>0</v>
      </c>
      <c r="N44" s="12" t="str">
        <f>IF('ELC RESID'!$E37="Storage",IF('ELC RESID'!$K37&gt;0,'ELC RESID'!$K37,-'ELC RESID'!$K37),"")</f>
        <v/>
      </c>
      <c r="O44" s="8" t="str">
        <f t="shared" si="6"/>
        <v/>
      </c>
      <c r="P44" s="8" t="str">
        <f t="shared" si="6"/>
        <v/>
      </c>
      <c r="Q44">
        <f>IF('ELC RESID'!E37="Storage",0.3,IF('ELC RESID'!E37="Baseload",0.9,IF('ELC RESID'!E37="Non Dispatchable",0.05,IF('ELC RESID'!E37="Dispatchable",0.9,1))))</f>
        <v>0.9</v>
      </c>
      <c r="R44" t="str">
        <f>IF('ELC RESID'!$E37="Non Dispatchable",IFERROR(IF($D44="ELCSOL",$K44/SUMPRODUCT($R$1:$AC$1,$R$3:$AC$3)*R$1,IF($D44="ELCWND",$K44/SUMPRODUCT($R$2:$AC$2,$R$3:$AC$3)*R$2,0)),""),"")</f>
        <v/>
      </c>
      <c r="S44" t="str">
        <f>IF('ELC RESID'!$E37="Non Dispatchable",IFERROR(IF($D44="ELCSOL",$K44/SUMPRODUCT($R$1:$AC$1,$R$3:$AC$3)*S$1,IF($D44="ELCWND",$K44/SUMPRODUCT($R$2:$AC$2,$R$3:$AC$3)*S$2,0)),""),"")</f>
        <v/>
      </c>
      <c r="T44" t="str">
        <f>IF('ELC RESID'!$E37="Non Dispatchable",IFERROR(IF($D44="ELCSOL",$K44/SUMPRODUCT($R$1:$AC$1,$R$3:$AC$3)*T$1,IF($D44="ELCWND",$K44/SUMPRODUCT($R$2:$AC$2,$R$3:$AC$3)*T$2,0)),""),"")</f>
        <v/>
      </c>
      <c r="U44" t="str">
        <f>IF('ELC RESID'!$E37="Non Dispatchable",IFERROR(IF($D44="ELCSOL",$K44/SUMPRODUCT($R$1:$AC$1,$R$3:$AC$3)*U$1,IF($D44="ELCWND",$K44/SUMPRODUCT($R$2:$AC$2,$R$3:$AC$3)*U$2,0)),""),"")</f>
        <v/>
      </c>
      <c r="V44" t="str">
        <f>IF('ELC RESID'!$E37="Non Dispatchable",IFERROR(IF($D44="ELCSOL",$K44/SUMPRODUCT($R$1:$AC$1,$R$3:$AC$3)*V$1,IF($D44="ELCWND",$K44/SUMPRODUCT($R$2:$AC$2,$R$3:$AC$3)*V$2,0)),""),"")</f>
        <v/>
      </c>
      <c r="W44" t="str">
        <f>IF('ELC RESID'!$E37="Non Dispatchable",IFERROR(IF($D44="ELCSOL",$K44/SUMPRODUCT($R$1:$AC$1,$R$3:$AC$3)*W$1,IF($D44="ELCWND",$K44/SUMPRODUCT($R$2:$AC$2,$R$3:$AC$3)*W$2,0)),""),"")</f>
        <v/>
      </c>
      <c r="X44" t="str">
        <f>IF('ELC RESID'!$E37="Non Dispatchable",IFERROR(IF($D44="ELCSOL",$K44/SUMPRODUCT($R$1:$AC$1,$R$3:$AC$3)*X$1,IF($D44="ELCWND",$K44/SUMPRODUCT($R$2:$AC$2,$R$3:$AC$3)*X$2,0)),""),"")</f>
        <v/>
      </c>
      <c r="Y44" t="str">
        <f>IF('ELC RESID'!$E37="Non Dispatchable",IFERROR(IF($D44="ELCSOL",$K44/SUMPRODUCT($R$1:$AC$1,$R$3:$AC$3)*Y$1,IF($D44="ELCWND",$K44/SUMPRODUCT($R$2:$AC$2,$R$3:$AC$3)*Y$2,0)),""),"")</f>
        <v/>
      </c>
      <c r="Z44" t="str">
        <f>IF('ELC RESID'!$E37="Non Dispatchable",IFERROR(IF($D44="ELCSOL",$K44/SUMPRODUCT($R$1:$AC$1,$R$3:$AC$3)*Z$1,IF($D44="ELCWND",$K44/SUMPRODUCT($R$2:$AC$2,$R$3:$AC$3)*Z$2,0)),""),"")</f>
        <v/>
      </c>
      <c r="AA44" t="str">
        <f>IF('ELC RESID'!$E37="Non Dispatchable",IFERROR(IF($D44="ELCSOL",$K44/SUMPRODUCT($R$1:$AC$1,$R$3:$AC$3)*AA$1,IF($D44="ELCWND",$K44/SUMPRODUCT($R$2:$AC$2,$R$3:$AC$3)*AA$2,0)),""),"")</f>
        <v/>
      </c>
      <c r="AB44" t="str">
        <f>IF('ELC RESID'!$E37="Non Dispatchable",IFERROR(IF($D44="ELCSOL",$K44/SUMPRODUCT($R$1:$AC$1,$R$3:$AC$3)*AB$1,IF($D44="ELCWND",$K44/SUMPRODUCT($R$2:$AC$2,$R$3:$AC$3)*AB$2,0)),""),"")</f>
        <v/>
      </c>
      <c r="AC44" t="str">
        <f>IF('ELC RESID'!$E37="Non Dispatchable",IFERROR(IF($D44="ELCSOL",$K44/SUMPRODUCT($R$1:$AC$1,$R$3:$AC$3)*AC$1,IF($D44="ELCWND",$K44/SUMPRODUCT($R$2:$AC$2,$R$3:$AC$3)*AC$2,0)),""),"")</f>
        <v/>
      </c>
      <c r="AD44" t="str">
        <f>IF('ELC RESID'!$E37="Storage", ResidELC!R$3*$N44,"")</f>
        <v/>
      </c>
      <c r="AE44" t="str">
        <f>IF('ELC RESID'!$E37="Storage", ResidELC!S$3*$N44,"")</f>
        <v/>
      </c>
      <c r="AF44" t="str">
        <f>IF('ELC RESID'!$E37="Storage", ResidELC!T$3*$N44,"")</f>
        <v/>
      </c>
      <c r="AG44" t="str">
        <f>IF('ELC RESID'!$E37="Storage", ResidELC!U$3*$N44,"")</f>
        <v/>
      </c>
      <c r="AH44" t="str">
        <f>IF('ELC RESID'!$E37="Storage", ResidELC!V$3*$N44,"")</f>
        <v/>
      </c>
      <c r="AI44" t="str">
        <f>IF('ELC RESID'!$E37="Storage", ResidELC!W$3*$N44,"")</f>
        <v/>
      </c>
      <c r="AJ44" t="str">
        <f>IF('ELC RESID'!$E37="Storage", ResidELC!X$3*$N44,"")</f>
        <v/>
      </c>
      <c r="AK44" t="str">
        <f>IF('ELC RESID'!$E37="Storage", ResidELC!Y$3*$N44,"")</f>
        <v/>
      </c>
      <c r="AL44" t="str">
        <f>IF('ELC RESID'!$E37="Storage", ResidELC!Z$3*$N44,"")</f>
        <v/>
      </c>
      <c r="AM44" t="str">
        <f>IF('ELC RESID'!$E37="Storage", ResidELC!AA$3*$N44,"")</f>
        <v/>
      </c>
      <c r="AN44" t="str">
        <f>IF('ELC RESID'!$E37="Storage", ResidELC!AB$3*$N44,"")</f>
        <v/>
      </c>
      <c r="AO44" t="str">
        <f>IF('ELC RESID'!$E37="Storage", ResidELC!AC$3*$N44,"")</f>
        <v/>
      </c>
      <c r="AP44" s="13">
        <f>'ELC RESID'!O37</f>
        <v>0</v>
      </c>
      <c r="AQ44" s="13">
        <f>'ELC RESID'!P37</f>
        <v>0</v>
      </c>
      <c r="AR44" s="13">
        <f>'ELC RESID'!Q37</f>
        <v>0</v>
      </c>
      <c r="AS44" s="13">
        <f>'ELC RESID'!R37</f>
        <v>0</v>
      </c>
      <c r="AT44" s="13">
        <f>'ELC RESID'!S37</f>
        <v>0</v>
      </c>
      <c r="AU44" s="13">
        <f>'ELC RESID'!T37</f>
        <v>0</v>
      </c>
      <c r="AV44" s="13">
        <f>'ELC RESID'!U37</f>
        <v>0</v>
      </c>
      <c r="AW44" s="13">
        <f>'ELC RESID'!V37</f>
        <v>0</v>
      </c>
      <c r="AX44" s="13">
        <f>'ELC RESID'!W37</f>
        <v>0</v>
      </c>
      <c r="AY44" s="13">
        <f>'ELC RESID'!X37</f>
        <v>0</v>
      </c>
      <c r="AZ44" s="13">
        <f>'ELC RESID'!Y37</f>
        <v>0</v>
      </c>
      <c r="BA44" s="13">
        <f>'ELC RESID'!Z37</f>
        <v>0</v>
      </c>
      <c r="BB44" s="13">
        <f>'ELC RESID'!AA37</f>
        <v>0</v>
      </c>
      <c r="BC44" s="13">
        <f>'ELC RESID'!AB37</f>
        <v>0</v>
      </c>
      <c r="BD44" s="13">
        <f>'ELC RESID'!AC37</f>
        <v>0</v>
      </c>
      <c r="BE44" s="13">
        <f>'ELC RESID'!AD37</f>
        <v>0</v>
      </c>
      <c r="BF44" s="13">
        <f>'ELC RESID'!AE37</f>
        <v>0</v>
      </c>
      <c r="BG44" s="13">
        <f>'ELC RESID'!AF37</f>
        <v>0</v>
      </c>
    </row>
    <row r="45" spans="2:59">
      <c r="B45" t="str">
        <f>IF(SUM(AP45:BG45)=0,"*",Def_Tech!C40)</f>
        <v>*</v>
      </c>
      <c r="C45" t="str">
        <f>Def_Tech!D40</f>
        <v>ELCWNDGRDWON19</v>
      </c>
      <c r="D45" t="str">
        <f>IF(_xlfn.XLOOKUP('ELC RESID'!G38,List!C:C,List!B:B)="STG",E45,"ELC"&amp;_xlfn.XLOOKUP('ELC RESID'!G38,List!C:C,List!B:B))</f>
        <v>ELCWND</v>
      </c>
      <c r="E45" t="s">
        <v>405</v>
      </c>
      <c r="F45" s="12">
        <f>IF('ELC RESID'!E38="Storage","",IF('ELC RESID'!L38="",1,'ELC RESID'!L38))</f>
        <v>1</v>
      </c>
      <c r="G45" s="12" t="str">
        <f>IF('ELC RESID'!E38&lt;&gt;"Storage","",IF('ELC RESID'!L38="",1,'ELC RESID'!L38))</f>
        <v/>
      </c>
      <c r="H45">
        <f t="shared" si="2"/>
        <v>31.535999999999998</v>
      </c>
      <c r="I45" s="12">
        <f>_xlfn.XLOOKUP(C45,'ELC RESID'!H:H,'ELC RESID'!N:N)</f>
        <v>0</v>
      </c>
      <c r="J45" s="12">
        <f>_xlfn.XLOOKUP(C45,'ELC RESID'!H:H,'ELC RESID'!M:M)</f>
        <v>34.974598233461101</v>
      </c>
      <c r="K45" s="12">
        <f>IF('ELC RESID'!$E38="Storage","",IF('ELC RESID'!$K38&gt;0,'ELC RESID'!$K38,-'ELC RESID'!$K38))</f>
        <v>0</v>
      </c>
      <c r="L45" s="12">
        <f t="shared" si="5"/>
        <v>0</v>
      </c>
      <c r="M45" s="12">
        <f t="shared" si="5"/>
        <v>0</v>
      </c>
      <c r="N45" s="12" t="str">
        <f>IF('ELC RESID'!$E38="Storage",IF('ELC RESID'!$K38&gt;0,'ELC RESID'!$K38,-'ELC RESID'!$K38),"")</f>
        <v/>
      </c>
      <c r="O45" s="8" t="str">
        <f t="shared" si="6"/>
        <v/>
      </c>
      <c r="P45" s="8" t="str">
        <f t="shared" si="6"/>
        <v/>
      </c>
      <c r="Q45">
        <f>IF('ELC RESID'!E38="Storage",0.3,IF('ELC RESID'!E38="Baseload",0.9,IF('ELC RESID'!E38="Non Dispatchable",0.05,IF('ELC RESID'!E38="Dispatchable",0.9,1))))</f>
        <v>0.05</v>
      </c>
      <c r="R45">
        <f>IF('ELC RESID'!$E38="Non Dispatchable",IFERROR(IF($D45="ELCSOL",$K45/SUMPRODUCT($R$1:$AC$1,$R$3:$AC$3)*R$1,IF($D45="ELCWND",$K45/SUMPRODUCT($R$2:$AC$2,$R$3:$AC$3)*R$2,0)),""),"")</f>
        <v>0</v>
      </c>
      <c r="S45">
        <f>IF('ELC RESID'!$E38="Non Dispatchable",IFERROR(IF($D45="ELCSOL",$K45/SUMPRODUCT($R$1:$AC$1,$R$3:$AC$3)*S$1,IF($D45="ELCWND",$K45/SUMPRODUCT($R$2:$AC$2,$R$3:$AC$3)*S$2,0)),""),"")</f>
        <v>0</v>
      </c>
      <c r="T45">
        <f>IF('ELC RESID'!$E38="Non Dispatchable",IFERROR(IF($D45="ELCSOL",$K45/SUMPRODUCT($R$1:$AC$1,$R$3:$AC$3)*T$1,IF($D45="ELCWND",$K45/SUMPRODUCT($R$2:$AC$2,$R$3:$AC$3)*T$2,0)),""),"")</f>
        <v>0</v>
      </c>
      <c r="U45">
        <f>IF('ELC RESID'!$E38="Non Dispatchable",IFERROR(IF($D45="ELCSOL",$K45/SUMPRODUCT($R$1:$AC$1,$R$3:$AC$3)*U$1,IF($D45="ELCWND",$K45/SUMPRODUCT($R$2:$AC$2,$R$3:$AC$3)*U$2,0)),""),"")</f>
        <v>0</v>
      </c>
      <c r="V45">
        <f>IF('ELC RESID'!$E38="Non Dispatchable",IFERROR(IF($D45="ELCSOL",$K45/SUMPRODUCT($R$1:$AC$1,$R$3:$AC$3)*V$1,IF($D45="ELCWND",$K45/SUMPRODUCT($R$2:$AC$2,$R$3:$AC$3)*V$2,0)),""),"")</f>
        <v>0</v>
      </c>
      <c r="W45">
        <f>IF('ELC RESID'!$E38="Non Dispatchable",IFERROR(IF($D45="ELCSOL",$K45/SUMPRODUCT($R$1:$AC$1,$R$3:$AC$3)*W$1,IF($D45="ELCWND",$K45/SUMPRODUCT($R$2:$AC$2,$R$3:$AC$3)*W$2,0)),""),"")</f>
        <v>0</v>
      </c>
      <c r="X45">
        <f>IF('ELC RESID'!$E38="Non Dispatchable",IFERROR(IF($D45="ELCSOL",$K45/SUMPRODUCT($R$1:$AC$1,$R$3:$AC$3)*X$1,IF($D45="ELCWND",$K45/SUMPRODUCT($R$2:$AC$2,$R$3:$AC$3)*X$2,0)),""),"")</f>
        <v>0</v>
      </c>
      <c r="Y45">
        <f>IF('ELC RESID'!$E38="Non Dispatchable",IFERROR(IF($D45="ELCSOL",$K45/SUMPRODUCT($R$1:$AC$1,$R$3:$AC$3)*Y$1,IF($D45="ELCWND",$K45/SUMPRODUCT($R$2:$AC$2,$R$3:$AC$3)*Y$2,0)),""),"")</f>
        <v>0</v>
      </c>
      <c r="Z45">
        <f>IF('ELC RESID'!$E38="Non Dispatchable",IFERROR(IF($D45="ELCSOL",$K45/SUMPRODUCT($R$1:$AC$1,$R$3:$AC$3)*Z$1,IF($D45="ELCWND",$K45/SUMPRODUCT($R$2:$AC$2,$R$3:$AC$3)*Z$2,0)),""),"")</f>
        <v>0</v>
      </c>
      <c r="AA45">
        <f>IF('ELC RESID'!$E38="Non Dispatchable",IFERROR(IF($D45="ELCSOL",$K45/SUMPRODUCT($R$1:$AC$1,$R$3:$AC$3)*AA$1,IF($D45="ELCWND",$K45/SUMPRODUCT($R$2:$AC$2,$R$3:$AC$3)*AA$2,0)),""),"")</f>
        <v>0</v>
      </c>
      <c r="AB45">
        <f>IF('ELC RESID'!$E38="Non Dispatchable",IFERROR(IF($D45="ELCSOL",$K45/SUMPRODUCT($R$1:$AC$1,$R$3:$AC$3)*AB$1,IF($D45="ELCWND",$K45/SUMPRODUCT($R$2:$AC$2,$R$3:$AC$3)*AB$2,0)),""),"")</f>
        <v>0</v>
      </c>
      <c r="AC45">
        <f>IF('ELC RESID'!$E38="Non Dispatchable",IFERROR(IF($D45="ELCSOL",$K45/SUMPRODUCT($R$1:$AC$1,$R$3:$AC$3)*AC$1,IF($D45="ELCWND",$K45/SUMPRODUCT($R$2:$AC$2,$R$3:$AC$3)*AC$2,0)),""),"")</f>
        <v>0</v>
      </c>
      <c r="AD45" t="str">
        <f>IF('ELC RESID'!$E38="Storage", ResidELC!R$3*$N45,"")</f>
        <v/>
      </c>
      <c r="AE45" t="str">
        <f>IF('ELC RESID'!$E38="Storage", ResidELC!S$3*$N45,"")</f>
        <v/>
      </c>
      <c r="AF45" t="str">
        <f>IF('ELC RESID'!$E38="Storage", ResidELC!T$3*$N45,"")</f>
        <v/>
      </c>
      <c r="AG45" t="str">
        <f>IF('ELC RESID'!$E38="Storage", ResidELC!U$3*$N45,"")</f>
        <v/>
      </c>
      <c r="AH45" t="str">
        <f>IF('ELC RESID'!$E38="Storage", ResidELC!V$3*$N45,"")</f>
        <v/>
      </c>
      <c r="AI45" t="str">
        <f>IF('ELC RESID'!$E38="Storage", ResidELC!W$3*$N45,"")</f>
        <v/>
      </c>
      <c r="AJ45" t="str">
        <f>IF('ELC RESID'!$E38="Storage", ResidELC!X$3*$N45,"")</f>
        <v/>
      </c>
      <c r="AK45" t="str">
        <f>IF('ELC RESID'!$E38="Storage", ResidELC!Y$3*$N45,"")</f>
        <v/>
      </c>
      <c r="AL45" t="str">
        <f>IF('ELC RESID'!$E38="Storage", ResidELC!Z$3*$N45,"")</f>
        <v/>
      </c>
      <c r="AM45" t="str">
        <f>IF('ELC RESID'!$E38="Storage", ResidELC!AA$3*$N45,"")</f>
        <v/>
      </c>
      <c r="AN45" t="str">
        <f>IF('ELC RESID'!$E38="Storage", ResidELC!AB$3*$N45,"")</f>
        <v/>
      </c>
      <c r="AO45" t="str">
        <f>IF('ELC RESID'!$E38="Storage", ResidELC!AC$3*$N45,"")</f>
        <v/>
      </c>
      <c r="AP45" s="13">
        <f>'ELC RESID'!O38</f>
        <v>0</v>
      </c>
      <c r="AQ45" s="13">
        <f>'ELC RESID'!P38</f>
        <v>0</v>
      </c>
      <c r="AR45" s="13">
        <f>'ELC RESID'!Q38</f>
        <v>0</v>
      </c>
      <c r="AS45" s="13">
        <f>'ELC RESID'!R38</f>
        <v>0</v>
      </c>
      <c r="AT45" s="13">
        <f>'ELC RESID'!S38</f>
        <v>0</v>
      </c>
      <c r="AU45" s="13">
        <f>'ELC RESID'!T38</f>
        <v>0</v>
      </c>
      <c r="AV45" s="13">
        <f>'ELC RESID'!U38</f>
        <v>0</v>
      </c>
      <c r="AW45" s="13">
        <f>'ELC RESID'!V38</f>
        <v>0</v>
      </c>
      <c r="AX45" s="13">
        <f>'ELC RESID'!W38</f>
        <v>0</v>
      </c>
      <c r="AY45" s="13">
        <f>'ELC RESID'!X38</f>
        <v>0</v>
      </c>
      <c r="AZ45" s="13">
        <f>'ELC RESID'!Y38</f>
        <v>0</v>
      </c>
      <c r="BA45" s="13">
        <f>'ELC RESID'!Z38</f>
        <v>0</v>
      </c>
      <c r="BB45" s="13">
        <f>'ELC RESID'!AA38</f>
        <v>0</v>
      </c>
      <c r="BC45" s="13">
        <f>'ELC RESID'!AB38</f>
        <v>0</v>
      </c>
      <c r="BD45" s="13">
        <f>'ELC RESID'!AC38</f>
        <v>0</v>
      </c>
      <c r="BE45" s="13">
        <f>'ELC RESID'!AD38</f>
        <v>0</v>
      </c>
      <c r="BF45" s="13">
        <f>'ELC RESID'!AE38</f>
        <v>0</v>
      </c>
      <c r="BG45" s="13">
        <f>'ELC RESID'!AF38</f>
        <v>0</v>
      </c>
    </row>
    <row r="46" spans="2:59">
      <c r="B46" t="str">
        <f>IF(SUM(AP46:BG46)=0,"*",Def_Tech!C41)</f>
        <v>*</v>
      </c>
      <c r="C46" t="str">
        <f>Def_Tech!D41</f>
        <v>ELCWNDGRDWOF19</v>
      </c>
      <c r="D46" t="str">
        <f>IF(_xlfn.XLOOKUP('ELC RESID'!G39,List!C:C,List!B:B)="STG",E46,"ELC"&amp;_xlfn.XLOOKUP('ELC RESID'!G39,List!C:C,List!B:B))</f>
        <v>ELCWND</v>
      </c>
      <c r="E46" t="s">
        <v>405</v>
      </c>
      <c r="F46" s="12">
        <f>IF('ELC RESID'!E39="Storage","",IF('ELC RESID'!L39="",1,'ELC RESID'!L39))</f>
        <v>1</v>
      </c>
      <c r="G46" s="12" t="str">
        <f>IF('ELC RESID'!E39&lt;&gt;"Storage","",IF('ELC RESID'!L39="",1,'ELC RESID'!L39))</f>
        <v/>
      </c>
      <c r="H46">
        <f t="shared" si="2"/>
        <v>31.535999999999998</v>
      </c>
      <c r="I46" s="12">
        <f>_xlfn.XLOOKUP(C46,'ELC RESID'!H:H,'ELC RESID'!N:N)</f>
        <v>0</v>
      </c>
      <c r="J46" s="12">
        <f>_xlfn.XLOOKUP(C46,'ELC RESID'!H:H,'ELC RESID'!M:M)</f>
        <v>112.5589589754599</v>
      </c>
      <c r="K46" s="12">
        <f>IF('ELC RESID'!$E39="Storage","",IF('ELC RESID'!$K39&gt;0,'ELC RESID'!$K39,-'ELC RESID'!$K39))</f>
        <v>0</v>
      </c>
      <c r="L46" s="12">
        <f t="shared" si="5"/>
        <v>0</v>
      </c>
      <c r="M46" s="12">
        <f t="shared" si="5"/>
        <v>0</v>
      </c>
      <c r="N46" s="12" t="str">
        <f>IF('ELC RESID'!$E39="Storage",IF('ELC RESID'!$K39&gt;0,'ELC RESID'!$K39,-'ELC RESID'!$K39),"")</f>
        <v/>
      </c>
      <c r="O46" s="8" t="str">
        <f t="shared" si="6"/>
        <v/>
      </c>
      <c r="P46" s="8" t="str">
        <f t="shared" si="6"/>
        <v/>
      </c>
      <c r="Q46">
        <f>IF('ELC RESID'!E39="Storage",0.3,IF('ELC RESID'!E39="Baseload",0.9,IF('ELC RESID'!E39="Non Dispatchable",0.05,IF('ELC RESID'!E39="Dispatchable",0.9,1))))</f>
        <v>0.05</v>
      </c>
      <c r="R46">
        <f>IF('ELC RESID'!$E39="Non Dispatchable",IFERROR(IF($D46="ELCSOL",$K46/SUMPRODUCT($R$1:$AC$1,$R$3:$AC$3)*R$1,IF($D46="ELCWND",$K46/SUMPRODUCT($R$2:$AC$2,$R$3:$AC$3)*R$2,0)),""),"")</f>
        <v>0</v>
      </c>
      <c r="S46">
        <f>IF('ELC RESID'!$E39="Non Dispatchable",IFERROR(IF($D46="ELCSOL",$K46/SUMPRODUCT($R$1:$AC$1,$R$3:$AC$3)*S$1,IF($D46="ELCWND",$K46/SUMPRODUCT($R$2:$AC$2,$R$3:$AC$3)*S$2,0)),""),"")</f>
        <v>0</v>
      </c>
      <c r="T46">
        <f>IF('ELC RESID'!$E39="Non Dispatchable",IFERROR(IF($D46="ELCSOL",$K46/SUMPRODUCT($R$1:$AC$1,$R$3:$AC$3)*T$1,IF($D46="ELCWND",$K46/SUMPRODUCT($R$2:$AC$2,$R$3:$AC$3)*T$2,0)),""),"")</f>
        <v>0</v>
      </c>
      <c r="U46">
        <f>IF('ELC RESID'!$E39="Non Dispatchable",IFERROR(IF($D46="ELCSOL",$K46/SUMPRODUCT($R$1:$AC$1,$R$3:$AC$3)*U$1,IF($D46="ELCWND",$K46/SUMPRODUCT($R$2:$AC$2,$R$3:$AC$3)*U$2,0)),""),"")</f>
        <v>0</v>
      </c>
      <c r="V46">
        <f>IF('ELC RESID'!$E39="Non Dispatchable",IFERROR(IF($D46="ELCSOL",$K46/SUMPRODUCT($R$1:$AC$1,$R$3:$AC$3)*V$1,IF($D46="ELCWND",$K46/SUMPRODUCT($R$2:$AC$2,$R$3:$AC$3)*V$2,0)),""),"")</f>
        <v>0</v>
      </c>
      <c r="W46">
        <f>IF('ELC RESID'!$E39="Non Dispatchable",IFERROR(IF($D46="ELCSOL",$K46/SUMPRODUCT($R$1:$AC$1,$R$3:$AC$3)*W$1,IF($D46="ELCWND",$K46/SUMPRODUCT($R$2:$AC$2,$R$3:$AC$3)*W$2,0)),""),"")</f>
        <v>0</v>
      </c>
      <c r="X46">
        <f>IF('ELC RESID'!$E39="Non Dispatchable",IFERROR(IF($D46="ELCSOL",$K46/SUMPRODUCT($R$1:$AC$1,$R$3:$AC$3)*X$1,IF($D46="ELCWND",$K46/SUMPRODUCT($R$2:$AC$2,$R$3:$AC$3)*X$2,0)),""),"")</f>
        <v>0</v>
      </c>
      <c r="Y46">
        <f>IF('ELC RESID'!$E39="Non Dispatchable",IFERROR(IF($D46="ELCSOL",$K46/SUMPRODUCT($R$1:$AC$1,$R$3:$AC$3)*Y$1,IF($D46="ELCWND",$K46/SUMPRODUCT($R$2:$AC$2,$R$3:$AC$3)*Y$2,0)),""),"")</f>
        <v>0</v>
      </c>
      <c r="Z46">
        <f>IF('ELC RESID'!$E39="Non Dispatchable",IFERROR(IF($D46="ELCSOL",$K46/SUMPRODUCT($R$1:$AC$1,$R$3:$AC$3)*Z$1,IF($D46="ELCWND",$K46/SUMPRODUCT($R$2:$AC$2,$R$3:$AC$3)*Z$2,0)),""),"")</f>
        <v>0</v>
      </c>
      <c r="AA46">
        <f>IF('ELC RESID'!$E39="Non Dispatchable",IFERROR(IF($D46="ELCSOL",$K46/SUMPRODUCT($R$1:$AC$1,$R$3:$AC$3)*AA$1,IF($D46="ELCWND",$K46/SUMPRODUCT($R$2:$AC$2,$R$3:$AC$3)*AA$2,0)),""),"")</f>
        <v>0</v>
      </c>
      <c r="AB46">
        <f>IF('ELC RESID'!$E39="Non Dispatchable",IFERROR(IF($D46="ELCSOL",$K46/SUMPRODUCT($R$1:$AC$1,$R$3:$AC$3)*AB$1,IF($D46="ELCWND",$K46/SUMPRODUCT($R$2:$AC$2,$R$3:$AC$3)*AB$2,0)),""),"")</f>
        <v>0</v>
      </c>
      <c r="AC46">
        <f>IF('ELC RESID'!$E39="Non Dispatchable",IFERROR(IF($D46="ELCSOL",$K46/SUMPRODUCT($R$1:$AC$1,$R$3:$AC$3)*AC$1,IF($D46="ELCWND",$K46/SUMPRODUCT($R$2:$AC$2,$R$3:$AC$3)*AC$2,0)),""),"")</f>
        <v>0</v>
      </c>
      <c r="AD46" t="str">
        <f>IF('ELC RESID'!$E39="Storage", ResidELC!R$3*$N46,"")</f>
        <v/>
      </c>
      <c r="AE46" t="str">
        <f>IF('ELC RESID'!$E39="Storage", ResidELC!S$3*$N46,"")</f>
        <v/>
      </c>
      <c r="AF46" t="str">
        <f>IF('ELC RESID'!$E39="Storage", ResidELC!T$3*$N46,"")</f>
        <v/>
      </c>
      <c r="AG46" t="str">
        <f>IF('ELC RESID'!$E39="Storage", ResidELC!U$3*$N46,"")</f>
        <v/>
      </c>
      <c r="AH46" t="str">
        <f>IF('ELC RESID'!$E39="Storage", ResidELC!V$3*$N46,"")</f>
        <v/>
      </c>
      <c r="AI46" t="str">
        <f>IF('ELC RESID'!$E39="Storage", ResidELC!W$3*$N46,"")</f>
        <v/>
      </c>
      <c r="AJ46" t="str">
        <f>IF('ELC RESID'!$E39="Storage", ResidELC!X$3*$N46,"")</f>
        <v/>
      </c>
      <c r="AK46" t="str">
        <f>IF('ELC RESID'!$E39="Storage", ResidELC!Y$3*$N46,"")</f>
        <v/>
      </c>
      <c r="AL46" t="str">
        <f>IF('ELC RESID'!$E39="Storage", ResidELC!Z$3*$N46,"")</f>
        <v/>
      </c>
      <c r="AM46" t="str">
        <f>IF('ELC RESID'!$E39="Storage", ResidELC!AA$3*$N46,"")</f>
        <v/>
      </c>
      <c r="AN46" t="str">
        <f>IF('ELC RESID'!$E39="Storage", ResidELC!AB$3*$N46,"")</f>
        <v/>
      </c>
      <c r="AO46" t="str">
        <f>IF('ELC RESID'!$E39="Storage", ResidELC!AC$3*$N46,"")</f>
        <v/>
      </c>
      <c r="AP46" s="13">
        <f>'ELC RESID'!O39</f>
        <v>0</v>
      </c>
      <c r="AQ46" s="13">
        <f>'ELC RESID'!P39</f>
        <v>0</v>
      </c>
      <c r="AR46" s="13">
        <f>'ELC RESID'!Q39</f>
        <v>0</v>
      </c>
      <c r="AS46" s="13">
        <f>'ELC RESID'!R39</f>
        <v>0</v>
      </c>
      <c r="AT46" s="13">
        <f>'ELC RESID'!S39</f>
        <v>0</v>
      </c>
      <c r="AU46" s="13">
        <f>'ELC RESID'!T39</f>
        <v>0</v>
      </c>
      <c r="AV46" s="13">
        <f>'ELC RESID'!U39</f>
        <v>0</v>
      </c>
      <c r="AW46" s="13">
        <f>'ELC RESID'!V39</f>
        <v>0</v>
      </c>
      <c r="AX46" s="13">
        <f>'ELC RESID'!W39</f>
        <v>0</v>
      </c>
      <c r="AY46" s="13">
        <f>'ELC RESID'!X39</f>
        <v>0</v>
      </c>
      <c r="AZ46" s="13">
        <f>'ELC RESID'!Y39</f>
        <v>0</v>
      </c>
      <c r="BA46" s="13">
        <f>'ELC RESID'!Z39</f>
        <v>0</v>
      </c>
      <c r="BB46" s="13">
        <f>'ELC RESID'!AA39</f>
        <v>0</v>
      </c>
      <c r="BC46" s="13">
        <f>'ELC RESID'!AB39</f>
        <v>0</v>
      </c>
      <c r="BD46" s="13">
        <f>'ELC RESID'!AC39</f>
        <v>0</v>
      </c>
      <c r="BE46" s="13">
        <f>'ELC RESID'!AD39</f>
        <v>0</v>
      </c>
      <c r="BF46" s="13">
        <f>'ELC RESID'!AE39</f>
        <v>0</v>
      </c>
      <c r="BG46" s="13">
        <f>'ELC RESID'!AF39</f>
        <v>0</v>
      </c>
    </row>
    <row r="47" spans="2:59">
      <c r="B47" t="str">
        <f>IF(SUM(AP47:BG47)=0,"*",Def_Tech!C42)</f>
        <v>*</v>
      </c>
      <c r="C47" t="str">
        <f>Def_Tech!D42</f>
        <v>ELCSTGGRDHES19</v>
      </c>
      <c r="D47" t="str">
        <f>IF(_xlfn.XLOOKUP('ELC RESID'!G40,List!C:C,List!B:B)="STG",E47,"ELC"&amp;_xlfn.XLOOKUP('ELC RESID'!G40,List!C:C,List!B:B))</f>
        <v>CELC</v>
      </c>
      <c r="E47" t="s">
        <v>405</v>
      </c>
      <c r="F47" s="12" t="str">
        <f>IF('ELC RESID'!E40="Storage","",IF('ELC RESID'!L40="",1,'ELC RESID'!L40))</f>
        <v/>
      </c>
      <c r="G47" s="12">
        <f>IF('ELC RESID'!E40&lt;&gt;"Storage","",IF('ELC RESID'!L40="",1,'ELC RESID'!L40))</f>
        <v>0.7</v>
      </c>
      <c r="H47">
        <f t="shared" si="2"/>
        <v>31.535999999999998</v>
      </c>
      <c r="I47" s="12">
        <f>_xlfn.XLOOKUP(C47,'ELC RESID'!H:H,'ELC RESID'!N:N)</f>
        <v>0.16961492838729941</v>
      </c>
      <c r="J47" s="12">
        <f>_xlfn.XLOOKUP(C47,'ELC RESID'!H:H,'ELC RESID'!M:M)</f>
        <v>21.100097091380011</v>
      </c>
      <c r="K47" s="12" t="str">
        <f>IF('ELC RESID'!$E40="Storage","",IF('ELC RESID'!$K40&gt;0,'ELC RESID'!$K40,-'ELC RESID'!$K40))</f>
        <v/>
      </c>
      <c r="L47" s="12" t="str">
        <f t="shared" si="5"/>
        <v/>
      </c>
      <c r="M47" s="12" t="str">
        <f t="shared" si="5"/>
        <v/>
      </c>
      <c r="N47" s="12">
        <f>IF('ELC RESID'!$E40="Storage",IF('ELC RESID'!$K40&gt;0,'ELC RESID'!$K40,-'ELC RESID'!$K40),"")</f>
        <v>0</v>
      </c>
      <c r="O47" s="12">
        <f t="shared" si="6"/>
        <v>0</v>
      </c>
      <c r="P47" s="12">
        <f t="shared" si="6"/>
        <v>0</v>
      </c>
      <c r="Q47">
        <f>IF('ELC RESID'!E40="Storage",0.3,IF('ELC RESID'!E40="Baseload",0.9,IF('ELC RESID'!E40="Non Dispatchable",0.05,IF('ELC RESID'!E40="Dispatchable",0.9,1))))</f>
        <v>0.3</v>
      </c>
      <c r="R47" t="str">
        <f>IF('ELC RESID'!$E40="Non Dispatchable",IFERROR(IF($D47="ELCSOL",$K47/SUMPRODUCT($R$1:$AC$1,$R$3:$AC$3)*R$1,IF($D47="ELCWND",$K47/SUMPRODUCT($R$2:$AC$2,$R$3:$AC$3)*R$2,0)),""),"")</f>
        <v/>
      </c>
      <c r="S47" t="str">
        <f>IF('ELC RESID'!$E40="Non Dispatchable",IFERROR(IF($D47="ELCSOL",$K47/SUMPRODUCT($R$1:$AC$1,$R$3:$AC$3)*S$1,IF($D47="ELCWND",$K47/SUMPRODUCT($R$2:$AC$2,$R$3:$AC$3)*S$2,0)),""),"")</f>
        <v/>
      </c>
      <c r="T47" t="str">
        <f>IF('ELC RESID'!$E40="Non Dispatchable",IFERROR(IF($D47="ELCSOL",$K47/SUMPRODUCT($R$1:$AC$1,$R$3:$AC$3)*T$1,IF($D47="ELCWND",$K47/SUMPRODUCT($R$2:$AC$2,$R$3:$AC$3)*T$2,0)),""),"")</f>
        <v/>
      </c>
      <c r="U47" t="str">
        <f>IF('ELC RESID'!$E40="Non Dispatchable",IFERROR(IF($D47="ELCSOL",$K47/SUMPRODUCT($R$1:$AC$1,$R$3:$AC$3)*U$1,IF($D47="ELCWND",$K47/SUMPRODUCT($R$2:$AC$2,$R$3:$AC$3)*U$2,0)),""),"")</f>
        <v/>
      </c>
      <c r="V47" t="str">
        <f>IF('ELC RESID'!$E40="Non Dispatchable",IFERROR(IF($D47="ELCSOL",$K47/SUMPRODUCT($R$1:$AC$1,$R$3:$AC$3)*V$1,IF($D47="ELCWND",$K47/SUMPRODUCT($R$2:$AC$2,$R$3:$AC$3)*V$2,0)),""),"")</f>
        <v/>
      </c>
      <c r="W47" t="str">
        <f>IF('ELC RESID'!$E40="Non Dispatchable",IFERROR(IF($D47="ELCSOL",$K47/SUMPRODUCT($R$1:$AC$1,$R$3:$AC$3)*W$1,IF($D47="ELCWND",$K47/SUMPRODUCT($R$2:$AC$2,$R$3:$AC$3)*W$2,0)),""),"")</f>
        <v/>
      </c>
      <c r="X47" t="str">
        <f>IF('ELC RESID'!$E40="Non Dispatchable",IFERROR(IF($D47="ELCSOL",$K47/SUMPRODUCT($R$1:$AC$1,$R$3:$AC$3)*X$1,IF($D47="ELCWND",$K47/SUMPRODUCT($R$2:$AC$2,$R$3:$AC$3)*X$2,0)),""),"")</f>
        <v/>
      </c>
      <c r="Y47" t="str">
        <f>IF('ELC RESID'!$E40="Non Dispatchable",IFERROR(IF($D47="ELCSOL",$K47/SUMPRODUCT($R$1:$AC$1,$R$3:$AC$3)*Y$1,IF($D47="ELCWND",$K47/SUMPRODUCT($R$2:$AC$2,$R$3:$AC$3)*Y$2,0)),""),"")</f>
        <v/>
      </c>
      <c r="Z47" t="str">
        <f>IF('ELC RESID'!$E40="Non Dispatchable",IFERROR(IF($D47="ELCSOL",$K47/SUMPRODUCT($R$1:$AC$1,$R$3:$AC$3)*Z$1,IF($D47="ELCWND",$K47/SUMPRODUCT($R$2:$AC$2,$R$3:$AC$3)*Z$2,0)),""),"")</f>
        <v/>
      </c>
      <c r="AA47" t="str">
        <f>IF('ELC RESID'!$E40="Non Dispatchable",IFERROR(IF($D47="ELCSOL",$K47/SUMPRODUCT($R$1:$AC$1,$R$3:$AC$3)*AA$1,IF($D47="ELCWND",$K47/SUMPRODUCT($R$2:$AC$2,$R$3:$AC$3)*AA$2,0)),""),"")</f>
        <v/>
      </c>
      <c r="AB47" t="str">
        <f>IF('ELC RESID'!$E40="Non Dispatchable",IFERROR(IF($D47="ELCSOL",$K47/SUMPRODUCT($R$1:$AC$1,$R$3:$AC$3)*AB$1,IF($D47="ELCWND",$K47/SUMPRODUCT($R$2:$AC$2,$R$3:$AC$3)*AB$2,0)),""),"")</f>
        <v/>
      </c>
      <c r="AC47" t="str">
        <f>IF('ELC RESID'!$E40="Non Dispatchable",IFERROR(IF($D47="ELCSOL",$K47/SUMPRODUCT($R$1:$AC$1,$R$3:$AC$3)*AC$1,IF($D47="ELCWND",$K47/SUMPRODUCT($R$2:$AC$2,$R$3:$AC$3)*AC$2,0)),""),"")</f>
        <v/>
      </c>
      <c r="AD47">
        <f>IF('ELC RESID'!$E40="Storage", ResidELC!R$3*$N47,"")</f>
        <v>0</v>
      </c>
      <c r="AE47">
        <f>IF('ELC RESID'!$E40="Storage", ResidELC!S$3*$N47,"")</f>
        <v>0</v>
      </c>
      <c r="AF47">
        <f>IF('ELC RESID'!$E40="Storage", ResidELC!T$3*$N47,"")</f>
        <v>0</v>
      </c>
      <c r="AG47">
        <f>IF('ELC RESID'!$E40="Storage", ResidELC!U$3*$N47,"")</f>
        <v>0</v>
      </c>
      <c r="AH47">
        <f>IF('ELC RESID'!$E40="Storage", ResidELC!V$3*$N47,"")</f>
        <v>0</v>
      </c>
      <c r="AI47">
        <f>IF('ELC RESID'!$E40="Storage", ResidELC!W$3*$N47,"")</f>
        <v>0</v>
      </c>
      <c r="AJ47">
        <f>IF('ELC RESID'!$E40="Storage", ResidELC!X$3*$N47,"")</f>
        <v>0</v>
      </c>
      <c r="AK47">
        <f>IF('ELC RESID'!$E40="Storage", ResidELC!Y$3*$N47,"")</f>
        <v>0</v>
      </c>
      <c r="AL47">
        <f>IF('ELC RESID'!$E40="Storage", ResidELC!Z$3*$N47,"")</f>
        <v>0</v>
      </c>
      <c r="AM47">
        <f>IF('ELC RESID'!$E40="Storage", ResidELC!AA$3*$N47,"")</f>
        <v>0</v>
      </c>
      <c r="AN47">
        <f>IF('ELC RESID'!$E40="Storage", ResidELC!AB$3*$N47,"")</f>
        <v>0</v>
      </c>
      <c r="AO47">
        <f>IF('ELC RESID'!$E40="Storage", ResidELC!AC$3*$N47,"")</f>
        <v>0</v>
      </c>
      <c r="AP47" s="13">
        <f>'ELC RESID'!O40</f>
        <v>0</v>
      </c>
      <c r="AQ47" s="13">
        <f>'ELC RESID'!P40</f>
        <v>0</v>
      </c>
      <c r="AR47" s="13">
        <f>'ELC RESID'!Q40</f>
        <v>0</v>
      </c>
      <c r="AS47" s="13">
        <f>'ELC RESID'!R40</f>
        <v>0</v>
      </c>
      <c r="AT47" s="13">
        <f>'ELC RESID'!S40</f>
        <v>0</v>
      </c>
      <c r="AU47" s="13">
        <f>'ELC RESID'!T40</f>
        <v>0</v>
      </c>
      <c r="AV47" s="13">
        <f>'ELC RESID'!U40</f>
        <v>0</v>
      </c>
      <c r="AW47" s="13">
        <f>'ELC RESID'!V40</f>
        <v>0</v>
      </c>
      <c r="AX47" s="13">
        <f>'ELC RESID'!W40</f>
        <v>0</v>
      </c>
      <c r="AY47" s="13">
        <f>'ELC RESID'!X40</f>
        <v>0</v>
      </c>
      <c r="AZ47" s="13">
        <f>'ELC RESID'!Y40</f>
        <v>0</v>
      </c>
      <c r="BA47" s="13">
        <f>'ELC RESID'!Z40</f>
        <v>0</v>
      </c>
      <c r="BB47" s="13">
        <f>'ELC RESID'!AA40</f>
        <v>0</v>
      </c>
      <c r="BC47" s="13">
        <f>'ELC RESID'!AB40</f>
        <v>0</v>
      </c>
      <c r="BD47" s="13">
        <f>'ELC RESID'!AC40</f>
        <v>0</v>
      </c>
      <c r="BE47" s="13">
        <f>'ELC RESID'!AD40</f>
        <v>0</v>
      </c>
      <c r="BF47" s="13">
        <f>'ELC RESID'!AE40</f>
        <v>0</v>
      </c>
      <c r="BG47" s="13">
        <f>'ELC RESID'!AF40</f>
        <v>0</v>
      </c>
    </row>
    <row r="48" spans="2:59">
      <c r="B48" t="str">
        <f>IF(SUM(AP48:BG48)=0,"*",Def_Tech!C43)</f>
        <v>*</v>
      </c>
      <c r="C48" t="str">
        <f>Def_Tech!D43</f>
        <v>ELCHYDGRDHTU19</v>
      </c>
      <c r="D48" t="str">
        <f>IF(_xlfn.XLOOKUP('ELC RESID'!G41,List!C:C,List!B:B)="STG",E48,"ELC"&amp;_xlfn.XLOOKUP('ELC RESID'!G41,List!C:C,List!B:B))</f>
        <v>ELCHYD</v>
      </c>
      <c r="E48" t="s">
        <v>405</v>
      </c>
      <c r="F48" s="12">
        <f>IF('ELC RESID'!E41="Storage","",IF('ELC RESID'!L41="",1,'ELC RESID'!L41))</f>
        <v>1</v>
      </c>
      <c r="G48" s="12" t="str">
        <f>IF('ELC RESID'!E41&lt;&gt;"Storage","",IF('ELC RESID'!L41="",1,'ELC RESID'!L41))</f>
        <v/>
      </c>
      <c r="H48">
        <f t="shared" si="2"/>
        <v>31.535999999999998</v>
      </c>
      <c r="I48" s="12">
        <f>_xlfn.XLOOKUP(C48,'ELC RESID'!H:H,'ELC RESID'!N:N)</f>
        <v>0</v>
      </c>
      <c r="J48" s="12">
        <f>_xlfn.XLOOKUP(C48,'ELC RESID'!H:H,'ELC RESID'!M:M)</f>
        <v>122.2349283806013</v>
      </c>
      <c r="K48" s="12">
        <f>IF('ELC RESID'!$E41="Storage","",IF('ELC RESID'!$K41&gt;0,'ELC RESID'!$K41,-'ELC RESID'!$K41))</f>
        <v>0</v>
      </c>
      <c r="L48" s="12">
        <f t="shared" si="5"/>
        <v>0</v>
      </c>
      <c r="M48" s="12">
        <f t="shared" si="5"/>
        <v>0</v>
      </c>
      <c r="N48" s="12" t="str">
        <f>IF('ELC RESID'!$E41="Storage",IF('ELC RESID'!$K41&gt;0,'ELC RESID'!$K41,-'ELC RESID'!$K41),"")</f>
        <v/>
      </c>
      <c r="O48" s="8" t="str">
        <f t="shared" si="6"/>
        <v/>
      </c>
      <c r="P48" s="8" t="str">
        <f t="shared" si="6"/>
        <v/>
      </c>
      <c r="Q48">
        <f>IF('ELC RESID'!E41="Storage",0.3,IF('ELC RESID'!E41="Baseload",0.9,IF('ELC RESID'!E41="Non Dispatchable",0.05,IF('ELC RESID'!E41="Dispatchable",0.9,1))))</f>
        <v>1</v>
      </c>
      <c r="R48" t="str">
        <f>IF('ELC RESID'!$E41="Non Dispatchable",IFERROR(IF($D48="ELCSOL",$K48/SUMPRODUCT($R$1:$AC$1,$R$3:$AC$3)*R$1,IF($D48="ELCWND",$K48/SUMPRODUCT($R$2:$AC$2,$R$3:$AC$3)*R$2,0)),""),"")</f>
        <v/>
      </c>
      <c r="S48" t="str">
        <f>IF('ELC RESID'!$E41="Non Dispatchable",IFERROR(IF($D48="ELCSOL",$K48/SUMPRODUCT($R$1:$AC$1,$R$3:$AC$3)*S$1,IF($D48="ELCWND",$K48/SUMPRODUCT($R$2:$AC$2,$R$3:$AC$3)*S$2,0)),""),"")</f>
        <v/>
      </c>
      <c r="T48" t="str">
        <f>IF('ELC RESID'!$E41="Non Dispatchable",IFERROR(IF($D48="ELCSOL",$K48/SUMPRODUCT($R$1:$AC$1,$R$3:$AC$3)*T$1,IF($D48="ELCWND",$K48/SUMPRODUCT($R$2:$AC$2,$R$3:$AC$3)*T$2,0)),""),"")</f>
        <v/>
      </c>
      <c r="U48" t="str">
        <f>IF('ELC RESID'!$E41="Non Dispatchable",IFERROR(IF($D48="ELCSOL",$K48/SUMPRODUCT($R$1:$AC$1,$R$3:$AC$3)*U$1,IF($D48="ELCWND",$K48/SUMPRODUCT($R$2:$AC$2,$R$3:$AC$3)*U$2,0)),""),"")</f>
        <v/>
      </c>
      <c r="V48" t="str">
        <f>IF('ELC RESID'!$E41="Non Dispatchable",IFERROR(IF($D48="ELCSOL",$K48/SUMPRODUCT($R$1:$AC$1,$R$3:$AC$3)*V$1,IF($D48="ELCWND",$K48/SUMPRODUCT($R$2:$AC$2,$R$3:$AC$3)*V$2,0)),""),"")</f>
        <v/>
      </c>
      <c r="W48" t="str">
        <f>IF('ELC RESID'!$E41="Non Dispatchable",IFERROR(IF($D48="ELCSOL",$K48/SUMPRODUCT($R$1:$AC$1,$R$3:$AC$3)*W$1,IF($D48="ELCWND",$K48/SUMPRODUCT($R$2:$AC$2,$R$3:$AC$3)*W$2,0)),""),"")</f>
        <v/>
      </c>
      <c r="X48" t="str">
        <f>IF('ELC RESID'!$E41="Non Dispatchable",IFERROR(IF($D48="ELCSOL",$K48/SUMPRODUCT($R$1:$AC$1,$R$3:$AC$3)*X$1,IF($D48="ELCWND",$K48/SUMPRODUCT($R$2:$AC$2,$R$3:$AC$3)*X$2,0)),""),"")</f>
        <v/>
      </c>
      <c r="Y48" t="str">
        <f>IF('ELC RESID'!$E41="Non Dispatchable",IFERROR(IF($D48="ELCSOL",$K48/SUMPRODUCT($R$1:$AC$1,$R$3:$AC$3)*Y$1,IF($D48="ELCWND",$K48/SUMPRODUCT($R$2:$AC$2,$R$3:$AC$3)*Y$2,0)),""),"")</f>
        <v/>
      </c>
      <c r="Z48" t="str">
        <f>IF('ELC RESID'!$E41="Non Dispatchable",IFERROR(IF($D48="ELCSOL",$K48/SUMPRODUCT($R$1:$AC$1,$R$3:$AC$3)*Z$1,IF($D48="ELCWND",$K48/SUMPRODUCT($R$2:$AC$2,$R$3:$AC$3)*Z$2,0)),""),"")</f>
        <v/>
      </c>
      <c r="AA48" t="str">
        <f>IF('ELC RESID'!$E41="Non Dispatchable",IFERROR(IF($D48="ELCSOL",$K48/SUMPRODUCT($R$1:$AC$1,$R$3:$AC$3)*AA$1,IF($D48="ELCWND",$K48/SUMPRODUCT($R$2:$AC$2,$R$3:$AC$3)*AA$2,0)),""),"")</f>
        <v/>
      </c>
      <c r="AB48" t="str">
        <f>IF('ELC RESID'!$E41="Non Dispatchable",IFERROR(IF($D48="ELCSOL",$K48/SUMPRODUCT($R$1:$AC$1,$R$3:$AC$3)*AB$1,IF($D48="ELCWND",$K48/SUMPRODUCT($R$2:$AC$2,$R$3:$AC$3)*AB$2,0)),""),"")</f>
        <v/>
      </c>
      <c r="AC48" t="str">
        <f>IF('ELC RESID'!$E41="Non Dispatchable",IFERROR(IF($D48="ELCSOL",$K48/SUMPRODUCT($R$1:$AC$1,$R$3:$AC$3)*AC$1,IF($D48="ELCWND",$K48/SUMPRODUCT($R$2:$AC$2,$R$3:$AC$3)*AC$2,0)),""),"")</f>
        <v/>
      </c>
      <c r="AD48" t="str">
        <f>IF('ELC RESID'!$E41="Storage", ResidELC!R$3*$N48,"")</f>
        <v/>
      </c>
      <c r="AE48" t="str">
        <f>IF('ELC RESID'!$E41="Storage", ResidELC!S$3*$N48,"")</f>
        <v/>
      </c>
      <c r="AF48" t="str">
        <f>IF('ELC RESID'!$E41="Storage", ResidELC!T$3*$N48,"")</f>
        <v/>
      </c>
      <c r="AG48" t="str">
        <f>IF('ELC RESID'!$E41="Storage", ResidELC!U$3*$N48,"")</f>
        <v/>
      </c>
      <c r="AH48" t="str">
        <f>IF('ELC RESID'!$E41="Storage", ResidELC!V$3*$N48,"")</f>
        <v/>
      </c>
      <c r="AI48" t="str">
        <f>IF('ELC RESID'!$E41="Storage", ResidELC!W$3*$N48,"")</f>
        <v/>
      </c>
      <c r="AJ48" t="str">
        <f>IF('ELC RESID'!$E41="Storage", ResidELC!X$3*$N48,"")</f>
        <v/>
      </c>
      <c r="AK48" t="str">
        <f>IF('ELC RESID'!$E41="Storage", ResidELC!Y$3*$N48,"")</f>
        <v/>
      </c>
      <c r="AL48" t="str">
        <f>IF('ELC RESID'!$E41="Storage", ResidELC!Z$3*$N48,"")</f>
        <v/>
      </c>
      <c r="AM48" t="str">
        <f>IF('ELC RESID'!$E41="Storage", ResidELC!AA$3*$N48,"")</f>
        <v/>
      </c>
      <c r="AN48" t="str">
        <f>IF('ELC RESID'!$E41="Storage", ResidELC!AB$3*$N48,"")</f>
        <v/>
      </c>
      <c r="AO48" t="str">
        <f>IF('ELC RESID'!$E41="Storage", ResidELC!AC$3*$N48,"")</f>
        <v/>
      </c>
      <c r="AP48" s="13">
        <f>'ELC RESID'!O41</f>
        <v>0</v>
      </c>
      <c r="AQ48" s="13">
        <f>'ELC RESID'!P41</f>
        <v>0</v>
      </c>
      <c r="AR48" s="13">
        <f>'ELC RESID'!Q41</f>
        <v>0</v>
      </c>
      <c r="AS48" s="13">
        <f>'ELC RESID'!R41</f>
        <v>0</v>
      </c>
      <c r="AT48" s="13">
        <f>'ELC RESID'!S41</f>
        <v>0</v>
      </c>
      <c r="AU48" s="13">
        <f>'ELC RESID'!T41</f>
        <v>0</v>
      </c>
      <c r="AV48" s="13">
        <f>'ELC RESID'!U41</f>
        <v>0</v>
      </c>
      <c r="AW48" s="13">
        <f>'ELC RESID'!V41</f>
        <v>0</v>
      </c>
      <c r="AX48" s="13">
        <f>'ELC RESID'!W41</f>
        <v>0</v>
      </c>
      <c r="AY48" s="13">
        <f>'ELC RESID'!X41</f>
        <v>0</v>
      </c>
      <c r="AZ48" s="13">
        <f>'ELC RESID'!Y41</f>
        <v>0</v>
      </c>
      <c r="BA48" s="13">
        <f>'ELC RESID'!Z41</f>
        <v>0</v>
      </c>
      <c r="BB48" s="13">
        <f>'ELC RESID'!AA41</f>
        <v>0</v>
      </c>
      <c r="BC48" s="13">
        <f>'ELC RESID'!AB41</f>
        <v>0</v>
      </c>
      <c r="BD48" s="13">
        <f>'ELC RESID'!AC41</f>
        <v>0</v>
      </c>
      <c r="BE48" s="13">
        <f>'ELC RESID'!AD41</f>
        <v>0</v>
      </c>
      <c r="BF48" s="13">
        <f>'ELC RESID'!AE41</f>
        <v>0</v>
      </c>
      <c r="BG48" s="13">
        <f>'ELC RESID'!AF41</f>
        <v>0</v>
      </c>
    </row>
    <row r="49" spans="2:59">
      <c r="B49" t="str">
        <f>IF(SUM(AP49:BG49)=0,"*",Def_Tech!C44)</f>
        <v>EGRID</v>
      </c>
      <c r="C49" t="str">
        <f>Def_Tech!D44</f>
        <v>ELCSOLGRDUPV19</v>
      </c>
      <c r="D49" t="str">
        <f>IF(_xlfn.XLOOKUP('ELC RESID'!G42,List!C:C,List!B:B)="STG",E49,"ELC"&amp;_xlfn.XLOOKUP('ELC RESID'!G42,List!C:C,List!B:B))</f>
        <v>ELCSOL</v>
      </c>
      <c r="E49" t="s">
        <v>405</v>
      </c>
      <c r="F49" s="12">
        <f>IF('ELC RESID'!E42="Storage","",IF('ELC RESID'!L42="",1,'ELC RESID'!L42))</f>
        <v>0.38317577658111102</v>
      </c>
      <c r="G49" s="12" t="str">
        <f>IF('ELC RESID'!E42&lt;&gt;"Storage","",IF('ELC RESID'!L42="",1,'ELC RESID'!L42))</f>
        <v/>
      </c>
      <c r="H49">
        <f t="shared" si="2"/>
        <v>31.535999999999998</v>
      </c>
      <c r="I49" s="12">
        <f>_xlfn.XLOOKUP(C49,'ELC RESID'!H:H,'ELC RESID'!N:N)</f>
        <v>0</v>
      </c>
      <c r="J49" s="12">
        <f>_xlfn.XLOOKUP(C49,'ELC RESID'!H:H,'ELC RESID'!M:M)</f>
        <v>25.474928501147339</v>
      </c>
      <c r="K49" s="12">
        <f>IF('ELC RESID'!$E42="Storage","",IF('ELC RESID'!$K42&gt;0,'ELC RESID'!$K42,-'ELC RESID'!$K42))</f>
        <v>0.1558499887716146</v>
      </c>
      <c r="L49" s="12">
        <f t="shared" si="5"/>
        <v>0.1558499887716146</v>
      </c>
      <c r="M49" s="12">
        <f t="shared" si="5"/>
        <v>0.1558499887716146</v>
      </c>
      <c r="N49" s="12" t="str">
        <f>IF('ELC RESID'!$E42="Storage",IF('ELC RESID'!$K42&gt;0,'ELC RESID'!$K42,-'ELC RESID'!$K42),"")</f>
        <v/>
      </c>
      <c r="O49" s="8" t="str">
        <f t="shared" si="6"/>
        <v/>
      </c>
      <c r="P49" s="8" t="str">
        <f t="shared" si="6"/>
        <v/>
      </c>
      <c r="Q49">
        <f>IF('ELC RESID'!E42="Storage",0.3,IF('ELC RESID'!E42="Baseload",0.9,IF('ELC RESID'!E42="Non Dispatchable",0.05,IF('ELC RESID'!E42="Dispatchable",0.9,1))))</f>
        <v>0.05</v>
      </c>
      <c r="R49">
        <f>IF('ELC RESID'!$E42="Non Dispatchable",IFERROR(IF($D49="ELCSOL",$K49/SUMPRODUCT($R$1:$AC$1,$R$3:$AC$3)*R$1,IF($D49="ELCWND",$K49/SUMPRODUCT($R$2:$AC$2,$R$3:$AC$3)*R$2,0)),""),"")</f>
        <v>0.24392118674748697</v>
      </c>
      <c r="S49">
        <f>IF('ELC RESID'!$E42="Non Dispatchable",IFERROR(IF($D49="ELCSOL",$K49/SUMPRODUCT($R$1:$AC$1,$R$3:$AC$3)*S$1,IF($D49="ELCWND",$K49/SUMPRODUCT($R$2:$AC$2,$R$3:$AC$3)*S$2,0)),""),"")</f>
        <v>0.2439211867474872</v>
      </c>
      <c r="T49">
        <f>IF('ELC RESID'!$E42="Non Dispatchable",IFERROR(IF($D49="ELCSOL",$K49/SUMPRODUCT($R$1:$AC$1,$R$3:$AC$3)*T$1,IF($D49="ELCWND",$K49/SUMPRODUCT($R$2:$AC$2,$R$3:$AC$3)*T$2,0)),""),"")</f>
        <v>2.439211867474872E-2</v>
      </c>
      <c r="U49">
        <f>IF('ELC RESID'!$E42="Non Dispatchable",IFERROR(IF($D49="ELCSOL",$K49/SUMPRODUCT($R$1:$AC$1,$R$3:$AC$3)*U$1,IF($D49="ELCWND",$K49/SUMPRODUCT($R$2:$AC$2,$R$3:$AC$3)*U$2,0)),""),"")</f>
        <v>0</v>
      </c>
      <c r="V49">
        <f>IF('ELC RESID'!$E42="Non Dispatchable",IFERROR(IF($D49="ELCSOL",$K49/SUMPRODUCT($R$1:$AC$1,$R$3:$AC$3)*V$1,IF($D49="ELCWND",$K49/SUMPRODUCT($R$2:$AC$2,$R$3:$AC$3)*V$2,0)),""),"")</f>
        <v>0.28093148739367896</v>
      </c>
      <c r="W49">
        <f>IF('ELC RESID'!$E42="Non Dispatchable",IFERROR(IF($D49="ELCSOL",$K49/SUMPRODUCT($R$1:$AC$1,$R$3:$AC$3)*W$1,IF($D49="ELCWND",$K49/SUMPRODUCT($R$2:$AC$2,$R$3:$AC$3)*W$2,0)),""),"")</f>
        <v>0.28093148739367896</v>
      </c>
      <c r="X49">
        <f>IF('ELC RESID'!$E42="Non Dispatchable",IFERROR(IF($D49="ELCSOL",$K49/SUMPRODUCT($R$1:$AC$1,$R$3:$AC$3)*X$1,IF($D49="ELCWND",$K49/SUMPRODUCT($R$2:$AC$2,$R$3:$AC$3)*X$2,0)),""),"")</f>
        <v>2.8093148739367899E-2</v>
      </c>
      <c r="Y49">
        <f>IF('ELC RESID'!$E42="Non Dispatchable",IFERROR(IF($D49="ELCSOL",$K49/SUMPRODUCT($R$1:$AC$1,$R$3:$AC$3)*Y$1,IF($D49="ELCWND",$K49/SUMPRODUCT($R$2:$AC$2,$R$3:$AC$3)*Y$2,0)),""),"")</f>
        <v>0</v>
      </c>
      <c r="Z49">
        <f>IF('ELC RESID'!$E42="Non Dispatchable",IFERROR(IF($D49="ELCSOL",$K49/SUMPRODUCT($R$1:$AC$1,$R$3:$AC$3)*Z$1,IF($D49="ELCWND",$K49/SUMPRODUCT($R$2:$AC$2,$R$3:$AC$3)*Z$2,0)),""),"")</f>
        <v>0.23502356478343495</v>
      </c>
      <c r="AA49">
        <f>IF('ELC RESID'!$E42="Non Dispatchable",IFERROR(IF($D49="ELCSOL",$K49/SUMPRODUCT($R$1:$AC$1,$R$3:$AC$3)*AA$1,IF($D49="ELCWND",$K49/SUMPRODUCT($R$2:$AC$2,$R$3:$AC$3)*AA$2,0)),""),"")</f>
        <v>0.23502356478343495</v>
      </c>
      <c r="AB49">
        <f>IF('ELC RESID'!$E42="Non Dispatchable",IFERROR(IF($D49="ELCSOL",$K49/SUMPRODUCT($R$1:$AC$1,$R$3:$AC$3)*AB$1,IF($D49="ELCWND",$K49/SUMPRODUCT($R$2:$AC$2,$R$3:$AC$3)*AB$2,0)),""),"")</f>
        <v>2.3502356478343495E-2</v>
      </c>
      <c r="AC49">
        <f>IF('ELC RESID'!$E42="Non Dispatchable",IFERROR(IF($D49="ELCSOL",$K49/SUMPRODUCT($R$1:$AC$1,$R$3:$AC$3)*AC$1,IF($D49="ELCWND",$K49/SUMPRODUCT($R$2:$AC$2,$R$3:$AC$3)*AC$2,0)),""),"")</f>
        <v>0</v>
      </c>
      <c r="AD49" t="str">
        <f>IF('ELC RESID'!$E42="Storage", ResidELC!R$3*$N49,"")</f>
        <v/>
      </c>
      <c r="AE49" t="str">
        <f>IF('ELC RESID'!$E42="Storage", ResidELC!S$3*$N49,"")</f>
        <v/>
      </c>
      <c r="AF49" t="str">
        <f>IF('ELC RESID'!$E42="Storage", ResidELC!T$3*$N49,"")</f>
        <v/>
      </c>
      <c r="AG49" t="str">
        <f>IF('ELC RESID'!$E42="Storage", ResidELC!U$3*$N49,"")</f>
        <v/>
      </c>
      <c r="AH49" t="str">
        <f>IF('ELC RESID'!$E42="Storage", ResidELC!V$3*$N49,"")</f>
        <v/>
      </c>
      <c r="AI49" t="str">
        <f>IF('ELC RESID'!$E42="Storage", ResidELC!W$3*$N49,"")</f>
        <v/>
      </c>
      <c r="AJ49" t="str">
        <f>IF('ELC RESID'!$E42="Storage", ResidELC!X$3*$N49,"")</f>
        <v/>
      </c>
      <c r="AK49" t="str">
        <f>IF('ELC RESID'!$E42="Storage", ResidELC!Y$3*$N49,"")</f>
        <v/>
      </c>
      <c r="AL49" t="str">
        <f>IF('ELC RESID'!$E42="Storage", ResidELC!Z$3*$N49,"")</f>
        <v/>
      </c>
      <c r="AM49" t="str">
        <f>IF('ELC RESID'!$E42="Storage", ResidELC!AA$3*$N49,"")</f>
        <v/>
      </c>
      <c r="AN49" t="str">
        <f>IF('ELC RESID'!$E42="Storage", ResidELC!AB$3*$N49,"")</f>
        <v/>
      </c>
      <c r="AO49" t="str">
        <f>IF('ELC RESID'!$E42="Storage", ResidELC!AC$3*$N49,"")</f>
        <v/>
      </c>
      <c r="AP49" s="13">
        <f>'ELC RESID'!O42</f>
        <v>6.1000000000000014</v>
      </c>
      <c r="AQ49" s="13">
        <f>'ELC RESID'!P42</f>
        <v>6.1</v>
      </c>
      <c r="AR49" s="13">
        <f>'ELC RESID'!Q42</f>
        <v>6.1</v>
      </c>
      <c r="AS49" s="13">
        <f>'ELC RESID'!R42</f>
        <v>6.1</v>
      </c>
      <c r="AT49" s="13">
        <f>'ELC RESID'!S42</f>
        <v>6.1</v>
      </c>
      <c r="AU49" s="13">
        <f>'ELC RESID'!T42</f>
        <v>6.1</v>
      </c>
      <c r="AV49" s="13">
        <f>'ELC RESID'!U42</f>
        <v>6.1</v>
      </c>
      <c r="AW49" s="13">
        <f>'ELC RESID'!V42</f>
        <v>3.5</v>
      </c>
      <c r="AX49" s="13">
        <f>'ELC RESID'!W42</f>
        <v>0</v>
      </c>
      <c r="AY49" s="13">
        <f>'ELC RESID'!X42</f>
        <v>0</v>
      </c>
      <c r="AZ49" s="13">
        <f>'ELC RESID'!Y42</f>
        <v>0</v>
      </c>
      <c r="BA49" s="13">
        <f>'ELC RESID'!Z42</f>
        <v>0</v>
      </c>
      <c r="BB49" s="13">
        <f>'ELC RESID'!AA42</f>
        <v>0</v>
      </c>
      <c r="BC49" s="13">
        <f>'ELC RESID'!AB42</f>
        <v>0</v>
      </c>
      <c r="BD49" s="13">
        <f>'ELC RESID'!AC42</f>
        <v>0</v>
      </c>
      <c r="BE49" s="13">
        <f>'ELC RESID'!AD42</f>
        <v>0</v>
      </c>
      <c r="BF49" s="13">
        <f>'ELC RESID'!AE42</f>
        <v>0</v>
      </c>
      <c r="BG49" s="13">
        <f>'ELC RESID'!AF42</f>
        <v>0</v>
      </c>
    </row>
    <row r="50" spans="2:59">
      <c r="B50" t="str">
        <f>IF(SUM(AP50:BG50)=0,"*",Def_Tech!C45)</f>
        <v>*</v>
      </c>
      <c r="C50" t="str">
        <f>Def_Tech!D45</f>
        <v>ELCSOLGRDCSP19</v>
      </c>
      <c r="D50" t="str">
        <f>IF(_xlfn.XLOOKUP('ELC RESID'!G43,List!C:C,List!B:B)="STG",E50,"ELC"&amp;_xlfn.XLOOKUP('ELC RESID'!G43,List!C:C,List!B:B))</f>
        <v>ELCSOL</v>
      </c>
      <c r="E50" t="s">
        <v>405</v>
      </c>
      <c r="F50" s="12">
        <f>IF('ELC RESID'!E43="Storage","",IF('ELC RESID'!L43="",1,'ELC RESID'!L43))</f>
        <v>1</v>
      </c>
      <c r="G50" s="12" t="str">
        <f>IF('ELC RESID'!E43&lt;&gt;"Storage","",IF('ELC RESID'!L43="",1,'ELC RESID'!L43))</f>
        <v/>
      </c>
      <c r="H50">
        <f t="shared" si="2"/>
        <v>31.535999999999998</v>
      </c>
      <c r="I50" s="12">
        <f>_xlfn.XLOOKUP(C50,'ELC RESID'!H:H,'ELC RESID'!N:N)</f>
        <v>1.151025750139367</v>
      </c>
      <c r="J50" s="12">
        <f>_xlfn.XLOOKUP(C50,'ELC RESID'!H:H,'ELC RESID'!M:M)</f>
        <v>78.13820520946102</v>
      </c>
      <c r="K50" s="12">
        <f>IF('ELC RESID'!$E43="Storage","",IF('ELC RESID'!$K43&gt;0,'ELC RESID'!$K43,-'ELC RESID'!$K43))</f>
        <v>0</v>
      </c>
      <c r="L50" s="12">
        <f t="shared" ref="L50:M69" si="7">K50</f>
        <v>0</v>
      </c>
      <c r="M50" s="12">
        <f t="shared" si="7"/>
        <v>0</v>
      </c>
      <c r="N50" s="12" t="str">
        <f>IF('ELC RESID'!$E43="Storage",IF('ELC RESID'!$K43&gt;0,'ELC RESID'!$K43,-'ELC RESID'!$K43),"")</f>
        <v/>
      </c>
      <c r="O50" s="8" t="str">
        <f t="shared" ref="O50:P69" si="8">N50</f>
        <v/>
      </c>
      <c r="P50" s="8" t="str">
        <f t="shared" si="8"/>
        <v/>
      </c>
      <c r="Q50">
        <f>IF('ELC RESID'!E43="Storage",0.3,IF('ELC RESID'!E43="Baseload",0.9,IF('ELC RESID'!E43="Non Dispatchable",0.05,IF('ELC RESID'!E43="Dispatchable",0.9,1))))</f>
        <v>0.05</v>
      </c>
      <c r="R50">
        <f>IF('ELC RESID'!$E43="Non Dispatchable",IFERROR(IF($D50="ELCSOL",$K50/SUMPRODUCT($R$1:$AC$1,$R$3:$AC$3)*R$1,IF($D50="ELCWND",$K50/SUMPRODUCT($R$2:$AC$2,$R$3:$AC$3)*R$2,0)),""),"")</f>
        <v>0</v>
      </c>
      <c r="S50">
        <f>IF('ELC RESID'!$E43="Non Dispatchable",IFERROR(IF($D50="ELCSOL",$K50/SUMPRODUCT($R$1:$AC$1,$R$3:$AC$3)*S$1,IF($D50="ELCWND",$K50/SUMPRODUCT($R$2:$AC$2,$R$3:$AC$3)*S$2,0)),""),"")</f>
        <v>0</v>
      </c>
      <c r="T50">
        <f>IF('ELC RESID'!$E43="Non Dispatchable",IFERROR(IF($D50="ELCSOL",$K50/SUMPRODUCT($R$1:$AC$1,$R$3:$AC$3)*T$1,IF($D50="ELCWND",$K50/SUMPRODUCT($R$2:$AC$2,$R$3:$AC$3)*T$2,0)),""),"")</f>
        <v>0</v>
      </c>
      <c r="U50">
        <f>IF('ELC RESID'!$E43="Non Dispatchable",IFERROR(IF($D50="ELCSOL",$K50/SUMPRODUCT($R$1:$AC$1,$R$3:$AC$3)*U$1,IF($D50="ELCWND",$K50/SUMPRODUCT($R$2:$AC$2,$R$3:$AC$3)*U$2,0)),""),"")</f>
        <v>0</v>
      </c>
      <c r="V50">
        <f>IF('ELC RESID'!$E43="Non Dispatchable",IFERROR(IF($D50="ELCSOL",$K50/SUMPRODUCT($R$1:$AC$1,$R$3:$AC$3)*V$1,IF($D50="ELCWND",$K50/SUMPRODUCT($R$2:$AC$2,$R$3:$AC$3)*V$2,0)),""),"")</f>
        <v>0</v>
      </c>
      <c r="W50">
        <f>IF('ELC RESID'!$E43="Non Dispatchable",IFERROR(IF($D50="ELCSOL",$K50/SUMPRODUCT($R$1:$AC$1,$R$3:$AC$3)*W$1,IF($D50="ELCWND",$K50/SUMPRODUCT($R$2:$AC$2,$R$3:$AC$3)*W$2,0)),""),"")</f>
        <v>0</v>
      </c>
      <c r="X50">
        <f>IF('ELC RESID'!$E43="Non Dispatchable",IFERROR(IF($D50="ELCSOL",$K50/SUMPRODUCT($R$1:$AC$1,$R$3:$AC$3)*X$1,IF($D50="ELCWND",$K50/SUMPRODUCT($R$2:$AC$2,$R$3:$AC$3)*X$2,0)),""),"")</f>
        <v>0</v>
      </c>
      <c r="Y50">
        <f>IF('ELC RESID'!$E43="Non Dispatchable",IFERROR(IF($D50="ELCSOL",$K50/SUMPRODUCT($R$1:$AC$1,$R$3:$AC$3)*Y$1,IF($D50="ELCWND",$K50/SUMPRODUCT($R$2:$AC$2,$R$3:$AC$3)*Y$2,0)),""),"")</f>
        <v>0</v>
      </c>
      <c r="Z50">
        <f>IF('ELC RESID'!$E43="Non Dispatchable",IFERROR(IF($D50="ELCSOL",$K50/SUMPRODUCT($R$1:$AC$1,$R$3:$AC$3)*Z$1,IF($D50="ELCWND",$K50/SUMPRODUCT($R$2:$AC$2,$R$3:$AC$3)*Z$2,0)),""),"")</f>
        <v>0</v>
      </c>
      <c r="AA50">
        <f>IF('ELC RESID'!$E43="Non Dispatchable",IFERROR(IF($D50="ELCSOL",$K50/SUMPRODUCT($R$1:$AC$1,$R$3:$AC$3)*AA$1,IF($D50="ELCWND",$K50/SUMPRODUCT($R$2:$AC$2,$R$3:$AC$3)*AA$2,0)),""),"")</f>
        <v>0</v>
      </c>
      <c r="AB50">
        <f>IF('ELC RESID'!$E43="Non Dispatchable",IFERROR(IF($D50="ELCSOL",$K50/SUMPRODUCT($R$1:$AC$1,$R$3:$AC$3)*AB$1,IF($D50="ELCWND",$K50/SUMPRODUCT($R$2:$AC$2,$R$3:$AC$3)*AB$2,0)),""),"")</f>
        <v>0</v>
      </c>
      <c r="AC50">
        <f>IF('ELC RESID'!$E43="Non Dispatchable",IFERROR(IF($D50="ELCSOL",$K50/SUMPRODUCT($R$1:$AC$1,$R$3:$AC$3)*AC$1,IF($D50="ELCWND",$K50/SUMPRODUCT($R$2:$AC$2,$R$3:$AC$3)*AC$2,0)),""),"")</f>
        <v>0</v>
      </c>
      <c r="AD50" t="str">
        <f>IF('ELC RESID'!$E43="Storage", ResidELC!R$3*$N50,"")</f>
        <v/>
      </c>
      <c r="AE50" t="str">
        <f>IF('ELC RESID'!$E43="Storage", ResidELC!S$3*$N50,"")</f>
        <v/>
      </c>
      <c r="AF50" t="str">
        <f>IF('ELC RESID'!$E43="Storage", ResidELC!T$3*$N50,"")</f>
        <v/>
      </c>
      <c r="AG50" t="str">
        <f>IF('ELC RESID'!$E43="Storage", ResidELC!U$3*$N50,"")</f>
        <v/>
      </c>
      <c r="AH50" t="str">
        <f>IF('ELC RESID'!$E43="Storage", ResidELC!V$3*$N50,"")</f>
        <v/>
      </c>
      <c r="AI50" t="str">
        <f>IF('ELC RESID'!$E43="Storage", ResidELC!W$3*$N50,"")</f>
        <v/>
      </c>
      <c r="AJ50" t="str">
        <f>IF('ELC RESID'!$E43="Storage", ResidELC!X$3*$N50,"")</f>
        <v/>
      </c>
      <c r="AK50" t="str">
        <f>IF('ELC RESID'!$E43="Storage", ResidELC!Y$3*$N50,"")</f>
        <v/>
      </c>
      <c r="AL50" t="str">
        <f>IF('ELC RESID'!$E43="Storage", ResidELC!Z$3*$N50,"")</f>
        <v/>
      </c>
      <c r="AM50" t="str">
        <f>IF('ELC RESID'!$E43="Storage", ResidELC!AA$3*$N50,"")</f>
        <v/>
      </c>
      <c r="AN50" t="str">
        <f>IF('ELC RESID'!$E43="Storage", ResidELC!AB$3*$N50,"")</f>
        <v/>
      </c>
      <c r="AO50" t="str">
        <f>IF('ELC RESID'!$E43="Storage", ResidELC!AC$3*$N50,"")</f>
        <v/>
      </c>
      <c r="AP50" s="13">
        <f>'ELC RESID'!O43</f>
        <v>0</v>
      </c>
      <c r="AQ50" s="13">
        <f>'ELC RESID'!P43</f>
        <v>0</v>
      </c>
      <c r="AR50" s="13">
        <f>'ELC RESID'!Q43</f>
        <v>0</v>
      </c>
      <c r="AS50" s="13">
        <f>'ELC RESID'!R43</f>
        <v>0</v>
      </c>
      <c r="AT50" s="13">
        <f>'ELC RESID'!S43</f>
        <v>0</v>
      </c>
      <c r="AU50" s="13">
        <f>'ELC RESID'!T43</f>
        <v>0</v>
      </c>
      <c r="AV50" s="13">
        <f>'ELC RESID'!U43</f>
        <v>0</v>
      </c>
      <c r="AW50" s="13">
        <f>'ELC RESID'!V43</f>
        <v>0</v>
      </c>
      <c r="AX50" s="13">
        <f>'ELC RESID'!W43</f>
        <v>0</v>
      </c>
      <c r="AY50" s="13">
        <f>'ELC RESID'!X43</f>
        <v>0</v>
      </c>
      <c r="AZ50" s="13">
        <f>'ELC RESID'!Y43</f>
        <v>0</v>
      </c>
      <c r="BA50" s="13">
        <f>'ELC RESID'!Z43</f>
        <v>0</v>
      </c>
      <c r="BB50" s="13">
        <f>'ELC RESID'!AA43</f>
        <v>0</v>
      </c>
      <c r="BC50" s="13">
        <f>'ELC RESID'!AB43</f>
        <v>0</v>
      </c>
      <c r="BD50" s="13">
        <f>'ELC RESID'!AC43</f>
        <v>0</v>
      </c>
      <c r="BE50" s="13">
        <f>'ELC RESID'!AD43</f>
        <v>0</v>
      </c>
      <c r="BF50" s="13">
        <f>'ELC RESID'!AE43</f>
        <v>0</v>
      </c>
      <c r="BG50" s="13">
        <f>'ELC RESID'!AF43</f>
        <v>0</v>
      </c>
    </row>
    <row r="51" spans="2:59">
      <c r="B51" t="str">
        <f>IF(SUM(AP51:BG51)=0,"*",Def_Tech!C46)</f>
        <v>*</v>
      </c>
      <c r="C51" t="str">
        <f>Def_Tech!D46</f>
        <v>ELCSOLGRDSTU19</v>
      </c>
      <c r="D51" t="str">
        <f>IF(_xlfn.XLOOKUP('ELC RESID'!G44,List!C:C,List!B:B)="STG",E51,"ELC"&amp;_xlfn.XLOOKUP('ELC RESID'!G44,List!C:C,List!B:B))</f>
        <v>ELCSOL</v>
      </c>
      <c r="E51" t="s">
        <v>405</v>
      </c>
      <c r="F51" s="12">
        <f>IF('ELC RESID'!E44="Storage","",IF('ELC RESID'!L44="",1,'ELC RESID'!L44))</f>
        <v>1</v>
      </c>
      <c r="G51" s="12" t="str">
        <f>IF('ELC RESID'!E44&lt;&gt;"Storage","",IF('ELC RESID'!L44="",1,'ELC RESID'!L44))</f>
        <v/>
      </c>
      <c r="H51">
        <f t="shared" si="2"/>
        <v>31.535999999999998</v>
      </c>
      <c r="I51" s="12">
        <f>_xlfn.XLOOKUP(C51,'ELC RESID'!H:H,'ELC RESID'!N:N)</f>
        <v>1.151025750139367</v>
      </c>
      <c r="J51" s="12">
        <f>_xlfn.XLOOKUP(C51,'ELC RESID'!H:H,'ELC RESID'!M:M)</f>
        <v>78.13820520946102</v>
      </c>
      <c r="K51" s="12">
        <f>IF('ELC RESID'!$E44="Storage","",IF('ELC RESID'!$K44&gt;0,'ELC RESID'!$K44,-'ELC RESID'!$K44))</f>
        <v>0</v>
      </c>
      <c r="L51" s="12">
        <f t="shared" si="7"/>
        <v>0</v>
      </c>
      <c r="M51" s="12">
        <f t="shared" si="7"/>
        <v>0</v>
      </c>
      <c r="N51" s="12" t="str">
        <f>IF('ELC RESID'!$E44="Storage",IF('ELC RESID'!$K44&gt;0,'ELC RESID'!$K44,-'ELC RESID'!$K44),"")</f>
        <v/>
      </c>
      <c r="O51" s="8" t="str">
        <f t="shared" si="8"/>
        <v/>
      </c>
      <c r="P51" s="8" t="str">
        <f t="shared" si="8"/>
        <v/>
      </c>
      <c r="Q51">
        <f>IF('ELC RESID'!E44="Storage",0.3,IF('ELC RESID'!E44="Baseload",0.9,IF('ELC RESID'!E44="Non Dispatchable",0.05,IF('ELC RESID'!E44="Dispatchable",0.9,1))))</f>
        <v>0.05</v>
      </c>
      <c r="R51">
        <f>IF('ELC RESID'!$E44="Non Dispatchable",IFERROR(IF($D51="ELCSOL",$K51/SUMPRODUCT($R$1:$AC$1,$R$3:$AC$3)*R$1,IF($D51="ELCWND",$K51/SUMPRODUCT($R$2:$AC$2,$R$3:$AC$3)*R$2,0)),""),"")</f>
        <v>0</v>
      </c>
      <c r="S51">
        <f>IF('ELC RESID'!$E44="Non Dispatchable",IFERROR(IF($D51="ELCSOL",$K51/SUMPRODUCT($R$1:$AC$1,$R$3:$AC$3)*S$1,IF($D51="ELCWND",$K51/SUMPRODUCT($R$2:$AC$2,$R$3:$AC$3)*S$2,0)),""),"")</f>
        <v>0</v>
      </c>
      <c r="T51">
        <f>IF('ELC RESID'!$E44="Non Dispatchable",IFERROR(IF($D51="ELCSOL",$K51/SUMPRODUCT($R$1:$AC$1,$R$3:$AC$3)*T$1,IF($D51="ELCWND",$K51/SUMPRODUCT($R$2:$AC$2,$R$3:$AC$3)*T$2,0)),""),"")</f>
        <v>0</v>
      </c>
      <c r="U51">
        <f>IF('ELC RESID'!$E44="Non Dispatchable",IFERROR(IF($D51="ELCSOL",$K51/SUMPRODUCT($R$1:$AC$1,$R$3:$AC$3)*U$1,IF($D51="ELCWND",$K51/SUMPRODUCT($R$2:$AC$2,$R$3:$AC$3)*U$2,0)),""),"")</f>
        <v>0</v>
      </c>
      <c r="V51">
        <f>IF('ELC RESID'!$E44="Non Dispatchable",IFERROR(IF($D51="ELCSOL",$K51/SUMPRODUCT($R$1:$AC$1,$R$3:$AC$3)*V$1,IF($D51="ELCWND",$K51/SUMPRODUCT($R$2:$AC$2,$R$3:$AC$3)*V$2,0)),""),"")</f>
        <v>0</v>
      </c>
      <c r="W51">
        <f>IF('ELC RESID'!$E44="Non Dispatchable",IFERROR(IF($D51="ELCSOL",$K51/SUMPRODUCT($R$1:$AC$1,$R$3:$AC$3)*W$1,IF($D51="ELCWND",$K51/SUMPRODUCT($R$2:$AC$2,$R$3:$AC$3)*W$2,0)),""),"")</f>
        <v>0</v>
      </c>
      <c r="X51">
        <f>IF('ELC RESID'!$E44="Non Dispatchable",IFERROR(IF($D51="ELCSOL",$K51/SUMPRODUCT($R$1:$AC$1,$R$3:$AC$3)*X$1,IF($D51="ELCWND",$K51/SUMPRODUCT($R$2:$AC$2,$R$3:$AC$3)*X$2,0)),""),"")</f>
        <v>0</v>
      </c>
      <c r="Y51">
        <f>IF('ELC RESID'!$E44="Non Dispatchable",IFERROR(IF($D51="ELCSOL",$K51/SUMPRODUCT($R$1:$AC$1,$R$3:$AC$3)*Y$1,IF($D51="ELCWND",$K51/SUMPRODUCT($R$2:$AC$2,$R$3:$AC$3)*Y$2,0)),""),"")</f>
        <v>0</v>
      </c>
      <c r="Z51">
        <f>IF('ELC RESID'!$E44="Non Dispatchable",IFERROR(IF($D51="ELCSOL",$K51/SUMPRODUCT($R$1:$AC$1,$R$3:$AC$3)*Z$1,IF($D51="ELCWND",$K51/SUMPRODUCT($R$2:$AC$2,$R$3:$AC$3)*Z$2,0)),""),"")</f>
        <v>0</v>
      </c>
      <c r="AA51">
        <f>IF('ELC RESID'!$E44="Non Dispatchable",IFERROR(IF($D51="ELCSOL",$K51/SUMPRODUCT($R$1:$AC$1,$R$3:$AC$3)*AA$1,IF($D51="ELCWND",$K51/SUMPRODUCT($R$2:$AC$2,$R$3:$AC$3)*AA$2,0)),""),"")</f>
        <v>0</v>
      </c>
      <c r="AB51">
        <f>IF('ELC RESID'!$E44="Non Dispatchable",IFERROR(IF($D51="ELCSOL",$K51/SUMPRODUCT($R$1:$AC$1,$R$3:$AC$3)*AB$1,IF($D51="ELCWND",$K51/SUMPRODUCT($R$2:$AC$2,$R$3:$AC$3)*AB$2,0)),""),"")</f>
        <v>0</v>
      </c>
      <c r="AC51">
        <f>IF('ELC RESID'!$E44="Non Dispatchable",IFERROR(IF($D51="ELCSOL",$K51/SUMPRODUCT($R$1:$AC$1,$R$3:$AC$3)*AC$1,IF($D51="ELCWND",$K51/SUMPRODUCT($R$2:$AC$2,$R$3:$AC$3)*AC$2,0)),""),"")</f>
        <v>0</v>
      </c>
      <c r="AD51" t="str">
        <f>IF('ELC RESID'!$E44="Storage", ResidELC!R$3*$N51,"")</f>
        <v/>
      </c>
      <c r="AE51" t="str">
        <f>IF('ELC RESID'!$E44="Storage", ResidELC!S$3*$N51,"")</f>
        <v/>
      </c>
      <c r="AF51" t="str">
        <f>IF('ELC RESID'!$E44="Storage", ResidELC!T$3*$N51,"")</f>
        <v/>
      </c>
      <c r="AG51" t="str">
        <f>IF('ELC RESID'!$E44="Storage", ResidELC!U$3*$N51,"")</f>
        <v/>
      </c>
      <c r="AH51" t="str">
        <f>IF('ELC RESID'!$E44="Storage", ResidELC!V$3*$N51,"")</f>
        <v/>
      </c>
      <c r="AI51" t="str">
        <f>IF('ELC RESID'!$E44="Storage", ResidELC!W$3*$N51,"")</f>
        <v/>
      </c>
      <c r="AJ51" t="str">
        <f>IF('ELC RESID'!$E44="Storage", ResidELC!X$3*$N51,"")</f>
        <v/>
      </c>
      <c r="AK51" t="str">
        <f>IF('ELC RESID'!$E44="Storage", ResidELC!Y$3*$N51,"")</f>
        <v/>
      </c>
      <c r="AL51" t="str">
        <f>IF('ELC RESID'!$E44="Storage", ResidELC!Z$3*$N51,"")</f>
        <v/>
      </c>
      <c r="AM51" t="str">
        <f>IF('ELC RESID'!$E44="Storage", ResidELC!AA$3*$N51,"")</f>
        <v/>
      </c>
      <c r="AN51" t="str">
        <f>IF('ELC RESID'!$E44="Storage", ResidELC!AB$3*$N51,"")</f>
        <v/>
      </c>
      <c r="AO51" t="str">
        <f>IF('ELC RESID'!$E44="Storage", ResidELC!AC$3*$N51,"")</f>
        <v/>
      </c>
      <c r="AP51" s="13">
        <f>'ELC RESID'!O44</f>
        <v>0</v>
      </c>
      <c r="AQ51" s="13">
        <f>'ELC RESID'!P44</f>
        <v>0</v>
      </c>
      <c r="AR51" s="13">
        <f>'ELC RESID'!Q44</f>
        <v>0</v>
      </c>
      <c r="AS51" s="13">
        <f>'ELC RESID'!R44</f>
        <v>0</v>
      </c>
      <c r="AT51" s="13">
        <f>'ELC RESID'!S44</f>
        <v>0</v>
      </c>
      <c r="AU51" s="13">
        <f>'ELC RESID'!T44</f>
        <v>0</v>
      </c>
      <c r="AV51" s="13">
        <f>'ELC RESID'!U44</f>
        <v>0</v>
      </c>
      <c r="AW51" s="13">
        <f>'ELC RESID'!V44</f>
        <v>0</v>
      </c>
      <c r="AX51" s="13">
        <f>'ELC RESID'!W44</f>
        <v>0</v>
      </c>
      <c r="AY51" s="13">
        <f>'ELC RESID'!X44</f>
        <v>0</v>
      </c>
      <c r="AZ51" s="13">
        <f>'ELC RESID'!Y44</f>
        <v>0</v>
      </c>
      <c r="BA51" s="13">
        <f>'ELC RESID'!Z44</f>
        <v>0</v>
      </c>
      <c r="BB51" s="13">
        <f>'ELC RESID'!AA44</f>
        <v>0</v>
      </c>
      <c r="BC51" s="13">
        <f>'ELC RESID'!AB44</f>
        <v>0</v>
      </c>
      <c r="BD51" s="13">
        <f>'ELC RESID'!AC44</f>
        <v>0</v>
      </c>
      <c r="BE51" s="13">
        <f>'ELC RESID'!AD44</f>
        <v>0</v>
      </c>
      <c r="BF51" s="13">
        <f>'ELC RESID'!AE44</f>
        <v>0</v>
      </c>
      <c r="BG51" s="13">
        <f>'ELC RESID'!AF44</f>
        <v>0</v>
      </c>
    </row>
    <row r="52" spans="2:59">
      <c r="B52" t="str">
        <f>IF(SUM(AP52:BG52)=0,"*",Def_Tech!C47)</f>
        <v>*</v>
      </c>
      <c r="C52" t="str">
        <f>Def_Tech!D47</f>
        <v>ELCSOLGRDOTT19</v>
      </c>
      <c r="D52" t="str">
        <f>IF(_xlfn.XLOOKUP('ELC RESID'!G45,List!C:C,List!B:B)="STG",E52,"ELC"&amp;_xlfn.XLOOKUP('ELC RESID'!G45,List!C:C,List!B:B))</f>
        <v>ELCSOL</v>
      </c>
      <c r="E52" t="s">
        <v>405</v>
      </c>
      <c r="F52" s="12">
        <f>IF('ELC RESID'!E45="Storage","",IF('ELC RESID'!L45="",1,'ELC RESID'!L45))</f>
        <v>1</v>
      </c>
      <c r="G52" s="12" t="str">
        <f>IF('ELC RESID'!E45&lt;&gt;"Storage","",IF('ELC RESID'!L45="",1,'ELC RESID'!L45))</f>
        <v/>
      </c>
      <c r="H52">
        <f t="shared" si="2"/>
        <v>31.535999999999998</v>
      </c>
      <c r="I52" s="12">
        <f>_xlfn.XLOOKUP(C52,'ELC RESID'!H:H,'ELC RESID'!N:N)</f>
        <v>1.151025750139367</v>
      </c>
      <c r="J52" s="12">
        <f>_xlfn.XLOOKUP(C52,'ELC RESID'!H:H,'ELC RESID'!M:M)</f>
        <v>78.13820520946102</v>
      </c>
      <c r="K52" s="12">
        <f>IF('ELC RESID'!$E45="Storage","",IF('ELC RESID'!$K45&gt;0,'ELC RESID'!$K45,-'ELC RESID'!$K45))</f>
        <v>0</v>
      </c>
      <c r="L52" s="12">
        <f t="shared" si="7"/>
        <v>0</v>
      </c>
      <c r="M52" s="12">
        <f t="shared" si="7"/>
        <v>0</v>
      </c>
      <c r="N52" s="12" t="str">
        <f>IF('ELC RESID'!$E45="Storage",IF('ELC RESID'!$K45&gt;0,'ELC RESID'!$K45,-'ELC RESID'!$K45),"")</f>
        <v/>
      </c>
      <c r="O52" s="8" t="str">
        <f t="shared" si="8"/>
        <v/>
      </c>
      <c r="P52" s="8" t="str">
        <f t="shared" si="8"/>
        <v/>
      </c>
      <c r="Q52">
        <f>IF('ELC RESID'!E45="Storage",0.3,IF('ELC RESID'!E45="Baseload",0.9,IF('ELC RESID'!E45="Non Dispatchable",0.05,IF('ELC RESID'!E45="Dispatchable",0.9,1))))</f>
        <v>0.05</v>
      </c>
      <c r="R52">
        <f>IF('ELC RESID'!$E45="Non Dispatchable",IFERROR(IF($D52="ELCSOL",$K52/SUMPRODUCT($R$1:$AC$1,$R$3:$AC$3)*R$1,IF($D52="ELCWND",$K52/SUMPRODUCT($R$2:$AC$2,$R$3:$AC$3)*R$2,0)),""),"")</f>
        <v>0</v>
      </c>
      <c r="S52">
        <f>IF('ELC RESID'!$E45="Non Dispatchable",IFERROR(IF($D52="ELCSOL",$K52/SUMPRODUCT($R$1:$AC$1,$R$3:$AC$3)*S$1,IF($D52="ELCWND",$K52/SUMPRODUCT($R$2:$AC$2,$R$3:$AC$3)*S$2,0)),""),"")</f>
        <v>0</v>
      </c>
      <c r="T52">
        <f>IF('ELC RESID'!$E45="Non Dispatchable",IFERROR(IF($D52="ELCSOL",$K52/SUMPRODUCT($R$1:$AC$1,$R$3:$AC$3)*T$1,IF($D52="ELCWND",$K52/SUMPRODUCT($R$2:$AC$2,$R$3:$AC$3)*T$2,0)),""),"")</f>
        <v>0</v>
      </c>
      <c r="U52">
        <f>IF('ELC RESID'!$E45="Non Dispatchable",IFERROR(IF($D52="ELCSOL",$K52/SUMPRODUCT($R$1:$AC$1,$R$3:$AC$3)*U$1,IF($D52="ELCWND",$K52/SUMPRODUCT($R$2:$AC$2,$R$3:$AC$3)*U$2,0)),""),"")</f>
        <v>0</v>
      </c>
      <c r="V52">
        <f>IF('ELC RESID'!$E45="Non Dispatchable",IFERROR(IF($D52="ELCSOL",$K52/SUMPRODUCT($R$1:$AC$1,$R$3:$AC$3)*V$1,IF($D52="ELCWND",$K52/SUMPRODUCT($R$2:$AC$2,$R$3:$AC$3)*V$2,0)),""),"")</f>
        <v>0</v>
      </c>
      <c r="W52">
        <f>IF('ELC RESID'!$E45="Non Dispatchable",IFERROR(IF($D52="ELCSOL",$K52/SUMPRODUCT($R$1:$AC$1,$R$3:$AC$3)*W$1,IF($D52="ELCWND",$K52/SUMPRODUCT($R$2:$AC$2,$R$3:$AC$3)*W$2,0)),""),"")</f>
        <v>0</v>
      </c>
      <c r="X52">
        <f>IF('ELC RESID'!$E45="Non Dispatchable",IFERROR(IF($D52="ELCSOL",$K52/SUMPRODUCT($R$1:$AC$1,$R$3:$AC$3)*X$1,IF($D52="ELCWND",$K52/SUMPRODUCT($R$2:$AC$2,$R$3:$AC$3)*X$2,0)),""),"")</f>
        <v>0</v>
      </c>
      <c r="Y52">
        <f>IF('ELC RESID'!$E45="Non Dispatchable",IFERROR(IF($D52="ELCSOL",$K52/SUMPRODUCT($R$1:$AC$1,$R$3:$AC$3)*Y$1,IF($D52="ELCWND",$K52/SUMPRODUCT($R$2:$AC$2,$R$3:$AC$3)*Y$2,0)),""),"")</f>
        <v>0</v>
      </c>
      <c r="Z52">
        <f>IF('ELC RESID'!$E45="Non Dispatchable",IFERROR(IF($D52="ELCSOL",$K52/SUMPRODUCT($R$1:$AC$1,$R$3:$AC$3)*Z$1,IF($D52="ELCWND",$K52/SUMPRODUCT($R$2:$AC$2,$R$3:$AC$3)*Z$2,0)),""),"")</f>
        <v>0</v>
      </c>
      <c r="AA52">
        <f>IF('ELC RESID'!$E45="Non Dispatchable",IFERROR(IF($D52="ELCSOL",$K52/SUMPRODUCT($R$1:$AC$1,$R$3:$AC$3)*AA$1,IF($D52="ELCWND",$K52/SUMPRODUCT($R$2:$AC$2,$R$3:$AC$3)*AA$2,0)),""),"")</f>
        <v>0</v>
      </c>
      <c r="AB52">
        <f>IF('ELC RESID'!$E45="Non Dispatchable",IFERROR(IF($D52="ELCSOL",$K52/SUMPRODUCT($R$1:$AC$1,$R$3:$AC$3)*AB$1,IF($D52="ELCWND",$K52/SUMPRODUCT($R$2:$AC$2,$R$3:$AC$3)*AB$2,0)),""),"")</f>
        <v>0</v>
      </c>
      <c r="AC52">
        <f>IF('ELC RESID'!$E45="Non Dispatchable",IFERROR(IF($D52="ELCSOL",$K52/SUMPRODUCT($R$1:$AC$1,$R$3:$AC$3)*AC$1,IF($D52="ELCWND",$K52/SUMPRODUCT($R$2:$AC$2,$R$3:$AC$3)*AC$2,0)),""),"")</f>
        <v>0</v>
      </c>
      <c r="AD52" t="str">
        <f>IF('ELC RESID'!$E45="Storage", ResidELC!R$3*$N52,"")</f>
        <v/>
      </c>
      <c r="AE52" t="str">
        <f>IF('ELC RESID'!$E45="Storage", ResidELC!S$3*$N52,"")</f>
        <v/>
      </c>
      <c r="AF52" t="str">
        <f>IF('ELC RESID'!$E45="Storage", ResidELC!T$3*$N52,"")</f>
        <v/>
      </c>
      <c r="AG52" t="str">
        <f>IF('ELC RESID'!$E45="Storage", ResidELC!U$3*$N52,"")</f>
        <v/>
      </c>
      <c r="AH52" t="str">
        <f>IF('ELC RESID'!$E45="Storage", ResidELC!V$3*$N52,"")</f>
        <v/>
      </c>
      <c r="AI52" t="str">
        <f>IF('ELC RESID'!$E45="Storage", ResidELC!W$3*$N52,"")</f>
        <v/>
      </c>
      <c r="AJ52" t="str">
        <f>IF('ELC RESID'!$E45="Storage", ResidELC!X$3*$N52,"")</f>
        <v/>
      </c>
      <c r="AK52" t="str">
        <f>IF('ELC RESID'!$E45="Storage", ResidELC!Y$3*$N52,"")</f>
        <v/>
      </c>
      <c r="AL52" t="str">
        <f>IF('ELC RESID'!$E45="Storage", ResidELC!Z$3*$N52,"")</f>
        <v/>
      </c>
      <c r="AM52" t="str">
        <f>IF('ELC RESID'!$E45="Storage", ResidELC!AA$3*$N52,"")</f>
        <v/>
      </c>
      <c r="AN52" t="str">
        <f>IF('ELC RESID'!$E45="Storage", ResidELC!AB$3*$N52,"")</f>
        <v/>
      </c>
      <c r="AO52" t="str">
        <f>IF('ELC RESID'!$E45="Storage", ResidELC!AC$3*$N52,"")</f>
        <v/>
      </c>
      <c r="AP52" s="13">
        <f>'ELC RESID'!O45</f>
        <v>0</v>
      </c>
      <c r="AQ52" s="13">
        <f>'ELC RESID'!P45</f>
        <v>0</v>
      </c>
      <c r="AR52" s="13">
        <f>'ELC RESID'!Q45</f>
        <v>0</v>
      </c>
      <c r="AS52" s="13">
        <f>'ELC RESID'!R45</f>
        <v>0</v>
      </c>
      <c r="AT52" s="13">
        <f>'ELC RESID'!S45</f>
        <v>0</v>
      </c>
      <c r="AU52" s="13">
        <f>'ELC RESID'!T45</f>
        <v>0</v>
      </c>
      <c r="AV52" s="13">
        <f>'ELC RESID'!U45</f>
        <v>0</v>
      </c>
      <c r="AW52" s="13">
        <f>'ELC RESID'!V45</f>
        <v>0</v>
      </c>
      <c r="AX52" s="13">
        <f>'ELC RESID'!W45</f>
        <v>0</v>
      </c>
      <c r="AY52" s="13">
        <f>'ELC RESID'!X45</f>
        <v>0</v>
      </c>
      <c r="AZ52" s="13">
        <f>'ELC RESID'!Y45</f>
        <v>0</v>
      </c>
      <c r="BA52" s="13">
        <f>'ELC RESID'!Z45</f>
        <v>0</v>
      </c>
      <c r="BB52" s="13">
        <f>'ELC RESID'!AA45</f>
        <v>0</v>
      </c>
      <c r="BC52" s="13">
        <f>'ELC RESID'!AB45</f>
        <v>0</v>
      </c>
      <c r="BD52" s="13">
        <f>'ELC RESID'!AC45</f>
        <v>0</v>
      </c>
      <c r="BE52" s="13">
        <f>'ELC RESID'!AD45</f>
        <v>0</v>
      </c>
      <c r="BF52" s="13">
        <f>'ELC RESID'!AE45</f>
        <v>0</v>
      </c>
      <c r="BG52" s="13">
        <f>'ELC RESID'!AF45</f>
        <v>0</v>
      </c>
    </row>
    <row r="53" spans="2:59">
      <c r="B53" t="str">
        <f>IF(SUM(AP53:BG53)=0,"*",Def_Tech!C48)</f>
        <v>CITY</v>
      </c>
      <c r="C53" t="str">
        <f>Def_Tech!D48</f>
        <v>ELCSOLDCECPV19</v>
      </c>
      <c r="D53" t="str">
        <f>IF(_xlfn.XLOOKUP('ELC RESID'!G46,List!C:C,List!B:B)="STG",E53,"ELC"&amp;_xlfn.XLOOKUP('ELC RESID'!G46,List!C:C,List!B:B))</f>
        <v>ELCSOL</v>
      </c>
      <c r="E53" t="s">
        <v>406</v>
      </c>
      <c r="F53" s="12">
        <f>IF('ELC RESID'!E46="Storage","",IF('ELC RESID'!L46="",1,'ELC RESID'!L46))</f>
        <v>1</v>
      </c>
      <c r="G53" s="12" t="str">
        <f>IF('ELC RESID'!E46&lt;&gt;"Storage","",IF('ELC RESID'!L46="",1,'ELC RESID'!L46))</f>
        <v/>
      </c>
      <c r="H53">
        <f t="shared" si="2"/>
        <v>31.535999999999998</v>
      </c>
      <c r="I53" s="12">
        <f>_xlfn.XLOOKUP(C53,'ELC RESID'!H:H,'ELC RESID'!N:N)</f>
        <v>0</v>
      </c>
      <c r="J53" s="12">
        <f>_xlfn.XLOOKUP(C53,'ELC RESID'!H:H,'ELC RESID'!M:M)</f>
        <v>20.242248163120561</v>
      </c>
      <c r="K53" s="12">
        <f>IF('ELC RESID'!$E46="Storage","",IF('ELC RESID'!$K46&gt;0,'ELC RESID'!$K46,-'ELC RESID'!$K46))</f>
        <v>0.1558499887716146</v>
      </c>
      <c r="L53" s="12">
        <f t="shared" si="7"/>
        <v>0.1558499887716146</v>
      </c>
      <c r="M53" s="12">
        <f t="shared" si="7"/>
        <v>0.1558499887716146</v>
      </c>
      <c r="N53" s="12" t="str">
        <f>IF('ELC RESID'!$E46="Storage",IF('ELC RESID'!$K46&gt;0,'ELC RESID'!$K46,-'ELC RESID'!$K46),"")</f>
        <v/>
      </c>
      <c r="O53" s="8" t="str">
        <f t="shared" si="8"/>
        <v/>
      </c>
      <c r="P53" s="8" t="str">
        <f t="shared" si="8"/>
        <v/>
      </c>
      <c r="Q53">
        <f>IF('ELC RESID'!E46="Storage",0.3,IF('ELC RESID'!E46="Baseload",0.9,IF('ELC RESID'!E46="Non Dispatchable",0.05,IF('ELC RESID'!E46="Dispatchable",0.9,1))))</f>
        <v>0.05</v>
      </c>
      <c r="R53">
        <f>IF('ELC RESID'!$E46="Non Dispatchable",IFERROR(IF($D53="ELCSOL",$K53/SUMPRODUCT($R$1:$AC$1,$R$3:$AC$3)*R$1,IF($D53="ELCWND",$K53/SUMPRODUCT($R$2:$AC$2,$R$3:$AC$3)*R$2,0)),""),"")</f>
        <v>0.24392118674748697</v>
      </c>
      <c r="S53">
        <f>IF('ELC RESID'!$E46="Non Dispatchable",IFERROR(IF($D53="ELCSOL",$K53/SUMPRODUCT($R$1:$AC$1,$R$3:$AC$3)*S$1,IF($D53="ELCWND",$K53/SUMPRODUCT($R$2:$AC$2,$R$3:$AC$3)*S$2,0)),""),"")</f>
        <v>0.2439211867474872</v>
      </c>
      <c r="T53">
        <f>IF('ELC RESID'!$E46="Non Dispatchable",IFERROR(IF($D53="ELCSOL",$K53/SUMPRODUCT($R$1:$AC$1,$R$3:$AC$3)*T$1,IF($D53="ELCWND",$K53/SUMPRODUCT($R$2:$AC$2,$R$3:$AC$3)*T$2,0)),""),"")</f>
        <v>2.439211867474872E-2</v>
      </c>
      <c r="U53">
        <f>IF('ELC RESID'!$E46="Non Dispatchable",IFERROR(IF($D53="ELCSOL",$K53/SUMPRODUCT($R$1:$AC$1,$R$3:$AC$3)*U$1,IF($D53="ELCWND",$K53/SUMPRODUCT($R$2:$AC$2,$R$3:$AC$3)*U$2,0)),""),"")</f>
        <v>0</v>
      </c>
      <c r="V53">
        <f>IF('ELC RESID'!$E46="Non Dispatchable",IFERROR(IF($D53="ELCSOL",$K53/SUMPRODUCT($R$1:$AC$1,$R$3:$AC$3)*V$1,IF($D53="ELCWND",$K53/SUMPRODUCT($R$2:$AC$2,$R$3:$AC$3)*V$2,0)),""),"")</f>
        <v>0.28093148739367896</v>
      </c>
      <c r="W53">
        <f>IF('ELC RESID'!$E46="Non Dispatchable",IFERROR(IF($D53="ELCSOL",$K53/SUMPRODUCT($R$1:$AC$1,$R$3:$AC$3)*W$1,IF($D53="ELCWND",$K53/SUMPRODUCT($R$2:$AC$2,$R$3:$AC$3)*W$2,0)),""),"")</f>
        <v>0.28093148739367896</v>
      </c>
      <c r="X53">
        <f>IF('ELC RESID'!$E46="Non Dispatchable",IFERROR(IF($D53="ELCSOL",$K53/SUMPRODUCT($R$1:$AC$1,$R$3:$AC$3)*X$1,IF($D53="ELCWND",$K53/SUMPRODUCT($R$2:$AC$2,$R$3:$AC$3)*X$2,0)),""),"")</f>
        <v>2.8093148739367899E-2</v>
      </c>
      <c r="Y53">
        <f>IF('ELC RESID'!$E46="Non Dispatchable",IFERROR(IF($D53="ELCSOL",$K53/SUMPRODUCT($R$1:$AC$1,$R$3:$AC$3)*Y$1,IF($D53="ELCWND",$K53/SUMPRODUCT($R$2:$AC$2,$R$3:$AC$3)*Y$2,0)),""),"")</f>
        <v>0</v>
      </c>
      <c r="Z53">
        <f>IF('ELC RESID'!$E46="Non Dispatchable",IFERROR(IF($D53="ELCSOL",$K53/SUMPRODUCT($R$1:$AC$1,$R$3:$AC$3)*Z$1,IF($D53="ELCWND",$K53/SUMPRODUCT($R$2:$AC$2,$R$3:$AC$3)*Z$2,0)),""),"")</f>
        <v>0.23502356478343495</v>
      </c>
      <c r="AA53">
        <f>IF('ELC RESID'!$E46="Non Dispatchable",IFERROR(IF($D53="ELCSOL",$K53/SUMPRODUCT($R$1:$AC$1,$R$3:$AC$3)*AA$1,IF($D53="ELCWND",$K53/SUMPRODUCT($R$2:$AC$2,$R$3:$AC$3)*AA$2,0)),""),"")</f>
        <v>0.23502356478343495</v>
      </c>
      <c r="AB53">
        <f>IF('ELC RESID'!$E46="Non Dispatchable",IFERROR(IF($D53="ELCSOL",$K53/SUMPRODUCT($R$1:$AC$1,$R$3:$AC$3)*AB$1,IF($D53="ELCWND",$K53/SUMPRODUCT($R$2:$AC$2,$R$3:$AC$3)*AB$2,0)),""),"")</f>
        <v>2.3502356478343495E-2</v>
      </c>
      <c r="AC53">
        <f>IF('ELC RESID'!$E46="Non Dispatchable",IFERROR(IF($D53="ELCSOL",$K53/SUMPRODUCT($R$1:$AC$1,$R$3:$AC$3)*AC$1,IF($D53="ELCWND",$K53/SUMPRODUCT($R$2:$AC$2,$R$3:$AC$3)*AC$2,0)),""),"")</f>
        <v>0</v>
      </c>
      <c r="AD53" t="str">
        <f>IF('ELC RESID'!$E46="Storage", ResidELC!R$3*$N53,"")</f>
        <v/>
      </c>
      <c r="AE53" t="str">
        <f>IF('ELC RESID'!$E46="Storage", ResidELC!S$3*$N53,"")</f>
        <v/>
      </c>
      <c r="AF53" t="str">
        <f>IF('ELC RESID'!$E46="Storage", ResidELC!T$3*$N53,"")</f>
        <v/>
      </c>
      <c r="AG53" t="str">
        <f>IF('ELC RESID'!$E46="Storage", ResidELC!U$3*$N53,"")</f>
        <v/>
      </c>
      <c r="AH53" t="str">
        <f>IF('ELC RESID'!$E46="Storage", ResidELC!V$3*$N53,"")</f>
        <v/>
      </c>
      <c r="AI53" t="str">
        <f>IF('ELC RESID'!$E46="Storage", ResidELC!W$3*$N53,"")</f>
        <v/>
      </c>
      <c r="AJ53" t="str">
        <f>IF('ELC RESID'!$E46="Storage", ResidELC!X$3*$N53,"")</f>
        <v/>
      </c>
      <c r="AK53" t="str">
        <f>IF('ELC RESID'!$E46="Storage", ResidELC!Y$3*$N53,"")</f>
        <v/>
      </c>
      <c r="AL53" t="str">
        <f>IF('ELC RESID'!$E46="Storage", ResidELC!Z$3*$N53,"")</f>
        <v/>
      </c>
      <c r="AM53" t="str">
        <f>IF('ELC RESID'!$E46="Storage", ResidELC!AA$3*$N53,"")</f>
        <v/>
      </c>
      <c r="AN53" t="str">
        <f>IF('ELC RESID'!$E46="Storage", ResidELC!AB$3*$N53,"")</f>
        <v/>
      </c>
      <c r="AO53" t="str">
        <f>IF('ELC RESID'!$E46="Storage", ResidELC!AC$3*$N53,"")</f>
        <v/>
      </c>
      <c r="AP53" s="13">
        <f>'ELC RESID'!O46</f>
        <v>474.95881813276537</v>
      </c>
      <c r="AQ53" s="13">
        <f>'ELC RESID'!P46</f>
        <v>474.95881813276537</v>
      </c>
      <c r="AR53" s="13">
        <f>'ELC RESID'!Q46</f>
        <v>474.95881813276537</v>
      </c>
      <c r="AS53" s="13">
        <f>'ELC RESID'!R46</f>
        <v>474.95881813276537</v>
      </c>
      <c r="AT53" s="13">
        <f>'ELC RESID'!S46</f>
        <v>474.95881813276537</v>
      </c>
      <c r="AU53" s="13">
        <f>'ELC RESID'!T46</f>
        <v>474.95881813276537</v>
      </c>
      <c r="AV53" s="13">
        <f>'ELC RESID'!U46</f>
        <v>474.95881813276537</v>
      </c>
      <c r="AW53" s="13">
        <f>'ELC RESID'!V46</f>
        <v>474.95881813276537</v>
      </c>
      <c r="AX53" s="13">
        <f>'ELC RESID'!W46</f>
        <v>474.95881813276537</v>
      </c>
      <c r="AY53" s="13">
        <f>'ELC RESID'!X46</f>
        <v>474.95881813276537</v>
      </c>
      <c r="AZ53" s="13">
        <f>'ELC RESID'!Y46</f>
        <v>474.95881813276537</v>
      </c>
      <c r="BA53" s="13">
        <f>'ELC RESID'!Z46</f>
        <v>474.95881813276537</v>
      </c>
      <c r="BB53" s="13">
        <f>'ELC RESID'!AA46</f>
        <v>474.95881813276537</v>
      </c>
      <c r="BC53" s="13">
        <f>'ELC RESID'!AB46</f>
        <v>474.95881813276537</v>
      </c>
      <c r="BD53" s="13">
        <f>'ELC RESID'!AC46</f>
        <v>474.95881813276537</v>
      </c>
      <c r="BE53" s="13">
        <f>'ELC RESID'!AD46</f>
        <v>474.95881813276537</v>
      </c>
      <c r="BF53" s="13">
        <f>'ELC RESID'!AE46</f>
        <v>474.95881813276537</v>
      </c>
      <c r="BG53" s="13">
        <f>'ELC RESID'!AF46</f>
        <v>474.95881813276537</v>
      </c>
    </row>
    <row r="54" spans="2:59">
      <c r="B54" t="str">
        <f>IF(SUM(AP54:BG54)=0,"*",Def_Tech!C49)</f>
        <v>CITY</v>
      </c>
      <c r="C54" t="str">
        <f>Def_Tech!D49</f>
        <v>ELCSOLDCERPV19</v>
      </c>
      <c r="D54" t="str">
        <f>IF(_xlfn.XLOOKUP('ELC RESID'!G47,List!C:C,List!B:B)="STG",E54,"ELC"&amp;_xlfn.XLOOKUP('ELC RESID'!G47,List!C:C,List!B:B))</f>
        <v>ELCSOL</v>
      </c>
      <c r="E54" t="s">
        <v>407</v>
      </c>
      <c r="F54" s="12">
        <f>IF('ELC RESID'!E47="Storage","",IF('ELC RESID'!L47="",1,'ELC RESID'!L47))</f>
        <v>1</v>
      </c>
      <c r="G54" s="12" t="str">
        <f>IF('ELC RESID'!E47&lt;&gt;"Storage","",IF('ELC RESID'!L47="",1,'ELC RESID'!L47))</f>
        <v/>
      </c>
      <c r="H54">
        <f t="shared" si="2"/>
        <v>31.535999999999998</v>
      </c>
      <c r="I54" s="12">
        <f>_xlfn.XLOOKUP(C54,'ELC RESID'!H:H,'ELC RESID'!N:N)</f>
        <v>0</v>
      </c>
      <c r="J54" s="12">
        <f>_xlfn.XLOOKUP(C54,'ELC RESID'!H:H,'ELC RESID'!M:M)</f>
        <v>34.293446157052813</v>
      </c>
      <c r="K54" s="12">
        <f>IF('ELC RESID'!$E47="Storage","",IF('ELC RESID'!$K47&gt;0,'ELC RESID'!$K47,-'ELC RESID'!$K47))</f>
        <v>0.1558499887716146</v>
      </c>
      <c r="L54" s="12">
        <f t="shared" si="7"/>
        <v>0.1558499887716146</v>
      </c>
      <c r="M54" s="12">
        <f t="shared" si="7"/>
        <v>0.1558499887716146</v>
      </c>
      <c r="N54" s="12" t="str">
        <f>IF('ELC RESID'!$E47="Storage",IF('ELC RESID'!$K47&gt;0,'ELC RESID'!$K47,-'ELC RESID'!$K47),"")</f>
        <v/>
      </c>
      <c r="O54" s="8" t="str">
        <f t="shared" si="8"/>
        <v/>
      </c>
      <c r="P54" s="8" t="str">
        <f t="shared" si="8"/>
        <v/>
      </c>
      <c r="Q54">
        <f>IF('ELC RESID'!E47="Storage",0.3,IF('ELC RESID'!E47="Baseload",0.9,IF('ELC RESID'!E47="Non Dispatchable",0.05,IF('ELC RESID'!E47="Dispatchable",0.9,1))))</f>
        <v>0.05</v>
      </c>
      <c r="R54">
        <f>IF('ELC RESID'!$E47="Non Dispatchable",IFERROR(IF($D54="ELCSOL",$K54/SUMPRODUCT($R$1:$AC$1,$R$3:$AC$3)*R$1,IF($D54="ELCWND",$K54/SUMPRODUCT($R$2:$AC$2,$R$3:$AC$3)*R$2,0)),""),"")</f>
        <v>0.24392118674748697</v>
      </c>
      <c r="S54">
        <f>IF('ELC RESID'!$E47="Non Dispatchable",IFERROR(IF($D54="ELCSOL",$K54/SUMPRODUCT($R$1:$AC$1,$R$3:$AC$3)*S$1,IF($D54="ELCWND",$K54/SUMPRODUCT($R$2:$AC$2,$R$3:$AC$3)*S$2,0)),""),"")</f>
        <v>0.2439211867474872</v>
      </c>
      <c r="T54">
        <f>IF('ELC RESID'!$E47="Non Dispatchable",IFERROR(IF($D54="ELCSOL",$K54/SUMPRODUCT($R$1:$AC$1,$R$3:$AC$3)*T$1,IF($D54="ELCWND",$K54/SUMPRODUCT($R$2:$AC$2,$R$3:$AC$3)*T$2,0)),""),"")</f>
        <v>2.439211867474872E-2</v>
      </c>
      <c r="U54">
        <f>IF('ELC RESID'!$E47="Non Dispatchable",IFERROR(IF($D54="ELCSOL",$K54/SUMPRODUCT($R$1:$AC$1,$R$3:$AC$3)*U$1,IF($D54="ELCWND",$K54/SUMPRODUCT($R$2:$AC$2,$R$3:$AC$3)*U$2,0)),""),"")</f>
        <v>0</v>
      </c>
      <c r="V54">
        <f>IF('ELC RESID'!$E47="Non Dispatchable",IFERROR(IF($D54="ELCSOL",$K54/SUMPRODUCT($R$1:$AC$1,$R$3:$AC$3)*V$1,IF($D54="ELCWND",$K54/SUMPRODUCT($R$2:$AC$2,$R$3:$AC$3)*V$2,0)),""),"")</f>
        <v>0.28093148739367896</v>
      </c>
      <c r="W54">
        <f>IF('ELC RESID'!$E47="Non Dispatchable",IFERROR(IF($D54="ELCSOL",$K54/SUMPRODUCT($R$1:$AC$1,$R$3:$AC$3)*W$1,IF($D54="ELCWND",$K54/SUMPRODUCT($R$2:$AC$2,$R$3:$AC$3)*W$2,0)),""),"")</f>
        <v>0.28093148739367896</v>
      </c>
      <c r="X54">
        <f>IF('ELC RESID'!$E47="Non Dispatchable",IFERROR(IF($D54="ELCSOL",$K54/SUMPRODUCT($R$1:$AC$1,$R$3:$AC$3)*X$1,IF($D54="ELCWND",$K54/SUMPRODUCT($R$2:$AC$2,$R$3:$AC$3)*X$2,0)),""),"")</f>
        <v>2.8093148739367899E-2</v>
      </c>
      <c r="Y54">
        <f>IF('ELC RESID'!$E47="Non Dispatchable",IFERROR(IF($D54="ELCSOL",$K54/SUMPRODUCT($R$1:$AC$1,$R$3:$AC$3)*Y$1,IF($D54="ELCWND",$K54/SUMPRODUCT($R$2:$AC$2,$R$3:$AC$3)*Y$2,0)),""),"")</f>
        <v>0</v>
      </c>
      <c r="Z54">
        <f>IF('ELC RESID'!$E47="Non Dispatchable",IFERROR(IF($D54="ELCSOL",$K54/SUMPRODUCT($R$1:$AC$1,$R$3:$AC$3)*Z$1,IF($D54="ELCWND",$K54/SUMPRODUCT($R$2:$AC$2,$R$3:$AC$3)*Z$2,0)),""),"")</f>
        <v>0.23502356478343495</v>
      </c>
      <c r="AA54">
        <f>IF('ELC RESID'!$E47="Non Dispatchable",IFERROR(IF($D54="ELCSOL",$K54/SUMPRODUCT($R$1:$AC$1,$R$3:$AC$3)*AA$1,IF($D54="ELCWND",$K54/SUMPRODUCT($R$2:$AC$2,$R$3:$AC$3)*AA$2,0)),""),"")</f>
        <v>0.23502356478343495</v>
      </c>
      <c r="AB54">
        <f>IF('ELC RESID'!$E47="Non Dispatchable",IFERROR(IF($D54="ELCSOL",$K54/SUMPRODUCT($R$1:$AC$1,$R$3:$AC$3)*AB$1,IF($D54="ELCWND",$K54/SUMPRODUCT($R$2:$AC$2,$R$3:$AC$3)*AB$2,0)),""),"")</f>
        <v>2.3502356478343495E-2</v>
      </c>
      <c r="AC54">
        <f>IF('ELC RESID'!$E47="Non Dispatchable",IFERROR(IF($D54="ELCSOL",$K54/SUMPRODUCT($R$1:$AC$1,$R$3:$AC$3)*AC$1,IF($D54="ELCWND",$K54/SUMPRODUCT($R$2:$AC$2,$R$3:$AC$3)*AC$2,0)),""),"")</f>
        <v>0</v>
      </c>
      <c r="AD54" t="str">
        <f>IF('ELC RESID'!$E47="Storage", ResidELC!R$3*$N54,"")</f>
        <v/>
      </c>
      <c r="AE54" t="str">
        <f>IF('ELC RESID'!$E47="Storage", ResidELC!S$3*$N54,"")</f>
        <v/>
      </c>
      <c r="AF54" t="str">
        <f>IF('ELC RESID'!$E47="Storage", ResidELC!T$3*$N54,"")</f>
        <v/>
      </c>
      <c r="AG54" t="str">
        <f>IF('ELC RESID'!$E47="Storage", ResidELC!U$3*$N54,"")</f>
        <v/>
      </c>
      <c r="AH54" t="str">
        <f>IF('ELC RESID'!$E47="Storage", ResidELC!V$3*$N54,"")</f>
        <v/>
      </c>
      <c r="AI54" t="str">
        <f>IF('ELC RESID'!$E47="Storage", ResidELC!W$3*$N54,"")</f>
        <v/>
      </c>
      <c r="AJ54" t="str">
        <f>IF('ELC RESID'!$E47="Storage", ResidELC!X$3*$N54,"")</f>
        <v/>
      </c>
      <c r="AK54" t="str">
        <f>IF('ELC RESID'!$E47="Storage", ResidELC!Y$3*$N54,"")</f>
        <v/>
      </c>
      <c r="AL54" t="str">
        <f>IF('ELC RESID'!$E47="Storage", ResidELC!Z$3*$N54,"")</f>
        <v/>
      </c>
      <c r="AM54" t="str">
        <f>IF('ELC RESID'!$E47="Storage", ResidELC!AA$3*$N54,"")</f>
        <v/>
      </c>
      <c r="AN54" t="str">
        <f>IF('ELC RESID'!$E47="Storage", ResidELC!AB$3*$N54,"")</f>
        <v/>
      </c>
      <c r="AO54" t="str">
        <f>IF('ELC RESID'!$E47="Storage", ResidELC!AC$3*$N54,"")</f>
        <v/>
      </c>
      <c r="AP54" s="13">
        <f>'ELC RESID'!O47</f>
        <v>701.64671794968604</v>
      </c>
      <c r="AQ54" s="13">
        <f>'ELC RESID'!P47</f>
        <v>701.64671794968604</v>
      </c>
      <c r="AR54" s="13">
        <f>'ELC RESID'!Q47</f>
        <v>701.64671794968604</v>
      </c>
      <c r="AS54" s="13">
        <f>'ELC RESID'!R47</f>
        <v>701.64671794968604</v>
      </c>
      <c r="AT54" s="13">
        <f>'ELC RESID'!S47</f>
        <v>701.64671794968604</v>
      </c>
      <c r="AU54" s="13">
        <f>'ELC RESID'!T47</f>
        <v>701.64671794968604</v>
      </c>
      <c r="AV54" s="13">
        <f>'ELC RESID'!U47</f>
        <v>701.64671794968604</v>
      </c>
      <c r="AW54" s="13">
        <f>'ELC RESID'!V47</f>
        <v>701.64671794968604</v>
      </c>
      <c r="AX54" s="13">
        <f>'ELC RESID'!W47</f>
        <v>701.64671794968604</v>
      </c>
      <c r="AY54" s="13">
        <f>'ELC RESID'!X47</f>
        <v>701.64671794968604</v>
      </c>
      <c r="AZ54" s="13">
        <f>'ELC RESID'!Y47</f>
        <v>701.64671794968604</v>
      </c>
      <c r="BA54" s="13">
        <f>'ELC RESID'!Z47</f>
        <v>701.64671794968604</v>
      </c>
      <c r="BB54" s="13">
        <f>'ELC RESID'!AA47</f>
        <v>701.64671794968604</v>
      </c>
      <c r="BC54" s="13">
        <f>'ELC RESID'!AB47</f>
        <v>701.64671794968604</v>
      </c>
      <c r="BD54" s="13">
        <f>'ELC RESID'!AC47</f>
        <v>701.64671794968604</v>
      </c>
      <c r="BE54" s="13">
        <f>'ELC RESID'!AD47</f>
        <v>701.64671794968604</v>
      </c>
      <c r="BF54" s="13">
        <f>'ELC RESID'!AE47</f>
        <v>701.64671794968604</v>
      </c>
      <c r="BG54" s="13">
        <f>'ELC RESID'!AF47</f>
        <v>701.64671794968604</v>
      </c>
    </row>
    <row r="55" spans="2:59">
      <c r="B55" t="str">
        <f>IF(SUM(AP55:BG55)=0,"*",Def_Tech!C50)</f>
        <v>*</v>
      </c>
      <c r="C55" t="str">
        <f>Def_Tech!D50</f>
        <v>ELCSOLDCEMPV19</v>
      </c>
      <c r="D55" t="str">
        <f>IF(_xlfn.XLOOKUP('ELC RESID'!G48,List!C:C,List!B:B)="STG",E55,"ELC"&amp;_xlfn.XLOOKUP('ELC RESID'!G48,List!C:C,List!B:B))</f>
        <v>ELCSOL</v>
      </c>
      <c r="E55" t="s">
        <v>406</v>
      </c>
      <c r="F55" s="12">
        <f>IF('ELC RESID'!E48="Storage","",IF('ELC RESID'!L48="",1,'ELC RESID'!L48))</f>
        <v>1</v>
      </c>
      <c r="G55" s="12" t="str">
        <f>IF('ELC RESID'!E48&lt;&gt;"Storage","",IF('ELC RESID'!L48="",1,'ELC RESID'!L48))</f>
        <v/>
      </c>
      <c r="H55">
        <f t="shared" si="2"/>
        <v>31.535999999999998</v>
      </c>
      <c r="I55" s="12">
        <f>_xlfn.XLOOKUP(C55,'ELC RESID'!H:H,'ELC RESID'!N:N)</f>
        <v>0</v>
      </c>
      <c r="J55" s="12">
        <f>_xlfn.XLOOKUP(C55,'ELC RESID'!H:H,'ELC RESID'!M:M)</f>
        <v>20.242248163120561</v>
      </c>
      <c r="K55" s="12">
        <f>IF('ELC RESID'!$E48="Storage","",IF('ELC RESID'!$K48&gt;0,'ELC RESID'!$K48,-'ELC RESID'!$K48))</f>
        <v>0.1558499887716146</v>
      </c>
      <c r="L55" s="12">
        <f t="shared" si="7"/>
        <v>0.1558499887716146</v>
      </c>
      <c r="M55" s="12">
        <f t="shared" si="7"/>
        <v>0.1558499887716146</v>
      </c>
      <c r="N55" s="12" t="str">
        <f>IF('ELC RESID'!$E48="Storage",IF('ELC RESID'!$K48&gt;0,'ELC RESID'!$K48,-'ELC RESID'!$K48),"")</f>
        <v/>
      </c>
      <c r="O55" s="8" t="str">
        <f t="shared" si="8"/>
        <v/>
      </c>
      <c r="P55" s="8" t="str">
        <f t="shared" si="8"/>
        <v/>
      </c>
      <c r="Q55">
        <f>IF('ELC RESID'!E48="Storage",0.3,IF('ELC RESID'!E48="Baseload",0.9,IF('ELC RESID'!E48="Non Dispatchable",0.05,IF('ELC RESID'!E48="Dispatchable",0.9,1))))</f>
        <v>0.05</v>
      </c>
      <c r="R55">
        <f>IF('ELC RESID'!$E48="Non Dispatchable",IFERROR(IF($D55="ELCSOL",$K55/SUMPRODUCT($R$1:$AC$1,$R$3:$AC$3)*R$1,IF($D55="ELCWND",$K55/SUMPRODUCT($R$2:$AC$2,$R$3:$AC$3)*R$2,0)),""),"")</f>
        <v>0.24392118674748697</v>
      </c>
      <c r="S55">
        <f>IF('ELC RESID'!$E48="Non Dispatchable",IFERROR(IF($D55="ELCSOL",$K55/SUMPRODUCT($R$1:$AC$1,$R$3:$AC$3)*S$1,IF($D55="ELCWND",$K55/SUMPRODUCT($R$2:$AC$2,$R$3:$AC$3)*S$2,0)),""),"")</f>
        <v>0.2439211867474872</v>
      </c>
      <c r="T55">
        <f>IF('ELC RESID'!$E48="Non Dispatchable",IFERROR(IF($D55="ELCSOL",$K55/SUMPRODUCT($R$1:$AC$1,$R$3:$AC$3)*T$1,IF($D55="ELCWND",$K55/SUMPRODUCT($R$2:$AC$2,$R$3:$AC$3)*T$2,0)),""),"")</f>
        <v>2.439211867474872E-2</v>
      </c>
      <c r="U55">
        <f>IF('ELC RESID'!$E48="Non Dispatchable",IFERROR(IF($D55="ELCSOL",$K55/SUMPRODUCT($R$1:$AC$1,$R$3:$AC$3)*U$1,IF($D55="ELCWND",$K55/SUMPRODUCT($R$2:$AC$2,$R$3:$AC$3)*U$2,0)),""),"")</f>
        <v>0</v>
      </c>
      <c r="V55">
        <f>IF('ELC RESID'!$E48="Non Dispatchable",IFERROR(IF($D55="ELCSOL",$K55/SUMPRODUCT($R$1:$AC$1,$R$3:$AC$3)*V$1,IF($D55="ELCWND",$K55/SUMPRODUCT($R$2:$AC$2,$R$3:$AC$3)*V$2,0)),""),"")</f>
        <v>0.28093148739367896</v>
      </c>
      <c r="W55">
        <f>IF('ELC RESID'!$E48="Non Dispatchable",IFERROR(IF($D55="ELCSOL",$K55/SUMPRODUCT($R$1:$AC$1,$R$3:$AC$3)*W$1,IF($D55="ELCWND",$K55/SUMPRODUCT($R$2:$AC$2,$R$3:$AC$3)*W$2,0)),""),"")</f>
        <v>0.28093148739367896</v>
      </c>
      <c r="X55">
        <f>IF('ELC RESID'!$E48="Non Dispatchable",IFERROR(IF($D55="ELCSOL",$K55/SUMPRODUCT($R$1:$AC$1,$R$3:$AC$3)*X$1,IF($D55="ELCWND",$K55/SUMPRODUCT($R$2:$AC$2,$R$3:$AC$3)*X$2,0)),""),"")</f>
        <v>2.8093148739367899E-2</v>
      </c>
      <c r="Y55">
        <f>IF('ELC RESID'!$E48="Non Dispatchable",IFERROR(IF($D55="ELCSOL",$K55/SUMPRODUCT($R$1:$AC$1,$R$3:$AC$3)*Y$1,IF($D55="ELCWND",$K55/SUMPRODUCT($R$2:$AC$2,$R$3:$AC$3)*Y$2,0)),""),"")</f>
        <v>0</v>
      </c>
      <c r="Z55">
        <f>IF('ELC RESID'!$E48="Non Dispatchable",IFERROR(IF($D55="ELCSOL",$K55/SUMPRODUCT($R$1:$AC$1,$R$3:$AC$3)*Z$1,IF($D55="ELCWND",$K55/SUMPRODUCT($R$2:$AC$2,$R$3:$AC$3)*Z$2,0)),""),"")</f>
        <v>0.23502356478343495</v>
      </c>
      <c r="AA55">
        <f>IF('ELC RESID'!$E48="Non Dispatchable",IFERROR(IF($D55="ELCSOL",$K55/SUMPRODUCT($R$1:$AC$1,$R$3:$AC$3)*AA$1,IF($D55="ELCWND",$K55/SUMPRODUCT($R$2:$AC$2,$R$3:$AC$3)*AA$2,0)),""),"")</f>
        <v>0.23502356478343495</v>
      </c>
      <c r="AB55">
        <f>IF('ELC RESID'!$E48="Non Dispatchable",IFERROR(IF($D55="ELCSOL",$K55/SUMPRODUCT($R$1:$AC$1,$R$3:$AC$3)*AB$1,IF($D55="ELCWND",$K55/SUMPRODUCT($R$2:$AC$2,$R$3:$AC$3)*AB$2,0)),""),"")</f>
        <v>2.3502356478343495E-2</v>
      </c>
      <c r="AC55">
        <f>IF('ELC RESID'!$E48="Non Dispatchable",IFERROR(IF($D55="ELCSOL",$K55/SUMPRODUCT($R$1:$AC$1,$R$3:$AC$3)*AC$1,IF($D55="ELCWND",$K55/SUMPRODUCT($R$2:$AC$2,$R$3:$AC$3)*AC$2,0)),""),"")</f>
        <v>0</v>
      </c>
      <c r="AD55" t="str">
        <f>IF('ELC RESID'!$E48="Storage", ResidELC!R$3*$N55,"")</f>
        <v/>
      </c>
      <c r="AE55" t="str">
        <f>IF('ELC RESID'!$E48="Storage", ResidELC!S$3*$N55,"")</f>
        <v/>
      </c>
      <c r="AF55" t="str">
        <f>IF('ELC RESID'!$E48="Storage", ResidELC!T$3*$N55,"")</f>
        <v/>
      </c>
      <c r="AG55" t="str">
        <f>IF('ELC RESID'!$E48="Storage", ResidELC!U$3*$N55,"")</f>
        <v/>
      </c>
      <c r="AH55" t="str">
        <f>IF('ELC RESID'!$E48="Storage", ResidELC!V$3*$N55,"")</f>
        <v/>
      </c>
      <c r="AI55" t="str">
        <f>IF('ELC RESID'!$E48="Storage", ResidELC!W$3*$N55,"")</f>
        <v/>
      </c>
      <c r="AJ55" t="str">
        <f>IF('ELC RESID'!$E48="Storage", ResidELC!X$3*$N55,"")</f>
        <v/>
      </c>
      <c r="AK55" t="str">
        <f>IF('ELC RESID'!$E48="Storage", ResidELC!Y$3*$N55,"")</f>
        <v/>
      </c>
      <c r="AL55" t="str">
        <f>IF('ELC RESID'!$E48="Storage", ResidELC!Z$3*$N55,"")</f>
        <v/>
      </c>
      <c r="AM55" t="str">
        <f>IF('ELC RESID'!$E48="Storage", ResidELC!AA$3*$N55,"")</f>
        <v/>
      </c>
      <c r="AN55" t="str">
        <f>IF('ELC RESID'!$E48="Storage", ResidELC!AB$3*$N55,"")</f>
        <v/>
      </c>
      <c r="AO55" t="str">
        <f>IF('ELC RESID'!$E48="Storage", ResidELC!AC$3*$N55,"")</f>
        <v/>
      </c>
      <c r="AP55" s="13">
        <f>'ELC RESID'!O48</f>
        <v>0</v>
      </c>
      <c r="AQ55" s="13">
        <f>'ELC RESID'!P48</f>
        <v>0</v>
      </c>
      <c r="AR55" s="13">
        <f>'ELC RESID'!Q48</f>
        <v>0</v>
      </c>
      <c r="AS55" s="13">
        <f>'ELC RESID'!R48</f>
        <v>0</v>
      </c>
      <c r="AT55" s="13">
        <f>'ELC RESID'!S48</f>
        <v>0</v>
      </c>
      <c r="AU55" s="13">
        <f>'ELC RESID'!T48</f>
        <v>0</v>
      </c>
      <c r="AV55" s="13">
        <f>'ELC RESID'!U48</f>
        <v>0</v>
      </c>
      <c r="AW55" s="13">
        <f>'ELC RESID'!V48</f>
        <v>0</v>
      </c>
      <c r="AX55" s="13">
        <f>'ELC RESID'!W48</f>
        <v>0</v>
      </c>
      <c r="AY55" s="13">
        <f>'ELC RESID'!X48</f>
        <v>0</v>
      </c>
      <c r="AZ55" s="13">
        <f>'ELC RESID'!Y48</f>
        <v>0</v>
      </c>
      <c r="BA55" s="13">
        <f>'ELC RESID'!Z48</f>
        <v>0</v>
      </c>
      <c r="BB55" s="13">
        <f>'ELC RESID'!AA48</f>
        <v>0</v>
      </c>
      <c r="BC55" s="13">
        <f>'ELC RESID'!AB48</f>
        <v>0</v>
      </c>
      <c r="BD55" s="13">
        <f>'ELC RESID'!AC48</f>
        <v>0</v>
      </c>
      <c r="BE55" s="13">
        <f>'ELC RESID'!AD48</f>
        <v>0</v>
      </c>
      <c r="BF55" s="13">
        <f>'ELC RESID'!AE48</f>
        <v>0</v>
      </c>
      <c r="BG55" s="13">
        <f>'ELC RESID'!AF48</f>
        <v>0</v>
      </c>
    </row>
    <row r="56" spans="2:59">
      <c r="B56" t="str">
        <f>IF(SUM(AP56:BG56)=0,"*",Def_Tech!C51)</f>
        <v>CITY</v>
      </c>
      <c r="C56" t="str">
        <f>Def_Tech!D51</f>
        <v>ELCSOLDCEIPV19</v>
      </c>
      <c r="D56" t="str">
        <f>IF(_xlfn.XLOOKUP('ELC RESID'!G49,List!C:C,List!B:B)="STG",E56,"ELC"&amp;_xlfn.XLOOKUP('ELC RESID'!G49,List!C:C,List!B:B))</f>
        <v>ELCSOL</v>
      </c>
      <c r="E56" t="s">
        <v>408</v>
      </c>
      <c r="F56" s="12">
        <f>IF('ELC RESID'!E49="Storage","",IF('ELC RESID'!L49="",1,'ELC RESID'!L49))</f>
        <v>1</v>
      </c>
      <c r="G56" s="12" t="str">
        <f>IF('ELC RESID'!E49&lt;&gt;"Storage","",IF('ELC RESID'!L49="",1,'ELC RESID'!L49))</f>
        <v/>
      </c>
      <c r="H56">
        <f t="shared" si="2"/>
        <v>31.535999999999998</v>
      </c>
      <c r="I56" s="12">
        <f>_xlfn.XLOOKUP(C56,'ELC RESID'!H:H,'ELC RESID'!N:N)</f>
        <v>0</v>
      </c>
      <c r="J56" s="12">
        <f>_xlfn.XLOOKUP(C56,'ELC RESID'!H:H,'ELC RESID'!M:M)</f>
        <v>20.242248163120561</v>
      </c>
      <c r="K56" s="12">
        <f>IF('ELC RESID'!$E49="Storage","",IF('ELC RESID'!$K49&gt;0,'ELC RESID'!$K49,-'ELC RESID'!$K49))</f>
        <v>0.1558499887716146</v>
      </c>
      <c r="L56" s="12">
        <f t="shared" si="7"/>
        <v>0.1558499887716146</v>
      </c>
      <c r="M56" s="12">
        <f t="shared" si="7"/>
        <v>0.1558499887716146</v>
      </c>
      <c r="N56" s="12" t="str">
        <f>IF('ELC RESID'!$E49="Storage",IF('ELC RESID'!$K49&gt;0,'ELC RESID'!$K49,-'ELC RESID'!$K49),"")</f>
        <v/>
      </c>
      <c r="O56" s="8" t="str">
        <f t="shared" si="8"/>
        <v/>
      </c>
      <c r="P56" s="8" t="str">
        <f t="shared" si="8"/>
        <v/>
      </c>
      <c r="Q56">
        <f>IF('ELC RESID'!E49="Storage",0.3,IF('ELC RESID'!E49="Baseload",0.9,IF('ELC RESID'!E49="Non Dispatchable",0.05,IF('ELC RESID'!E49="Dispatchable",0.9,1))))</f>
        <v>0.05</v>
      </c>
      <c r="R56">
        <f>IF('ELC RESID'!$E49="Non Dispatchable",IFERROR(IF($D56="ELCSOL",$K56/SUMPRODUCT($R$1:$AC$1,$R$3:$AC$3)*R$1,IF($D56="ELCWND",$K56/SUMPRODUCT($R$2:$AC$2,$R$3:$AC$3)*R$2,0)),""),"")</f>
        <v>0.24392118674748697</v>
      </c>
      <c r="S56">
        <f>IF('ELC RESID'!$E49="Non Dispatchable",IFERROR(IF($D56="ELCSOL",$K56/SUMPRODUCT($R$1:$AC$1,$R$3:$AC$3)*S$1,IF($D56="ELCWND",$K56/SUMPRODUCT($R$2:$AC$2,$R$3:$AC$3)*S$2,0)),""),"")</f>
        <v>0.2439211867474872</v>
      </c>
      <c r="T56">
        <f>IF('ELC RESID'!$E49="Non Dispatchable",IFERROR(IF($D56="ELCSOL",$K56/SUMPRODUCT($R$1:$AC$1,$R$3:$AC$3)*T$1,IF($D56="ELCWND",$K56/SUMPRODUCT($R$2:$AC$2,$R$3:$AC$3)*T$2,0)),""),"")</f>
        <v>2.439211867474872E-2</v>
      </c>
      <c r="U56">
        <f>IF('ELC RESID'!$E49="Non Dispatchable",IFERROR(IF($D56="ELCSOL",$K56/SUMPRODUCT($R$1:$AC$1,$R$3:$AC$3)*U$1,IF($D56="ELCWND",$K56/SUMPRODUCT($R$2:$AC$2,$R$3:$AC$3)*U$2,0)),""),"")</f>
        <v>0</v>
      </c>
      <c r="V56">
        <f>IF('ELC RESID'!$E49="Non Dispatchable",IFERROR(IF($D56="ELCSOL",$K56/SUMPRODUCT($R$1:$AC$1,$R$3:$AC$3)*V$1,IF($D56="ELCWND",$K56/SUMPRODUCT($R$2:$AC$2,$R$3:$AC$3)*V$2,0)),""),"")</f>
        <v>0.28093148739367896</v>
      </c>
      <c r="W56">
        <f>IF('ELC RESID'!$E49="Non Dispatchable",IFERROR(IF($D56="ELCSOL",$K56/SUMPRODUCT($R$1:$AC$1,$R$3:$AC$3)*W$1,IF($D56="ELCWND",$K56/SUMPRODUCT($R$2:$AC$2,$R$3:$AC$3)*W$2,0)),""),"")</f>
        <v>0.28093148739367896</v>
      </c>
      <c r="X56">
        <f>IF('ELC RESID'!$E49="Non Dispatchable",IFERROR(IF($D56="ELCSOL",$K56/SUMPRODUCT($R$1:$AC$1,$R$3:$AC$3)*X$1,IF($D56="ELCWND",$K56/SUMPRODUCT($R$2:$AC$2,$R$3:$AC$3)*X$2,0)),""),"")</f>
        <v>2.8093148739367899E-2</v>
      </c>
      <c r="Y56">
        <f>IF('ELC RESID'!$E49="Non Dispatchable",IFERROR(IF($D56="ELCSOL",$K56/SUMPRODUCT($R$1:$AC$1,$R$3:$AC$3)*Y$1,IF($D56="ELCWND",$K56/SUMPRODUCT($R$2:$AC$2,$R$3:$AC$3)*Y$2,0)),""),"")</f>
        <v>0</v>
      </c>
      <c r="Z56">
        <f>IF('ELC RESID'!$E49="Non Dispatchable",IFERROR(IF($D56="ELCSOL",$K56/SUMPRODUCT($R$1:$AC$1,$R$3:$AC$3)*Z$1,IF($D56="ELCWND",$K56/SUMPRODUCT($R$2:$AC$2,$R$3:$AC$3)*Z$2,0)),""),"")</f>
        <v>0.23502356478343495</v>
      </c>
      <c r="AA56">
        <f>IF('ELC RESID'!$E49="Non Dispatchable",IFERROR(IF($D56="ELCSOL",$K56/SUMPRODUCT($R$1:$AC$1,$R$3:$AC$3)*AA$1,IF($D56="ELCWND",$K56/SUMPRODUCT($R$2:$AC$2,$R$3:$AC$3)*AA$2,0)),""),"")</f>
        <v>0.23502356478343495</v>
      </c>
      <c r="AB56">
        <f>IF('ELC RESID'!$E49="Non Dispatchable",IFERROR(IF($D56="ELCSOL",$K56/SUMPRODUCT($R$1:$AC$1,$R$3:$AC$3)*AB$1,IF($D56="ELCWND",$K56/SUMPRODUCT($R$2:$AC$2,$R$3:$AC$3)*AB$2,0)),""),"")</f>
        <v>2.3502356478343495E-2</v>
      </c>
      <c r="AC56">
        <f>IF('ELC RESID'!$E49="Non Dispatchable",IFERROR(IF($D56="ELCSOL",$K56/SUMPRODUCT($R$1:$AC$1,$R$3:$AC$3)*AC$1,IF($D56="ELCWND",$K56/SUMPRODUCT($R$2:$AC$2,$R$3:$AC$3)*AC$2,0)),""),"")</f>
        <v>0</v>
      </c>
      <c r="AD56" t="str">
        <f>IF('ELC RESID'!$E49="Storage", ResidELC!R$3*$N56,"")</f>
        <v/>
      </c>
      <c r="AE56" t="str">
        <f>IF('ELC RESID'!$E49="Storage", ResidELC!S$3*$N56,"")</f>
        <v/>
      </c>
      <c r="AF56" t="str">
        <f>IF('ELC RESID'!$E49="Storage", ResidELC!T$3*$N56,"")</f>
        <v/>
      </c>
      <c r="AG56" t="str">
        <f>IF('ELC RESID'!$E49="Storage", ResidELC!U$3*$N56,"")</f>
        <v/>
      </c>
      <c r="AH56" t="str">
        <f>IF('ELC RESID'!$E49="Storage", ResidELC!V$3*$N56,"")</f>
        <v/>
      </c>
      <c r="AI56" t="str">
        <f>IF('ELC RESID'!$E49="Storage", ResidELC!W$3*$N56,"")</f>
        <v/>
      </c>
      <c r="AJ56" t="str">
        <f>IF('ELC RESID'!$E49="Storage", ResidELC!X$3*$N56,"")</f>
        <v/>
      </c>
      <c r="AK56" t="str">
        <f>IF('ELC RESID'!$E49="Storage", ResidELC!Y$3*$N56,"")</f>
        <v/>
      </c>
      <c r="AL56" t="str">
        <f>IF('ELC RESID'!$E49="Storage", ResidELC!Z$3*$N56,"")</f>
        <v/>
      </c>
      <c r="AM56" t="str">
        <f>IF('ELC RESID'!$E49="Storage", ResidELC!AA$3*$N56,"")</f>
        <v/>
      </c>
      <c r="AN56" t="str">
        <f>IF('ELC RESID'!$E49="Storage", ResidELC!AB$3*$N56,"")</f>
        <v/>
      </c>
      <c r="AO56" t="str">
        <f>IF('ELC RESID'!$E49="Storage", ResidELC!AC$3*$N56,"")</f>
        <v/>
      </c>
      <c r="AP56" s="13">
        <f>'ELC RESID'!O49</f>
        <v>13.77076026925219</v>
      </c>
      <c r="AQ56" s="13">
        <f>'ELC RESID'!P49</f>
        <v>13.77076026925219</v>
      </c>
      <c r="AR56" s="13">
        <f>'ELC RESID'!Q49</f>
        <v>13.77076026925219</v>
      </c>
      <c r="AS56" s="13">
        <f>'ELC RESID'!R49</f>
        <v>13.77076026925219</v>
      </c>
      <c r="AT56" s="13">
        <f>'ELC RESID'!S49</f>
        <v>13.77076026925219</v>
      </c>
      <c r="AU56" s="13">
        <f>'ELC RESID'!T49</f>
        <v>13.77076026925219</v>
      </c>
      <c r="AV56" s="13">
        <f>'ELC RESID'!U49</f>
        <v>13.77076026925219</v>
      </c>
      <c r="AW56" s="13">
        <f>'ELC RESID'!V49</f>
        <v>13.77076026925219</v>
      </c>
      <c r="AX56" s="13">
        <f>'ELC RESID'!W49</f>
        <v>13.77076026925219</v>
      </c>
      <c r="AY56" s="13">
        <f>'ELC RESID'!X49</f>
        <v>13.77076026925219</v>
      </c>
      <c r="AZ56" s="13">
        <f>'ELC RESID'!Y49</f>
        <v>13.77076026925219</v>
      </c>
      <c r="BA56" s="13">
        <f>'ELC RESID'!Z49</f>
        <v>13.77076026925219</v>
      </c>
      <c r="BB56" s="13">
        <f>'ELC RESID'!AA49</f>
        <v>13.77076026925219</v>
      </c>
      <c r="BC56" s="13">
        <f>'ELC RESID'!AB49</f>
        <v>13.77076026925219</v>
      </c>
      <c r="BD56" s="13">
        <f>'ELC RESID'!AC49</f>
        <v>13.77076026925219</v>
      </c>
      <c r="BE56" s="13">
        <f>'ELC RESID'!AD49</f>
        <v>13.77076026925219</v>
      </c>
      <c r="BF56" s="13">
        <f>'ELC RESID'!AE49</f>
        <v>13.77076026925219</v>
      </c>
      <c r="BG56" s="13">
        <f>'ELC RESID'!AF49</f>
        <v>13.77076026925219</v>
      </c>
    </row>
    <row r="57" spans="2:59">
      <c r="M57" s="14"/>
      <c r="P57" s="14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</row>
    <row r="58" spans="2:59"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</row>
    <row r="59" spans="2:59"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</row>
    <row r="60" spans="2:59"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</row>
    <row r="61" spans="2:59"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</row>
    <row r="62" spans="2:59"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</row>
    <row r="63" spans="2:59"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</row>
    <row r="64" spans="2:59"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</row>
    <row r="65" spans="42:59"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</row>
    <row r="66" spans="42:59"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</row>
    <row r="67" spans="42:59"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</row>
    <row r="68" spans="42:59"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</row>
    <row r="69" spans="42:59"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</row>
    <row r="70" spans="42:59"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</row>
    <row r="71" spans="42:59"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</row>
    <row r="72" spans="42:59"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</row>
    <row r="73" spans="42:59"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H17"/>
  <sheetViews>
    <sheetView zoomScale="85" zoomScaleNormal="85" workbookViewId="0">
      <selection activeCell="H19" sqref="H19"/>
    </sheetView>
  </sheetViews>
  <sheetFormatPr defaultRowHeight="15"/>
  <cols>
    <col min="3" max="3" width="17" bestFit="1" customWidth="1"/>
    <col min="4" max="4" width="11.28515625" bestFit="1" customWidth="1"/>
    <col min="5" max="5" width="18" bestFit="1" customWidth="1"/>
    <col min="6" max="6" width="21.140625" customWidth="1"/>
    <col min="7" max="8" width="18" bestFit="1" customWidth="1"/>
  </cols>
  <sheetData>
    <row r="3" spans="2:8">
      <c r="E3" s="9" t="s">
        <v>392</v>
      </c>
    </row>
    <row r="4" spans="2:8">
      <c r="B4" s="10" t="s">
        <v>335</v>
      </c>
      <c r="C4" s="10" t="s">
        <v>336</v>
      </c>
      <c r="D4" s="10" t="s">
        <v>393</v>
      </c>
      <c r="E4" s="10" t="s">
        <v>394</v>
      </c>
      <c r="F4" s="10" t="s">
        <v>395</v>
      </c>
      <c r="G4" s="10" t="s">
        <v>397</v>
      </c>
      <c r="H4" s="10" t="s">
        <v>389</v>
      </c>
    </row>
    <row r="5" spans="2:8" ht="15" customHeight="1" thickBot="1">
      <c r="B5" s="11" t="s">
        <v>353</v>
      </c>
      <c r="C5" s="11" t="s">
        <v>353</v>
      </c>
      <c r="D5" s="11"/>
      <c r="E5" s="11"/>
      <c r="F5" s="11" t="s">
        <v>400</v>
      </c>
      <c r="G5" s="11" t="s">
        <v>401</v>
      </c>
      <c r="H5" s="11" t="s">
        <v>404</v>
      </c>
    </row>
    <row r="6" spans="2:8">
      <c r="B6" t="s">
        <v>354</v>
      </c>
      <c r="C6" t="str">
        <f>LEFT(Demand!E65,LEN(Demand!E65)-3)</f>
        <v>ELCMISEGRID</v>
      </c>
      <c r="D6" t="s">
        <v>405</v>
      </c>
      <c r="E6" t="str">
        <f>Def_Comm!C5</f>
        <v>ELCMISEGRIDDMD</v>
      </c>
      <c r="F6">
        <v>1</v>
      </c>
      <c r="G6">
        <f>8760*0.0036</f>
        <v>31.535999999999998</v>
      </c>
      <c r="H6">
        <v>1</v>
      </c>
    </row>
    <row r="9" spans="2:8">
      <c r="F9">
        <v>2019</v>
      </c>
      <c r="G9">
        <f>QUOTIENT(F9,5)*5+5</f>
        <v>2020</v>
      </c>
      <c r="H9">
        <f>'City characteristics'!C21</f>
        <v>2050</v>
      </c>
    </row>
    <row r="10" spans="2:8">
      <c r="F10" t="s">
        <v>409</v>
      </c>
      <c r="G10" t="s">
        <v>409</v>
      </c>
      <c r="H10" t="s">
        <v>409</v>
      </c>
    </row>
    <row r="12" spans="2:8">
      <c r="C12" s="9" t="s">
        <v>392</v>
      </c>
    </row>
    <row r="13" spans="2:8">
      <c r="B13" s="10" t="s">
        <v>335</v>
      </c>
      <c r="C13" s="10" t="s">
        <v>357</v>
      </c>
      <c r="D13" s="10" t="s">
        <v>410</v>
      </c>
      <c r="E13" s="10" t="s">
        <v>411</v>
      </c>
      <c r="F13" s="10" t="str">
        <f>F10&amp;"~"&amp;F9</f>
        <v>COM_PKRSV~2019</v>
      </c>
      <c r="G13" s="10" t="str">
        <f>G10&amp;"~"&amp;G9</f>
        <v>COM_PKRSV~2020</v>
      </c>
      <c r="H13" s="10" t="str">
        <f>H10&amp;"~"&amp;H9</f>
        <v>COM_PKRSV~2050</v>
      </c>
    </row>
    <row r="14" spans="2:8" ht="15" customHeight="1" thickBot="1">
      <c r="B14" s="11"/>
      <c r="C14" s="11"/>
      <c r="D14" s="11"/>
      <c r="E14" s="11"/>
      <c r="F14" s="11" t="s">
        <v>404</v>
      </c>
      <c r="G14" s="11" t="s">
        <v>404</v>
      </c>
      <c r="H14" s="11" t="s">
        <v>404</v>
      </c>
    </row>
    <row r="15" spans="2:8">
      <c r="B15" t="s">
        <v>354</v>
      </c>
      <c r="C15" t="s">
        <v>405</v>
      </c>
      <c r="D15">
        <v>1</v>
      </c>
      <c r="E15">
        <v>0.95</v>
      </c>
      <c r="F15" s="15">
        <v>0</v>
      </c>
      <c r="G15" s="15">
        <v>0.2</v>
      </c>
      <c r="H15" s="15">
        <v>0.2</v>
      </c>
    </row>
    <row r="16" spans="2:8">
      <c r="B16" t="s">
        <v>412</v>
      </c>
      <c r="C16" t="s">
        <v>405</v>
      </c>
      <c r="D16">
        <v>1</v>
      </c>
      <c r="E16">
        <v>1</v>
      </c>
      <c r="F16" s="15">
        <v>0</v>
      </c>
      <c r="G16" s="15">
        <v>0.2</v>
      </c>
      <c r="H16" s="15">
        <v>0.2</v>
      </c>
    </row>
    <row r="17" spans="5:5">
      <c r="E17" s="1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AE10"/>
  <sheetViews>
    <sheetView workbookViewId="0">
      <selection activeCell="J35" sqref="J35"/>
    </sheetView>
  </sheetViews>
  <sheetFormatPr defaultRowHeight="15"/>
  <cols>
    <col min="3" max="3" width="17.42578125" bestFit="1" customWidth="1"/>
    <col min="5" max="5" width="11.28515625" bestFit="1" customWidth="1"/>
    <col min="7" max="7" width="13.5703125" bestFit="1" customWidth="1"/>
    <col min="8" max="8" width="10.85546875" bestFit="1" customWidth="1"/>
    <col min="9" max="9" width="11.28515625" bestFit="1" customWidth="1"/>
    <col min="10" max="12" width="16.140625" bestFit="1" customWidth="1"/>
    <col min="13" max="13" width="13.5703125" bestFit="1" customWidth="1"/>
    <col min="14" max="31" width="16.7109375" bestFit="1" customWidth="1"/>
  </cols>
  <sheetData>
    <row r="4" spans="2:31">
      <c r="J4">
        <f>'City characteristics'!C20</f>
        <v>2019</v>
      </c>
      <c r="K4">
        <v>2020</v>
      </c>
      <c r="L4">
        <v>2100</v>
      </c>
      <c r="N4">
        <f>'City characteristics'!C20</f>
        <v>2019</v>
      </c>
      <c r="O4">
        <v>2020</v>
      </c>
      <c r="P4">
        <v>2025</v>
      </c>
      <c r="Q4">
        <v>2030</v>
      </c>
      <c r="R4">
        <v>2035</v>
      </c>
      <c r="S4">
        <v>2040</v>
      </c>
      <c r="T4">
        <v>2045</v>
      </c>
      <c r="U4">
        <v>2050</v>
      </c>
      <c r="V4">
        <v>2055</v>
      </c>
      <c r="W4">
        <v>2060</v>
      </c>
      <c r="X4">
        <v>2065</v>
      </c>
      <c r="Y4">
        <v>2070</v>
      </c>
      <c r="Z4">
        <v>2075</v>
      </c>
      <c r="AA4">
        <v>2080</v>
      </c>
      <c r="AB4">
        <v>2085</v>
      </c>
      <c r="AC4">
        <v>2090</v>
      </c>
      <c r="AD4">
        <v>2095</v>
      </c>
      <c r="AE4">
        <v>2100</v>
      </c>
    </row>
    <row r="5" spans="2:31">
      <c r="J5" t="s">
        <v>387</v>
      </c>
      <c r="K5" t="s">
        <v>387</v>
      </c>
      <c r="L5" t="s">
        <v>387</v>
      </c>
      <c r="M5" t="s">
        <v>389</v>
      </c>
      <c r="N5" t="s">
        <v>391</v>
      </c>
      <c r="O5" t="s">
        <v>391</v>
      </c>
      <c r="P5" t="s">
        <v>391</v>
      </c>
      <c r="Q5" t="s">
        <v>391</v>
      </c>
      <c r="R5" t="s">
        <v>391</v>
      </c>
      <c r="S5" t="s">
        <v>391</v>
      </c>
      <c r="T5" t="s">
        <v>391</v>
      </c>
      <c r="U5" t="s">
        <v>391</v>
      </c>
      <c r="V5" t="s">
        <v>391</v>
      </c>
      <c r="W5" t="s">
        <v>391</v>
      </c>
      <c r="X5" t="s">
        <v>391</v>
      </c>
      <c r="Y5" t="s">
        <v>391</v>
      </c>
      <c r="Z5" t="s">
        <v>391</v>
      </c>
      <c r="AA5" t="s">
        <v>391</v>
      </c>
      <c r="AB5" t="s">
        <v>391</v>
      </c>
      <c r="AC5" t="s">
        <v>391</v>
      </c>
      <c r="AD5" t="s">
        <v>391</v>
      </c>
      <c r="AE5" t="s">
        <v>391</v>
      </c>
    </row>
    <row r="7" spans="2:31">
      <c r="E7" s="9" t="s">
        <v>392</v>
      </c>
    </row>
    <row r="8" spans="2:31">
      <c r="B8" s="10" t="s">
        <v>335</v>
      </c>
      <c r="C8" s="10" t="s">
        <v>336</v>
      </c>
      <c r="D8" s="10" t="s">
        <v>393</v>
      </c>
      <c r="E8" s="10" t="s">
        <v>394</v>
      </c>
      <c r="F8" s="10" t="s">
        <v>395</v>
      </c>
      <c r="G8" s="10" t="s">
        <v>397</v>
      </c>
      <c r="H8" s="10" t="s">
        <v>398</v>
      </c>
      <c r="I8" s="10" t="s">
        <v>399</v>
      </c>
      <c r="J8" s="10" t="str">
        <f>J5&amp;"~"&amp;J4</f>
        <v>NCAP_AFA~2019</v>
      </c>
      <c r="K8" s="10" t="str">
        <f>K5&amp;"~"&amp;K4</f>
        <v>NCAP_AFA~2020</v>
      </c>
      <c r="L8" s="10" t="str">
        <f>L5&amp;"~"&amp;L4</f>
        <v>NCAP_AFA~2100</v>
      </c>
      <c r="M8" s="10" t="s">
        <v>389</v>
      </c>
      <c r="N8" s="10" t="str">
        <f t="shared" ref="N8:AE8" si="0">N5&amp;"~"&amp;N4</f>
        <v>PRC_RESID~2019</v>
      </c>
      <c r="O8" s="10" t="str">
        <f t="shared" si="0"/>
        <v>PRC_RESID~2020</v>
      </c>
      <c r="P8" s="10" t="str">
        <f t="shared" si="0"/>
        <v>PRC_RESID~2025</v>
      </c>
      <c r="Q8" s="10" t="str">
        <f t="shared" si="0"/>
        <v>PRC_RESID~2030</v>
      </c>
      <c r="R8" s="10" t="str">
        <f t="shared" si="0"/>
        <v>PRC_RESID~2035</v>
      </c>
      <c r="S8" s="10" t="str">
        <f t="shared" si="0"/>
        <v>PRC_RESID~2040</v>
      </c>
      <c r="T8" s="10" t="str">
        <f t="shared" si="0"/>
        <v>PRC_RESID~2045</v>
      </c>
      <c r="U8" s="10" t="str">
        <f t="shared" si="0"/>
        <v>PRC_RESID~2050</v>
      </c>
      <c r="V8" s="10" t="str">
        <f t="shared" si="0"/>
        <v>PRC_RESID~2055</v>
      </c>
      <c r="W8" s="10" t="str">
        <f t="shared" si="0"/>
        <v>PRC_RESID~2060</v>
      </c>
      <c r="X8" s="10" t="str">
        <f t="shared" si="0"/>
        <v>PRC_RESID~2065</v>
      </c>
      <c r="Y8" s="10" t="str">
        <f t="shared" si="0"/>
        <v>PRC_RESID~2070</v>
      </c>
      <c r="Z8" s="10" t="str">
        <f t="shared" si="0"/>
        <v>PRC_RESID~2075</v>
      </c>
      <c r="AA8" s="10" t="str">
        <f t="shared" si="0"/>
        <v>PRC_RESID~2080</v>
      </c>
      <c r="AB8" s="10" t="str">
        <f t="shared" si="0"/>
        <v>PRC_RESID~2085</v>
      </c>
      <c r="AC8" s="10" t="str">
        <f t="shared" si="0"/>
        <v>PRC_RESID~2090</v>
      </c>
      <c r="AD8" s="10" t="str">
        <f t="shared" si="0"/>
        <v>PRC_RESID~2095</v>
      </c>
      <c r="AE8" s="10" t="str">
        <f t="shared" si="0"/>
        <v>PRC_RESID~2100</v>
      </c>
    </row>
    <row r="9" spans="2:31" ht="16.5" customHeight="1" thickBot="1">
      <c r="B9" s="11" t="s">
        <v>353</v>
      </c>
      <c r="C9" s="11" t="s">
        <v>353</v>
      </c>
      <c r="D9" s="11"/>
      <c r="E9" s="11"/>
      <c r="F9" s="11" t="s">
        <v>400</v>
      </c>
      <c r="G9" s="11" t="s">
        <v>401</v>
      </c>
      <c r="H9" s="11" t="s">
        <v>402</v>
      </c>
      <c r="I9" s="11" t="s">
        <v>403</v>
      </c>
      <c r="J9" s="11" t="s">
        <v>404</v>
      </c>
      <c r="K9" s="11" t="s">
        <v>404</v>
      </c>
      <c r="L9" s="11" t="s">
        <v>404</v>
      </c>
      <c r="M9" s="11" t="s">
        <v>404</v>
      </c>
      <c r="N9" s="11" t="s">
        <v>351</v>
      </c>
      <c r="O9" s="11" t="s">
        <v>351</v>
      </c>
      <c r="P9" s="11" t="s">
        <v>351</v>
      </c>
      <c r="Q9" s="11" t="s">
        <v>351</v>
      </c>
      <c r="R9" s="11" t="s">
        <v>351</v>
      </c>
      <c r="S9" s="11" t="s">
        <v>351</v>
      </c>
      <c r="T9" s="11" t="s">
        <v>351</v>
      </c>
      <c r="U9" s="11" t="s">
        <v>351</v>
      </c>
      <c r="V9" s="11" t="s">
        <v>351</v>
      </c>
      <c r="W9" s="11" t="s">
        <v>351</v>
      </c>
      <c r="X9" s="11" t="s">
        <v>351</v>
      </c>
      <c r="Y9" s="11" t="s">
        <v>351</v>
      </c>
      <c r="Z9" s="11" t="s">
        <v>351</v>
      </c>
      <c r="AA9" s="11" t="s">
        <v>351</v>
      </c>
      <c r="AB9" s="11" t="s">
        <v>351</v>
      </c>
      <c r="AC9" s="11" t="s">
        <v>351</v>
      </c>
      <c r="AD9" s="11" t="s">
        <v>351</v>
      </c>
      <c r="AE9" s="11" t="s">
        <v>351</v>
      </c>
    </row>
    <row r="10" spans="2:31">
      <c r="B10" t="str">
        <f>IF(SUM(N10:O10)=0,"*",Def_Tech!C52)</f>
        <v>EGRID</v>
      </c>
      <c r="C10" t="str">
        <f>Def_Tech!D52</f>
        <v>IMPELCEGRID</v>
      </c>
      <c r="E10" t="s">
        <v>405</v>
      </c>
      <c r="F10" s="12">
        <f>IF(_xlfn.XLOOKUP($C10,'ELC RESID'!$H:$H,'ELC RESID'!$E:$E)="Storage","",IF(_xlfn.XLOOKUP($C10,'ELC RESID'!$H:$H,'ELC RESID'!$L:$L)="",1,_xlfn.XLOOKUP($C10,'ELC RESID'!$H:$H,'ELC RESID'!$L:$L)))</f>
        <v>1</v>
      </c>
      <c r="G10">
        <f>8760*0.0036</f>
        <v>31.535999999999998</v>
      </c>
      <c r="H10" s="12">
        <f>_xlfn.XLOOKUP(C10,'ELC RESID'!H:H,'ELC RESID'!N:N)</f>
        <v>0</v>
      </c>
      <c r="I10" s="12">
        <f>_xlfn.XLOOKUP(C10,'ELC RESID'!H:H,'ELC RESID'!M:M)</f>
        <v>0</v>
      </c>
      <c r="J10" s="12">
        <f>_xlfn.XLOOKUP($C10,'ELC RESID'!$H:$H,'ELC RESID'!$K:$K)</f>
        <v>1</v>
      </c>
      <c r="K10" s="12">
        <f>_xlfn.XLOOKUP($C10,'ELC RESID'!$H:$H,'ELC RESID'!$K:$K)</f>
        <v>1</v>
      </c>
      <c r="L10" s="12">
        <f>_xlfn.XLOOKUP($C10,'ELC RESID'!$H:$H,'ELC RESID'!$K:$K)</f>
        <v>1</v>
      </c>
      <c r="M10">
        <f>IF(_xlfn.XLOOKUP($C10,'ELC RESID'!$H:$H,'ELC RESID'!$H:$H)="Storage",0.3,IF(_xlfn.XLOOKUP($C10,'ELC RESID'!$H:$H,'ELC RESID'!$H:$H)="Baseload",0.9,IF(_xlfn.XLOOKUP($C10,'ELC RESID'!$H:$H,'ELC RESID'!$H:$H)="Non Dispatchable",0.05,IF(_xlfn.XLOOKUP($C10,'ELC RESID'!$H:$H,'ELC RESID'!$H:$H)="Dispatchable",0.9,1))))</f>
        <v>1</v>
      </c>
      <c r="N10" s="13">
        <f>_xlfn.XLOOKUP($C10,'ELC RESID'!$H:$H,'ELC RESID'!O:O)</f>
        <v>1364.6036595479909</v>
      </c>
      <c r="O10" s="13">
        <f>_xlfn.XLOOKUP($C10,'ELC RESID'!$H:$H,'ELC RESID'!P:P)</f>
        <v>1364.6036595479909</v>
      </c>
      <c r="P10" s="13">
        <f>_xlfn.XLOOKUP($C10,'ELC RESID'!$H:$H,'ELC RESID'!Q:Q)</f>
        <v>1364.6036595479909</v>
      </c>
      <c r="Q10" s="13">
        <f>_xlfn.XLOOKUP($C10,'ELC RESID'!$H:$H,'ELC RESID'!R:R)</f>
        <v>1364.6036595479909</v>
      </c>
      <c r="R10" s="13">
        <f>_xlfn.XLOOKUP($C10,'ELC RESID'!$H:$H,'ELC RESID'!S:S)</f>
        <v>1364.6036595479909</v>
      </c>
      <c r="S10" s="13">
        <f>_xlfn.XLOOKUP($C10,'ELC RESID'!$H:$H,'ELC RESID'!T:T)</f>
        <v>1364.6036595479909</v>
      </c>
      <c r="T10" s="13">
        <f>_xlfn.XLOOKUP($C10,'ELC RESID'!$H:$H,'ELC RESID'!U:U)</f>
        <v>1364.6036595479909</v>
      </c>
      <c r="U10" s="13">
        <f>_xlfn.XLOOKUP($C10,'ELC RESID'!$H:$H,'ELC RESID'!V:V)</f>
        <v>1364.6036595479909</v>
      </c>
      <c r="V10" s="13">
        <f>_xlfn.XLOOKUP($C10,'ELC RESID'!$H:$H,'ELC RESID'!W:W)</f>
        <v>1364.6036595479909</v>
      </c>
      <c r="W10" s="13">
        <f>_xlfn.XLOOKUP($C10,'ELC RESID'!$H:$H,'ELC RESID'!X:X)</f>
        <v>1364.6036595479909</v>
      </c>
      <c r="X10" s="13">
        <f>_xlfn.XLOOKUP($C10,'ELC RESID'!$H:$H,'ELC RESID'!Y:Y)</f>
        <v>1364.6036595479909</v>
      </c>
      <c r="Y10" s="13">
        <f>_xlfn.XLOOKUP($C10,'ELC RESID'!$H:$H,'ELC RESID'!Z:Z)</f>
        <v>1364.6036595479909</v>
      </c>
      <c r="Z10" s="13">
        <f>_xlfn.XLOOKUP($C10,'ELC RESID'!$H:$H,'ELC RESID'!AA:AA)</f>
        <v>1364.6036595479909</v>
      </c>
      <c r="AA10" s="13">
        <f>_xlfn.XLOOKUP($C10,'ELC RESID'!$H:$H,'ELC RESID'!AB:AB)</f>
        <v>1364.6036595479909</v>
      </c>
      <c r="AB10" s="13">
        <f>_xlfn.XLOOKUP($C10,'ELC RESID'!$H:$H,'ELC RESID'!AC:AC)</f>
        <v>1364.6036595479909</v>
      </c>
      <c r="AC10" s="13">
        <f>_xlfn.XLOOKUP($C10,'ELC RESID'!$H:$H,'ELC RESID'!AD:AD)</f>
        <v>1364.6036595479909</v>
      </c>
      <c r="AD10" s="13">
        <f>_xlfn.XLOOKUP($C10,'ELC RESID'!$H:$H,'ELC RESID'!AE:AE)</f>
        <v>1364.6036595479909</v>
      </c>
      <c r="AE10" s="13">
        <f>_xlfn.XLOOKUP($C10,'ELC RESID'!$H:$H,'ELC RESID'!AF:AF)</f>
        <v>1364.6036595479909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2" tint="-0.499984740745262"/>
  </sheetPr>
  <dimension ref="A1"/>
  <sheetViews>
    <sheetView workbookViewId="0">
      <selection activeCell="G21" sqref="G21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C32"/>
  <sheetViews>
    <sheetView workbookViewId="0">
      <selection activeCell="F18" sqref="F18"/>
    </sheetView>
  </sheetViews>
  <sheetFormatPr defaultRowHeight="15"/>
  <sheetData>
    <row r="1" spans="2:3">
      <c r="B1" t="s">
        <v>413</v>
      </c>
      <c r="C1" t="s">
        <v>414</v>
      </c>
    </row>
    <row r="2" spans="2:3">
      <c r="B2" t="s">
        <v>415</v>
      </c>
      <c r="C2" t="s">
        <v>415</v>
      </c>
    </row>
    <row r="3" spans="2:3">
      <c r="B3" t="s">
        <v>416</v>
      </c>
      <c r="C3" t="s">
        <v>133</v>
      </c>
    </row>
    <row r="4" spans="2:3">
      <c r="B4" t="s">
        <v>417</v>
      </c>
      <c r="C4" t="s">
        <v>418</v>
      </c>
    </row>
    <row r="5" spans="2:3">
      <c r="B5" t="s">
        <v>419</v>
      </c>
      <c r="C5" t="s">
        <v>110</v>
      </c>
    </row>
    <row r="6" spans="2:3">
      <c r="B6" t="s">
        <v>126</v>
      </c>
      <c r="C6" t="s">
        <v>126</v>
      </c>
    </row>
    <row r="7" spans="2:3">
      <c r="B7" t="s">
        <v>372</v>
      </c>
      <c r="C7" t="s">
        <v>106</v>
      </c>
    </row>
    <row r="8" spans="2:3">
      <c r="B8" t="s">
        <v>420</v>
      </c>
      <c r="C8" t="s">
        <v>421</v>
      </c>
    </row>
    <row r="9" spans="2:3">
      <c r="B9" t="s">
        <v>422</v>
      </c>
      <c r="C9" t="s">
        <v>423</v>
      </c>
    </row>
    <row r="10" spans="2:3">
      <c r="B10" t="s">
        <v>424</v>
      </c>
      <c r="C10" t="s">
        <v>425</v>
      </c>
    </row>
    <row r="11" spans="2:3">
      <c r="B11" t="s">
        <v>426</v>
      </c>
      <c r="C11" t="s">
        <v>427</v>
      </c>
    </row>
    <row r="12" spans="2:3">
      <c r="B12" t="s">
        <v>428</v>
      </c>
      <c r="C12" t="s">
        <v>140</v>
      </c>
    </row>
    <row r="13" spans="2:3">
      <c r="B13" t="s">
        <v>429</v>
      </c>
      <c r="C13" t="s">
        <v>430</v>
      </c>
    </row>
    <row r="14" spans="2:3">
      <c r="B14" t="s">
        <v>431</v>
      </c>
      <c r="C14" t="s">
        <v>432</v>
      </c>
    </row>
    <row r="15" spans="2:3">
      <c r="B15" t="s">
        <v>433</v>
      </c>
      <c r="C15" t="s">
        <v>434</v>
      </c>
    </row>
    <row r="16" spans="2:3">
      <c r="B16" t="s">
        <v>435</v>
      </c>
      <c r="C16" t="s">
        <v>436</v>
      </c>
    </row>
    <row r="17" spans="2:3">
      <c r="B17" t="s">
        <v>437</v>
      </c>
      <c r="C17" t="s">
        <v>438</v>
      </c>
    </row>
    <row r="18" spans="2:3">
      <c r="B18" t="s">
        <v>439</v>
      </c>
      <c r="C18" t="s">
        <v>440</v>
      </c>
    </row>
    <row r="19" spans="2:3">
      <c r="B19" t="s">
        <v>441</v>
      </c>
      <c r="C19" t="s">
        <v>441</v>
      </c>
    </row>
    <row r="20" spans="2:3">
      <c r="B20" t="s">
        <v>442</v>
      </c>
      <c r="C20" t="s">
        <v>155</v>
      </c>
    </row>
    <row r="21" spans="2:3">
      <c r="B21" t="s">
        <v>443</v>
      </c>
      <c r="C21" t="s">
        <v>182</v>
      </c>
    </row>
    <row r="22" spans="2:3">
      <c r="B22" t="s">
        <v>444</v>
      </c>
      <c r="C22" t="s">
        <v>171</v>
      </c>
    </row>
    <row r="23" spans="2:3">
      <c r="B23" t="s">
        <v>445</v>
      </c>
      <c r="C23" t="s">
        <v>143</v>
      </c>
    </row>
    <row r="24" spans="2:3">
      <c r="B24" t="s">
        <v>446</v>
      </c>
      <c r="C24" t="s">
        <v>146</v>
      </c>
    </row>
    <row r="25" spans="2:3">
      <c r="B25" t="s">
        <v>447</v>
      </c>
      <c r="C25" t="s">
        <v>148</v>
      </c>
    </row>
    <row r="26" spans="2:3">
      <c r="B26" t="s">
        <v>448</v>
      </c>
      <c r="C26" t="s">
        <v>150</v>
      </c>
    </row>
    <row r="27" spans="2:3">
      <c r="B27" t="s">
        <v>449</v>
      </c>
      <c r="C27" t="s">
        <v>153</v>
      </c>
    </row>
    <row r="28" spans="2:3">
      <c r="B28" t="s">
        <v>450</v>
      </c>
      <c r="C28" t="s">
        <v>165</v>
      </c>
    </row>
    <row r="29" spans="2:3">
      <c r="B29" t="s">
        <v>451</v>
      </c>
      <c r="C29" t="s">
        <v>179</v>
      </c>
    </row>
    <row r="30" spans="2:3">
      <c r="B30" t="s">
        <v>405</v>
      </c>
      <c r="C30" t="s">
        <v>452</v>
      </c>
    </row>
    <row r="31" spans="2:3">
      <c r="B31" t="s">
        <v>453</v>
      </c>
      <c r="C31" t="s">
        <v>454</v>
      </c>
    </row>
    <row r="32" spans="2:3">
      <c r="B32" t="s">
        <v>455</v>
      </c>
      <c r="C32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&gt;&gt; City Data</vt:lpstr>
      <vt:lpstr>City characteristics</vt:lpstr>
      <vt:lpstr>&gt;&gt; GC_Resid</vt:lpstr>
      <vt:lpstr>ELC RESID</vt:lpstr>
      <vt:lpstr>Demand</vt:lpstr>
      <vt:lpstr>&gt;&gt; TIMES</vt:lpstr>
      <vt:lpstr>Def_Tech</vt:lpstr>
      <vt:lpstr>Def_Comm</vt:lpstr>
      <vt:lpstr>ResidELC</vt:lpstr>
      <vt:lpstr>EGRID_PARAM</vt:lpstr>
      <vt:lpstr>ResidIMP</vt:lpstr>
      <vt:lpstr>&gt;&gt; Parameters</vt:lpstr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2025-04-08T18:30:44Z</dcterms:modified>
</cp:coreProperties>
</file>